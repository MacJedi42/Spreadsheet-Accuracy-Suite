
<file path=[Content_Types].xml><?xml version="1.0" encoding="utf-8"?>
<Types xmlns="http://schemas.openxmlformats.org/package/2006/content-types">
  <Override PartName="/xl/worksheets/sheet12.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comments2.xml" ContentType="application/vnd.openxmlformats-officedocument.spreadsheetml.comments+xml"/>
  <Override PartName="/docProps/app.xml" ContentType="application/vnd.openxmlformats-officedocument.extended-properties+xml"/>
  <Override PartName="/xl/worksheets/sheet7.xml" ContentType="application/vnd.openxmlformats-officedocument.spreadsheetml.worksheet+xml"/>
  <Override PartName="/xl/comments4.xml" ContentType="application/vnd.openxmlformats-officedocument.spreadsheetml.comments+xml"/>
  <Override PartName="/xl/externalLinks/externalLink2.xml" ContentType="application/vnd.openxmlformats-officedocument.spreadsheetml.externalLink+xml"/>
  <Override PartName="/xl/worksheets/sheet9.xml" ContentType="application/vnd.openxmlformats-officedocument.spreadsheetml.worksheet+xml"/>
  <Override PartName="/xl/charts/chart2.xml" ContentType="application/vnd.openxmlformats-officedocument.drawingml.chart+xml"/>
  <Override PartName="/xl/worksheets/sheet10.xml" ContentType="application/vnd.openxmlformats-officedocument.spreadsheetml.worksheet+xml"/>
  <Override PartName="/xl/worksheets/sheet5.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externalLinks/externalLink3.xml" ContentType="application/vnd.openxmlformats-officedocument.spreadsheetml.externalLink+xml"/>
  <Override PartName="/xl/workbook.xml" ContentType="application/vnd.openxmlformats-officedocument.spreadsheetml.sheet.main+xml"/>
  <Override PartName="/docProps/core.xml" ContentType="application/vnd.openxmlformats-package.core-properties+xml"/>
  <Default Extension="xml" ContentType="application/xml"/>
  <Override PartName="/xl/worksheets/sheet3.xml" ContentType="application/vnd.openxmlformats-officedocument.spreadsheetml.worksheet+xml"/>
  <Override PartName="/xl/externalLinks/externalLink1.xml" ContentType="application/vnd.openxmlformats-officedocument.spreadsheetml.externalLink+xml"/>
  <Override PartName="/xl/worksheets/sheet4.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charts/chart1.xml" ContentType="application/vnd.openxmlformats-officedocument.drawingml.chart+xml"/>
  <Override PartName="/xl/worksheets/sheet6.xml" ContentType="application/vnd.openxmlformats-officedocument.spreadsheetml.worksheet+xml"/>
  <Default Extension="rels" ContentType="application/vnd.openxmlformats-package.relationships+xml"/>
  <Override PartName="/docProps/custom.xml" ContentType="application/vnd.openxmlformats-officedocument.custom-properties+xml"/>
  <Override PartName="/xl/drawings/drawing1.xml" ContentType="application/vnd.openxmlformats-officedocument.drawing+xml"/>
  <Override PartName="/xl/comments1.xml" ContentType="application/vnd.openxmlformats-officedocument.spreadsheetml.comments+xml"/>
  <Override PartName="/xl/worksheets/sheet11.xml" ContentType="application/vnd.openxmlformats-officedocument.spreadsheetml.worksheet+xml"/>
  <Override PartName="/xl/comments3.xml" ContentType="application/vnd.openxmlformats-officedocument.spreadsheetml.comments+xml"/>
  <Override PartName="/xl/styles.xml" ContentType="application/vnd.openxmlformats-officedocument.spreadsheetml.style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autoCompressPictures="0"/>
  <bookViews>
    <workbookView xWindow="6180" yWindow="-40" windowWidth="7220" windowHeight="10840"/>
  </bookViews>
  <sheets>
    <sheet name="Legend" sheetId="10" r:id="rId1"/>
    <sheet name="Figures 1,2,4" sheetId="11" r:id="rId2"/>
    <sheet name="Figure 3 Policies" sheetId="12" r:id="rId3"/>
    <sheet name="Figure 5 Characteristics" sheetId="13" r:id="rId4"/>
    <sheet name="Figure 6 Findings" sheetId="14" r:id="rId5"/>
    <sheet name="enr send dist" sheetId="3" r:id="rId6"/>
    <sheet name="State Chart" sheetId="7" r:id="rId7"/>
    <sheet name="rev send dist only" sheetId="4" r:id="rId8"/>
    <sheet name="Master" sheetId="1" r:id="rId9"/>
    <sheet name="State Dist" sheetId="5" r:id="rId10"/>
    <sheet name="PreK" sheetId="6" r:id="rId11"/>
    <sheet name="Sheet 1" sheetId="2" r:id="rId12"/>
  </sheets>
  <externalReferences>
    <externalReference r:id="rId13"/>
    <externalReference r:id="rId14"/>
    <externalReference r:id="rId15"/>
  </externalReferences>
  <definedNames>
    <definedName name="_xlnm._FilterDatabase" localSheetId="5" hidden="1">'enr send dist'!$A$1:$Q$430</definedName>
    <definedName name="_xlnm._FilterDatabase" localSheetId="10" hidden="1">PreK!$A$2:$I$668</definedName>
    <definedName name="_xlnm._FilterDatabase" localSheetId="7" hidden="1">'rev send dist only'!$A$1:$O$673</definedName>
    <definedName name="_xlnm._FilterDatabase" localSheetId="11" hidden="1">'Sheet 1'!$D$1:$D$673</definedName>
    <definedName name="_Rev07">Master!$A$1:$EJ$666</definedName>
    <definedName name="_xlnm.Print_Area" localSheetId="11">'Sheet 1'!$A$616:$D$668</definedName>
  </definedNames>
  <calcPr calcId="125725"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D11" i="3"/>
  <c r="N6"/>
  <c r="N8"/>
  <c r="N10"/>
  <c r="N5"/>
  <c r="D26"/>
  <c r="N12"/>
  <c r="N14"/>
  <c r="N16"/>
  <c r="N18"/>
  <c r="N20"/>
  <c r="N22"/>
  <c r="N24"/>
  <c r="D38"/>
  <c r="D41"/>
  <c r="N40"/>
  <c r="N39"/>
  <c r="D45"/>
  <c r="N42"/>
  <c r="N44"/>
  <c r="N43"/>
  <c r="D56"/>
  <c r="N48"/>
  <c r="N51"/>
  <c r="N53"/>
  <c r="N55"/>
  <c r="D58"/>
  <c r="N57"/>
  <c r="D65"/>
  <c r="N61"/>
  <c r="D71"/>
  <c r="N67"/>
  <c r="D76"/>
  <c r="N73"/>
  <c r="N75"/>
  <c r="N72"/>
  <c r="D81"/>
  <c r="N77"/>
  <c r="D83"/>
  <c r="N82"/>
  <c r="D90"/>
  <c r="N84"/>
  <c r="N85"/>
  <c r="N87"/>
  <c r="N89"/>
  <c r="D102"/>
  <c r="N91"/>
  <c r="N93"/>
  <c r="N95"/>
  <c r="N97"/>
  <c r="N99"/>
  <c r="N101"/>
  <c r="N92"/>
  <c r="D122"/>
  <c r="N103"/>
  <c r="N105"/>
  <c r="N107"/>
  <c r="N109"/>
  <c r="N111"/>
  <c r="N113"/>
  <c r="N114"/>
  <c r="N115"/>
  <c r="N117"/>
  <c r="N118"/>
  <c r="N119"/>
  <c r="N121"/>
  <c r="N104"/>
  <c r="D125"/>
  <c r="N124"/>
  <c r="D137"/>
  <c r="N127"/>
  <c r="N131"/>
  <c r="N133"/>
  <c r="N135"/>
  <c r="D151"/>
  <c r="N140"/>
  <c r="D167"/>
  <c r="N152"/>
  <c r="D169"/>
  <c r="N168"/>
  <c r="D186"/>
  <c r="N171"/>
  <c r="N173"/>
  <c r="N175"/>
  <c r="N177"/>
  <c r="N179"/>
  <c r="N181"/>
  <c r="N183"/>
  <c r="N185"/>
  <c r="N170"/>
  <c r="D192"/>
  <c r="N187"/>
  <c r="N189"/>
  <c r="N191"/>
  <c r="N188"/>
  <c r="D194"/>
  <c r="N193"/>
  <c r="D202"/>
  <c r="N195"/>
  <c r="N197"/>
  <c r="N199"/>
  <c r="N201"/>
  <c r="N196"/>
  <c r="D204"/>
  <c r="N203"/>
  <c r="D207"/>
  <c r="N206"/>
  <c r="D230"/>
  <c r="N208"/>
  <c r="N209"/>
  <c r="N211"/>
  <c r="N213"/>
  <c r="N215"/>
  <c r="N217"/>
  <c r="N219"/>
  <c r="N221"/>
  <c r="N223"/>
  <c r="N225"/>
  <c r="N227"/>
  <c r="N229"/>
  <c r="D232"/>
  <c r="N231"/>
  <c r="D234"/>
  <c r="N233"/>
  <c r="D236"/>
  <c r="N235"/>
  <c r="D238"/>
  <c r="N237"/>
  <c r="D240"/>
  <c r="N239"/>
  <c r="D243"/>
  <c r="N242"/>
  <c r="D269"/>
  <c r="D279"/>
  <c r="D283"/>
  <c r="N280"/>
  <c r="D297"/>
  <c r="N284"/>
  <c r="D306"/>
  <c r="N298"/>
  <c r="N299"/>
  <c r="N301"/>
  <c r="N302"/>
  <c r="N303"/>
  <c r="N305"/>
  <c r="D310"/>
  <c r="N307"/>
  <c r="N309"/>
  <c r="N308"/>
  <c r="D313"/>
  <c r="N312"/>
  <c r="D315"/>
  <c r="N314"/>
  <c r="D350"/>
  <c r="N316"/>
  <c r="N326"/>
  <c r="N330"/>
  <c r="N335"/>
  <c r="N337"/>
  <c r="N339"/>
  <c r="N341"/>
  <c r="N343"/>
  <c r="N345"/>
  <c r="N347"/>
  <c r="N349"/>
  <c r="D352"/>
  <c r="N351"/>
  <c r="D354"/>
  <c r="N353"/>
  <c r="D358"/>
  <c r="N355"/>
  <c r="N357"/>
  <c r="N356"/>
  <c r="D360"/>
  <c r="N359"/>
  <c r="D374"/>
  <c r="N361"/>
  <c r="N362"/>
  <c r="N363"/>
  <c r="N365"/>
  <c r="N366"/>
  <c r="N367"/>
  <c r="N369"/>
  <c r="N371"/>
  <c r="N373"/>
  <c r="D379"/>
  <c r="N376"/>
  <c r="D381"/>
  <c r="N380"/>
  <c r="D383"/>
  <c r="N382"/>
  <c r="D418"/>
  <c r="N388"/>
  <c r="N404"/>
  <c r="N384"/>
  <c r="D420"/>
  <c r="N419"/>
  <c r="D422"/>
  <c r="N421"/>
  <c r="D425"/>
  <c r="N423"/>
  <c r="N424"/>
  <c r="N270"/>
  <c r="N272"/>
  <c r="N274"/>
  <c r="N276"/>
  <c r="N278"/>
  <c r="N244"/>
  <c r="N246"/>
  <c r="N248"/>
  <c r="N250"/>
  <c r="N252"/>
  <c r="N254"/>
  <c r="N256"/>
  <c r="N258"/>
  <c r="N260"/>
  <c r="N262"/>
  <c r="N264"/>
  <c r="N266"/>
  <c r="N268"/>
  <c r="N416"/>
  <c r="N414"/>
  <c r="N412"/>
  <c r="N410"/>
  <c r="N408"/>
  <c r="N405"/>
  <c r="N403"/>
  <c r="N401"/>
  <c r="N399"/>
  <c r="N397"/>
  <c r="N395"/>
  <c r="N393"/>
  <c r="N391"/>
  <c r="N389"/>
  <c r="N387"/>
  <c r="N385"/>
  <c r="N377"/>
  <c r="N375"/>
  <c r="N333"/>
  <c r="N331"/>
  <c r="N329"/>
  <c r="N327"/>
  <c r="N325"/>
  <c r="N323"/>
  <c r="N321"/>
  <c r="N319"/>
  <c r="N317"/>
  <c r="N311"/>
  <c r="N295"/>
  <c r="N293"/>
  <c r="N291"/>
  <c r="N289"/>
  <c r="N287"/>
  <c r="N285"/>
  <c r="N277"/>
  <c r="N273"/>
  <c r="N267"/>
  <c r="N263"/>
  <c r="N259"/>
  <c r="N255"/>
  <c r="N251"/>
  <c r="N247"/>
  <c r="N241"/>
  <c r="N205"/>
  <c r="N417"/>
  <c r="N415"/>
  <c r="N413"/>
  <c r="N411"/>
  <c r="N409"/>
  <c r="N407"/>
  <c r="N406"/>
  <c r="N402"/>
  <c r="N400"/>
  <c r="N398"/>
  <c r="N396"/>
  <c r="N394"/>
  <c r="N392"/>
  <c r="N390"/>
  <c r="N386"/>
  <c r="N378"/>
  <c r="N372"/>
  <c r="N370"/>
  <c r="N368"/>
  <c r="N364"/>
  <c r="N348"/>
  <c r="N346"/>
  <c r="N344"/>
  <c r="N342"/>
  <c r="N340"/>
  <c r="N338"/>
  <c r="N336"/>
  <c r="N334"/>
  <c r="N332"/>
  <c r="N328"/>
  <c r="N324"/>
  <c r="N322"/>
  <c r="N320"/>
  <c r="N318"/>
  <c r="N304"/>
  <c r="N300"/>
  <c r="N296"/>
  <c r="N294"/>
  <c r="N292"/>
  <c r="N290"/>
  <c r="N288"/>
  <c r="N286"/>
  <c r="N282"/>
  <c r="N281"/>
  <c r="N275"/>
  <c r="N271"/>
  <c r="N265"/>
  <c r="N261"/>
  <c r="N257"/>
  <c r="N253"/>
  <c r="N249"/>
  <c r="N245"/>
  <c r="N138"/>
  <c r="N142"/>
  <c r="N144"/>
  <c r="N146"/>
  <c r="N148"/>
  <c r="N46"/>
  <c r="N27"/>
  <c r="N29"/>
  <c r="N31"/>
  <c r="N33"/>
  <c r="N35"/>
  <c r="N37"/>
  <c r="N28"/>
  <c r="N30"/>
  <c r="N32"/>
  <c r="N34"/>
  <c r="N36"/>
  <c r="N54"/>
  <c r="N165"/>
  <c r="N163"/>
  <c r="N161"/>
  <c r="N159"/>
  <c r="N157"/>
  <c r="N155"/>
  <c r="N153"/>
  <c r="N149"/>
  <c r="N145"/>
  <c r="N141"/>
  <c r="N126"/>
  <c r="N128"/>
  <c r="N130"/>
  <c r="N132"/>
  <c r="N134"/>
  <c r="N136"/>
  <c r="N78"/>
  <c r="N80"/>
  <c r="N66"/>
  <c r="N68"/>
  <c r="N70"/>
  <c r="N60"/>
  <c r="N62"/>
  <c r="N64"/>
  <c r="N228"/>
  <c r="N226"/>
  <c r="N224"/>
  <c r="N222"/>
  <c r="N220"/>
  <c r="N218"/>
  <c r="N216"/>
  <c r="N214"/>
  <c r="N212"/>
  <c r="N210"/>
  <c r="N200"/>
  <c r="N198"/>
  <c r="N190"/>
  <c r="N184"/>
  <c r="N182"/>
  <c r="N180"/>
  <c r="N178"/>
  <c r="N176"/>
  <c r="N174"/>
  <c r="N172"/>
  <c r="N166"/>
  <c r="N164"/>
  <c r="N162"/>
  <c r="N160"/>
  <c r="N158"/>
  <c r="N156"/>
  <c r="N154"/>
  <c r="N150"/>
  <c r="N147"/>
  <c r="N143"/>
  <c r="N139"/>
  <c r="N129"/>
  <c r="N123"/>
  <c r="N79"/>
  <c r="N69"/>
  <c r="N63"/>
  <c r="N59"/>
  <c r="N23"/>
  <c r="N47"/>
  <c r="N49"/>
  <c r="N13"/>
  <c r="N15"/>
  <c r="N17"/>
  <c r="N19"/>
  <c r="N21"/>
  <c r="N25"/>
  <c r="N120"/>
  <c r="N116"/>
  <c r="N112"/>
  <c r="N110"/>
  <c r="N108"/>
  <c r="N106"/>
  <c r="N100"/>
  <c r="N98"/>
  <c r="N96"/>
  <c r="N94"/>
  <c r="N88"/>
  <c r="N86"/>
  <c r="N74"/>
  <c r="N52"/>
  <c r="N50"/>
  <c r="N9"/>
  <c r="N7"/>
  <c r="H51"/>
  <c r="J51"/>
  <c r="F51"/>
  <c r="G51"/>
  <c r="H6"/>
  <c r="J6"/>
  <c r="F6"/>
  <c r="I6"/>
  <c r="H8"/>
  <c r="J8"/>
  <c r="F8"/>
  <c r="I8"/>
  <c r="H10"/>
  <c r="J10"/>
  <c r="F10"/>
  <c r="I10"/>
  <c r="H12"/>
  <c r="J12"/>
  <c r="F12"/>
  <c r="I12"/>
  <c r="H13"/>
  <c r="J13"/>
  <c r="K13"/>
  <c r="H14"/>
  <c r="J14"/>
  <c r="F14"/>
  <c r="I14"/>
  <c r="H15"/>
  <c r="J15"/>
  <c r="K15"/>
  <c r="H16"/>
  <c r="J16"/>
  <c r="F16"/>
  <c r="I16"/>
  <c r="H17"/>
  <c r="J17"/>
  <c r="K17"/>
  <c r="H18"/>
  <c r="J18"/>
  <c r="F18"/>
  <c r="I18"/>
  <c r="H19"/>
  <c r="J19"/>
  <c r="K19"/>
  <c r="H20"/>
  <c r="J20"/>
  <c r="F20"/>
  <c r="I20"/>
  <c r="H22"/>
  <c r="J22"/>
  <c r="F22"/>
  <c r="I22"/>
  <c r="H24"/>
  <c r="J24"/>
  <c r="F24"/>
  <c r="I24"/>
  <c r="H27"/>
  <c r="J27"/>
  <c r="K27"/>
  <c r="H28"/>
  <c r="J28"/>
  <c r="F28"/>
  <c r="I28"/>
  <c r="H29"/>
  <c r="J29"/>
  <c r="K29"/>
  <c r="H30"/>
  <c r="J30"/>
  <c r="F30"/>
  <c r="I30"/>
  <c r="H31"/>
  <c r="J31"/>
  <c r="K31"/>
  <c r="H32"/>
  <c r="J32"/>
  <c r="F32"/>
  <c r="I32"/>
  <c r="H33"/>
  <c r="J33"/>
  <c r="K33"/>
  <c r="H34"/>
  <c r="J34"/>
  <c r="F34"/>
  <c r="I34"/>
  <c r="H36"/>
  <c r="J36"/>
  <c r="F36"/>
  <c r="I36"/>
  <c r="H39"/>
  <c r="J39"/>
  <c r="K39"/>
  <c r="H40"/>
  <c r="J40"/>
  <c r="F40"/>
  <c r="I40"/>
  <c r="H44"/>
  <c r="J44"/>
  <c r="F44"/>
  <c r="I44"/>
  <c r="H46"/>
  <c r="J46"/>
  <c r="F46"/>
  <c r="I46"/>
  <c r="H47"/>
  <c r="J47"/>
  <c r="K47"/>
  <c r="H53"/>
  <c r="J53"/>
  <c r="F53"/>
  <c r="I53"/>
  <c r="H54"/>
  <c r="J54"/>
  <c r="K54"/>
  <c r="H55"/>
  <c r="J55"/>
  <c r="F55"/>
  <c r="I55"/>
  <c r="H57"/>
  <c r="J57"/>
  <c r="F57"/>
  <c r="I57"/>
  <c r="H59"/>
  <c r="J59"/>
  <c r="F59"/>
  <c r="I59"/>
  <c r="H60"/>
  <c r="J60"/>
  <c r="K60"/>
  <c r="H61"/>
  <c r="J61"/>
  <c r="F61"/>
  <c r="I61"/>
  <c r="H62"/>
  <c r="J62"/>
  <c r="K62"/>
  <c r="H63"/>
  <c r="J63"/>
  <c r="F63"/>
  <c r="I63"/>
  <c r="H64"/>
  <c r="J64"/>
  <c r="K64"/>
  <c r="H66"/>
  <c r="J66"/>
  <c r="K66"/>
  <c r="H67"/>
  <c r="J67"/>
  <c r="F67"/>
  <c r="I67"/>
  <c r="H68"/>
  <c r="J68"/>
  <c r="K68"/>
  <c r="H69"/>
  <c r="J69"/>
  <c r="F69"/>
  <c r="I69"/>
  <c r="H70"/>
  <c r="J70"/>
  <c r="K70"/>
  <c r="H73"/>
  <c r="J73"/>
  <c r="F73"/>
  <c r="I73"/>
  <c r="H75"/>
  <c r="J75"/>
  <c r="F75"/>
  <c r="I75"/>
  <c r="H77"/>
  <c r="J77"/>
  <c r="F77"/>
  <c r="I77"/>
  <c r="H78"/>
  <c r="J78"/>
  <c r="K78"/>
  <c r="H79"/>
  <c r="J79"/>
  <c r="F79"/>
  <c r="I79"/>
  <c r="H80"/>
  <c r="J80"/>
  <c r="K80"/>
  <c r="H84"/>
  <c r="J84"/>
  <c r="K84"/>
  <c r="H85"/>
  <c r="J85"/>
  <c r="F85"/>
  <c r="I85"/>
  <c r="H87"/>
  <c r="J87"/>
  <c r="F87"/>
  <c r="I87"/>
  <c r="H88"/>
  <c r="J88"/>
  <c r="K88"/>
  <c r="H89"/>
  <c r="J89"/>
  <c r="F89"/>
  <c r="I89"/>
  <c r="H91"/>
  <c r="J91"/>
  <c r="F91"/>
  <c r="I91"/>
  <c r="H92"/>
  <c r="J92"/>
  <c r="K92"/>
  <c r="H93"/>
  <c r="J93"/>
  <c r="F93"/>
  <c r="I93"/>
  <c r="H94"/>
  <c r="J94"/>
  <c r="K94"/>
  <c r="H95"/>
  <c r="J95"/>
  <c r="F95"/>
  <c r="I95"/>
  <c r="H96"/>
  <c r="J96"/>
  <c r="K96"/>
  <c r="H97"/>
  <c r="J97"/>
  <c r="F97"/>
  <c r="I97"/>
  <c r="H99"/>
  <c r="J99"/>
  <c r="F99"/>
  <c r="I99"/>
  <c r="H100"/>
  <c r="J100"/>
  <c r="K100"/>
  <c r="H101"/>
  <c r="J101"/>
  <c r="F101"/>
  <c r="I101"/>
  <c r="H103"/>
  <c r="J103"/>
  <c r="F103"/>
  <c r="I103"/>
  <c r="H104"/>
  <c r="J104"/>
  <c r="K104"/>
  <c r="H105"/>
  <c r="J105"/>
  <c r="F105"/>
  <c r="I105"/>
  <c r="H106"/>
  <c r="J106"/>
  <c r="K106"/>
  <c r="H107"/>
  <c r="J107"/>
  <c r="F107"/>
  <c r="I107"/>
  <c r="H108"/>
  <c r="J108"/>
  <c r="K108"/>
  <c r="H109"/>
  <c r="J109"/>
  <c r="F109"/>
  <c r="I109"/>
  <c r="H111"/>
  <c r="J111"/>
  <c r="F111"/>
  <c r="I111"/>
  <c r="H112"/>
  <c r="J112"/>
  <c r="K112"/>
  <c r="H113"/>
  <c r="J113"/>
  <c r="F113"/>
  <c r="I113"/>
  <c r="H114"/>
  <c r="J114"/>
  <c r="K114"/>
  <c r="L114"/>
  <c r="Q114"/>
  <c r="H115"/>
  <c r="J115"/>
  <c r="F115"/>
  <c r="I115"/>
  <c r="H116"/>
  <c r="J116"/>
  <c r="K116"/>
  <c r="H117"/>
  <c r="J117"/>
  <c r="F117"/>
  <c r="I117"/>
  <c r="H118"/>
  <c r="J118"/>
  <c r="K118"/>
  <c r="L118"/>
  <c r="Q118"/>
  <c r="H119"/>
  <c r="J119"/>
  <c r="F119"/>
  <c r="I119"/>
  <c r="H120"/>
  <c r="J120"/>
  <c r="K120"/>
  <c r="H121"/>
  <c r="J121"/>
  <c r="F121"/>
  <c r="I121"/>
  <c r="H123"/>
  <c r="J123"/>
  <c r="F123"/>
  <c r="I123"/>
  <c r="H124"/>
  <c r="J124"/>
  <c r="K124"/>
  <c r="L124"/>
  <c r="Q124"/>
  <c r="H126"/>
  <c r="J126"/>
  <c r="K126"/>
  <c r="H127"/>
  <c r="J127"/>
  <c r="F127"/>
  <c r="I127"/>
  <c r="H128"/>
  <c r="J128"/>
  <c r="K128"/>
  <c r="H129"/>
  <c r="J129"/>
  <c r="F129"/>
  <c r="I129"/>
  <c r="H130"/>
  <c r="J130"/>
  <c r="K130"/>
  <c r="H131"/>
  <c r="J131"/>
  <c r="F131"/>
  <c r="I131"/>
  <c r="H133"/>
  <c r="J133"/>
  <c r="F133"/>
  <c r="I133"/>
  <c r="H135"/>
  <c r="J135"/>
  <c r="F135"/>
  <c r="I135"/>
  <c r="H138"/>
  <c r="J138"/>
  <c r="K138"/>
  <c r="H140"/>
  <c r="J140"/>
  <c r="K140"/>
  <c r="L140"/>
  <c r="Q140"/>
  <c r="H141"/>
  <c r="J141"/>
  <c r="F141"/>
  <c r="I141"/>
  <c r="H142"/>
  <c r="J142"/>
  <c r="K142"/>
  <c r="H143"/>
  <c r="J143"/>
  <c r="F143"/>
  <c r="I143"/>
  <c r="H144"/>
  <c r="J144"/>
  <c r="K144"/>
  <c r="H145"/>
  <c r="J145"/>
  <c r="F145"/>
  <c r="I145"/>
  <c r="H146"/>
  <c r="J146"/>
  <c r="K146"/>
  <c r="H147"/>
  <c r="J147"/>
  <c r="F147"/>
  <c r="I147"/>
  <c r="H148"/>
  <c r="J148"/>
  <c r="K148"/>
  <c r="H149"/>
  <c r="J149"/>
  <c r="F149"/>
  <c r="G149"/>
  <c r="H23"/>
  <c r="H150"/>
  <c r="J23"/>
  <c r="J150"/>
  <c r="F150"/>
  <c r="G150"/>
  <c r="K150"/>
  <c r="H152"/>
  <c r="J152"/>
  <c r="F152"/>
  <c r="G152"/>
  <c r="K152"/>
  <c r="H153"/>
  <c r="J153"/>
  <c r="F153"/>
  <c r="G153"/>
  <c r="H154"/>
  <c r="J154"/>
  <c r="F154"/>
  <c r="G154"/>
  <c r="K154"/>
  <c r="H155"/>
  <c r="J155"/>
  <c r="F155"/>
  <c r="G155"/>
  <c r="H156"/>
  <c r="J156"/>
  <c r="F156"/>
  <c r="G156"/>
  <c r="K156"/>
  <c r="H157"/>
  <c r="J157"/>
  <c r="F157"/>
  <c r="G157"/>
  <c r="H158"/>
  <c r="J158"/>
  <c r="F158"/>
  <c r="G158"/>
  <c r="K158"/>
  <c r="H159"/>
  <c r="J159"/>
  <c r="F159"/>
  <c r="G159"/>
  <c r="H160"/>
  <c r="J160"/>
  <c r="F160"/>
  <c r="G160"/>
  <c r="K160"/>
  <c r="H161"/>
  <c r="J161"/>
  <c r="F161"/>
  <c r="G161"/>
  <c r="H162"/>
  <c r="J162"/>
  <c r="F162"/>
  <c r="G162"/>
  <c r="K162"/>
  <c r="H163"/>
  <c r="J163"/>
  <c r="F163"/>
  <c r="G163"/>
  <c r="H35"/>
  <c r="H164"/>
  <c r="J35"/>
  <c r="J164"/>
  <c r="F164"/>
  <c r="G164"/>
  <c r="K164"/>
  <c r="H165"/>
  <c r="J165"/>
  <c r="F165"/>
  <c r="G165"/>
  <c r="H37"/>
  <c r="H166"/>
  <c r="J37"/>
  <c r="J166"/>
  <c r="F166"/>
  <c r="G166"/>
  <c r="K166"/>
  <c r="H168"/>
  <c r="J168"/>
  <c r="F168"/>
  <c r="H170"/>
  <c r="J170"/>
  <c r="F170"/>
  <c r="G170"/>
  <c r="K170"/>
  <c r="H171"/>
  <c r="J171"/>
  <c r="F171"/>
  <c r="G171"/>
  <c r="H172"/>
  <c r="J172"/>
  <c r="F172"/>
  <c r="G172"/>
  <c r="K172"/>
  <c r="H173"/>
  <c r="J173"/>
  <c r="F173"/>
  <c r="I173"/>
  <c r="H174"/>
  <c r="J174"/>
  <c r="F174"/>
  <c r="G174"/>
  <c r="K174"/>
  <c r="H175"/>
  <c r="J175"/>
  <c r="F175"/>
  <c r="G175"/>
  <c r="H176"/>
  <c r="J176"/>
  <c r="F176"/>
  <c r="G176"/>
  <c r="K176"/>
  <c r="H177"/>
  <c r="J177"/>
  <c r="F177"/>
  <c r="I177"/>
  <c r="H178"/>
  <c r="J178"/>
  <c r="F178"/>
  <c r="G178"/>
  <c r="K178"/>
  <c r="H179"/>
  <c r="J179"/>
  <c r="F179"/>
  <c r="G179"/>
  <c r="H180"/>
  <c r="J180"/>
  <c r="F180"/>
  <c r="G180"/>
  <c r="K180"/>
  <c r="H181"/>
  <c r="J181"/>
  <c r="F181"/>
  <c r="I181"/>
  <c r="H182"/>
  <c r="J182"/>
  <c r="F182"/>
  <c r="G182"/>
  <c r="K182"/>
  <c r="H183"/>
  <c r="J183"/>
  <c r="F183"/>
  <c r="G183"/>
  <c r="H184"/>
  <c r="J184"/>
  <c r="F184"/>
  <c r="G184"/>
  <c r="K184"/>
  <c r="H185"/>
  <c r="J185"/>
  <c r="F185"/>
  <c r="I185"/>
  <c r="H5"/>
  <c r="H187"/>
  <c r="J5"/>
  <c r="J187"/>
  <c r="F187"/>
  <c r="G187"/>
  <c r="I187"/>
  <c r="H7"/>
  <c r="H188"/>
  <c r="J7"/>
  <c r="J188"/>
  <c r="F188"/>
  <c r="G188"/>
  <c r="K188"/>
  <c r="H189"/>
  <c r="J189"/>
  <c r="F189"/>
  <c r="G189"/>
  <c r="H190"/>
  <c r="J190"/>
  <c r="F190"/>
  <c r="G190"/>
  <c r="K190"/>
  <c r="H195"/>
  <c r="J195"/>
  <c r="F195"/>
  <c r="G195"/>
  <c r="H196"/>
  <c r="J196"/>
  <c r="F196"/>
  <c r="G196"/>
  <c r="H198"/>
  <c r="J198"/>
  <c r="K198"/>
  <c r="H199"/>
  <c r="J199"/>
  <c r="F199"/>
  <c r="I199"/>
  <c r="H200"/>
  <c r="J200"/>
  <c r="K200"/>
  <c r="H201"/>
  <c r="J201"/>
  <c r="F201"/>
  <c r="I201"/>
  <c r="H203"/>
  <c r="J203"/>
  <c r="F203"/>
  <c r="H205"/>
  <c r="J205"/>
  <c r="F205"/>
  <c r="I205"/>
  <c r="H206"/>
  <c r="J206"/>
  <c r="K206"/>
  <c r="L206"/>
  <c r="Q206"/>
  <c r="H208"/>
  <c r="J208"/>
  <c r="K208"/>
  <c r="H209"/>
  <c r="J209"/>
  <c r="F209"/>
  <c r="I209"/>
  <c r="H210"/>
  <c r="J210"/>
  <c r="K210"/>
  <c r="H212"/>
  <c r="J212"/>
  <c r="K212"/>
  <c r="H213"/>
  <c r="J213"/>
  <c r="F213"/>
  <c r="I213"/>
  <c r="H214"/>
  <c r="J214"/>
  <c r="K214"/>
  <c r="H215"/>
  <c r="J215"/>
  <c r="F215"/>
  <c r="I215"/>
  <c r="H216"/>
  <c r="J216"/>
  <c r="K216"/>
  <c r="H217"/>
  <c r="J217"/>
  <c r="F217"/>
  <c r="I217"/>
  <c r="H218"/>
  <c r="J218"/>
  <c r="K218"/>
  <c r="H219"/>
  <c r="J219"/>
  <c r="F219"/>
  <c r="I219"/>
  <c r="H220"/>
  <c r="J220"/>
  <c r="K220"/>
  <c r="H221"/>
  <c r="J221"/>
  <c r="F221"/>
  <c r="I221"/>
  <c r="H222"/>
  <c r="J222"/>
  <c r="K222"/>
  <c r="H223"/>
  <c r="J223"/>
  <c r="F223"/>
  <c r="I223"/>
  <c r="H224"/>
  <c r="J224"/>
  <c r="K224"/>
  <c r="H225"/>
  <c r="J225"/>
  <c r="F225"/>
  <c r="I225"/>
  <c r="H226"/>
  <c r="J226"/>
  <c r="K226"/>
  <c r="H227"/>
  <c r="J227"/>
  <c r="F227"/>
  <c r="I227"/>
  <c r="H228"/>
  <c r="J228"/>
  <c r="K228"/>
  <c r="H229"/>
  <c r="J229"/>
  <c r="F229"/>
  <c r="I229"/>
  <c r="H231"/>
  <c r="J231"/>
  <c r="F231"/>
  <c r="H233"/>
  <c r="J233"/>
  <c r="F233"/>
  <c r="I233"/>
  <c r="H235"/>
  <c r="J235"/>
  <c r="F235"/>
  <c r="H237"/>
  <c r="J237"/>
  <c r="F237"/>
  <c r="I237"/>
  <c r="H239"/>
  <c r="J239"/>
  <c r="F239"/>
  <c r="H241"/>
  <c r="J241"/>
  <c r="F241"/>
  <c r="I241"/>
  <c r="H242"/>
  <c r="J242"/>
  <c r="K242"/>
  <c r="H244"/>
  <c r="J244"/>
  <c r="K244"/>
  <c r="H245"/>
  <c r="J245"/>
  <c r="F245"/>
  <c r="I245"/>
  <c r="H246"/>
  <c r="J246"/>
  <c r="K246"/>
  <c r="H247"/>
  <c r="J247"/>
  <c r="F247"/>
  <c r="I247"/>
  <c r="H248"/>
  <c r="J248"/>
  <c r="K248"/>
  <c r="H249"/>
  <c r="J249"/>
  <c r="F249"/>
  <c r="I249"/>
  <c r="H250"/>
  <c r="J250"/>
  <c r="K250"/>
  <c r="H251"/>
  <c r="J251"/>
  <c r="F251"/>
  <c r="I251"/>
  <c r="H252"/>
  <c r="J252"/>
  <c r="K252"/>
  <c r="H253"/>
  <c r="J253"/>
  <c r="F253"/>
  <c r="I253"/>
  <c r="H254"/>
  <c r="J254"/>
  <c r="K254"/>
  <c r="H255"/>
  <c r="J255"/>
  <c r="F255"/>
  <c r="I255"/>
  <c r="H256"/>
  <c r="J256"/>
  <c r="K256"/>
  <c r="H257"/>
  <c r="J257"/>
  <c r="F257"/>
  <c r="I257"/>
  <c r="H258"/>
  <c r="J258"/>
  <c r="K258"/>
  <c r="H259"/>
  <c r="J259"/>
  <c r="F259"/>
  <c r="I259"/>
  <c r="H260"/>
  <c r="J260"/>
  <c r="K260"/>
  <c r="H261"/>
  <c r="J261"/>
  <c r="F261"/>
  <c r="H262"/>
  <c r="J262"/>
  <c r="K262"/>
  <c r="H263"/>
  <c r="J263"/>
  <c r="F263"/>
  <c r="I263"/>
  <c r="H264"/>
  <c r="J264"/>
  <c r="K264"/>
  <c r="H265"/>
  <c r="J265"/>
  <c r="F265"/>
  <c r="I265"/>
  <c r="H266"/>
  <c r="J266"/>
  <c r="K266"/>
  <c r="H267"/>
  <c r="J267"/>
  <c r="F267"/>
  <c r="I267"/>
  <c r="H268"/>
  <c r="J268"/>
  <c r="K268"/>
  <c r="H270"/>
  <c r="J270"/>
  <c r="K270"/>
  <c r="H271"/>
  <c r="J271"/>
  <c r="F271"/>
  <c r="I271"/>
  <c r="H272"/>
  <c r="J272"/>
  <c r="K272"/>
  <c r="H273"/>
  <c r="J273"/>
  <c r="F273"/>
  <c r="I273"/>
  <c r="H274"/>
  <c r="J274"/>
  <c r="K274"/>
  <c r="H275"/>
  <c r="J275"/>
  <c r="F275"/>
  <c r="I275"/>
  <c r="H276"/>
  <c r="J276"/>
  <c r="K276"/>
  <c r="H21"/>
  <c r="H277"/>
  <c r="J21"/>
  <c r="J277"/>
  <c r="F277"/>
  <c r="I277"/>
  <c r="H278"/>
  <c r="J278"/>
  <c r="K278"/>
  <c r="H280"/>
  <c r="J280"/>
  <c r="K280"/>
  <c r="H281"/>
  <c r="J281"/>
  <c r="F281"/>
  <c r="H282"/>
  <c r="J282"/>
  <c r="F282"/>
  <c r="K282"/>
  <c r="H284"/>
  <c r="J284"/>
  <c r="F284"/>
  <c r="G284"/>
  <c r="K284"/>
  <c r="H285"/>
  <c r="J285"/>
  <c r="F285"/>
  <c r="G285"/>
  <c r="I285"/>
  <c r="H286"/>
  <c r="J286"/>
  <c r="F286"/>
  <c r="G286"/>
  <c r="K286"/>
  <c r="H287"/>
  <c r="J287"/>
  <c r="F287"/>
  <c r="H288"/>
  <c r="J288"/>
  <c r="F288"/>
  <c r="G288"/>
  <c r="H290"/>
  <c r="J290"/>
  <c r="F290"/>
  <c r="G290"/>
  <c r="K290"/>
  <c r="H291"/>
  <c r="J291"/>
  <c r="F291"/>
  <c r="G291"/>
  <c r="H292"/>
  <c r="J292"/>
  <c r="F292"/>
  <c r="G292"/>
  <c r="K292"/>
  <c r="H293"/>
  <c r="J293"/>
  <c r="F293"/>
  <c r="G293"/>
  <c r="H294"/>
  <c r="J294"/>
  <c r="F294"/>
  <c r="G294"/>
  <c r="K294"/>
  <c r="H295"/>
  <c r="J295"/>
  <c r="F295"/>
  <c r="G295"/>
  <c r="H296"/>
  <c r="J296"/>
  <c r="F296"/>
  <c r="G296"/>
  <c r="K296"/>
  <c r="H298"/>
  <c r="J298"/>
  <c r="F298"/>
  <c r="G298"/>
  <c r="K298"/>
  <c r="H299"/>
  <c r="J299"/>
  <c r="F299"/>
  <c r="I299"/>
  <c r="H300"/>
  <c r="J300"/>
  <c r="F300"/>
  <c r="G300"/>
  <c r="K300"/>
  <c r="H301"/>
  <c r="J301"/>
  <c r="F301"/>
  <c r="G301"/>
  <c r="H302"/>
  <c r="J302"/>
  <c r="F302"/>
  <c r="G302"/>
  <c r="K302"/>
  <c r="L302"/>
  <c r="Q302"/>
  <c r="H303"/>
  <c r="J303"/>
  <c r="F303"/>
  <c r="I303"/>
  <c r="H304"/>
  <c r="J304"/>
  <c r="F304"/>
  <c r="G304"/>
  <c r="K304"/>
  <c r="H305"/>
  <c r="J305"/>
  <c r="F305"/>
  <c r="G305"/>
  <c r="H307"/>
  <c r="J307"/>
  <c r="F307"/>
  <c r="G307"/>
  <c r="H308"/>
  <c r="J308"/>
  <c r="F308"/>
  <c r="G308"/>
  <c r="K308"/>
  <c r="H309"/>
  <c r="J309"/>
  <c r="F309"/>
  <c r="I309"/>
  <c r="H311"/>
  <c r="J311"/>
  <c r="F311"/>
  <c r="I311"/>
  <c r="H312"/>
  <c r="J312"/>
  <c r="F312"/>
  <c r="G312"/>
  <c r="K312"/>
  <c r="L312"/>
  <c r="Q312"/>
  <c r="H314"/>
  <c r="J314"/>
  <c r="F314"/>
  <c r="G314"/>
  <c r="K314"/>
  <c r="H316"/>
  <c r="J316"/>
  <c r="F316"/>
  <c r="G316"/>
  <c r="K316"/>
  <c r="H317"/>
  <c r="J317"/>
  <c r="F317"/>
  <c r="I317"/>
  <c r="H318"/>
  <c r="J318"/>
  <c r="F318"/>
  <c r="G318"/>
  <c r="K318"/>
  <c r="H319"/>
  <c r="J319"/>
  <c r="F319"/>
  <c r="G319"/>
  <c r="I319"/>
  <c r="H320"/>
  <c r="J320"/>
  <c r="F320"/>
  <c r="G320"/>
  <c r="K320"/>
  <c r="H321"/>
  <c r="J321"/>
  <c r="F321"/>
  <c r="I321"/>
  <c r="H322"/>
  <c r="J322"/>
  <c r="F322"/>
  <c r="G322"/>
  <c r="K322"/>
  <c r="H323"/>
  <c r="J323"/>
  <c r="F323"/>
  <c r="G323"/>
  <c r="I323"/>
  <c r="H324"/>
  <c r="J324"/>
  <c r="F324"/>
  <c r="G324"/>
  <c r="K324"/>
  <c r="H325"/>
  <c r="J325"/>
  <c r="F325"/>
  <c r="I325"/>
  <c r="H326"/>
  <c r="J326"/>
  <c r="F326"/>
  <c r="G326"/>
  <c r="K326"/>
  <c r="L326"/>
  <c r="Q326"/>
  <c r="H327"/>
  <c r="J327"/>
  <c r="F327"/>
  <c r="I327"/>
  <c r="H328"/>
  <c r="J328"/>
  <c r="F328"/>
  <c r="G328"/>
  <c r="K328"/>
  <c r="H329"/>
  <c r="J329"/>
  <c r="F329"/>
  <c r="I329"/>
  <c r="H330"/>
  <c r="J330"/>
  <c r="F330"/>
  <c r="G330"/>
  <c r="K330"/>
  <c r="L330"/>
  <c r="Q330"/>
  <c r="H331"/>
  <c r="J331"/>
  <c r="F331"/>
  <c r="I331"/>
  <c r="H332"/>
  <c r="J332"/>
  <c r="F332"/>
  <c r="G332"/>
  <c r="K332"/>
  <c r="H333"/>
  <c r="J333"/>
  <c r="F333"/>
  <c r="I333"/>
  <c r="H334"/>
  <c r="J334"/>
  <c r="F334"/>
  <c r="G334"/>
  <c r="K334"/>
  <c r="H335"/>
  <c r="J335"/>
  <c r="F335"/>
  <c r="I335"/>
  <c r="H336"/>
  <c r="J336"/>
  <c r="F336"/>
  <c r="G336"/>
  <c r="K336"/>
  <c r="H337"/>
  <c r="J337"/>
  <c r="F337"/>
  <c r="G337"/>
  <c r="H338"/>
  <c r="J338"/>
  <c r="F338"/>
  <c r="G338"/>
  <c r="K338"/>
  <c r="H339"/>
  <c r="J339"/>
  <c r="F339"/>
  <c r="I339"/>
  <c r="H340"/>
  <c r="J340"/>
  <c r="F340"/>
  <c r="G340"/>
  <c r="K340"/>
  <c r="H341"/>
  <c r="J341"/>
  <c r="F341"/>
  <c r="G341"/>
  <c r="H342"/>
  <c r="J342"/>
  <c r="F342"/>
  <c r="K342"/>
  <c r="H343"/>
  <c r="J343"/>
  <c r="F343"/>
  <c r="I343"/>
  <c r="H344"/>
  <c r="J344"/>
  <c r="F344"/>
  <c r="G344"/>
  <c r="K344"/>
  <c r="H345"/>
  <c r="J345"/>
  <c r="F345"/>
  <c r="G345"/>
  <c r="H346"/>
  <c r="J346"/>
  <c r="F346"/>
  <c r="K346"/>
  <c r="H347"/>
  <c r="J347"/>
  <c r="F347"/>
  <c r="G347"/>
  <c r="I347"/>
  <c r="H348"/>
  <c r="J348"/>
  <c r="F348"/>
  <c r="G348"/>
  <c r="K348"/>
  <c r="H349"/>
  <c r="J349"/>
  <c r="F349"/>
  <c r="G349"/>
  <c r="H351"/>
  <c r="J351"/>
  <c r="F351"/>
  <c r="G351"/>
  <c r="H353"/>
  <c r="J353"/>
  <c r="F353"/>
  <c r="I353"/>
  <c r="H355"/>
  <c r="J355"/>
  <c r="F355"/>
  <c r="G355"/>
  <c r="H356"/>
  <c r="J356"/>
  <c r="F356"/>
  <c r="G356"/>
  <c r="K356"/>
  <c r="H357"/>
  <c r="J357"/>
  <c r="F357"/>
  <c r="I357"/>
  <c r="H359"/>
  <c r="J359"/>
  <c r="F359"/>
  <c r="I359"/>
  <c r="H361"/>
  <c r="J361"/>
  <c r="F361"/>
  <c r="G361"/>
  <c r="I361"/>
  <c r="H362"/>
  <c r="J362"/>
  <c r="F362"/>
  <c r="G362"/>
  <c r="K362"/>
  <c r="L362"/>
  <c r="Q362"/>
  <c r="H363"/>
  <c r="J363"/>
  <c r="F363"/>
  <c r="I363"/>
  <c r="H364"/>
  <c r="J364"/>
  <c r="F364"/>
  <c r="G364"/>
  <c r="K364"/>
  <c r="H365"/>
  <c r="J365"/>
  <c r="F365"/>
  <c r="G365"/>
  <c r="H366"/>
  <c r="J366"/>
  <c r="F366"/>
  <c r="G366"/>
  <c r="K366"/>
  <c r="L366"/>
  <c r="Q366"/>
  <c r="H367"/>
  <c r="J367"/>
  <c r="F367"/>
  <c r="G367"/>
  <c r="I367"/>
  <c r="H368"/>
  <c r="J368"/>
  <c r="F368"/>
  <c r="G368"/>
  <c r="K368"/>
  <c r="H369"/>
  <c r="J369"/>
  <c r="F369"/>
  <c r="G369"/>
  <c r="H370"/>
  <c r="J370"/>
  <c r="F370"/>
  <c r="G370"/>
  <c r="K370"/>
  <c r="H371"/>
  <c r="J371"/>
  <c r="F371"/>
  <c r="I371"/>
  <c r="H372"/>
  <c r="J372"/>
  <c r="F372"/>
  <c r="G372"/>
  <c r="K372"/>
  <c r="H373"/>
  <c r="J373"/>
  <c r="F373"/>
  <c r="G373"/>
  <c r="I373"/>
  <c r="H375"/>
  <c r="J375"/>
  <c r="F375"/>
  <c r="I375"/>
  <c r="H376"/>
  <c r="J376"/>
  <c r="F376"/>
  <c r="G376"/>
  <c r="K376"/>
  <c r="H377"/>
  <c r="J377"/>
  <c r="F377"/>
  <c r="G377"/>
  <c r="H378"/>
  <c r="J378"/>
  <c r="F378"/>
  <c r="G378"/>
  <c r="K378"/>
  <c r="H380"/>
  <c r="J380"/>
  <c r="F380"/>
  <c r="G380"/>
  <c r="H382"/>
  <c r="J382"/>
  <c r="F382"/>
  <c r="G382"/>
  <c r="K382"/>
  <c r="H384"/>
  <c r="J384"/>
  <c r="F384"/>
  <c r="G384"/>
  <c r="K384"/>
  <c r="H385"/>
  <c r="J385"/>
  <c r="F385"/>
  <c r="I385"/>
  <c r="H386"/>
  <c r="J386"/>
  <c r="F386"/>
  <c r="G386"/>
  <c r="K386"/>
  <c r="H387"/>
  <c r="J387"/>
  <c r="F387"/>
  <c r="I387"/>
  <c r="H388"/>
  <c r="J388"/>
  <c r="F388"/>
  <c r="G388"/>
  <c r="K388"/>
  <c r="L388"/>
  <c r="Q388"/>
  <c r="H389"/>
  <c r="J389"/>
  <c r="F389"/>
  <c r="G389"/>
  <c r="I389"/>
  <c r="H390"/>
  <c r="J390"/>
  <c r="F390"/>
  <c r="G390"/>
  <c r="K390"/>
  <c r="H391"/>
  <c r="J391"/>
  <c r="F391"/>
  <c r="I391"/>
  <c r="H392"/>
  <c r="J392"/>
  <c r="F392"/>
  <c r="G392"/>
  <c r="K392"/>
  <c r="H393"/>
  <c r="J393"/>
  <c r="F393"/>
  <c r="I393"/>
  <c r="H394"/>
  <c r="J394"/>
  <c r="F394"/>
  <c r="G394"/>
  <c r="K394"/>
  <c r="H395"/>
  <c r="J395"/>
  <c r="F395"/>
  <c r="I395"/>
  <c r="H396"/>
  <c r="J396"/>
  <c r="F396"/>
  <c r="G396"/>
  <c r="K396"/>
  <c r="H397"/>
  <c r="J397"/>
  <c r="F397"/>
  <c r="I397"/>
  <c r="H398"/>
  <c r="J398"/>
  <c r="F398"/>
  <c r="G398"/>
  <c r="K398"/>
  <c r="H399"/>
  <c r="J399"/>
  <c r="F399"/>
  <c r="I399"/>
  <c r="H400"/>
  <c r="J400"/>
  <c r="F400"/>
  <c r="G400"/>
  <c r="K400"/>
  <c r="H401"/>
  <c r="J401"/>
  <c r="F401"/>
  <c r="H402"/>
  <c r="J402"/>
  <c r="F402"/>
  <c r="H403"/>
  <c r="J403"/>
  <c r="F403"/>
  <c r="I403"/>
  <c r="H404"/>
  <c r="J404"/>
  <c r="F404"/>
  <c r="I404"/>
  <c r="K404"/>
  <c r="M404"/>
  <c r="P404"/>
  <c r="H405"/>
  <c r="J405"/>
  <c r="F405"/>
  <c r="I405"/>
  <c r="H406"/>
  <c r="J406"/>
  <c r="F406"/>
  <c r="H407"/>
  <c r="J407"/>
  <c r="F407"/>
  <c r="I407"/>
  <c r="H419"/>
  <c r="J419"/>
  <c r="F419"/>
  <c r="H423"/>
  <c r="J423"/>
  <c r="F423"/>
  <c r="K423"/>
  <c r="H424"/>
  <c r="J424"/>
  <c r="F424"/>
  <c r="I424"/>
  <c r="L382"/>
  <c r="Q382"/>
  <c r="Q383"/>
  <c r="M382"/>
  <c r="P382"/>
  <c r="P383"/>
  <c r="L376"/>
  <c r="Q376"/>
  <c r="M376"/>
  <c r="P376"/>
  <c r="M312"/>
  <c r="P312"/>
  <c r="L384"/>
  <c r="Q384"/>
  <c r="M384"/>
  <c r="P384"/>
  <c r="M362"/>
  <c r="P362"/>
  <c r="L356"/>
  <c r="Q356"/>
  <c r="M356"/>
  <c r="P356"/>
  <c r="L314"/>
  <c r="Q314"/>
  <c r="Q315"/>
  <c r="M314"/>
  <c r="P314"/>
  <c r="P315"/>
  <c r="L308"/>
  <c r="Q308"/>
  <c r="M308"/>
  <c r="P308"/>
  <c r="K281"/>
  <c r="F276"/>
  <c r="G276"/>
  <c r="G275"/>
  <c r="K275"/>
  <c r="F272"/>
  <c r="G272"/>
  <c r="G271"/>
  <c r="K271"/>
  <c r="F266"/>
  <c r="G266"/>
  <c r="I266"/>
  <c r="G265"/>
  <c r="K265"/>
  <c r="F262"/>
  <c r="G262"/>
  <c r="K261"/>
  <c r="F258"/>
  <c r="G258"/>
  <c r="I258"/>
  <c r="G257"/>
  <c r="K257"/>
  <c r="F254"/>
  <c r="G254"/>
  <c r="G253"/>
  <c r="K253"/>
  <c r="F250"/>
  <c r="G250"/>
  <c r="I250"/>
  <c r="G249"/>
  <c r="K249"/>
  <c r="F246"/>
  <c r="G246"/>
  <c r="I246"/>
  <c r="G245"/>
  <c r="K245"/>
  <c r="K239"/>
  <c r="K235"/>
  <c r="K231"/>
  <c r="F228"/>
  <c r="G228"/>
  <c r="I228"/>
  <c r="G227"/>
  <c r="K227"/>
  <c r="F224"/>
  <c r="G224"/>
  <c r="I224"/>
  <c r="G223"/>
  <c r="K223"/>
  <c r="F220"/>
  <c r="G220"/>
  <c r="I220"/>
  <c r="G219"/>
  <c r="K219"/>
  <c r="F216"/>
  <c r="G216"/>
  <c r="G215"/>
  <c r="K215"/>
  <c r="F212"/>
  <c r="G212"/>
  <c r="I212"/>
  <c r="F210"/>
  <c r="G210"/>
  <c r="I210"/>
  <c r="G209"/>
  <c r="K209"/>
  <c r="K203"/>
  <c r="F200"/>
  <c r="G200"/>
  <c r="I200"/>
  <c r="G199"/>
  <c r="K199"/>
  <c r="L188"/>
  <c r="Q188"/>
  <c r="M188"/>
  <c r="P188"/>
  <c r="F280"/>
  <c r="G280"/>
  <c r="F278"/>
  <c r="G278"/>
  <c r="I278"/>
  <c r="G277"/>
  <c r="K277"/>
  <c r="F274"/>
  <c r="G274"/>
  <c r="G273"/>
  <c r="K273"/>
  <c r="F270"/>
  <c r="G270"/>
  <c r="I270"/>
  <c r="F268"/>
  <c r="G268"/>
  <c r="G267"/>
  <c r="K267"/>
  <c r="F264"/>
  <c r="G264"/>
  <c r="I264"/>
  <c r="G263"/>
  <c r="K263"/>
  <c r="F260"/>
  <c r="G260"/>
  <c r="G259"/>
  <c r="K259"/>
  <c r="F256"/>
  <c r="G256"/>
  <c r="I256"/>
  <c r="G255"/>
  <c r="K255"/>
  <c r="F252"/>
  <c r="G252"/>
  <c r="G251"/>
  <c r="K251"/>
  <c r="F248"/>
  <c r="G248"/>
  <c r="I248"/>
  <c r="G247"/>
  <c r="K247"/>
  <c r="F244"/>
  <c r="G244"/>
  <c r="F242"/>
  <c r="G242"/>
  <c r="I242"/>
  <c r="G241"/>
  <c r="K241"/>
  <c r="G237"/>
  <c r="K237"/>
  <c r="G233"/>
  <c r="K233"/>
  <c r="G229"/>
  <c r="K229"/>
  <c r="F226"/>
  <c r="G226"/>
  <c r="G225"/>
  <c r="K225"/>
  <c r="F222"/>
  <c r="G222"/>
  <c r="I222"/>
  <c r="G221"/>
  <c r="K221"/>
  <c r="F218"/>
  <c r="G218"/>
  <c r="I218"/>
  <c r="G217"/>
  <c r="K217"/>
  <c r="F214"/>
  <c r="G214"/>
  <c r="I214"/>
  <c r="G213"/>
  <c r="K213"/>
  <c r="F208"/>
  <c r="G208"/>
  <c r="F206"/>
  <c r="G206"/>
  <c r="I206"/>
  <c r="G205"/>
  <c r="K205"/>
  <c r="G201"/>
  <c r="K201"/>
  <c r="F198"/>
  <c r="G198"/>
  <c r="I198"/>
  <c r="K424"/>
  <c r="I423"/>
  <c r="I419"/>
  <c r="H414"/>
  <c r="J414"/>
  <c r="K414"/>
  <c r="H410"/>
  <c r="J410"/>
  <c r="K410"/>
  <c r="I406"/>
  <c r="K405"/>
  <c r="K403"/>
  <c r="I402"/>
  <c r="K401"/>
  <c r="I400"/>
  <c r="K399"/>
  <c r="I398"/>
  <c r="K397"/>
  <c r="I396"/>
  <c r="K395"/>
  <c r="I394"/>
  <c r="K393"/>
  <c r="I392"/>
  <c r="K391"/>
  <c r="I390"/>
  <c r="K389"/>
  <c r="I388"/>
  <c r="K387"/>
  <c r="I386"/>
  <c r="K385"/>
  <c r="I384"/>
  <c r="I382"/>
  <c r="I380"/>
  <c r="I378"/>
  <c r="K377"/>
  <c r="I376"/>
  <c r="K375"/>
  <c r="K373"/>
  <c r="I372"/>
  <c r="K371"/>
  <c r="I370"/>
  <c r="K369"/>
  <c r="I368"/>
  <c r="K367"/>
  <c r="I366"/>
  <c r="K365"/>
  <c r="I364"/>
  <c r="K363"/>
  <c r="I362"/>
  <c r="K361"/>
  <c r="K359"/>
  <c r="K357"/>
  <c r="I356"/>
  <c r="K355"/>
  <c r="K353"/>
  <c r="K351"/>
  <c r="K349"/>
  <c r="I348"/>
  <c r="K347"/>
  <c r="K345"/>
  <c r="I344"/>
  <c r="K343"/>
  <c r="K341"/>
  <c r="I340"/>
  <c r="K339"/>
  <c r="I338"/>
  <c r="K337"/>
  <c r="I336"/>
  <c r="K335"/>
  <c r="I334"/>
  <c r="K333"/>
  <c r="I332"/>
  <c r="K331"/>
  <c r="I330"/>
  <c r="K329"/>
  <c r="I328"/>
  <c r="K327"/>
  <c r="I326"/>
  <c r="K325"/>
  <c r="I324"/>
  <c r="K323"/>
  <c r="I322"/>
  <c r="K321"/>
  <c r="I320"/>
  <c r="K319"/>
  <c r="I318"/>
  <c r="K317"/>
  <c r="I316"/>
  <c r="I314"/>
  <c r="I312"/>
  <c r="K311"/>
  <c r="K309"/>
  <c r="I308"/>
  <c r="K307"/>
  <c r="K305"/>
  <c r="I304"/>
  <c r="K303"/>
  <c r="I302"/>
  <c r="K301"/>
  <c r="I300"/>
  <c r="K299"/>
  <c r="I298"/>
  <c r="I296"/>
  <c r="K295"/>
  <c r="I294"/>
  <c r="K293"/>
  <c r="I292"/>
  <c r="K291"/>
  <c r="I290"/>
  <c r="H289"/>
  <c r="J289"/>
  <c r="K289"/>
  <c r="I288"/>
  <c r="K287"/>
  <c r="I286"/>
  <c r="K285"/>
  <c r="I284"/>
  <c r="F148"/>
  <c r="G148"/>
  <c r="I148"/>
  <c r="G147"/>
  <c r="K147"/>
  <c r="F144"/>
  <c r="G144"/>
  <c r="I144"/>
  <c r="G143"/>
  <c r="K143"/>
  <c r="F140"/>
  <c r="G140"/>
  <c r="F138"/>
  <c r="G138"/>
  <c r="I138"/>
  <c r="F130"/>
  <c r="G130"/>
  <c r="I130"/>
  <c r="G129"/>
  <c r="K129"/>
  <c r="F126"/>
  <c r="G126"/>
  <c r="I126"/>
  <c r="F124"/>
  <c r="G124"/>
  <c r="G123"/>
  <c r="K123"/>
  <c r="F120"/>
  <c r="G120"/>
  <c r="I120"/>
  <c r="G119"/>
  <c r="K119"/>
  <c r="F116"/>
  <c r="G116"/>
  <c r="I116"/>
  <c r="G115"/>
  <c r="K115"/>
  <c r="F112"/>
  <c r="G112"/>
  <c r="I112"/>
  <c r="G111"/>
  <c r="K111"/>
  <c r="G109"/>
  <c r="K109"/>
  <c r="F106"/>
  <c r="G106"/>
  <c r="G105"/>
  <c r="K105"/>
  <c r="G101"/>
  <c r="K101"/>
  <c r="F96"/>
  <c r="G96"/>
  <c r="I96"/>
  <c r="G95"/>
  <c r="K95"/>
  <c r="F92"/>
  <c r="G92"/>
  <c r="I92"/>
  <c r="G91"/>
  <c r="K91"/>
  <c r="F88"/>
  <c r="G88"/>
  <c r="I88"/>
  <c r="G87"/>
  <c r="K87"/>
  <c r="G85"/>
  <c r="K85"/>
  <c r="F80"/>
  <c r="G80"/>
  <c r="G79"/>
  <c r="K79"/>
  <c r="G75"/>
  <c r="K75"/>
  <c r="G73"/>
  <c r="K73"/>
  <c r="F70"/>
  <c r="G70"/>
  <c r="G69"/>
  <c r="K69"/>
  <c r="F66"/>
  <c r="G66"/>
  <c r="F64"/>
  <c r="G64"/>
  <c r="G63"/>
  <c r="K63"/>
  <c r="H136"/>
  <c r="J136"/>
  <c r="K136"/>
  <c r="F60"/>
  <c r="G60"/>
  <c r="I60"/>
  <c r="G59"/>
  <c r="K59"/>
  <c r="G55"/>
  <c r="K55"/>
  <c r="G53"/>
  <c r="K53"/>
  <c r="G46"/>
  <c r="K46"/>
  <c r="G36"/>
  <c r="K36"/>
  <c r="M36"/>
  <c r="P36"/>
  <c r="G34"/>
  <c r="K34"/>
  <c r="G30"/>
  <c r="K30"/>
  <c r="F54"/>
  <c r="L54"/>
  <c r="Q54"/>
  <c r="F146"/>
  <c r="G146"/>
  <c r="G145"/>
  <c r="K145"/>
  <c r="F142"/>
  <c r="G142"/>
  <c r="G141"/>
  <c r="K141"/>
  <c r="G135"/>
  <c r="K135"/>
  <c r="G133"/>
  <c r="K133"/>
  <c r="G131"/>
  <c r="K131"/>
  <c r="F128"/>
  <c r="G128"/>
  <c r="G127"/>
  <c r="K127"/>
  <c r="G121"/>
  <c r="K121"/>
  <c r="F118"/>
  <c r="G118"/>
  <c r="G117"/>
  <c r="K117"/>
  <c r="F114"/>
  <c r="G114"/>
  <c r="G113"/>
  <c r="K113"/>
  <c r="F108"/>
  <c r="G108"/>
  <c r="G107"/>
  <c r="K107"/>
  <c r="F104"/>
  <c r="G104"/>
  <c r="I104"/>
  <c r="G103"/>
  <c r="K103"/>
  <c r="F100"/>
  <c r="G100"/>
  <c r="I100"/>
  <c r="G99"/>
  <c r="K99"/>
  <c r="G97"/>
  <c r="K97"/>
  <c r="F94"/>
  <c r="G94"/>
  <c r="G93"/>
  <c r="K93"/>
  <c r="G89"/>
  <c r="K89"/>
  <c r="F84"/>
  <c r="G84"/>
  <c r="F78"/>
  <c r="G78"/>
  <c r="G77"/>
  <c r="K77"/>
  <c r="F68"/>
  <c r="G68"/>
  <c r="I68"/>
  <c r="G67"/>
  <c r="K67"/>
  <c r="F62"/>
  <c r="G62"/>
  <c r="G61"/>
  <c r="K61"/>
  <c r="G57"/>
  <c r="K57"/>
  <c r="H42"/>
  <c r="J42"/>
  <c r="F42"/>
  <c r="G42"/>
  <c r="G32"/>
  <c r="K32"/>
  <c r="G28"/>
  <c r="K28"/>
  <c r="H197"/>
  <c r="J197"/>
  <c r="K197"/>
  <c r="I196"/>
  <c r="K195"/>
  <c r="H191"/>
  <c r="J191"/>
  <c r="K191"/>
  <c r="I190"/>
  <c r="K189"/>
  <c r="I188"/>
  <c r="K187"/>
  <c r="K185"/>
  <c r="I184"/>
  <c r="K183"/>
  <c r="I182"/>
  <c r="K181"/>
  <c r="I180"/>
  <c r="K179"/>
  <c r="I178"/>
  <c r="K177"/>
  <c r="I176"/>
  <c r="K175"/>
  <c r="I174"/>
  <c r="K173"/>
  <c r="I172"/>
  <c r="K171"/>
  <c r="I170"/>
  <c r="I166"/>
  <c r="K165"/>
  <c r="I164"/>
  <c r="K163"/>
  <c r="I162"/>
  <c r="K161"/>
  <c r="I160"/>
  <c r="K159"/>
  <c r="I158"/>
  <c r="K157"/>
  <c r="I156"/>
  <c r="K155"/>
  <c r="I154"/>
  <c r="K153"/>
  <c r="I152"/>
  <c r="I150"/>
  <c r="K149"/>
  <c r="M124"/>
  <c r="P124"/>
  <c r="L92"/>
  <c r="Q92"/>
  <c r="M92"/>
  <c r="P92"/>
  <c r="M70"/>
  <c r="P70"/>
  <c r="H49"/>
  <c r="J49"/>
  <c r="K49"/>
  <c r="H25"/>
  <c r="J25"/>
  <c r="K25"/>
  <c r="K23"/>
  <c r="L23"/>
  <c r="Q23"/>
  <c r="K21"/>
  <c r="G10"/>
  <c r="K10"/>
  <c r="G8"/>
  <c r="K8"/>
  <c r="G6"/>
  <c r="K6"/>
  <c r="F37"/>
  <c r="G37"/>
  <c r="F35"/>
  <c r="G35"/>
  <c r="H9"/>
  <c r="J9"/>
  <c r="F9"/>
  <c r="G9"/>
  <c r="F7"/>
  <c r="G7"/>
  <c r="F5"/>
  <c r="G5"/>
  <c r="F33"/>
  <c r="G33"/>
  <c r="F49"/>
  <c r="G49"/>
  <c r="F31"/>
  <c r="G31"/>
  <c r="F29"/>
  <c r="G29"/>
  <c r="F47"/>
  <c r="F27"/>
  <c r="G27"/>
  <c r="F25"/>
  <c r="G25"/>
  <c r="F23"/>
  <c r="G23"/>
  <c r="F39"/>
  <c r="G39"/>
  <c r="F21"/>
  <c r="G21"/>
  <c r="F19"/>
  <c r="G19"/>
  <c r="F17"/>
  <c r="G17"/>
  <c r="F15"/>
  <c r="G15"/>
  <c r="F13"/>
  <c r="G13"/>
  <c r="I19"/>
  <c r="I17"/>
  <c r="I15"/>
  <c r="I13"/>
  <c r="G44"/>
  <c r="K44"/>
  <c r="G40"/>
  <c r="K40"/>
  <c r="I35"/>
  <c r="I31"/>
  <c r="G24"/>
  <c r="K24"/>
  <c r="G22"/>
  <c r="K22"/>
  <c r="G20"/>
  <c r="K20"/>
  <c r="G18"/>
  <c r="K18"/>
  <c r="G16"/>
  <c r="K16"/>
  <c r="G14"/>
  <c r="K14"/>
  <c r="G12"/>
  <c r="K12"/>
  <c r="H139"/>
  <c r="J139"/>
  <c r="F139"/>
  <c r="G139"/>
  <c r="K51"/>
  <c r="I51"/>
  <c r="K37"/>
  <c r="I37"/>
  <c r="K35"/>
  <c r="M35"/>
  <c r="P35"/>
  <c r="I33"/>
  <c r="I29"/>
  <c r="I27"/>
  <c r="K9"/>
  <c r="I9"/>
  <c r="K7"/>
  <c r="I7"/>
  <c r="K5"/>
  <c r="I5"/>
  <c r="M7"/>
  <c r="P7"/>
  <c r="H50"/>
  <c r="J50"/>
  <c r="F50"/>
  <c r="I50"/>
  <c r="M54"/>
  <c r="P54"/>
  <c r="L94"/>
  <c r="Q94"/>
  <c r="M94"/>
  <c r="P94"/>
  <c r="L106"/>
  <c r="Q106"/>
  <c r="M106"/>
  <c r="P106"/>
  <c r="M114"/>
  <c r="P114"/>
  <c r="M118"/>
  <c r="P118"/>
  <c r="L19"/>
  <c r="Q19"/>
  <c r="M19"/>
  <c r="P19"/>
  <c r="L15"/>
  <c r="Q15"/>
  <c r="M15"/>
  <c r="P15"/>
  <c r="H43"/>
  <c r="J43"/>
  <c r="F43"/>
  <c r="I43"/>
  <c r="G43"/>
  <c r="K43"/>
  <c r="M43"/>
  <c r="P43"/>
  <c r="L47"/>
  <c r="Q47"/>
  <c r="M47"/>
  <c r="P47"/>
  <c r="M155"/>
  <c r="P155"/>
  <c r="L156"/>
  <c r="Q156"/>
  <c r="M156"/>
  <c r="P156"/>
  <c r="M159"/>
  <c r="P159"/>
  <c r="L160"/>
  <c r="Q160"/>
  <c r="M160"/>
  <c r="P160"/>
  <c r="M163"/>
  <c r="P163"/>
  <c r="L164"/>
  <c r="Q164"/>
  <c r="M164"/>
  <c r="P164"/>
  <c r="M171"/>
  <c r="P171"/>
  <c r="L171"/>
  <c r="Q171"/>
  <c r="L172"/>
  <c r="Q172"/>
  <c r="M172"/>
  <c r="P172"/>
  <c r="M175"/>
  <c r="P175"/>
  <c r="L175"/>
  <c r="Q175"/>
  <c r="L176"/>
  <c r="Q176"/>
  <c r="M176"/>
  <c r="P176"/>
  <c r="M179"/>
  <c r="P179"/>
  <c r="L179"/>
  <c r="Q179"/>
  <c r="L180"/>
  <c r="Q180"/>
  <c r="M180"/>
  <c r="P180"/>
  <c r="M183"/>
  <c r="P183"/>
  <c r="L183"/>
  <c r="Q183"/>
  <c r="L184"/>
  <c r="Q184"/>
  <c r="M184"/>
  <c r="P184"/>
  <c r="M189"/>
  <c r="P189"/>
  <c r="L189"/>
  <c r="Q189"/>
  <c r="L190"/>
  <c r="Q190"/>
  <c r="M190"/>
  <c r="P190"/>
  <c r="H193"/>
  <c r="J193"/>
  <c r="F193"/>
  <c r="G193"/>
  <c r="M197"/>
  <c r="P197"/>
  <c r="L197"/>
  <c r="Q197"/>
  <c r="L200"/>
  <c r="Q200"/>
  <c r="M200"/>
  <c r="P200"/>
  <c r="H211"/>
  <c r="J211"/>
  <c r="F211"/>
  <c r="G211"/>
  <c r="L214"/>
  <c r="Q214"/>
  <c r="M214"/>
  <c r="P214"/>
  <c r="L218"/>
  <c r="Q218"/>
  <c r="M218"/>
  <c r="P218"/>
  <c r="L222"/>
  <c r="Q222"/>
  <c r="M222"/>
  <c r="P222"/>
  <c r="L226"/>
  <c r="Q226"/>
  <c r="M226"/>
  <c r="P226"/>
  <c r="M28"/>
  <c r="P28"/>
  <c r="M32"/>
  <c r="P32"/>
  <c r="H74"/>
  <c r="J74"/>
  <c r="F74"/>
  <c r="K74"/>
  <c r="L62"/>
  <c r="Q62"/>
  <c r="M62"/>
  <c r="P62"/>
  <c r="M67"/>
  <c r="P67"/>
  <c r="L67"/>
  <c r="Q67"/>
  <c r="L70"/>
  <c r="Q70"/>
  <c r="L78"/>
  <c r="Q78"/>
  <c r="M93"/>
  <c r="P93"/>
  <c r="L93"/>
  <c r="Q93"/>
  <c r="M97"/>
  <c r="P97"/>
  <c r="L97"/>
  <c r="Q97"/>
  <c r="M99"/>
  <c r="P99"/>
  <c r="L99"/>
  <c r="Q99"/>
  <c r="H132"/>
  <c r="J132"/>
  <c r="F132"/>
  <c r="I132"/>
  <c r="K132"/>
  <c r="L130"/>
  <c r="Q130"/>
  <c r="M130"/>
  <c r="P130"/>
  <c r="L155"/>
  <c r="Q155"/>
  <c r="L159"/>
  <c r="Q159"/>
  <c r="L163"/>
  <c r="Q163"/>
  <c r="L36"/>
  <c r="Q36"/>
  <c r="L32"/>
  <c r="Q32"/>
  <c r="L28"/>
  <c r="Q28"/>
  <c r="L31"/>
  <c r="Q31"/>
  <c r="M31"/>
  <c r="P31"/>
  <c r="H82"/>
  <c r="J82"/>
  <c r="F82"/>
  <c r="I82"/>
  <c r="M53"/>
  <c r="P53"/>
  <c r="L53"/>
  <c r="Q53"/>
  <c r="M55"/>
  <c r="P55"/>
  <c r="L55"/>
  <c r="Q55"/>
  <c r="F136"/>
  <c r="I136"/>
  <c r="G136"/>
  <c r="M85"/>
  <c r="P85"/>
  <c r="L85"/>
  <c r="Q85"/>
  <c r="M87"/>
  <c r="P87"/>
  <c r="L87"/>
  <c r="Q87"/>
  <c r="M95"/>
  <c r="P95"/>
  <c r="L95"/>
  <c r="Q95"/>
  <c r="M109"/>
  <c r="P109"/>
  <c r="L109"/>
  <c r="Q109"/>
  <c r="M111"/>
  <c r="P111"/>
  <c r="L111"/>
  <c r="Q111"/>
  <c r="M119"/>
  <c r="P119"/>
  <c r="L119"/>
  <c r="Q119"/>
  <c r="L148"/>
  <c r="Q148"/>
  <c r="M148"/>
  <c r="P148"/>
  <c r="L144"/>
  <c r="Q144"/>
  <c r="M144"/>
  <c r="P144"/>
  <c r="M140"/>
  <c r="P140"/>
  <c r="L282"/>
  <c r="Q282"/>
  <c r="M282"/>
  <c r="P282"/>
  <c r="L286"/>
  <c r="Q286"/>
  <c r="M286"/>
  <c r="P286"/>
  <c r="L290"/>
  <c r="Q290"/>
  <c r="M290"/>
  <c r="P290"/>
  <c r="L294"/>
  <c r="Q294"/>
  <c r="M294"/>
  <c r="P294"/>
  <c r="M302"/>
  <c r="P302"/>
  <c r="L318"/>
  <c r="Q318"/>
  <c r="M318"/>
  <c r="P318"/>
  <c r="L322"/>
  <c r="Q322"/>
  <c r="M322"/>
  <c r="P322"/>
  <c r="M326"/>
  <c r="P326"/>
  <c r="M330"/>
  <c r="P330"/>
  <c r="L334"/>
  <c r="Q334"/>
  <c r="M334"/>
  <c r="P334"/>
  <c r="L338"/>
  <c r="Q338"/>
  <c r="M338"/>
  <c r="P338"/>
  <c r="L342"/>
  <c r="Q342"/>
  <c r="M342"/>
  <c r="P342"/>
  <c r="L346"/>
  <c r="Q346"/>
  <c r="M346"/>
  <c r="P346"/>
  <c r="M353"/>
  <c r="P353"/>
  <c r="P354"/>
  <c r="L353"/>
  <c r="Q353"/>
  <c r="Q354"/>
  <c r="M359"/>
  <c r="P359"/>
  <c r="P360"/>
  <c r="L359"/>
  <c r="Q359"/>
  <c r="Q360"/>
  <c r="M366"/>
  <c r="P366"/>
  <c r="L370"/>
  <c r="Q370"/>
  <c r="M370"/>
  <c r="P370"/>
  <c r="M388"/>
  <c r="P388"/>
  <c r="L392"/>
  <c r="Q392"/>
  <c r="M392"/>
  <c r="P392"/>
  <c r="L396"/>
  <c r="Q396"/>
  <c r="M396"/>
  <c r="P396"/>
  <c r="L400"/>
  <c r="Q400"/>
  <c r="M400"/>
  <c r="P400"/>
  <c r="M201"/>
  <c r="P201"/>
  <c r="L201"/>
  <c r="Q201"/>
  <c r="M213"/>
  <c r="P213"/>
  <c r="L213"/>
  <c r="Q213"/>
  <c r="M217"/>
  <c r="P217"/>
  <c r="L217"/>
  <c r="Q217"/>
  <c r="M221"/>
  <c r="P221"/>
  <c r="L221"/>
  <c r="Q221"/>
  <c r="M225"/>
  <c r="P225"/>
  <c r="L225"/>
  <c r="Q225"/>
  <c r="M229"/>
  <c r="P229"/>
  <c r="L229"/>
  <c r="Q229"/>
  <c r="M233"/>
  <c r="P233"/>
  <c r="P234"/>
  <c r="L233"/>
  <c r="Q233"/>
  <c r="Q234"/>
  <c r="M237"/>
  <c r="P237"/>
  <c r="P238"/>
  <c r="L237"/>
  <c r="Q237"/>
  <c r="Q238"/>
  <c r="L205"/>
  <c r="Q205"/>
  <c r="Q207"/>
  <c r="M247"/>
  <c r="P247"/>
  <c r="L247"/>
  <c r="Q247"/>
  <c r="M255"/>
  <c r="P255"/>
  <c r="L255"/>
  <c r="Q255"/>
  <c r="M263"/>
  <c r="P263"/>
  <c r="L263"/>
  <c r="Q263"/>
  <c r="M273"/>
  <c r="P273"/>
  <c r="L273"/>
  <c r="Q273"/>
  <c r="M285"/>
  <c r="P285"/>
  <c r="L285"/>
  <c r="Q285"/>
  <c r="M289"/>
  <c r="P289"/>
  <c r="L289"/>
  <c r="Q289"/>
  <c r="M293"/>
  <c r="P293"/>
  <c r="L293"/>
  <c r="Q293"/>
  <c r="M311"/>
  <c r="P311"/>
  <c r="P313"/>
  <c r="L311"/>
  <c r="Q311"/>
  <c r="Q313"/>
  <c r="M410"/>
  <c r="P410"/>
  <c r="L410"/>
  <c r="Q410"/>
  <c r="M414"/>
  <c r="P414"/>
  <c r="L414"/>
  <c r="Q414"/>
  <c r="M199"/>
  <c r="P199"/>
  <c r="L199"/>
  <c r="Q199"/>
  <c r="M203"/>
  <c r="P203"/>
  <c r="P204"/>
  <c r="L203"/>
  <c r="Q203"/>
  <c r="Q204"/>
  <c r="M209"/>
  <c r="P209"/>
  <c r="L209"/>
  <c r="Q209"/>
  <c r="M215"/>
  <c r="P215"/>
  <c r="L215"/>
  <c r="Q215"/>
  <c r="M219"/>
  <c r="P219"/>
  <c r="L219"/>
  <c r="Q219"/>
  <c r="M223"/>
  <c r="P223"/>
  <c r="L223"/>
  <c r="Q223"/>
  <c r="M227"/>
  <c r="P227"/>
  <c r="L227"/>
  <c r="Q227"/>
  <c r="M231"/>
  <c r="P231"/>
  <c r="P232"/>
  <c r="L231"/>
  <c r="Q231"/>
  <c r="Q232"/>
  <c r="M235"/>
  <c r="P235"/>
  <c r="P236"/>
  <c r="L235"/>
  <c r="Q235"/>
  <c r="Q236"/>
  <c r="M239"/>
  <c r="P239"/>
  <c r="P240"/>
  <c r="L239"/>
  <c r="Q239"/>
  <c r="Q240"/>
  <c r="L268"/>
  <c r="Q268"/>
  <c r="M268"/>
  <c r="P268"/>
  <c r="L264"/>
  <c r="Q264"/>
  <c r="M264"/>
  <c r="P264"/>
  <c r="L260"/>
  <c r="Q260"/>
  <c r="M260"/>
  <c r="P260"/>
  <c r="L256"/>
  <c r="Q256"/>
  <c r="M256"/>
  <c r="P256"/>
  <c r="L252"/>
  <c r="Q252"/>
  <c r="M252"/>
  <c r="P252"/>
  <c r="L248"/>
  <c r="Q248"/>
  <c r="M248"/>
  <c r="P248"/>
  <c r="L276"/>
  <c r="Q276"/>
  <c r="M276"/>
  <c r="P276"/>
  <c r="L272"/>
  <c r="Q272"/>
  <c r="M272"/>
  <c r="P272"/>
  <c r="M281"/>
  <c r="P281"/>
  <c r="M280"/>
  <c r="P280"/>
  <c r="P283"/>
  <c r="L281"/>
  <c r="Q281"/>
  <c r="L280"/>
  <c r="Q280"/>
  <c r="Q283"/>
  <c r="I39"/>
  <c r="H48"/>
  <c r="J48"/>
  <c r="F48"/>
  <c r="G48"/>
  <c r="M23"/>
  <c r="P23"/>
  <c r="K211"/>
  <c r="L211"/>
  <c r="Q211"/>
  <c r="M9"/>
  <c r="P9"/>
  <c r="M51"/>
  <c r="P51"/>
  <c r="L51"/>
  <c r="Q51"/>
  <c r="L74"/>
  <c r="Q74"/>
  <c r="M74"/>
  <c r="P74"/>
  <c r="L88"/>
  <c r="Q88"/>
  <c r="M88"/>
  <c r="P88"/>
  <c r="L96"/>
  <c r="Q96"/>
  <c r="M96"/>
  <c r="P96"/>
  <c r="L100"/>
  <c r="Q100"/>
  <c r="M100"/>
  <c r="P100"/>
  <c r="L108"/>
  <c r="Q108"/>
  <c r="M108"/>
  <c r="P108"/>
  <c r="L112"/>
  <c r="Q112"/>
  <c r="M112"/>
  <c r="P112"/>
  <c r="L116"/>
  <c r="Q116"/>
  <c r="M116"/>
  <c r="P116"/>
  <c r="L120"/>
  <c r="Q120"/>
  <c r="M120"/>
  <c r="P120"/>
  <c r="M12"/>
  <c r="P12"/>
  <c r="M13"/>
  <c r="P13"/>
  <c r="P26"/>
  <c r="L12"/>
  <c r="Q12"/>
  <c r="L13"/>
  <c r="Q13"/>
  <c r="Q26"/>
  <c r="M14"/>
  <c r="P14"/>
  <c r="L14"/>
  <c r="Q14"/>
  <c r="M16"/>
  <c r="P16"/>
  <c r="L16"/>
  <c r="Q16"/>
  <c r="M18"/>
  <c r="P18"/>
  <c r="L18"/>
  <c r="Q18"/>
  <c r="M20"/>
  <c r="P20"/>
  <c r="L20"/>
  <c r="Q20"/>
  <c r="M22"/>
  <c r="P22"/>
  <c r="L22"/>
  <c r="Q22"/>
  <c r="M24"/>
  <c r="P24"/>
  <c r="L24"/>
  <c r="Q24"/>
  <c r="L25"/>
  <c r="Q25"/>
  <c r="M25"/>
  <c r="P25"/>
  <c r="L21"/>
  <c r="Q21"/>
  <c r="M21"/>
  <c r="P21"/>
  <c r="L17"/>
  <c r="Q17"/>
  <c r="M17"/>
  <c r="P17"/>
  <c r="M40"/>
  <c r="P40"/>
  <c r="M39"/>
  <c r="P39"/>
  <c r="P41"/>
  <c r="L40"/>
  <c r="Q40"/>
  <c r="L39"/>
  <c r="Q39"/>
  <c r="Q41"/>
  <c r="M44"/>
  <c r="P44"/>
  <c r="L44"/>
  <c r="Q44"/>
  <c r="L49"/>
  <c r="Q49"/>
  <c r="M49"/>
  <c r="P49"/>
  <c r="M6"/>
  <c r="P6"/>
  <c r="M5"/>
  <c r="P5"/>
  <c r="M8"/>
  <c r="P8"/>
  <c r="M10"/>
  <c r="P10"/>
  <c r="P11"/>
  <c r="L6"/>
  <c r="Q6"/>
  <c r="L8"/>
  <c r="Q8"/>
  <c r="L10"/>
  <c r="Q10"/>
  <c r="M79"/>
  <c r="P79"/>
  <c r="L79"/>
  <c r="Q79"/>
  <c r="M123"/>
  <c r="P123"/>
  <c r="P125"/>
  <c r="L123"/>
  <c r="Q123"/>
  <c r="Q125"/>
  <c r="M143"/>
  <c r="P143"/>
  <c r="L143"/>
  <c r="Q143"/>
  <c r="M147"/>
  <c r="P147"/>
  <c r="L147"/>
  <c r="Q147"/>
  <c r="M149"/>
  <c r="P149"/>
  <c r="L149"/>
  <c r="Q149"/>
  <c r="L150"/>
  <c r="Q150"/>
  <c r="M150"/>
  <c r="P150"/>
  <c r="L154"/>
  <c r="Q154"/>
  <c r="M154"/>
  <c r="P154"/>
  <c r="L158"/>
  <c r="Q158"/>
  <c r="M158"/>
  <c r="P158"/>
  <c r="L162"/>
  <c r="Q162"/>
  <c r="M162"/>
  <c r="P162"/>
  <c r="L166"/>
  <c r="Q166"/>
  <c r="M166"/>
  <c r="P166"/>
  <c r="M173"/>
  <c r="P173"/>
  <c r="L173"/>
  <c r="Q173"/>
  <c r="L174"/>
  <c r="Q174"/>
  <c r="M174"/>
  <c r="P174"/>
  <c r="M177"/>
  <c r="P177"/>
  <c r="L177"/>
  <c r="Q177"/>
  <c r="L178"/>
  <c r="Q178"/>
  <c r="M178"/>
  <c r="P178"/>
  <c r="M181"/>
  <c r="P181"/>
  <c r="L181"/>
  <c r="Q181"/>
  <c r="L182"/>
  <c r="Q182"/>
  <c r="M182"/>
  <c r="P182"/>
  <c r="M185"/>
  <c r="P185"/>
  <c r="L185"/>
  <c r="Q185"/>
  <c r="M191"/>
  <c r="P191"/>
  <c r="M187"/>
  <c r="P187"/>
  <c r="P192"/>
  <c r="L191"/>
  <c r="Q191"/>
  <c r="L187"/>
  <c r="Q187"/>
  <c r="Q192"/>
  <c r="L198"/>
  <c r="Q198"/>
  <c r="M198"/>
  <c r="P198"/>
  <c r="L210"/>
  <c r="Q210"/>
  <c r="M210"/>
  <c r="P210"/>
  <c r="L216"/>
  <c r="Q216"/>
  <c r="M216"/>
  <c r="P216"/>
  <c r="L220"/>
  <c r="Q220"/>
  <c r="M220"/>
  <c r="P220"/>
  <c r="L224"/>
  <c r="Q224"/>
  <c r="M224"/>
  <c r="P224"/>
  <c r="L228"/>
  <c r="Q228"/>
  <c r="M228"/>
  <c r="P228"/>
  <c r="I42"/>
  <c r="H98"/>
  <c r="J98"/>
  <c r="F98"/>
  <c r="I98"/>
  <c r="G98"/>
  <c r="K98"/>
  <c r="M98"/>
  <c r="P98"/>
  <c r="M57"/>
  <c r="P57"/>
  <c r="P58"/>
  <c r="L57"/>
  <c r="Q57"/>
  <c r="Q58"/>
  <c r="M61"/>
  <c r="P61"/>
  <c r="L61"/>
  <c r="Q61"/>
  <c r="L64"/>
  <c r="Q64"/>
  <c r="M64"/>
  <c r="P64"/>
  <c r="L60"/>
  <c r="Q60"/>
  <c r="M60"/>
  <c r="P60"/>
  <c r="L68"/>
  <c r="Q68"/>
  <c r="M68"/>
  <c r="P68"/>
  <c r="L77"/>
  <c r="Q77"/>
  <c r="L80"/>
  <c r="Q80"/>
  <c r="Q81"/>
  <c r="M80"/>
  <c r="P80"/>
  <c r="M89"/>
  <c r="P89"/>
  <c r="L89"/>
  <c r="Q89"/>
  <c r="H134"/>
  <c r="J134"/>
  <c r="F134"/>
  <c r="I134"/>
  <c r="G134"/>
  <c r="K134"/>
  <c r="M134"/>
  <c r="P134"/>
  <c r="M107"/>
  <c r="P107"/>
  <c r="L107"/>
  <c r="Q107"/>
  <c r="M113"/>
  <c r="P113"/>
  <c r="L113"/>
  <c r="Q113"/>
  <c r="M117"/>
  <c r="P117"/>
  <c r="L117"/>
  <c r="Q117"/>
  <c r="M121"/>
  <c r="P121"/>
  <c r="L121"/>
  <c r="Q121"/>
  <c r="M127"/>
  <c r="P127"/>
  <c r="L127"/>
  <c r="Q127"/>
  <c r="M131"/>
  <c r="P131"/>
  <c r="L131"/>
  <c r="Q131"/>
  <c r="M133"/>
  <c r="P133"/>
  <c r="L133"/>
  <c r="Q133"/>
  <c r="M135"/>
  <c r="P135"/>
  <c r="L135"/>
  <c r="Q135"/>
  <c r="M136"/>
  <c r="P136"/>
  <c r="M132"/>
  <c r="P132"/>
  <c r="L128"/>
  <c r="Q128"/>
  <c r="M141"/>
  <c r="P141"/>
  <c r="L141"/>
  <c r="Q141"/>
  <c r="M145"/>
  <c r="P145"/>
  <c r="L145"/>
  <c r="Q145"/>
  <c r="M153"/>
  <c r="P153"/>
  <c r="M152"/>
  <c r="P152"/>
  <c r="M157"/>
  <c r="P157"/>
  <c r="M161"/>
  <c r="P161"/>
  <c r="M165"/>
  <c r="P165"/>
  <c r="P167"/>
  <c r="L153"/>
  <c r="Q153"/>
  <c r="L157"/>
  <c r="Q157"/>
  <c r="L161"/>
  <c r="Q161"/>
  <c r="L165"/>
  <c r="Q165"/>
  <c r="M34"/>
  <c r="P34"/>
  <c r="L34"/>
  <c r="Q34"/>
  <c r="M30"/>
  <c r="P30"/>
  <c r="L30"/>
  <c r="Q30"/>
  <c r="M37"/>
  <c r="P37"/>
  <c r="L33"/>
  <c r="Q33"/>
  <c r="M33"/>
  <c r="P33"/>
  <c r="L29"/>
  <c r="Q29"/>
  <c r="M29"/>
  <c r="P29"/>
  <c r="H110"/>
  <c r="J110"/>
  <c r="F110"/>
  <c r="I110"/>
  <c r="K110"/>
  <c r="M110"/>
  <c r="P110"/>
  <c r="H72"/>
  <c r="J72"/>
  <c r="F72"/>
  <c r="I72"/>
  <c r="K72"/>
  <c r="M63"/>
  <c r="P63"/>
  <c r="M59"/>
  <c r="P59"/>
  <c r="P65"/>
  <c r="L63"/>
  <c r="Q63"/>
  <c r="L59"/>
  <c r="Q59"/>
  <c r="Q65"/>
  <c r="M69"/>
  <c r="P69"/>
  <c r="M66"/>
  <c r="P66"/>
  <c r="P71"/>
  <c r="L69"/>
  <c r="Q69"/>
  <c r="L66"/>
  <c r="Q66"/>
  <c r="Q71"/>
  <c r="M73"/>
  <c r="P73"/>
  <c r="L73"/>
  <c r="Q73"/>
  <c r="M75"/>
  <c r="P75"/>
  <c r="L75"/>
  <c r="Q75"/>
  <c r="H86"/>
  <c r="J86"/>
  <c r="F86"/>
  <c r="I86"/>
  <c r="K86"/>
  <c r="M86"/>
  <c r="P86"/>
  <c r="M84"/>
  <c r="P84"/>
  <c r="P90"/>
  <c r="L142"/>
  <c r="Q142"/>
  <c r="M142"/>
  <c r="P142"/>
  <c r="M245"/>
  <c r="P245"/>
  <c r="L245"/>
  <c r="Q245"/>
  <c r="M249"/>
  <c r="P249"/>
  <c r="L249"/>
  <c r="Q249"/>
  <c r="M253"/>
  <c r="P253"/>
  <c r="L253"/>
  <c r="Q253"/>
  <c r="M257"/>
  <c r="P257"/>
  <c r="L257"/>
  <c r="Q257"/>
  <c r="M261"/>
  <c r="P261"/>
  <c r="L261"/>
  <c r="Q261"/>
  <c r="M265"/>
  <c r="P265"/>
  <c r="L265"/>
  <c r="Q265"/>
  <c r="L292"/>
  <c r="Q292"/>
  <c r="M292"/>
  <c r="P292"/>
  <c r="L296"/>
  <c r="Q296"/>
  <c r="M296"/>
  <c r="P296"/>
  <c r="M299"/>
  <c r="P299"/>
  <c r="L299"/>
  <c r="Q299"/>
  <c r="L300"/>
  <c r="Q300"/>
  <c r="M300"/>
  <c r="P300"/>
  <c r="M303"/>
  <c r="P303"/>
  <c r="L303"/>
  <c r="Q303"/>
  <c r="L304"/>
  <c r="Q304"/>
  <c r="M304"/>
  <c r="P304"/>
  <c r="M309"/>
  <c r="P309"/>
  <c r="L309"/>
  <c r="Q309"/>
  <c r="M319"/>
  <c r="P319"/>
  <c r="L319"/>
  <c r="Q319"/>
  <c r="L320"/>
  <c r="Q320"/>
  <c r="M320"/>
  <c r="P320"/>
  <c r="M323"/>
  <c r="P323"/>
  <c r="L323"/>
  <c r="Q323"/>
  <c r="L324"/>
  <c r="Q324"/>
  <c r="M324"/>
  <c r="P324"/>
  <c r="M327"/>
  <c r="P327"/>
  <c r="L327"/>
  <c r="Q327"/>
  <c r="L328"/>
  <c r="Q328"/>
  <c r="M328"/>
  <c r="P328"/>
  <c r="M331"/>
  <c r="P331"/>
  <c r="L331"/>
  <c r="Q331"/>
  <c r="L332"/>
  <c r="Q332"/>
  <c r="M332"/>
  <c r="P332"/>
  <c r="M335"/>
  <c r="P335"/>
  <c r="L335"/>
  <c r="Q335"/>
  <c r="L336"/>
  <c r="Q336"/>
  <c r="M336"/>
  <c r="P336"/>
  <c r="M339"/>
  <c r="P339"/>
  <c r="L339"/>
  <c r="Q339"/>
  <c r="L340"/>
  <c r="Q340"/>
  <c r="M340"/>
  <c r="P340"/>
  <c r="M343"/>
  <c r="P343"/>
  <c r="L343"/>
  <c r="Q343"/>
  <c r="L344"/>
  <c r="Q344"/>
  <c r="M344"/>
  <c r="P344"/>
  <c r="M347"/>
  <c r="P347"/>
  <c r="L347"/>
  <c r="Q347"/>
  <c r="L348"/>
  <c r="Q348"/>
  <c r="M348"/>
  <c r="P348"/>
  <c r="M351"/>
  <c r="P351"/>
  <c r="P352"/>
  <c r="L351"/>
  <c r="Q351"/>
  <c r="Q352"/>
  <c r="M357"/>
  <c r="P357"/>
  <c r="L357"/>
  <c r="Q357"/>
  <c r="M363"/>
  <c r="P363"/>
  <c r="L363"/>
  <c r="Q363"/>
  <c r="L364"/>
  <c r="Q364"/>
  <c r="M364"/>
  <c r="P364"/>
  <c r="M367"/>
  <c r="P367"/>
  <c r="L367"/>
  <c r="Q367"/>
  <c r="L368"/>
  <c r="Q368"/>
  <c r="M368"/>
  <c r="P368"/>
  <c r="M371"/>
  <c r="P371"/>
  <c r="L371"/>
  <c r="Q371"/>
  <c r="L372"/>
  <c r="Q372"/>
  <c r="M372"/>
  <c r="P372"/>
  <c r="M375"/>
  <c r="P375"/>
  <c r="M377"/>
  <c r="P377"/>
  <c r="M378"/>
  <c r="P378"/>
  <c r="P379"/>
  <c r="L375"/>
  <c r="Q375"/>
  <c r="L377"/>
  <c r="Q377"/>
  <c r="L378"/>
  <c r="Q378"/>
  <c r="Q379"/>
  <c r="M385"/>
  <c r="P385"/>
  <c r="L385"/>
  <c r="Q385"/>
  <c r="L386"/>
  <c r="Q386"/>
  <c r="M386"/>
  <c r="P386"/>
  <c r="M389"/>
  <c r="P389"/>
  <c r="L389"/>
  <c r="Q389"/>
  <c r="M393"/>
  <c r="P393"/>
  <c r="L393"/>
  <c r="Q393"/>
  <c r="L394"/>
  <c r="Q394"/>
  <c r="M394"/>
  <c r="P394"/>
  <c r="M397"/>
  <c r="P397"/>
  <c r="L397"/>
  <c r="Q397"/>
  <c r="L398"/>
  <c r="Q398"/>
  <c r="M398"/>
  <c r="P398"/>
  <c r="M401"/>
  <c r="P401"/>
  <c r="L401"/>
  <c r="Q401"/>
  <c r="M405"/>
  <c r="P405"/>
  <c r="L405"/>
  <c r="Q405"/>
  <c r="M424"/>
  <c r="P424"/>
  <c r="L424"/>
  <c r="Q424"/>
  <c r="M251"/>
  <c r="P251"/>
  <c r="L251"/>
  <c r="Q251"/>
  <c r="M259"/>
  <c r="P259"/>
  <c r="L259"/>
  <c r="Q259"/>
  <c r="M267"/>
  <c r="P267"/>
  <c r="L267"/>
  <c r="Q267"/>
  <c r="M277"/>
  <c r="P277"/>
  <c r="L277"/>
  <c r="Q277"/>
  <c r="M287"/>
  <c r="P287"/>
  <c r="L287"/>
  <c r="Q287"/>
  <c r="M291"/>
  <c r="P291"/>
  <c r="L291"/>
  <c r="Q291"/>
  <c r="M295"/>
  <c r="P295"/>
  <c r="L295"/>
  <c r="Q295"/>
  <c r="M317"/>
  <c r="P317"/>
  <c r="L317"/>
  <c r="Q317"/>
  <c r="M321"/>
  <c r="P321"/>
  <c r="L321"/>
  <c r="Q321"/>
  <c r="M325"/>
  <c r="P325"/>
  <c r="L325"/>
  <c r="Q325"/>
  <c r="M329"/>
  <c r="P329"/>
  <c r="L329"/>
  <c r="Q329"/>
  <c r="M333"/>
  <c r="P333"/>
  <c r="L333"/>
  <c r="Q333"/>
  <c r="M387"/>
  <c r="P387"/>
  <c r="L387"/>
  <c r="Q387"/>
  <c r="M391"/>
  <c r="P391"/>
  <c r="L391"/>
  <c r="Q391"/>
  <c r="L390"/>
  <c r="Q390"/>
  <c r="Q407"/>
  <c r="M395"/>
  <c r="P395"/>
  <c r="L395"/>
  <c r="Q395"/>
  <c r="M399"/>
  <c r="P399"/>
  <c r="L399"/>
  <c r="Q399"/>
  <c r="M403"/>
  <c r="P403"/>
  <c r="L403"/>
  <c r="Q403"/>
  <c r="L266"/>
  <c r="Q266"/>
  <c r="M266"/>
  <c r="P266"/>
  <c r="L262"/>
  <c r="Q262"/>
  <c r="M262"/>
  <c r="P262"/>
  <c r="L258"/>
  <c r="Q258"/>
  <c r="M258"/>
  <c r="P258"/>
  <c r="L254"/>
  <c r="Q254"/>
  <c r="M254"/>
  <c r="P254"/>
  <c r="L250"/>
  <c r="Q250"/>
  <c r="M250"/>
  <c r="P250"/>
  <c r="L246"/>
  <c r="Q246"/>
  <c r="M246"/>
  <c r="P246"/>
  <c r="M271"/>
  <c r="P271"/>
  <c r="L271"/>
  <c r="Q271"/>
  <c r="M275"/>
  <c r="P275"/>
  <c r="L275"/>
  <c r="Q275"/>
  <c r="L278"/>
  <c r="Q278"/>
  <c r="M278"/>
  <c r="P278"/>
  <c r="L274"/>
  <c r="Q274"/>
  <c r="M274"/>
  <c r="P274"/>
  <c r="L7"/>
  <c r="Q7"/>
  <c r="L9"/>
  <c r="Q9"/>
  <c r="L35"/>
  <c r="Q35"/>
  <c r="L37"/>
  <c r="Q37"/>
  <c r="K193"/>
  <c r="L193"/>
  <c r="Q193"/>
  <c r="Q194"/>
  <c r="K48"/>
  <c r="L48"/>
  <c r="Q48"/>
  <c r="I62"/>
  <c r="I78"/>
  <c r="I84"/>
  <c r="I108"/>
  <c r="I114"/>
  <c r="I118"/>
  <c r="I128"/>
  <c r="K139"/>
  <c r="L139"/>
  <c r="Q139"/>
  <c r="I142"/>
  <c r="I146"/>
  <c r="I21"/>
  <c r="I23"/>
  <c r="I25"/>
  <c r="K42"/>
  <c r="L42"/>
  <c r="Q42"/>
  <c r="L43"/>
  <c r="Q43"/>
  <c r="Q45"/>
  <c r="I49"/>
  <c r="I64"/>
  <c r="I66"/>
  <c r="I70"/>
  <c r="L152"/>
  <c r="Q152"/>
  <c r="Q167"/>
  <c r="I272"/>
  <c r="I276"/>
  <c r="L5"/>
  <c r="Q5"/>
  <c r="Q11"/>
  <c r="L270"/>
  <c r="Q270"/>
  <c r="Q279"/>
  <c r="M355"/>
  <c r="P355"/>
  <c r="P358"/>
  <c r="M307"/>
  <c r="P307"/>
  <c r="P310"/>
  <c r="L136"/>
  <c r="Q136"/>
  <c r="M27"/>
  <c r="P27"/>
  <c r="P38"/>
  <c r="L132"/>
  <c r="Q132"/>
  <c r="M211"/>
  <c r="P211"/>
  <c r="I48"/>
  <c r="M139"/>
  <c r="P139"/>
  <c r="M270"/>
  <c r="P270"/>
  <c r="P279"/>
  <c r="M390"/>
  <c r="P390"/>
  <c r="P407"/>
  <c r="L355"/>
  <c r="Q355"/>
  <c r="Q358"/>
  <c r="L307"/>
  <c r="Q307"/>
  <c r="Q310"/>
  <c r="G86"/>
  <c r="L86"/>
  <c r="Q86"/>
  <c r="L84"/>
  <c r="Q84"/>
  <c r="Q90"/>
  <c r="G72"/>
  <c r="L72"/>
  <c r="Q72"/>
  <c r="Q76"/>
  <c r="G110"/>
  <c r="L110"/>
  <c r="Q110"/>
  <c r="L134"/>
  <c r="Q134"/>
  <c r="L98"/>
  <c r="Q98"/>
  <c r="L27"/>
  <c r="Q27"/>
  <c r="Q38"/>
  <c r="I211"/>
  <c r="I193"/>
  <c r="M193"/>
  <c r="P193"/>
  <c r="P194"/>
  <c r="M48"/>
  <c r="P48"/>
  <c r="I139"/>
  <c r="M72"/>
  <c r="P72"/>
  <c r="P76"/>
  <c r="M170"/>
  <c r="P170"/>
  <c r="P186"/>
  <c r="L170"/>
  <c r="Q170"/>
  <c r="Q186"/>
  <c r="K50"/>
  <c r="M50"/>
  <c r="P50"/>
  <c r="G50"/>
  <c r="H52"/>
  <c r="J52"/>
  <c r="F52"/>
  <c r="K52"/>
  <c r="G47"/>
  <c r="I47"/>
  <c r="G54"/>
  <c r="I54"/>
  <c r="K82"/>
  <c r="G82"/>
  <c r="M115"/>
  <c r="P115"/>
  <c r="L115"/>
  <c r="Q115"/>
  <c r="M129"/>
  <c r="P129"/>
  <c r="L129"/>
  <c r="Q129"/>
  <c r="L126"/>
  <c r="Q126"/>
  <c r="Q137"/>
  <c r="M301"/>
  <c r="P301"/>
  <c r="M298"/>
  <c r="P298"/>
  <c r="M305"/>
  <c r="P305"/>
  <c r="P306"/>
  <c r="L301"/>
  <c r="Q301"/>
  <c r="L298"/>
  <c r="Q298"/>
  <c r="L305"/>
  <c r="Q305"/>
  <c r="Q306"/>
  <c r="M337"/>
  <c r="P337"/>
  <c r="L337"/>
  <c r="Q337"/>
  <c r="L316"/>
  <c r="Q316"/>
  <c r="L341"/>
  <c r="Q341"/>
  <c r="L345"/>
  <c r="Q345"/>
  <c r="L349"/>
  <c r="Q349"/>
  <c r="Q350"/>
  <c r="M341"/>
  <c r="P341"/>
  <c r="M349"/>
  <c r="P349"/>
  <c r="M365"/>
  <c r="P365"/>
  <c r="L365"/>
  <c r="Q365"/>
  <c r="M369"/>
  <c r="P369"/>
  <c r="L369"/>
  <c r="Q369"/>
  <c r="M373"/>
  <c r="P373"/>
  <c r="L373"/>
  <c r="Q373"/>
  <c r="H421"/>
  <c r="J421"/>
  <c r="F421"/>
  <c r="G421"/>
  <c r="K421"/>
  <c r="L421"/>
  <c r="Q421"/>
  <c r="Q422"/>
  <c r="M421"/>
  <c r="P421"/>
  <c r="P422"/>
  <c r="G419"/>
  <c r="H415"/>
  <c r="J415"/>
  <c r="F415"/>
  <c r="G415"/>
  <c r="K415"/>
  <c r="L415"/>
  <c r="Q415"/>
  <c r="M415"/>
  <c r="P415"/>
  <c r="F414"/>
  <c r="G414"/>
  <c r="I414"/>
  <c r="H411"/>
  <c r="J411"/>
  <c r="F411"/>
  <c r="G411"/>
  <c r="K411"/>
  <c r="L411"/>
  <c r="Q411"/>
  <c r="M411"/>
  <c r="P411"/>
  <c r="F410"/>
  <c r="G410"/>
  <c r="I410"/>
  <c r="G406"/>
  <c r="G402"/>
  <c r="G346"/>
  <c r="I346"/>
  <c r="G342"/>
  <c r="I342"/>
  <c r="G282"/>
  <c r="I282"/>
  <c r="I281"/>
  <c r="G281"/>
  <c r="I261"/>
  <c r="G261"/>
  <c r="L244"/>
  <c r="Q244"/>
  <c r="Q269"/>
  <c r="M244"/>
  <c r="P244"/>
  <c r="P269"/>
  <c r="L242"/>
  <c r="Q242"/>
  <c r="L241"/>
  <c r="Q241"/>
  <c r="Q243"/>
  <c r="M242"/>
  <c r="P242"/>
  <c r="M241"/>
  <c r="P241"/>
  <c r="P243"/>
  <c r="I239"/>
  <c r="G239"/>
  <c r="I235"/>
  <c r="G235"/>
  <c r="I231"/>
  <c r="G231"/>
  <c r="L212"/>
  <c r="Q212"/>
  <c r="L208"/>
  <c r="Q208"/>
  <c r="Q230"/>
  <c r="M212"/>
  <c r="P212"/>
  <c r="I203"/>
  <c r="G203"/>
  <c r="G168"/>
  <c r="I168"/>
  <c r="I208"/>
  <c r="I226"/>
  <c r="I252"/>
  <c r="I268"/>
  <c r="I280"/>
  <c r="I216"/>
  <c r="I254"/>
  <c r="I262"/>
  <c r="G407"/>
  <c r="G403"/>
  <c r="I74"/>
  <c r="G74"/>
  <c r="M101"/>
  <c r="P101"/>
  <c r="L101"/>
  <c r="Q101"/>
  <c r="M105"/>
  <c r="P105"/>
  <c r="L105"/>
  <c r="Q105"/>
  <c r="M345"/>
  <c r="P345"/>
  <c r="G423"/>
  <c r="L423"/>
  <c r="Q423"/>
  <c r="Q425"/>
  <c r="H417"/>
  <c r="J417"/>
  <c r="F417"/>
  <c r="K417"/>
  <c r="L417"/>
  <c r="Q417"/>
  <c r="H416"/>
  <c r="J416"/>
  <c r="F416"/>
  <c r="G416"/>
  <c r="I416"/>
  <c r="K416"/>
  <c r="H413"/>
  <c r="J413"/>
  <c r="F413"/>
  <c r="K413"/>
  <c r="L413"/>
  <c r="Q413"/>
  <c r="H412"/>
  <c r="J412"/>
  <c r="F412"/>
  <c r="G412"/>
  <c r="I412"/>
  <c r="K412"/>
  <c r="H409"/>
  <c r="J409"/>
  <c r="F409"/>
  <c r="K409"/>
  <c r="L409"/>
  <c r="Q409"/>
  <c r="H408"/>
  <c r="J408"/>
  <c r="F408"/>
  <c r="G408"/>
  <c r="I408"/>
  <c r="K408"/>
  <c r="G404"/>
  <c r="L404"/>
  <c r="Q404"/>
  <c r="M42"/>
  <c r="P42"/>
  <c r="P45"/>
  <c r="G132"/>
  <c r="L50"/>
  <c r="Q50"/>
  <c r="I94"/>
  <c r="I80"/>
  <c r="I106"/>
  <c r="I124"/>
  <c r="I140"/>
  <c r="I244"/>
  <c r="I260"/>
  <c r="I274"/>
  <c r="G424"/>
  <c r="K419"/>
  <c r="M419"/>
  <c r="P419"/>
  <c r="P420"/>
  <c r="K406"/>
  <c r="M406"/>
  <c r="P406"/>
  <c r="G405"/>
  <c r="K402"/>
  <c r="M402"/>
  <c r="P402"/>
  <c r="M104"/>
  <c r="P104"/>
  <c r="M103"/>
  <c r="P103"/>
  <c r="P122"/>
  <c r="L104"/>
  <c r="Q104"/>
  <c r="L103"/>
  <c r="Q103"/>
  <c r="Q122"/>
  <c r="I401"/>
  <c r="G401"/>
  <c r="G287"/>
  <c r="I287"/>
  <c r="M146"/>
  <c r="P146"/>
  <c r="M138"/>
  <c r="P138"/>
  <c r="P151"/>
  <c r="L146"/>
  <c r="Q146"/>
  <c r="L138"/>
  <c r="Q138"/>
  <c r="Q151"/>
  <c r="G385"/>
  <c r="G375"/>
  <c r="G339"/>
  <c r="G399"/>
  <c r="G397"/>
  <c r="G395"/>
  <c r="G393"/>
  <c r="G391"/>
  <c r="G387"/>
  <c r="K380"/>
  <c r="I377"/>
  <c r="G371"/>
  <c r="I369"/>
  <c r="I365"/>
  <c r="G363"/>
  <c r="G359"/>
  <c r="G357"/>
  <c r="I355"/>
  <c r="G353"/>
  <c r="I351"/>
  <c r="I349"/>
  <c r="I345"/>
  <c r="G343"/>
  <c r="I341"/>
  <c r="I337"/>
  <c r="G335"/>
  <c r="G333"/>
  <c r="G331"/>
  <c r="G329"/>
  <c r="G327"/>
  <c r="G325"/>
  <c r="G321"/>
  <c r="G317"/>
  <c r="G311"/>
  <c r="G309"/>
  <c r="I307"/>
  <c r="I305"/>
  <c r="G303"/>
  <c r="I301"/>
  <c r="G299"/>
  <c r="I295"/>
  <c r="I293"/>
  <c r="I291"/>
  <c r="M208"/>
  <c r="P208"/>
  <c r="P230"/>
  <c r="M206"/>
  <c r="P206"/>
  <c r="M205"/>
  <c r="P205"/>
  <c r="P207"/>
  <c r="F197"/>
  <c r="I197"/>
  <c r="K196"/>
  <c r="L196"/>
  <c r="Q196"/>
  <c r="L195"/>
  <c r="Q195"/>
  <c r="Q202"/>
  <c r="I195"/>
  <c r="F191"/>
  <c r="I191"/>
  <c r="I189"/>
  <c r="G185"/>
  <c r="I183"/>
  <c r="G181"/>
  <c r="I179"/>
  <c r="G177"/>
  <c r="I175"/>
  <c r="G173"/>
  <c r="I171"/>
  <c r="K168"/>
  <c r="I165"/>
  <c r="I163"/>
  <c r="I161"/>
  <c r="I159"/>
  <c r="I157"/>
  <c r="I155"/>
  <c r="I153"/>
  <c r="I149"/>
  <c r="M78"/>
  <c r="P78"/>
  <c r="M77"/>
  <c r="P77"/>
  <c r="P81"/>
  <c r="F289"/>
  <c r="I289"/>
  <c r="K288"/>
  <c r="L288"/>
  <c r="Q288"/>
  <c r="L284"/>
  <c r="Q284"/>
  <c r="Q297"/>
  <c r="M128"/>
  <c r="P128"/>
  <c r="M126"/>
  <c r="P126"/>
  <c r="P137"/>
  <c r="L168"/>
  <c r="Q168"/>
  <c r="Q169"/>
  <c r="M168"/>
  <c r="P168"/>
  <c r="P169"/>
  <c r="L380"/>
  <c r="Q380"/>
  <c r="Q381"/>
  <c r="M380"/>
  <c r="P380"/>
  <c r="P381"/>
  <c r="L412"/>
  <c r="Q412"/>
  <c r="M412"/>
  <c r="P412"/>
  <c r="L416"/>
  <c r="Q416"/>
  <c r="M416"/>
  <c r="P416"/>
  <c r="L82"/>
  <c r="Q82"/>
  <c r="Q83"/>
  <c r="M82"/>
  <c r="P82"/>
  <c r="P83"/>
  <c r="G52"/>
  <c r="I52"/>
  <c r="G191"/>
  <c r="G289"/>
  <c r="M361"/>
  <c r="P361"/>
  <c r="P374"/>
  <c r="M316"/>
  <c r="P316"/>
  <c r="P350"/>
  <c r="M91"/>
  <c r="P91"/>
  <c r="P102"/>
  <c r="G409"/>
  <c r="I409"/>
  <c r="G413"/>
  <c r="I413"/>
  <c r="G417"/>
  <c r="I417"/>
  <c r="M52"/>
  <c r="P52"/>
  <c r="M46"/>
  <c r="P46"/>
  <c r="P56"/>
  <c r="L52"/>
  <c r="Q52"/>
  <c r="L46"/>
  <c r="Q46"/>
  <c r="Q56"/>
  <c r="M288"/>
  <c r="P288"/>
  <c r="M284"/>
  <c r="P284"/>
  <c r="P297"/>
  <c r="M196"/>
  <c r="P196"/>
  <c r="M195"/>
  <c r="P195"/>
  <c r="P202"/>
  <c r="M409"/>
  <c r="P409"/>
  <c r="M413"/>
  <c r="P413"/>
  <c r="M417"/>
  <c r="P417"/>
  <c r="G197"/>
  <c r="L402"/>
  <c r="Q402"/>
  <c r="L406"/>
  <c r="Q406"/>
  <c r="I411"/>
  <c r="I415"/>
  <c r="L419"/>
  <c r="Q419"/>
  <c r="Q420"/>
  <c r="I421"/>
  <c r="L361"/>
  <c r="Q361"/>
  <c r="Q374"/>
  <c r="L91"/>
  <c r="Q91"/>
  <c r="Q102"/>
  <c r="M423"/>
  <c r="P423"/>
  <c r="P425"/>
  <c r="R425"/>
  <c r="L408"/>
  <c r="Q408"/>
  <c r="Q418"/>
  <c r="M408"/>
  <c r="P408"/>
  <c r="P418"/>
  <c r="J24" i="11"/>
  <c r="H24"/>
  <c r="F24"/>
  <c r="B24"/>
  <c r="J22"/>
  <c r="J26"/>
  <c r="H22"/>
  <c r="H26"/>
  <c r="F22"/>
  <c r="F26"/>
  <c r="B22"/>
  <c r="B26"/>
  <c r="J18"/>
  <c r="J16"/>
  <c r="J19"/>
  <c r="H18"/>
  <c r="H16"/>
  <c r="H19"/>
  <c r="F18"/>
  <c r="F16"/>
  <c r="F19"/>
  <c r="B18"/>
  <c r="B16"/>
  <c r="B19"/>
  <c r="J17"/>
  <c r="H17"/>
  <c r="F17"/>
  <c r="B17"/>
  <c r="K13"/>
  <c r="J13"/>
  <c r="I13"/>
  <c r="H13"/>
  <c r="G13"/>
  <c r="F13"/>
  <c r="C13"/>
  <c r="B13"/>
  <c r="K12"/>
  <c r="J12"/>
  <c r="I12"/>
  <c r="H12"/>
  <c r="G12"/>
  <c r="F12"/>
  <c r="C12"/>
  <c r="B12"/>
  <c r="K11"/>
  <c r="J11"/>
  <c r="I11"/>
  <c r="H11"/>
  <c r="G11"/>
  <c r="F11"/>
  <c r="C11"/>
  <c r="B11"/>
  <c r="K10"/>
  <c r="J10"/>
  <c r="I10"/>
  <c r="H10"/>
  <c r="G10"/>
  <c r="F10"/>
  <c r="C10"/>
  <c r="B10"/>
  <c r="K9"/>
  <c r="J9"/>
  <c r="I9"/>
  <c r="H9"/>
  <c r="G9"/>
  <c r="F9"/>
  <c r="C9"/>
  <c r="B9"/>
  <c r="J5"/>
  <c r="H5"/>
  <c r="F5"/>
  <c r="B5"/>
  <c r="J4"/>
  <c r="J6"/>
  <c r="J7"/>
  <c r="H4"/>
  <c r="H6"/>
  <c r="H7"/>
  <c r="F4"/>
  <c r="F6"/>
  <c r="F7"/>
  <c r="B4"/>
  <c r="B6"/>
  <c r="B7"/>
  <c r="F25"/>
  <c r="J25"/>
  <c r="B25"/>
  <c r="H25"/>
  <c r="B14"/>
  <c r="B28"/>
  <c r="F14"/>
  <c r="F28"/>
  <c r="H14"/>
  <c r="H28"/>
  <c r="J14"/>
  <c r="J28"/>
  <c r="B23"/>
  <c r="H23"/>
  <c r="C14"/>
  <c r="C28"/>
  <c r="G14"/>
  <c r="G28"/>
  <c r="I14"/>
  <c r="I28"/>
  <c r="K14"/>
  <c r="K28"/>
  <c r="F23"/>
  <c r="J23"/>
  <c r="H31"/>
  <c r="B31"/>
  <c r="H30"/>
  <c r="B30"/>
  <c r="H29"/>
  <c r="B29"/>
  <c r="I31"/>
  <c r="C31"/>
  <c r="I30"/>
  <c r="C30"/>
  <c r="I29"/>
  <c r="C29"/>
  <c r="J31"/>
  <c r="F31"/>
  <c r="J30"/>
  <c r="F30"/>
  <c r="J29"/>
  <c r="F29"/>
  <c r="K31"/>
  <c r="G31"/>
  <c r="K30"/>
  <c r="G30"/>
  <c r="K29"/>
  <c r="G29"/>
  <c r="J4" i="4"/>
  <c r="O4"/>
  <c r="J5"/>
  <c r="O5"/>
  <c r="J6"/>
  <c r="O6"/>
  <c r="J7"/>
  <c r="O7"/>
  <c r="J8"/>
  <c r="O8"/>
  <c r="J9"/>
  <c r="O9"/>
  <c r="J10"/>
  <c r="O10"/>
  <c r="J11"/>
  <c r="O11"/>
  <c r="J12"/>
  <c r="O12"/>
  <c r="J13"/>
  <c r="O13"/>
  <c r="J14"/>
  <c r="O14"/>
  <c r="J15"/>
  <c r="O15"/>
  <c r="J16"/>
  <c r="O16"/>
  <c r="J17"/>
  <c r="O17"/>
  <c r="J18"/>
  <c r="O18"/>
  <c r="J19"/>
  <c r="O19"/>
  <c r="J20"/>
  <c r="O20"/>
  <c r="J21"/>
  <c r="O21"/>
  <c r="J22"/>
  <c r="O22"/>
  <c r="J23"/>
  <c r="O23"/>
  <c r="J24"/>
  <c r="O24"/>
  <c r="J25"/>
  <c r="O25"/>
  <c r="J26"/>
  <c r="O26"/>
  <c r="J27"/>
  <c r="O27"/>
  <c r="J28"/>
  <c r="O28"/>
  <c r="J29"/>
  <c r="O29"/>
  <c r="J30"/>
  <c r="O30"/>
  <c r="J31"/>
  <c r="O31"/>
  <c r="J32"/>
  <c r="O32"/>
  <c r="J33"/>
  <c r="O33"/>
  <c r="J34"/>
  <c r="O34"/>
  <c r="J35"/>
  <c r="O35"/>
  <c r="J36"/>
  <c r="O36"/>
  <c r="J37"/>
  <c r="O37"/>
  <c r="J38"/>
  <c r="O38"/>
  <c r="J39"/>
  <c r="O39"/>
  <c r="J40"/>
  <c r="O40"/>
  <c r="J41"/>
  <c r="O41"/>
  <c r="J42"/>
  <c r="O42"/>
  <c r="J43"/>
  <c r="O43"/>
  <c r="J44"/>
  <c r="O44"/>
  <c r="J45"/>
  <c r="O45"/>
  <c r="J46"/>
  <c r="O46"/>
  <c r="J47"/>
  <c r="O47"/>
  <c r="J48"/>
  <c r="O48"/>
  <c r="J49"/>
  <c r="O49"/>
  <c r="J50"/>
  <c r="O50"/>
  <c r="J51"/>
  <c r="O51"/>
  <c r="J52"/>
  <c r="O52"/>
  <c r="J53"/>
  <c r="O53"/>
  <c r="J54"/>
  <c r="O54"/>
  <c r="J55"/>
  <c r="O55"/>
  <c r="J56"/>
  <c r="O56"/>
  <c r="J57"/>
  <c r="O57"/>
  <c r="J58"/>
  <c r="O58"/>
  <c r="J59"/>
  <c r="O59"/>
  <c r="J60"/>
  <c r="O60"/>
  <c r="J61"/>
  <c r="O61"/>
  <c r="J62"/>
  <c r="O62"/>
  <c r="J63"/>
  <c r="O63"/>
  <c r="J64"/>
  <c r="O64"/>
  <c r="J65"/>
  <c r="O65"/>
  <c r="J66"/>
  <c r="O66"/>
  <c r="J67"/>
  <c r="O67"/>
  <c r="J68"/>
  <c r="O68"/>
  <c r="J69"/>
  <c r="O69"/>
  <c r="J70"/>
  <c r="O70"/>
  <c r="J71"/>
  <c r="O71"/>
  <c r="J72"/>
  <c r="O72"/>
  <c r="J73"/>
  <c r="O73"/>
  <c r="J74"/>
  <c r="O74"/>
  <c r="J75"/>
  <c r="O75"/>
  <c r="J76"/>
  <c r="O76"/>
  <c r="J77"/>
  <c r="O77"/>
  <c r="J78"/>
  <c r="O78"/>
  <c r="J79"/>
  <c r="O79"/>
  <c r="J80"/>
  <c r="O80"/>
  <c r="J81"/>
  <c r="O81"/>
  <c r="J82"/>
  <c r="O82"/>
  <c r="J83"/>
  <c r="O83"/>
  <c r="J84"/>
  <c r="O84"/>
  <c r="J85"/>
  <c r="O85"/>
  <c r="J86"/>
  <c r="O86"/>
  <c r="J87"/>
  <c r="O87"/>
  <c r="J88"/>
  <c r="O88"/>
  <c r="J89"/>
  <c r="O89"/>
  <c r="J90"/>
  <c r="O90"/>
  <c r="J91"/>
  <c r="O91"/>
  <c r="J92"/>
  <c r="O92"/>
  <c r="J93"/>
  <c r="O93"/>
  <c r="J94"/>
  <c r="O94"/>
  <c r="J95"/>
  <c r="O95"/>
  <c r="J96"/>
  <c r="O96"/>
  <c r="J97"/>
  <c r="O97"/>
  <c r="J98"/>
  <c r="O98"/>
  <c r="J99"/>
  <c r="O99"/>
  <c r="J100"/>
  <c r="O100"/>
  <c r="J101"/>
  <c r="O101"/>
  <c r="J102"/>
  <c r="O102"/>
  <c r="J103"/>
  <c r="O103"/>
  <c r="J104"/>
  <c r="O104"/>
  <c r="J105"/>
  <c r="O105"/>
  <c r="J106"/>
  <c r="O106"/>
  <c r="J107"/>
  <c r="O107"/>
  <c r="J108"/>
  <c r="O108"/>
  <c r="J109"/>
  <c r="O109"/>
  <c r="J110"/>
  <c r="O110"/>
  <c r="J111"/>
  <c r="O111"/>
  <c r="J112"/>
  <c r="O112"/>
  <c r="J113"/>
  <c r="O113"/>
  <c r="J114"/>
  <c r="O114"/>
  <c r="J115"/>
  <c r="O115"/>
  <c r="J116"/>
  <c r="O116"/>
  <c r="J117"/>
  <c r="O117"/>
  <c r="J118"/>
  <c r="O118"/>
  <c r="J119"/>
  <c r="O119"/>
  <c r="J120"/>
  <c r="O120"/>
  <c r="J121"/>
  <c r="O121"/>
  <c r="J122"/>
  <c r="O122"/>
  <c r="J123"/>
  <c r="O123"/>
  <c r="J124"/>
  <c r="O124"/>
  <c r="J125"/>
  <c r="O125"/>
  <c r="J126"/>
  <c r="O126"/>
  <c r="J127"/>
  <c r="O127"/>
  <c r="J128"/>
  <c r="O128"/>
  <c r="J129"/>
  <c r="O129"/>
  <c r="J130"/>
  <c r="O130"/>
  <c r="J131"/>
  <c r="O131"/>
  <c r="J132"/>
  <c r="O132"/>
  <c r="J133"/>
  <c r="O133"/>
  <c r="J134"/>
  <c r="O134"/>
  <c r="J135"/>
  <c r="O135"/>
  <c r="J136"/>
  <c r="O136"/>
  <c r="J137"/>
  <c r="O137"/>
  <c r="J138"/>
  <c r="O138"/>
  <c r="J139"/>
  <c r="O139"/>
  <c r="J140"/>
  <c r="O140"/>
  <c r="J141"/>
  <c r="O141"/>
  <c r="J142"/>
  <c r="O142"/>
  <c r="J143"/>
  <c r="O143"/>
  <c r="J144"/>
  <c r="O144"/>
  <c r="J145"/>
  <c r="O145"/>
  <c r="J146"/>
  <c r="O146"/>
  <c r="J147"/>
  <c r="O147"/>
  <c r="J148"/>
  <c r="O148"/>
  <c r="J149"/>
  <c r="O149"/>
  <c r="J150"/>
  <c r="O150"/>
  <c r="J151"/>
  <c r="O151"/>
  <c r="J152"/>
  <c r="O152"/>
  <c r="J153"/>
  <c r="O153"/>
  <c r="J154"/>
  <c r="O154"/>
  <c r="J155"/>
  <c r="O155"/>
  <c r="J156"/>
  <c r="O156"/>
  <c r="J157"/>
  <c r="O157"/>
  <c r="J158"/>
  <c r="O158"/>
  <c r="J159"/>
  <c r="O159"/>
  <c r="J160"/>
  <c r="O160"/>
  <c r="J161"/>
  <c r="O161"/>
  <c r="J162"/>
  <c r="O162"/>
  <c r="J163"/>
  <c r="O163"/>
  <c r="J164"/>
  <c r="O164"/>
  <c r="J165"/>
  <c r="O165"/>
  <c r="J166"/>
  <c r="O166"/>
  <c r="J167"/>
  <c r="O167"/>
  <c r="J168"/>
  <c r="O168"/>
  <c r="J169"/>
  <c r="O169"/>
  <c r="J170"/>
  <c r="O170"/>
  <c r="J171"/>
  <c r="O171"/>
  <c r="J172"/>
  <c r="O172"/>
  <c r="J173"/>
  <c r="O173"/>
  <c r="J174"/>
  <c r="O174"/>
  <c r="J175"/>
  <c r="O175"/>
  <c r="J176"/>
  <c r="O176"/>
  <c r="J177"/>
  <c r="O177"/>
  <c r="J178"/>
  <c r="O178"/>
  <c r="J179"/>
  <c r="O179"/>
  <c r="J180"/>
  <c r="O180"/>
  <c r="J181"/>
  <c r="O181"/>
  <c r="J182"/>
  <c r="O182"/>
  <c r="J183"/>
  <c r="O183"/>
  <c r="J184"/>
  <c r="O184"/>
  <c r="J185"/>
  <c r="O185"/>
  <c r="J186"/>
  <c r="O186"/>
  <c r="J187"/>
  <c r="O187"/>
  <c r="J188"/>
  <c r="O188"/>
  <c r="J189"/>
  <c r="O189"/>
  <c r="J190"/>
  <c r="O190"/>
  <c r="J191"/>
  <c r="O191"/>
  <c r="J192"/>
  <c r="O192"/>
  <c r="J193"/>
  <c r="O193"/>
  <c r="J194"/>
  <c r="O194"/>
  <c r="J195"/>
  <c r="O195"/>
  <c r="J196"/>
  <c r="O196"/>
  <c r="J197"/>
  <c r="O197"/>
  <c r="J198"/>
  <c r="O198"/>
  <c r="J199"/>
  <c r="O199"/>
  <c r="J200"/>
  <c r="O200"/>
  <c r="J201"/>
  <c r="O201"/>
  <c r="J202"/>
  <c r="O202"/>
  <c r="J203"/>
  <c r="O203"/>
  <c r="J204"/>
  <c r="O204"/>
  <c r="J205"/>
  <c r="O205"/>
  <c r="J206"/>
  <c r="O206"/>
  <c r="J207"/>
  <c r="O207"/>
  <c r="J208"/>
  <c r="O208"/>
  <c r="J209"/>
  <c r="O209"/>
  <c r="J210"/>
  <c r="O210"/>
  <c r="J211"/>
  <c r="O211"/>
  <c r="J212"/>
  <c r="O212"/>
  <c r="J213"/>
  <c r="O213"/>
  <c r="J214"/>
  <c r="O214"/>
  <c r="J215"/>
  <c r="O215"/>
  <c r="J216"/>
  <c r="O216"/>
  <c r="J217"/>
  <c r="O217"/>
  <c r="J218"/>
  <c r="O218"/>
  <c r="J219"/>
  <c r="O219"/>
  <c r="J220"/>
  <c r="O220"/>
  <c r="J221"/>
  <c r="O221"/>
  <c r="J222"/>
  <c r="O222"/>
  <c r="J223"/>
  <c r="O223"/>
  <c r="J224"/>
  <c r="O224"/>
  <c r="J225"/>
  <c r="O225"/>
  <c r="J226"/>
  <c r="O226"/>
  <c r="J227"/>
  <c r="O227"/>
  <c r="J228"/>
  <c r="O228"/>
  <c r="J229"/>
  <c r="O229"/>
  <c r="J230"/>
  <c r="O230"/>
  <c r="J231"/>
  <c r="O231"/>
  <c r="J232"/>
  <c r="O232"/>
  <c r="J233"/>
  <c r="O233"/>
  <c r="J234"/>
  <c r="O234"/>
  <c r="J235"/>
  <c r="O235"/>
  <c r="J236"/>
  <c r="O236"/>
  <c r="J237"/>
  <c r="O237"/>
  <c r="J238"/>
  <c r="O238"/>
  <c r="J239"/>
  <c r="O239"/>
  <c r="J240"/>
  <c r="O240"/>
  <c r="J241"/>
  <c r="O241"/>
  <c r="J242"/>
  <c r="O242"/>
  <c r="J243"/>
  <c r="O243"/>
  <c r="J244"/>
  <c r="O244"/>
  <c r="J245"/>
  <c r="O245"/>
  <c r="J246"/>
  <c r="O246"/>
  <c r="J247"/>
  <c r="O247"/>
  <c r="J248"/>
  <c r="O248"/>
  <c r="J249"/>
  <c r="O249"/>
  <c r="J250"/>
  <c r="O250"/>
  <c r="J251"/>
  <c r="O251"/>
  <c r="J252"/>
  <c r="O252"/>
  <c r="J253"/>
  <c r="O253"/>
  <c r="J254"/>
  <c r="O254"/>
  <c r="J255"/>
  <c r="O255"/>
  <c r="J256"/>
  <c r="O256"/>
  <c r="J257"/>
  <c r="O257"/>
  <c r="J258"/>
  <c r="O258"/>
  <c r="J259"/>
  <c r="O259"/>
  <c r="J260"/>
  <c r="O260"/>
  <c r="J261"/>
  <c r="O261"/>
  <c r="J262"/>
  <c r="O262"/>
  <c r="J263"/>
  <c r="O263"/>
  <c r="J264"/>
  <c r="O264"/>
  <c r="J265"/>
  <c r="O265"/>
  <c r="J266"/>
  <c r="O266"/>
  <c r="J267"/>
  <c r="O267"/>
  <c r="J268"/>
  <c r="O268"/>
  <c r="J269"/>
  <c r="O269"/>
  <c r="J270"/>
  <c r="O270"/>
  <c r="J271"/>
  <c r="O271"/>
  <c r="J272"/>
  <c r="O272"/>
  <c r="J273"/>
  <c r="O273"/>
  <c r="J274"/>
  <c r="O274"/>
  <c r="J275"/>
  <c r="O275"/>
  <c r="J276"/>
  <c r="O276"/>
  <c r="J277"/>
  <c r="O277"/>
  <c r="J278"/>
  <c r="O278"/>
  <c r="J279"/>
  <c r="O279"/>
  <c r="J280"/>
  <c r="O280"/>
  <c r="J281"/>
  <c r="O281"/>
  <c r="J282"/>
  <c r="O282"/>
  <c r="J283"/>
  <c r="O283"/>
  <c r="J284"/>
  <c r="O284"/>
  <c r="J285"/>
  <c r="O285"/>
  <c r="J286"/>
  <c r="O286"/>
  <c r="J287"/>
  <c r="O287"/>
  <c r="J288"/>
  <c r="O288"/>
  <c r="J289"/>
  <c r="O289"/>
  <c r="J290"/>
  <c r="O290"/>
  <c r="J291"/>
  <c r="O291"/>
  <c r="J292"/>
  <c r="O292"/>
  <c r="J293"/>
  <c r="O293"/>
  <c r="J294"/>
  <c r="O294"/>
  <c r="J295"/>
  <c r="O295"/>
  <c r="J296"/>
  <c r="O296"/>
  <c r="J297"/>
  <c r="O297"/>
  <c r="J298"/>
  <c r="O298"/>
  <c r="J299"/>
  <c r="O299"/>
  <c r="J300"/>
  <c r="O300"/>
  <c r="J301"/>
  <c r="O301"/>
  <c r="J302"/>
  <c r="O302"/>
  <c r="J303"/>
  <c r="O303"/>
  <c r="J304"/>
  <c r="O304"/>
  <c r="J305"/>
  <c r="O305"/>
  <c r="J306"/>
  <c r="O306"/>
  <c r="J307"/>
  <c r="O307"/>
  <c r="J308"/>
  <c r="O308"/>
  <c r="J309"/>
  <c r="O309"/>
  <c r="J310"/>
  <c r="O310"/>
  <c r="J311"/>
  <c r="O311"/>
  <c r="J312"/>
  <c r="O312"/>
  <c r="J313"/>
  <c r="O313"/>
  <c r="J314"/>
  <c r="O314"/>
  <c r="J315"/>
  <c r="O315"/>
  <c r="J316"/>
  <c r="O316"/>
  <c r="J317"/>
  <c r="O317"/>
  <c r="J318"/>
  <c r="O318"/>
  <c r="J319"/>
  <c r="O319"/>
  <c r="J320"/>
  <c r="O320"/>
  <c r="J321"/>
  <c r="O321"/>
  <c r="J322"/>
  <c r="O322"/>
  <c r="J323"/>
  <c r="O323"/>
  <c r="J324"/>
  <c r="O324"/>
  <c r="J325"/>
  <c r="O325"/>
  <c r="J326"/>
  <c r="O326"/>
  <c r="J327"/>
  <c r="O327"/>
  <c r="J328"/>
  <c r="O328"/>
  <c r="J329"/>
  <c r="O329"/>
  <c r="J330"/>
  <c r="O330"/>
  <c r="J331"/>
  <c r="O331"/>
  <c r="J332"/>
  <c r="O332"/>
  <c r="J333"/>
  <c r="O333"/>
  <c r="J334"/>
  <c r="O334"/>
  <c r="J335"/>
  <c r="O335"/>
  <c r="J336"/>
  <c r="O336"/>
  <c r="J337"/>
  <c r="O337"/>
  <c r="J338"/>
  <c r="O338"/>
  <c r="J339"/>
  <c r="O339"/>
  <c r="J340"/>
  <c r="O340"/>
  <c r="J341"/>
  <c r="O341"/>
  <c r="J342"/>
  <c r="O342"/>
  <c r="J343"/>
  <c r="O343"/>
  <c r="J344"/>
  <c r="O344"/>
  <c r="J345"/>
  <c r="O345"/>
  <c r="J346"/>
  <c r="O346"/>
  <c r="J347"/>
  <c r="O347"/>
  <c r="J348"/>
  <c r="O348"/>
  <c r="J349"/>
  <c r="O349"/>
  <c r="J350"/>
  <c r="O350"/>
  <c r="J351"/>
  <c r="O351"/>
  <c r="J352"/>
  <c r="O352"/>
  <c r="J353"/>
  <c r="O353"/>
  <c r="J354"/>
  <c r="O354"/>
  <c r="J355"/>
  <c r="O355"/>
  <c r="J356"/>
  <c r="O356"/>
  <c r="J357"/>
  <c r="O357"/>
  <c r="J358"/>
  <c r="O358"/>
  <c r="J359"/>
  <c r="O359"/>
  <c r="J360"/>
  <c r="O360"/>
  <c r="J361"/>
  <c r="O361"/>
  <c r="J362"/>
  <c r="O362"/>
  <c r="J363"/>
  <c r="O363"/>
  <c r="J364"/>
  <c r="O364"/>
  <c r="J365"/>
  <c r="O365"/>
  <c r="J366"/>
  <c r="O366"/>
  <c r="J367"/>
  <c r="O367"/>
  <c r="J368"/>
  <c r="O368"/>
  <c r="J369"/>
  <c r="O369"/>
  <c r="J370"/>
  <c r="O370"/>
  <c r="J371"/>
  <c r="O371"/>
  <c r="J372"/>
  <c r="O372"/>
  <c r="J373"/>
  <c r="O373"/>
  <c r="J374"/>
  <c r="O374"/>
  <c r="J375"/>
  <c r="O375"/>
  <c r="J376"/>
  <c r="O376"/>
  <c r="J377"/>
  <c r="O377"/>
  <c r="J378"/>
  <c r="O378"/>
  <c r="J379"/>
  <c r="O379"/>
  <c r="J380"/>
  <c r="O380"/>
  <c r="J381"/>
  <c r="O381"/>
  <c r="J382"/>
  <c r="O382"/>
  <c r="J383"/>
  <c r="O383"/>
  <c r="J384"/>
  <c r="O384"/>
  <c r="J385"/>
  <c r="O385"/>
  <c r="J386"/>
  <c r="O386"/>
  <c r="J387"/>
  <c r="O387"/>
  <c r="J388"/>
  <c r="O388"/>
  <c r="J389"/>
  <c r="O389"/>
  <c r="J390"/>
  <c r="O390"/>
  <c r="J391"/>
  <c r="O391"/>
  <c r="J392"/>
  <c r="O392"/>
  <c r="J393"/>
  <c r="O393"/>
  <c r="J394"/>
  <c r="O394"/>
  <c r="J395"/>
  <c r="O395"/>
  <c r="J396"/>
  <c r="O396"/>
  <c r="J397"/>
  <c r="O397"/>
  <c r="J398"/>
  <c r="O398"/>
  <c r="J399"/>
  <c r="O399"/>
  <c r="J400"/>
  <c r="O400"/>
  <c r="J401"/>
  <c r="O401"/>
  <c r="J402"/>
  <c r="O402"/>
  <c r="J403"/>
  <c r="O403"/>
  <c r="J404"/>
  <c r="O404"/>
  <c r="J405"/>
  <c r="O405"/>
  <c r="J406"/>
  <c r="O406"/>
  <c r="J407"/>
  <c r="O407"/>
  <c r="J408"/>
  <c r="O408"/>
  <c r="J409"/>
  <c r="O409"/>
  <c r="J410"/>
  <c r="O410"/>
  <c r="J411"/>
  <c r="O411"/>
  <c r="J412"/>
  <c r="O412"/>
  <c r="J413"/>
  <c r="O413"/>
  <c r="J414"/>
  <c r="O414"/>
  <c r="J415"/>
  <c r="O415"/>
  <c r="J416"/>
  <c r="O416"/>
  <c r="J417"/>
  <c r="O417"/>
  <c r="J418"/>
  <c r="O418"/>
  <c r="J419"/>
  <c r="O419"/>
  <c r="J420"/>
  <c r="O420"/>
  <c r="J421"/>
  <c r="O421"/>
  <c r="J422"/>
  <c r="O422"/>
  <c r="J423"/>
  <c r="O423"/>
  <c r="J424"/>
  <c r="O424"/>
  <c r="J425"/>
  <c r="O425"/>
  <c r="J426"/>
  <c r="O426"/>
  <c r="J427"/>
  <c r="O427"/>
  <c r="J428"/>
  <c r="O428"/>
  <c r="J429"/>
  <c r="O429"/>
  <c r="J430"/>
  <c r="O430"/>
  <c r="J431"/>
  <c r="O431"/>
  <c r="J432"/>
  <c r="O432"/>
  <c r="J433"/>
  <c r="O433"/>
  <c r="J434"/>
  <c r="O434"/>
  <c r="J435"/>
  <c r="O435"/>
  <c r="J436"/>
  <c r="O436"/>
  <c r="J437"/>
  <c r="O437"/>
  <c r="J438"/>
  <c r="O438"/>
  <c r="J439"/>
  <c r="O439"/>
  <c r="J440"/>
  <c r="O440"/>
  <c r="J441"/>
  <c r="O441"/>
  <c r="J442"/>
  <c r="O442"/>
  <c r="J443"/>
  <c r="O443"/>
  <c r="J444"/>
  <c r="O444"/>
  <c r="J445"/>
  <c r="O445"/>
  <c r="J446"/>
  <c r="O446"/>
  <c r="J447"/>
  <c r="O447"/>
  <c r="J448"/>
  <c r="O448"/>
  <c r="J449"/>
  <c r="O449"/>
  <c r="J450"/>
  <c r="O450"/>
  <c r="J451"/>
  <c r="O451"/>
  <c r="J452"/>
  <c r="O452"/>
  <c r="J453"/>
  <c r="O453"/>
  <c r="J454"/>
  <c r="O454"/>
  <c r="J455"/>
  <c r="O455"/>
  <c r="J456"/>
  <c r="O456"/>
  <c r="J457"/>
  <c r="O457"/>
  <c r="J458"/>
  <c r="O458"/>
  <c r="J459"/>
  <c r="O459"/>
  <c r="J460"/>
  <c r="O460"/>
  <c r="J461"/>
  <c r="O461"/>
  <c r="J462"/>
  <c r="O462"/>
  <c r="J463"/>
  <c r="O463"/>
  <c r="J464"/>
  <c r="O464"/>
  <c r="J465"/>
  <c r="O465"/>
  <c r="J466"/>
  <c r="O466"/>
  <c r="J467"/>
  <c r="O467"/>
  <c r="J468"/>
  <c r="O468"/>
  <c r="J469"/>
  <c r="O469"/>
  <c r="J470"/>
  <c r="O470"/>
  <c r="J471"/>
  <c r="O471"/>
  <c r="J472"/>
  <c r="O472"/>
  <c r="J473"/>
  <c r="O473"/>
  <c r="J474"/>
  <c r="O474"/>
  <c r="J475"/>
  <c r="O475"/>
  <c r="J476"/>
  <c r="O476"/>
  <c r="J477"/>
  <c r="O477"/>
  <c r="J478"/>
  <c r="O478"/>
  <c r="J479"/>
  <c r="O479"/>
  <c r="J480"/>
  <c r="O480"/>
  <c r="J481"/>
  <c r="O481"/>
  <c r="J482"/>
  <c r="O482"/>
  <c r="J483"/>
  <c r="O483"/>
  <c r="J484"/>
  <c r="O484"/>
  <c r="J485"/>
  <c r="O485"/>
  <c r="J486"/>
  <c r="O486"/>
  <c r="J487"/>
  <c r="O487"/>
  <c r="J488"/>
  <c r="O488"/>
  <c r="J489"/>
  <c r="O489"/>
  <c r="J490"/>
  <c r="O490"/>
  <c r="J491"/>
  <c r="O491"/>
  <c r="J492"/>
  <c r="O492"/>
  <c r="J493"/>
  <c r="O493"/>
  <c r="J494"/>
  <c r="O494"/>
  <c r="J495"/>
  <c r="O495"/>
  <c r="J496"/>
  <c r="O496"/>
  <c r="J497"/>
  <c r="O497"/>
  <c r="J498"/>
  <c r="O498"/>
  <c r="J499"/>
  <c r="O499"/>
  <c r="J500"/>
  <c r="O500"/>
  <c r="J501"/>
  <c r="O501"/>
  <c r="J502"/>
  <c r="O502"/>
  <c r="J503"/>
  <c r="O503"/>
  <c r="J504"/>
  <c r="O504"/>
  <c r="J505"/>
  <c r="O505"/>
  <c r="J506"/>
  <c r="O506"/>
  <c r="J507"/>
  <c r="O507"/>
  <c r="J508"/>
  <c r="O508"/>
  <c r="J509"/>
  <c r="O509"/>
  <c r="J510"/>
  <c r="O510"/>
  <c r="J511"/>
  <c r="O511"/>
  <c r="J512"/>
  <c r="O512"/>
  <c r="J513"/>
  <c r="O513"/>
  <c r="J514"/>
  <c r="O514"/>
  <c r="J515"/>
  <c r="O515"/>
  <c r="J516"/>
  <c r="O516"/>
  <c r="J517"/>
  <c r="O517"/>
  <c r="J518"/>
  <c r="O518"/>
  <c r="J519"/>
  <c r="O519"/>
  <c r="J520"/>
  <c r="O520"/>
  <c r="J521"/>
  <c r="O521"/>
  <c r="J522"/>
  <c r="O522"/>
  <c r="J523"/>
  <c r="O523"/>
  <c r="J524"/>
  <c r="O524"/>
  <c r="J525"/>
  <c r="O525"/>
  <c r="J526"/>
  <c r="O526"/>
  <c r="J527"/>
  <c r="O527"/>
  <c r="J528"/>
  <c r="O528"/>
  <c r="J529"/>
  <c r="O529"/>
  <c r="J530"/>
  <c r="O530"/>
  <c r="J531"/>
  <c r="O531"/>
  <c r="J532"/>
  <c r="O532"/>
  <c r="J533"/>
  <c r="O533"/>
  <c r="J534"/>
  <c r="O534"/>
  <c r="J535"/>
  <c r="O535"/>
  <c r="J536"/>
  <c r="O536"/>
  <c r="J537"/>
  <c r="O537"/>
  <c r="J538"/>
  <c r="O538"/>
  <c r="J539"/>
  <c r="O539"/>
  <c r="J540"/>
  <c r="O540"/>
  <c r="J541"/>
  <c r="O541"/>
  <c r="J542"/>
  <c r="O542"/>
  <c r="J543"/>
  <c r="O543"/>
  <c r="J544"/>
  <c r="O544"/>
  <c r="J545"/>
  <c r="O545"/>
  <c r="J546"/>
  <c r="O546"/>
  <c r="J547"/>
  <c r="O547"/>
  <c r="J548"/>
  <c r="O548"/>
  <c r="J549"/>
  <c r="O549"/>
  <c r="J550"/>
  <c r="O550"/>
  <c r="J551"/>
  <c r="O551"/>
  <c r="J552"/>
  <c r="O552"/>
  <c r="J553"/>
  <c r="O553"/>
  <c r="J554"/>
  <c r="O554"/>
  <c r="J555"/>
  <c r="O555"/>
  <c r="J556"/>
  <c r="O556"/>
  <c r="J557"/>
  <c r="O557"/>
  <c r="J558"/>
  <c r="O558"/>
  <c r="J559"/>
  <c r="O559"/>
  <c r="J560"/>
  <c r="O560"/>
  <c r="J561"/>
  <c r="O561"/>
  <c r="J562"/>
  <c r="O562"/>
  <c r="J563"/>
  <c r="O563"/>
  <c r="J564"/>
  <c r="O564"/>
  <c r="J565"/>
  <c r="O565"/>
  <c r="J566"/>
  <c r="O566"/>
  <c r="J567"/>
  <c r="O567"/>
  <c r="J568"/>
  <c r="O568"/>
  <c r="J569"/>
  <c r="O569"/>
  <c r="J570"/>
  <c r="O570"/>
  <c r="J571"/>
  <c r="O571"/>
  <c r="J572"/>
  <c r="O572"/>
  <c r="J573"/>
  <c r="O573"/>
  <c r="J574"/>
  <c r="O574"/>
  <c r="J575"/>
  <c r="O575"/>
  <c r="J576"/>
  <c r="O576"/>
  <c r="J577"/>
  <c r="O577"/>
  <c r="J578"/>
  <c r="O578"/>
  <c r="J579"/>
  <c r="O579"/>
  <c r="J580"/>
  <c r="O580"/>
  <c r="J581"/>
  <c r="O581"/>
  <c r="J582"/>
  <c r="O582"/>
  <c r="J583"/>
  <c r="O583"/>
  <c r="J584"/>
  <c r="O584"/>
  <c r="J585"/>
  <c r="O585"/>
  <c r="J586"/>
  <c r="O586"/>
  <c r="J587"/>
  <c r="O587"/>
  <c r="J588"/>
  <c r="O588"/>
  <c r="J589"/>
  <c r="O589"/>
  <c r="J590"/>
  <c r="O590"/>
  <c r="J591"/>
  <c r="O591"/>
  <c r="J592"/>
  <c r="O592"/>
  <c r="J593"/>
  <c r="O593"/>
  <c r="J594"/>
  <c r="O594"/>
  <c r="J595"/>
  <c r="O595"/>
  <c r="J596"/>
  <c r="O596"/>
  <c r="J597"/>
  <c r="O597"/>
  <c r="J598"/>
  <c r="O598"/>
  <c r="J599"/>
  <c r="O599"/>
  <c r="J600"/>
  <c r="O600"/>
  <c r="J601"/>
  <c r="O601"/>
  <c r="J602"/>
  <c r="O602"/>
  <c r="J603"/>
  <c r="O603"/>
  <c r="J604"/>
  <c r="O604"/>
  <c r="J605"/>
  <c r="O605"/>
  <c r="J606"/>
  <c r="O606"/>
  <c r="J607"/>
  <c r="O607"/>
  <c r="J608"/>
  <c r="O608"/>
  <c r="J609"/>
  <c r="O609"/>
  <c r="J610"/>
  <c r="O610"/>
  <c r="J611"/>
  <c r="O611"/>
  <c r="J612"/>
  <c r="O612"/>
  <c r="J613"/>
  <c r="O613"/>
  <c r="J614"/>
  <c r="O614"/>
  <c r="J615"/>
  <c r="O615"/>
  <c r="J616"/>
  <c r="O616"/>
  <c r="J617"/>
  <c r="O617"/>
  <c r="J618"/>
  <c r="O618"/>
  <c r="J619"/>
  <c r="O619"/>
  <c r="J620"/>
  <c r="O620"/>
  <c r="J621"/>
  <c r="O621"/>
  <c r="J622"/>
  <c r="O622"/>
  <c r="J623"/>
  <c r="O623"/>
  <c r="J624"/>
  <c r="O624"/>
  <c r="J625"/>
  <c r="O625"/>
  <c r="J626"/>
  <c r="O626"/>
  <c r="J627"/>
  <c r="O627"/>
  <c r="J628"/>
  <c r="O628"/>
  <c r="J629"/>
  <c r="O629"/>
  <c r="J630"/>
  <c r="O630"/>
  <c r="J631"/>
  <c r="O631"/>
  <c r="J632"/>
  <c r="O632"/>
  <c r="J633"/>
  <c r="O633"/>
  <c r="J634"/>
  <c r="O634"/>
  <c r="J635"/>
  <c r="O635"/>
  <c r="J636"/>
  <c r="O636"/>
  <c r="J637"/>
  <c r="O637"/>
  <c r="J638"/>
  <c r="O638"/>
  <c r="J639"/>
  <c r="O639"/>
  <c r="J640"/>
  <c r="O640"/>
  <c r="J641"/>
  <c r="O641"/>
  <c r="J642"/>
  <c r="O642"/>
  <c r="J643"/>
  <c r="O643"/>
  <c r="J644"/>
  <c r="O644"/>
  <c r="J645"/>
  <c r="O645"/>
  <c r="J646"/>
  <c r="O646"/>
  <c r="J647"/>
  <c r="O647"/>
  <c r="J648"/>
  <c r="O648"/>
  <c r="J649"/>
  <c r="O649"/>
  <c r="J650"/>
  <c r="O650"/>
  <c r="J651"/>
  <c r="O651"/>
  <c r="J652"/>
  <c r="O652"/>
  <c r="J653"/>
  <c r="O653"/>
  <c r="J654"/>
  <c r="O654"/>
  <c r="J655"/>
  <c r="O655"/>
  <c r="J656"/>
  <c r="O656"/>
  <c r="J657"/>
  <c r="O657"/>
  <c r="J658"/>
  <c r="O658"/>
  <c r="J659"/>
  <c r="O659"/>
  <c r="J660"/>
  <c r="O660"/>
  <c r="J661"/>
  <c r="O661"/>
  <c r="J662"/>
  <c r="O662"/>
  <c r="J663"/>
  <c r="O663"/>
  <c r="J664"/>
  <c r="O664"/>
  <c r="J665"/>
  <c r="O665"/>
  <c r="J666"/>
  <c r="O666"/>
  <c r="J667"/>
  <c r="O667"/>
  <c r="J668"/>
  <c r="O668"/>
  <c r="F57" i="7"/>
  <c r="F68"/>
  <c r="N4"/>
  <c r="AV4"/>
  <c r="BF4"/>
  <c r="CC4"/>
  <c r="CK4"/>
  <c r="N5"/>
  <c r="AV5"/>
  <c r="BF5"/>
  <c r="CC5"/>
  <c r="CK5"/>
  <c r="N6"/>
  <c r="AV6"/>
  <c r="BF6"/>
  <c r="BF7"/>
  <c r="BF8"/>
  <c r="BF9"/>
  <c r="BF10"/>
  <c r="BF11"/>
  <c r="BF12"/>
  <c r="BF13"/>
  <c r="BF14"/>
  <c r="BF15"/>
  <c r="BF16"/>
  <c r="BF17"/>
  <c r="BF18"/>
  <c r="BF19"/>
  <c r="BF20"/>
  <c r="BF21"/>
  <c r="BF22"/>
  <c r="BF23"/>
  <c r="BF24"/>
  <c r="BF25"/>
  <c r="BF26"/>
  <c r="BF27"/>
  <c r="BF28"/>
  <c r="BF29"/>
  <c r="BF30"/>
  <c r="BF31"/>
  <c r="BF32"/>
  <c r="BF33"/>
  <c r="BF34"/>
  <c r="BF35"/>
  <c r="BF36"/>
  <c r="BF37"/>
  <c r="BF38"/>
  <c r="BF39"/>
  <c r="BF40"/>
  <c r="BF41"/>
  <c r="BF42"/>
  <c r="BF43"/>
  <c r="BF44"/>
  <c r="BF45"/>
  <c r="BF46"/>
  <c r="BF47"/>
  <c r="BF48"/>
  <c r="BF49"/>
  <c r="BF50"/>
  <c r="BF51"/>
  <c r="BF52"/>
  <c r="BF53"/>
  <c r="BF54"/>
  <c r="BF55"/>
  <c r="BF56"/>
  <c r="BF57"/>
  <c r="BF58"/>
  <c r="CC6"/>
  <c r="CK6"/>
  <c r="N7"/>
  <c r="AV7"/>
  <c r="CC7"/>
  <c r="CK7"/>
  <c r="N8"/>
  <c r="AV8"/>
  <c r="CC8"/>
  <c r="CK8"/>
  <c r="N9"/>
  <c r="AV9"/>
  <c r="CC9"/>
  <c r="CK9"/>
  <c r="N10"/>
  <c r="AV10"/>
  <c r="CC10"/>
  <c r="CK10"/>
  <c r="N11"/>
  <c r="AV11"/>
  <c r="CC11"/>
  <c r="CK11"/>
  <c r="N12"/>
  <c r="AV12"/>
  <c r="CC12"/>
  <c r="CK12"/>
  <c r="N13"/>
  <c r="AV13"/>
  <c r="CC13"/>
  <c r="CK13"/>
  <c r="N14"/>
  <c r="AV14"/>
  <c r="CC14"/>
  <c r="CK14"/>
  <c r="N15"/>
  <c r="AV15"/>
  <c r="CC15"/>
  <c r="CK15"/>
  <c r="N16"/>
  <c r="AV16"/>
  <c r="CC16"/>
  <c r="CK16"/>
  <c r="N17"/>
  <c r="AV17"/>
  <c r="CC17"/>
  <c r="CK17"/>
  <c r="N18"/>
  <c r="AV18"/>
  <c r="CC18"/>
  <c r="CK18"/>
  <c r="N19"/>
  <c r="AV19"/>
  <c r="CC19"/>
  <c r="CK19"/>
  <c r="N20"/>
  <c r="AV20"/>
  <c r="CC20"/>
  <c r="CK20"/>
  <c r="N21"/>
  <c r="AV21"/>
  <c r="CC21"/>
  <c r="CK21"/>
  <c r="N22"/>
  <c r="AV22"/>
  <c r="CC23"/>
  <c r="CK23"/>
  <c r="CL22"/>
  <c r="CC22"/>
  <c r="CK22"/>
  <c r="N23"/>
  <c r="AV23"/>
  <c r="N24"/>
  <c r="AV24"/>
  <c r="CC24"/>
  <c r="CK24"/>
  <c r="N25"/>
  <c r="AV25"/>
  <c r="CC26"/>
  <c r="CK26"/>
  <c r="CL25"/>
  <c r="CC25"/>
  <c r="CK25"/>
  <c r="N26"/>
  <c r="AV26"/>
  <c r="N27"/>
  <c r="AV27"/>
  <c r="CC27"/>
  <c r="CK27"/>
  <c r="N28"/>
  <c r="AV28"/>
  <c r="CC28"/>
  <c r="CK28"/>
  <c r="N29"/>
  <c r="AV29"/>
  <c r="CC29"/>
  <c r="CK29"/>
  <c r="N30"/>
  <c r="AV30"/>
  <c r="CC30"/>
  <c r="CK30"/>
  <c r="N31"/>
  <c r="AV31"/>
  <c r="CC31"/>
  <c r="CK31"/>
  <c r="N32"/>
  <c r="AV32"/>
  <c r="CC32"/>
  <c r="CK32"/>
  <c r="N33"/>
  <c r="AV33"/>
  <c r="CC33"/>
  <c r="CK33"/>
  <c r="N34"/>
  <c r="AV34"/>
  <c r="CC34"/>
  <c r="CK34"/>
  <c r="N35"/>
  <c r="AV35"/>
  <c r="CC35"/>
  <c r="CK35"/>
  <c r="N36"/>
  <c r="AV36"/>
  <c r="CC36"/>
  <c r="CK36"/>
  <c r="N37"/>
  <c r="AV37"/>
  <c r="CC37"/>
  <c r="CK37"/>
  <c r="N38"/>
  <c r="AV38"/>
  <c r="CC38"/>
  <c r="CK38"/>
  <c r="N39"/>
  <c r="AV39"/>
  <c r="CC39"/>
  <c r="CK39"/>
  <c r="N40"/>
  <c r="AV40"/>
  <c r="CC40"/>
  <c r="CK40"/>
  <c r="N41"/>
  <c r="AV41"/>
  <c r="CC41"/>
  <c r="CK41"/>
  <c r="N42"/>
  <c r="AV42"/>
  <c r="CC42"/>
  <c r="CK42"/>
  <c r="N43"/>
  <c r="AV43"/>
  <c r="CC43"/>
  <c r="CK43"/>
  <c r="N44"/>
  <c r="AV44"/>
  <c r="CC44"/>
  <c r="CK44"/>
  <c r="N45"/>
  <c r="AV45"/>
  <c r="CC45"/>
  <c r="CK45"/>
  <c r="N46"/>
  <c r="AV46"/>
  <c r="CC46"/>
  <c r="CK46"/>
  <c r="N47"/>
  <c r="AV47"/>
  <c r="CC47"/>
  <c r="CK47"/>
  <c r="N48"/>
  <c r="AV48"/>
  <c r="CC48"/>
  <c r="CK48"/>
  <c r="N49"/>
  <c r="AV49"/>
  <c r="CC49"/>
  <c r="CK49"/>
  <c r="N50"/>
  <c r="AV50"/>
  <c r="CC50"/>
  <c r="CK50"/>
  <c r="N51"/>
  <c r="AV51"/>
  <c r="CC51"/>
  <c r="CK51"/>
  <c r="N52"/>
  <c r="AV52"/>
  <c r="CC52"/>
  <c r="CK52"/>
  <c r="N53"/>
  <c r="AV53"/>
  <c r="CC53"/>
  <c r="CK53"/>
  <c r="N54"/>
  <c r="AV54"/>
  <c r="CC54"/>
  <c r="CK54"/>
  <c r="N55"/>
  <c r="AV55"/>
  <c r="CC55"/>
  <c r="CK55"/>
  <c r="N56"/>
  <c r="AV56"/>
  <c r="CC56"/>
  <c r="CK56"/>
  <c r="CK57"/>
  <c r="CK58"/>
  <c r="N60"/>
  <c r="AV60"/>
  <c r="BF60"/>
  <c r="BF61"/>
  <c r="BF62"/>
  <c r="BF63"/>
  <c r="BF64"/>
  <c r="BF65"/>
  <c r="BF66"/>
  <c r="BF67"/>
  <c r="BF68"/>
  <c r="CC60"/>
  <c r="CK60"/>
  <c r="CK61"/>
  <c r="CK62"/>
  <c r="CK63"/>
  <c r="CK64"/>
  <c r="CK65"/>
  <c r="CK66"/>
  <c r="CK67"/>
  <c r="CK68"/>
  <c r="CK69"/>
  <c r="N61"/>
  <c r="AV61"/>
  <c r="CC61"/>
  <c r="N62"/>
  <c r="AV62"/>
  <c r="CC62"/>
  <c r="N63"/>
  <c r="AV63"/>
  <c r="CC63"/>
  <c r="N64"/>
  <c r="AV64"/>
  <c r="CC64"/>
  <c r="N65"/>
  <c r="AV65"/>
  <c r="CC65"/>
  <c r="N66"/>
  <c r="AV66"/>
  <c r="CC66"/>
  <c r="N67"/>
  <c r="AV67"/>
  <c r="CC67"/>
  <c r="N68"/>
  <c r="N71"/>
  <c r="AV71"/>
  <c r="BF71"/>
  <c r="CC71"/>
  <c r="CK71"/>
  <c r="N72"/>
  <c r="N73"/>
  <c r="N74"/>
  <c r="N75"/>
  <c r="N76"/>
  <c r="N77"/>
  <c r="N78"/>
  <c r="N79"/>
  <c r="N80"/>
  <c r="N81"/>
  <c r="N82"/>
  <c r="AV72"/>
  <c r="BF72"/>
  <c r="BF73"/>
  <c r="BF74"/>
  <c r="BF75"/>
  <c r="BF76"/>
  <c r="BF77"/>
  <c r="BF78"/>
  <c r="BF79"/>
  <c r="BF80"/>
  <c r="BF81"/>
  <c r="BF82"/>
  <c r="F82"/>
  <c r="BF83"/>
  <c r="CC72"/>
  <c r="CK72"/>
  <c r="AV73"/>
  <c r="CC73"/>
  <c r="CK73"/>
  <c r="AV74"/>
  <c r="CC74"/>
  <c r="CK74"/>
  <c r="AV75"/>
  <c r="CC75"/>
  <c r="CK75"/>
  <c r="AV76"/>
  <c r="CC76"/>
  <c r="CK76"/>
  <c r="AV77"/>
  <c r="CC77"/>
  <c r="CK77"/>
  <c r="AV78"/>
  <c r="CC78"/>
  <c r="CK78"/>
  <c r="AV79"/>
  <c r="CC79"/>
  <c r="CK79"/>
  <c r="AV80"/>
  <c r="CC80"/>
  <c r="CK80"/>
  <c r="AV81"/>
  <c r="CC81"/>
  <c r="CK81"/>
  <c r="CK82"/>
  <c r="CK83"/>
  <c r="N85"/>
  <c r="AV85"/>
  <c r="BF85"/>
  <c r="CC85"/>
  <c r="CK85"/>
  <c r="N86"/>
  <c r="AV86"/>
  <c r="AV87"/>
  <c r="AV88"/>
  <c r="AV89"/>
  <c r="BF86"/>
  <c r="CC86"/>
  <c r="CK86"/>
  <c r="N87"/>
  <c r="BF87"/>
  <c r="CC87"/>
  <c r="CK87"/>
  <c r="N88"/>
  <c r="BF88"/>
  <c r="CC88"/>
  <c r="CK88"/>
  <c r="F89"/>
  <c r="CC89"/>
  <c r="CC90"/>
  <c r="CL85"/>
  <c r="N89"/>
  <c r="CL87"/>
  <c r="CK89"/>
  <c r="CK90"/>
  <c r="BF89"/>
  <c r="BF90"/>
  <c r="CC82"/>
  <c r="CC83"/>
  <c r="AV82"/>
  <c r="AV83"/>
  <c r="CC57"/>
  <c r="CC58"/>
  <c r="AV57"/>
  <c r="AV58"/>
  <c r="N69"/>
  <c r="CL88"/>
  <c r="CL86"/>
  <c r="CC68"/>
  <c r="CC69"/>
  <c r="AV68"/>
  <c r="AV69"/>
  <c r="N90"/>
  <c r="BF69"/>
  <c r="CL69"/>
  <c r="AV90"/>
  <c r="CL90"/>
  <c r="CL89"/>
  <c r="N83"/>
  <c r="CL83"/>
  <c r="CL82"/>
  <c r="CL68"/>
  <c r="N57"/>
  <c r="N58"/>
  <c r="CL58"/>
  <c r="CL57"/>
  <c r="CK636" i="5"/>
  <c r="CK638"/>
  <c r="BF636"/>
  <c r="BF638"/>
  <c r="BF629"/>
  <c r="BF631"/>
  <c r="O637"/>
  <c r="AV637"/>
  <c r="O630"/>
  <c r="AV630"/>
  <c r="O623"/>
  <c r="AV623"/>
  <c r="O616"/>
  <c r="AV616"/>
  <c r="O4"/>
  <c r="O5"/>
  <c r="O6"/>
  <c r="O7"/>
  <c r="O8"/>
  <c r="O9"/>
  <c r="O10"/>
  <c r="O11"/>
  <c r="O12"/>
  <c r="O13"/>
  <c r="O14"/>
  <c r="O15"/>
  <c r="O16"/>
  <c r="O17"/>
  <c r="O18"/>
  <c r="O19"/>
  <c r="O20"/>
  <c r="O21"/>
  <c r="O22"/>
  <c r="O23"/>
  <c r="O24"/>
  <c r="O25"/>
  <c r="O26"/>
  <c r="O27"/>
  <c r="O28"/>
  <c r="O29"/>
  <c r="O30"/>
  <c r="O31"/>
  <c r="O32"/>
  <c r="O33"/>
  <c r="O34"/>
  <c r="O35"/>
  <c r="O36"/>
  <c r="O37"/>
  <c r="O38"/>
  <c r="O39"/>
  <c r="O40"/>
  <c r="O41"/>
  <c r="O42"/>
  <c r="O43"/>
  <c r="O44"/>
  <c r="O45"/>
  <c r="O46"/>
  <c r="O47"/>
  <c r="O48"/>
  <c r="O49"/>
  <c r="O50"/>
  <c r="O51"/>
  <c r="O52"/>
  <c r="O53"/>
  <c r="O54"/>
  <c r="O55"/>
  <c r="O56"/>
  <c r="O57"/>
  <c r="O58"/>
  <c r="O59"/>
  <c r="O60"/>
  <c r="O61"/>
  <c r="O62"/>
  <c r="O63"/>
  <c r="O64"/>
  <c r="O65"/>
  <c r="O66"/>
  <c r="O67"/>
  <c r="O68"/>
  <c r="O69"/>
  <c r="O70"/>
  <c r="O71"/>
  <c r="O72"/>
  <c r="O73"/>
  <c r="O74"/>
  <c r="O75"/>
  <c r="O76"/>
  <c r="O77"/>
  <c r="O78"/>
  <c r="O79"/>
  <c r="O80"/>
  <c r="O81"/>
  <c r="O82"/>
  <c r="O83"/>
  <c r="O84"/>
  <c r="O85"/>
  <c r="O86"/>
  <c r="O87"/>
  <c r="O88"/>
  <c r="O89"/>
  <c r="O90"/>
  <c r="O91"/>
  <c r="O92"/>
  <c r="O93"/>
  <c r="O94"/>
  <c r="O95"/>
  <c r="O96"/>
  <c r="O97"/>
  <c r="O98"/>
  <c r="O99"/>
  <c r="O100"/>
  <c r="O101"/>
  <c r="O102"/>
  <c r="O103"/>
  <c r="O104"/>
  <c r="O105"/>
  <c r="O106"/>
  <c r="O107"/>
  <c r="O108"/>
  <c r="O109"/>
  <c r="O110"/>
  <c r="O111"/>
  <c r="O112"/>
  <c r="O113"/>
  <c r="O114"/>
  <c r="O115"/>
  <c r="O116"/>
  <c r="O117"/>
  <c r="O118"/>
  <c r="O119"/>
  <c r="O120"/>
  <c r="O121"/>
  <c r="O122"/>
  <c r="O123"/>
  <c r="O124"/>
  <c r="O125"/>
  <c r="O126"/>
  <c r="O127"/>
  <c r="O128"/>
  <c r="O129"/>
  <c r="O130"/>
  <c r="O131"/>
  <c r="O132"/>
  <c r="O133"/>
  <c r="O134"/>
  <c r="O135"/>
  <c r="O136"/>
  <c r="O137"/>
  <c r="O138"/>
  <c r="O139"/>
  <c r="O140"/>
  <c r="O141"/>
  <c r="O142"/>
  <c r="O143"/>
  <c r="O144"/>
  <c r="O145"/>
  <c r="O146"/>
  <c r="O147"/>
  <c r="O148"/>
  <c r="O149"/>
  <c r="O150"/>
  <c r="O151"/>
  <c r="O152"/>
  <c r="O153"/>
  <c r="O154"/>
  <c r="O155"/>
  <c r="O156"/>
  <c r="O157"/>
  <c r="O158"/>
  <c r="O159"/>
  <c r="O160"/>
  <c r="O161"/>
  <c r="O162"/>
  <c r="O163"/>
  <c r="O164"/>
  <c r="O165"/>
  <c r="O166"/>
  <c r="O167"/>
  <c r="O168"/>
  <c r="O169"/>
  <c r="O170"/>
  <c r="O171"/>
  <c r="O172"/>
  <c r="O173"/>
  <c r="O174"/>
  <c r="O175"/>
  <c r="O176"/>
  <c r="O177"/>
  <c r="O178"/>
  <c r="O179"/>
  <c r="O180"/>
  <c r="O181"/>
  <c r="O182"/>
  <c r="O183"/>
  <c r="O184"/>
  <c r="O185"/>
  <c r="O186"/>
  <c r="O187"/>
  <c r="O188"/>
  <c r="O189"/>
  <c r="O190"/>
  <c r="O191"/>
  <c r="O192"/>
  <c r="O193"/>
  <c r="O194"/>
  <c r="O195"/>
  <c r="O196"/>
  <c r="O197"/>
  <c r="O198"/>
  <c r="O199"/>
  <c r="O200"/>
  <c r="O201"/>
  <c r="O202"/>
  <c r="O203"/>
  <c r="O204"/>
  <c r="O205"/>
  <c r="O206"/>
  <c r="O207"/>
  <c r="O208"/>
  <c r="O209"/>
  <c r="O210"/>
  <c r="O211"/>
  <c r="O212"/>
  <c r="O213"/>
  <c r="O214"/>
  <c r="O215"/>
  <c r="O216"/>
  <c r="O217"/>
  <c r="O218"/>
  <c r="O219"/>
  <c r="O220"/>
  <c r="O221"/>
  <c r="O222"/>
  <c r="O223"/>
  <c r="O224"/>
  <c r="O225"/>
  <c r="O226"/>
  <c r="O227"/>
  <c r="O228"/>
  <c r="O229"/>
  <c r="O230"/>
  <c r="O231"/>
  <c r="O232"/>
  <c r="O233"/>
  <c r="O234"/>
  <c r="O235"/>
  <c r="O236"/>
  <c r="O237"/>
  <c r="O238"/>
  <c r="O240"/>
  <c r="O241"/>
  <c r="O242"/>
  <c r="O243"/>
  <c r="O244"/>
  <c r="O245"/>
  <c r="O246"/>
  <c r="O247"/>
  <c r="O248"/>
  <c r="O249"/>
  <c r="O250"/>
  <c r="O251"/>
  <c r="O252"/>
  <c r="O253"/>
  <c r="O254"/>
  <c r="O255"/>
  <c r="O256"/>
  <c r="O257"/>
  <c r="O258"/>
  <c r="O259"/>
  <c r="O260"/>
  <c r="O261"/>
  <c r="O262"/>
  <c r="O263"/>
  <c r="O264"/>
  <c r="O265"/>
  <c r="O266"/>
  <c r="O267"/>
  <c r="O268"/>
  <c r="O269"/>
  <c r="O270"/>
  <c r="O271"/>
  <c r="O272"/>
  <c r="O273"/>
  <c r="O274"/>
  <c r="O275"/>
  <c r="O276"/>
  <c r="O277"/>
  <c r="O278"/>
  <c r="O279"/>
  <c r="O280"/>
  <c r="O281"/>
  <c r="O282"/>
  <c r="O283"/>
  <c r="O284"/>
  <c r="O285"/>
  <c r="O286"/>
  <c r="O287"/>
  <c r="O288"/>
  <c r="O289"/>
  <c r="O290"/>
  <c r="O291"/>
  <c r="O292"/>
  <c r="O293"/>
  <c r="O294"/>
  <c r="O295"/>
  <c r="O296"/>
  <c r="O297"/>
  <c r="O298"/>
  <c r="O299"/>
  <c r="O300"/>
  <c r="O301"/>
  <c r="O302"/>
  <c r="O303"/>
  <c r="O304"/>
  <c r="O305"/>
  <c r="O306"/>
  <c r="O307"/>
  <c r="O308"/>
  <c r="O309"/>
  <c r="O310"/>
  <c r="O311"/>
  <c r="O312"/>
  <c r="O313"/>
  <c r="O314"/>
  <c r="O315"/>
  <c r="O316"/>
  <c r="O317"/>
  <c r="O318"/>
  <c r="O319"/>
  <c r="O320"/>
  <c r="O321"/>
  <c r="O322"/>
  <c r="O323"/>
  <c r="O324"/>
  <c r="O325"/>
  <c r="O326"/>
  <c r="O327"/>
  <c r="O328"/>
  <c r="O329"/>
  <c r="O330"/>
  <c r="O331"/>
  <c r="O332"/>
  <c r="O333"/>
  <c r="O334"/>
  <c r="O335"/>
  <c r="O336"/>
  <c r="O337"/>
  <c r="O338"/>
  <c r="O339"/>
  <c r="O340"/>
  <c r="O341"/>
  <c r="O342"/>
  <c r="O343"/>
  <c r="O344"/>
  <c r="O345"/>
  <c r="O346"/>
  <c r="O347"/>
  <c r="O348"/>
  <c r="O349"/>
  <c r="O350"/>
  <c r="O351"/>
  <c r="O352"/>
  <c r="O353"/>
  <c r="O354"/>
  <c r="O355"/>
  <c r="O356"/>
  <c r="O357"/>
  <c r="O358"/>
  <c r="O359"/>
  <c r="O360"/>
  <c r="O361"/>
  <c r="O362"/>
  <c r="O363"/>
  <c r="O364"/>
  <c r="O365"/>
  <c r="O366"/>
  <c r="O367"/>
  <c r="O368"/>
  <c r="O369"/>
  <c r="O370"/>
  <c r="O371"/>
  <c r="O372"/>
  <c r="O373"/>
  <c r="O374"/>
  <c r="O375"/>
  <c r="O376"/>
  <c r="O377"/>
  <c r="O378"/>
  <c r="O379"/>
  <c r="O380"/>
  <c r="O381"/>
  <c r="O382"/>
  <c r="O383"/>
  <c r="O384"/>
  <c r="O385"/>
  <c r="O386"/>
  <c r="O387"/>
  <c r="O388"/>
  <c r="O389"/>
  <c r="O390"/>
  <c r="O391"/>
  <c r="O392"/>
  <c r="O393"/>
  <c r="O394"/>
  <c r="O395"/>
  <c r="O396"/>
  <c r="O397"/>
  <c r="O398"/>
  <c r="O399"/>
  <c r="O400"/>
  <c r="O401"/>
  <c r="O402"/>
  <c r="O403"/>
  <c r="O404"/>
  <c r="O405"/>
  <c r="O406"/>
  <c r="O407"/>
  <c r="O408"/>
  <c r="O409"/>
  <c r="O410"/>
  <c r="O411"/>
  <c r="O412"/>
  <c r="O413"/>
  <c r="O414"/>
  <c r="O415"/>
  <c r="O416"/>
  <c r="O417"/>
  <c r="O418"/>
  <c r="O419"/>
  <c r="O420"/>
  <c r="O421"/>
  <c r="O422"/>
  <c r="O423"/>
  <c r="O424"/>
  <c r="O425"/>
  <c r="O426"/>
  <c r="O427"/>
  <c r="O428"/>
  <c r="O429"/>
  <c r="O430"/>
  <c r="O431"/>
  <c r="O432"/>
  <c r="O433"/>
  <c r="O434"/>
  <c r="O435"/>
  <c r="O436"/>
  <c r="O437"/>
  <c r="O438"/>
  <c r="O439"/>
  <c r="O440"/>
  <c r="O441"/>
  <c r="O442"/>
  <c r="O443"/>
  <c r="O444"/>
  <c r="O445"/>
  <c r="O446"/>
  <c r="O447"/>
  <c r="O448"/>
  <c r="O449"/>
  <c r="O450"/>
  <c r="O451"/>
  <c r="O452"/>
  <c r="O453"/>
  <c r="O454"/>
  <c r="O455"/>
  <c r="O456"/>
  <c r="O457"/>
  <c r="O458"/>
  <c r="O459"/>
  <c r="O460"/>
  <c r="O461"/>
  <c r="O462"/>
  <c r="O463"/>
  <c r="O464"/>
  <c r="O465"/>
  <c r="O466"/>
  <c r="O467"/>
  <c r="O468"/>
  <c r="O469"/>
  <c r="O470"/>
  <c r="O471"/>
  <c r="O472"/>
  <c r="O473"/>
  <c r="O474"/>
  <c r="O475"/>
  <c r="O476"/>
  <c r="O477"/>
  <c r="O478"/>
  <c r="O479"/>
  <c r="O480"/>
  <c r="O481"/>
  <c r="O482"/>
  <c r="O483"/>
  <c r="O484"/>
  <c r="O485"/>
  <c r="O486"/>
  <c r="O487"/>
  <c r="O488"/>
  <c r="O489"/>
  <c r="O490"/>
  <c r="O491"/>
  <c r="O492"/>
  <c r="O493"/>
  <c r="O494"/>
  <c r="O495"/>
  <c r="O496"/>
  <c r="O497"/>
  <c r="O498"/>
  <c r="O499"/>
  <c r="O500"/>
  <c r="O501"/>
  <c r="O502"/>
  <c r="O503"/>
  <c r="O504"/>
  <c r="O505"/>
  <c r="O506"/>
  <c r="O507"/>
  <c r="O508"/>
  <c r="O509"/>
  <c r="O510"/>
  <c r="O511"/>
  <c r="O512"/>
  <c r="O513"/>
  <c r="O514"/>
  <c r="O515"/>
  <c r="O516"/>
  <c r="O517"/>
  <c r="O518"/>
  <c r="O519"/>
  <c r="O520"/>
  <c r="O521"/>
  <c r="O522"/>
  <c r="O523"/>
  <c r="O524"/>
  <c r="O525"/>
  <c r="O526"/>
  <c r="O527"/>
  <c r="O528"/>
  <c r="O529"/>
  <c r="O530"/>
  <c r="O531"/>
  <c r="O532"/>
  <c r="O533"/>
  <c r="O534"/>
  <c r="O535"/>
  <c r="O536"/>
  <c r="O537"/>
  <c r="O538"/>
  <c r="O539"/>
  <c r="O540"/>
  <c r="O541"/>
  <c r="O542"/>
  <c r="O543"/>
  <c r="O544"/>
  <c r="O545"/>
  <c r="O546"/>
  <c r="O547"/>
  <c r="O548"/>
  <c r="O549"/>
  <c r="O550"/>
  <c r="O551"/>
  <c r="O552"/>
  <c r="O553"/>
  <c r="O554"/>
  <c r="O555"/>
  <c r="O556"/>
  <c r="O557"/>
  <c r="O558"/>
  <c r="O559"/>
  <c r="O560"/>
  <c r="O561"/>
  <c r="O562"/>
  <c r="O563"/>
  <c r="O564"/>
  <c r="O565"/>
  <c r="O566"/>
  <c r="O567"/>
  <c r="O568"/>
  <c r="O569"/>
  <c r="O570"/>
  <c r="O571"/>
  <c r="O572"/>
  <c r="O573"/>
  <c r="O574"/>
  <c r="O575"/>
  <c r="O576"/>
  <c r="O577"/>
  <c r="O578"/>
  <c r="O579"/>
  <c r="O580"/>
  <c r="O581"/>
  <c r="O582"/>
  <c r="O583"/>
  <c r="O584"/>
  <c r="O585"/>
  <c r="O586"/>
  <c r="O587"/>
  <c r="O588"/>
  <c r="O589"/>
  <c r="O590"/>
  <c r="O591"/>
  <c r="O592"/>
  <c r="O593"/>
  <c r="O594"/>
  <c r="O595"/>
  <c r="O596"/>
  <c r="O597"/>
  <c r="O598"/>
  <c r="O599"/>
  <c r="O600"/>
  <c r="O601"/>
  <c r="O602"/>
  <c r="O603"/>
  <c r="O604"/>
  <c r="O605"/>
  <c r="O606"/>
  <c r="O607"/>
  <c r="O608"/>
  <c r="O609"/>
  <c r="O610"/>
  <c r="O611"/>
  <c r="O612"/>
  <c r="O613"/>
  <c r="O614"/>
  <c r="O615"/>
  <c r="O617"/>
  <c r="AV4"/>
  <c r="AV5"/>
  <c r="AV6"/>
  <c r="AV7"/>
  <c r="AV8"/>
  <c r="AV9"/>
  <c r="AV10"/>
  <c r="AV11"/>
  <c r="AV12"/>
  <c r="AV13"/>
  <c r="AV14"/>
  <c r="AV15"/>
  <c r="AV16"/>
  <c r="AV17"/>
  <c r="AV18"/>
  <c r="AV19"/>
  <c r="AV20"/>
  <c r="AV21"/>
  <c r="AV22"/>
  <c r="AV23"/>
  <c r="AV24"/>
  <c r="AV25"/>
  <c r="AV26"/>
  <c r="AV27"/>
  <c r="AV28"/>
  <c r="AV29"/>
  <c r="AV30"/>
  <c r="AV31"/>
  <c r="AV32"/>
  <c r="AV33"/>
  <c r="AV34"/>
  <c r="AV35"/>
  <c r="AV36"/>
  <c r="AV37"/>
  <c r="AV38"/>
  <c r="AV39"/>
  <c r="AV40"/>
  <c r="AV41"/>
  <c r="AV42"/>
  <c r="AV43"/>
  <c r="AV44"/>
  <c r="AV45"/>
  <c r="AV46"/>
  <c r="AV47"/>
  <c r="AV48"/>
  <c r="AV49"/>
  <c r="AV50"/>
  <c r="AV51"/>
  <c r="AV52"/>
  <c r="AV53"/>
  <c r="AV54"/>
  <c r="AV55"/>
  <c r="AV56"/>
  <c r="AV57"/>
  <c r="AV58"/>
  <c r="AV59"/>
  <c r="AV60"/>
  <c r="AV61"/>
  <c r="AV62"/>
  <c r="AV63"/>
  <c r="AV64"/>
  <c r="AV65"/>
  <c r="AV66"/>
  <c r="AV67"/>
  <c r="AV68"/>
  <c r="AV69"/>
  <c r="AV70"/>
  <c r="AV71"/>
  <c r="AV72"/>
  <c r="AV73"/>
  <c r="AV74"/>
  <c r="AV75"/>
  <c r="AV76"/>
  <c r="AV77"/>
  <c r="AV78"/>
  <c r="AV79"/>
  <c r="AV80"/>
  <c r="AV81"/>
  <c r="AV82"/>
  <c r="AV83"/>
  <c r="AV84"/>
  <c r="AV85"/>
  <c r="AV86"/>
  <c r="AV87"/>
  <c r="AV88"/>
  <c r="AV89"/>
  <c r="AV90"/>
  <c r="AV91"/>
  <c r="AV92"/>
  <c r="AV93"/>
  <c r="AV94"/>
  <c r="AV95"/>
  <c r="AV96"/>
  <c r="AV97"/>
  <c r="AV98"/>
  <c r="AV99"/>
  <c r="AV100"/>
  <c r="AV101"/>
  <c r="AV102"/>
  <c r="AV103"/>
  <c r="AV104"/>
  <c r="AV105"/>
  <c r="AV106"/>
  <c r="AV107"/>
  <c r="AV108"/>
  <c r="AV109"/>
  <c r="AV110"/>
  <c r="AV111"/>
  <c r="AV112"/>
  <c r="AV113"/>
  <c r="AV114"/>
  <c r="AV115"/>
  <c r="AV116"/>
  <c r="AV117"/>
  <c r="AV118"/>
  <c r="AV119"/>
  <c r="AV120"/>
  <c r="AV121"/>
  <c r="AV122"/>
  <c r="AV123"/>
  <c r="AV124"/>
  <c r="AV125"/>
  <c r="AV126"/>
  <c r="AV127"/>
  <c r="AV128"/>
  <c r="AV129"/>
  <c r="AV130"/>
  <c r="AV131"/>
  <c r="AV132"/>
  <c r="AV133"/>
  <c r="AV134"/>
  <c r="AV135"/>
  <c r="AV136"/>
  <c r="AV137"/>
  <c r="AV138"/>
  <c r="AV139"/>
  <c r="AV140"/>
  <c r="AV141"/>
  <c r="AV142"/>
  <c r="AV143"/>
  <c r="AV144"/>
  <c r="AV145"/>
  <c r="AV146"/>
  <c r="AV147"/>
  <c r="AV148"/>
  <c r="AV149"/>
  <c r="AV150"/>
  <c r="AV151"/>
  <c r="AV152"/>
  <c r="AV153"/>
  <c r="AV154"/>
  <c r="AV155"/>
  <c r="AV156"/>
  <c r="AV157"/>
  <c r="AV158"/>
  <c r="AV159"/>
  <c r="AV160"/>
  <c r="AV161"/>
  <c r="AV162"/>
  <c r="AV163"/>
  <c r="AV164"/>
  <c r="AV165"/>
  <c r="AV166"/>
  <c r="AV167"/>
  <c r="AV168"/>
  <c r="AV169"/>
  <c r="AV170"/>
  <c r="AV171"/>
  <c r="AV172"/>
  <c r="AV173"/>
  <c r="AV174"/>
  <c r="AV175"/>
  <c r="AV176"/>
  <c r="AV177"/>
  <c r="AV178"/>
  <c r="AV179"/>
  <c r="AV180"/>
  <c r="AV181"/>
  <c r="AV182"/>
  <c r="AV183"/>
  <c r="AV184"/>
  <c r="AV185"/>
  <c r="AV186"/>
  <c r="AV187"/>
  <c r="AV188"/>
  <c r="AV189"/>
  <c r="AV190"/>
  <c r="AV191"/>
  <c r="AV192"/>
  <c r="AV193"/>
  <c r="AV194"/>
  <c r="AV195"/>
  <c r="AV196"/>
  <c r="AV197"/>
  <c r="AV198"/>
  <c r="AV199"/>
  <c r="AV200"/>
  <c r="AV201"/>
  <c r="AV202"/>
  <c r="AV203"/>
  <c r="AV204"/>
  <c r="AV205"/>
  <c r="AV206"/>
  <c r="AV207"/>
  <c r="AV208"/>
  <c r="AV209"/>
  <c r="AV210"/>
  <c r="AV211"/>
  <c r="AV212"/>
  <c r="AV213"/>
  <c r="AV214"/>
  <c r="AV215"/>
  <c r="AV216"/>
  <c r="AV217"/>
  <c r="AV218"/>
  <c r="AV219"/>
  <c r="AV220"/>
  <c r="AV221"/>
  <c r="AV222"/>
  <c r="AV223"/>
  <c r="AV224"/>
  <c r="AV225"/>
  <c r="AV226"/>
  <c r="AV227"/>
  <c r="AV228"/>
  <c r="AV229"/>
  <c r="AV230"/>
  <c r="AV231"/>
  <c r="AV232"/>
  <c r="AV233"/>
  <c r="AV234"/>
  <c r="AV235"/>
  <c r="AV236"/>
  <c r="AV237"/>
  <c r="AV238"/>
  <c r="AV240"/>
  <c r="AV241"/>
  <c r="AV242"/>
  <c r="AV243"/>
  <c r="AV244"/>
  <c r="AV245"/>
  <c r="AV246"/>
  <c r="AV247"/>
  <c r="AV248"/>
  <c r="AV249"/>
  <c r="AV250"/>
  <c r="AV251"/>
  <c r="AV252"/>
  <c r="AV253"/>
  <c r="AV254"/>
  <c r="AV255"/>
  <c r="AV256"/>
  <c r="AV257"/>
  <c r="AV258"/>
  <c r="AV259"/>
  <c r="AV260"/>
  <c r="AV261"/>
  <c r="AV262"/>
  <c r="AV263"/>
  <c r="AV264"/>
  <c r="AV265"/>
  <c r="AV266"/>
  <c r="AV267"/>
  <c r="AV268"/>
  <c r="AV269"/>
  <c r="AV270"/>
  <c r="AV271"/>
  <c r="AV272"/>
  <c r="AV273"/>
  <c r="AV274"/>
  <c r="AV275"/>
  <c r="AV276"/>
  <c r="AV277"/>
  <c r="AV278"/>
  <c r="AV279"/>
  <c r="AV280"/>
  <c r="AV281"/>
  <c r="AV282"/>
  <c r="AV283"/>
  <c r="AV284"/>
  <c r="AV285"/>
  <c r="AV286"/>
  <c r="AV287"/>
  <c r="AV288"/>
  <c r="AV289"/>
  <c r="AV290"/>
  <c r="AV291"/>
  <c r="AV292"/>
  <c r="AV293"/>
  <c r="AV294"/>
  <c r="AV295"/>
  <c r="AV296"/>
  <c r="AV297"/>
  <c r="AV298"/>
  <c r="AV299"/>
  <c r="AV300"/>
  <c r="AV301"/>
  <c r="AV302"/>
  <c r="AV303"/>
  <c r="AV304"/>
  <c r="AV305"/>
  <c r="AV306"/>
  <c r="AV307"/>
  <c r="AV308"/>
  <c r="AV309"/>
  <c r="AV310"/>
  <c r="AV311"/>
  <c r="AV312"/>
  <c r="AV313"/>
  <c r="AV314"/>
  <c r="AV315"/>
  <c r="AV316"/>
  <c r="AV317"/>
  <c r="AV318"/>
  <c r="AV319"/>
  <c r="AV320"/>
  <c r="AV321"/>
  <c r="AV322"/>
  <c r="AV323"/>
  <c r="AV324"/>
  <c r="AV325"/>
  <c r="AV326"/>
  <c r="AV327"/>
  <c r="AV328"/>
  <c r="AV329"/>
  <c r="AV330"/>
  <c r="AV331"/>
  <c r="AV332"/>
  <c r="AV333"/>
  <c r="AV334"/>
  <c r="AV335"/>
  <c r="AV336"/>
  <c r="AV337"/>
  <c r="AV338"/>
  <c r="AV339"/>
  <c r="AV340"/>
  <c r="AV341"/>
  <c r="AV342"/>
  <c r="AV343"/>
  <c r="AV344"/>
  <c r="AV345"/>
  <c r="AV346"/>
  <c r="AV347"/>
  <c r="AV348"/>
  <c r="AV349"/>
  <c r="AV350"/>
  <c r="AV351"/>
  <c r="AV352"/>
  <c r="AV353"/>
  <c r="AV354"/>
  <c r="AV355"/>
  <c r="AV356"/>
  <c r="AV357"/>
  <c r="AV358"/>
  <c r="AV359"/>
  <c r="AV360"/>
  <c r="AV361"/>
  <c r="AV362"/>
  <c r="AV363"/>
  <c r="AV364"/>
  <c r="AV365"/>
  <c r="AV366"/>
  <c r="AV367"/>
  <c r="AV368"/>
  <c r="AV369"/>
  <c r="AV370"/>
  <c r="AV371"/>
  <c r="AV372"/>
  <c r="AV373"/>
  <c r="AV374"/>
  <c r="AV375"/>
  <c r="AV376"/>
  <c r="AV377"/>
  <c r="AV378"/>
  <c r="AV379"/>
  <c r="AV380"/>
  <c r="AV381"/>
  <c r="AV382"/>
  <c r="AV383"/>
  <c r="AV384"/>
  <c r="AV385"/>
  <c r="AV386"/>
  <c r="AV387"/>
  <c r="AV388"/>
  <c r="AV389"/>
  <c r="AV390"/>
  <c r="AV391"/>
  <c r="AV392"/>
  <c r="AV393"/>
  <c r="AV394"/>
  <c r="AV395"/>
  <c r="AV396"/>
  <c r="AV397"/>
  <c r="AV398"/>
  <c r="AV399"/>
  <c r="AV400"/>
  <c r="AV401"/>
  <c r="AV402"/>
  <c r="AV403"/>
  <c r="AV404"/>
  <c r="AV405"/>
  <c r="AV406"/>
  <c r="AV407"/>
  <c r="AV408"/>
  <c r="AV409"/>
  <c r="AV410"/>
  <c r="AV411"/>
  <c r="AV412"/>
  <c r="AV413"/>
  <c r="AV414"/>
  <c r="AV415"/>
  <c r="AV416"/>
  <c r="AV417"/>
  <c r="AV418"/>
  <c r="AV419"/>
  <c r="AV420"/>
  <c r="AV421"/>
  <c r="AV422"/>
  <c r="AV423"/>
  <c r="AV424"/>
  <c r="AV425"/>
  <c r="AV426"/>
  <c r="AV427"/>
  <c r="AV428"/>
  <c r="AV429"/>
  <c r="AV430"/>
  <c r="AV431"/>
  <c r="AV432"/>
  <c r="AV433"/>
  <c r="AV434"/>
  <c r="AV435"/>
  <c r="AV436"/>
  <c r="AV437"/>
  <c r="AV438"/>
  <c r="AV439"/>
  <c r="AV440"/>
  <c r="AV441"/>
  <c r="AV442"/>
  <c r="AV443"/>
  <c r="AV444"/>
  <c r="AV445"/>
  <c r="AV446"/>
  <c r="AV447"/>
  <c r="AV448"/>
  <c r="AV449"/>
  <c r="AV450"/>
  <c r="AV451"/>
  <c r="AV452"/>
  <c r="AV453"/>
  <c r="AV454"/>
  <c r="AV455"/>
  <c r="AV456"/>
  <c r="AV457"/>
  <c r="AV458"/>
  <c r="AV459"/>
  <c r="AV460"/>
  <c r="AV461"/>
  <c r="AV462"/>
  <c r="AV463"/>
  <c r="AV464"/>
  <c r="AV465"/>
  <c r="AV466"/>
  <c r="AV467"/>
  <c r="AV468"/>
  <c r="AV469"/>
  <c r="AV470"/>
  <c r="AV471"/>
  <c r="AV472"/>
  <c r="AV473"/>
  <c r="AV474"/>
  <c r="AV475"/>
  <c r="AV476"/>
  <c r="AV477"/>
  <c r="AV478"/>
  <c r="AV479"/>
  <c r="AV480"/>
  <c r="AV481"/>
  <c r="AV482"/>
  <c r="AV483"/>
  <c r="AV484"/>
  <c r="AV485"/>
  <c r="AV486"/>
  <c r="AV487"/>
  <c r="AV488"/>
  <c r="AV489"/>
  <c r="AV490"/>
  <c r="AV491"/>
  <c r="AV492"/>
  <c r="AV493"/>
  <c r="AV494"/>
  <c r="AV495"/>
  <c r="AV496"/>
  <c r="AV497"/>
  <c r="AV498"/>
  <c r="AV499"/>
  <c r="AV500"/>
  <c r="AV501"/>
  <c r="AV502"/>
  <c r="AV503"/>
  <c r="AV504"/>
  <c r="AV505"/>
  <c r="AV506"/>
  <c r="AV507"/>
  <c r="AV508"/>
  <c r="AV509"/>
  <c r="AV510"/>
  <c r="AV511"/>
  <c r="AV512"/>
  <c r="AV513"/>
  <c r="AV514"/>
  <c r="AV515"/>
  <c r="AV516"/>
  <c r="AV517"/>
  <c r="AV518"/>
  <c r="AV519"/>
  <c r="AV520"/>
  <c r="AV521"/>
  <c r="AV522"/>
  <c r="AV523"/>
  <c r="AV524"/>
  <c r="AV525"/>
  <c r="AV526"/>
  <c r="AV527"/>
  <c r="AV528"/>
  <c r="AV529"/>
  <c r="AV530"/>
  <c r="AV531"/>
  <c r="AV532"/>
  <c r="AV533"/>
  <c r="AV534"/>
  <c r="AV535"/>
  <c r="AV536"/>
  <c r="AV537"/>
  <c r="AV538"/>
  <c r="AV539"/>
  <c r="AV540"/>
  <c r="AV541"/>
  <c r="AV542"/>
  <c r="AV543"/>
  <c r="AV544"/>
  <c r="AV545"/>
  <c r="AV546"/>
  <c r="AV547"/>
  <c r="AV548"/>
  <c r="AV549"/>
  <c r="AV550"/>
  <c r="AV551"/>
  <c r="AV552"/>
  <c r="AV553"/>
  <c r="AV554"/>
  <c r="AV555"/>
  <c r="AV556"/>
  <c r="AV557"/>
  <c r="AV558"/>
  <c r="AV559"/>
  <c r="AV560"/>
  <c r="AV561"/>
  <c r="AV562"/>
  <c r="AV563"/>
  <c r="AV564"/>
  <c r="AV565"/>
  <c r="AV566"/>
  <c r="AV567"/>
  <c r="AV568"/>
  <c r="AV569"/>
  <c r="AV570"/>
  <c r="AV571"/>
  <c r="AV572"/>
  <c r="AV573"/>
  <c r="AV574"/>
  <c r="AV575"/>
  <c r="AV576"/>
  <c r="AV577"/>
  <c r="AV578"/>
  <c r="AV579"/>
  <c r="AV580"/>
  <c r="AV581"/>
  <c r="AV582"/>
  <c r="AV583"/>
  <c r="AV584"/>
  <c r="AV585"/>
  <c r="AV586"/>
  <c r="AV587"/>
  <c r="AV588"/>
  <c r="AV589"/>
  <c r="AV590"/>
  <c r="AV591"/>
  <c r="AV592"/>
  <c r="AV593"/>
  <c r="AV594"/>
  <c r="AV595"/>
  <c r="AV596"/>
  <c r="AV597"/>
  <c r="AV598"/>
  <c r="AV599"/>
  <c r="AV600"/>
  <c r="AV601"/>
  <c r="AV602"/>
  <c r="AV603"/>
  <c r="AV604"/>
  <c r="AV605"/>
  <c r="AV606"/>
  <c r="AV607"/>
  <c r="AV608"/>
  <c r="AV609"/>
  <c r="AV610"/>
  <c r="AV611"/>
  <c r="AV612"/>
  <c r="AV613"/>
  <c r="AV614"/>
  <c r="AV615"/>
  <c r="AV617"/>
  <c r="F617"/>
  <c r="AV618"/>
  <c r="BF4"/>
  <c r="CC4"/>
  <c r="CC5"/>
  <c r="CC6"/>
  <c r="CC7"/>
  <c r="CC8"/>
  <c r="CC9"/>
  <c r="CC10"/>
  <c r="CC11"/>
  <c r="CC12"/>
  <c r="CC13"/>
  <c r="CC14"/>
  <c r="CC15"/>
  <c r="CC16"/>
  <c r="CC17"/>
  <c r="CC18"/>
  <c r="CC19"/>
  <c r="CC20"/>
  <c r="CC21"/>
  <c r="CC22"/>
  <c r="CC23"/>
  <c r="CC24"/>
  <c r="CC25"/>
  <c r="CC26"/>
  <c r="CC27"/>
  <c r="CC28"/>
  <c r="CC29"/>
  <c r="CC30"/>
  <c r="CC31"/>
  <c r="CC32"/>
  <c r="CC33"/>
  <c r="CC34"/>
  <c r="CC35"/>
  <c r="CC36"/>
  <c r="CC37"/>
  <c r="CC38"/>
  <c r="CC39"/>
  <c r="CC40"/>
  <c r="CC41"/>
  <c r="CC42"/>
  <c r="CC43"/>
  <c r="CC44"/>
  <c r="CC45"/>
  <c r="CC46"/>
  <c r="CC47"/>
  <c r="CC48"/>
  <c r="CC49"/>
  <c r="CC50"/>
  <c r="CC51"/>
  <c r="CC52"/>
  <c r="CC53"/>
  <c r="CC54"/>
  <c r="CC55"/>
  <c r="CC56"/>
  <c r="CC57"/>
  <c r="CC58"/>
  <c r="CC59"/>
  <c r="CC60"/>
  <c r="CC61"/>
  <c r="CC62"/>
  <c r="CC63"/>
  <c r="CC64"/>
  <c r="CC65"/>
  <c r="CC66"/>
  <c r="CC67"/>
  <c r="CC68"/>
  <c r="CC69"/>
  <c r="CC70"/>
  <c r="CC71"/>
  <c r="CC72"/>
  <c r="CC73"/>
  <c r="CC74"/>
  <c r="CC75"/>
  <c r="CC76"/>
  <c r="CC77"/>
  <c r="CC78"/>
  <c r="CC79"/>
  <c r="CC80"/>
  <c r="CC81"/>
  <c r="CC82"/>
  <c r="CC83"/>
  <c r="CC84"/>
  <c r="CC85"/>
  <c r="CC86"/>
  <c r="CC87"/>
  <c r="CC88"/>
  <c r="CC89"/>
  <c r="CC90"/>
  <c r="CC91"/>
  <c r="CC92"/>
  <c r="CC93"/>
  <c r="CC94"/>
  <c r="CC95"/>
  <c r="CC96"/>
  <c r="CC97"/>
  <c r="CC98"/>
  <c r="CC99"/>
  <c r="CC100"/>
  <c r="CC101"/>
  <c r="CC102"/>
  <c r="CC103"/>
  <c r="CC104"/>
  <c r="CC105"/>
  <c r="CC106"/>
  <c r="CC107"/>
  <c r="CC108"/>
  <c r="CC109"/>
  <c r="CC110"/>
  <c r="CC111"/>
  <c r="CC112"/>
  <c r="CC113"/>
  <c r="CC114"/>
  <c r="CC115"/>
  <c r="CC116"/>
  <c r="CC117"/>
  <c r="CC118"/>
  <c r="CC119"/>
  <c r="CC120"/>
  <c r="CC121"/>
  <c r="CC122"/>
  <c r="CC123"/>
  <c r="CC124"/>
  <c r="CC125"/>
  <c r="CC126"/>
  <c r="CC127"/>
  <c r="CC128"/>
  <c r="CC129"/>
  <c r="CC130"/>
  <c r="CC131"/>
  <c r="CC132"/>
  <c r="CC133"/>
  <c r="CC134"/>
  <c r="CC135"/>
  <c r="CC136"/>
  <c r="CC137"/>
  <c r="CC138"/>
  <c r="CC139"/>
  <c r="CC140"/>
  <c r="CC141"/>
  <c r="CC142"/>
  <c r="CC143"/>
  <c r="CC144"/>
  <c r="CC145"/>
  <c r="CC146"/>
  <c r="CC147"/>
  <c r="CC148"/>
  <c r="CC149"/>
  <c r="CC150"/>
  <c r="CC151"/>
  <c r="CC152"/>
  <c r="CC153"/>
  <c r="CC154"/>
  <c r="CC155"/>
  <c r="CC156"/>
  <c r="CC157"/>
  <c r="CC158"/>
  <c r="CC159"/>
  <c r="CC160"/>
  <c r="CC161"/>
  <c r="CC162"/>
  <c r="CC163"/>
  <c r="CC164"/>
  <c r="CC165"/>
  <c r="CC166"/>
  <c r="CC167"/>
  <c r="CC168"/>
  <c r="CC169"/>
  <c r="CC170"/>
  <c r="CC171"/>
  <c r="CC172"/>
  <c r="CC173"/>
  <c r="CC174"/>
  <c r="CC175"/>
  <c r="CC176"/>
  <c r="CC177"/>
  <c r="CC178"/>
  <c r="CC179"/>
  <c r="CC180"/>
  <c r="CC181"/>
  <c r="CC182"/>
  <c r="CC183"/>
  <c r="CC184"/>
  <c r="CC185"/>
  <c r="CC186"/>
  <c r="CC187"/>
  <c r="CC188"/>
  <c r="CC189"/>
  <c r="CC190"/>
  <c r="CC191"/>
  <c r="CC192"/>
  <c r="CC193"/>
  <c r="CC194"/>
  <c r="CC195"/>
  <c r="CC196"/>
  <c r="CC197"/>
  <c r="CC198"/>
  <c r="CC199"/>
  <c r="CC200"/>
  <c r="CC201"/>
  <c r="CC202"/>
  <c r="CC203"/>
  <c r="CC204"/>
  <c r="CC205"/>
  <c r="CC206"/>
  <c r="CC207"/>
  <c r="CC208"/>
  <c r="CC209"/>
  <c r="CC210"/>
  <c r="CC211"/>
  <c r="CC212"/>
  <c r="CC213"/>
  <c r="CC214"/>
  <c r="CC215"/>
  <c r="CC216"/>
  <c r="CC217"/>
  <c r="CC218"/>
  <c r="CC219"/>
  <c r="CC220"/>
  <c r="CC221"/>
  <c r="CC222"/>
  <c r="CC223"/>
  <c r="CC224"/>
  <c r="CC225"/>
  <c r="CC226"/>
  <c r="CC227"/>
  <c r="CC228"/>
  <c r="CC229"/>
  <c r="CC230"/>
  <c r="CC231"/>
  <c r="CC232"/>
  <c r="CC233"/>
  <c r="CC234"/>
  <c r="CC235"/>
  <c r="CC236"/>
  <c r="CC237"/>
  <c r="CC238"/>
  <c r="CC240"/>
  <c r="CC241"/>
  <c r="CC242"/>
  <c r="CC243"/>
  <c r="CC244"/>
  <c r="CC245"/>
  <c r="CC246"/>
  <c r="CC247"/>
  <c r="CC248"/>
  <c r="CC249"/>
  <c r="CC250"/>
  <c r="CC251"/>
  <c r="CC252"/>
  <c r="CC253"/>
  <c r="CC254"/>
  <c r="CC255"/>
  <c r="CC256"/>
  <c r="CC257"/>
  <c r="CC258"/>
  <c r="CC259"/>
  <c r="CC260"/>
  <c r="CC261"/>
  <c r="CC262"/>
  <c r="CC263"/>
  <c r="CC264"/>
  <c r="CC265"/>
  <c r="CC266"/>
  <c r="CC267"/>
  <c r="CC268"/>
  <c r="CC269"/>
  <c r="CC270"/>
  <c r="CC271"/>
  <c r="CC272"/>
  <c r="CC273"/>
  <c r="CC274"/>
  <c r="CC275"/>
  <c r="CC276"/>
  <c r="CC277"/>
  <c r="CC278"/>
  <c r="CC279"/>
  <c r="CC280"/>
  <c r="CC281"/>
  <c r="CC282"/>
  <c r="CC283"/>
  <c r="CC284"/>
  <c r="CC285"/>
  <c r="CC286"/>
  <c r="CC287"/>
  <c r="CC288"/>
  <c r="CC289"/>
  <c r="CC290"/>
  <c r="CC291"/>
  <c r="CC292"/>
  <c r="CC293"/>
  <c r="CC294"/>
  <c r="CC295"/>
  <c r="CC296"/>
  <c r="CC297"/>
  <c r="CC298"/>
  <c r="CC299"/>
  <c r="CC300"/>
  <c r="CC301"/>
  <c r="CC302"/>
  <c r="CC303"/>
  <c r="CC304"/>
  <c r="CC305"/>
  <c r="CC306"/>
  <c r="CC307"/>
  <c r="CC308"/>
  <c r="CC309"/>
  <c r="CC310"/>
  <c r="CC311"/>
  <c r="CC312"/>
  <c r="CC313"/>
  <c r="CC314"/>
  <c r="CC315"/>
  <c r="CC316"/>
  <c r="CC317"/>
  <c r="CC318"/>
  <c r="CC319"/>
  <c r="CC320"/>
  <c r="CC321"/>
  <c r="CC322"/>
  <c r="CC323"/>
  <c r="CC324"/>
  <c r="CC325"/>
  <c r="CC326"/>
  <c r="CC327"/>
  <c r="CC328"/>
  <c r="CC329"/>
  <c r="CC330"/>
  <c r="CC331"/>
  <c r="CC332"/>
  <c r="CC333"/>
  <c r="CC334"/>
  <c r="CC335"/>
  <c r="CC336"/>
  <c r="CC337"/>
  <c r="CC338"/>
  <c r="CC339"/>
  <c r="CC340"/>
  <c r="CC341"/>
  <c r="CC342"/>
  <c r="CC343"/>
  <c r="CC344"/>
  <c r="CC345"/>
  <c r="CC346"/>
  <c r="CC347"/>
  <c r="CC348"/>
  <c r="CC349"/>
  <c r="CC350"/>
  <c r="CC351"/>
  <c r="CC352"/>
  <c r="CC353"/>
  <c r="CC354"/>
  <c r="CC355"/>
  <c r="CC356"/>
  <c r="CC357"/>
  <c r="CC358"/>
  <c r="CC359"/>
  <c r="CC360"/>
  <c r="CC361"/>
  <c r="CC362"/>
  <c r="CC363"/>
  <c r="CC364"/>
  <c r="CC365"/>
  <c r="CC366"/>
  <c r="CC367"/>
  <c r="CC368"/>
  <c r="CC369"/>
  <c r="CC370"/>
  <c r="CC371"/>
  <c r="CC372"/>
  <c r="CC373"/>
  <c r="CC374"/>
  <c r="CC375"/>
  <c r="CC376"/>
  <c r="CC377"/>
  <c r="CC378"/>
  <c r="CC379"/>
  <c r="CC380"/>
  <c r="CC381"/>
  <c r="CC382"/>
  <c r="CC383"/>
  <c r="CC384"/>
  <c r="CC385"/>
  <c r="CC386"/>
  <c r="CC387"/>
  <c r="CC388"/>
  <c r="CC389"/>
  <c r="CC390"/>
  <c r="CC391"/>
  <c r="CC392"/>
  <c r="CC393"/>
  <c r="CC394"/>
  <c r="CC395"/>
  <c r="CC396"/>
  <c r="CC397"/>
  <c r="CC398"/>
  <c r="CC399"/>
  <c r="CC400"/>
  <c r="CC401"/>
  <c r="CC402"/>
  <c r="CC403"/>
  <c r="CC404"/>
  <c r="CC405"/>
  <c r="CC406"/>
  <c r="CC407"/>
  <c r="CC408"/>
  <c r="CC409"/>
  <c r="CC410"/>
  <c r="CC411"/>
  <c r="CC412"/>
  <c r="CC413"/>
  <c r="CC414"/>
  <c r="CC415"/>
  <c r="CC416"/>
  <c r="CC417"/>
  <c r="CC418"/>
  <c r="CC419"/>
  <c r="CC420"/>
  <c r="CC421"/>
  <c r="CC422"/>
  <c r="CC423"/>
  <c r="CC424"/>
  <c r="CC425"/>
  <c r="CC426"/>
  <c r="CC427"/>
  <c r="CC428"/>
  <c r="CC429"/>
  <c r="CC430"/>
  <c r="CC431"/>
  <c r="CC432"/>
  <c r="CC433"/>
  <c r="CC434"/>
  <c r="CC435"/>
  <c r="CC436"/>
  <c r="CC437"/>
  <c r="CC438"/>
  <c r="CC439"/>
  <c r="CC440"/>
  <c r="CC441"/>
  <c r="CC442"/>
  <c r="CC443"/>
  <c r="CC444"/>
  <c r="CC445"/>
  <c r="CC446"/>
  <c r="CC447"/>
  <c r="CC448"/>
  <c r="CC449"/>
  <c r="CC450"/>
  <c r="CC451"/>
  <c r="CC452"/>
  <c r="CC453"/>
  <c r="CC454"/>
  <c r="CC455"/>
  <c r="CC456"/>
  <c r="CC457"/>
  <c r="CC458"/>
  <c r="CC459"/>
  <c r="CC460"/>
  <c r="CC461"/>
  <c r="CC462"/>
  <c r="CC463"/>
  <c r="CC464"/>
  <c r="CC465"/>
  <c r="CC466"/>
  <c r="CC467"/>
  <c r="CC468"/>
  <c r="CC469"/>
  <c r="CC470"/>
  <c r="CC471"/>
  <c r="CC472"/>
  <c r="CC473"/>
  <c r="CC474"/>
  <c r="CC475"/>
  <c r="CC476"/>
  <c r="CC477"/>
  <c r="CC478"/>
  <c r="CC479"/>
  <c r="CC480"/>
  <c r="CC481"/>
  <c r="CC482"/>
  <c r="CC483"/>
  <c r="CC484"/>
  <c r="CC485"/>
  <c r="CC486"/>
  <c r="CC487"/>
  <c r="CC488"/>
  <c r="CC489"/>
  <c r="CC490"/>
  <c r="CC491"/>
  <c r="CC492"/>
  <c r="CC493"/>
  <c r="CC494"/>
  <c r="CC495"/>
  <c r="CC496"/>
  <c r="CC497"/>
  <c r="CC498"/>
  <c r="CC499"/>
  <c r="CC500"/>
  <c r="CC501"/>
  <c r="CC502"/>
  <c r="CC503"/>
  <c r="CC504"/>
  <c r="CC505"/>
  <c r="CC506"/>
  <c r="CC507"/>
  <c r="CC508"/>
  <c r="CC509"/>
  <c r="CC510"/>
  <c r="CC511"/>
  <c r="CC512"/>
  <c r="CC513"/>
  <c r="CC514"/>
  <c r="CC515"/>
  <c r="CC516"/>
  <c r="CC517"/>
  <c r="CC518"/>
  <c r="CC519"/>
  <c r="CC520"/>
  <c r="CC521"/>
  <c r="CC522"/>
  <c r="CC523"/>
  <c r="CC524"/>
  <c r="CC525"/>
  <c r="CC526"/>
  <c r="CC527"/>
  <c r="CC528"/>
  <c r="CC529"/>
  <c r="CC530"/>
  <c r="CC531"/>
  <c r="CC532"/>
  <c r="CC533"/>
  <c r="CC534"/>
  <c r="CC535"/>
  <c r="CC536"/>
  <c r="CC537"/>
  <c r="CC538"/>
  <c r="CC539"/>
  <c r="CC540"/>
  <c r="CC541"/>
  <c r="CC542"/>
  <c r="CC543"/>
  <c r="CC544"/>
  <c r="CC545"/>
  <c r="CC546"/>
  <c r="CC547"/>
  <c r="CC548"/>
  <c r="CC549"/>
  <c r="CC550"/>
  <c r="CC551"/>
  <c r="CC552"/>
  <c r="CC553"/>
  <c r="CC554"/>
  <c r="CC555"/>
  <c r="CC556"/>
  <c r="CC557"/>
  <c r="CC558"/>
  <c r="CC559"/>
  <c r="CC560"/>
  <c r="CC561"/>
  <c r="CC562"/>
  <c r="CC563"/>
  <c r="CC564"/>
  <c r="CC565"/>
  <c r="CC566"/>
  <c r="CC567"/>
  <c r="CC568"/>
  <c r="CC569"/>
  <c r="CC570"/>
  <c r="CC571"/>
  <c r="CC572"/>
  <c r="CC573"/>
  <c r="CC574"/>
  <c r="CC575"/>
  <c r="CC576"/>
  <c r="CC577"/>
  <c r="CC578"/>
  <c r="CC579"/>
  <c r="CC580"/>
  <c r="CC581"/>
  <c r="CC582"/>
  <c r="CC583"/>
  <c r="CC584"/>
  <c r="CC585"/>
  <c r="CC586"/>
  <c r="CC587"/>
  <c r="CC588"/>
  <c r="CC589"/>
  <c r="CC590"/>
  <c r="CC591"/>
  <c r="CC592"/>
  <c r="CC593"/>
  <c r="CC594"/>
  <c r="CC595"/>
  <c r="CC596"/>
  <c r="CC597"/>
  <c r="CC598"/>
  <c r="CC599"/>
  <c r="CC600"/>
  <c r="CC601"/>
  <c r="CC602"/>
  <c r="CC603"/>
  <c r="CC604"/>
  <c r="CC605"/>
  <c r="CC606"/>
  <c r="CC607"/>
  <c r="CC608"/>
  <c r="CC609"/>
  <c r="CC610"/>
  <c r="CC611"/>
  <c r="CC612"/>
  <c r="CC613"/>
  <c r="CC614"/>
  <c r="CC615"/>
  <c r="CC617"/>
  <c r="CC618"/>
  <c r="CK4"/>
  <c r="BF5"/>
  <c r="CK5"/>
  <c r="BF6"/>
  <c r="CK6"/>
  <c r="BF7"/>
  <c r="CK7"/>
  <c r="BF8"/>
  <c r="CK8"/>
  <c r="BF9"/>
  <c r="CK9"/>
  <c r="BF10"/>
  <c r="CK10"/>
  <c r="BF11"/>
  <c r="CK11"/>
  <c r="BF12"/>
  <c r="CK12"/>
  <c r="BF13"/>
  <c r="CK13"/>
  <c r="BF14"/>
  <c r="CK14"/>
  <c r="BF15"/>
  <c r="CK15"/>
  <c r="BF16"/>
  <c r="CK16"/>
  <c r="BF17"/>
  <c r="CK17"/>
  <c r="BF18"/>
  <c r="CK18"/>
  <c r="BF19"/>
  <c r="CK19"/>
  <c r="BF20"/>
  <c r="CK20"/>
  <c r="BF21"/>
  <c r="CK21"/>
  <c r="BF22"/>
  <c r="CK22"/>
  <c r="BF23"/>
  <c r="CK23"/>
  <c r="BF24"/>
  <c r="CK24"/>
  <c r="BF25"/>
  <c r="CK25"/>
  <c r="BF26"/>
  <c r="CK26"/>
  <c r="BF27"/>
  <c r="CK27"/>
  <c r="BF28"/>
  <c r="CK28"/>
  <c r="BF29"/>
  <c r="CK29"/>
  <c r="BF30"/>
  <c r="CK30"/>
  <c r="BF31"/>
  <c r="CK31"/>
  <c r="BF32"/>
  <c r="CK32"/>
  <c r="BF33"/>
  <c r="CK33"/>
  <c r="BF34"/>
  <c r="CK34"/>
  <c r="BF35"/>
  <c r="CK35"/>
  <c r="BF36"/>
  <c r="CK36"/>
  <c r="BF37"/>
  <c r="CK37"/>
  <c r="BF38"/>
  <c r="CK38"/>
  <c r="BF39"/>
  <c r="CK39"/>
  <c r="BF40"/>
  <c r="CK40"/>
  <c r="BF41"/>
  <c r="CK41"/>
  <c r="BF42"/>
  <c r="CK42"/>
  <c r="BF43"/>
  <c r="CK43"/>
  <c r="BF44"/>
  <c r="CK44"/>
  <c r="BF45"/>
  <c r="CK45"/>
  <c r="BF46"/>
  <c r="CK46"/>
  <c r="BF47"/>
  <c r="CK47"/>
  <c r="BF48"/>
  <c r="CK48"/>
  <c r="BF49"/>
  <c r="CK49"/>
  <c r="BF50"/>
  <c r="CK50"/>
  <c r="BF51"/>
  <c r="CK51"/>
  <c r="BF52"/>
  <c r="CK52"/>
  <c r="BF53"/>
  <c r="CK53"/>
  <c r="BF54"/>
  <c r="CK54"/>
  <c r="BF55"/>
  <c r="CK55"/>
  <c r="BF56"/>
  <c r="CK56"/>
  <c r="BF57"/>
  <c r="CK57"/>
  <c r="BF58"/>
  <c r="CK58"/>
  <c r="BF59"/>
  <c r="CK59"/>
  <c r="BF60"/>
  <c r="CK60"/>
  <c r="BF61"/>
  <c r="CK61"/>
  <c r="BF62"/>
  <c r="CK62"/>
  <c r="BF63"/>
  <c r="CK63"/>
  <c r="BF64"/>
  <c r="CK64"/>
  <c r="BF65"/>
  <c r="CK65"/>
  <c r="BF66"/>
  <c r="CK66"/>
  <c r="BF67"/>
  <c r="CK67"/>
  <c r="BF68"/>
  <c r="CK68"/>
  <c r="BF69"/>
  <c r="CK69"/>
  <c r="BF70"/>
  <c r="CK70"/>
  <c r="BF71"/>
  <c r="CK71"/>
  <c r="BF72"/>
  <c r="CK72"/>
  <c r="BF73"/>
  <c r="CK73"/>
  <c r="BF74"/>
  <c r="CK74"/>
  <c r="BF75"/>
  <c r="CK75"/>
  <c r="BF76"/>
  <c r="CK76"/>
  <c r="BF77"/>
  <c r="CK77"/>
  <c r="BF78"/>
  <c r="CK78"/>
  <c r="BF79"/>
  <c r="CK79"/>
  <c r="BF80"/>
  <c r="CK80"/>
  <c r="BF81"/>
  <c r="CK81"/>
  <c r="BF82"/>
  <c r="CK82"/>
  <c r="BF83"/>
  <c r="CK83"/>
  <c r="BF84"/>
  <c r="CK84"/>
  <c r="BF85"/>
  <c r="CK85"/>
  <c r="BF86"/>
  <c r="CK86"/>
  <c r="BF87"/>
  <c r="CK87"/>
  <c r="BF88"/>
  <c r="CK88"/>
  <c r="BF89"/>
  <c r="CK89"/>
  <c r="BF90"/>
  <c r="CK90"/>
  <c r="BF91"/>
  <c r="CK91"/>
  <c r="BF92"/>
  <c r="CK92"/>
  <c r="BF93"/>
  <c r="CK93"/>
  <c r="BF94"/>
  <c r="CK94"/>
  <c r="BF95"/>
  <c r="CK95"/>
  <c r="BF96"/>
  <c r="CK96"/>
  <c r="BF97"/>
  <c r="CK97"/>
  <c r="BF98"/>
  <c r="CK98"/>
  <c r="BF99"/>
  <c r="CK99"/>
  <c r="BF100"/>
  <c r="CK100"/>
  <c r="BF101"/>
  <c r="CK101"/>
  <c r="BF102"/>
  <c r="CK102"/>
  <c r="BF103"/>
  <c r="CK103"/>
  <c r="BF104"/>
  <c r="CK104"/>
  <c r="BF105"/>
  <c r="CK105"/>
  <c r="BF106"/>
  <c r="CK106"/>
  <c r="BF107"/>
  <c r="CK107"/>
  <c r="BF108"/>
  <c r="CK108"/>
  <c r="BF109"/>
  <c r="CK109"/>
  <c r="BF110"/>
  <c r="CK110"/>
  <c r="BF111"/>
  <c r="CK111"/>
  <c r="BF112"/>
  <c r="CK112"/>
  <c r="BF113"/>
  <c r="CK113"/>
  <c r="BF114"/>
  <c r="CK114"/>
  <c r="BF115"/>
  <c r="CK115"/>
  <c r="BF116"/>
  <c r="CK116"/>
  <c r="BF117"/>
  <c r="CK117"/>
  <c r="BF118"/>
  <c r="CK118"/>
  <c r="BF119"/>
  <c r="CK119"/>
  <c r="BF120"/>
  <c r="CK120"/>
  <c r="BF121"/>
  <c r="CK121"/>
  <c r="BF122"/>
  <c r="CK122"/>
  <c r="BF123"/>
  <c r="CK123"/>
  <c r="BF124"/>
  <c r="CK124"/>
  <c r="BF125"/>
  <c r="CK125"/>
  <c r="BF126"/>
  <c r="CK126"/>
  <c r="BF127"/>
  <c r="CK127"/>
  <c r="BF128"/>
  <c r="CK128"/>
  <c r="BF129"/>
  <c r="CK129"/>
  <c r="BF130"/>
  <c r="CK130"/>
  <c r="BF131"/>
  <c r="CK131"/>
  <c r="BF132"/>
  <c r="CK132"/>
  <c r="BF133"/>
  <c r="CK133"/>
  <c r="BF134"/>
  <c r="CK134"/>
  <c r="BF135"/>
  <c r="CK135"/>
  <c r="BF136"/>
  <c r="CK136"/>
  <c r="BF137"/>
  <c r="CK137"/>
  <c r="BF138"/>
  <c r="CK138"/>
  <c r="BF139"/>
  <c r="CK139"/>
  <c r="BF140"/>
  <c r="CK140"/>
  <c r="BF141"/>
  <c r="CK141"/>
  <c r="BF142"/>
  <c r="CK142"/>
  <c r="BF143"/>
  <c r="CK143"/>
  <c r="BF144"/>
  <c r="CK144"/>
  <c r="BF145"/>
  <c r="CK145"/>
  <c r="BF146"/>
  <c r="CK146"/>
  <c r="BF147"/>
  <c r="CK147"/>
  <c r="BF148"/>
  <c r="CK148"/>
  <c r="BF149"/>
  <c r="CK149"/>
  <c r="BF150"/>
  <c r="CK150"/>
  <c r="BF151"/>
  <c r="CK151"/>
  <c r="BF152"/>
  <c r="CK152"/>
  <c r="BF153"/>
  <c r="CK153"/>
  <c r="BF154"/>
  <c r="CK154"/>
  <c r="BF155"/>
  <c r="CK155"/>
  <c r="BF156"/>
  <c r="CK156"/>
  <c r="BF157"/>
  <c r="CK157"/>
  <c r="BF158"/>
  <c r="CK158"/>
  <c r="BF159"/>
  <c r="CK159"/>
  <c r="BF160"/>
  <c r="CK160"/>
  <c r="BF161"/>
  <c r="CK161"/>
  <c r="BF162"/>
  <c r="CK162"/>
  <c r="BF163"/>
  <c r="CK163"/>
  <c r="BF164"/>
  <c r="CK164"/>
  <c r="BF165"/>
  <c r="CK165"/>
  <c r="BF166"/>
  <c r="CK166"/>
  <c r="BF167"/>
  <c r="CK167"/>
  <c r="BF168"/>
  <c r="CK168"/>
  <c r="BF169"/>
  <c r="CK169"/>
  <c r="BF170"/>
  <c r="CK170"/>
  <c r="BF171"/>
  <c r="CK171"/>
  <c r="BF172"/>
  <c r="CK172"/>
  <c r="BF173"/>
  <c r="CK173"/>
  <c r="BF174"/>
  <c r="CK174"/>
  <c r="BF175"/>
  <c r="CK175"/>
  <c r="BF176"/>
  <c r="CK176"/>
  <c r="BF177"/>
  <c r="CK177"/>
  <c r="BF178"/>
  <c r="CK178"/>
  <c r="BF179"/>
  <c r="CK179"/>
  <c r="BF180"/>
  <c r="CK180"/>
  <c r="BF181"/>
  <c r="CK181"/>
  <c r="BF182"/>
  <c r="CK182"/>
  <c r="BF183"/>
  <c r="CK183"/>
  <c r="BF184"/>
  <c r="CK184"/>
  <c r="BF185"/>
  <c r="CK185"/>
  <c r="BF186"/>
  <c r="CK186"/>
  <c r="BF187"/>
  <c r="CK187"/>
  <c r="BF188"/>
  <c r="CK188"/>
  <c r="BF189"/>
  <c r="CK189"/>
  <c r="BF190"/>
  <c r="CK190"/>
  <c r="BF191"/>
  <c r="CK191"/>
  <c r="BF192"/>
  <c r="CK192"/>
  <c r="BF193"/>
  <c r="CK193"/>
  <c r="BF194"/>
  <c r="CK194"/>
  <c r="BF195"/>
  <c r="CK195"/>
  <c r="BF196"/>
  <c r="CK196"/>
  <c r="BF197"/>
  <c r="CK197"/>
  <c r="BF198"/>
  <c r="CK198"/>
  <c r="BF199"/>
  <c r="CK199"/>
  <c r="BF200"/>
  <c r="CK200"/>
  <c r="BF201"/>
  <c r="CK201"/>
  <c r="BF202"/>
  <c r="CK202"/>
  <c r="BF203"/>
  <c r="CK203"/>
  <c r="BF204"/>
  <c r="CK204"/>
  <c r="BF205"/>
  <c r="CK205"/>
  <c r="BF206"/>
  <c r="CK206"/>
  <c r="BF207"/>
  <c r="CK207"/>
  <c r="BF208"/>
  <c r="CK208"/>
  <c r="BF209"/>
  <c r="CK209"/>
  <c r="BF210"/>
  <c r="CK210"/>
  <c r="BF211"/>
  <c r="CK211"/>
  <c r="BF212"/>
  <c r="CK212"/>
  <c r="BF213"/>
  <c r="CK213"/>
  <c r="BF214"/>
  <c r="CK214"/>
  <c r="BF215"/>
  <c r="CK215"/>
  <c r="BF216"/>
  <c r="CK216"/>
  <c r="BF217"/>
  <c r="CK217"/>
  <c r="BF218"/>
  <c r="CK218"/>
  <c r="BF219"/>
  <c r="CK219"/>
  <c r="BF220"/>
  <c r="CK220"/>
  <c r="BF221"/>
  <c r="CK221"/>
  <c r="BF222"/>
  <c r="CK222"/>
  <c r="BF223"/>
  <c r="CK223"/>
  <c r="BF224"/>
  <c r="CK224"/>
  <c r="BF225"/>
  <c r="CK225"/>
  <c r="BF226"/>
  <c r="CK226"/>
  <c r="BF227"/>
  <c r="CK227"/>
  <c r="BF228"/>
  <c r="CK228"/>
  <c r="BF229"/>
  <c r="CK229"/>
  <c r="BF230"/>
  <c r="CK230"/>
  <c r="BF231"/>
  <c r="CK231"/>
  <c r="BF232"/>
  <c r="CK232"/>
  <c r="BF233"/>
  <c r="CK233"/>
  <c r="BF234"/>
  <c r="CK234"/>
  <c r="BF235"/>
  <c r="CK235"/>
  <c r="BF236"/>
  <c r="CK236"/>
  <c r="BF237"/>
  <c r="CK237"/>
  <c r="BF238"/>
  <c r="CK238"/>
  <c r="BF240"/>
  <c r="CK240"/>
  <c r="BF241"/>
  <c r="CK241"/>
  <c r="BF242"/>
  <c r="CK242"/>
  <c r="BF243"/>
  <c r="CK243"/>
  <c r="BF244"/>
  <c r="CK244"/>
  <c r="BF245"/>
  <c r="CK245"/>
  <c r="BF246"/>
  <c r="CK246"/>
  <c r="BF247"/>
  <c r="CK247"/>
  <c r="BF248"/>
  <c r="CK248"/>
  <c r="BF249"/>
  <c r="CK249"/>
  <c r="BF250"/>
  <c r="CK250"/>
  <c r="BF251"/>
  <c r="CK251"/>
  <c r="BF252"/>
  <c r="CK252"/>
  <c r="BF253"/>
  <c r="CK253"/>
  <c r="BF254"/>
  <c r="CK254"/>
  <c r="BF255"/>
  <c r="CK255"/>
  <c r="BF256"/>
  <c r="CK256"/>
  <c r="BF257"/>
  <c r="CK257"/>
  <c r="BF258"/>
  <c r="CK258"/>
  <c r="BF259"/>
  <c r="CK259"/>
  <c r="BF260"/>
  <c r="CK260"/>
  <c r="BF261"/>
  <c r="CK261"/>
  <c r="BF262"/>
  <c r="CK262"/>
  <c r="BF263"/>
  <c r="CK263"/>
  <c r="BF264"/>
  <c r="CK264"/>
  <c r="BF265"/>
  <c r="CK265"/>
  <c r="BF266"/>
  <c r="CK266"/>
  <c r="BF267"/>
  <c r="CK267"/>
  <c r="BF268"/>
  <c r="CK268"/>
  <c r="BF269"/>
  <c r="CK269"/>
  <c r="BF270"/>
  <c r="CK270"/>
  <c r="BF271"/>
  <c r="CK271"/>
  <c r="BF272"/>
  <c r="CK272"/>
  <c r="BF273"/>
  <c r="CK273"/>
  <c r="BF274"/>
  <c r="CK274"/>
  <c r="BF275"/>
  <c r="CK275"/>
  <c r="BF276"/>
  <c r="CK276"/>
  <c r="BF277"/>
  <c r="CK277"/>
  <c r="BF278"/>
  <c r="CK278"/>
  <c r="BF279"/>
  <c r="CK279"/>
  <c r="BF280"/>
  <c r="CK280"/>
  <c r="BF281"/>
  <c r="CK281"/>
  <c r="BF282"/>
  <c r="CK282"/>
  <c r="BF283"/>
  <c r="CK283"/>
  <c r="BF284"/>
  <c r="CK284"/>
  <c r="BF285"/>
  <c r="CK285"/>
  <c r="BF286"/>
  <c r="CK286"/>
  <c r="BF287"/>
  <c r="CK287"/>
  <c r="BF288"/>
  <c r="CK288"/>
  <c r="BF289"/>
  <c r="CK289"/>
  <c r="BF290"/>
  <c r="CK290"/>
  <c r="BF291"/>
  <c r="CK291"/>
  <c r="BF292"/>
  <c r="CK292"/>
  <c r="BF293"/>
  <c r="CK293"/>
  <c r="BF294"/>
  <c r="CK294"/>
  <c r="BF295"/>
  <c r="CK295"/>
  <c r="BF296"/>
  <c r="CK296"/>
  <c r="BF297"/>
  <c r="CK297"/>
  <c r="BF298"/>
  <c r="CK298"/>
  <c r="BF299"/>
  <c r="CK299"/>
  <c r="BF300"/>
  <c r="CK300"/>
  <c r="BF301"/>
  <c r="CK301"/>
  <c r="BF302"/>
  <c r="CK302"/>
  <c r="BF303"/>
  <c r="CK303"/>
  <c r="BF304"/>
  <c r="CK304"/>
  <c r="BF305"/>
  <c r="CK305"/>
  <c r="BF306"/>
  <c r="CK306"/>
  <c r="BF307"/>
  <c r="CK307"/>
  <c r="BF308"/>
  <c r="CK308"/>
  <c r="BF309"/>
  <c r="CK309"/>
  <c r="BF310"/>
  <c r="CK310"/>
  <c r="BF311"/>
  <c r="CK311"/>
  <c r="BF312"/>
  <c r="CK312"/>
  <c r="BF313"/>
  <c r="CK313"/>
  <c r="BF314"/>
  <c r="CK314"/>
  <c r="BF315"/>
  <c r="CK315"/>
  <c r="BF316"/>
  <c r="CK316"/>
  <c r="BF317"/>
  <c r="CK317"/>
  <c r="BF318"/>
  <c r="CK318"/>
  <c r="BF319"/>
  <c r="CK319"/>
  <c r="BF320"/>
  <c r="CK320"/>
  <c r="BF321"/>
  <c r="CK321"/>
  <c r="BF322"/>
  <c r="CK322"/>
  <c r="BF323"/>
  <c r="CK323"/>
  <c r="BF324"/>
  <c r="CK324"/>
  <c r="BF325"/>
  <c r="CK325"/>
  <c r="BF326"/>
  <c r="CK326"/>
  <c r="BF327"/>
  <c r="CK327"/>
  <c r="BF328"/>
  <c r="CK328"/>
  <c r="BF329"/>
  <c r="CK329"/>
  <c r="CL329"/>
  <c r="BF330"/>
  <c r="CK330"/>
  <c r="BF331"/>
  <c r="CK331"/>
  <c r="BF332"/>
  <c r="CK332"/>
  <c r="BF333"/>
  <c r="CK333"/>
  <c r="BF334"/>
  <c r="CK334"/>
  <c r="BF335"/>
  <c r="CK335"/>
  <c r="BF336"/>
  <c r="CK336"/>
  <c r="BF337"/>
  <c r="CK337"/>
  <c r="BF338"/>
  <c r="CK338"/>
  <c r="BF339"/>
  <c r="CK339"/>
  <c r="BF340"/>
  <c r="CK340"/>
  <c r="BF341"/>
  <c r="CK341"/>
  <c r="BF342"/>
  <c r="CK342"/>
  <c r="BF343"/>
  <c r="CK343"/>
  <c r="BF344"/>
  <c r="CK344"/>
  <c r="BF345"/>
  <c r="CK345"/>
  <c r="BF346"/>
  <c r="CK346"/>
  <c r="BF347"/>
  <c r="CK347"/>
  <c r="BF348"/>
  <c r="CK348"/>
  <c r="BF349"/>
  <c r="CK349"/>
  <c r="BF350"/>
  <c r="CK350"/>
  <c r="BF351"/>
  <c r="CK351"/>
  <c r="BF352"/>
  <c r="CK352"/>
  <c r="BF353"/>
  <c r="CK353"/>
  <c r="BF354"/>
  <c r="CK354"/>
  <c r="BF355"/>
  <c r="CK355"/>
  <c r="BF356"/>
  <c r="CK356"/>
  <c r="BF357"/>
  <c r="CK357"/>
  <c r="BF358"/>
  <c r="CK358"/>
  <c r="BF359"/>
  <c r="CK359"/>
  <c r="BF360"/>
  <c r="CK360"/>
  <c r="BF361"/>
  <c r="CK361"/>
  <c r="BF362"/>
  <c r="CK362"/>
  <c r="BF363"/>
  <c r="CK363"/>
  <c r="BF364"/>
  <c r="CK364"/>
  <c r="BF365"/>
  <c r="CK365"/>
  <c r="BF366"/>
  <c r="CK366"/>
  <c r="BF367"/>
  <c r="CK367"/>
  <c r="BF368"/>
  <c r="CK368"/>
  <c r="BF369"/>
  <c r="CK369"/>
  <c r="BF370"/>
  <c r="CK370"/>
  <c r="BF371"/>
  <c r="CK371"/>
  <c r="BF372"/>
  <c r="CK372"/>
  <c r="BF373"/>
  <c r="CK373"/>
  <c r="BF374"/>
  <c r="CK374"/>
  <c r="BF375"/>
  <c r="CK375"/>
  <c r="BF376"/>
  <c r="CK376"/>
  <c r="BF377"/>
  <c r="CK377"/>
  <c r="BF378"/>
  <c r="CK378"/>
  <c r="BF379"/>
  <c r="CK379"/>
  <c r="BF380"/>
  <c r="CK380"/>
  <c r="BF381"/>
  <c r="CK381"/>
  <c r="BF382"/>
  <c r="CK382"/>
  <c r="BF383"/>
  <c r="CK383"/>
  <c r="BF384"/>
  <c r="CK384"/>
  <c r="BF385"/>
  <c r="CK385"/>
  <c r="BF386"/>
  <c r="CK386"/>
  <c r="BF387"/>
  <c r="CK387"/>
  <c r="BF388"/>
  <c r="CK388"/>
  <c r="BF389"/>
  <c r="CK389"/>
  <c r="BF390"/>
  <c r="CK390"/>
  <c r="BF391"/>
  <c r="CK391"/>
  <c r="BF392"/>
  <c r="CK392"/>
  <c r="BF393"/>
  <c r="CK393"/>
  <c r="BF394"/>
  <c r="CK394"/>
  <c r="BF395"/>
  <c r="CK395"/>
  <c r="BF396"/>
  <c r="CK396"/>
  <c r="BF397"/>
  <c r="CK397"/>
  <c r="BF398"/>
  <c r="CK398"/>
  <c r="BF399"/>
  <c r="CK399"/>
  <c r="BF400"/>
  <c r="CK400"/>
  <c r="BF401"/>
  <c r="CK401"/>
  <c r="BF402"/>
  <c r="CK402"/>
  <c r="BF403"/>
  <c r="CK403"/>
  <c r="BF404"/>
  <c r="CK404"/>
  <c r="BF405"/>
  <c r="CK405"/>
  <c r="BF406"/>
  <c r="CK406"/>
  <c r="BF407"/>
  <c r="CK407"/>
  <c r="BF408"/>
  <c r="CK408"/>
  <c r="BF409"/>
  <c r="CK409"/>
  <c r="BF410"/>
  <c r="CK410"/>
  <c r="BF411"/>
  <c r="CK411"/>
  <c r="BF412"/>
  <c r="CK412"/>
  <c r="BF413"/>
  <c r="CK413"/>
  <c r="BF414"/>
  <c r="CK414"/>
  <c r="BF415"/>
  <c r="CK415"/>
  <c r="BF416"/>
  <c r="CK416"/>
  <c r="BF417"/>
  <c r="CK417"/>
  <c r="BF418"/>
  <c r="CK418"/>
  <c r="BF419"/>
  <c r="CK419"/>
  <c r="BF420"/>
  <c r="CK420"/>
  <c r="BF421"/>
  <c r="CK421"/>
  <c r="BF422"/>
  <c r="CK422"/>
  <c r="BF423"/>
  <c r="CK423"/>
  <c r="BF424"/>
  <c r="CK424"/>
  <c r="BF425"/>
  <c r="CK425"/>
  <c r="BF426"/>
  <c r="CK426"/>
  <c r="BF427"/>
  <c r="CK427"/>
  <c r="BF428"/>
  <c r="CK428"/>
  <c r="BF429"/>
  <c r="CK429"/>
  <c r="BF430"/>
  <c r="CK430"/>
  <c r="BF431"/>
  <c r="CK431"/>
  <c r="BF432"/>
  <c r="CK432"/>
  <c r="BF433"/>
  <c r="CK433"/>
  <c r="BF434"/>
  <c r="CK434"/>
  <c r="BF435"/>
  <c r="CK435"/>
  <c r="BF436"/>
  <c r="CK436"/>
  <c r="BF437"/>
  <c r="CK437"/>
  <c r="BF438"/>
  <c r="CK438"/>
  <c r="BF439"/>
  <c r="CK439"/>
  <c r="BF440"/>
  <c r="CK440"/>
  <c r="BF441"/>
  <c r="CK441"/>
  <c r="BF442"/>
  <c r="CK442"/>
  <c r="BF443"/>
  <c r="CK443"/>
  <c r="BF444"/>
  <c r="CK444"/>
  <c r="BF445"/>
  <c r="CK445"/>
  <c r="BF446"/>
  <c r="CK446"/>
  <c r="BF447"/>
  <c r="CK447"/>
  <c r="BF448"/>
  <c r="CK448"/>
  <c r="BF449"/>
  <c r="CK449"/>
  <c r="BF450"/>
  <c r="CK450"/>
  <c r="BF451"/>
  <c r="CK451"/>
  <c r="BF452"/>
  <c r="CK452"/>
  <c r="BF453"/>
  <c r="CK453"/>
  <c r="BF454"/>
  <c r="CK454"/>
  <c r="BF455"/>
  <c r="CK455"/>
  <c r="BF456"/>
  <c r="CK456"/>
  <c r="BF457"/>
  <c r="CK457"/>
  <c r="BF458"/>
  <c r="CK458"/>
  <c r="BF459"/>
  <c r="CK459"/>
  <c r="BF460"/>
  <c r="CK460"/>
  <c r="BF461"/>
  <c r="CK461"/>
  <c r="BF462"/>
  <c r="CK462"/>
  <c r="BF463"/>
  <c r="CK463"/>
  <c r="BF464"/>
  <c r="CK464"/>
  <c r="BF465"/>
  <c r="CK465"/>
  <c r="BF466"/>
  <c r="CK466"/>
  <c r="BF467"/>
  <c r="CK467"/>
  <c r="BF468"/>
  <c r="CK468"/>
  <c r="BF469"/>
  <c r="CK469"/>
  <c r="BF470"/>
  <c r="CK470"/>
  <c r="BF471"/>
  <c r="CK471"/>
  <c r="BF472"/>
  <c r="CK472"/>
  <c r="BF473"/>
  <c r="CK473"/>
  <c r="BF474"/>
  <c r="CK474"/>
  <c r="BF475"/>
  <c r="CK475"/>
  <c r="BF476"/>
  <c r="CK476"/>
  <c r="BF477"/>
  <c r="CK477"/>
  <c r="BF478"/>
  <c r="CK478"/>
  <c r="BF479"/>
  <c r="CK479"/>
  <c r="BF480"/>
  <c r="CK480"/>
  <c r="BF481"/>
  <c r="CK481"/>
  <c r="BF482"/>
  <c r="CK482"/>
  <c r="BF483"/>
  <c r="CK483"/>
  <c r="BF484"/>
  <c r="CK484"/>
  <c r="BF485"/>
  <c r="CK485"/>
  <c r="BF486"/>
  <c r="CK486"/>
  <c r="BF487"/>
  <c r="CK487"/>
  <c r="BF488"/>
  <c r="CK488"/>
  <c r="BF489"/>
  <c r="CK489"/>
  <c r="BF490"/>
  <c r="CK490"/>
  <c r="BF491"/>
  <c r="CK491"/>
  <c r="BF492"/>
  <c r="CK492"/>
  <c r="BF493"/>
  <c r="CK493"/>
  <c r="BF494"/>
  <c r="CK494"/>
  <c r="BF495"/>
  <c r="CK495"/>
  <c r="BF496"/>
  <c r="CK496"/>
  <c r="BF497"/>
  <c r="CK497"/>
  <c r="BF498"/>
  <c r="CK498"/>
  <c r="BF499"/>
  <c r="CK499"/>
  <c r="BF500"/>
  <c r="CK500"/>
  <c r="BF501"/>
  <c r="CK501"/>
  <c r="BF502"/>
  <c r="CK502"/>
  <c r="BF503"/>
  <c r="CK503"/>
  <c r="BF504"/>
  <c r="CK504"/>
  <c r="BF505"/>
  <c r="CK505"/>
  <c r="BF506"/>
  <c r="CK506"/>
  <c r="BF507"/>
  <c r="CK507"/>
  <c r="BF508"/>
  <c r="CK508"/>
  <c r="BF509"/>
  <c r="CK509"/>
  <c r="BF510"/>
  <c r="CK510"/>
  <c r="BF511"/>
  <c r="CK511"/>
  <c r="BF512"/>
  <c r="CK512"/>
  <c r="BF513"/>
  <c r="CK513"/>
  <c r="BF514"/>
  <c r="CK514"/>
  <c r="BF515"/>
  <c r="CK515"/>
  <c r="BF516"/>
  <c r="CK516"/>
  <c r="BF517"/>
  <c r="CK517"/>
  <c r="BF518"/>
  <c r="CK518"/>
  <c r="BF519"/>
  <c r="CK519"/>
  <c r="BF520"/>
  <c r="CK520"/>
  <c r="BF521"/>
  <c r="CK521"/>
  <c r="BF522"/>
  <c r="CK522"/>
  <c r="BF523"/>
  <c r="CK523"/>
  <c r="BF524"/>
  <c r="CK524"/>
  <c r="BF525"/>
  <c r="CK525"/>
  <c r="BF526"/>
  <c r="CK526"/>
  <c r="BF527"/>
  <c r="CK527"/>
  <c r="BF528"/>
  <c r="CK528"/>
  <c r="BF529"/>
  <c r="CK529"/>
  <c r="BF530"/>
  <c r="CK530"/>
  <c r="BF531"/>
  <c r="CK531"/>
  <c r="BF532"/>
  <c r="CK532"/>
  <c r="BF533"/>
  <c r="CK533"/>
  <c r="BF534"/>
  <c r="CK534"/>
  <c r="BF535"/>
  <c r="CK535"/>
  <c r="BF536"/>
  <c r="CK536"/>
  <c r="BF537"/>
  <c r="CK537"/>
  <c r="BF538"/>
  <c r="CK538"/>
  <c r="BF539"/>
  <c r="CK539"/>
  <c r="BF540"/>
  <c r="CK540"/>
  <c r="BF541"/>
  <c r="CK541"/>
  <c r="BF542"/>
  <c r="CK542"/>
  <c r="BF543"/>
  <c r="CK543"/>
  <c r="BF544"/>
  <c r="CK544"/>
  <c r="BF545"/>
  <c r="CK545"/>
  <c r="BF546"/>
  <c r="CK546"/>
  <c r="BF547"/>
  <c r="CK547"/>
  <c r="BF548"/>
  <c r="CK548"/>
  <c r="BF549"/>
  <c r="CK549"/>
  <c r="BF550"/>
  <c r="CK550"/>
  <c r="BF551"/>
  <c r="CK551"/>
  <c r="BF552"/>
  <c r="CK552"/>
  <c r="BF553"/>
  <c r="CK553"/>
  <c r="BF554"/>
  <c r="CK554"/>
  <c r="BF555"/>
  <c r="CK555"/>
  <c r="BF556"/>
  <c r="CK556"/>
  <c r="BF557"/>
  <c r="CK557"/>
  <c r="BF558"/>
  <c r="CK558"/>
  <c r="BF559"/>
  <c r="CK559"/>
  <c r="BF560"/>
  <c r="CK560"/>
  <c r="BF561"/>
  <c r="CK561"/>
  <c r="BF562"/>
  <c r="CK562"/>
  <c r="BF563"/>
  <c r="CK563"/>
  <c r="BF564"/>
  <c r="CK564"/>
  <c r="BF565"/>
  <c r="CK565"/>
  <c r="BF566"/>
  <c r="CK566"/>
  <c r="BF567"/>
  <c r="CK567"/>
  <c r="BF568"/>
  <c r="CK568"/>
  <c r="BF569"/>
  <c r="CK569"/>
  <c r="BF570"/>
  <c r="CK570"/>
  <c r="BF571"/>
  <c r="CK571"/>
  <c r="BF572"/>
  <c r="CK572"/>
  <c r="BF573"/>
  <c r="CK573"/>
  <c r="BF574"/>
  <c r="CK574"/>
  <c r="BF575"/>
  <c r="CK575"/>
  <c r="BF576"/>
  <c r="CK576"/>
  <c r="BF577"/>
  <c r="CK577"/>
  <c r="BF578"/>
  <c r="CK578"/>
  <c r="BF579"/>
  <c r="CK579"/>
  <c r="BF580"/>
  <c r="CK580"/>
  <c r="BF581"/>
  <c r="CK581"/>
  <c r="BF582"/>
  <c r="CK582"/>
  <c r="BF583"/>
  <c r="CK583"/>
  <c r="BF584"/>
  <c r="CK584"/>
  <c r="BF585"/>
  <c r="CK585"/>
  <c r="BF586"/>
  <c r="CK586"/>
  <c r="BF587"/>
  <c r="CK587"/>
  <c r="BF588"/>
  <c r="CK588"/>
  <c r="BF589"/>
  <c r="CK589"/>
  <c r="BF590"/>
  <c r="CK590"/>
  <c r="BF591"/>
  <c r="CK591"/>
  <c r="BF592"/>
  <c r="CK592"/>
  <c r="BF593"/>
  <c r="CK593"/>
  <c r="BF594"/>
  <c r="CK594"/>
  <c r="BF595"/>
  <c r="CK595"/>
  <c r="BF596"/>
  <c r="CK596"/>
  <c r="BF597"/>
  <c r="CK597"/>
  <c r="BF598"/>
  <c r="CK598"/>
  <c r="BF599"/>
  <c r="CK599"/>
  <c r="BF600"/>
  <c r="CK600"/>
  <c r="BF601"/>
  <c r="CK601"/>
  <c r="BF602"/>
  <c r="CK602"/>
  <c r="BF603"/>
  <c r="CK603"/>
  <c r="BF604"/>
  <c r="CK604"/>
  <c r="BF605"/>
  <c r="CK605"/>
  <c r="BF606"/>
  <c r="CK606"/>
  <c r="BF607"/>
  <c r="CK607"/>
  <c r="BF608"/>
  <c r="CK608"/>
  <c r="BF609"/>
  <c r="CK609"/>
  <c r="BF610"/>
  <c r="CK610"/>
  <c r="BF611"/>
  <c r="CK611"/>
  <c r="BF612"/>
  <c r="CK612"/>
  <c r="BF613"/>
  <c r="CK613"/>
  <c r="BF614"/>
  <c r="CK614"/>
  <c r="BF615"/>
  <c r="CK615"/>
  <c r="BF617"/>
  <c r="BF618"/>
  <c r="CK617"/>
  <c r="CK618"/>
  <c r="O622"/>
  <c r="O624"/>
  <c r="AV622"/>
  <c r="AV624"/>
  <c r="AV625"/>
  <c r="BF622"/>
  <c r="BF624"/>
  <c r="CC622"/>
  <c r="CC625"/>
  <c r="CK622"/>
  <c r="CK624"/>
  <c r="BF625"/>
  <c r="CK625"/>
  <c r="O629"/>
  <c r="O631"/>
  <c r="O632"/>
  <c r="AV629"/>
  <c r="AV631"/>
  <c r="AV632"/>
  <c r="CC629"/>
  <c r="CC631"/>
  <c r="CK629"/>
  <c r="CK631"/>
  <c r="CL629"/>
  <c r="CC632"/>
  <c r="CK632"/>
  <c r="O636"/>
  <c r="O638"/>
  <c r="AV636"/>
  <c r="AV638"/>
  <c r="AV639"/>
  <c r="CC636"/>
  <c r="CC638"/>
  <c r="BF639"/>
  <c r="CK639"/>
  <c r="O644"/>
  <c r="AV644"/>
  <c r="BF644"/>
  <c r="CC644"/>
  <c r="CK644"/>
  <c r="O645"/>
  <c r="AV645"/>
  <c r="BF645"/>
  <c r="CC645"/>
  <c r="CK645"/>
  <c r="O646"/>
  <c r="AV646"/>
  <c r="BF646"/>
  <c r="CC646"/>
  <c r="CK646"/>
  <c r="O647"/>
  <c r="AV647"/>
  <c r="BF647"/>
  <c r="CC647"/>
  <c r="CK647"/>
  <c r="O648"/>
  <c r="AV648"/>
  <c r="BF648"/>
  <c r="CC648"/>
  <c r="CK648"/>
  <c r="O649"/>
  <c r="AV649"/>
  <c r="BF649"/>
  <c r="CC649"/>
  <c r="CK649"/>
  <c r="O650"/>
  <c r="AV650"/>
  <c r="BF650"/>
  <c r="CC650"/>
  <c r="CK650"/>
  <c r="O651"/>
  <c r="AV651"/>
  <c r="BF651"/>
  <c r="CC651"/>
  <c r="CK651"/>
  <c r="O652"/>
  <c r="AV652"/>
  <c r="BF652"/>
  <c r="CC652"/>
  <c r="CK652"/>
  <c r="O653"/>
  <c r="AV653"/>
  <c r="BF653"/>
  <c r="CC653"/>
  <c r="CK653"/>
  <c r="O654"/>
  <c r="AV654"/>
  <c r="BF654"/>
  <c r="CC654"/>
  <c r="CK654"/>
  <c r="O655"/>
  <c r="AV655"/>
  <c r="BF655"/>
  <c r="CC655"/>
  <c r="CK655"/>
  <c r="O656"/>
  <c r="AV656"/>
  <c r="BF656"/>
  <c r="CC656"/>
  <c r="CK656"/>
  <c r="O657"/>
  <c r="AV657"/>
  <c r="BF657"/>
  <c r="CC657"/>
  <c r="CK657"/>
  <c r="O658"/>
  <c r="AV658"/>
  <c r="BF658"/>
  <c r="CC658"/>
  <c r="CK658"/>
  <c r="O659"/>
  <c r="AV659"/>
  <c r="BF659"/>
  <c r="CC659"/>
  <c r="CK659"/>
  <c r="O660"/>
  <c r="AV660"/>
  <c r="BF660"/>
  <c r="CC660"/>
  <c r="CK660"/>
  <c r="O661"/>
  <c r="AV661"/>
  <c r="BF661"/>
  <c r="CC661"/>
  <c r="CK661"/>
  <c r="O662"/>
  <c r="AV662"/>
  <c r="BF662"/>
  <c r="CC662"/>
  <c r="CK662"/>
  <c r="O663"/>
  <c r="AV663"/>
  <c r="BF663"/>
  <c r="CC663"/>
  <c r="CK663"/>
  <c r="O664"/>
  <c r="AV664"/>
  <c r="BF664"/>
  <c r="CC664"/>
  <c r="CK664"/>
  <c r="O665"/>
  <c r="AV665"/>
  <c r="BF665"/>
  <c r="CC665"/>
  <c r="CK665"/>
  <c r="O666"/>
  <c r="AV666"/>
  <c r="BF666"/>
  <c r="CC666"/>
  <c r="CK666"/>
  <c r="O667"/>
  <c r="AV667"/>
  <c r="BF667"/>
  <c r="CC667"/>
  <c r="CK667"/>
  <c r="O668"/>
  <c r="AV668"/>
  <c r="BF668"/>
  <c r="CC668"/>
  <c r="CK668"/>
  <c r="O669"/>
  <c r="AV669"/>
  <c r="BF669"/>
  <c r="CC669"/>
  <c r="CK669"/>
  <c r="O670"/>
  <c r="AV670"/>
  <c r="BF670"/>
  <c r="CC670"/>
  <c r="CK670"/>
  <c r="O671"/>
  <c r="AV671"/>
  <c r="BF671"/>
  <c r="CC671"/>
  <c r="CK671"/>
  <c r="O672"/>
  <c r="AV672"/>
  <c r="BF672"/>
  <c r="CC672"/>
  <c r="CK672"/>
  <c r="O673"/>
  <c r="AV673"/>
  <c r="BF673"/>
  <c r="CC673"/>
  <c r="CK673"/>
  <c r="O674"/>
  <c r="AV674"/>
  <c r="BF674"/>
  <c r="CC674"/>
  <c r="CK674"/>
  <c r="O675"/>
  <c r="AV675"/>
  <c r="BF675"/>
  <c r="CC675"/>
  <c r="CK675"/>
  <c r="O676"/>
  <c r="AV676"/>
  <c r="BF676"/>
  <c r="CC676"/>
  <c r="CK676"/>
  <c r="O677"/>
  <c r="AV677"/>
  <c r="BF677"/>
  <c r="CC677"/>
  <c r="CK677"/>
  <c r="O678"/>
  <c r="AV678"/>
  <c r="BF678"/>
  <c r="CC678"/>
  <c r="CK678"/>
  <c r="O679"/>
  <c r="AV679"/>
  <c r="BF679"/>
  <c r="CC679"/>
  <c r="CK679"/>
  <c r="O680"/>
  <c r="AV680"/>
  <c r="BF680"/>
  <c r="CC680"/>
  <c r="CK680"/>
  <c r="O681"/>
  <c r="AV681"/>
  <c r="BF681"/>
  <c r="CC681"/>
  <c r="CK681"/>
  <c r="O682"/>
  <c r="AV682"/>
  <c r="BF682"/>
  <c r="CC682"/>
  <c r="CK682"/>
  <c r="O683"/>
  <c r="AV683"/>
  <c r="BF683"/>
  <c r="CC683"/>
  <c r="CK683"/>
  <c r="O684"/>
  <c r="AV684"/>
  <c r="BF684"/>
  <c r="CC684"/>
  <c r="CK684"/>
  <c r="O685"/>
  <c r="AV685"/>
  <c r="BF685"/>
  <c r="CC685"/>
  <c r="CK685"/>
  <c r="O686"/>
  <c r="AV686"/>
  <c r="BF686"/>
  <c r="CC686"/>
  <c r="CK686"/>
  <c r="O687"/>
  <c r="AV687"/>
  <c r="BF687"/>
  <c r="CC687"/>
  <c r="CK687"/>
  <c r="O688"/>
  <c r="AV688"/>
  <c r="BF688"/>
  <c r="CC688"/>
  <c r="CK688"/>
  <c r="O689"/>
  <c r="AV689"/>
  <c r="BF689"/>
  <c r="CC689"/>
  <c r="CK689"/>
  <c r="O690"/>
  <c r="AV690"/>
  <c r="BF690"/>
  <c r="CC690"/>
  <c r="CK690"/>
  <c r="O691"/>
  <c r="AV691"/>
  <c r="BF691"/>
  <c r="CC691"/>
  <c r="CK691"/>
  <c r="O692"/>
  <c r="AV692"/>
  <c r="BF692"/>
  <c r="CC692"/>
  <c r="CK692"/>
  <c r="O693"/>
  <c r="AV693"/>
  <c r="BF693"/>
  <c r="CC693"/>
  <c r="CK693"/>
  <c r="O694"/>
  <c r="AV694"/>
  <c r="BF694"/>
  <c r="CC694"/>
  <c r="CK694"/>
  <c r="O695"/>
  <c r="AV695"/>
  <c r="BF695"/>
  <c r="CC695"/>
  <c r="CK695"/>
  <c r="O696"/>
  <c r="AV696"/>
  <c r="BF696"/>
  <c r="CC696"/>
  <c r="CK696"/>
  <c r="CL622"/>
  <c r="O618"/>
  <c r="CL618"/>
  <c r="CL617"/>
  <c r="O639"/>
  <c r="CL638"/>
  <c r="O625"/>
  <c r="CL625"/>
  <c r="CL631"/>
  <c r="CC624"/>
  <c r="CL624"/>
  <c r="CL636"/>
  <c r="CC639"/>
  <c r="BF632"/>
  <c r="CL632"/>
  <c r="CL639"/>
</calcChain>
</file>

<file path=xl/comments1.xml><?xml version="1.0" encoding="utf-8"?>
<comments xmlns="http://schemas.openxmlformats.org/spreadsheetml/2006/main">
  <authors>
    <author>Larry Maloney</author>
  </authors>
  <commentList>
    <comment ref="I21" authorId="0">
      <text>
        <r>
          <rPr>
            <b/>
            <sz val="8"/>
            <color indexed="81"/>
            <rFont val="Tahoma"/>
            <family val="2"/>
          </rPr>
          <t>Larry Maloney:</t>
        </r>
        <r>
          <rPr>
            <sz val="8"/>
            <color indexed="81"/>
            <rFont val="Tahoma"/>
            <family val="2"/>
          </rPr>
          <t xml:space="preserve">
Charter categorized 820113 here but had not local tax levy money.  Miscategorized.  Moved to local tax levy</t>
        </r>
      </text>
    </comment>
    <comment ref="I25" authorId="0">
      <text>
        <r>
          <rPr>
            <b/>
            <sz val="8"/>
            <color indexed="81"/>
            <rFont val="Tahoma"/>
            <family val="2"/>
          </rPr>
          <t>Larry Maloney:</t>
        </r>
        <r>
          <rPr>
            <sz val="8"/>
            <color indexed="81"/>
            <rFont val="Tahoma"/>
            <family val="2"/>
          </rPr>
          <t xml:space="preserve">
Charter categorized 130848 here but had no local tax levy money.  Miscategorized.  Moved to Local Tax Levy</t>
        </r>
      </text>
    </comment>
    <comment ref="F32" authorId="0">
      <text>
        <r>
          <rPr>
            <b/>
            <sz val="8"/>
            <color indexed="81"/>
            <rFont val="Tahoma"/>
            <family val="2"/>
          </rPr>
          <t>Larry Maloney:</t>
        </r>
        <r>
          <rPr>
            <sz val="8"/>
            <color indexed="81"/>
            <rFont val="Tahoma"/>
            <family val="2"/>
          </rPr>
          <t xml:space="preserve">
This number is from the FY07 Enrollments and State Aid Payments to Charter Schools Based on Final Enrollment.  The original enrollment file did not include an enrollment number for this charter.  Received a fall enrollment count from Ken Figgs at DOE of 485, while the number based on payments was 171.3.  And the fall 2007 enrollment is 191.  Went with this number as it appears more reasonable.</t>
        </r>
      </text>
    </comment>
    <comment ref="F75" authorId="0">
      <text>
        <r>
          <rPr>
            <b/>
            <sz val="8"/>
            <color indexed="81"/>
            <rFont val="Tahoma"/>
            <family val="2"/>
          </rPr>
          <t>Larry Maloney:</t>
        </r>
        <r>
          <rPr>
            <sz val="8"/>
            <color indexed="81"/>
            <rFont val="Tahoma"/>
            <family val="2"/>
          </rPr>
          <t xml:space="preserve">
This number is from the FY07 Enrollments and State Aid Payments to Charter Schools Based on Final Enrollment.  The original enrollment file did not include an enrollment number for this charter.  Received a fall enrollment count from Ken Figgs at DOE of 485, while the number based on payments was 171.3.  And the fall 2007 enrollment is 191.  Went with this number as it appears more reasonable.</t>
        </r>
      </text>
    </comment>
    <comment ref="I86" authorId="0">
      <text>
        <r>
          <rPr>
            <b/>
            <sz val="8"/>
            <color indexed="81"/>
            <rFont val="Tahoma"/>
            <family val="2"/>
          </rPr>
          <t>Larry Maloney:</t>
        </r>
        <r>
          <rPr>
            <sz val="8"/>
            <color indexed="81"/>
            <rFont val="Tahoma"/>
            <family val="2"/>
          </rPr>
          <t xml:space="preserve">
Charter categorized 130848 here but had no local tax levy money.  Miscategorized.  Moved to Local Tax Levy</t>
        </r>
      </text>
    </comment>
  </commentList>
</comments>
</file>

<file path=xl/comments2.xml><?xml version="1.0" encoding="utf-8"?>
<comments xmlns="http://schemas.openxmlformats.org/spreadsheetml/2006/main">
  <authors>
    <author>Larry Maloney</author>
  </authors>
  <commentList>
    <comment ref="F672" authorId="0">
      <text>
        <r>
          <rPr>
            <b/>
            <sz val="8"/>
            <color indexed="81"/>
            <rFont val="Tahoma"/>
            <family val="2"/>
          </rPr>
          <t>Larry Maloney:</t>
        </r>
        <r>
          <rPr>
            <sz val="8"/>
            <color indexed="81"/>
            <rFont val="Tahoma"/>
            <family val="2"/>
          </rPr>
          <t xml:space="preserve">
This number is from the FY07 Enrollments and State Aid Payments to Charter Schools Based on Final Enrollment.  The original enrollment file did not include an enrollment number for this charter.  Received a fall enrollment count from Ken Figgs at DOE of 485, while the number based on payments was 171.3.  And the fall 2007 enrollment is 191.  Went with this number as it appears more reasonable.</t>
        </r>
      </text>
    </comment>
  </commentList>
</comments>
</file>

<file path=xl/comments3.xml><?xml version="1.0" encoding="utf-8"?>
<comments xmlns="http://schemas.openxmlformats.org/spreadsheetml/2006/main">
  <authors>
    <author>Larry Maloney</author>
  </authors>
  <commentList>
    <comment ref="F644" authorId="0">
      <text>
        <r>
          <rPr>
            <b/>
            <sz val="8"/>
            <color indexed="81"/>
            <rFont val="Tahoma"/>
            <family val="2"/>
          </rPr>
          <t>Larry Maloney:</t>
        </r>
        <r>
          <rPr>
            <sz val="8"/>
            <color indexed="81"/>
            <rFont val="Tahoma"/>
            <family val="2"/>
          </rPr>
          <t xml:space="preserve">
This number is from the FY07 Enrollments and State Aid Payments to Charter Schools Based on Final Enrollment.  The original enrollment file did not include an enrollment number for this charter.  Received a fall enrollment count from Ken Figgs at DOE of 485, while the number based on payments was 171.3.  And the fall 2007 enrollment is 191.  Went with this number as it appears more reasonable.</t>
        </r>
      </text>
    </comment>
  </commentList>
</comments>
</file>

<file path=xl/comments4.xml><?xml version="1.0" encoding="utf-8"?>
<comments xmlns="http://schemas.openxmlformats.org/spreadsheetml/2006/main">
  <authors>
    <author>Larry Maloney</author>
  </authors>
  <commentList>
    <comment ref="F644" authorId="0">
      <text>
        <r>
          <rPr>
            <b/>
            <sz val="8"/>
            <color indexed="81"/>
            <rFont val="Tahoma"/>
            <family val="2"/>
          </rPr>
          <t>Larry Maloney:</t>
        </r>
        <r>
          <rPr>
            <sz val="8"/>
            <color indexed="81"/>
            <rFont val="Tahoma"/>
            <family val="2"/>
          </rPr>
          <t xml:space="preserve">
This number is from the FY07 Enrollments and State Aid Payments to Charter Schools Based on Final Enrollment.  The original enrollment file did not include an enrollment number for this charter.  Received a fall enrollment count from Ken Figgs at DOE of 485, while the number based on payments was 171.3.  And the fall 2007 enrollment is 191.  Went with this number as it appears more reasonable.</t>
        </r>
      </text>
    </comment>
  </commentList>
</comments>
</file>

<file path=xl/sharedStrings.xml><?xml version="1.0" encoding="utf-8"?>
<sst xmlns="http://schemas.openxmlformats.org/spreadsheetml/2006/main" count="8667" uniqueCount="1943">
  <si>
    <t>Charters have access to state funds according to state statutes (Yes = black, No = white)</t>
  </si>
  <si>
    <t>N</t>
  </si>
  <si>
    <t>Percentage of state revenue equals percentage of total enrollment for charter schools (&lt;, &gt;, or =)</t>
  </si>
  <si>
    <t>Local Funding</t>
  </si>
  <si>
    <t>Charters have access to local funds according to state statutes (Yes = black, No = white)</t>
  </si>
  <si>
    <t>Percentage of local revenue equals percentage of total enrollment for charter schools (&lt;, &gt;, or =)</t>
  </si>
  <si>
    <t>Facilities Funding</t>
  </si>
  <si>
    <t>Charters have access to facilities funds according to state statutes (Yes = black, No = white)</t>
  </si>
  <si>
    <t>Percentage of facilities revenue equals percentage of total enrollment for charter schools (&lt;, &gt;, or =)</t>
  </si>
  <si>
    <t>Data Availability</t>
  </si>
  <si>
    <t>State provides detailed, public data on federal, state, local and other revenues for district schools (Yes = black, Partial = grey, No = white)</t>
  </si>
  <si>
    <t>State provides detailed, public data on federal, state, local and other revenues for charter schools (Yes = black, Partial = grey, No = white)</t>
  </si>
  <si>
    <t>Funding Formula</t>
  </si>
  <si>
    <t>Charters are treated as LEAs for funding purposes (Yes = black, Partial = grey, No = white)</t>
  </si>
  <si>
    <t>State funds student (black) or the LEA (grey)</t>
  </si>
  <si>
    <t>S</t>
  </si>
  <si>
    <t>L</t>
  </si>
  <si>
    <t>Use these options for the query to the left only (B18)</t>
  </si>
  <si>
    <t>State funding formula is fair and equitable (Yes = black, No = white</t>
  </si>
  <si>
    <t>* For this finding, No one could indicate that the statue is silent or that it denies access.</t>
  </si>
  <si>
    <t>Source</t>
  </si>
  <si>
    <t>The conclusions reached in this document are those of the author(s) and do not necessarily represent those</t>
  </si>
  <si>
    <t xml:space="preserve">of Ball State University.  </t>
  </si>
  <si>
    <t>New Jersey Department of Education</t>
  </si>
  <si>
    <t>All files are "read only" and based on data collections from the New Jersey Department of Education.</t>
  </si>
  <si>
    <t>X</t>
  </si>
  <si>
    <t>Cap on funding a charter school can receive</t>
  </si>
  <si>
    <t>District public school receive differential funding (e.g. more funding for 9-12 vs. K-8 schools)</t>
  </si>
  <si>
    <t>Charter schools receive differential funding</t>
  </si>
  <si>
    <t>State allows districts to withhold funding from charter schools for providing adminstrative services</t>
  </si>
  <si>
    <r>
      <t>X</t>
    </r>
    <r>
      <rPr>
        <sz val="10"/>
        <rFont val="Calibri"/>
        <family val="2"/>
      </rPr>
      <t>₂</t>
    </r>
  </si>
  <si>
    <t>State "holds harmless" district funding for charter enrollment</t>
  </si>
  <si>
    <t>School is considered LEA if authorized by non-district organization</t>
  </si>
  <si>
    <t>School is considered LEA if authorized by district</t>
  </si>
  <si>
    <t>Cap on number of charter schools</t>
  </si>
  <si>
    <t>Cap on number of charters schools authorized per year</t>
  </si>
  <si>
    <t>Cap on number of students attending charter schools</t>
  </si>
  <si>
    <t>Charter schools have an open enrollment policy</t>
  </si>
  <si>
    <t>1.  State funding generally flows from the school district to the charter school for any revenue related to</t>
  </si>
  <si>
    <t>core funding. However, charters do receive some revenue directly from the state, such as the Abbott</t>
  </si>
  <si>
    <t>Kindergarten funding provided to charters within Abbott districts that run kindergarten programs.</t>
  </si>
  <si>
    <t>2.  Districts must provide charters 90 percent of the state mandated per pupil minimum.</t>
  </si>
  <si>
    <t>Note for chapter: the state passed funding reform legislation in 2008 to provide more equitable distribution of funds to charter schools - the School Funding Reform Act of 2008</t>
  </si>
  <si>
    <t>Figure 5: School Characteristics</t>
  </si>
  <si>
    <t>Percentage of students eligible for free or reduced price lunch</t>
  </si>
  <si>
    <t>Percentage of schools eligible for Title 1</t>
  </si>
  <si>
    <t>Percent of students by school type</t>
  </si>
  <si>
    <t>Primary (K-5)</t>
  </si>
  <si>
    <t>Middle (6-8)</t>
  </si>
  <si>
    <t>High (9-12)</t>
  </si>
  <si>
    <t>Other (K-12,K-8, etc.)</t>
  </si>
  <si>
    <t>Figure 6: State Scorecard</t>
  </si>
  <si>
    <t>Findings</t>
  </si>
  <si>
    <t>New Jersey</t>
  </si>
  <si>
    <t>Use the following options only</t>
  </si>
  <si>
    <t>Federal Funding</t>
  </si>
  <si>
    <t>Charters have access to federal funds according to state statutes (Yes = black, No = white)*</t>
  </si>
  <si>
    <t>Y</t>
  </si>
  <si>
    <t>Percentage of federal revenue equals percentage of total enrollment for charter schools (&lt;, &gt;, or =)</t>
  </si>
  <si>
    <t>&gt;</t>
  </si>
  <si>
    <t>P</t>
  </si>
  <si>
    <t>State Funding</t>
  </si>
  <si>
    <t xml:space="preserve">3460-MOUNTAIN LAKES BORO      </t>
  </si>
  <si>
    <t xml:space="preserve">3520-NETCONG BORO             </t>
  </si>
  <si>
    <t>3950-PARSIPPANY-TROY HILLS TWP</t>
  </si>
  <si>
    <t xml:space="preserve">4000-LONG HILL TWP            </t>
  </si>
  <si>
    <t xml:space="preserve">4080-PEQUANNOCK TWP           </t>
  </si>
  <si>
    <t xml:space="preserve">4330-RANDOLPH TWP             </t>
  </si>
  <si>
    <t xml:space="preserve">4440-RIVERDALE BORO           </t>
  </si>
  <si>
    <t xml:space="preserve">4480-ROCKAWAY BORO            </t>
  </si>
  <si>
    <t xml:space="preserve">4490-ROCKAWAY TWP             </t>
  </si>
  <si>
    <t xml:space="preserve">4560-ROXBURY TWP              </t>
  </si>
  <si>
    <t xml:space="preserve">5520-WASHINGTON TWP           </t>
  </si>
  <si>
    <t xml:space="preserve">5660-WEST MORRIS REGIONAL     </t>
  </si>
  <si>
    <t xml:space="preserve">5770-WHARTON BORO             </t>
  </si>
  <si>
    <t>Legend</t>
  </si>
  <si>
    <t>Pre K Enrollments</t>
  </si>
  <si>
    <t>Not Used</t>
  </si>
  <si>
    <t>Figure 1</t>
  </si>
  <si>
    <t>Figure 2</t>
  </si>
  <si>
    <t>New Jersey      (2006-07)</t>
  </si>
  <si>
    <t>Statewide</t>
  </si>
  <si>
    <t>Statewide Weighted for Charter Enrollment</t>
  </si>
  <si>
    <t>District</t>
  </si>
  <si>
    <t>Charter</t>
  </si>
  <si>
    <t>Difference</t>
  </si>
  <si>
    <t xml:space="preserve">Trenton charter numbers reflect a significant drop from the FY03 analysis.  </t>
  </si>
  <si>
    <t>Per-Pupil Revenue</t>
  </si>
  <si>
    <t xml:space="preserve">Compared the files.  It appears that Granville Charter School did not operate in FY07 - </t>
  </si>
  <si>
    <t>Statewide Weighted</t>
  </si>
  <si>
    <t xml:space="preserve"> - it was by far the largest charter school in the city with 1188 pupils in FY03.  </t>
  </si>
  <si>
    <t xml:space="preserve">The closing of that school would affect significantly the numbers presented in FY07.  </t>
  </si>
  <si>
    <t xml:space="preserve"> Confirmed on SDE website that Granville is not operational in FY07</t>
  </si>
  <si>
    <t>Per-Pupil Revenue by Source</t>
  </si>
  <si>
    <t xml:space="preserve">District </t>
  </si>
  <si>
    <t>Figure 2: Per Pupil Revenue for New Jersey District &amp; Charter Schools, FY 2006-07</t>
  </si>
  <si>
    <t>Total</t>
  </si>
  <si>
    <t>n/a</t>
  </si>
  <si>
    <t>Number of Charters</t>
  </si>
  <si>
    <t>Total Revenue</t>
  </si>
  <si>
    <t>Percentage of Revenue by Source</t>
  </si>
  <si>
    <t>Figure 4</t>
  </si>
  <si>
    <t xml:space="preserve">Other </t>
  </si>
  <si>
    <t>Statewide District</t>
  </si>
  <si>
    <t>Statewide Charter</t>
  </si>
  <si>
    <t>Change in district school funding if subjected to charter funding structure</t>
  </si>
  <si>
    <t>Jersey City District</t>
  </si>
  <si>
    <t>($5.9 billion)</t>
  </si>
  <si>
    <t>($360 million)</t>
  </si>
  <si>
    <t>($614 million)</t>
  </si>
  <si>
    <t>($168 million)</t>
  </si>
  <si>
    <t>Jersey City Charter</t>
  </si>
  <si>
    <t>Newark District</t>
  </si>
  <si>
    <t>Trenton District</t>
  </si>
  <si>
    <t>Trenton Charter</t>
  </si>
  <si>
    <t>State Charter School Policies</t>
  </si>
  <si>
    <t>Figure 3</t>
  </si>
  <si>
    <t>State Policies</t>
  </si>
  <si>
    <t>Yes</t>
  </si>
  <si>
    <t xml:space="preserve">No </t>
  </si>
  <si>
    <t>Partial</t>
  </si>
  <si>
    <t>Charter schools received their funding directly from the state</t>
  </si>
  <si>
    <r>
      <t>X</t>
    </r>
    <r>
      <rPr>
        <sz val="10"/>
        <rFont val="Calibri"/>
        <family val="2"/>
      </rPr>
      <t>₁</t>
    </r>
  </si>
  <si>
    <t>Charter schools are eligible for local funding</t>
  </si>
  <si>
    <t xml:space="preserve">3030-MARLBORO TWP             </t>
  </si>
  <si>
    <t>3040-MATAWAN-ABERDEEN REGIONAL</t>
  </si>
  <si>
    <t xml:space="preserve">3160-MIDDLETOWN TWP           </t>
  </si>
  <si>
    <t xml:space="preserve">3200-MILLSTONE TWP            </t>
  </si>
  <si>
    <t xml:space="preserve">3250-MONMOUTH BEACH BORO      </t>
  </si>
  <si>
    <t>3255-MONMOUTH-OCEAN ED SER COM</t>
  </si>
  <si>
    <t xml:space="preserve">3260-MONMOUTH CO VOCATIONAL   </t>
  </si>
  <si>
    <t xml:space="preserve">3270-MONMOUTH REGIONAL        </t>
  </si>
  <si>
    <t xml:space="preserve">3500-NEPTUNE CITY             </t>
  </si>
  <si>
    <t xml:space="preserve">3510-NEPTUNE TWP              </t>
  </si>
  <si>
    <t xml:space="preserve">3810-OCEAN TWP                </t>
  </si>
  <si>
    <t xml:space="preserve">3830-OCEANPORT BORO           </t>
  </si>
  <si>
    <t xml:space="preserve">4360-RED BANK BORO            </t>
  </si>
  <si>
    <t xml:space="preserve">4365-RED BANK REGIONAL        </t>
  </si>
  <si>
    <t xml:space="preserve">4520-ROOSEVELT BORO           </t>
  </si>
  <si>
    <t xml:space="preserve">4570-RUMSON BORO              </t>
  </si>
  <si>
    <t xml:space="preserve">4580-RUMSON-FAIR HAVEN REG    </t>
  </si>
  <si>
    <t xml:space="preserve">4690-SEA GIRT BORO            </t>
  </si>
  <si>
    <t xml:space="preserve">4760-SHORE REGIONAL           </t>
  </si>
  <si>
    <t xml:space="preserve">4770-SHREWSBURY BORO          </t>
  </si>
  <si>
    <t xml:space="preserve">4980-SPRING LAKE BORO         </t>
  </si>
  <si>
    <t xml:space="preserve">4990-SPRING LAKE HEIGHTS BORO </t>
  </si>
  <si>
    <t xml:space="preserve">5185-TINTON FALLS             </t>
  </si>
  <si>
    <t xml:space="preserve">5230-UNION BEACH              </t>
  </si>
  <si>
    <t xml:space="preserve">5310-UPPER FREEHOLD REGIONAL  </t>
  </si>
  <si>
    <t xml:space="preserve">5420-WALL TWP                 </t>
  </si>
  <si>
    <t xml:space="preserve">5640-WEST LONG BRANCH BORO    </t>
  </si>
  <si>
    <t xml:space="preserve">0450-BOONTON TOWN             </t>
  </si>
  <si>
    <t xml:space="preserve">0460-BOONTON TWP              </t>
  </si>
  <si>
    <t xml:space="preserve">0630-BUTLER BORO              </t>
  </si>
  <si>
    <t xml:space="preserve">0785-SCH DIST OF THE CHATHAMS </t>
  </si>
  <si>
    <t xml:space="preserve">0820-CHESTER TWP              </t>
  </si>
  <si>
    <t xml:space="preserve">1090-DENVILLE TWP             </t>
  </si>
  <si>
    <t xml:space="preserve">1110-DOVER TOWN               </t>
  </si>
  <si>
    <t xml:space="preserve">1190-EAST HANOVER TWP         </t>
  </si>
  <si>
    <t xml:space="preserve">1530-FLORHAM PARK BORO        </t>
  </si>
  <si>
    <t xml:space="preserve">1990-HANOVER PARK REGIONAL    </t>
  </si>
  <si>
    <t xml:space="preserve">2000-HANOVER TWP              </t>
  </si>
  <si>
    <t xml:space="preserve">2010-HARDING TOWNSHIP         </t>
  </si>
  <si>
    <t xml:space="preserve">2380-JEFFERSON TWP            </t>
  </si>
  <si>
    <t xml:space="preserve">2460-KINNELON BORO            </t>
  </si>
  <si>
    <t xml:space="preserve">2650-LINCOLN PARK BORO        </t>
  </si>
  <si>
    <t xml:space="preserve">2870-MADISON BORO             </t>
  </si>
  <si>
    <t xml:space="preserve">3090-MENDHAM BORO             </t>
  </si>
  <si>
    <t xml:space="preserve">3100-MENDHAM TWP              </t>
  </si>
  <si>
    <t xml:space="preserve">3240-MINE HILL TWP            </t>
  </si>
  <si>
    <t xml:space="preserve">3340-MONTVILLE TWP            </t>
  </si>
  <si>
    <t xml:space="preserve">3364-EDUC SERV COMM MORRIS CO </t>
  </si>
  <si>
    <t xml:space="preserve">3365-MORRIS COUNTY VOCATIONAL </t>
  </si>
  <si>
    <t xml:space="preserve">3370-MORRIS HILLS REGIONAL    </t>
  </si>
  <si>
    <t xml:space="preserve">3380-MORRIS PLAINS BORO       </t>
  </si>
  <si>
    <t xml:space="preserve">3385-MORRIS SCHOOL DISTRICT   </t>
  </si>
  <si>
    <t xml:space="preserve">3410-MOUNT ARLINGTON BORO     </t>
  </si>
  <si>
    <t xml:space="preserve">3450-MOUNT OLIVE TWP          </t>
  </si>
  <si>
    <t xml:space="preserve">5210-TRENTON CITY             </t>
  </si>
  <si>
    <t xml:space="preserve">5510-WASHINGTON TWP           </t>
  </si>
  <si>
    <t xml:space="preserve">5715-W WINDSOR-PLAINSBORO REG </t>
  </si>
  <si>
    <t xml:space="preserve">0750-CARTERET BORO            </t>
  </si>
  <si>
    <t xml:space="preserve">0970-CRANBURY TWP             </t>
  </si>
  <si>
    <t xml:space="preserve">1140-DUNELLEN BORO            </t>
  </si>
  <si>
    <t xml:space="preserve">1170-EAST BRUNSWICK TWP       </t>
  </si>
  <si>
    <t xml:space="preserve">1290-EDISON TWP               </t>
  </si>
  <si>
    <t xml:space="preserve">2150-HIGHLAND PARK BORO       </t>
  </si>
  <si>
    <t xml:space="preserve">2370-JAMESBURG BORO           </t>
  </si>
  <si>
    <t xml:space="preserve">3120-METUCHEN BORO            </t>
  </si>
  <si>
    <t xml:space="preserve">3140-MIDDLESEX BORO           </t>
  </si>
  <si>
    <t xml:space="preserve">3145-MIDDLESEX CO ED SER COMM </t>
  </si>
  <si>
    <t xml:space="preserve">3150-MIDDLESEX CO VOCATIONAL  </t>
  </si>
  <si>
    <t xml:space="preserve">3220-MILLTOWN BORO            </t>
  </si>
  <si>
    <t xml:space="preserve">3290-MONROE TWP               </t>
  </si>
  <si>
    <t xml:space="preserve">3530-NEW BRUNSWICK CITY       </t>
  </si>
  <si>
    <t xml:space="preserve">3620-NORTH BRUNSWICK TWP      </t>
  </si>
  <si>
    <t xml:space="preserve">3845-OLD BRIDGE TWP           </t>
  </si>
  <si>
    <t xml:space="preserve">4090-PERTH AMBOY CITY         </t>
  </si>
  <si>
    <t xml:space="preserve">4130-PISCATAWAY TWP           </t>
  </si>
  <si>
    <t xml:space="preserve">4660-SAYREVILLE BORO          </t>
  </si>
  <si>
    <t xml:space="preserve">4830-SOUTH AMBOY CITY         </t>
  </si>
  <si>
    <t xml:space="preserve">4860-SOUTH BRUNSWICK TWP      </t>
  </si>
  <si>
    <t xml:space="preserve">4910-SOUTH PLAINFIELD BORO    </t>
  </si>
  <si>
    <t xml:space="preserve">4920-SOUTH RIVER BORO         </t>
  </si>
  <si>
    <t xml:space="preserve">4970-SPOTSWOOD BORO           </t>
  </si>
  <si>
    <t xml:space="preserve">5850-WOODBRIDGE TWP           </t>
  </si>
  <si>
    <t xml:space="preserve">0100-ASBURY PARK CITY         </t>
  </si>
  <si>
    <t xml:space="preserve">0130-ATLANTIC HIGHLANDS BORO  </t>
  </si>
  <si>
    <t xml:space="preserve">0180-AVON BORO                </t>
  </si>
  <si>
    <t xml:space="preserve">0225-BAYSHORE JOINTURE COMM   </t>
  </si>
  <si>
    <t xml:space="preserve">0270-BELMAR BORO              </t>
  </si>
  <si>
    <t xml:space="preserve">0500-BRADLEY BEACH BORO       </t>
  </si>
  <si>
    <t xml:space="preserve">0560-BRIELLE BORO             </t>
  </si>
  <si>
    <t xml:space="preserve">0945-COLTS NECK TWP           </t>
  </si>
  <si>
    <t xml:space="preserve">1000-DEAL BORO                </t>
  </si>
  <si>
    <t xml:space="preserve">1260-EATONTOWN BORO           </t>
  </si>
  <si>
    <t xml:space="preserve">1440-FAIR HAVEN BORO          </t>
  </si>
  <si>
    <t xml:space="preserve">1490-FARMINGDALE BORO         </t>
  </si>
  <si>
    <t xml:space="preserve">1640-FREEHOLD BORO            </t>
  </si>
  <si>
    <t xml:space="preserve">1650-FREEHOLD REGIONAL        </t>
  </si>
  <si>
    <t xml:space="preserve">1660-FREEHOLD TWP             </t>
  </si>
  <si>
    <t xml:space="preserve">2105-HAZLET TWP               </t>
  </si>
  <si>
    <t xml:space="preserve">2120-HENRY HUDSON REGIONAL    </t>
  </si>
  <si>
    <t xml:space="preserve">2160-HIGHLANDS BORO           </t>
  </si>
  <si>
    <t xml:space="preserve">2230-HOLMDEL TWP              </t>
  </si>
  <si>
    <t xml:space="preserve">2290-HOWELL TWP               </t>
  </si>
  <si>
    <t xml:space="preserve">2400-KEANSBURG BORO           </t>
  </si>
  <si>
    <t xml:space="preserve">2430-KEYPORT BORO             </t>
  </si>
  <si>
    <t xml:space="preserve">2720-LITTLE SILVER BORO       </t>
  </si>
  <si>
    <t xml:space="preserve">2770-LONG BRANCH CITY         </t>
  </si>
  <si>
    <t>2920-MANALAPAN-ENGLISHTOWN REG</t>
  </si>
  <si>
    <t xml:space="preserve">2930-MANASQUAN BORO           </t>
  </si>
  <si>
    <t xml:space="preserve">5740-WESTVILLE BORO           </t>
  </si>
  <si>
    <t xml:space="preserve">5860-WOODBURY CITY            </t>
  </si>
  <si>
    <t xml:space="preserve">5870-WOODBURY HEIGHTS BORO    </t>
  </si>
  <si>
    <t xml:space="preserve">0220-BAYONNE CITY             </t>
  </si>
  <si>
    <t xml:space="preserve">1200-EAST NEWARK BORO         </t>
  </si>
  <si>
    <t xml:space="preserve">1850-GUTTENBERG TOWN          </t>
  </si>
  <si>
    <t xml:space="preserve">2060-HARRISON TOWN            </t>
  </si>
  <si>
    <t xml:space="preserve">2210-HOBOKEN CITY             </t>
  </si>
  <si>
    <t xml:space="preserve">2295-HUDSON COUNTY VOCATIONAL </t>
  </si>
  <si>
    <t xml:space="preserve">2390-JERSEY CITY              </t>
  </si>
  <si>
    <t xml:space="preserve">2410-KEARNY TOWN              </t>
  </si>
  <si>
    <t xml:space="preserve">3610-NORTH BERGEN TWP         </t>
  </si>
  <si>
    <t xml:space="preserve">4730-SECAUCUS TOWN            </t>
  </si>
  <si>
    <t xml:space="preserve">5240-UNION CITY               </t>
  </si>
  <si>
    <t xml:space="preserve">5580-WEEHAWKEN TWP            </t>
  </si>
  <si>
    <t xml:space="preserve">5670-WEST NEW YORK TOWN       </t>
  </si>
  <si>
    <t xml:space="preserve">0020-ALEXANDRIA TWP           </t>
  </si>
  <si>
    <t xml:space="preserve">0370-BETHLEHEM TWP            </t>
  </si>
  <si>
    <t xml:space="preserve">0430-BLOOMSBURY BORO          </t>
  </si>
  <si>
    <t xml:space="preserve">0670-CALIFON BORO             </t>
  </si>
  <si>
    <t xml:space="preserve">0910-CLINTON TOWN             </t>
  </si>
  <si>
    <t xml:space="preserve">0920-CLINTON TWP              </t>
  </si>
  <si>
    <t xml:space="preserve">1040-DELAWARE TWP             </t>
  </si>
  <si>
    <t xml:space="preserve">1050-DELAWARE VALLEY REGIONAL </t>
  </si>
  <si>
    <t xml:space="preserve">1160-EAST AMWELL TWP          </t>
  </si>
  <si>
    <t xml:space="preserve">1510-FLEMINGTON-RARITAN REG   </t>
  </si>
  <si>
    <t xml:space="preserve">1600-FRANKLIN TWP             </t>
  </si>
  <si>
    <t xml:space="preserve">1680-FRENCHTOWN BORO          </t>
  </si>
  <si>
    <t xml:space="preserve">1970-HAMPTON BORO             </t>
  </si>
  <si>
    <t xml:space="preserve">2140-HIGH BRIDGE BORO         </t>
  </si>
  <si>
    <t xml:space="preserve">2220-HOLLAND TWP              </t>
  </si>
  <si>
    <t xml:space="preserve">2300-HUNTERDON CENTRAL REG    </t>
  </si>
  <si>
    <t xml:space="preserve">2305-HUNTERDON CO ED SER COMM </t>
  </si>
  <si>
    <t xml:space="preserve">2308-HUNTERDON CO VOCATIONAL  </t>
  </si>
  <si>
    <t xml:space="preserve">2450-KINGWOOD TWP             </t>
  </si>
  <si>
    <t xml:space="preserve">2530-LAMBERTVILLE CITY        </t>
  </si>
  <si>
    <t xml:space="preserve">2590-LEBANON BORO             </t>
  </si>
  <si>
    <t xml:space="preserve">2600-LEBANON TWP              </t>
  </si>
  <si>
    <t xml:space="preserve">3180-MILFORD BORO             </t>
  </si>
  <si>
    <t xml:space="preserve">3660-N HUNT/VOORHEES REGIONAL </t>
  </si>
  <si>
    <t xml:space="preserve">4350-READINGTON TWP           </t>
  </si>
  <si>
    <t xml:space="preserve">4890-SOUTH HUNTERDON REGIONAL </t>
  </si>
  <si>
    <t xml:space="preserve">5050-STOCKTON BORO            </t>
  </si>
  <si>
    <t xml:space="preserve">5180-TEWKSBURY TWP            </t>
  </si>
  <si>
    <t xml:space="preserve">5270-UNION TWP                </t>
  </si>
  <si>
    <t xml:space="preserve">5600-WEST AMWELL TWP          </t>
  </si>
  <si>
    <t xml:space="preserve">1245-EAST WINDSOR REGIONAL    </t>
  </si>
  <si>
    <t xml:space="preserve">1430-EWING TWP                </t>
  </si>
  <si>
    <t xml:space="preserve">1950-HAMILTON TWP             </t>
  </si>
  <si>
    <t xml:space="preserve">2280-HOPEWELL VALLEY REGIONAL </t>
  </si>
  <si>
    <t xml:space="preserve">2580-LAWRENCE TWP             </t>
  </si>
  <si>
    <t>3103-MERCER CO SPECIAL SERVICE</t>
  </si>
  <si>
    <t xml:space="preserve">3105-MERCER COUNTY VOCATIONAL </t>
  </si>
  <si>
    <t xml:space="preserve">4255-PRINCETON REGIONAL       </t>
  </si>
  <si>
    <t xml:space="preserve">3050-MAURICE RIVER TWP        </t>
  </si>
  <si>
    <t xml:space="preserve">3230-MILLVILLE CITY           </t>
  </si>
  <si>
    <t xml:space="preserve">4750-SHILOH BORO              </t>
  </si>
  <si>
    <t xml:space="preserve">5070-STOW CREEK TWP           </t>
  </si>
  <si>
    <t xml:space="preserve">5300-UPPER DEERFIELD TWP      </t>
  </si>
  <si>
    <t xml:space="preserve">5390-VINELAND CITY            </t>
  </si>
  <si>
    <t xml:space="preserve">0250-BELLEVILLE TOWN          </t>
  </si>
  <si>
    <t xml:space="preserve">0410-BLOOMFIELD TWP           </t>
  </si>
  <si>
    <t xml:space="preserve">0660-CALDWELL-WEST CALDWELL   </t>
  </si>
  <si>
    <t xml:space="preserve">0760-CEDAR GROVE TWP          </t>
  </si>
  <si>
    <t xml:space="preserve">1210-EAST ORANGE              </t>
  </si>
  <si>
    <t xml:space="preserve">1387-ESSEX CO ED SERV COMM    </t>
  </si>
  <si>
    <t xml:space="preserve">1390-ESSEX CO VOC-TECH        </t>
  </si>
  <si>
    <t xml:space="preserve">1400-ESSEX FELLS BORO         </t>
  </si>
  <si>
    <t xml:space="preserve">1465-FAIRFIELD TWP            </t>
  </si>
  <si>
    <t xml:space="preserve">1750-GLEN RIDGE BORO          </t>
  </si>
  <si>
    <t xml:space="preserve">2330-IRVINGTON TOWNSHIP       </t>
  </si>
  <si>
    <t xml:space="preserve">2730-LIVINGSTON TWP           </t>
  </si>
  <si>
    <t xml:space="preserve">3190-MILLBURN TWP             </t>
  </si>
  <si>
    <t xml:space="preserve">3310-MONTCLAIR TOWN           </t>
  </si>
  <si>
    <t xml:space="preserve">3570-NEWARK CITY              </t>
  </si>
  <si>
    <t xml:space="preserve">3630-NORTH CALDWELL BORO      </t>
  </si>
  <si>
    <t xml:space="preserve">3750-NUTLEY TOWN              </t>
  </si>
  <si>
    <t xml:space="preserve">3880-CITY OF ORANGE TWP       </t>
  </si>
  <si>
    <t xml:space="preserve">4530-ROSELAND BORO            </t>
  </si>
  <si>
    <t xml:space="preserve">4900-SOUTH ORANGE-MAPLEWOOD   </t>
  </si>
  <si>
    <t xml:space="preserve">5370-VERONA BORO              </t>
  </si>
  <si>
    <t xml:space="preserve">5630-WEST ESSEX REGIONAL      </t>
  </si>
  <si>
    <t xml:space="preserve">5680-WEST ORANGE TOWN         </t>
  </si>
  <si>
    <t xml:space="preserve">0860-CLAYTON BORO             </t>
  </si>
  <si>
    <t xml:space="preserve">0870-CLEARVIEW REGIONAL       </t>
  </si>
  <si>
    <t xml:space="preserve">1100-DEPTFORD TWP             </t>
  </si>
  <si>
    <t xml:space="preserve">1180-EAST GREENWICH TWP       </t>
  </si>
  <si>
    <t xml:space="preserve">1330-ELK TWP                  </t>
  </si>
  <si>
    <t xml:space="preserve">1590-FRANKLIN TWP             </t>
  </si>
  <si>
    <t xml:space="preserve">1715-GATEWAY REGIONAL         </t>
  </si>
  <si>
    <t xml:space="preserve">1730-GLASSBORO                </t>
  </si>
  <si>
    <t xml:space="preserve">1774-GLOUCESTER CO SPEC SERV  </t>
  </si>
  <si>
    <t xml:space="preserve">1775-GLOUCESTER CO VOCATIONAL </t>
  </si>
  <si>
    <t xml:space="preserve">1830-GREENWICH TWP            </t>
  </si>
  <si>
    <t xml:space="preserve">2070-HARRISON TWP             </t>
  </si>
  <si>
    <t xml:space="preserve">2440-KINGSWAY REGIONAL        </t>
  </si>
  <si>
    <t xml:space="preserve">2750-LOGAN TWP                </t>
  </si>
  <si>
    <t xml:space="preserve">2990-MANTUA TWP               </t>
  </si>
  <si>
    <t xml:space="preserve">3280-MONROE TWP               </t>
  </si>
  <si>
    <t xml:space="preserve">3490-NATIONAL PARK BORO       </t>
  </si>
  <si>
    <t xml:space="preserve">4020-PAULSBORO BORO           </t>
  </si>
  <si>
    <t xml:space="preserve">4140-PITMAN BORO              </t>
  </si>
  <si>
    <t xml:space="preserve">4880-SOUTH HARRISON TWP       </t>
  </si>
  <si>
    <t>4940-DELSEA REGIONAL H.S.DIST.</t>
  </si>
  <si>
    <t xml:space="preserve">5120-SWEDESBORO-WOOLWICH      </t>
  </si>
  <si>
    <t xml:space="preserve">5500-WASHINGTON TWP           </t>
  </si>
  <si>
    <t xml:space="preserve">5590-WENONAH BORO             </t>
  </si>
  <si>
    <t xml:space="preserve">5620-WEST DEPTFORD TWP        </t>
  </si>
  <si>
    <t xml:space="preserve">0810-CHESILHURST              </t>
  </si>
  <si>
    <t xml:space="preserve">0880-CLEMENTON BORO           </t>
  </si>
  <si>
    <t xml:space="preserve">0940-COLLINGSWOOD BORO        </t>
  </si>
  <si>
    <t>1255-EASTERN CAMDEN COUNTY REG</t>
  </si>
  <si>
    <t xml:space="preserve">1720-GIBBSBORO BORO           </t>
  </si>
  <si>
    <t xml:space="preserve">1770-GLOUCESTER CITY          </t>
  </si>
  <si>
    <t xml:space="preserve">1780-GLOUCESTER TWP           </t>
  </si>
  <si>
    <t xml:space="preserve">1880-HADDON HEIGHTS BORO      </t>
  </si>
  <si>
    <t xml:space="preserve">1890-HADDON TWP               </t>
  </si>
  <si>
    <t xml:space="preserve">1900-HADDONFIELD BORO         </t>
  </si>
  <si>
    <t xml:space="preserve">2540-LAUREL SPRINGS BORO      </t>
  </si>
  <si>
    <t xml:space="preserve">2560-LAWNSIDE BORO            </t>
  </si>
  <si>
    <t xml:space="preserve">2670-LINDENWOLD BORO          </t>
  </si>
  <si>
    <t xml:space="preserve">2890-MAGNOLIA BORO            </t>
  </si>
  <si>
    <t xml:space="preserve">3110-MERCHANTVILLE BORO       </t>
  </si>
  <si>
    <t xml:space="preserve">3420-MOUNT EPHRAIM BORO       </t>
  </si>
  <si>
    <t xml:space="preserve">3770-OAKLYN BORO              </t>
  </si>
  <si>
    <t xml:space="preserve">4060-PENNSAUKEN TWP           </t>
  </si>
  <si>
    <t xml:space="preserve">4110-PINE HILL BORO           </t>
  </si>
  <si>
    <t xml:space="preserve">4590-RUNNEMEDE BORO           </t>
  </si>
  <si>
    <t xml:space="preserve">4790-SOMERDALE BORO           </t>
  </si>
  <si>
    <t>5035-STERLING HIGH SCHOOL DIST</t>
  </si>
  <si>
    <t xml:space="preserve">5080-STRATFORD BORO           </t>
  </si>
  <si>
    <t xml:space="preserve">5400-VOORHEES TWP             </t>
  </si>
  <si>
    <t xml:space="preserve">5560-WATERFORD TWP            </t>
  </si>
  <si>
    <t xml:space="preserve">5820-WINSLOW TWP              </t>
  </si>
  <si>
    <t xml:space="preserve">5900-WOODLYNNE BORO           </t>
  </si>
  <si>
    <t xml:space="preserve">0170-AVALON BORO              </t>
  </si>
  <si>
    <t xml:space="preserve">0710-CAPE MAY CITY            </t>
  </si>
  <si>
    <t xml:space="preserve">0715-CAPE MAY CO SPECIAL SERV </t>
  </si>
  <si>
    <t xml:space="preserve">0720-CAPE MAY CO VOCATIONAL   </t>
  </si>
  <si>
    <t xml:space="preserve">1080-DENNIS TWP               </t>
  </si>
  <si>
    <t xml:space="preserve">2820-LOWER CAPE MAY REGIONAL  </t>
  </si>
  <si>
    <t xml:space="preserve">2840-LOWER TWP                </t>
  </si>
  <si>
    <t xml:space="preserve">3130-MIDDLE TWP               </t>
  </si>
  <si>
    <t xml:space="preserve">3680-NORTH WILDWOOD CITY      </t>
  </si>
  <si>
    <t xml:space="preserve">3780-OCEAN CITY               </t>
  </si>
  <si>
    <t xml:space="preserve">4700-SEA ISLE CITY            </t>
  </si>
  <si>
    <t xml:space="preserve">5060-STONE HARBOR BORO        </t>
  </si>
  <si>
    <t xml:space="preserve">5340-UPPER TWP                </t>
  </si>
  <si>
    <t xml:space="preserve">5610-WEST CAPE MAY BORO       </t>
  </si>
  <si>
    <t xml:space="preserve">5790-WILDWOOD CITY            </t>
  </si>
  <si>
    <t xml:space="preserve">5800-WILDWOOD CREST BORO      </t>
  </si>
  <si>
    <t xml:space="preserve">5840-WOODBINE BORO            </t>
  </si>
  <si>
    <t xml:space="preserve">0540-BRIDGETON CITY           </t>
  </si>
  <si>
    <t xml:space="preserve">0950-COMMERCIAL TWP           </t>
  </si>
  <si>
    <t xml:space="preserve">0995-CUMBERLAND CO VOCATIONAL </t>
  </si>
  <si>
    <t xml:space="preserve">0997-CUMBERLAND REGIONAL      </t>
  </si>
  <si>
    <t xml:space="preserve">1020-DEERFIELD TWP            </t>
  </si>
  <si>
    <t xml:space="preserve">1120-DOWNE TWP                </t>
  </si>
  <si>
    <t xml:space="preserve">1460-FAIRFIELD TWP            </t>
  </si>
  <si>
    <t xml:space="preserve">1820-GREENWICH TWP            </t>
  </si>
  <si>
    <t xml:space="preserve">2270-HOPEWELL TWP             </t>
  </si>
  <si>
    <t xml:space="preserve">2570-LAWRENCE TWP             </t>
  </si>
  <si>
    <t xml:space="preserve">5880-WOODCLIFF LAKE BORO      </t>
  </si>
  <si>
    <t xml:space="preserve">5920-WYCKOFF TWP              </t>
  </si>
  <si>
    <t xml:space="preserve">0200-BASS RIVER TWP           </t>
  </si>
  <si>
    <t xml:space="preserve">0380-BEVERLY CITY             </t>
  </si>
  <si>
    <t xml:space="preserve">0475-BORDENTOWN REGIONAL      </t>
  </si>
  <si>
    <t xml:space="preserve">0600-BURLINGTON CITY          </t>
  </si>
  <si>
    <t xml:space="preserve">0605-BURLINGTON CO SPEC SERV  </t>
  </si>
  <si>
    <t xml:space="preserve">0610-BURLINGTON CO VOCATIONAL </t>
  </si>
  <si>
    <t xml:space="preserve">0620-BURLINGTON TWP           </t>
  </si>
  <si>
    <t xml:space="preserve">0830-CHESTERFIELD TWP         </t>
  </si>
  <si>
    <t xml:space="preserve">0840-CINNAMINSON TWP          </t>
  </si>
  <si>
    <t xml:space="preserve">1030-DELANCO TWP              </t>
  </si>
  <si>
    <t xml:space="preserve">1060-DELRAN TWP               </t>
  </si>
  <si>
    <t xml:space="preserve">1250-EASTAMPTON TWP           </t>
  </si>
  <si>
    <t xml:space="preserve">1280-EDGEWATER PARK TWP       </t>
  </si>
  <si>
    <t xml:space="preserve">1420-EVESHAM TWP              </t>
  </si>
  <si>
    <t xml:space="preserve">1520-FLORENCE TWP             </t>
  </si>
  <si>
    <t xml:space="preserve">1910-HAINESPORT TWP           </t>
  </si>
  <si>
    <t xml:space="preserve">2610-LENAPE REGIONAL          </t>
  </si>
  <si>
    <t xml:space="preserve">2850-LUMBERTON TWP            </t>
  </si>
  <si>
    <t xml:space="preserve">2960-MANSFIELD TWP            </t>
  </si>
  <si>
    <t xml:space="preserve">3010-MAPLE SHADE TWP          </t>
  </si>
  <si>
    <t xml:space="preserve">3070-MEDFORD LAKES BORO       </t>
  </si>
  <si>
    <t xml:space="preserve">3080-MEDFORD TWP              </t>
  </si>
  <si>
    <t xml:space="preserve">3360-MOORESTOWN TWP           </t>
  </si>
  <si>
    <t xml:space="preserve">3430-MOUNT HOLLY TWP          </t>
  </si>
  <si>
    <t xml:space="preserve">3440-MOUNT LAUREL TWP         </t>
  </si>
  <si>
    <t xml:space="preserve">3540-NEW HANOVER TWP          </t>
  </si>
  <si>
    <t xml:space="preserve">3650-NORTH HANOVER TWP        </t>
  </si>
  <si>
    <t xml:space="preserve">3690-NORTHERN BURLINGTON REG  </t>
  </si>
  <si>
    <t xml:space="preserve">3920-PALMYRA BORO             </t>
  </si>
  <si>
    <t xml:space="preserve">4040-PEMBERTON BOROUGH        </t>
  </si>
  <si>
    <t xml:space="preserve">4050-PEMBERTON TWP            </t>
  </si>
  <si>
    <t xml:space="preserve">4320-RANCOCAS VALLEY REGIONAL </t>
  </si>
  <si>
    <t xml:space="preserve">4450-RIVERSIDE TWP            </t>
  </si>
  <si>
    <t xml:space="preserve">4460-RIVERTON                 </t>
  </si>
  <si>
    <t xml:space="preserve">4740-SHAMONG TWP              </t>
  </si>
  <si>
    <t xml:space="preserve">4930-SOUTHAMPTON TWP          </t>
  </si>
  <si>
    <t xml:space="preserve">5010-SPRINGFIELD TWP          </t>
  </si>
  <si>
    <t xml:space="preserve">5130-TABERNACLE TWP           </t>
  </si>
  <si>
    <t xml:space="preserve">5490-WASHINGTON TWP           </t>
  </si>
  <si>
    <t xml:space="preserve">5720-WESTAMPTON               </t>
  </si>
  <si>
    <t xml:space="preserve">5805-WILLINGBORO TWP          </t>
  </si>
  <si>
    <t xml:space="preserve">5890-WOODLAND TWP             </t>
  </si>
  <si>
    <t xml:space="preserve">0150-AUDUBON BORO             </t>
  </si>
  <si>
    <t xml:space="preserve">0190-BARRINGTON BORO          </t>
  </si>
  <si>
    <t xml:space="preserve">0260-BELLMAWR BORO            </t>
  </si>
  <si>
    <t xml:space="preserve">0330-BERLIN BORO              </t>
  </si>
  <si>
    <t xml:space="preserve">0340-BERLIN TWP               </t>
  </si>
  <si>
    <t>0390-BLACK HORSE PIKE REGIONAL</t>
  </si>
  <si>
    <t xml:space="preserve">0580-BROOKLAWN BORO           </t>
  </si>
  <si>
    <t xml:space="preserve">0680-CAMDEN CITY              </t>
  </si>
  <si>
    <t xml:space="preserve">0700-CAMDEN COUNTY VOCATIONAL </t>
  </si>
  <si>
    <t xml:space="preserve">0800-CHERRY HILL TWP          </t>
  </si>
  <si>
    <t xml:space="preserve">1470-FAIRVIEW BORO            </t>
  </si>
  <si>
    <t xml:space="preserve">1550-FORT LEE BORO            </t>
  </si>
  <si>
    <t xml:space="preserve">1580-FRANKLIN LAKES BORO      </t>
  </si>
  <si>
    <t xml:space="preserve">1700-GARFIELD CITY            </t>
  </si>
  <si>
    <t xml:space="preserve">1760-GLEN ROCK BORO           </t>
  </si>
  <si>
    <t xml:space="preserve">1860-HACKENSACK CITY          </t>
  </si>
  <si>
    <t xml:space="preserve">2050-HARRINGTON PARK BORO     </t>
  </si>
  <si>
    <t xml:space="preserve">2080-HASBROUCK HEIGHTS BORO   </t>
  </si>
  <si>
    <t xml:space="preserve">2090-HAWORTH BORO             </t>
  </si>
  <si>
    <t xml:space="preserve">2180-HILLSDALE BORO           </t>
  </si>
  <si>
    <t xml:space="preserve">2200-HO HO KUS BORO           </t>
  </si>
  <si>
    <t xml:space="preserve">2620-LEONIA BORO              </t>
  </si>
  <si>
    <t xml:space="preserve">2710-LITTLE FERRY BORO        </t>
  </si>
  <si>
    <t xml:space="preserve">2740-LODI BOROUGH             </t>
  </si>
  <si>
    <t xml:space="preserve">2860-LYNDHURST TWP            </t>
  </si>
  <si>
    <t xml:space="preserve">2900-MAHWAH TWP               </t>
  </si>
  <si>
    <t xml:space="preserve">3060-MAYWOOD BORO             </t>
  </si>
  <si>
    <t xml:space="preserve">3170-MIDLAND PARK BORO        </t>
  </si>
  <si>
    <t xml:space="preserve">3330-MONTVALE BORO            </t>
  </si>
  <si>
    <t xml:space="preserve">3350-MOONACHIE BORO           </t>
  </si>
  <si>
    <t xml:space="preserve">3550-NEW MILFORD BORO         </t>
  </si>
  <si>
    <t xml:space="preserve">3600-NORTH ARLINGTON BORO     </t>
  </si>
  <si>
    <t xml:space="preserve">3700-NORTHERN HIGHLANDS REG   </t>
  </si>
  <si>
    <t xml:space="preserve">3710-NORTHERN VALLEY REGIONAL </t>
  </si>
  <si>
    <t xml:space="preserve">3730-NORTHVALE BORO           </t>
  </si>
  <si>
    <t xml:space="preserve">3740-NORWOOD BORO             </t>
  </si>
  <si>
    <t xml:space="preserve">3760-OAKLAND BORO             </t>
  </si>
  <si>
    <t xml:space="preserve">3850-OLD TAPPAN BORO          </t>
  </si>
  <si>
    <t xml:space="preserve">3870-ORADELL BORO             </t>
  </si>
  <si>
    <t xml:space="preserve">3910-PALISADES PARK           </t>
  </si>
  <si>
    <t xml:space="preserve">3930-PARAMUS BORO             </t>
  </si>
  <si>
    <t xml:space="preserve">3940-PARK RIDGE BORO          </t>
  </si>
  <si>
    <t xml:space="preserve">3960-PASCACK VALLEY REGIONAL  </t>
  </si>
  <si>
    <t xml:space="preserve">4300-RAMAPO-INDIAN HILL REG   </t>
  </si>
  <si>
    <t xml:space="preserve">4310-RAMSEY BORO              </t>
  </si>
  <si>
    <t xml:space="preserve">4370-RIDGEFIELD BORO          </t>
  </si>
  <si>
    <t xml:space="preserve">4380-RIDGEFIELD PARK TWP      </t>
  </si>
  <si>
    <t xml:space="preserve">4390-RIDGEWOOD VILLAGE        </t>
  </si>
  <si>
    <t xml:space="preserve">4405-RIVER DELL REGIONAL      </t>
  </si>
  <si>
    <t xml:space="preserve">4410-RIVER EDGE BORO          </t>
  </si>
  <si>
    <t xml:space="preserve">4430-RIVER VALE TWP           </t>
  </si>
  <si>
    <t xml:space="preserve">4470-ROCHELLE PARK TWP        </t>
  </si>
  <si>
    <t xml:space="preserve">4600-RUTHERFORD BORO          </t>
  </si>
  <si>
    <t xml:space="preserve">4610-SADDLE BROOK TWP         </t>
  </si>
  <si>
    <t xml:space="preserve">4620-SADDLE RIVER BORO        </t>
  </si>
  <si>
    <t>4845-SOUTH BERGEN JOINTURE COM</t>
  </si>
  <si>
    <t xml:space="preserve">4870-SOUTH HACKENSACK TWP     </t>
  </si>
  <si>
    <t xml:space="preserve">5150-TEANECK TWP              </t>
  </si>
  <si>
    <t xml:space="preserve">5160-TENAFLY BORO             </t>
  </si>
  <si>
    <t xml:space="preserve">5330-UPPER SADDLE RIVER BORO  </t>
  </si>
  <si>
    <t xml:space="preserve">5410-WALDWICK BORO            </t>
  </si>
  <si>
    <t xml:space="preserve">5430-WALLINGTON BORO          </t>
  </si>
  <si>
    <t xml:space="preserve">5755-WESTWOOD REGIONAL        </t>
  </si>
  <si>
    <t xml:space="preserve">5830-WOOD-RIDGE BORO          </t>
  </si>
  <si>
    <t>Trenton City Total Dollars</t>
  </si>
  <si>
    <t>don't know if district is aligned properly</t>
  </si>
  <si>
    <t>district aligned properly</t>
  </si>
  <si>
    <t>Enrollment</t>
  </si>
  <si>
    <t xml:space="preserve">0010-ABSECON CITY             </t>
  </si>
  <si>
    <t xml:space="preserve">0110-ATLANTIC CITY            </t>
  </si>
  <si>
    <t xml:space="preserve">0120-ATLANTIC CO VOCATIONAL   </t>
  </si>
  <si>
    <t xml:space="preserve">0125-ATLANTIC CO SPECIAL SERV </t>
  </si>
  <si>
    <t xml:space="preserve">0570-BRIGANTINE CITY          </t>
  </si>
  <si>
    <t xml:space="preserve">0590-BUENA REGIONAL           </t>
  </si>
  <si>
    <t xml:space="preserve">1300-EGG HARBOR CITY          </t>
  </si>
  <si>
    <t xml:space="preserve">1310-EGG HARBOR TWP           </t>
  </si>
  <si>
    <t xml:space="preserve">1410-ESTELL MANOR CITY        </t>
  </si>
  <si>
    <t xml:space="preserve">1540-FOLSOM BORO              </t>
  </si>
  <si>
    <t xml:space="preserve">1690-GALLOWAY TWP             </t>
  </si>
  <si>
    <t xml:space="preserve">1790-GREATER EGG HARBOR REG   </t>
  </si>
  <si>
    <t xml:space="preserve">1940-HAMILTON TWP             </t>
  </si>
  <si>
    <t xml:space="preserve">1960-HAMMONTON TOWN           </t>
  </si>
  <si>
    <t xml:space="preserve">2680-LINWOOD CITY             </t>
  </si>
  <si>
    <t xml:space="preserve">2910-MAINLAND REGIONAL        </t>
  </si>
  <si>
    <t xml:space="preserve">3020-MARGATE CITY             </t>
  </si>
  <si>
    <t>L150/L253</t>
  </si>
  <si>
    <t>TOTAL DOLLARS</t>
  </si>
  <si>
    <t>PER PUPIL REVENUE</t>
  </si>
  <si>
    <t>STATE TOTAL DOLLAR</t>
  </si>
  <si>
    <t>STATE PER PUPIL REVENUE</t>
  </si>
  <si>
    <t>JERSEY CITY PER PUPIL REVENUE</t>
  </si>
  <si>
    <t>NEWARK CITY PER PUPIL REVENUE</t>
  </si>
  <si>
    <t>TRENTON CITY PER PUPIL REVENUE</t>
  </si>
  <si>
    <t xml:space="preserve">3480-MULLICA TWP              </t>
  </si>
  <si>
    <t xml:space="preserve">3720-NORTHFIELD CITY          </t>
  </si>
  <si>
    <t xml:space="preserve">4180-PLEASANTVILLE CITY       </t>
  </si>
  <si>
    <t xml:space="preserve">4240-PORT REPUBLIC CITY       </t>
  </si>
  <si>
    <t xml:space="preserve">4800-SOMERS POINT CITY        </t>
  </si>
  <si>
    <t xml:space="preserve">5350-VENTNOR CITY             </t>
  </si>
  <si>
    <t xml:space="preserve">5760-WEYMOUTH TWP             </t>
  </si>
  <si>
    <t xml:space="preserve">0040-ALLENDALE BORO           </t>
  </si>
  <si>
    <t xml:space="preserve">0080-ALPINE BORO              </t>
  </si>
  <si>
    <t>0285-BERGEN CO SPECIAL SERVICE</t>
  </si>
  <si>
    <t xml:space="preserve">0290-BERGEN COUNTY VOCATIONAL </t>
  </si>
  <si>
    <t xml:space="preserve">0300-BERGENFIELD BORO         </t>
  </si>
  <si>
    <t xml:space="preserve">0440-BOGOTA BORO              </t>
  </si>
  <si>
    <t xml:space="preserve">0740-CARLSTADT BORO           </t>
  </si>
  <si>
    <t>0745-CARLSTADT-EAST RUTHERFORD</t>
  </si>
  <si>
    <t xml:space="preserve">0890-CLIFFSIDE PARK BORO      </t>
  </si>
  <si>
    <t xml:space="preserve">0930-CLOSTER BORO             </t>
  </si>
  <si>
    <t>Paterson</t>
  </si>
  <si>
    <t xml:space="preserve">0990-CRESSKILL BORO           </t>
  </si>
  <si>
    <t xml:space="preserve">1070-DEMAREST BORO            </t>
  </si>
  <si>
    <t xml:space="preserve">1130-DUMONT BORO              </t>
  </si>
  <si>
    <t xml:space="preserve">1230-EAST RUTHERFORD BORO     </t>
  </si>
  <si>
    <t xml:space="preserve">1270-EDGEWATER BORO           </t>
  </si>
  <si>
    <t xml:space="preserve">1345-ELMWOOD PARK             </t>
  </si>
  <si>
    <t xml:space="preserve">1360-EMERSON BORO             </t>
  </si>
  <si>
    <t xml:space="preserve">1370-ENGLEWOOD CITY           </t>
  </si>
  <si>
    <t xml:space="preserve">1380-ENGLEWOOD CLIFFS BORO    </t>
  </si>
  <si>
    <t xml:space="preserve">1450-FAIR LAWN BORO           </t>
  </si>
  <si>
    <t>Environment Community Opportunity Charter School (ECO Charter School)</t>
  </si>
  <si>
    <t>Freedom Academy Charter School</t>
  </si>
  <si>
    <t>Galloway Community Charter School</t>
  </si>
  <si>
    <t>Galloway Township</t>
  </si>
  <si>
    <t>Gray Charter School</t>
  </si>
  <si>
    <t>Greater Brunswick Charter School</t>
  </si>
  <si>
    <t>New Brunswick</t>
  </si>
  <si>
    <t>Greater Newark Charter School (formerly Newark, Greater Newark Academy Charter School</t>
  </si>
  <si>
    <t>Hoboken Charter School</t>
  </si>
  <si>
    <t>Hope Academy Charter School</t>
  </si>
  <si>
    <t>Asbury Park</t>
  </si>
  <si>
    <t>International Charter School of Trenton</t>
  </si>
  <si>
    <t>Jersey City Community Charter School</t>
  </si>
  <si>
    <t>Jersey City Golden Door Charter School</t>
  </si>
  <si>
    <t>Lady Liberty Academy Charter School</t>
  </si>
  <si>
    <t>LEAP Academy University Charter School</t>
  </si>
  <si>
    <t>Learning Community Charter School</t>
  </si>
  <si>
    <t>Liberty Academy Charter School</t>
  </si>
  <si>
    <t>Maria L. Varisco-Rogers Charter School</t>
  </si>
  <si>
    <t>Marion P. Thomas Charter School</t>
  </si>
  <si>
    <t>New Horizons Community Charter School</t>
  </si>
  <si>
    <t>North Star Academy Charter School of Newark</t>
  </si>
  <si>
    <t>Oceanside Charter School</t>
  </si>
  <si>
    <t>Atlantic City</t>
  </si>
  <si>
    <t>PACE Charter School of Hamilton</t>
  </si>
  <si>
    <t>Hamilton Township</t>
  </si>
  <si>
    <t>Paterson Charter School for Science and Technology</t>
  </si>
  <si>
    <t>PleasanTech Academy Charter School</t>
  </si>
  <si>
    <t>Pleasantville</t>
  </si>
  <si>
    <t>Princeton Charter School</t>
  </si>
  <si>
    <t>Princeton</t>
  </si>
  <si>
    <t>Queen City Academy Charter School</t>
  </si>
  <si>
    <t>Red Bank Charter School</t>
  </si>
  <si>
    <t>Red Bank</t>
  </si>
  <si>
    <t>Ridge and Valley Charter School</t>
  </si>
  <si>
    <t>Blairstown</t>
  </si>
  <si>
    <t>Robert Treat Academy Charter School</t>
  </si>
  <si>
    <t>Schomburg Charter School</t>
  </si>
  <si>
    <t>Soaring Heights Charter School</t>
  </si>
  <si>
    <t>Sussex County Charter School of Technology</t>
  </si>
  <si>
    <t>Sparta</t>
  </si>
  <si>
    <t>TEAM Academy Charter School</t>
  </si>
  <si>
    <t>Teaneck Community Charter School</t>
  </si>
  <si>
    <t>Teaneck</t>
  </si>
  <si>
    <t>Trenton Community Charter School (consolidated school in 2001)</t>
  </si>
  <si>
    <t>Union County TEAMS (Technology, Engineering, Architecture, Math&amp;Science) Charter School</t>
  </si>
  <si>
    <t>Unity Charter School</t>
  </si>
  <si>
    <t>Morristown</t>
  </si>
  <si>
    <t>University Academy Charter High School</t>
  </si>
  <si>
    <t>University Heights Charter School</t>
  </si>
  <si>
    <t>Village Charter School</t>
  </si>
  <si>
    <t>Deduction for Local/State Payments to Charters</t>
  </si>
  <si>
    <t>Jersey City Total Dollars</t>
  </si>
  <si>
    <t>Newark City Total Dollars</t>
  </si>
  <si>
    <t>Other Financing Sources - Capital Leases</t>
  </si>
  <si>
    <t>Other</t>
  </si>
  <si>
    <t>School Choice Aid</t>
  </si>
  <si>
    <t>Addtl State School Building Aid - EDA Grant</t>
  </si>
  <si>
    <t>Academic Achievement Reward Program</t>
  </si>
  <si>
    <t>Education Opportunity Aid</t>
  </si>
  <si>
    <t>Preschool Expansion Aid</t>
  </si>
  <si>
    <t>Addt State School Building Aid-Chapter 74</t>
  </si>
  <si>
    <t>Distance Learning Network Aid</t>
  </si>
  <si>
    <t>Demonstrably Effective Program Aid - Prior Year Carryover</t>
  </si>
  <si>
    <t>Early Childhood Program Aid - Prior Year Carryover</t>
  </si>
  <si>
    <t>Other Local Govt Units - Restricted</t>
  </si>
  <si>
    <t>Transportation Fees from Individuals</t>
  </si>
  <si>
    <t>Other Misc</t>
  </si>
  <si>
    <t>Discretionary Education Opportunity Aid</t>
  </si>
  <si>
    <t>Title VI</t>
  </si>
  <si>
    <t>Bond Premium</t>
  </si>
  <si>
    <t>Capital Projects</t>
  </si>
  <si>
    <t>JTPA</t>
  </si>
  <si>
    <t>Municipal Surplus</t>
  </si>
  <si>
    <t>Tuition from Summer School</t>
  </si>
  <si>
    <t>Fines and Forfeits</t>
  </si>
  <si>
    <t>Tetbook Sales &amp; Rentals</t>
  </si>
  <si>
    <t>Other Local Govt Units - Unrestricted</t>
  </si>
  <si>
    <t>Supplemental Stabilization Aid</t>
  </si>
  <si>
    <t>Distance Learning Network Aid - Prior Year Carryover</t>
  </si>
  <si>
    <t>Instructional Supplement Ad - Prior Yr Carryover</t>
  </si>
  <si>
    <t>Tuition from Other LEAs Outside the State</t>
  </si>
  <si>
    <t>Sale of Property</t>
  </si>
  <si>
    <t>Restricted Rev from Intermediate Sources</t>
  </si>
  <si>
    <t>Intermediate</t>
  </si>
  <si>
    <t>Abbott-bordered district aid</t>
  </si>
  <si>
    <t>Addtl State School Bldg Aid - Chap 10</t>
  </si>
  <si>
    <t>Private Contributions</t>
  </si>
  <si>
    <t>Addtl State School Bldg Aid - Chap 177</t>
  </si>
  <si>
    <t>Unrestricted Rev from Intermediate Sources</t>
  </si>
  <si>
    <t>Schoolwide Programs</t>
  </si>
  <si>
    <t>Interest earnd on Early Childhood Cap. Res. Fund</t>
  </si>
  <si>
    <t>Academy Charter High School</t>
  </si>
  <si>
    <t>Lake Como</t>
  </si>
  <si>
    <t>Camden</t>
  </si>
  <si>
    <t>Camden Academy Charter High School</t>
  </si>
  <si>
    <t>Camden's Promise Charter</t>
  </si>
  <si>
    <t>CREATE</t>
  </si>
  <si>
    <t>Jersey City</t>
  </si>
  <si>
    <t>Central Jersey Arts</t>
  </si>
  <si>
    <t>Plainfield</t>
  </si>
  <si>
    <t>Central Jersey College Prep</t>
  </si>
  <si>
    <t>Charter Tech High School</t>
  </si>
  <si>
    <t>Somers Point</t>
  </si>
  <si>
    <t>Clifton</t>
  </si>
  <si>
    <t>Classical Academy Charter</t>
  </si>
  <si>
    <t>D.U.E. Season Charter</t>
  </si>
  <si>
    <t>Discovery Charter</t>
  </si>
  <si>
    <t>Newark</t>
  </si>
  <si>
    <t>East Orange Community Charter</t>
  </si>
  <si>
    <t>East Orange</t>
  </si>
  <si>
    <t>Elysian Charter</t>
  </si>
  <si>
    <t>Hoboken</t>
  </si>
  <si>
    <t>Emily Fisher Charter</t>
  </si>
  <si>
    <t>Trenton</t>
  </si>
  <si>
    <t>Englewood on the Palisades Charter School</t>
  </si>
  <si>
    <t>Englewood</t>
  </si>
  <si>
    <t>BELVIDERE TOWN</t>
  </si>
  <si>
    <t>BLAIRSTOWN TWP</t>
  </si>
  <si>
    <t>FRELINGHUYSEN TWP</t>
  </si>
  <si>
    <t>GREAT MEADOWS REGIONAL</t>
  </si>
  <si>
    <t>HACKETTSTOWN</t>
  </si>
  <si>
    <t>HARDWICK TWP</t>
  </si>
  <si>
    <t>HARMONY TWP</t>
  </si>
  <si>
    <t>HOPE TWP</t>
  </si>
  <si>
    <t>KNOWLTON TWP</t>
  </si>
  <si>
    <t>LOPATCONG TWP</t>
  </si>
  <si>
    <t>NORTH WARREN REGIONAL</t>
  </si>
  <si>
    <t>OXFORD TWP</t>
  </si>
  <si>
    <t>PHILLIPSBURG TOWN</t>
  </si>
  <si>
    <t>POHATCONG TWP</t>
  </si>
  <si>
    <t>WARREN CO SPECIAL SERVICE</t>
  </si>
  <si>
    <t>WARREN COUNTY VOCATIONAL</t>
  </si>
  <si>
    <t>WARREN HILLS REGIONAL</t>
  </si>
  <si>
    <t>WASHINGTON BORO</t>
  </si>
  <si>
    <t>WHITE TWP</t>
  </si>
  <si>
    <t>Local Tax Levy</t>
  </si>
  <si>
    <t>Tuition Other LEAs in State</t>
  </si>
  <si>
    <t>Transportation Fees Other LEAs</t>
  </si>
  <si>
    <t>Interest Earned on Capital Reserve Funds</t>
  </si>
  <si>
    <t>Unrestricted Misc Revenues</t>
  </si>
  <si>
    <t>Revenue Local</t>
  </si>
  <si>
    <t>Revenue State</t>
  </si>
  <si>
    <t>Core Curriculum Standards Aid</t>
  </si>
  <si>
    <t>Transportation Aid</t>
  </si>
  <si>
    <t>Special Education Aid</t>
  </si>
  <si>
    <t>Bilingual Education</t>
  </si>
  <si>
    <t>Extraordinary Aid</t>
  </si>
  <si>
    <t>Consolidated Aid</t>
  </si>
  <si>
    <t>TPAF Pension (On Behalf)</t>
  </si>
  <si>
    <t>TPAF Social Security (Reimbursed)</t>
  </si>
  <si>
    <t>Other State Aids</t>
  </si>
  <si>
    <t>Instructional Supplemental Aid</t>
  </si>
  <si>
    <t>Other Restricted Entitlements</t>
  </si>
  <si>
    <t>State Revenue - Special Revenue Funds</t>
  </si>
  <si>
    <t>Federal Revenue</t>
  </si>
  <si>
    <t>IDEA</t>
  </si>
  <si>
    <t>Other Federal</t>
  </si>
  <si>
    <t>Total Special Revenue</t>
  </si>
  <si>
    <t>Interest on Investments</t>
  </si>
  <si>
    <t>Debt Service Aid Type II</t>
  </si>
  <si>
    <t>Capital Projects Fund</t>
  </si>
  <si>
    <t>Earnings on Investments</t>
  </si>
  <si>
    <t>Tuition from Individuals</t>
  </si>
  <si>
    <t>Local</t>
  </si>
  <si>
    <t>Aid for Adult &amp; Post Graduate Programs</t>
  </si>
  <si>
    <t>State</t>
  </si>
  <si>
    <t>Additional Formula Aid</t>
  </si>
  <si>
    <t>Other State Aids - Out of Cap</t>
  </si>
  <si>
    <t xml:space="preserve">Federal </t>
  </si>
  <si>
    <t>PL 81.874 (Impact)</t>
  </si>
  <si>
    <t>Early Childhood Program</t>
  </si>
  <si>
    <t>Demontrably Effective Program Aid</t>
  </si>
  <si>
    <t>Vocational Education</t>
  </si>
  <si>
    <t>Other Financing Sources</t>
  </si>
  <si>
    <t>County Tax Levy</t>
  </si>
  <si>
    <t>Tuition from LEAs</t>
  </si>
  <si>
    <t>Other Tuition</t>
  </si>
  <si>
    <t>Other Restricted Misc</t>
  </si>
  <si>
    <t>Stabilization Aid</t>
  </si>
  <si>
    <t>County Vocational Education Program Aid</t>
  </si>
  <si>
    <t>Post-Secondary Vocational Program Aid</t>
  </si>
  <si>
    <t>Other Revenue from Local Sources</t>
  </si>
  <si>
    <t>Adult Basic Ed</t>
  </si>
  <si>
    <t>Federal</t>
  </si>
  <si>
    <t>Bond Principal</t>
  </si>
  <si>
    <t>Non-Resident Fees</t>
  </si>
  <si>
    <t>Medicaid Reimbursement</t>
  </si>
  <si>
    <t>Tuition from Other Sources</t>
  </si>
  <si>
    <t>Rents &amp; Royalties</t>
  </si>
  <si>
    <t>Supplemental Core Curriculum Standards Aid</t>
  </si>
  <si>
    <t>ALLOWAY TWP</t>
  </si>
  <si>
    <t>ELMER BORO</t>
  </si>
  <si>
    <t>ELSINBORO TWP</t>
  </si>
  <si>
    <t>LOWER ALLOWAYS CREEK</t>
  </si>
  <si>
    <t>MANNINGTON TWP</t>
  </si>
  <si>
    <t>OLDMANS TWP</t>
  </si>
  <si>
    <t>PENNS GRV-CARNEY'S PT REG</t>
  </si>
  <si>
    <t>PENNSVILLE</t>
  </si>
  <si>
    <t>PITTSGROVE TWP</t>
  </si>
  <si>
    <t>QUINTON TWP</t>
  </si>
  <si>
    <t>SALEM CITY</t>
  </si>
  <si>
    <t>SALEM CO SPECIAL SERVICE</t>
  </si>
  <si>
    <t>SALEM COUNTY VOCATIONAL</t>
  </si>
  <si>
    <t>UPPER PITTSGROVE TWP</t>
  </si>
  <si>
    <t>WOODSTOWN-PILESGROVE REG</t>
  </si>
  <si>
    <t>SOMERSET</t>
  </si>
  <si>
    <t>BEDMINSTER TWP</t>
  </si>
  <si>
    <t>BERNARDS TWP</t>
  </si>
  <si>
    <t>BOUND BROOK BORO</t>
  </si>
  <si>
    <t>BRANCHBURG TWP</t>
  </si>
  <si>
    <t>BRIDGEWATER-RARITAN REG</t>
  </si>
  <si>
    <t>GREEN BROOK TWP</t>
  </si>
  <si>
    <t>HILLSBOROUGH TWP</t>
  </si>
  <si>
    <t>MANVILLE BORO</t>
  </si>
  <si>
    <t>MILLSTONE</t>
  </si>
  <si>
    <t>MONTGOMERY TWP</t>
  </si>
  <si>
    <t>NORTH PLAINFIELD BORO</t>
  </si>
  <si>
    <t>ROCKY HILL</t>
  </si>
  <si>
    <t>SOMERSET CO ED SERV COMM</t>
  </si>
  <si>
    <t>SOMERSET CO VOCATIONAL</t>
  </si>
  <si>
    <t>SOMERSET HILLS REGIONAL</t>
  </si>
  <si>
    <t>SOMERVILLE BORO</t>
  </si>
  <si>
    <t>SOUTH BOUND BROOK</t>
  </si>
  <si>
    <t>WARREN TWP</t>
  </si>
  <si>
    <t>WATCHUNG BORO</t>
  </si>
  <si>
    <t>WATCHUNG HILLS REGIONAL</t>
  </si>
  <si>
    <t>SUSSEX</t>
  </si>
  <si>
    <t>ANDOVER REG</t>
  </si>
  <si>
    <t>BRANCHVILLE BORO</t>
  </si>
  <si>
    <t>BYRAM TWP</t>
  </si>
  <si>
    <t>FRANKFORD TWP</t>
  </si>
  <si>
    <t>FRANKLIN BORO</t>
  </si>
  <si>
    <t>FREDON TWP</t>
  </si>
  <si>
    <t>GREEN TWP</t>
  </si>
  <si>
    <t>HAMBURG BORO</t>
  </si>
  <si>
    <t>HAMPTON TWP</t>
  </si>
  <si>
    <t>HARDYSTON TWP</t>
  </si>
  <si>
    <t>HIGH POINT REGIONAL</t>
  </si>
  <si>
    <t>HOPATCONG</t>
  </si>
  <si>
    <t>KITTATINNY REGIONAL</t>
  </si>
  <si>
    <t>LAFAYETTE TWP</t>
  </si>
  <si>
    <t>LENAPE VALLEY REGIONAL</t>
  </si>
  <si>
    <t>MONTAGUE TWP</t>
  </si>
  <si>
    <t>NEWTON TOWN</t>
  </si>
  <si>
    <t>OGDENSBURG BORO</t>
  </si>
  <si>
    <t>SANDYSTON-WALPACK TWP</t>
  </si>
  <si>
    <t>SPARTA TWP</t>
  </si>
  <si>
    <t>STANHOPE BORO</t>
  </si>
  <si>
    <t>STILLWATER TWP</t>
  </si>
  <si>
    <t>SUSSEX-WANTAGE REGIONAL</t>
  </si>
  <si>
    <t>SUSSEX CO ED SERV COMM</t>
  </si>
  <si>
    <t>SUSSEX COUNTY VOCATIONAL</t>
  </si>
  <si>
    <t>VERNON TWP</t>
  </si>
  <si>
    <t>WALLKILL VALLEY REGIONAL</t>
  </si>
  <si>
    <t>UNION</t>
  </si>
  <si>
    <t>BERKELEY HEIGHTS TWP</t>
  </si>
  <si>
    <t>CLARK TWP</t>
  </si>
  <si>
    <t>CRANFORD TWP</t>
  </si>
  <si>
    <t>ELIZABETH CITY</t>
  </si>
  <si>
    <t>GARWOOD BORO</t>
  </si>
  <si>
    <t>HILLSIDE TWP</t>
  </si>
  <si>
    <t>KENILWORTH BORO</t>
  </si>
  <si>
    <t>LINDEN CITY</t>
  </si>
  <si>
    <t>MORRIS-UNION JOINTURE COM</t>
  </si>
  <si>
    <t>MOUNTAINSIDE BORO</t>
  </si>
  <si>
    <t>If white, need to determine if in an Abbott district</t>
  </si>
  <si>
    <t>NEW PROVIDENCE BORO</t>
  </si>
  <si>
    <t>PLAINFIELD CITY</t>
  </si>
  <si>
    <t>RAHWAY CITY</t>
  </si>
  <si>
    <t>ROSELLE BORO</t>
  </si>
  <si>
    <t>ROSELLE PARK BORO</t>
  </si>
  <si>
    <t>SCOTCH PLAINS-FANWOOD REG</t>
  </si>
  <si>
    <t>SUMMIT CITY</t>
  </si>
  <si>
    <t>UNION CO ED SERV COMM</t>
  </si>
  <si>
    <t>UNION COUNTY VOCATIONAL</t>
  </si>
  <si>
    <t>WESTFIELD TOWN</t>
  </si>
  <si>
    <t>WINFIELD TWP</t>
  </si>
  <si>
    <t>WARREN</t>
  </si>
  <si>
    <t>ALLAMUCHY TWP</t>
  </si>
  <si>
    <t>ALPHA BORO</t>
  </si>
  <si>
    <t>BUTLER BORO</t>
  </si>
  <si>
    <t>SCH DIST OF THE CHATHAMS</t>
  </si>
  <si>
    <t>CHESTER TWP</t>
  </si>
  <si>
    <t>DENVILLE TWP</t>
  </si>
  <si>
    <t>DOVER TOWN</t>
  </si>
  <si>
    <t>EAST HANOVER TWP</t>
  </si>
  <si>
    <t>FLORHAM PARK BORO</t>
  </si>
  <si>
    <t>HANOVER PARK REGIONAL</t>
  </si>
  <si>
    <t>HANOVER TWP</t>
  </si>
  <si>
    <t>HARDING TOWNSHIP</t>
  </si>
  <si>
    <t>JEFFERSON TWP</t>
  </si>
  <si>
    <t>KINNELON BORO</t>
  </si>
  <si>
    <t>LINCOLN PARK BORO</t>
  </si>
  <si>
    <t>MADISON BORO</t>
  </si>
  <si>
    <t>MENDHAM BORO</t>
  </si>
  <si>
    <t>MENDHAM TWP</t>
  </si>
  <si>
    <t>MINE HILL TWP</t>
  </si>
  <si>
    <t>MONTVILLE TWP</t>
  </si>
  <si>
    <t>EDUC SERV COMM MORRIS CO</t>
  </si>
  <si>
    <t>MORRIS COUNTY VOCATIONAL</t>
  </si>
  <si>
    <t>MORRIS HILLS REGIONAL</t>
  </si>
  <si>
    <t>MORRIS PLAINS BORO</t>
  </si>
  <si>
    <t>MORRIS SCHOOL DISTRICT</t>
  </si>
  <si>
    <t>MOUNT ARLINGTON BORO</t>
  </si>
  <si>
    <t>MOUNT OLIVE TWP</t>
  </si>
  <si>
    <t>MOUNTAIN LAKES BORO</t>
  </si>
  <si>
    <t>NETCONG BORO</t>
  </si>
  <si>
    <t>PARSIPPANY-TROY HILLS TWP</t>
  </si>
  <si>
    <t>LONG HILL TWP</t>
  </si>
  <si>
    <t>PEQUANNOCK TWP</t>
  </si>
  <si>
    <t>RANDOLPH TWP</t>
  </si>
  <si>
    <t>RIVERDALE BORO</t>
  </si>
  <si>
    <t>ROCKAWAY BORO</t>
  </si>
  <si>
    <t>ROCKAWAY TWP</t>
  </si>
  <si>
    <t>ROXBURY TWP</t>
  </si>
  <si>
    <t>VICTORY GARDENS</t>
  </si>
  <si>
    <t>WEST MORRIS REGIONAL</t>
  </si>
  <si>
    <t>WHARTON BORO</t>
  </si>
  <si>
    <t>OCEAN</t>
  </si>
  <si>
    <t>BARNEGAT TWP</t>
  </si>
  <si>
    <t>BAY HEAD BORO</t>
  </si>
  <si>
    <t>BEACH HAVEN BORO</t>
  </si>
  <si>
    <t>BERKELEY TWP</t>
  </si>
  <si>
    <t>BRICK TWP</t>
  </si>
  <si>
    <t>CENTRAL REGIONAL</t>
  </si>
  <si>
    <t>EAGLESWOOD TWP</t>
  </si>
  <si>
    <t>ISLAND HEIGHTS BORO</t>
  </si>
  <si>
    <t>JACKSON TWP</t>
  </si>
  <si>
    <t>LACEY TWP</t>
  </si>
  <si>
    <t>LAKEHURST BORO</t>
  </si>
  <si>
    <t>LAKEWOOD TWP</t>
  </si>
  <si>
    <t>LAVALLETTE BORO</t>
  </si>
  <si>
    <t>LITTLE EGG HARBOR TWP</t>
  </si>
  <si>
    <t>LONG BEACH ISLAND</t>
  </si>
  <si>
    <t>MANCHESTER TWP</t>
  </si>
  <si>
    <t>MANTOLOKING</t>
  </si>
  <si>
    <t>OCEAN COUNTY VOCATIONAL</t>
  </si>
  <si>
    <t>OCEAN GATE BORO</t>
  </si>
  <si>
    <t>PINELANDS REGIONAL</t>
  </si>
  <si>
    <t>PLUMSTED TWP</t>
  </si>
  <si>
    <t>POINT PLEASANT BORO</t>
  </si>
  <si>
    <t>POINT PLEASANT BEACH BORO</t>
  </si>
  <si>
    <t>SEASIDE HEIGHTS BORO</t>
  </si>
  <si>
    <t>SEASIDE PARK BORO</t>
  </si>
  <si>
    <t>SOUTHERN REGIONAL</t>
  </si>
  <si>
    <t>STAFFORD TWP</t>
  </si>
  <si>
    <t>TOMS RIVER REGIONAL</t>
  </si>
  <si>
    <t>TUCKERTON BORO</t>
  </si>
  <si>
    <t>PASSAIC</t>
  </si>
  <si>
    <t>BLOOMINGDALE BORO</t>
  </si>
  <si>
    <t>CLIFTON CITY</t>
  </si>
  <si>
    <t>HALEDON BORO</t>
  </si>
  <si>
    <t>HAWTHORNE BORO</t>
  </si>
  <si>
    <t>LAKELAND REGIONAL</t>
  </si>
  <si>
    <t>LITTLE FALLS TWP</t>
  </si>
  <si>
    <t>NORTH HALEDON BORO</t>
  </si>
  <si>
    <t>PASSAIC CITY</t>
  </si>
  <si>
    <t>PASSAIC CO ED SERV COMM</t>
  </si>
  <si>
    <t>PASSAIC CO MANCHESTER REG</t>
  </si>
  <si>
    <t>PASSAIC VALLEY REGIONAL</t>
  </si>
  <si>
    <t>PASSAIC COUNTY VOCATIONAL</t>
  </si>
  <si>
    <t>PATERSON CITY</t>
  </si>
  <si>
    <t>POMPTON LAKES BORO</t>
  </si>
  <si>
    <t>PROSPECT PARK BORO</t>
  </si>
  <si>
    <t>RINGWOOD BORO</t>
  </si>
  <si>
    <t>TOTOWA BORO</t>
  </si>
  <si>
    <t>WANAQUE BORO</t>
  </si>
  <si>
    <t>WAYNE TWP</t>
  </si>
  <si>
    <t>WEST MILFORD TWP</t>
  </si>
  <si>
    <t>WEST PATERSON BORO</t>
  </si>
  <si>
    <t>SALEM</t>
  </si>
  <si>
    <t>MERCER CO SPECIAL SERVICE</t>
  </si>
  <si>
    <t>MERCER COUNTY VOCATIONAL</t>
  </si>
  <si>
    <t>PRINCETON REGIONAL</t>
  </si>
  <si>
    <t>TRENTON CITY</t>
  </si>
  <si>
    <t>ROBBINSVILLE TWP</t>
  </si>
  <si>
    <t>W WINDSOR-PLAINSBORO REG</t>
  </si>
  <si>
    <t>MIDDLESEX</t>
  </si>
  <si>
    <t>CARTERET BORO</t>
  </si>
  <si>
    <t>CRANBURY TWP</t>
  </si>
  <si>
    <t>DUNELLEN BORO</t>
  </si>
  <si>
    <t>EAST BRUNSWICK TWP</t>
  </si>
  <si>
    <t>EDISON TWP</t>
  </si>
  <si>
    <t>HELMETTA BORO</t>
  </si>
  <si>
    <t>HIGHLAND PARK BORO</t>
  </si>
  <si>
    <t>JAMESBURG BORO</t>
  </si>
  <si>
    <t>METUCHEN BORO</t>
  </si>
  <si>
    <t>MIDDLESEX BORO</t>
  </si>
  <si>
    <t>MIDDLESEX REG ED SER COMM</t>
  </si>
  <si>
    <t>MIDDLESEX CO VOCATIONAL</t>
  </si>
  <si>
    <t>MILLTOWN BORO</t>
  </si>
  <si>
    <t>NEW BRUNSWICK CITY</t>
  </si>
  <si>
    <t>NORTH BRUNSWICK TWP</t>
  </si>
  <si>
    <t>OLD BRIDGE TWP</t>
  </si>
  <si>
    <t>PERTH AMBOY CITY</t>
  </si>
  <si>
    <t>PISCATAWAY TWP</t>
  </si>
  <si>
    <t>SAYREVILLE BORO</t>
  </si>
  <si>
    <t>SOUTH AMBOY CITY</t>
  </si>
  <si>
    <t>SOUTH BRUNSWICK TWP</t>
  </si>
  <si>
    <t>SOUTH PLAINFIELD BORO</t>
  </si>
  <si>
    <t>SOUTH RIVER BORO</t>
  </si>
  <si>
    <t>SPOTSWOOD BORO</t>
  </si>
  <si>
    <t>WOODBRIDGE TWP</t>
  </si>
  <si>
    <t>MONMOUTH</t>
  </si>
  <si>
    <t>ALLENHURST</t>
  </si>
  <si>
    <t>ASBURY PARK CITY</t>
  </si>
  <si>
    <t>ATLANTIC HIGHLANDS BORO</t>
  </si>
  <si>
    <t>AVON BORO</t>
  </si>
  <si>
    <t>BAYSHORE JOINTURE COMM</t>
  </si>
  <si>
    <t>BELMAR BORO</t>
  </si>
  <si>
    <t>BRADLEY BEACH BORO</t>
  </si>
  <si>
    <t>BRIELLE BORO</t>
  </si>
  <si>
    <t>COLTS NECK TWP</t>
  </si>
  <si>
    <t>DEAL BORO</t>
  </si>
  <si>
    <t>EATONTOWN BORO</t>
  </si>
  <si>
    <t>FAIR HAVEN BORO</t>
  </si>
  <si>
    <t>FARMINGDALE BORO</t>
  </si>
  <si>
    <t>FREEHOLD BORO</t>
  </si>
  <si>
    <t>FREEHOLD REGIONAL</t>
  </si>
  <si>
    <t>FREEHOLD TWP</t>
  </si>
  <si>
    <t>HAZLET TWP</t>
  </si>
  <si>
    <t>HENRY HUDSON REGIONAL</t>
  </si>
  <si>
    <t>HIGHLANDS BORO</t>
  </si>
  <si>
    <t>HOLMDEL TWP</t>
  </si>
  <si>
    <t>HOWELL TWP</t>
  </si>
  <si>
    <t>KEANSBURG BORO</t>
  </si>
  <si>
    <t>KEYPORT BORO</t>
  </si>
  <si>
    <t>LITTLE SILVER BORO</t>
  </si>
  <si>
    <t>LONG BRANCH CITY</t>
  </si>
  <si>
    <t>MANALAPAN-ENGLISHTOWN REG</t>
  </si>
  <si>
    <t>MANASQUAN BORO</t>
  </si>
  <si>
    <t>MARLBORO TWP</t>
  </si>
  <si>
    <t>MATAWAN-ABERDEEN REGIONAL</t>
  </si>
  <si>
    <t>MIDDLETOWN TWP</t>
  </si>
  <si>
    <t>MILLSTONE TWP</t>
  </si>
  <si>
    <t>MONMOUTH BEACH BORO</t>
  </si>
  <si>
    <t>MONMOUTH-OCEAN ED SER COM</t>
  </si>
  <si>
    <t>MONMOUTH CO VOCATIONAL</t>
  </si>
  <si>
    <t>MONMOUTH REGIONAL</t>
  </si>
  <si>
    <t>NEPTUNE CITY</t>
  </si>
  <si>
    <t>NEPTUNE TWP</t>
  </si>
  <si>
    <t>OCEAN TWP</t>
  </si>
  <si>
    <t>OCEANPORT BORO</t>
  </si>
  <si>
    <t>RED BANK BORO</t>
  </si>
  <si>
    <t>RED BANK REGIONAL</t>
  </si>
  <si>
    <t>ROOSEVELT BORO</t>
  </si>
  <si>
    <t>RUMSON BORO</t>
  </si>
  <si>
    <t>RUMSON-FAIR HAVEN REG</t>
  </si>
  <si>
    <t>SEA GIRT BORO</t>
  </si>
  <si>
    <t>SHORE REGIONAL</t>
  </si>
  <si>
    <t>SHREWSBURY BORO</t>
  </si>
  <si>
    <t>SOUTH BELMAR</t>
  </si>
  <si>
    <t>SPRING LAKE BORO</t>
  </si>
  <si>
    <t>SPRING LAKE HEIGHTS BORO</t>
  </si>
  <si>
    <t>TINTON FALLS</t>
  </si>
  <si>
    <t>UNION BEACH</t>
  </si>
  <si>
    <t>UPPER FREEHOLD REGIONAL</t>
  </si>
  <si>
    <t>WALL TWP</t>
  </si>
  <si>
    <t>WEST LONG BRANCH BORO</t>
  </si>
  <si>
    <t>MORRIS</t>
  </si>
  <si>
    <t>BOONTON TOWN</t>
  </si>
  <si>
    <t>BOONTON TWP</t>
  </si>
  <si>
    <t>Half Day Preschool</t>
  </si>
  <si>
    <t>GLEN RIDGE BORO</t>
  </si>
  <si>
    <t>IRVINGTON TOWNSHIP</t>
  </si>
  <si>
    <t>LIVINGSTON TWP</t>
  </si>
  <si>
    <t>MILLBURN TWP</t>
  </si>
  <si>
    <t>MONTCLAIR TOWN</t>
  </si>
  <si>
    <t>NEWARK CITY</t>
  </si>
  <si>
    <t>NORTH CALDWELL BORO</t>
  </si>
  <si>
    <t>NUTLEY TOWN</t>
  </si>
  <si>
    <t>CITY OF ORANGE TWP</t>
  </si>
  <si>
    <t>ROSELAND BORO</t>
  </si>
  <si>
    <t>SOUTH ORANGE-MAPLEWOOD</t>
  </si>
  <si>
    <t>VERONA BORO</t>
  </si>
  <si>
    <t>WEST ESSEX REGIONAL</t>
  </si>
  <si>
    <t>WEST ORANGE TOWN</t>
  </si>
  <si>
    <t>GLOUCESTER</t>
  </si>
  <si>
    <t>CLAYTON BORO</t>
  </si>
  <si>
    <t>CLEARVIEW REGIONAL</t>
  </si>
  <si>
    <t>DEPTFORD TWP</t>
  </si>
  <si>
    <t>EAST GREENWICH TWP</t>
  </si>
  <si>
    <t>ELK TWP</t>
  </si>
  <si>
    <t>FRANKLIN TWP</t>
  </si>
  <si>
    <t>GATEWAY REGIONAL</t>
  </si>
  <si>
    <t>GLASSBORO</t>
  </si>
  <si>
    <t>GLOUCESTER CO SPEC SERV</t>
  </si>
  <si>
    <t>GLOUCESTER CO VOCATIONAL</t>
  </si>
  <si>
    <t>HARRISON TWP</t>
  </si>
  <si>
    <t>KINGSWAY REGIONAL</t>
  </si>
  <si>
    <t>LOGAN TWP</t>
  </si>
  <si>
    <t>MANTUA TWP</t>
  </si>
  <si>
    <t>MONROE TWP</t>
  </si>
  <si>
    <t>NATIONAL PARK BORO</t>
  </si>
  <si>
    <t>NEWFIELD BORO</t>
  </si>
  <si>
    <t>PAULSBORO BORO</t>
  </si>
  <si>
    <t>PITMAN BORO</t>
  </si>
  <si>
    <t>SOUTH HARRISON TWP</t>
  </si>
  <si>
    <t>DELSEA REGIONAL H.S DIST.</t>
  </si>
  <si>
    <t>SWEDESBORO-WOOLWICH</t>
  </si>
  <si>
    <t>WENONAH BORO</t>
  </si>
  <si>
    <t>WEST DEPTFORD TWP</t>
  </si>
  <si>
    <t>WESTVILLE BORO</t>
  </si>
  <si>
    <t>WOODBURY CITY</t>
  </si>
  <si>
    <t>WOODBURY HEIGHTS BORO</t>
  </si>
  <si>
    <t>HUDSON</t>
  </si>
  <si>
    <t>BAYONNE CITY</t>
  </si>
  <si>
    <t>EAST NEWARK BORO</t>
  </si>
  <si>
    <t>GUTTENBERG TOWN</t>
  </si>
  <si>
    <t>HARRISON TOWN</t>
  </si>
  <si>
    <t>HOBOKEN CITY</t>
  </si>
  <si>
    <t>HUDSON COUNTY VOCATIONAL</t>
  </si>
  <si>
    <t>JERSEY CITY</t>
  </si>
  <si>
    <t>KEARNY TOWN</t>
  </si>
  <si>
    <t>NORTH BERGEN TWP</t>
  </si>
  <si>
    <t>SECAUCUS TOWN</t>
  </si>
  <si>
    <t>UNION CITY</t>
  </si>
  <si>
    <t>WEEHAWKEN TWP</t>
  </si>
  <si>
    <t>WEST NEW YORK TOWN</t>
  </si>
  <si>
    <t>HUNTERDON</t>
  </si>
  <si>
    <t>ALEXANDRIA TWP</t>
  </si>
  <si>
    <t>BETHLEHEM TWP</t>
  </si>
  <si>
    <t>BLOOMSBURY BORO</t>
  </si>
  <si>
    <t>CALIFON BORO</t>
  </si>
  <si>
    <t>CLINTON TOWN</t>
  </si>
  <si>
    <t>CLINTON TWP</t>
  </si>
  <si>
    <t>DELAWARE TWP</t>
  </si>
  <si>
    <t>DELAWARE VALLEY REGIONAL</t>
  </si>
  <si>
    <t>EAST AMWELL TWP</t>
  </si>
  <si>
    <t>FLEMINGTON-RARITAN REG</t>
  </si>
  <si>
    <t>FRENCHTOWN BORO</t>
  </si>
  <si>
    <t>GLEN GARDNER BORO</t>
  </si>
  <si>
    <t>HAMPTON BORO</t>
  </si>
  <si>
    <t>HIGH BRIDGE BORO</t>
  </si>
  <si>
    <t>HOLLAND TWP</t>
  </si>
  <si>
    <t>HUNTERDON CENTRAL REG</t>
  </si>
  <si>
    <t>HUNTERDON CO ED SER COMM</t>
  </si>
  <si>
    <t>HUNTERDON CO VOCATIONAL</t>
  </si>
  <si>
    <t>KINGWOOD TWP</t>
  </si>
  <si>
    <t>LAMBERTVILLE CITY</t>
  </si>
  <si>
    <t>LEBANON BORO</t>
  </si>
  <si>
    <t>LEBANON TWP</t>
  </si>
  <si>
    <t>MILFORD BORO</t>
  </si>
  <si>
    <t>N HUNT/VOORHEES REGIONAL</t>
  </si>
  <si>
    <t>READINGTON TWP</t>
  </si>
  <si>
    <t>SOUTH HUNTERDON REGIONAL</t>
  </si>
  <si>
    <t>STOCKTON BORO</t>
  </si>
  <si>
    <t>TEWKSBURY TWP</t>
  </si>
  <si>
    <t>UNION TWP</t>
  </si>
  <si>
    <t>WEST AMWELL TWP</t>
  </si>
  <si>
    <t>MERCER</t>
  </si>
  <si>
    <t>EAST WINDSOR REGIONAL</t>
  </si>
  <si>
    <t>EWING TWP</t>
  </si>
  <si>
    <t>HOPEWELL VALLEY REGIONAL</t>
  </si>
  <si>
    <t>CAMDEN CO ED SERV COMM</t>
  </si>
  <si>
    <t>CAMDEN COUNTY VOCATIONAL</t>
  </si>
  <si>
    <t>CHERRY HILL TWP</t>
  </si>
  <si>
    <t>CHESILHURST</t>
  </si>
  <si>
    <t>CLEMENTON BORO</t>
  </si>
  <si>
    <t>COLLINGSWOOD BORO</t>
  </si>
  <si>
    <t>EASTERN CAMDEN COUNTY REG</t>
  </si>
  <si>
    <t>GIBBSBORO BORO</t>
  </si>
  <si>
    <t>GLOUCESTER CITY</t>
  </si>
  <si>
    <t>GLOUCESTER TWP</t>
  </si>
  <si>
    <t>HADDON HEIGHTS BORO</t>
  </si>
  <si>
    <t>HADDON TWP</t>
  </si>
  <si>
    <t>HADDONFIELD BORO</t>
  </si>
  <si>
    <t>HI NELLA</t>
  </si>
  <si>
    <t>LAUREL SPRINGS BORO</t>
  </si>
  <si>
    <t>LAWNSIDE BORO</t>
  </si>
  <si>
    <t>LINDENWOLD BORO</t>
  </si>
  <si>
    <t>MAGNOLIA BORO</t>
  </si>
  <si>
    <t>MERCHANTVILLE BORO</t>
  </si>
  <si>
    <t>MOUNT EPHRAIM BORO</t>
  </si>
  <si>
    <t>OAKLYN BORO</t>
  </si>
  <si>
    <t>PENNSAUKEN TWP</t>
  </si>
  <si>
    <t>PINE HILL BORO</t>
  </si>
  <si>
    <t>RUNNEMEDE BORO</t>
  </si>
  <si>
    <t>SOMERDALE BORO</t>
  </si>
  <si>
    <t>STERLING HIGH SCHOOL DIST</t>
  </si>
  <si>
    <t>STRATFORD BORO</t>
  </si>
  <si>
    <t>Hamburg Boro</t>
  </si>
  <si>
    <t>VOORHEES TWP</t>
  </si>
  <si>
    <t>WATERFORD TWP</t>
  </si>
  <si>
    <t>WINSLOW TWP</t>
  </si>
  <si>
    <t>WOODLYNNE BORO</t>
  </si>
  <si>
    <t>CAPE MAY</t>
  </si>
  <si>
    <t>AVALON BORO</t>
  </si>
  <si>
    <t>CAPE MAY CITY</t>
  </si>
  <si>
    <t>CAPE MAY CO SPECIAL SERV</t>
  </si>
  <si>
    <t>CAPE MAY CO VOCATIONAL</t>
  </si>
  <si>
    <t>CAPE MAY POINT</t>
  </si>
  <si>
    <t>DENNIS TWP</t>
  </si>
  <si>
    <t>LOWER CAPE MAY REGIONAL</t>
  </si>
  <si>
    <t>LOWER TWP</t>
  </si>
  <si>
    <t>MIDDLE TWP</t>
  </si>
  <si>
    <t>NORTH WILDWOOD CITY</t>
  </si>
  <si>
    <t>OCEAN CITY</t>
  </si>
  <si>
    <t>SEA ISLE CITY</t>
  </si>
  <si>
    <t>STONE HARBOR BORO</t>
  </si>
  <si>
    <t>UPPER TWP</t>
  </si>
  <si>
    <t>Emily Fisher</t>
  </si>
  <si>
    <t>Trenton Community</t>
  </si>
  <si>
    <t>International</t>
  </si>
  <si>
    <t>WEST CAPE MAY BORO</t>
  </si>
  <si>
    <t>WEST WILDWOOD</t>
  </si>
  <si>
    <t>WILDWOOD CITY</t>
  </si>
  <si>
    <t>WILDWOOD CREST BORO</t>
  </si>
  <si>
    <t>WOODBINE BORO</t>
  </si>
  <si>
    <t>CUMBERLAND</t>
  </si>
  <si>
    <t>BRIDGETON CITY</t>
  </si>
  <si>
    <t>COMMERCIAL TWP</t>
  </si>
  <si>
    <t>CUMBERLAND CO VOCATIONAL</t>
  </si>
  <si>
    <t>CUMBERLAND REGIONAL</t>
  </si>
  <si>
    <t>DEERFIELD TWP</t>
  </si>
  <si>
    <t>DOWNE TWP</t>
  </si>
  <si>
    <t>FAIRFIELD TWP</t>
  </si>
  <si>
    <t>GREENWICH TWP</t>
  </si>
  <si>
    <t>HOPEWELL TWP</t>
  </si>
  <si>
    <t>LAWRENCE TWP</t>
  </si>
  <si>
    <t>MAURICE RIVER TWP</t>
  </si>
  <si>
    <t>MILLVILLE CITY</t>
  </si>
  <si>
    <t>SHILOH BORO</t>
  </si>
  <si>
    <t>STOW CREEK TWP</t>
  </si>
  <si>
    <t>UPPER DEERFIELD TWP</t>
  </si>
  <si>
    <t>VINELAND CITY</t>
  </si>
  <si>
    <t>ESSEX</t>
  </si>
  <si>
    <t>BELLEVILLE TOWN</t>
  </si>
  <si>
    <t>BLOOMFIELD TWP</t>
  </si>
  <si>
    <t>CALDWELL-WEST CALDWELL</t>
  </si>
  <si>
    <t>CEDAR GROVE TWP</t>
  </si>
  <si>
    <t>EAST ORANGE</t>
  </si>
  <si>
    <t>ESSEX CO ED SERV COMM</t>
  </si>
  <si>
    <t>ESSEX CO VOC-TECH</t>
  </si>
  <si>
    <t>ESSEX FELLS BORO</t>
  </si>
  <si>
    <t>Local Tax Levy &amp; Unrestricted Misc Revenues</t>
  </si>
  <si>
    <t>Indeterminate</t>
  </si>
  <si>
    <t>Title I</t>
  </si>
  <si>
    <t>Total Local</t>
  </si>
  <si>
    <t>Total State</t>
  </si>
  <si>
    <t>Total Federal</t>
  </si>
  <si>
    <t>Total Other</t>
  </si>
  <si>
    <t>Total Indeterminate</t>
  </si>
  <si>
    <t>Full Day Pre-K</t>
  </si>
  <si>
    <t>Half Day Pre-K</t>
  </si>
  <si>
    <t>Full Day Preschool</t>
  </si>
  <si>
    <t>Byram Twp</t>
  </si>
  <si>
    <t>Frankford Twp</t>
  </si>
  <si>
    <t>Hardyston Twp</t>
  </si>
  <si>
    <t>Montague Twp</t>
  </si>
  <si>
    <t>Ogdensburg Boro</t>
  </si>
  <si>
    <t>Sparta Twp</t>
  </si>
  <si>
    <t>Vernon Twp</t>
  </si>
  <si>
    <t>Sussex-Wantage Regional</t>
  </si>
  <si>
    <t>Teaneck Community Charter</t>
  </si>
  <si>
    <t>Trenton Community Charter School</t>
  </si>
  <si>
    <t>Union County TEAMS Charter School</t>
  </si>
  <si>
    <t>Unity Charter</t>
  </si>
  <si>
    <t>High Bridge Boro</t>
  </si>
  <si>
    <t>Boonton Town</t>
  </si>
  <si>
    <t>Boonton Twp</t>
  </si>
  <si>
    <t>Butler Boro</t>
  </si>
  <si>
    <t>School Distric of the Chatams</t>
  </si>
  <si>
    <t>Chester Twp</t>
  </si>
  <si>
    <t>Denville Twp</t>
  </si>
  <si>
    <t>East Hanover Twp</t>
  </si>
  <si>
    <t>Hanover Twp</t>
  </si>
  <si>
    <t>Mendham Twp</t>
  </si>
  <si>
    <t>Mine Hill Twp</t>
  </si>
  <si>
    <t>Montville Twp</t>
  </si>
  <si>
    <t>Morris Plains Boro</t>
  </si>
  <si>
    <t>Long hill Twp</t>
  </si>
  <si>
    <t>Randolph Twp</t>
  </si>
  <si>
    <t>Rockaway Twp</t>
  </si>
  <si>
    <t>Bloomingdale Boro</t>
  </si>
  <si>
    <t>Ringwood Boro</t>
  </si>
  <si>
    <t>Wanaque Boro</t>
  </si>
  <si>
    <t>West Milford Twp</t>
  </si>
  <si>
    <t>Bernards Twp</t>
  </si>
  <si>
    <t>Summit City</t>
  </si>
  <si>
    <t>Westfield Town</t>
  </si>
  <si>
    <t>Univeristy Academy Charter</t>
  </si>
  <si>
    <t>Univeristy Heights Charter</t>
  </si>
  <si>
    <t>Village Charter</t>
  </si>
  <si>
    <t>Ewing Twp</t>
  </si>
  <si>
    <t>FY2006-07 Enrollments and State Aid Payments to Charter Schools *****Based on Final Enrollment</t>
  </si>
  <si>
    <t>Enrollment by Sending District Data</t>
  </si>
  <si>
    <t xml:space="preserve">derived from New Jersey Department of Education - Office of School Funding </t>
  </si>
  <si>
    <t>Formula for Distribution of FY07 New Jersey Charter State and Local Revenue Sending District</t>
  </si>
  <si>
    <t>Total Local Revenues for Charter Distribution Calculation</t>
  </si>
  <si>
    <t>Total State Revenue for Charter Distribution Calculation only</t>
  </si>
  <si>
    <t>MAPLE SHADE TWP</t>
  </si>
  <si>
    <t>MEDFORD LAKES BORO</t>
  </si>
  <si>
    <t>MEDFORD TWP</t>
  </si>
  <si>
    <t>MOORESTOWN TWP</t>
  </si>
  <si>
    <t>MOUNT HOLLY TWP</t>
  </si>
  <si>
    <t>MOUNT LAUREL TWP</t>
  </si>
  <si>
    <t>NEW HANOVER TWP</t>
  </si>
  <si>
    <t>NORTH HANOVER TWP</t>
  </si>
  <si>
    <t>NORTHERN BURLINGTON REG</t>
  </si>
  <si>
    <t>PALMYRA BORO</t>
  </si>
  <si>
    <t>PEMBERTON BOROUGH</t>
  </si>
  <si>
    <t>PEMBERTON TWP</t>
  </si>
  <si>
    <t>RANCOCAS VALLEY REGIONAL</t>
  </si>
  <si>
    <t>RIVERSIDE TWP</t>
  </si>
  <si>
    <t>RIVERTON</t>
  </si>
  <si>
    <t>SHAMONG TWP</t>
  </si>
  <si>
    <t>SOUTHAMPTON TWP</t>
  </si>
  <si>
    <t>SPRINGFIELD TWP</t>
  </si>
  <si>
    <t>TABERNACLE TWP</t>
  </si>
  <si>
    <t>WASHINGTON TWP</t>
  </si>
  <si>
    <t>WESTAMPTON</t>
  </si>
  <si>
    <t>WILLINGBORO TWP</t>
  </si>
  <si>
    <t>WOODLAND TWP</t>
  </si>
  <si>
    <t>CAMDEN</t>
  </si>
  <si>
    <t>AUDUBON BORO</t>
  </si>
  <si>
    <t>AUDUBON PARK BORO</t>
  </si>
  <si>
    <t>BARRINGTON BORO</t>
  </si>
  <si>
    <t>BELLMAWR BORO</t>
  </si>
  <si>
    <t>BERLIN BORO</t>
  </si>
  <si>
    <t>BERLIN TWP</t>
  </si>
  <si>
    <t>BLACK HORSE PIKE REGIONAL</t>
  </si>
  <si>
    <t>BROOKLAWN BORO</t>
  </si>
  <si>
    <t>CAMDEN CITY</t>
  </si>
  <si>
    <t>Woodbury City</t>
  </si>
  <si>
    <t>Lawrence Twp</t>
  </si>
  <si>
    <t>Learning Community Charter</t>
  </si>
  <si>
    <t>Marion P. Thomas Charter</t>
  </si>
  <si>
    <t>Newark Charter</t>
  </si>
  <si>
    <t>New Horizons Community Charter</t>
  </si>
  <si>
    <t>North Star Academy Charter of Newark</t>
  </si>
  <si>
    <t xml:space="preserve">Team Academy Charter </t>
  </si>
  <si>
    <t>Charter-Tech H.S. for Performing Arts</t>
  </si>
  <si>
    <t>Brigantine City</t>
  </si>
  <si>
    <t>Greater Egg Harbor Reg</t>
  </si>
  <si>
    <t>Mainlaind Regional</t>
  </si>
  <si>
    <t>Margate City</t>
  </si>
  <si>
    <t>Ventnor City</t>
  </si>
  <si>
    <t>Lenape Regional</t>
  </si>
  <si>
    <t>Washington Twp</t>
  </si>
  <si>
    <t>Dennis Twp</t>
  </si>
  <si>
    <t>Lower Cape May Regional</t>
  </si>
  <si>
    <t>North Wildwood City</t>
  </si>
  <si>
    <t>Sea Isle City</t>
  </si>
  <si>
    <t>West Wildwood</t>
  </si>
  <si>
    <t>Wildwod City</t>
  </si>
  <si>
    <t>Barnegat Twp</t>
  </si>
  <si>
    <t>Toms River Regional</t>
  </si>
  <si>
    <t>Oceanside Charter</t>
  </si>
  <si>
    <t>Weymouth Twp</t>
  </si>
  <si>
    <t>Gloucester Twp</t>
  </si>
  <si>
    <t>Paterson Charter School for Science &amp; Technology</t>
  </si>
  <si>
    <t>Elmwood Park</t>
  </si>
  <si>
    <t>Lyndhurst Twp</t>
  </si>
  <si>
    <t>West Essex Regional</t>
  </si>
  <si>
    <t>Parsippany-Troy Hills Twp</t>
  </si>
  <si>
    <t>Passaic Co Manchester Reg</t>
  </si>
  <si>
    <t>Passaic Valley Regional</t>
  </si>
  <si>
    <t>West Paterson Boro</t>
  </si>
  <si>
    <t>Hackettstown</t>
  </si>
  <si>
    <t>PleasanTech Academy Charter</t>
  </si>
  <si>
    <t>Princeton Charter</t>
  </si>
  <si>
    <t>Hopewell Valley Regional</t>
  </si>
  <si>
    <t>Princeton Regional</t>
  </si>
  <si>
    <t>W Windsor-Plainsboro Reg</t>
  </si>
  <si>
    <t>Queen City Academy</t>
  </si>
  <si>
    <t>Red Bank Charter</t>
  </si>
  <si>
    <t>Red Bank Boro</t>
  </si>
  <si>
    <t>Ridge and Valley Charter</t>
  </si>
  <si>
    <t>Bethlehem Twp</t>
  </si>
  <si>
    <t>Lebanon Twp</t>
  </si>
  <si>
    <t>Readington Twp</t>
  </si>
  <si>
    <t>Dover Town</t>
  </si>
  <si>
    <t>Jefferson Twp</t>
  </si>
  <si>
    <t>Morris School District</t>
  </si>
  <si>
    <t>Mount Arlington Boro</t>
  </si>
  <si>
    <t>Mount Olive Twp</t>
  </si>
  <si>
    <t>Roxbury Twp</t>
  </si>
  <si>
    <t>Andover Reg</t>
  </si>
  <si>
    <t>Branchville Boro</t>
  </si>
  <si>
    <t>Fredon Twp</t>
  </si>
  <si>
    <t>Green Twp</t>
  </si>
  <si>
    <t>Hampton Twp</t>
  </si>
  <si>
    <t>Hopatcong</t>
  </si>
  <si>
    <t>Kittatinny Regional</t>
  </si>
  <si>
    <t>Newton Town</t>
  </si>
  <si>
    <t>Sandyston-Walpack Twp</t>
  </si>
  <si>
    <t>Stanhope Boro</t>
  </si>
  <si>
    <t>Blairstown Twp</t>
  </si>
  <si>
    <t>Frelinghuysen Twp</t>
  </si>
  <si>
    <t>Great Meadows Regional</t>
  </si>
  <si>
    <t>Hardwick Twp</t>
  </si>
  <si>
    <t>Hope Twp</t>
  </si>
  <si>
    <t>Knowlton Twp</t>
  </si>
  <si>
    <t>Mansfield Twp</t>
  </si>
  <si>
    <t>North Warren Regional</t>
  </si>
  <si>
    <t>Oxford Twp</t>
  </si>
  <si>
    <t>Pohatcong Twp</t>
  </si>
  <si>
    <t>Warren Hills Regional</t>
  </si>
  <si>
    <t>Washington Boro</t>
  </si>
  <si>
    <t>Robert Treat Academy Charter</t>
  </si>
  <si>
    <t>Maria L. Varisco-Rogers Charter</t>
  </si>
  <si>
    <t>Schomburg Charter</t>
  </si>
  <si>
    <t>Soaring Heights in Jersey City Charter</t>
  </si>
  <si>
    <t>Sussex County Charter School for Technology</t>
  </si>
  <si>
    <t>Cedar Grove Twp</t>
  </si>
  <si>
    <t>Clifton City</t>
  </si>
  <si>
    <t>Passaic City</t>
  </si>
  <si>
    <t>Paterson City</t>
  </si>
  <si>
    <t>Wayne Twp</t>
  </si>
  <si>
    <t>Environment Community Opportunity Charter</t>
  </si>
  <si>
    <t>Lindenwold Boro</t>
  </si>
  <si>
    <t>Woodlynne Boro</t>
  </si>
  <si>
    <t>West Deptford Twp</t>
  </si>
  <si>
    <t>Liberty Academy Charter</t>
  </si>
  <si>
    <t>Bayonne City</t>
  </si>
  <si>
    <t>Union Twp</t>
  </si>
  <si>
    <t>Freedom Academy Charter</t>
  </si>
  <si>
    <t>Mount Laurel Twp</t>
  </si>
  <si>
    <t>Collingswood Boro</t>
  </si>
  <si>
    <t>D. U. E. Season Charter</t>
  </si>
  <si>
    <t>Cherry Hill Twp</t>
  </si>
  <si>
    <t>Belleville Town</t>
  </si>
  <si>
    <t>Bloomfield Twp</t>
  </si>
  <si>
    <t>Irvington Twp</t>
  </si>
  <si>
    <t>City of Orange Twp</t>
  </si>
  <si>
    <t>West Orange Twp</t>
  </si>
  <si>
    <t>Perth Amboy City</t>
  </si>
  <si>
    <t>Hillside Twp</t>
  </si>
  <si>
    <t>Elysian Charter of Hoboken</t>
  </si>
  <si>
    <t>Cliffside Park Boro</t>
  </si>
  <si>
    <t>Fairview Boro</t>
  </si>
  <si>
    <t>Hasbrouck Heights Boro</t>
  </si>
  <si>
    <t>Little Ferry Boro</t>
  </si>
  <si>
    <t>Ridgefield Park Twp</t>
  </si>
  <si>
    <t>Wood Ridge Boro</t>
  </si>
  <si>
    <t>Hoboken City</t>
  </si>
  <si>
    <t>North Bergen Twp</t>
  </si>
  <si>
    <t>Union City</t>
  </si>
  <si>
    <t>Weehawken Twp</t>
  </si>
  <si>
    <t>West New York Town</t>
  </si>
  <si>
    <t>Phillipsburg Town</t>
  </si>
  <si>
    <t>Trenton City</t>
  </si>
  <si>
    <t>Emily Fisher Charter of Advanced Studies</t>
  </si>
  <si>
    <t>Englewood on the Palisades Charter</t>
  </si>
  <si>
    <t>Bergenfield Boro</t>
  </si>
  <si>
    <t>Dumont Boro</t>
  </si>
  <si>
    <t>Englewood City</t>
  </si>
  <si>
    <t>Hackensack City</t>
  </si>
  <si>
    <t>Lodi Boro</t>
  </si>
  <si>
    <t>Palisades Park</t>
  </si>
  <si>
    <t>Teaneck Twp</t>
  </si>
  <si>
    <t>Galloway Community Charter</t>
  </si>
  <si>
    <t>Egg Harbor City</t>
  </si>
  <si>
    <t>Galloway Twp</t>
  </si>
  <si>
    <t>Hammonton Town</t>
  </si>
  <si>
    <t>Linwood City</t>
  </si>
  <si>
    <t>Port Republic City</t>
  </si>
  <si>
    <t>Somers Point City</t>
  </si>
  <si>
    <t>Bass River Twp</t>
  </si>
  <si>
    <t>Greater Brunswick Charter</t>
  </si>
  <si>
    <t>East Brunswick Twp</t>
  </si>
  <si>
    <t>Milltown Boro</t>
  </si>
  <si>
    <t>Old Bridge Twp</t>
  </si>
  <si>
    <t>Sayreville Boro</t>
  </si>
  <si>
    <t>Woodbridge Twp</t>
  </si>
  <si>
    <t>Gray Charter</t>
  </si>
  <si>
    <t>Hoboken Charter</t>
  </si>
  <si>
    <t>Willingboro Twp</t>
  </si>
  <si>
    <t>Guttenberg Town</t>
  </si>
  <si>
    <t>Elizabeth City</t>
  </si>
  <si>
    <t>Rahway City</t>
  </si>
  <si>
    <t>Hope Academy</t>
  </si>
  <si>
    <t>Asbury Park City</t>
  </si>
  <si>
    <t>Brick Twp</t>
  </si>
  <si>
    <t>Jersey City Community Charter</t>
  </si>
  <si>
    <t xml:space="preserve">Bayonne City </t>
  </si>
  <si>
    <t>Jersey City Golden Door Charter</t>
  </si>
  <si>
    <t>Lady Liberty Academy Charter</t>
  </si>
  <si>
    <t>LEAP Academy University High Charter</t>
  </si>
  <si>
    <t>Maple Shade Twp</t>
  </si>
  <si>
    <t>Black Horse Pike Regional</t>
  </si>
  <si>
    <t>Brooklawn Boro</t>
  </si>
  <si>
    <t>Lawnside Boro</t>
  </si>
  <si>
    <t>Merchantville Boro</t>
  </si>
  <si>
    <t>Sterling High School District</t>
  </si>
  <si>
    <t>Voorhees Twp</t>
  </si>
  <si>
    <t>Waterford Twp</t>
  </si>
  <si>
    <t>Deptford Twp</t>
  </si>
  <si>
    <t>Glassboro</t>
  </si>
  <si>
    <t>BASS RIVER TWP</t>
  </si>
  <si>
    <t>BEVERLY CITY</t>
  </si>
  <si>
    <t>BORDENTOWN REGIONAL</t>
  </si>
  <si>
    <t>BURLINGTON CITY</t>
  </si>
  <si>
    <t>BURLINGTON CO SPEC SERV</t>
  </si>
  <si>
    <t>BURLINGTON CO VOCATIONAL</t>
  </si>
  <si>
    <t>BURLINGTON TWP</t>
  </si>
  <si>
    <t>CHESTERFIELD TWP</t>
  </si>
  <si>
    <t>CINNAMINSON TWP</t>
  </si>
  <si>
    <t>DELANCO TWP</t>
  </si>
  <si>
    <t>DELRAN TWP</t>
  </si>
  <si>
    <t>EASTAMPTON TWP</t>
  </si>
  <si>
    <t>EDGEWATER PARK TWP</t>
  </si>
  <si>
    <t>EVESHAM TWP</t>
  </si>
  <si>
    <t>FLORENCE TWP</t>
  </si>
  <si>
    <t>HAINESPORT TWP</t>
  </si>
  <si>
    <t>LENAPE REGIONAL</t>
  </si>
  <si>
    <t>LUMBERTON TWP</t>
  </si>
  <si>
    <t>MANSFIELD TWP</t>
  </si>
  <si>
    <t>Table 6</t>
  </si>
  <si>
    <t>Students Originating from Districts that Receive a Higher Percentage of State Funding in their Aid Formula</t>
  </si>
  <si>
    <t>Sending District by Charter School</t>
  </si>
  <si>
    <t>Charter Location</t>
  </si>
  <si>
    <t>BEDS</t>
  </si>
  <si>
    <t># Pupils</t>
  </si>
  <si>
    <t>Sending District Funding Formula</t>
  </si>
  <si>
    <t>Total Sending District Local &amp; State Revenue</t>
  </si>
  <si>
    <t>% state</t>
  </si>
  <si>
    <t>State Revenue</t>
  </si>
  <si>
    <t>% Local Revenue</t>
  </si>
  <si>
    <t>Local Revenue</t>
  </si>
  <si>
    <t>Sending District Total State &amp; Local</t>
  </si>
  <si>
    <t>State % Total State &amp; Local</t>
  </si>
  <si>
    <t>Local % Total State &amp; Local</t>
  </si>
  <si>
    <t>% of pupils</t>
  </si>
  <si>
    <t>Albany</t>
  </si>
  <si>
    <t>010100</t>
  </si>
  <si>
    <t>010615</t>
  </si>
  <si>
    <t>011200</t>
  </si>
  <si>
    <t>Total Albany Local &amp; State Revenue Distribution Estimate of the Basic Operating Revenues Line Item</t>
  </si>
  <si>
    <t>Academy Charter High</t>
  </si>
  <si>
    <t>Bradley Beach Boro</t>
  </si>
  <si>
    <t>Neptune Twp</t>
  </si>
  <si>
    <t>Ocean Twp</t>
  </si>
  <si>
    <t>Wall Twp</t>
  </si>
  <si>
    <t>Benchmark Charter</t>
  </si>
  <si>
    <t>Absecon City</t>
  </si>
  <si>
    <t>Buena Regional</t>
  </si>
  <si>
    <t>Corbin City</t>
  </si>
  <si>
    <t>Egg Harbor Twp</t>
  </si>
  <si>
    <t>Estell Manor City</t>
  </si>
  <si>
    <t>Pleasantville City</t>
  </si>
  <si>
    <t>Middle Twp</t>
  </si>
  <si>
    <t>Ocean City</t>
  </si>
  <si>
    <t>Upper Twp</t>
  </si>
  <si>
    <t>Woodbine Boro</t>
  </si>
  <si>
    <t>Commercial Twp</t>
  </si>
  <si>
    <t>Millville City</t>
  </si>
  <si>
    <t>Central Jersey Prep</t>
  </si>
  <si>
    <t>Hamilton Twp</t>
  </si>
  <si>
    <t>Highland Park Boro</t>
  </si>
  <si>
    <t>New Brunswick City</t>
  </si>
  <si>
    <t>North Brunswick Twp</t>
  </si>
  <si>
    <t>Piscataway Twp</t>
  </si>
  <si>
    <t>South Brunswick Twp</t>
  </si>
  <si>
    <t>South River Boro</t>
  </si>
  <si>
    <t>Bound Brook Boro</t>
  </si>
  <si>
    <t>Franklin Twp</t>
  </si>
  <si>
    <t>Somerville Boro</t>
  </si>
  <si>
    <t>Plainfield City</t>
  </si>
  <si>
    <t>Camden Academy Charter</t>
  </si>
  <si>
    <t>Camden City</t>
  </si>
  <si>
    <t>Camden's Promise</t>
  </si>
  <si>
    <t>Pennsauken Twp</t>
  </si>
  <si>
    <t>Winslow Twp</t>
  </si>
  <si>
    <t>Central Jersey Arts Charter</t>
  </si>
  <si>
    <t>Newark City</t>
  </si>
  <si>
    <t>Edison Twp</t>
  </si>
  <si>
    <t>South Plainfield Boro</t>
  </si>
  <si>
    <t>North Plainfield Boro</t>
  </si>
  <si>
    <t>Roselle Boro</t>
  </si>
  <si>
    <t xml:space="preserve">Scotch Plains - Fanwood </t>
  </si>
  <si>
    <t>Garfield City</t>
  </si>
  <si>
    <t>LINWOOD CITY</t>
  </si>
  <si>
    <t>LONGPORT</t>
  </si>
  <si>
    <t>MAINLAND REGIONAL</t>
  </si>
  <si>
    <t>MARGATE CITY</t>
  </si>
  <si>
    <t>MULLICA TWP</t>
  </si>
  <si>
    <t>NORTHFIELD CITY</t>
  </si>
  <si>
    <t>PLEASANTVILLE CITY</t>
  </si>
  <si>
    <t>PORT REPUBLIC CITY</t>
  </si>
  <si>
    <t>SOMERS POINT CITY</t>
  </si>
  <si>
    <t>VENTNOR CITY</t>
  </si>
  <si>
    <t>WEYMOUTH TWP</t>
  </si>
  <si>
    <t>BERGEN</t>
  </si>
  <si>
    <t>ALLENDALE BORO</t>
  </si>
  <si>
    <t>ALPINE BORO</t>
  </si>
  <si>
    <t>BERGEN CO SPECIAL SERVICE</t>
  </si>
  <si>
    <t>BERGEN COUNTY VOCATIONAL</t>
  </si>
  <si>
    <t>BERGENFIELD BORO</t>
  </si>
  <si>
    <t>BOGOTA BORO</t>
  </si>
  <si>
    <t>CARLSTADT BORO</t>
  </si>
  <si>
    <t>CARLSTADT-EAST RUTHERFORD</t>
  </si>
  <si>
    <t>CLIFFSIDE PARK BORO</t>
  </si>
  <si>
    <t>CLOSTER BORO</t>
  </si>
  <si>
    <t>CRESSKILL BORO</t>
  </si>
  <si>
    <t>DEMAREST BORO</t>
  </si>
  <si>
    <t>DUMONT BORO</t>
  </si>
  <si>
    <t>EAST RUTHERFORD BORO</t>
  </si>
  <si>
    <t>EDGEWATER BORO</t>
  </si>
  <si>
    <t>ELMWOOD PARK</t>
  </si>
  <si>
    <t>EMERSON BORO</t>
  </si>
  <si>
    <t>ENGLEWOOD CITY</t>
  </si>
  <si>
    <t>ENGLEWOOD CLIFFS BORO</t>
  </si>
  <si>
    <t>FAIR LAWN BORO</t>
  </si>
  <si>
    <t>FAIRVIEW BORO</t>
  </si>
  <si>
    <t>FORT LEE BORO</t>
  </si>
  <si>
    <t>FRANKLIN LAKES BORO</t>
  </si>
  <si>
    <t>GARFIELD CITY</t>
  </si>
  <si>
    <t>GLEN ROCK BORO</t>
  </si>
  <si>
    <t>HACKENSACK CITY</t>
  </si>
  <si>
    <t>HARRINGTON PARK BORO</t>
  </si>
  <si>
    <t>HASBROUCK HEIGHTS BORO</t>
  </si>
  <si>
    <t>HAWORTH BORO</t>
  </si>
  <si>
    <t>HILLSDALE BORO</t>
  </si>
  <si>
    <t>HO HO KUS BORO</t>
  </si>
  <si>
    <t>LEONIA BORO</t>
  </si>
  <si>
    <t>LITTLE FERRY BORO</t>
  </si>
  <si>
    <t>LODI BOROUGH</t>
  </si>
  <si>
    <t>LYNDHURST TWP</t>
  </si>
  <si>
    <t>MAHWAH TWP</t>
  </si>
  <si>
    <t>MAYWOOD BORO</t>
  </si>
  <si>
    <t>MIDLAND PARK BORO</t>
  </si>
  <si>
    <t>MONTVALE BORO</t>
  </si>
  <si>
    <t>MOONACHIE BORO</t>
  </si>
  <si>
    <t>NEW MILFORD BORO</t>
  </si>
  <si>
    <t>NORTH ARLINGTON BORO</t>
  </si>
  <si>
    <t>NORTHERN HIGHLANDS REG</t>
  </si>
  <si>
    <t>NORTHERN VALLEY REGIONAL</t>
  </si>
  <si>
    <t>NORTHVALE BORO</t>
  </si>
  <si>
    <t>NORWOOD BORO</t>
  </si>
  <si>
    <t>OAKLAND BORO</t>
  </si>
  <si>
    <t>OLD TAPPAN BORO</t>
  </si>
  <si>
    <t>ORADELL BORO</t>
  </si>
  <si>
    <t>PALISADES PARK</t>
  </si>
  <si>
    <t>PARAMUS BORO</t>
  </si>
  <si>
    <t>PARK RIDGE BORO</t>
  </si>
  <si>
    <t>PASCACK VALLEY REGIONAL</t>
  </si>
  <si>
    <t>RAMAPO-INDIAN HILL REG</t>
  </si>
  <si>
    <t>RAMSEY BORO</t>
  </si>
  <si>
    <t>RIDGEFIELD BORO</t>
  </si>
  <si>
    <t>RIDGEFIELD PARK TWP</t>
  </si>
  <si>
    <t>RIDGEWOOD VILLAGE</t>
  </si>
  <si>
    <t>RIVER DELL REGIONAL</t>
  </si>
  <si>
    <t>RIVER EDGE BORO</t>
  </si>
  <si>
    <t>RIVER VALE TWP</t>
  </si>
  <si>
    <t>ROCHELLE PARK TWP</t>
  </si>
  <si>
    <t>ROCKLEIGH</t>
  </si>
  <si>
    <t>RUTHERFORD BORO</t>
  </si>
  <si>
    <t>SADDLE BROOK TWP</t>
  </si>
  <si>
    <t>SADDLE RIVER BORO</t>
  </si>
  <si>
    <t>SOUTH BERGEN JOINTURE COM</t>
  </si>
  <si>
    <t>SOUTH HACKENSACK TWP</t>
  </si>
  <si>
    <t>TEANECK TWP</t>
  </si>
  <si>
    <t>TENAFLY BORO</t>
  </si>
  <si>
    <t>TETERBORO</t>
  </si>
  <si>
    <t>UPPER SADDLE RIVER BORO</t>
  </si>
  <si>
    <t>WALDWICK BORO</t>
  </si>
  <si>
    <t>WALLINGTON BORO</t>
  </si>
  <si>
    <t>WESTWOOD REGIONAL</t>
  </si>
  <si>
    <t>WOOD-RIDGE BORO</t>
  </si>
  <si>
    <t>WOODCLIFF LAKE BORO</t>
  </si>
  <si>
    <t>WYCKOFF TWP</t>
  </si>
  <si>
    <t>BURLINGTON</t>
  </si>
  <si>
    <t xml:space="preserve">5465-WARREN HILLS REGIONAL    </t>
  </si>
  <si>
    <t xml:space="preserve">5480-WASHINGTON BORO          </t>
  </si>
  <si>
    <t xml:space="preserve">5530-WASHINGTON TWP           </t>
  </si>
  <si>
    <t xml:space="preserve">5780-WHITE TWP                </t>
  </si>
  <si>
    <t>CO</t>
  </si>
  <si>
    <t>DIST</t>
  </si>
  <si>
    <t>L16</t>
  </si>
  <si>
    <t>L20</t>
  </si>
  <si>
    <t>L24</t>
  </si>
  <si>
    <t>L25</t>
  </si>
  <si>
    <t>L50</t>
  </si>
  <si>
    <t>L60</t>
  </si>
  <si>
    <t>L70</t>
  </si>
  <si>
    <t>L75</t>
  </si>
  <si>
    <t>L80</t>
  </si>
  <si>
    <t>L90</t>
  </si>
  <si>
    <t>L100</t>
  </si>
  <si>
    <t>L140</t>
  </si>
  <si>
    <t>L150</t>
  </si>
  <si>
    <t>L196</t>
  </si>
  <si>
    <t>L200</t>
  </si>
  <si>
    <t>L242</t>
  </si>
  <si>
    <t>L251</t>
  </si>
  <si>
    <t>L253</t>
  </si>
  <si>
    <t>L260</t>
  </si>
  <si>
    <t>L280</t>
  </si>
  <si>
    <t>L300</t>
  </si>
  <si>
    <t>L310</t>
  </si>
  <si>
    <t>L320</t>
  </si>
  <si>
    <t>L354</t>
  </si>
  <si>
    <t>L355</t>
  </si>
  <si>
    <t>L361</t>
  </si>
  <si>
    <t>L362</t>
  </si>
  <si>
    <t>L365</t>
  </si>
  <si>
    <t>L370</t>
  </si>
  <si>
    <t>L410</t>
  </si>
  <si>
    <t>L428</t>
  </si>
  <si>
    <t>L430</t>
  </si>
  <si>
    <t>L431</t>
  </si>
  <si>
    <t>L440</t>
  </si>
  <si>
    <t>L460</t>
  </si>
  <si>
    <t>L500</t>
  </si>
  <si>
    <t>L510</t>
  </si>
  <si>
    <t>L520</t>
  </si>
  <si>
    <t>L550</t>
  </si>
  <si>
    <t>L551</t>
  </si>
  <si>
    <t>L560</t>
  </si>
  <si>
    <t>L570</t>
  </si>
  <si>
    <t>L580</t>
  </si>
  <si>
    <t>L590</t>
  </si>
  <si>
    <t>L640</t>
  </si>
  <si>
    <t>L643</t>
  </si>
  <si>
    <t>L646</t>
  </si>
  <si>
    <t>L661</t>
  </si>
  <si>
    <t>L10</t>
  </si>
  <si>
    <t>L45</t>
  </si>
  <si>
    <t>L195</t>
  </si>
  <si>
    <t>L351</t>
  </si>
  <si>
    <t>L356</t>
  </si>
  <si>
    <t>L360</t>
  </si>
  <si>
    <t>L380</t>
  </si>
  <si>
    <t>L400</t>
  </si>
  <si>
    <t>L425</t>
  </si>
  <si>
    <t>L426</t>
  </si>
  <si>
    <t>L470</t>
  </si>
  <si>
    <t>L540</t>
  </si>
  <si>
    <t>L541</t>
  </si>
  <si>
    <t>L160</t>
  </si>
  <si>
    <t>L210</t>
  </si>
  <si>
    <t>L220</t>
  </si>
  <si>
    <t>L252</t>
  </si>
  <si>
    <t>L340</t>
  </si>
  <si>
    <t>L350</t>
  </si>
  <si>
    <t>L352</t>
  </si>
  <si>
    <t>L419</t>
  </si>
  <si>
    <t>L420</t>
  </si>
  <si>
    <t>L480</t>
  </si>
  <si>
    <t>L644</t>
  </si>
  <si>
    <t>L648</t>
  </si>
  <si>
    <t>L230</t>
  </si>
  <si>
    <t>L390</t>
  </si>
  <si>
    <t>L198</t>
  </si>
  <si>
    <t>L647</t>
  </si>
  <si>
    <t>L15</t>
  </si>
  <si>
    <t>L254</t>
  </si>
  <si>
    <t>L281</t>
  </si>
  <si>
    <t>L141</t>
  </si>
  <si>
    <t>L285</t>
  </si>
  <si>
    <t>L641</t>
  </si>
  <si>
    <t>L121</t>
  </si>
  <si>
    <t>L132</t>
  </si>
  <si>
    <t>L30</t>
  </si>
  <si>
    <t>L353</t>
  </si>
  <si>
    <t>L21</t>
  </si>
  <si>
    <t>L286</t>
  </si>
  <si>
    <t>L429</t>
  </si>
  <si>
    <t>L511</t>
  </si>
  <si>
    <t>L620</t>
  </si>
  <si>
    <t>L630</t>
  </si>
  <si>
    <t>L427</t>
  </si>
  <si>
    <t>L422</t>
  </si>
  <si>
    <t>L40</t>
  </si>
  <si>
    <t>L421</t>
  </si>
  <si>
    <t>L142</t>
  </si>
  <si>
    <t>L192</t>
  </si>
  <si>
    <t>L241</t>
  </si>
  <si>
    <t>L17</t>
  </si>
  <si>
    <t>L122</t>
  </si>
  <si>
    <t>L552</t>
  </si>
  <si>
    <t>L287</t>
  </si>
  <si>
    <t>L450</t>
  </si>
  <si>
    <t>L645</t>
  </si>
  <si>
    <t>L490</t>
  </si>
  <si>
    <t>L642</t>
  </si>
  <si>
    <t>L199</t>
  </si>
  <si>
    <t>L256</t>
  </si>
  <si>
    <t>L258</t>
  </si>
  <si>
    <t>L130</t>
  </si>
  <si>
    <t>L418</t>
  </si>
  <si>
    <t>L191</t>
  </si>
  <si>
    <t>L341</t>
  </si>
  <si>
    <t>L423</t>
  </si>
  <si>
    <t>L424</t>
  </si>
  <si>
    <t>L22</t>
  </si>
  <si>
    <t>L197</t>
  </si>
  <si>
    <t>L255</t>
  </si>
  <si>
    <t>L271</t>
  </si>
  <si>
    <t>L273</t>
  </si>
  <si>
    <t>L288</t>
  </si>
  <si>
    <t>L135</t>
  </si>
  <si>
    <t>L610</t>
  </si>
  <si>
    <t>L257</t>
  </si>
  <si>
    <t>L545</t>
  </si>
  <si>
    <t>L123</t>
  </si>
  <si>
    <t>L600</t>
  </si>
  <si>
    <t>L272</t>
  </si>
  <si>
    <t>L455</t>
  </si>
  <si>
    <t>CONAME</t>
  </si>
  <si>
    <t>DISTNAME</t>
  </si>
  <si>
    <t>L131</t>
  </si>
  <si>
    <t>L133</t>
  </si>
  <si>
    <t>L134</t>
  </si>
  <si>
    <t>L512</t>
  </si>
  <si>
    <t>L513</t>
  </si>
  <si>
    <t>ATLANTIC</t>
  </si>
  <si>
    <t>ABSECON CITY</t>
  </si>
  <si>
    <t>ATLANTIC CITY</t>
  </si>
  <si>
    <t>ATLANTIC CO VOCATIONAL</t>
  </si>
  <si>
    <t>ATLANTIC CO SPECIAL SERV</t>
  </si>
  <si>
    <t>BRIGANTINE CITY</t>
  </si>
  <si>
    <t>BUENA REGIONAL</t>
  </si>
  <si>
    <t>CORBIN CITY</t>
  </si>
  <si>
    <t>EGG HARBOR CITY</t>
  </si>
  <si>
    <t>EGG HARBOR TWP</t>
  </si>
  <si>
    <t>ESTELL MANOR CITY</t>
  </si>
  <si>
    <t>FOLSOM BORO</t>
  </si>
  <si>
    <t>GALLOWAY TWP</t>
  </si>
  <si>
    <t>GREATER EGG HARBOR REG</t>
  </si>
  <si>
    <t>HAMILTON TWP</t>
  </si>
  <si>
    <t>HAMMONTON TOWN</t>
  </si>
  <si>
    <t xml:space="preserve">3590-NEWTON TOWN              </t>
  </si>
  <si>
    <t xml:space="preserve">3840-OGDENSBURG BORO          </t>
  </si>
  <si>
    <t xml:space="preserve">4650-SANDYSTON-WALPACK TWP    </t>
  </si>
  <si>
    <t xml:space="preserve">4960-SPARTA TWP               </t>
  </si>
  <si>
    <t xml:space="preserve">5030-STANHOPE BORO            </t>
  </si>
  <si>
    <t xml:space="preserve">5040-STILLWATER TWP           </t>
  </si>
  <si>
    <t xml:space="preserve">5100-SUSSEX-WANTAGE REGIONAL  </t>
  </si>
  <si>
    <t xml:space="preserve">5105-SUSSEX CO ED SERV COMM   </t>
  </si>
  <si>
    <t xml:space="preserve">5110-SUSSEX COUNTY VOCATIONAL </t>
  </si>
  <si>
    <t xml:space="preserve">5360-VERNON TWP               </t>
  </si>
  <si>
    <t xml:space="preserve">5435-WALLKILL VALLEY REGIONAL </t>
  </si>
  <si>
    <t xml:space="preserve">0310-BERKELEY HEIGHTS TWP     </t>
  </si>
  <si>
    <t xml:space="preserve">0850-CLARK TWP                </t>
  </si>
  <si>
    <t xml:space="preserve">0980-CRANFORD TWP             </t>
  </si>
  <si>
    <t xml:space="preserve">1320-ELIZABETH CITY           </t>
  </si>
  <si>
    <t xml:space="preserve">1710-GARWOOD BORO             </t>
  </si>
  <si>
    <t xml:space="preserve">2190-HILLSIDE TWP             </t>
  </si>
  <si>
    <t xml:space="preserve">2420-KENILWORTH BORO          </t>
  </si>
  <si>
    <t xml:space="preserve">2660-LINDEN CITY              </t>
  </si>
  <si>
    <t>3395-MORRIS-UNION JOINTURE COM</t>
  </si>
  <si>
    <t xml:space="preserve">3470-MOUNTAINSIDE BORO        </t>
  </si>
  <si>
    <t xml:space="preserve">3560-NEW PROVIDENCE BORO      </t>
  </si>
  <si>
    <t xml:space="preserve">4160-PLAINFIELD CITY          </t>
  </si>
  <si>
    <t xml:space="preserve">4290-RAHWAY CITY              </t>
  </si>
  <si>
    <t xml:space="preserve">4540-ROSELLE BORO             </t>
  </si>
  <si>
    <t xml:space="preserve">4550-ROSELLE PARK BORO        </t>
  </si>
  <si>
    <t>4670-SCOTCH PLAINS-FANWOOD REG</t>
  </si>
  <si>
    <t xml:space="preserve">5000-SPRINGFIELD TWP          </t>
  </si>
  <si>
    <t xml:space="preserve">5090-SUMMIT CITY              </t>
  </si>
  <si>
    <t xml:space="preserve">5245-UNION CO ED SERV COMM    </t>
  </si>
  <si>
    <t xml:space="preserve">5260-UNION COUNTY VOCATIONAL  </t>
  </si>
  <si>
    <t xml:space="preserve">5290-UNION TWP                </t>
  </si>
  <si>
    <t xml:space="preserve">5730-WESTFIELD TOWN           </t>
  </si>
  <si>
    <t xml:space="preserve">5810-WINFIELD TWP             </t>
  </si>
  <si>
    <t xml:space="preserve">0030-ALLAMUCHY TWP            </t>
  </si>
  <si>
    <t xml:space="preserve">0070-ALPHA BORO               </t>
  </si>
  <si>
    <t xml:space="preserve">0280-BELVIDERE TOWN           </t>
  </si>
  <si>
    <t xml:space="preserve">0400-BLAIRSTOWN TWP           </t>
  </si>
  <si>
    <t xml:space="preserve">1620-FRANKLIN TWP             </t>
  </si>
  <si>
    <t xml:space="preserve">1670-FRELINGHUYSEN TWP        </t>
  </si>
  <si>
    <t xml:space="preserve">1785-GREAT MEADOWS REGIONAL   </t>
  </si>
  <si>
    <t xml:space="preserve">1840-GREENWICH TWP            </t>
  </si>
  <si>
    <t xml:space="preserve">1870-HACKETTSTOWN             </t>
  </si>
  <si>
    <t xml:space="preserve">2040-HARMONY TWP              </t>
  </si>
  <si>
    <t xml:space="preserve">2250-HOPE TWP                 </t>
  </si>
  <si>
    <t xml:space="preserve">2470-KNOWLTON TWP             </t>
  </si>
  <si>
    <t xml:space="preserve">2790-LOPATCONG TWP            </t>
  </si>
  <si>
    <t xml:space="preserve">2970-MANSFIELD TWP            </t>
  </si>
  <si>
    <t xml:space="preserve">3675-NORTH WARREN REGIONAL    </t>
  </si>
  <si>
    <t xml:space="preserve">3890-OXFORD TWP               </t>
  </si>
  <si>
    <t xml:space="preserve">4100-PHILLIPSBURG TOWN        </t>
  </si>
  <si>
    <t xml:space="preserve">4200-POHATCONG TWP            </t>
  </si>
  <si>
    <t>5450-WARREN CO SPECIAL SERVICE</t>
  </si>
  <si>
    <t xml:space="preserve">5460-WARREN COUNTY VOCATIONAL </t>
  </si>
  <si>
    <t xml:space="preserve">5200-TOTOWA BORO              </t>
  </si>
  <si>
    <t xml:space="preserve">5440-WANAQUE BORO             </t>
  </si>
  <si>
    <t xml:space="preserve">5570-WAYNE TWP                </t>
  </si>
  <si>
    <t xml:space="preserve">5650-WEST MILFORD TWP         </t>
  </si>
  <si>
    <t xml:space="preserve">5690-WEST PATERSON BORO       </t>
  </si>
  <si>
    <t xml:space="preserve">0060-ALLOWAY TWP              </t>
  </si>
  <si>
    <t xml:space="preserve">1340-ELMER BORO               </t>
  </si>
  <si>
    <t xml:space="preserve">1350-ELSINBORO TWP            </t>
  </si>
  <si>
    <t xml:space="preserve">2800-LOWER ALLOWAYS CREEK     </t>
  </si>
  <si>
    <t xml:space="preserve">2950-MANNINGTON TWP           </t>
  </si>
  <si>
    <t xml:space="preserve">3860-OLDMANS TWP              </t>
  </si>
  <si>
    <t>4070-PENNS GRV-CARNEY'S PT REG</t>
  </si>
  <si>
    <t xml:space="preserve">4075-PENNSVILLE               </t>
  </si>
  <si>
    <t xml:space="preserve">4150-PITTSGROVE TWP           </t>
  </si>
  <si>
    <t xml:space="preserve">4280-QUINTON TWP              </t>
  </si>
  <si>
    <t xml:space="preserve">4630-SALEM CITY               </t>
  </si>
  <si>
    <t xml:space="preserve">4635-SALEM CO SPECIAL SERVICE </t>
  </si>
  <si>
    <t xml:space="preserve">4640-SALEM COUNTY VOCATIONAL  </t>
  </si>
  <si>
    <t xml:space="preserve">5320-UPPER PITTSGROVE TWP     </t>
  </si>
  <si>
    <t xml:space="preserve">5910-WOODSTOWN-PILESGROVE REG </t>
  </si>
  <si>
    <t xml:space="preserve">0240-BEDMINSTER TWP           </t>
  </si>
  <si>
    <t xml:space="preserve">0350-BERNARDS TWP             </t>
  </si>
  <si>
    <t xml:space="preserve">0490-BOUND BROOK BORO         </t>
  </si>
  <si>
    <t xml:space="preserve">0510-BRANCHBURG TWP           </t>
  </si>
  <si>
    <t xml:space="preserve">0555-BRIDGEWATER-RARITAN REG  </t>
  </si>
  <si>
    <t xml:space="preserve">1610-FRANKLIN TWP             </t>
  </si>
  <si>
    <t xml:space="preserve">1810-GREEN BROOK TWP          </t>
  </si>
  <si>
    <t xml:space="preserve">2170-HILLSBOROUGH TWP         </t>
  </si>
  <si>
    <t xml:space="preserve">3000-MANVILLE BORO            </t>
  </si>
  <si>
    <t xml:space="preserve">3320-MONTGOMERY TWP           </t>
  </si>
  <si>
    <t xml:space="preserve">3670-NORTH PLAINFIELD BORO    </t>
  </si>
  <si>
    <t xml:space="preserve">4805-SOMERSET CO ED SERV COMM </t>
  </si>
  <si>
    <t xml:space="preserve">4810-SOMERSET CO VOCATIONAL   </t>
  </si>
  <si>
    <t xml:space="preserve">4815-SOMERSET HILLS REGIONAL  </t>
  </si>
  <si>
    <t xml:space="preserve">4820-SOMERVILLE BORO          </t>
  </si>
  <si>
    <t xml:space="preserve">4850-SOUTH BOUND BROOK        </t>
  </si>
  <si>
    <t xml:space="preserve">5470-WARREN TWP               </t>
  </si>
  <si>
    <t xml:space="preserve">5540-WATCHUNG BORO            </t>
  </si>
  <si>
    <t xml:space="preserve">5550-WATCHUNG HILLS REGIONAL  </t>
  </si>
  <si>
    <t xml:space="preserve">0090-ANDOVER REG              </t>
  </si>
  <si>
    <t xml:space="preserve">0640-BYRAM TWP                </t>
  </si>
  <si>
    <t xml:space="preserve">1560-FRANKFORD TWP            </t>
  </si>
  <si>
    <t xml:space="preserve">1570-FRANKLIN BORO            </t>
  </si>
  <si>
    <t xml:space="preserve">1630-FREDON TWP               </t>
  </si>
  <si>
    <t xml:space="preserve">1800-GREEN TWP                </t>
  </si>
  <si>
    <t xml:space="preserve">1930-HAMBURG BORO             </t>
  </si>
  <si>
    <t xml:space="preserve">1980-HAMPTON TWP              </t>
  </si>
  <si>
    <t xml:space="preserve">2030-HARDYSTON TWP            </t>
  </si>
  <si>
    <t xml:space="preserve">2165-HIGH POINT REGIONAL      </t>
  </si>
  <si>
    <t xml:space="preserve">2240-HOPATCONG                </t>
  </si>
  <si>
    <t xml:space="preserve">2465-KITTATINNY REGIONAL      </t>
  </si>
  <si>
    <t xml:space="preserve">2490-LAFAYETTE TWP            </t>
  </si>
  <si>
    <t xml:space="preserve">2615-LENAPE VALLEY REGIONAL   </t>
  </si>
  <si>
    <t xml:space="preserve">3300-MONTAGUE TWP             </t>
  </si>
  <si>
    <t xml:space="preserve">0185-BARNEGAT TWP             </t>
  </si>
  <si>
    <t xml:space="preserve">0210-BAY HEAD BORO            </t>
  </si>
  <si>
    <t xml:space="preserve">0230-BEACH HAVEN BORO         </t>
  </si>
  <si>
    <t xml:space="preserve">0320-BERKELEY TWP             </t>
  </si>
  <si>
    <t xml:space="preserve">0530-BRICK TWP                </t>
  </si>
  <si>
    <t xml:space="preserve">0770-CENTRAL REGIONAL         </t>
  </si>
  <si>
    <t xml:space="preserve">1150-EAGLESWOOD TWP           </t>
  </si>
  <si>
    <t xml:space="preserve">2350-ISLAND HEIGHTS BORO      </t>
  </si>
  <si>
    <t xml:space="preserve">2360-JACKSON TWP              </t>
  </si>
  <si>
    <t xml:space="preserve">2480-LACEY TWP                </t>
  </si>
  <si>
    <t xml:space="preserve">2500-LAKEHURST BORO           </t>
  </si>
  <si>
    <t xml:space="preserve">2520-LAKEWOOD TWP             </t>
  </si>
  <si>
    <t xml:space="preserve">2550-LAVALLETTE BORO          </t>
  </si>
  <si>
    <t xml:space="preserve">2690-LITTLE EGG HARBOR TWP    </t>
  </si>
  <si>
    <t xml:space="preserve">2760-LONG BEACH ISLAND        </t>
  </si>
  <si>
    <t xml:space="preserve">2940-MANCHESTER TWP           </t>
  </si>
  <si>
    <t>Prospect Park Boro</t>
  </si>
  <si>
    <t xml:space="preserve">3790-OCEAN COUNTY VOCATIONAL  </t>
  </si>
  <si>
    <t xml:space="preserve">3800-OCEAN GATE BORO          </t>
  </si>
  <si>
    <t xml:space="preserve">3820-OCEAN TWP                </t>
  </si>
  <si>
    <t xml:space="preserve">4105-PINELANDS REGIONAL       </t>
  </si>
  <si>
    <t xml:space="preserve">4190-PLUMSTED TWP             </t>
  </si>
  <si>
    <t xml:space="preserve">4210-POINT PLEASANT BORO      </t>
  </si>
  <si>
    <t>4220-POINT PLEASANT BEACH BORO</t>
  </si>
  <si>
    <t xml:space="preserve">4710-SEASIDE HEIGHTS BORO     </t>
  </si>
  <si>
    <t xml:space="preserve">4720-SEASIDE PARK BORO        </t>
  </si>
  <si>
    <t xml:space="preserve">4950-SOUTHERN REGIONAL        </t>
  </si>
  <si>
    <t xml:space="preserve">5020-STAFFORD TWP             </t>
  </si>
  <si>
    <t xml:space="preserve">5190-TOMS RIVER REGIONAL      </t>
  </si>
  <si>
    <t xml:space="preserve">5220-TUCKERTON BORO           </t>
  </si>
  <si>
    <t xml:space="preserve">0420-BLOOMINGDALE BORO        </t>
  </si>
  <si>
    <t xml:space="preserve">0900-CLIFTON CITY             </t>
  </si>
  <si>
    <t xml:space="preserve">1920-HALEDON BORO             </t>
  </si>
  <si>
    <t xml:space="preserve">2100-HAWTHORNE BORO           </t>
  </si>
  <si>
    <t xml:space="preserve">2510-LAKELAND REGIONAL        </t>
  </si>
  <si>
    <t>Charter Self Reported Local Revenues</t>
  </si>
  <si>
    <t>Local Portion Local Revenues</t>
  </si>
  <si>
    <t>State Portion Local Revenues</t>
  </si>
  <si>
    <t>Classical Academy</t>
  </si>
  <si>
    <t xml:space="preserve">2700-LITTLE FALLS TWP         </t>
  </si>
  <si>
    <t xml:space="preserve">3640-NORTH HALEDON BORO       </t>
  </si>
  <si>
    <t xml:space="preserve">3970-PASSAIC CITY             </t>
  </si>
  <si>
    <t xml:space="preserve">3975-PASSAIC CO ED SERV COMM  </t>
  </si>
  <si>
    <t>3980-PASSAIC CO MANCHESTER REG</t>
  </si>
  <si>
    <t xml:space="preserve">3990-PASSAIC VALLEY REGIONAL  </t>
  </si>
  <si>
    <t>3995-PASSAIC COUNTY VOCATIONAL</t>
  </si>
  <si>
    <t xml:space="preserve">4010-PATERSON CITY            </t>
  </si>
  <si>
    <t xml:space="preserve">4230-POMPTON LAKES BORO       </t>
  </si>
  <si>
    <t xml:space="preserve">4270-PROSPECT PARK BORO       </t>
  </si>
  <si>
    <t xml:space="preserve">4400-RINGWOOD BORO            </t>
  </si>
  <si>
    <t>Missing enrollment data from state web file.  Enrollment data used for these charters originates from the FY2006-07 Enrollments and State Aid Payments to Charter Schools Based on Final Enrollment</t>
  </si>
</sst>
</file>

<file path=xl/styles.xml><?xml version="1.0" encoding="utf-8"?>
<styleSheet xmlns="http://schemas.openxmlformats.org/spreadsheetml/2006/main">
  <numFmts count="1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_(* #,##0.00_);_(* \(#,##0.00\);_(* &quot;-&quot;??_);_(@_)"/>
    <numFmt numFmtId="167" formatCode="0.0"/>
    <numFmt numFmtId="168" formatCode="0.0%"/>
  </numFmts>
  <fonts count="22">
    <font>
      <sz val="10"/>
      <name val="MS Sans Serif"/>
    </font>
    <font>
      <sz val="10"/>
      <name val="MS Sans Serif"/>
    </font>
    <font>
      <sz val="8"/>
      <name val="MS Sans Serif"/>
      <family val="2"/>
    </font>
    <font>
      <sz val="10"/>
      <name val="MS Sans Serif"/>
    </font>
    <font>
      <sz val="9"/>
      <name val="Arial"/>
      <family val="2"/>
    </font>
    <font>
      <sz val="9"/>
      <color indexed="9"/>
      <name val="Arial"/>
      <family val="2"/>
    </font>
    <font>
      <sz val="8"/>
      <color indexed="8"/>
      <name val="Arial"/>
      <family val="2"/>
    </font>
    <font>
      <sz val="9"/>
      <color indexed="8"/>
      <name val="Arial"/>
      <family val="2"/>
    </font>
    <font>
      <b/>
      <sz val="10"/>
      <name val="Arial"/>
      <family val="2"/>
    </font>
    <font>
      <sz val="8"/>
      <color indexed="8"/>
      <name val="Arial"/>
      <family val="2"/>
    </font>
    <font>
      <sz val="10"/>
      <color indexed="13"/>
      <name val="MS Sans Serif"/>
      <family val="2"/>
    </font>
    <font>
      <sz val="8"/>
      <color indexed="81"/>
      <name val="Tahoma"/>
      <family val="2"/>
    </font>
    <font>
      <b/>
      <sz val="8"/>
      <color indexed="81"/>
      <name val="Tahoma"/>
      <family val="2"/>
    </font>
    <font>
      <sz val="10"/>
      <color indexed="11"/>
      <name val="MS Sans Serif"/>
      <family val="2"/>
    </font>
    <font>
      <sz val="10"/>
      <color indexed="12"/>
      <name val="MS Sans Serif"/>
      <family val="2"/>
    </font>
    <font>
      <sz val="8"/>
      <color indexed="8"/>
      <name val="Arial"/>
      <family val="2"/>
    </font>
    <font>
      <sz val="10"/>
      <name val="Arial"/>
      <family val="2"/>
    </font>
    <font>
      <sz val="10"/>
      <color indexed="10"/>
      <name val="Arial"/>
      <family val="2"/>
    </font>
    <font>
      <sz val="10"/>
      <color indexed="8"/>
      <name val="Arial"/>
      <family val="2"/>
    </font>
    <font>
      <sz val="10"/>
      <name val="Calibri"/>
      <family val="2"/>
    </font>
    <font>
      <sz val="10"/>
      <color indexed="9"/>
      <name val="Arial"/>
      <family val="2"/>
    </font>
    <font>
      <sz val="8"/>
      <name val="Verdana"/>
    </font>
  </fonts>
  <fills count="22">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52"/>
        <bgColor indexed="64"/>
      </patternFill>
    </fill>
    <fill>
      <patternFill patternType="solid">
        <fgColor indexed="50"/>
        <bgColor indexed="64"/>
      </patternFill>
    </fill>
    <fill>
      <patternFill patternType="solid">
        <fgColor indexed="44"/>
        <bgColor indexed="64"/>
      </patternFill>
    </fill>
    <fill>
      <patternFill patternType="solid">
        <fgColor indexed="8"/>
        <bgColor indexed="64"/>
      </patternFill>
    </fill>
    <fill>
      <patternFill patternType="solid">
        <fgColor indexed="12"/>
        <bgColor indexed="64"/>
      </patternFill>
    </fill>
    <fill>
      <patternFill patternType="solid">
        <fgColor indexed="46"/>
        <bgColor indexed="64"/>
      </patternFill>
    </fill>
    <fill>
      <patternFill patternType="solid">
        <fgColor theme="8"/>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6"/>
        <bgColor indexed="64"/>
      </patternFill>
    </fill>
    <fill>
      <patternFill patternType="solid">
        <fgColor rgb="FFFF0000"/>
        <bgColor indexed="64"/>
      </patternFill>
    </fill>
    <fill>
      <patternFill patternType="solid">
        <fgColor theme="7" tint="0.39997558519241921"/>
        <bgColor indexed="64"/>
      </patternFill>
    </fill>
    <fill>
      <patternFill patternType="solid">
        <fgColor rgb="FF92D050"/>
        <bgColor indexed="64"/>
      </patternFill>
    </fill>
    <fill>
      <patternFill patternType="solid">
        <fgColor theme="0"/>
        <bgColor indexed="64"/>
      </patternFill>
    </fill>
    <fill>
      <patternFill patternType="solid">
        <fgColor theme="0" tint="-0.249977111117893"/>
        <bgColor indexed="64"/>
      </patternFill>
    </fill>
  </fills>
  <borders count="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0" fontId="15" fillId="0" borderId="0"/>
    <xf numFmtId="0" fontId="16" fillId="0" borderId="0"/>
    <xf numFmtId="0" fontId="15" fillId="0" borderId="0"/>
  </cellStyleXfs>
  <cellXfs count="233">
    <xf numFmtId="0" fontId="0" fillId="0" borderId="0" xfId="0"/>
    <xf numFmtId="0" fontId="0" fillId="0" borderId="0" xfId="0" quotePrefix="1" applyNumberFormat="1"/>
    <xf numFmtId="0" fontId="0" fillId="2" borderId="0" xfId="0" applyFill="1"/>
    <xf numFmtId="0" fontId="0" fillId="0" borderId="0" xfId="0" applyNumberFormat="1"/>
    <xf numFmtId="0" fontId="3" fillId="0" borderId="0" xfId="0" applyFont="1"/>
    <xf numFmtId="0" fontId="3" fillId="0" borderId="0" xfId="0" quotePrefix="1" applyNumberFormat="1" applyFont="1"/>
    <xf numFmtId="0" fontId="3" fillId="0" borderId="0" xfId="0" applyNumberFormat="1" applyFont="1"/>
    <xf numFmtId="0" fontId="3" fillId="2" borderId="0" xfId="0" applyFont="1" applyFill="1"/>
    <xf numFmtId="0" fontId="3" fillId="0" borderId="0" xfId="0" applyNumberFormat="1" applyFont="1" applyFill="1"/>
    <xf numFmtId="0" fontId="0" fillId="3" borderId="0" xfId="0" applyNumberFormat="1" applyFill="1"/>
    <xf numFmtId="0" fontId="3" fillId="3" borderId="0" xfId="0" applyNumberFormat="1" applyFont="1" applyFill="1"/>
    <xf numFmtId="0" fontId="0" fillId="4" borderId="0" xfId="0" applyNumberFormat="1" applyFill="1"/>
    <xf numFmtId="0" fontId="0" fillId="5" borderId="0" xfId="0" applyNumberFormat="1" applyFill="1"/>
    <xf numFmtId="0" fontId="0" fillId="4" borderId="0" xfId="0" applyFill="1"/>
    <xf numFmtId="0" fontId="0" fillId="3" borderId="0" xfId="0" applyFill="1"/>
    <xf numFmtId="0" fontId="3" fillId="3" borderId="0" xfId="0" applyFont="1" applyFill="1"/>
    <xf numFmtId="0" fontId="0" fillId="6" borderId="0" xfId="0" applyFill="1"/>
    <xf numFmtId="0" fontId="3" fillId="6" borderId="0" xfId="0" applyFont="1" applyFill="1"/>
    <xf numFmtId="0" fontId="0" fillId="7" borderId="0" xfId="0" applyFill="1"/>
    <xf numFmtId="0" fontId="3" fillId="7" borderId="0" xfId="0" applyFont="1" applyFill="1"/>
    <xf numFmtId="0" fontId="0" fillId="5" borderId="0" xfId="0" applyFill="1"/>
    <xf numFmtId="0" fontId="3" fillId="5" borderId="0" xfId="0" applyFont="1" applyFill="1"/>
    <xf numFmtId="0" fontId="3" fillId="0" borderId="0" xfId="0" applyFont="1" applyFill="1"/>
    <xf numFmtId="0" fontId="0" fillId="5" borderId="0" xfId="0" quotePrefix="1" applyNumberFormat="1" applyFill="1"/>
    <xf numFmtId="0" fontId="0" fillId="2" borderId="0" xfId="0" applyNumberFormat="1" applyFill="1"/>
    <xf numFmtId="0" fontId="0" fillId="2" borderId="0" xfId="0" quotePrefix="1" applyNumberFormat="1" applyFill="1"/>
    <xf numFmtId="0" fontId="0" fillId="0" borderId="0" xfId="0" applyFill="1"/>
    <xf numFmtId="0" fontId="4" fillId="0" borderId="0" xfId="0" applyFont="1"/>
    <xf numFmtId="0" fontId="0" fillId="8" borderId="0" xfId="0" applyFill="1"/>
    <xf numFmtId="3" fontId="0" fillId="0" borderId="0" xfId="0" applyNumberFormat="1" applyFill="1"/>
    <xf numFmtId="3" fontId="0" fillId="0" borderId="0" xfId="0" applyNumberFormat="1"/>
    <xf numFmtId="3" fontId="4" fillId="0" borderId="0" xfId="0" applyNumberFormat="1" applyFont="1"/>
    <xf numFmtId="0" fontId="4" fillId="0" borderId="1" xfId="0" applyFont="1" applyFill="1" applyBorder="1" applyAlignment="1">
      <alignment wrapText="1"/>
    </xf>
    <xf numFmtId="0" fontId="4" fillId="0" borderId="2" xfId="0" applyFont="1" applyBorder="1"/>
    <xf numFmtId="0" fontId="4" fillId="0" borderId="2" xfId="0" applyFont="1" applyBorder="1" applyAlignment="1">
      <alignment wrapText="1"/>
    </xf>
    <xf numFmtId="0" fontId="4" fillId="0" borderId="2" xfId="0" applyFont="1" applyFill="1" applyBorder="1" applyAlignment="1">
      <alignment wrapText="1"/>
    </xf>
    <xf numFmtId="3" fontId="4" fillId="0" borderId="2" xfId="0" applyNumberFormat="1" applyFont="1" applyFill="1" applyBorder="1" applyAlignment="1">
      <alignment wrapText="1"/>
    </xf>
    <xf numFmtId="3" fontId="0" fillId="0" borderId="0" xfId="0" applyNumberFormat="1" applyFill="1" applyAlignment="1">
      <alignment wrapText="1"/>
    </xf>
    <xf numFmtId="0" fontId="5" fillId="9" borderId="3" xfId="0" applyFont="1" applyFill="1" applyBorder="1"/>
    <xf numFmtId="0" fontId="5" fillId="9" borderId="4" xfId="0" applyFont="1" applyFill="1" applyBorder="1"/>
    <xf numFmtId="0" fontId="5" fillId="9" borderId="4" xfId="0" applyFont="1" applyFill="1" applyBorder="1" applyAlignment="1">
      <alignment wrapText="1"/>
    </xf>
    <xf numFmtId="3" fontId="5" fillId="9" borderId="4" xfId="0" applyNumberFormat="1" applyFont="1" applyFill="1" applyBorder="1" applyAlignment="1">
      <alignment wrapText="1"/>
    </xf>
    <xf numFmtId="0" fontId="4" fillId="0" borderId="3" xfId="0" applyFont="1" applyBorder="1"/>
    <xf numFmtId="0" fontId="4" fillId="0" borderId="4" xfId="0" applyFont="1" applyBorder="1"/>
    <xf numFmtId="0" fontId="4" fillId="0" borderId="4" xfId="0" applyFont="1" applyBorder="1" applyAlignment="1">
      <alignment wrapText="1"/>
    </xf>
    <xf numFmtId="3" fontId="4" fillId="0" borderId="4" xfId="0" applyNumberFormat="1" applyFont="1" applyFill="1" applyBorder="1" applyAlignment="1">
      <alignment wrapText="1"/>
    </xf>
    <xf numFmtId="10" fontId="4" fillId="0" borderId="4" xfId="0" applyNumberFormat="1" applyFont="1" applyFill="1" applyBorder="1"/>
    <xf numFmtId="3" fontId="4" fillId="0" borderId="4" xfId="0" applyNumberFormat="1" applyFont="1" applyFill="1" applyBorder="1"/>
    <xf numFmtId="4" fontId="4" fillId="0" borderId="4" xfId="0" applyNumberFormat="1" applyFont="1" applyFill="1" applyBorder="1"/>
    <xf numFmtId="4" fontId="7" fillId="0" borderId="4" xfId="0" applyNumberFormat="1" applyFont="1" applyFill="1" applyBorder="1"/>
    <xf numFmtId="49" fontId="4" fillId="0" borderId="4" xfId="0" applyNumberFormat="1" applyFont="1" applyBorder="1" applyAlignment="1">
      <alignment horizontal="right"/>
    </xf>
    <xf numFmtId="0" fontId="4" fillId="0" borderId="4" xfId="0" applyFont="1" applyFill="1" applyBorder="1"/>
    <xf numFmtId="3" fontId="4" fillId="0" borderId="4" xfId="0" applyNumberFormat="1" applyFont="1" applyFill="1" applyBorder="1" applyAlignment="1">
      <alignment horizontal="right"/>
    </xf>
    <xf numFmtId="10" fontId="7" fillId="0" borderId="4" xfId="0" applyNumberFormat="1" applyFont="1" applyFill="1" applyBorder="1"/>
    <xf numFmtId="0" fontId="4" fillId="0" borderId="3" xfId="0" applyFont="1" applyFill="1" applyBorder="1"/>
    <xf numFmtId="4" fontId="4" fillId="0" borderId="4" xfId="0" applyNumberFormat="1" applyFont="1" applyFill="1" applyBorder="1" applyAlignment="1">
      <alignment horizontal="right"/>
    </xf>
    <xf numFmtId="49" fontId="4" fillId="0" borderId="4" xfId="0" applyNumberFormat="1" applyFont="1" applyFill="1" applyBorder="1" applyAlignment="1">
      <alignment horizontal="right"/>
    </xf>
    <xf numFmtId="0" fontId="4" fillId="8" borderId="4" xfId="0" applyFont="1" applyFill="1" applyBorder="1"/>
    <xf numFmtId="0" fontId="4" fillId="0" borderId="5" xfId="0" applyFont="1" applyFill="1" applyBorder="1"/>
    <xf numFmtId="0" fontId="4" fillId="0" borderId="6" xfId="0" applyFont="1" applyFill="1" applyBorder="1"/>
    <xf numFmtId="0" fontId="4" fillId="8" borderId="6" xfId="0" applyFont="1" applyFill="1" applyBorder="1"/>
    <xf numFmtId="3" fontId="4" fillId="0" borderId="6" xfId="0" applyNumberFormat="1" applyFont="1" applyFill="1" applyBorder="1"/>
    <xf numFmtId="10" fontId="4" fillId="0" borderId="6" xfId="0" applyNumberFormat="1" applyFont="1" applyFill="1" applyBorder="1"/>
    <xf numFmtId="4" fontId="4" fillId="0" borderId="6" xfId="0" applyNumberFormat="1" applyFont="1" applyFill="1" applyBorder="1"/>
    <xf numFmtId="4" fontId="7" fillId="0" borderId="6" xfId="0" applyNumberFormat="1" applyFont="1" applyFill="1" applyBorder="1"/>
    <xf numFmtId="0" fontId="8" fillId="0" borderId="0" xfId="0" applyFont="1"/>
    <xf numFmtId="3" fontId="0" fillId="0" borderId="0" xfId="0" applyNumberFormat="1" applyAlignment="1">
      <alignment horizontal="right"/>
    </xf>
    <xf numFmtId="10" fontId="9" fillId="0" borderId="0" xfId="0" applyNumberFormat="1" applyFont="1"/>
    <xf numFmtId="10" fontId="0" fillId="0" borderId="0" xfId="0" applyNumberFormat="1"/>
    <xf numFmtId="167" fontId="0" fillId="0" borderId="0" xfId="0" applyNumberFormat="1" applyFill="1"/>
    <xf numFmtId="167" fontId="4" fillId="0" borderId="0" xfId="0" applyNumberFormat="1" applyFont="1"/>
    <xf numFmtId="167" fontId="4" fillId="0" borderId="2" xfId="0" applyNumberFormat="1" applyFont="1" applyFill="1" applyBorder="1" applyAlignment="1">
      <alignment wrapText="1"/>
    </xf>
    <xf numFmtId="167" fontId="4" fillId="9" borderId="4" xfId="0" applyNumberFormat="1" applyFont="1" applyFill="1" applyBorder="1" applyAlignment="1">
      <alignment wrapText="1"/>
    </xf>
    <xf numFmtId="167" fontId="4" fillId="0" borderId="4" xfId="0" applyNumberFormat="1" applyFont="1" applyFill="1" applyBorder="1" applyAlignment="1">
      <alignment wrapText="1"/>
    </xf>
    <xf numFmtId="167" fontId="5" fillId="9" borderId="4" xfId="0" applyNumberFormat="1" applyFont="1" applyFill="1" applyBorder="1" applyAlignment="1">
      <alignment wrapText="1"/>
    </xf>
    <xf numFmtId="167" fontId="4" fillId="0" borderId="4" xfId="0" applyNumberFormat="1" applyFont="1" applyFill="1" applyBorder="1"/>
    <xf numFmtId="167" fontId="4" fillId="0" borderId="6" xfId="0" applyNumberFormat="1" applyFont="1" applyFill="1" applyBorder="1"/>
    <xf numFmtId="167" fontId="0" fillId="0" borderId="0" xfId="0" applyNumberFormat="1"/>
    <xf numFmtId="0" fontId="0" fillId="4" borderId="0" xfId="0" quotePrefix="1" applyNumberFormat="1" applyFill="1"/>
    <xf numFmtId="0" fontId="0" fillId="0" borderId="0" xfId="0" applyNumberFormat="1" applyFill="1"/>
    <xf numFmtId="0" fontId="0" fillId="0" borderId="0" xfId="0" quotePrefix="1" applyNumberFormat="1" applyFill="1"/>
    <xf numFmtId="0" fontId="4" fillId="9" borderId="7" xfId="0" applyFont="1" applyFill="1" applyBorder="1"/>
    <xf numFmtId="0" fontId="4" fillId="9" borderId="8" xfId="0" applyFont="1" applyFill="1" applyBorder="1"/>
    <xf numFmtId="167" fontId="5" fillId="9" borderId="6" xfId="0" applyNumberFormat="1" applyFont="1" applyFill="1" applyBorder="1"/>
    <xf numFmtId="3" fontId="4" fillId="9" borderId="8" xfId="0" applyNumberFormat="1" applyFont="1" applyFill="1" applyBorder="1"/>
    <xf numFmtId="3" fontId="4" fillId="9" borderId="8" xfId="0" applyNumberFormat="1" applyFont="1" applyFill="1" applyBorder="1" applyAlignment="1">
      <alignment horizontal="right"/>
    </xf>
    <xf numFmtId="10" fontId="7" fillId="9" borderId="8" xfId="0" applyNumberFormat="1" applyFont="1" applyFill="1" applyBorder="1"/>
    <xf numFmtId="10" fontId="4" fillId="9" borderId="8" xfId="0" applyNumberFormat="1" applyFont="1" applyFill="1" applyBorder="1"/>
    <xf numFmtId="165" fontId="0" fillId="0" borderId="0" xfId="0" applyNumberFormat="1" applyFill="1"/>
    <xf numFmtId="165" fontId="4" fillId="0" borderId="0" xfId="0" applyNumberFormat="1" applyFont="1"/>
    <xf numFmtId="165" fontId="4" fillId="0" borderId="2" xfId="0" applyNumberFormat="1" applyFont="1" applyFill="1" applyBorder="1" applyAlignment="1">
      <alignment wrapText="1"/>
    </xf>
    <xf numFmtId="165" fontId="5" fillId="9" borderId="4" xfId="0" applyNumberFormat="1" applyFont="1" applyFill="1" applyBorder="1" applyAlignment="1">
      <alignment wrapText="1"/>
    </xf>
    <xf numFmtId="165" fontId="4" fillId="5" borderId="4" xfId="0" applyNumberFormat="1" applyFont="1" applyFill="1" applyBorder="1" applyAlignment="1">
      <alignment wrapText="1"/>
    </xf>
    <xf numFmtId="165" fontId="4" fillId="0" borderId="4" xfId="0" applyNumberFormat="1" applyFont="1" applyFill="1" applyBorder="1"/>
    <xf numFmtId="165" fontId="6" fillId="0" borderId="9" xfId="0" applyNumberFormat="1" applyFont="1" applyFill="1" applyBorder="1"/>
    <xf numFmtId="165" fontId="4" fillId="0" borderId="4" xfId="0" applyNumberFormat="1" applyFont="1" applyFill="1" applyBorder="1" applyAlignment="1">
      <alignment wrapText="1"/>
    </xf>
    <xf numFmtId="165" fontId="4" fillId="9" borderId="8" xfId="0" applyNumberFormat="1" applyFont="1" applyFill="1" applyBorder="1"/>
    <xf numFmtId="165" fontId="0" fillId="0" borderId="0" xfId="0" applyNumberFormat="1"/>
    <xf numFmtId="165" fontId="0" fillId="4" borderId="0" xfId="0" applyNumberFormat="1" applyFill="1"/>
    <xf numFmtId="165" fontId="10" fillId="10" borderId="0" xfId="0" applyNumberFormat="1" applyFont="1" applyFill="1"/>
    <xf numFmtId="165" fontId="0" fillId="4" borderId="0" xfId="0" quotePrefix="1" applyNumberFormat="1" applyFill="1"/>
    <xf numFmtId="0" fontId="3" fillId="11" borderId="0" xfId="0" applyFont="1" applyFill="1"/>
    <xf numFmtId="0" fontId="3" fillId="11" borderId="0" xfId="0" applyNumberFormat="1" applyFont="1" applyFill="1"/>
    <xf numFmtId="0" fontId="0" fillId="11" borderId="0" xfId="0" applyFill="1"/>
    <xf numFmtId="0" fontId="3" fillId="0" borderId="0" xfId="0" quotePrefix="1" applyNumberFormat="1" applyFont="1" applyFill="1"/>
    <xf numFmtId="166" fontId="0" fillId="0" borderId="0" xfId="0" applyNumberFormat="1" applyFill="1"/>
    <xf numFmtId="0" fontId="3" fillId="2" borderId="0" xfId="0" quotePrefix="1" applyNumberFormat="1" applyFont="1" applyFill="1"/>
    <xf numFmtId="166" fontId="0" fillId="0" borderId="0" xfId="0" applyNumberFormat="1"/>
    <xf numFmtId="0" fontId="14" fillId="4" borderId="0" xfId="0" quotePrefix="1" applyNumberFormat="1" applyFont="1" applyFill="1"/>
    <xf numFmtId="0" fontId="14" fillId="4" borderId="0" xfId="0" applyFont="1" applyFill="1"/>
    <xf numFmtId="0" fontId="14" fillId="0" borderId="0" xfId="0" quotePrefix="1" applyNumberFormat="1" applyFont="1" applyFill="1"/>
    <xf numFmtId="165" fontId="10" fillId="5" borderId="0" xfId="0" applyNumberFormat="1" applyFont="1" applyFill="1"/>
    <xf numFmtId="165" fontId="14" fillId="4" borderId="0" xfId="0" quotePrefix="1" applyNumberFormat="1" applyFont="1" applyFill="1"/>
    <xf numFmtId="165" fontId="14" fillId="4" borderId="0" xfId="0" applyNumberFormat="1" applyFont="1" applyFill="1"/>
    <xf numFmtId="165" fontId="14" fillId="0" borderId="0" xfId="0" quotePrefix="1" applyNumberFormat="1" applyFont="1" applyFill="1"/>
    <xf numFmtId="166" fontId="0" fillId="12" borderId="0" xfId="0" applyNumberFormat="1" applyFill="1"/>
    <xf numFmtId="166" fontId="0" fillId="12" borderId="0" xfId="0" quotePrefix="1" applyNumberFormat="1" applyFill="1"/>
    <xf numFmtId="166" fontId="0" fillId="13" borderId="0" xfId="0" applyNumberFormat="1" applyFill="1"/>
    <xf numFmtId="166" fontId="0" fillId="13" borderId="0" xfId="0" quotePrefix="1" applyNumberFormat="1" applyFill="1"/>
    <xf numFmtId="0" fontId="0" fillId="12" borderId="0" xfId="0" applyFill="1"/>
    <xf numFmtId="166" fontId="0" fillId="14" borderId="0" xfId="0" applyNumberFormat="1" applyFill="1"/>
    <xf numFmtId="166" fontId="0" fillId="14" borderId="0" xfId="0" quotePrefix="1" applyNumberFormat="1" applyFill="1"/>
    <xf numFmtId="0" fontId="0" fillId="14" borderId="0" xfId="0" applyFill="1"/>
    <xf numFmtId="0" fontId="0" fillId="15" borderId="0" xfId="0" applyFill="1"/>
    <xf numFmtId="166" fontId="0" fillId="15" borderId="0" xfId="0" applyNumberFormat="1" applyFill="1"/>
    <xf numFmtId="0" fontId="0" fillId="16" borderId="0" xfId="0" applyFill="1"/>
    <xf numFmtId="0" fontId="0" fillId="16" borderId="0" xfId="0" applyNumberFormat="1" applyFill="1"/>
    <xf numFmtId="166" fontId="0" fillId="16" borderId="0" xfId="0" applyNumberFormat="1" applyFill="1"/>
    <xf numFmtId="0" fontId="0" fillId="17" borderId="0" xfId="0" applyNumberFormat="1" applyFill="1"/>
    <xf numFmtId="0" fontId="0" fillId="17" borderId="0" xfId="0" quotePrefix="1" applyNumberFormat="1" applyFill="1"/>
    <xf numFmtId="0" fontId="13" fillId="17" borderId="0" xfId="0" quotePrefix="1" applyNumberFormat="1" applyFont="1" applyFill="1"/>
    <xf numFmtId="0" fontId="0" fillId="17" borderId="0" xfId="0" applyFill="1"/>
    <xf numFmtId="0" fontId="0" fillId="13" borderId="0" xfId="0" applyFill="1"/>
    <xf numFmtId="166" fontId="3" fillId="12" borderId="0" xfId="0" applyNumberFormat="1" applyFont="1" applyFill="1"/>
    <xf numFmtId="166" fontId="3" fillId="13" borderId="0" xfId="0" applyNumberFormat="1" applyFont="1" applyFill="1"/>
    <xf numFmtId="166" fontId="3" fillId="14" borderId="0" xfId="0" applyNumberFormat="1" applyFont="1" applyFill="1"/>
    <xf numFmtId="0" fontId="3" fillId="16" borderId="0" xfId="0" applyFont="1" applyFill="1"/>
    <xf numFmtId="166" fontId="3" fillId="16" borderId="0" xfId="0" applyNumberFormat="1" applyFont="1" applyFill="1"/>
    <xf numFmtId="166" fontId="3" fillId="15" borderId="0" xfId="0" applyNumberFormat="1" applyFont="1" applyFill="1"/>
    <xf numFmtId="0" fontId="0" fillId="18" borderId="0" xfId="0" applyFill="1"/>
    <xf numFmtId="0" fontId="3" fillId="18" borderId="0" xfId="0" applyFont="1" applyFill="1"/>
    <xf numFmtId="0" fontId="0" fillId="19" borderId="0" xfId="0" applyFill="1"/>
    <xf numFmtId="0" fontId="3" fillId="19" borderId="0" xfId="0" applyFont="1" applyFill="1"/>
    <xf numFmtId="0" fontId="0" fillId="13" borderId="10" xfId="0" applyFill="1" applyBorder="1"/>
    <xf numFmtId="0" fontId="0" fillId="13" borderId="11" xfId="0" applyFill="1" applyBorder="1"/>
    <xf numFmtId="0" fontId="0" fillId="20" borderId="11" xfId="0" applyFill="1" applyBorder="1"/>
    <xf numFmtId="0" fontId="0" fillId="20" borderId="12" xfId="0" applyFill="1" applyBorder="1"/>
    <xf numFmtId="0" fontId="0" fillId="20" borderId="10" xfId="0" applyFill="1" applyBorder="1"/>
    <xf numFmtId="0" fontId="0" fillId="12" borderId="10" xfId="0" applyFill="1" applyBorder="1"/>
    <xf numFmtId="0" fontId="0" fillId="12" borderId="11" xfId="0" applyFill="1" applyBorder="1"/>
    <xf numFmtId="0" fontId="0" fillId="14" borderId="10" xfId="0" applyFill="1" applyBorder="1"/>
    <xf numFmtId="0" fontId="0" fillId="14" borderId="11" xfId="0" applyFill="1" applyBorder="1"/>
    <xf numFmtId="0" fontId="0" fillId="16" borderId="10" xfId="0" applyFill="1" applyBorder="1"/>
    <xf numFmtId="0" fontId="0" fillId="16" borderId="11" xfId="0" applyFill="1" applyBorder="1"/>
    <xf numFmtId="0" fontId="0" fillId="15" borderId="10" xfId="0" applyFill="1" applyBorder="1"/>
    <xf numFmtId="0" fontId="0" fillId="15" borderId="11" xfId="0" applyFill="1" applyBorder="1"/>
    <xf numFmtId="165" fontId="0" fillId="0" borderId="0" xfId="0" quotePrefix="1" applyNumberFormat="1" applyFill="1"/>
    <xf numFmtId="0" fontId="1" fillId="20" borderId="12" xfId="0" applyFont="1" applyFill="1" applyBorder="1"/>
    <xf numFmtId="0" fontId="13" fillId="0" borderId="0" xfId="0" quotePrefix="1" applyNumberFormat="1" applyFont="1" applyFill="1"/>
    <xf numFmtId="0" fontId="1" fillId="0" borderId="0" xfId="0" quotePrefix="1" applyNumberFormat="1" applyFont="1" applyFill="1"/>
    <xf numFmtId="0" fontId="13" fillId="0" borderId="0" xfId="0" applyFont="1" applyFill="1"/>
    <xf numFmtId="0" fontId="10" fillId="0" borderId="0" xfId="0" quotePrefix="1" applyNumberFormat="1" applyFont="1" applyFill="1"/>
    <xf numFmtId="0" fontId="10" fillId="0" borderId="0" xfId="0" applyFont="1" applyFill="1"/>
    <xf numFmtId="0" fontId="15" fillId="0" borderId="0" xfId="1"/>
    <xf numFmtId="0" fontId="0" fillId="0" borderId="13" xfId="0" applyBorder="1" applyAlignment="1">
      <alignment wrapText="1"/>
    </xf>
    <xf numFmtId="0" fontId="17" fillId="9" borderId="0" xfId="1" applyFont="1" applyFill="1"/>
    <xf numFmtId="0" fontId="15" fillId="9" borderId="0" xfId="1" applyFill="1"/>
    <xf numFmtId="0" fontId="15" fillId="0" borderId="0" xfId="1" applyFill="1"/>
    <xf numFmtId="0" fontId="0" fillId="3" borderId="10" xfId="0" applyFill="1" applyBorder="1"/>
    <xf numFmtId="0" fontId="0" fillId="3" borderId="11" xfId="0" applyFill="1" applyBorder="1"/>
    <xf numFmtId="0" fontId="18" fillId="21" borderId="11" xfId="3" applyFont="1" applyFill="1" applyBorder="1"/>
    <xf numFmtId="0" fontId="0" fillId="3" borderId="12" xfId="0" applyFill="1" applyBorder="1"/>
    <xf numFmtId="0" fontId="16" fillId="0" borderId="0" xfId="1" applyFont="1" applyFill="1"/>
    <xf numFmtId="164" fontId="15" fillId="0" borderId="0" xfId="1" applyNumberFormat="1"/>
    <xf numFmtId="0" fontId="0" fillId="0" borderId="14" xfId="0" applyBorder="1"/>
    <xf numFmtId="0" fontId="17" fillId="0" borderId="0" xfId="1" applyFont="1" applyFill="1"/>
    <xf numFmtId="0" fontId="17" fillId="0" borderId="0" xfId="0" applyFont="1" applyFill="1"/>
    <xf numFmtId="0" fontId="0" fillId="3" borderId="10" xfId="0" applyFill="1" applyBorder="1" applyAlignment="1">
      <alignment wrapText="1"/>
    </xf>
    <xf numFmtId="0" fontId="16" fillId="3" borderId="14" xfId="0" applyFont="1" applyFill="1" applyBorder="1" applyAlignment="1">
      <alignment horizontal="center" vertical="center"/>
    </xf>
    <xf numFmtId="0" fontId="16" fillId="21" borderId="14" xfId="3" applyFont="1" applyFill="1" applyBorder="1" applyAlignment="1">
      <alignment horizontal="center" vertical="center"/>
    </xf>
    <xf numFmtId="0" fontId="15" fillId="20" borderId="0" xfId="1" applyFill="1"/>
    <xf numFmtId="164" fontId="16" fillId="0" borderId="14" xfId="0" applyNumberFormat="1" applyFont="1" applyBorder="1"/>
    <xf numFmtId="164" fontId="16" fillId="21" borderId="14" xfId="3" applyNumberFormat="1" applyFont="1" applyFill="1" applyBorder="1"/>
    <xf numFmtId="0" fontId="16" fillId="3" borderId="11" xfId="0" applyFont="1" applyFill="1" applyBorder="1"/>
    <xf numFmtId="0" fontId="16" fillId="21" borderId="11" xfId="3" applyFont="1" applyFill="1" applyBorder="1"/>
    <xf numFmtId="0" fontId="16" fillId="3" borderId="12" xfId="0" applyFont="1" applyFill="1" applyBorder="1"/>
    <xf numFmtId="0" fontId="0" fillId="3" borderId="14" xfId="0" applyFill="1" applyBorder="1" applyAlignment="1">
      <alignment wrapText="1"/>
    </xf>
    <xf numFmtId="0" fontId="0" fillId="3" borderId="14" xfId="0" applyFill="1" applyBorder="1" applyAlignment="1">
      <alignment horizontal="center" vertical="center"/>
    </xf>
    <xf numFmtId="0" fontId="18" fillId="21" borderId="14" xfId="3" applyFont="1" applyFill="1" applyBorder="1" applyAlignment="1">
      <alignment horizontal="center" vertical="center"/>
    </xf>
    <xf numFmtId="168" fontId="0" fillId="0" borderId="14" xfId="0" applyNumberFormat="1" applyBorder="1"/>
    <xf numFmtId="168" fontId="18" fillId="21" borderId="14" xfId="3" applyNumberFormat="1" applyFont="1" applyFill="1" applyBorder="1"/>
    <xf numFmtId="0" fontId="15" fillId="0" borderId="0" xfId="1" applyFill="1" applyBorder="1" applyAlignment="1">
      <alignment horizontal="center" vertical="center"/>
    </xf>
    <xf numFmtId="0" fontId="0" fillId="0" borderId="17" xfId="0" applyBorder="1"/>
    <xf numFmtId="0" fontId="0" fillId="0" borderId="14" xfId="0" applyBorder="1" applyAlignment="1">
      <alignment wrapText="1"/>
    </xf>
    <xf numFmtId="0" fontId="16" fillId="0" borderId="14" xfId="0" applyFont="1" applyBorder="1"/>
    <xf numFmtId="0" fontId="16" fillId="0" borderId="0" xfId="0" applyFont="1"/>
    <xf numFmtId="168" fontId="0" fillId="0" borderId="14" xfId="0" applyNumberFormat="1" applyBorder="1" applyAlignment="1">
      <alignment wrapText="1"/>
    </xf>
    <xf numFmtId="0" fontId="0" fillId="20" borderId="0" xfId="0" applyFill="1"/>
    <xf numFmtId="0" fontId="16" fillId="3" borderId="14" xfId="0" applyFont="1" applyFill="1" applyBorder="1"/>
    <xf numFmtId="0" fontId="20" fillId="9" borderId="14" xfId="0" applyFont="1" applyFill="1" applyBorder="1" applyAlignment="1">
      <alignment horizontal="center" vertical="center"/>
    </xf>
    <xf numFmtId="0" fontId="16" fillId="0" borderId="14" xfId="0" applyFont="1" applyBorder="1" applyAlignment="1">
      <alignment wrapText="1"/>
    </xf>
    <xf numFmtId="0" fontId="16" fillId="0" borderId="14" xfId="0" applyFont="1" applyFill="1" applyBorder="1" applyAlignment="1">
      <alignment horizontal="center" vertical="center"/>
    </xf>
    <xf numFmtId="0" fontId="0" fillId="0" borderId="14" xfId="0" applyBorder="1" applyAlignment="1">
      <alignment horizontal="center" vertical="center"/>
    </xf>
    <xf numFmtId="0" fontId="16" fillId="3" borderId="14" xfId="0" applyFont="1" applyFill="1" applyBorder="1" applyAlignment="1">
      <alignment wrapText="1"/>
    </xf>
    <xf numFmtId="164" fontId="16" fillId="0" borderId="10" xfId="0" applyNumberFormat="1" applyFont="1" applyBorder="1" applyAlignment="1"/>
    <xf numFmtId="164" fontId="16" fillId="0" borderId="12" xfId="0" applyNumberFormat="1" applyFont="1" applyBorder="1" applyAlignment="1"/>
    <xf numFmtId="164" fontId="16" fillId="21" borderId="10" xfId="3" applyNumberFormat="1" applyFont="1" applyFill="1" applyBorder="1" applyAlignment="1">
      <alignment horizontal="center"/>
    </xf>
    <xf numFmtId="164" fontId="16" fillId="21" borderId="12" xfId="3" applyNumberFormat="1" applyFont="1" applyFill="1" applyBorder="1" applyAlignment="1">
      <alignment horizontal="center"/>
    </xf>
    <xf numFmtId="0" fontId="0" fillId="0" borderId="14" xfId="0" applyBorder="1" applyAlignment="1">
      <alignment horizontal="center" vertical="center"/>
    </xf>
    <xf numFmtId="0" fontId="16" fillId="21" borderId="10" xfId="2" applyFont="1" applyFill="1" applyBorder="1" applyAlignment="1">
      <alignment horizontal="center" vertical="center" wrapText="1"/>
    </xf>
    <xf numFmtId="0" fontId="16" fillId="21" borderId="12" xfId="2" applyFont="1" applyFill="1" applyBorder="1" applyAlignment="1">
      <alignment horizontal="center" vertical="center"/>
    </xf>
    <xf numFmtId="0" fontId="0" fillId="0" borderId="15" xfId="0" applyBorder="1" applyAlignment="1">
      <alignment vertical="center"/>
    </xf>
    <xf numFmtId="0" fontId="0" fillId="0" borderId="16" xfId="0" applyBorder="1" applyAlignment="1">
      <alignment vertical="center"/>
    </xf>
    <xf numFmtId="168" fontId="16" fillId="0" borderId="10" xfId="0" applyNumberFormat="1" applyFont="1" applyBorder="1" applyAlignment="1"/>
    <xf numFmtId="168" fontId="16" fillId="0" borderId="12" xfId="0" applyNumberFormat="1" applyFont="1" applyBorder="1" applyAlignment="1"/>
    <xf numFmtId="3" fontId="16" fillId="21" borderId="10" xfId="3" applyNumberFormat="1" applyFont="1" applyFill="1" applyBorder="1" applyAlignment="1">
      <alignment horizontal="center"/>
    </xf>
    <xf numFmtId="3" fontId="16" fillId="21" borderId="12" xfId="3" applyNumberFormat="1" applyFont="1" applyFill="1" applyBorder="1" applyAlignment="1">
      <alignment horizontal="center"/>
    </xf>
    <xf numFmtId="168" fontId="16" fillId="21" borderId="10" xfId="3" applyNumberFormat="1" applyFont="1" applyFill="1" applyBorder="1" applyAlignment="1">
      <alignment horizontal="center"/>
    </xf>
    <xf numFmtId="168" fontId="16" fillId="21" borderId="12" xfId="3" applyNumberFormat="1" applyFont="1" applyFill="1" applyBorder="1" applyAlignment="1">
      <alignment horizontal="center"/>
    </xf>
    <xf numFmtId="3" fontId="16" fillId="0" borderId="10" xfId="0" applyNumberFormat="1" applyFont="1" applyBorder="1" applyAlignment="1"/>
    <xf numFmtId="3" fontId="16" fillId="0" borderId="12" xfId="0" applyNumberFormat="1" applyFont="1" applyBorder="1" applyAlignment="1"/>
    <xf numFmtId="0" fontId="16" fillId="0" borderId="10" xfId="0" applyFont="1" applyBorder="1" applyAlignment="1"/>
    <xf numFmtId="0" fontId="16" fillId="0" borderId="12" xfId="0" applyFont="1" applyBorder="1" applyAlignment="1"/>
    <xf numFmtId="49" fontId="0" fillId="0" borderId="10" xfId="0" applyNumberFormat="1" applyBorder="1" applyAlignment="1">
      <alignment horizontal="center"/>
    </xf>
    <xf numFmtId="49" fontId="0" fillId="0" borderId="12" xfId="0" applyNumberFormat="1" applyBorder="1" applyAlignment="1">
      <alignment horizontal="center"/>
    </xf>
    <xf numFmtId="49" fontId="18" fillId="21" borderId="10" xfId="3" applyNumberFormat="1" applyFont="1" applyFill="1" applyBorder="1" applyAlignment="1">
      <alignment horizontal="center"/>
    </xf>
    <xf numFmtId="49" fontId="18" fillId="21" borderId="12" xfId="3" applyNumberFormat="1" applyFont="1" applyFill="1" applyBorder="1" applyAlignment="1">
      <alignment horizontal="center"/>
    </xf>
    <xf numFmtId="0" fontId="0" fillId="0" borderId="14" xfId="0" applyBorder="1" applyAlignment="1">
      <alignment wrapText="1"/>
    </xf>
    <xf numFmtId="0" fontId="0" fillId="3" borderId="15" xfId="0" applyFill="1" applyBorder="1" applyAlignment="1">
      <alignment horizontal="center" vertical="center" textRotation="90" wrapText="1"/>
    </xf>
    <xf numFmtId="0" fontId="0" fillId="3" borderId="4" xfId="0" applyFill="1" applyBorder="1" applyAlignment="1">
      <alignment horizontal="center" vertical="center" textRotation="90" wrapText="1"/>
    </xf>
    <xf numFmtId="0" fontId="0" fillId="3" borderId="16" xfId="0" applyFill="1" applyBorder="1" applyAlignment="1">
      <alignment horizontal="center" vertical="center" textRotation="90" wrapText="1"/>
    </xf>
    <xf numFmtId="0" fontId="0" fillId="0" borderId="15" xfId="0" applyBorder="1" applyAlignment="1">
      <alignment horizontal="center" vertical="center" textRotation="90" wrapText="1"/>
    </xf>
    <xf numFmtId="0" fontId="0" fillId="0" borderId="16" xfId="0" applyBorder="1" applyAlignment="1">
      <alignment horizontal="center" vertical="center" textRotation="90" wrapText="1"/>
    </xf>
  </cellXfs>
  <cellStyles count="4">
    <cellStyle name="Normal" xfId="0" builtinId="0"/>
    <cellStyle name="Normal 2" xfId="3"/>
    <cellStyle name="Normal 3" xfId="2"/>
    <cellStyle name="Normal 4" xfId="1"/>
  </cellStyles>
  <dxfs count="0"/>
  <tableStyles count="0" defaultTableStyle="TableStyleMedium9"/>
</styleSheet>
</file>

<file path=xl/_rels/workbook.xml.rels><?xml version="1.0" encoding="UTF-8" standalone="yes"?>
<Relationships xmlns="http://schemas.openxmlformats.org/package/2006/relationships"><Relationship Id="rId14" Type="http://schemas.openxmlformats.org/officeDocument/2006/relationships/externalLink" Target="externalLinks/externalLink2.xml"/><Relationship Id="rId4" Type="http://schemas.openxmlformats.org/officeDocument/2006/relationships/worksheet" Target="worksheets/sheet4.xml"/><Relationship Id="rId7" Type="http://schemas.openxmlformats.org/officeDocument/2006/relationships/worksheet" Target="worksheets/sheet7.xml"/><Relationship Id="rId11" Type="http://schemas.openxmlformats.org/officeDocument/2006/relationships/worksheet" Target="worksheets/sheet11.xml"/><Relationship Id="rId1" Type="http://schemas.openxmlformats.org/officeDocument/2006/relationships/worksheet" Target="worksheets/sheet1.xml"/><Relationship Id="rId6" Type="http://schemas.openxmlformats.org/officeDocument/2006/relationships/worksheet" Target="worksheets/sheet6.xml"/><Relationship Id="rId16" Type="http://schemas.openxmlformats.org/officeDocument/2006/relationships/theme" Target="theme/theme1.xml"/><Relationship Id="rId8" Type="http://schemas.openxmlformats.org/officeDocument/2006/relationships/worksheet" Target="worksheets/sheet8.xml"/><Relationship Id="rId13" Type="http://schemas.openxmlformats.org/officeDocument/2006/relationships/externalLink" Target="externalLinks/externalLink1.xml"/><Relationship Id="rId10"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externalLink" Target="externalLinks/externalLink3.xml"/><Relationship Id="rId12" Type="http://schemas.openxmlformats.org/officeDocument/2006/relationships/worksheet" Target="worksheets/sheet12.xml"/><Relationship Id="rId17" Type="http://schemas.openxmlformats.org/officeDocument/2006/relationships/styles" Target="styles.xml"/><Relationship Id="rId19" Type="http://schemas.openxmlformats.org/officeDocument/2006/relationships/calcChain" Target="calcChain.xml"/><Relationship Id="rId2" Type="http://schemas.openxmlformats.org/officeDocument/2006/relationships/worksheet" Target="worksheets/sheet2.xml"/><Relationship Id="rId9" Type="http://schemas.openxmlformats.org/officeDocument/2006/relationships/worksheet" Target="worksheets/sheet9.xml"/><Relationship Id="rId3" Type="http://schemas.openxmlformats.org/officeDocument/2006/relationships/worksheet" Target="worksheets/sheet3.xml"/><Relationship Id="rId1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2"/>
  <c:chart>
    <c:plotArea>
      <c:layout>
        <c:manualLayout>
          <c:layoutTarget val="inner"/>
          <c:xMode val="edge"/>
          <c:yMode val="edge"/>
          <c:x val="0.164969450101833"/>
          <c:y val="0.197802905373259"/>
          <c:w val="0.806517311608961"/>
          <c:h val="0.637364917313836"/>
        </c:manualLayout>
      </c:layout>
      <c:barChart>
        <c:barDir val="col"/>
        <c:grouping val="clustered"/>
        <c:ser>
          <c:idx val="0"/>
          <c:order val="0"/>
          <c:tx>
            <c:strRef>
              <c:f>'[2]Figures 1,2,4'!$N$2</c:f>
              <c:strCache>
                <c:ptCount val="1"/>
                <c:pt idx="0">
                  <c:v>District</c:v>
                </c:pt>
              </c:strCache>
            </c:strRef>
          </c:tx>
          <c:spPr>
            <a:solidFill>
              <a:srgbClr val="000000"/>
            </a:solidFill>
            <a:ln w="12700">
              <a:solidFill>
                <a:srgbClr val="000000"/>
              </a:solidFill>
              <a:prstDash val="solid"/>
            </a:ln>
          </c:spPr>
          <c:cat>
            <c:strRef>
              <c:f>'[2]Figures 1,2,4'!$M$3:$M$6</c:f>
              <c:strCache>
                <c:ptCount val="4"/>
                <c:pt idx="0">
                  <c:v>_x0005_State</c:v>
                </c:pt>
                <c:pt idx="1">
                  <c:v>_x0012_Statewide Weighted</c:v>
                </c:pt>
                <c:pt idx="2">
                  <c:v>_x000b_Jersey City</c:v>
                </c:pt>
                <c:pt idx="3">
                  <c:v>_x0006_Newark</c:v>
                </c:pt>
              </c:strCache>
            </c:strRef>
          </c:cat>
          <c:val>
            <c:numRef>
              <c:f>'[2]Figures 1,2,4'!$N$3:$N$6</c:f>
              <c:numCache>
                <c:formatCode>General</c:formatCode>
                <c:ptCount val="4"/>
                <c:pt idx="0">
                  <c:v>17110.21630878662</c:v>
                </c:pt>
                <c:pt idx="1">
                  <c:v>19837.0</c:v>
                </c:pt>
                <c:pt idx="2">
                  <c:v>21951.5627118644</c:v>
                </c:pt>
                <c:pt idx="3">
                  <c:v>23594.0544031406</c:v>
                </c:pt>
              </c:numCache>
            </c:numRef>
          </c:val>
        </c:ser>
        <c:ser>
          <c:idx val="1"/>
          <c:order val="1"/>
          <c:tx>
            <c:strRef>
              <c:f>'[2]Figures 1,2,4'!$O$2</c:f>
              <c:strCache>
                <c:ptCount val="1"/>
                <c:pt idx="0">
                  <c:v>Charter</c:v>
                </c:pt>
              </c:strCache>
            </c:strRef>
          </c:tx>
          <c:spPr>
            <a:solidFill>
              <a:srgbClr val="C0C0C0"/>
            </a:solidFill>
            <a:ln w="12700">
              <a:solidFill>
                <a:srgbClr val="000000"/>
              </a:solidFill>
              <a:prstDash val="solid"/>
            </a:ln>
          </c:spPr>
          <c:cat>
            <c:strRef>
              <c:f>'[2]Figures 1,2,4'!$M$3:$M$6</c:f>
              <c:strCache>
                <c:ptCount val="4"/>
                <c:pt idx="0">
                  <c:v>_x0005_State</c:v>
                </c:pt>
                <c:pt idx="1">
                  <c:v>_x0012_Statewide Weighted</c:v>
                </c:pt>
                <c:pt idx="2">
                  <c:v>_x000b_Jersey City</c:v>
                </c:pt>
                <c:pt idx="3">
                  <c:v>_x0006_Newark</c:v>
                </c:pt>
              </c:strCache>
            </c:strRef>
          </c:cat>
          <c:val>
            <c:numRef>
              <c:f>'[2]Figures 1,2,4'!$O$3:$O$6</c:f>
              <c:numCache>
                <c:formatCode>General</c:formatCode>
                <c:ptCount val="4"/>
                <c:pt idx="0">
                  <c:v>12441.61760150799</c:v>
                </c:pt>
                <c:pt idx="1">
                  <c:v>12442.0</c:v>
                </c:pt>
                <c:pt idx="2">
                  <c:v>11886.05972175093</c:v>
                </c:pt>
                <c:pt idx="3">
                  <c:v>11677.31389057663</c:v>
                </c:pt>
              </c:numCache>
            </c:numRef>
          </c:val>
        </c:ser>
        <c:ser>
          <c:idx val="2"/>
          <c:order val="2"/>
          <c:tx>
            <c:strRef>
              <c:f>'[2]Figures 1,2,4'!$P$2</c:f>
              <c:strCache>
                <c:ptCount val="1"/>
                <c:pt idx="0">
                  <c:v>Difference</c:v>
                </c:pt>
              </c:strCache>
            </c:strRef>
          </c:tx>
          <c:spPr>
            <a:solidFill>
              <a:srgbClr val="808080"/>
            </a:solidFill>
            <a:ln w="12700">
              <a:solidFill>
                <a:srgbClr val="000000"/>
              </a:solidFill>
              <a:prstDash val="solid"/>
            </a:ln>
          </c:spPr>
          <c:cat>
            <c:strRef>
              <c:f>'[2]Figures 1,2,4'!$M$3:$M$6</c:f>
              <c:strCache>
                <c:ptCount val="4"/>
                <c:pt idx="0">
                  <c:v>_x0005_State</c:v>
                </c:pt>
                <c:pt idx="1">
                  <c:v>_x0012_Statewide Weighted</c:v>
                </c:pt>
                <c:pt idx="2">
                  <c:v>_x000b_Jersey City</c:v>
                </c:pt>
                <c:pt idx="3">
                  <c:v>_x0006_Newark</c:v>
                </c:pt>
              </c:strCache>
            </c:strRef>
          </c:cat>
          <c:val>
            <c:numRef>
              <c:f>'[2]Figures 1,2,4'!$P$3:$P$6</c:f>
              <c:numCache>
                <c:formatCode>General</c:formatCode>
                <c:ptCount val="4"/>
                <c:pt idx="0">
                  <c:v>4668.59870727863</c:v>
                </c:pt>
                <c:pt idx="1">
                  <c:v>7395.0</c:v>
                </c:pt>
                <c:pt idx="2">
                  <c:v>10065.50299011347</c:v>
                </c:pt>
                <c:pt idx="3">
                  <c:v>11916.74051256397</c:v>
                </c:pt>
              </c:numCache>
            </c:numRef>
          </c:val>
        </c:ser>
        <c:axId val="467691576"/>
        <c:axId val="478426424"/>
      </c:barChart>
      <c:catAx>
        <c:axId val="467691576"/>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8426424"/>
        <c:crosses val="autoZero"/>
        <c:auto val="1"/>
        <c:lblAlgn val="ctr"/>
        <c:lblOffset val="100"/>
        <c:tickLblSkip val="1"/>
        <c:tickMarkSkip val="1"/>
      </c:catAx>
      <c:valAx>
        <c:axId val="478426424"/>
        <c:scaling>
          <c:orientation val="minMax"/>
        </c:scaling>
        <c:axPos val="l"/>
        <c:numFmt formatCode="#,##0" sourceLinked="0"/>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467691576"/>
        <c:crosses val="autoZero"/>
        <c:crossBetween val="between"/>
      </c:valAx>
      <c:spPr>
        <a:solidFill>
          <a:srgbClr val="FFFFFF"/>
        </a:solidFill>
        <a:ln w="12700">
          <a:solidFill>
            <a:srgbClr val="808080"/>
          </a:solidFill>
          <a:prstDash val="solid"/>
        </a:ln>
      </c:spPr>
    </c:plotArea>
    <c:legend>
      <c:legendPos val="t"/>
      <c:layout>
        <c:manualLayout>
          <c:xMode val="edge"/>
          <c:yMode val="edge"/>
          <c:x val="0.368635427420887"/>
          <c:y val="0.0293041418603162"/>
          <c:w val="0.399185375800628"/>
          <c:h val="0.0879124255809487"/>
        </c:manualLayout>
      </c:layout>
      <c:spPr>
        <a:solidFill>
          <a:srgbClr val="FFFFFF"/>
        </a:solidFill>
        <a:ln w="3175">
          <a:solidFill>
            <a:srgbClr val="000000"/>
          </a:solidFill>
          <a:prstDash val="solid"/>
        </a:ln>
      </c:spPr>
      <c:txPr>
        <a:bodyPr/>
        <a:lstStyle/>
        <a:p>
          <a:pPr>
            <a:defRPr sz="845"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0" l="0.75" r="0.75"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2"/>
  <c:chart>
    <c:plotArea>
      <c:layout>
        <c:manualLayout>
          <c:layoutTarget val="inner"/>
          <c:xMode val="edge"/>
          <c:yMode val="edge"/>
          <c:x val="0.239583739528638"/>
          <c:y val="0.157509720945373"/>
          <c:w val="0.685765051549364"/>
          <c:h val="0.677658101741722"/>
        </c:manualLayout>
      </c:layout>
      <c:barChart>
        <c:barDir val="bar"/>
        <c:grouping val="stacked"/>
        <c:ser>
          <c:idx val="0"/>
          <c:order val="0"/>
          <c:tx>
            <c:strRef>
              <c:f>'[2]Figures 1,2,4'!$N$28</c:f>
              <c:strCache>
                <c:ptCount val="1"/>
                <c:pt idx="0">
                  <c:v>Federal </c:v>
                </c:pt>
              </c:strCache>
            </c:strRef>
          </c:tx>
          <c:spPr>
            <a:solidFill>
              <a:srgbClr val="000000"/>
            </a:solidFill>
            <a:ln w="12700">
              <a:solidFill>
                <a:srgbClr val="000000"/>
              </a:solidFill>
              <a:prstDash val="solid"/>
            </a:ln>
          </c:spPr>
          <c:cat>
            <c:strRef>
              <c:f>'[2]Figures 1,2,4'!$M$29:$M$37</c:f>
              <c:strCache>
                <c:ptCount val="9"/>
                <c:pt idx="0">
                  <c:v>_x0012_Statewide District</c:v>
                </c:pt>
                <c:pt idx="1">
                  <c:v>_x0011_Statewide Charter</c:v>
                </c:pt>
                <c:pt idx="2">
                  <c:v>_x0012_Statewide Weighted</c:v>
                </c:pt>
                <c:pt idx="3">
                  <c:v>_x0014_Jersey City District</c:v>
                </c:pt>
                <c:pt idx="4">
                  <c:v>_x0013_Jersey City Charter</c:v>
                </c:pt>
                <c:pt idx="5">
                  <c:v>_x000F_Newark District</c:v>
                </c:pt>
                <c:pt idx="6">
                  <c:v>_x000e_Newark Charter</c:v>
                </c:pt>
                <c:pt idx="7">
                  <c:v>_x0010_Trenton District</c:v>
                </c:pt>
                <c:pt idx="8">
                  <c:v>_x000F_Trenton Charter</c:v>
                </c:pt>
              </c:strCache>
            </c:strRef>
          </c:cat>
          <c:val>
            <c:numRef>
              <c:f>'[2]Figures 1,2,4'!$N$29:$N$37</c:f>
              <c:numCache>
                <c:formatCode>General</c:formatCode>
                <c:ptCount val="9"/>
                <c:pt idx="0">
                  <c:v>549.526832367355</c:v>
                </c:pt>
                <c:pt idx="1">
                  <c:v>1140.779919688922</c:v>
                </c:pt>
                <c:pt idx="2">
                  <c:v>963.0</c:v>
                </c:pt>
                <c:pt idx="3">
                  <c:v>1314.384676582497</c:v>
                </c:pt>
                <c:pt idx="4">
                  <c:v>1139.309127926705</c:v>
                </c:pt>
                <c:pt idx="5">
                  <c:v>1625.783211360442</c:v>
                </c:pt>
                <c:pt idx="6">
                  <c:v>1217.940282961549</c:v>
                </c:pt>
                <c:pt idx="7">
                  <c:v>1251.622494293422</c:v>
                </c:pt>
                <c:pt idx="8">
                  <c:v>1239.08611599297</c:v>
                </c:pt>
              </c:numCache>
            </c:numRef>
          </c:val>
        </c:ser>
        <c:ser>
          <c:idx val="1"/>
          <c:order val="1"/>
          <c:tx>
            <c:strRef>
              <c:f>'[2]Figures 1,2,4'!$O$28</c:f>
              <c:strCache>
                <c:ptCount val="1"/>
                <c:pt idx="0">
                  <c:v>State</c:v>
                </c:pt>
              </c:strCache>
            </c:strRef>
          </c:tx>
          <c:spPr>
            <a:solidFill>
              <a:srgbClr val="C0C0C0"/>
            </a:solidFill>
            <a:ln w="12700">
              <a:solidFill>
                <a:srgbClr val="000000"/>
              </a:solidFill>
              <a:prstDash val="solid"/>
            </a:ln>
          </c:spPr>
          <c:cat>
            <c:strRef>
              <c:f>'[2]Figures 1,2,4'!$M$29:$M$37</c:f>
              <c:strCache>
                <c:ptCount val="9"/>
                <c:pt idx="0">
                  <c:v>_x0012_Statewide District</c:v>
                </c:pt>
                <c:pt idx="1">
                  <c:v>_x0011_Statewide Charter</c:v>
                </c:pt>
                <c:pt idx="2">
                  <c:v>_x0012_Statewide Weighted</c:v>
                </c:pt>
                <c:pt idx="3">
                  <c:v>_x0014_Jersey City District</c:v>
                </c:pt>
                <c:pt idx="4">
                  <c:v>_x0013_Jersey City Charter</c:v>
                </c:pt>
                <c:pt idx="5">
                  <c:v>_x000F_Newark District</c:v>
                </c:pt>
                <c:pt idx="6">
                  <c:v>_x000e_Newark Charter</c:v>
                </c:pt>
                <c:pt idx="7">
                  <c:v>_x0010_Trenton District</c:v>
                </c:pt>
                <c:pt idx="8">
                  <c:v>_x000F_Trenton Charter</c:v>
                </c:pt>
              </c:strCache>
            </c:strRef>
          </c:cat>
          <c:val>
            <c:numRef>
              <c:f>'[2]Figures 1,2,4'!$O$29:$O$37</c:f>
              <c:numCache>
                <c:formatCode>General</c:formatCode>
                <c:ptCount val="9"/>
                <c:pt idx="0">
                  <c:v>6503.12456463393</c:v>
                </c:pt>
                <c:pt idx="1">
                  <c:v>8911.681618056893</c:v>
                </c:pt>
                <c:pt idx="2">
                  <c:v>11898.0</c:v>
                </c:pt>
                <c:pt idx="3">
                  <c:v>17347.82594258042</c:v>
                </c:pt>
                <c:pt idx="4">
                  <c:v>8585.129631874424</c:v>
                </c:pt>
                <c:pt idx="5">
                  <c:v>17448.68758784471</c:v>
                </c:pt>
                <c:pt idx="6">
                  <c:v>9114.290381434666</c:v>
                </c:pt>
                <c:pt idx="7">
                  <c:v>21332.86673583731</c:v>
                </c:pt>
                <c:pt idx="8">
                  <c:v>9491.202432163347</c:v>
                </c:pt>
              </c:numCache>
            </c:numRef>
          </c:val>
        </c:ser>
        <c:ser>
          <c:idx val="2"/>
          <c:order val="2"/>
          <c:tx>
            <c:strRef>
              <c:f>'[2]Figures 1,2,4'!$P$28</c:f>
              <c:strCache>
                <c:ptCount val="1"/>
                <c:pt idx="0">
                  <c:v>Local</c:v>
                </c:pt>
              </c:strCache>
            </c:strRef>
          </c:tx>
          <c:spPr>
            <a:solidFill>
              <a:srgbClr val="969696"/>
            </a:solidFill>
            <a:ln w="12700">
              <a:solidFill>
                <a:srgbClr val="000000"/>
              </a:solidFill>
              <a:prstDash val="solid"/>
            </a:ln>
          </c:spPr>
          <c:cat>
            <c:strRef>
              <c:f>'[2]Figures 1,2,4'!$M$29:$M$37</c:f>
              <c:strCache>
                <c:ptCount val="9"/>
                <c:pt idx="0">
                  <c:v>_x0012_Statewide District</c:v>
                </c:pt>
                <c:pt idx="1">
                  <c:v>_x0011_Statewide Charter</c:v>
                </c:pt>
                <c:pt idx="2">
                  <c:v>_x0012_Statewide Weighted</c:v>
                </c:pt>
                <c:pt idx="3">
                  <c:v>_x0014_Jersey City District</c:v>
                </c:pt>
                <c:pt idx="4">
                  <c:v>_x0013_Jersey City Charter</c:v>
                </c:pt>
                <c:pt idx="5">
                  <c:v>_x000F_Newark District</c:v>
                </c:pt>
                <c:pt idx="6">
                  <c:v>_x000e_Newark Charter</c:v>
                </c:pt>
                <c:pt idx="7">
                  <c:v>_x0010_Trenton District</c:v>
                </c:pt>
                <c:pt idx="8">
                  <c:v>_x000F_Trenton Charter</c:v>
                </c:pt>
              </c:strCache>
            </c:strRef>
          </c:cat>
          <c:val>
            <c:numRef>
              <c:f>'[2]Figures 1,2,4'!$P$29:$P$37</c:f>
              <c:numCache>
                <c:formatCode>General</c:formatCode>
                <c:ptCount val="9"/>
                <c:pt idx="0">
                  <c:v>9080.48452957936</c:v>
                </c:pt>
                <c:pt idx="1">
                  <c:v>2314.900593205338</c:v>
                </c:pt>
                <c:pt idx="2">
                  <c:v>5959.0</c:v>
                </c:pt>
                <c:pt idx="3">
                  <c:v>3152.388066413006</c:v>
                </c:pt>
                <c:pt idx="4">
                  <c:v>2083.219536771656</c:v>
                </c:pt>
                <c:pt idx="5">
                  <c:v>2254.584864052731</c:v>
                </c:pt>
                <c:pt idx="6">
                  <c:v>1332.571870105998</c:v>
                </c:pt>
                <c:pt idx="7">
                  <c:v>956.7067856401743</c:v>
                </c:pt>
                <c:pt idx="8">
                  <c:v>1918.519887696054</c:v>
                </c:pt>
              </c:numCache>
            </c:numRef>
          </c:val>
        </c:ser>
        <c:ser>
          <c:idx val="3"/>
          <c:order val="3"/>
          <c:tx>
            <c:strRef>
              <c:f>'[2]Figures 1,2,4'!$Q$28</c:f>
              <c:strCache>
                <c:ptCount val="1"/>
                <c:pt idx="0">
                  <c:v>Other </c:v>
                </c:pt>
              </c:strCache>
            </c:strRef>
          </c:tx>
          <c:spPr>
            <a:solidFill>
              <a:srgbClr val="333333"/>
            </a:solidFill>
            <a:ln w="12700">
              <a:solidFill>
                <a:srgbClr val="000000"/>
              </a:solidFill>
              <a:prstDash val="solid"/>
            </a:ln>
          </c:spPr>
          <c:cat>
            <c:strRef>
              <c:f>'[2]Figures 1,2,4'!$M$29:$M$37</c:f>
              <c:strCache>
                <c:ptCount val="9"/>
                <c:pt idx="0">
                  <c:v>_x0012_Statewide District</c:v>
                </c:pt>
                <c:pt idx="1">
                  <c:v>_x0011_Statewide Charter</c:v>
                </c:pt>
                <c:pt idx="2">
                  <c:v>_x0012_Statewide Weighted</c:v>
                </c:pt>
                <c:pt idx="3">
                  <c:v>_x0014_Jersey City District</c:v>
                </c:pt>
                <c:pt idx="4">
                  <c:v>_x0013_Jersey City Charter</c:v>
                </c:pt>
                <c:pt idx="5">
                  <c:v>_x000F_Newark District</c:v>
                </c:pt>
                <c:pt idx="6">
                  <c:v>_x000e_Newark Charter</c:v>
                </c:pt>
                <c:pt idx="7">
                  <c:v>_x0010_Trenton District</c:v>
                </c:pt>
                <c:pt idx="8">
                  <c:v>_x000F_Trenton Charter</c:v>
                </c:pt>
              </c:strCache>
            </c:strRef>
          </c:cat>
          <c:val>
            <c:numRef>
              <c:f>'[2]Figures 1,2,4'!$Q$29:$Q$37</c:f>
              <c:numCache>
                <c:formatCode>General</c:formatCode>
                <c:ptCount val="9"/>
                <c:pt idx="0">
                  <c:v>541.0018728813686</c:v>
                </c:pt>
                <c:pt idx="1">
                  <c:v>63.30520751264392</c:v>
                </c:pt>
                <c:pt idx="2">
                  <c:v>781.0</c:v>
                </c:pt>
                <c:pt idx="3">
                  <c:v>136.9640262884815</c:v>
                </c:pt>
                <c:pt idx="4">
                  <c:v>78.40142517814726</c:v>
                </c:pt>
                <c:pt idx="5">
                  <c:v>2252.096932099065</c:v>
                </c:pt>
                <c:pt idx="6">
                  <c:v>12.51135607441484</c:v>
                </c:pt>
                <c:pt idx="7">
                  <c:v>114.0539531023034</c:v>
                </c:pt>
                <c:pt idx="8">
                  <c:v>0.0</c:v>
                </c:pt>
              </c:numCache>
            </c:numRef>
          </c:val>
        </c:ser>
        <c:ser>
          <c:idx val="4"/>
          <c:order val="4"/>
          <c:tx>
            <c:strRef>
              <c:f>'[2]Figures 1,2,4'!$R$28</c:f>
              <c:strCache>
                <c:ptCount val="1"/>
                <c:pt idx="0">
                  <c:v>Indeterminate</c:v>
                </c:pt>
              </c:strCache>
            </c:strRef>
          </c:tx>
          <c:spPr>
            <a:solidFill>
              <a:srgbClr val="808080"/>
            </a:solidFill>
            <a:ln w="12700">
              <a:solidFill>
                <a:srgbClr val="000000"/>
              </a:solidFill>
              <a:prstDash val="solid"/>
            </a:ln>
          </c:spPr>
          <c:cat>
            <c:strRef>
              <c:f>'[2]Figures 1,2,4'!$M$29:$M$37</c:f>
              <c:strCache>
                <c:ptCount val="9"/>
                <c:pt idx="0">
                  <c:v>_x0012_Statewide District</c:v>
                </c:pt>
                <c:pt idx="1">
                  <c:v>_x0011_Statewide Charter</c:v>
                </c:pt>
                <c:pt idx="2">
                  <c:v>_x0012_Statewide Weighted</c:v>
                </c:pt>
                <c:pt idx="3">
                  <c:v>_x0014_Jersey City District</c:v>
                </c:pt>
                <c:pt idx="4">
                  <c:v>_x0013_Jersey City Charter</c:v>
                </c:pt>
                <c:pt idx="5">
                  <c:v>_x000F_Newark District</c:v>
                </c:pt>
                <c:pt idx="6">
                  <c:v>_x000e_Newark Charter</c:v>
                </c:pt>
                <c:pt idx="7">
                  <c:v>_x0010_Trenton District</c:v>
                </c:pt>
                <c:pt idx="8">
                  <c:v>_x000F_Trenton Charter</c:v>
                </c:pt>
              </c:strCache>
            </c:strRef>
          </c:cat>
          <c:val>
            <c:numRef>
              <c:f>'[2]Figures 1,2,4'!$R$29:$R$37</c:f>
              <c:numCache>
                <c:formatCode>General</c:formatCode>
                <c:ptCount val="9"/>
                <c:pt idx="0">
                  <c:v>436.0785093246062</c:v>
                </c:pt>
                <c:pt idx="1">
                  <c:v>10.95026304419651</c:v>
                </c:pt>
                <c:pt idx="2">
                  <c:v>236.0</c:v>
                </c:pt>
                <c:pt idx="3">
                  <c:v>0.0</c:v>
                </c:pt>
                <c:pt idx="4">
                  <c:v>0.0</c:v>
                </c:pt>
                <c:pt idx="5">
                  <c:v>12.90180778364756</c:v>
                </c:pt>
                <c:pt idx="6">
                  <c:v>0.0</c:v>
                </c:pt>
                <c:pt idx="7">
                  <c:v>0.0</c:v>
                </c:pt>
                <c:pt idx="8">
                  <c:v>0.0</c:v>
                </c:pt>
              </c:numCache>
            </c:numRef>
          </c:val>
        </c:ser>
        <c:overlap val="100"/>
        <c:axId val="467935304"/>
        <c:axId val="467938952"/>
      </c:barChart>
      <c:catAx>
        <c:axId val="467935304"/>
        <c:scaling>
          <c:orientation val="minMax"/>
        </c:scaling>
        <c:axPos val="l"/>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67938952"/>
        <c:crosses val="autoZero"/>
        <c:auto val="1"/>
        <c:lblAlgn val="ctr"/>
        <c:lblOffset val="100"/>
        <c:tickLblSkip val="1"/>
        <c:tickMarkSkip val="1"/>
      </c:catAx>
      <c:valAx>
        <c:axId val="467938952"/>
        <c:scaling>
          <c:orientation val="minMax"/>
        </c:scaling>
        <c:axPos val="b"/>
        <c:numFmt formatCode="#,##0" sourceLinked="0"/>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67935304"/>
        <c:crosses val="autoZero"/>
        <c:crossBetween val="between"/>
      </c:valAx>
      <c:spPr>
        <a:solidFill>
          <a:srgbClr val="FFFFFF"/>
        </a:solidFill>
        <a:ln w="12700">
          <a:solidFill>
            <a:srgbClr val="808080"/>
          </a:solidFill>
          <a:prstDash val="solid"/>
        </a:ln>
      </c:spPr>
    </c:plotArea>
    <c:legend>
      <c:legendPos val="t"/>
      <c:layout>
        <c:manualLayout>
          <c:xMode val="edge"/>
          <c:yMode val="edge"/>
          <c:wMode val="edge"/>
          <c:hMode val="edge"/>
          <c:x val="0.310764435695538"/>
          <c:y val="0.0293040293040293"/>
          <c:w val="0.854168143044619"/>
          <c:h val="0.117216501783431"/>
        </c:manualLayout>
      </c:layout>
      <c:spPr>
        <a:solidFill>
          <a:srgbClr val="FFFFFF"/>
        </a:solidFill>
        <a:ln w="3175">
          <a:solidFill>
            <a:srgbClr val="000000"/>
          </a:solidFill>
          <a:prstDash val="solid"/>
        </a:ln>
      </c:spPr>
      <c:txPr>
        <a:bodyPr/>
        <a:lstStyle/>
        <a:p>
          <a:pPr>
            <a:defRPr sz="845"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0" l="0.75" r="0.75" t="1.0"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9525</xdr:colOff>
      <xdr:row>8</xdr:row>
      <xdr:rowOff>9525</xdr:rowOff>
    </xdr:from>
    <xdr:to>
      <xdr:col>20</xdr:col>
      <xdr:colOff>0</xdr:colOff>
      <xdr:row>24</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38</xdr:row>
      <xdr:rowOff>28575</xdr:rowOff>
    </xdr:from>
    <xdr:to>
      <xdr:col>22</xdr:col>
      <xdr:colOff>0</xdr:colOff>
      <xdr:row>54</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whfinch/Downloads/revenue07/revenue0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whfinch/Downloads/NJ%20State%20&amp;%20District%20%20Data%20Templ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Larry%20Maloney/My%20Documents/Aspire%20Consulting/BSU%20Charter%20Revenue%20Study/New%20Jersey%20-%20Larry/07%20PAYMENTSTOCHARTERSCHOOLS.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nr send dist"/>
      <sheetName val="State Chart"/>
      <sheetName val="rev send dist only"/>
      <sheetName val="Master Revised"/>
      <sheetName val="Master"/>
      <sheetName val="State Dist"/>
      <sheetName val="PreK"/>
      <sheetName val="Sheet1"/>
    </sheetNames>
    <sheetDataSet>
      <sheetData sheetId="0"/>
      <sheetData sheetId="1">
        <row r="57">
          <cell r="F57">
            <v>15738.8</v>
          </cell>
          <cell r="CL57">
            <v>195816131.10661399</v>
          </cell>
        </row>
        <row r="58">
          <cell r="N58">
            <v>2314.9005932053378</v>
          </cell>
          <cell r="AV58">
            <v>8911.6816180568931</v>
          </cell>
          <cell r="BF58">
            <v>1140.7799196889216</v>
          </cell>
          <cell r="CC58">
            <v>63.305207512643918</v>
          </cell>
          <cell r="CK58">
            <v>10.950263044196509</v>
          </cell>
          <cell r="CL58">
            <v>12441.617601507991</v>
          </cell>
        </row>
        <row r="68">
          <cell r="F68">
            <v>2947</v>
          </cell>
          <cell r="CL68">
            <v>35028218</v>
          </cell>
        </row>
        <row r="69">
          <cell r="N69">
            <v>2083.2195367716563</v>
          </cell>
          <cell r="AV69">
            <v>8585.1296318744244</v>
          </cell>
          <cell r="BF69">
            <v>1139.3091279267051</v>
          </cell>
          <cell r="CC69">
            <v>78.401425178147264</v>
          </cell>
          <cell r="CK69">
            <v>0</v>
          </cell>
          <cell r="CL69">
            <v>11886.059721750931</v>
          </cell>
        </row>
        <row r="82">
          <cell r="F82">
            <v>3456.3</v>
          </cell>
          <cell r="CL82">
            <v>40360300</v>
          </cell>
        </row>
        <row r="83">
          <cell r="N83">
            <v>1332.5718701059984</v>
          </cell>
          <cell r="AV83">
            <v>9114.2903814346664</v>
          </cell>
          <cell r="BF83">
            <v>1217.9402829615485</v>
          </cell>
          <cell r="CC83">
            <v>12.511356074414836</v>
          </cell>
          <cell r="CK83">
            <v>0</v>
          </cell>
          <cell r="CL83">
            <v>11677.313890576628</v>
          </cell>
        </row>
        <row r="89">
          <cell r="F89">
            <v>1422.5</v>
          </cell>
          <cell r="CL89">
            <v>17992930</v>
          </cell>
        </row>
        <row r="90">
          <cell r="N90">
            <v>1918.519887696054</v>
          </cell>
          <cell r="AV90">
            <v>9491.2024321633471</v>
          </cell>
          <cell r="BF90">
            <v>1239.0861159929702</v>
          </cell>
          <cell r="CC90">
            <v>0</v>
          </cell>
          <cell r="CK90">
            <v>0</v>
          </cell>
          <cell r="CL90">
            <v>12648.80843585237</v>
          </cell>
        </row>
      </sheetData>
      <sheetData sheetId="2"/>
      <sheetData sheetId="3"/>
      <sheetData sheetId="4"/>
      <sheetData sheetId="5">
        <row r="617">
          <cell r="F617">
            <v>1331638</v>
          </cell>
          <cell r="CL617">
            <v>22784614225</v>
          </cell>
        </row>
        <row r="618">
          <cell r="O618">
            <v>9080.4845295793602</v>
          </cell>
          <cell r="AV618">
            <v>6503.1245646339321</v>
          </cell>
          <cell r="BF618">
            <v>549.52683236735504</v>
          </cell>
          <cell r="CC618">
            <v>541.00187288136863</v>
          </cell>
          <cell r="CK618">
            <v>436.07850932460622</v>
          </cell>
          <cell r="CL618">
            <v>17110.216308786621</v>
          </cell>
        </row>
        <row r="622">
          <cell r="F622">
            <v>28910</v>
          </cell>
        </row>
        <row r="624">
          <cell r="CL624">
            <v>634619678</v>
          </cell>
        </row>
        <row r="625">
          <cell r="O625">
            <v>3152.3880664130061</v>
          </cell>
          <cell r="AV625">
            <v>17347.825942580421</v>
          </cell>
          <cell r="BF625">
            <v>1314.3846765824974</v>
          </cell>
          <cell r="CC625">
            <v>136.96402628848151</v>
          </cell>
          <cell r="CK625">
            <v>0</v>
          </cell>
          <cell r="CL625">
            <v>21951.562711864404</v>
          </cell>
        </row>
        <row r="629">
          <cell r="F629">
            <v>41266</v>
          </cell>
        </row>
        <row r="631">
          <cell r="CL631">
            <v>973632249</v>
          </cell>
        </row>
        <row r="632">
          <cell r="O632">
            <v>2254.5848640527311</v>
          </cell>
          <cell r="AV632">
            <v>17448.687587844714</v>
          </cell>
          <cell r="BF632">
            <v>1625.783211360442</v>
          </cell>
          <cell r="CC632">
            <v>2252.0969320990648</v>
          </cell>
          <cell r="CK632">
            <v>12.901807783647556</v>
          </cell>
          <cell r="CL632">
            <v>23594.054403140599</v>
          </cell>
        </row>
        <row r="636">
          <cell r="F636">
            <v>12047.5</v>
          </cell>
        </row>
        <row r="638">
          <cell r="CL638">
            <v>284986624</v>
          </cell>
        </row>
        <row r="639">
          <cell r="O639">
            <v>956.7067856401743</v>
          </cell>
          <cell r="AV639">
            <v>21332.86673583731</v>
          </cell>
          <cell r="BF639">
            <v>1251.6224942934218</v>
          </cell>
          <cell r="CC639">
            <v>114.05395310230338</v>
          </cell>
          <cell r="CK639">
            <v>0</v>
          </cell>
          <cell r="CL639">
            <v>23655.249968873206</v>
          </cell>
        </row>
      </sheetData>
      <sheetData sheetId="6"/>
      <sheetData sheetId="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Worksheet"/>
      <sheetName val="Figures 1,2,4"/>
      <sheetName val="Figure 3 Policies"/>
      <sheetName val="Figure 5 Characteristics"/>
      <sheetName val="Figure 6 Findings"/>
    </sheetNames>
    <sheetDataSet>
      <sheetData sheetId="0" refreshError="1"/>
      <sheetData sheetId="1">
        <row r="2">
          <cell r="N2" t="str">
            <v>District</v>
          </cell>
          <cell r="O2" t="str">
            <v>Charter</v>
          </cell>
          <cell r="P2" t="str">
            <v>Difference</v>
          </cell>
        </row>
        <row r="3">
          <cell r="M3" t="str">
            <v>State</v>
          </cell>
          <cell r="N3">
            <v>17110.216308786621</v>
          </cell>
          <cell r="O3">
            <v>12441.617601507991</v>
          </cell>
          <cell r="P3">
            <v>4668.5987072786302</v>
          </cell>
        </row>
        <row r="4">
          <cell r="M4" t="str">
            <v>Statewide Weighted</v>
          </cell>
          <cell r="N4">
            <v>19837</v>
          </cell>
          <cell r="O4">
            <v>12442</v>
          </cell>
          <cell r="P4">
            <v>7395</v>
          </cell>
        </row>
        <row r="5">
          <cell r="M5" t="str">
            <v>Jersey City</v>
          </cell>
          <cell r="N5">
            <v>21951.562711864404</v>
          </cell>
          <cell r="O5">
            <v>11886.059721750931</v>
          </cell>
          <cell r="P5">
            <v>10065.502990113473</v>
          </cell>
        </row>
        <row r="6">
          <cell r="M6" t="str">
            <v>Newark</v>
          </cell>
          <cell r="N6">
            <v>23594.054403140599</v>
          </cell>
          <cell r="O6">
            <v>11677.313890576628</v>
          </cell>
          <cell r="P6">
            <v>11916.740512563971</v>
          </cell>
        </row>
        <row r="28">
          <cell r="N28" t="str">
            <v xml:space="preserve">Federal </v>
          </cell>
          <cell r="O28" t="str">
            <v>State</v>
          </cell>
          <cell r="P28" t="str">
            <v>Local</v>
          </cell>
          <cell r="Q28" t="str">
            <v xml:space="preserve">Other </v>
          </cell>
          <cell r="R28" t="str">
            <v>Indeterminate</v>
          </cell>
        </row>
        <row r="29">
          <cell r="M29" t="str">
            <v>Statewide District</v>
          </cell>
          <cell r="N29">
            <v>549.52683236735504</v>
          </cell>
          <cell r="O29">
            <v>6503.1245646339321</v>
          </cell>
          <cell r="P29">
            <v>9080.4845295793602</v>
          </cell>
          <cell r="Q29">
            <v>541.00187288136863</v>
          </cell>
          <cell r="R29">
            <v>436.07850932460622</v>
          </cell>
        </row>
        <row r="30">
          <cell r="M30" t="str">
            <v>Statewide Charter</v>
          </cell>
          <cell r="N30">
            <v>1140.7799196889216</v>
          </cell>
          <cell r="O30">
            <v>8911.6816180568931</v>
          </cell>
          <cell r="P30">
            <v>2314.9005932053378</v>
          </cell>
          <cell r="Q30">
            <v>63.305207512643918</v>
          </cell>
          <cell r="R30">
            <v>10.950263044196509</v>
          </cell>
        </row>
        <row r="31">
          <cell r="M31" t="str">
            <v>Statewide Weighted</v>
          </cell>
          <cell r="N31">
            <v>963</v>
          </cell>
          <cell r="O31">
            <v>11898</v>
          </cell>
          <cell r="P31">
            <v>5959</v>
          </cell>
          <cell r="Q31">
            <v>781</v>
          </cell>
          <cell r="R31">
            <v>236</v>
          </cell>
        </row>
        <row r="32">
          <cell r="M32" t="str">
            <v>Jersey City District</v>
          </cell>
          <cell r="N32">
            <v>1314.3846765824974</v>
          </cell>
          <cell r="O32">
            <v>17347.825942580421</v>
          </cell>
          <cell r="P32">
            <v>3152.3880664130061</v>
          </cell>
          <cell r="Q32">
            <v>136.96402628848151</v>
          </cell>
          <cell r="R32">
            <v>0</v>
          </cell>
        </row>
        <row r="33">
          <cell r="M33" t="str">
            <v>Jersey City Charter</v>
          </cell>
          <cell r="N33">
            <v>1139.3091279267051</v>
          </cell>
          <cell r="O33">
            <v>8585.1296318744244</v>
          </cell>
          <cell r="P33">
            <v>2083.2195367716563</v>
          </cell>
          <cell r="Q33">
            <v>78.401425178147264</v>
          </cell>
          <cell r="R33">
            <v>0</v>
          </cell>
        </row>
        <row r="34">
          <cell r="M34" t="str">
            <v>Newark District</v>
          </cell>
          <cell r="N34">
            <v>1625.783211360442</v>
          </cell>
          <cell r="O34">
            <v>17448.687587844714</v>
          </cell>
          <cell r="P34">
            <v>2254.5848640527311</v>
          </cell>
          <cell r="Q34">
            <v>2252.0969320990648</v>
          </cell>
          <cell r="R34">
            <v>12.901807783647556</v>
          </cell>
        </row>
        <row r="35">
          <cell r="M35" t="str">
            <v>Newark Charter</v>
          </cell>
          <cell r="N35">
            <v>1217.9402829615485</v>
          </cell>
          <cell r="O35">
            <v>9114.2903814346664</v>
          </cell>
          <cell r="P35">
            <v>1332.5718701059984</v>
          </cell>
          <cell r="Q35">
            <v>12.511356074414836</v>
          </cell>
          <cell r="R35">
            <v>0</v>
          </cell>
        </row>
        <row r="36">
          <cell r="M36" t="str">
            <v>Trenton District</v>
          </cell>
          <cell r="N36">
            <v>1251.6224942934218</v>
          </cell>
          <cell r="O36">
            <v>21332.86673583731</v>
          </cell>
          <cell r="P36">
            <v>956.7067856401743</v>
          </cell>
          <cell r="Q36">
            <v>114.05395310230338</v>
          </cell>
          <cell r="R36">
            <v>0</v>
          </cell>
        </row>
        <row r="37">
          <cell r="M37" t="str">
            <v>Trenton Charter</v>
          </cell>
          <cell r="N37">
            <v>1239.0861159929702</v>
          </cell>
          <cell r="O37">
            <v>9491.2024321633471</v>
          </cell>
          <cell r="P37">
            <v>1918.519887696054</v>
          </cell>
          <cell r="Q37">
            <v>0</v>
          </cell>
          <cell r="R37">
            <v>0</v>
          </cell>
        </row>
      </sheetData>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istrict payments Archive"/>
      <sheetName val="Statewide"/>
      <sheetName val="Select Districts"/>
    </sheetNames>
    <sheetDataSet>
      <sheetData sheetId="0" refreshError="1"/>
      <sheetData sheetId="1" refreshError="1">
        <row r="421">
          <cell r="G421">
            <v>-44687667</v>
          </cell>
          <cell r="H421">
            <v>-98011115</v>
          </cell>
        </row>
      </sheetData>
      <sheetData sheetId="2" refreshError="1">
        <row r="13">
          <cell r="G13">
            <v>-7450783</v>
          </cell>
          <cell r="H13">
            <v>-20095746</v>
          </cell>
        </row>
        <row r="37">
          <cell r="G37">
            <v>-6007737</v>
          </cell>
          <cell r="H37">
            <v>-22870655</v>
          </cell>
        </row>
        <row r="48">
          <cell r="G48">
            <v>-12230448</v>
          </cell>
          <cell r="H48">
            <v>-13357607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2:D22"/>
  <sheetViews>
    <sheetView tabSelected="1" workbookViewId="0"/>
  </sheetViews>
  <sheetFormatPr baseColWidth="10" defaultColWidth="8.7109375" defaultRowHeight="13"/>
  <cols>
    <col min="3" max="3" width="1.85546875" customWidth="1"/>
    <col min="4" max="4" width="16.140625" bestFit="1" customWidth="1"/>
  </cols>
  <sheetData>
    <row r="2" spans="1:4">
      <c r="A2" t="s">
        <v>75</v>
      </c>
    </row>
    <row r="3" spans="1:4">
      <c r="A3" s="143"/>
      <c r="B3" s="144"/>
      <c r="C3" s="145"/>
      <c r="D3" s="146" t="s">
        <v>723</v>
      </c>
    </row>
    <row r="4" spans="1:4">
      <c r="A4" s="147"/>
      <c r="B4" s="145"/>
      <c r="C4" s="145"/>
      <c r="D4" s="146"/>
    </row>
    <row r="5" spans="1:4">
      <c r="A5" s="148"/>
      <c r="B5" s="149"/>
      <c r="C5" s="145"/>
      <c r="D5" s="146" t="s">
        <v>725</v>
      </c>
    </row>
    <row r="6" spans="1:4">
      <c r="A6" s="147"/>
      <c r="B6" s="145"/>
      <c r="C6" s="145"/>
      <c r="D6" s="146"/>
    </row>
    <row r="7" spans="1:4">
      <c r="A7" s="150"/>
      <c r="B7" s="151"/>
      <c r="C7" s="145"/>
      <c r="D7" s="146" t="s">
        <v>743</v>
      </c>
    </row>
    <row r="8" spans="1:4">
      <c r="A8" s="147"/>
      <c r="B8" s="145"/>
      <c r="C8" s="145"/>
      <c r="D8" s="146"/>
    </row>
    <row r="9" spans="1:4">
      <c r="A9" s="152"/>
      <c r="B9" s="153"/>
      <c r="C9" s="145"/>
      <c r="D9" s="146" t="s">
        <v>614</v>
      </c>
    </row>
    <row r="10" spans="1:4">
      <c r="A10" s="147"/>
      <c r="B10" s="145"/>
      <c r="C10" s="145"/>
      <c r="D10" s="146"/>
    </row>
    <row r="11" spans="1:4">
      <c r="A11" s="154"/>
      <c r="B11" s="155"/>
      <c r="C11" s="145"/>
      <c r="D11" s="146" t="s">
        <v>1196</v>
      </c>
    </row>
    <row r="12" spans="1:4">
      <c r="A12" s="147"/>
      <c r="B12" s="145"/>
      <c r="C12" s="145"/>
      <c r="D12" s="146"/>
    </row>
    <row r="13" spans="1:4">
      <c r="A13" s="103"/>
      <c r="B13" s="103"/>
      <c r="C13" s="145"/>
      <c r="D13" s="157" t="s">
        <v>76</v>
      </c>
    </row>
    <row r="14" spans="1:4">
      <c r="A14" s="147"/>
      <c r="B14" s="145"/>
      <c r="C14" s="145"/>
      <c r="D14" s="146"/>
    </row>
    <row r="15" spans="1:4">
      <c r="A15" s="131"/>
      <c r="B15" s="131"/>
      <c r="C15" s="145"/>
      <c r="D15" s="157" t="s">
        <v>77</v>
      </c>
    </row>
    <row r="18" spans="1:2">
      <c r="A18" t="s">
        <v>20</v>
      </c>
      <c r="B18" t="s">
        <v>23</v>
      </c>
    </row>
    <row r="20" spans="1:2">
      <c r="A20" t="s">
        <v>24</v>
      </c>
    </row>
    <row r="21" spans="1:2">
      <c r="A21" t="s">
        <v>21</v>
      </c>
    </row>
    <row r="22" spans="1:2">
      <c r="A22" t="s">
        <v>22</v>
      </c>
    </row>
  </sheetData>
  <phoneticPr fontId="21" type="noConversion"/>
  <pageMargins left="0.7" right="0.7" top="0.75" bottom="0.75" header="0.3" footer="0.3"/>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Z37"/>
  <sheetViews>
    <sheetView workbookViewId="0">
      <selection activeCell="J29" sqref="J29"/>
    </sheetView>
  </sheetViews>
  <sheetFormatPr baseColWidth="10" defaultColWidth="8.7109375" defaultRowHeight="13"/>
  <cols>
    <col min="1" max="1" width="16.7109375" customWidth="1"/>
    <col min="52" max="52" width="10.42578125" customWidth="1"/>
  </cols>
  <sheetData>
    <row r="1" spans="1:52">
      <c r="A1" t="s">
        <v>78</v>
      </c>
      <c r="M1" s="163" t="s">
        <v>79</v>
      </c>
      <c r="N1" s="163"/>
      <c r="O1" s="163"/>
      <c r="P1" s="163"/>
      <c r="Q1" s="163"/>
      <c r="R1" s="163"/>
      <c r="S1" s="163"/>
      <c r="T1" s="163"/>
      <c r="U1" s="163"/>
      <c r="V1" s="163"/>
      <c r="W1" s="163"/>
      <c r="X1" s="163"/>
      <c r="Y1" s="163"/>
      <c r="Z1" s="163"/>
    </row>
    <row r="2" spans="1:52" ht="26">
      <c r="A2" s="164" t="s">
        <v>80</v>
      </c>
      <c r="B2" s="208" t="s">
        <v>81</v>
      </c>
      <c r="C2" s="208"/>
      <c r="D2" s="209" t="s">
        <v>82</v>
      </c>
      <c r="E2" s="210"/>
      <c r="F2" s="208" t="s">
        <v>657</v>
      </c>
      <c r="G2" s="208"/>
      <c r="H2" s="208" t="s">
        <v>667</v>
      </c>
      <c r="I2" s="208"/>
      <c r="J2" s="208" t="s">
        <v>673</v>
      </c>
      <c r="K2" s="208"/>
      <c r="M2" s="163"/>
      <c r="N2" s="163" t="s">
        <v>83</v>
      </c>
      <c r="O2" s="163" t="s">
        <v>84</v>
      </c>
      <c r="P2" s="163" t="s">
        <v>85</v>
      </c>
      <c r="Q2" s="163"/>
      <c r="R2" s="165" t="s">
        <v>86</v>
      </c>
      <c r="S2" s="166"/>
      <c r="T2" s="166"/>
      <c r="U2" s="166"/>
      <c r="V2" s="166"/>
      <c r="W2" s="166"/>
      <c r="X2" s="166"/>
      <c r="Y2" s="166"/>
      <c r="Z2" s="167"/>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row>
    <row r="3" spans="1:52">
      <c r="A3" s="168" t="s">
        <v>87</v>
      </c>
      <c r="B3" s="169"/>
      <c r="C3" s="169"/>
      <c r="D3" s="170"/>
      <c r="E3" s="170"/>
      <c r="F3" s="169"/>
      <c r="G3" s="169"/>
      <c r="H3" s="169"/>
      <c r="I3" s="169"/>
      <c r="J3" s="169"/>
      <c r="K3" s="171"/>
      <c r="M3" s="172" t="s">
        <v>725</v>
      </c>
      <c r="N3" s="173">
        <v>17110.216308786621</v>
      </c>
      <c r="O3" s="173">
        <v>12441.617601507991</v>
      </c>
      <c r="P3" s="173">
        <v>4668.5987072786302</v>
      </c>
      <c r="Q3" s="163"/>
      <c r="R3" s="165" t="s">
        <v>88</v>
      </c>
      <c r="S3" s="166"/>
      <c r="T3" s="166"/>
      <c r="U3" s="166"/>
      <c r="V3" s="166"/>
      <c r="W3" s="166"/>
      <c r="X3" s="166"/>
      <c r="Y3" s="166"/>
      <c r="Z3" s="167"/>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row>
    <row r="4" spans="1:52">
      <c r="A4" s="174" t="s">
        <v>83</v>
      </c>
      <c r="B4" s="204">
        <f>'[1]State Dist'!$CL$618</f>
        <v>17110.216308786621</v>
      </c>
      <c r="C4" s="205"/>
      <c r="D4" s="206">
        <v>19837</v>
      </c>
      <c r="E4" s="207"/>
      <c r="F4" s="204">
        <f>'[1]State Dist'!$CL$625</f>
        <v>21951.562711864404</v>
      </c>
      <c r="G4" s="205"/>
      <c r="H4" s="204">
        <f>'[1]State Dist'!$CL$632</f>
        <v>23594.054403140599</v>
      </c>
      <c r="I4" s="205"/>
      <c r="J4" s="204">
        <f>'[1]State Dist'!$CL$639</f>
        <v>23655.249968873206</v>
      </c>
      <c r="K4" s="205"/>
      <c r="M4" s="172" t="s">
        <v>89</v>
      </c>
      <c r="N4" s="173">
        <v>19837</v>
      </c>
      <c r="O4" s="173">
        <v>12442</v>
      </c>
      <c r="P4" s="173">
        <v>7395</v>
      </c>
      <c r="Q4" s="163"/>
      <c r="R4" s="165"/>
      <c r="S4" s="166"/>
      <c r="T4" s="166"/>
      <c r="U4" s="166"/>
      <c r="V4" s="166"/>
      <c r="W4" s="166"/>
      <c r="X4" s="166"/>
      <c r="Y4" s="166"/>
      <c r="Z4" s="167"/>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row>
    <row r="5" spans="1:52">
      <c r="A5" s="174" t="s">
        <v>84</v>
      </c>
      <c r="B5" s="204">
        <f>'[1]State Chart'!$CL$58</f>
        <v>12441.617601507991</v>
      </c>
      <c r="C5" s="205"/>
      <c r="D5" s="206">
        <v>12442</v>
      </c>
      <c r="E5" s="207"/>
      <c r="F5" s="204">
        <f>'[1]State Chart'!$CL$69</f>
        <v>11886.059721750931</v>
      </c>
      <c r="G5" s="205"/>
      <c r="H5" s="204">
        <f>'[1]State Chart'!$CL$83</f>
        <v>11677.313890576628</v>
      </c>
      <c r="I5" s="205"/>
      <c r="J5" s="204">
        <f>'[1]State Chart'!$CL$90</f>
        <v>12648.80843585237</v>
      </c>
      <c r="K5" s="205"/>
      <c r="M5" s="172" t="s">
        <v>657</v>
      </c>
      <c r="N5" s="173">
        <v>21951.562711864404</v>
      </c>
      <c r="O5" s="173">
        <v>11886.059721750931</v>
      </c>
      <c r="P5" s="173">
        <v>10065.502990113473</v>
      </c>
      <c r="Q5" s="163"/>
      <c r="R5" s="165" t="s">
        <v>90</v>
      </c>
      <c r="S5" s="166"/>
      <c r="T5" s="166"/>
      <c r="U5" s="165"/>
      <c r="V5" s="165"/>
      <c r="W5" s="165"/>
      <c r="X5" s="165"/>
      <c r="Y5" s="165"/>
      <c r="Z5" s="175"/>
      <c r="AA5" s="176"/>
      <c r="AB5" s="176"/>
      <c r="AC5" s="176"/>
      <c r="AD5" s="176"/>
      <c r="AE5" s="176"/>
      <c r="AF5" s="176"/>
      <c r="AG5" s="176"/>
      <c r="AH5" s="176"/>
      <c r="AI5" s="176"/>
      <c r="AJ5" s="176"/>
      <c r="AK5" s="176"/>
      <c r="AL5" s="176"/>
      <c r="AM5" s="176"/>
      <c r="AN5" s="176"/>
      <c r="AO5" s="176"/>
      <c r="AP5" s="176"/>
      <c r="AQ5" s="176"/>
      <c r="AR5" s="176"/>
      <c r="AS5" s="176"/>
      <c r="AT5" s="176"/>
      <c r="AU5" s="176"/>
      <c r="AV5" s="176"/>
      <c r="AW5" s="176"/>
      <c r="AX5" s="176"/>
      <c r="AY5" s="176"/>
      <c r="AZ5" s="176"/>
    </row>
    <row r="6" spans="1:52">
      <c r="A6" s="211" t="s">
        <v>85</v>
      </c>
      <c r="B6" s="204">
        <f>B4-B5</f>
        <v>4668.5987072786302</v>
      </c>
      <c r="C6" s="205"/>
      <c r="D6" s="206">
        <v>7395</v>
      </c>
      <c r="E6" s="207"/>
      <c r="F6" s="204">
        <f>F4-F5</f>
        <v>10065.502990113473</v>
      </c>
      <c r="G6" s="205"/>
      <c r="H6" s="204">
        <f>H4-H5</f>
        <v>11916.740512563971</v>
      </c>
      <c r="I6" s="205"/>
      <c r="J6" s="204">
        <f>J4-J5</f>
        <v>11006.441533020836</v>
      </c>
      <c r="K6" s="205"/>
      <c r="M6" s="172" t="s">
        <v>667</v>
      </c>
      <c r="N6" s="173">
        <v>23594.054403140599</v>
      </c>
      <c r="O6" s="173">
        <v>11677.313890576628</v>
      </c>
      <c r="P6" s="173">
        <v>11916.740512563971</v>
      </c>
      <c r="Q6" s="163"/>
      <c r="R6" s="165" t="s">
        <v>91</v>
      </c>
      <c r="S6" s="165"/>
      <c r="T6" s="165"/>
      <c r="U6" s="166"/>
      <c r="V6" s="166"/>
      <c r="W6" s="166"/>
      <c r="X6" s="166"/>
      <c r="Y6" s="166"/>
      <c r="Z6" s="167"/>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row>
    <row r="7" spans="1:52">
      <c r="A7" s="212"/>
      <c r="B7" s="213">
        <f>B6/B4</f>
        <v>0.27285445274477105</v>
      </c>
      <c r="C7" s="214"/>
      <c r="D7" s="217">
        <v>0.373</v>
      </c>
      <c r="E7" s="218"/>
      <c r="F7" s="213">
        <f>F6/F4</f>
        <v>0.45853241166622088</v>
      </c>
      <c r="G7" s="214"/>
      <c r="H7" s="213">
        <f>H6/H4</f>
        <v>0.50507387619559507</v>
      </c>
      <c r="I7" s="214"/>
      <c r="J7" s="213">
        <f>J6/J4</f>
        <v>0.46528536149496103</v>
      </c>
      <c r="K7" s="214"/>
      <c r="M7" s="172" t="s">
        <v>673</v>
      </c>
      <c r="N7" s="173">
        <v>23655.249968873206</v>
      </c>
      <c r="O7" s="173">
        <v>12648.80843585237</v>
      </c>
      <c r="P7" s="173">
        <v>11006.441533020836</v>
      </c>
      <c r="Q7" s="163"/>
      <c r="R7" s="165" t="s">
        <v>92</v>
      </c>
      <c r="S7" s="166"/>
      <c r="T7" s="166"/>
      <c r="U7" s="163"/>
      <c r="V7" s="163"/>
      <c r="W7" s="163"/>
      <c r="X7" s="163"/>
      <c r="Y7" s="163"/>
      <c r="Z7" s="163"/>
    </row>
    <row r="8" spans="1:52" ht="26">
      <c r="A8" s="177" t="s">
        <v>93</v>
      </c>
      <c r="B8" s="178" t="s">
        <v>94</v>
      </c>
      <c r="C8" s="178" t="s">
        <v>84</v>
      </c>
      <c r="D8" s="179" t="s">
        <v>94</v>
      </c>
      <c r="E8" s="179" t="s">
        <v>84</v>
      </c>
      <c r="F8" s="178" t="s">
        <v>94</v>
      </c>
      <c r="G8" s="178" t="s">
        <v>84</v>
      </c>
      <c r="H8" s="178" t="s">
        <v>94</v>
      </c>
      <c r="I8" s="178" t="s">
        <v>84</v>
      </c>
      <c r="J8" s="178" t="s">
        <v>94</v>
      </c>
      <c r="K8" s="178" t="s">
        <v>84</v>
      </c>
      <c r="M8" s="180" t="s">
        <v>95</v>
      </c>
      <c r="N8" s="180"/>
      <c r="O8" s="180"/>
      <c r="P8" s="180"/>
      <c r="Q8" s="180"/>
      <c r="R8" s="180"/>
      <c r="S8" s="180"/>
      <c r="T8" s="180"/>
      <c r="U8" s="163"/>
      <c r="V8" s="163"/>
      <c r="W8" s="163"/>
      <c r="X8" s="163"/>
      <c r="Y8" s="163"/>
      <c r="Z8" s="163"/>
    </row>
    <row r="9" spans="1:52">
      <c r="A9" s="174" t="s">
        <v>743</v>
      </c>
      <c r="B9" s="181">
        <f>'[1]State Dist'!$BF$618</f>
        <v>549.52683236735504</v>
      </c>
      <c r="C9" s="181">
        <f>'[1]State Chart'!$BF$58</f>
        <v>1140.7799196889216</v>
      </c>
      <c r="D9" s="182">
        <v>963</v>
      </c>
      <c r="E9" s="182">
        <v>1140.7799196889216</v>
      </c>
      <c r="F9" s="181">
        <f>'[1]State Dist'!$BF$625</f>
        <v>1314.3846765824974</v>
      </c>
      <c r="G9" s="181">
        <f>'[1]State Chart'!$BF$69</f>
        <v>1139.3091279267051</v>
      </c>
      <c r="H9" s="181">
        <f>'[1]State Dist'!$BF$632</f>
        <v>1625.783211360442</v>
      </c>
      <c r="I9" s="181">
        <f>'[1]State Chart'!$BF$83</f>
        <v>1217.9402829615485</v>
      </c>
      <c r="J9" s="181">
        <f>'[1]State Dist'!$BF$639</f>
        <v>1251.6224942934218</v>
      </c>
      <c r="K9" s="181">
        <f>'[1]State Chart'!$BF$90</f>
        <v>1239.0861159929702</v>
      </c>
      <c r="M9" s="163"/>
      <c r="N9" s="163"/>
      <c r="O9" s="163"/>
      <c r="P9" s="163"/>
      <c r="Q9" s="163"/>
      <c r="R9" s="163"/>
      <c r="S9" s="163"/>
      <c r="T9" s="163"/>
      <c r="U9" s="163"/>
      <c r="V9" s="163"/>
      <c r="W9" s="163"/>
      <c r="X9" s="163"/>
      <c r="Y9" s="163"/>
      <c r="Z9" s="163"/>
    </row>
    <row r="10" spans="1:52">
      <c r="A10" s="174" t="s">
        <v>725</v>
      </c>
      <c r="B10" s="181">
        <f>'[1]State Dist'!$AV$618</f>
        <v>6503.1245646339321</v>
      </c>
      <c r="C10" s="181">
        <f>'[1]State Chart'!$AV$58</f>
        <v>8911.6816180568931</v>
      </c>
      <c r="D10" s="182">
        <v>11898</v>
      </c>
      <c r="E10" s="182">
        <v>8911.6816180568931</v>
      </c>
      <c r="F10" s="181">
        <f>'[1]State Dist'!$AV$625</f>
        <v>17347.825942580421</v>
      </c>
      <c r="G10" s="181">
        <f>'[1]State Chart'!$AV$69</f>
        <v>8585.1296318744244</v>
      </c>
      <c r="H10" s="181">
        <f>'[1]State Dist'!$AV$632</f>
        <v>17448.687587844714</v>
      </c>
      <c r="I10" s="181">
        <f>'[1]State Chart'!$AV$83</f>
        <v>9114.2903814346664</v>
      </c>
      <c r="J10" s="181">
        <f>'[1]State Dist'!$AV$639</f>
        <v>21332.86673583731</v>
      </c>
      <c r="K10" s="181">
        <f>'[1]State Chart'!$AV$90</f>
        <v>9491.2024321633471</v>
      </c>
      <c r="M10" s="163"/>
      <c r="N10" s="163"/>
      <c r="O10" s="163"/>
      <c r="P10" s="163"/>
      <c r="Q10" s="163"/>
      <c r="R10" s="163"/>
      <c r="S10" s="163"/>
      <c r="T10" s="163"/>
      <c r="U10" s="163"/>
      <c r="V10" s="163"/>
      <c r="W10" s="163"/>
      <c r="X10" s="163"/>
      <c r="Y10" s="163"/>
      <c r="Z10" s="163"/>
    </row>
    <row r="11" spans="1:52">
      <c r="A11" s="174" t="s">
        <v>723</v>
      </c>
      <c r="B11" s="181">
        <f>'[1]State Dist'!$O$618</f>
        <v>9080.4845295793602</v>
      </c>
      <c r="C11" s="181">
        <f>'[1]State Chart'!$N$58</f>
        <v>2314.9005932053378</v>
      </c>
      <c r="D11" s="182">
        <v>5959</v>
      </c>
      <c r="E11" s="182">
        <v>2314.9005932053378</v>
      </c>
      <c r="F11" s="181">
        <f>'[1]State Dist'!$O$625</f>
        <v>3152.3880664130061</v>
      </c>
      <c r="G11" s="181">
        <f>'[1]State Chart'!$N$69</f>
        <v>2083.2195367716563</v>
      </c>
      <c r="H11" s="181">
        <f>'[1]State Dist'!$O$632</f>
        <v>2254.5848640527311</v>
      </c>
      <c r="I11" s="181">
        <f>'[1]State Chart'!$N$83</f>
        <v>1332.5718701059984</v>
      </c>
      <c r="J11" s="181">
        <f>'[1]State Dist'!$O$639</f>
        <v>956.7067856401743</v>
      </c>
      <c r="K11" s="181">
        <f>'[1]State Chart'!$N$90</f>
        <v>1918.519887696054</v>
      </c>
      <c r="M11" s="163"/>
      <c r="N11" s="163"/>
      <c r="O11" s="163"/>
      <c r="P11" s="163"/>
      <c r="Q11" s="163"/>
      <c r="R11" s="163"/>
      <c r="S11" s="163"/>
      <c r="T11" s="163"/>
      <c r="U11" s="163"/>
      <c r="V11" s="163"/>
      <c r="W11" s="163"/>
      <c r="X11" s="163"/>
      <c r="Y11" s="163"/>
      <c r="Z11" s="163"/>
    </row>
    <row r="12" spans="1:52">
      <c r="A12" s="174" t="s">
        <v>614</v>
      </c>
      <c r="B12" s="181">
        <f>'[1]State Dist'!$CC$618</f>
        <v>541.00187288136863</v>
      </c>
      <c r="C12" s="181">
        <f>'[1]State Chart'!$CC$58</f>
        <v>63.305207512643918</v>
      </c>
      <c r="D12" s="182">
        <v>781</v>
      </c>
      <c r="E12" s="182">
        <v>63.305207512643918</v>
      </c>
      <c r="F12" s="181">
        <f>'[1]State Dist'!$CC$625</f>
        <v>136.96402628848151</v>
      </c>
      <c r="G12" s="181">
        <f>'[1]State Chart'!$CC$69</f>
        <v>78.401425178147264</v>
      </c>
      <c r="H12" s="181">
        <f>'[1]State Dist'!$CC$632</f>
        <v>2252.0969320990648</v>
      </c>
      <c r="I12" s="181">
        <f>'[1]State Chart'!$CC$83</f>
        <v>12.511356074414836</v>
      </c>
      <c r="J12" s="181">
        <f>'[1]State Dist'!$CC$639</f>
        <v>114.05395310230338</v>
      </c>
      <c r="K12" s="181">
        <f>'[1]State Chart'!$CC$90</f>
        <v>0</v>
      </c>
      <c r="M12" s="163"/>
      <c r="N12" s="163"/>
      <c r="O12" s="163"/>
      <c r="P12" s="163"/>
      <c r="Q12" s="163"/>
      <c r="R12" s="163"/>
      <c r="S12" s="163"/>
      <c r="T12" s="163"/>
      <c r="U12" s="163"/>
      <c r="V12" s="163"/>
      <c r="W12" s="163"/>
      <c r="X12" s="163"/>
      <c r="Y12" s="163"/>
      <c r="Z12" s="163"/>
    </row>
    <row r="13" spans="1:52">
      <c r="A13" s="174" t="s">
        <v>1196</v>
      </c>
      <c r="B13" s="181">
        <f>'[1]State Dist'!$CK$618</f>
        <v>436.07850932460622</v>
      </c>
      <c r="C13" s="181">
        <f>'[1]State Chart'!$CK$58</f>
        <v>10.950263044196509</v>
      </c>
      <c r="D13" s="182">
        <v>236</v>
      </c>
      <c r="E13" s="182">
        <v>10.950263044196509</v>
      </c>
      <c r="F13" s="181">
        <f>'[1]State Dist'!$CK$625</f>
        <v>0</v>
      </c>
      <c r="G13" s="181">
        <f>'[1]State Chart'!$CK$69</f>
        <v>0</v>
      </c>
      <c r="H13" s="181">
        <f>'[1]State Dist'!$CK$632</f>
        <v>12.901807783647556</v>
      </c>
      <c r="I13" s="181">
        <f>'[1]State Chart'!$CK$83</f>
        <v>0</v>
      </c>
      <c r="J13" s="181">
        <f>'[1]State Dist'!$CK$639</f>
        <v>0</v>
      </c>
      <c r="K13" s="181">
        <f>'[1]State Chart'!$CK$90</f>
        <v>0</v>
      </c>
      <c r="M13" s="163"/>
      <c r="N13" s="163"/>
      <c r="O13" s="163"/>
      <c r="P13" s="163"/>
      <c r="Q13" s="163"/>
      <c r="R13" s="163"/>
      <c r="S13" s="163"/>
      <c r="T13" s="163"/>
      <c r="U13" s="163"/>
      <c r="V13" s="163"/>
      <c r="W13" s="163"/>
      <c r="X13" s="163"/>
      <c r="Y13" s="163"/>
      <c r="Z13" s="163"/>
    </row>
    <row r="14" spans="1:52">
      <c r="A14" s="174" t="s">
        <v>96</v>
      </c>
      <c r="B14" s="181">
        <f>SUM(B9:B13)</f>
        <v>17110.216308786621</v>
      </c>
      <c r="C14" s="181">
        <f t="shared" ref="C14:K14" si="0">SUM(C9:C13)</f>
        <v>12441.617601507991</v>
      </c>
      <c r="D14" s="182">
        <v>19837</v>
      </c>
      <c r="E14" s="182">
        <v>12441.617601507991</v>
      </c>
      <c r="F14" s="181">
        <f t="shared" si="0"/>
        <v>21951.562711864404</v>
      </c>
      <c r="G14" s="181">
        <f t="shared" si="0"/>
        <v>11886.059721750931</v>
      </c>
      <c r="H14" s="181">
        <f t="shared" si="0"/>
        <v>23594.054403140603</v>
      </c>
      <c r="I14" s="181">
        <f t="shared" si="0"/>
        <v>11677.313890576628</v>
      </c>
      <c r="J14" s="181">
        <f t="shared" si="0"/>
        <v>23655.249968873206</v>
      </c>
      <c r="K14" s="181">
        <f t="shared" si="0"/>
        <v>12648.80843585237</v>
      </c>
      <c r="M14" s="163"/>
      <c r="N14" s="163"/>
      <c r="O14" s="163"/>
      <c r="P14" s="163"/>
      <c r="Q14" s="163"/>
      <c r="R14" s="163"/>
      <c r="S14" s="163"/>
      <c r="T14" s="163"/>
      <c r="U14" s="163"/>
      <c r="V14" s="163"/>
      <c r="W14" s="163"/>
      <c r="X14" s="163"/>
      <c r="Y14" s="163"/>
      <c r="Z14" s="163"/>
    </row>
    <row r="15" spans="1:52">
      <c r="A15" s="168" t="s">
        <v>505</v>
      </c>
      <c r="B15" s="183"/>
      <c r="C15" s="183"/>
      <c r="D15" s="184"/>
      <c r="E15" s="184"/>
      <c r="F15" s="183"/>
      <c r="G15" s="183"/>
      <c r="H15" s="183"/>
      <c r="I15" s="183"/>
      <c r="J15" s="183"/>
      <c r="K15" s="185"/>
      <c r="M15" s="163"/>
      <c r="N15" s="163"/>
      <c r="O15" s="163"/>
      <c r="P15" s="163"/>
      <c r="Q15" s="163"/>
      <c r="R15" s="163"/>
      <c r="S15" s="163"/>
      <c r="T15" s="163"/>
      <c r="U15" s="163"/>
      <c r="V15" s="163"/>
      <c r="W15" s="163"/>
      <c r="X15" s="163"/>
      <c r="Y15" s="163"/>
      <c r="Z15" s="163"/>
    </row>
    <row r="16" spans="1:52">
      <c r="A16" s="211" t="s">
        <v>83</v>
      </c>
      <c r="B16" s="219">
        <f>'[1]State Dist'!$F$617</f>
        <v>1331638</v>
      </c>
      <c r="C16" s="220"/>
      <c r="D16" s="215" t="s">
        <v>97</v>
      </c>
      <c r="E16" s="216"/>
      <c r="F16" s="219">
        <f>'[1]State Dist'!$F$622</f>
        <v>28910</v>
      </c>
      <c r="G16" s="220"/>
      <c r="H16" s="219">
        <f>'[1]State Dist'!$F$629</f>
        <v>41266</v>
      </c>
      <c r="I16" s="220"/>
      <c r="J16" s="219">
        <f>'[1]State Dist'!$F$636</f>
        <v>12047.5</v>
      </c>
      <c r="K16" s="220"/>
      <c r="M16" s="163"/>
      <c r="N16" s="163"/>
      <c r="O16" s="163"/>
      <c r="P16" s="163"/>
      <c r="Q16" s="163"/>
      <c r="R16" s="163"/>
      <c r="S16" s="163"/>
      <c r="T16" s="163"/>
      <c r="U16" s="163"/>
      <c r="V16" s="163"/>
      <c r="W16" s="163"/>
      <c r="X16" s="163"/>
      <c r="Y16" s="163"/>
      <c r="Z16" s="163"/>
    </row>
    <row r="17" spans="1:18">
      <c r="A17" s="212"/>
      <c r="B17" s="213">
        <f>B16/(B16+B18)</f>
        <v>0.98831893201664145</v>
      </c>
      <c r="C17" s="214"/>
      <c r="D17" s="215" t="s">
        <v>97</v>
      </c>
      <c r="E17" s="216"/>
      <c r="F17" s="213">
        <f>F16/(F16+F18)</f>
        <v>0.90749285871237095</v>
      </c>
      <c r="G17" s="214"/>
      <c r="H17" s="213">
        <f>H16/(H16+H18)</f>
        <v>0.92271640769817287</v>
      </c>
      <c r="I17" s="214"/>
      <c r="J17" s="213">
        <f>J16/(J16+J18)</f>
        <v>0.89439495174461769</v>
      </c>
      <c r="K17" s="214"/>
      <c r="M17" s="163"/>
      <c r="N17" s="163"/>
      <c r="O17" s="163"/>
      <c r="P17" s="163"/>
      <c r="Q17" s="163"/>
      <c r="R17" s="163"/>
    </row>
    <row r="18" spans="1:18">
      <c r="A18" s="211" t="s">
        <v>84</v>
      </c>
      <c r="B18" s="219">
        <f>'[1]State Chart'!$F$57</f>
        <v>15738.8</v>
      </c>
      <c r="C18" s="220"/>
      <c r="D18" s="215" t="s">
        <v>97</v>
      </c>
      <c r="E18" s="216"/>
      <c r="F18" s="219">
        <f>'[1]State Chart'!$F$68</f>
        <v>2947</v>
      </c>
      <c r="G18" s="220"/>
      <c r="H18" s="219">
        <f>'[1]State Chart'!$F$82</f>
        <v>3456.3</v>
      </c>
      <c r="I18" s="220"/>
      <c r="J18" s="219">
        <f>'[1]State Chart'!$F$89</f>
        <v>1422.5</v>
      </c>
      <c r="K18" s="220"/>
      <c r="M18" s="163"/>
      <c r="N18" s="163"/>
      <c r="O18" s="163"/>
      <c r="P18" s="163"/>
      <c r="Q18" s="163"/>
      <c r="R18" s="163"/>
    </row>
    <row r="19" spans="1:18">
      <c r="A19" s="212"/>
      <c r="B19" s="213">
        <f>B18/(B16+B18)</f>
        <v>1.1681067983358478E-2</v>
      </c>
      <c r="C19" s="214"/>
      <c r="D19" s="215" t="s">
        <v>97</v>
      </c>
      <c r="E19" s="216"/>
      <c r="F19" s="213">
        <f>F18/(F16+F18)</f>
        <v>9.2507141287629088E-2</v>
      </c>
      <c r="G19" s="214"/>
      <c r="H19" s="213">
        <f>H18/(H16+H18)</f>
        <v>7.7283592301827048E-2</v>
      </c>
      <c r="I19" s="214"/>
      <c r="J19" s="213">
        <f>J18/(J16+J18)</f>
        <v>0.10560504825538233</v>
      </c>
      <c r="K19" s="214"/>
      <c r="M19" s="163"/>
      <c r="N19" s="163"/>
      <c r="O19" s="163"/>
      <c r="P19" s="163"/>
      <c r="Q19" s="163"/>
      <c r="R19" s="163"/>
    </row>
    <row r="20" spans="1:18">
      <c r="A20" s="174" t="s">
        <v>98</v>
      </c>
      <c r="B20" s="221">
        <v>53</v>
      </c>
      <c r="C20" s="222"/>
      <c r="D20" s="215" t="s">
        <v>97</v>
      </c>
      <c r="E20" s="216"/>
      <c r="F20" s="221">
        <v>8</v>
      </c>
      <c r="G20" s="222"/>
      <c r="H20" s="221">
        <v>11</v>
      </c>
      <c r="I20" s="222"/>
      <c r="J20" s="221">
        <v>4</v>
      </c>
      <c r="K20" s="222"/>
      <c r="M20" s="163"/>
      <c r="N20" s="163"/>
      <c r="O20" s="163"/>
      <c r="P20" s="163"/>
      <c r="Q20" s="163"/>
      <c r="R20" s="163"/>
    </row>
    <row r="21" spans="1:18">
      <c r="A21" s="168" t="s">
        <v>99</v>
      </c>
      <c r="B21" s="169"/>
      <c r="C21" s="169"/>
      <c r="D21" s="170"/>
      <c r="E21" s="170"/>
      <c r="F21" s="169"/>
      <c r="G21" s="169"/>
      <c r="H21" s="169"/>
      <c r="I21" s="169"/>
      <c r="J21" s="169"/>
      <c r="K21" s="171"/>
      <c r="M21" s="163"/>
      <c r="N21" s="163"/>
      <c r="O21" s="163"/>
      <c r="P21" s="163"/>
      <c r="Q21" s="163"/>
      <c r="R21" s="163"/>
    </row>
    <row r="22" spans="1:18">
      <c r="A22" s="211" t="s">
        <v>83</v>
      </c>
      <c r="B22" s="204">
        <f>'[1]State Dist'!$CL$617</f>
        <v>22784614225</v>
      </c>
      <c r="C22" s="205"/>
      <c r="D22" s="206" t="s">
        <v>97</v>
      </c>
      <c r="E22" s="207"/>
      <c r="F22" s="204">
        <f>'[1]State Dist'!$CL$624</f>
        <v>634619678</v>
      </c>
      <c r="G22" s="205"/>
      <c r="H22" s="204">
        <f>'[1]State Dist'!$CL$631</f>
        <v>973632249</v>
      </c>
      <c r="I22" s="205"/>
      <c r="J22" s="204">
        <f>'[1]State Dist'!$CL$638</f>
        <v>284986624</v>
      </c>
      <c r="K22" s="205"/>
      <c r="M22" s="163"/>
      <c r="N22" s="163"/>
      <c r="O22" s="163"/>
      <c r="P22" s="163"/>
      <c r="Q22" s="163"/>
      <c r="R22" s="163"/>
    </row>
    <row r="23" spans="1:18">
      <c r="A23" s="212"/>
      <c r="B23" s="213">
        <f>B22/B26</f>
        <v>0.99147900504593556</v>
      </c>
      <c r="C23" s="214"/>
      <c r="D23" s="206" t="s">
        <v>97</v>
      </c>
      <c r="E23" s="207"/>
      <c r="F23" s="213">
        <f>F22/F26</f>
        <v>0.94769158805809195</v>
      </c>
      <c r="G23" s="214"/>
      <c r="H23" s="213">
        <f>H22/H26</f>
        <v>0.96019665032075108</v>
      </c>
      <c r="I23" s="214"/>
      <c r="J23" s="213">
        <f>J22/J26</f>
        <v>0.94061338541675987</v>
      </c>
      <c r="K23" s="214"/>
      <c r="M23" s="163"/>
      <c r="N23" s="163"/>
      <c r="O23" s="163"/>
      <c r="P23" s="163"/>
      <c r="Q23" s="163"/>
      <c r="R23" s="163"/>
    </row>
    <row r="24" spans="1:18">
      <c r="A24" s="211" t="s">
        <v>84</v>
      </c>
      <c r="B24" s="204">
        <f>'[1]State Chart'!$CL$57</f>
        <v>195816131.10661399</v>
      </c>
      <c r="C24" s="205"/>
      <c r="D24" s="206" t="s">
        <v>97</v>
      </c>
      <c r="E24" s="207"/>
      <c r="F24" s="204">
        <f>'[1]State Chart'!$CL$68</f>
        <v>35028218</v>
      </c>
      <c r="G24" s="205"/>
      <c r="H24" s="204">
        <f>'[1]State Chart'!$CL$82</f>
        <v>40360300</v>
      </c>
      <c r="I24" s="205"/>
      <c r="J24" s="204">
        <f>'[1]State Chart'!$CL$89</f>
        <v>17992930</v>
      </c>
      <c r="K24" s="205"/>
      <c r="M24" s="163"/>
      <c r="N24" s="163"/>
      <c r="O24" s="163"/>
      <c r="P24" s="163"/>
      <c r="Q24" s="163"/>
      <c r="R24" s="163"/>
    </row>
    <row r="25" spans="1:18">
      <c r="A25" s="212"/>
      <c r="B25" s="213">
        <f>B24/B26</f>
        <v>8.5209949540644512E-3</v>
      </c>
      <c r="C25" s="214"/>
      <c r="D25" s="206" t="s">
        <v>97</v>
      </c>
      <c r="E25" s="207"/>
      <c r="F25" s="213">
        <f>F24/F26</f>
        <v>5.2308411941908051E-2</v>
      </c>
      <c r="G25" s="214"/>
      <c r="H25" s="213">
        <f>H24/H26</f>
        <v>3.9803349679248971E-2</v>
      </c>
      <c r="I25" s="214"/>
      <c r="J25" s="213">
        <f>J24/J26</f>
        <v>5.9386614583240162E-2</v>
      </c>
      <c r="K25" s="214"/>
      <c r="M25" s="163"/>
      <c r="N25" s="163"/>
      <c r="O25" s="163"/>
      <c r="P25" s="163"/>
      <c r="Q25" s="163"/>
      <c r="R25" s="163"/>
    </row>
    <row r="26" spans="1:18">
      <c r="A26" s="174" t="s">
        <v>96</v>
      </c>
      <c r="B26" s="204">
        <f>B22+B24</f>
        <v>22980430356.106613</v>
      </c>
      <c r="C26" s="205"/>
      <c r="D26" s="206" t="s">
        <v>97</v>
      </c>
      <c r="E26" s="207"/>
      <c r="F26" s="204">
        <f>F22+F24</f>
        <v>669647896</v>
      </c>
      <c r="G26" s="205"/>
      <c r="H26" s="204">
        <f>H22+H24</f>
        <v>1013992549</v>
      </c>
      <c r="I26" s="205"/>
      <c r="J26" s="204">
        <f>J22+J24</f>
        <v>302979554</v>
      </c>
      <c r="K26" s="205"/>
      <c r="M26" s="163"/>
      <c r="N26" s="163"/>
      <c r="O26" s="163"/>
      <c r="P26" s="163"/>
      <c r="Q26" s="163"/>
      <c r="R26" s="163"/>
    </row>
    <row r="27" spans="1:18" ht="26">
      <c r="A27" s="186" t="s">
        <v>100</v>
      </c>
      <c r="B27" s="187" t="s">
        <v>94</v>
      </c>
      <c r="C27" s="187" t="s">
        <v>84</v>
      </c>
      <c r="D27" s="188" t="s">
        <v>94</v>
      </c>
      <c r="E27" s="188" t="s">
        <v>84</v>
      </c>
      <c r="F27" s="187" t="s">
        <v>94</v>
      </c>
      <c r="G27" s="187" t="s">
        <v>84</v>
      </c>
      <c r="H27" s="187" t="s">
        <v>94</v>
      </c>
      <c r="I27" s="187" t="s">
        <v>84</v>
      </c>
      <c r="J27" s="187" t="s">
        <v>94</v>
      </c>
      <c r="K27" s="187" t="s">
        <v>84</v>
      </c>
      <c r="M27" s="163" t="s">
        <v>101</v>
      </c>
      <c r="N27" s="163"/>
      <c r="O27" s="163"/>
      <c r="P27" s="163"/>
      <c r="Q27" s="163"/>
      <c r="R27" s="163"/>
    </row>
    <row r="28" spans="1:18">
      <c r="A28" s="174" t="s">
        <v>743</v>
      </c>
      <c r="B28" s="189">
        <f>B9/$B$14</f>
        <v>3.2116883997846138E-2</v>
      </c>
      <c r="C28" s="189">
        <f>C9/$C$14</f>
        <v>9.1690643148416087E-2</v>
      </c>
      <c r="D28" s="190">
        <v>4.8545647023239401E-2</v>
      </c>
      <c r="E28" s="190">
        <v>9.1690643148416087E-2</v>
      </c>
      <c r="F28" s="189">
        <f>F9/$F$14</f>
        <v>5.9876588005832378E-2</v>
      </c>
      <c r="G28" s="189">
        <f>G9/$G$14</f>
        <v>9.5852549507371473E-2</v>
      </c>
      <c r="H28" s="189">
        <f>H9/$H$14</f>
        <v>6.8906478877324026E-2</v>
      </c>
      <c r="I28" s="189">
        <f>I9/$I$14</f>
        <v>0.10429969549284818</v>
      </c>
      <c r="J28" s="189">
        <f>J9/$J$14</f>
        <v>5.2910981534347389E-2</v>
      </c>
      <c r="K28" s="189">
        <f>K9/$K$14</f>
        <v>9.7960699007888119E-2</v>
      </c>
      <c r="M28" s="163"/>
      <c r="N28" s="191" t="s">
        <v>728</v>
      </c>
      <c r="O28" s="191" t="s">
        <v>725</v>
      </c>
      <c r="P28" s="191" t="s">
        <v>723</v>
      </c>
      <c r="Q28" s="191" t="s">
        <v>102</v>
      </c>
      <c r="R28" s="191" t="s">
        <v>1196</v>
      </c>
    </row>
    <row r="29" spans="1:18">
      <c r="A29" s="174" t="s">
        <v>725</v>
      </c>
      <c r="B29" s="189">
        <f>B10/$B$14</f>
        <v>0.38007260967790207</v>
      </c>
      <c r="C29" s="189">
        <f>C10/$C$14</f>
        <v>0.71627998090672307</v>
      </c>
      <c r="D29" s="190">
        <v>0.59978827443665872</v>
      </c>
      <c r="E29" s="190">
        <v>0.71627998090672307</v>
      </c>
      <c r="F29" s="189">
        <f>F10/$F$14</f>
        <v>0.79027749278206283</v>
      </c>
      <c r="G29" s="189">
        <f>G10/$G$14</f>
        <v>0.72228558772627061</v>
      </c>
      <c r="H29" s="189">
        <f>H10/$H$14</f>
        <v>0.73953748218543225</v>
      </c>
      <c r="I29" s="189">
        <f>I10/$I$14</f>
        <v>0.78051257907777294</v>
      </c>
      <c r="J29" s="189">
        <f>J10/$J$14</f>
        <v>0.90182377120969737</v>
      </c>
      <c r="K29" s="189">
        <f>K10/$K$14</f>
        <v>0.75036336270703907</v>
      </c>
      <c r="M29" s="163" t="s">
        <v>103</v>
      </c>
      <c r="N29" s="173">
        <v>549.52683236735504</v>
      </c>
      <c r="O29" s="173">
        <v>6503.1245646339321</v>
      </c>
      <c r="P29" s="173">
        <v>9080.4845295793602</v>
      </c>
      <c r="Q29" s="173">
        <v>541.00187288136863</v>
      </c>
      <c r="R29" s="173">
        <v>436.07850932460622</v>
      </c>
    </row>
    <row r="30" spans="1:18">
      <c r="A30" s="174" t="s">
        <v>723</v>
      </c>
      <c r="B30" s="189">
        <f>B11/$B$14</f>
        <v>0.53070541983249231</v>
      </c>
      <c r="C30" s="189">
        <f>C11/$C$14</f>
        <v>0.18606106274514975</v>
      </c>
      <c r="D30" s="190">
        <v>0.3003982457024752</v>
      </c>
      <c r="E30" s="190">
        <v>0.18606106274514975</v>
      </c>
      <c r="F30" s="189">
        <f>F11/$F$14</f>
        <v>0.14360654445385795</v>
      </c>
      <c r="G30" s="189">
        <f>G11/$G$14</f>
        <v>0.17526578071616639</v>
      </c>
      <c r="H30" s="189">
        <f>H11/$H$14</f>
        <v>9.5557330907596091E-2</v>
      </c>
      <c r="I30" s="189">
        <f>I11/$I$14</f>
        <v>0.114116301282383</v>
      </c>
      <c r="J30" s="189">
        <f>J11/$J$14</f>
        <v>4.0443740264806259E-2</v>
      </c>
      <c r="K30" s="189">
        <f>K11/$K$14</f>
        <v>0.15167593828507292</v>
      </c>
      <c r="M30" s="163" t="s">
        <v>104</v>
      </c>
      <c r="N30" s="173">
        <v>1140.7799196889216</v>
      </c>
      <c r="O30" s="173">
        <v>8911.6816180568931</v>
      </c>
      <c r="P30" s="173">
        <v>2314.9005932053378</v>
      </c>
      <c r="Q30" s="173">
        <v>63.305207512643918</v>
      </c>
      <c r="R30" s="173">
        <v>10.950263044196509</v>
      </c>
    </row>
    <row r="31" spans="1:18">
      <c r="A31" s="174" t="s">
        <v>614</v>
      </c>
      <c r="B31" s="189">
        <f>B12/$B$14</f>
        <v>3.16186460251556E-2</v>
      </c>
      <c r="C31" s="189">
        <f>C12/$C$14</f>
        <v>5.0881814198316935E-3</v>
      </c>
      <c r="D31" s="190">
        <v>3.9370872611786054E-2</v>
      </c>
      <c r="E31" s="190">
        <v>5.0881814198316935E-3</v>
      </c>
      <c r="F31" s="189">
        <f>F12/$F$14</f>
        <v>6.2393747582469399E-3</v>
      </c>
      <c r="G31" s="189">
        <f>G12/$G$14</f>
        <v>6.5960820501916491E-3</v>
      </c>
      <c r="H31" s="189">
        <f>H12/$H$14</f>
        <v>9.5451883496517176E-2</v>
      </c>
      <c r="I31" s="189">
        <f>I12/$I$14</f>
        <v>1.0714241469959342E-3</v>
      </c>
      <c r="J31" s="189">
        <f>J12/$J$14</f>
        <v>4.8215069911491711E-3</v>
      </c>
      <c r="K31" s="189">
        <f>K12/$K$14</f>
        <v>0</v>
      </c>
      <c r="M31" s="163" t="s">
        <v>89</v>
      </c>
      <c r="N31" s="173">
        <v>963</v>
      </c>
      <c r="O31" s="173">
        <v>11898</v>
      </c>
      <c r="P31" s="173">
        <v>5959</v>
      </c>
      <c r="Q31" s="173">
        <v>781</v>
      </c>
      <c r="R31" s="173">
        <v>236</v>
      </c>
    </row>
    <row r="32" spans="1:18">
      <c r="A32" s="168" t="s">
        <v>105</v>
      </c>
      <c r="B32" s="169"/>
      <c r="C32" s="169"/>
      <c r="D32" s="170"/>
      <c r="E32" s="170"/>
      <c r="F32" s="169"/>
      <c r="G32" s="169"/>
      <c r="H32" s="169"/>
      <c r="I32" s="169"/>
      <c r="J32" s="169"/>
      <c r="K32" s="171"/>
      <c r="M32" s="163" t="s">
        <v>106</v>
      </c>
      <c r="N32" s="173">
        <v>1314.3846765824974</v>
      </c>
      <c r="O32" s="173">
        <v>17347.825942580421</v>
      </c>
      <c r="P32" s="173">
        <v>3152.3880664130061</v>
      </c>
      <c r="Q32" s="173">
        <v>136.96402628848151</v>
      </c>
      <c r="R32" s="173">
        <v>0</v>
      </c>
    </row>
    <row r="33" spans="1:18">
      <c r="A33" s="192"/>
      <c r="B33" s="223" t="s">
        <v>107</v>
      </c>
      <c r="C33" s="224"/>
      <c r="D33" s="225"/>
      <c r="E33" s="226"/>
      <c r="F33" s="223" t="s">
        <v>108</v>
      </c>
      <c r="G33" s="224"/>
      <c r="H33" s="223" t="s">
        <v>109</v>
      </c>
      <c r="I33" s="224"/>
      <c r="J33" s="223" t="s">
        <v>110</v>
      </c>
      <c r="K33" s="224"/>
      <c r="M33" s="163" t="s">
        <v>111</v>
      </c>
      <c r="N33" s="173">
        <v>1139.3091279267051</v>
      </c>
      <c r="O33" s="173">
        <v>8585.1296318744244</v>
      </c>
      <c r="P33" s="173">
        <v>2083.2195367716563</v>
      </c>
      <c r="Q33" s="173">
        <v>78.401425178147264</v>
      </c>
      <c r="R33" s="173">
        <v>0</v>
      </c>
    </row>
    <row r="34" spans="1:18">
      <c r="M34" s="163" t="s">
        <v>112</v>
      </c>
      <c r="N34" s="173">
        <v>1625.783211360442</v>
      </c>
      <c r="O34" s="173">
        <v>17448.687587844714</v>
      </c>
      <c r="P34" s="173">
        <v>2254.5848640527311</v>
      </c>
      <c r="Q34" s="173">
        <v>2252.0969320990648</v>
      </c>
      <c r="R34" s="173">
        <v>12.901807783647556</v>
      </c>
    </row>
    <row r="35" spans="1:18">
      <c r="M35" s="163" t="s">
        <v>1288</v>
      </c>
      <c r="N35" s="173">
        <v>1217.9402829615485</v>
      </c>
      <c r="O35" s="173">
        <v>9114.2903814346664</v>
      </c>
      <c r="P35" s="173">
        <v>1332.5718701059984</v>
      </c>
      <c r="Q35" s="173">
        <v>12.511356074414836</v>
      </c>
      <c r="R35" s="173">
        <v>0</v>
      </c>
    </row>
    <row r="36" spans="1:18">
      <c r="M36" s="163" t="s">
        <v>113</v>
      </c>
      <c r="N36" s="173">
        <v>1251.6224942934218</v>
      </c>
      <c r="O36" s="173">
        <v>21332.86673583731</v>
      </c>
      <c r="P36" s="173">
        <v>956.7067856401743</v>
      </c>
      <c r="Q36" s="173">
        <v>114.05395310230338</v>
      </c>
      <c r="R36" s="173">
        <v>0</v>
      </c>
    </row>
    <row r="37" spans="1:18">
      <c r="M37" s="163" t="s">
        <v>114</v>
      </c>
      <c r="N37" s="173">
        <v>1239.0861159929702</v>
      </c>
      <c r="O37" s="173">
        <v>9491.2024321633471</v>
      </c>
      <c r="P37" s="173">
        <v>1918.519887696054</v>
      </c>
      <c r="Q37" s="173">
        <v>0</v>
      </c>
      <c r="R37" s="173">
        <v>0</v>
      </c>
    </row>
  </sheetData>
  <mergeCells count="85">
    <mergeCell ref="B33:C33"/>
    <mergeCell ref="D33:E33"/>
    <mergeCell ref="F33:G33"/>
    <mergeCell ref="H33:I33"/>
    <mergeCell ref="J33:K33"/>
    <mergeCell ref="H25:I25"/>
    <mergeCell ref="J25:K25"/>
    <mergeCell ref="B26:C26"/>
    <mergeCell ref="D26:E26"/>
    <mergeCell ref="F26:G26"/>
    <mergeCell ref="H26:I26"/>
    <mergeCell ref="J26:K26"/>
    <mergeCell ref="J23:K23"/>
    <mergeCell ref="A24:A25"/>
    <mergeCell ref="B24:C24"/>
    <mergeCell ref="D24:E24"/>
    <mergeCell ref="F24:G24"/>
    <mergeCell ref="H24:I24"/>
    <mergeCell ref="J24:K24"/>
    <mergeCell ref="B25:C25"/>
    <mergeCell ref="D25:E25"/>
    <mergeCell ref="F25:G25"/>
    <mergeCell ref="A22:A23"/>
    <mergeCell ref="B22:C22"/>
    <mergeCell ref="D22:E22"/>
    <mergeCell ref="F22:G22"/>
    <mergeCell ref="H22:I22"/>
    <mergeCell ref="J22:K22"/>
    <mergeCell ref="B23:C23"/>
    <mergeCell ref="D23:E23"/>
    <mergeCell ref="F23:G23"/>
    <mergeCell ref="H23:I23"/>
    <mergeCell ref="H19:I19"/>
    <mergeCell ref="B20:C20"/>
    <mergeCell ref="D20:E20"/>
    <mergeCell ref="F20:G20"/>
    <mergeCell ref="H20:I20"/>
    <mergeCell ref="J20:K20"/>
    <mergeCell ref="J18:K18"/>
    <mergeCell ref="B19:C19"/>
    <mergeCell ref="D19:E19"/>
    <mergeCell ref="F19:G19"/>
    <mergeCell ref="A16:A17"/>
    <mergeCell ref="B16:C16"/>
    <mergeCell ref="D16:E16"/>
    <mergeCell ref="F16:G16"/>
    <mergeCell ref="H16:I16"/>
    <mergeCell ref="J16:K16"/>
    <mergeCell ref="J19:K19"/>
    <mergeCell ref="A18:A19"/>
    <mergeCell ref="B18:C18"/>
    <mergeCell ref="D18:E18"/>
    <mergeCell ref="F18:G18"/>
    <mergeCell ref="H18:I18"/>
    <mergeCell ref="B17:C17"/>
    <mergeCell ref="D17:E17"/>
    <mergeCell ref="F17:G17"/>
    <mergeCell ref="H17:I17"/>
    <mergeCell ref="J6:K6"/>
    <mergeCell ref="B7:C7"/>
    <mergeCell ref="D7:E7"/>
    <mergeCell ref="F7:G7"/>
    <mergeCell ref="H7:I7"/>
    <mergeCell ref="J7:K7"/>
    <mergeCell ref="J17:K17"/>
    <mergeCell ref="B5:C5"/>
    <mergeCell ref="D5:E5"/>
    <mergeCell ref="F5:G5"/>
    <mergeCell ref="H5:I5"/>
    <mergeCell ref="J5:K5"/>
    <mergeCell ref="A6:A7"/>
    <mergeCell ref="B6:C6"/>
    <mergeCell ref="D6:E6"/>
    <mergeCell ref="F6:G6"/>
    <mergeCell ref="H6:I6"/>
    <mergeCell ref="B2:C2"/>
    <mergeCell ref="D2:E2"/>
    <mergeCell ref="F2:G2"/>
    <mergeCell ref="H2:I2"/>
    <mergeCell ref="J2:K2"/>
    <mergeCell ref="B4:C4"/>
    <mergeCell ref="D4:E4"/>
    <mergeCell ref="F4:G4"/>
    <mergeCell ref="H4:I4"/>
    <mergeCell ref="J4:K4"/>
  </mergeCells>
  <phoneticPr fontId="21" type="noConversion"/>
  <pageMargins left="0.7" right="0.7" top="0.75" bottom="0.75" header="0.3" footer="0.3"/>
  <drawing r:id="rId1"/>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D24"/>
  <sheetViews>
    <sheetView workbookViewId="0">
      <selection activeCell="H25" sqref="H25"/>
    </sheetView>
  </sheetViews>
  <sheetFormatPr baseColWidth="10" defaultColWidth="8.7109375" defaultRowHeight="13"/>
  <cols>
    <col min="1" max="1" width="39.7109375" customWidth="1"/>
  </cols>
  <sheetData>
    <row r="1" spans="1:4">
      <c r="A1" t="s">
        <v>115</v>
      </c>
    </row>
    <row r="2" spans="1:4">
      <c r="A2" t="s">
        <v>116</v>
      </c>
    </row>
    <row r="3" spans="1:4">
      <c r="A3" s="174" t="s">
        <v>117</v>
      </c>
      <c r="B3" s="174" t="s">
        <v>118</v>
      </c>
      <c r="C3" s="174" t="s">
        <v>119</v>
      </c>
      <c r="D3" s="174" t="s">
        <v>120</v>
      </c>
    </row>
    <row r="4" spans="1:4" ht="27">
      <c r="A4" s="193" t="s">
        <v>121</v>
      </c>
      <c r="B4" s="174"/>
      <c r="C4" s="174"/>
      <c r="D4" s="194" t="s">
        <v>122</v>
      </c>
    </row>
    <row r="5" spans="1:4" ht="12.75" customHeight="1">
      <c r="A5" s="193" t="s">
        <v>123</v>
      </c>
      <c r="B5" s="174" t="s">
        <v>25</v>
      </c>
      <c r="C5" s="174"/>
      <c r="D5" s="174"/>
    </row>
    <row r="6" spans="1:4" ht="12.75" customHeight="1">
      <c r="A6" s="193" t="s">
        <v>26</v>
      </c>
      <c r="B6" s="174"/>
      <c r="C6" s="174" t="s">
        <v>25</v>
      </c>
      <c r="D6" s="174"/>
    </row>
    <row r="7" spans="1:4" ht="25.5" customHeight="1">
      <c r="A7" s="193" t="s">
        <v>27</v>
      </c>
      <c r="B7" s="174" t="s">
        <v>25</v>
      </c>
      <c r="C7" s="174"/>
      <c r="D7" s="174"/>
    </row>
    <row r="8" spans="1:4" ht="12.75" customHeight="1">
      <c r="A8" s="193" t="s">
        <v>28</v>
      </c>
      <c r="B8" s="174" t="s">
        <v>25</v>
      </c>
      <c r="C8" s="174"/>
      <c r="D8" s="174"/>
    </row>
    <row r="9" spans="1:4" ht="39.75" customHeight="1">
      <c r="A9" s="193" t="s">
        <v>29</v>
      </c>
      <c r="B9" s="194" t="s">
        <v>30</v>
      </c>
      <c r="C9" s="174"/>
      <c r="D9" s="174"/>
    </row>
    <row r="10" spans="1:4" ht="26">
      <c r="A10" s="193" t="s">
        <v>31</v>
      </c>
      <c r="B10" s="174"/>
      <c r="C10" s="174" t="s">
        <v>25</v>
      </c>
      <c r="D10" s="174"/>
    </row>
    <row r="11" spans="1:4" ht="25.5" customHeight="1">
      <c r="A11" s="193" t="s">
        <v>32</v>
      </c>
      <c r="B11" s="194" t="s">
        <v>25</v>
      </c>
      <c r="C11" s="174"/>
      <c r="D11" s="174"/>
    </row>
    <row r="12" spans="1:4">
      <c r="A12" s="193" t="s">
        <v>33</v>
      </c>
      <c r="B12" s="174"/>
      <c r="C12" s="174" t="s">
        <v>25</v>
      </c>
      <c r="D12" s="174"/>
    </row>
    <row r="13" spans="1:4" ht="12.75" customHeight="1">
      <c r="A13" s="193" t="s">
        <v>34</v>
      </c>
      <c r="B13" s="174"/>
      <c r="C13" s="174" t="s">
        <v>25</v>
      </c>
      <c r="D13" s="174"/>
    </row>
    <row r="14" spans="1:4">
      <c r="A14" s="193" t="s">
        <v>35</v>
      </c>
      <c r="B14" s="174"/>
      <c r="C14" s="194" t="s">
        <v>25</v>
      </c>
      <c r="D14" s="174"/>
    </row>
    <row r="15" spans="1:4">
      <c r="A15" s="193" t="s">
        <v>36</v>
      </c>
      <c r="B15" s="174"/>
      <c r="C15" s="194" t="s">
        <v>25</v>
      </c>
      <c r="D15" s="174"/>
    </row>
    <row r="16" spans="1:4" ht="12.75" customHeight="1">
      <c r="A16" s="193" t="s">
        <v>37</v>
      </c>
      <c r="B16" s="194" t="s">
        <v>25</v>
      </c>
      <c r="C16" s="174"/>
      <c r="D16" s="174"/>
    </row>
    <row r="19" spans="1:1">
      <c r="A19" s="195" t="s">
        <v>38</v>
      </c>
    </row>
    <row r="20" spans="1:1">
      <c r="A20" t="s">
        <v>39</v>
      </c>
    </row>
    <row r="21" spans="1:1">
      <c r="A21" t="s">
        <v>40</v>
      </c>
    </row>
    <row r="22" spans="1:1">
      <c r="A22" s="195" t="s">
        <v>41</v>
      </c>
    </row>
    <row r="24" spans="1:1">
      <c r="A24" t="s">
        <v>42</v>
      </c>
    </row>
  </sheetData>
  <phoneticPr fontId="21" type="noConversion"/>
  <pageMargins left="0.7" right="0.7" top="0.75" bottom="0.75" header="0.3" footer="0.3"/>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D9"/>
  <sheetViews>
    <sheetView workbookViewId="0">
      <selection sqref="A1:IV65536"/>
    </sheetView>
  </sheetViews>
  <sheetFormatPr baseColWidth="10" defaultColWidth="8.7109375" defaultRowHeight="13"/>
  <cols>
    <col min="1" max="1" width="11" customWidth="1"/>
    <col min="2" max="2" width="19.7109375" customWidth="1"/>
  </cols>
  <sheetData>
    <row r="1" spans="1:4">
      <c r="A1" t="s">
        <v>43</v>
      </c>
    </row>
    <row r="2" spans="1:4" ht="26">
      <c r="A2" s="147"/>
      <c r="B2" s="146"/>
      <c r="C2" s="193" t="s">
        <v>103</v>
      </c>
      <c r="D2" s="193" t="s">
        <v>104</v>
      </c>
    </row>
    <row r="3" spans="1:4" ht="38.25" customHeight="1">
      <c r="A3" s="227" t="s">
        <v>44</v>
      </c>
      <c r="B3" s="227"/>
      <c r="C3" s="196">
        <v>0.26900000000000002</v>
      </c>
      <c r="D3" s="196">
        <v>0.65300000000000002</v>
      </c>
    </row>
    <row r="4" spans="1:4" ht="25.5" customHeight="1">
      <c r="A4" s="227" t="s">
        <v>45</v>
      </c>
      <c r="B4" s="227"/>
      <c r="C4" s="189">
        <v>0.50700000000000001</v>
      </c>
      <c r="D4" s="189">
        <v>0.90600000000000003</v>
      </c>
    </row>
    <row r="5" spans="1:4" ht="25.5" customHeight="1">
      <c r="A5" s="227" t="s">
        <v>46</v>
      </c>
      <c r="B5" s="227"/>
      <c r="C5" s="189"/>
      <c r="D5" s="189"/>
    </row>
    <row r="6" spans="1:4">
      <c r="A6" s="174"/>
      <c r="B6" s="174" t="s">
        <v>47</v>
      </c>
      <c r="C6" s="189">
        <v>0.47699999999999998</v>
      </c>
      <c r="D6" s="189">
        <v>0.63400000000000001</v>
      </c>
    </row>
    <row r="7" spans="1:4">
      <c r="A7" s="174"/>
      <c r="B7" s="174" t="s">
        <v>48</v>
      </c>
      <c r="C7" s="189">
        <v>0.20399999999999999</v>
      </c>
      <c r="D7" s="189">
        <v>0.113</v>
      </c>
    </row>
    <row r="8" spans="1:4">
      <c r="A8" s="174"/>
      <c r="B8" s="174" t="s">
        <v>49</v>
      </c>
      <c r="C8" s="189">
        <v>0.30299999999999999</v>
      </c>
      <c r="D8" s="189">
        <v>0.112</v>
      </c>
    </row>
    <row r="9" spans="1:4">
      <c r="A9" s="174"/>
      <c r="B9" s="174" t="s">
        <v>50</v>
      </c>
      <c r="C9" s="189">
        <v>1.6E-2</v>
      </c>
      <c r="D9" s="189">
        <v>0.14099999999999999</v>
      </c>
    </row>
  </sheetData>
  <mergeCells count="3">
    <mergeCell ref="A3:B3"/>
    <mergeCell ref="A4:B4"/>
    <mergeCell ref="A5:B5"/>
  </mergeCells>
  <phoneticPr fontId="21" type="noConversion"/>
  <pageMargins left="0.7" right="0.7" top="0.75" bottom="0.75" header="0.3" footer="0.3"/>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H17"/>
  <sheetViews>
    <sheetView workbookViewId="0">
      <selection activeCell="H20" sqref="H20"/>
    </sheetView>
  </sheetViews>
  <sheetFormatPr baseColWidth="10" defaultColWidth="8.7109375" defaultRowHeight="13"/>
  <cols>
    <col min="1" max="1" width="5.5703125" customWidth="1"/>
    <col min="2" max="2" width="46.140625" customWidth="1"/>
    <col min="3" max="3" width="15" customWidth="1"/>
    <col min="7" max="7" width="3.5703125" customWidth="1"/>
  </cols>
  <sheetData>
    <row r="1" spans="1:8">
      <c r="A1" s="197" t="s">
        <v>51</v>
      </c>
      <c r="B1" s="197"/>
      <c r="C1" s="197"/>
    </row>
    <row r="2" spans="1:8">
      <c r="A2" s="168"/>
      <c r="B2" s="171" t="s">
        <v>52</v>
      </c>
      <c r="C2" s="198" t="s">
        <v>53</v>
      </c>
      <c r="E2" t="s">
        <v>54</v>
      </c>
    </row>
    <row r="3" spans="1:8" ht="26">
      <c r="A3" s="231" t="s">
        <v>55</v>
      </c>
      <c r="B3" s="193" t="s">
        <v>56</v>
      </c>
      <c r="C3" s="199" t="s">
        <v>57</v>
      </c>
      <c r="E3" s="199" t="s">
        <v>57</v>
      </c>
    </row>
    <row r="4" spans="1:8" ht="24">
      <c r="A4" s="232"/>
      <c r="B4" s="200" t="s">
        <v>58</v>
      </c>
      <c r="C4" s="201" t="s">
        <v>59</v>
      </c>
      <c r="E4" s="187" t="s">
        <v>60</v>
      </c>
    </row>
    <row r="5" spans="1:8" ht="26">
      <c r="A5" s="228" t="s">
        <v>61</v>
      </c>
      <c r="B5" s="186" t="s">
        <v>0</v>
      </c>
      <c r="C5" s="202" t="s">
        <v>1</v>
      </c>
      <c r="E5" s="202" t="s">
        <v>1</v>
      </c>
    </row>
    <row r="6" spans="1:8" ht="24">
      <c r="A6" s="230"/>
      <c r="B6" s="203" t="s">
        <v>2</v>
      </c>
      <c r="C6" s="201" t="s">
        <v>59</v>
      </c>
    </row>
    <row r="7" spans="1:8" ht="25.5" customHeight="1">
      <c r="A7" s="231" t="s">
        <v>3</v>
      </c>
      <c r="B7" s="193" t="s">
        <v>4</v>
      </c>
      <c r="C7" s="199" t="s">
        <v>57</v>
      </c>
    </row>
    <row r="8" spans="1:8" ht="24">
      <c r="A8" s="232"/>
      <c r="B8" s="200" t="s">
        <v>5</v>
      </c>
      <c r="C8" s="201" t="s">
        <v>59</v>
      </c>
    </row>
    <row r="9" spans="1:8" ht="25.5" customHeight="1">
      <c r="A9" s="228" t="s">
        <v>6</v>
      </c>
      <c r="B9" s="186" t="s">
        <v>7</v>
      </c>
      <c r="C9" s="202" t="s">
        <v>1</v>
      </c>
    </row>
    <row r="10" spans="1:8" ht="24">
      <c r="A10" s="230"/>
      <c r="B10" s="203" t="s">
        <v>8</v>
      </c>
      <c r="C10" s="202" t="s">
        <v>1</v>
      </c>
    </row>
    <row r="11" spans="1:8" ht="38.25" customHeight="1">
      <c r="A11" s="231" t="s">
        <v>9</v>
      </c>
      <c r="B11" s="193" t="s">
        <v>10</v>
      </c>
      <c r="C11" s="199" t="s">
        <v>57</v>
      </c>
    </row>
    <row r="12" spans="1:8" ht="39">
      <c r="A12" s="232"/>
      <c r="B12" s="193" t="s">
        <v>11</v>
      </c>
      <c r="C12" s="199" t="s">
        <v>57</v>
      </c>
    </row>
    <row r="13" spans="1:8" ht="26">
      <c r="A13" s="228" t="s">
        <v>12</v>
      </c>
      <c r="B13" s="186" t="s">
        <v>13</v>
      </c>
      <c r="C13" s="199" t="s">
        <v>57</v>
      </c>
    </row>
    <row r="14" spans="1:8">
      <c r="A14" s="229"/>
      <c r="B14" s="186" t="s">
        <v>14</v>
      </c>
      <c r="C14" s="199" t="s">
        <v>15</v>
      </c>
      <c r="E14" s="199" t="s">
        <v>15</v>
      </c>
      <c r="F14" s="187" t="s">
        <v>16</v>
      </c>
      <c r="H14" t="s">
        <v>17</v>
      </c>
    </row>
    <row r="15" spans="1:8" ht="26">
      <c r="A15" s="230"/>
      <c r="B15" s="186" t="s">
        <v>18</v>
      </c>
      <c r="C15" s="202" t="s">
        <v>1</v>
      </c>
    </row>
    <row r="17" spans="1:1">
      <c r="A17" s="195" t="s">
        <v>19</v>
      </c>
    </row>
  </sheetData>
  <mergeCells count="6">
    <mergeCell ref="A13:A15"/>
    <mergeCell ref="A3:A4"/>
    <mergeCell ref="A5:A6"/>
    <mergeCell ref="A7:A8"/>
    <mergeCell ref="A9:A10"/>
    <mergeCell ref="A11:A12"/>
  </mergeCells>
  <phoneticPr fontId="21" type="noConversion"/>
  <pageMargins left="0.7" right="0.7" top="0.75" bottom="0.75" header="0.3" footer="0.3"/>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R430"/>
  <sheetViews>
    <sheetView workbookViewId="0">
      <pane ySplit="3" topLeftCell="A45" activePane="bottomLeft" state="frozen"/>
      <selection pane="bottomLeft" activeCell="A57" sqref="A57"/>
    </sheetView>
  </sheetViews>
  <sheetFormatPr baseColWidth="10" defaultColWidth="8.7109375" defaultRowHeight="13"/>
  <cols>
    <col min="1" max="1" width="24" customWidth="1"/>
    <col min="2" max="2" width="6.140625" hidden="1" customWidth="1"/>
    <col min="3" max="3" width="7.42578125" hidden="1" customWidth="1"/>
    <col min="4" max="4" width="6.140625" style="77" customWidth="1"/>
    <col min="5" max="5" width="8.28515625" style="30" customWidth="1"/>
    <col min="6" max="6" width="12.7109375" style="97" customWidth="1"/>
    <col min="7" max="7" width="6.7109375" customWidth="1"/>
    <col min="8" max="8" width="12.85546875" style="97" customWidth="1"/>
    <col min="9" max="9" width="9.28515625" bestFit="1" customWidth="1"/>
    <col min="10" max="10" width="11.28515625" style="97" bestFit="1" customWidth="1"/>
    <col min="11" max="13" width="1.28515625" hidden="1" customWidth="1"/>
    <col min="14" max="14" width="8" customWidth="1"/>
    <col min="15" max="17" width="11.28515625" style="97" bestFit="1" customWidth="1"/>
    <col min="18" max="18" width="29.85546875" style="30" customWidth="1"/>
  </cols>
  <sheetData>
    <row r="1" spans="1:18">
      <c r="A1" s="27" t="s">
        <v>1469</v>
      </c>
      <c r="B1" s="28" t="s">
        <v>1470</v>
      </c>
      <c r="C1" s="26"/>
      <c r="D1" s="69"/>
      <c r="E1" s="29"/>
      <c r="F1" s="88"/>
      <c r="G1" s="26"/>
      <c r="H1" s="88"/>
      <c r="I1" s="26"/>
      <c r="J1" s="88"/>
      <c r="K1" s="26"/>
      <c r="L1" s="26"/>
      <c r="M1" s="26"/>
      <c r="N1" s="26"/>
      <c r="O1" s="88"/>
      <c r="P1" s="88"/>
      <c r="Q1" s="88"/>
    </row>
    <row r="2" spans="1:18" ht="14" thickBot="1">
      <c r="A2" s="27" t="s">
        <v>1248</v>
      </c>
      <c r="B2" s="27"/>
      <c r="C2" s="27"/>
      <c r="D2" s="70"/>
      <c r="E2" s="31"/>
      <c r="F2" s="89"/>
      <c r="G2" s="27"/>
      <c r="H2" s="89"/>
      <c r="I2" s="27"/>
      <c r="J2" s="89"/>
      <c r="K2" s="27"/>
      <c r="L2" s="27"/>
      <c r="M2" s="27"/>
      <c r="N2" s="27"/>
      <c r="O2" s="89"/>
      <c r="P2" s="89"/>
      <c r="Q2" s="89"/>
    </row>
    <row r="3" spans="1:18" ht="60" customHeight="1">
      <c r="A3" s="32" t="s">
        <v>1471</v>
      </c>
      <c r="B3" s="33" t="s">
        <v>1472</v>
      </c>
      <c r="C3" s="34" t="s">
        <v>1473</v>
      </c>
      <c r="D3" s="71" t="s">
        <v>1474</v>
      </c>
      <c r="E3" s="36" t="s">
        <v>1475</v>
      </c>
      <c r="F3" s="90" t="s">
        <v>1476</v>
      </c>
      <c r="G3" s="35" t="s">
        <v>1477</v>
      </c>
      <c r="H3" s="90" t="s">
        <v>1478</v>
      </c>
      <c r="I3" s="35" t="s">
        <v>1479</v>
      </c>
      <c r="J3" s="90" t="s">
        <v>1480</v>
      </c>
      <c r="K3" s="35" t="s">
        <v>1481</v>
      </c>
      <c r="L3" s="35" t="s">
        <v>1482</v>
      </c>
      <c r="M3" s="35" t="s">
        <v>1483</v>
      </c>
      <c r="N3" s="35" t="s">
        <v>1484</v>
      </c>
      <c r="O3" s="90" t="s">
        <v>1927</v>
      </c>
      <c r="P3" s="90" t="s">
        <v>1928</v>
      </c>
      <c r="Q3" s="90" t="s">
        <v>1929</v>
      </c>
      <c r="R3" s="37"/>
    </row>
    <row r="4" spans="1:18" ht="12.75" customHeight="1">
      <c r="A4" s="38" t="s">
        <v>1490</v>
      </c>
      <c r="B4" s="39"/>
      <c r="C4" s="40"/>
      <c r="D4" s="72"/>
      <c r="E4" s="41"/>
      <c r="F4" s="91"/>
      <c r="G4" s="40"/>
      <c r="H4" s="91"/>
      <c r="I4" s="40"/>
      <c r="J4" s="91"/>
      <c r="K4" s="40"/>
      <c r="L4" s="40"/>
      <c r="M4" s="40"/>
      <c r="N4" s="40"/>
      <c r="O4" s="91"/>
      <c r="P4" s="91"/>
      <c r="Q4" s="91"/>
      <c r="R4" s="37"/>
    </row>
    <row r="5" spans="1:18" ht="12.75" customHeight="1">
      <c r="A5" s="42" t="s">
        <v>1433</v>
      </c>
      <c r="B5" s="43"/>
      <c r="C5" s="44"/>
      <c r="D5" s="73">
        <v>162.69999999999999</v>
      </c>
      <c r="E5" s="45"/>
      <c r="F5" s="88">
        <f t="shared" ref="F5:F10" si="0">H5+J5</f>
        <v>33272858</v>
      </c>
      <c r="G5" s="46">
        <f t="shared" ref="G5:G10" si="1">H5/F5</f>
        <v>0.82503700163057825</v>
      </c>
      <c r="H5" s="88">
        <f>'rev send dist only'!O359</f>
        <v>27451339</v>
      </c>
      <c r="I5" s="46">
        <f t="shared" ref="I5:I10" si="2">J5/F5</f>
        <v>0.1749629983694217</v>
      </c>
      <c r="J5" s="88">
        <f>'rev send dist only'!J359</f>
        <v>5821519</v>
      </c>
      <c r="K5" s="48">
        <f t="shared" ref="K5:K10" si="3">SUM(H5+J5)</f>
        <v>33272858</v>
      </c>
      <c r="L5" s="49">
        <f t="shared" ref="L5:L10" si="4">H5/K5</f>
        <v>0.82503700163057825</v>
      </c>
      <c r="M5" s="48">
        <f t="shared" ref="M5:M10" si="5">J5/K5</f>
        <v>0.1749629983694217</v>
      </c>
      <c r="N5" s="46">
        <f t="shared" ref="N5:N10" si="6">D5/$D$11</f>
        <v>0.83265097236438079</v>
      </c>
      <c r="O5" s="88">
        <v>2330133</v>
      </c>
      <c r="P5" s="88">
        <f t="shared" ref="P5:P10" si="7">O5*N5*M5</f>
        <v>339461.02383152745</v>
      </c>
      <c r="Q5" s="88">
        <f t="shared" ref="Q5:Q10" si="8">O5*N5*L5</f>
        <v>1600726.4843568043</v>
      </c>
      <c r="R5" s="37"/>
    </row>
    <row r="6" spans="1:18" ht="12.75" customHeight="1">
      <c r="A6" s="42" t="s">
        <v>1491</v>
      </c>
      <c r="B6" s="43"/>
      <c r="C6" s="44"/>
      <c r="D6" s="73">
        <v>6</v>
      </c>
      <c r="E6" s="45"/>
      <c r="F6" s="88">
        <f t="shared" si="0"/>
        <v>5083808</v>
      </c>
      <c r="G6" s="46">
        <f t="shared" si="1"/>
        <v>0</v>
      </c>
      <c r="H6" s="88">
        <f>'rev send dist only'!O364</f>
        <v>0</v>
      </c>
      <c r="I6" s="46">
        <f t="shared" si="2"/>
        <v>1</v>
      </c>
      <c r="J6" s="88">
        <f>'rev send dist only'!J364</f>
        <v>5083808</v>
      </c>
      <c r="K6" s="48">
        <f t="shared" si="3"/>
        <v>5083808</v>
      </c>
      <c r="L6" s="49">
        <f t="shared" si="4"/>
        <v>0</v>
      </c>
      <c r="M6" s="48">
        <f t="shared" si="5"/>
        <v>1</v>
      </c>
      <c r="N6" s="46">
        <f t="shared" si="6"/>
        <v>3.0706243602865918E-2</v>
      </c>
      <c r="O6" s="88">
        <v>2330133</v>
      </c>
      <c r="P6" s="88">
        <f t="shared" si="7"/>
        <v>71549.631525076766</v>
      </c>
      <c r="Q6" s="88">
        <f t="shared" si="8"/>
        <v>0</v>
      </c>
      <c r="R6" s="37"/>
    </row>
    <row r="7" spans="1:18" ht="12.75" customHeight="1">
      <c r="A7" s="42" t="s">
        <v>1492</v>
      </c>
      <c r="B7" s="43"/>
      <c r="C7" s="44"/>
      <c r="D7" s="73">
        <v>23.7</v>
      </c>
      <c r="E7" s="47"/>
      <c r="F7" s="88">
        <f t="shared" si="0"/>
        <v>38370256</v>
      </c>
      <c r="G7" s="46">
        <f t="shared" si="1"/>
        <v>0.22188720867538647</v>
      </c>
      <c r="H7" s="88">
        <f>'rev send dist only'!O394</f>
        <v>8513869</v>
      </c>
      <c r="I7" s="46">
        <f t="shared" si="2"/>
        <v>0.77811279132461353</v>
      </c>
      <c r="J7" s="88">
        <f>'rev send dist only'!J394</f>
        <v>29856387</v>
      </c>
      <c r="K7" s="48">
        <f t="shared" si="3"/>
        <v>38370256</v>
      </c>
      <c r="L7" s="49">
        <f t="shared" si="4"/>
        <v>0.22188720867538647</v>
      </c>
      <c r="M7" s="48">
        <f t="shared" si="5"/>
        <v>0.77811279132461353</v>
      </c>
      <c r="N7" s="46">
        <f t="shared" si="6"/>
        <v>0.12128966223132037</v>
      </c>
      <c r="O7" s="88">
        <v>2330133</v>
      </c>
      <c r="P7" s="88">
        <f t="shared" si="7"/>
        <v>219911.04984168895</v>
      </c>
      <c r="Q7" s="88">
        <f t="shared" si="8"/>
        <v>62709.994682364289</v>
      </c>
      <c r="R7" s="37"/>
    </row>
    <row r="8" spans="1:18" ht="12.75" customHeight="1">
      <c r="A8" s="42" t="s">
        <v>1493</v>
      </c>
      <c r="B8" s="43"/>
      <c r="C8" s="44"/>
      <c r="D8" s="73">
        <v>1</v>
      </c>
      <c r="E8" s="45"/>
      <c r="F8" s="88">
        <f t="shared" si="0"/>
        <v>53077484</v>
      </c>
      <c r="G8" s="46">
        <f t="shared" si="1"/>
        <v>9.319448902287833E-2</v>
      </c>
      <c r="H8" s="88">
        <f>'rev send dist only'!O395</f>
        <v>4946529</v>
      </c>
      <c r="I8" s="46">
        <f t="shared" si="2"/>
        <v>0.9068055109771217</v>
      </c>
      <c r="J8" s="88">
        <f>'rev send dist only'!J395</f>
        <v>48130955</v>
      </c>
      <c r="K8" s="48">
        <f t="shared" si="3"/>
        <v>53077484</v>
      </c>
      <c r="L8" s="49">
        <f t="shared" si="4"/>
        <v>9.319448902287833E-2</v>
      </c>
      <c r="M8" s="48">
        <f t="shared" si="5"/>
        <v>0.9068055109771217</v>
      </c>
      <c r="N8" s="46">
        <f t="shared" si="6"/>
        <v>5.1177072671443197E-3</v>
      </c>
      <c r="O8" s="88">
        <v>2330133</v>
      </c>
      <c r="P8" s="88">
        <f t="shared" si="7"/>
        <v>10813.600029220337</v>
      </c>
      <c r="Q8" s="88">
        <f t="shared" si="8"/>
        <v>1111.3385582924595</v>
      </c>
      <c r="R8" s="37"/>
    </row>
    <row r="9" spans="1:18" ht="12.75" customHeight="1">
      <c r="A9" s="42" t="s">
        <v>652</v>
      </c>
      <c r="B9" s="43"/>
      <c r="C9" s="44"/>
      <c r="D9" s="73">
        <v>1</v>
      </c>
      <c r="E9" s="45"/>
      <c r="F9" s="88">
        <f t="shared" si="0"/>
        <v>2785974</v>
      </c>
      <c r="G9" s="46">
        <f t="shared" si="1"/>
        <v>0.11371714165315254</v>
      </c>
      <c r="H9" s="88">
        <f>'rev send dist only'!O405</f>
        <v>316813</v>
      </c>
      <c r="I9" s="46">
        <f t="shared" si="2"/>
        <v>0.8862828583468475</v>
      </c>
      <c r="J9" s="88">
        <f>'rev send dist only'!J405</f>
        <v>2469161</v>
      </c>
      <c r="K9" s="48">
        <f t="shared" si="3"/>
        <v>2785974</v>
      </c>
      <c r="L9" s="49">
        <f t="shared" si="4"/>
        <v>0.11371714165315254</v>
      </c>
      <c r="M9" s="48">
        <f t="shared" si="5"/>
        <v>0.8862828583468475</v>
      </c>
      <c r="N9" s="46">
        <f t="shared" si="6"/>
        <v>5.1177072671443197E-3</v>
      </c>
      <c r="O9" s="88">
        <v>2330133</v>
      </c>
      <c r="P9" s="88">
        <f t="shared" si="7"/>
        <v>10568.868656951459</v>
      </c>
      <c r="Q9" s="88">
        <f t="shared" si="8"/>
        <v>1356.0699305613373</v>
      </c>
      <c r="R9" s="37"/>
    </row>
    <row r="10" spans="1:18" ht="12.75" customHeight="1">
      <c r="A10" s="42" t="s">
        <v>1494</v>
      </c>
      <c r="B10" s="43"/>
      <c r="C10" s="44"/>
      <c r="D10" s="73">
        <v>1</v>
      </c>
      <c r="E10" s="45"/>
      <c r="F10" s="88">
        <f t="shared" si="0"/>
        <v>49984614</v>
      </c>
      <c r="G10" s="46">
        <f t="shared" si="1"/>
        <v>1.3914001616577453E-2</v>
      </c>
      <c r="H10" s="88">
        <f>'rev send dist only'!O411</f>
        <v>695486</v>
      </c>
      <c r="I10" s="46">
        <f t="shared" si="2"/>
        <v>0.98608599838342259</v>
      </c>
      <c r="J10" s="88">
        <f>'rev send dist only'!J411</f>
        <v>49289128</v>
      </c>
      <c r="K10" s="48">
        <f t="shared" si="3"/>
        <v>49984614</v>
      </c>
      <c r="L10" s="49">
        <f t="shared" si="4"/>
        <v>1.3914001616577453E-2</v>
      </c>
      <c r="M10" s="48">
        <f t="shared" si="5"/>
        <v>0.98608599838342259</v>
      </c>
      <c r="N10" s="46">
        <f t="shared" si="6"/>
        <v>5.1177072671443197E-3</v>
      </c>
      <c r="O10" s="88">
        <v>2330133</v>
      </c>
      <c r="P10" s="88">
        <f t="shared" si="7"/>
        <v>11759.014972728555</v>
      </c>
      <c r="Q10" s="88">
        <f t="shared" si="8"/>
        <v>165.92361478423987</v>
      </c>
      <c r="R10" s="37"/>
    </row>
    <row r="11" spans="1:18" ht="12.75" customHeight="1">
      <c r="A11" s="38" t="s">
        <v>1495</v>
      </c>
      <c r="B11" s="39"/>
      <c r="C11" s="40"/>
      <c r="D11" s="74">
        <f>SUM(D5:D10)</f>
        <v>195.39999999999998</v>
      </c>
      <c r="E11" s="41"/>
      <c r="F11" s="91"/>
      <c r="G11" s="40"/>
      <c r="H11" s="91"/>
      <c r="I11" s="40"/>
      <c r="J11" s="91"/>
      <c r="K11" s="40"/>
      <c r="L11" s="40"/>
      <c r="M11" s="40"/>
      <c r="N11" s="40"/>
      <c r="O11" s="91"/>
      <c r="P11" s="91">
        <f>SUM(P5:P10)</f>
        <v>664063.18885719345</v>
      </c>
      <c r="Q11" s="91">
        <f>SUM(Q5:Q10)</f>
        <v>1666069.8111428067</v>
      </c>
      <c r="R11" s="37"/>
    </row>
    <row r="12" spans="1:18" ht="12.75" customHeight="1">
      <c r="A12" s="42" t="s">
        <v>1496</v>
      </c>
      <c r="B12" s="43"/>
      <c r="C12" s="44"/>
      <c r="D12" s="73">
        <v>0.8</v>
      </c>
      <c r="E12" s="45"/>
      <c r="F12" s="95">
        <f t="shared" ref="F12:F25" si="9">H12+J12</f>
        <v>8588416</v>
      </c>
      <c r="G12" s="46">
        <f>H12/F12</f>
        <v>4.0100176796280015E-2</v>
      </c>
      <c r="H12" s="95">
        <f>'rev send dist only'!O4</f>
        <v>344397</v>
      </c>
      <c r="I12" s="46">
        <f>J12/F12</f>
        <v>0.95989982320372003</v>
      </c>
      <c r="J12" s="95">
        <f>'rev send dist only'!J4</f>
        <v>8244019</v>
      </c>
      <c r="K12" s="48">
        <f>SUM(H12+J12)</f>
        <v>8588416</v>
      </c>
      <c r="L12" s="49">
        <f>H12/K12</f>
        <v>4.0100176796280015E-2</v>
      </c>
      <c r="M12" s="48">
        <f>J12/K12</f>
        <v>0.95989982320372003</v>
      </c>
      <c r="N12" s="46">
        <f t="shared" ref="N12:N25" si="10">D12/$D$26</f>
        <v>4.938271604938272E-2</v>
      </c>
      <c r="O12" s="92"/>
      <c r="P12" s="95">
        <f>O12*N12*M12</f>
        <v>0</v>
      </c>
      <c r="Q12" s="95">
        <f>O12*N12*L12</f>
        <v>0</v>
      </c>
      <c r="R12" s="37"/>
    </row>
    <row r="13" spans="1:18" ht="12.75" customHeight="1">
      <c r="A13" s="42" t="s">
        <v>582</v>
      </c>
      <c r="B13" s="43"/>
      <c r="C13" s="44"/>
      <c r="D13" s="73">
        <v>0.8</v>
      </c>
      <c r="E13" s="45"/>
      <c r="F13" s="95">
        <f t="shared" si="9"/>
        <v>95516913</v>
      </c>
      <c r="G13" s="46">
        <f t="shared" ref="G13:G25" si="11">H13/F13</f>
        <v>0</v>
      </c>
      <c r="H13" s="95">
        <f>'rev send dist only'!O5</f>
        <v>0</v>
      </c>
      <c r="I13" s="46">
        <f t="shared" ref="I13:I25" si="12">J13/F13</f>
        <v>1</v>
      </c>
      <c r="J13" s="95">
        <f>'rev send dist only'!J5</f>
        <v>95516913</v>
      </c>
      <c r="K13" s="48">
        <f t="shared" ref="K13:K25" si="13">SUM(H13+J13)</f>
        <v>95516913</v>
      </c>
      <c r="L13" s="49">
        <f t="shared" ref="L13:L25" si="14">H13/K13</f>
        <v>0</v>
      </c>
      <c r="M13" s="48">
        <f t="shared" ref="M13:M25" si="15">J13/K13</f>
        <v>1</v>
      </c>
      <c r="N13" s="46">
        <f t="shared" si="10"/>
        <v>4.938271604938272E-2</v>
      </c>
      <c r="O13" s="92"/>
      <c r="P13" s="95">
        <f t="shared" ref="P13:P25" si="16">O13*N13*M13</f>
        <v>0</v>
      </c>
      <c r="Q13" s="95">
        <f t="shared" ref="Q13:Q25" si="17">O13*N13*L13</f>
        <v>0</v>
      </c>
      <c r="R13" s="37"/>
    </row>
    <row r="14" spans="1:18" ht="12.75" customHeight="1">
      <c r="A14" s="42" t="s">
        <v>1497</v>
      </c>
      <c r="B14" s="43"/>
      <c r="C14" s="44"/>
      <c r="D14" s="73">
        <v>0.4</v>
      </c>
      <c r="E14" s="45"/>
      <c r="F14" s="95">
        <f t="shared" si="9"/>
        <v>20836651</v>
      </c>
      <c r="G14" s="46">
        <f t="shared" si="11"/>
        <v>0.45071264091335983</v>
      </c>
      <c r="H14" s="95">
        <f>'rev send dist only'!O9</f>
        <v>9391342</v>
      </c>
      <c r="I14" s="46">
        <f t="shared" si="12"/>
        <v>0.54928735908664017</v>
      </c>
      <c r="J14" s="95">
        <f>'rev send dist only'!J9</f>
        <v>11445309</v>
      </c>
      <c r="K14" s="48">
        <f t="shared" si="13"/>
        <v>20836651</v>
      </c>
      <c r="L14" s="49">
        <f t="shared" si="14"/>
        <v>0.45071264091335983</v>
      </c>
      <c r="M14" s="48">
        <f t="shared" si="15"/>
        <v>0.54928735908664017</v>
      </c>
      <c r="N14" s="46">
        <f t="shared" si="10"/>
        <v>2.469135802469136E-2</v>
      </c>
      <c r="O14" s="92"/>
      <c r="P14" s="95">
        <f t="shared" si="16"/>
        <v>0</v>
      </c>
      <c r="Q14" s="95">
        <f t="shared" si="17"/>
        <v>0</v>
      </c>
      <c r="R14" s="37"/>
    </row>
    <row r="15" spans="1:18" ht="12.75" customHeight="1">
      <c r="A15" s="42" t="s">
        <v>1498</v>
      </c>
      <c r="B15" s="43"/>
      <c r="C15" s="44"/>
      <c r="D15" s="73">
        <v>0.2</v>
      </c>
      <c r="E15" s="45"/>
      <c r="F15" s="95">
        <f t="shared" si="9"/>
        <v>1186799</v>
      </c>
      <c r="G15" s="46">
        <f t="shared" si="11"/>
        <v>0.35255422358798749</v>
      </c>
      <c r="H15" s="95">
        <f>'rev send dist only'!O10</f>
        <v>418411</v>
      </c>
      <c r="I15" s="46">
        <f t="shared" si="12"/>
        <v>0.64744577641201251</v>
      </c>
      <c r="J15" s="95">
        <f>'rev send dist only'!J10</f>
        <v>768388</v>
      </c>
      <c r="K15" s="48">
        <f t="shared" si="13"/>
        <v>1186799</v>
      </c>
      <c r="L15" s="49">
        <f t="shared" si="14"/>
        <v>0.35255422358798749</v>
      </c>
      <c r="M15" s="48">
        <f t="shared" si="15"/>
        <v>0.64744577641201251</v>
      </c>
      <c r="N15" s="46">
        <f t="shared" si="10"/>
        <v>1.234567901234568E-2</v>
      </c>
      <c r="O15" s="92"/>
      <c r="P15" s="95">
        <f t="shared" si="16"/>
        <v>0</v>
      </c>
      <c r="Q15" s="95">
        <f t="shared" si="17"/>
        <v>0</v>
      </c>
      <c r="R15" s="37"/>
    </row>
    <row r="16" spans="1:18" ht="12.75" customHeight="1">
      <c r="A16" s="42" t="s">
        <v>1499</v>
      </c>
      <c r="B16" s="43"/>
      <c r="C16" s="44"/>
      <c r="D16" s="73">
        <v>0.6</v>
      </c>
      <c r="E16" s="45"/>
      <c r="F16" s="95">
        <f t="shared" si="9"/>
        <v>72401641</v>
      </c>
      <c r="G16" s="46">
        <f t="shared" si="11"/>
        <v>0.28095243034615747</v>
      </c>
      <c r="H16" s="95">
        <f>'rev send dist only'!O12</f>
        <v>20341417</v>
      </c>
      <c r="I16" s="46">
        <f t="shared" si="12"/>
        <v>0.71904756965384253</v>
      </c>
      <c r="J16" s="95">
        <f>'rev send dist only'!J12</f>
        <v>52060224</v>
      </c>
      <c r="K16" s="48">
        <f t="shared" si="13"/>
        <v>72401641</v>
      </c>
      <c r="L16" s="49">
        <f t="shared" si="14"/>
        <v>0.28095243034615747</v>
      </c>
      <c r="M16" s="48">
        <f t="shared" si="15"/>
        <v>0.71904756965384253</v>
      </c>
      <c r="N16" s="46">
        <f t="shared" si="10"/>
        <v>3.7037037037037035E-2</v>
      </c>
      <c r="O16" s="92"/>
      <c r="P16" s="95">
        <f t="shared" si="16"/>
        <v>0</v>
      </c>
      <c r="Q16" s="95">
        <f t="shared" si="17"/>
        <v>0</v>
      </c>
      <c r="R16" s="37"/>
    </row>
    <row r="17" spans="1:18" ht="12.75" customHeight="1">
      <c r="A17" s="42" t="s">
        <v>1500</v>
      </c>
      <c r="B17" s="43"/>
      <c r="C17" s="44"/>
      <c r="D17" s="73">
        <v>0.8</v>
      </c>
      <c r="E17" s="45"/>
      <c r="F17" s="95">
        <f t="shared" si="9"/>
        <v>3443757</v>
      </c>
      <c r="G17" s="46">
        <f t="shared" si="11"/>
        <v>0.4317081605932126</v>
      </c>
      <c r="H17" s="95">
        <f>'rev send dist only'!O13</f>
        <v>1486698</v>
      </c>
      <c r="I17" s="46">
        <f t="shared" si="12"/>
        <v>0.5682918394067874</v>
      </c>
      <c r="J17" s="95">
        <f>'rev send dist only'!J13</f>
        <v>1957059</v>
      </c>
      <c r="K17" s="48">
        <f t="shared" si="13"/>
        <v>3443757</v>
      </c>
      <c r="L17" s="49">
        <f t="shared" si="14"/>
        <v>0.4317081605932126</v>
      </c>
      <c r="M17" s="48">
        <f t="shared" si="15"/>
        <v>0.5682918394067874</v>
      </c>
      <c r="N17" s="46">
        <f t="shared" si="10"/>
        <v>4.938271604938272E-2</v>
      </c>
      <c r="O17" s="92"/>
      <c r="P17" s="95">
        <f t="shared" si="16"/>
        <v>0</v>
      </c>
      <c r="Q17" s="95">
        <f t="shared" si="17"/>
        <v>0</v>
      </c>
      <c r="R17" s="37"/>
    </row>
    <row r="18" spans="1:18" ht="12.75" customHeight="1">
      <c r="A18" s="42" t="s">
        <v>1294</v>
      </c>
      <c r="B18" s="43"/>
      <c r="C18" s="44"/>
      <c r="D18" s="73">
        <v>1.7</v>
      </c>
      <c r="E18" s="45"/>
      <c r="F18" s="95">
        <f t="shared" si="9"/>
        <v>44291276</v>
      </c>
      <c r="G18" s="46">
        <f t="shared" si="11"/>
        <v>0.40463216729181611</v>
      </c>
      <c r="H18" s="95">
        <f>'rev send dist only'!O16</f>
        <v>17921675</v>
      </c>
      <c r="I18" s="46">
        <f t="shared" si="12"/>
        <v>0.59536783270818394</v>
      </c>
      <c r="J18" s="95">
        <f>'rev send dist only'!J16</f>
        <v>26369601</v>
      </c>
      <c r="K18" s="48">
        <f t="shared" si="13"/>
        <v>44291276</v>
      </c>
      <c r="L18" s="49">
        <f t="shared" si="14"/>
        <v>0.40463216729181611</v>
      </c>
      <c r="M18" s="48">
        <f t="shared" si="15"/>
        <v>0.59536783270818394</v>
      </c>
      <c r="N18" s="46">
        <f t="shared" si="10"/>
        <v>0.10493827160493828</v>
      </c>
      <c r="O18" s="92"/>
      <c r="P18" s="95">
        <f t="shared" si="16"/>
        <v>0</v>
      </c>
      <c r="Q18" s="95">
        <f t="shared" si="17"/>
        <v>0</v>
      </c>
      <c r="R18" s="37"/>
    </row>
    <row r="19" spans="1:18" ht="12.75" customHeight="1">
      <c r="A19" s="42" t="s">
        <v>1501</v>
      </c>
      <c r="B19" s="43"/>
      <c r="C19" s="44"/>
      <c r="D19" s="73">
        <v>7.5</v>
      </c>
      <c r="E19" s="45"/>
      <c r="F19" s="95">
        <f t="shared" si="9"/>
        <v>34151238</v>
      </c>
      <c r="G19" s="46">
        <f t="shared" si="11"/>
        <v>0.80709888174478472</v>
      </c>
      <c r="H19" s="95">
        <f>'rev send dist only'!O25</f>
        <v>27563426</v>
      </c>
      <c r="I19" s="46">
        <f t="shared" si="12"/>
        <v>0.19290111825521522</v>
      </c>
      <c r="J19" s="95">
        <f>'rev send dist only'!J25</f>
        <v>6587812</v>
      </c>
      <c r="K19" s="48">
        <f t="shared" si="13"/>
        <v>34151238</v>
      </c>
      <c r="L19" s="49">
        <f t="shared" si="14"/>
        <v>0.80709888174478472</v>
      </c>
      <c r="M19" s="48">
        <f t="shared" si="15"/>
        <v>0.19290111825521522</v>
      </c>
      <c r="N19" s="46">
        <f t="shared" si="10"/>
        <v>0.46296296296296297</v>
      </c>
      <c r="O19" s="92"/>
      <c r="P19" s="95">
        <f t="shared" si="16"/>
        <v>0</v>
      </c>
      <c r="Q19" s="95">
        <f t="shared" si="17"/>
        <v>0</v>
      </c>
      <c r="R19" s="37"/>
    </row>
    <row r="20" spans="1:18" ht="12.75" customHeight="1">
      <c r="A20" s="42" t="s">
        <v>1297</v>
      </c>
      <c r="B20" s="43"/>
      <c r="C20" s="44"/>
      <c r="D20" s="73">
        <v>0.2</v>
      </c>
      <c r="E20" s="45"/>
      <c r="F20" s="95">
        <f t="shared" si="9"/>
        <v>15801226</v>
      </c>
      <c r="G20" s="46">
        <f t="shared" si="11"/>
        <v>6.3286228549607479E-3</v>
      </c>
      <c r="H20" s="95">
        <f>'rev send dist only'!O28</f>
        <v>100000</v>
      </c>
      <c r="I20" s="46">
        <f t="shared" si="12"/>
        <v>0.99367137714503928</v>
      </c>
      <c r="J20" s="95">
        <f>'rev send dist only'!J28</f>
        <v>15701226</v>
      </c>
      <c r="K20" s="48">
        <f t="shared" si="13"/>
        <v>15801226</v>
      </c>
      <c r="L20" s="49">
        <f t="shared" si="14"/>
        <v>6.3286228549607479E-3</v>
      </c>
      <c r="M20" s="48">
        <f t="shared" si="15"/>
        <v>0.99367137714503928</v>
      </c>
      <c r="N20" s="46">
        <f t="shared" si="10"/>
        <v>1.234567901234568E-2</v>
      </c>
      <c r="O20" s="92"/>
      <c r="P20" s="95">
        <f t="shared" si="16"/>
        <v>0</v>
      </c>
      <c r="Q20" s="95">
        <f t="shared" si="17"/>
        <v>0</v>
      </c>
      <c r="R20" s="37"/>
    </row>
    <row r="21" spans="1:18" ht="12.75" customHeight="1">
      <c r="A21" s="42" t="s">
        <v>1309</v>
      </c>
      <c r="B21" s="43"/>
      <c r="C21" s="44"/>
      <c r="D21" s="73">
        <v>0.6</v>
      </c>
      <c r="E21" s="45"/>
      <c r="F21" s="95">
        <f t="shared" si="9"/>
        <v>3202984</v>
      </c>
      <c r="G21" s="46">
        <f t="shared" si="11"/>
        <v>0.49066276946747156</v>
      </c>
      <c r="H21" s="95">
        <f>'rev send dist only'!O29</f>
        <v>1571585</v>
      </c>
      <c r="I21" s="46">
        <f t="shared" si="12"/>
        <v>0.50933723053252844</v>
      </c>
      <c r="J21" s="95">
        <f>'rev send dist only'!J29</f>
        <v>1631399</v>
      </c>
      <c r="K21" s="48">
        <f t="shared" si="13"/>
        <v>3202984</v>
      </c>
      <c r="L21" s="49">
        <f t="shared" si="14"/>
        <v>0.49066276946747156</v>
      </c>
      <c r="M21" s="48">
        <f t="shared" si="15"/>
        <v>0.50933723053252844</v>
      </c>
      <c r="N21" s="46">
        <f t="shared" si="10"/>
        <v>3.7037037037037035E-2</v>
      </c>
      <c r="O21" s="92"/>
      <c r="P21" s="95">
        <f t="shared" si="16"/>
        <v>0</v>
      </c>
      <c r="Q21" s="95">
        <f t="shared" si="17"/>
        <v>0</v>
      </c>
      <c r="R21" s="37"/>
    </row>
    <row r="22" spans="1:18" ht="12.75" customHeight="1">
      <c r="A22" s="42" t="s">
        <v>1300</v>
      </c>
      <c r="B22" s="43"/>
      <c r="C22" s="44"/>
      <c r="D22" s="73">
        <v>0.8</v>
      </c>
      <c r="E22" s="45"/>
      <c r="F22" s="95">
        <f t="shared" si="9"/>
        <v>11557417</v>
      </c>
      <c r="G22" s="46">
        <f t="shared" si="11"/>
        <v>0.38452908638669003</v>
      </c>
      <c r="H22" s="95">
        <f>'rev send dist only'!O195</f>
        <v>4444163</v>
      </c>
      <c r="I22" s="46">
        <f t="shared" si="12"/>
        <v>0.61547091361330997</v>
      </c>
      <c r="J22" s="95">
        <f>'rev send dist only'!J195</f>
        <v>7113254</v>
      </c>
      <c r="K22" s="48">
        <f t="shared" si="13"/>
        <v>11557417</v>
      </c>
      <c r="L22" s="49">
        <f t="shared" si="14"/>
        <v>0.38452908638669003</v>
      </c>
      <c r="M22" s="48">
        <f t="shared" si="15"/>
        <v>0.61547091361330997</v>
      </c>
      <c r="N22" s="46">
        <f t="shared" si="10"/>
        <v>4.938271604938272E-2</v>
      </c>
      <c r="O22" s="92"/>
      <c r="P22" s="95">
        <f t="shared" si="16"/>
        <v>0</v>
      </c>
      <c r="Q22" s="95">
        <f t="shared" si="17"/>
        <v>0</v>
      </c>
      <c r="R22" s="37"/>
    </row>
    <row r="23" spans="1:18" ht="12.75" customHeight="1">
      <c r="A23" s="42" t="s">
        <v>1504</v>
      </c>
      <c r="B23" s="43"/>
      <c r="C23" s="44"/>
      <c r="D23" s="73">
        <v>1.2</v>
      </c>
      <c r="E23" s="45"/>
      <c r="F23" s="95">
        <f t="shared" si="9"/>
        <v>26859440</v>
      </c>
      <c r="G23" s="46">
        <f t="shared" si="11"/>
        <v>0.25367204230616869</v>
      </c>
      <c r="H23" s="95">
        <f>'rev send dist only'!O203</f>
        <v>6813489</v>
      </c>
      <c r="I23" s="46">
        <f t="shared" si="12"/>
        <v>0.74632795769383131</v>
      </c>
      <c r="J23" s="95">
        <f>'rev send dist only'!J203</f>
        <v>20045951</v>
      </c>
      <c r="K23" s="48">
        <f t="shared" si="13"/>
        <v>26859440</v>
      </c>
      <c r="L23" s="49">
        <f t="shared" si="14"/>
        <v>0.25367204230616869</v>
      </c>
      <c r="M23" s="48">
        <f t="shared" si="15"/>
        <v>0.74632795769383131</v>
      </c>
      <c r="N23" s="46">
        <f t="shared" si="10"/>
        <v>7.407407407407407E-2</v>
      </c>
      <c r="O23" s="92"/>
      <c r="P23" s="95">
        <f t="shared" si="16"/>
        <v>0</v>
      </c>
      <c r="Q23" s="95">
        <f t="shared" si="17"/>
        <v>0</v>
      </c>
      <c r="R23" s="37"/>
    </row>
    <row r="24" spans="1:18" ht="12.75" customHeight="1">
      <c r="A24" s="42" t="s">
        <v>1505</v>
      </c>
      <c r="B24" s="43"/>
      <c r="C24" s="44"/>
      <c r="D24" s="73">
        <v>0.4</v>
      </c>
      <c r="E24" s="45"/>
      <c r="F24" s="95">
        <f t="shared" si="9"/>
        <v>3007432</v>
      </c>
      <c r="G24" s="46">
        <f t="shared" si="11"/>
        <v>0.65751179079028221</v>
      </c>
      <c r="H24" s="95">
        <f>'rev send dist only'!O208</f>
        <v>1977422</v>
      </c>
      <c r="I24" s="46">
        <f t="shared" si="12"/>
        <v>0.34248820920971779</v>
      </c>
      <c r="J24" s="95">
        <f>'rev send dist only'!J208</f>
        <v>1030010</v>
      </c>
      <c r="K24" s="48">
        <f t="shared" si="13"/>
        <v>3007432</v>
      </c>
      <c r="L24" s="49">
        <f t="shared" si="14"/>
        <v>0.65751179079028221</v>
      </c>
      <c r="M24" s="48">
        <f t="shared" si="15"/>
        <v>0.34248820920971779</v>
      </c>
      <c r="N24" s="46">
        <f t="shared" si="10"/>
        <v>2.469135802469136E-2</v>
      </c>
      <c r="O24" s="92"/>
      <c r="P24" s="95">
        <f t="shared" si="16"/>
        <v>0</v>
      </c>
      <c r="Q24" s="95">
        <f t="shared" si="17"/>
        <v>0</v>
      </c>
      <c r="R24" s="37"/>
    </row>
    <row r="25" spans="1:18" ht="12.75" customHeight="1">
      <c r="A25" s="42" t="s">
        <v>1506</v>
      </c>
      <c r="B25" s="43"/>
      <c r="C25" s="44"/>
      <c r="D25" s="73">
        <v>0.2</v>
      </c>
      <c r="E25" s="45"/>
      <c r="F25" s="95">
        <f t="shared" si="9"/>
        <v>7519706</v>
      </c>
      <c r="G25" s="46">
        <f t="shared" si="11"/>
        <v>0.75021483552681445</v>
      </c>
      <c r="H25" s="95">
        <f>'rev send dist only'!O210</f>
        <v>5641395</v>
      </c>
      <c r="I25" s="46">
        <f t="shared" si="12"/>
        <v>0.24978516447318552</v>
      </c>
      <c r="J25" s="95">
        <f>'rev send dist only'!J210</f>
        <v>1878311</v>
      </c>
      <c r="K25" s="48">
        <f t="shared" si="13"/>
        <v>7519706</v>
      </c>
      <c r="L25" s="49">
        <f t="shared" si="14"/>
        <v>0.75021483552681445</v>
      </c>
      <c r="M25" s="48">
        <f t="shared" si="15"/>
        <v>0.24978516447318552</v>
      </c>
      <c r="N25" s="46">
        <f t="shared" si="10"/>
        <v>1.234567901234568E-2</v>
      </c>
      <c r="O25" s="92"/>
      <c r="P25" s="95">
        <f t="shared" si="16"/>
        <v>0</v>
      </c>
      <c r="Q25" s="95">
        <f t="shared" si="17"/>
        <v>0</v>
      </c>
      <c r="R25" s="37"/>
    </row>
    <row r="26" spans="1:18">
      <c r="A26" s="38" t="s">
        <v>1508</v>
      </c>
      <c r="B26" s="39"/>
      <c r="C26" s="40"/>
      <c r="D26" s="74">
        <f>SUM(D12:D25)</f>
        <v>16.2</v>
      </c>
      <c r="E26" s="41"/>
      <c r="F26" s="91"/>
      <c r="G26" s="40"/>
      <c r="H26" s="91"/>
      <c r="I26" s="40"/>
      <c r="J26" s="91"/>
      <c r="K26" s="40"/>
      <c r="L26" s="40"/>
      <c r="M26" s="40"/>
      <c r="N26" s="40"/>
      <c r="O26" s="91"/>
      <c r="P26" s="91">
        <f>SUM(P12:P13)</f>
        <v>0</v>
      </c>
      <c r="Q26" s="91">
        <f>SUM(Q12:Q13)</f>
        <v>0</v>
      </c>
      <c r="R26" s="37"/>
    </row>
    <row r="27" spans="1:18">
      <c r="A27" s="42" t="s">
        <v>1509</v>
      </c>
      <c r="B27" s="43" t="s">
        <v>1485</v>
      </c>
      <c r="C27" s="50" t="s">
        <v>1486</v>
      </c>
      <c r="D27" s="73">
        <v>1</v>
      </c>
      <c r="E27" s="45"/>
      <c r="F27" s="88">
        <f t="shared" ref="F27:F37" si="18">H27+J27</f>
        <v>125290913</v>
      </c>
      <c r="G27" s="46">
        <f>H27/F27</f>
        <v>0.25425071329793886</v>
      </c>
      <c r="H27" s="88">
        <f>'rev send dist only'!O323</f>
        <v>31855304</v>
      </c>
      <c r="I27" s="46">
        <f>J27/F27</f>
        <v>0.7457492867020612</v>
      </c>
      <c r="J27" s="88">
        <f>'rev send dist only'!J323</f>
        <v>93435609</v>
      </c>
      <c r="K27" s="48">
        <f>SUM(H27+J27)</f>
        <v>125290913</v>
      </c>
      <c r="L27" s="49">
        <f>H27/K27</f>
        <v>0.25425071329793886</v>
      </c>
      <c r="M27" s="48">
        <f>J27/K27</f>
        <v>0.7457492867020612</v>
      </c>
      <c r="N27" s="46">
        <f>D27/$D$38</f>
        <v>6.0975609756097563E-3</v>
      </c>
      <c r="O27" s="88">
        <v>954474</v>
      </c>
      <c r="P27" s="88">
        <f>O27*N27*M27</f>
        <v>4340.2335650955074</v>
      </c>
      <c r="Q27" s="88">
        <f>O27*N27*L27</f>
        <v>1479.7298495386397</v>
      </c>
      <c r="R27" s="29"/>
    </row>
    <row r="28" spans="1:18">
      <c r="A28" s="42" t="s">
        <v>1510</v>
      </c>
      <c r="B28" s="43"/>
      <c r="C28" s="50"/>
      <c r="D28" s="73">
        <v>1</v>
      </c>
      <c r="E28" s="45"/>
      <c r="F28" s="88">
        <f t="shared" si="18"/>
        <v>18671955</v>
      </c>
      <c r="G28" s="46">
        <f>H28/F28</f>
        <v>4.7495401525978399E-2</v>
      </c>
      <c r="H28" s="88">
        <f>'rev send dist only'!O338</f>
        <v>886832</v>
      </c>
      <c r="I28" s="46">
        <f>J28/F28</f>
        <v>0.95250459847402158</v>
      </c>
      <c r="J28" s="88">
        <f>'rev send dist only'!J338</f>
        <v>17785123</v>
      </c>
      <c r="K28" s="48">
        <f>SUM(H28+J28)</f>
        <v>18671955</v>
      </c>
      <c r="L28" s="49">
        <f>H28/K28</f>
        <v>4.7495401525978399E-2</v>
      </c>
      <c r="M28" s="48">
        <f>J28/K28</f>
        <v>0.95250459847402158</v>
      </c>
      <c r="N28" s="46">
        <f>D28/$D$38</f>
        <v>6.0975609756097563E-3</v>
      </c>
      <c r="O28" s="88">
        <v>954474</v>
      </c>
      <c r="P28" s="88">
        <f>O28*N28*M28</f>
        <v>5543.5419153895937</v>
      </c>
      <c r="Q28" s="88">
        <f>O28*N28*L28</f>
        <v>276.4214992445531</v>
      </c>
      <c r="R28" s="29"/>
    </row>
    <row r="29" spans="1:18">
      <c r="A29" s="42" t="s">
        <v>1511</v>
      </c>
      <c r="B29" s="43"/>
      <c r="C29" s="50"/>
      <c r="D29" s="73">
        <v>71.099999999999994</v>
      </c>
      <c r="E29" s="45"/>
      <c r="F29" s="88">
        <f t="shared" si="18"/>
        <v>57383607</v>
      </c>
      <c r="G29" s="46">
        <f t="shared" ref="G29:G37" si="19">H29/F29</f>
        <v>0.52198011881686002</v>
      </c>
      <c r="H29" s="88">
        <f>'rev send dist only'!O346</f>
        <v>29953102</v>
      </c>
      <c r="I29" s="46">
        <f t="shared" ref="I29:I37" si="20">J29/F29</f>
        <v>0.47801988118313998</v>
      </c>
      <c r="J29" s="88">
        <f>'rev send dist only'!J346</f>
        <v>27430505</v>
      </c>
      <c r="K29" s="48">
        <f t="shared" ref="K29:K37" si="21">SUM(H29+J29)</f>
        <v>57383607</v>
      </c>
      <c r="L29" s="49">
        <f t="shared" ref="L29:L37" si="22">H29/K29</f>
        <v>0.52198011881686002</v>
      </c>
      <c r="M29" s="48">
        <f t="shared" ref="M29:M37" si="23">J29/K29</f>
        <v>0.47801988118313998</v>
      </c>
      <c r="N29" s="46">
        <f t="shared" ref="N29:N37" si="24">D29/$D$38</f>
        <v>0.4335365853658536</v>
      </c>
      <c r="O29" s="88">
        <v>954474</v>
      </c>
      <c r="P29" s="88">
        <f t="shared" ref="P29:P37" si="25">O29*N29*M29</f>
        <v>197804.33943870352</v>
      </c>
      <c r="Q29" s="88">
        <f t="shared" ref="Q29:Q37" si="26">O29*N29*L29</f>
        <v>215995.05934178425</v>
      </c>
      <c r="R29" s="29"/>
    </row>
    <row r="30" spans="1:18">
      <c r="A30" s="42" t="s">
        <v>1512</v>
      </c>
      <c r="B30" s="43"/>
      <c r="C30" s="50"/>
      <c r="D30" s="73">
        <v>13.7</v>
      </c>
      <c r="E30" s="45"/>
      <c r="F30" s="88">
        <f t="shared" si="18"/>
        <v>63170430</v>
      </c>
      <c r="G30" s="46">
        <f t="shared" si="19"/>
        <v>3.3034063564234085E-2</v>
      </c>
      <c r="H30" s="88">
        <f>'rev send dist only'!O347</f>
        <v>2086776</v>
      </c>
      <c r="I30" s="46">
        <f t="shared" si="20"/>
        <v>0.96696593643576589</v>
      </c>
      <c r="J30" s="88">
        <f>'rev send dist only'!J347</f>
        <v>61083654</v>
      </c>
      <c r="K30" s="48">
        <f t="shared" si="21"/>
        <v>63170430</v>
      </c>
      <c r="L30" s="49">
        <f t="shared" si="22"/>
        <v>3.3034063564234085E-2</v>
      </c>
      <c r="M30" s="48">
        <f t="shared" si="23"/>
        <v>0.96696593643576589</v>
      </c>
      <c r="N30" s="46">
        <f t="shared" si="24"/>
        <v>8.3536585365853649E-2</v>
      </c>
      <c r="O30" s="88">
        <v>954474</v>
      </c>
      <c r="P30" s="88">
        <f t="shared" si="25"/>
        <v>77099.57731357438</v>
      </c>
      <c r="Q30" s="88">
        <f t="shared" si="26"/>
        <v>2633.9214669134144</v>
      </c>
      <c r="R30" s="29"/>
    </row>
    <row r="31" spans="1:18">
      <c r="A31" s="42" t="s">
        <v>1513</v>
      </c>
      <c r="B31" s="43"/>
      <c r="C31" s="50"/>
      <c r="D31" s="73">
        <v>1</v>
      </c>
      <c r="E31" s="45"/>
      <c r="F31" s="88">
        <f t="shared" si="18"/>
        <v>74430231</v>
      </c>
      <c r="G31" s="46">
        <f t="shared" si="19"/>
        <v>5.06489762204285E-2</v>
      </c>
      <c r="H31" s="88">
        <f>'rev send dist only'!O350</f>
        <v>3769815</v>
      </c>
      <c r="I31" s="46">
        <f t="shared" si="20"/>
        <v>0.94935102377957148</v>
      </c>
      <c r="J31" s="88">
        <f>'rev send dist only'!J350</f>
        <v>70660416</v>
      </c>
      <c r="K31" s="48">
        <f t="shared" si="21"/>
        <v>74430231</v>
      </c>
      <c r="L31" s="49">
        <f t="shared" si="22"/>
        <v>5.06489762204285E-2</v>
      </c>
      <c r="M31" s="48">
        <f t="shared" si="23"/>
        <v>0.94935102377957148</v>
      </c>
      <c r="N31" s="46">
        <f t="shared" si="24"/>
        <v>6.0975609756097563E-3</v>
      </c>
      <c r="O31" s="88">
        <v>954474</v>
      </c>
      <c r="P31" s="88">
        <f t="shared" si="25"/>
        <v>5525.1882260425782</v>
      </c>
      <c r="Q31" s="88">
        <f t="shared" si="26"/>
        <v>294.77518859156874</v>
      </c>
      <c r="R31" s="29"/>
    </row>
    <row r="32" spans="1:18">
      <c r="A32" s="42" t="s">
        <v>1514</v>
      </c>
      <c r="B32" s="43"/>
      <c r="C32" s="50"/>
      <c r="D32" s="73">
        <v>1</v>
      </c>
      <c r="E32" s="45"/>
      <c r="F32" s="88">
        <f t="shared" si="18"/>
        <v>101877504</v>
      </c>
      <c r="G32" s="46">
        <f t="shared" si="19"/>
        <v>0.10543045891662206</v>
      </c>
      <c r="H32" s="88">
        <f>'rev send dist only'!O353</f>
        <v>10740992</v>
      </c>
      <c r="I32" s="46">
        <f t="shared" si="20"/>
        <v>0.89456954108337794</v>
      </c>
      <c r="J32" s="88">
        <f>'rev send dist only'!J353</f>
        <v>91136512</v>
      </c>
      <c r="K32" s="48">
        <f t="shared" si="21"/>
        <v>101877504</v>
      </c>
      <c r="L32" s="49">
        <f t="shared" si="22"/>
        <v>0.10543045891662206</v>
      </c>
      <c r="M32" s="48">
        <f t="shared" si="23"/>
        <v>0.89456954108337794</v>
      </c>
      <c r="N32" s="46">
        <f t="shared" si="24"/>
        <v>6.0975609756097563E-3</v>
      </c>
      <c r="O32" s="88">
        <v>954474</v>
      </c>
      <c r="P32" s="88">
        <f t="shared" si="25"/>
        <v>5206.3620009513179</v>
      </c>
      <c r="Q32" s="88">
        <f t="shared" si="26"/>
        <v>613.60141368282882</v>
      </c>
      <c r="R32" s="29"/>
    </row>
    <row r="33" spans="1:18">
      <c r="A33" s="42" t="s">
        <v>1515</v>
      </c>
      <c r="B33" s="43"/>
      <c r="C33" s="50"/>
      <c r="D33" s="73">
        <v>1</v>
      </c>
      <c r="E33" s="45"/>
      <c r="F33" s="88">
        <f t="shared" si="18"/>
        <v>17187343</v>
      </c>
      <c r="G33" s="46">
        <f t="shared" si="19"/>
        <v>0.31843106872307136</v>
      </c>
      <c r="H33" s="88">
        <f>'rev send dist only'!O355</f>
        <v>5472984</v>
      </c>
      <c r="I33" s="46">
        <f t="shared" si="20"/>
        <v>0.68156893127692864</v>
      </c>
      <c r="J33" s="88">
        <f>'rev send dist only'!J355</f>
        <v>11714359</v>
      </c>
      <c r="K33" s="48">
        <f t="shared" si="21"/>
        <v>17187343</v>
      </c>
      <c r="L33" s="49">
        <f t="shared" si="22"/>
        <v>0.31843106872307136</v>
      </c>
      <c r="M33" s="48">
        <f t="shared" si="23"/>
        <v>0.68156893127692864</v>
      </c>
      <c r="N33" s="46">
        <f t="shared" si="24"/>
        <v>6.0975609756097563E-3</v>
      </c>
      <c r="O33" s="88">
        <v>954474</v>
      </c>
      <c r="P33" s="88">
        <f t="shared" si="25"/>
        <v>3966.7062445830197</v>
      </c>
      <c r="Q33" s="88">
        <f t="shared" si="26"/>
        <v>1853.2571700511271</v>
      </c>
      <c r="R33" s="29"/>
    </row>
    <row r="34" spans="1:18">
      <c r="A34" s="42" t="s">
        <v>1516</v>
      </c>
      <c r="B34" s="43"/>
      <c r="C34" s="50"/>
      <c r="D34" s="73">
        <v>2.5</v>
      </c>
      <c r="E34" s="45"/>
      <c r="F34" s="88">
        <f t="shared" si="18"/>
        <v>14987214</v>
      </c>
      <c r="G34" s="46">
        <f t="shared" si="19"/>
        <v>0.15880696705872085</v>
      </c>
      <c r="H34" s="88">
        <f>'rev send dist only'!O522</f>
        <v>2380074</v>
      </c>
      <c r="I34" s="46">
        <f t="shared" si="20"/>
        <v>0.84119303294127912</v>
      </c>
      <c r="J34" s="88">
        <f>'rev send dist only'!J522</f>
        <v>12607140</v>
      </c>
      <c r="K34" s="48">
        <f t="shared" si="21"/>
        <v>14987214</v>
      </c>
      <c r="L34" s="49">
        <f t="shared" si="22"/>
        <v>0.15880696705872085</v>
      </c>
      <c r="M34" s="48">
        <f t="shared" si="23"/>
        <v>0.84119303294127912</v>
      </c>
      <c r="N34" s="46">
        <f t="shared" si="24"/>
        <v>1.524390243902439E-2</v>
      </c>
      <c r="O34" s="88">
        <v>954474</v>
      </c>
      <c r="P34" s="88">
        <f t="shared" si="25"/>
        <v>12239.281690908452</v>
      </c>
      <c r="Q34" s="88">
        <f t="shared" si="26"/>
        <v>2310.6268456769135</v>
      </c>
      <c r="R34" s="29"/>
    </row>
    <row r="35" spans="1:18">
      <c r="A35" s="42" t="s">
        <v>1517</v>
      </c>
      <c r="B35" s="43"/>
      <c r="C35" s="50"/>
      <c r="D35" s="73">
        <v>62.3</v>
      </c>
      <c r="E35" s="45"/>
      <c r="F35" s="88">
        <f t="shared" si="18"/>
        <v>97929722</v>
      </c>
      <c r="G35" s="46">
        <f t="shared" si="19"/>
        <v>0</v>
      </c>
      <c r="H35" s="88">
        <f>'rev send dist only'!O525</f>
        <v>0</v>
      </c>
      <c r="I35" s="46">
        <f t="shared" si="20"/>
        <v>1</v>
      </c>
      <c r="J35" s="88">
        <f>'rev send dist only'!J525</f>
        <v>97929722</v>
      </c>
      <c r="K35" s="48">
        <f t="shared" si="21"/>
        <v>97929722</v>
      </c>
      <c r="L35" s="49">
        <f t="shared" si="22"/>
        <v>0</v>
      </c>
      <c r="M35" s="48">
        <f t="shared" si="23"/>
        <v>1</v>
      </c>
      <c r="N35" s="46">
        <f t="shared" si="24"/>
        <v>0.37987804878048781</v>
      </c>
      <c r="O35" s="88">
        <v>954474</v>
      </c>
      <c r="P35" s="88">
        <f t="shared" si="25"/>
        <v>362583.72073170735</v>
      </c>
      <c r="Q35" s="88">
        <f t="shared" si="26"/>
        <v>0</v>
      </c>
      <c r="R35" s="29"/>
    </row>
    <row r="36" spans="1:18">
      <c r="A36" s="42" t="s">
        <v>1518</v>
      </c>
      <c r="B36" s="43"/>
      <c r="C36" s="50"/>
      <c r="D36" s="73">
        <v>1</v>
      </c>
      <c r="E36" s="45"/>
      <c r="F36" s="88">
        <f t="shared" si="18"/>
        <v>19801225</v>
      </c>
      <c r="G36" s="46">
        <f t="shared" si="19"/>
        <v>9.6690836046759737E-2</v>
      </c>
      <c r="H36" s="88">
        <f>'rev send dist only'!O536</f>
        <v>1914597</v>
      </c>
      <c r="I36" s="46">
        <f t="shared" si="20"/>
        <v>0.90330916395324024</v>
      </c>
      <c r="J36" s="88">
        <f>'rev send dist only'!J536</f>
        <v>17886628</v>
      </c>
      <c r="K36" s="48">
        <f t="shared" si="21"/>
        <v>19801225</v>
      </c>
      <c r="L36" s="49">
        <f t="shared" si="22"/>
        <v>9.6690836046759737E-2</v>
      </c>
      <c r="M36" s="48">
        <f t="shared" si="23"/>
        <v>0.90330916395324024</v>
      </c>
      <c r="N36" s="46">
        <f t="shared" si="24"/>
        <v>6.0975609756097563E-3</v>
      </c>
      <c r="O36" s="88">
        <v>954474</v>
      </c>
      <c r="P36" s="88">
        <f t="shared" si="25"/>
        <v>5257.2262863116166</v>
      </c>
      <c r="Q36" s="88">
        <f t="shared" si="26"/>
        <v>562.73712832253022</v>
      </c>
      <c r="R36" s="29"/>
    </row>
    <row r="37" spans="1:18">
      <c r="A37" s="42" t="s">
        <v>1519</v>
      </c>
      <c r="B37" s="43"/>
      <c r="C37" s="50"/>
      <c r="D37" s="73">
        <v>8.4</v>
      </c>
      <c r="E37" s="45"/>
      <c r="F37" s="88">
        <f t="shared" si="18"/>
        <v>62723780</v>
      </c>
      <c r="G37" s="46">
        <f t="shared" si="19"/>
        <v>0.71806695961244682</v>
      </c>
      <c r="H37" s="88">
        <f>'rev send dist only'!O579</f>
        <v>45039874</v>
      </c>
      <c r="I37" s="46">
        <f t="shared" si="20"/>
        <v>0.28193304038755318</v>
      </c>
      <c r="J37" s="88">
        <f>'rev send dist only'!J579</f>
        <v>17683906</v>
      </c>
      <c r="K37" s="48">
        <f t="shared" si="21"/>
        <v>62723780</v>
      </c>
      <c r="L37" s="49">
        <f t="shared" si="22"/>
        <v>0.71806695961244682</v>
      </c>
      <c r="M37" s="48">
        <f t="shared" si="23"/>
        <v>0.28193304038755318</v>
      </c>
      <c r="N37" s="46">
        <f t="shared" si="24"/>
        <v>5.1219512195121955E-2</v>
      </c>
      <c r="O37" s="88">
        <v>954474</v>
      </c>
      <c r="P37" s="88">
        <f t="shared" si="25"/>
        <v>13783.055835629899</v>
      </c>
      <c r="Q37" s="88">
        <f t="shared" si="26"/>
        <v>35104.636847296933</v>
      </c>
      <c r="R37" s="29"/>
    </row>
    <row r="38" spans="1:18">
      <c r="A38" s="38" t="s">
        <v>1520</v>
      </c>
      <c r="B38" s="39"/>
      <c r="C38" s="40"/>
      <c r="D38" s="74">
        <f>SUM(D27:D37)</f>
        <v>164</v>
      </c>
      <c r="E38" s="41"/>
      <c r="F38" s="91"/>
      <c r="G38" s="40"/>
      <c r="H38" s="91"/>
      <c r="I38" s="40"/>
      <c r="J38" s="91"/>
      <c r="K38" s="40"/>
      <c r="L38" s="40"/>
      <c r="M38" s="40"/>
      <c r="N38" s="40"/>
      <c r="O38" s="91"/>
      <c r="P38" s="91">
        <f>SUM(P27:P37)</f>
        <v>693349.23324889736</v>
      </c>
      <c r="Q38" s="91">
        <f>SUM(Q27:Q37)</f>
        <v>261124.76675110278</v>
      </c>
      <c r="R38" s="37"/>
    </row>
    <row r="39" spans="1:18">
      <c r="A39" s="42" t="s">
        <v>1521</v>
      </c>
      <c r="B39" s="43" t="s">
        <v>1485</v>
      </c>
      <c r="C39" s="50" t="s">
        <v>1486</v>
      </c>
      <c r="D39" s="75">
        <v>399</v>
      </c>
      <c r="E39" s="45"/>
      <c r="F39" s="93">
        <f>H39+J39</f>
        <v>142607869</v>
      </c>
      <c r="G39" s="46">
        <f>H39/F39</f>
        <v>0.93287844445666601</v>
      </c>
      <c r="H39" s="93">
        <f>'rev send dist only'!O158</f>
        <v>133035807</v>
      </c>
      <c r="I39" s="46">
        <f>J39/F39</f>
        <v>6.7121555543334002E-2</v>
      </c>
      <c r="J39" s="93">
        <f>'rev send dist only'!J158</f>
        <v>9572062</v>
      </c>
      <c r="K39" s="52">
        <f>SUM(H39+J39)</f>
        <v>142607869</v>
      </c>
      <c r="L39" s="53">
        <f>H39/K39</f>
        <v>0.93287844445666601</v>
      </c>
      <c r="M39" s="46">
        <f>J39/K39</f>
        <v>6.7121555543334002E-2</v>
      </c>
      <c r="N39" s="46">
        <f>D39/$D$41</f>
        <v>0.99007444168734493</v>
      </c>
      <c r="O39" s="93">
        <v>615928</v>
      </c>
      <c r="P39" s="93">
        <f>O39*N39*M39</f>
        <v>40931.702579690209</v>
      </c>
      <c r="Q39" s="93">
        <f>O39*N39*L39</f>
        <v>568882.86813991272</v>
      </c>
      <c r="R39" s="29"/>
    </row>
    <row r="40" spans="1:18">
      <c r="A40" s="42" t="s">
        <v>1523</v>
      </c>
      <c r="B40" s="43"/>
      <c r="C40" s="50"/>
      <c r="D40" s="75">
        <v>4</v>
      </c>
      <c r="E40" s="45"/>
      <c r="F40" s="93">
        <f>H40+J40</f>
        <v>55109391</v>
      </c>
      <c r="G40" s="46">
        <f>H40/F40</f>
        <v>0.37803192200037194</v>
      </c>
      <c r="H40" s="93">
        <f>'rev send dist only'!O180</f>
        <v>20833109</v>
      </c>
      <c r="I40" s="46">
        <f>J40/F40</f>
        <v>0.62196807799962806</v>
      </c>
      <c r="J40" s="93">
        <f>'rev send dist only'!J180</f>
        <v>34276282</v>
      </c>
      <c r="K40" s="48">
        <f>SUM(H40+J40)</f>
        <v>55109391</v>
      </c>
      <c r="L40" s="49">
        <f>H40/K40</f>
        <v>0.37803192200037194</v>
      </c>
      <c r="M40" s="48">
        <f>J40/K40</f>
        <v>0.62196807799962806</v>
      </c>
      <c r="N40" s="46">
        <f>D40/$D$41</f>
        <v>9.9255583126550868E-3</v>
      </c>
      <c r="O40" s="93">
        <v>615928</v>
      </c>
      <c r="P40" s="93">
        <f>O40*N40*M40</f>
        <v>3802.3578595151848</v>
      </c>
      <c r="Q40" s="93">
        <f>O40*N40*L40</f>
        <v>2311.0714208818372</v>
      </c>
      <c r="R40" s="29"/>
    </row>
    <row r="41" spans="1:18">
      <c r="A41" s="38" t="s">
        <v>1522</v>
      </c>
      <c r="B41" s="39"/>
      <c r="C41" s="40"/>
      <c r="D41" s="74">
        <f>SUM(D39:D40)</f>
        <v>403</v>
      </c>
      <c r="E41" s="41"/>
      <c r="F41" s="91"/>
      <c r="G41" s="40"/>
      <c r="H41" s="91"/>
      <c r="I41" s="40"/>
      <c r="J41" s="91"/>
      <c r="K41" s="40"/>
      <c r="L41" s="40"/>
      <c r="M41" s="40"/>
      <c r="N41" s="40"/>
      <c r="O41" s="91"/>
      <c r="P41" s="91">
        <f>SUM(P39:P40)</f>
        <v>44734.060439205394</v>
      </c>
      <c r="Q41" s="91">
        <f>SUM(Q39:Q40)</f>
        <v>571193.9395607945</v>
      </c>
      <c r="R41" s="29"/>
    </row>
    <row r="42" spans="1:18">
      <c r="A42" s="42" t="s">
        <v>1521</v>
      </c>
      <c r="B42" s="43"/>
      <c r="C42" s="50"/>
      <c r="D42" s="75">
        <v>378.5</v>
      </c>
      <c r="E42" s="45"/>
      <c r="F42" s="93">
        <f>H42+J42</f>
        <v>142607869</v>
      </c>
      <c r="G42" s="46">
        <f>H42/F42</f>
        <v>0.93287844445666601</v>
      </c>
      <c r="H42" s="93">
        <f>$H$39</f>
        <v>133035807</v>
      </c>
      <c r="I42" s="46">
        <f>J42/F42</f>
        <v>6.7121555543334002E-2</v>
      </c>
      <c r="J42" s="93">
        <f>$J$39</f>
        <v>9572062</v>
      </c>
      <c r="K42" s="52">
        <f>SUM(H42+J42)</f>
        <v>142607869</v>
      </c>
      <c r="L42" s="53">
        <f>H42/K42</f>
        <v>0.93287844445666601</v>
      </c>
      <c r="M42" s="46">
        <f>J42/K42</f>
        <v>6.7121555543334002E-2</v>
      </c>
      <c r="N42" s="46">
        <f>D42/$D$45</f>
        <v>0.97501287995878416</v>
      </c>
      <c r="O42" s="93">
        <v>1705932</v>
      </c>
      <c r="P42" s="93">
        <f>O42*N42*M42</f>
        <v>111643.66407109893</v>
      </c>
      <c r="Q42" s="93">
        <f>O42*N42*L42</f>
        <v>1551662.0082627498</v>
      </c>
      <c r="R42" s="29"/>
    </row>
    <row r="43" spans="1:18">
      <c r="A43" s="42" t="s">
        <v>1523</v>
      </c>
      <c r="B43" s="43"/>
      <c r="C43" s="50"/>
      <c r="D43" s="75">
        <v>9</v>
      </c>
      <c r="E43" s="45"/>
      <c r="F43" s="93">
        <f>H43+J43</f>
        <v>55109391</v>
      </c>
      <c r="G43" s="46">
        <f>H43/F43</f>
        <v>0.37803192200037194</v>
      </c>
      <c r="H43" s="93">
        <f>$H$40</f>
        <v>20833109</v>
      </c>
      <c r="I43" s="46">
        <f>J43/F43</f>
        <v>0.62196807799962806</v>
      </c>
      <c r="J43" s="93">
        <f>$J$40</f>
        <v>34276282</v>
      </c>
      <c r="K43" s="48">
        <f>SUM(H43+J43)</f>
        <v>55109391</v>
      </c>
      <c r="L43" s="49">
        <f>H43/K43</f>
        <v>0.37803192200037194</v>
      </c>
      <c r="M43" s="48">
        <f>J43/K43</f>
        <v>0.62196807799962806</v>
      </c>
      <c r="N43" s="46">
        <f>D43/$D$45</f>
        <v>2.3183925811437404E-2</v>
      </c>
      <c r="O43" s="93">
        <v>1705932</v>
      </c>
      <c r="P43" s="93">
        <f>O43*N43*M43</f>
        <v>24598.962455287365</v>
      </c>
      <c r="Q43" s="93">
        <f>O43*N43*L43</f>
        <v>14951.238472069674</v>
      </c>
      <c r="R43" s="29"/>
    </row>
    <row r="44" spans="1:18">
      <c r="A44" s="42" t="s">
        <v>1524</v>
      </c>
      <c r="B44" s="43"/>
      <c r="C44" s="50"/>
      <c r="D44" s="75">
        <v>0.7</v>
      </c>
      <c r="E44" s="47"/>
      <c r="F44" s="93">
        <f>H44+J44</f>
        <v>62017064</v>
      </c>
      <c r="G44" s="46">
        <f>H44/F44</f>
        <v>0.41221915955260313</v>
      </c>
      <c r="H44" s="93">
        <f>'rev send dist only'!O188</f>
        <v>25564622</v>
      </c>
      <c r="I44" s="46">
        <f>J44/F44</f>
        <v>0.58778084044739687</v>
      </c>
      <c r="J44" s="93">
        <f>'rev send dist only'!J188</f>
        <v>36452442</v>
      </c>
      <c r="K44" s="48">
        <f>SUM(H44+J44)</f>
        <v>62017064</v>
      </c>
      <c r="L44" s="49">
        <f>H44/K44</f>
        <v>0.41221915955260313</v>
      </c>
      <c r="M44" s="48">
        <f>J44/K44</f>
        <v>0.58778084044739687</v>
      </c>
      <c r="N44" s="46">
        <f>D44/$D$45</f>
        <v>1.8031942297784646E-3</v>
      </c>
      <c r="O44" s="93">
        <v>1705932</v>
      </c>
      <c r="P44" s="93">
        <f>O44*N44*M44</f>
        <v>1808.0883598513035</v>
      </c>
      <c r="Q44" s="93">
        <f>O44*N44*L44</f>
        <v>1268.0383789431323</v>
      </c>
      <c r="R44" s="29"/>
    </row>
    <row r="45" spans="1:18" s="26" customFormat="1">
      <c r="A45" s="38" t="s">
        <v>1525</v>
      </c>
      <c r="B45" s="39"/>
      <c r="C45" s="40"/>
      <c r="D45" s="74">
        <f>SUM(D42:D44)</f>
        <v>388.2</v>
      </c>
      <c r="E45" s="41"/>
      <c r="F45" s="91"/>
      <c r="G45" s="40"/>
      <c r="H45" s="91"/>
      <c r="I45" s="40"/>
      <c r="J45" s="91"/>
      <c r="K45" s="40"/>
      <c r="L45" s="40"/>
      <c r="M45" s="40"/>
      <c r="N45" s="40"/>
      <c r="O45" s="91"/>
      <c r="P45" s="91">
        <f>SUM(P42:P44)</f>
        <v>138050.71488623761</v>
      </c>
      <c r="Q45" s="91">
        <f>SUM(Q42:Q44)</f>
        <v>1567881.2851137626</v>
      </c>
      <c r="R45" s="37"/>
    </row>
    <row r="46" spans="1:18">
      <c r="A46" s="42" t="s">
        <v>1526</v>
      </c>
      <c r="B46" s="43" t="s">
        <v>1485</v>
      </c>
      <c r="C46" s="50" t="s">
        <v>1486</v>
      </c>
      <c r="D46" s="75">
        <v>1</v>
      </c>
      <c r="E46" s="45"/>
      <c r="F46" s="93">
        <f t="shared" ref="F46:F55" si="27">H46+J46</f>
        <v>381732222</v>
      </c>
      <c r="G46" s="46">
        <f t="shared" ref="G46:G55" si="28">H46/F46</f>
        <v>0.7574108716449931</v>
      </c>
      <c r="H46" s="93">
        <f>'rev send dist only'!O239</f>
        <v>289128135</v>
      </c>
      <c r="I46" s="46">
        <f t="shared" ref="I46:I55" si="29">J46/F46</f>
        <v>0.24258912835500693</v>
      </c>
      <c r="J46" s="93">
        <f>'rev send dist only'!J239</f>
        <v>92604087</v>
      </c>
      <c r="K46" s="55">
        <f t="shared" ref="K46:K55" si="30">SUM(H46+J46)</f>
        <v>381732222</v>
      </c>
      <c r="L46" s="49">
        <f t="shared" ref="L46:L55" si="31">H46/K46</f>
        <v>0.7574108716449931</v>
      </c>
      <c r="M46" s="48">
        <f t="shared" ref="M46:M55" si="32">J46/K46</f>
        <v>0.24258912835500693</v>
      </c>
      <c r="N46" s="46">
        <f>D46/$D$56</f>
        <v>4.4843049327354259E-3</v>
      </c>
      <c r="O46" s="93">
        <v>437739</v>
      </c>
      <c r="P46" s="93">
        <f t="shared" ref="P46:P55" si="33">O46*N46*M46</f>
        <v>476.19158052462944</v>
      </c>
      <c r="Q46" s="93">
        <f t="shared" ref="Q46:Q55" si="34">O46*N46*L46</f>
        <v>1486.7635764260431</v>
      </c>
      <c r="R46" s="29"/>
    </row>
    <row r="47" spans="1:18">
      <c r="A47" s="42" t="s">
        <v>1527</v>
      </c>
      <c r="B47" s="43" t="s">
        <v>1485</v>
      </c>
      <c r="C47" s="50" t="s">
        <v>1487</v>
      </c>
      <c r="D47" s="75">
        <v>0.1</v>
      </c>
      <c r="E47" s="47"/>
      <c r="F47" s="93">
        <f t="shared" si="27"/>
        <v>159130899</v>
      </c>
      <c r="G47" s="46">
        <f t="shared" si="28"/>
        <v>1.160780220314095E-3</v>
      </c>
      <c r="H47" s="93">
        <f>'rev send dist only'!O336</f>
        <v>184716</v>
      </c>
      <c r="I47" s="46">
        <f t="shared" si="29"/>
        <v>0.99883921977968593</v>
      </c>
      <c r="J47" s="93">
        <f>'rev send dist only'!J336</f>
        <v>158946183</v>
      </c>
      <c r="K47" s="55">
        <f t="shared" si="30"/>
        <v>159130899</v>
      </c>
      <c r="L47" s="49">
        <f t="shared" si="31"/>
        <v>1.160780220314095E-3</v>
      </c>
      <c r="M47" s="48">
        <f t="shared" si="32"/>
        <v>0.99883921977968593</v>
      </c>
      <c r="N47" s="46">
        <f t="shared" ref="N47:N55" si="35">D47/$D$56</f>
        <v>4.4843049327354261E-4</v>
      </c>
      <c r="O47" s="93">
        <v>437739</v>
      </c>
      <c r="P47" s="93">
        <f t="shared" si="33"/>
        <v>196.0676597431121</v>
      </c>
      <c r="Q47" s="93">
        <f t="shared" si="34"/>
        <v>0.2278559519551891</v>
      </c>
      <c r="R47" s="29"/>
    </row>
    <row r="48" spans="1:18" s="28" customFormat="1">
      <c r="A48" s="54" t="s">
        <v>1513</v>
      </c>
      <c r="B48" s="51" t="s">
        <v>1485</v>
      </c>
      <c r="C48" s="56" t="s">
        <v>1488</v>
      </c>
      <c r="D48" s="75">
        <v>1</v>
      </c>
      <c r="E48" s="47"/>
      <c r="F48" s="93">
        <f t="shared" si="27"/>
        <v>74430231</v>
      </c>
      <c r="G48" s="46">
        <f t="shared" si="28"/>
        <v>5.06489762204285E-2</v>
      </c>
      <c r="H48" s="93">
        <f>$H$31</f>
        <v>3769815</v>
      </c>
      <c r="I48" s="46">
        <f t="shared" si="29"/>
        <v>0.94935102377957148</v>
      </c>
      <c r="J48" s="93">
        <f>$J$31</f>
        <v>70660416</v>
      </c>
      <c r="K48" s="48">
        <f t="shared" si="30"/>
        <v>74430231</v>
      </c>
      <c r="L48" s="49">
        <f t="shared" si="31"/>
        <v>5.06489762204285E-2</v>
      </c>
      <c r="M48" s="48">
        <f t="shared" si="32"/>
        <v>0.94935102377957148</v>
      </c>
      <c r="N48" s="46">
        <f t="shared" si="35"/>
        <v>4.4843049327354259E-3</v>
      </c>
      <c r="O48" s="93">
        <v>437739</v>
      </c>
      <c r="P48" s="93">
        <f t="shared" si="33"/>
        <v>1863.5334878845104</v>
      </c>
      <c r="Q48" s="93">
        <f t="shared" si="34"/>
        <v>99.42166906616211</v>
      </c>
      <c r="R48" s="29"/>
    </row>
    <row r="49" spans="1:18" s="28" customFormat="1">
      <c r="A49" s="54" t="s">
        <v>1528</v>
      </c>
      <c r="B49" s="51" t="s">
        <v>1485</v>
      </c>
      <c r="C49" s="57">
        <v>491700</v>
      </c>
      <c r="D49" s="75">
        <v>1</v>
      </c>
      <c r="E49" s="45"/>
      <c r="F49" s="93">
        <f t="shared" si="27"/>
        <v>43178619</v>
      </c>
      <c r="G49" s="46">
        <f t="shared" si="28"/>
        <v>0.10620311872410741</v>
      </c>
      <c r="H49" s="93">
        <f>'rev send dist only'!O354</f>
        <v>4585704</v>
      </c>
      <c r="I49" s="46">
        <f>J49/F49</f>
        <v>0.89379688127589263</v>
      </c>
      <c r="J49" s="93">
        <f>'rev send dist only'!J354</f>
        <v>38592915</v>
      </c>
      <c r="K49" s="48">
        <f>SUM(H49+J49)</f>
        <v>43178619</v>
      </c>
      <c r="L49" s="49">
        <f>H49/K49</f>
        <v>0.10620311872410741</v>
      </c>
      <c r="M49" s="48">
        <f>J49/K49</f>
        <v>0.89379688127589263</v>
      </c>
      <c r="N49" s="46">
        <f t="shared" si="35"/>
        <v>4.4843049327354259E-3</v>
      </c>
      <c r="O49" s="93">
        <v>437739</v>
      </c>
      <c r="P49" s="93">
        <f>O49*N49*M49</f>
        <v>1754.4831973669413</v>
      </c>
      <c r="Q49" s="93">
        <f>O49*N49*L49</f>
        <v>208.47195958373118</v>
      </c>
      <c r="R49" s="29"/>
    </row>
    <row r="50" spans="1:18" s="28" customFormat="1">
      <c r="A50" s="54" t="s">
        <v>1517</v>
      </c>
      <c r="B50" s="51"/>
      <c r="C50" s="57"/>
      <c r="D50" s="75">
        <v>1.9</v>
      </c>
      <c r="E50" s="45"/>
      <c r="F50" s="93">
        <f t="shared" si="27"/>
        <v>97929722</v>
      </c>
      <c r="G50" s="46">
        <f t="shared" si="28"/>
        <v>0</v>
      </c>
      <c r="H50" s="93">
        <f>H35</f>
        <v>0</v>
      </c>
      <c r="I50" s="46">
        <f>J50/F50</f>
        <v>1</v>
      </c>
      <c r="J50" s="93">
        <f>J35</f>
        <v>97929722</v>
      </c>
      <c r="K50" s="48">
        <f>SUM(H50+J50)</f>
        <v>97929722</v>
      </c>
      <c r="L50" s="49">
        <f>H50/K50</f>
        <v>0</v>
      </c>
      <c r="M50" s="48">
        <f>J50/K50</f>
        <v>1</v>
      </c>
      <c r="N50" s="46">
        <f t="shared" si="35"/>
        <v>8.5201793721973087E-3</v>
      </c>
      <c r="O50" s="93">
        <v>437739</v>
      </c>
      <c r="P50" s="93">
        <f>O50*N50*M50</f>
        <v>3729.6147982062776</v>
      </c>
      <c r="Q50" s="93">
        <f>O50*N50*L50</f>
        <v>0</v>
      </c>
      <c r="R50" s="29"/>
    </row>
    <row r="51" spans="1:18" s="28" customFormat="1">
      <c r="A51" s="54" t="s">
        <v>1529</v>
      </c>
      <c r="B51" s="51"/>
      <c r="C51" s="57"/>
      <c r="D51" s="75">
        <v>2</v>
      </c>
      <c r="E51" s="45"/>
      <c r="F51" s="93">
        <f t="shared" si="27"/>
        <v>37628562</v>
      </c>
      <c r="G51" s="46">
        <f t="shared" si="28"/>
        <v>0.31056634585185583</v>
      </c>
      <c r="H51" s="93">
        <f>'rev send dist only'!O531</f>
        <v>11686165</v>
      </c>
      <c r="I51" s="46">
        <f>J51/F51</f>
        <v>0.68943365414814417</v>
      </c>
      <c r="J51" s="93">
        <f>'rev send dist only'!J531</f>
        <v>25942397</v>
      </c>
      <c r="K51" s="48">
        <f>SUM(H51+J51)</f>
        <v>37628562</v>
      </c>
      <c r="L51" s="49">
        <f>H51/K51</f>
        <v>0.31056634585185583</v>
      </c>
      <c r="M51" s="48">
        <f>J51/K51</f>
        <v>0.68943365414814417</v>
      </c>
      <c r="N51" s="46">
        <f t="shared" si="35"/>
        <v>8.9686098654708519E-3</v>
      </c>
      <c r="O51" s="93">
        <v>437739</v>
      </c>
      <c r="P51" s="93">
        <f>O51*N51*M51</f>
        <v>2706.6546935708921</v>
      </c>
      <c r="Q51" s="93">
        <f>O51*N51*L51</f>
        <v>1219.255620330453</v>
      </c>
      <c r="R51" s="29"/>
    </row>
    <row r="52" spans="1:18" s="28" customFormat="1">
      <c r="A52" s="54" t="s">
        <v>1519</v>
      </c>
      <c r="B52" s="51"/>
      <c r="C52" s="57"/>
      <c r="D52" s="75">
        <v>211</v>
      </c>
      <c r="E52" s="45"/>
      <c r="F52" s="93">
        <f t="shared" si="27"/>
        <v>62723780</v>
      </c>
      <c r="G52" s="46">
        <f t="shared" si="28"/>
        <v>0.71806695961244682</v>
      </c>
      <c r="H52" s="93">
        <f>$H$37</f>
        <v>45039874</v>
      </c>
      <c r="I52" s="46">
        <f>J52/F52</f>
        <v>0.28193304038755318</v>
      </c>
      <c r="J52" s="93">
        <f>$J$37</f>
        <v>17683906</v>
      </c>
      <c r="K52" s="48">
        <f>SUM(H52+J52)</f>
        <v>62723780</v>
      </c>
      <c r="L52" s="49">
        <f>H52/K52</f>
        <v>0.71806695961244682</v>
      </c>
      <c r="M52" s="48">
        <f>J52/K52</f>
        <v>0.28193304038755318</v>
      </c>
      <c r="N52" s="46">
        <f t="shared" si="35"/>
        <v>0.94618834080717484</v>
      </c>
      <c r="O52" s="93">
        <v>437739</v>
      </c>
      <c r="P52" s="93">
        <f>O52*N52*M52</f>
        <v>116772.02417968478</v>
      </c>
      <c r="Q52" s="93">
        <f>O52*N52*L52</f>
        <v>297411.51393690717</v>
      </c>
      <c r="R52" s="29"/>
    </row>
    <row r="53" spans="1:18" s="28" customFormat="1">
      <c r="A53" s="54" t="s">
        <v>1530</v>
      </c>
      <c r="B53" s="51"/>
      <c r="C53" s="57"/>
      <c r="D53" s="75">
        <v>2</v>
      </c>
      <c r="E53" s="45"/>
      <c r="F53" s="93">
        <f t="shared" si="27"/>
        <v>33097510</v>
      </c>
      <c r="G53" s="46">
        <f t="shared" si="28"/>
        <v>0.3301148031981862</v>
      </c>
      <c r="H53" s="93">
        <f>'rev send dist only'!O581</f>
        <v>10925978</v>
      </c>
      <c r="I53" s="46">
        <f>J53/F53</f>
        <v>0.6698851968018138</v>
      </c>
      <c r="J53" s="93">
        <f>'rev send dist only'!J581</f>
        <v>22171532</v>
      </c>
      <c r="K53" s="48">
        <f>SUM(H53+J53)</f>
        <v>33097510</v>
      </c>
      <c r="L53" s="49">
        <f>H53/K53</f>
        <v>0.3301148031981862</v>
      </c>
      <c r="M53" s="48">
        <f>J53/K53</f>
        <v>0.6698851968018138</v>
      </c>
      <c r="N53" s="46">
        <f t="shared" si="35"/>
        <v>8.9686098654708519E-3</v>
      </c>
      <c r="O53" s="93">
        <v>437739</v>
      </c>
      <c r="P53" s="93">
        <f>O53*N53*M53</f>
        <v>2629.909203254073</v>
      </c>
      <c r="Q53" s="93">
        <f>O53*N53*L53</f>
        <v>1296.0011106472718</v>
      </c>
      <c r="R53" s="29"/>
    </row>
    <row r="54" spans="1:18" s="28" customFormat="1">
      <c r="A54" s="54" t="s">
        <v>1531</v>
      </c>
      <c r="B54" s="51" t="s">
        <v>1485</v>
      </c>
      <c r="C54" s="51">
        <v>530600</v>
      </c>
      <c r="D54" s="75">
        <v>2</v>
      </c>
      <c r="E54" s="47"/>
      <c r="F54" s="93">
        <f t="shared" si="27"/>
        <v>62641766</v>
      </c>
      <c r="G54" s="46">
        <f t="shared" si="28"/>
        <v>0</v>
      </c>
      <c r="H54" s="93">
        <f>'rev send dist only'!O583</f>
        <v>0</v>
      </c>
      <c r="I54" s="46">
        <f t="shared" si="29"/>
        <v>1</v>
      </c>
      <c r="J54" s="93">
        <f>'rev send dist only'!J583</f>
        <v>62641766</v>
      </c>
      <c r="K54" s="48">
        <f t="shared" si="30"/>
        <v>62641766</v>
      </c>
      <c r="L54" s="49">
        <f t="shared" si="31"/>
        <v>0</v>
      </c>
      <c r="M54" s="48">
        <f t="shared" si="32"/>
        <v>1</v>
      </c>
      <c r="N54" s="46">
        <f t="shared" si="35"/>
        <v>8.9686098654708519E-3</v>
      </c>
      <c r="O54" s="93">
        <v>437739</v>
      </c>
      <c r="P54" s="93">
        <f t="shared" si="33"/>
        <v>3925.910313901345</v>
      </c>
      <c r="Q54" s="93">
        <f t="shared" si="34"/>
        <v>0</v>
      </c>
      <c r="R54" s="29"/>
    </row>
    <row r="55" spans="1:18" s="28" customFormat="1" ht="14" thickBot="1">
      <c r="A55" s="58" t="s">
        <v>1376</v>
      </c>
      <c r="B55" s="59"/>
      <c r="C55" s="60"/>
      <c r="D55" s="76">
        <v>1</v>
      </c>
      <c r="E55" s="61"/>
      <c r="F55" s="94">
        <f t="shared" si="27"/>
        <v>84390302</v>
      </c>
      <c r="G55" s="62">
        <f t="shared" si="28"/>
        <v>0.16589153810588331</v>
      </c>
      <c r="H55" s="94">
        <f>'rev send dist only'!O588</f>
        <v>13999637</v>
      </c>
      <c r="I55" s="62">
        <f t="shared" si="29"/>
        <v>0.83410846189411669</v>
      </c>
      <c r="J55" s="94">
        <f>'rev send dist only'!J588</f>
        <v>70390665</v>
      </c>
      <c r="K55" s="63">
        <f t="shared" si="30"/>
        <v>84390302</v>
      </c>
      <c r="L55" s="64">
        <f t="shared" si="31"/>
        <v>0.16589153810588331</v>
      </c>
      <c r="M55" s="63">
        <f t="shared" si="32"/>
        <v>0.83410846189411669</v>
      </c>
      <c r="N55" s="46">
        <f t="shared" si="35"/>
        <v>4.4843049327354259E-3</v>
      </c>
      <c r="O55" s="94">
        <v>437739</v>
      </c>
      <c r="P55" s="94">
        <f t="shared" si="33"/>
        <v>1637.31750673125</v>
      </c>
      <c r="Q55" s="94">
        <f t="shared" si="34"/>
        <v>325.63765021942265</v>
      </c>
      <c r="R55" s="29"/>
    </row>
    <row r="56" spans="1:18">
      <c r="A56" s="38" t="s">
        <v>656</v>
      </c>
      <c r="B56" s="39"/>
      <c r="C56" s="40"/>
      <c r="D56" s="74">
        <f>SUM(D46:D55)</f>
        <v>223</v>
      </c>
      <c r="E56" s="41"/>
      <c r="F56" s="91"/>
      <c r="G56" s="40"/>
      <c r="H56" s="91"/>
      <c r="I56" s="40"/>
      <c r="J56" s="91"/>
      <c r="K56" s="40"/>
      <c r="L56" s="40"/>
      <c r="M56" s="40"/>
      <c r="N56" s="40"/>
      <c r="O56" s="91"/>
      <c r="P56" s="91">
        <f>SUM(P46:P55)</f>
        <v>135691.70662086783</v>
      </c>
      <c r="Q56" s="91">
        <f>SUM(Q46:Q55)</f>
        <v>302047.29337913223</v>
      </c>
      <c r="R56" s="37"/>
    </row>
    <row r="57" spans="1:18">
      <c r="A57" s="42" t="s">
        <v>657</v>
      </c>
      <c r="B57" s="43" t="s">
        <v>1485</v>
      </c>
      <c r="C57" s="50" t="s">
        <v>1486</v>
      </c>
      <c r="D57" s="73">
        <v>399.8</v>
      </c>
      <c r="E57" s="45"/>
      <c r="F57" s="95">
        <f>H57+J57</f>
        <v>259769100</v>
      </c>
      <c r="G57" s="46">
        <f>H57/F57</f>
        <v>0.68623093354829345</v>
      </c>
      <c r="H57" s="95">
        <f>'rev send dist only'!O283</f>
        <v>178261592</v>
      </c>
      <c r="I57" s="46">
        <f>J57/F57</f>
        <v>0.31376906645170655</v>
      </c>
      <c r="J57" s="95">
        <f>'rev send dist only'!J283</f>
        <v>81507508</v>
      </c>
      <c r="K57" s="48">
        <f>SUM(H57+J57)</f>
        <v>259769100</v>
      </c>
      <c r="L57" s="49">
        <f>H57/K57</f>
        <v>0.68623093354829345</v>
      </c>
      <c r="M57" s="48">
        <f>J57/K57</f>
        <v>0.31376906645170655</v>
      </c>
      <c r="N57" s="46">
        <f>D57/$D$58</f>
        <v>1</v>
      </c>
      <c r="O57" s="95">
        <v>1115833</v>
      </c>
      <c r="P57" s="95">
        <f>O57*N57*M57</f>
        <v>350113.87872600707</v>
      </c>
      <c r="Q57" s="95">
        <f>O57*N57*L57</f>
        <v>765719.12127399293</v>
      </c>
      <c r="R57" s="29"/>
    </row>
    <row r="58" spans="1:18">
      <c r="A58" s="38" t="s">
        <v>1930</v>
      </c>
      <c r="B58" s="39"/>
      <c r="C58" s="40"/>
      <c r="D58" s="74">
        <f>SUM(D57)</f>
        <v>399.8</v>
      </c>
      <c r="E58" s="41"/>
      <c r="F58" s="91"/>
      <c r="G58" s="40"/>
      <c r="H58" s="91"/>
      <c r="I58" s="40"/>
      <c r="J58" s="91"/>
      <c r="K58" s="40"/>
      <c r="L58" s="40"/>
      <c r="M58" s="40"/>
      <c r="N58" s="40"/>
      <c r="O58" s="91"/>
      <c r="P58" s="91">
        <f>SUM(P57)</f>
        <v>350113.87872600707</v>
      </c>
      <c r="Q58" s="91">
        <f>SUM(Q57)</f>
        <v>765719.12127399293</v>
      </c>
      <c r="R58" s="37"/>
    </row>
    <row r="59" spans="1:18">
      <c r="A59" s="42" t="s">
        <v>1532</v>
      </c>
      <c r="B59" s="43" t="s">
        <v>1485</v>
      </c>
      <c r="C59" s="50" t="s">
        <v>1486</v>
      </c>
      <c r="D59" s="73">
        <v>1</v>
      </c>
      <c r="E59" s="45"/>
      <c r="F59" s="95">
        <f t="shared" ref="F59:F64" si="36">H59+J59</f>
        <v>34791931</v>
      </c>
      <c r="G59" s="46">
        <f t="shared" ref="G59:G64" si="37">H59/F59</f>
        <v>0.39053627118310852</v>
      </c>
      <c r="H59" s="95">
        <f>'rev send dist only'!O53</f>
        <v>13587511</v>
      </c>
      <c r="I59" s="46">
        <f t="shared" ref="I59:I64" si="38">J59/F59</f>
        <v>0.60946372881689148</v>
      </c>
      <c r="J59" s="95">
        <f>'rev send dist only'!J53</f>
        <v>21204420</v>
      </c>
      <c r="K59" s="48">
        <f t="shared" ref="K59:K64" si="39">SUM(H59+J59)</f>
        <v>34791931</v>
      </c>
      <c r="L59" s="49">
        <f t="shared" ref="L59:L64" si="40">H59/K59</f>
        <v>0.39053627118310852</v>
      </c>
      <c r="M59" s="48">
        <f t="shared" ref="M59:M64" si="41">J59/K59</f>
        <v>0.60946372881689148</v>
      </c>
      <c r="N59" s="46">
        <f t="shared" ref="N59:N64" si="42">D59/$D$65</f>
        <v>9.765625E-3</v>
      </c>
      <c r="O59" s="95">
        <v>885543</v>
      </c>
      <c r="P59" s="95">
        <f t="shared" ref="P59:P64" si="43">O59*N59*M59</f>
        <v>5270.5697149189118</v>
      </c>
      <c r="Q59" s="95">
        <f t="shared" ref="Q59:Q64" si="44">O59*N59*L59</f>
        <v>3377.3111444560886</v>
      </c>
      <c r="R59" s="29"/>
    </row>
    <row r="60" spans="1:18">
      <c r="A60" s="42" t="s">
        <v>1365</v>
      </c>
      <c r="B60" s="43"/>
      <c r="C60" s="50"/>
      <c r="D60" s="73">
        <v>0.7</v>
      </c>
      <c r="E60" s="45"/>
      <c r="F60" s="95">
        <f t="shared" si="36"/>
        <v>19647375</v>
      </c>
      <c r="G60" s="46">
        <f t="shared" si="37"/>
        <v>0</v>
      </c>
      <c r="H60" s="95">
        <f>'rev send dist only'!O228</f>
        <v>0</v>
      </c>
      <c r="I60" s="46">
        <f t="shared" si="38"/>
        <v>1</v>
      </c>
      <c r="J60" s="95">
        <f>'rev send dist only'!J228</f>
        <v>19647375</v>
      </c>
      <c r="K60" s="48">
        <f t="shared" si="39"/>
        <v>19647375</v>
      </c>
      <c r="L60" s="49">
        <f t="shared" si="40"/>
        <v>0</v>
      </c>
      <c r="M60" s="48">
        <f t="shared" si="41"/>
        <v>1</v>
      </c>
      <c r="N60" s="46">
        <f t="shared" si="42"/>
        <v>6.8359374999999991E-3</v>
      </c>
      <c r="O60" s="95">
        <v>885543</v>
      </c>
      <c r="P60" s="95">
        <f t="shared" si="43"/>
        <v>6053.5166015624991</v>
      </c>
      <c r="Q60" s="95">
        <f t="shared" si="44"/>
        <v>0</v>
      </c>
      <c r="R60" s="29"/>
    </row>
    <row r="61" spans="1:18">
      <c r="A61" s="42" t="s">
        <v>1366</v>
      </c>
      <c r="B61" s="43"/>
      <c r="C61" s="50"/>
      <c r="D61" s="73">
        <v>95.7</v>
      </c>
      <c r="E61" s="45"/>
      <c r="F61" s="95">
        <f t="shared" si="36"/>
        <v>105627636</v>
      </c>
      <c r="G61" s="46">
        <f t="shared" si="37"/>
        <v>4.0848732049631402E-2</v>
      </c>
      <c r="H61" s="95">
        <f>'rev send dist only'!O485</f>
        <v>4314755</v>
      </c>
      <c r="I61" s="46">
        <f t="shared" si="38"/>
        <v>0.95915126795036865</v>
      </c>
      <c r="J61" s="95">
        <f>'rev send dist only'!J485</f>
        <v>101312881</v>
      </c>
      <c r="K61" s="48">
        <f t="shared" si="39"/>
        <v>105627636</v>
      </c>
      <c r="L61" s="49">
        <f t="shared" si="40"/>
        <v>4.0848732049631402E-2</v>
      </c>
      <c r="M61" s="48">
        <f t="shared" si="41"/>
        <v>0.95915126795036865</v>
      </c>
      <c r="N61" s="46">
        <f t="shared" si="42"/>
        <v>0.9345703125</v>
      </c>
      <c r="O61" s="95">
        <v>885543</v>
      </c>
      <c r="P61" s="95">
        <f t="shared" si="43"/>
        <v>793795.6978025065</v>
      </c>
      <c r="Q61" s="95">
        <f t="shared" si="44"/>
        <v>33806.500439681047</v>
      </c>
      <c r="R61" s="29"/>
    </row>
    <row r="62" spans="1:18">
      <c r="A62" s="42" t="s">
        <v>1367</v>
      </c>
      <c r="B62" s="43"/>
      <c r="C62" s="50"/>
      <c r="D62" s="73">
        <v>3</v>
      </c>
      <c r="E62" s="45"/>
      <c r="F62" s="95">
        <f t="shared" si="36"/>
        <v>89777526</v>
      </c>
      <c r="G62" s="46">
        <f t="shared" si="37"/>
        <v>0.82009586675400259</v>
      </c>
      <c r="H62" s="95">
        <f>'rev send dist only'!O491</f>
        <v>73626178</v>
      </c>
      <c r="I62" s="46">
        <f t="shared" si="38"/>
        <v>0.17990413324599744</v>
      </c>
      <c r="J62" s="95">
        <f>'rev send dist only'!J491</f>
        <v>16151348</v>
      </c>
      <c r="K62" s="48">
        <f t="shared" si="39"/>
        <v>89777526</v>
      </c>
      <c r="L62" s="49">
        <f t="shared" si="40"/>
        <v>0.82009586675400259</v>
      </c>
      <c r="M62" s="48">
        <f t="shared" si="41"/>
        <v>0.17990413324599744</v>
      </c>
      <c r="N62" s="46">
        <f t="shared" si="42"/>
        <v>2.9296875E-2</v>
      </c>
      <c r="O62" s="95">
        <v>885543</v>
      </c>
      <c r="P62" s="95">
        <f t="shared" si="43"/>
        <v>4667.3685312615326</v>
      </c>
      <c r="Q62" s="95">
        <f t="shared" si="44"/>
        <v>21276.274046863469</v>
      </c>
      <c r="R62" s="29"/>
    </row>
    <row r="63" spans="1:18">
      <c r="A63" s="42" t="s">
        <v>1368</v>
      </c>
      <c r="B63" s="43"/>
      <c r="C63" s="50"/>
      <c r="D63" s="73">
        <v>1</v>
      </c>
      <c r="E63" s="45"/>
      <c r="F63" s="95">
        <f t="shared" si="36"/>
        <v>212827949</v>
      </c>
      <c r="G63" s="46">
        <f t="shared" si="37"/>
        <v>0.80920356000799498</v>
      </c>
      <c r="H63" s="95">
        <f>'rev send dist only'!O496</f>
        <v>172221134</v>
      </c>
      <c r="I63" s="46">
        <f t="shared" si="38"/>
        <v>0.19079643999200499</v>
      </c>
      <c r="J63" s="95">
        <f>'rev send dist only'!J496</f>
        <v>40606815</v>
      </c>
      <c r="K63" s="48">
        <f t="shared" si="39"/>
        <v>212827949</v>
      </c>
      <c r="L63" s="49">
        <f t="shared" si="40"/>
        <v>0.80920356000799498</v>
      </c>
      <c r="M63" s="48">
        <f t="shared" si="41"/>
        <v>0.19079643999200499</v>
      </c>
      <c r="N63" s="46">
        <f t="shared" si="42"/>
        <v>9.765625E-3</v>
      </c>
      <c r="O63" s="95">
        <v>885543</v>
      </c>
      <c r="P63" s="95">
        <f t="shared" si="43"/>
        <v>1649.9848814437507</v>
      </c>
      <c r="Q63" s="95">
        <f t="shared" si="44"/>
        <v>6997.895977931249</v>
      </c>
      <c r="R63" s="29"/>
    </row>
    <row r="64" spans="1:18">
      <c r="A64" s="42" t="s">
        <v>1369</v>
      </c>
      <c r="B64" s="43"/>
      <c r="C64" s="50"/>
      <c r="D64" s="73">
        <v>1</v>
      </c>
      <c r="E64" s="45"/>
      <c r="F64" s="95">
        <f t="shared" si="36"/>
        <v>107253154</v>
      </c>
      <c r="G64" s="46">
        <f t="shared" si="37"/>
        <v>0</v>
      </c>
      <c r="H64" s="95">
        <f>'rev send dist only'!O502</f>
        <v>0</v>
      </c>
      <c r="I64" s="46">
        <f t="shared" si="38"/>
        <v>1</v>
      </c>
      <c r="J64" s="95">
        <f>'rev send dist only'!J502</f>
        <v>107253154</v>
      </c>
      <c r="K64" s="48">
        <f t="shared" si="39"/>
        <v>107253154</v>
      </c>
      <c r="L64" s="49">
        <f t="shared" si="40"/>
        <v>0</v>
      </c>
      <c r="M64" s="48">
        <f t="shared" si="41"/>
        <v>1</v>
      </c>
      <c r="N64" s="46">
        <f t="shared" si="42"/>
        <v>9.765625E-3</v>
      </c>
      <c r="O64" s="95">
        <v>885543</v>
      </c>
      <c r="P64" s="95">
        <f t="shared" si="43"/>
        <v>8647.880859375</v>
      </c>
      <c r="Q64" s="95">
        <f t="shared" si="44"/>
        <v>0</v>
      </c>
      <c r="R64" s="29"/>
    </row>
    <row r="65" spans="1:18">
      <c r="A65" s="38" t="s">
        <v>1370</v>
      </c>
      <c r="B65" s="39"/>
      <c r="C65" s="40"/>
      <c r="D65" s="74">
        <f>SUM(D59:D64)</f>
        <v>102.4</v>
      </c>
      <c r="E65" s="41"/>
      <c r="F65" s="91"/>
      <c r="G65" s="40"/>
      <c r="H65" s="91"/>
      <c r="I65" s="40"/>
      <c r="J65" s="91"/>
      <c r="K65" s="40"/>
      <c r="L65" s="40"/>
      <c r="M65" s="40"/>
      <c r="N65" s="40"/>
      <c r="O65" s="91"/>
      <c r="P65" s="91">
        <f>SUM(P59:P64)</f>
        <v>820085.01839106833</v>
      </c>
      <c r="Q65" s="91">
        <f>SUM(Q59:Q64)</f>
        <v>65457.981608931856</v>
      </c>
      <c r="R65" s="37"/>
    </row>
    <row r="66" spans="1:18">
      <c r="A66" s="42" t="s">
        <v>1521</v>
      </c>
      <c r="B66" s="43" t="s">
        <v>1485</v>
      </c>
      <c r="C66" s="50" t="s">
        <v>1486</v>
      </c>
      <c r="D66" s="73">
        <v>179.6</v>
      </c>
      <c r="E66" s="45"/>
      <c r="F66" s="95">
        <f>H66+J66</f>
        <v>142607869</v>
      </c>
      <c r="G66" s="46">
        <f>H66/F66</f>
        <v>0.93287844445666601</v>
      </c>
      <c r="H66" s="95">
        <f>$H$39</f>
        <v>133035807</v>
      </c>
      <c r="I66" s="46">
        <f>J66/F66</f>
        <v>6.7121555543334002E-2</v>
      </c>
      <c r="J66" s="95">
        <f>$J$39</f>
        <v>9572062</v>
      </c>
      <c r="K66" s="48">
        <f>SUM(H66+J66)</f>
        <v>142607869</v>
      </c>
      <c r="L66" s="49">
        <f>H66/K66</f>
        <v>0.93287844445666601</v>
      </c>
      <c r="M66" s="48">
        <f>J66/K66</f>
        <v>6.7121555543334002E-2</v>
      </c>
      <c r="N66" s="46">
        <f>D66/$D$71</f>
        <v>0.97821350762527237</v>
      </c>
      <c r="O66" s="95">
        <v>298384</v>
      </c>
      <c r="P66" s="95">
        <f>O66*N66*M66</f>
        <v>19591.65839853973</v>
      </c>
      <c r="Q66" s="95">
        <f>O66*N66*L66</f>
        <v>272291.60086071957</v>
      </c>
      <c r="R66" s="29"/>
    </row>
    <row r="67" spans="1:18">
      <c r="A67" s="42" t="s">
        <v>1371</v>
      </c>
      <c r="B67" s="43"/>
      <c r="C67" s="50"/>
      <c r="D67" s="73">
        <v>1</v>
      </c>
      <c r="E67" s="45"/>
      <c r="F67" s="95">
        <f>H67+J67</f>
        <v>25206777</v>
      </c>
      <c r="G67" s="46">
        <f>H67/F67</f>
        <v>0.45348772673317178</v>
      </c>
      <c r="H67" s="95">
        <f>'rev send dist only'!O175</f>
        <v>11430964</v>
      </c>
      <c r="I67" s="46">
        <f>J67/F67</f>
        <v>0.54651227326682816</v>
      </c>
      <c r="J67" s="95">
        <f>'rev send dist only'!J175</f>
        <v>13775813</v>
      </c>
      <c r="K67" s="48">
        <f>SUM(H67+J67)</f>
        <v>25206777</v>
      </c>
      <c r="L67" s="49">
        <f>H67/K67</f>
        <v>0.45348772673317178</v>
      </c>
      <c r="M67" s="48">
        <f>J67/K67</f>
        <v>0.54651227326682816</v>
      </c>
      <c r="N67" s="46">
        <f>D67/$D$71</f>
        <v>5.4466230936819175E-3</v>
      </c>
      <c r="O67" s="95">
        <v>298384</v>
      </c>
      <c r="P67" s="95">
        <f>O67*N67*M67</f>
        <v>888.18365003512667</v>
      </c>
      <c r="Q67" s="95">
        <f>O67*N67*L67</f>
        <v>737.00153515005843</v>
      </c>
      <c r="R67" s="29"/>
    </row>
    <row r="68" spans="1:18">
      <c r="A68" s="42" t="s">
        <v>1523</v>
      </c>
      <c r="B68" s="43"/>
      <c r="C68" s="50"/>
      <c r="D68" s="73">
        <v>1</v>
      </c>
      <c r="E68" s="45"/>
      <c r="F68" s="95">
        <f>H68+J68</f>
        <v>55109391</v>
      </c>
      <c r="G68" s="46">
        <f>H68/F68</f>
        <v>0.37803192200037194</v>
      </c>
      <c r="H68" s="95">
        <f>$H$40</f>
        <v>20833109</v>
      </c>
      <c r="I68" s="46">
        <f>J68/F68</f>
        <v>0.62196807799962806</v>
      </c>
      <c r="J68" s="95">
        <f>$J$40</f>
        <v>34276282</v>
      </c>
      <c r="K68" s="48">
        <f>SUM(H68+J68)</f>
        <v>55109391</v>
      </c>
      <c r="L68" s="49">
        <f>H68/K68</f>
        <v>0.37803192200037194</v>
      </c>
      <c r="M68" s="48">
        <f>J68/K68</f>
        <v>0.62196807799962806</v>
      </c>
      <c r="N68" s="46">
        <f>D68/$D$71</f>
        <v>5.4466230936819175E-3</v>
      </c>
      <c r="O68" s="95">
        <v>298384</v>
      </c>
      <c r="P68" s="95">
        <f>O68*N68*M68</f>
        <v>1010.8133060230992</v>
      </c>
      <c r="Q68" s="95">
        <f>O68*N68*L68</f>
        <v>614.37187916208597</v>
      </c>
      <c r="R68" s="29"/>
    </row>
    <row r="69" spans="1:18">
      <c r="A69" s="42" t="s">
        <v>1372</v>
      </c>
      <c r="B69" s="43"/>
      <c r="C69" s="50"/>
      <c r="D69" s="73">
        <v>1</v>
      </c>
      <c r="E69" s="45"/>
      <c r="F69" s="95">
        <f>H69+J69</f>
        <v>5064432</v>
      </c>
      <c r="G69" s="46">
        <f>H69/F69</f>
        <v>0.65576080397564818</v>
      </c>
      <c r="H69" s="95">
        <f>'rev send dist only'!O189</f>
        <v>3321056</v>
      </c>
      <c r="I69" s="46">
        <f>J69/F69</f>
        <v>0.34423919602435177</v>
      </c>
      <c r="J69" s="95">
        <f>'rev send dist only'!J189</f>
        <v>1743376</v>
      </c>
      <c r="K69" s="48">
        <f>SUM(H69+J69)</f>
        <v>5064432</v>
      </c>
      <c r="L69" s="49">
        <f>H69/K69</f>
        <v>0.65576080397564818</v>
      </c>
      <c r="M69" s="48">
        <f>J69/K69</f>
        <v>0.34423919602435177</v>
      </c>
      <c r="N69" s="46">
        <f>D69/$D$71</f>
        <v>5.4466230936819175E-3</v>
      </c>
      <c r="O69" s="95">
        <v>298384</v>
      </c>
      <c r="P69" s="95">
        <f>O69*N69*M69</f>
        <v>559.45244153883539</v>
      </c>
      <c r="Q69" s="95">
        <f>O69*N69*L69</f>
        <v>1065.7327436463497</v>
      </c>
      <c r="R69" s="29"/>
    </row>
    <row r="70" spans="1:18">
      <c r="A70" s="42" t="s">
        <v>1373</v>
      </c>
      <c r="B70" s="43"/>
      <c r="C70" s="50"/>
      <c r="D70" s="73">
        <v>1</v>
      </c>
      <c r="E70" s="45"/>
      <c r="F70" s="95">
        <f>H70+J70</f>
        <v>30311084</v>
      </c>
      <c r="G70" s="46">
        <f>H70/F70</f>
        <v>0.18210246126466476</v>
      </c>
      <c r="H70" s="95">
        <f>'rev send dist only'!O273</f>
        <v>5519723</v>
      </c>
      <c r="I70" s="46">
        <f>J70/F70</f>
        <v>0.81789753873533522</v>
      </c>
      <c r="J70" s="95">
        <f>'rev send dist only'!J273</f>
        <v>24791361</v>
      </c>
      <c r="K70" s="48">
        <f>SUM(H70+J70)</f>
        <v>30311084</v>
      </c>
      <c r="L70" s="49">
        <f>H70/K70</f>
        <v>0.18210246126466476</v>
      </c>
      <c r="M70" s="48">
        <f>J70/K70</f>
        <v>0.81789753873533522</v>
      </c>
      <c r="N70" s="46">
        <f>D70/$D$71</f>
        <v>5.4466230936819175E-3</v>
      </c>
      <c r="O70" s="95">
        <v>298384</v>
      </c>
      <c r="P70" s="95">
        <f>O70*N70*M70</f>
        <v>1329.2349629520929</v>
      </c>
      <c r="Q70" s="95">
        <f>O70*N70*L70</f>
        <v>295.95022223309223</v>
      </c>
      <c r="R70" s="29"/>
    </row>
    <row r="71" spans="1:18">
      <c r="A71" s="38" t="s">
        <v>1374</v>
      </c>
      <c r="B71" s="39"/>
      <c r="C71" s="40"/>
      <c r="D71" s="74">
        <f>SUM(D66:D70)</f>
        <v>183.6</v>
      </c>
      <c r="E71" s="41"/>
      <c r="F71" s="91"/>
      <c r="G71" s="40"/>
      <c r="H71" s="91"/>
      <c r="I71" s="40"/>
      <c r="J71" s="91"/>
      <c r="K71" s="40"/>
      <c r="L71" s="40"/>
      <c r="M71" s="40"/>
      <c r="N71" s="40"/>
      <c r="O71" s="91"/>
      <c r="P71" s="91">
        <f>SUM(P66:P70)</f>
        <v>23379.342759088886</v>
      </c>
      <c r="Q71" s="91">
        <f>SUM(Q66:Q70)</f>
        <v>275004.65724091115</v>
      </c>
      <c r="R71" s="37"/>
    </row>
    <row r="72" spans="1:18">
      <c r="A72" s="42" t="s">
        <v>1526</v>
      </c>
      <c r="B72" s="43" t="s">
        <v>1485</v>
      </c>
      <c r="C72" s="50" t="s">
        <v>1486</v>
      </c>
      <c r="D72" s="73">
        <v>0.6</v>
      </c>
      <c r="E72" s="45"/>
      <c r="F72" s="95">
        <f>H72+J72</f>
        <v>381732222</v>
      </c>
      <c r="G72" s="46">
        <f>H72/F72</f>
        <v>0.7574108716449931</v>
      </c>
      <c r="H72" s="95">
        <f>$H$46</f>
        <v>289128135</v>
      </c>
      <c r="I72" s="46">
        <f>J72/F72</f>
        <v>0.24258912835500693</v>
      </c>
      <c r="J72" s="95">
        <f>$J$46</f>
        <v>92604087</v>
      </c>
      <c r="K72" s="48">
        <f>SUM(H72+J72)</f>
        <v>381732222</v>
      </c>
      <c r="L72" s="49">
        <f>H72/K72</f>
        <v>0.7574108716449931</v>
      </c>
      <c r="M72" s="48">
        <f>J72/K72</f>
        <v>0.24258912835500693</v>
      </c>
      <c r="N72" s="46">
        <f>D72/$D$76</f>
        <v>1.8039687312086589E-3</v>
      </c>
      <c r="O72" s="95">
        <v>858172</v>
      </c>
      <c r="P72" s="95">
        <f>O72*N72*M72</f>
        <v>375.55597857848403</v>
      </c>
      <c r="Q72" s="95">
        <f>O72*N72*L72</f>
        <v>1172.5594754203132</v>
      </c>
      <c r="R72" s="29"/>
    </row>
    <row r="73" spans="1:18">
      <c r="A73" s="42" t="s">
        <v>1375</v>
      </c>
      <c r="B73" s="43"/>
      <c r="C73" s="50"/>
      <c r="D73" s="73">
        <v>2.5</v>
      </c>
      <c r="E73" s="45"/>
      <c r="F73" s="95">
        <f>H73+J73</f>
        <v>74696754</v>
      </c>
      <c r="G73" s="46">
        <f>H73/F73</f>
        <v>0.25820891761909759</v>
      </c>
      <c r="H73" s="95">
        <f>'rev send dist only'!O277</f>
        <v>19287368</v>
      </c>
      <c r="I73" s="46">
        <f>J73/F73</f>
        <v>0.74179108238090241</v>
      </c>
      <c r="J73" s="95">
        <f>'rev send dist only'!J277</f>
        <v>55409386</v>
      </c>
      <c r="K73" s="48">
        <f>SUM(H73+J73)</f>
        <v>74696754</v>
      </c>
      <c r="L73" s="49">
        <f>H73/K73</f>
        <v>0.25820891761909759</v>
      </c>
      <c r="M73" s="48">
        <f>J73/K73</f>
        <v>0.74179108238090241</v>
      </c>
      <c r="N73" s="46">
        <f>D73/$D$76</f>
        <v>7.5165363800360789E-3</v>
      </c>
      <c r="O73" s="95">
        <v>858172</v>
      </c>
      <c r="P73" s="95">
        <f>O73*N73*M73</f>
        <v>4784.9093261348744</v>
      </c>
      <c r="Q73" s="95">
        <f>O73*N73*L73</f>
        <v>1665.5717321934469</v>
      </c>
      <c r="R73" s="29"/>
    </row>
    <row r="74" spans="1:18">
      <c r="A74" s="42" t="s">
        <v>657</v>
      </c>
      <c r="B74" s="43"/>
      <c r="C74" s="50"/>
      <c r="D74" s="73">
        <v>328.5</v>
      </c>
      <c r="E74" s="45"/>
      <c r="F74" s="95">
        <f>H74+J74</f>
        <v>259769100</v>
      </c>
      <c r="G74" s="46">
        <f>H74/F74</f>
        <v>0.68623093354829345</v>
      </c>
      <c r="H74" s="95">
        <f>$H$57</f>
        <v>178261592</v>
      </c>
      <c r="I74" s="46">
        <f>J74/F74</f>
        <v>0.31376906645170655</v>
      </c>
      <c r="J74" s="95">
        <f>$J$57</f>
        <v>81507508</v>
      </c>
      <c r="K74" s="48">
        <f>SUM(H74+J74)</f>
        <v>259769100</v>
      </c>
      <c r="L74" s="49">
        <f>H74/K74</f>
        <v>0.68623093354829345</v>
      </c>
      <c r="M74" s="48">
        <f>J74/K74</f>
        <v>0.31376906645170655</v>
      </c>
      <c r="N74" s="46">
        <f>D74/$D$76</f>
        <v>0.98767288033674072</v>
      </c>
      <c r="O74" s="95">
        <v>858172</v>
      </c>
      <c r="P74" s="95">
        <f>O74*N74*M74</f>
        <v>265948.53056646266</v>
      </c>
      <c r="Q74" s="95">
        <f>O74*N74*L74</f>
        <v>581644.68049787881</v>
      </c>
      <c r="R74" s="29"/>
    </row>
    <row r="75" spans="1:18">
      <c r="A75" s="42" t="s">
        <v>1376</v>
      </c>
      <c r="B75" s="43"/>
      <c r="C75" s="50"/>
      <c r="D75" s="73">
        <v>1</v>
      </c>
      <c r="E75" s="45"/>
      <c r="F75" s="95">
        <f>H75+J75</f>
        <v>84390302</v>
      </c>
      <c r="G75" s="46">
        <f>H75/F75</f>
        <v>0.16589153810588331</v>
      </c>
      <c r="H75" s="95">
        <f>'rev send dist only'!O588</f>
        <v>13999637</v>
      </c>
      <c r="I75" s="46">
        <f>J75/F75</f>
        <v>0.83410846189411669</v>
      </c>
      <c r="J75" s="95">
        <f>'rev send dist only'!J588</f>
        <v>70390665</v>
      </c>
      <c r="K75" s="48">
        <f>SUM(H75+J75)</f>
        <v>84390302</v>
      </c>
      <c r="L75" s="49">
        <f>H75/K75</f>
        <v>0.16589153810588331</v>
      </c>
      <c r="M75" s="48">
        <f>J75/K75</f>
        <v>0.83410846189411669</v>
      </c>
      <c r="N75" s="46">
        <f>D75/$D$76</f>
        <v>3.0066145520144315E-3</v>
      </c>
      <c r="O75" s="95">
        <v>858172</v>
      </c>
      <c r="P75" s="95">
        <f>O75*N75*M75</f>
        <v>2152.1603336157482</v>
      </c>
      <c r="Q75" s="95">
        <f>O75*N75*L75</f>
        <v>428.03208971558053</v>
      </c>
      <c r="R75" s="29"/>
    </row>
    <row r="76" spans="1:18">
      <c r="A76" s="38" t="s">
        <v>1377</v>
      </c>
      <c r="B76" s="39"/>
      <c r="C76" s="40"/>
      <c r="D76" s="74">
        <f>SUM(D72:D75)</f>
        <v>332.6</v>
      </c>
      <c r="E76" s="41"/>
      <c r="F76" s="91"/>
      <c r="G76" s="40"/>
      <c r="H76" s="91"/>
      <c r="I76" s="40"/>
      <c r="J76" s="91"/>
      <c r="K76" s="40"/>
      <c r="L76" s="40"/>
      <c r="M76" s="40"/>
      <c r="N76" s="40"/>
      <c r="O76" s="91"/>
      <c r="P76" s="91">
        <f>SUM(P72:P75)</f>
        <v>273261.15620479174</v>
      </c>
      <c r="Q76" s="91">
        <f>SUM(Q72:Q75)</f>
        <v>584910.84379520814</v>
      </c>
      <c r="R76" s="37"/>
    </row>
    <row r="77" spans="1:18">
      <c r="A77" s="42" t="s">
        <v>1378</v>
      </c>
      <c r="B77" s="43" t="s">
        <v>1485</v>
      </c>
      <c r="C77" s="50" t="s">
        <v>1486</v>
      </c>
      <c r="D77" s="73">
        <v>0.2</v>
      </c>
      <c r="E77" s="45"/>
      <c r="F77" s="95">
        <f>H77+J77</f>
        <v>46608839</v>
      </c>
      <c r="G77" s="46">
        <f>H77/F77</f>
        <v>0</v>
      </c>
      <c r="H77" s="95">
        <f>'rev send dist only'!O132</f>
        <v>0</v>
      </c>
      <c r="I77" s="46">
        <f>J77/F77</f>
        <v>1</v>
      </c>
      <c r="J77" s="95">
        <f>'rev send dist only'!J132</f>
        <v>46608839</v>
      </c>
      <c r="K77" s="48">
        <f>SUM(H77+J77)</f>
        <v>46608839</v>
      </c>
      <c r="L77" s="49">
        <f>H77/K77</f>
        <v>0</v>
      </c>
      <c r="M77" s="48">
        <f>J77/K77</f>
        <v>1</v>
      </c>
      <c r="N77" s="46">
        <f>D77/$D$81</f>
        <v>9.1365920511649154E-4</v>
      </c>
      <c r="O77" s="95">
        <v>312016</v>
      </c>
      <c r="P77" s="95">
        <f>O77*N77*M77</f>
        <v>285.07629054362724</v>
      </c>
      <c r="Q77" s="95">
        <f>O77*N77*L77</f>
        <v>0</v>
      </c>
      <c r="R77" s="29"/>
    </row>
    <row r="78" spans="1:18">
      <c r="A78" s="42" t="s">
        <v>1521</v>
      </c>
      <c r="B78" s="43"/>
      <c r="C78" s="50"/>
      <c r="D78" s="73">
        <v>216.3</v>
      </c>
      <c r="E78" s="45"/>
      <c r="F78" s="95">
        <f>H78+J78</f>
        <v>142607869</v>
      </c>
      <c r="G78" s="46">
        <f>H78/F78</f>
        <v>0.93287844445666601</v>
      </c>
      <c r="H78" s="95">
        <f>$H$39</f>
        <v>133035807</v>
      </c>
      <c r="I78" s="46">
        <f>J78/F78</f>
        <v>6.7121555543334002E-2</v>
      </c>
      <c r="J78" s="95">
        <f>$J$39</f>
        <v>9572062</v>
      </c>
      <c r="K78" s="48">
        <f>SUM(H78+J78)</f>
        <v>142607869</v>
      </c>
      <c r="L78" s="49">
        <f>H78/K78</f>
        <v>0.93287844445666601</v>
      </c>
      <c r="M78" s="48">
        <f>J78/K78</f>
        <v>6.7121555543334002E-2</v>
      </c>
      <c r="N78" s="46">
        <f>D78/$D$81</f>
        <v>0.98812243033348568</v>
      </c>
      <c r="O78" s="95">
        <v>312016</v>
      </c>
      <c r="P78" s="95">
        <f>O78*N78*M78</f>
        <v>20694.247341501352</v>
      </c>
      <c r="Q78" s="95">
        <f>O78*N78*L78</f>
        <v>287615.76088143152</v>
      </c>
      <c r="R78" s="29"/>
    </row>
    <row r="79" spans="1:18">
      <c r="A79" s="42" t="s">
        <v>1379</v>
      </c>
      <c r="B79" s="43"/>
      <c r="C79" s="50"/>
      <c r="D79" s="73">
        <v>0.4</v>
      </c>
      <c r="E79" s="45"/>
      <c r="F79" s="95">
        <f>H79+J79</f>
        <v>19550231</v>
      </c>
      <c r="G79" s="46">
        <f>H79/F79</f>
        <v>0.37506630995817902</v>
      </c>
      <c r="H79" s="95">
        <f>'rev send dist only'!O164</f>
        <v>7332633</v>
      </c>
      <c r="I79" s="46">
        <f>J79/F79</f>
        <v>0.62493369004182098</v>
      </c>
      <c r="J79" s="95">
        <f>'rev send dist only'!J164</f>
        <v>12217598</v>
      </c>
      <c r="K79" s="48">
        <f>SUM(H79+J79)</f>
        <v>19550231</v>
      </c>
      <c r="L79" s="49">
        <f>H79/K79</f>
        <v>0.37506630995817902</v>
      </c>
      <c r="M79" s="48">
        <f>J79/K79</f>
        <v>0.62493369004182098</v>
      </c>
      <c r="N79" s="46">
        <f>D79/$D$81</f>
        <v>1.8273184102329831E-3</v>
      </c>
      <c r="O79" s="95">
        <v>312016</v>
      </c>
      <c r="P79" s="95">
        <f>O79*N79*M79</f>
        <v>356.30755638572651</v>
      </c>
      <c r="Q79" s="95">
        <f>O79*N79*L79</f>
        <v>213.84502470152799</v>
      </c>
      <c r="R79" s="29"/>
    </row>
    <row r="80" spans="1:18">
      <c r="A80" s="42" t="s">
        <v>1524</v>
      </c>
      <c r="B80" s="43"/>
      <c r="C80" s="50"/>
      <c r="D80" s="73">
        <v>2</v>
      </c>
      <c r="E80" s="45"/>
      <c r="F80" s="95">
        <f>H80+J80</f>
        <v>62017064</v>
      </c>
      <c r="G80" s="46">
        <f>H80/F80</f>
        <v>0.41221915955260313</v>
      </c>
      <c r="H80" s="95">
        <f>$H$44</f>
        <v>25564622</v>
      </c>
      <c r="I80" s="46">
        <f>J80/F80</f>
        <v>0.58778084044739687</v>
      </c>
      <c r="J80" s="95">
        <f>$J$44</f>
        <v>36452442</v>
      </c>
      <c r="K80" s="48">
        <f>SUM(H80+J80)</f>
        <v>62017064</v>
      </c>
      <c r="L80" s="49">
        <f>H80/K80</f>
        <v>0.41221915955260313</v>
      </c>
      <c r="M80" s="48">
        <f>J80/K80</f>
        <v>0.58778084044739687</v>
      </c>
      <c r="N80" s="46">
        <f>D80/$D$81</f>
        <v>9.136592051164915E-3</v>
      </c>
      <c r="O80" s="95">
        <v>312016</v>
      </c>
      <c r="P80" s="95">
        <f>O80*N80*M80</f>
        <v>1675.6238164735948</v>
      </c>
      <c r="Q80" s="95">
        <f>O80*N80*L80</f>
        <v>1175.1390889626771</v>
      </c>
      <c r="R80" s="29"/>
    </row>
    <row r="81" spans="1:18">
      <c r="A81" s="38" t="s">
        <v>666</v>
      </c>
      <c r="B81" s="39"/>
      <c r="C81" s="40"/>
      <c r="D81" s="74">
        <f>SUM(D77:D80)</f>
        <v>218.9</v>
      </c>
      <c r="E81" s="41"/>
      <c r="F81" s="91"/>
      <c r="G81" s="40"/>
      <c r="H81" s="91"/>
      <c r="I81" s="40"/>
      <c r="J81" s="91"/>
      <c r="K81" s="40"/>
      <c r="L81" s="40"/>
      <c r="M81" s="40"/>
      <c r="N81" s="40"/>
      <c r="O81" s="91"/>
      <c r="P81" s="91">
        <f>SUM(P77:P80)</f>
        <v>23011.255004904302</v>
      </c>
      <c r="Q81" s="91">
        <f>SUM(Q77:Q80)</f>
        <v>289004.74499509571</v>
      </c>
      <c r="R81" s="37"/>
    </row>
    <row r="82" spans="1:18">
      <c r="A82" s="42" t="s">
        <v>1526</v>
      </c>
      <c r="B82" s="43" t="s">
        <v>1485</v>
      </c>
      <c r="C82" s="50" t="s">
        <v>1486</v>
      </c>
      <c r="D82" s="73">
        <v>75</v>
      </c>
      <c r="E82" s="45"/>
      <c r="F82" s="95">
        <f>H82+J82</f>
        <v>381732222</v>
      </c>
      <c r="G82" s="46">
        <f>H82/F82</f>
        <v>0.7574108716449931</v>
      </c>
      <c r="H82" s="95">
        <f>$H$46</f>
        <v>289128135</v>
      </c>
      <c r="I82" s="46">
        <f>J82/F82</f>
        <v>0.24258912835500693</v>
      </c>
      <c r="J82" s="95">
        <f>$J$46</f>
        <v>92604087</v>
      </c>
      <c r="K82" s="48">
        <f>SUM(H82+J82)</f>
        <v>381732222</v>
      </c>
      <c r="L82" s="49">
        <f>H82/K82</f>
        <v>0.7574108716449931</v>
      </c>
      <c r="M82" s="48">
        <f>J82/K82</f>
        <v>0.24258912835500693</v>
      </c>
      <c r="N82" s="46">
        <f>D82/$D$83</f>
        <v>1</v>
      </c>
      <c r="O82" s="95">
        <v>137802</v>
      </c>
      <c r="P82" s="95">
        <f>O82*N82*M82</f>
        <v>33429.267065576663</v>
      </c>
      <c r="Q82" s="95">
        <f>O82*N82*L82</f>
        <v>104372.73293442334</v>
      </c>
      <c r="R82" s="29"/>
    </row>
    <row r="83" spans="1:18">
      <c r="A83" s="38" t="s">
        <v>1380</v>
      </c>
      <c r="B83" s="39"/>
      <c r="C83" s="40"/>
      <c r="D83" s="74">
        <f>SUM(D82)</f>
        <v>75</v>
      </c>
      <c r="E83" s="41"/>
      <c r="F83" s="91"/>
      <c r="G83" s="40"/>
      <c r="H83" s="91"/>
      <c r="I83" s="40"/>
      <c r="J83" s="91"/>
      <c r="K83" s="40"/>
      <c r="L83" s="40"/>
      <c r="M83" s="40"/>
      <c r="N83" s="40"/>
      <c r="O83" s="91"/>
      <c r="P83" s="91">
        <f>SUM(P82)</f>
        <v>33429.267065576663</v>
      </c>
      <c r="Q83" s="91">
        <f>SUM(Q82)</f>
        <v>104372.73293442334</v>
      </c>
      <c r="R83" s="37"/>
    </row>
    <row r="84" spans="1:18">
      <c r="A84" s="42" t="s">
        <v>1521</v>
      </c>
      <c r="B84" s="43" t="s">
        <v>1485</v>
      </c>
      <c r="C84" s="50" t="s">
        <v>1486</v>
      </c>
      <c r="D84" s="73">
        <v>317.8</v>
      </c>
      <c r="E84" s="45"/>
      <c r="F84" s="95">
        <f t="shared" ref="F84:F89" si="45">H84+J84</f>
        <v>142607869</v>
      </c>
      <c r="G84" s="46">
        <f t="shared" ref="G84:G89" si="46">H84/F84</f>
        <v>0.93287844445666601</v>
      </c>
      <c r="H84" s="95">
        <f>$H$39</f>
        <v>133035807</v>
      </c>
      <c r="I84" s="46">
        <f t="shared" ref="I84:I89" si="47">J84/F84</f>
        <v>6.7121555543334002E-2</v>
      </c>
      <c r="J84" s="95">
        <f>$J$39</f>
        <v>9572062</v>
      </c>
      <c r="K84" s="48">
        <f t="shared" ref="K84:K89" si="48">SUM(H84+J84)</f>
        <v>142607869</v>
      </c>
      <c r="L84" s="49">
        <f t="shared" ref="L84:L89" si="49">H84/K84</f>
        <v>0.93287844445666601</v>
      </c>
      <c r="M84" s="48">
        <f t="shared" ref="M84:M89" si="50">J84/K84</f>
        <v>6.7121555543334002E-2</v>
      </c>
      <c r="N84" s="46">
        <f t="shared" ref="N84:N89" si="51">D84/$D$90</f>
        <v>0.97844827586206895</v>
      </c>
      <c r="O84" s="95">
        <v>471665</v>
      </c>
      <c r="P84" s="95">
        <f t="shared" ref="P84:P89" si="52">O84*N84*M84</f>
        <v>30976.584863981399</v>
      </c>
      <c r="Q84" s="95">
        <f t="shared" ref="Q84:Q89" si="53">O84*N84*L84</f>
        <v>430523.22117050132</v>
      </c>
      <c r="R84" s="29"/>
    </row>
    <row r="85" spans="1:18">
      <c r="A85" s="42" t="s">
        <v>1381</v>
      </c>
      <c r="B85" s="43"/>
      <c r="C85" s="50"/>
      <c r="D85" s="73">
        <v>1</v>
      </c>
      <c r="E85" s="45"/>
      <c r="F85" s="95">
        <f t="shared" si="45"/>
        <v>140289607</v>
      </c>
      <c r="G85" s="46">
        <f t="shared" si="46"/>
        <v>1.4410397485823736E-2</v>
      </c>
      <c r="H85" s="95">
        <f>'rev send dist only'!O161</f>
        <v>2021629</v>
      </c>
      <c r="I85" s="46">
        <f t="shared" si="47"/>
        <v>0.98558960251417627</v>
      </c>
      <c r="J85" s="95">
        <f>'rev send dist only'!J161</f>
        <v>138267978</v>
      </c>
      <c r="K85" s="48">
        <f t="shared" si="48"/>
        <v>140289607</v>
      </c>
      <c r="L85" s="49">
        <f t="shared" si="49"/>
        <v>1.4410397485823736E-2</v>
      </c>
      <c r="M85" s="48">
        <f t="shared" si="50"/>
        <v>0.98558960251417627</v>
      </c>
      <c r="N85" s="46">
        <f t="shared" si="51"/>
        <v>3.0788177339901475E-3</v>
      </c>
      <c r="O85" s="95">
        <v>471665</v>
      </c>
      <c r="P85" s="95">
        <f t="shared" si="52"/>
        <v>1431.2442114219486</v>
      </c>
      <c r="Q85" s="95">
        <f t="shared" si="53"/>
        <v>20.92635508051432</v>
      </c>
      <c r="R85" s="29"/>
    </row>
    <row r="86" spans="1:18">
      <c r="A86" s="42" t="s">
        <v>1379</v>
      </c>
      <c r="B86" s="43"/>
      <c r="C86" s="50"/>
      <c r="D86" s="73">
        <v>1</v>
      </c>
      <c r="E86" s="45"/>
      <c r="F86" s="95">
        <f t="shared" si="45"/>
        <v>19550231</v>
      </c>
      <c r="G86" s="46">
        <f t="shared" si="46"/>
        <v>0.37506630995817902</v>
      </c>
      <c r="H86" s="95">
        <f>H79</f>
        <v>7332633</v>
      </c>
      <c r="I86" s="46">
        <f t="shared" si="47"/>
        <v>0.62493369004182098</v>
      </c>
      <c r="J86" s="95">
        <f>J79</f>
        <v>12217598</v>
      </c>
      <c r="K86" s="48">
        <f t="shared" si="48"/>
        <v>19550231</v>
      </c>
      <c r="L86" s="49">
        <f t="shared" si="49"/>
        <v>0.37506630995817902</v>
      </c>
      <c r="M86" s="48">
        <f t="shared" si="50"/>
        <v>0.62493369004182098</v>
      </c>
      <c r="N86" s="46">
        <f t="shared" si="51"/>
        <v>3.0788177339901475E-3</v>
      </c>
      <c r="O86" s="95">
        <v>471665</v>
      </c>
      <c r="P86" s="95">
        <f t="shared" si="52"/>
        <v>907.51031069450573</v>
      </c>
      <c r="Q86" s="95">
        <f t="shared" si="53"/>
        <v>544.66025580795713</v>
      </c>
      <c r="R86" s="29"/>
    </row>
    <row r="87" spans="1:18">
      <c r="A87" s="42" t="s">
        <v>1371</v>
      </c>
      <c r="B87" s="43"/>
      <c r="C87" s="50"/>
      <c r="D87" s="73">
        <v>1</v>
      </c>
      <c r="E87" s="45"/>
      <c r="F87" s="95">
        <f t="shared" si="45"/>
        <v>25206777</v>
      </c>
      <c r="G87" s="46">
        <f t="shared" si="46"/>
        <v>0.45348772673317178</v>
      </c>
      <c r="H87" s="95">
        <f>H67</f>
        <v>11430964</v>
      </c>
      <c r="I87" s="46">
        <f t="shared" si="47"/>
        <v>0.54651227326682816</v>
      </c>
      <c r="J87" s="95">
        <f>J67</f>
        <v>13775813</v>
      </c>
      <c r="K87" s="48">
        <f t="shared" si="48"/>
        <v>25206777</v>
      </c>
      <c r="L87" s="49">
        <f t="shared" si="49"/>
        <v>0.45348772673317178</v>
      </c>
      <c r="M87" s="48">
        <f t="shared" si="50"/>
        <v>0.54651227326682816</v>
      </c>
      <c r="N87" s="46">
        <f t="shared" si="51"/>
        <v>3.0788177339901475E-3</v>
      </c>
      <c r="O87" s="95">
        <v>471665</v>
      </c>
      <c r="P87" s="95">
        <f t="shared" si="52"/>
        <v>793.62903747043867</v>
      </c>
      <c r="Q87" s="95">
        <f t="shared" si="53"/>
        <v>658.54152903202419</v>
      </c>
      <c r="R87" s="29"/>
    </row>
    <row r="88" spans="1:18">
      <c r="A88" s="42" t="s">
        <v>1523</v>
      </c>
      <c r="B88" s="43"/>
      <c r="C88" s="50"/>
      <c r="D88" s="73">
        <v>1</v>
      </c>
      <c r="E88" s="45"/>
      <c r="F88" s="95">
        <f t="shared" si="45"/>
        <v>55109391</v>
      </c>
      <c r="G88" s="46">
        <f t="shared" si="46"/>
        <v>0.37803192200037194</v>
      </c>
      <c r="H88" s="95">
        <f>$H$40</f>
        <v>20833109</v>
      </c>
      <c r="I88" s="46">
        <f t="shared" si="47"/>
        <v>0.62196807799962806</v>
      </c>
      <c r="J88" s="95">
        <f>$J$40</f>
        <v>34276282</v>
      </c>
      <c r="K88" s="48">
        <f t="shared" si="48"/>
        <v>55109391</v>
      </c>
      <c r="L88" s="49">
        <f t="shared" si="49"/>
        <v>0.37803192200037194</v>
      </c>
      <c r="M88" s="48">
        <f t="shared" si="50"/>
        <v>0.62196807799962806</v>
      </c>
      <c r="N88" s="46">
        <f t="shared" si="51"/>
        <v>3.0788177339901475E-3</v>
      </c>
      <c r="O88" s="95">
        <v>471665</v>
      </c>
      <c r="P88" s="95">
        <f t="shared" si="52"/>
        <v>903.20373617516793</v>
      </c>
      <c r="Q88" s="95">
        <f t="shared" si="53"/>
        <v>548.96683032729493</v>
      </c>
      <c r="R88" s="29"/>
    </row>
    <row r="89" spans="1:18">
      <c r="A89" s="42" t="s">
        <v>1372</v>
      </c>
      <c r="B89" s="43"/>
      <c r="C89" s="50"/>
      <c r="D89" s="73">
        <v>3</v>
      </c>
      <c r="E89" s="45"/>
      <c r="F89" s="95">
        <f t="shared" si="45"/>
        <v>5064432</v>
      </c>
      <c r="G89" s="46">
        <f t="shared" si="46"/>
        <v>0.65576080397564818</v>
      </c>
      <c r="H89" s="95">
        <f>H69</f>
        <v>3321056</v>
      </c>
      <c r="I89" s="46">
        <f t="shared" si="47"/>
        <v>0.34423919602435177</v>
      </c>
      <c r="J89" s="95">
        <f>J69</f>
        <v>1743376</v>
      </c>
      <c r="K89" s="48">
        <f t="shared" si="48"/>
        <v>5064432</v>
      </c>
      <c r="L89" s="49">
        <f t="shared" si="49"/>
        <v>0.65576080397564818</v>
      </c>
      <c r="M89" s="48">
        <f t="shared" si="50"/>
        <v>0.34423919602435177</v>
      </c>
      <c r="N89" s="46">
        <f t="shared" si="51"/>
        <v>9.2364532019704425E-3</v>
      </c>
      <c r="O89" s="95">
        <v>471665</v>
      </c>
      <c r="P89" s="95">
        <f t="shared" si="52"/>
        <v>1499.6820849091057</v>
      </c>
      <c r="Q89" s="95">
        <f t="shared" si="53"/>
        <v>2856.8296145982827</v>
      </c>
      <c r="R89" s="29"/>
    </row>
    <row r="90" spans="1:18">
      <c r="A90" s="38" t="s">
        <v>668</v>
      </c>
      <c r="B90" s="39"/>
      <c r="C90" s="40"/>
      <c r="D90" s="74">
        <f>SUM(D84:D89)</f>
        <v>324.8</v>
      </c>
      <c r="E90" s="41"/>
      <c r="F90" s="91"/>
      <c r="G90" s="40"/>
      <c r="H90" s="91"/>
      <c r="I90" s="40"/>
      <c r="J90" s="91"/>
      <c r="K90" s="40"/>
      <c r="L90" s="40"/>
      <c r="M90" s="40"/>
      <c r="N90" s="40"/>
      <c r="O90" s="91"/>
      <c r="P90" s="91">
        <f>SUM(P84:P89)</f>
        <v>36511.854244652568</v>
      </c>
      <c r="Q90" s="91">
        <f>SUM(Q84:Q89)</f>
        <v>435153.14575534745</v>
      </c>
      <c r="R90" s="37"/>
    </row>
    <row r="91" spans="1:18">
      <c r="A91" s="42" t="s">
        <v>1382</v>
      </c>
      <c r="B91" s="43" t="s">
        <v>1485</v>
      </c>
      <c r="C91" s="50" t="s">
        <v>1486</v>
      </c>
      <c r="D91" s="73">
        <v>1</v>
      </c>
      <c r="E91" s="45"/>
      <c r="F91" s="95">
        <f t="shared" ref="F91:F101" si="54">H91+J91</f>
        <v>43915306</v>
      </c>
      <c r="G91" s="46">
        <f>H91/F91</f>
        <v>0.29037593407637874</v>
      </c>
      <c r="H91" s="95">
        <f>'rev send dist only'!O225</f>
        <v>12751948</v>
      </c>
      <c r="I91" s="46">
        <f>J91/F91</f>
        <v>0.70962406592362126</v>
      </c>
      <c r="J91" s="95">
        <f>'rev send dist only'!J225</f>
        <v>31163358</v>
      </c>
      <c r="K91" s="48">
        <f>SUM(H91+J91)</f>
        <v>43915306</v>
      </c>
      <c r="L91" s="49">
        <f>H91/K91</f>
        <v>0.29037593407637874</v>
      </c>
      <c r="M91" s="48">
        <f>J91/K91</f>
        <v>0.70962406592362126</v>
      </c>
      <c r="N91" s="46">
        <f>D91/$D$102</f>
        <v>2.0512820512820517E-3</v>
      </c>
      <c r="O91" s="95">
        <v>909109</v>
      </c>
      <c r="P91" s="95">
        <f>O91*N91*M91</f>
        <v>1323.3346152774513</v>
      </c>
      <c r="Q91" s="95">
        <f>O91*N91*L91</f>
        <v>541.50435908152338</v>
      </c>
      <c r="R91" s="29"/>
    </row>
    <row r="92" spans="1:18">
      <c r="A92" s="42" t="s">
        <v>1383</v>
      </c>
      <c r="B92" s="43"/>
      <c r="C92" s="50"/>
      <c r="D92" s="73">
        <v>1.9</v>
      </c>
      <c r="E92" s="45"/>
      <c r="F92" s="95">
        <f t="shared" si="54"/>
        <v>56381700</v>
      </c>
      <c r="G92" s="46">
        <f>H92/F92</f>
        <v>0.14228755074784905</v>
      </c>
      <c r="H92" s="95">
        <f>'rev send dist only'!O226</f>
        <v>8022414</v>
      </c>
      <c r="I92" s="46">
        <f>J92/F92</f>
        <v>0.85771244925215095</v>
      </c>
      <c r="J92" s="95">
        <f>'rev send dist only'!J226</f>
        <v>48359286</v>
      </c>
      <c r="K92" s="48">
        <f>SUM(H92+J92)</f>
        <v>56381700</v>
      </c>
      <c r="L92" s="49">
        <f>H92/K92</f>
        <v>0.14228755074784905</v>
      </c>
      <c r="M92" s="48">
        <f>J92/K92</f>
        <v>0.85771244925215095</v>
      </c>
      <c r="N92" s="46">
        <f t="shared" ref="N92:N101" si="55">D92/$D$102</f>
        <v>3.8974358974358976E-3</v>
      </c>
      <c r="O92" s="95">
        <v>909109</v>
      </c>
      <c r="P92" s="95">
        <f>O92*N92*M92</f>
        <v>3039.0416479007799</v>
      </c>
      <c r="Q92" s="95">
        <f>O92*N92*L92</f>
        <v>504.15240338127177</v>
      </c>
      <c r="R92" s="29"/>
    </row>
    <row r="93" spans="1:18">
      <c r="A93" s="42" t="s">
        <v>669</v>
      </c>
      <c r="B93" s="43"/>
      <c r="C93" s="50"/>
      <c r="D93" s="73">
        <v>428.3</v>
      </c>
      <c r="E93" s="45"/>
      <c r="F93" s="95">
        <f t="shared" si="54"/>
        <v>103873744</v>
      </c>
      <c r="G93" s="46">
        <f t="shared" ref="G93:G101" si="56">H93/F93</f>
        <v>0.80026647542424201</v>
      </c>
      <c r="H93" s="95">
        <f>'rev send dist only'!O229</f>
        <v>83126675</v>
      </c>
      <c r="I93" s="46">
        <f t="shared" ref="I93:I101" si="57">J93/F93</f>
        <v>0.19973352457575805</v>
      </c>
      <c r="J93" s="95">
        <f>'rev send dist only'!J229</f>
        <v>20747069</v>
      </c>
      <c r="K93" s="48">
        <f t="shared" ref="K93:K101" si="58">SUM(H93+J93)</f>
        <v>103873744</v>
      </c>
      <c r="L93" s="49">
        <f t="shared" ref="L93:L101" si="59">H93/K93</f>
        <v>0.80026647542424201</v>
      </c>
      <c r="M93" s="48">
        <f t="shared" ref="M93:M101" si="60">J93/K93</f>
        <v>0.19973352457575805</v>
      </c>
      <c r="N93" s="46">
        <f t="shared" si="55"/>
        <v>0.87856410256410267</v>
      </c>
      <c r="O93" s="95">
        <v>909109</v>
      </c>
      <c r="P93" s="95">
        <f t="shared" ref="P93:P101" si="61">O93*N93*M93</f>
        <v>159529.26981553723</v>
      </c>
      <c r="Q93" s="95">
        <f t="shared" ref="Q93:Q101" si="62">O93*N93*L93</f>
        <v>639181.26290241163</v>
      </c>
      <c r="R93" s="29"/>
    </row>
    <row r="94" spans="1:18">
      <c r="A94" s="42" t="s">
        <v>1384</v>
      </c>
      <c r="B94" s="43"/>
      <c r="C94" s="50"/>
      <c r="D94" s="73">
        <v>8.5</v>
      </c>
      <c r="E94" s="45"/>
      <c r="F94" s="95">
        <f t="shared" si="54"/>
        <v>69459286</v>
      </c>
      <c r="G94" s="46">
        <f t="shared" si="56"/>
        <v>0.74863650340431087</v>
      </c>
      <c r="H94" s="95">
        <f>'rev send dist only'!O235</f>
        <v>51999757</v>
      </c>
      <c r="I94" s="46">
        <f t="shared" si="57"/>
        <v>0.25136349659568918</v>
      </c>
      <c r="J94" s="95">
        <f>'rev send dist only'!J235</f>
        <v>17459529</v>
      </c>
      <c r="K94" s="48">
        <f t="shared" si="58"/>
        <v>69459286</v>
      </c>
      <c r="L94" s="49">
        <f t="shared" si="59"/>
        <v>0.74863650340431087</v>
      </c>
      <c r="M94" s="48">
        <f t="shared" si="60"/>
        <v>0.25136349659568918</v>
      </c>
      <c r="N94" s="46">
        <f t="shared" si="55"/>
        <v>1.7435897435897438E-2</v>
      </c>
      <c r="O94" s="95">
        <v>909109</v>
      </c>
      <c r="P94" s="95">
        <f t="shared" si="61"/>
        <v>3984.3957840537205</v>
      </c>
      <c r="Q94" s="95">
        <f t="shared" si="62"/>
        <v>11866.735497997564</v>
      </c>
      <c r="R94" s="29"/>
    </row>
    <row r="95" spans="1:18">
      <c r="A95" s="42" t="s">
        <v>1526</v>
      </c>
      <c r="B95" s="43"/>
      <c r="C95" s="50"/>
      <c r="D95" s="73">
        <v>26</v>
      </c>
      <c r="E95" s="45"/>
      <c r="F95" s="95">
        <f t="shared" si="54"/>
        <v>381732222</v>
      </c>
      <c r="G95" s="46">
        <f t="shared" si="56"/>
        <v>0.7574108716449931</v>
      </c>
      <c r="H95" s="95">
        <f>$H$46</f>
        <v>289128135</v>
      </c>
      <c r="I95" s="46">
        <f t="shared" si="57"/>
        <v>0.24258912835500693</v>
      </c>
      <c r="J95" s="95">
        <f>$J$46</f>
        <v>92604087</v>
      </c>
      <c r="K95" s="48">
        <f t="shared" si="58"/>
        <v>381732222</v>
      </c>
      <c r="L95" s="49">
        <f t="shared" si="59"/>
        <v>0.7574108716449931</v>
      </c>
      <c r="M95" s="48">
        <f t="shared" si="60"/>
        <v>0.24258912835500693</v>
      </c>
      <c r="N95" s="46">
        <f t="shared" si="55"/>
        <v>5.3333333333333337E-2</v>
      </c>
      <c r="O95" s="95">
        <v>909109</v>
      </c>
      <c r="P95" s="95">
        <f t="shared" si="61"/>
        <v>11762.131194116908</v>
      </c>
      <c r="Q95" s="95">
        <f t="shared" si="62"/>
        <v>36723.682139216435</v>
      </c>
      <c r="R95" s="29"/>
    </row>
    <row r="96" spans="1:18">
      <c r="A96" s="42" t="s">
        <v>1385</v>
      </c>
      <c r="B96" s="43"/>
      <c r="C96" s="50"/>
      <c r="D96" s="73">
        <v>17.2</v>
      </c>
      <c r="E96" s="45"/>
      <c r="F96" s="95">
        <f t="shared" si="54"/>
        <v>39282621</v>
      </c>
      <c r="G96" s="46">
        <f t="shared" si="56"/>
        <v>0.76110878650383329</v>
      </c>
      <c r="H96" s="95">
        <f>'rev send dist only'!O242</f>
        <v>29898348</v>
      </c>
      <c r="I96" s="46">
        <f t="shared" si="57"/>
        <v>0.23889121349616665</v>
      </c>
      <c r="J96" s="95">
        <f>'rev send dist only'!J242</f>
        <v>9384273</v>
      </c>
      <c r="K96" s="48">
        <f t="shared" si="58"/>
        <v>39282621</v>
      </c>
      <c r="L96" s="49">
        <f t="shared" si="59"/>
        <v>0.76110878650383329</v>
      </c>
      <c r="M96" s="48">
        <f t="shared" si="60"/>
        <v>0.23889121349616665</v>
      </c>
      <c r="N96" s="46">
        <f t="shared" si="55"/>
        <v>3.5282051282051287E-2</v>
      </c>
      <c r="O96" s="95">
        <v>909109</v>
      </c>
      <c r="P96" s="95">
        <f t="shared" si="61"/>
        <v>7662.4907036244713</v>
      </c>
      <c r="Q96" s="95">
        <f t="shared" si="62"/>
        <v>24412.739655349891</v>
      </c>
      <c r="R96" s="29"/>
    </row>
    <row r="97" spans="1:18">
      <c r="A97" s="42" t="s">
        <v>1386</v>
      </c>
      <c r="B97" s="43"/>
      <c r="C97" s="50"/>
      <c r="D97" s="73">
        <v>1</v>
      </c>
      <c r="E97" s="45"/>
      <c r="F97" s="95">
        <f t="shared" si="54"/>
        <v>95712705</v>
      </c>
      <c r="G97" s="46">
        <f t="shared" si="56"/>
        <v>0</v>
      </c>
      <c r="H97" s="95">
        <f>'rev send dist only'!O247</f>
        <v>0</v>
      </c>
      <c r="I97" s="46">
        <f t="shared" si="57"/>
        <v>1</v>
      </c>
      <c r="J97" s="95">
        <f>'rev send dist only'!J247</f>
        <v>95712705</v>
      </c>
      <c r="K97" s="48">
        <f t="shared" si="58"/>
        <v>95712705</v>
      </c>
      <c r="L97" s="49">
        <f t="shared" si="59"/>
        <v>0</v>
      </c>
      <c r="M97" s="48">
        <f t="shared" si="60"/>
        <v>1</v>
      </c>
      <c r="N97" s="46">
        <f t="shared" si="55"/>
        <v>2.0512820512820517E-3</v>
      </c>
      <c r="O97" s="95">
        <v>909109</v>
      </c>
      <c r="P97" s="95">
        <f t="shared" si="61"/>
        <v>1864.8389743589748</v>
      </c>
      <c r="Q97" s="95">
        <f t="shared" si="62"/>
        <v>0</v>
      </c>
      <c r="R97" s="29"/>
    </row>
    <row r="98" spans="1:18">
      <c r="A98" s="42" t="s">
        <v>657</v>
      </c>
      <c r="B98" s="43"/>
      <c r="C98" s="50"/>
      <c r="D98" s="73">
        <v>1</v>
      </c>
      <c r="E98" s="45"/>
      <c r="F98" s="95">
        <f t="shared" si="54"/>
        <v>259769100</v>
      </c>
      <c r="G98" s="46">
        <f t="shared" si="56"/>
        <v>0.68623093354829345</v>
      </c>
      <c r="H98" s="95">
        <f>$H$57</f>
        <v>178261592</v>
      </c>
      <c r="I98" s="46">
        <f t="shared" si="57"/>
        <v>0.31376906645170655</v>
      </c>
      <c r="J98" s="95">
        <f>$J$57</f>
        <v>81507508</v>
      </c>
      <c r="K98" s="48">
        <f t="shared" si="58"/>
        <v>259769100</v>
      </c>
      <c r="L98" s="49">
        <f t="shared" si="59"/>
        <v>0.68623093354829345</v>
      </c>
      <c r="M98" s="48">
        <f t="shared" si="60"/>
        <v>0.31376906645170655</v>
      </c>
      <c r="N98" s="46">
        <f t="shared" si="55"/>
        <v>2.0512820512820517E-3</v>
      </c>
      <c r="O98" s="95">
        <v>909109</v>
      </c>
      <c r="P98" s="95">
        <f t="shared" si="61"/>
        <v>585.12878406737343</v>
      </c>
      <c r="Q98" s="95">
        <f t="shared" si="62"/>
        <v>1279.7101902916013</v>
      </c>
      <c r="R98" s="29"/>
    </row>
    <row r="99" spans="1:18">
      <c r="A99" s="42" t="s">
        <v>1387</v>
      </c>
      <c r="B99" s="43"/>
      <c r="C99" s="50"/>
      <c r="D99" s="73">
        <v>1</v>
      </c>
      <c r="E99" s="45"/>
      <c r="F99" s="95">
        <f t="shared" si="54"/>
        <v>73322922</v>
      </c>
      <c r="G99" s="46">
        <f t="shared" si="56"/>
        <v>0.75020372210480102</v>
      </c>
      <c r="H99" s="95">
        <f>'rev send dist only'!O349</f>
        <v>55007129</v>
      </c>
      <c r="I99" s="46">
        <f t="shared" si="57"/>
        <v>0.24979627789519898</v>
      </c>
      <c r="J99" s="95">
        <f>'rev send dist only'!J349</f>
        <v>18315793</v>
      </c>
      <c r="K99" s="48">
        <f t="shared" si="58"/>
        <v>73322922</v>
      </c>
      <c r="L99" s="49">
        <f t="shared" si="59"/>
        <v>0.75020372210480102</v>
      </c>
      <c r="M99" s="48">
        <f t="shared" si="60"/>
        <v>0.24979627789519898</v>
      </c>
      <c r="N99" s="46">
        <f t="shared" si="55"/>
        <v>2.0512820512820517E-3</v>
      </c>
      <c r="O99" s="95">
        <v>909109</v>
      </c>
      <c r="P99" s="95">
        <f t="shared" si="61"/>
        <v>465.82983466877232</v>
      </c>
      <c r="Q99" s="95">
        <f t="shared" si="62"/>
        <v>1399.0091396902026</v>
      </c>
      <c r="R99" s="29"/>
    </row>
    <row r="100" spans="1:18">
      <c r="A100" s="42" t="s">
        <v>1367</v>
      </c>
      <c r="B100" s="43"/>
      <c r="C100" s="50"/>
      <c r="D100" s="73">
        <v>0.9</v>
      </c>
      <c r="E100" s="45"/>
      <c r="F100" s="95">
        <f t="shared" si="54"/>
        <v>89777526</v>
      </c>
      <c r="G100" s="46">
        <f t="shared" si="56"/>
        <v>0.82009586675400259</v>
      </c>
      <c r="H100" s="95">
        <f>H62</f>
        <v>73626178</v>
      </c>
      <c r="I100" s="46">
        <f t="shared" si="57"/>
        <v>0.17990413324599744</v>
      </c>
      <c r="J100" s="95">
        <f>J62</f>
        <v>16151348</v>
      </c>
      <c r="K100" s="48">
        <f t="shared" si="58"/>
        <v>89777526</v>
      </c>
      <c r="L100" s="49">
        <f t="shared" si="59"/>
        <v>0.82009586675400259</v>
      </c>
      <c r="M100" s="48">
        <f t="shared" si="60"/>
        <v>0.17990413324599744</v>
      </c>
      <c r="N100" s="46">
        <f t="shared" si="55"/>
        <v>1.8461538461538463E-3</v>
      </c>
      <c r="O100" s="95">
        <v>909109</v>
      </c>
      <c r="P100" s="95">
        <f t="shared" si="61"/>
        <v>301.94301539286556</v>
      </c>
      <c r="Q100" s="95">
        <f t="shared" si="62"/>
        <v>1376.4120615302115</v>
      </c>
      <c r="R100" s="29"/>
    </row>
    <row r="101" spans="1:18">
      <c r="A101" s="42" t="s">
        <v>1388</v>
      </c>
      <c r="B101" s="43"/>
      <c r="C101" s="50"/>
      <c r="D101" s="73">
        <v>0.7</v>
      </c>
      <c r="E101" s="45"/>
      <c r="F101" s="95">
        <f t="shared" si="54"/>
        <v>32186110</v>
      </c>
      <c r="G101" s="46">
        <f t="shared" si="56"/>
        <v>0.26233835030079744</v>
      </c>
      <c r="H101" s="95">
        <f>'rev send dist only'!O573</f>
        <v>8443651</v>
      </c>
      <c r="I101" s="46">
        <f t="shared" si="57"/>
        <v>0.73766164969920256</v>
      </c>
      <c r="J101" s="95">
        <f>'rev send dist only'!J573</f>
        <v>23742459</v>
      </c>
      <c r="K101" s="48">
        <f t="shared" si="58"/>
        <v>32186110</v>
      </c>
      <c r="L101" s="49">
        <f t="shared" si="59"/>
        <v>0.26233835030079744</v>
      </c>
      <c r="M101" s="48">
        <f t="shared" si="60"/>
        <v>0.73766164969920256</v>
      </c>
      <c r="N101" s="46">
        <f t="shared" si="55"/>
        <v>1.435897435897436E-3</v>
      </c>
      <c r="O101" s="95">
        <v>909109</v>
      </c>
      <c r="P101" s="95">
        <f t="shared" si="61"/>
        <v>962.93413597430708</v>
      </c>
      <c r="Q101" s="95">
        <f t="shared" si="62"/>
        <v>342.45314607697514</v>
      </c>
      <c r="R101" s="29"/>
    </row>
    <row r="102" spans="1:18">
      <c r="A102" s="38" t="s">
        <v>1389</v>
      </c>
      <c r="B102" s="39"/>
      <c r="C102" s="40"/>
      <c r="D102" s="74">
        <f>SUM(D91:D101)</f>
        <v>487.49999999999994</v>
      </c>
      <c r="E102" s="41"/>
      <c r="F102" s="91"/>
      <c r="G102" s="40"/>
      <c r="H102" s="91"/>
      <c r="I102" s="40"/>
      <c r="J102" s="91"/>
      <c r="K102" s="40"/>
      <c r="L102" s="40"/>
      <c r="M102" s="40"/>
      <c r="N102" s="40"/>
      <c r="O102" s="91"/>
      <c r="P102" s="91">
        <f>SUM(P91:P101)</f>
        <v>191481.33850497287</v>
      </c>
      <c r="Q102" s="91">
        <f>SUM(Q91:Q101)</f>
        <v>717627.66149502737</v>
      </c>
      <c r="R102" s="37"/>
    </row>
    <row r="103" spans="1:18">
      <c r="A103" s="42" t="s">
        <v>1390</v>
      </c>
      <c r="B103" s="43" t="s">
        <v>1485</v>
      </c>
      <c r="C103" s="50" t="s">
        <v>1486</v>
      </c>
      <c r="D103" s="73">
        <v>1</v>
      </c>
      <c r="E103" s="45"/>
      <c r="F103" s="95">
        <f t="shared" ref="F103:F121" si="63">H103+J103</f>
        <v>23525325</v>
      </c>
      <c r="G103" s="46">
        <f>H103/F103</f>
        <v>0</v>
      </c>
      <c r="H103" s="95">
        <f>'rev send dist only'!O38</f>
        <v>0</v>
      </c>
      <c r="I103" s="46">
        <f>J103/F103</f>
        <v>1</v>
      </c>
      <c r="J103" s="95">
        <f>'rev send dist only'!J38</f>
        <v>23525325</v>
      </c>
      <c r="K103" s="48">
        <f>SUM(H103+J103)</f>
        <v>23525325</v>
      </c>
      <c r="L103" s="49">
        <f>H103/K103</f>
        <v>0</v>
      </c>
      <c r="M103" s="48">
        <f>J103/K103</f>
        <v>1</v>
      </c>
      <c r="N103" s="46">
        <f>D103/$D$122</f>
        <v>3.6656891495601171E-3</v>
      </c>
      <c r="O103" s="95">
        <v>1030580</v>
      </c>
      <c r="P103" s="95">
        <f>O103*N103*M103</f>
        <v>3777.7859237536654</v>
      </c>
      <c r="Q103" s="95">
        <f>O103*N103*L103</f>
        <v>0</v>
      </c>
      <c r="R103" s="29"/>
    </row>
    <row r="104" spans="1:18">
      <c r="A104" s="42" t="s">
        <v>1391</v>
      </c>
      <c r="B104" s="43"/>
      <c r="C104" s="50"/>
      <c r="D104" s="73">
        <v>1</v>
      </c>
      <c r="E104" s="45"/>
      <c r="F104" s="95">
        <f t="shared" si="63"/>
        <v>14219874</v>
      </c>
      <c r="G104" s="46">
        <f>H104/F104</f>
        <v>0.20708460567231468</v>
      </c>
      <c r="H104" s="95">
        <f>'rev send dist only'!O50</f>
        <v>2944717</v>
      </c>
      <c r="I104" s="46">
        <f>J104/F104</f>
        <v>0.79291539432768532</v>
      </c>
      <c r="J104" s="95">
        <f>'rev send dist only'!J50</f>
        <v>11275157</v>
      </c>
      <c r="K104" s="48">
        <f>SUM(H104+J104)</f>
        <v>14219874</v>
      </c>
      <c r="L104" s="49">
        <f>H104/K104</f>
        <v>0.20708460567231468</v>
      </c>
      <c r="M104" s="48">
        <f>J104/K104</f>
        <v>0.79291539432768532</v>
      </c>
      <c r="N104" s="46">
        <f>D104/$D$122</f>
        <v>3.6656891495601171E-3</v>
      </c>
      <c r="O104" s="95">
        <v>1030580</v>
      </c>
      <c r="P104" s="95">
        <f>O104*N104*M104</f>
        <v>2995.4646154187167</v>
      </c>
      <c r="Q104" s="95">
        <f>O104*N104*L104</f>
        <v>782.32130833494887</v>
      </c>
      <c r="R104" s="29"/>
    </row>
    <row r="105" spans="1:18">
      <c r="A105" s="42" t="s">
        <v>1392</v>
      </c>
      <c r="B105" s="43"/>
      <c r="C105" s="50"/>
      <c r="D105" s="73">
        <v>1</v>
      </c>
      <c r="E105" s="45"/>
      <c r="F105" s="95">
        <f t="shared" si="63"/>
        <v>18878838</v>
      </c>
      <c r="G105" s="46">
        <f t="shared" ref="G105:G121" si="64">H105/F105</f>
        <v>0</v>
      </c>
      <c r="H105" s="95">
        <f>'rev send dist only'!O57</f>
        <v>0</v>
      </c>
      <c r="I105" s="46">
        <f t="shared" ref="I105:I121" si="65">J105/F105</f>
        <v>1</v>
      </c>
      <c r="J105" s="95">
        <f>'rev send dist only'!J57</f>
        <v>18878838</v>
      </c>
      <c r="K105" s="48">
        <f t="shared" ref="K105:K121" si="66">SUM(H105+J105)</f>
        <v>18878838</v>
      </c>
      <c r="L105" s="49">
        <f t="shared" ref="L105:L121" si="67">H105/K105</f>
        <v>0</v>
      </c>
      <c r="M105" s="48">
        <f t="shared" ref="M105:M121" si="68">J105/K105</f>
        <v>1</v>
      </c>
      <c r="N105" s="46">
        <f t="shared" ref="N105:N121" si="69">D105/$D$122</f>
        <v>3.6656891495601171E-3</v>
      </c>
      <c r="O105" s="95">
        <v>1030580</v>
      </c>
      <c r="P105" s="95">
        <f t="shared" ref="P105:P121" si="70">O105*N105*M105</f>
        <v>3777.7859237536654</v>
      </c>
      <c r="Q105" s="95">
        <f t="shared" ref="Q105:Q121" si="71">O105*N105*L105</f>
        <v>0</v>
      </c>
      <c r="R105" s="29"/>
    </row>
    <row r="106" spans="1:18">
      <c r="A106" s="42" t="s">
        <v>1393</v>
      </c>
      <c r="B106" s="43"/>
      <c r="C106" s="50"/>
      <c r="D106" s="73">
        <v>1</v>
      </c>
      <c r="E106" s="45"/>
      <c r="F106" s="95">
        <f t="shared" si="63"/>
        <v>13465088</v>
      </c>
      <c r="G106" s="46">
        <f t="shared" si="64"/>
        <v>0</v>
      </c>
      <c r="H106" s="95">
        <f>'rev send dist only'!O62</f>
        <v>0</v>
      </c>
      <c r="I106" s="46">
        <f t="shared" si="65"/>
        <v>1</v>
      </c>
      <c r="J106" s="95">
        <f>'rev send dist only'!J62</f>
        <v>13465088</v>
      </c>
      <c r="K106" s="48">
        <f t="shared" si="66"/>
        <v>13465088</v>
      </c>
      <c r="L106" s="49">
        <f t="shared" si="67"/>
        <v>0</v>
      </c>
      <c r="M106" s="48">
        <f t="shared" si="68"/>
        <v>1</v>
      </c>
      <c r="N106" s="46">
        <f t="shared" si="69"/>
        <v>3.6656891495601171E-3</v>
      </c>
      <c r="O106" s="95">
        <v>1030580</v>
      </c>
      <c r="P106" s="95">
        <f t="shared" si="70"/>
        <v>3777.7859237536654</v>
      </c>
      <c r="Q106" s="95">
        <f t="shared" si="71"/>
        <v>0</v>
      </c>
      <c r="R106" s="29"/>
    </row>
    <row r="107" spans="1:18">
      <c r="A107" s="42" t="s">
        <v>1394</v>
      </c>
      <c r="B107" s="43"/>
      <c r="C107" s="50"/>
      <c r="D107" s="73">
        <v>2</v>
      </c>
      <c r="E107" s="45"/>
      <c r="F107" s="95">
        <f t="shared" si="63"/>
        <v>21406201</v>
      </c>
      <c r="G107" s="46">
        <f t="shared" si="64"/>
        <v>7.8783713186660262E-2</v>
      </c>
      <c r="H107" s="95">
        <f>'rev send dist only'!O86</f>
        <v>1686460</v>
      </c>
      <c r="I107" s="46">
        <f t="shared" si="65"/>
        <v>0.92121628681333978</v>
      </c>
      <c r="J107" s="95">
        <f>'rev send dist only'!J86</f>
        <v>19719741</v>
      </c>
      <c r="K107" s="48">
        <f t="shared" si="66"/>
        <v>21406201</v>
      </c>
      <c r="L107" s="49">
        <f t="shared" si="67"/>
        <v>7.8783713186660262E-2</v>
      </c>
      <c r="M107" s="48">
        <f t="shared" si="68"/>
        <v>0.92121628681333978</v>
      </c>
      <c r="N107" s="46">
        <f t="shared" si="69"/>
        <v>7.3313782991202342E-3</v>
      </c>
      <c r="O107" s="95">
        <v>1030580</v>
      </c>
      <c r="P107" s="95">
        <f t="shared" si="70"/>
        <v>6960.3158421121088</v>
      </c>
      <c r="Q107" s="95">
        <f t="shared" si="71"/>
        <v>595.25600539522236</v>
      </c>
      <c r="R107" s="29"/>
    </row>
    <row r="108" spans="1:18">
      <c r="A108" s="42" t="s">
        <v>1395</v>
      </c>
      <c r="B108" s="43"/>
      <c r="C108" s="50"/>
      <c r="D108" s="73">
        <v>1</v>
      </c>
      <c r="E108" s="45"/>
      <c r="F108" s="95">
        <f t="shared" si="63"/>
        <v>10892975</v>
      </c>
      <c r="G108" s="46">
        <f t="shared" si="64"/>
        <v>0</v>
      </c>
      <c r="H108" s="95">
        <f>'rev send dist only'!O105</f>
        <v>0</v>
      </c>
      <c r="I108" s="46">
        <f t="shared" si="65"/>
        <v>1</v>
      </c>
      <c r="J108" s="95">
        <f>'rev send dist only'!J105</f>
        <v>10892975</v>
      </c>
      <c r="K108" s="48">
        <f t="shared" si="66"/>
        <v>10892975</v>
      </c>
      <c r="L108" s="49">
        <f t="shared" si="67"/>
        <v>0</v>
      </c>
      <c r="M108" s="48">
        <f t="shared" si="68"/>
        <v>1</v>
      </c>
      <c r="N108" s="46">
        <f t="shared" si="69"/>
        <v>3.6656891495601171E-3</v>
      </c>
      <c r="O108" s="95">
        <v>1030580</v>
      </c>
      <c r="P108" s="95">
        <f t="shared" si="70"/>
        <v>3777.7859237536654</v>
      </c>
      <c r="Q108" s="95">
        <f t="shared" si="71"/>
        <v>0</v>
      </c>
      <c r="R108" s="29"/>
    </row>
    <row r="109" spans="1:18">
      <c r="A109" s="42" t="s">
        <v>1382</v>
      </c>
      <c r="B109" s="43"/>
      <c r="C109" s="50"/>
      <c r="D109" s="73">
        <v>1</v>
      </c>
      <c r="E109" s="45"/>
      <c r="F109" s="95">
        <f t="shared" si="63"/>
        <v>43915306</v>
      </c>
      <c r="G109" s="46">
        <f t="shared" si="64"/>
        <v>0.29037593407637874</v>
      </c>
      <c r="H109" s="95">
        <f>H91</f>
        <v>12751948</v>
      </c>
      <c r="I109" s="46">
        <f t="shared" si="65"/>
        <v>0.70962406592362126</v>
      </c>
      <c r="J109" s="95">
        <f>J91</f>
        <v>31163358</v>
      </c>
      <c r="K109" s="48">
        <f t="shared" si="66"/>
        <v>43915306</v>
      </c>
      <c r="L109" s="49">
        <f t="shared" si="67"/>
        <v>0.29037593407637874</v>
      </c>
      <c r="M109" s="48">
        <f t="shared" si="68"/>
        <v>0.70962406592362126</v>
      </c>
      <c r="N109" s="46">
        <f t="shared" si="69"/>
        <v>3.6656891495601171E-3</v>
      </c>
      <c r="O109" s="95">
        <v>1030580</v>
      </c>
      <c r="P109" s="95">
        <f t="shared" si="70"/>
        <v>2680.8078074030996</v>
      </c>
      <c r="Q109" s="95">
        <f t="shared" si="71"/>
        <v>1096.9781163505659</v>
      </c>
      <c r="R109" s="29"/>
    </row>
    <row r="110" spans="1:18">
      <c r="A110" s="42" t="s">
        <v>1526</v>
      </c>
      <c r="B110" s="43"/>
      <c r="C110" s="50"/>
      <c r="D110" s="73">
        <v>1</v>
      </c>
      <c r="E110" s="45"/>
      <c r="F110" s="95">
        <f t="shared" si="63"/>
        <v>381732222</v>
      </c>
      <c r="G110" s="46">
        <f t="shared" si="64"/>
        <v>0.7574108716449931</v>
      </c>
      <c r="H110" s="95">
        <f>$H$46</f>
        <v>289128135</v>
      </c>
      <c r="I110" s="46">
        <f t="shared" si="65"/>
        <v>0.24258912835500693</v>
      </c>
      <c r="J110" s="95">
        <f>$J$46</f>
        <v>92604087</v>
      </c>
      <c r="K110" s="48">
        <f t="shared" si="66"/>
        <v>381732222</v>
      </c>
      <c r="L110" s="49">
        <f t="shared" si="67"/>
        <v>0.7574108716449931</v>
      </c>
      <c r="M110" s="48">
        <f t="shared" si="68"/>
        <v>0.24258912835500693</v>
      </c>
      <c r="N110" s="46">
        <f t="shared" si="69"/>
        <v>3.6656891495601171E-3</v>
      </c>
      <c r="O110" s="95">
        <v>1030580</v>
      </c>
      <c r="P110" s="95">
        <f t="shared" si="70"/>
        <v>916.44979435521634</v>
      </c>
      <c r="Q110" s="95">
        <f t="shared" si="71"/>
        <v>2861.336129398449</v>
      </c>
      <c r="R110" s="29"/>
    </row>
    <row r="111" spans="1:18">
      <c r="A111" s="42" t="s">
        <v>1375</v>
      </c>
      <c r="B111" s="43"/>
      <c r="C111" s="50"/>
      <c r="D111" s="73">
        <v>4</v>
      </c>
      <c r="E111" s="45"/>
      <c r="F111" s="95">
        <f t="shared" si="63"/>
        <v>74696754</v>
      </c>
      <c r="G111" s="46">
        <f t="shared" si="64"/>
        <v>0.25820891761909759</v>
      </c>
      <c r="H111" s="95">
        <f>H73</f>
        <v>19287368</v>
      </c>
      <c r="I111" s="46">
        <f t="shared" si="65"/>
        <v>0.74179108238090241</v>
      </c>
      <c r="J111" s="95">
        <f>J73</f>
        <v>55409386</v>
      </c>
      <c r="K111" s="48">
        <f t="shared" si="66"/>
        <v>74696754</v>
      </c>
      <c r="L111" s="49">
        <f t="shared" si="67"/>
        <v>0.25820891761909759</v>
      </c>
      <c r="M111" s="48">
        <f t="shared" si="68"/>
        <v>0.74179108238090241</v>
      </c>
      <c r="N111" s="46">
        <f t="shared" si="69"/>
        <v>1.4662756598240468E-2</v>
      </c>
      <c r="O111" s="95">
        <v>1030580</v>
      </c>
      <c r="P111" s="95">
        <f t="shared" si="70"/>
        <v>11209.311637538274</v>
      </c>
      <c r="Q111" s="95">
        <f t="shared" si="71"/>
        <v>3901.8320574763866</v>
      </c>
      <c r="R111" s="29"/>
    </row>
    <row r="112" spans="1:18">
      <c r="A112" s="42" t="s">
        <v>1396</v>
      </c>
      <c r="B112" s="43"/>
      <c r="C112" s="50"/>
      <c r="D112" s="73">
        <v>150</v>
      </c>
      <c r="E112" s="45"/>
      <c r="F112" s="95">
        <f t="shared" si="63"/>
        <v>37454086</v>
      </c>
      <c r="G112" s="46">
        <f t="shared" si="64"/>
        <v>0.11424454464060343</v>
      </c>
      <c r="H112" s="95">
        <f>'rev send dist only'!O281</f>
        <v>4278925</v>
      </c>
      <c r="I112" s="46">
        <f t="shared" si="65"/>
        <v>0.88575545535939659</v>
      </c>
      <c r="J112" s="95">
        <f>'rev send dist only'!J281</f>
        <v>33175161</v>
      </c>
      <c r="K112" s="48">
        <f t="shared" si="66"/>
        <v>37454086</v>
      </c>
      <c r="L112" s="49">
        <f t="shared" si="67"/>
        <v>0.11424454464060343</v>
      </c>
      <c r="M112" s="48">
        <f t="shared" si="68"/>
        <v>0.88575545535939659</v>
      </c>
      <c r="N112" s="46">
        <f t="shared" si="69"/>
        <v>0.54985337243401755</v>
      </c>
      <c r="O112" s="95">
        <v>1030580</v>
      </c>
      <c r="P112" s="95">
        <f t="shared" si="70"/>
        <v>501929.17367171199</v>
      </c>
      <c r="Q112" s="95">
        <f t="shared" si="71"/>
        <v>64738.714891337841</v>
      </c>
      <c r="R112" s="29"/>
    </row>
    <row r="113" spans="1:18">
      <c r="A113" s="42" t="s">
        <v>657</v>
      </c>
      <c r="B113" s="43"/>
      <c r="C113" s="50"/>
      <c r="D113" s="73">
        <v>79.2</v>
      </c>
      <c r="E113" s="45"/>
      <c r="F113" s="95">
        <f t="shared" si="63"/>
        <v>259769100</v>
      </c>
      <c r="G113" s="46">
        <f t="shared" si="64"/>
        <v>0.68623093354829345</v>
      </c>
      <c r="H113" s="95">
        <f>$H$57</f>
        <v>178261592</v>
      </c>
      <c r="I113" s="46">
        <f t="shared" si="65"/>
        <v>0.31376906645170655</v>
      </c>
      <c r="J113" s="95">
        <f>$J$57</f>
        <v>81507508</v>
      </c>
      <c r="K113" s="48">
        <f t="shared" si="66"/>
        <v>259769100</v>
      </c>
      <c r="L113" s="49">
        <f t="shared" si="67"/>
        <v>0.68623093354829345</v>
      </c>
      <c r="M113" s="48">
        <f t="shared" si="68"/>
        <v>0.31376906645170655</v>
      </c>
      <c r="N113" s="46">
        <f t="shared" si="69"/>
        <v>0.29032258064516131</v>
      </c>
      <c r="O113" s="95">
        <v>1030580</v>
      </c>
      <c r="P113" s="95">
        <f t="shared" si="70"/>
        <v>93879.90711400639</v>
      </c>
      <c r="Q113" s="95">
        <f t="shared" si="71"/>
        <v>205320.73804728399</v>
      </c>
      <c r="R113" s="29"/>
    </row>
    <row r="114" spans="1:18">
      <c r="A114" s="42" t="s">
        <v>1397</v>
      </c>
      <c r="B114" s="43"/>
      <c r="C114" s="50"/>
      <c r="D114" s="73">
        <v>4.4000000000000004</v>
      </c>
      <c r="E114" s="45"/>
      <c r="F114" s="95">
        <f t="shared" si="63"/>
        <v>57001997</v>
      </c>
      <c r="G114" s="46">
        <f t="shared" si="64"/>
        <v>0.33609754058265712</v>
      </c>
      <c r="H114" s="95">
        <f>'rev send dist only'!O285</f>
        <v>19158231</v>
      </c>
      <c r="I114" s="46">
        <f t="shared" si="65"/>
        <v>0.66390245941734283</v>
      </c>
      <c r="J114" s="95">
        <f>'rev send dist only'!J285</f>
        <v>37843766</v>
      </c>
      <c r="K114" s="48">
        <f t="shared" si="66"/>
        <v>57001997</v>
      </c>
      <c r="L114" s="49">
        <f t="shared" si="67"/>
        <v>0.33609754058265712</v>
      </c>
      <c r="M114" s="48">
        <f t="shared" si="68"/>
        <v>0.66390245941734283</v>
      </c>
      <c r="N114" s="46">
        <f t="shared" si="69"/>
        <v>1.6129032258064516E-2</v>
      </c>
      <c r="O114" s="95">
        <v>1030580</v>
      </c>
      <c r="P114" s="95">
        <f t="shared" si="70"/>
        <v>11035.558010102019</v>
      </c>
      <c r="Q114" s="95">
        <f t="shared" si="71"/>
        <v>5586.7000544141092</v>
      </c>
      <c r="R114" s="29"/>
    </row>
    <row r="115" spans="1:18">
      <c r="A115" s="42" t="s">
        <v>1398</v>
      </c>
      <c r="B115" s="43"/>
      <c r="C115" s="50"/>
      <c r="D115" s="73">
        <v>3</v>
      </c>
      <c r="E115" s="45"/>
      <c r="F115" s="95">
        <f t="shared" si="63"/>
        <v>88426804</v>
      </c>
      <c r="G115" s="46">
        <f t="shared" si="64"/>
        <v>0.78901984289740923</v>
      </c>
      <c r="H115" s="95">
        <f>'rev send dist only'!O287</f>
        <v>69770503</v>
      </c>
      <c r="I115" s="46">
        <f t="shared" si="65"/>
        <v>0.21098015710259074</v>
      </c>
      <c r="J115" s="95">
        <f>'rev send dist only'!J287</f>
        <v>18656301</v>
      </c>
      <c r="K115" s="48">
        <f t="shared" si="66"/>
        <v>88426804</v>
      </c>
      <c r="L115" s="49">
        <f t="shared" si="67"/>
        <v>0.78901984289740923</v>
      </c>
      <c r="M115" s="48">
        <f t="shared" si="68"/>
        <v>0.21098015710259074</v>
      </c>
      <c r="N115" s="46">
        <f t="shared" si="69"/>
        <v>1.0997067448680351E-2</v>
      </c>
      <c r="O115" s="95">
        <v>1030580</v>
      </c>
      <c r="P115" s="95">
        <f t="shared" si="70"/>
        <v>2391.1136030805128</v>
      </c>
      <c r="Q115" s="95">
        <f t="shared" si="71"/>
        <v>8942.244168180483</v>
      </c>
      <c r="R115" s="29"/>
    </row>
    <row r="116" spans="1:18">
      <c r="A116" s="42" t="s">
        <v>1399</v>
      </c>
      <c r="B116" s="43"/>
      <c r="C116" s="50"/>
      <c r="D116" s="73">
        <v>12</v>
      </c>
      <c r="E116" s="45"/>
      <c r="F116" s="95">
        <f t="shared" si="63"/>
        <v>13965689</v>
      </c>
      <c r="G116" s="46">
        <f t="shared" si="64"/>
        <v>0</v>
      </c>
      <c r="H116" s="95">
        <f>'rev send dist only'!O288</f>
        <v>0</v>
      </c>
      <c r="I116" s="46">
        <f t="shared" si="65"/>
        <v>1</v>
      </c>
      <c r="J116" s="95">
        <f>'rev send dist only'!J288</f>
        <v>13965689</v>
      </c>
      <c r="K116" s="48">
        <f t="shared" si="66"/>
        <v>13965689</v>
      </c>
      <c r="L116" s="49">
        <f t="shared" si="67"/>
        <v>0</v>
      </c>
      <c r="M116" s="48">
        <f t="shared" si="68"/>
        <v>1</v>
      </c>
      <c r="N116" s="46">
        <f t="shared" si="69"/>
        <v>4.3988269794721403E-2</v>
      </c>
      <c r="O116" s="95">
        <v>1030580</v>
      </c>
      <c r="P116" s="95">
        <f t="shared" si="70"/>
        <v>45333.431085043987</v>
      </c>
      <c r="Q116" s="95">
        <f t="shared" si="71"/>
        <v>0</v>
      </c>
      <c r="R116" s="29"/>
    </row>
    <row r="117" spans="1:18">
      <c r="A117" s="42" t="s">
        <v>1400</v>
      </c>
      <c r="B117" s="43"/>
      <c r="C117" s="50"/>
      <c r="D117" s="73">
        <v>6</v>
      </c>
      <c r="E117" s="45"/>
      <c r="F117" s="95">
        <f t="shared" si="63"/>
        <v>49616847</v>
      </c>
      <c r="G117" s="46">
        <f t="shared" si="64"/>
        <v>0.72286558232932452</v>
      </c>
      <c r="H117" s="95">
        <f>'rev send dist only'!O289</f>
        <v>35866311</v>
      </c>
      <c r="I117" s="46">
        <f t="shared" si="65"/>
        <v>0.27713441767067543</v>
      </c>
      <c r="J117" s="95">
        <f>'rev send dist only'!J289</f>
        <v>13750536</v>
      </c>
      <c r="K117" s="48">
        <f t="shared" si="66"/>
        <v>49616847</v>
      </c>
      <c r="L117" s="49">
        <f t="shared" si="67"/>
        <v>0.72286558232932452</v>
      </c>
      <c r="M117" s="48">
        <f t="shared" si="68"/>
        <v>0.27713441767067543</v>
      </c>
      <c r="N117" s="46">
        <f t="shared" si="69"/>
        <v>2.1994134897360702E-2</v>
      </c>
      <c r="O117" s="95">
        <v>1030580</v>
      </c>
      <c r="P117" s="95">
        <f t="shared" si="70"/>
        <v>6281.7270123836806</v>
      </c>
      <c r="Q117" s="95">
        <f t="shared" si="71"/>
        <v>16384.988530138311</v>
      </c>
      <c r="R117" s="29"/>
    </row>
    <row r="118" spans="1:18">
      <c r="A118" s="42" t="s">
        <v>1367</v>
      </c>
      <c r="B118" s="43"/>
      <c r="C118" s="50"/>
      <c r="D118" s="73">
        <v>1.2</v>
      </c>
      <c r="E118" s="45"/>
      <c r="F118" s="95">
        <f t="shared" si="63"/>
        <v>89777526</v>
      </c>
      <c r="G118" s="46">
        <f t="shared" si="64"/>
        <v>0.82009586675400259</v>
      </c>
      <c r="H118" s="95">
        <f>H62</f>
        <v>73626178</v>
      </c>
      <c r="I118" s="46">
        <f t="shared" si="65"/>
        <v>0.17990413324599744</v>
      </c>
      <c r="J118" s="95">
        <f>J62</f>
        <v>16151348</v>
      </c>
      <c r="K118" s="48">
        <f t="shared" si="66"/>
        <v>89777526</v>
      </c>
      <c r="L118" s="49">
        <f t="shared" si="67"/>
        <v>0.82009586675400259</v>
      </c>
      <c r="M118" s="48">
        <f t="shared" si="68"/>
        <v>0.17990413324599744</v>
      </c>
      <c r="N118" s="46">
        <f t="shared" si="69"/>
        <v>4.3988269794721403E-3</v>
      </c>
      <c r="O118" s="95">
        <v>1030580</v>
      </c>
      <c r="P118" s="95">
        <f t="shared" si="70"/>
        <v>815.56716264219949</v>
      </c>
      <c r="Q118" s="95">
        <f t="shared" si="71"/>
        <v>3717.775945862199</v>
      </c>
      <c r="R118" s="29"/>
    </row>
    <row r="119" spans="1:18">
      <c r="A119" s="42" t="s">
        <v>1530</v>
      </c>
      <c r="B119" s="43"/>
      <c r="C119" s="50"/>
      <c r="D119" s="73">
        <v>1</v>
      </c>
      <c r="E119" s="45"/>
      <c r="F119" s="95">
        <f t="shared" si="63"/>
        <v>33097510</v>
      </c>
      <c r="G119" s="46">
        <f t="shared" si="64"/>
        <v>0.3301148031981862</v>
      </c>
      <c r="H119" s="95">
        <f>$H$53</f>
        <v>10925978</v>
      </c>
      <c r="I119" s="46">
        <f t="shared" si="65"/>
        <v>0.6698851968018138</v>
      </c>
      <c r="J119" s="95">
        <f>J53</f>
        <v>22171532</v>
      </c>
      <c r="K119" s="48">
        <f t="shared" si="66"/>
        <v>33097510</v>
      </c>
      <c r="L119" s="49">
        <f t="shared" si="67"/>
        <v>0.3301148031981862</v>
      </c>
      <c r="M119" s="48">
        <f t="shared" si="68"/>
        <v>0.6698851968018138</v>
      </c>
      <c r="N119" s="46">
        <f t="shared" si="69"/>
        <v>3.6656891495601171E-3</v>
      </c>
      <c r="O119" s="95">
        <v>1030580</v>
      </c>
      <c r="P119" s="95">
        <f t="shared" si="70"/>
        <v>2530.6828670088462</v>
      </c>
      <c r="Q119" s="95">
        <f t="shared" si="71"/>
        <v>1247.1030567448192</v>
      </c>
      <c r="R119" s="29"/>
    </row>
    <row r="120" spans="1:18">
      <c r="A120" s="42" t="s">
        <v>1376</v>
      </c>
      <c r="B120" s="43"/>
      <c r="C120" s="50"/>
      <c r="D120" s="73">
        <v>1</v>
      </c>
      <c r="E120" s="45"/>
      <c r="F120" s="95">
        <f t="shared" si="63"/>
        <v>84390302</v>
      </c>
      <c r="G120" s="46">
        <f t="shared" si="64"/>
        <v>0.16589153810588331</v>
      </c>
      <c r="H120" s="95">
        <f>'rev send dist only'!O588</f>
        <v>13999637</v>
      </c>
      <c r="I120" s="46">
        <f t="shared" si="65"/>
        <v>0.83410846189411669</v>
      </c>
      <c r="J120" s="95">
        <f>'rev send dist only'!J588</f>
        <v>70390665</v>
      </c>
      <c r="K120" s="48">
        <f t="shared" si="66"/>
        <v>84390302</v>
      </c>
      <c r="L120" s="49">
        <f t="shared" si="67"/>
        <v>0.16589153810588331</v>
      </c>
      <c r="M120" s="48">
        <f t="shared" si="68"/>
        <v>0.83410846189411669</v>
      </c>
      <c r="N120" s="46">
        <f t="shared" si="69"/>
        <v>3.6656891495601171E-3</v>
      </c>
      <c r="O120" s="95">
        <v>1030580</v>
      </c>
      <c r="P120" s="95">
        <f t="shared" si="70"/>
        <v>3151.0832062274148</v>
      </c>
      <c r="Q120" s="95">
        <f t="shared" si="71"/>
        <v>626.70271752625081</v>
      </c>
      <c r="R120" s="29"/>
    </row>
    <row r="121" spans="1:18">
      <c r="A121" s="42" t="s">
        <v>1401</v>
      </c>
      <c r="B121" s="43"/>
      <c r="C121" s="50"/>
      <c r="D121" s="73">
        <v>2</v>
      </c>
      <c r="E121" s="45"/>
      <c r="F121" s="95">
        <f t="shared" si="63"/>
        <v>19983705</v>
      </c>
      <c r="G121" s="46">
        <f t="shared" si="64"/>
        <v>0.66645774644891931</v>
      </c>
      <c r="H121" s="95">
        <f>'rev send dist only'!O608</f>
        <v>13318295</v>
      </c>
      <c r="I121" s="46">
        <f t="shared" si="65"/>
        <v>0.33354225355108075</v>
      </c>
      <c r="J121" s="95">
        <f>'rev send dist only'!J608</f>
        <v>6665410</v>
      </c>
      <c r="K121" s="48">
        <f t="shared" si="66"/>
        <v>19983705</v>
      </c>
      <c r="L121" s="49">
        <f t="shared" si="67"/>
        <v>0.66645774644891931</v>
      </c>
      <c r="M121" s="48">
        <f t="shared" si="68"/>
        <v>0.33354225355108075</v>
      </c>
      <c r="N121" s="46">
        <f t="shared" si="69"/>
        <v>7.3313782991202342E-3</v>
      </c>
      <c r="O121" s="95">
        <v>1030580</v>
      </c>
      <c r="P121" s="95">
        <f t="shared" si="70"/>
        <v>2520.1024608846978</v>
      </c>
      <c r="Q121" s="95">
        <f t="shared" si="71"/>
        <v>5035.4693866226335</v>
      </c>
      <c r="R121" s="29"/>
    </row>
    <row r="122" spans="1:18">
      <c r="A122" s="38" t="s">
        <v>1403</v>
      </c>
      <c r="B122" s="39"/>
      <c r="C122" s="40"/>
      <c r="D122" s="74">
        <f>SUM(D103:D121)</f>
        <v>272.8</v>
      </c>
      <c r="E122" s="41"/>
      <c r="F122" s="91"/>
      <c r="G122" s="40"/>
      <c r="H122" s="91"/>
      <c r="I122" s="40"/>
      <c r="J122" s="91"/>
      <c r="K122" s="40"/>
      <c r="L122" s="40"/>
      <c r="M122" s="40"/>
      <c r="N122" s="40"/>
      <c r="O122" s="91"/>
      <c r="P122" s="91">
        <f>SUM(P103:P121)</f>
        <v>709741.83958493371</v>
      </c>
      <c r="Q122" s="91">
        <f>SUM(Q103:Q121)</f>
        <v>320838.16041506629</v>
      </c>
      <c r="R122" s="37"/>
    </row>
    <row r="123" spans="1:18">
      <c r="A123" s="42" t="s">
        <v>1509</v>
      </c>
      <c r="B123" s="43" t="s">
        <v>1485</v>
      </c>
      <c r="C123" s="50" t="s">
        <v>1486</v>
      </c>
      <c r="D123" s="73">
        <v>0.2</v>
      </c>
      <c r="E123" s="45"/>
      <c r="F123" s="95">
        <f>H123+J123</f>
        <v>125290913</v>
      </c>
      <c r="G123" s="46">
        <f>H123/F123</f>
        <v>0.25425071329793886</v>
      </c>
      <c r="H123" s="95">
        <f>$H$27</f>
        <v>31855304</v>
      </c>
      <c r="I123" s="46">
        <f>J123/F123</f>
        <v>0.7457492867020612</v>
      </c>
      <c r="J123" s="95">
        <f>$J$27</f>
        <v>93435609</v>
      </c>
      <c r="K123" s="48">
        <f>SUM(H123+J123)</f>
        <v>125290913</v>
      </c>
      <c r="L123" s="49">
        <f>H123/K123</f>
        <v>0.25425071329793886</v>
      </c>
      <c r="M123" s="48">
        <f>J123/K123</f>
        <v>0.7457492867020612</v>
      </c>
      <c r="N123" s="46">
        <f>D123/$D$125</f>
        <v>5.6721497447532619E-4</v>
      </c>
      <c r="O123" s="95">
        <v>624055</v>
      </c>
      <c r="P123" s="95">
        <f>O123*N123*M123</f>
        <v>263.97536648488642</v>
      </c>
      <c r="Q123" s="95">
        <f>O123*N123*L123</f>
        <v>89.997974411313237</v>
      </c>
      <c r="R123" s="29"/>
    </row>
    <row r="124" spans="1:18">
      <c r="A124" s="42" t="s">
        <v>1402</v>
      </c>
      <c r="B124" s="43"/>
      <c r="C124" s="50"/>
      <c r="D124" s="73">
        <v>352.4</v>
      </c>
      <c r="E124" s="45"/>
      <c r="F124" s="95">
        <f>H124+J124</f>
        <v>128349142</v>
      </c>
      <c r="G124" s="46">
        <f>H124/F124</f>
        <v>0.82133283758141518</v>
      </c>
      <c r="H124" s="95">
        <f>'rev send dist only'!O329</f>
        <v>105417365</v>
      </c>
      <c r="I124" s="46">
        <f>J124/F124</f>
        <v>0.17866716241858477</v>
      </c>
      <c r="J124" s="95">
        <f>'rev send dist only'!J329</f>
        <v>22931777</v>
      </c>
      <c r="K124" s="48">
        <f>SUM(H124+J124)</f>
        <v>128349142</v>
      </c>
      <c r="L124" s="49">
        <f>H124/K124</f>
        <v>0.82133283758141518</v>
      </c>
      <c r="M124" s="48">
        <f>J124/K124</f>
        <v>0.17866716241858477</v>
      </c>
      <c r="N124" s="46">
        <f>D124/$D$125</f>
        <v>0.99943278502552468</v>
      </c>
      <c r="O124" s="95">
        <v>624055</v>
      </c>
      <c r="P124" s="95">
        <f>O124*N124*M124</f>
        <v>111434.89263074017</v>
      </c>
      <c r="Q124" s="95">
        <f>O124*N124*L124</f>
        <v>512266.13402836362</v>
      </c>
      <c r="R124" s="29"/>
    </row>
    <row r="125" spans="1:18">
      <c r="A125" s="38" t="s">
        <v>1404</v>
      </c>
      <c r="B125" s="39"/>
      <c r="C125" s="40"/>
      <c r="D125" s="74">
        <f>SUM(D123:D124)</f>
        <v>352.59999999999997</v>
      </c>
      <c r="E125" s="41"/>
      <c r="F125" s="91"/>
      <c r="G125" s="40"/>
      <c r="H125" s="91"/>
      <c r="I125" s="40"/>
      <c r="J125" s="91"/>
      <c r="K125" s="40"/>
      <c r="L125" s="40"/>
      <c r="M125" s="40"/>
      <c r="N125" s="40"/>
      <c r="O125" s="91"/>
      <c r="P125" s="91">
        <f>SUM(P123:P124)</f>
        <v>111698.86799722505</v>
      </c>
      <c r="Q125" s="91">
        <f>SUM(Q123:Q124)</f>
        <v>512356.13200277492</v>
      </c>
      <c r="R125" s="37"/>
    </row>
    <row r="126" spans="1:18">
      <c r="A126" s="42" t="s">
        <v>1405</v>
      </c>
      <c r="B126" s="43" t="s">
        <v>1485</v>
      </c>
      <c r="C126" s="50" t="s">
        <v>1486</v>
      </c>
      <c r="D126" s="73">
        <v>20.6</v>
      </c>
      <c r="E126" s="45"/>
      <c r="F126" s="95">
        <f t="shared" ref="F126:F136" si="72">H126+J126</f>
        <v>44905553</v>
      </c>
      <c r="G126" s="46">
        <f>H126/F126</f>
        <v>0.10841155881100051</v>
      </c>
      <c r="H126" s="95">
        <f>'rev send dist only'!O34</f>
        <v>4868281</v>
      </c>
      <c r="I126" s="46">
        <f>J126/F126</f>
        <v>0.89158844118899949</v>
      </c>
      <c r="J126" s="95">
        <f>'rev send dist only'!J34</f>
        <v>40037272</v>
      </c>
      <c r="K126" s="48">
        <f>SUM(H126+J126)</f>
        <v>44905553</v>
      </c>
      <c r="L126" s="49">
        <f>H126/K126</f>
        <v>0.10841155881100051</v>
      </c>
      <c r="M126" s="48">
        <f>J126/K126</f>
        <v>0.89158844118899949</v>
      </c>
      <c r="N126" s="46">
        <f>D126/$D$137</f>
        <v>0.11469933184855235</v>
      </c>
      <c r="O126" s="95">
        <v>1440573</v>
      </c>
      <c r="P126" s="95">
        <f>O126*N126*M126</f>
        <v>147319.61943804339</v>
      </c>
      <c r="Q126" s="95">
        <f>O126*N126*L126</f>
        <v>17913.141141021228</v>
      </c>
      <c r="R126" s="29"/>
    </row>
    <row r="127" spans="1:18">
      <c r="A127" s="42" t="s">
        <v>1406</v>
      </c>
      <c r="B127" s="43"/>
      <c r="C127" s="50"/>
      <c r="D127" s="73">
        <v>2</v>
      </c>
      <c r="E127" s="45"/>
      <c r="F127" s="95">
        <f t="shared" si="72"/>
        <v>32225321</v>
      </c>
      <c r="G127" s="46">
        <f>H127/F127</f>
        <v>0.14672902715228189</v>
      </c>
      <c r="H127" s="95">
        <f>'rev send dist only'!O42</f>
        <v>4728390</v>
      </c>
      <c r="I127" s="46">
        <f>J127/F127</f>
        <v>0.85327097284771813</v>
      </c>
      <c r="J127" s="95">
        <f>'rev send dist only'!J42</f>
        <v>27496931</v>
      </c>
      <c r="K127" s="48">
        <f>SUM(H127+J127)</f>
        <v>32225321</v>
      </c>
      <c r="L127" s="49">
        <f>H127/K127</f>
        <v>0.14672902715228189</v>
      </c>
      <c r="M127" s="48">
        <f>J127/K127</f>
        <v>0.85327097284771813</v>
      </c>
      <c r="N127" s="46">
        <f t="shared" ref="N127:N136" si="73">D127/$D$137</f>
        <v>1.1135857461024499E-2</v>
      </c>
      <c r="O127" s="95">
        <v>1440573</v>
      </c>
      <c r="P127" s="95">
        <f>O127*N127*M127</f>
        <v>13688.186249088596</v>
      </c>
      <c r="Q127" s="95">
        <f>O127*N127*L127</f>
        <v>2353.8293411118507</v>
      </c>
      <c r="R127" s="29"/>
    </row>
    <row r="128" spans="1:18">
      <c r="A128" s="42" t="s">
        <v>1407</v>
      </c>
      <c r="B128" s="43"/>
      <c r="C128" s="50"/>
      <c r="D128" s="73">
        <v>142</v>
      </c>
      <c r="E128" s="45"/>
      <c r="F128" s="95">
        <f t="shared" si="72"/>
        <v>43395349</v>
      </c>
      <c r="G128" s="46">
        <f t="shared" ref="G128:G136" si="74">H128/F128</f>
        <v>2.3759919525016379E-3</v>
      </c>
      <c r="H128" s="95">
        <f>'rev send dist only'!O47</f>
        <v>103107</v>
      </c>
      <c r="I128" s="46">
        <f t="shared" ref="I128:I136" si="75">J128/F128</f>
        <v>0.9976240080474984</v>
      </c>
      <c r="J128" s="95">
        <f>'rev send dist only'!J47</f>
        <v>43292242</v>
      </c>
      <c r="K128" s="48">
        <f t="shared" ref="K128:K136" si="76">SUM(H128+J128)</f>
        <v>43395349</v>
      </c>
      <c r="L128" s="49">
        <f t="shared" ref="L128:L136" si="77">H128/K128</f>
        <v>2.3759919525016379E-3</v>
      </c>
      <c r="M128" s="48">
        <f t="shared" ref="M128:M136" si="78">J128/K128</f>
        <v>0.9976240080474984</v>
      </c>
      <c r="N128" s="46">
        <f t="shared" si="73"/>
        <v>0.79064587973273948</v>
      </c>
      <c r="O128" s="95">
        <v>1440573</v>
      </c>
      <c r="P128" s="95">
        <f t="shared" ref="P128:P136" si="79">O128*N128*M128</f>
        <v>1136276.892208192</v>
      </c>
      <c r="Q128" s="95">
        <f t="shared" ref="Q128:Q136" si="80">O128*N128*L128</f>
        <v>2706.2146960397672</v>
      </c>
      <c r="R128" s="29"/>
    </row>
    <row r="129" spans="1:18">
      <c r="A129" s="42" t="s">
        <v>1408</v>
      </c>
      <c r="B129" s="43"/>
      <c r="C129" s="50"/>
      <c r="D129" s="73">
        <v>2</v>
      </c>
      <c r="E129" s="45"/>
      <c r="F129" s="95">
        <f t="shared" si="72"/>
        <v>54328559</v>
      </c>
      <c r="G129" s="46">
        <f t="shared" si="74"/>
        <v>3.1088621363949671E-5</v>
      </c>
      <c r="H129" s="95">
        <f>'rev send dist only'!O55</f>
        <v>1689</v>
      </c>
      <c r="I129" s="46">
        <f t="shared" si="75"/>
        <v>0.99996891137863608</v>
      </c>
      <c r="J129" s="95">
        <f>'rev send dist only'!J55</f>
        <v>54326870</v>
      </c>
      <c r="K129" s="48">
        <f t="shared" si="76"/>
        <v>54328559</v>
      </c>
      <c r="L129" s="49">
        <f t="shared" si="77"/>
        <v>3.1088621363949671E-5</v>
      </c>
      <c r="M129" s="48">
        <f t="shared" si="78"/>
        <v>0.99996891137863608</v>
      </c>
      <c r="N129" s="46">
        <f t="shared" si="73"/>
        <v>1.1135857461024499E-2</v>
      </c>
      <c r="O129" s="95">
        <v>1440573</v>
      </c>
      <c r="P129" s="95">
        <f t="shared" si="79"/>
        <v>16041.516866051848</v>
      </c>
      <c r="Q129" s="95">
        <f t="shared" si="80"/>
        <v>0.49872414859831926</v>
      </c>
      <c r="R129" s="29"/>
    </row>
    <row r="130" spans="1:18">
      <c r="A130" s="42" t="s">
        <v>1409</v>
      </c>
      <c r="B130" s="43"/>
      <c r="C130" s="50"/>
      <c r="D130" s="73">
        <v>1</v>
      </c>
      <c r="E130" s="45"/>
      <c r="F130" s="95">
        <f t="shared" si="72"/>
        <v>36563055</v>
      </c>
      <c r="G130" s="46">
        <f t="shared" si="74"/>
        <v>0.14250759407276006</v>
      </c>
      <c r="H130" s="95">
        <f>'rev send dist only'!O63</f>
        <v>5210513</v>
      </c>
      <c r="I130" s="46">
        <f t="shared" si="75"/>
        <v>0.85749240592723996</v>
      </c>
      <c r="J130" s="95">
        <f>'rev send dist only'!J63</f>
        <v>31352542</v>
      </c>
      <c r="K130" s="48">
        <f t="shared" si="76"/>
        <v>36563055</v>
      </c>
      <c r="L130" s="49">
        <f t="shared" si="77"/>
        <v>0.14250759407276006</v>
      </c>
      <c r="M130" s="48">
        <f t="shared" si="78"/>
        <v>0.85749240592723996</v>
      </c>
      <c r="N130" s="46">
        <f t="shared" si="73"/>
        <v>5.5679287305122494E-3</v>
      </c>
      <c r="O130" s="95">
        <v>1440573</v>
      </c>
      <c r="P130" s="95">
        <f t="shared" si="79"/>
        <v>6877.9532721816367</v>
      </c>
      <c r="Q130" s="95">
        <f t="shared" si="80"/>
        <v>1143.0545229185868</v>
      </c>
      <c r="R130" s="29"/>
    </row>
    <row r="131" spans="1:18">
      <c r="A131" s="42" t="s">
        <v>1410</v>
      </c>
      <c r="B131" s="43"/>
      <c r="C131" s="50"/>
      <c r="D131" s="73">
        <v>2</v>
      </c>
      <c r="E131" s="45"/>
      <c r="F131" s="95">
        <f t="shared" si="72"/>
        <v>16671964</v>
      </c>
      <c r="G131" s="46">
        <f t="shared" si="74"/>
        <v>1.0612726850897711E-2</v>
      </c>
      <c r="H131" s="95">
        <f>'rev send dist only'!O79</f>
        <v>176935</v>
      </c>
      <c r="I131" s="46">
        <f t="shared" si="75"/>
        <v>0.98938727314910224</v>
      </c>
      <c r="J131" s="95">
        <f>'rev send dist only'!J79</f>
        <v>16495029</v>
      </c>
      <c r="K131" s="48">
        <f t="shared" si="76"/>
        <v>16671964</v>
      </c>
      <c r="L131" s="49">
        <f t="shared" si="77"/>
        <v>1.0612726850897711E-2</v>
      </c>
      <c r="M131" s="48">
        <f t="shared" si="78"/>
        <v>0.98938727314910224</v>
      </c>
      <c r="N131" s="46">
        <f t="shared" si="73"/>
        <v>1.1135857461024499E-2</v>
      </c>
      <c r="O131" s="95">
        <v>1440573</v>
      </c>
      <c r="P131" s="95">
        <f t="shared" si="79"/>
        <v>15871.766060603806</v>
      </c>
      <c r="Q131" s="95">
        <f t="shared" si="80"/>
        <v>170.24952959663997</v>
      </c>
      <c r="R131" s="29"/>
    </row>
    <row r="132" spans="1:18">
      <c r="A132" s="42" t="s">
        <v>1394</v>
      </c>
      <c r="B132" s="43"/>
      <c r="C132" s="50"/>
      <c r="D132" s="73">
        <v>1</v>
      </c>
      <c r="E132" s="45"/>
      <c r="F132" s="95">
        <f t="shared" si="72"/>
        <v>21406201</v>
      </c>
      <c r="G132" s="46">
        <f t="shared" si="74"/>
        <v>7.8783713186660262E-2</v>
      </c>
      <c r="H132" s="95">
        <f>H107</f>
        <v>1686460</v>
      </c>
      <c r="I132" s="46">
        <f t="shared" si="75"/>
        <v>0.92121628681333978</v>
      </c>
      <c r="J132" s="95">
        <f>J107</f>
        <v>19719741</v>
      </c>
      <c r="K132" s="48">
        <f t="shared" si="76"/>
        <v>21406201</v>
      </c>
      <c r="L132" s="49">
        <f t="shared" si="77"/>
        <v>7.8783713186660262E-2</v>
      </c>
      <c r="M132" s="48">
        <f t="shared" si="78"/>
        <v>0.92121628681333978</v>
      </c>
      <c r="N132" s="46">
        <f t="shared" si="73"/>
        <v>5.5679287305122494E-3</v>
      </c>
      <c r="O132" s="95">
        <v>1440573</v>
      </c>
      <c r="P132" s="95">
        <f t="shared" si="79"/>
        <v>7389.0830175030815</v>
      </c>
      <c r="Q132" s="95">
        <f t="shared" si="80"/>
        <v>631.92477759714222</v>
      </c>
      <c r="R132" s="29"/>
    </row>
    <row r="133" spans="1:18">
      <c r="A133" s="42" t="s">
        <v>1411</v>
      </c>
      <c r="B133" s="43"/>
      <c r="C133" s="50"/>
      <c r="D133" s="73">
        <v>6</v>
      </c>
      <c r="E133" s="45"/>
      <c r="F133" s="95">
        <f t="shared" si="72"/>
        <v>71836785</v>
      </c>
      <c r="G133" s="46">
        <f t="shared" si="74"/>
        <v>0</v>
      </c>
      <c r="H133" s="95">
        <f>'rev send dist only'!O98</f>
        <v>0</v>
      </c>
      <c r="I133" s="46">
        <f t="shared" si="75"/>
        <v>1</v>
      </c>
      <c r="J133" s="95">
        <f>'rev send dist only'!J98</f>
        <v>71836785</v>
      </c>
      <c r="K133" s="48">
        <f t="shared" si="76"/>
        <v>71836785</v>
      </c>
      <c r="L133" s="49">
        <f t="shared" si="77"/>
        <v>0</v>
      </c>
      <c r="M133" s="48">
        <f t="shared" si="78"/>
        <v>1</v>
      </c>
      <c r="N133" s="46">
        <f t="shared" si="73"/>
        <v>3.34075723830735E-2</v>
      </c>
      <c r="O133" s="95">
        <v>1440573</v>
      </c>
      <c r="P133" s="95">
        <f t="shared" si="79"/>
        <v>48126.046770601344</v>
      </c>
      <c r="Q133" s="95">
        <f t="shared" si="80"/>
        <v>0</v>
      </c>
      <c r="R133" s="29"/>
    </row>
    <row r="134" spans="1:18">
      <c r="A134" s="42" t="s">
        <v>669</v>
      </c>
      <c r="B134" s="43"/>
      <c r="C134" s="50"/>
      <c r="D134" s="73">
        <v>1</v>
      </c>
      <c r="E134" s="45"/>
      <c r="F134" s="95">
        <f t="shared" si="72"/>
        <v>103873744</v>
      </c>
      <c r="G134" s="46">
        <f t="shared" si="74"/>
        <v>0.80026647542424201</v>
      </c>
      <c r="H134" s="95">
        <f>H93</f>
        <v>83126675</v>
      </c>
      <c r="I134" s="46">
        <f t="shared" si="75"/>
        <v>0.19973352457575805</v>
      </c>
      <c r="J134" s="95">
        <f>J93</f>
        <v>20747069</v>
      </c>
      <c r="K134" s="48">
        <f t="shared" si="76"/>
        <v>103873744</v>
      </c>
      <c r="L134" s="49">
        <f t="shared" si="77"/>
        <v>0.80026647542424201</v>
      </c>
      <c r="M134" s="48">
        <f t="shared" si="78"/>
        <v>0.19973352457575805</v>
      </c>
      <c r="N134" s="46">
        <f t="shared" si="73"/>
        <v>5.5679287305122494E-3</v>
      </c>
      <c r="O134" s="95">
        <v>1440573</v>
      </c>
      <c r="P134" s="95">
        <f t="shared" si="79"/>
        <v>1602.0641575649972</v>
      </c>
      <c r="Q134" s="95">
        <f t="shared" si="80"/>
        <v>6418.9436375352261</v>
      </c>
      <c r="R134" s="29"/>
    </row>
    <row r="135" spans="1:18">
      <c r="A135" s="42" t="s">
        <v>1526</v>
      </c>
      <c r="B135" s="43"/>
      <c r="C135" s="50"/>
      <c r="D135" s="73">
        <v>1</v>
      </c>
      <c r="E135" s="45"/>
      <c r="F135" s="95">
        <f t="shared" si="72"/>
        <v>381732222</v>
      </c>
      <c r="G135" s="46">
        <f t="shared" si="74"/>
        <v>0.7574108716449931</v>
      </c>
      <c r="H135" s="95">
        <f>$H$46</f>
        <v>289128135</v>
      </c>
      <c r="I135" s="46">
        <f t="shared" si="75"/>
        <v>0.24258912835500693</v>
      </c>
      <c r="J135" s="95">
        <f>$J$46</f>
        <v>92604087</v>
      </c>
      <c r="K135" s="48">
        <f t="shared" si="76"/>
        <v>381732222</v>
      </c>
      <c r="L135" s="49">
        <f t="shared" si="77"/>
        <v>0.7574108716449931</v>
      </c>
      <c r="M135" s="48">
        <f t="shared" si="78"/>
        <v>0.24258912835500693</v>
      </c>
      <c r="N135" s="46">
        <f t="shared" si="73"/>
        <v>5.5679287305122494E-3</v>
      </c>
      <c r="O135" s="95">
        <v>1440573</v>
      </c>
      <c r="P135" s="95">
        <f t="shared" si="79"/>
        <v>1945.8092895420791</v>
      </c>
      <c r="Q135" s="95">
        <f t="shared" si="80"/>
        <v>6075.1985055581445</v>
      </c>
      <c r="R135" s="29"/>
    </row>
    <row r="136" spans="1:18">
      <c r="A136" s="42" t="s">
        <v>1368</v>
      </c>
      <c r="B136" s="43"/>
      <c r="C136" s="50"/>
      <c r="D136" s="73">
        <v>1</v>
      </c>
      <c r="E136" s="45"/>
      <c r="F136" s="95">
        <f t="shared" si="72"/>
        <v>212827949</v>
      </c>
      <c r="G136" s="46">
        <f t="shared" si="74"/>
        <v>0.80920356000799498</v>
      </c>
      <c r="H136" s="95">
        <f>H63</f>
        <v>172221134</v>
      </c>
      <c r="I136" s="46">
        <f t="shared" si="75"/>
        <v>0.19079643999200499</v>
      </c>
      <c r="J136" s="95">
        <f>J63</f>
        <v>40606815</v>
      </c>
      <c r="K136" s="48">
        <f t="shared" si="76"/>
        <v>212827949</v>
      </c>
      <c r="L136" s="49">
        <f t="shared" si="77"/>
        <v>0.80920356000799498</v>
      </c>
      <c r="M136" s="48">
        <f t="shared" si="78"/>
        <v>0.19079643999200499</v>
      </c>
      <c r="N136" s="46">
        <f t="shared" si="73"/>
        <v>5.5679287305122494E-3</v>
      </c>
      <c r="O136" s="95">
        <v>1440573</v>
      </c>
      <c r="P136" s="95">
        <f t="shared" si="79"/>
        <v>1530.3797324532441</v>
      </c>
      <c r="Q136" s="95">
        <f t="shared" si="80"/>
        <v>6490.6280626469788</v>
      </c>
      <c r="R136" s="29"/>
    </row>
    <row r="137" spans="1:18">
      <c r="A137" s="38" t="s">
        <v>1412</v>
      </c>
      <c r="B137" s="39"/>
      <c r="C137" s="40"/>
      <c r="D137" s="74">
        <f>SUM(D126:D136)</f>
        <v>179.6</v>
      </c>
      <c r="E137" s="41"/>
      <c r="F137" s="91"/>
      <c r="G137" s="40"/>
      <c r="H137" s="91"/>
      <c r="I137" s="40"/>
      <c r="J137" s="91"/>
      <c r="K137" s="40"/>
      <c r="L137" s="40"/>
      <c r="M137" s="40"/>
      <c r="N137" s="40"/>
      <c r="O137" s="91"/>
      <c r="P137" s="91">
        <f>SUM(P126:P136)</f>
        <v>1396669.3170618259</v>
      </c>
      <c r="Q137" s="91">
        <f>SUM(Q126:Q136)</f>
        <v>43903.682938174163</v>
      </c>
      <c r="R137" s="37"/>
    </row>
    <row r="138" spans="1:18">
      <c r="A138" s="42" t="s">
        <v>1496</v>
      </c>
      <c r="B138" s="43" t="s">
        <v>1485</v>
      </c>
      <c r="C138" s="50" t="s">
        <v>1486</v>
      </c>
      <c r="D138" s="73">
        <v>4</v>
      </c>
      <c r="E138" s="45"/>
      <c r="F138" s="95">
        <f t="shared" ref="F138:F150" si="81">H138+J138</f>
        <v>8588416</v>
      </c>
      <c r="G138" s="46">
        <f>H138/F138</f>
        <v>4.0100176796280015E-2</v>
      </c>
      <c r="H138" s="95">
        <f>$H$12</f>
        <v>344397</v>
      </c>
      <c r="I138" s="46">
        <f>J138/F138</f>
        <v>0.95989982320372003</v>
      </c>
      <c r="J138" s="95">
        <f>$J$12</f>
        <v>8244019</v>
      </c>
      <c r="K138" s="48">
        <f>SUM(H138+J138)</f>
        <v>8588416</v>
      </c>
      <c r="L138" s="49">
        <f>H138/K138</f>
        <v>4.0100176796280015E-2</v>
      </c>
      <c r="M138" s="48">
        <f>J138/K138</f>
        <v>0.95989982320372003</v>
      </c>
      <c r="N138" s="46">
        <f>D138/$D$151</f>
        <v>1.3908205841446452E-2</v>
      </c>
      <c r="O138" s="95">
        <v>2109285</v>
      </c>
      <c r="P138" s="95">
        <f>O138*N138*M138</f>
        <v>28159.976336387459</v>
      </c>
      <c r="Q138" s="95">
        <f>O138*N138*L138</f>
        <v>1176.3936218879205</v>
      </c>
      <c r="R138" s="29"/>
    </row>
    <row r="139" spans="1:18">
      <c r="A139" s="42" t="s">
        <v>582</v>
      </c>
      <c r="B139" s="43"/>
      <c r="C139" s="50"/>
      <c r="D139" s="73">
        <v>32.700000000000003</v>
      </c>
      <c r="E139" s="45"/>
      <c r="F139" s="95">
        <f t="shared" si="81"/>
        <v>95516913</v>
      </c>
      <c r="G139" s="46">
        <f>H139/F139</f>
        <v>0</v>
      </c>
      <c r="H139" s="95">
        <f>$H$13</f>
        <v>0</v>
      </c>
      <c r="I139" s="46">
        <f>J139/F139</f>
        <v>1</v>
      </c>
      <c r="J139" s="95">
        <f>$J$13</f>
        <v>95516913</v>
      </c>
      <c r="K139" s="48">
        <f>SUM(H139+J139)</f>
        <v>95516913</v>
      </c>
      <c r="L139" s="49">
        <f>H139/K139</f>
        <v>0</v>
      </c>
      <c r="M139" s="48">
        <f>J139/K139</f>
        <v>1</v>
      </c>
      <c r="N139" s="46">
        <f t="shared" ref="N139:N150" si="82">D139/$D$151</f>
        <v>0.11369958275382476</v>
      </c>
      <c r="O139" s="95">
        <v>2109285</v>
      </c>
      <c r="P139" s="95">
        <f>O139*N139*M139</f>
        <v>239824.82440890127</v>
      </c>
      <c r="Q139" s="95">
        <f>O139*N139*L139</f>
        <v>0</v>
      </c>
      <c r="R139" s="29"/>
    </row>
    <row r="140" spans="1:18">
      <c r="A140" s="42" t="s">
        <v>1413</v>
      </c>
      <c r="B140" s="43"/>
      <c r="C140" s="50"/>
      <c r="D140" s="73">
        <v>4</v>
      </c>
      <c r="E140" s="45"/>
      <c r="F140" s="95">
        <f t="shared" si="81"/>
        <v>4829076</v>
      </c>
      <c r="G140" s="46">
        <f t="shared" ref="G140:G150" si="83">H140/F140</f>
        <v>0.61008089332203508</v>
      </c>
      <c r="H140" s="95">
        <f>'rev send dist only'!O11</f>
        <v>2946127</v>
      </c>
      <c r="I140" s="46">
        <f t="shared" ref="I140:I148" si="84">J140/F140</f>
        <v>0.38991910667796492</v>
      </c>
      <c r="J140" s="95">
        <f>'rev send dist only'!J11</f>
        <v>1882949</v>
      </c>
      <c r="K140" s="48">
        <f t="shared" ref="K140:K148" si="85">SUM(H140+J140)</f>
        <v>4829076</v>
      </c>
      <c r="L140" s="49">
        <f t="shared" ref="L140:L148" si="86">H140/K140</f>
        <v>0.61008089332203508</v>
      </c>
      <c r="M140" s="48">
        <f t="shared" ref="M140:M148" si="87">J140/K140</f>
        <v>0.38991910667796492</v>
      </c>
      <c r="N140" s="46">
        <f t="shared" si="82"/>
        <v>1.3908205841446452E-2</v>
      </c>
      <c r="O140" s="95">
        <v>2109285</v>
      </c>
      <c r="P140" s="95">
        <f t="shared" ref="P140:P148" si="88">O140*N140*M140</f>
        <v>11438.811167305023</v>
      </c>
      <c r="Q140" s="95">
        <f t="shared" ref="Q140:Q148" si="89">O140*N140*L140</f>
        <v>17897.558790970357</v>
      </c>
      <c r="R140" s="29"/>
    </row>
    <row r="141" spans="1:18">
      <c r="A141" s="42" t="s">
        <v>1499</v>
      </c>
      <c r="B141" s="43"/>
      <c r="C141" s="50"/>
      <c r="D141" s="73">
        <v>25.6</v>
      </c>
      <c r="E141" s="45"/>
      <c r="F141" s="95">
        <f t="shared" si="81"/>
        <v>72401641</v>
      </c>
      <c r="G141" s="46">
        <f t="shared" si="83"/>
        <v>0.28095243034615747</v>
      </c>
      <c r="H141" s="95">
        <f>$H$16</f>
        <v>20341417</v>
      </c>
      <c r="I141" s="46">
        <f t="shared" si="84"/>
        <v>0.71904756965384253</v>
      </c>
      <c r="J141" s="95">
        <f>$J$16</f>
        <v>52060224</v>
      </c>
      <c r="K141" s="48">
        <f t="shared" si="85"/>
        <v>72401641</v>
      </c>
      <c r="L141" s="49">
        <f t="shared" si="86"/>
        <v>0.28095243034615747</v>
      </c>
      <c r="M141" s="48">
        <f t="shared" si="87"/>
        <v>0.71904756965384253</v>
      </c>
      <c r="N141" s="46">
        <f t="shared" si="82"/>
        <v>8.9012517385257298E-2</v>
      </c>
      <c r="O141" s="95">
        <v>2109285</v>
      </c>
      <c r="P141" s="95">
        <f t="shared" si="88"/>
        <v>135003.17133416902</v>
      </c>
      <c r="Q141" s="95">
        <f t="shared" si="89"/>
        <v>52749.596398793408</v>
      </c>
      <c r="R141" s="29"/>
    </row>
    <row r="142" spans="1:18">
      <c r="A142" s="42" t="s">
        <v>1414</v>
      </c>
      <c r="B142" s="43"/>
      <c r="C142" s="50"/>
      <c r="D142" s="73">
        <v>130.1</v>
      </c>
      <c r="E142" s="45"/>
      <c r="F142" s="95">
        <f t="shared" si="81"/>
        <v>40547279</v>
      </c>
      <c r="G142" s="46">
        <f t="shared" si="83"/>
        <v>0.34175612622489415</v>
      </c>
      <c r="H142" s="95">
        <f>'rev send dist only'!O15</f>
        <v>13857281</v>
      </c>
      <c r="I142" s="46">
        <f t="shared" si="84"/>
        <v>0.65824387377510585</v>
      </c>
      <c r="J142" s="95">
        <f>'rev send dist only'!J15</f>
        <v>26689998</v>
      </c>
      <c r="K142" s="48">
        <f t="shared" si="85"/>
        <v>40547279</v>
      </c>
      <c r="L142" s="49">
        <f t="shared" si="86"/>
        <v>0.34175612622489415</v>
      </c>
      <c r="M142" s="48">
        <f t="shared" si="87"/>
        <v>0.65824387377510585</v>
      </c>
      <c r="N142" s="46">
        <f t="shared" si="82"/>
        <v>0.45236439499304582</v>
      </c>
      <c r="O142" s="95">
        <v>2109285</v>
      </c>
      <c r="P142" s="95">
        <f t="shared" si="88"/>
        <v>628073.55076972768</v>
      </c>
      <c r="Q142" s="95">
        <f t="shared" si="89"/>
        <v>326091.88212317898</v>
      </c>
      <c r="R142" s="29"/>
    </row>
    <row r="143" spans="1:18">
      <c r="A143" s="42" t="s">
        <v>1509</v>
      </c>
      <c r="B143" s="43"/>
      <c r="C143" s="50"/>
      <c r="D143" s="73">
        <v>4</v>
      </c>
      <c r="E143" s="45"/>
      <c r="F143" s="95">
        <f t="shared" si="81"/>
        <v>125290913</v>
      </c>
      <c r="G143" s="46">
        <f t="shared" si="83"/>
        <v>0.25425071329793886</v>
      </c>
      <c r="H143" s="95">
        <f>$H$27</f>
        <v>31855304</v>
      </c>
      <c r="I143" s="46">
        <f t="shared" si="84"/>
        <v>0.7457492867020612</v>
      </c>
      <c r="J143" s="95">
        <f>$J$27</f>
        <v>93435609</v>
      </c>
      <c r="K143" s="48">
        <f t="shared" si="85"/>
        <v>125290913</v>
      </c>
      <c r="L143" s="49">
        <f t="shared" si="86"/>
        <v>0.25425071329793886</v>
      </c>
      <c r="M143" s="48">
        <f t="shared" si="87"/>
        <v>0.7457492867020612</v>
      </c>
      <c r="N143" s="46">
        <f t="shared" si="82"/>
        <v>1.3908205841446452E-2</v>
      </c>
      <c r="O143" s="95">
        <v>2109285</v>
      </c>
      <c r="P143" s="95">
        <f t="shared" si="88"/>
        <v>21877.576970811642</v>
      </c>
      <c r="Q143" s="95">
        <f t="shared" si="89"/>
        <v>7458.7929874637402</v>
      </c>
      <c r="R143" s="29"/>
    </row>
    <row r="144" spans="1:18">
      <c r="A144" s="42" t="s">
        <v>1415</v>
      </c>
      <c r="B144" s="43"/>
      <c r="C144" s="50"/>
      <c r="D144" s="73">
        <v>1</v>
      </c>
      <c r="E144" s="45"/>
      <c r="F144" s="95">
        <f t="shared" si="81"/>
        <v>18859021</v>
      </c>
      <c r="G144" s="46">
        <f t="shared" si="83"/>
        <v>0.22998304100727179</v>
      </c>
      <c r="H144" s="95">
        <f>'rev send dist only'!O18</f>
        <v>4337255</v>
      </c>
      <c r="I144" s="46">
        <f t="shared" si="84"/>
        <v>0.77001695899272815</v>
      </c>
      <c r="J144" s="95">
        <f>'rev send dist only'!J18</f>
        <v>14521766</v>
      </c>
      <c r="K144" s="48">
        <f t="shared" si="85"/>
        <v>18859021</v>
      </c>
      <c r="L144" s="49">
        <f t="shared" si="86"/>
        <v>0.22998304100727179</v>
      </c>
      <c r="M144" s="48">
        <f t="shared" si="87"/>
        <v>0.77001695899272815</v>
      </c>
      <c r="N144" s="46">
        <f t="shared" si="82"/>
        <v>3.4770514603616131E-3</v>
      </c>
      <c r="O144" s="95">
        <v>2109285</v>
      </c>
      <c r="P144" s="95">
        <f t="shared" si="88"/>
        <v>5647.375595789209</v>
      </c>
      <c r="Q144" s="95">
        <f t="shared" si="89"/>
        <v>1686.7168937796357</v>
      </c>
      <c r="R144" s="29"/>
    </row>
    <row r="145" spans="1:18">
      <c r="A145" s="42" t="s">
        <v>1416</v>
      </c>
      <c r="B145" s="43"/>
      <c r="C145" s="50"/>
      <c r="D145" s="73">
        <v>2</v>
      </c>
      <c r="E145" s="45"/>
      <c r="F145" s="95">
        <f t="shared" si="81"/>
        <v>10270824</v>
      </c>
      <c r="G145" s="46">
        <f t="shared" si="83"/>
        <v>9.4364385953843624E-2</v>
      </c>
      <c r="H145" s="95">
        <f>'rev send dist only'!O19</f>
        <v>969200</v>
      </c>
      <c r="I145" s="46">
        <f t="shared" si="84"/>
        <v>0.90563561404615633</v>
      </c>
      <c r="J145" s="95">
        <f>'rev send dist only'!J19</f>
        <v>9301624</v>
      </c>
      <c r="K145" s="48">
        <f t="shared" si="85"/>
        <v>10270824</v>
      </c>
      <c r="L145" s="49">
        <f t="shared" si="86"/>
        <v>9.4364385953843624E-2</v>
      </c>
      <c r="M145" s="48">
        <f t="shared" si="87"/>
        <v>0.90563561404615633</v>
      </c>
      <c r="N145" s="46">
        <f t="shared" si="82"/>
        <v>6.9541029207232262E-3</v>
      </c>
      <c r="O145" s="95">
        <v>2109285</v>
      </c>
      <c r="P145" s="95">
        <f t="shared" si="88"/>
        <v>13284.030710523968</v>
      </c>
      <c r="Q145" s="95">
        <f t="shared" si="89"/>
        <v>1384.1542686137207</v>
      </c>
      <c r="R145" s="29"/>
    </row>
    <row r="146" spans="1:18">
      <c r="A146" s="42" t="s">
        <v>1501</v>
      </c>
      <c r="B146" s="43"/>
      <c r="C146" s="50"/>
      <c r="D146" s="73">
        <v>78.400000000000006</v>
      </c>
      <c r="E146" s="45"/>
      <c r="F146" s="95">
        <f t="shared" si="81"/>
        <v>34151238</v>
      </c>
      <c r="G146" s="46">
        <f t="shared" si="83"/>
        <v>0.80709888174478472</v>
      </c>
      <c r="H146" s="95">
        <f>$H$19</f>
        <v>27563426</v>
      </c>
      <c r="I146" s="46">
        <f t="shared" si="84"/>
        <v>0.19290111825521522</v>
      </c>
      <c r="J146" s="95">
        <f>$J$19</f>
        <v>6587812</v>
      </c>
      <c r="K146" s="48">
        <f t="shared" si="85"/>
        <v>34151238</v>
      </c>
      <c r="L146" s="49">
        <f t="shared" si="86"/>
        <v>0.80709888174478472</v>
      </c>
      <c r="M146" s="48">
        <f t="shared" si="87"/>
        <v>0.19290111825521522</v>
      </c>
      <c r="N146" s="46">
        <f t="shared" si="82"/>
        <v>0.27260083449235051</v>
      </c>
      <c r="O146" s="95">
        <v>2109285</v>
      </c>
      <c r="P146" s="95">
        <f t="shared" si="88"/>
        <v>110916.76398180045</v>
      </c>
      <c r="Q146" s="95">
        <f t="shared" si="89"/>
        <v>464076.0872003971</v>
      </c>
      <c r="R146" s="29"/>
    </row>
    <row r="147" spans="1:18">
      <c r="A147" s="42" t="s">
        <v>1417</v>
      </c>
      <c r="B147" s="43"/>
      <c r="C147" s="50"/>
      <c r="D147" s="73">
        <v>0.7</v>
      </c>
      <c r="E147" s="45"/>
      <c r="F147" s="95">
        <f t="shared" si="81"/>
        <v>2001130</v>
      </c>
      <c r="G147" s="46">
        <f t="shared" si="83"/>
        <v>0.38562462208852</v>
      </c>
      <c r="H147" s="95">
        <f>'rev send dist only'!O26</f>
        <v>771685</v>
      </c>
      <c r="I147" s="46">
        <f t="shared" si="84"/>
        <v>0.61437537791148</v>
      </c>
      <c r="J147" s="95">
        <f>'rev send dist only'!J26</f>
        <v>1229445</v>
      </c>
      <c r="K147" s="48">
        <f t="shared" si="85"/>
        <v>2001130</v>
      </c>
      <c r="L147" s="49">
        <f t="shared" si="86"/>
        <v>0.38562462208852</v>
      </c>
      <c r="M147" s="48">
        <f t="shared" si="87"/>
        <v>0.61437537791148</v>
      </c>
      <c r="N147" s="46">
        <f t="shared" si="82"/>
        <v>2.4339360222531289E-3</v>
      </c>
      <c r="O147" s="95">
        <v>2109285</v>
      </c>
      <c r="P147" s="95">
        <f t="shared" si="88"/>
        <v>3154.120091441624</v>
      </c>
      <c r="Q147" s="95">
        <f t="shared" si="89"/>
        <v>1979.7446512565666</v>
      </c>
      <c r="R147" s="29"/>
    </row>
    <row r="148" spans="1:18">
      <c r="A148" s="42" t="s">
        <v>1418</v>
      </c>
      <c r="B148" s="43"/>
      <c r="C148" s="50"/>
      <c r="D148" s="73">
        <v>0.1</v>
      </c>
      <c r="E148" s="45"/>
      <c r="F148" s="95">
        <f t="shared" si="81"/>
        <v>10349082</v>
      </c>
      <c r="G148" s="46">
        <f t="shared" si="83"/>
        <v>0.228178982445013</v>
      </c>
      <c r="H148" s="95">
        <f>'rev send dist only'!O27</f>
        <v>2361443</v>
      </c>
      <c r="I148" s="46">
        <f t="shared" si="84"/>
        <v>0.771821017554987</v>
      </c>
      <c r="J148" s="95">
        <f>'rev send dist only'!J27</f>
        <v>7987639</v>
      </c>
      <c r="K148" s="48">
        <f t="shared" si="85"/>
        <v>10349082</v>
      </c>
      <c r="L148" s="49">
        <f t="shared" si="86"/>
        <v>0.228178982445013</v>
      </c>
      <c r="M148" s="48">
        <f t="shared" si="87"/>
        <v>0.771821017554987</v>
      </c>
      <c r="N148" s="46">
        <f t="shared" si="82"/>
        <v>3.4770514603616132E-4</v>
      </c>
      <c r="O148" s="95">
        <v>2109285</v>
      </c>
      <c r="P148" s="95">
        <f t="shared" si="88"/>
        <v>566.06067281414141</v>
      </c>
      <c r="Q148" s="95">
        <f t="shared" si="89"/>
        <v>167.34857614274313</v>
      </c>
      <c r="R148" s="29"/>
    </row>
    <row r="149" spans="1:18">
      <c r="A149" s="42" t="s">
        <v>1419</v>
      </c>
      <c r="B149" s="43"/>
      <c r="C149" s="50"/>
      <c r="D149" s="73">
        <v>4</v>
      </c>
      <c r="E149" s="45"/>
      <c r="F149" s="95">
        <f t="shared" si="81"/>
        <v>1755142</v>
      </c>
      <c r="G149" s="46">
        <f t="shared" si="83"/>
        <v>0.42082293056630177</v>
      </c>
      <c r="H149" s="95">
        <f>'rev send dist only'!O108</f>
        <v>738604</v>
      </c>
      <c r="I149" s="46">
        <f>J149/F149</f>
        <v>0.57917706943369829</v>
      </c>
      <c r="J149" s="95">
        <f>'rev send dist only'!J108</f>
        <v>1016538</v>
      </c>
      <c r="K149" s="48">
        <f>SUM(H149+J149)</f>
        <v>1755142</v>
      </c>
      <c r="L149" s="49">
        <f>H149/K149</f>
        <v>0.42082293056630177</v>
      </c>
      <c r="M149" s="48">
        <f>J149/K149</f>
        <v>0.57917706943369829</v>
      </c>
      <c r="N149" s="46">
        <f t="shared" si="82"/>
        <v>1.3908205841446452E-2</v>
      </c>
      <c r="O149" s="95">
        <v>2109285</v>
      </c>
      <c r="P149" s="95">
        <f>O149*N149*M149</f>
        <v>16990.952780256721</v>
      </c>
      <c r="Q149" s="95">
        <f>O149*N149*L149</f>
        <v>12345.417178018661</v>
      </c>
      <c r="R149" s="29"/>
    </row>
    <row r="150" spans="1:18">
      <c r="A150" s="42" t="s">
        <v>1504</v>
      </c>
      <c r="B150" s="43"/>
      <c r="C150" s="50"/>
      <c r="D150" s="73">
        <v>1</v>
      </c>
      <c r="E150" s="45"/>
      <c r="F150" s="95">
        <f t="shared" si="81"/>
        <v>26859440</v>
      </c>
      <c r="G150" s="46">
        <f t="shared" si="83"/>
        <v>0.25367204230616869</v>
      </c>
      <c r="H150" s="95">
        <f>$H$23</f>
        <v>6813489</v>
      </c>
      <c r="I150" s="46">
        <f>J150/F150</f>
        <v>0.74632795769383131</v>
      </c>
      <c r="J150" s="95">
        <f>$J$23</f>
        <v>20045951</v>
      </c>
      <c r="K150" s="48">
        <f>SUM(H150+J150)</f>
        <v>26859440</v>
      </c>
      <c r="L150" s="49">
        <f>H150/K150</f>
        <v>0.25367204230616869</v>
      </c>
      <c r="M150" s="48">
        <f>J150/K150</f>
        <v>0.74632795769383131</v>
      </c>
      <c r="N150" s="46">
        <f t="shared" si="82"/>
        <v>3.4770514603616131E-3</v>
      </c>
      <c r="O150" s="95">
        <v>2109285</v>
      </c>
      <c r="P150" s="95">
        <f>O150*N150*M150</f>
        <v>5473.6382692775833</v>
      </c>
      <c r="Q150" s="95">
        <f>O150*N150*L150</f>
        <v>1860.4542202912621</v>
      </c>
      <c r="R150" s="29"/>
    </row>
    <row r="151" spans="1:18">
      <c r="A151" s="38" t="s">
        <v>1420</v>
      </c>
      <c r="B151" s="39"/>
      <c r="C151" s="40"/>
      <c r="D151" s="74">
        <f>SUM(D138:D150)</f>
        <v>287.60000000000002</v>
      </c>
      <c r="E151" s="41"/>
      <c r="F151" s="91"/>
      <c r="G151" s="40"/>
      <c r="H151" s="91"/>
      <c r="I151" s="40"/>
      <c r="J151" s="91"/>
      <c r="K151" s="40"/>
      <c r="L151" s="40"/>
      <c r="M151" s="40"/>
      <c r="N151" s="40"/>
      <c r="O151" s="91"/>
      <c r="P151" s="91">
        <f>SUM(P138:P150)</f>
        <v>1220410.8530892057</v>
      </c>
      <c r="Q151" s="91">
        <f>SUM(Q138:Q150)</f>
        <v>888874.14691079408</v>
      </c>
      <c r="R151" s="37"/>
    </row>
    <row r="152" spans="1:18">
      <c r="A152" s="42" t="s">
        <v>1421</v>
      </c>
      <c r="B152" s="43" t="s">
        <v>1485</v>
      </c>
      <c r="C152" s="50" t="s">
        <v>1486</v>
      </c>
      <c r="D152" s="73">
        <v>3</v>
      </c>
      <c r="E152" s="45"/>
      <c r="F152" s="95">
        <f t="shared" ref="F152:F166" si="90">H152+J152</f>
        <v>108676615</v>
      </c>
      <c r="G152" s="46">
        <f>H152/F152</f>
        <v>7.9590977322950299E-2</v>
      </c>
      <c r="H152" s="95">
        <f>'rev send dist only'!O335</f>
        <v>8649678</v>
      </c>
      <c r="I152" s="46">
        <f>J152/F152</f>
        <v>0.92040902267704972</v>
      </c>
      <c r="J152" s="95">
        <f>'rev send dist only'!J335</f>
        <v>100026937</v>
      </c>
      <c r="K152" s="48">
        <f>SUM(H152+J152)</f>
        <v>108676615</v>
      </c>
      <c r="L152" s="49">
        <f>H152/K152</f>
        <v>7.9590977322950299E-2</v>
      </c>
      <c r="M152" s="48">
        <f>J152/K152</f>
        <v>0.92040902267704972</v>
      </c>
      <c r="N152" s="46">
        <f>D152/$D$167</f>
        <v>1.4727540500736375E-2</v>
      </c>
      <c r="O152" s="95">
        <v>955441</v>
      </c>
      <c r="P152" s="95">
        <f>O152*N152*M152</f>
        <v>12951.347820848054</v>
      </c>
      <c r="Q152" s="95">
        <f>O152*N152*L152</f>
        <v>1119.9482027160079</v>
      </c>
      <c r="R152" s="29"/>
    </row>
    <row r="153" spans="1:18">
      <c r="A153" s="42" t="s">
        <v>1527</v>
      </c>
      <c r="B153" s="43"/>
      <c r="C153" s="50"/>
      <c r="D153" s="73">
        <v>7</v>
      </c>
      <c r="E153" s="45"/>
      <c r="F153" s="95">
        <f t="shared" si="90"/>
        <v>159130899</v>
      </c>
      <c r="G153" s="46">
        <f>H153/F153</f>
        <v>1.160780220314095E-3</v>
      </c>
      <c r="H153" s="95">
        <f>H47</f>
        <v>184716</v>
      </c>
      <c r="I153" s="46">
        <f>J153/F153</f>
        <v>0.99883921977968593</v>
      </c>
      <c r="J153" s="95">
        <f>J47</f>
        <v>158946183</v>
      </c>
      <c r="K153" s="48">
        <f>SUM(H153+J153)</f>
        <v>159130899</v>
      </c>
      <c r="L153" s="49">
        <f>H153/K153</f>
        <v>1.160780220314095E-3</v>
      </c>
      <c r="M153" s="48">
        <f>J153/K153</f>
        <v>0.99883921977968593</v>
      </c>
      <c r="N153" s="46">
        <f t="shared" ref="N153:N166" si="91">D153/$D$167</f>
        <v>3.4364261168384876E-2</v>
      </c>
      <c r="O153" s="95">
        <v>955441</v>
      </c>
      <c r="P153" s="95">
        <f>O153*N153*M153</f>
        <v>32794.912130086697</v>
      </c>
      <c r="Q153" s="95">
        <f>O153*N153*L153</f>
        <v>38.111924896120932</v>
      </c>
      <c r="R153" s="29"/>
    </row>
    <row r="154" spans="1:18">
      <c r="A154" s="42" t="s">
        <v>1510</v>
      </c>
      <c r="B154" s="43"/>
      <c r="C154" s="50"/>
      <c r="D154" s="73">
        <v>5.9</v>
      </c>
      <c r="E154" s="45"/>
      <c r="F154" s="95">
        <f t="shared" si="90"/>
        <v>18671955</v>
      </c>
      <c r="G154" s="46">
        <f t="shared" ref="G154:G166" si="92">H154/F154</f>
        <v>4.7495401525978399E-2</v>
      </c>
      <c r="H154" s="95">
        <f>H28</f>
        <v>886832</v>
      </c>
      <c r="I154" s="46">
        <f t="shared" ref="I154:I166" si="93">J154/F154</f>
        <v>0.95250459847402158</v>
      </c>
      <c r="J154" s="95">
        <f>J28</f>
        <v>17785123</v>
      </c>
      <c r="K154" s="48">
        <f t="shared" ref="K154:K166" si="94">SUM(H154+J154)</f>
        <v>18671955</v>
      </c>
      <c r="L154" s="49">
        <f t="shared" ref="L154:L166" si="95">H154/K154</f>
        <v>4.7495401525978399E-2</v>
      </c>
      <c r="M154" s="48">
        <f t="shared" ref="M154:M166" si="96">J154/K154</f>
        <v>0.95250459847402158</v>
      </c>
      <c r="N154" s="46">
        <f t="shared" si="91"/>
        <v>2.8964162984781539E-2</v>
      </c>
      <c r="O154" s="95">
        <v>955441</v>
      </c>
      <c r="P154" s="95">
        <f t="shared" ref="P154:P166" si="97">O154*N154*M154</f>
        <v>26359.182532236839</v>
      </c>
      <c r="Q154" s="95">
        <f t="shared" ref="Q154:Q166" si="98">O154*N154*L154</f>
        <v>1314.3663141058209</v>
      </c>
      <c r="R154" s="29"/>
    </row>
    <row r="155" spans="1:18">
      <c r="A155" s="42" t="s">
        <v>1422</v>
      </c>
      <c r="B155" s="43"/>
      <c r="C155" s="50"/>
      <c r="D155" s="73">
        <v>3</v>
      </c>
      <c r="E155" s="45"/>
      <c r="F155" s="95">
        <f t="shared" si="90"/>
        <v>11373826</v>
      </c>
      <c r="G155" s="46">
        <f t="shared" si="92"/>
        <v>4.7333852302646445E-2</v>
      </c>
      <c r="H155" s="95">
        <f>'rev send dist only'!O344</f>
        <v>538367</v>
      </c>
      <c r="I155" s="46">
        <f t="shared" si="93"/>
        <v>0.95266614769735358</v>
      </c>
      <c r="J155" s="95">
        <f>'rev send dist only'!J344</f>
        <v>10835459</v>
      </c>
      <c r="K155" s="48">
        <f t="shared" si="94"/>
        <v>11373826</v>
      </c>
      <c r="L155" s="49">
        <f t="shared" si="95"/>
        <v>4.7333852302646445E-2</v>
      </c>
      <c r="M155" s="48">
        <f t="shared" si="96"/>
        <v>0.95266614769735358</v>
      </c>
      <c r="N155" s="46">
        <f t="shared" si="91"/>
        <v>1.4727540500736375E-2</v>
      </c>
      <c r="O155" s="95">
        <v>955441</v>
      </c>
      <c r="P155" s="95">
        <f t="shared" si="97"/>
        <v>13405.247375877865</v>
      </c>
      <c r="Q155" s="95">
        <f t="shared" si="98"/>
        <v>666.04864768619757</v>
      </c>
      <c r="R155" s="29"/>
    </row>
    <row r="156" spans="1:18">
      <c r="A156" s="42" t="s">
        <v>1511</v>
      </c>
      <c r="B156" s="43"/>
      <c r="C156" s="50"/>
      <c r="D156" s="73">
        <v>154.1</v>
      </c>
      <c r="E156" s="45"/>
      <c r="F156" s="95">
        <f t="shared" si="90"/>
        <v>57383607</v>
      </c>
      <c r="G156" s="46">
        <f t="shared" si="92"/>
        <v>0.52198011881686002</v>
      </c>
      <c r="H156" s="95">
        <f>H29</f>
        <v>29953102</v>
      </c>
      <c r="I156" s="46">
        <f t="shared" si="93"/>
        <v>0.47801988118313998</v>
      </c>
      <c r="J156" s="95">
        <f>J29</f>
        <v>27430505</v>
      </c>
      <c r="K156" s="48">
        <f t="shared" si="94"/>
        <v>57383607</v>
      </c>
      <c r="L156" s="49">
        <f t="shared" si="95"/>
        <v>0.52198011881686002</v>
      </c>
      <c r="M156" s="48">
        <f t="shared" si="96"/>
        <v>0.47801988118313998</v>
      </c>
      <c r="N156" s="46">
        <f t="shared" si="91"/>
        <v>0.75650466372115843</v>
      </c>
      <c r="O156" s="95">
        <v>955441</v>
      </c>
      <c r="P156" s="95">
        <f t="shared" si="97"/>
        <v>345510.65364332258</v>
      </c>
      <c r="Q156" s="95">
        <f t="shared" si="98"/>
        <v>377284.91876708478</v>
      </c>
      <c r="R156" s="29"/>
    </row>
    <row r="157" spans="1:18">
      <c r="A157" s="42" t="s">
        <v>1512</v>
      </c>
      <c r="B157" s="43"/>
      <c r="C157" s="50"/>
      <c r="D157" s="73">
        <v>13</v>
      </c>
      <c r="E157" s="45"/>
      <c r="F157" s="95">
        <f t="shared" si="90"/>
        <v>63170430</v>
      </c>
      <c r="G157" s="46">
        <f t="shared" si="92"/>
        <v>3.3034063564234085E-2</v>
      </c>
      <c r="H157" s="95">
        <f>H30</f>
        <v>2086776</v>
      </c>
      <c r="I157" s="46">
        <f t="shared" si="93"/>
        <v>0.96696593643576589</v>
      </c>
      <c r="J157" s="95">
        <f>J30</f>
        <v>61083654</v>
      </c>
      <c r="K157" s="48">
        <f t="shared" si="94"/>
        <v>63170430</v>
      </c>
      <c r="L157" s="49">
        <f t="shared" si="95"/>
        <v>3.3034063564234085E-2</v>
      </c>
      <c r="M157" s="48">
        <f t="shared" si="96"/>
        <v>0.96696593643576589</v>
      </c>
      <c r="N157" s="46">
        <f t="shared" si="91"/>
        <v>6.3819342169857629E-2</v>
      </c>
      <c r="O157" s="95">
        <v>955441</v>
      </c>
      <c r="P157" s="95">
        <f t="shared" si="97"/>
        <v>58961.343723925471</v>
      </c>
      <c r="Q157" s="95">
        <f t="shared" si="98"/>
        <v>2014.2723781854684</v>
      </c>
      <c r="R157" s="29"/>
    </row>
    <row r="158" spans="1:18">
      <c r="A158" s="42" t="s">
        <v>1423</v>
      </c>
      <c r="B158" s="43"/>
      <c r="C158" s="50"/>
      <c r="D158" s="73">
        <v>2</v>
      </c>
      <c r="E158" s="45"/>
      <c r="F158" s="95">
        <f t="shared" si="90"/>
        <v>108377608</v>
      </c>
      <c r="G158" s="46">
        <f t="shared" si="92"/>
        <v>0.24537217134373365</v>
      </c>
      <c r="H158" s="95">
        <f>'rev send dist only'!O348</f>
        <v>26592849</v>
      </c>
      <c r="I158" s="46">
        <f t="shared" si="93"/>
        <v>0.75462782865626632</v>
      </c>
      <c r="J158" s="95">
        <f>'rev send dist only'!J348</f>
        <v>81784759</v>
      </c>
      <c r="K158" s="48">
        <f t="shared" si="94"/>
        <v>108377608</v>
      </c>
      <c r="L158" s="49">
        <f t="shared" si="95"/>
        <v>0.24537217134373365</v>
      </c>
      <c r="M158" s="48">
        <f t="shared" si="96"/>
        <v>0.75462782865626632</v>
      </c>
      <c r="N158" s="46">
        <f t="shared" si="91"/>
        <v>9.8183603338242512E-3</v>
      </c>
      <c r="O158" s="95">
        <v>955441</v>
      </c>
      <c r="P158" s="95">
        <f t="shared" si="97"/>
        <v>7079.0610430944689</v>
      </c>
      <c r="Q158" s="95">
        <f t="shared" si="98"/>
        <v>2301.8029726149061</v>
      </c>
      <c r="R158" s="29"/>
    </row>
    <row r="159" spans="1:18">
      <c r="A159" s="42" t="s">
        <v>1387</v>
      </c>
      <c r="B159" s="43"/>
      <c r="C159" s="50"/>
      <c r="D159" s="73">
        <v>2</v>
      </c>
      <c r="E159" s="45"/>
      <c r="F159" s="95">
        <f t="shared" si="90"/>
        <v>73322922</v>
      </c>
      <c r="G159" s="46">
        <f t="shared" si="92"/>
        <v>0.75020372210480102</v>
      </c>
      <c r="H159" s="95">
        <f>H99</f>
        <v>55007129</v>
      </c>
      <c r="I159" s="46">
        <f t="shared" si="93"/>
        <v>0.24979627789519898</v>
      </c>
      <c r="J159" s="95">
        <f>J99</f>
        <v>18315793</v>
      </c>
      <c r="K159" s="48">
        <f t="shared" si="94"/>
        <v>73322922</v>
      </c>
      <c r="L159" s="49">
        <f t="shared" si="95"/>
        <v>0.75020372210480102</v>
      </c>
      <c r="M159" s="48">
        <f t="shared" si="96"/>
        <v>0.24979627789519898</v>
      </c>
      <c r="N159" s="46">
        <f t="shared" si="91"/>
        <v>9.8183603338242512E-3</v>
      </c>
      <c r="O159" s="95">
        <v>955441</v>
      </c>
      <c r="P159" s="95">
        <f t="shared" si="97"/>
        <v>2343.3049145652117</v>
      </c>
      <c r="Q159" s="95">
        <f t="shared" si="98"/>
        <v>7037.5591011441647</v>
      </c>
      <c r="R159" s="29"/>
    </row>
    <row r="160" spans="1:18">
      <c r="A160" s="42" t="s">
        <v>1513</v>
      </c>
      <c r="B160" s="43"/>
      <c r="C160" s="50"/>
      <c r="D160" s="73">
        <v>1.8</v>
      </c>
      <c r="E160" s="45"/>
      <c r="F160" s="95">
        <f t="shared" si="90"/>
        <v>74430231</v>
      </c>
      <c r="G160" s="46">
        <f t="shared" si="92"/>
        <v>5.06489762204285E-2</v>
      </c>
      <c r="H160" s="95">
        <f>$H$31</f>
        <v>3769815</v>
      </c>
      <c r="I160" s="46">
        <f t="shared" si="93"/>
        <v>0.94935102377957148</v>
      </c>
      <c r="J160" s="95">
        <f>$J$31</f>
        <v>70660416</v>
      </c>
      <c r="K160" s="48">
        <f t="shared" si="94"/>
        <v>74430231</v>
      </c>
      <c r="L160" s="49">
        <f t="shared" si="95"/>
        <v>5.06489762204285E-2</v>
      </c>
      <c r="M160" s="48">
        <f t="shared" si="96"/>
        <v>0.94935102377957148</v>
      </c>
      <c r="N160" s="46">
        <f t="shared" si="91"/>
        <v>8.836524300441826E-3</v>
      </c>
      <c r="O160" s="95">
        <v>955441</v>
      </c>
      <c r="P160" s="95">
        <f t="shared" si="97"/>
        <v>8015.1595715255744</v>
      </c>
      <c r="Q160" s="95">
        <f t="shared" si="98"/>
        <v>427.61804261286386</v>
      </c>
      <c r="R160" s="29"/>
    </row>
    <row r="161" spans="1:18">
      <c r="A161" s="42" t="s">
        <v>1424</v>
      </c>
      <c r="B161" s="43"/>
      <c r="C161" s="50"/>
      <c r="D161" s="73">
        <v>1</v>
      </c>
      <c r="E161" s="45"/>
      <c r="F161" s="95">
        <f t="shared" si="90"/>
        <v>55538063</v>
      </c>
      <c r="G161" s="46">
        <f t="shared" si="92"/>
        <v>0.14088977139876124</v>
      </c>
      <c r="H161" s="95">
        <f>'rev send dist only'!O351</f>
        <v>7824745</v>
      </c>
      <c r="I161" s="46">
        <f t="shared" si="93"/>
        <v>0.85911022860123876</v>
      </c>
      <c r="J161" s="95">
        <f>'rev send dist only'!J351</f>
        <v>47713318</v>
      </c>
      <c r="K161" s="48">
        <f>SUM(H161+J161)</f>
        <v>55538063</v>
      </c>
      <c r="L161" s="49">
        <f>H161/K161</f>
        <v>0.14088977139876124</v>
      </c>
      <c r="M161" s="48">
        <f>J161/K161</f>
        <v>0.85911022860123876</v>
      </c>
      <c r="N161" s="46">
        <f t="shared" si="91"/>
        <v>4.9091801669121256E-3</v>
      </c>
      <c r="O161" s="95">
        <v>955441</v>
      </c>
      <c r="P161" s="95">
        <f>O161*N161*M161</f>
        <v>4029.5981145066085</v>
      </c>
      <c r="Q161" s="95">
        <f>O161*N161*L161</f>
        <v>660.83389334807964</v>
      </c>
      <c r="R161" s="29"/>
    </row>
    <row r="162" spans="1:18">
      <c r="A162" s="42" t="s">
        <v>1515</v>
      </c>
      <c r="B162" s="43"/>
      <c r="C162" s="50"/>
      <c r="D162" s="73">
        <v>1</v>
      </c>
      <c r="E162" s="45"/>
      <c r="F162" s="95">
        <f t="shared" si="90"/>
        <v>17187343</v>
      </c>
      <c r="G162" s="46">
        <f t="shared" si="92"/>
        <v>0.31843106872307136</v>
      </c>
      <c r="H162" s="95">
        <f>H33</f>
        <v>5472984</v>
      </c>
      <c r="I162" s="46">
        <f t="shared" si="93"/>
        <v>0.68156893127692864</v>
      </c>
      <c r="J162" s="95">
        <f>J33</f>
        <v>11714359</v>
      </c>
      <c r="K162" s="48">
        <f>SUM(H162+J162)</f>
        <v>17187343</v>
      </c>
      <c r="L162" s="49">
        <f>H162/K162</f>
        <v>0.31843106872307136</v>
      </c>
      <c r="M162" s="48">
        <f>J162/K162</f>
        <v>0.68156893127692864</v>
      </c>
      <c r="N162" s="46">
        <f t="shared" si="91"/>
        <v>4.9091801669121256E-3</v>
      </c>
      <c r="O162" s="95">
        <v>955441</v>
      </c>
      <c r="P162" s="95">
        <f>O162*N162*M162</f>
        <v>3196.852730820618</v>
      </c>
      <c r="Q162" s="95">
        <f>O162*N162*L162</f>
        <v>1493.5792770340697</v>
      </c>
      <c r="R162" s="29"/>
    </row>
    <row r="163" spans="1:18">
      <c r="A163" s="42" t="s">
        <v>1425</v>
      </c>
      <c r="B163" s="43"/>
      <c r="C163" s="50"/>
      <c r="D163" s="73">
        <v>2</v>
      </c>
      <c r="E163" s="45"/>
      <c r="F163" s="95">
        <f t="shared" si="90"/>
        <v>138815528</v>
      </c>
      <c r="G163" s="46">
        <f t="shared" si="92"/>
        <v>6.4665100002357081E-3</v>
      </c>
      <c r="H163" s="95">
        <f>'rev send dist only'!O357</f>
        <v>897652</v>
      </c>
      <c r="I163" s="46">
        <f t="shared" si="93"/>
        <v>0.99353348999976432</v>
      </c>
      <c r="J163" s="95">
        <f>'rev send dist only'!J357</f>
        <v>137917876</v>
      </c>
      <c r="K163" s="48">
        <f>SUM(H163+J163)</f>
        <v>138815528</v>
      </c>
      <c r="L163" s="49">
        <f>H163/K163</f>
        <v>6.4665100002357081E-3</v>
      </c>
      <c r="M163" s="48">
        <f>J163/K163</f>
        <v>0.99353348999976432</v>
      </c>
      <c r="N163" s="46">
        <f t="shared" si="91"/>
        <v>9.8183603338242512E-3</v>
      </c>
      <c r="O163" s="95">
        <v>955441</v>
      </c>
      <c r="P163" s="95">
        <f>O163*N163*M163</f>
        <v>9320.2025647409409</v>
      </c>
      <c r="Q163" s="95">
        <f>O163*N163*L163</f>
        <v>60.661450968435986</v>
      </c>
      <c r="R163" s="29"/>
    </row>
    <row r="164" spans="1:18">
      <c r="A164" s="42" t="s">
        <v>1517</v>
      </c>
      <c r="B164" s="43"/>
      <c r="C164" s="50"/>
      <c r="D164" s="73">
        <v>6.3</v>
      </c>
      <c r="E164" s="45"/>
      <c r="F164" s="95">
        <f t="shared" si="90"/>
        <v>97929722</v>
      </c>
      <c r="G164" s="46">
        <f t="shared" si="92"/>
        <v>0</v>
      </c>
      <c r="H164" s="95">
        <f>H35</f>
        <v>0</v>
      </c>
      <c r="I164" s="46">
        <f t="shared" si="93"/>
        <v>1</v>
      </c>
      <c r="J164" s="95">
        <f>J35</f>
        <v>97929722</v>
      </c>
      <c r="K164" s="48">
        <f>SUM(H164+J164)</f>
        <v>97929722</v>
      </c>
      <c r="L164" s="49">
        <f>H164/K164</f>
        <v>0</v>
      </c>
      <c r="M164" s="48">
        <f>J164/K164</f>
        <v>1</v>
      </c>
      <c r="N164" s="46">
        <f t="shared" si="91"/>
        <v>3.0927835051546389E-2</v>
      </c>
      <c r="O164" s="95">
        <v>955441</v>
      </c>
      <c r="P164" s="95">
        <f>O164*N164*M164</f>
        <v>29549.721649484534</v>
      </c>
      <c r="Q164" s="95">
        <f>O164*N164*L164</f>
        <v>0</v>
      </c>
      <c r="R164" s="29"/>
    </row>
    <row r="165" spans="1:18">
      <c r="A165" s="42" t="s">
        <v>1529</v>
      </c>
      <c r="B165" s="43"/>
      <c r="C165" s="50"/>
      <c r="D165" s="73">
        <v>0.6</v>
      </c>
      <c r="E165" s="45"/>
      <c r="F165" s="95">
        <f t="shared" si="90"/>
        <v>37628562</v>
      </c>
      <c r="G165" s="46">
        <f t="shared" si="92"/>
        <v>0.31056634585185583</v>
      </c>
      <c r="H165" s="95">
        <f>$H$51</f>
        <v>11686165</v>
      </c>
      <c r="I165" s="46">
        <f t="shared" si="93"/>
        <v>0.68943365414814417</v>
      </c>
      <c r="J165" s="95">
        <f>$J$51</f>
        <v>25942397</v>
      </c>
      <c r="K165" s="48">
        <f t="shared" si="94"/>
        <v>37628562</v>
      </c>
      <c r="L165" s="49">
        <f t="shared" si="95"/>
        <v>0.31056634585185583</v>
      </c>
      <c r="M165" s="48">
        <f t="shared" si="96"/>
        <v>0.68943365414814417</v>
      </c>
      <c r="N165" s="46">
        <f t="shared" si="91"/>
        <v>2.9455081001472749E-3</v>
      </c>
      <c r="O165" s="95">
        <v>955441</v>
      </c>
      <c r="P165" s="95">
        <f t="shared" si="97"/>
        <v>1940.2450072252043</v>
      </c>
      <c r="Q165" s="95">
        <f t="shared" si="98"/>
        <v>874.01419748760804</v>
      </c>
      <c r="R165" s="29"/>
    </row>
    <row r="166" spans="1:18">
      <c r="A166" s="42" t="s">
        <v>1519</v>
      </c>
      <c r="B166" s="43"/>
      <c r="C166" s="50"/>
      <c r="D166" s="73">
        <v>1</v>
      </c>
      <c r="E166" s="45"/>
      <c r="F166" s="95">
        <f t="shared" si="90"/>
        <v>62723780</v>
      </c>
      <c r="G166" s="46">
        <f t="shared" si="92"/>
        <v>0.71806695961244682</v>
      </c>
      <c r="H166" s="95">
        <f>$H$37</f>
        <v>45039874</v>
      </c>
      <c r="I166" s="46">
        <f t="shared" si="93"/>
        <v>0.28193304038755318</v>
      </c>
      <c r="J166" s="95">
        <f>$J$37</f>
        <v>17683906</v>
      </c>
      <c r="K166" s="48">
        <f t="shared" si="94"/>
        <v>62723780</v>
      </c>
      <c r="L166" s="49">
        <f t="shared" si="95"/>
        <v>0.71806695961244682</v>
      </c>
      <c r="M166" s="48">
        <f t="shared" si="96"/>
        <v>0.28193304038755318</v>
      </c>
      <c r="N166" s="46">
        <f t="shared" si="91"/>
        <v>4.9091801669121256E-3</v>
      </c>
      <c r="O166" s="95">
        <v>955441</v>
      </c>
      <c r="P166" s="95">
        <f t="shared" si="97"/>
        <v>1322.3877567055679</v>
      </c>
      <c r="Q166" s="95">
        <f t="shared" si="98"/>
        <v>3368.0442511491201</v>
      </c>
      <c r="R166" s="29"/>
    </row>
    <row r="167" spans="1:18">
      <c r="A167" s="38" t="s">
        <v>1426</v>
      </c>
      <c r="B167" s="39"/>
      <c r="C167" s="40"/>
      <c r="D167" s="74">
        <f>SUM(D152:D166)</f>
        <v>203.70000000000002</v>
      </c>
      <c r="E167" s="41"/>
      <c r="F167" s="91"/>
      <c r="G167" s="40"/>
      <c r="H167" s="91"/>
      <c r="I167" s="40"/>
      <c r="J167" s="91"/>
      <c r="K167" s="40"/>
      <c r="L167" s="40"/>
      <c r="M167" s="40"/>
      <c r="N167" s="40"/>
      <c r="O167" s="91"/>
      <c r="P167" s="91">
        <f>SUM(P152:P166)</f>
        <v>556779.22057896631</v>
      </c>
      <c r="Q167" s="91">
        <f>SUM(Q152:Q166)</f>
        <v>398661.77942103357</v>
      </c>
      <c r="R167" s="37"/>
    </row>
    <row r="168" spans="1:18">
      <c r="A168" s="42" t="s">
        <v>1526</v>
      </c>
      <c r="B168" s="43" t="s">
        <v>1485</v>
      </c>
      <c r="C168" s="50" t="s">
        <v>1486</v>
      </c>
      <c r="D168" s="73">
        <v>300.2</v>
      </c>
      <c r="E168" s="45"/>
      <c r="F168" s="95">
        <f>H168+J168</f>
        <v>381732222</v>
      </c>
      <c r="G168" s="46">
        <f>H168/F168</f>
        <v>0.7574108716449931</v>
      </c>
      <c r="H168" s="95">
        <f>$H$46</f>
        <v>289128135</v>
      </c>
      <c r="I168" s="46">
        <f>J168/F168</f>
        <v>0.24258912835500693</v>
      </c>
      <c r="J168" s="95">
        <f>$J$46</f>
        <v>92604087</v>
      </c>
      <c r="K168" s="48">
        <f>SUM(H168+J168)</f>
        <v>381732222</v>
      </c>
      <c r="L168" s="49">
        <f>H168/K168</f>
        <v>0.7574108716449931</v>
      </c>
      <c r="M168" s="48">
        <f>J168/K168</f>
        <v>0.24258912835500693</v>
      </c>
      <c r="N168" s="46">
        <f>D168/$D$169</f>
        <v>1</v>
      </c>
      <c r="O168" s="95">
        <v>580162</v>
      </c>
      <c r="P168" s="95">
        <f>O168*N168*M168</f>
        <v>140740.99388469753</v>
      </c>
      <c r="Q168" s="95">
        <f>O168*N168*L168</f>
        <v>439421.0061153025</v>
      </c>
      <c r="R168" s="29"/>
    </row>
    <row r="169" spans="1:18">
      <c r="A169" s="38" t="s">
        <v>1427</v>
      </c>
      <c r="B169" s="39"/>
      <c r="C169" s="40"/>
      <c r="D169" s="74">
        <f>SUM(D168)</f>
        <v>300.2</v>
      </c>
      <c r="E169" s="41"/>
      <c r="F169" s="91"/>
      <c r="G169" s="40"/>
      <c r="H169" s="91"/>
      <c r="I169" s="40"/>
      <c r="J169" s="91"/>
      <c r="K169" s="40"/>
      <c r="L169" s="40"/>
      <c r="M169" s="40"/>
      <c r="N169" s="40"/>
      <c r="O169" s="91"/>
      <c r="P169" s="91">
        <f>SUM(P168)</f>
        <v>140740.99388469753</v>
      </c>
      <c r="Q169" s="91">
        <f>SUM(Q168)</f>
        <v>439421.0061153025</v>
      </c>
      <c r="R169" s="37"/>
    </row>
    <row r="170" spans="1:18">
      <c r="A170" s="42" t="s">
        <v>1428</v>
      </c>
      <c r="B170" s="43" t="s">
        <v>1485</v>
      </c>
      <c r="C170" s="50" t="s">
        <v>1486</v>
      </c>
      <c r="D170" s="73">
        <v>0.5</v>
      </c>
      <c r="E170" s="45"/>
      <c r="F170" s="95">
        <f t="shared" ref="F170:F185" si="99">H170+J170</f>
        <v>53132440</v>
      </c>
      <c r="G170" s="46">
        <f>H170/F170</f>
        <v>0.46919335908533466</v>
      </c>
      <c r="H170" s="95">
        <f>'rev send dist only'!O148</f>
        <v>24929388</v>
      </c>
      <c r="I170" s="46">
        <f>J170/F170</f>
        <v>0.53080664091466534</v>
      </c>
      <c r="J170" s="95">
        <f>'rev send dist only'!J148</f>
        <v>28203052</v>
      </c>
      <c r="K170" s="48">
        <f>SUM(H170+J170)</f>
        <v>53132440</v>
      </c>
      <c r="L170" s="49">
        <f>H170/K170</f>
        <v>0.46919335908533466</v>
      </c>
      <c r="M170" s="48">
        <f>J170/K170</f>
        <v>0.53080664091466534</v>
      </c>
      <c r="N170" s="46">
        <f>D170/$D$186</f>
        <v>1.9179133103183737E-3</v>
      </c>
      <c r="O170" s="95">
        <v>2099833</v>
      </c>
      <c r="P170" s="95">
        <f>O170*N170*M170</f>
        <v>2137.7163429454631</v>
      </c>
      <c r="Q170" s="95">
        <f>O170*N170*L170</f>
        <v>1889.5813172002984</v>
      </c>
      <c r="R170" s="29"/>
    </row>
    <row r="171" spans="1:18">
      <c r="A171" s="42" t="s">
        <v>669</v>
      </c>
      <c r="B171" s="43"/>
      <c r="C171" s="50"/>
      <c r="D171" s="73">
        <v>1.3</v>
      </c>
      <c r="E171" s="45"/>
      <c r="F171" s="95">
        <f t="shared" si="99"/>
        <v>103873744</v>
      </c>
      <c r="G171" s="46">
        <f>H171/F171</f>
        <v>0.80026647542424201</v>
      </c>
      <c r="H171" s="95">
        <f>H93</f>
        <v>83126675</v>
      </c>
      <c r="I171" s="46">
        <f>J171/F171</f>
        <v>0.19973352457575805</v>
      </c>
      <c r="J171" s="95">
        <f>J93</f>
        <v>20747069</v>
      </c>
      <c r="K171" s="48">
        <f>SUM(H171+J171)</f>
        <v>103873744</v>
      </c>
      <c r="L171" s="49">
        <f>H171/K171</f>
        <v>0.80026647542424201</v>
      </c>
      <c r="M171" s="48">
        <f>J171/K171</f>
        <v>0.19973352457575805</v>
      </c>
      <c r="N171" s="46">
        <f t="shared" ref="N171:N185" si="100">D171/$D$186</f>
        <v>4.9865746068277718E-3</v>
      </c>
      <c r="O171" s="95">
        <v>2099833</v>
      </c>
      <c r="P171" s="95">
        <f>O171*N171*M171</f>
        <v>2091.4045260592025</v>
      </c>
      <c r="Q171" s="95">
        <f>O171*N171*L171</f>
        <v>8379.5693903197789</v>
      </c>
      <c r="R171" s="29"/>
    </row>
    <row r="172" spans="1:18">
      <c r="A172" s="42" t="s">
        <v>1384</v>
      </c>
      <c r="B172" s="43"/>
      <c r="C172" s="50"/>
      <c r="D172" s="73">
        <v>2.2000000000000002</v>
      </c>
      <c r="E172" s="45"/>
      <c r="F172" s="95">
        <f t="shared" si="99"/>
        <v>69459286</v>
      </c>
      <c r="G172" s="46">
        <f t="shared" ref="G172:G185" si="101">H172/F172</f>
        <v>0.74863650340431087</v>
      </c>
      <c r="H172" s="95">
        <f>'rev send dist only'!O235</f>
        <v>51999757</v>
      </c>
      <c r="I172" s="46">
        <f t="shared" ref="I172:I185" si="102">J172/F172</f>
        <v>0.25136349659568918</v>
      </c>
      <c r="J172" s="95">
        <f>'rev send dist only'!J235</f>
        <v>17459529</v>
      </c>
      <c r="K172" s="48">
        <f t="shared" ref="K172:K180" si="103">SUM(H172+J172)</f>
        <v>69459286</v>
      </c>
      <c r="L172" s="49">
        <f t="shared" ref="L172:L180" si="104">H172/K172</f>
        <v>0.74863650340431087</v>
      </c>
      <c r="M172" s="48">
        <f t="shared" ref="M172:M180" si="105">J172/K172</f>
        <v>0.25136349659568918</v>
      </c>
      <c r="N172" s="46">
        <f t="shared" si="100"/>
        <v>8.4388185654008449E-3</v>
      </c>
      <c r="O172" s="95">
        <v>2099833</v>
      </c>
      <c r="P172" s="95">
        <f t="shared" ref="P172:P180" si="106">O172*N172*M172</f>
        <v>4454.1887354178552</v>
      </c>
      <c r="Q172" s="95">
        <f t="shared" ref="Q172:Q180" si="107">O172*N172*L172</f>
        <v>13265.920969223498</v>
      </c>
      <c r="R172" s="29"/>
    </row>
    <row r="173" spans="1:18">
      <c r="A173" s="42" t="s">
        <v>1526</v>
      </c>
      <c r="B173" s="43"/>
      <c r="C173" s="50"/>
      <c r="D173" s="73">
        <v>2.8</v>
      </c>
      <c r="E173" s="45"/>
      <c r="F173" s="95">
        <f t="shared" si="99"/>
        <v>381732222</v>
      </c>
      <c r="G173" s="46">
        <f t="shared" si="101"/>
        <v>0.7574108716449931</v>
      </c>
      <c r="H173" s="95">
        <f>$H$46</f>
        <v>289128135</v>
      </c>
      <c r="I173" s="46">
        <f t="shared" si="102"/>
        <v>0.24258912835500693</v>
      </c>
      <c r="J173" s="95">
        <f>$J$46</f>
        <v>92604087</v>
      </c>
      <c r="K173" s="48">
        <f t="shared" si="103"/>
        <v>381732222</v>
      </c>
      <c r="L173" s="49">
        <f t="shared" si="104"/>
        <v>0.7574108716449931</v>
      </c>
      <c r="M173" s="48">
        <f t="shared" si="105"/>
        <v>0.24258912835500693</v>
      </c>
      <c r="N173" s="46">
        <f t="shared" si="100"/>
        <v>1.0740314537782892E-2</v>
      </c>
      <c r="O173" s="95">
        <v>2099833</v>
      </c>
      <c r="P173" s="95">
        <f t="shared" si="106"/>
        <v>5471.0803224051469</v>
      </c>
      <c r="Q173" s="95">
        <f t="shared" si="107"/>
        <v>17081.786574411119</v>
      </c>
      <c r="R173" s="29"/>
    </row>
    <row r="174" spans="1:18">
      <c r="A174" s="42" t="s">
        <v>1386</v>
      </c>
      <c r="B174" s="43"/>
      <c r="C174" s="50"/>
      <c r="D174" s="73">
        <v>0.8</v>
      </c>
      <c r="E174" s="45"/>
      <c r="F174" s="95">
        <f t="shared" si="99"/>
        <v>95712705</v>
      </c>
      <c r="G174" s="46">
        <f t="shared" si="101"/>
        <v>0</v>
      </c>
      <c r="H174" s="95">
        <f>'rev send dist only'!O247</f>
        <v>0</v>
      </c>
      <c r="I174" s="46">
        <f t="shared" si="102"/>
        <v>1</v>
      </c>
      <c r="J174" s="95">
        <f>'rev send dist only'!J247</f>
        <v>95712705</v>
      </c>
      <c r="K174" s="48">
        <f t="shared" si="103"/>
        <v>95712705</v>
      </c>
      <c r="L174" s="49">
        <f t="shared" si="104"/>
        <v>0</v>
      </c>
      <c r="M174" s="48">
        <f t="shared" si="105"/>
        <v>1</v>
      </c>
      <c r="N174" s="46">
        <f t="shared" si="100"/>
        <v>3.0686612965093981E-3</v>
      </c>
      <c r="O174" s="95">
        <v>2099833</v>
      </c>
      <c r="P174" s="95">
        <f t="shared" si="106"/>
        <v>6443.6762562332187</v>
      </c>
      <c r="Q174" s="95">
        <f t="shared" si="107"/>
        <v>0</v>
      </c>
      <c r="R174" s="29"/>
    </row>
    <row r="175" spans="1:18">
      <c r="A175" s="42" t="s">
        <v>1375</v>
      </c>
      <c r="B175" s="43"/>
      <c r="C175" s="50"/>
      <c r="D175" s="73">
        <v>0.1</v>
      </c>
      <c r="E175" s="45"/>
      <c r="F175" s="95">
        <f t="shared" si="99"/>
        <v>74696754</v>
      </c>
      <c r="G175" s="46">
        <f t="shared" si="101"/>
        <v>0.25820891761909759</v>
      </c>
      <c r="H175" s="95">
        <f>H73</f>
        <v>19287368</v>
      </c>
      <c r="I175" s="46">
        <f t="shared" si="102"/>
        <v>0.74179108238090241</v>
      </c>
      <c r="J175" s="95">
        <f>J73</f>
        <v>55409386</v>
      </c>
      <c r="K175" s="48">
        <f t="shared" si="103"/>
        <v>74696754</v>
      </c>
      <c r="L175" s="49">
        <f t="shared" si="104"/>
        <v>0.25820891761909759</v>
      </c>
      <c r="M175" s="48">
        <f t="shared" si="105"/>
        <v>0.74179108238090241</v>
      </c>
      <c r="N175" s="46">
        <f t="shared" si="100"/>
        <v>3.8358266206367476E-4</v>
      </c>
      <c r="O175" s="95">
        <v>2099833</v>
      </c>
      <c r="P175" s="95">
        <f t="shared" si="106"/>
        <v>597.48269807792008</v>
      </c>
      <c r="Q175" s="95">
        <f t="shared" si="107"/>
        <v>207.97683395123229</v>
      </c>
      <c r="R175" s="29"/>
    </row>
    <row r="176" spans="1:18">
      <c r="A176" s="42" t="s">
        <v>1429</v>
      </c>
      <c r="B176" s="43"/>
      <c r="C176" s="50"/>
      <c r="D176" s="73">
        <v>4</v>
      </c>
      <c r="E176" s="45"/>
      <c r="F176" s="95">
        <f t="shared" si="99"/>
        <v>9588984</v>
      </c>
      <c r="G176" s="46">
        <f t="shared" si="101"/>
        <v>0.13254855780341274</v>
      </c>
      <c r="H176" s="95">
        <f>'rev send dist only'!O279</f>
        <v>1271006</v>
      </c>
      <c r="I176" s="46">
        <f t="shared" si="102"/>
        <v>0.86745144219658721</v>
      </c>
      <c r="J176" s="95">
        <f>'rev send dist only'!J279</f>
        <v>8317978</v>
      </c>
      <c r="K176" s="48">
        <f t="shared" si="103"/>
        <v>9588984</v>
      </c>
      <c r="L176" s="49">
        <f t="shared" si="104"/>
        <v>0.13254855780341274</v>
      </c>
      <c r="M176" s="48">
        <f t="shared" si="105"/>
        <v>0.86745144219658721</v>
      </c>
      <c r="N176" s="46">
        <f t="shared" si="100"/>
        <v>1.5343306482546989E-2</v>
      </c>
      <c r="O176" s="95">
        <v>2099833</v>
      </c>
      <c r="P176" s="95">
        <f t="shared" si="106"/>
        <v>27947.881307587057</v>
      </c>
      <c r="Q176" s="95">
        <f t="shared" si="107"/>
        <v>4270.4999735790352</v>
      </c>
      <c r="R176" s="29"/>
    </row>
    <row r="177" spans="1:18">
      <c r="A177" s="42" t="s">
        <v>1396</v>
      </c>
      <c r="B177" s="43"/>
      <c r="C177" s="50"/>
      <c r="D177" s="73">
        <v>165.3</v>
      </c>
      <c r="E177" s="45"/>
      <c r="F177" s="95">
        <f t="shared" si="99"/>
        <v>37454086</v>
      </c>
      <c r="G177" s="46">
        <f t="shared" si="101"/>
        <v>0.11424454464060343</v>
      </c>
      <c r="H177" s="95">
        <f>H112</f>
        <v>4278925</v>
      </c>
      <c r="I177" s="46">
        <f t="shared" si="102"/>
        <v>0.88575545535939659</v>
      </c>
      <c r="J177" s="95">
        <f>J112</f>
        <v>33175161</v>
      </c>
      <c r="K177" s="48">
        <f t="shared" si="103"/>
        <v>37454086</v>
      </c>
      <c r="L177" s="49">
        <f t="shared" si="104"/>
        <v>0.11424454464060343</v>
      </c>
      <c r="M177" s="48">
        <f t="shared" si="105"/>
        <v>0.88575545535939659</v>
      </c>
      <c r="N177" s="46">
        <f t="shared" si="100"/>
        <v>0.63406214039125441</v>
      </c>
      <c r="O177" s="95">
        <v>2099833</v>
      </c>
      <c r="P177" s="95">
        <f t="shared" si="106"/>
        <v>1179316.6085576778</v>
      </c>
      <c r="Q177" s="95">
        <f t="shared" si="107"/>
        <v>152107.997886511</v>
      </c>
      <c r="R177" s="29"/>
    </row>
    <row r="178" spans="1:18">
      <c r="A178" s="42" t="s">
        <v>657</v>
      </c>
      <c r="B178" s="43"/>
      <c r="C178" s="50"/>
      <c r="D178" s="73">
        <v>64.7</v>
      </c>
      <c r="E178" s="45"/>
      <c r="F178" s="95">
        <f t="shared" si="99"/>
        <v>259769100</v>
      </c>
      <c r="G178" s="46">
        <f t="shared" si="101"/>
        <v>0.68623093354829345</v>
      </c>
      <c r="H178" s="95">
        <f>$H$57</f>
        <v>178261592</v>
      </c>
      <c r="I178" s="46">
        <f t="shared" si="102"/>
        <v>0.31376906645170655</v>
      </c>
      <c r="J178" s="95">
        <f>$J$57</f>
        <v>81507508</v>
      </c>
      <c r="K178" s="48">
        <f t="shared" si="103"/>
        <v>259769100</v>
      </c>
      <c r="L178" s="49">
        <f t="shared" si="104"/>
        <v>0.68623093354829345</v>
      </c>
      <c r="M178" s="48">
        <f t="shared" si="105"/>
        <v>0.31376906645170655</v>
      </c>
      <c r="N178" s="46">
        <f t="shared" si="100"/>
        <v>0.24817798235519756</v>
      </c>
      <c r="O178" s="95">
        <v>2099833</v>
      </c>
      <c r="P178" s="95">
        <f t="shared" si="106"/>
        <v>163515.20067283188</v>
      </c>
      <c r="Q178" s="95">
        <f t="shared" si="107"/>
        <v>357617.11655002972</v>
      </c>
      <c r="R178" s="29"/>
    </row>
    <row r="179" spans="1:18">
      <c r="A179" s="42" t="s">
        <v>1397</v>
      </c>
      <c r="B179" s="43"/>
      <c r="C179" s="50"/>
      <c r="D179" s="73">
        <v>8.3000000000000007</v>
      </c>
      <c r="E179" s="45"/>
      <c r="F179" s="95">
        <f t="shared" si="99"/>
        <v>57001997</v>
      </c>
      <c r="G179" s="46">
        <f t="shared" si="101"/>
        <v>0.33609754058265712</v>
      </c>
      <c r="H179" s="95">
        <f>H114</f>
        <v>19158231</v>
      </c>
      <c r="I179" s="46">
        <f t="shared" si="102"/>
        <v>0.66390245941734283</v>
      </c>
      <c r="J179" s="95">
        <f>J114</f>
        <v>37843766</v>
      </c>
      <c r="K179" s="48">
        <f t="shared" si="103"/>
        <v>57001997</v>
      </c>
      <c r="L179" s="49">
        <f t="shared" si="104"/>
        <v>0.33609754058265712</v>
      </c>
      <c r="M179" s="48">
        <f t="shared" si="105"/>
        <v>0.66390245941734283</v>
      </c>
      <c r="N179" s="46">
        <f t="shared" si="100"/>
        <v>3.1837360951285004E-2</v>
      </c>
      <c r="O179" s="95">
        <v>2099833</v>
      </c>
      <c r="P179" s="95">
        <f t="shared" si="106"/>
        <v>44383.96483484959</v>
      </c>
      <c r="Q179" s="95">
        <f t="shared" si="107"/>
        <v>22469.176323570053</v>
      </c>
      <c r="R179" s="29"/>
    </row>
    <row r="180" spans="1:18">
      <c r="A180" s="42" t="s">
        <v>1398</v>
      </c>
      <c r="B180" s="43"/>
      <c r="C180" s="50"/>
      <c r="D180" s="73">
        <v>3.2</v>
      </c>
      <c r="E180" s="45"/>
      <c r="F180" s="95">
        <f t="shared" si="99"/>
        <v>88426804</v>
      </c>
      <c r="G180" s="46">
        <f t="shared" si="101"/>
        <v>0.78901984289740923</v>
      </c>
      <c r="H180" s="95">
        <f>H115</f>
        <v>69770503</v>
      </c>
      <c r="I180" s="46">
        <f t="shared" si="102"/>
        <v>0.21098015710259074</v>
      </c>
      <c r="J180" s="95">
        <f>J115</f>
        <v>18656301</v>
      </c>
      <c r="K180" s="48">
        <f t="shared" si="103"/>
        <v>88426804</v>
      </c>
      <c r="L180" s="49">
        <f t="shared" si="104"/>
        <v>0.78901984289740923</v>
      </c>
      <c r="M180" s="48">
        <f t="shared" si="105"/>
        <v>0.21098015710259074</v>
      </c>
      <c r="N180" s="46">
        <f t="shared" si="100"/>
        <v>1.2274645186037592E-2</v>
      </c>
      <c r="O180" s="95">
        <v>2099833</v>
      </c>
      <c r="P180" s="95">
        <f t="shared" si="106"/>
        <v>5437.9513154332726</v>
      </c>
      <c r="Q180" s="95">
        <f t="shared" si="107"/>
        <v>20336.753709499601</v>
      </c>
      <c r="R180" s="29"/>
    </row>
    <row r="181" spans="1:18">
      <c r="A181" s="42" t="s">
        <v>1399</v>
      </c>
      <c r="B181" s="43"/>
      <c r="C181" s="50"/>
      <c r="D181" s="73">
        <v>2.8</v>
      </c>
      <c r="E181" s="45"/>
      <c r="F181" s="95">
        <f t="shared" si="99"/>
        <v>13965689</v>
      </c>
      <c r="G181" s="46">
        <f t="shared" si="101"/>
        <v>0</v>
      </c>
      <c r="H181" s="95">
        <f>'rev send dist only'!O288</f>
        <v>0</v>
      </c>
      <c r="I181" s="46">
        <f t="shared" si="102"/>
        <v>1</v>
      </c>
      <c r="J181" s="95">
        <f>'rev send dist only'!J288</f>
        <v>13965689</v>
      </c>
      <c r="K181" s="48">
        <f>SUM(H181+J181)</f>
        <v>13965689</v>
      </c>
      <c r="L181" s="49">
        <f>H181/K181</f>
        <v>0</v>
      </c>
      <c r="M181" s="48">
        <f>J181/K181</f>
        <v>1</v>
      </c>
      <c r="N181" s="46">
        <f t="shared" si="100"/>
        <v>1.0740314537782892E-2</v>
      </c>
      <c r="O181" s="95">
        <v>2099833</v>
      </c>
      <c r="P181" s="95">
        <f>O181*N181*M181</f>
        <v>22552.866896816264</v>
      </c>
      <c r="Q181" s="95">
        <f>O181*N181*L181</f>
        <v>0</v>
      </c>
      <c r="R181" s="29"/>
    </row>
    <row r="182" spans="1:18">
      <c r="A182" s="42" t="s">
        <v>1400</v>
      </c>
      <c r="B182" s="43"/>
      <c r="C182" s="50"/>
      <c r="D182" s="73">
        <v>2.8</v>
      </c>
      <c r="E182" s="45"/>
      <c r="F182" s="95">
        <f t="shared" si="99"/>
        <v>49616847</v>
      </c>
      <c r="G182" s="46">
        <f t="shared" si="101"/>
        <v>0.72286558232932452</v>
      </c>
      <c r="H182" s="95">
        <f>H117</f>
        <v>35866311</v>
      </c>
      <c r="I182" s="46">
        <f t="shared" si="102"/>
        <v>0.27713441767067543</v>
      </c>
      <c r="J182" s="95">
        <f>J117</f>
        <v>13750536</v>
      </c>
      <c r="K182" s="48">
        <f>SUM(H182+J182)</f>
        <v>49616847</v>
      </c>
      <c r="L182" s="49">
        <f>H182/K182</f>
        <v>0.72286558232932452</v>
      </c>
      <c r="M182" s="48">
        <f>J182/K182</f>
        <v>0.27713441767067543</v>
      </c>
      <c r="N182" s="46">
        <f t="shared" si="100"/>
        <v>1.0740314537782892E-2</v>
      </c>
      <c r="O182" s="95">
        <v>2099833</v>
      </c>
      <c r="P182" s="95">
        <f>O182*N182*M182</f>
        <v>6250.1756342534281</v>
      </c>
      <c r="Q182" s="95">
        <f>O182*N182*L182</f>
        <v>16302.691262562834</v>
      </c>
      <c r="R182" s="29"/>
    </row>
    <row r="183" spans="1:18">
      <c r="A183" s="42" t="s">
        <v>1425</v>
      </c>
      <c r="B183" s="43"/>
      <c r="C183" s="50"/>
      <c r="D183" s="73">
        <v>0.8</v>
      </c>
      <c r="E183" s="45"/>
      <c r="F183" s="95">
        <f t="shared" si="99"/>
        <v>138815528</v>
      </c>
      <c r="G183" s="46">
        <f t="shared" si="101"/>
        <v>6.4665100002357081E-3</v>
      </c>
      <c r="H183" s="95">
        <f>H163</f>
        <v>897652</v>
      </c>
      <c r="I183" s="46">
        <f t="shared" si="102"/>
        <v>0.99353348999976432</v>
      </c>
      <c r="J183" s="95">
        <f>J163</f>
        <v>137917876</v>
      </c>
      <c r="K183" s="48">
        <f>SUM(H183+J183)</f>
        <v>138815528</v>
      </c>
      <c r="L183" s="49">
        <f>H183/K183</f>
        <v>6.4665100002357081E-3</v>
      </c>
      <c r="M183" s="48">
        <f>J183/K183</f>
        <v>0.99353348999976432</v>
      </c>
      <c r="N183" s="46">
        <f t="shared" si="100"/>
        <v>3.0686612965093981E-3</v>
      </c>
      <c r="O183" s="95">
        <v>2099833</v>
      </c>
      <c r="P183" s="95">
        <f>O183*N183*M183</f>
        <v>6402.0081592840052</v>
      </c>
      <c r="Q183" s="95">
        <f>O183*N183*L183</f>
        <v>41.668096949213499</v>
      </c>
      <c r="R183" s="29"/>
    </row>
    <row r="184" spans="1:18">
      <c r="A184" s="42" t="s">
        <v>1430</v>
      </c>
      <c r="B184" s="43"/>
      <c r="C184" s="50"/>
      <c r="D184" s="73">
        <v>0.4</v>
      </c>
      <c r="E184" s="45"/>
      <c r="F184" s="95">
        <f t="shared" si="99"/>
        <v>161754676</v>
      </c>
      <c r="G184" s="46">
        <f t="shared" si="101"/>
        <v>0.74436929415258446</v>
      </c>
      <c r="H184" s="95">
        <f>'rev send dist only'!O571</f>
        <v>120405214</v>
      </c>
      <c r="I184" s="46">
        <f t="shared" si="102"/>
        <v>0.25563070584741548</v>
      </c>
      <c r="J184" s="95">
        <f>'rev send dist only'!J571</f>
        <v>41349462</v>
      </c>
      <c r="K184" s="48">
        <f>SUM(H184+J184)</f>
        <v>161754676</v>
      </c>
      <c r="L184" s="49">
        <f>H184/K184</f>
        <v>0.74436929415258446</v>
      </c>
      <c r="M184" s="48">
        <f>J184/K184</f>
        <v>0.25563070584741548</v>
      </c>
      <c r="N184" s="46">
        <f t="shared" si="100"/>
        <v>1.534330648254699E-3</v>
      </c>
      <c r="O184" s="95">
        <v>2099833</v>
      </c>
      <c r="P184" s="95">
        <f>O184*N184*M184</f>
        <v>823.60075481656474</v>
      </c>
      <c r="Q184" s="95">
        <f>O184*N184*L184</f>
        <v>2398.2373733000445</v>
      </c>
      <c r="R184" s="29"/>
    </row>
    <row r="185" spans="1:18">
      <c r="A185" s="42" t="s">
        <v>1431</v>
      </c>
      <c r="B185" s="43"/>
      <c r="C185" s="50"/>
      <c r="D185" s="73">
        <v>0.7</v>
      </c>
      <c r="E185" s="45"/>
      <c r="F185" s="95">
        <f t="shared" si="99"/>
        <v>38822645</v>
      </c>
      <c r="G185" s="46">
        <f t="shared" si="101"/>
        <v>0.19084730058964297</v>
      </c>
      <c r="H185" s="95">
        <f>'rev send dist only'!O580</f>
        <v>7409197</v>
      </c>
      <c r="I185" s="46">
        <f t="shared" si="102"/>
        <v>0.80915269941035706</v>
      </c>
      <c r="J185" s="95">
        <f>'rev send dist only'!J580</f>
        <v>31413448</v>
      </c>
      <c r="K185" s="48">
        <f>SUM(H185+J185)</f>
        <v>38822645</v>
      </c>
      <c r="L185" s="49">
        <f>H185/K185</f>
        <v>0.19084730058964297</v>
      </c>
      <c r="M185" s="48">
        <f>J185/K185</f>
        <v>0.80915269941035706</v>
      </c>
      <c r="N185" s="46">
        <f t="shared" si="100"/>
        <v>2.685078634445723E-3</v>
      </c>
      <c r="O185" s="95">
        <v>2099833</v>
      </c>
      <c r="P185" s="95">
        <f>O185*N185*M185</f>
        <v>4562.178282250341</v>
      </c>
      <c r="Q185" s="95">
        <f>O185*N185*L185</f>
        <v>1076.0384419537254</v>
      </c>
      <c r="R185" s="29"/>
    </row>
    <row r="186" spans="1:18">
      <c r="A186" s="38" t="s">
        <v>1432</v>
      </c>
      <c r="B186" s="39"/>
      <c r="C186" s="40"/>
      <c r="D186" s="74">
        <f>SUM(D170:D185)</f>
        <v>260.7</v>
      </c>
      <c r="E186" s="41"/>
      <c r="F186" s="91"/>
      <c r="G186" s="40"/>
      <c r="H186" s="91"/>
      <c r="I186" s="40"/>
      <c r="J186" s="91"/>
      <c r="K186" s="40"/>
      <c r="L186" s="40"/>
      <c r="M186" s="40"/>
      <c r="N186" s="40"/>
      <c r="O186" s="91"/>
      <c r="P186" s="91">
        <f>SUM(P170:P185)</f>
        <v>1482387.9852969393</v>
      </c>
      <c r="Q186" s="91">
        <f>SUM(Q170:Q185)</f>
        <v>617445.0147030612</v>
      </c>
      <c r="R186" s="37"/>
    </row>
    <row r="187" spans="1:18">
      <c r="A187" s="42" t="s">
        <v>1433</v>
      </c>
      <c r="B187" s="43" t="s">
        <v>1485</v>
      </c>
      <c r="C187" s="50" t="s">
        <v>1486</v>
      </c>
      <c r="D187" s="73">
        <v>119.9</v>
      </c>
      <c r="E187" s="45"/>
      <c r="F187" s="95">
        <f>H187+J187</f>
        <v>33272858</v>
      </c>
      <c r="G187" s="46">
        <f>H187/F187</f>
        <v>0.82503700163057825</v>
      </c>
      <c r="H187" s="95">
        <f>H5</f>
        <v>27451339</v>
      </c>
      <c r="I187" s="46">
        <f>J187/F187</f>
        <v>0.1749629983694217</v>
      </c>
      <c r="J187" s="95">
        <f>J5</f>
        <v>5821519</v>
      </c>
      <c r="K187" s="48">
        <f>SUM(H187+J187)</f>
        <v>33272858</v>
      </c>
      <c r="L187" s="49">
        <f>H187/K187</f>
        <v>0.82503700163057825</v>
      </c>
      <c r="M187" s="48">
        <f>J187/K187</f>
        <v>0.1749629983694217</v>
      </c>
      <c r="N187" s="46">
        <f>D187/$D$192</f>
        <v>0.89344262295081978</v>
      </c>
      <c r="O187" s="95">
        <v>316141</v>
      </c>
      <c r="P187" s="95">
        <f>O187*N187*M187</f>
        <v>49418.971493100828</v>
      </c>
      <c r="Q187" s="95">
        <f>O187*N187*L187</f>
        <v>233034.87276919428</v>
      </c>
      <c r="R187" s="29"/>
    </row>
    <row r="188" spans="1:18">
      <c r="A188" s="42" t="s">
        <v>1492</v>
      </c>
      <c r="B188" s="43"/>
      <c r="C188" s="50"/>
      <c r="D188" s="73">
        <v>11.1</v>
      </c>
      <c r="E188" s="45"/>
      <c r="F188" s="95">
        <f>H188+J188</f>
        <v>38370256</v>
      </c>
      <c r="G188" s="46">
        <f>H188/F188</f>
        <v>0.22188720867538647</v>
      </c>
      <c r="H188" s="95">
        <f>H7</f>
        <v>8513869</v>
      </c>
      <c r="I188" s="46">
        <f>J188/F188</f>
        <v>0.77811279132461353</v>
      </c>
      <c r="J188" s="95">
        <f>J7</f>
        <v>29856387</v>
      </c>
      <c r="K188" s="48">
        <f>SUM(H188+J188)</f>
        <v>38370256</v>
      </c>
      <c r="L188" s="49">
        <f>H188/K188</f>
        <v>0.22188720867538647</v>
      </c>
      <c r="M188" s="48">
        <f>J188/K188</f>
        <v>0.77811279132461353</v>
      </c>
      <c r="N188" s="46">
        <f>D188/$D$192</f>
        <v>8.2712369597615507E-2</v>
      </c>
      <c r="O188" s="95">
        <v>316141</v>
      </c>
      <c r="P188" s="95">
        <f>O188*N188*M188</f>
        <v>20346.69337689953</v>
      </c>
      <c r="Q188" s="95">
        <f>O188*N188*L188</f>
        <v>5802.0778600602353</v>
      </c>
      <c r="R188" s="29"/>
    </row>
    <row r="189" spans="1:18">
      <c r="A189" s="42" t="s">
        <v>1493</v>
      </c>
      <c r="B189" s="43"/>
      <c r="C189" s="50"/>
      <c r="D189" s="73">
        <v>1</v>
      </c>
      <c r="E189" s="45"/>
      <c r="F189" s="95">
        <f>H189+J189</f>
        <v>53077484</v>
      </c>
      <c r="G189" s="46">
        <f>H189/F189</f>
        <v>9.319448902287833E-2</v>
      </c>
      <c r="H189" s="95">
        <f>H8</f>
        <v>4946529</v>
      </c>
      <c r="I189" s="46">
        <f>J189/F189</f>
        <v>0.9068055109771217</v>
      </c>
      <c r="J189" s="95">
        <f>J8</f>
        <v>48130955</v>
      </c>
      <c r="K189" s="48">
        <f>SUM(H189+J189)</f>
        <v>53077484</v>
      </c>
      <c r="L189" s="49">
        <f>H189/K189</f>
        <v>9.319448902287833E-2</v>
      </c>
      <c r="M189" s="48">
        <f>J189/K189</f>
        <v>0.9068055109771217</v>
      </c>
      <c r="N189" s="46">
        <f>D189/$D$192</f>
        <v>7.4515648286140098E-3</v>
      </c>
      <c r="O189" s="95">
        <v>316141</v>
      </c>
      <c r="P189" s="95">
        <f>O189*N189*M189</f>
        <v>2136.202690356321</v>
      </c>
      <c r="Q189" s="95">
        <f>O189*N189*L189</f>
        <v>219.54246612654083</v>
      </c>
      <c r="R189" s="29"/>
    </row>
    <row r="190" spans="1:18">
      <c r="A190" s="42" t="s">
        <v>1494</v>
      </c>
      <c r="B190" s="43"/>
      <c r="C190" s="50"/>
      <c r="D190" s="73">
        <v>1.7</v>
      </c>
      <c r="E190" s="45"/>
      <c r="F190" s="95">
        <f>H190+J190</f>
        <v>49984614</v>
      </c>
      <c r="G190" s="46">
        <f>H190/F190</f>
        <v>1.3914001616577453E-2</v>
      </c>
      <c r="H190" s="95">
        <f>H10</f>
        <v>695486</v>
      </c>
      <c r="I190" s="46">
        <f>J190/F190</f>
        <v>0.98608599838342259</v>
      </c>
      <c r="J190" s="95">
        <f>J10</f>
        <v>49289128</v>
      </c>
      <c r="K190" s="48">
        <f>SUM(H190+J190)</f>
        <v>49984614</v>
      </c>
      <c r="L190" s="49">
        <f>H190/K190</f>
        <v>1.3914001616577453E-2</v>
      </c>
      <c r="M190" s="48">
        <f>J190/K190</f>
        <v>0.98608599838342259</v>
      </c>
      <c r="N190" s="46">
        <f>D190/$D$192</f>
        <v>1.2667660208643816E-2</v>
      </c>
      <c r="O190" s="95">
        <v>316141</v>
      </c>
      <c r="P190" s="95">
        <f>O190*N190*M190</f>
        <v>3949.0444347644352</v>
      </c>
      <c r="Q190" s="95">
        <f>O190*N190*L190</f>
        <v>55.722331256429975</v>
      </c>
      <c r="R190" s="29"/>
    </row>
    <row r="191" spans="1:18">
      <c r="A191" s="42" t="s">
        <v>1434</v>
      </c>
      <c r="B191" s="43"/>
      <c r="C191" s="50"/>
      <c r="D191" s="73">
        <v>0.5</v>
      </c>
      <c r="E191" s="45"/>
      <c r="F191" s="95">
        <f>H191+J191</f>
        <v>99896936</v>
      </c>
      <c r="G191" s="46">
        <f>H191/F191</f>
        <v>0.19246456167584558</v>
      </c>
      <c r="H191" s="95">
        <f>'rev send dist only'!O458</f>
        <v>19226620</v>
      </c>
      <c r="I191" s="46">
        <f>J191/F191</f>
        <v>0.80753543832415442</v>
      </c>
      <c r="J191" s="95">
        <f>'rev send dist only'!J458</f>
        <v>80670316</v>
      </c>
      <c r="K191" s="48">
        <f>SUM(H191+J191)</f>
        <v>99896936</v>
      </c>
      <c r="L191" s="49">
        <f>H191/K191</f>
        <v>0.19246456167584558</v>
      </c>
      <c r="M191" s="48">
        <f>J191/K191</f>
        <v>0.80753543832415442</v>
      </c>
      <c r="N191" s="46">
        <f>D191/$D$192</f>
        <v>3.7257824143070049E-3</v>
      </c>
      <c r="O191" s="95">
        <v>316141</v>
      </c>
      <c r="P191" s="95">
        <f>O191*N191*M191</f>
        <v>951.17384876019571</v>
      </c>
      <c r="Q191" s="95">
        <f>O191*N191*L191</f>
        <v>226.69872948123512</v>
      </c>
      <c r="R191" s="29"/>
    </row>
    <row r="192" spans="1:18">
      <c r="A192" s="38" t="s">
        <v>570</v>
      </c>
      <c r="B192" s="39"/>
      <c r="C192" s="40"/>
      <c r="D192" s="74">
        <f>SUM(D187:D191)</f>
        <v>134.19999999999999</v>
      </c>
      <c r="E192" s="41"/>
      <c r="F192" s="91"/>
      <c r="G192" s="40"/>
      <c r="H192" s="91"/>
      <c r="I192" s="40"/>
      <c r="J192" s="91"/>
      <c r="K192" s="40"/>
      <c r="L192" s="40"/>
      <c r="M192" s="40"/>
      <c r="N192" s="40"/>
      <c r="O192" s="91"/>
      <c r="P192" s="91">
        <f>SUM(P187:P191)</f>
        <v>76802.085843881316</v>
      </c>
      <c r="Q192" s="91">
        <f>SUM(Q187:Q191)</f>
        <v>239338.9141561187</v>
      </c>
      <c r="R192" s="37"/>
    </row>
    <row r="193" spans="1:18">
      <c r="A193" s="42" t="s">
        <v>1402</v>
      </c>
      <c r="B193" s="43" t="s">
        <v>1485</v>
      </c>
      <c r="C193" s="50" t="s">
        <v>1486</v>
      </c>
      <c r="D193" s="73">
        <v>89.6</v>
      </c>
      <c r="E193" s="45"/>
      <c r="F193" s="95">
        <f>H193+J193</f>
        <v>128349142</v>
      </c>
      <c r="G193" s="46">
        <f>H193/F193</f>
        <v>0.82133283758141518</v>
      </c>
      <c r="H193" s="95">
        <f>$H$124</f>
        <v>105417365</v>
      </c>
      <c r="I193" s="46">
        <f>J193/F193</f>
        <v>0.17866716241858477</v>
      </c>
      <c r="J193" s="95">
        <f>$J$124</f>
        <v>22931777</v>
      </c>
      <c r="K193" s="48">
        <f>SUM(H193+J193)</f>
        <v>128349142</v>
      </c>
      <c r="L193" s="49">
        <f>H193/K193</f>
        <v>0.82133283758141518</v>
      </c>
      <c r="M193" s="48">
        <f>J193/K193</f>
        <v>0.17866716241858477</v>
      </c>
      <c r="N193" s="46">
        <f>D193/$D$194</f>
        <v>1</v>
      </c>
      <c r="O193" s="95">
        <v>164045</v>
      </c>
      <c r="P193" s="95">
        <f>O193*N193*M193</f>
        <v>29309.45465895674</v>
      </c>
      <c r="Q193" s="95">
        <f>O193*N193*L193</f>
        <v>134735.54534104324</v>
      </c>
      <c r="R193" s="29"/>
    </row>
    <row r="194" spans="1:18">
      <c r="A194" s="38" t="s">
        <v>1435</v>
      </c>
      <c r="B194" s="39"/>
      <c r="C194" s="40"/>
      <c r="D194" s="74">
        <f>SUM(D193)</f>
        <v>89.6</v>
      </c>
      <c r="E194" s="41"/>
      <c r="F194" s="91"/>
      <c r="G194" s="40"/>
      <c r="H194" s="91"/>
      <c r="I194" s="40"/>
      <c r="J194" s="91"/>
      <c r="K194" s="40"/>
      <c r="L194" s="40"/>
      <c r="M194" s="40"/>
      <c r="N194" s="40"/>
      <c r="O194" s="91"/>
      <c r="P194" s="91">
        <f>SUM(P193)</f>
        <v>29309.45465895674</v>
      </c>
      <c r="Q194" s="91">
        <f>SUM(Q193)</f>
        <v>134735.54534104324</v>
      </c>
      <c r="R194" s="37"/>
    </row>
    <row r="195" spans="1:18">
      <c r="A195" s="42" t="s">
        <v>669</v>
      </c>
      <c r="B195" s="43" t="s">
        <v>1485</v>
      </c>
      <c r="C195" s="50" t="s">
        <v>1486</v>
      </c>
      <c r="D195" s="73">
        <v>0.1</v>
      </c>
      <c r="E195" s="45"/>
      <c r="F195" s="95">
        <f t="shared" ref="F195:F201" si="108">H195+J195</f>
        <v>103873744</v>
      </c>
      <c r="G195" s="46">
        <f>H195/F195</f>
        <v>0.80026647542424201</v>
      </c>
      <c r="H195" s="95">
        <f>H93</f>
        <v>83126675</v>
      </c>
      <c r="I195" s="46">
        <f>J195/F195</f>
        <v>0.19973352457575805</v>
      </c>
      <c r="J195" s="95">
        <f>J93</f>
        <v>20747069</v>
      </c>
      <c r="K195" s="48">
        <f>SUM(H195+J195)</f>
        <v>103873744</v>
      </c>
      <c r="L195" s="49">
        <f>H195/K195</f>
        <v>0.80026647542424201</v>
      </c>
      <c r="M195" s="48">
        <f>J195/K195</f>
        <v>0.19973352457575805</v>
      </c>
      <c r="N195" s="46">
        <f>D195/$D$202</f>
        <v>2.0842017507294707E-4</v>
      </c>
      <c r="O195" s="95">
        <v>1092558</v>
      </c>
      <c r="P195" s="95">
        <f>O195*N195*M195</f>
        <v>45.481546507595056</v>
      </c>
      <c r="Q195" s="95">
        <f>O195*N195*L195</f>
        <v>182.22958312975385</v>
      </c>
      <c r="R195" s="29"/>
    </row>
    <row r="196" spans="1:18">
      <c r="A196" s="42" t="s">
        <v>1526</v>
      </c>
      <c r="B196" s="43"/>
      <c r="C196" s="50"/>
      <c r="D196" s="73">
        <v>3</v>
      </c>
      <c r="E196" s="45"/>
      <c r="F196" s="95">
        <f t="shared" si="108"/>
        <v>381732222</v>
      </c>
      <c r="G196" s="46">
        <f t="shared" ref="G196:G201" si="109">H196/F196</f>
        <v>0.7574108716449931</v>
      </c>
      <c r="H196" s="95">
        <f>$H$46</f>
        <v>289128135</v>
      </c>
      <c r="I196" s="46">
        <f t="shared" ref="I196:I201" si="110">J196/F196</f>
        <v>0.24258912835500693</v>
      </c>
      <c r="J196" s="95">
        <f>$J$46</f>
        <v>92604087</v>
      </c>
      <c r="K196" s="48">
        <f t="shared" ref="K196:K201" si="111">SUM(H196+J196)</f>
        <v>381732222</v>
      </c>
      <c r="L196" s="49">
        <f t="shared" ref="L196:L201" si="112">H196/K196</f>
        <v>0.7574108716449931</v>
      </c>
      <c r="M196" s="48">
        <f t="shared" ref="M196:M201" si="113">J196/K196</f>
        <v>0.24258912835500693</v>
      </c>
      <c r="N196" s="46">
        <f t="shared" ref="N196:N201" si="114">D196/$D$202</f>
        <v>6.2526052521884113E-3</v>
      </c>
      <c r="O196" s="95">
        <v>1092558</v>
      </c>
      <c r="P196" s="95">
        <f t="shared" ref="P196:P201" si="115">O196*N196*M196</f>
        <v>1657.2073336637536</v>
      </c>
      <c r="Q196" s="95">
        <f t="shared" ref="Q196:Q201" si="116">O196*N196*L196</f>
        <v>5174.1265554567135</v>
      </c>
      <c r="R196" s="29"/>
    </row>
    <row r="197" spans="1:18">
      <c r="A197" s="42" t="s">
        <v>1436</v>
      </c>
      <c r="B197" s="43"/>
      <c r="C197" s="50"/>
      <c r="D197" s="73">
        <v>5.9</v>
      </c>
      <c r="E197" s="45"/>
      <c r="F197" s="95">
        <f t="shared" si="108"/>
        <v>74696754</v>
      </c>
      <c r="G197" s="46">
        <f t="shared" si="109"/>
        <v>0.25820891761909759</v>
      </c>
      <c r="H197" s="95">
        <f>H73</f>
        <v>19287368</v>
      </c>
      <c r="I197" s="46">
        <f t="shared" si="110"/>
        <v>0.74179108238090241</v>
      </c>
      <c r="J197" s="95">
        <f>J73</f>
        <v>55409386</v>
      </c>
      <c r="K197" s="48">
        <f t="shared" si="111"/>
        <v>74696754</v>
      </c>
      <c r="L197" s="49">
        <f t="shared" si="112"/>
        <v>0.25820891761909759</v>
      </c>
      <c r="M197" s="48">
        <f t="shared" si="113"/>
        <v>0.74179108238090241</v>
      </c>
      <c r="N197" s="46">
        <f t="shared" si="114"/>
        <v>1.2296790329303878E-2</v>
      </c>
      <c r="O197" s="95">
        <v>1092558</v>
      </c>
      <c r="P197" s="95">
        <f t="shared" si="115"/>
        <v>9965.9310341081546</v>
      </c>
      <c r="Q197" s="95">
        <f t="shared" si="116"/>
        <v>3469.0256144954305</v>
      </c>
      <c r="R197" s="29"/>
    </row>
    <row r="198" spans="1:18">
      <c r="A198" s="42" t="s">
        <v>1396</v>
      </c>
      <c r="B198" s="43"/>
      <c r="C198" s="50"/>
      <c r="D198" s="73">
        <v>0.3</v>
      </c>
      <c r="E198" s="45"/>
      <c r="F198" s="95">
        <f t="shared" si="108"/>
        <v>37454086</v>
      </c>
      <c r="G198" s="46">
        <f t="shared" si="109"/>
        <v>0.11424454464060343</v>
      </c>
      <c r="H198" s="95">
        <f>H112</f>
        <v>4278925</v>
      </c>
      <c r="I198" s="46">
        <f t="shared" si="110"/>
        <v>0.88575545535939659</v>
      </c>
      <c r="J198" s="95">
        <f>J112</f>
        <v>33175161</v>
      </c>
      <c r="K198" s="48">
        <f t="shared" si="111"/>
        <v>37454086</v>
      </c>
      <c r="L198" s="49">
        <f t="shared" si="112"/>
        <v>0.11424454464060343</v>
      </c>
      <c r="M198" s="48">
        <f t="shared" si="113"/>
        <v>0.88575545535939659</v>
      </c>
      <c r="N198" s="46">
        <f t="shared" si="114"/>
        <v>6.2526052521884117E-4</v>
      </c>
      <c r="O198" s="95">
        <v>1092558</v>
      </c>
      <c r="P198" s="95">
        <f t="shared" si="115"/>
        <v>605.0891259669977</v>
      </c>
      <c r="Q198" s="95">
        <f t="shared" si="116"/>
        <v>78.044262945049027</v>
      </c>
      <c r="R198" s="29"/>
    </row>
    <row r="199" spans="1:18">
      <c r="A199" s="42" t="s">
        <v>657</v>
      </c>
      <c r="B199" s="43"/>
      <c r="C199" s="50"/>
      <c r="D199" s="73">
        <v>468.5</v>
      </c>
      <c r="E199" s="45"/>
      <c r="F199" s="95">
        <f t="shared" si="108"/>
        <v>259769100</v>
      </c>
      <c r="G199" s="46">
        <f t="shared" si="109"/>
        <v>0.68623093354829345</v>
      </c>
      <c r="H199" s="95">
        <f>$H$57</f>
        <v>178261592</v>
      </c>
      <c r="I199" s="46">
        <f t="shared" si="110"/>
        <v>0.31376906645170655</v>
      </c>
      <c r="J199" s="95">
        <f>$J$57</f>
        <v>81507508</v>
      </c>
      <c r="K199" s="48">
        <f t="shared" si="111"/>
        <v>259769100</v>
      </c>
      <c r="L199" s="49">
        <f t="shared" si="112"/>
        <v>0.68623093354829345</v>
      </c>
      <c r="M199" s="48">
        <f t="shared" si="113"/>
        <v>0.31376906645170655</v>
      </c>
      <c r="N199" s="46">
        <f t="shared" si="114"/>
        <v>0.97644852021675699</v>
      </c>
      <c r="O199" s="95">
        <v>1092558</v>
      </c>
      <c r="P199" s="95">
        <f t="shared" si="115"/>
        <v>334737.19963627547</v>
      </c>
      <c r="Q199" s="95">
        <f t="shared" si="116"/>
        <v>732089.44271470408</v>
      </c>
      <c r="R199" s="29"/>
    </row>
    <row r="200" spans="1:18">
      <c r="A200" s="42" t="s">
        <v>1368</v>
      </c>
      <c r="B200" s="43"/>
      <c r="C200" s="50"/>
      <c r="D200" s="73">
        <v>1</v>
      </c>
      <c r="E200" s="45"/>
      <c r="F200" s="95">
        <f t="shared" si="108"/>
        <v>212827949</v>
      </c>
      <c r="G200" s="46">
        <f t="shared" si="109"/>
        <v>0.80920356000799498</v>
      </c>
      <c r="H200" s="95">
        <f>H63</f>
        <v>172221134</v>
      </c>
      <c r="I200" s="46">
        <f t="shared" si="110"/>
        <v>0.19079643999200499</v>
      </c>
      <c r="J200" s="95">
        <f>J63</f>
        <v>40606815</v>
      </c>
      <c r="K200" s="48">
        <f t="shared" si="111"/>
        <v>212827949</v>
      </c>
      <c r="L200" s="49">
        <f t="shared" si="112"/>
        <v>0.80920356000799498</v>
      </c>
      <c r="M200" s="48">
        <f t="shared" si="113"/>
        <v>0.19079643999200499</v>
      </c>
      <c r="N200" s="46">
        <f t="shared" si="114"/>
        <v>2.0842017507294707E-3</v>
      </c>
      <c r="O200" s="95">
        <v>1092558</v>
      </c>
      <c r="P200" s="95">
        <f t="shared" si="115"/>
        <v>434.4647288136411</v>
      </c>
      <c r="Q200" s="95">
        <f t="shared" si="116"/>
        <v>1842.6465675598479</v>
      </c>
      <c r="R200" s="29"/>
    </row>
    <row r="201" spans="1:18">
      <c r="A201" s="42" t="s">
        <v>1530</v>
      </c>
      <c r="B201" s="43"/>
      <c r="C201" s="50"/>
      <c r="D201" s="73">
        <v>1</v>
      </c>
      <c r="E201" s="45"/>
      <c r="F201" s="95">
        <f t="shared" si="108"/>
        <v>33097510</v>
      </c>
      <c r="G201" s="46">
        <f t="shared" si="109"/>
        <v>0.3301148031981862</v>
      </c>
      <c r="H201" s="95">
        <f>$H$53</f>
        <v>10925978</v>
      </c>
      <c r="I201" s="46">
        <f t="shared" si="110"/>
        <v>0.6698851968018138</v>
      </c>
      <c r="J201" s="95">
        <f>J53</f>
        <v>22171532</v>
      </c>
      <c r="K201" s="48">
        <f t="shared" si="111"/>
        <v>33097510</v>
      </c>
      <c r="L201" s="49">
        <f t="shared" si="112"/>
        <v>0.3301148031981862</v>
      </c>
      <c r="M201" s="48">
        <f t="shared" si="113"/>
        <v>0.6698851968018138</v>
      </c>
      <c r="N201" s="46">
        <f t="shared" si="114"/>
        <v>2.0842017507294707E-3</v>
      </c>
      <c r="O201" s="95">
        <v>1092558</v>
      </c>
      <c r="P201" s="95">
        <f t="shared" si="115"/>
        <v>1525.4031489107881</v>
      </c>
      <c r="Q201" s="95">
        <f t="shared" si="116"/>
        <v>751.70814746270094</v>
      </c>
      <c r="R201" s="29"/>
    </row>
    <row r="202" spans="1:18">
      <c r="A202" s="38" t="s">
        <v>1437</v>
      </c>
      <c r="B202" s="39"/>
      <c r="C202" s="40"/>
      <c r="D202" s="74">
        <f>SUM(D195:D201)</f>
        <v>479.8</v>
      </c>
      <c r="E202" s="41"/>
      <c r="F202" s="91"/>
      <c r="G202" s="40"/>
      <c r="H202" s="91"/>
      <c r="I202" s="40"/>
      <c r="J202" s="91"/>
      <c r="K202" s="40"/>
      <c r="L202" s="40"/>
      <c r="M202" s="40"/>
      <c r="N202" s="40"/>
      <c r="O202" s="91"/>
      <c r="P202" s="91">
        <f>SUM(P195:P201)</f>
        <v>348970.77655424637</v>
      </c>
      <c r="Q202" s="91">
        <f>SUM(Q195:Q201)</f>
        <v>743587.22344575357</v>
      </c>
      <c r="R202" s="37"/>
    </row>
    <row r="203" spans="1:18">
      <c r="A203" s="42" t="s">
        <v>657</v>
      </c>
      <c r="B203" s="43" t="s">
        <v>1485</v>
      </c>
      <c r="C203" s="50" t="s">
        <v>1486</v>
      </c>
      <c r="D203" s="73">
        <v>495.2</v>
      </c>
      <c r="E203" s="45"/>
      <c r="F203" s="95">
        <f>H203+J203</f>
        <v>259769100</v>
      </c>
      <c r="G203" s="46">
        <f>H203/F203</f>
        <v>0.68623093354829345</v>
      </c>
      <c r="H203" s="95">
        <f>$H$57</f>
        <v>178261592</v>
      </c>
      <c r="I203" s="46">
        <f>J203/F203</f>
        <v>0.31376906645170655</v>
      </c>
      <c r="J203" s="95">
        <f>$J$57</f>
        <v>81507508</v>
      </c>
      <c r="K203" s="48">
        <f>SUM(H203+J203)</f>
        <v>259769100</v>
      </c>
      <c r="L203" s="49">
        <f>H203/K203</f>
        <v>0.68623093354829345</v>
      </c>
      <c r="M203" s="48">
        <f>J203/K203</f>
        <v>0.31376906645170655</v>
      </c>
      <c r="N203" s="46">
        <f>D203/$D$204</f>
        <v>1</v>
      </c>
      <c r="O203" s="95">
        <v>1174717</v>
      </c>
      <c r="P203" s="95">
        <f>O203*N203*M203</f>
        <v>368589.85643494938</v>
      </c>
      <c r="Q203" s="95">
        <f>O203*N203*L203</f>
        <v>806127.14356505068</v>
      </c>
      <c r="R203" s="29"/>
    </row>
    <row r="204" spans="1:18">
      <c r="A204" s="38" t="s">
        <v>1438</v>
      </c>
      <c r="B204" s="39"/>
      <c r="C204" s="40"/>
      <c r="D204" s="74">
        <f>SUM(D203)</f>
        <v>495.2</v>
      </c>
      <c r="E204" s="41"/>
      <c r="F204" s="91"/>
      <c r="G204" s="40"/>
      <c r="H204" s="91"/>
      <c r="I204" s="40"/>
      <c r="J204" s="91"/>
      <c r="K204" s="40"/>
      <c r="L204" s="40"/>
      <c r="M204" s="40"/>
      <c r="N204" s="40"/>
      <c r="O204" s="91"/>
      <c r="P204" s="91">
        <f>SUM(P203)</f>
        <v>368589.85643494938</v>
      </c>
      <c r="Q204" s="91">
        <f>SUM(Q203)</f>
        <v>806127.14356505068</v>
      </c>
      <c r="R204" s="37"/>
    </row>
    <row r="205" spans="1:18">
      <c r="A205" s="42" t="s">
        <v>1526</v>
      </c>
      <c r="B205" s="43" t="s">
        <v>1485</v>
      </c>
      <c r="C205" s="50" t="s">
        <v>1486</v>
      </c>
      <c r="D205" s="73">
        <v>428.9</v>
      </c>
      <c r="E205" s="45"/>
      <c r="F205" s="95">
        <f>H205+J205</f>
        <v>381732222</v>
      </c>
      <c r="G205" s="46">
        <f>H205/F205</f>
        <v>0.7574108716449931</v>
      </c>
      <c r="H205" s="95">
        <f>$H$46</f>
        <v>289128135</v>
      </c>
      <c r="I205" s="46">
        <f>J205/F205</f>
        <v>0.24258912835500693</v>
      </c>
      <c r="J205" s="95">
        <f>$J$46</f>
        <v>92604087</v>
      </c>
      <c r="K205" s="48">
        <f>SUM(H205+J205)</f>
        <v>381732222</v>
      </c>
      <c r="L205" s="49">
        <f>H205/K205</f>
        <v>0.7574108716449931</v>
      </c>
      <c r="M205" s="48">
        <f>J205/K205</f>
        <v>0.24258912835500693</v>
      </c>
      <c r="N205" s="46">
        <f>D205/$D$207</f>
        <v>0.99305394767307242</v>
      </c>
      <c r="O205" s="95">
        <v>763208</v>
      </c>
      <c r="P205" s="95">
        <f>O205*N205*M205</f>
        <v>183859.92992316131</v>
      </c>
      <c r="Q205" s="95">
        <f>O205*N205*L205</f>
        <v>574046.78737250902</v>
      </c>
      <c r="R205" s="29"/>
    </row>
    <row r="206" spans="1:18">
      <c r="A206" s="42" t="s">
        <v>1430</v>
      </c>
      <c r="B206" s="43"/>
      <c r="C206" s="50"/>
      <c r="D206" s="73">
        <v>3</v>
      </c>
      <c r="E206" s="45"/>
      <c r="F206" s="95">
        <f>H206+J206</f>
        <v>161754676</v>
      </c>
      <c r="G206" s="46">
        <f>H206/F206</f>
        <v>0.74436929415258446</v>
      </c>
      <c r="H206" s="95">
        <f>H184</f>
        <v>120405214</v>
      </c>
      <c r="I206" s="46">
        <f>J206/F206</f>
        <v>0.25563070584741548</v>
      </c>
      <c r="J206" s="95">
        <f>J184</f>
        <v>41349462</v>
      </c>
      <c r="K206" s="48">
        <f>SUM(H206+J206)</f>
        <v>161754676</v>
      </c>
      <c r="L206" s="49">
        <f>H206/K206</f>
        <v>0.74436929415258446</v>
      </c>
      <c r="M206" s="48">
        <f>J206/K206</f>
        <v>0.25563070584741548</v>
      </c>
      <c r="N206" s="46">
        <f>D206/$D$207</f>
        <v>6.9460523269275296E-3</v>
      </c>
      <c r="O206" s="95">
        <v>763208</v>
      </c>
      <c r="P206" s="95">
        <f>O206*N206*M206</f>
        <v>1355.1706396044983</v>
      </c>
      <c r="Q206" s="95">
        <f>O206*N206*L206</f>
        <v>3946.1120647252069</v>
      </c>
      <c r="R206" s="29"/>
    </row>
    <row r="207" spans="1:18">
      <c r="A207" s="38" t="s">
        <v>1439</v>
      </c>
      <c r="B207" s="39"/>
      <c r="C207" s="40"/>
      <c r="D207" s="74">
        <f>SUM(D205:D206)</f>
        <v>431.9</v>
      </c>
      <c r="E207" s="41"/>
      <c r="F207" s="91"/>
      <c r="G207" s="40"/>
      <c r="H207" s="91"/>
      <c r="I207" s="40"/>
      <c r="J207" s="91"/>
      <c r="K207" s="40"/>
      <c r="L207" s="40"/>
      <c r="M207" s="40"/>
      <c r="N207" s="40"/>
      <c r="O207" s="91"/>
      <c r="P207" s="91">
        <f>SUM(P205:P206)</f>
        <v>185215.10056276582</v>
      </c>
      <c r="Q207" s="91">
        <f>SUM(Q205:Q206)</f>
        <v>577992.89943723427</v>
      </c>
      <c r="R207" s="37"/>
    </row>
    <row r="208" spans="1:18">
      <c r="A208" s="42" t="s">
        <v>582</v>
      </c>
      <c r="B208" s="43" t="s">
        <v>1485</v>
      </c>
      <c r="C208" s="50" t="s">
        <v>1486</v>
      </c>
      <c r="D208" s="73">
        <v>1</v>
      </c>
      <c r="E208" s="45"/>
      <c r="F208" s="95">
        <f t="shared" ref="F208:F229" si="117">H208+J208</f>
        <v>95516913</v>
      </c>
      <c r="G208" s="46">
        <f>H208/F208</f>
        <v>0</v>
      </c>
      <c r="H208" s="95">
        <f>$H$13</f>
        <v>0</v>
      </c>
      <c r="I208" s="46">
        <f>J208/F208</f>
        <v>1</v>
      </c>
      <c r="J208" s="95">
        <f>$J$13</f>
        <v>95516913</v>
      </c>
      <c r="K208" s="48">
        <f>SUM(H208+J208)</f>
        <v>95516913</v>
      </c>
      <c r="L208" s="49">
        <f>H208/K208</f>
        <v>0</v>
      </c>
      <c r="M208" s="48">
        <f>J208/K208</f>
        <v>1</v>
      </c>
      <c r="N208" s="46">
        <f>D208/$D$230</f>
        <v>1.3104442405975623E-3</v>
      </c>
      <c r="O208" s="95">
        <v>1804759</v>
      </c>
      <c r="P208" s="95">
        <f>O208*N208*M208</f>
        <v>2365.036037216616</v>
      </c>
      <c r="Q208" s="95">
        <f>O208*N208*L208</f>
        <v>0</v>
      </c>
      <c r="R208" s="29"/>
    </row>
    <row r="209" spans="1:18">
      <c r="A209" s="42" t="s">
        <v>1501</v>
      </c>
      <c r="B209" s="43"/>
      <c r="C209" s="50"/>
      <c r="D209" s="73">
        <v>0.4</v>
      </c>
      <c r="E209" s="45"/>
      <c r="F209" s="95">
        <f t="shared" si="117"/>
        <v>34151238</v>
      </c>
      <c r="G209" s="46">
        <f>H209/F209</f>
        <v>0.80709888174478472</v>
      </c>
      <c r="H209" s="95">
        <f>$H$19</f>
        <v>27563426</v>
      </c>
      <c r="I209" s="46">
        <f>J209/F209</f>
        <v>0.19290111825521522</v>
      </c>
      <c r="J209" s="95">
        <f>$J$19</f>
        <v>6587812</v>
      </c>
      <c r="K209" s="48">
        <f>SUM(H209+J209)</f>
        <v>34151238</v>
      </c>
      <c r="L209" s="49">
        <f>H209/K209</f>
        <v>0.80709888174478472</v>
      </c>
      <c r="M209" s="48">
        <f>J209/K209</f>
        <v>0.19290111825521522</v>
      </c>
      <c r="N209" s="46">
        <f t="shared" ref="N209:N229" si="118">D209/$D$230</f>
        <v>5.24177696239025E-4</v>
      </c>
      <c r="O209" s="95">
        <v>1804759</v>
      </c>
      <c r="P209" s="95">
        <f>O209*N209*M209</f>
        <v>182.48723851718722</v>
      </c>
      <c r="Q209" s="95">
        <f>O209*N209*L209</f>
        <v>763.5271763694592</v>
      </c>
      <c r="R209" s="29"/>
    </row>
    <row r="210" spans="1:18">
      <c r="A210" s="42" t="s">
        <v>1440</v>
      </c>
      <c r="B210" s="43"/>
      <c r="C210" s="50"/>
      <c r="D210" s="73">
        <v>2</v>
      </c>
      <c r="E210" s="45"/>
      <c r="F210" s="95">
        <f t="shared" si="117"/>
        <v>23211292</v>
      </c>
      <c r="G210" s="46">
        <f t="shared" ref="G210:G229" si="119">H210/F210</f>
        <v>0.19156882779295525</v>
      </c>
      <c r="H210" s="95">
        <f>'rev send dist only'!O127</f>
        <v>4446560</v>
      </c>
      <c r="I210" s="46">
        <f t="shared" ref="I210:I229" si="120">J210/F210</f>
        <v>0.80843117220704475</v>
      </c>
      <c r="J210" s="95">
        <f>'rev send dist only'!J127</f>
        <v>18764732</v>
      </c>
      <c r="K210" s="48">
        <f t="shared" ref="K210:K218" si="121">SUM(H210+J210)</f>
        <v>23211292</v>
      </c>
      <c r="L210" s="49">
        <f t="shared" ref="L210:L218" si="122">H210/K210</f>
        <v>0.19156882779295525</v>
      </c>
      <c r="M210" s="48">
        <f t="shared" ref="M210:M218" si="123">J210/K210</f>
        <v>0.80843117220704475</v>
      </c>
      <c r="N210" s="46">
        <f t="shared" si="118"/>
        <v>2.6208884811951246E-3</v>
      </c>
      <c r="O210" s="95">
        <v>1804759</v>
      </c>
      <c r="P210" s="95">
        <f t="shared" ref="P210:P218" si="124">O210*N210*M210</f>
        <v>3823.9377117578656</v>
      </c>
      <c r="Q210" s="95">
        <f t="shared" ref="Q210:Q218" si="125">O210*N210*L210</f>
        <v>906.13436267536645</v>
      </c>
      <c r="R210" s="29"/>
    </row>
    <row r="211" spans="1:18">
      <c r="A211" s="42" t="s">
        <v>1428</v>
      </c>
      <c r="B211" s="43"/>
      <c r="C211" s="50"/>
      <c r="D211" s="73">
        <v>2</v>
      </c>
      <c r="E211" s="45"/>
      <c r="F211" s="95">
        <f t="shared" si="117"/>
        <v>53132440</v>
      </c>
      <c r="G211" s="46">
        <f t="shared" si="119"/>
        <v>0.46919335908533466</v>
      </c>
      <c r="H211" s="95">
        <f>H170</f>
        <v>24929388</v>
      </c>
      <c r="I211" s="46">
        <f t="shared" si="120"/>
        <v>0.53080664091466534</v>
      </c>
      <c r="J211" s="95">
        <f>J170</f>
        <v>28203052</v>
      </c>
      <c r="K211" s="48">
        <f t="shared" si="121"/>
        <v>53132440</v>
      </c>
      <c r="L211" s="49">
        <f t="shared" si="122"/>
        <v>0.46919335908533466</v>
      </c>
      <c r="M211" s="48">
        <f t="shared" si="123"/>
        <v>0.53080664091466534</v>
      </c>
      <c r="N211" s="46">
        <f t="shared" si="118"/>
        <v>2.6208884811951246E-3</v>
      </c>
      <c r="O211" s="95">
        <v>1804759</v>
      </c>
      <c r="P211" s="95">
        <f t="shared" si="124"/>
        <v>2510.7536691141668</v>
      </c>
      <c r="Q211" s="95">
        <f t="shared" si="125"/>
        <v>2219.3184053190653</v>
      </c>
      <c r="R211" s="29"/>
    </row>
    <row r="212" spans="1:18">
      <c r="A212" s="42" t="s">
        <v>1441</v>
      </c>
      <c r="B212" s="43"/>
      <c r="C212" s="50"/>
      <c r="D212" s="73">
        <v>4.7</v>
      </c>
      <c r="E212" s="45"/>
      <c r="F212" s="95">
        <f t="shared" si="117"/>
        <v>48307268</v>
      </c>
      <c r="G212" s="46">
        <f t="shared" si="119"/>
        <v>0.41395895127002419</v>
      </c>
      <c r="H212" s="95">
        <f>'rev send dist only'!O156</f>
        <v>19997226</v>
      </c>
      <c r="I212" s="46">
        <f t="shared" si="120"/>
        <v>0.58604104872997576</v>
      </c>
      <c r="J212" s="95">
        <f>'rev send dist only'!J156</f>
        <v>28310042</v>
      </c>
      <c r="K212" s="48">
        <f t="shared" si="121"/>
        <v>48307268</v>
      </c>
      <c r="L212" s="49">
        <f t="shared" si="122"/>
        <v>0.41395895127002419</v>
      </c>
      <c r="M212" s="48">
        <f t="shared" si="123"/>
        <v>0.58604104872997576</v>
      </c>
      <c r="N212" s="46">
        <f t="shared" si="118"/>
        <v>6.1590879308085428E-3</v>
      </c>
      <c r="O212" s="95">
        <v>1804759</v>
      </c>
      <c r="P212" s="95">
        <f t="shared" si="124"/>
        <v>6514.2385378126737</v>
      </c>
      <c r="Q212" s="95">
        <f t="shared" si="125"/>
        <v>4601.4308371054194</v>
      </c>
      <c r="R212" s="29"/>
    </row>
    <row r="213" spans="1:18">
      <c r="A213" s="42" t="s">
        <v>1442</v>
      </c>
      <c r="B213" s="43"/>
      <c r="C213" s="50"/>
      <c r="D213" s="73">
        <v>0.7</v>
      </c>
      <c r="E213" s="45"/>
      <c r="F213" s="95">
        <f t="shared" si="117"/>
        <v>2577178</v>
      </c>
      <c r="G213" s="46">
        <f t="shared" si="119"/>
        <v>0.53839199310253305</v>
      </c>
      <c r="H213" s="95">
        <f>'rev send dist only'!O157</f>
        <v>1387532</v>
      </c>
      <c r="I213" s="46">
        <f t="shared" si="120"/>
        <v>0.46160800689746689</v>
      </c>
      <c r="J213" s="95">
        <f>'rev send dist only'!J157</f>
        <v>1189646</v>
      </c>
      <c r="K213" s="48">
        <f t="shared" si="121"/>
        <v>2577178</v>
      </c>
      <c r="L213" s="49">
        <f t="shared" si="122"/>
        <v>0.53839199310253305</v>
      </c>
      <c r="M213" s="48">
        <f t="shared" si="123"/>
        <v>0.46160800689746689</v>
      </c>
      <c r="N213" s="46">
        <f t="shared" si="118"/>
        <v>9.1731096841829354E-4</v>
      </c>
      <c r="O213" s="95">
        <v>1804759</v>
      </c>
      <c r="P213" s="95">
        <f t="shared" si="124"/>
        <v>764.20369996617171</v>
      </c>
      <c r="Q213" s="95">
        <f t="shared" si="125"/>
        <v>891.32152608545925</v>
      </c>
      <c r="R213" s="29"/>
    </row>
    <row r="214" spans="1:18">
      <c r="A214" s="42" t="s">
        <v>1521</v>
      </c>
      <c r="B214" s="43"/>
      <c r="C214" s="50"/>
      <c r="D214" s="73">
        <v>650.70000000000005</v>
      </c>
      <c r="E214" s="45"/>
      <c r="F214" s="95">
        <f t="shared" si="117"/>
        <v>142607869</v>
      </c>
      <c r="G214" s="46">
        <f t="shared" si="119"/>
        <v>0.93287844445666601</v>
      </c>
      <c r="H214" s="95">
        <f>$H$39</f>
        <v>133035807</v>
      </c>
      <c r="I214" s="46">
        <f t="shared" si="120"/>
        <v>6.7121555543334002E-2</v>
      </c>
      <c r="J214" s="95">
        <f>$J$39</f>
        <v>9572062</v>
      </c>
      <c r="K214" s="48">
        <f t="shared" si="121"/>
        <v>142607869</v>
      </c>
      <c r="L214" s="49">
        <f t="shared" si="122"/>
        <v>0.93287844445666601</v>
      </c>
      <c r="M214" s="48">
        <f t="shared" si="123"/>
        <v>6.7121555543334002E-2</v>
      </c>
      <c r="N214" s="46">
        <f t="shared" si="118"/>
        <v>0.85270606735683385</v>
      </c>
      <c r="O214" s="95">
        <v>1804759</v>
      </c>
      <c r="P214" s="95">
        <f t="shared" si="124"/>
        <v>103295.30495552788</v>
      </c>
      <c r="Q214" s="95">
        <f t="shared" si="125"/>
        <v>1435633.6444613242</v>
      </c>
      <c r="R214" s="29"/>
    </row>
    <row r="215" spans="1:18">
      <c r="A215" s="42" t="s">
        <v>1381</v>
      </c>
      <c r="B215" s="43"/>
      <c r="C215" s="50"/>
      <c r="D215" s="73">
        <v>3.6</v>
      </c>
      <c r="E215" s="45"/>
      <c r="F215" s="95">
        <f t="shared" si="117"/>
        <v>140289607</v>
      </c>
      <c r="G215" s="46">
        <f t="shared" si="119"/>
        <v>1.4410397485823736E-2</v>
      </c>
      <c r="H215" s="95">
        <f>H85</f>
        <v>2021629</v>
      </c>
      <c r="I215" s="46">
        <f t="shared" si="120"/>
        <v>0.98558960251417627</v>
      </c>
      <c r="J215" s="95">
        <f>J85</f>
        <v>138267978</v>
      </c>
      <c r="K215" s="48">
        <f t="shared" si="121"/>
        <v>140289607</v>
      </c>
      <c r="L215" s="49">
        <f t="shared" si="122"/>
        <v>1.4410397485823736E-2</v>
      </c>
      <c r="M215" s="48">
        <f t="shared" si="123"/>
        <v>0.98558960251417627</v>
      </c>
      <c r="N215" s="46">
        <f t="shared" si="118"/>
        <v>4.7175992661512246E-3</v>
      </c>
      <c r="O215" s="95">
        <v>1804759</v>
      </c>
      <c r="P215" s="95">
        <f t="shared" si="124"/>
        <v>8391.4377402672981</v>
      </c>
      <c r="Q215" s="95">
        <f t="shared" si="125"/>
        <v>122.69199371251989</v>
      </c>
      <c r="R215" s="29"/>
    </row>
    <row r="216" spans="1:18">
      <c r="A216" s="42" t="s">
        <v>1379</v>
      </c>
      <c r="B216" s="43"/>
      <c r="C216" s="50"/>
      <c r="D216" s="73">
        <v>6.6</v>
      </c>
      <c r="E216" s="45"/>
      <c r="F216" s="95">
        <f t="shared" si="117"/>
        <v>19550231</v>
      </c>
      <c r="G216" s="46">
        <f t="shared" si="119"/>
        <v>0.37506630995817902</v>
      </c>
      <c r="H216" s="95">
        <f>H79</f>
        <v>7332633</v>
      </c>
      <c r="I216" s="46">
        <f t="shared" si="120"/>
        <v>0.62493369004182098</v>
      </c>
      <c r="J216" s="95">
        <f>J79</f>
        <v>12217598</v>
      </c>
      <c r="K216" s="48">
        <f t="shared" si="121"/>
        <v>19550231</v>
      </c>
      <c r="L216" s="49">
        <f t="shared" si="122"/>
        <v>0.37506630995817902</v>
      </c>
      <c r="M216" s="48">
        <f t="shared" si="123"/>
        <v>0.62493369004182098</v>
      </c>
      <c r="N216" s="46">
        <f t="shared" si="118"/>
        <v>8.648931987943911E-3</v>
      </c>
      <c r="O216" s="95">
        <v>1804759</v>
      </c>
      <c r="P216" s="95">
        <f t="shared" si="124"/>
        <v>9754.7386056097912</v>
      </c>
      <c r="Q216" s="95">
        <f t="shared" si="125"/>
        <v>5854.4992400198744</v>
      </c>
      <c r="R216" s="29"/>
    </row>
    <row r="217" spans="1:18">
      <c r="A217" s="42" t="s">
        <v>1443</v>
      </c>
      <c r="B217" s="43"/>
      <c r="C217" s="50"/>
      <c r="D217" s="73">
        <v>1</v>
      </c>
      <c r="E217" s="45"/>
      <c r="F217" s="95">
        <f t="shared" si="117"/>
        <v>5678041</v>
      </c>
      <c r="G217" s="46">
        <f t="shared" si="119"/>
        <v>0.36179837377010837</v>
      </c>
      <c r="H217" s="95">
        <f>'rev send dist only'!O174</f>
        <v>2054306</v>
      </c>
      <c r="I217" s="46">
        <f t="shared" si="120"/>
        <v>0.63820162622989163</v>
      </c>
      <c r="J217" s="95">
        <f>'rev send dist only'!J174</f>
        <v>3623735</v>
      </c>
      <c r="K217" s="48">
        <f t="shared" si="121"/>
        <v>5678041</v>
      </c>
      <c r="L217" s="49">
        <f t="shared" si="122"/>
        <v>0.36179837377010837</v>
      </c>
      <c r="M217" s="48">
        <f t="shared" si="123"/>
        <v>0.63820162622989163</v>
      </c>
      <c r="N217" s="46">
        <f t="shared" si="118"/>
        <v>1.3104442405975623E-3</v>
      </c>
      <c r="O217" s="95">
        <v>1804759</v>
      </c>
      <c r="P217" s="95">
        <f t="shared" si="124"/>
        <v>1509.3698450439429</v>
      </c>
      <c r="Q217" s="95">
        <f t="shared" si="125"/>
        <v>855.66619217267316</v>
      </c>
      <c r="R217" s="29"/>
    </row>
    <row r="218" spans="1:18">
      <c r="A218" s="42" t="s">
        <v>1371</v>
      </c>
      <c r="B218" s="43"/>
      <c r="C218" s="50"/>
      <c r="D218" s="73">
        <v>3</v>
      </c>
      <c r="E218" s="45"/>
      <c r="F218" s="95">
        <f t="shared" si="117"/>
        <v>25206777</v>
      </c>
      <c r="G218" s="46">
        <f t="shared" si="119"/>
        <v>0.45348772673317178</v>
      </c>
      <c r="H218" s="95">
        <f>H67</f>
        <v>11430964</v>
      </c>
      <c r="I218" s="46">
        <f t="shared" si="120"/>
        <v>0.54651227326682816</v>
      </c>
      <c r="J218" s="95">
        <f>J67</f>
        <v>13775813</v>
      </c>
      <c r="K218" s="48">
        <f t="shared" si="121"/>
        <v>25206777</v>
      </c>
      <c r="L218" s="49">
        <f t="shared" si="122"/>
        <v>0.45348772673317178</v>
      </c>
      <c r="M218" s="48">
        <f t="shared" si="123"/>
        <v>0.54651227326682816</v>
      </c>
      <c r="N218" s="46">
        <f t="shared" si="118"/>
        <v>3.9313327217926873E-3</v>
      </c>
      <c r="O218" s="95">
        <v>1804759</v>
      </c>
      <c r="P218" s="95">
        <f t="shared" si="124"/>
        <v>3877.5636631716716</v>
      </c>
      <c r="Q218" s="95">
        <f t="shared" si="125"/>
        <v>3217.5444484781769</v>
      </c>
      <c r="R218" s="29"/>
    </row>
    <row r="219" spans="1:18">
      <c r="A219" s="42" t="s">
        <v>1444</v>
      </c>
      <c r="B219" s="43"/>
      <c r="C219" s="50"/>
      <c r="D219" s="73">
        <v>1</v>
      </c>
      <c r="E219" s="45"/>
      <c r="F219" s="95">
        <f t="shared" si="117"/>
        <v>4539783</v>
      </c>
      <c r="G219" s="46">
        <f t="shared" si="119"/>
        <v>0.14172065052448543</v>
      </c>
      <c r="H219" s="95">
        <f>'rev send dist only'!O177</f>
        <v>643381</v>
      </c>
      <c r="I219" s="46">
        <f t="shared" si="120"/>
        <v>0.85827934947551454</v>
      </c>
      <c r="J219" s="95">
        <f>'rev send dist only'!J177</f>
        <v>3896402</v>
      </c>
      <c r="K219" s="48">
        <f t="shared" ref="K219:K229" si="126">SUM(H219+J219)</f>
        <v>4539783</v>
      </c>
      <c r="L219" s="49">
        <f t="shared" ref="L219:L229" si="127">H219/K219</f>
        <v>0.14172065052448543</v>
      </c>
      <c r="M219" s="48">
        <f t="shared" ref="M219:M229" si="128">J219/K219</f>
        <v>0.85827934947551454</v>
      </c>
      <c r="N219" s="46">
        <f t="shared" si="118"/>
        <v>1.3104442405975623E-3</v>
      </c>
      <c r="O219" s="95">
        <v>1804759</v>
      </c>
      <c r="P219" s="95">
        <f t="shared" ref="P219:P229" si="129">O219*N219*M219</f>
        <v>2029.861591508426</v>
      </c>
      <c r="Q219" s="95">
        <f t="shared" ref="Q219:Q229" si="130">O219*N219*L219</f>
        <v>335.17444570818998</v>
      </c>
      <c r="R219" s="29"/>
    </row>
    <row r="220" spans="1:18">
      <c r="A220" s="42" t="s">
        <v>1523</v>
      </c>
      <c r="B220" s="43"/>
      <c r="C220" s="50"/>
      <c r="D220" s="73">
        <v>59.5</v>
      </c>
      <c r="E220" s="45"/>
      <c r="F220" s="95">
        <f t="shared" si="117"/>
        <v>55109391</v>
      </c>
      <c r="G220" s="46">
        <f t="shared" si="119"/>
        <v>0.37803192200037194</v>
      </c>
      <c r="H220" s="95">
        <f>$H$40</f>
        <v>20833109</v>
      </c>
      <c r="I220" s="46">
        <f t="shared" si="120"/>
        <v>0.62196807799962806</v>
      </c>
      <c r="J220" s="95">
        <f>$J$40</f>
        <v>34276282</v>
      </c>
      <c r="K220" s="48">
        <f t="shared" si="126"/>
        <v>55109391</v>
      </c>
      <c r="L220" s="49">
        <f t="shared" si="127"/>
        <v>0.37803192200037194</v>
      </c>
      <c r="M220" s="48">
        <f t="shared" si="128"/>
        <v>0.62196807799962806</v>
      </c>
      <c r="N220" s="46">
        <f t="shared" si="118"/>
        <v>7.7971432315554964E-2</v>
      </c>
      <c r="O220" s="95">
        <v>1804759</v>
      </c>
      <c r="P220" s="95">
        <f t="shared" si="129"/>
        <v>87523.126648814796</v>
      </c>
      <c r="Q220" s="95">
        <f t="shared" si="130"/>
        <v>53196.517565573864</v>
      </c>
      <c r="R220" s="29"/>
    </row>
    <row r="221" spans="1:18">
      <c r="A221" s="42" t="s">
        <v>1445</v>
      </c>
      <c r="B221" s="43"/>
      <c r="C221" s="50"/>
      <c r="D221" s="73">
        <v>1</v>
      </c>
      <c r="E221" s="45"/>
      <c r="F221" s="95">
        <f t="shared" si="117"/>
        <v>10851771</v>
      </c>
      <c r="G221" s="46">
        <f t="shared" si="119"/>
        <v>0.34684495277314642</v>
      </c>
      <c r="H221" s="95">
        <f>'rev send dist only'!O184</f>
        <v>3763882</v>
      </c>
      <c r="I221" s="46">
        <f t="shared" si="120"/>
        <v>0.65315504722685358</v>
      </c>
      <c r="J221" s="95">
        <f>'rev send dist only'!J184</f>
        <v>7087889</v>
      </c>
      <c r="K221" s="48">
        <f t="shared" si="126"/>
        <v>10851771</v>
      </c>
      <c r="L221" s="49">
        <f t="shared" si="127"/>
        <v>0.34684495277314642</v>
      </c>
      <c r="M221" s="48">
        <f t="shared" si="128"/>
        <v>0.65315504722685358</v>
      </c>
      <c r="N221" s="46">
        <f t="shared" si="118"/>
        <v>1.3104442405975623E-3</v>
      </c>
      <c r="O221" s="95">
        <v>1804759</v>
      </c>
      <c r="P221" s="95">
        <f t="shared" si="129"/>
        <v>1544.7352245814295</v>
      </c>
      <c r="Q221" s="95">
        <f t="shared" si="130"/>
        <v>820.3008126351865</v>
      </c>
      <c r="R221" s="29"/>
    </row>
    <row r="222" spans="1:18">
      <c r="A222" s="42" t="s">
        <v>1446</v>
      </c>
      <c r="B222" s="43"/>
      <c r="C222" s="50"/>
      <c r="D222" s="73">
        <v>0.4</v>
      </c>
      <c r="E222" s="45"/>
      <c r="F222" s="95">
        <f t="shared" si="117"/>
        <v>38778049</v>
      </c>
      <c r="G222" s="46">
        <f t="shared" si="119"/>
        <v>7.0326230182441621E-2</v>
      </c>
      <c r="H222" s="95">
        <f>'rev send dist only'!O186</f>
        <v>2727114</v>
      </c>
      <c r="I222" s="46">
        <f t="shared" si="120"/>
        <v>0.92967376981755834</v>
      </c>
      <c r="J222" s="95">
        <f>'rev send dist only'!J186</f>
        <v>36050935</v>
      </c>
      <c r="K222" s="48">
        <f t="shared" si="126"/>
        <v>38778049</v>
      </c>
      <c r="L222" s="49">
        <f t="shared" si="127"/>
        <v>7.0326230182441621E-2</v>
      </c>
      <c r="M222" s="48">
        <f t="shared" si="128"/>
        <v>0.92967376981755834</v>
      </c>
      <c r="N222" s="46">
        <f t="shared" si="118"/>
        <v>5.24177696239025E-4</v>
      </c>
      <c r="O222" s="95">
        <v>1804759</v>
      </c>
      <c r="P222" s="95">
        <f t="shared" si="129"/>
        <v>879.48478738942026</v>
      </c>
      <c r="Q222" s="95">
        <f t="shared" si="130"/>
        <v>66.52962749722613</v>
      </c>
      <c r="R222" s="29"/>
    </row>
    <row r="223" spans="1:18">
      <c r="A223" s="42" t="s">
        <v>1447</v>
      </c>
      <c r="B223" s="43"/>
      <c r="C223" s="50"/>
      <c r="D223" s="73">
        <v>2</v>
      </c>
      <c r="E223" s="45"/>
      <c r="F223" s="95">
        <f t="shared" si="117"/>
        <v>17992238</v>
      </c>
      <c r="G223" s="46">
        <f t="shared" si="119"/>
        <v>0.38358202020226723</v>
      </c>
      <c r="H223" s="95">
        <f>'rev send dist only'!O187</f>
        <v>6901499</v>
      </c>
      <c r="I223" s="46">
        <f t="shared" si="120"/>
        <v>0.61641797979773283</v>
      </c>
      <c r="J223" s="95">
        <f>'rev send dist only'!J187</f>
        <v>11090739</v>
      </c>
      <c r="K223" s="48">
        <f t="shared" si="126"/>
        <v>17992238</v>
      </c>
      <c r="L223" s="49">
        <f t="shared" si="127"/>
        <v>0.38358202020226723</v>
      </c>
      <c r="M223" s="48">
        <f t="shared" si="128"/>
        <v>0.61641797979773283</v>
      </c>
      <c r="N223" s="46">
        <f t="shared" si="118"/>
        <v>2.6208884811951246E-3</v>
      </c>
      <c r="O223" s="95">
        <v>1804759</v>
      </c>
      <c r="P223" s="95">
        <f t="shared" si="129"/>
        <v>2915.7014724198043</v>
      </c>
      <c r="Q223" s="95">
        <f t="shared" si="130"/>
        <v>1814.370602013428</v>
      </c>
      <c r="R223" s="29"/>
    </row>
    <row r="224" spans="1:18">
      <c r="A224" s="42" t="s">
        <v>1524</v>
      </c>
      <c r="B224" s="43"/>
      <c r="C224" s="50"/>
      <c r="D224" s="73">
        <v>1.1000000000000001</v>
      </c>
      <c r="E224" s="45"/>
      <c r="F224" s="95">
        <f t="shared" si="117"/>
        <v>62017064</v>
      </c>
      <c r="G224" s="46">
        <f t="shared" si="119"/>
        <v>0.41221915955260313</v>
      </c>
      <c r="H224" s="95">
        <f>$H$44</f>
        <v>25564622</v>
      </c>
      <c r="I224" s="46">
        <f t="shared" si="120"/>
        <v>0.58778084044739687</v>
      </c>
      <c r="J224" s="95">
        <f>$J$44</f>
        <v>36452442</v>
      </c>
      <c r="K224" s="48">
        <f t="shared" si="126"/>
        <v>62017064</v>
      </c>
      <c r="L224" s="49">
        <f t="shared" si="127"/>
        <v>0.41221915955260313</v>
      </c>
      <c r="M224" s="48">
        <f t="shared" si="128"/>
        <v>0.58778084044739687</v>
      </c>
      <c r="N224" s="46">
        <f t="shared" si="118"/>
        <v>1.4414886646573187E-3</v>
      </c>
      <c r="O224" s="95">
        <v>1804759</v>
      </c>
      <c r="P224" s="95">
        <f t="shared" si="129"/>
        <v>1529.13515660792</v>
      </c>
      <c r="Q224" s="95">
        <f t="shared" si="130"/>
        <v>1072.4044843303579</v>
      </c>
      <c r="R224" s="29"/>
    </row>
    <row r="225" spans="1:18">
      <c r="A225" s="42" t="s">
        <v>1372</v>
      </c>
      <c r="B225" s="43"/>
      <c r="C225" s="50"/>
      <c r="D225" s="73">
        <v>15</v>
      </c>
      <c r="E225" s="45"/>
      <c r="F225" s="95">
        <f t="shared" si="117"/>
        <v>5064432</v>
      </c>
      <c r="G225" s="46">
        <f t="shared" si="119"/>
        <v>0.65576080397564818</v>
      </c>
      <c r="H225" s="95">
        <f>H69</f>
        <v>3321056</v>
      </c>
      <c r="I225" s="46">
        <f t="shared" si="120"/>
        <v>0.34423919602435177</v>
      </c>
      <c r="J225" s="95">
        <f>J69</f>
        <v>1743376</v>
      </c>
      <c r="K225" s="48">
        <f t="shared" si="126"/>
        <v>5064432</v>
      </c>
      <c r="L225" s="49">
        <f t="shared" si="127"/>
        <v>0.65576080397564818</v>
      </c>
      <c r="M225" s="48">
        <f t="shared" si="128"/>
        <v>0.34423919602435177</v>
      </c>
      <c r="N225" s="46">
        <f t="shared" si="118"/>
        <v>1.9656663608963437E-2</v>
      </c>
      <c r="O225" s="95">
        <v>1804759</v>
      </c>
      <c r="P225" s="95">
        <f t="shared" si="129"/>
        <v>12212.071560301003</v>
      </c>
      <c r="Q225" s="95">
        <f t="shared" si="130"/>
        <v>23263.468997948239</v>
      </c>
      <c r="R225" s="29"/>
    </row>
    <row r="226" spans="1:18">
      <c r="A226" s="42" t="s">
        <v>1448</v>
      </c>
      <c r="B226" s="43"/>
      <c r="C226" s="50"/>
      <c r="D226" s="73">
        <v>4.2</v>
      </c>
      <c r="E226" s="45"/>
      <c r="F226" s="95">
        <f t="shared" si="117"/>
        <v>42174683</v>
      </c>
      <c r="G226" s="46">
        <f t="shared" si="119"/>
        <v>0.26967382303738952</v>
      </c>
      <c r="H226" s="95">
        <f>'rev send dist only'!O250</f>
        <v>11373408</v>
      </c>
      <c r="I226" s="46">
        <f t="shared" si="120"/>
        <v>0.73032617696261048</v>
      </c>
      <c r="J226" s="95">
        <f>'rev send dist only'!J250</f>
        <v>30801275</v>
      </c>
      <c r="K226" s="48">
        <f t="shared" si="126"/>
        <v>42174683</v>
      </c>
      <c r="L226" s="49">
        <f t="shared" si="127"/>
        <v>0.26967382303738952</v>
      </c>
      <c r="M226" s="48">
        <f t="shared" si="128"/>
        <v>0.73032617696261048</v>
      </c>
      <c r="N226" s="46">
        <f t="shared" si="118"/>
        <v>5.5038658105097619E-3</v>
      </c>
      <c r="O226" s="95">
        <v>1804759</v>
      </c>
      <c r="P226" s="95">
        <f t="shared" si="129"/>
        <v>7254.4404552446958</v>
      </c>
      <c r="Q226" s="95">
        <f t="shared" si="130"/>
        <v>2678.7109010650911</v>
      </c>
      <c r="R226" s="29"/>
    </row>
    <row r="227" spans="1:18">
      <c r="A227" s="42" t="s">
        <v>1449</v>
      </c>
      <c r="B227" s="43"/>
      <c r="C227" s="50"/>
      <c r="D227" s="73">
        <v>0.2</v>
      </c>
      <c r="E227" s="45"/>
      <c r="F227" s="95">
        <f t="shared" si="117"/>
        <v>23275457</v>
      </c>
      <c r="G227" s="46">
        <f t="shared" si="119"/>
        <v>0.34021518890048003</v>
      </c>
      <c r="H227" s="95">
        <f>'rev send dist only'!O255</f>
        <v>7918664</v>
      </c>
      <c r="I227" s="46">
        <f t="shared" si="120"/>
        <v>0.65978481109952003</v>
      </c>
      <c r="J227" s="95">
        <f>'rev send dist only'!J255</f>
        <v>15356793</v>
      </c>
      <c r="K227" s="48">
        <f t="shared" si="126"/>
        <v>23275457</v>
      </c>
      <c r="L227" s="49">
        <f t="shared" si="127"/>
        <v>0.34021518890048003</v>
      </c>
      <c r="M227" s="48">
        <f t="shared" si="128"/>
        <v>0.65978481109952003</v>
      </c>
      <c r="N227" s="46">
        <f t="shared" si="118"/>
        <v>2.620888481195125E-4</v>
      </c>
      <c r="O227" s="95">
        <v>1804759</v>
      </c>
      <c r="P227" s="95">
        <f t="shared" si="129"/>
        <v>312.0829710117045</v>
      </c>
      <c r="Q227" s="95">
        <f t="shared" si="130"/>
        <v>160.92423643161877</v>
      </c>
      <c r="R227" s="29"/>
    </row>
    <row r="228" spans="1:18">
      <c r="A228" s="42" t="s">
        <v>1284</v>
      </c>
      <c r="B228" s="43"/>
      <c r="C228" s="50"/>
      <c r="D228" s="73">
        <v>2</v>
      </c>
      <c r="E228" s="45"/>
      <c r="F228" s="95">
        <f t="shared" si="117"/>
        <v>17131330</v>
      </c>
      <c r="G228" s="46">
        <f t="shared" si="119"/>
        <v>0.33660340440584591</v>
      </c>
      <c r="H228" s="95">
        <f>'rev send dist only'!O275</f>
        <v>5766464</v>
      </c>
      <c r="I228" s="46">
        <f t="shared" si="120"/>
        <v>0.66339659559415409</v>
      </c>
      <c r="J228" s="95">
        <f>'rev send dist only'!J275</f>
        <v>11364866</v>
      </c>
      <c r="K228" s="48">
        <f t="shared" si="126"/>
        <v>17131330</v>
      </c>
      <c r="L228" s="49">
        <f t="shared" si="127"/>
        <v>0.33660340440584591</v>
      </c>
      <c r="M228" s="48">
        <f t="shared" si="128"/>
        <v>0.66339659559415409</v>
      </c>
      <c r="N228" s="46">
        <f t="shared" si="118"/>
        <v>2.6208884811951246E-3</v>
      </c>
      <c r="O228" s="95">
        <v>1804759</v>
      </c>
      <c r="P228" s="95">
        <f t="shared" si="129"/>
        <v>3137.9137110939846</v>
      </c>
      <c r="Q228" s="95">
        <f t="shared" si="130"/>
        <v>1592.1583633392477</v>
      </c>
      <c r="R228" s="29"/>
    </row>
    <row r="229" spans="1:18">
      <c r="A229" s="42" t="s">
        <v>1285</v>
      </c>
      <c r="B229" s="43"/>
      <c r="C229" s="50"/>
      <c r="D229" s="73">
        <v>1</v>
      </c>
      <c r="E229" s="45"/>
      <c r="F229" s="95">
        <f t="shared" si="117"/>
        <v>54350491</v>
      </c>
      <c r="G229" s="46">
        <f t="shared" si="119"/>
        <v>0</v>
      </c>
      <c r="H229" s="95">
        <f>'rev send dist only'!O325</f>
        <v>0</v>
      </c>
      <c r="I229" s="46">
        <f t="shared" si="120"/>
        <v>1</v>
      </c>
      <c r="J229" s="95">
        <f>'rev send dist only'!J325</f>
        <v>54350491</v>
      </c>
      <c r="K229" s="48">
        <f t="shared" si="126"/>
        <v>54350491</v>
      </c>
      <c r="L229" s="49">
        <f t="shared" si="127"/>
        <v>0</v>
      </c>
      <c r="M229" s="48">
        <f t="shared" si="128"/>
        <v>1</v>
      </c>
      <c r="N229" s="46">
        <f t="shared" si="118"/>
        <v>1.3104442405975623E-3</v>
      </c>
      <c r="O229" s="95">
        <v>1804759</v>
      </c>
      <c r="P229" s="95">
        <f t="shared" si="129"/>
        <v>2365.036037216616</v>
      </c>
      <c r="Q229" s="95">
        <f t="shared" si="130"/>
        <v>0</v>
      </c>
      <c r="R229" s="29"/>
    </row>
    <row r="230" spans="1:18">
      <c r="A230" s="38" t="s">
        <v>1286</v>
      </c>
      <c r="B230" s="39"/>
      <c r="C230" s="40"/>
      <c r="D230" s="74">
        <f>SUM(D208:D229)</f>
        <v>763.10000000000014</v>
      </c>
      <c r="E230" s="41"/>
      <c r="F230" s="91"/>
      <c r="G230" s="40"/>
      <c r="H230" s="91"/>
      <c r="I230" s="40"/>
      <c r="J230" s="91"/>
      <c r="K230" s="40"/>
      <c r="L230" s="40"/>
      <c r="M230" s="40"/>
      <c r="N230" s="40"/>
      <c r="O230" s="91"/>
      <c r="P230" s="91">
        <f>SUM(P208:P229)</f>
        <v>264692.66132019513</v>
      </c>
      <c r="Q230" s="91">
        <f>SUM(Q208:Q229)</f>
        <v>1540066.3386798047</v>
      </c>
      <c r="R230" s="37"/>
    </row>
    <row r="231" spans="1:18">
      <c r="A231" s="42" t="s">
        <v>657</v>
      </c>
      <c r="B231" s="43" t="s">
        <v>1485</v>
      </c>
      <c r="C231" s="50" t="s">
        <v>1486</v>
      </c>
      <c r="D231" s="73">
        <v>321.89999999999998</v>
      </c>
      <c r="E231" s="45"/>
      <c r="F231" s="95">
        <f>H231+J231</f>
        <v>259769100</v>
      </c>
      <c r="G231" s="46">
        <f>H231/F231</f>
        <v>0.68623093354829345</v>
      </c>
      <c r="H231" s="95">
        <f>$H$57</f>
        <v>178261592</v>
      </c>
      <c r="I231" s="46">
        <f>J231/F231</f>
        <v>0.31376906645170655</v>
      </c>
      <c r="J231" s="95">
        <f>$J$57</f>
        <v>81507508</v>
      </c>
      <c r="K231" s="48">
        <f>SUM(H231+J231)</f>
        <v>259769100</v>
      </c>
      <c r="L231" s="49">
        <f>H231/K231</f>
        <v>0.68623093354829345</v>
      </c>
      <c r="M231" s="48">
        <f>J231/K231</f>
        <v>0.31376906645170655</v>
      </c>
      <c r="N231" s="46">
        <f>D231/$D$232</f>
        <v>1</v>
      </c>
      <c r="O231" s="95">
        <v>849030</v>
      </c>
      <c r="P231" s="95">
        <f>O231*N231*M231</f>
        <v>266399.35048949241</v>
      </c>
      <c r="Q231" s="95">
        <f>O231*N231*L231</f>
        <v>582630.64951050759</v>
      </c>
      <c r="R231" s="29"/>
    </row>
    <row r="232" spans="1:18">
      <c r="A232" s="38" t="s">
        <v>1287</v>
      </c>
      <c r="B232" s="39"/>
      <c r="C232" s="40"/>
      <c r="D232" s="74">
        <f>SUM(D231)</f>
        <v>321.89999999999998</v>
      </c>
      <c r="E232" s="41"/>
      <c r="F232" s="91"/>
      <c r="G232" s="40"/>
      <c r="H232" s="91"/>
      <c r="I232" s="40"/>
      <c r="J232" s="91"/>
      <c r="K232" s="40"/>
      <c r="L232" s="40"/>
      <c r="M232" s="40"/>
      <c r="N232" s="40"/>
      <c r="O232" s="91"/>
      <c r="P232" s="91">
        <f>SUM(P231)</f>
        <v>266399.35048949241</v>
      </c>
      <c r="Q232" s="91">
        <f>SUM(Q231)</f>
        <v>582630.64951050759</v>
      </c>
      <c r="R232" s="37"/>
    </row>
    <row r="233" spans="1:18">
      <c r="A233" s="42" t="s">
        <v>1526</v>
      </c>
      <c r="B233" s="43" t="s">
        <v>1485</v>
      </c>
      <c r="C233" s="50" t="s">
        <v>1486</v>
      </c>
      <c r="D233" s="73">
        <v>357</v>
      </c>
      <c r="E233" s="45"/>
      <c r="F233" s="95">
        <f>H233+J233</f>
        <v>381732222</v>
      </c>
      <c r="G233" s="46">
        <f>H233/F233</f>
        <v>0.7574108716449931</v>
      </c>
      <c r="H233" s="95">
        <f>$H$46</f>
        <v>289128135</v>
      </c>
      <c r="I233" s="46">
        <f>J233/F233</f>
        <v>0.24258912835500693</v>
      </c>
      <c r="J233" s="95">
        <f>$J$46</f>
        <v>92604087</v>
      </c>
      <c r="K233" s="48">
        <f>SUM(H233+J233)</f>
        <v>381732222</v>
      </c>
      <c r="L233" s="49">
        <f>H233/K233</f>
        <v>0.7574108716449931</v>
      </c>
      <c r="M233" s="48">
        <f>J233/K233</f>
        <v>0.24258912835500693</v>
      </c>
      <c r="N233" s="46">
        <f>D233/$D$234</f>
        <v>1</v>
      </c>
      <c r="O233" s="95">
        <v>632331</v>
      </c>
      <c r="P233" s="95">
        <f>O233*N233*M233</f>
        <v>153396.6261218499</v>
      </c>
      <c r="Q233" s="95">
        <f>O233*N233*L233</f>
        <v>478934.37387815013</v>
      </c>
      <c r="R233" s="29"/>
    </row>
    <row r="234" spans="1:18">
      <c r="A234" s="38" t="s">
        <v>1288</v>
      </c>
      <c r="B234" s="39"/>
      <c r="C234" s="40"/>
      <c r="D234" s="74">
        <f>SUM(D233)</f>
        <v>357</v>
      </c>
      <c r="E234" s="41"/>
      <c r="F234" s="91"/>
      <c r="G234" s="40"/>
      <c r="H234" s="91"/>
      <c r="I234" s="40"/>
      <c r="J234" s="91"/>
      <c r="K234" s="40"/>
      <c r="L234" s="40"/>
      <c r="M234" s="40"/>
      <c r="N234" s="40"/>
      <c r="O234" s="91"/>
      <c r="P234" s="91">
        <f>SUM(P233)</f>
        <v>153396.6261218499</v>
      </c>
      <c r="Q234" s="91">
        <f>SUM(Q233)</f>
        <v>478934.37387815013</v>
      </c>
      <c r="R234" s="37"/>
    </row>
    <row r="235" spans="1:18">
      <c r="A235" s="42" t="s">
        <v>1526</v>
      </c>
      <c r="B235" s="43" t="s">
        <v>1485</v>
      </c>
      <c r="C235" s="50" t="s">
        <v>1486</v>
      </c>
      <c r="D235" s="73">
        <v>171.3</v>
      </c>
      <c r="E235" s="45"/>
      <c r="F235" s="95">
        <f>H235+J235</f>
        <v>381732222</v>
      </c>
      <c r="G235" s="46">
        <f>H235/F235</f>
        <v>0.7574108716449931</v>
      </c>
      <c r="H235" s="95">
        <f>$H$46</f>
        <v>289128135</v>
      </c>
      <c r="I235" s="46">
        <f>J235/F235</f>
        <v>0.24258912835500693</v>
      </c>
      <c r="J235" s="95">
        <f>$J$46</f>
        <v>92604087</v>
      </c>
      <c r="K235" s="48">
        <f>SUM(H235+J235)</f>
        <v>381732222</v>
      </c>
      <c r="L235" s="49">
        <f>H235/K235</f>
        <v>0.7574108716449931</v>
      </c>
      <c r="M235" s="48">
        <f>J235/K235</f>
        <v>0.24258912835500693</v>
      </c>
      <c r="N235" s="46">
        <f>D235/$D$236</f>
        <v>1</v>
      </c>
      <c r="O235" s="95">
        <v>344241</v>
      </c>
      <c r="P235" s="95">
        <f>O235*N235*M235</f>
        <v>83509.124134055935</v>
      </c>
      <c r="Q235" s="95">
        <f>O235*N235*L235</f>
        <v>260731.87586594408</v>
      </c>
      <c r="R235" s="29"/>
    </row>
    <row r="236" spans="1:18">
      <c r="A236" s="38" t="s">
        <v>1289</v>
      </c>
      <c r="B236" s="39"/>
      <c r="C236" s="40"/>
      <c r="D236" s="74">
        <f>SUM(D235)</f>
        <v>171.3</v>
      </c>
      <c r="E236" s="41"/>
      <c r="F236" s="91"/>
      <c r="G236" s="40"/>
      <c r="H236" s="91"/>
      <c r="I236" s="40"/>
      <c r="J236" s="91"/>
      <c r="K236" s="40"/>
      <c r="L236" s="40"/>
      <c r="M236" s="40"/>
      <c r="N236" s="40"/>
      <c r="O236" s="91"/>
      <c r="P236" s="91">
        <f>SUM(P235)</f>
        <v>83509.124134055935</v>
      </c>
      <c r="Q236" s="91">
        <f>SUM(Q235)</f>
        <v>260731.87586594408</v>
      </c>
      <c r="R236" s="37"/>
    </row>
    <row r="237" spans="1:18">
      <c r="A237" s="42" t="s">
        <v>1526</v>
      </c>
      <c r="B237" s="43" t="s">
        <v>1485</v>
      </c>
      <c r="C237" s="50" t="s">
        <v>1486</v>
      </c>
      <c r="D237" s="73">
        <v>457.4</v>
      </c>
      <c r="E237" s="45"/>
      <c r="F237" s="95">
        <f>H237+J237</f>
        <v>381732222</v>
      </c>
      <c r="G237" s="46">
        <f>H237/F237</f>
        <v>0.7574108716449931</v>
      </c>
      <c r="H237" s="95">
        <f>$H$46</f>
        <v>289128135</v>
      </c>
      <c r="I237" s="46">
        <f>J237/F237</f>
        <v>0.24258912835500693</v>
      </c>
      <c r="J237" s="95">
        <f>$J$46</f>
        <v>92604087</v>
      </c>
      <c r="K237" s="48">
        <f>SUM(H237+J237)</f>
        <v>381732222</v>
      </c>
      <c r="L237" s="49">
        <f>H237/K237</f>
        <v>0.7574108716449931</v>
      </c>
      <c r="M237" s="48">
        <f>J237/K237</f>
        <v>0.24258912835500693</v>
      </c>
      <c r="N237" s="46">
        <f>D237/$D$238</f>
        <v>1</v>
      </c>
      <c r="O237" s="95">
        <v>747120</v>
      </c>
      <c r="P237" s="95">
        <f>O237*N237*M237</f>
        <v>181243.18957659276</v>
      </c>
      <c r="Q237" s="95">
        <f>O237*N237*L237</f>
        <v>565876.81042340724</v>
      </c>
      <c r="R237" s="29"/>
    </row>
    <row r="238" spans="1:18">
      <c r="A238" s="38" t="s">
        <v>1290</v>
      </c>
      <c r="B238" s="39"/>
      <c r="C238" s="40"/>
      <c r="D238" s="74">
        <f>SUM(D237)</f>
        <v>457.4</v>
      </c>
      <c r="E238" s="41"/>
      <c r="F238" s="91"/>
      <c r="G238" s="40"/>
      <c r="H238" s="91"/>
      <c r="I238" s="40"/>
      <c r="J238" s="91"/>
      <c r="K238" s="40"/>
      <c r="L238" s="40"/>
      <c r="M238" s="40"/>
      <c r="N238" s="40"/>
      <c r="O238" s="91"/>
      <c r="P238" s="91">
        <f>SUM(P237)</f>
        <v>181243.18957659276</v>
      </c>
      <c r="Q238" s="91">
        <f>SUM(Q237)</f>
        <v>565876.81042340724</v>
      </c>
      <c r="R238" s="37"/>
    </row>
    <row r="239" spans="1:18">
      <c r="A239" s="42" t="s">
        <v>1526</v>
      </c>
      <c r="B239" s="43" t="s">
        <v>1485</v>
      </c>
      <c r="C239" s="50" t="s">
        <v>1486</v>
      </c>
      <c r="D239" s="73">
        <v>439.6</v>
      </c>
      <c r="E239" s="45"/>
      <c r="F239" s="95">
        <f>H239+J239</f>
        <v>381732222</v>
      </c>
      <c r="G239" s="46">
        <f>H239/F239</f>
        <v>0.7574108716449931</v>
      </c>
      <c r="H239" s="95">
        <f>$H$46</f>
        <v>289128135</v>
      </c>
      <c r="I239" s="46">
        <f>J239/F239</f>
        <v>0.24258912835500693</v>
      </c>
      <c r="J239" s="95">
        <f>$J$46</f>
        <v>92604087</v>
      </c>
      <c r="K239" s="48">
        <f>SUM(H239+J239)</f>
        <v>381732222</v>
      </c>
      <c r="L239" s="49">
        <f>H239/K239</f>
        <v>0.7574108716449931</v>
      </c>
      <c r="M239" s="48">
        <f>J239/K239</f>
        <v>0.24258912835500693</v>
      </c>
      <c r="N239" s="46">
        <f>D239/$D$240</f>
        <v>1</v>
      </c>
      <c r="O239" s="95">
        <v>1100701</v>
      </c>
      <c r="P239" s="95">
        <f>O239*N239*M239</f>
        <v>267018.09616948449</v>
      </c>
      <c r="Q239" s="95">
        <f>O239*N239*L239</f>
        <v>833682.90383051557</v>
      </c>
      <c r="R239" s="29"/>
    </row>
    <row r="240" spans="1:18">
      <c r="A240" s="38" t="s">
        <v>1291</v>
      </c>
      <c r="B240" s="39"/>
      <c r="C240" s="40"/>
      <c r="D240" s="74">
        <f>SUM(D239)</f>
        <v>439.6</v>
      </c>
      <c r="E240" s="41"/>
      <c r="F240" s="91"/>
      <c r="G240" s="40"/>
      <c r="H240" s="91"/>
      <c r="I240" s="40"/>
      <c r="J240" s="91"/>
      <c r="K240" s="40"/>
      <c r="L240" s="40"/>
      <c r="M240" s="40"/>
      <c r="N240" s="40"/>
      <c r="O240" s="91"/>
      <c r="P240" s="91">
        <f>SUM(P239)</f>
        <v>267018.09616948449</v>
      </c>
      <c r="Q240" s="91">
        <f>SUM(Q239)</f>
        <v>833682.90383051557</v>
      </c>
      <c r="R240" s="37"/>
    </row>
    <row r="241" spans="1:18">
      <c r="A241" s="42" t="s">
        <v>669</v>
      </c>
      <c r="B241" s="43" t="s">
        <v>1485</v>
      </c>
      <c r="C241" s="50" t="s">
        <v>1486</v>
      </c>
      <c r="D241" s="73">
        <v>4</v>
      </c>
      <c r="E241" s="45"/>
      <c r="F241" s="95">
        <f>H241+J241</f>
        <v>103873744</v>
      </c>
      <c r="G241" s="46">
        <f>H241/F241</f>
        <v>0.80026647542424201</v>
      </c>
      <c r="H241" s="95">
        <f>H93</f>
        <v>83126675</v>
      </c>
      <c r="I241" s="46">
        <f>J241/F241</f>
        <v>0.19973352457575805</v>
      </c>
      <c r="J241" s="95">
        <f>J93</f>
        <v>20747069</v>
      </c>
      <c r="K241" s="48">
        <f>SUM(H241+J241)</f>
        <v>103873744</v>
      </c>
      <c r="L241" s="49">
        <f>H241/K241</f>
        <v>0.80026647542424201</v>
      </c>
      <c r="M241" s="48">
        <f>J241/K241</f>
        <v>0.19973352457575805</v>
      </c>
      <c r="N241" s="46">
        <f>D241/$D$243</f>
        <v>8.8888888888888889E-3</v>
      </c>
      <c r="O241" s="95">
        <v>1135249</v>
      </c>
      <c r="P241" s="95">
        <f>O241*N241*M241</f>
        <v>2015.5314136987088</v>
      </c>
      <c r="Q241" s="95">
        <f>O241*N241*L241</f>
        <v>8075.5708085235137</v>
      </c>
      <c r="R241" s="29"/>
    </row>
    <row r="242" spans="1:18">
      <c r="A242" s="42" t="s">
        <v>1526</v>
      </c>
      <c r="B242" s="43"/>
      <c r="C242" s="50"/>
      <c r="D242" s="73">
        <v>446</v>
      </c>
      <c r="E242" s="45"/>
      <c r="F242" s="95">
        <f>H242+J242</f>
        <v>381732222</v>
      </c>
      <c r="G242" s="46">
        <f>H242/F242</f>
        <v>0.7574108716449931</v>
      </c>
      <c r="H242" s="95">
        <f>$H$46</f>
        <v>289128135</v>
      </c>
      <c r="I242" s="46">
        <f>J242/F242</f>
        <v>0.24258912835500693</v>
      </c>
      <c r="J242" s="95">
        <f>$J$46</f>
        <v>92604087</v>
      </c>
      <c r="K242" s="48">
        <f>SUM(H242+J242)</f>
        <v>381732222</v>
      </c>
      <c r="L242" s="49">
        <f>H242/K242</f>
        <v>0.7574108716449931</v>
      </c>
      <c r="M242" s="48">
        <f>J242/K242</f>
        <v>0.24258912835500693</v>
      </c>
      <c r="N242" s="46">
        <f>D242/$D$243</f>
        <v>0.99111111111111116</v>
      </c>
      <c r="O242" s="95">
        <v>1135249</v>
      </c>
      <c r="P242" s="95">
        <f>O242*N242*M242</f>
        <v>272951.0736836631</v>
      </c>
      <c r="Q242" s="95">
        <f>O242*N242*L242</f>
        <v>852206.82409411483</v>
      </c>
      <c r="R242" s="29"/>
    </row>
    <row r="243" spans="1:18">
      <c r="A243" s="38" t="s">
        <v>1292</v>
      </c>
      <c r="B243" s="39"/>
      <c r="C243" s="40"/>
      <c r="D243" s="74">
        <f>SUM(D241:D242)</f>
        <v>450</v>
      </c>
      <c r="E243" s="41"/>
      <c r="F243" s="91"/>
      <c r="G243" s="40"/>
      <c r="H243" s="91"/>
      <c r="I243" s="40"/>
      <c r="J243" s="91"/>
      <c r="K243" s="40"/>
      <c r="L243" s="40"/>
      <c r="M243" s="40"/>
      <c r="N243" s="40"/>
      <c r="O243" s="91"/>
      <c r="P243" s="91">
        <f>SUM(P241:P242)</f>
        <v>274966.60509736178</v>
      </c>
      <c r="Q243" s="91">
        <f>SUM(Q241:Q242)</f>
        <v>860282.39490263839</v>
      </c>
      <c r="R243" s="37"/>
    </row>
    <row r="244" spans="1:18">
      <c r="A244" s="42" t="s">
        <v>1496</v>
      </c>
      <c r="B244" s="43" t="s">
        <v>1485</v>
      </c>
      <c r="C244" s="50" t="s">
        <v>1486</v>
      </c>
      <c r="D244" s="73">
        <v>24.8</v>
      </c>
      <c r="E244" s="45"/>
      <c r="F244" s="95">
        <f t="shared" ref="F244:F268" si="131">H244+J244</f>
        <v>8588416</v>
      </c>
      <c r="G244" s="46">
        <f>H244/F244</f>
        <v>4.0100176796280015E-2</v>
      </c>
      <c r="H244" s="95">
        <f>$H$12</f>
        <v>344397</v>
      </c>
      <c r="I244" s="46">
        <f>J244/F244</f>
        <v>0.95989982320372003</v>
      </c>
      <c r="J244" s="95">
        <f>$J$12</f>
        <v>8244019</v>
      </c>
      <c r="K244" s="48">
        <f>SUM(H244+J244)</f>
        <v>8588416</v>
      </c>
      <c r="L244" s="49">
        <f>H244/K244</f>
        <v>4.0100176796280015E-2</v>
      </c>
      <c r="M244" s="48">
        <f>J244/K244</f>
        <v>0.95989982320372003</v>
      </c>
      <c r="N244" s="46">
        <f>D244/$D$269</f>
        <v>9.7484276729559755E-2</v>
      </c>
      <c r="O244" s="95">
        <v>1678360</v>
      </c>
      <c r="P244" s="95">
        <f>O244*N244*M244</f>
        <v>157052.77196678639</v>
      </c>
      <c r="Q244" s="95">
        <f>O244*N244*L244</f>
        <v>6560.9387250375485</v>
      </c>
      <c r="R244" s="29"/>
    </row>
    <row r="245" spans="1:18">
      <c r="A245" s="42" t="s">
        <v>582</v>
      </c>
      <c r="B245" s="43"/>
      <c r="C245" s="50"/>
      <c r="D245" s="73">
        <v>29.5</v>
      </c>
      <c r="E245" s="45"/>
      <c r="F245" s="95">
        <f t="shared" si="131"/>
        <v>95516913</v>
      </c>
      <c r="G245" s="46">
        <f>H245/F245</f>
        <v>0</v>
      </c>
      <c r="H245" s="95">
        <f>$H$13</f>
        <v>0</v>
      </c>
      <c r="I245" s="46">
        <f>J245/F245</f>
        <v>1</v>
      </c>
      <c r="J245" s="95">
        <f>$J$13</f>
        <v>95516913</v>
      </c>
      <c r="K245" s="48">
        <f>SUM(H245+J245)</f>
        <v>95516913</v>
      </c>
      <c r="L245" s="49">
        <f>H245/K245</f>
        <v>0</v>
      </c>
      <c r="M245" s="48">
        <f>J245/K245</f>
        <v>1</v>
      </c>
      <c r="N245" s="46">
        <f t="shared" ref="N245:N268" si="132">D245/$D$269</f>
        <v>0.11595911949685535</v>
      </c>
      <c r="O245" s="95">
        <v>1678360</v>
      </c>
      <c r="P245" s="95">
        <f>O245*N245*M245</f>
        <v>194621.14779874214</v>
      </c>
      <c r="Q245" s="95">
        <f>O245*N245*L245</f>
        <v>0</v>
      </c>
      <c r="R245" s="29"/>
    </row>
    <row r="246" spans="1:18">
      <c r="A246" s="42" t="s">
        <v>1293</v>
      </c>
      <c r="B246" s="43"/>
      <c r="C246" s="50"/>
      <c r="D246" s="73">
        <v>9.1999999999999993</v>
      </c>
      <c r="E246" s="45"/>
      <c r="F246" s="95">
        <f t="shared" si="131"/>
        <v>13855193</v>
      </c>
      <c r="G246" s="46">
        <f t="shared" ref="G246:G268" si="133">H246/F246</f>
        <v>0</v>
      </c>
      <c r="H246" s="95">
        <f>'rev send dist only'!O8</f>
        <v>0</v>
      </c>
      <c r="I246" s="46">
        <f t="shared" ref="I246:I268" si="134">J246/F246</f>
        <v>1</v>
      </c>
      <c r="J246" s="95">
        <f>'rev send dist only'!J8</f>
        <v>13855193</v>
      </c>
      <c r="K246" s="48">
        <f t="shared" ref="K246:K254" si="135">SUM(H246+J246)</f>
        <v>13855193</v>
      </c>
      <c r="L246" s="49">
        <f t="shared" ref="L246:L254" si="136">H246/K246</f>
        <v>0</v>
      </c>
      <c r="M246" s="48">
        <f t="shared" ref="M246:M254" si="137">J246/K246</f>
        <v>1</v>
      </c>
      <c r="N246" s="46">
        <f t="shared" si="132"/>
        <v>3.6163522012578615E-2</v>
      </c>
      <c r="O246" s="95">
        <v>1678360</v>
      </c>
      <c r="P246" s="95">
        <f t="shared" ref="P246:P254" si="138">O246*N246*M246</f>
        <v>60695.408805031446</v>
      </c>
      <c r="Q246" s="95">
        <f t="shared" ref="Q246:Q254" si="139">O246*N246*L246</f>
        <v>0</v>
      </c>
      <c r="R246" s="29"/>
    </row>
    <row r="247" spans="1:18">
      <c r="A247" s="42" t="s">
        <v>1497</v>
      </c>
      <c r="B247" s="43"/>
      <c r="C247" s="50"/>
      <c r="D247" s="73">
        <v>1</v>
      </c>
      <c r="E247" s="45"/>
      <c r="F247" s="95">
        <f t="shared" si="131"/>
        <v>20836651</v>
      </c>
      <c r="G247" s="46">
        <f t="shared" si="133"/>
        <v>0.45071264091335983</v>
      </c>
      <c r="H247" s="95">
        <f>H14</f>
        <v>9391342</v>
      </c>
      <c r="I247" s="46">
        <f t="shared" si="134"/>
        <v>0.54928735908664017</v>
      </c>
      <c r="J247" s="95">
        <f>J14</f>
        <v>11445309</v>
      </c>
      <c r="K247" s="48">
        <f t="shared" si="135"/>
        <v>20836651</v>
      </c>
      <c r="L247" s="49">
        <f t="shared" si="136"/>
        <v>0.45071264091335983</v>
      </c>
      <c r="M247" s="48">
        <f t="shared" si="137"/>
        <v>0.54928735908664017</v>
      </c>
      <c r="N247" s="46">
        <f t="shared" si="132"/>
        <v>3.9308176100628931E-3</v>
      </c>
      <c r="O247" s="95">
        <v>1678360</v>
      </c>
      <c r="P247" s="95">
        <f t="shared" si="138"/>
        <v>3623.8283490434487</v>
      </c>
      <c r="Q247" s="95">
        <f t="shared" si="139"/>
        <v>2973.4986949817085</v>
      </c>
      <c r="R247" s="29"/>
    </row>
    <row r="248" spans="1:18">
      <c r="A248" s="42" t="s">
        <v>1499</v>
      </c>
      <c r="B248" s="43"/>
      <c r="C248" s="50"/>
      <c r="D248" s="73">
        <v>41.1</v>
      </c>
      <c r="E248" s="45"/>
      <c r="F248" s="95">
        <f t="shared" si="131"/>
        <v>72401641</v>
      </c>
      <c r="G248" s="46">
        <f t="shared" si="133"/>
        <v>0.28095243034615747</v>
      </c>
      <c r="H248" s="95">
        <f>$H$16</f>
        <v>20341417</v>
      </c>
      <c r="I248" s="46">
        <f t="shared" si="134"/>
        <v>0.71904756965384253</v>
      </c>
      <c r="J248" s="95">
        <f>$J$16</f>
        <v>52060224</v>
      </c>
      <c r="K248" s="48">
        <f t="shared" si="135"/>
        <v>72401641</v>
      </c>
      <c r="L248" s="49">
        <f t="shared" si="136"/>
        <v>0.28095243034615747</v>
      </c>
      <c r="M248" s="48">
        <f t="shared" si="137"/>
        <v>0.71904756965384253</v>
      </c>
      <c r="N248" s="46">
        <f t="shared" si="132"/>
        <v>0.16155660377358491</v>
      </c>
      <c r="O248" s="95">
        <v>1678360</v>
      </c>
      <c r="P248" s="95">
        <f t="shared" si="138"/>
        <v>194969.85026365399</v>
      </c>
      <c r="Q248" s="95">
        <f t="shared" si="139"/>
        <v>76180.291245779983</v>
      </c>
      <c r="R248" s="29"/>
    </row>
    <row r="249" spans="1:18">
      <c r="A249" s="42" t="s">
        <v>1294</v>
      </c>
      <c r="B249" s="43"/>
      <c r="C249" s="50"/>
      <c r="D249" s="73">
        <v>30.8</v>
      </c>
      <c r="E249" s="45"/>
      <c r="F249" s="95">
        <f t="shared" si="131"/>
        <v>44291276</v>
      </c>
      <c r="G249" s="46">
        <f t="shared" si="133"/>
        <v>0.40463216729181611</v>
      </c>
      <c r="H249" s="95">
        <f>H18</f>
        <v>17921675</v>
      </c>
      <c r="I249" s="46">
        <f t="shared" si="134"/>
        <v>0.59536783270818394</v>
      </c>
      <c r="J249" s="95">
        <f>J18</f>
        <v>26369601</v>
      </c>
      <c r="K249" s="48">
        <f t="shared" si="135"/>
        <v>44291276</v>
      </c>
      <c r="L249" s="49">
        <f t="shared" si="136"/>
        <v>0.40463216729181611</v>
      </c>
      <c r="M249" s="48">
        <f t="shared" si="137"/>
        <v>0.59536783270818394</v>
      </c>
      <c r="N249" s="46">
        <f t="shared" si="132"/>
        <v>0.12106918238993711</v>
      </c>
      <c r="O249" s="95">
        <v>1678360</v>
      </c>
      <c r="P249" s="95">
        <f t="shared" si="138"/>
        <v>120977.35815914511</v>
      </c>
      <c r="Q249" s="95">
        <f t="shared" si="139"/>
        <v>82220.314796829756</v>
      </c>
      <c r="R249" s="29"/>
    </row>
    <row r="250" spans="1:18">
      <c r="A250" s="42" t="s">
        <v>1295</v>
      </c>
      <c r="B250" s="43"/>
      <c r="C250" s="50"/>
      <c r="D250" s="73">
        <v>23</v>
      </c>
      <c r="E250" s="45"/>
      <c r="F250" s="95">
        <f t="shared" si="131"/>
        <v>18944981</v>
      </c>
      <c r="G250" s="46">
        <f t="shared" si="133"/>
        <v>0.24495115619276683</v>
      </c>
      <c r="H250" s="95">
        <f>'rev send dist only'!O21</f>
        <v>4640595</v>
      </c>
      <c r="I250" s="46">
        <f t="shared" si="134"/>
        <v>0.75504884380723314</v>
      </c>
      <c r="J250" s="95">
        <f>'rev send dist only'!J21</f>
        <v>14304386</v>
      </c>
      <c r="K250" s="48">
        <f t="shared" si="135"/>
        <v>18944981</v>
      </c>
      <c r="L250" s="49">
        <f t="shared" si="136"/>
        <v>0.24495115619276683</v>
      </c>
      <c r="M250" s="48">
        <f t="shared" si="137"/>
        <v>0.75504884380723314</v>
      </c>
      <c r="N250" s="46">
        <f t="shared" si="132"/>
        <v>9.0408805031446535E-2</v>
      </c>
      <c r="O250" s="95">
        <v>1678360</v>
      </c>
      <c r="P250" s="95">
        <f t="shared" si="138"/>
        <v>114569.99560661588</v>
      </c>
      <c r="Q250" s="95">
        <f t="shared" si="139"/>
        <v>37168.52640596273</v>
      </c>
      <c r="R250" s="29"/>
    </row>
    <row r="251" spans="1:18">
      <c r="A251" s="42" t="s">
        <v>1296</v>
      </c>
      <c r="B251" s="43"/>
      <c r="C251" s="50"/>
      <c r="D251" s="73">
        <v>10.5</v>
      </c>
      <c r="E251" s="45"/>
      <c r="F251" s="95">
        <f t="shared" si="131"/>
        <v>10415990</v>
      </c>
      <c r="G251" s="46">
        <f t="shared" si="133"/>
        <v>0</v>
      </c>
      <c r="H251" s="95">
        <f>'rev send dist only'!O22</f>
        <v>0</v>
      </c>
      <c r="I251" s="46">
        <f t="shared" si="134"/>
        <v>1</v>
      </c>
      <c r="J251" s="95">
        <f>'rev send dist only'!J22</f>
        <v>10415990</v>
      </c>
      <c r="K251" s="48">
        <f t="shared" si="135"/>
        <v>10415990</v>
      </c>
      <c r="L251" s="49">
        <f t="shared" si="136"/>
        <v>0</v>
      </c>
      <c r="M251" s="48">
        <f t="shared" si="137"/>
        <v>1</v>
      </c>
      <c r="N251" s="46">
        <f t="shared" si="132"/>
        <v>4.1273584905660375E-2</v>
      </c>
      <c r="O251" s="95">
        <v>1678360</v>
      </c>
      <c r="P251" s="95">
        <f t="shared" si="138"/>
        <v>69271.933962264142</v>
      </c>
      <c r="Q251" s="95">
        <f t="shared" si="139"/>
        <v>0</v>
      </c>
      <c r="R251" s="29"/>
    </row>
    <row r="252" spans="1:18">
      <c r="A252" s="42" t="s">
        <v>1501</v>
      </c>
      <c r="B252" s="43"/>
      <c r="C252" s="50"/>
      <c r="D252" s="73">
        <v>49.6</v>
      </c>
      <c r="E252" s="45"/>
      <c r="F252" s="95">
        <f t="shared" si="131"/>
        <v>34151238</v>
      </c>
      <c r="G252" s="46">
        <f t="shared" si="133"/>
        <v>0.80709888174478472</v>
      </c>
      <c r="H252" s="95">
        <f>$H$19</f>
        <v>27563426</v>
      </c>
      <c r="I252" s="46">
        <f t="shared" si="134"/>
        <v>0.19290111825521522</v>
      </c>
      <c r="J252" s="95">
        <f>$J$19</f>
        <v>6587812</v>
      </c>
      <c r="K252" s="48">
        <f t="shared" si="135"/>
        <v>34151238</v>
      </c>
      <c r="L252" s="49">
        <f t="shared" si="136"/>
        <v>0.80709888174478472</v>
      </c>
      <c r="M252" s="48">
        <f t="shared" si="137"/>
        <v>0.19290111825521522</v>
      </c>
      <c r="N252" s="46">
        <f t="shared" si="132"/>
        <v>0.19496855345911951</v>
      </c>
      <c r="O252" s="95">
        <v>1678360</v>
      </c>
      <c r="P252" s="95">
        <f t="shared" si="138"/>
        <v>63122.535508676192</v>
      </c>
      <c r="Q252" s="95">
        <f t="shared" si="139"/>
        <v>264104.88587497163</v>
      </c>
      <c r="R252" s="29"/>
    </row>
    <row r="253" spans="1:18">
      <c r="A253" s="42" t="s">
        <v>1297</v>
      </c>
      <c r="B253" s="43"/>
      <c r="C253" s="50"/>
      <c r="D253" s="73">
        <v>12.9</v>
      </c>
      <c r="E253" s="45"/>
      <c r="F253" s="95">
        <f t="shared" si="131"/>
        <v>15801226</v>
      </c>
      <c r="G253" s="46">
        <f t="shared" si="133"/>
        <v>6.3286228549607479E-3</v>
      </c>
      <c r="H253" s="95">
        <f>$H$20</f>
        <v>100000</v>
      </c>
      <c r="I253" s="46">
        <f t="shared" si="134"/>
        <v>0.99367137714503928</v>
      </c>
      <c r="J253" s="95">
        <f>$J$20</f>
        <v>15701226</v>
      </c>
      <c r="K253" s="48">
        <f t="shared" si="135"/>
        <v>15801226</v>
      </c>
      <c r="L253" s="49">
        <f t="shared" si="136"/>
        <v>6.3286228549607479E-3</v>
      </c>
      <c r="M253" s="48">
        <f t="shared" si="137"/>
        <v>0.99367137714503928</v>
      </c>
      <c r="N253" s="46">
        <f t="shared" si="132"/>
        <v>5.0707547169811323E-2</v>
      </c>
      <c r="O253" s="95">
        <v>1678360</v>
      </c>
      <c r="P253" s="95">
        <f t="shared" si="138"/>
        <v>84566.918136133696</v>
      </c>
      <c r="Q253" s="95">
        <f t="shared" si="139"/>
        <v>538.60073179084031</v>
      </c>
      <c r="R253" s="29"/>
    </row>
    <row r="254" spans="1:18">
      <c r="A254" s="42" t="s">
        <v>1298</v>
      </c>
      <c r="B254" s="43"/>
      <c r="C254" s="50"/>
      <c r="D254" s="73">
        <v>1</v>
      </c>
      <c r="E254" s="45"/>
      <c r="F254" s="95">
        <f t="shared" si="131"/>
        <v>106098799</v>
      </c>
      <c r="G254" s="46">
        <f t="shared" si="133"/>
        <v>0.16859996690443216</v>
      </c>
      <c r="H254" s="95">
        <f>'rev send dist only'!O124</f>
        <v>17888254</v>
      </c>
      <c r="I254" s="46">
        <f t="shared" si="134"/>
        <v>0.83140003309556787</v>
      </c>
      <c r="J254" s="95">
        <f>'rev send dist only'!J124</f>
        <v>88210545</v>
      </c>
      <c r="K254" s="48">
        <f t="shared" si="135"/>
        <v>106098799</v>
      </c>
      <c r="L254" s="49">
        <f t="shared" si="136"/>
        <v>0.16859996690443216</v>
      </c>
      <c r="M254" s="48">
        <f t="shared" si="137"/>
        <v>0.83140003309556787</v>
      </c>
      <c r="N254" s="46">
        <f t="shared" si="132"/>
        <v>3.9308176100628931E-3</v>
      </c>
      <c r="O254" s="95">
        <v>1678360</v>
      </c>
      <c r="P254" s="95">
        <f t="shared" si="138"/>
        <v>5485.0179227448007</v>
      </c>
      <c r="Q254" s="95">
        <f t="shared" si="139"/>
        <v>1112.3091212803567</v>
      </c>
      <c r="R254" s="29"/>
    </row>
    <row r="255" spans="1:18">
      <c r="A255" s="42" t="s">
        <v>1299</v>
      </c>
      <c r="B255" s="43"/>
      <c r="C255" s="50"/>
      <c r="D255" s="73">
        <v>1</v>
      </c>
      <c r="E255" s="45"/>
      <c r="F255" s="95">
        <f t="shared" si="131"/>
        <v>1613843</v>
      </c>
      <c r="G255" s="46">
        <f t="shared" si="133"/>
        <v>0.22321750009139674</v>
      </c>
      <c r="H255" s="95">
        <f>'rev send dist only'!O146</f>
        <v>360238</v>
      </c>
      <c r="I255" s="46">
        <f t="shared" si="134"/>
        <v>0.77678249990860326</v>
      </c>
      <c r="J255" s="95">
        <f>'rev send dist only'!J146</f>
        <v>1253605</v>
      </c>
      <c r="K255" s="48">
        <f t="shared" ref="K255:K268" si="140">SUM(H255+J255)</f>
        <v>1613843</v>
      </c>
      <c r="L255" s="49">
        <f t="shared" ref="L255:L268" si="141">H255/K255</f>
        <v>0.22321750009139674</v>
      </c>
      <c r="M255" s="48">
        <f t="shared" ref="M255:M268" si="142">J255/K255</f>
        <v>0.77678249990860326</v>
      </c>
      <c r="N255" s="46">
        <f t="shared" si="132"/>
        <v>3.9308176100628931E-3</v>
      </c>
      <c r="O255" s="95">
        <v>1678360</v>
      </c>
      <c r="P255" s="95">
        <f t="shared" ref="P255:P268" si="143">O255*N255*M255</f>
        <v>5124.6881939724972</v>
      </c>
      <c r="Q255" s="95">
        <f t="shared" ref="Q255:Q268" si="144">O255*N255*L255</f>
        <v>1472.6388500526598</v>
      </c>
      <c r="R255" s="29"/>
    </row>
    <row r="256" spans="1:18">
      <c r="A256" s="42" t="s">
        <v>1300</v>
      </c>
      <c r="B256" s="43"/>
      <c r="C256" s="50"/>
      <c r="D256" s="73">
        <v>1</v>
      </c>
      <c r="E256" s="45"/>
      <c r="F256" s="95">
        <f t="shared" si="131"/>
        <v>11557417</v>
      </c>
      <c r="G256" s="46">
        <f t="shared" si="133"/>
        <v>0.38452908638669003</v>
      </c>
      <c r="H256" s="95">
        <f>H22</f>
        <v>4444163</v>
      </c>
      <c r="I256" s="46">
        <f t="shared" si="134"/>
        <v>0.61547091361330997</v>
      </c>
      <c r="J256" s="95">
        <f>J22</f>
        <v>7113254</v>
      </c>
      <c r="K256" s="48">
        <f t="shared" si="140"/>
        <v>11557417</v>
      </c>
      <c r="L256" s="49">
        <f t="shared" si="141"/>
        <v>0.38452908638669003</v>
      </c>
      <c r="M256" s="48">
        <f t="shared" si="142"/>
        <v>0.61547091361330997</v>
      </c>
      <c r="N256" s="46">
        <f t="shared" si="132"/>
        <v>3.9308176100628931E-3</v>
      </c>
      <c r="O256" s="95">
        <v>1678360</v>
      </c>
      <c r="P256" s="95">
        <f t="shared" si="143"/>
        <v>4060.4629031919612</v>
      </c>
      <c r="Q256" s="95">
        <f t="shared" si="144"/>
        <v>2536.864140833196</v>
      </c>
      <c r="R256" s="29"/>
    </row>
    <row r="257" spans="1:18">
      <c r="A257" s="42" t="s">
        <v>1301</v>
      </c>
      <c r="B257" s="43"/>
      <c r="C257" s="50"/>
      <c r="D257" s="73">
        <v>1</v>
      </c>
      <c r="E257" s="45"/>
      <c r="F257" s="95">
        <f t="shared" si="131"/>
        <v>20129302</v>
      </c>
      <c r="G257" s="46">
        <f t="shared" si="133"/>
        <v>0.2367394060658437</v>
      </c>
      <c r="H257" s="95">
        <f>'rev send dist only'!O196</f>
        <v>4765399</v>
      </c>
      <c r="I257" s="46">
        <f t="shared" si="134"/>
        <v>0.76326059393415624</v>
      </c>
      <c r="J257" s="95">
        <f>'rev send dist only'!J196</f>
        <v>15363903</v>
      </c>
      <c r="K257" s="48">
        <f t="shared" si="140"/>
        <v>20129302</v>
      </c>
      <c r="L257" s="49">
        <f t="shared" si="141"/>
        <v>0.2367394060658437</v>
      </c>
      <c r="M257" s="48">
        <f t="shared" si="142"/>
        <v>0.76326059393415624</v>
      </c>
      <c r="N257" s="46">
        <f t="shared" si="132"/>
        <v>3.9308176100628931E-3</v>
      </c>
      <c r="O257" s="95">
        <v>1678360</v>
      </c>
      <c r="P257" s="95">
        <f t="shared" si="143"/>
        <v>5035.4797580005124</v>
      </c>
      <c r="Q257" s="95">
        <f t="shared" si="144"/>
        <v>1561.8472860246441</v>
      </c>
      <c r="R257" s="29"/>
    </row>
    <row r="258" spans="1:18">
      <c r="A258" s="42" t="s">
        <v>1502</v>
      </c>
      <c r="B258" s="43"/>
      <c r="C258" s="50"/>
      <c r="D258" s="73">
        <v>2.4</v>
      </c>
      <c r="E258" s="45"/>
      <c r="F258" s="95">
        <f t="shared" si="131"/>
        <v>26852840</v>
      </c>
      <c r="G258" s="46">
        <f t="shared" si="133"/>
        <v>0.2644767927712674</v>
      </c>
      <c r="H258" s="95">
        <f>'rev send dist only'!O198</f>
        <v>7101953</v>
      </c>
      <c r="I258" s="46">
        <f t="shared" si="134"/>
        <v>0.73552320722873266</v>
      </c>
      <c r="J258" s="95">
        <f>'rev send dist only'!J198</f>
        <v>19750887</v>
      </c>
      <c r="K258" s="48">
        <f t="shared" si="140"/>
        <v>26852840</v>
      </c>
      <c r="L258" s="49">
        <f t="shared" si="141"/>
        <v>0.2644767927712674</v>
      </c>
      <c r="M258" s="48">
        <f t="shared" si="142"/>
        <v>0.73552320722873266</v>
      </c>
      <c r="N258" s="46">
        <f t="shared" si="132"/>
        <v>9.433962264150943E-3</v>
      </c>
      <c r="O258" s="95">
        <v>1678360</v>
      </c>
      <c r="P258" s="95">
        <f t="shared" si="143"/>
        <v>11645.969151739771</v>
      </c>
      <c r="Q258" s="95">
        <f t="shared" si="144"/>
        <v>4187.6157539206069</v>
      </c>
      <c r="R258" s="29"/>
    </row>
    <row r="259" spans="1:18">
      <c r="A259" s="42" t="s">
        <v>1302</v>
      </c>
      <c r="B259" s="43"/>
      <c r="C259" s="50"/>
      <c r="D259" s="73">
        <v>2</v>
      </c>
      <c r="E259" s="45"/>
      <c r="F259" s="95">
        <f t="shared" si="131"/>
        <v>6006325</v>
      </c>
      <c r="G259" s="46">
        <f t="shared" si="133"/>
        <v>1.3828256046750717E-2</v>
      </c>
      <c r="H259" s="95">
        <f>'rev send dist only'!O199</f>
        <v>83057</v>
      </c>
      <c r="I259" s="46">
        <f t="shared" si="134"/>
        <v>0.98617174395324925</v>
      </c>
      <c r="J259" s="95">
        <f>'rev send dist only'!J199</f>
        <v>5923268</v>
      </c>
      <c r="K259" s="48">
        <f t="shared" si="140"/>
        <v>6006325</v>
      </c>
      <c r="L259" s="49">
        <f t="shared" si="141"/>
        <v>1.3828256046750717E-2</v>
      </c>
      <c r="M259" s="48">
        <f t="shared" si="142"/>
        <v>0.98617174395324925</v>
      </c>
      <c r="N259" s="46">
        <f t="shared" si="132"/>
        <v>7.8616352201257862E-3</v>
      </c>
      <c r="O259" s="95">
        <v>1678360</v>
      </c>
      <c r="P259" s="95">
        <f t="shared" si="143"/>
        <v>13012.195032872449</v>
      </c>
      <c r="Q259" s="95">
        <f t="shared" si="144"/>
        <v>182.45905517786582</v>
      </c>
      <c r="R259" s="29"/>
    </row>
    <row r="260" spans="1:18">
      <c r="A260" s="42" t="s">
        <v>1503</v>
      </c>
      <c r="B260" s="43"/>
      <c r="C260" s="50"/>
      <c r="D260" s="73">
        <v>4</v>
      </c>
      <c r="E260" s="45"/>
      <c r="F260" s="95">
        <f t="shared" si="131"/>
        <v>19278910</v>
      </c>
      <c r="G260" s="46">
        <f t="shared" si="133"/>
        <v>2.0526627283388946E-2</v>
      </c>
      <c r="H260" s="95">
        <f>'rev send dist only'!O200</f>
        <v>395731</v>
      </c>
      <c r="I260" s="46">
        <f t="shared" si="134"/>
        <v>0.97947337271661106</v>
      </c>
      <c r="J260" s="95">
        <f>'rev send dist only'!J200</f>
        <v>18883179</v>
      </c>
      <c r="K260" s="48">
        <f t="shared" si="140"/>
        <v>19278910</v>
      </c>
      <c r="L260" s="49">
        <f t="shared" si="141"/>
        <v>2.0526627283388946E-2</v>
      </c>
      <c r="M260" s="48">
        <f t="shared" si="142"/>
        <v>0.97947337271661106</v>
      </c>
      <c r="N260" s="46">
        <f t="shared" si="132"/>
        <v>1.5723270440251572E-2</v>
      </c>
      <c r="O260" s="95">
        <v>1678360</v>
      </c>
      <c r="P260" s="95">
        <f t="shared" si="143"/>
        <v>25847.624682903323</v>
      </c>
      <c r="Q260" s="95">
        <f t="shared" si="144"/>
        <v>541.68349319730612</v>
      </c>
      <c r="R260" s="29"/>
    </row>
    <row r="261" spans="1:18">
      <c r="A261" s="42" t="s">
        <v>1303</v>
      </c>
      <c r="B261" s="43"/>
      <c r="C261" s="50"/>
      <c r="D261" s="73">
        <v>1</v>
      </c>
      <c r="E261" s="45"/>
      <c r="F261" s="95">
        <f t="shared" si="131"/>
        <v>3454288</v>
      </c>
      <c r="G261" s="46">
        <f t="shared" si="133"/>
        <v>4.5406462923763158E-2</v>
      </c>
      <c r="H261" s="95">
        <f>'rev send dist only'!O201</f>
        <v>156847</v>
      </c>
      <c r="I261" s="46">
        <f t="shared" si="134"/>
        <v>0.95459353707623684</v>
      </c>
      <c r="J261" s="95">
        <f>'rev send dist only'!J201</f>
        <v>3297441</v>
      </c>
      <c r="K261" s="48">
        <f t="shared" si="140"/>
        <v>3454288</v>
      </c>
      <c r="L261" s="49">
        <f t="shared" si="141"/>
        <v>4.5406462923763158E-2</v>
      </c>
      <c r="M261" s="48">
        <f t="shared" si="142"/>
        <v>0.95459353707623684</v>
      </c>
      <c r="N261" s="46">
        <f t="shared" si="132"/>
        <v>3.9308176100628931E-3</v>
      </c>
      <c r="O261" s="95">
        <v>1678360</v>
      </c>
      <c r="P261" s="95">
        <f t="shared" si="143"/>
        <v>6297.7657582046886</v>
      </c>
      <c r="Q261" s="95">
        <f t="shared" si="144"/>
        <v>299.5612858204683</v>
      </c>
      <c r="R261" s="29"/>
    </row>
    <row r="262" spans="1:18">
      <c r="A262" s="42" t="s">
        <v>1504</v>
      </c>
      <c r="B262" s="43"/>
      <c r="C262" s="50"/>
      <c r="D262" s="73">
        <v>3</v>
      </c>
      <c r="E262" s="45"/>
      <c r="F262" s="95">
        <f t="shared" si="131"/>
        <v>26859440</v>
      </c>
      <c r="G262" s="46">
        <f t="shared" si="133"/>
        <v>0.25367204230616869</v>
      </c>
      <c r="H262" s="95">
        <f>$H$23</f>
        <v>6813489</v>
      </c>
      <c r="I262" s="46">
        <f t="shared" si="134"/>
        <v>0.74632795769383131</v>
      </c>
      <c r="J262" s="95">
        <f>$J$23</f>
        <v>20045951</v>
      </c>
      <c r="K262" s="48">
        <f t="shared" si="140"/>
        <v>26859440</v>
      </c>
      <c r="L262" s="49">
        <f t="shared" si="141"/>
        <v>0.25367204230616869</v>
      </c>
      <c r="M262" s="48">
        <f t="shared" si="142"/>
        <v>0.74632795769383131</v>
      </c>
      <c r="N262" s="46">
        <f t="shared" si="132"/>
        <v>1.1792452830188678E-2</v>
      </c>
      <c r="O262" s="95">
        <v>1678360</v>
      </c>
      <c r="P262" s="95">
        <f t="shared" si="143"/>
        <v>14771.308857016729</v>
      </c>
      <c r="Q262" s="95">
        <f t="shared" si="144"/>
        <v>5020.6722750587414</v>
      </c>
      <c r="R262" s="29"/>
    </row>
    <row r="263" spans="1:18">
      <c r="A263" s="42" t="s">
        <v>1304</v>
      </c>
      <c r="B263" s="43"/>
      <c r="C263" s="50"/>
      <c r="D263" s="73">
        <v>1</v>
      </c>
      <c r="E263" s="45"/>
      <c r="F263" s="95">
        <f t="shared" si="131"/>
        <v>1084095</v>
      </c>
      <c r="G263" s="46">
        <f t="shared" si="133"/>
        <v>0</v>
      </c>
      <c r="H263" s="95">
        <f>'rev send dist only'!O205</f>
        <v>0</v>
      </c>
      <c r="I263" s="46">
        <f t="shared" si="134"/>
        <v>1</v>
      </c>
      <c r="J263" s="95">
        <f>'rev send dist only'!J205</f>
        <v>1084095</v>
      </c>
      <c r="K263" s="48">
        <f t="shared" si="140"/>
        <v>1084095</v>
      </c>
      <c r="L263" s="49">
        <f t="shared" si="141"/>
        <v>0</v>
      </c>
      <c r="M263" s="48">
        <f t="shared" si="142"/>
        <v>1</v>
      </c>
      <c r="N263" s="46">
        <f t="shared" si="132"/>
        <v>3.9308176100628931E-3</v>
      </c>
      <c r="O263" s="95">
        <v>1678360</v>
      </c>
      <c r="P263" s="95">
        <f t="shared" si="143"/>
        <v>6597.3270440251572</v>
      </c>
      <c r="Q263" s="95">
        <f t="shared" si="144"/>
        <v>0</v>
      </c>
      <c r="R263" s="29"/>
    </row>
    <row r="264" spans="1:18">
      <c r="A264" s="42" t="s">
        <v>1305</v>
      </c>
      <c r="B264" s="43"/>
      <c r="C264" s="50"/>
      <c r="D264" s="73">
        <v>1</v>
      </c>
      <c r="E264" s="45"/>
      <c r="F264" s="95">
        <f t="shared" si="131"/>
        <v>12668850</v>
      </c>
      <c r="G264" s="46">
        <f t="shared" si="133"/>
        <v>0.2584578710774853</v>
      </c>
      <c r="H264" s="95">
        <f>'rev send dist only'!O206</f>
        <v>3274364</v>
      </c>
      <c r="I264" s="46">
        <f t="shared" si="134"/>
        <v>0.7415421289225147</v>
      </c>
      <c r="J264" s="95">
        <f>'rev send dist only'!J206</f>
        <v>9394486</v>
      </c>
      <c r="K264" s="48">
        <f t="shared" si="140"/>
        <v>12668850</v>
      </c>
      <c r="L264" s="49">
        <f t="shared" si="141"/>
        <v>0.2584578710774853</v>
      </c>
      <c r="M264" s="48">
        <f t="shared" si="142"/>
        <v>0.7415421289225147</v>
      </c>
      <c r="N264" s="46">
        <f t="shared" si="132"/>
        <v>3.9308176100628931E-3</v>
      </c>
      <c r="O264" s="95">
        <v>1678360</v>
      </c>
      <c r="P264" s="95">
        <f t="shared" si="143"/>
        <v>4892.1959414244957</v>
      </c>
      <c r="Q264" s="95">
        <f t="shared" si="144"/>
        <v>1705.1311026006613</v>
      </c>
      <c r="R264" s="29"/>
    </row>
    <row r="265" spans="1:18">
      <c r="A265" s="42" t="s">
        <v>1505</v>
      </c>
      <c r="B265" s="43"/>
      <c r="C265" s="50"/>
      <c r="D265" s="73">
        <v>1</v>
      </c>
      <c r="E265" s="45"/>
      <c r="F265" s="95">
        <f t="shared" si="131"/>
        <v>3007432</v>
      </c>
      <c r="G265" s="46">
        <f t="shared" si="133"/>
        <v>0.65751179079028221</v>
      </c>
      <c r="H265" s="95">
        <f>H24</f>
        <v>1977422</v>
      </c>
      <c r="I265" s="46">
        <f t="shared" si="134"/>
        <v>0.34248820920971779</v>
      </c>
      <c r="J265" s="95">
        <f>J24</f>
        <v>1030010</v>
      </c>
      <c r="K265" s="48">
        <f t="shared" si="140"/>
        <v>3007432</v>
      </c>
      <c r="L265" s="49">
        <f t="shared" si="141"/>
        <v>0.65751179079028221</v>
      </c>
      <c r="M265" s="48">
        <f t="shared" si="142"/>
        <v>0.34248820920971779</v>
      </c>
      <c r="N265" s="46">
        <f t="shared" si="132"/>
        <v>3.9308176100628931E-3</v>
      </c>
      <c r="O265" s="95">
        <v>1678360</v>
      </c>
      <c r="P265" s="95">
        <f t="shared" si="143"/>
        <v>2259.5067248790169</v>
      </c>
      <c r="Q265" s="95">
        <f t="shared" si="144"/>
        <v>4337.8203191461398</v>
      </c>
      <c r="R265" s="29"/>
    </row>
    <row r="266" spans="1:18">
      <c r="A266" s="42" t="s">
        <v>1507</v>
      </c>
      <c r="B266" s="43"/>
      <c r="C266" s="50"/>
      <c r="D266" s="73">
        <v>0.6</v>
      </c>
      <c r="E266" s="45"/>
      <c r="F266" s="95">
        <f t="shared" si="131"/>
        <v>37849347</v>
      </c>
      <c r="G266" s="46">
        <f t="shared" si="133"/>
        <v>0.74447075665532614</v>
      </c>
      <c r="H266" s="95">
        <f>'rev send dist only'!O220</f>
        <v>28177732</v>
      </c>
      <c r="I266" s="46">
        <f t="shared" si="134"/>
        <v>0.25552924334467381</v>
      </c>
      <c r="J266" s="95">
        <f>'rev send dist only'!J220</f>
        <v>9671615</v>
      </c>
      <c r="K266" s="48">
        <f t="shared" si="140"/>
        <v>37849347</v>
      </c>
      <c r="L266" s="49">
        <f t="shared" si="141"/>
        <v>0.74447075665532614</v>
      </c>
      <c r="M266" s="48">
        <f t="shared" si="142"/>
        <v>0.25552924334467381</v>
      </c>
      <c r="N266" s="46">
        <f t="shared" si="132"/>
        <v>2.3584905660377358E-3</v>
      </c>
      <c r="O266" s="95">
        <v>1678360</v>
      </c>
      <c r="P266" s="95">
        <f t="shared" si="143"/>
        <v>1011.4859925942611</v>
      </c>
      <c r="Q266" s="95">
        <f t="shared" si="144"/>
        <v>2946.9102338208327</v>
      </c>
      <c r="R266" s="29"/>
    </row>
    <row r="267" spans="1:18">
      <c r="A267" s="42" t="s">
        <v>1306</v>
      </c>
      <c r="B267" s="43"/>
      <c r="C267" s="50"/>
      <c r="D267" s="73">
        <v>1</v>
      </c>
      <c r="E267" s="45"/>
      <c r="F267" s="95">
        <f t="shared" si="131"/>
        <v>33964143</v>
      </c>
      <c r="G267" s="46">
        <f t="shared" si="133"/>
        <v>0.41350715076190792</v>
      </c>
      <c r="H267" s="95">
        <f>'rev send dist only'!O454</f>
        <v>14044416</v>
      </c>
      <c r="I267" s="46">
        <f t="shared" si="134"/>
        <v>0.58649284923809208</v>
      </c>
      <c r="J267" s="95">
        <f>'rev send dist only'!J454</f>
        <v>19919727</v>
      </c>
      <c r="K267" s="48">
        <f t="shared" si="140"/>
        <v>33964143</v>
      </c>
      <c r="L267" s="49">
        <f t="shared" si="141"/>
        <v>0.41350715076190792</v>
      </c>
      <c r="M267" s="48">
        <f t="shared" si="142"/>
        <v>0.58649284923809208</v>
      </c>
      <c r="N267" s="46">
        <f t="shared" si="132"/>
        <v>3.9308176100628931E-3</v>
      </c>
      <c r="O267" s="95">
        <v>1678360</v>
      </c>
      <c r="P267" s="95">
        <f t="shared" si="143"/>
        <v>3869.2851354058344</v>
      </c>
      <c r="Q267" s="95">
        <f t="shared" si="144"/>
        <v>2728.0419086193228</v>
      </c>
      <c r="R267" s="29"/>
    </row>
    <row r="268" spans="1:18">
      <c r="A268" s="42" t="s">
        <v>1307</v>
      </c>
      <c r="B268" s="43"/>
      <c r="C268" s="50"/>
      <c r="D268" s="73">
        <v>1</v>
      </c>
      <c r="E268" s="45"/>
      <c r="F268" s="95">
        <f t="shared" si="131"/>
        <v>144093326</v>
      </c>
      <c r="G268" s="46">
        <f t="shared" si="133"/>
        <v>0.2732894027305609</v>
      </c>
      <c r="H268" s="95">
        <f>'rev send dist only'!O482</f>
        <v>39379179</v>
      </c>
      <c r="I268" s="46">
        <f t="shared" si="134"/>
        <v>0.7267105972694391</v>
      </c>
      <c r="J268" s="95">
        <f>'rev send dist only'!J482</f>
        <v>104714147</v>
      </c>
      <c r="K268" s="48">
        <f t="shared" si="140"/>
        <v>144093326</v>
      </c>
      <c r="L268" s="49">
        <f t="shared" si="141"/>
        <v>0.2732894027305609</v>
      </c>
      <c r="M268" s="48">
        <f t="shared" si="142"/>
        <v>0.7267105972694391</v>
      </c>
      <c r="N268" s="46">
        <f t="shared" si="132"/>
        <v>3.9308176100628931E-3</v>
      </c>
      <c r="O268" s="95">
        <v>1678360</v>
      </c>
      <c r="P268" s="95">
        <f t="shared" si="143"/>
        <v>4794.3474765453448</v>
      </c>
      <c r="Q268" s="95">
        <f t="shared" si="144"/>
        <v>1802.9795674798122</v>
      </c>
      <c r="R268" s="29"/>
    </row>
    <row r="269" spans="1:18">
      <c r="A269" s="38" t="s">
        <v>1308</v>
      </c>
      <c r="B269" s="39"/>
      <c r="C269" s="40"/>
      <c r="D269" s="74">
        <f>SUM(D244:D268)</f>
        <v>254.4</v>
      </c>
      <c r="E269" s="41"/>
      <c r="F269" s="91"/>
      <c r="G269" s="40"/>
      <c r="H269" s="91"/>
      <c r="I269" s="40"/>
      <c r="J269" s="91"/>
      <c r="K269" s="40"/>
      <c r="L269" s="40"/>
      <c r="M269" s="40"/>
      <c r="N269" s="40"/>
      <c r="O269" s="91"/>
      <c r="P269" s="91">
        <f>SUM(P244:P268)</f>
        <v>1178176.4091316129</v>
      </c>
      <c r="Q269" s="91">
        <f>SUM(Q244:Q268)</f>
        <v>500183.59086838691</v>
      </c>
      <c r="R269" s="37"/>
    </row>
    <row r="270" spans="1:18">
      <c r="A270" s="42" t="s">
        <v>582</v>
      </c>
      <c r="B270" s="43" t="s">
        <v>1485</v>
      </c>
      <c r="C270" s="50" t="s">
        <v>1486</v>
      </c>
      <c r="D270" s="73">
        <v>301.8</v>
      </c>
      <c r="E270" s="45"/>
      <c r="F270" s="95">
        <f t="shared" ref="F270:F278" si="145">H270+J270</f>
        <v>95516913</v>
      </c>
      <c r="G270" s="46">
        <f t="shared" ref="G270:G278" si="146">H270/F270</f>
        <v>0</v>
      </c>
      <c r="H270" s="95">
        <f>$H$13</f>
        <v>0</v>
      </c>
      <c r="I270" s="46">
        <f t="shared" ref="I270:I278" si="147">J270/F270</f>
        <v>1</v>
      </c>
      <c r="J270" s="95">
        <f>$J$13</f>
        <v>95516913</v>
      </c>
      <c r="K270" s="48">
        <f t="shared" ref="K270:K278" si="148">SUM(H270+J270)</f>
        <v>95516913</v>
      </c>
      <c r="L270" s="49">
        <f t="shared" ref="L270:L278" si="149">H270/K270</f>
        <v>0</v>
      </c>
      <c r="M270" s="48">
        <f t="shared" ref="M270:M278" si="150">J270/K270</f>
        <v>1</v>
      </c>
      <c r="N270" s="46">
        <f>D270/$D$279</f>
        <v>0.91816245816854269</v>
      </c>
      <c r="O270" s="95">
        <v>2733775</v>
      </c>
      <c r="P270" s="95">
        <f t="shared" ref="P270:P278" si="151">O270*N270*M270</f>
        <v>2510049.5740797077</v>
      </c>
      <c r="Q270" s="95">
        <f t="shared" ref="Q270:Q278" si="152">O270*N270*L270</f>
        <v>0</v>
      </c>
      <c r="R270" s="29"/>
    </row>
    <row r="271" spans="1:18">
      <c r="A271" s="42" t="s">
        <v>1499</v>
      </c>
      <c r="B271" s="43"/>
      <c r="C271" s="50"/>
      <c r="D271" s="73">
        <v>1.1000000000000001</v>
      </c>
      <c r="E271" s="45"/>
      <c r="F271" s="95">
        <f t="shared" si="145"/>
        <v>72401641</v>
      </c>
      <c r="G271" s="46">
        <f t="shared" si="146"/>
        <v>0.28095243034615747</v>
      </c>
      <c r="H271" s="95">
        <f>$H$16</f>
        <v>20341417</v>
      </c>
      <c r="I271" s="46">
        <f t="shared" si="147"/>
        <v>0.71904756965384253</v>
      </c>
      <c r="J271" s="95">
        <f>$J$16</f>
        <v>52060224</v>
      </c>
      <c r="K271" s="48">
        <f t="shared" si="148"/>
        <v>72401641</v>
      </c>
      <c r="L271" s="49">
        <f t="shared" si="149"/>
        <v>0.28095243034615747</v>
      </c>
      <c r="M271" s="48">
        <f t="shared" si="150"/>
        <v>0.71904756965384253</v>
      </c>
      <c r="N271" s="46">
        <f t="shared" ref="N271:N278" si="153">D271/$D$279</f>
        <v>3.3465165804685121E-3</v>
      </c>
      <c r="O271" s="95">
        <v>2733775</v>
      </c>
      <c r="P271" s="95">
        <f t="shared" si="151"/>
        <v>6578.2953961164485</v>
      </c>
      <c r="Q271" s="95">
        <f t="shared" si="152"/>
        <v>2570.3279686538585</v>
      </c>
      <c r="R271" s="29"/>
    </row>
    <row r="272" spans="1:18">
      <c r="A272" s="42" t="s">
        <v>1414</v>
      </c>
      <c r="B272" s="43"/>
      <c r="C272" s="50"/>
      <c r="D272" s="73">
        <v>1</v>
      </c>
      <c r="E272" s="45"/>
      <c r="F272" s="95">
        <f t="shared" si="145"/>
        <v>40547279</v>
      </c>
      <c r="G272" s="46">
        <f t="shared" si="146"/>
        <v>0.34175612622489415</v>
      </c>
      <c r="H272" s="95">
        <f>H142</f>
        <v>13857281</v>
      </c>
      <c r="I272" s="46">
        <f t="shared" si="147"/>
        <v>0.65824387377510585</v>
      </c>
      <c r="J272" s="95">
        <f>J142</f>
        <v>26689998</v>
      </c>
      <c r="K272" s="48">
        <f t="shared" si="148"/>
        <v>40547279</v>
      </c>
      <c r="L272" s="49">
        <f t="shared" si="149"/>
        <v>0.34175612622489415</v>
      </c>
      <c r="M272" s="48">
        <f t="shared" si="150"/>
        <v>0.65824387377510585</v>
      </c>
      <c r="N272" s="46">
        <f t="shared" si="153"/>
        <v>3.0422878004259198E-3</v>
      </c>
      <c r="O272" s="95">
        <v>2733775</v>
      </c>
      <c r="P272" s="95">
        <f t="shared" si="151"/>
        <v>5474.5684393962265</v>
      </c>
      <c r="Q272" s="95">
        <f t="shared" si="152"/>
        <v>2842.3618922131423</v>
      </c>
      <c r="R272" s="29"/>
    </row>
    <row r="273" spans="1:18">
      <c r="A273" s="42" t="s">
        <v>1509</v>
      </c>
      <c r="B273" s="43"/>
      <c r="C273" s="50"/>
      <c r="D273" s="73">
        <v>1.6</v>
      </c>
      <c r="E273" s="45"/>
      <c r="F273" s="95">
        <f t="shared" si="145"/>
        <v>125290913</v>
      </c>
      <c r="G273" s="46">
        <f t="shared" si="146"/>
        <v>0.25425071329793886</v>
      </c>
      <c r="H273" s="95">
        <f>$H$27</f>
        <v>31855304</v>
      </c>
      <c r="I273" s="46">
        <f t="shared" si="147"/>
        <v>0.7457492867020612</v>
      </c>
      <c r="J273" s="95">
        <f>$J$27</f>
        <v>93435609</v>
      </c>
      <c r="K273" s="48">
        <f t="shared" si="148"/>
        <v>125290913</v>
      </c>
      <c r="L273" s="49">
        <f t="shared" si="149"/>
        <v>0.25425071329793886</v>
      </c>
      <c r="M273" s="48">
        <f t="shared" si="150"/>
        <v>0.7457492867020612</v>
      </c>
      <c r="N273" s="46">
        <f t="shared" si="153"/>
        <v>4.8676604806814723E-3</v>
      </c>
      <c r="O273" s="95">
        <v>2733775</v>
      </c>
      <c r="P273" s="95">
        <f t="shared" si="151"/>
        <v>9923.7517797574801</v>
      </c>
      <c r="Q273" s="95">
        <f t="shared" si="152"/>
        <v>3383.3367508175129</v>
      </c>
      <c r="R273" s="29"/>
    </row>
    <row r="274" spans="1:18">
      <c r="A274" s="42" t="s">
        <v>1501</v>
      </c>
      <c r="B274" s="43"/>
      <c r="C274" s="50"/>
      <c r="D274" s="73">
        <v>15.5</v>
      </c>
      <c r="E274" s="45"/>
      <c r="F274" s="95">
        <f t="shared" si="145"/>
        <v>34151238</v>
      </c>
      <c r="G274" s="46">
        <f t="shared" si="146"/>
        <v>0.80709888174478472</v>
      </c>
      <c r="H274" s="95">
        <f>$H$19</f>
        <v>27563426</v>
      </c>
      <c r="I274" s="46">
        <f t="shared" si="147"/>
        <v>0.19290111825521522</v>
      </c>
      <c r="J274" s="95">
        <f>$J$19</f>
        <v>6587812</v>
      </c>
      <c r="K274" s="48">
        <f t="shared" si="148"/>
        <v>34151238</v>
      </c>
      <c r="L274" s="49">
        <f t="shared" si="149"/>
        <v>0.80709888174478472</v>
      </c>
      <c r="M274" s="48">
        <f t="shared" si="150"/>
        <v>0.19290111825521522</v>
      </c>
      <c r="N274" s="46">
        <f t="shared" si="153"/>
        <v>4.7155460906601755E-2</v>
      </c>
      <c r="O274" s="95">
        <v>2733775</v>
      </c>
      <c r="P274" s="95">
        <f t="shared" si="151"/>
        <v>24867.350001981558</v>
      </c>
      <c r="Q274" s="95">
        <f t="shared" si="152"/>
        <v>104045.07013796364</v>
      </c>
      <c r="R274" s="29"/>
    </row>
    <row r="275" spans="1:18">
      <c r="A275" s="42" t="s">
        <v>1418</v>
      </c>
      <c r="B275" s="43"/>
      <c r="C275" s="50"/>
      <c r="D275" s="73">
        <v>3</v>
      </c>
      <c r="E275" s="45"/>
      <c r="F275" s="95">
        <f t="shared" si="145"/>
        <v>10349082</v>
      </c>
      <c r="G275" s="46">
        <f t="shared" si="146"/>
        <v>0.228178982445013</v>
      </c>
      <c r="H275" s="95">
        <f>H148</f>
        <v>2361443</v>
      </c>
      <c r="I275" s="46">
        <f t="shared" si="147"/>
        <v>0.771821017554987</v>
      </c>
      <c r="J275" s="95">
        <f>J148</f>
        <v>7987639</v>
      </c>
      <c r="K275" s="48">
        <f t="shared" si="148"/>
        <v>10349082</v>
      </c>
      <c r="L275" s="49">
        <f t="shared" si="149"/>
        <v>0.228178982445013</v>
      </c>
      <c r="M275" s="48">
        <f t="shared" si="150"/>
        <v>0.771821017554987</v>
      </c>
      <c r="N275" s="46">
        <f t="shared" si="153"/>
        <v>9.12686340127776E-3</v>
      </c>
      <c r="O275" s="95">
        <v>2733775</v>
      </c>
      <c r="P275" s="95">
        <f t="shared" si="151"/>
        <v>19257.544894430037</v>
      </c>
      <c r="Q275" s="95">
        <f t="shared" si="152"/>
        <v>5693.2461003980716</v>
      </c>
      <c r="R275" s="29"/>
    </row>
    <row r="276" spans="1:18">
      <c r="A276" s="42" t="s">
        <v>1297</v>
      </c>
      <c r="B276" s="43"/>
      <c r="C276" s="50"/>
      <c r="D276" s="73">
        <v>2.4</v>
      </c>
      <c r="E276" s="45"/>
      <c r="F276" s="95">
        <f t="shared" si="145"/>
        <v>15801226</v>
      </c>
      <c r="G276" s="46">
        <f t="shared" si="146"/>
        <v>6.3286228549607479E-3</v>
      </c>
      <c r="H276" s="95">
        <f>$H$20</f>
        <v>100000</v>
      </c>
      <c r="I276" s="46">
        <f t="shared" si="147"/>
        <v>0.99367137714503928</v>
      </c>
      <c r="J276" s="95">
        <f>$J$20</f>
        <v>15701226</v>
      </c>
      <c r="K276" s="48">
        <f t="shared" si="148"/>
        <v>15801226</v>
      </c>
      <c r="L276" s="49">
        <f t="shared" si="149"/>
        <v>6.3286228549607479E-3</v>
      </c>
      <c r="M276" s="48">
        <f t="shared" si="150"/>
        <v>0.99367137714503928</v>
      </c>
      <c r="N276" s="46">
        <f t="shared" si="153"/>
        <v>7.3014907210222071E-3</v>
      </c>
      <c r="O276" s="95">
        <v>2733775</v>
      </c>
      <c r="P276" s="95">
        <f t="shared" si="151"/>
        <v>19834.309478951109</v>
      </c>
      <c r="Q276" s="95">
        <f t="shared" si="152"/>
        <v>126.32331691137436</v>
      </c>
      <c r="R276" s="29"/>
    </row>
    <row r="277" spans="1:18">
      <c r="A277" s="42" t="s">
        <v>1309</v>
      </c>
      <c r="B277" s="43"/>
      <c r="C277" s="50"/>
      <c r="D277" s="73">
        <v>2</v>
      </c>
      <c r="E277" s="45"/>
      <c r="F277" s="95">
        <f t="shared" si="145"/>
        <v>3202984</v>
      </c>
      <c r="G277" s="46">
        <f t="shared" si="146"/>
        <v>0.49066276946747156</v>
      </c>
      <c r="H277" s="95">
        <f>H21</f>
        <v>1571585</v>
      </c>
      <c r="I277" s="46">
        <f t="shared" si="147"/>
        <v>0.50933723053252844</v>
      </c>
      <c r="J277" s="95">
        <f>J21</f>
        <v>1631399</v>
      </c>
      <c r="K277" s="48">
        <f t="shared" si="148"/>
        <v>3202984</v>
      </c>
      <c r="L277" s="49">
        <f t="shared" si="149"/>
        <v>0.49066276946747156</v>
      </c>
      <c r="M277" s="48">
        <f t="shared" si="150"/>
        <v>0.50933723053252844</v>
      </c>
      <c r="N277" s="46">
        <f t="shared" si="153"/>
        <v>6.0845756008518397E-3</v>
      </c>
      <c r="O277" s="95">
        <v>2733775</v>
      </c>
      <c r="P277" s="95">
        <f t="shared" si="151"/>
        <v>8472.2445232677983</v>
      </c>
      <c r="Q277" s="95">
        <f t="shared" si="152"/>
        <v>8161.6161399509383</v>
      </c>
      <c r="R277" s="29"/>
    </row>
    <row r="278" spans="1:18">
      <c r="A278" s="42" t="s">
        <v>1524</v>
      </c>
      <c r="B278" s="43"/>
      <c r="C278" s="50"/>
      <c r="D278" s="73">
        <v>0.3</v>
      </c>
      <c r="E278" s="45"/>
      <c r="F278" s="95">
        <f t="shared" si="145"/>
        <v>62017064</v>
      </c>
      <c r="G278" s="46">
        <f t="shared" si="146"/>
        <v>0.41221915955260313</v>
      </c>
      <c r="H278" s="95">
        <f>$H$44</f>
        <v>25564622</v>
      </c>
      <c r="I278" s="46">
        <f t="shared" si="147"/>
        <v>0.58778084044739687</v>
      </c>
      <c r="J278" s="95">
        <f>$J$44</f>
        <v>36452442</v>
      </c>
      <c r="K278" s="48">
        <f t="shared" si="148"/>
        <v>62017064</v>
      </c>
      <c r="L278" s="49">
        <f t="shared" si="149"/>
        <v>0.41221915955260313</v>
      </c>
      <c r="M278" s="48">
        <f t="shared" si="150"/>
        <v>0.58778084044739687</v>
      </c>
      <c r="N278" s="46">
        <f t="shared" si="153"/>
        <v>9.1268634012777589E-4</v>
      </c>
      <c r="O278" s="95">
        <v>2733775</v>
      </c>
      <c r="P278" s="95">
        <f t="shared" si="151"/>
        <v>1466.5596900767405</v>
      </c>
      <c r="Q278" s="95">
        <f t="shared" si="152"/>
        <v>1028.5194094060698</v>
      </c>
      <c r="R278" s="29"/>
    </row>
    <row r="279" spans="1:18">
      <c r="A279" s="38" t="s">
        <v>583</v>
      </c>
      <c r="B279" s="39"/>
      <c r="C279" s="40"/>
      <c r="D279" s="74">
        <f>SUM(D270:D278)</f>
        <v>328.70000000000005</v>
      </c>
      <c r="E279" s="41"/>
      <c r="F279" s="91"/>
      <c r="G279" s="40"/>
      <c r="H279" s="91"/>
      <c r="I279" s="40"/>
      <c r="J279" s="91"/>
      <c r="K279" s="40"/>
      <c r="L279" s="40"/>
      <c r="M279" s="40"/>
      <c r="N279" s="40"/>
      <c r="O279" s="91"/>
      <c r="P279" s="91">
        <f>SUM(P270:P278)</f>
        <v>2605924.1982836849</v>
      </c>
      <c r="Q279" s="91">
        <f>SUM(Q270:Q278)</f>
        <v>127850.80171631463</v>
      </c>
      <c r="R279" s="37"/>
    </row>
    <row r="280" spans="1:18">
      <c r="A280" s="42" t="s">
        <v>1310</v>
      </c>
      <c r="B280" s="43" t="s">
        <v>1485</v>
      </c>
      <c r="C280" s="50" t="s">
        <v>1486</v>
      </c>
      <c r="D280" s="73">
        <v>2</v>
      </c>
      <c r="E280" s="45"/>
      <c r="F280" s="95">
        <f>H280+J280</f>
        <v>71756817</v>
      </c>
      <c r="G280" s="46">
        <f>H280/F280</f>
        <v>0.4270311070236017</v>
      </c>
      <c r="H280" s="95">
        <f>'rev send dist only'!O168</f>
        <v>30642393</v>
      </c>
      <c r="I280" s="46">
        <f>J280/F280</f>
        <v>0.5729688929763983</v>
      </c>
      <c r="J280" s="95">
        <f>'rev send dist only'!J168</f>
        <v>41114424</v>
      </c>
      <c r="K280" s="48">
        <f>SUM(H280+J280)</f>
        <v>71756817</v>
      </c>
      <c r="L280" s="49">
        <f>H280/K280</f>
        <v>0.4270311070236017</v>
      </c>
      <c r="M280" s="48">
        <f>J280/K280</f>
        <v>0.5729688929763983</v>
      </c>
      <c r="N280" s="46">
        <f>D280/$D$283</f>
        <v>1.7699115044247787E-2</v>
      </c>
      <c r="O280" s="95">
        <v>232312</v>
      </c>
      <c r="P280" s="95">
        <f>O280*N280*M280</f>
        <v>2355.8858312412926</v>
      </c>
      <c r="Q280" s="95">
        <f>O280*N280*L280</f>
        <v>1755.8309829179991</v>
      </c>
      <c r="R280" s="29"/>
    </row>
    <row r="281" spans="1:18">
      <c r="A281" s="42" t="s">
        <v>1509</v>
      </c>
      <c r="B281" s="43"/>
      <c r="C281" s="50"/>
      <c r="D281" s="73">
        <v>14</v>
      </c>
      <c r="E281" s="45"/>
      <c r="F281" s="95">
        <f>H281+J281</f>
        <v>125290913</v>
      </c>
      <c r="G281" s="46">
        <f>H281/F281</f>
        <v>0.25425071329793886</v>
      </c>
      <c r="H281" s="95">
        <f>$H$27</f>
        <v>31855304</v>
      </c>
      <c r="I281" s="46">
        <f>J281/F281</f>
        <v>0.7457492867020612</v>
      </c>
      <c r="J281" s="95">
        <f>$J$27</f>
        <v>93435609</v>
      </c>
      <c r="K281" s="48">
        <f>SUM(H281+J281)</f>
        <v>125290913</v>
      </c>
      <c r="L281" s="49">
        <f>H281/K281</f>
        <v>0.25425071329793886</v>
      </c>
      <c r="M281" s="48">
        <f>J281/K281</f>
        <v>0.7457492867020612</v>
      </c>
      <c r="N281" s="46">
        <f>D281/$D$283</f>
        <v>0.12389380530973451</v>
      </c>
      <c r="O281" s="95">
        <v>232312</v>
      </c>
      <c r="P281" s="95">
        <f>O281*N281*M281</f>
        <v>21464.169168961143</v>
      </c>
      <c r="Q281" s="95">
        <f>O281*N281*L281</f>
        <v>7317.8485301539013</v>
      </c>
      <c r="R281" s="29"/>
    </row>
    <row r="282" spans="1:18">
      <c r="A282" s="42" t="s">
        <v>1402</v>
      </c>
      <c r="B282" s="43"/>
      <c r="C282" s="50"/>
      <c r="D282" s="73">
        <v>97</v>
      </c>
      <c r="E282" s="45"/>
      <c r="F282" s="95">
        <f>H282+J282</f>
        <v>128349142</v>
      </c>
      <c r="G282" s="46">
        <f>H282/F282</f>
        <v>0.82133283758141518</v>
      </c>
      <c r="H282" s="95">
        <f>$H$124</f>
        <v>105417365</v>
      </c>
      <c r="I282" s="46">
        <f>J282/F282</f>
        <v>0.17866716241858477</v>
      </c>
      <c r="J282" s="95">
        <f>$J$124</f>
        <v>22931777</v>
      </c>
      <c r="K282" s="48">
        <f>SUM(H282+J282)</f>
        <v>128349142</v>
      </c>
      <c r="L282" s="49">
        <f>H282/K282</f>
        <v>0.82133283758141518</v>
      </c>
      <c r="M282" s="48">
        <f>J282/K282</f>
        <v>0.17866716241858477</v>
      </c>
      <c r="N282" s="46">
        <f>D282/$D$283</f>
        <v>0.8584070796460177</v>
      </c>
      <c r="O282" s="95">
        <v>232312</v>
      </c>
      <c r="P282" s="95">
        <f>O282*N282*M282</f>
        <v>35629.495628949269</v>
      </c>
      <c r="Q282" s="95">
        <f>O282*N282*L282</f>
        <v>163788.76985777638</v>
      </c>
      <c r="R282" s="29"/>
    </row>
    <row r="283" spans="1:18">
      <c r="A283" s="38" t="s">
        <v>1311</v>
      </c>
      <c r="B283" s="39"/>
      <c r="C283" s="40"/>
      <c r="D283" s="74">
        <f>SUM(D280:D282)</f>
        <v>113</v>
      </c>
      <c r="E283" s="41"/>
      <c r="F283" s="91"/>
      <c r="G283" s="40"/>
      <c r="H283" s="91"/>
      <c r="I283" s="40"/>
      <c r="J283" s="91"/>
      <c r="K283" s="40"/>
      <c r="L283" s="40"/>
      <c r="M283" s="40"/>
      <c r="N283" s="40"/>
      <c r="O283" s="91"/>
      <c r="P283" s="91">
        <f>SUM(P280:P282)</f>
        <v>59449.550629151709</v>
      </c>
      <c r="Q283" s="91">
        <f>SUM(Q280:Q282)</f>
        <v>172862.44937084828</v>
      </c>
      <c r="R283" s="37"/>
    </row>
    <row r="284" spans="1:18">
      <c r="A284" s="42" t="s">
        <v>1312</v>
      </c>
      <c r="B284" s="43" t="s">
        <v>1485</v>
      </c>
      <c r="C284" s="50" t="s">
        <v>1486</v>
      </c>
      <c r="D284" s="73">
        <v>0.1</v>
      </c>
      <c r="E284" s="45"/>
      <c r="F284" s="95">
        <f t="shared" ref="F284:F296" si="154">H284+J284</f>
        <v>23824902</v>
      </c>
      <c r="G284" s="46">
        <f>H284/F284</f>
        <v>0</v>
      </c>
      <c r="H284" s="95">
        <f>'rev send dist only'!O45</f>
        <v>0</v>
      </c>
      <c r="I284" s="46">
        <f>J284/F284</f>
        <v>1</v>
      </c>
      <c r="J284" s="95">
        <f>'rev send dist only'!J45</f>
        <v>23824902</v>
      </c>
      <c r="K284" s="48">
        <f>SUM(H284+J284)</f>
        <v>23824902</v>
      </c>
      <c r="L284" s="49">
        <f>H284/K284</f>
        <v>0</v>
      </c>
      <c r="M284" s="48">
        <f>J284/K284</f>
        <v>1</v>
      </c>
      <c r="N284" s="46">
        <f>D284/$D$297</f>
        <v>2.455192732629512E-4</v>
      </c>
      <c r="O284" s="95">
        <v>815037</v>
      </c>
      <c r="P284" s="95">
        <f>O284*N284*M284</f>
        <v>200.10729192241595</v>
      </c>
      <c r="Q284" s="95">
        <f>O284*N284*L284</f>
        <v>0</v>
      </c>
      <c r="R284" s="29"/>
    </row>
    <row r="285" spans="1:18">
      <c r="A285" s="42" t="s">
        <v>1532</v>
      </c>
      <c r="B285" s="43"/>
      <c r="C285" s="50"/>
      <c r="D285" s="73">
        <v>1.5</v>
      </c>
      <c r="E285" s="45"/>
      <c r="F285" s="95">
        <f t="shared" si="154"/>
        <v>34791931</v>
      </c>
      <c r="G285" s="46">
        <f>H285/F285</f>
        <v>0.39053627118310852</v>
      </c>
      <c r="H285" s="95">
        <f>H59</f>
        <v>13587511</v>
      </c>
      <c r="I285" s="46">
        <f>J285/F285</f>
        <v>0.60946372881689148</v>
      </c>
      <c r="J285" s="95">
        <f>J59</f>
        <v>21204420</v>
      </c>
      <c r="K285" s="48">
        <f>SUM(H285+J285)</f>
        <v>34791931</v>
      </c>
      <c r="L285" s="49">
        <f>H285/K285</f>
        <v>0.39053627118310852</v>
      </c>
      <c r="M285" s="48">
        <f>J285/K285</f>
        <v>0.60946372881689148</v>
      </c>
      <c r="N285" s="46">
        <f t="shared" ref="N285:N296" si="155">D285/$D$297</f>
        <v>3.6827890989442674E-3</v>
      </c>
      <c r="O285" s="95">
        <v>815037</v>
      </c>
      <c r="P285" s="95">
        <f>O285*N285*M285</f>
        <v>1829.3720444772875</v>
      </c>
      <c r="Q285" s="95">
        <f>O285*N285*L285</f>
        <v>1172.2373343589511</v>
      </c>
      <c r="R285" s="29"/>
    </row>
    <row r="286" spans="1:18">
      <c r="A286" s="42" t="s">
        <v>1313</v>
      </c>
      <c r="B286" s="43"/>
      <c r="C286" s="50"/>
      <c r="D286" s="73">
        <v>0.1</v>
      </c>
      <c r="E286" s="45"/>
      <c r="F286" s="95">
        <f t="shared" si="154"/>
        <v>26045554</v>
      </c>
      <c r="G286" s="46">
        <f t="shared" ref="G286:G296" si="156">H286/F286</f>
        <v>2.6833370486187393E-3</v>
      </c>
      <c r="H286" s="95">
        <f>'rev send dist only'!O64</f>
        <v>69889</v>
      </c>
      <c r="I286" s="46">
        <f t="shared" ref="I286:I296" si="157">J286/F286</f>
        <v>0.99731666295138122</v>
      </c>
      <c r="J286" s="95">
        <f>'rev send dist only'!J64</f>
        <v>25975665</v>
      </c>
      <c r="K286" s="48">
        <f t="shared" ref="K286:K296" si="158">SUM(H286+J286)</f>
        <v>26045554</v>
      </c>
      <c r="L286" s="49">
        <f t="shared" ref="L286:L296" si="159">H286/K286</f>
        <v>2.6833370486187393E-3</v>
      </c>
      <c r="M286" s="48">
        <f t="shared" ref="M286:M296" si="160">J286/K286</f>
        <v>0.99731666295138122</v>
      </c>
      <c r="N286" s="46">
        <f t="shared" si="155"/>
        <v>2.455192732629512E-4</v>
      </c>
      <c r="O286" s="95">
        <v>815037</v>
      </c>
      <c r="P286" s="95">
        <f t="shared" ref="P286:P296" si="161">O286*N286*M286</f>
        <v>199.57033661230176</v>
      </c>
      <c r="Q286" s="95">
        <f t="shared" ref="Q286:Q296" si="162">O286*N286*L286</f>
        <v>0.53695531011418407</v>
      </c>
      <c r="R286" s="29"/>
    </row>
    <row r="287" spans="1:18">
      <c r="A287" s="42" t="s">
        <v>1314</v>
      </c>
      <c r="B287" s="43"/>
      <c r="C287" s="50"/>
      <c r="D287" s="73">
        <v>2</v>
      </c>
      <c r="E287" s="45"/>
      <c r="F287" s="95">
        <f t="shared" si="154"/>
        <v>24678305</v>
      </c>
      <c r="G287" s="46">
        <f t="shared" si="156"/>
        <v>4.7929547835639441E-3</v>
      </c>
      <c r="H287" s="95">
        <f>'rev send dist only'!O246</f>
        <v>118282</v>
      </c>
      <c r="I287" s="46">
        <f t="shared" si="157"/>
        <v>0.9952070452164361</v>
      </c>
      <c r="J287" s="95">
        <f>'rev send dist only'!J246</f>
        <v>24560023</v>
      </c>
      <c r="K287" s="48">
        <f t="shared" si="158"/>
        <v>24678305</v>
      </c>
      <c r="L287" s="49">
        <f t="shared" si="159"/>
        <v>4.7929547835639441E-3</v>
      </c>
      <c r="M287" s="48">
        <f t="shared" si="160"/>
        <v>0.9952070452164361</v>
      </c>
      <c r="N287" s="46">
        <f t="shared" si="155"/>
        <v>4.9103854652590238E-3</v>
      </c>
      <c r="O287" s="95">
        <v>815037</v>
      </c>
      <c r="P287" s="95">
        <f t="shared" si="161"/>
        <v>3982.9637344074076</v>
      </c>
      <c r="Q287" s="95">
        <f t="shared" si="162"/>
        <v>19.182104040911401</v>
      </c>
      <c r="R287" s="29"/>
    </row>
    <row r="288" spans="1:18">
      <c r="A288" s="42" t="s">
        <v>1315</v>
      </c>
      <c r="B288" s="43"/>
      <c r="C288" s="50"/>
      <c r="D288" s="73">
        <v>0.3</v>
      </c>
      <c r="E288" s="45"/>
      <c r="F288" s="95">
        <f t="shared" si="154"/>
        <v>102452008</v>
      </c>
      <c r="G288" s="46">
        <f t="shared" si="156"/>
        <v>0</v>
      </c>
      <c r="H288" s="95">
        <f>'rev send dist only'!O442</f>
        <v>0</v>
      </c>
      <c r="I288" s="46">
        <f t="shared" si="157"/>
        <v>1</v>
      </c>
      <c r="J288" s="95">
        <f>'rev send dist only'!J442</f>
        <v>102452008</v>
      </c>
      <c r="K288" s="48">
        <f t="shared" si="158"/>
        <v>102452008</v>
      </c>
      <c r="L288" s="49">
        <f t="shared" si="159"/>
        <v>0</v>
      </c>
      <c r="M288" s="48">
        <f t="shared" si="160"/>
        <v>1</v>
      </c>
      <c r="N288" s="46">
        <f t="shared" si="155"/>
        <v>7.3655781978885343E-4</v>
      </c>
      <c r="O288" s="95">
        <v>815037</v>
      </c>
      <c r="P288" s="95">
        <f t="shared" si="161"/>
        <v>600.32187576724778</v>
      </c>
      <c r="Q288" s="95">
        <f t="shared" si="162"/>
        <v>0</v>
      </c>
      <c r="R288" s="29"/>
    </row>
    <row r="289" spans="1:18">
      <c r="A289" s="42" t="s">
        <v>1366</v>
      </c>
      <c r="B289" s="43"/>
      <c r="C289" s="50"/>
      <c r="D289" s="73">
        <v>19.2</v>
      </c>
      <c r="E289" s="45"/>
      <c r="F289" s="95">
        <f t="shared" si="154"/>
        <v>105627636</v>
      </c>
      <c r="G289" s="46">
        <f t="shared" si="156"/>
        <v>4.0848732049631402E-2</v>
      </c>
      <c r="H289" s="95">
        <f>H61</f>
        <v>4314755</v>
      </c>
      <c r="I289" s="46">
        <f t="shared" si="157"/>
        <v>0.95915126795036865</v>
      </c>
      <c r="J289" s="95">
        <f>J61</f>
        <v>101312881</v>
      </c>
      <c r="K289" s="48">
        <f t="shared" si="158"/>
        <v>105627636</v>
      </c>
      <c r="L289" s="49">
        <f t="shared" si="159"/>
        <v>4.0848732049631402E-2</v>
      </c>
      <c r="M289" s="48">
        <f t="shared" si="160"/>
        <v>0.95915126795036865</v>
      </c>
      <c r="N289" s="46">
        <f t="shared" si="155"/>
        <v>4.713970046648662E-2</v>
      </c>
      <c r="O289" s="95">
        <v>815037</v>
      </c>
      <c r="P289" s="95">
        <f t="shared" si="161"/>
        <v>36851.167252511957</v>
      </c>
      <c r="Q289" s="95">
        <f t="shared" si="162"/>
        <v>1569.4327965918985</v>
      </c>
      <c r="R289" s="29"/>
    </row>
    <row r="290" spans="1:18">
      <c r="A290" s="42" t="s">
        <v>1367</v>
      </c>
      <c r="B290" s="43"/>
      <c r="C290" s="50"/>
      <c r="D290" s="73">
        <v>16.899999999999999</v>
      </c>
      <c r="E290" s="45"/>
      <c r="F290" s="95">
        <f t="shared" si="154"/>
        <v>89777526</v>
      </c>
      <c r="G290" s="46">
        <f t="shared" si="156"/>
        <v>0.82009586675400259</v>
      </c>
      <c r="H290" s="95">
        <f>H62</f>
        <v>73626178</v>
      </c>
      <c r="I290" s="46">
        <f t="shared" si="157"/>
        <v>0.17990413324599744</v>
      </c>
      <c r="J290" s="95">
        <f>J62</f>
        <v>16151348</v>
      </c>
      <c r="K290" s="48">
        <f t="shared" si="158"/>
        <v>89777526</v>
      </c>
      <c r="L290" s="49">
        <f t="shared" si="159"/>
        <v>0.82009586675400259</v>
      </c>
      <c r="M290" s="48">
        <f t="shared" si="160"/>
        <v>0.17990413324599744</v>
      </c>
      <c r="N290" s="46">
        <f t="shared" si="155"/>
        <v>4.1492757181438744E-2</v>
      </c>
      <c r="O290" s="95">
        <v>815037</v>
      </c>
      <c r="P290" s="95">
        <f t="shared" si="161"/>
        <v>6084.0217857065172</v>
      </c>
      <c r="Q290" s="95">
        <f t="shared" si="162"/>
        <v>27734.110549181773</v>
      </c>
      <c r="R290" s="29"/>
    </row>
    <row r="291" spans="1:18">
      <c r="A291" s="42" t="s">
        <v>1316</v>
      </c>
      <c r="B291" s="43"/>
      <c r="C291" s="50"/>
      <c r="D291" s="73">
        <v>2</v>
      </c>
      <c r="E291" s="45"/>
      <c r="F291" s="95">
        <f t="shared" si="154"/>
        <v>11502039</v>
      </c>
      <c r="G291" s="46">
        <f t="shared" si="156"/>
        <v>0.20695574062998742</v>
      </c>
      <c r="H291" s="95">
        <f>'rev send dist only'!O493</f>
        <v>2380413</v>
      </c>
      <c r="I291" s="46">
        <f t="shared" si="157"/>
        <v>0.79304425937001255</v>
      </c>
      <c r="J291" s="95">
        <f>'rev send dist only'!J493</f>
        <v>9121626</v>
      </c>
      <c r="K291" s="48">
        <f t="shared" si="158"/>
        <v>11502039</v>
      </c>
      <c r="L291" s="49">
        <f t="shared" si="159"/>
        <v>0.20695574062998742</v>
      </c>
      <c r="M291" s="48">
        <f t="shared" si="160"/>
        <v>0.79304425937001255</v>
      </c>
      <c r="N291" s="46">
        <f t="shared" si="155"/>
        <v>4.9103854652590238E-3</v>
      </c>
      <c r="O291" s="95">
        <v>815037</v>
      </c>
      <c r="P291" s="95">
        <f t="shared" si="161"/>
        <v>3173.8787823430248</v>
      </c>
      <c r="Q291" s="95">
        <f t="shared" si="162"/>
        <v>828.26705610529382</v>
      </c>
      <c r="R291" s="29"/>
    </row>
    <row r="292" spans="1:18">
      <c r="A292" s="42" t="s">
        <v>1317</v>
      </c>
      <c r="B292" s="43"/>
      <c r="C292" s="50"/>
      <c r="D292" s="73">
        <v>1</v>
      </c>
      <c r="E292" s="45"/>
      <c r="F292" s="95">
        <f t="shared" si="154"/>
        <v>17449640</v>
      </c>
      <c r="G292" s="46">
        <f t="shared" si="156"/>
        <v>3.5251157043927552E-3</v>
      </c>
      <c r="H292" s="95">
        <f>'rev send dist only'!O494</f>
        <v>61512</v>
      </c>
      <c r="I292" s="46">
        <f t="shared" si="157"/>
        <v>0.99647488429560727</v>
      </c>
      <c r="J292" s="95">
        <f>'rev send dist only'!J494</f>
        <v>17388128</v>
      </c>
      <c r="K292" s="48">
        <f t="shared" si="158"/>
        <v>17449640</v>
      </c>
      <c r="L292" s="49">
        <f t="shared" si="159"/>
        <v>3.5251157043927552E-3</v>
      </c>
      <c r="M292" s="48">
        <f t="shared" si="160"/>
        <v>0.99647488429560727</v>
      </c>
      <c r="N292" s="46">
        <f t="shared" si="155"/>
        <v>2.4551927326295119E-3</v>
      </c>
      <c r="O292" s="95">
        <v>815037</v>
      </c>
      <c r="P292" s="95">
        <f t="shared" si="161"/>
        <v>1994.0189056509673</v>
      </c>
      <c r="Q292" s="95">
        <f t="shared" si="162"/>
        <v>7.0540135731921394</v>
      </c>
      <c r="R292" s="29"/>
    </row>
    <row r="293" spans="1:18">
      <c r="A293" s="42" t="s">
        <v>1368</v>
      </c>
      <c r="B293" s="43"/>
      <c r="C293" s="50"/>
      <c r="D293" s="73">
        <v>361.2</v>
      </c>
      <c r="E293" s="45"/>
      <c r="F293" s="95">
        <f t="shared" si="154"/>
        <v>212827949</v>
      </c>
      <c r="G293" s="46">
        <f t="shared" si="156"/>
        <v>0.80920356000799498</v>
      </c>
      <c r="H293" s="95">
        <f>H63</f>
        <v>172221134</v>
      </c>
      <c r="I293" s="46">
        <f t="shared" si="157"/>
        <v>0.19079643999200499</v>
      </c>
      <c r="J293" s="95">
        <f>J63</f>
        <v>40606815</v>
      </c>
      <c r="K293" s="48">
        <f>SUM(H293+J293)</f>
        <v>212827949</v>
      </c>
      <c r="L293" s="49">
        <f>H293/K293</f>
        <v>0.80920356000799498</v>
      </c>
      <c r="M293" s="48">
        <f>J293/K293</f>
        <v>0.19079643999200499</v>
      </c>
      <c r="N293" s="46">
        <f t="shared" si="155"/>
        <v>0.88681561502577955</v>
      </c>
      <c r="O293" s="95">
        <v>815037</v>
      </c>
      <c r="P293" s="95">
        <f>O293*N293*M293</f>
        <v>137905.28920183913</v>
      </c>
      <c r="Q293" s="95">
        <f>O293*N293*L293</f>
        <v>584882.24922192714</v>
      </c>
      <c r="R293" s="29"/>
    </row>
    <row r="294" spans="1:18">
      <c r="A294" s="42" t="s">
        <v>1908</v>
      </c>
      <c r="B294" s="43"/>
      <c r="C294" s="50"/>
      <c r="D294" s="73">
        <v>1</v>
      </c>
      <c r="E294" s="45"/>
      <c r="F294" s="95">
        <f t="shared" si="154"/>
        <v>6112667</v>
      </c>
      <c r="G294" s="46">
        <f t="shared" si="156"/>
        <v>0.6091437665424928</v>
      </c>
      <c r="H294" s="95">
        <f>'rev send dist only'!O498</f>
        <v>3723493</v>
      </c>
      <c r="I294" s="46">
        <f t="shared" si="157"/>
        <v>0.3908562334575072</v>
      </c>
      <c r="J294" s="95">
        <f>'rev send dist only'!J498</f>
        <v>2389174</v>
      </c>
      <c r="K294" s="48">
        <f>SUM(H294+J294)</f>
        <v>6112667</v>
      </c>
      <c r="L294" s="49">
        <f>H294/K294</f>
        <v>0.6091437665424928</v>
      </c>
      <c r="M294" s="48">
        <f>J294/K294</f>
        <v>0.3908562334575072</v>
      </c>
      <c r="N294" s="46">
        <f t="shared" si="155"/>
        <v>2.4551927326295119E-3</v>
      </c>
      <c r="O294" s="95">
        <v>815037</v>
      </c>
      <c r="P294" s="95">
        <f>O294*N294*M294</f>
        <v>782.13182408177352</v>
      </c>
      <c r="Q294" s="95">
        <f>O294*N294*L294</f>
        <v>1218.9410951423858</v>
      </c>
      <c r="R294" s="29"/>
    </row>
    <row r="295" spans="1:18">
      <c r="A295" s="42" t="s">
        <v>1318</v>
      </c>
      <c r="B295" s="43"/>
      <c r="C295" s="50"/>
      <c r="D295" s="73">
        <v>1</v>
      </c>
      <c r="E295" s="45"/>
      <c r="F295" s="95">
        <f t="shared" si="154"/>
        <v>10644586</v>
      </c>
      <c r="G295" s="46">
        <f t="shared" si="156"/>
        <v>0</v>
      </c>
      <c r="H295" s="95">
        <f>'rev send dist only'!O504</f>
        <v>0</v>
      </c>
      <c r="I295" s="46">
        <f t="shared" si="157"/>
        <v>1</v>
      </c>
      <c r="J295" s="95">
        <f>'rev send dist only'!J504</f>
        <v>10644586</v>
      </c>
      <c r="K295" s="48">
        <f t="shared" si="158"/>
        <v>10644586</v>
      </c>
      <c r="L295" s="49">
        <f t="shared" si="159"/>
        <v>0</v>
      </c>
      <c r="M295" s="48">
        <f t="shared" si="160"/>
        <v>1</v>
      </c>
      <c r="N295" s="46">
        <f t="shared" si="155"/>
        <v>2.4551927326295119E-3</v>
      </c>
      <c r="O295" s="95">
        <v>815037</v>
      </c>
      <c r="P295" s="95">
        <f t="shared" si="161"/>
        <v>2001.0729192241595</v>
      </c>
      <c r="Q295" s="95">
        <f t="shared" si="162"/>
        <v>0</v>
      </c>
      <c r="R295" s="29"/>
    </row>
    <row r="296" spans="1:18">
      <c r="A296" s="42" t="s">
        <v>1319</v>
      </c>
      <c r="B296" s="43"/>
      <c r="C296" s="50"/>
      <c r="D296" s="73">
        <v>1</v>
      </c>
      <c r="E296" s="45"/>
      <c r="F296" s="95">
        <f t="shared" si="154"/>
        <v>16844734</v>
      </c>
      <c r="G296" s="46">
        <f t="shared" si="156"/>
        <v>0.2132342962494985</v>
      </c>
      <c r="H296" s="95">
        <f>'rev send dist only'!O599</f>
        <v>3591875</v>
      </c>
      <c r="I296" s="46">
        <f t="shared" si="157"/>
        <v>0.78676570375050148</v>
      </c>
      <c r="J296" s="95">
        <f>'rev send dist only'!J599</f>
        <v>13252859</v>
      </c>
      <c r="K296" s="48">
        <f t="shared" si="158"/>
        <v>16844734</v>
      </c>
      <c r="L296" s="49">
        <f t="shared" si="159"/>
        <v>0.2132342962494985</v>
      </c>
      <c r="M296" s="48">
        <f t="shared" si="160"/>
        <v>0.78676570375050148</v>
      </c>
      <c r="N296" s="46">
        <f t="shared" si="155"/>
        <v>2.4551927326295119E-3</v>
      </c>
      <c r="O296" s="95">
        <v>815037</v>
      </c>
      <c r="P296" s="95">
        <f t="shared" si="161"/>
        <v>1574.3755435494663</v>
      </c>
      <c r="Q296" s="95">
        <f t="shared" si="162"/>
        <v>426.69737567469321</v>
      </c>
      <c r="R296" s="29"/>
    </row>
    <row r="297" spans="1:18">
      <c r="A297" s="38" t="s">
        <v>1320</v>
      </c>
      <c r="B297" s="39"/>
      <c r="C297" s="40"/>
      <c r="D297" s="74">
        <f>SUM(D284:D296)</f>
        <v>407.29999999999995</v>
      </c>
      <c r="E297" s="41"/>
      <c r="F297" s="91"/>
      <c r="G297" s="40"/>
      <c r="H297" s="91"/>
      <c r="I297" s="40"/>
      <c r="J297" s="91"/>
      <c r="K297" s="40"/>
      <c r="L297" s="40"/>
      <c r="M297" s="40"/>
      <c r="N297" s="40"/>
      <c r="O297" s="91"/>
      <c r="P297" s="91">
        <f>SUM(P284:P296)</f>
        <v>197178.29149809363</v>
      </c>
      <c r="Q297" s="91">
        <f>SUM(Q284:Q296)</f>
        <v>617858.70850190637</v>
      </c>
      <c r="R297" s="37"/>
    </row>
    <row r="298" spans="1:18">
      <c r="A298" s="42" t="s">
        <v>1496</v>
      </c>
      <c r="B298" s="43" t="s">
        <v>1485</v>
      </c>
      <c r="C298" s="50" t="s">
        <v>1486</v>
      </c>
      <c r="D298" s="73">
        <v>1.4</v>
      </c>
      <c r="E298" s="45"/>
      <c r="F298" s="95">
        <f t="shared" ref="F298:F305" si="163">H298+J298</f>
        <v>8588416</v>
      </c>
      <c r="G298" s="46">
        <f>H298/F298</f>
        <v>4.0100176796280015E-2</v>
      </c>
      <c r="H298" s="95">
        <f>$H$12</f>
        <v>344397</v>
      </c>
      <c r="I298" s="46">
        <f>J298/F298</f>
        <v>0.95989982320372003</v>
      </c>
      <c r="J298" s="95">
        <f>$J$12</f>
        <v>8244019</v>
      </c>
      <c r="K298" s="48">
        <f>SUM(H298+J298)</f>
        <v>8588416</v>
      </c>
      <c r="L298" s="49">
        <f>H298/K298</f>
        <v>4.0100176796280015E-2</v>
      </c>
      <c r="M298" s="48">
        <f>J298/K298</f>
        <v>0.95989982320372003</v>
      </c>
      <c r="N298" s="46">
        <f t="shared" ref="N298:N305" si="164">D298/$D$306</f>
        <v>2.5031289111389237E-3</v>
      </c>
      <c r="O298" s="95">
        <v>1699591</v>
      </c>
      <c r="P298" s="95">
        <f>O298*N298*M298</f>
        <v>4083.6973727625373</v>
      </c>
      <c r="Q298" s="95">
        <f>O298*N298*L298</f>
        <v>170.59799644897709</v>
      </c>
      <c r="R298" s="29"/>
    </row>
    <row r="299" spans="1:18">
      <c r="A299" s="42" t="s">
        <v>582</v>
      </c>
      <c r="B299" s="43"/>
      <c r="C299" s="50"/>
      <c r="D299" s="73">
        <v>88.5</v>
      </c>
      <c r="E299" s="45"/>
      <c r="F299" s="95">
        <f t="shared" si="163"/>
        <v>95516913</v>
      </c>
      <c r="G299" s="46">
        <f>H299/F299</f>
        <v>0</v>
      </c>
      <c r="H299" s="95">
        <f>$H$13</f>
        <v>0</v>
      </c>
      <c r="I299" s="46">
        <f>J299/F299</f>
        <v>1</v>
      </c>
      <c r="J299" s="95">
        <f>$J$13</f>
        <v>95516913</v>
      </c>
      <c r="K299" s="48">
        <f>SUM(H299+J299)</f>
        <v>95516913</v>
      </c>
      <c r="L299" s="49">
        <f>H299/K299</f>
        <v>0</v>
      </c>
      <c r="M299" s="48">
        <f>J299/K299</f>
        <v>1</v>
      </c>
      <c r="N299" s="46">
        <f t="shared" si="164"/>
        <v>0.15823350616842483</v>
      </c>
      <c r="O299" s="95">
        <v>1699591</v>
      </c>
      <c r="P299" s="95">
        <f>O299*N299*M299</f>
        <v>268932.2429822993</v>
      </c>
      <c r="Q299" s="95">
        <f>O299*N299*L299</f>
        <v>0</v>
      </c>
      <c r="R299" s="29"/>
    </row>
    <row r="300" spans="1:18">
      <c r="A300" s="42" t="s">
        <v>1413</v>
      </c>
      <c r="B300" s="43"/>
      <c r="C300" s="50"/>
      <c r="D300" s="73">
        <v>3</v>
      </c>
      <c r="E300" s="45"/>
      <c r="F300" s="95">
        <f t="shared" si="163"/>
        <v>4829076</v>
      </c>
      <c r="G300" s="46">
        <f t="shared" ref="G300:G305" si="165">H300/F300</f>
        <v>0.61008089332203508</v>
      </c>
      <c r="H300" s="95">
        <f>H140</f>
        <v>2946127</v>
      </c>
      <c r="I300" s="46">
        <f t="shared" ref="I300:I305" si="166">J300/F300</f>
        <v>0.38991910667796492</v>
      </c>
      <c r="J300" s="95">
        <f>J140</f>
        <v>1882949</v>
      </c>
      <c r="K300" s="48">
        <f t="shared" ref="K300:K305" si="167">SUM(H300+J300)</f>
        <v>4829076</v>
      </c>
      <c r="L300" s="49">
        <f t="shared" ref="L300:L305" si="168">H300/K300</f>
        <v>0.61008089332203508</v>
      </c>
      <c r="M300" s="48">
        <f t="shared" ref="M300:M305" si="169">J300/K300</f>
        <v>0.38991910667796492</v>
      </c>
      <c r="N300" s="46">
        <f t="shared" si="164"/>
        <v>5.3638476667262651E-3</v>
      </c>
      <c r="O300" s="95">
        <v>1699591</v>
      </c>
      <c r="P300" s="95">
        <f t="shared" ref="P300:P305" si="170">O300*N300*M300</f>
        <v>3554.6379640867644</v>
      </c>
      <c r="Q300" s="95">
        <f t="shared" ref="Q300:Q305" si="171">O300*N300*L300</f>
        <v>5561.7092556521957</v>
      </c>
      <c r="R300" s="29"/>
    </row>
    <row r="301" spans="1:18">
      <c r="A301" s="42" t="s">
        <v>1499</v>
      </c>
      <c r="B301" s="43"/>
      <c r="C301" s="50"/>
      <c r="D301" s="73">
        <v>18.7</v>
      </c>
      <c r="E301" s="45"/>
      <c r="F301" s="95">
        <f t="shared" si="163"/>
        <v>72401641</v>
      </c>
      <c r="G301" s="46">
        <f t="shared" si="165"/>
        <v>0.28095243034615747</v>
      </c>
      <c r="H301" s="95">
        <f>$H$16</f>
        <v>20341417</v>
      </c>
      <c r="I301" s="46">
        <f t="shared" si="166"/>
        <v>0.71904756965384253</v>
      </c>
      <c r="J301" s="95">
        <f>$J$16</f>
        <v>52060224</v>
      </c>
      <c r="K301" s="48">
        <f t="shared" si="167"/>
        <v>72401641</v>
      </c>
      <c r="L301" s="49">
        <f t="shared" si="168"/>
        <v>0.28095243034615747</v>
      </c>
      <c r="M301" s="48">
        <f t="shared" si="169"/>
        <v>0.71904756965384253</v>
      </c>
      <c r="N301" s="46">
        <f t="shared" si="164"/>
        <v>3.3434650455927056E-2</v>
      </c>
      <c r="O301" s="95">
        <v>1699591</v>
      </c>
      <c r="P301" s="95">
        <f t="shared" si="170"/>
        <v>40860.044247753751</v>
      </c>
      <c r="Q301" s="95">
        <f t="shared" si="171"/>
        <v>15965.186755285769</v>
      </c>
      <c r="R301" s="29"/>
    </row>
    <row r="302" spans="1:18">
      <c r="A302" s="42" t="s">
        <v>1414</v>
      </c>
      <c r="B302" s="43"/>
      <c r="C302" s="50"/>
      <c r="D302" s="73">
        <v>17</v>
      </c>
      <c r="E302" s="45"/>
      <c r="F302" s="95">
        <f t="shared" si="163"/>
        <v>40547279</v>
      </c>
      <c r="G302" s="46">
        <f t="shared" si="165"/>
        <v>0.34175612622489415</v>
      </c>
      <c r="H302" s="95">
        <f>H142</f>
        <v>13857281</v>
      </c>
      <c r="I302" s="46">
        <f t="shared" si="166"/>
        <v>0.65824387377510585</v>
      </c>
      <c r="J302" s="95">
        <f>J142</f>
        <v>26689998</v>
      </c>
      <c r="K302" s="48">
        <f t="shared" si="167"/>
        <v>40547279</v>
      </c>
      <c r="L302" s="49">
        <f t="shared" si="168"/>
        <v>0.34175612622489415</v>
      </c>
      <c r="M302" s="48">
        <f t="shared" si="169"/>
        <v>0.65824387377510585</v>
      </c>
      <c r="N302" s="46">
        <f t="shared" si="164"/>
        <v>3.0395136778115502E-2</v>
      </c>
      <c r="O302" s="95">
        <v>1699591</v>
      </c>
      <c r="P302" s="95">
        <f t="shared" si="170"/>
        <v>34004.418348732703</v>
      </c>
      <c r="Q302" s="95">
        <f t="shared" si="171"/>
        <v>17654.882563121399</v>
      </c>
      <c r="R302" s="29"/>
    </row>
    <row r="303" spans="1:18">
      <c r="A303" s="42" t="s">
        <v>1509</v>
      </c>
      <c r="B303" s="43"/>
      <c r="C303" s="50"/>
      <c r="D303" s="73">
        <v>6.7</v>
      </c>
      <c r="E303" s="45"/>
      <c r="F303" s="95">
        <f t="shared" si="163"/>
        <v>125290913</v>
      </c>
      <c r="G303" s="46">
        <f t="shared" si="165"/>
        <v>0.25425071329793886</v>
      </c>
      <c r="H303" s="95">
        <f>$H$27</f>
        <v>31855304</v>
      </c>
      <c r="I303" s="46">
        <f t="shared" si="166"/>
        <v>0.7457492867020612</v>
      </c>
      <c r="J303" s="95">
        <f>$J$27</f>
        <v>93435609</v>
      </c>
      <c r="K303" s="48">
        <f t="shared" si="167"/>
        <v>125290913</v>
      </c>
      <c r="L303" s="49">
        <f t="shared" si="168"/>
        <v>0.25425071329793886</v>
      </c>
      <c r="M303" s="48">
        <f t="shared" si="169"/>
        <v>0.7457492867020612</v>
      </c>
      <c r="N303" s="46">
        <f t="shared" si="164"/>
        <v>1.1979259789021993E-2</v>
      </c>
      <c r="O303" s="95">
        <v>1699591</v>
      </c>
      <c r="P303" s="95">
        <f t="shared" si="170"/>
        <v>15183.33774140198</v>
      </c>
      <c r="Q303" s="95">
        <f t="shared" si="171"/>
        <v>5176.5043826816973</v>
      </c>
      <c r="R303" s="29"/>
    </row>
    <row r="304" spans="1:18">
      <c r="A304" s="42" t="s">
        <v>1501</v>
      </c>
      <c r="B304" s="43"/>
      <c r="C304" s="50"/>
      <c r="D304" s="73">
        <v>419</v>
      </c>
      <c r="E304" s="45"/>
      <c r="F304" s="95">
        <f t="shared" si="163"/>
        <v>34151238</v>
      </c>
      <c r="G304" s="46">
        <f t="shared" si="165"/>
        <v>0.80709888174478472</v>
      </c>
      <c r="H304" s="95">
        <f>$H$19</f>
        <v>27563426</v>
      </c>
      <c r="I304" s="46">
        <f t="shared" si="166"/>
        <v>0.19290111825521522</v>
      </c>
      <c r="J304" s="95">
        <f>$J$19</f>
        <v>6587812</v>
      </c>
      <c r="K304" s="48">
        <f t="shared" si="167"/>
        <v>34151238</v>
      </c>
      <c r="L304" s="49">
        <f t="shared" si="168"/>
        <v>0.80709888174478472</v>
      </c>
      <c r="M304" s="48">
        <f t="shared" si="169"/>
        <v>0.19290111825521522</v>
      </c>
      <c r="N304" s="46">
        <f t="shared" si="164"/>
        <v>0.74915072411943506</v>
      </c>
      <c r="O304" s="95">
        <v>1699591</v>
      </c>
      <c r="P304" s="95">
        <f t="shared" si="170"/>
        <v>245611.31570830199</v>
      </c>
      <c r="Q304" s="95">
        <f t="shared" si="171"/>
        <v>1027638.5126485728</v>
      </c>
      <c r="R304" s="29"/>
    </row>
    <row r="305" spans="1:18">
      <c r="A305" s="42" t="s">
        <v>1418</v>
      </c>
      <c r="B305" s="43"/>
      <c r="C305" s="50"/>
      <c r="D305" s="73">
        <v>5</v>
      </c>
      <c r="E305" s="45"/>
      <c r="F305" s="95">
        <f t="shared" si="163"/>
        <v>10349082</v>
      </c>
      <c r="G305" s="46">
        <f t="shared" si="165"/>
        <v>0.228178982445013</v>
      </c>
      <c r="H305" s="95">
        <f>H148</f>
        <v>2361443</v>
      </c>
      <c r="I305" s="46">
        <f t="shared" si="166"/>
        <v>0.771821017554987</v>
      </c>
      <c r="J305" s="95">
        <f>J148</f>
        <v>7987639</v>
      </c>
      <c r="K305" s="48">
        <f t="shared" si="167"/>
        <v>10349082</v>
      </c>
      <c r="L305" s="49">
        <f t="shared" si="168"/>
        <v>0.228178982445013</v>
      </c>
      <c r="M305" s="48">
        <f t="shared" si="169"/>
        <v>0.771821017554987</v>
      </c>
      <c r="N305" s="46">
        <f t="shared" si="164"/>
        <v>8.939746111210442E-3</v>
      </c>
      <c r="O305" s="95">
        <v>1699591</v>
      </c>
      <c r="P305" s="95">
        <f t="shared" si="170"/>
        <v>11726.980645872502</v>
      </c>
      <c r="Q305" s="95">
        <f t="shared" si="171"/>
        <v>3466.9313870257652</v>
      </c>
      <c r="R305" s="29"/>
    </row>
    <row r="306" spans="1:18">
      <c r="A306" s="38" t="s">
        <v>1321</v>
      </c>
      <c r="B306" s="39"/>
      <c r="C306" s="40"/>
      <c r="D306" s="74">
        <f>SUM(D298:D305)</f>
        <v>559.29999999999995</v>
      </c>
      <c r="E306" s="41"/>
      <c r="F306" s="91"/>
      <c r="G306" s="40"/>
      <c r="H306" s="91"/>
      <c r="I306" s="40"/>
      <c r="J306" s="91"/>
      <c r="K306" s="40"/>
      <c r="L306" s="40"/>
      <c r="M306" s="40"/>
      <c r="N306" s="40"/>
      <c r="O306" s="91"/>
      <c r="P306" s="91">
        <f>SUM(P298:P305)</f>
        <v>623956.67501121154</v>
      </c>
      <c r="Q306" s="91">
        <f>SUM(Q298:Q305)</f>
        <v>1075634.3249887887</v>
      </c>
      <c r="R306" s="37"/>
    </row>
    <row r="307" spans="1:18">
      <c r="A307" s="42" t="s">
        <v>1322</v>
      </c>
      <c r="B307" s="43" t="s">
        <v>1485</v>
      </c>
      <c r="C307" s="50" t="s">
        <v>1486</v>
      </c>
      <c r="D307" s="73">
        <v>2</v>
      </c>
      <c r="E307" s="45"/>
      <c r="F307" s="95">
        <f>H307+J307</f>
        <v>55795012</v>
      </c>
      <c r="G307" s="46">
        <f>H307/F307</f>
        <v>0</v>
      </c>
      <c r="H307" s="95">
        <f>'rev send dist only'!O324</f>
        <v>0</v>
      </c>
      <c r="I307" s="46">
        <f>J307/F307</f>
        <v>1</v>
      </c>
      <c r="J307" s="95">
        <f>'rev send dist only'!J324</f>
        <v>55795012</v>
      </c>
      <c r="K307" s="48">
        <f>SUM(H307+J307)</f>
        <v>55795012</v>
      </c>
      <c r="L307" s="49">
        <f>H307/K307</f>
        <v>0</v>
      </c>
      <c r="M307" s="48">
        <f>J307/K307</f>
        <v>1</v>
      </c>
      <c r="N307" s="46">
        <f>D307/$D$310</f>
        <v>6.915629322268327E-3</v>
      </c>
      <c r="O307" s="95">
        <v>2411437</v>
      </c>
      <c r="P307" s="95">
        <f>O307*N307*M307</f>
        <v>16676.604426002767</v>
      </c>
      <c r="Q307" s="95">
        <f>O307*N307*L307</f>
        <v>0</v>
      </c>
      <c r="R307" s="29"/>
    </row>
    <row r="308" spans="1:18">
      <c r="A308" s="42" t="s">
        <v>1323</v>
      </c>
      <c r="B308" s="43"/>
      <c r="C308" s="50"/>
      <c r="D308" s="73">
        <v>286.2</v>
      </c>
      <c r="E308" s="45"/>
      <c r="F308" s="95">
        <f>H308+J308</f>
        <v>55929565</v>
      </c>
      <c r="G308" s="46">
        <f>H308/F308</f>
        <v>0</v>
      </c>
      <c r="H308" s="95">
        <f>'rev send dist only'!O328</f>
        <v>0</v>
      </c>
      <c r="I308" s="46">
        <f>J308/F308</f>
        <v>1</v>
      </c>
      <c r="J308" s="95">
        <f>'rev send dist only'!J328</f>
        <v>55929565</v>
      </c>
      <c r="K308" s="48">
        <f>SUM(H308+J308)</f>
        <v>55929565</v>
      </c>
      <c r="L308" s="49">
        <f>H308/K308</f>
        <v>0</v>
      </c>
      <c r="M308" s="48">
        <f>J308/K308</f>
        <v>1</v>
      </c>
      <c r="N308" s="46">
        <f>D308/$D$310</f>
        <v>0.98962655601659755</v>
      </c>
      <c r="O308" s="95">
        <v>2411437</v>
      </c>
      <c r="P308" s="95">
        <f>O308*N308*M308</f>
        <v>2386422.0933609959</v>
      </c>
      <c r="Q308" s="95">
        <f>O308*N308*L308</f>
        <v>0</v>
      </c>
      <c r="R308" s="29"/>
    </row>
    <row r="309" spans="1:18">
      <c r="A309" s="42" t="s">
        <v>1324</v>
      </c>
      <c r="B309" s="43"/>
      <c r="C309" s="50"/>
      <c r="D309" s="73">
        <v>1</v>
      </c>
      <c r="E309" s="45"/>
      <c r="F309" s="95">
        <f>H309+J309</f>
        <v>119131844</v>
      </c>
      <c r="G309" s="46">
        <f>H309/F309</f>
        <v>9.6140625507316075E-3</v>
      </c>
      <c r="H309" s="95">
        <f>'rev send dist only'!O331</f>
        <v>1145341</v>
      </c>
      <c r="I309" s="46">
        <f>J309/F309</f>
        <v>0.99038593744926839</v>
      </c>
      <c r="J309" s="95">
        <f>'rev send dist only'!J331</f>
        <v>117986503</v>
      </c>
      <c r="K309" s="48">
        <f>SUM(H309+J309)</f>
        <v>119131844</v>
      </c>
      <c r="L309" s="49">
        <f>H309/K309</f>
        <v>9.6140625507316075E-3</v>
      </c>
      <c r="M309" s="48">
        <f>J309/K309</f>
        <v>0.99038593744926839</v>
      </c>
      <c r="N309" s="46">
        <f>D309/$D$310</f>
        <v>3.4578146611341635E-3</v>
      </c>
      <c r="O309" s="95">
        <v>2411437</v>
      </c>
      <c r="P309" s="95">
        <f>O309*N309*M309</f>
        <v>8258.1372539586846</v>
      </c>
      <c r="Q309" s="95">
        <f>O309*N309*L309</f>
        <v>80.164959042699081</v>
      </c>
      <c r="R309" s="29"/>
    </row>
    <row r="310" spans="1:18">
      <c r="A310" s="38" t="s">
        <v>1325</v>
      </c>
      <c r="B310" s="39"/>
      <c r="C310" s="40"/>
      <c r="D310" s="74">
        <f>SUM(D307:D309)</f>
        <v>289.2</v>
      </c>
      <c r="E310" s="41"/>
      <c r="F310" s="91"/>
      <c r="G310" s="40"/>
      <c r="H310" s="91"/>
      <c r="I310" s="40"/>
      <c r="J310" s="91"/>
      <c r="K310" s="40"/>
      <c r="L310" s="40"/>
      <c r="M310" s="40"/>
      <c r="N310" s="40"/>
      <c r="O310" s="91"/>
      <c r="P310" s="91">
        <f>SUM(P307:P309)</f>
        <v>2411356.8350409572</v>
      </c>
      <c r="Q310" s="91">
        <f>SUM(Q307:Q309)</f>
        <v>80.164959042699081</v>
      </c>
      <c r="R310" s="37"/>
    </row>
    <row r="311" spans="1:18">
      <c r="A311" s="42" t="s">
        <v>1529</v>
      </c>
      <c r="B311" s="43" t="s">
        <v>1485</v>
      </c>
      <c r="C311" s="50" t="s">
        <v>1486</v>
      </c>
      <c r="D311" s="73">
        <v>2</v>
      </c>
      <c r="E311" s="45"/>
      <c r="F311" s="95">
        <f>H311+J311</f>
        <v>37628562</v>
      </c>
      <c r="G311" s="46">
        <f>H311/F311</f>
        <v>0.31056634585185583</v>
      </c>
      <c r="H311" s="95">
        <f>$H$51</f>
        <v>11686165</v>
      </c>
      <c r="I311" s="46">
        <f>J311/F311</f>
        <v>0.68943365414814417</v>
      </c>
      <c r="J311" s="95">
        <f>$J$51</f>
        <v>25942397</v>
      </c>
      <c r="K311" s="48">
        <f>SUM(H311+J311)</f>
        <v>37628562</v>
      </c>
      <c r="L311" s="49">
        <f>H311/K311</f>
        <v>0.31056634585185583</v>
      </c>
      <c r="M311" s="48">
        <f>J311/K311</f>
        <v>0.68943365414814417</v>
      </c>
      <c r="N311" s="46">
        <f>D311/$D$313</f>
        <v>8.2678792889623806E-3</v>
      </c>
      <c r="O311" s="95">
        <v>543978</v>
      </c>
      <c r="P311" s="95">
        <f>O311*N311*M311</f>
        <v>3100.7584978602658</v>
      </c>
      <c r="Q311" s="95">
        <f>O311*N311*L311</f>
        <v>1396.7859419909121</v>
      </c>
      <c r="R311" s="29"/>
    </row>
    <row r="312" spans="1:18">
      <c r="A312" s="42" t="s">
        <v>1519</v>
      </c>
      <c r="B312" s="43"/>
      <c r="C312" s="50"/>
      <c r="D312" s="73">
        <v>239.9</v>
      </c>
      <c r="E312" s="45"/>
      <c r="F312" s="95">
        <f>H312+J312</f>
        <v>62723780</v>
      </c>
      <c r="G312" s="46">
        <f>H312/F312</f>
        <v>0.71806695961244682</v>
      </c>
      <c r="H312" s="95">
        <f>$H$37</f>
        <v>45039874</v>
      </c>
      <c r="I312" s="46">
        <f>J312/F312</f>
        <v>0.28193304038755318</v>
      </c>
      <c r="J312" s="95">
        <f>$J$37</f>
        <v>17683906</v>
      </c>
      <c r="K312" s="48">
        <f>SUM(H312+J312)</f>
        <v>62723780</v>
      </c>
      <c r="L312" s="49">
        <f>H312/K312</f>
        <v>0.71806695961244682</v>
      </c>
      <c r="M312" s="48">
        <f>J312/K312</f>
        <v>0.28193304038755318</v>
      </c>
      <c r="N312" s="46">
        <f>D312/$D$313</f>
        <v>0.99173212071103767</v>
      </c>
      <c r="O312" s="95">
        <v>543978</v>
      </c>
      <c r="P312" s="95">
        <f>O312*N312*M312</f>
        <v>152097.36506573504</v>
      </c>
      <c r="Q312" s="95">
        <f>O312*N312*L312</f>
        <v>387383.0904944138</v>
      </c>
      <c r="R312" s="29"/>
    </row>
    <row r="313" spans="1:18">
      <c r="A313" s="38" t="s">
        <v>1326</v>
      </c>
      <c r="B313" s="39"/>
      <c r="C313" s="40"/>
      <c r="D313" s="74">
        <f>SUM(D311:D312)</f>
        <v>241.9</v>
      </c>
      <c r="E313" s="41"/>
      <c r="F313" s="91"/>
      <c r="G313" s="40"/>
      <c r="H313" s="91"/>
      <c r="I313" s="40"/>
      <c r="J313" s="91"/>
      <c r="K313" s="40"/>
      <c r="L313" s="40"/>
      <c r="M313" s="40"/>
      <c r="N313" s="40"/>
      <c r="O313" s="91"/>
      <c r="P313" s="91">
        <f>SUM(P311:P312)</f>
        <v>155198.12356359529</v>
      </c>
      <c r="Q313" s="91">
        <f>SUM(Q311:Q312)</f>
        <v>388779.87643640471</v>
      </c>
      <c r="R313" s="37"/>
    </row>
    <row r="314" spans="1:18">
      <c r="A314" s="42" t="s">
        <v>1327</v>
      </c>
      <c r="B314" s="43" t="s">
        <v>1485</v>
      </c>
      <c r="C314" s="50" t="s">
        <v>1486</v>
      </c>
      <c r="D314" s="73">
        <v>156.69999999999999</v>
      </c>
      <c r="E314" s="45"/>
      <c r="F314" s="95">
        <f>H314+J314</f>
        <v>11224646</v>
      </c>
      <c r="G314" s="46">
        <f>H314/F314</f>
        <v>0</v>
      </c>
      <c r="H314" s="95">
        <f>'rev send dist only'!O397</f>
        <v>0</v>
      </c>
      <c r="I314" s="46">
        <f>J314/F314</f>
        <v>1</v>
      </c>
      <c r="J314" s="95">
        <f>'rev send dist only'!J397</f>
        <v>11224646</v>
      </c>
      <c r="K314" s="48">
        <f>SUM(H314+J314)</f>
        <v>11224646</v>
      </c>
      <c r="L314" s="49">
        <f>H314/K314</f>
        <v>0</v>
      </c>
      <c r="M314" s="48">
        <f>J314/K314</f>
        <v>1</v>
      </c>
      <c r="N314" s="46">
        <f>D314/$D$315</f>
        <v>1</v>
      </c>
      <c r="O314" s="95">
        <v>1315952</v>
      </c>
      <c r="P314" s="95">
        <f>O314*N314*M314</f>
        <v>1315952</v>
      </c>
      <c r="Q314" s="95">
        <f>O314*N314*L314</f>
        <v>0</v>
      </c>
      <c r="R314" s="29"/>
    </row>
    <row r="315" spans="1:18">
      <c r="A315" s="38" t="s">
        <v>1328</v>
      </c>
      <c r="B315" s="39"/>
      <c r="C315" s="40"/>
      <c r="D315" s="74">
        <f>SUM(D314)</f>
        <v>156.69999999999999</v>
      </c>
      <c r="E315" s="41"/>
      <c r="F315" s="91"/>
      <c r="G315" s="40"/>
      <c r="H315" s="91"/>
      <c r="I315" s="40"/>
      <c r="J315" s="91"/>
      <c r="K315" s="40"/>
      <c r="L315" s="40"/>
      <c r="M315" s="40"/>
      <c r="N315" s="40"/>
      <c r="O315" s="91"/>
      <c r="P315" s="91">
        <f>SUM(P314)</f>
        <v>1315952</v>
      </c>
      <c r="Q315" s="91">
        <f>SUM(Q314)</f>
        <v>0</v>
      </c>
      <c r="R315" s="37"/>
    </row>
    <row r="316" spans="1:18">
      <c r="A316" s="42" t="s">
        <v>1385</v>
      </c>
      <c r="B316" s="43" t="s">
        <v>1485</v>
      </c>
      <c r="C316" s="50" t="s">
        <v>1486</v>
      </c>
      <c r="D316" s="73">
        <v>1.6</v>
      </c>
      <c r="E316" s="45"/>
      <c r="F316" s="95">
        <f t="shared" ref="F316:F349" si="172">H316+J316</f>
        <v>39282621</v>
      </c>
      <c r="G316" s="46">
        <f>H316/F316</f>
        <v>0.76110878650383329</v>
      </c>
      <c r="H316" s="95">
        <f>H96</f>
        <v>29898348</v>
      </c>
      <c r="I316" s="46">
        <f>J316/F316</f>
        <v>0.23889121349616665</v>
      </c>
      <c r="J316" s="95">
        <f>J96</f>
        <v>9384273</v>
      </c>
      <c r="K316" s="48">
        <f>SUM(H316+J316)</f>
        <v>39282621</v>
      </c>
      <c r="L316" s="49">
        <f>H316/K316</f>
        <v>0.76110878650383329</v>
      </c>
      <c r="M316" s="48">
        <f>J316/K316</f>
        <v>0.23889121349616665</v>
      </c>
      <c r="N316" s="46">
        <f>D316/$D$350</f>
        <v>1.5763546798029555E-2</v>
      </c>
      <c r="O316" s="95">
        <v>831753</v>
      </c>
      <c r="P316" s="95">
        <f>O316*N316*M316</f>
        <v>3132.1928433352055</v>
      </c>
      <c r="Q316" s="95">
        <f>O316*N316*L316</f>
        <v>9979.1844965662713</v>
      </c>
      <c r="R316" s="29"/>
    </row>
    <row r="317" spans="1:18">
      <c r="A317" s="42" t="s">
        <v>1329</v>
      </c>
      <c r="B317" s="43"/>
      <c r="C317" s="50"/>
      <c r="D317" s="73">
        <v>1</v>
      </c>
      <c r="E317" s="45"/>
      <c r="F317" s="95">
        <f t="shared" si="172"/>
        <v>7229618</v>
      </c>
      <c r="G317" s="46">
        <f>H317/F317</f>
        <v>9.1177708144469044E-2</v>
      </c>
      <c r="H317" s="95">
        <f>'rev send dist only'!O291</f>
        <v>659180</v>
      </c>
      <c r="I317" s="46">
        <f>J317/F317</f>
        <v>0.90882229185553098</v>
      </c>
      <c r="J317" s="95">
        <f>'rev send dist only'!J291</f>
        <v>6570438</v>
      </c>
      <c r="K317" s="48">
        <f>SUM(H317+J317)</f>
        <v>7229618</v>
      </c>
      <c r="L317" s="49">
        <f>H317/K317</f>
        <v>9.1177708144469044E-2</v>
      </c>
      <c r="M317" s="48">
        <f>J317/K317</f>
        <v>0.90882229185553098</v>
      </c>
      <c r="N317" s="46">
        <f>D317/$D$350</f>
        <v>9.8522167487684713E-3</v>
      </c>
      <c r="O317" s="95">
        <v>831753</v>
      </c>
      <c r="P317" s="95">
        <f>O317*N317*M317</f>
        <v>7447.4450021449584</v>
      </c>
      <c r="Q317" s="95">
        <f>O317*N317*L317</f>
        <v>747.16583529346349</v>
      </c>
      <c r="R317" s="29"/>
    </row>
    <row r="318" spans="1:18">
      <c r="A318" s="42" t="s">
        <v>1330</v>
      </c>
      <c r="B318" s="43"/>
      <c r="C318" s="50"/>
      <c r="D318" s="73">
        <v>3</v>
      </c>
      <c r="E318" s="45"/>
      <c r="F318" s="95">
        <f t="shared" si="172"/>
        <v>10350818</v>
      </c>
      <c r="G318" s="46">
        <f t="shared" ref="G318:G349" si="173">H318/F318</f>
        <v>0.10758019317893523</v>
      </c>
      <c r="H318" s="95">
        <f>'rev send dist only'!O312</f>
        <v>1113543</v>
      </c>
      <c r="I318" s="46">
        <f t="shared" ref="I318:I349" si="174">J318/F318</f>
        <v>0.89241980682106481</v>
      </c>
      <c r="J318" s="95">
        <f>'rev send dist only'!J312</f>
        <v>9237275</v>
      </c>
      <c r="K318" s="48">
        <f t="shared" ref="K318:K325" si="175">SUM(H318+J318)</f>
        <v>10350818</v>
      </c>
      <c r="L318" s="49">
        <f t="shared" ref="L318:L325" si="176">H318/K318</f>
        <v>0.10758019317893523</v>
      </c>
      <c r="M318" s="48">
        <f t="shared" ref="M318:M325" si="177">J318/K318</f>
        <v>0.89241980682106481</v>
      </c>
      <c r="N318" s="46">
        <f t="shared" ref="N318:N349" si="178">D318/$D$350</f>
        <v>2.9556650246305414E-2</v>
      </c>
      <c r="O318" s="95">
        <v>831753</v>
      </c>
      <c r="P318" s="95">
        <f t="shared" ref="P318:P327" si="179">O318*N318*M318</f>
        <v>21939.099061561803</v>
      </c>
      <c r="Q318" s="95">
        <f t="shared" ref="Q318:Q327" si="180">O318*N318*L318</f>
        <v>2644.7334507534651</v>
      </c>
      <c r="R318" s="29"/>
    </row>
    <row r="319" spans="1:18">
      <c r="A319" s="42" t="s">
        <v>1331</v>
      </c>
      <c r="B319" s="43"/>
      <c r="C319" s="50"/>
      <c r="D319" s="73">
        <v>2</v>
      </c>
      <c r="E319" s="45"/>
      <c r="F319" s="95">
        <f t="shared" si="172"/>
        <v>28246511</v>
      </c>
      <c r="G319" s="46">
        <f t="shared" si="173"/>
        <v>0</v>
      </c>
      <c r="H319" s="95">
        <f>'rev send dist only'!O315</f>
        <v>0</v>
      </c>
      <c r="I319" s="46">
        <f t="shared" si="174"/>
        <v>1</v>
      </c>
      <c r="J319" s="95">
        <f>'rev send dist only'!J315</f>
        <v>28246511</v>
      </c>
      <c r="K319" s="48">
        <f t="shared" si="175"/>
        <v>28246511</v>
      </c>
      <c r="L319" s="49">
        <f t="shared" si="176"/>
        <v>0</v>
      </c>
      <c r="M319" s="48">
        <f t="shared" si="177"/>
        <v>1</v>
      </c>
      <c r="N319" s="46">
        <f t="shared" si="178"/>
        <v>1.9704433497536943E-2</v>
      </c>
      <c r="O319" s="95">
        <v>831753</v>
      </c>
      <c r="P319" s="95">
        <f t="shared" si="179"/>
        <v>16389.221674876844</v>
      </c>
      <c r="Q319" s="95">
        <f t="shared" si="180"/>
        <v>0</v>
      </c>
      <c r="R319" s="29"/>
    </row>
    <row r="320" spans="1:18">
      <c r="A320" s="42" t="s">
        <v>1332</v>
      </c>
      <c r="B320" s="43"/>
      <c r="C320" s="50"/>
      <c r="D320" s="73">
        <v>2</v>
      </c>
      <c r="E320" s="45"/>
      <c r="F320" s="95">
        <f t="shared" si="172"/>
        <v>21437993</v>
      </c>
      <c r="G320" s="46">
        <f t="shared" si="173"/>
        <v>0.43014842853992907</v>
      </c>
      <c r="H320" s="95">
        <f>'rev send dist only'!O419</f>
        <v>9221519</v>
      </c>
      <c r="I320" s="46">
        <f t="shared" si="174"/>
        <v>0.56985157146007093</v>
      </c>
      <c r="J320" s="95">
        <f>'rev send dist only'!J419</f>
        <v>12216474</v>
      </c>
      <c r="K320" s="48">
        <f t="shared" si="175"/>
        <v>21437993</v>
      </c>
      <c r="L320" s="49">
        <f t="shared" si="176"/>
        <v>0.43014842853992907</v>
      </c>
      <c r="M320" s="48">
        <f t="shared" si="177"/>
        <v>0.56985157146007093</v>
      </c>
      <c r="N320" s="46">
        <f t="shared" si="178"/>
        <v>1.9704433497536943E-2</v>
      </c>
      <c r="O320" s="95">
        <v>831753</v>
      </c>
      <c r="P320" s="95">
        <f t="shared" si="179"/>
        <v>9339.4237264360254</v>
      </c>
      <c r="Q320" s="95">
        <f t="shared" si="180"/>
        <v>7049.7979484408188</v>
      </c>
      <c r="R320" s="29"/>
    </row>
    <row r="321" spans="1:18">
      <c r="A321" s="42" t="s">
        <v>1333</v>
      </c>
      <c r="B321" s="43"/>
      <c r="C321" s="50"/>
      <c r="D321" s="73">
        <v>2</v>
      </c>
      <c r="E321" s="45"/>
      <c r="F321" s="95">
        <f t="shared" si="172"/>
        <v>41375383</v>
      </c>
      <c r="G321" s="46">
        <f t="shared" si="173"/>
        <v>0.23267351990433538</v>
      </c>
      <c r="H321" s="95">
        <f>'rev send dist only'!O425</f>
        <v>9626956</v>
      </c>
      <c r="I321" s="46">
        <f t="shared" si="174"/>
        <v>0.76732648009566462</v>
      </c>
      <c r="J321" s="95">
        <f>'rev send dist only'!J425</f>
        <v>31748427</v>
      </c>
      <c r="K321" s="48">
        <f t="shared" si="175"/>
        <v>41375383</v>
      </c>
      <c r="L321" s="49">
        <f t="shared" si="176"/>
        <v>0.23267351990433538</v>
      </c>
      <c r="M321" s="48">
        <f t="shared" si="177"/>
        <v>0.76732648009566462</v>
      </c>
      <c r="N321" s="46">
        <f t="shared" si="178"/>
        <v>1.9704433497536943E-2</v>
      </c>
      <c r="O321" s="95">
        <v>831753</v>
      </c>
      <c r="P321" s="95">
        <f t="shared" si="179"/>
        <v>12575.883779290822</v>
      </c>
      <c r="Q321" s="95">
        <f t="shared" si="180"/>
        <v>3813.3378955860221</v>
      </c>
      <c r="R321" s="29"/>
    </row>
    <row r="322" spans="1:18">
      <c r="A322" s="42" t="s">
        <v>1334</v>
      </c>
      <c r="B322" s="43"/>
      <c r="C322" s="50"/>
      <c r="D322" s="73">
        <v>1</v>
      </c>
      <c r="E322" s="45"/>
      <c r="F322" s="95">
        <f t="shared" si="172"/>
        <v>72576950</v>
      </c>
      <c r="G322" s="46">
        <f t="shared" si="173"/>
        <v>0</v>
      </c>
      <c r="H322" s="95">
        <f>'rev send dist only'!O437</f>
        <v>0</v>
      </c>
      <c r="I322" s="46">
        <f t="shared" si="174"/>
        <v>1</v>
      </c>
      <c r="J322" s="95">
        <f>'rev send dist only'!J437</f>
        <v>72576950</v>
      </c>
      <c r="K322" s="48">
        <f t="shared" si="175"/>
        <v>72576950</v>
      </c>
      <c r="L322" s="49">
        <f t="shared" si="176"/>
        <v>0</v>
      </c>
      <c r="M322" s="48">
        <f t="shared" si="177"/>
        <v>1</v>
      </c>
      <c r="N322" s="46">
        <f t="shared" si="178"/>
        <v>9.8522167487684713E-3</v>
      </c>
      <c r="O322" s="95">
        <v>831753</v>
      </c>
      <c r="P322" s="95">
        <f t="shared" si="179"/>
        <v>8194.6108374384221</v>
      </c>
      <c r="Q322" s="95">
        <f t="shared" si="180"/>
        <v>0</v>
      </c>
      <c r="R322" s="29"/>
    </row>
    <row r="323" spans="1:18">
      <c r="A323" s="42" t="s">
        <v>1335</v>
      </c>
      <c r="B323" s="43"/>
      <c r="C323" s="50"/>
      <c r="D323" s="73">
        <v>4</v>
      </c>
      <c r="E323" s="45"/>
      <c r="F323" s="95">
        <f t="shared" si="172"/>
        <v>8174386</v>
      </c>
      <c r="G323" s="46">
        <f t="shared" si="173"/>
        <v>1.3642981870442624E-2</v>
      </c>
      <c r="H323" s="95">
        <f>'rev send dist only'!O438</f>
        <v>111523</v>
      </c>
      <c r="I323" s="46">
        <f t="shared" si="174"/>
        <v>0.98635701812955734</v>
      </c>
      <c r="J323" s="95">
        <f>'rev send dist only'!J438</f>
        <v>8062863</v>
      </c>
      <c r="K323" s="48">
        <f t="shared" si="175"/>
        <v>8174386</v>
      </c>
      <c r="L323" s="49">
        <f t="shared" si="176"/>
        <v>1.3642981870442624E-2</v>
      </c>
      <c r="M323" s="48">
        <f t="shared" si="177"/>
        <v>0.98635701812955734</v>
      </c>
      <c r="N323" s="46">
        <f t="shared" si="178"/>
        <v>3.9408866995073885E-2</v>
      </c>
      <c r="O323" s="95">
        <v>831753</v>
      </c>
      <c r="P323" s="95">
        <f t="shared" si="179"/>
        <v>32331.247641391667</v>
      </c>
      <c r="Q323" s="95">
        <f t="shared" si="180"/>
        <v>447.19570836202018</v>
      </c>
      <c r="R323" s="29"/>
    </row>
    <row r="324" spans="1:18">
      <c r="A324" s="42" t="s">
        <v>1336</v>
      </c>
      <c r="B324" s="43"/>
      <c r="C324" s="50"/>
      <c r="D324" s="73">
        <v>6.1</v>
      </c>
      <c r="E324" s="45"/>
      <c r="F324" s="95">
        <f t="shared" si="172"/>
        <v>58341222</v>
      </c>
      <c r="G324" s="46">
        <f t="shared" si="173"/>
        <v>0.14740951089437243</v>
      </c>
      <c r="H324" s="95">
        <f>'rev send dist only'!O439</f>
        <v>8600051</v>
      </c>
      <c r="I324" s="46">
        <f t="shared" si="174"/>
        <v>0.85259048910562762</v>
      </c>
      <c r="J324" s="95">
        <f>'rev send dist only'!J439</f>
        <v>49741171</v>
      </c>
      <c r="K324" s="48">
        <f t="shared" si="175"/>
        <v>58341222</v>
      </c>
      <c r="L324" s="49">
        <f t="shared" si="176"/>
        <v>0.14740951089437243</v>
      </c>
      <c r="M324" s="48">
        <f t="shared" si="177"/>
        <v>0.85259048910562762</v>
      </c>
      <c r="N324" s="46">
        <f t="shared" si="178"/>
        <v>6.0098522167487671E-2</v>
      </c>
      <c r="O324" s="95">
        <v>831753</v>
      </c>
      <c r="P324" s="95">
        <f t="shared" si="179"/>
        <v>42618.548297723595</v>
      </c>
      <c r="Q324" s="95">
        <f t="shared" si="180"/>
        <v>7368.5778106507805</v>
      </c>
      <c r="R324" s="29"/>
    </row>
    <row r="325" spans="1:18">
      <c r="A325" s="42" t="s">
        <v>1337</v>
      </c>
      <c r="B325" s="43"/>
      <c r="C325" s="50"/>
      <c r="D325" s="73">
        <v>2</v>
      </c>
      <c r="E325" s="45"/>
      <c r="F325" s="95">
        <f t="shared" si="172"/>
        <v>51761749</v>
      </c>
      <c r="G325" s="46">
        <f t="shared" si="173"/>
        <v>0.17640485834433453</v>
      </c>
      <c r="H325" s="95">
        <f>'rev send dist only'!O449</f>
        <v>9131024</v>
      </c>
      <c r="I325" s="46">
        <f t="shared" si="174"/>
        <v>0.8235951416556655</v>
      </c>
      <c r="J325" s="95">
        <f>'rev send dist only'!J449</f>
        <v>42630725</v>
      </c>
      <c r="K325" s="48">
        <f t="shared" si="175"/>
        <v>51761749</v>
      </c>
      <c r="L325" s="49">
        <f t="shared" si="176"/>
        <v>0.17640485834433453</v>
      </c>
      <c r="M325" s="48">
        <f t="shared" si="177"/>
        <v>0.8235951416556655</v>
      </c>
      <c r="N325" s="46">
        <f t="shared" si="178"/>
        <v>1.9704433497536943E-2</v>
      </c>
      <c r="O325" s="95">
        <v>831753</v>
      </c>
      <c r="P325" s="95">
        <f t="shared" si="179"/>
        <v>13498.083346946298</v>
      </c>
      <c r="Q325" s="95">
        <f t="shared" si="180"/>
        <v>2891.1383279305469</v>
      </c>
      <c r="R325" s="29"/>
    </row>
    <row r="326" spans="1:18">
      <c r="A326" s="42" t="s">
        <v>1299</v>
      </c>
      <c r="B326" s="43"/>
      <c r="C326" s="50"/>
      <c r="D326" s="73">
        <v>1</v>
      </c>
      <c r="E326" s="45"/>
      <c r="F326" s="95">
        <f t="shared" si="172"/>
        <v>31455791</v>
      </c>
      <c r="G326" s="46">
        <f t="shared" si="173"/>
        <v>0.13936298724772173</v>
      </c>
      <c r="H326" s="95">
        <f>'rev send dist only'!O451</f>
        <v>4383773</v>
      </c>
      <c r="I326" s="46">
        <f t="shared" si="174"/>
        <v>0.86063701275227822</v>
      </c>
      <c r="J326" s="95">
        <f>'rev send dist only'!J451</f>
        <v>27072018</v>
      </c>
      <c r="K326" s="48">
        <f t="shared" ref="K326:K349" si="181">SUM(H326+J326)</f>
        <v>31455791</v>
      </c>
      <c r="L326" s="49">
        <f t="shared" ref="L326:L349" si="182">H326/K326</f>
        <v>0.13936298724772173</v>
      </c>
      <c r="M326" s="48">
        <f t="shared" ref="M326:M349" si="183">J326/K326</f>
        <v>0.86063701275227822</v>
      </c>
      <c r="N326" s="46">
        <f t="shared" si="178"/>
        <v>9.8522167487684713E-3</v>
      </c>
      <c r="O326" s="95">
        <v>831753</v>
      </c>
      <c r="P326" s="95">
        <f>O326*N326*M326</f>
        <v>7052.5853918004486</v>
      </c>
      <c r="Q326" s="95">
        <f>O326*N326*L326</f>
        <v>1142.025445637973</v>
      </c>
      <c r="R326" s="29"/>
    </row>
    <row r="327" spans="1:18">
      <c r="A327" s="42" t="s">
        <v>1338</v>
      </c>
      <c r="B327" s="43"/>
      <c r="C327" s="50"/>
      <c r="D327" s="73">
        <v>1</v>
      </c>
      <c r="E327" s="45"/>
      <c r="F327" s="95">
        <f t="shared" si="172"/>
        <v>11282940</v>
      </c>
      <c r="G327" s="46">
        <f t="shared" si="173"/>
        <v>0.12032448989359157</v>
      </c>
      <c r="H327" s="95">
        <f>'rev send dist only'!O541</f>
        <v>1357614</v>
      </c>
      <c r="I327" s="46">
        <f t="shared" si="174"/>
        <v>0.87967551010640843</v>
      </c>
      <c r="J327" s="95">
        <f>'rev send dist only'!J541</f>
        <v>9925326</v>
      </c>
      <c r="K327" s="48">
        <f t="shared" si="181"/>
        <v>11282940</v>
      </c>
      <c r="L327" s="49">
        <f t="shared" si="182"/>
        <v>0.12032448989359157</v>
      </c>
      <c r="M327" s="48">
        <f t="shared" si="183"/>
        <v>0.87967551010640843</v>
      </c>
      <c r="N327" s="46">
        <f t="shared" si="178"/>
        <v>9.8522167487684713E-3</v>
      </c>
      <c r="O327" s="95">
        <v>831753</v>
      </c>
      <c r="P327" s="95">
        <f t="shared" si="179"/>
        <v>7208.5984685471467</v>
      </c>
      <c r="Q327" s="95">
        <f t="shared" si="180"/>
        <v>986.0123688912754</v>
      </c>
      <c r="R327" s="29"/>
    </row>
    <row r="328" spans="1:18">
      <c r="A328" s="42" t="s">
        <v>1339</v>
      </c>
      <c r="B328" s="43"/>
      <c r="C328" s="50"/>
      <c r="D328" s="73">
        <v>1</v>
      </c>
      <c r="E328" s="45"/>
      <c r="F328" s="95">
        <f t="shared" si="172"/>
        <v>883729</v>
      </c>
      <c r="G328" s="46">
        <f t="shared" si="173"/>
        <v>9.5967202615281383E-2</v>
      </c>
      <c r="H328" s="95">
        <f>'rev send dist only'!O542</f>
        <v>84809</v>
      </c>
      <c r="I328" s="46">
        <f t="shared" si="174"/>
        <v>0.90403279738471864</v>
      </c>
      <c r="J328" s="95">
        <f>'rev send dist only'!J542</f>
        <v>798920</v>
      </c>
      <c r="K328" s="48">
        <f t="shared" si="181"/>
        <v>883729</v>
      </c>
      <c r="L328" s="49">
        <f t="shared" si="182"/>
        <v>9.5967202615281383E-2</v>
      </c>
      <c r="M328" s="48">
        <f t="shared" si="183"/>
        <v>0.90403279738471864</v>
      </c>
      <c r="N328" s="46">
        <f t="shared" si="178"/>
        <v>9.8522167487684713E-3</v>
      </c>
      <c r="O328" s="95">
        <v>831753</v>
      </c>
      <c r="P328" s="95">
        <f t="shared" ref="P328:P349" si="184">O328*N328*M328</f>
        <v>7408.196958848589</v>
      </c>
      <c r="Q328" s="95">
        <f t="shared" ref="Q328:Q349" si="185">O328*N328*L328</f>
        <v>786.41387858983376</v>
      </c>
      <c r="R328" s="29"/>
    </row>
    <row r="329" spans="1:18">
      <c r="A329" s="42" t="s">
        <v>1340</v>
      </c>
      <c r="B329" s="43"/>
      <c r="C329" s="50"/>
      <c r="D329" s="73">
        <v>1</v>
      </c>
      <c r="E329" s="45"/>
      <c r="F329" s="95">
        <f t="shared" si="172"/>
        <v>3737088</v>
      </c>
      <c r="G329" s="46">
        <f t="shared" si="173"/>
        <v>7.0067924544458149E-2</v>
      </c>
      <c r="H329" s="95">
        <f>'rev send dist only'!O546</f>
        <v>261850</v>
      </c>
      <c r="I329" s="46">
        <f t="shared" si="174"/>
        <v>0.92993207545554191</v>
      </c>
      <c r="J329" s="95">
        <f>'rev send dist only'!J546</f>
        <v>3475238</v>
      </c>
      <c r="K329" s="48">
        <f t="shared" si="181"/>
        <v>3737088</v>
      </c>
      <c r="L329" s="49">
        <f t="shared" si="182"/>
        <v>7.0067924544458149E-2</v>
      </c>
      <c r="M329" s="48">
        <f t="shared" si="183"/>
        <v>0.92993207545554191</v>
      </c>
      <c r="N329" s="46">
        <f t="shared" si="178"/>
        <v>9.8522167487684713E-3</v>
      </c>
      <c r="O329" s="95">
        <v>831753</v>
      </c>
      <c r="P329" s="95">
        <f t="shared" si="184"/>
        <v>7620.4314636095878</v>
      </c>
      <c r="Q329" s="95">
        <f t="shared" si="185"/>
        <v>574.1793738288344</v>
      </c>
      <c r="R329" s="29"/>
    </row>
    <row r="330" spans="1:18">
      <c r="A330" s="42" t="s">
        <v>1341</v>
      </c>
      <c r="B330" s="43"/>
      <c r="C330" s="50"/>
      <c r="D330" s="73">
        <v>1.2</v>
      </c>
      <c r="E330" s="45"/>
      <c r="F330" s="95">
        <f t="shared" si="172"/>
        <v>7530025</v>
      </c>
      <c r="G330" s="46">
        <f t="shared" si="173"/>
        <v>0.19019365805558414</v>
      </c>
      <c r="H330" s="95">
        <f>'rev send dist only'!O547</f>
        <v>1432163</v>
      </c>
      <c r="I330" s="46">
        <f t="shared" si="174"/>
        <v>0.80980634194441581</v>
      </c>
      <c r="J330" s="95">
        <f>'rev send dist only'!J547</f>
        <v>6097862</v>
      </c>
      <c r="K330" s="48">
        <f t="shared" si="181"/>
        <v>7530025</v>
      </c>
      <c r="L330" s="49">
        <f t="shared" si="182"/>
        <v>0.19019365805558414</v>
      </c>
      <c r="M330" s="48">
        <f t="shared" si="183"/>
        <v>0.80980634194441581</v>
      </c>
      <c r="N330" s="46">
        <f t="shared" si="178"/>
        <v>1.1822660098522165E-2</v>
      </c>
      <c r="O330" s="95">
        <v>831753</v>
      </c>
      <c r="P330" s="95">
        <f t="shared" si="184"/>
        <v>7963.2573911088894</v>
      </c>
      <c r="Q330" s="95">
        <f t="shared" si="185"/>
        <v>1870.2756138172167</v>
      </c>
      <c r="R330" s="29"/>
    </row>
    <row r="331" spans="1:18">
      <c r="A331" s="42" t="s">
        <v>1342</v>
      </c>
      <c r="B331" s="43"/>
      <c r="C331" s="50"/>
      <c r="D331" s="73">
        <v>3.2</v>
      </c>
      <c r="E331" s="45"/>
      <c r="F331" s="95">
        <f t="shared" si="172"/>
        <v>5269110</v>
      </c>
      <c r="G331" s="46">
        <f t="shared" si="173"/>
        <v>0.15834400876049276</v>
      </c>
      <c r="H331" s="95">
        <f>'rev send dist only'!O549</f>
        <v>834332</v>
      </c>
      <c r="I331" s="46">
        <f t="shared" si="174"/>
        <v>0.8416559912395073</v>
      </c>
      <c r="J331" s="95">
        <f>'rev send dist only'!J549</f>
        <v>4434778</v>
      </c>
      <c r="K331" s="48">
        <f t="shared" si="181"/>
        <v>5269110</v>
      </c>
      <c r="L331" s="49">
        <f t="shared" si="182"/>
        <v>0.15834400876049276</v>
      </c>
      <c r="M331" s="48">
        <f t="shared" si="183"/>
        <v>0.8416559912395073</v>
      </c>
      <c r="N331" s="46">
        <f t="shared" si="178"/>
        <v>3.1527093596059111E-2</v>
      </c>
      <c r="O331" s="95">
        <v>831753</v>
      </c>
      <c r="P331" s="95">
        <f t="shared" si="184"/>
        <v>22070.538583059984</v>
      </c>
      <c r="Q331" s="95">
        <f t="shared" si="185"/>
        <v>4152.2160967429718</v>
      </c>
      <c r="R331" s="29"/>
    </row>
    <row r="332" spans="1:18">
      <c r="A332" s="42" t="s">
        <v>1343</v>
      </c>
      <c r="B332" s="43"/>
      <c r="C332" s="50"/>
      <c r="D332" s="73">
        <v>7.2</v>
      </c>
      <c r="E332" s="45"/>
      <c r="F332" s="95">
        <f t="shared" si="172"/>
        <v>28180680</v>
      </c>
      <c r="G332" s="46">
        <f t="shared" si="173"/>
        <v>0.31645269028284628</v>
      </c>
      <c r="H332" s="95">
        <f>'rev send dist only'!O552</f>
        <v>8917852</v>
      </c>
      <c r="I332" s="46">
        <f t="shared" si="174"/>
        <v>0.68354730971715372</v>
      </c>
      <c r="J332" s="95">
        <f>'rev send dist only'!J552</f>
        <v>19262828</v>
      </c>
      <c r="K332" s="48">
        <f t="shared" si="181"/>
        <v>28180680</v>
      </c>
      <c r="L332" s="49">
        <f t="shared" si="182"/>
        <v>0.31645269028284628</v>
      </c>
      <c r="M332" s="48">
        <f t="shared" si="183"/>
        <v>0.68354730971715372</v>
      </c>
      <c r="N332" s="46">
        <f t="shared" si="178"/>
        <v>7.0935960591132996E-2</v>
      </c>
      <c r="O332" s="95">
        <v>831753</v>
      </c>
      <c r="P332" s="95">
        <f t="shared" si="184"/>
        <v>40330.110183192475</v>
      </c>
      <c r="Q332" s="95">
        <f t="shared" si="185"/>
        <v>18671.087846364171</v>
      </c>
      <c r="R332" s="29"/>
    </row>
    <row r="333" spans="1:18">
      <c r="A333" s="42" t="s">
        <v>1344</v>
      </c>
      <c r="B333" s="43"/>
      <c r="C333" s="50"/>
      <c r="D333" s="73">
        <v>4</v>
      </c>
      <c r="E333" s="45"/>
      <c r="F333" s="95">
        <f t="shared" si="172"/>
        <v>15138479</v>
      </c>
      <c r="G333" s="46">
        <f t="shared" si="173"/>
        <v>0.2953920271646841</v>
      </c>
      <c r="H333" s="95">
        <f>'rev send dist only'!O553</f>
        <v>4471786</v>
      </c>
      <c r="I333" s="46">
        <f t="shared" si="174"/>
        <v>0.70460797283531584</v>
      </c>
      <c r="J333" s="95">
        <f>'rev send dist only'!J553</f>
        <v>10666693</v>
      </c>
      <c r="K333" s="48">
        <f t="shared" si="181"/>
        <v>15138479</v>
      </c>
      <c r="L333" s="49">
        <f t="shared" si="182"/>
        <v>0.2953920271646841</v>
      </c>
      <c r="M333" s="48">
        <f t="shared" si="183"/>
        <v>0.70460797283531584</v>
      </c>
      <c r="N333" s="46">
        <f t="shared" si="178"/>
        <v>3.9408866995073885E-2</v>
      </c>
      <c r="O333" s="95">
        <v>831753</v>
      </c>
      <c r="P333" s="95">
        <f t="shared" si="184"/>
        <v>23095.952521367188</v>
      </c>
      <c r="Q333" s="95">
        <f t="shared" si="185"/>
        <v>9682.4908283865007</v>
      </c>
      <c r="R333" s="29"/>
    </row>
    <row r="334" spans="1:18">
      <c r="A334" s="42" t="s">
        <v>1345</v>
      </c>
      <c r="B334" s="43"/>
      <c r="C334" s="50"/>
      <c r="D334" s="73">
        <v>2.4</v>
      </c>
      <c r="E334" s="45"/>
      <c r="F334" s="95">
        <f t="shared" si="172"/>
        <v>12955328</v>
      </c>
      <c r="G334" s="46">
        <f t="shared" si="173"/>
        <v>0.25103131314004556</v>
      </c>
      <c r="H334" s="95">
        <f>'rev send dist only'!O557</f>
        <v>3252193</v>
      </c>
      <c r="I334" s="46">
        <f t="shared" si="174"/>
        <v>0.74896868685995444</v>
      </c>
      <c r="J334" s="95">
        <f>'rev send dist only'!J557</f>
        <v>9703135</v>
      </c>
      <c r="K334" s="48">
        <f t="shared" si="181"/>
        <v>12955328</v>
      </c>
      <c r="L334" s="49">
        <f t="shared" si="182"/>
        <v>0.25103131314004556</v>
      </c>
      <c r="M334" s="48">
        <f t="shared" si="183"/>
        <v>0.74896868685995444</v>
      </c>
      <c r="N334" s="46">
        <f t="shared" si="178"/>
        <v>2.364532019704433E-2</v>
      </c>
      <c r="O334" s="95">
        <v>831753</v>
      </c>
      <c r="P334" s="95">
        <f t="shared" si="184"/>
        <v>14730.016603787055</v>
      </c>
      <c r="Q334" s="95">
        <f t="shared" si="185"/>
        <v>4937.0494060651572</v>
      </c>
      <c r="R334" s="29"/>
    </row>
    <row r="335" spans="1:18">
      <c r="A335" s="42" t="s">
        <v>1346</v>
      </c>
      <c r="B335" s="43"/>
      <c r="C335" s="50"/>
      <c r="D335" s="73">
        <v>1</v>
      </c>
      <c r="E335" s="45"/>
      <c r="F335" s="95">
        <f t="shared" si="172"/>
        <v>1888866</v>
      </c>
      <c r="G335" s="46">
        <f t="shared" si="173"/>
        <v>0.19634743809248512</v>
      </c>
      <c r="H335" s="95">
        <f>'rev send dist only'!O559</f>
        <v>370874</v>
      </c>
      <c r="I335" s="46">
        <f t="shared" si="174"/>
        <v>0.80365256190751488</v>
      </c>
      <c r="J335" s="95">
        <f>'rev send dist only'!J559</f>
        <v>1517992</v>
      </c>
      <c r="K335" s="48">
        <f t="shared" si="181"/>
        <v>1888866</v>
      </c>
      <c r="L335" s="49">
        <f t="shared" si="182"/>
        <v>0.19634743809248512</v>
      </c>
      <c r="M335" s="48">
        <f t="shared" si="183"/>
        <v>0.80365256190751488</v>
      </c>
      <c r="N335" s="46">
        <f t="shared" si="178"/>
        <v>9.8522167487684713E-3</v>
      </c>
      <c r="O335" s="95">
        <v>831753</v>
      </c>
      <c r="P335" s="95">
        <f t="shared" si="184"/>
        <v>6585.6199933424741</v>
      </c>
      <c r="Q335" s="95">
        <f t="shared" si="185"/>
        <v>1608.9908440959482</v>
      </c>
      <c r="R335" s="29"/>
    </row>
    <row r="336" spans="1:18">
      <c r="A336" s="42" t="s">
        <v>1347</v>
      </c>
      <c r="B336" s="43"/>
      <c r="C336" s="50"/>
      <c r="D336" s="73">
        <v>3</v>
      </c>
      <c r="E336" s="45"/>
      <c r="F336" s="95">
        <f t="shared" si="172"/>
        <v>4182903</v>
      </c>
      <c r="G336" s="46">
        <f t="shared" si="173"/>
        <v>0.24360760935646847</v>
      </c>
      <c r="H336" s="95">
        <f>'rev send dist only'!O561</f>
        <v>1018987</v>
      </c>
      <c r="I336" s="46">
        <f t="shared" si="174"/>
        <v>0.75639239064353159</v>
      </c>
      <c r="J336" s="95">
        <f>'rev send dist only'!J561</f>
        <v>3163916</v>
      </c>
      <c r="K336" s="48">
        <f t="shared" si="181"/>
        <v>4182903</v>
      </c>
      <c r="L336" s="49">
        <f t="shared" si="182"/>
        <v>0.24360760935646847</v>
      </c>
      <c r="M336" s="48">
        <f t="shared" si="183"/>
        <v>0.75639239064353159</v>
      </c>
      <c r="N336" s="46">
        <f t="shared" si="178"/>
        <v>2.9556650246305414E-2</v>
      </c>
      <c r="O336" s="95">
        <v>831753</v>
      </c>
      <c r="P336" s="95">
        <f t="shared" si="184"/>
        <v>18595.023845170323</v>
      </c>
      <c r="Q336" s="95">
        <f t="shared" si="185"/>
        <v>5988.8086671449464</v>
      </c>
      <c r="R336" s="29"/>
    </row>
    <row r="337" spans="1:18">
      <c r="A337" s="42" t="s">
        <v>1348</v>
      </c>
      <c r="B337" s="43"/>
      <c r="C337" s="50"/>
      <c r="D337" s="73">
        <v>5.0999999999999996</v>
      </c>
      <c r="E337" s="45"/>
      <c r="F337" s="95">
        <f t="shared" si="172"/>
        <v>4929539</v>
      </c>
      <c r="G337" s="46">
        <f t="shared" si="173"/>
        <v>0.10839999440109917</v>
      </c>
      <c r="H337" s="95">
        <f>'rev send dist only'!O594</f>
        <v>534362</v>
      </c>
      <c r="I337" s="46">
        <f t="shared" si="174"/>
        <v>0.89160000559890085</v>
      </c>
      <c r="J337" s="95">
        <f>'rev send dist only'!J594</f>
        <v>4395177</v>
      </c>
      <c r="K337" s="48">
        <f t="shared" si="181"/>
        <v>4929539</v>
      </c>
      <c r="L337" s="49">
        <f t="shared" si="182"/>
        <v>0.10839999440109917</v>
      </c>
      <c r="M337" s="48">
        <f t="shared" si="183"/>
        <v>0.89160000559890085</v>
      </c>
      <c r="N337" s="46">
        <f t="shared" si="178"/>
        <v>5.0246305418719203E-2</v>
      </c>
      <c r="O337" s="95">
        <v>831753</v>
      </c>
      <c r="P337" s="95">
        <f t="shared" si="184"/>
        <v>37262.206849558643</v>
      </c>
      <c r="Q337" s="95">
        <f t="shared" si="185"/>
        <v>4530.3084213773091</v>
      </c>
      <c r="R337" s="29"/>
    </row>
    <row r="338" spans="1:18">
      <c r="A338" s="42" t="s">
        <v>1349</v>
      </c>
      <c r="B338" s="43"/>
      <c r="C338" s="50"/>
      <c r="D338" s="73">
        <v>11.4</v>
      </c>
      <c r="E338" s="45"/>
      <c r="F338" s="95">
        <f t="shared" si="172"/>
        <v>2151842</v>
      </c>
      <c r="G338" s="46">
        <f t="shared" si="173"/>
        <v>0.1567689449318305</v>
      </c>
      <c r="H338" s="95">
        <f>'rev send dist only'!O596</f>
        <v>337342</v>
      </c>
      <c r="I338" s="46">
        <f t="shared" si="174"/>
        <v>0.84323105506816953</v>
      </c>
      <c r="J338" s="95">
        <f>'rev send dist only'!J596</f>
        <v>1814500</v>
      </c>
      <c r="K338" s="48">
        <f t="shared" si="181"/>
        <v>2151842</v>
      </c>
      <c r="L338" s="49">
        <f t="shared" si="182"/>
        <v>0.1567689449318305</v>
      </c>
      <c r="M338" s="48">
        <f t="shared" si="183"/>
        <v>0.84323105506816953</v>
      </c>
      <c r="N338" s="46">
        <f t="shared" si="178"/>
        <v>0.11231527093596058</v>
      </c>
      <c r="O338" s="95">
        <v>831753</v>
      </c>
      <c r="P338" s="95">
        <f t="shared" si="184"/>
        <v>78773.433902519333</v>
      </c>
      <c r="Q338" s="95">
        <f t="shared" si="185"/>
        <v>14645.129644278686</v>
      </c>
      <c r="R338" s="29"/>
    </row>
    <row r="339" spans="1:18">
      <c r="A339" s="42" t="s">
        <v>1350</v>
      </c>
      <c r="B339" s="43"/>
      <c r="C339" s="50"/>
      <c r="D339" s="73">
        <v>9.1999999999999993</v>
      </c>
      <c r="E339" s="45"/>
      <c r="F339" s="95">
        <f t="shared" si="172"/>
        <v>15423024</v>
      </c>
      <c r="G339" s="46">
        <f t="shared" si="173"/>
        <v>0.28564437168742007</v>
      </c>
      <c r="H339" s="95">
        <f>'rev send dist only'!O597</f>
        <v>4405500</v>
      </c>
      <c r="I339" s="46">
        <f t="shared" si="174"/>
        <v>0.71435562831257993</v>
      </c>
      <c r="J339" s="95">
        <f>'rev send dist only'!J597</f>
        <v>11017524</v>
      </c>
      <c r="K339" s="48">
        <f t="shared" si="181"/>
        <v>15423024</v>
      </c>
      <c r="L339" s="49">
        <f t="shared" si="182"/>
        <v>0.28564437168742007</v>
      </c>
      <c r="M339" s="48">
        <f t="shared" si="183"/>
        <v>0.71435562831257993</v>
      </c>
      <c r="N339" s="46">
        <f t="shared" si="178"/>
        <v>9.0640394088669932E-2</v>
      </c>
      <c r="O339" s="95">
        <v>831753</v>
      </c>
      <c r="P339" s="95">
        <f t="shared" si="184"/>
        <v>53855.570636709686</v>
      </c>
      <c r="Q339" s="95">
        <f t="shared" si="185"/>
        <v>21534.849067723797</v>
      </c>
      <c r="R339" s="29"/>
    </row>
    <row r="340" spans="1:18">
      <c r="A340" s="42" t="s">
        <v>1319</v>
      </c>
      <c r="B340" s="43"/>
      <c r="C340" s="50"/>
      <c r="D340" s="73">
        <v>0.7</v>
      </c>
      <c r="E340" s="45"/>
      <c r="F340" s="95">
        <f t="shared" si="172"/>
        <v>16844734</v>
      </c>
      <c r="G340" s="46">
        <f t="shared" si="173"/>
        <v>0.2132342962494985</v>
      </c>
      <c r="H340" s="95">
        <f>'rev send dist only'!O599</f>
        <v>3591875</v>
      </c>
      <c r="I340" s="46">
        <f t="shared" si="174"/>
        <v>0.78676570375050148</v>
      </c>
      <c r="J340" s="95">
        <f>'rev send dist only'!J599</f>
        <v>13252859</v>
      </c>
      <c r="K340" s="48">
        <f t="shared" si="181"/>
        <v>16844734</v>
      </c>
      <c r="L340" s="49">
        <f t="shared" si="182"/>
        <v>0.2132342962494985</v>
      </c>
      <c r="M340" s="48">
        <f t="shared" si="183"/>
        <v>0.78676570375050148</v>
      </c>
      <c r="N340" s="46">
        <f t="shared" si="178"/>
        <v>6.8965517241379292E-3</v>
      </c>
      <c r="O340" s="95">
        <v>831753</v>
      </c>
      <c r="P340" s="95">
        <f t="shared" si="184"/>
        <v>4513.0671337351087</v>
      </c>
      <c r="Q340" s="95">
        <f t="shared" si="185"/>
        <v>1223.1604524717868</v>
      </c>
      <c r="R340" s="29"/>
    </row>
    <row r="341" spans="1:18">
      <c r="A341" s="42" t="s">
        <v>1351</v>
      </c>
      <c r="B341" s="43"/>
      <c r="C341" s="50"/>
      <c r="D341" s="73">
        <v>7.4</v>
      </c>
      <c r="E341" s="45"/>
      <c r="F341" s="95">
        <f t="shared" si="172"/>
        <v>1698887</v>
      </c>
      <c r="G341" s="46">
        <f t="shared" si="173"/>
        <v>0.13049190440564912</v>
      </c>
      <c r="H341" s="95">
        <f>'rev send dist only'!O600</f>
        <v>221691</v>
      </c>
      <c r="I341" s="46">
        <f t="shared" si="174"/>
        <v>0.86950809559435094</v>
      </c>
      <c r="J341" s="95">
        <f>'rev send dist only'!J600</f>
        <v>1477196</v>
      </c>
      <c r="K341" s="48">
        <f t="shared" si="181"/>
        <v>1698887</v>
      </c>
      <c r="L341" s="49">
        <f t="shared" si="182"/>
        <v>0.13049190440564912</v>
      </c>
      <c r="M341" s="48">
        <f t="shared" si="183"/>
        <v>0.86950809559435094</v>
      </c>
      <c r="N341" s="46">
        <f t="shared" si="178"/>
        <v>7.2906403940886697E-2</v>
      </c>
      <c r="O341" s="95">
        <v>831753</v>
      </c>
      <c r="P341" s="95">
        <f t="shared" si="184"/>
        <v>52727.075429144548</v>
      </c>
      <c r="Q341" s="95">
        <f t="shared" si="185"/>
        <v>7913.0447678997807</v>
      </c>
      <c r="R341" s="29"/>
    </row>
    <row r="342" spans="1:18">
      <c r="A342" s="42" t="s">
        <v>1352</v>
      </c>
      <c r="B342" s="43"/>
      <c r="C342" s="50"/>
      <c r="D342" s="73">
        <v>3</v>
      </c>
      <c r="E342" s="45"/>
      <c r="F342" s="95">
        <f t="shared" si="172"/>
        <v>3460930</v>
      </c>
      <c r="G342" s="46">
        <f t="shared" si="173"/>
        <v>0.19377392781708963</v>
      </c>
      <c r="H342" s="95">
        <f>'rev send dist only'!O602</f>
        <v>670638</v>
      </c>
      <c r="I342" s="46">
        <f t="shared" si="174"/>
        <v>0.80622607218291042</v>
      </c>
      <c r="J342" s="95">
        <f>'rev send dist only'!J602</f>
        <v>2790292</v>
      </c>
      <c r="K342" s="48">
        <f t="shared" si="181"/>
        <v>3460930</v>
      </c>
      <c r="L342" s="49">
        <f t="shared" si="182"/>
        <v>0.19377392781708963</v>
      </c>
      <c r="M342" s="48">
        <f t="shared" si="183"/>
        <v>0.80622607218291042</v>
      </c>
      <c r="N342" s="46">
        <f t="shared" si="178"/>
        <v>2.9556650246305414E-2</v>
      </c>
      <c r="O342" s="95">
        <v>831753</v>
      </c>
      <c r="P342" s="95">
        <f t="shared" si="184"/>
        <v>19820.126725606471</v>
      </c>
      <c r="Q342" s="95">
        <f t="shared" si="185"/>
        <v>4763.7057867087997</v>
      </c>
      <c r="R342" s="29"/>
    </row>
    <row r="343" spans="1:18">
      <c r="A343" s="42" t="s">
        <v>1353</v>
      </c>
      <c r="B343" s="43"/>
      <c r="C343" s="50"/>
      <c r="D343" s="73">
        <v>2</v>
      </c>
      <c r="E343" s="45"/>
      <c r="F343" s="95">
        <f t="shared" si="172"/>
        <v>3350058</v>
      </c>
      <c r="G343" s="46">
        <f t="shared" si="173"/>
        <v>0.27554537861732542</v>
      </c>
      <c r="H343" s="95">
        <f>'rev send dist only'!O603</f>
        <v>923093</v>
      </c>
      <c r="I343" s="46">
        <f t="shared" si="174"/>
        <v>0.72445462138267458</v>
      </c>
      <c r="J343" s="95">
        <f>'rev send dist only'!J603</f>
        <v>2426965</v>
      </c>
      <c r="K343" s="48">
        <f t="shared" si="181"/>
        <v>3350058</v>
      </c>
      <c r="L343" s="49">
        <f t="shared" si="182"/>
        <v>0.27554537861732542</v>
      </c>
      <c r="M343" s="48">
        <f t="shared" si="183"/>
        <v>0.72445462138267458</v>
      </c>
      <c r="N343" s="46">
        <f t="shared" si="178"/>
        <v>1.9704433497536943E-2</v>
      </c>
      <c r="O343" s="95">
        <v>831753</v>
      </c>
      <c r="P343" s="95">
        <f t="shared" si="184"/>
        <v>11873.247383229627</v>
      </c>
      <c r="Q343" s="95">
        <f t="shared" si="185"/>
        <v>4515.974291647216</v>
      </c>
      <c r="R343" s="29"/>
    </row>
    <row r="344" spans="1:18">
      <c r="A344" s="42" t="s">
        <v>1354</v>
      </c>
      <c r="B344" s="43"/>
      <c r="C344" s="50"/>
      <c r="D344" s="73">
        <v>1</v>
      </c>
      <c r="E344" s="45"/>
      <c r="F344" s="95">
        <f t="shared" si="172"/>
        <v>6565381</v>
      </c>
      <c r="G344" s="46">
        <f t="shared" si="173"/>
        <v>0.31032822009872696</v>
      </c>
      <c r="H344" s="95">
        <f>'rev send dist only'!O605</f>
        <v>2037423</v>
      </c>
      <c r="I344" s="46">
        <f t="shared" si="174"/>
        <v>0.68967177990127304</v>
      </c>
      <c r="J344" s="95">
        <f>'rev send dist only'!J605</f>
        <v>4527958</v>
      </c>
      <c r="K344" s="48">
        <f t="shared" si="181"/>
        <v>6565381</v>
      </c>
      <c r="L344" s="49">
        <f t="shared" si="182"/>
        <v>0.31032822009872696</v>
      </c>
      <c r="M344" s="48">
        <f t="shared" si="183"/>
        <v>0.68967177990127304</v>
      </c>
      <c r="N344" s="46">
        <f t="shared" si="178"/>
        <v>9.8522167487684713E-3</v>
      </c>
      <c r="O344" s="95">
        <v>831753</v>
      </c>
      <c r="P344" s="95">
        <f t="shared" si="184"/>
        <v>5651.5918418544179</v>
      </c>
      <c r="Q344" s="95">
        <f t="shared" si="185"/>
        <v>2543.0189955840037</v>
      </c>
      <c r="R344" s="29"/>
    </row>
    <row r="345" spans="1:18">
      <c r="A345" s="42" t="s">
        <v>1355</v>
      </c>
      <c r="B345" s="43"/>
      <c r="C345" s="50"/>
      <c r="D345" s="73">
        <v>6</v>
      </c>
      <c r="E345" s="45"/>
      <c r="F345" s="95">
        <f t="shared" si="172"/>
        <v>12513554</v>
      </c>
      <c r="G345" s="46">
        <f t="shared" si="173"/>
        <v>0.24241050943640791</v>
      </c>
      <c r="H345" s="95">
        <f>'rev send dist only'!O606</f>
        <v>3033417</v>
      </c>
      <c r="I345" s="46">
        <f t="shared" si="174"/>
        <v>0.75758949056359204</v>
      </c>
      <c r="J345" s="95">
        <f>'rev send dist only'!J606</f>
        <v>9480137</v>
      </c>
      <c r="K345" s="48">
        <f t="shared" si="181"/>
        <v>12513554</v>
      </c>
      <c r="L345" s="49">
        <f t="shared" si="182"/>
        <v>0.24241050943640791</v>
      </c>
      <c r="M345" s="48">
        <f t="shared" si="183"/>
        <v>0.75758949056359204</v>
      </c>
      <c r="N345" s="46">
        <f t="shared" si="178"/>
        <v>5.9113300492610828E-2</v>
      </c>
      <c r="O345" s="95">
        <v>831753</v>
      </c>
      <c r="P345" s="95">
        <f t="shared" si="184"/>
        <v>37248.906298211186</v>
      </c>
      <c r="Q345" s="95">
        <f t="shared" si="185"/>
        <v>11918.758726419344</v>
      </c>
      <c r="R345" s="29"/>
    </row>
    <row r="346" spans="1:18">
      <c r="A346" s="42" t="s">
        <v>1356</v>
      </c>
      <c r="B346" s="43"/>
      <c r="C346" s="50"/>
      <c r="D346" s="73">
        <v>1</v>
      </c>
      <c r="E346" s="45"/>
      <c r="F346" s="95">
        <f t="shared" si="172"/>
        <v>4611523</v>
      </c>
      <c r="G346" s="46">
        <f t="shared" si="173"/>
        <v>0.40326438792563757</v>
      </c>
      <c r="H346" s="95">
        <f>'rev send dist only'!O607</f>
        <v>1859663</v>
      </c>
      <c r="I346" s="46">
        <f t="shared" si="174"/>
        <v>0.59673561207436243</v>
      </c>
      <c r="J346" s="95">
        <f>'rev send dist only'!J607</f>
        <v>2751860</v>
      </c>
      <c r="K346" s="48">
        <f t="shared" si="181"/>
        <v>4611523</v>
      </c>
      <c r="L346" s="49">
        <f t="shared" si="182"/>
        <v>0.40326438792563757</v>
      </c>
      <c r="M346" s="48">
        <f t="shared" si="183"/>
        <v>0.59673561207436243</v>
      </c>
      <c r="N346" s="46">
        <f t="shared" si="178"/>
        <v>9.8522167487684713E-3</v>
      </c>
      <c r="O346" s="95">
        <v>831753</v>
      </c>
      <c r="P346" s="95">
        <f t="shared" si="184"/>
        <v>4890.0161137900204</v>
      </c>
      <c r="Q346" s="95">
        <f t="shared" si="185"/>
        <v>3304.5947236484017</v>
      </c>
      <c r="R346" s="29"/>
    </row>
    <row r="347" spans="1:18">
      <c r="A347" s="42" t="s">
        <v>1357</v>
      </c>
      <c r="B347" s="43"/>
      <c r="C347" s="50"/>
      <c r="D347" s="73">
        <v>1</v>
      </c>
      <c r="E347" s="45"/>
      <c r="F347" s="95">
        <f t="shared" si="172"/>
        <v>5690390</v>
      </c>
      <c r="G347" s="46">
        <f t="shared" si="173"/>
        <v>0.19928827373870683</v>
      </c>
      <c r="H347" s="95">
        <f>'rev send dist only'!O609</f>
        <v>1134028</v>
      </c>
      <c r="I347" s="46">
        <f t="shared" si="174"/>
        <v>0.80071172626129317</v>
      </c>
      <c r="J347" s="95">
        <f>'rev send dist only'!J609</f>
        <v>4556362</v>
      </c>
      <c r="K347" s="48">
        <f t="shared" si="181"/>
        <v>5690390</v>
      </c>
      <c r="L347" s="49">
        <f t="shared" si="182"/>
        <v>0.19928827373870683</v>
      </c>
      <c r="M347" s="48">
        <f t="shared" si="183"/>
        <v>0.80071172626129317</v>
      </c>
      <c r="N347" s="46">
        <f t="shared" si="178"/>
        <v>9.8522167487684713E-3</v>
      </c>
      <c r="O347" s="95">
        <v>831753</v>
      </c>
      <c r="P347" s="95">
        <f t="shared" si="184"/>
        <v>6561.5209896848201</v>
      </c>
      <c r="Q347" s="95">
        <f t="shared" si="185"/>
        <v>1633.0898477536018</v>
      </c>
      <c r="R347" s="29"/>
    </row>
    <row r="348" spans="1:18">
      <c r="A348" s="42" t="s">
        <v>1358</v>
      </c>
      <c r="B348" s="43"/>
      <c r="C348" s="50"/>
      <c r="D348" s="73">
        <v>2</v>
      </c>
      <c r="E348" s="45"/>
      <c r="F348" s="95">
        <f t="shared" si="172"/>
        <v>24555528</v>
      </c>
      <c r="G348" s="46">
        <f t="shared" si="173"/>
        <v>0.30075150491571595</v>
      </c>
      <c r="H348" s="95">
        <f>'rev send dist only'!O612</f>
        <v>7385112</v>
      </c>
      <c r="I348" s="46">
        <f t="shared" si="174"/>
        <v>0.69924849508428411</v>
      </c>
      <c r="J348" s="95">
        <f>'rev send dist only'!J612</f>
        <v>17170416</v>
      </c>
      <c r="K348" s="48">
        <f t="shared" si="181"/>
        <v>24555528</v>
      </c>
      <c r="L348" s="49">
        <f t="shared" si="182"/>
        <v>0.30075150491571595</v>
      </c>
      <c r="M348" s="48">
        <f t="shared" si="183"/>
        <v>0.69924849508428411</v>
      </c>
      <c r="N348" s="46">
        <f t="shared" si="178"/>
        <v>1.9704433497536943E-2</v>
      </c>
      <c r="O348" s="95">
        <v>831753</v>
      </c>
      <c r="P348" s="95">
        <f t="shared" si="184"/>
        <v>11460.138591760364</v>
      </c>
      <c r="Q348" s="95">
        <f t="shared" si="185"/>
        <v>4929.0830831164812</v>
      </c>
      <c r="R348" s="29"/>
    </row>
    <row r="349" spans="1:18">
      <c r="A349" s="42" t="s">
        <v>1359</v>
      </c>
      <c r="B349" s="43"/>
      <c r="C349" s="50"/>
      <c r="D349" s="73">
        <v>1</v>
      </c>
      <c r="E349" s="45"/>
      <c r="F349" s="95">
        <f t="shared" si="172"/>
        <v>5230237</v>
      </c>
      <c r="G349" s="46">
        <f t="shared" si="173"/>
        <v>0.34978510534035073</v>
      </c>
      <c r="H349" s="95">
        <f>'rev send dist only'!O613</f>
        <v>1829459</v>
      </c>
      <c r="I349" s="46">
        <f t="shared" si="174"/>
        <v>0.65021489465964921</v>
      </c>
      <c r="J349" s="95">
        <f>'rev send dist only'!J613</f>
        <v>3400778</v>
      </c>
      <c r="K349" s="48">
        <f t="shared" si="181"/>
        <v>5230237</v>
      </c>
      <c r="L349" s="49">
        <f t="shared" si="182"/>
        <v>0.34978510534035073</v>
      </c>
      <c r="M349" s="48">
        <f t="shared" si="183"/>
        <v>0.65021489465964921</v>
      </c>
      <c r="N349" s="46">
        <f t="shared" si="178"/>
        <v>9.8522167487684713E-3</v>
      </c>
      <c r="O349" s="95">
        <v>831753</v>
      </c>
      <c r="P349" s="95">
        <f t="shared" si="184"/>
        <v>5328.2580224418434</v>
      </c>
      <c r="Q349" s="95">
        <f t="shared" si="185"/>
        <v>2866.3528149965782</v>
      </c>
      <c r="R349" s="29"/>
    </row>
    <row r="350" spans="1:18">
      <c r="A350" s="38" t="s">
        <v>1360</v>
      </c>
      <c r="B350" s="39"/>
      <c r="C350" s="40"/>
      <c r="D350" s="74">
        <f>SUM(D316:D349)</f>
        <v>101.50000000000001</v>
      </c>
      <c r="E350" s="41"/>
      <c r="F350" s="91"/>
      <c r="G350" s="40"/>
      <c r="H350" s="91"/>
      <c r="I350" s="40"/>
      <c r="J350" s="91"/>
      <c r="K350" s="40"/>
      <c r="L350" s="40"/>
      <c r="M350" s="40"/>
      <c r="N350" s="40"/>
      <c r="O350" s="91"/>
      <c r="P350" s="91">
        <f>SUM(P316:P349)</f>
        <v>660091.24753322604</v>
      </c>
      <c r="Q350" s="91">
        <f>SUM(Q316:Q349)</f>
        <v>171661.75246677402</v>
      </c>
      <c r="R350" s="37"/>
    </row>
    <row r="351" spans="1:18">
      <c r="A351" s="42" t="s">
        <v>1526</v>
      </c>
      <c r="B351" s="43" t="s">
        <v>1485</v>
      </c>
      <c r="C351" s="50" t="s">
        <v>1486</v>
      </c>
      <c r="D351" s="73">
        <v>449.8</v>
      </c>
      <c r="E351" s="45"/>
      <c r="F351" s="95">
        <f>H351+J351</f>
        <v>381732222</v>
      </c>
      <c r="G351" s="46">
        <f>H351/F351</f>
        <v>0.7574108716449931</v>
      </c>
      <c r="H351" s="95">
        <f>$H$46</f>
        <v>289128135</v>
      </c>
      <c r="I351" s="46">
        <f>J351/F351</f>
        <v>0.24258912835500693</v>
      </c>
      <c r="J351" s="95">
        <f>$J$46</f>
        <v>92604087</v>
      </c>
      <c r="K351" s="48">
        <f>SUM(H351+J351)</f>
        <v>381732222</v>
      </c>
      <c r="L351" s="49">
        <f>H351/K351</f>
        <v>0.7574108716449931</v>
      </c>
      <c r="M351" s="48">
        <f>J351/K351</f>
        <v>0.24258912835500693</v>
      </c>
      <c r="N351" s="46">
        <f>D351/$D$352</f>
        <v>1</v>
      </c>
      <c r="O351" s="95">
        <v>881663</v>
      </c>
      <c r="P351" s="95">
        <f>O351*N351*M351</f>
        <v>213881.85867286049</v>
      </c>
      <c r="Q351" s="95">
        <f>O351*N351*L351</f>
        <v>667781.14132713957</v>
      </c>
      <c r="R351" s="29"/>
    </row>
    <row r="352" spans="1:18">
      <c r="A352" s="38" t="s">
        <v>1361</v>
      </c>
      <c r="B352" s="39"/>
      <c r="C352" s="40"/>
      <c r="D352" s="74">
        <f>SUM(D351)</f>
        <v>449.8</v>
      </c>
      <c r="E352" s="41"/>
      <c r="F352" s="91"/>
      <c r="G352" s="40"/>
      <c r="H352" s="91"/>
      <c r="I352" s="40"/>
      <c r="J352" s="91"/>
      <c r="K352" s="40"/>
      <c r="L352" s="40"/>
      <c r="M352" s="40"/>
      <c r="N352" s="40"/>
      <c r="O352" s="91"/>
      <c r="P352" s="91">
        <f>SUM(P351)</f>
        <v>213881.85867286049</v>
      </c>
      <c r="Q352" s="91">
        <f>SUM(Q351)</f>
        <v>667781.14132713957</v>
      </c>
      <c r="R352" s="37"/>
    </row>
    <row r="353" spans="1:18">
      <c r="A353" s="42" t="s">
        <v>1526</v>
      </c>
      <c r="B353" s="43" t="s">
        <v>1485</v>
      </c>
      <c r="C353" s="50" t="s">
        <v>1486</v>
      </c>
      <c r="D353" s="73">
        <v>111.8</v>
      </c>
      <c r="E353" s="45"/>
      <c r="F353" s="95">
        <f>H353+J353</f>
        <v>381732222</v>
      </c>
      <c r="G353" s="46">
        <f>H353/F353</f>
        <v>0.7574108716449931</v>
      </c>
      <c r="H353" s="95">
        <f>$H$46</f>
        <v>289128135</v>
      </c>
      <c r="I353" s="46">
        <f>J353/F353</f>
        <v>0.24258912835500693</v>
      </c>
      <c r="J353" s="95">
        <f>$J$46</f>
        <v>92604087</v>
      </c>
      <c r="K353" s="48">
        <f>SUM(H353+J353)</f>
        <v>381732222</v>
      </c>
      <c r="L353" s="49">
        <f>H353/K353</f>
        <v>0.7574108716449931</v>
      </c>
      <c r="M353" s="48">
        <f>J353/K353</f>
        <v>0.24258912835500693</v>
      </c>
      <c r="N353" s="46">
        <f>D353/$D$354</f>
        <v>1</v>
      </c>
      <c r="O353" s="95">
        <v>218617</v>
      </c>
      <c r="P353" s="95">
        <f>O353*N353*M353</f>
        <v>53034.107473586548</v>
      </c>
      <c r="Q353" s="95">
        <f>O353*N353*L353</f>
        <v>165582.89252641346</v>
      </c>
      <c r="R353" s="29"/>
    </row>
    <row r="354" spans="1:18">
      <c r="A354" s="38" t="s">
        <v>1362</v>
      </c>
      <c r="B354" s="39"/>
      <c r="C354" s="40"/>
      <c r="D354" s="74">
        <f>SUM(D353)</f>
        <v>111.8</v>
      </c>
      <c r="E354" s="41"/>
      <c r="F354" s="91"/>
      <c r="G354" s="40"/>
      <c r="H354" s="91"/>
      <c r="I354" s="40"/>
      <c r="J354" s="91"/>
      <c r="K354" s="40"/>
      <c r="L354" s="40"/>
      <c r="M354" s="40"/>
      <c r="N354" s="40"/>
      <c r="O354" s="91"/>
      <c r="P354" s="91">
        <f>SUM(P353)</f>
        <v>53034.107473586548</v>
      </c>
      <c r="Q354" s="91">
        <f>SUM(Q353)</f>
        <v>165582.89252641346</v>
      </c>
      <c r="R354" s="37"/>
    </row>
    <row r="355" spans="1:18">
      <c r="A355" s="42" t="s">
        <v>1526</v>
      </c>
      <c r="B355" s="43" t="s">
        <v>1485</v>
      </c>
      <c r="C355" s="50" t="s">
        <v>1486</v>
      </c>
      <c r="D355" s="73">
        <v>2</v>
      </c>
      <c r="E355" s="45"/>
      <c r="F355" s="95">
        <f>H355+J355</f>
        <v>381732222</v>
      </c>
      <c r="G355" s="46">
        <f>H355/F355</f>
        <v>0.7574108716449931</v>
      </c>
      <c r="H355" s="95">
        <f>$H$46</f>
        <v>289128135</v>
      </c>
      <c r="I355" s="46">
        <f>J355/F355</f>
        <v>0.24258912835500693</v>
      </c>
      <c r="J355" s="95">
        <f>$J$46</f>
        <v>92604087</v>
      </c>
      <c r="K355" s="48">
        <f>SUM(H355+J355)</f>
        <v>381732222</v>
      </c>
      <c r="L355" s="49">
        <f>H355/K355</f>
        <v>0.7574108716449931</v>
      </c>
      <c r="M355" s="48">
        <f>J355/K355</f>
        <v>0.24258912835500693</v>
      </c>
      <c r="N355" s="46">
        <f>D355/$D$358</f>
        <v>6.2952470884482222E-3</v>
      </c>
      <c r="O355" s="95">
        <v>40353</v>
      </c>
      <c r="P355" s="95">
        <f>O355*N355*M355</f>
        <v>61.625427110541992</v>
      </c>
      <c r="Q355" s="95">
        <f>O355*N355*L355</f>
        <v>192.40667864960912</v>
      </c>
      <c r="R355" s="29"/>
    </row>
    <row r="356" spans="1:18">
      <c r="A356" s="42" t="s">
        <v>657</v>
      </c>
      <c r="B356" s="43"/>
      <c r="C356" s="50"/>
      <c r="D356" s="73">
        <v>313.7</v>
      </c>
      <c r="E356" s="45"/>
      <c r="F356" s="95">
        <f>H356+J356</f>
        <v>259769100</v>
      </c>
      <c r="G356" s="46">
        <f>H356/F356</f>
        <v>0.68623093354829345</v>
      </c>
      <c r="H356" s="95">
        <f>$H$57</f>
        <v>178261592</v>
      </c>
      <c r="I356" s="46">
        <f>J356/F356</f>
        <v>0.31376906645170655</v>
      </c>
      <c r="J356" s="95">
        <f>$J$57</f>
        <v>81507508</v>
      </c>
      <c r="K356" s="48">
        <f>SUM(H356+J356)</f>
        <v>259769100</v>
      </c>
      <c r="L356" s="49">
        <f>H356/K356</f>
        <v>0.68623093354829345</v>
      </c>
      <c r="M356" s="48">
        <f>J356/K356</f>
        <v>0.31376906645170655</v>
      </c>
      <c r="N356" s="46">
        <f>D356/$D$358</f>
        <v>0.98740950582310361</v>
      </c>
      <c r="O356" s="95">
        <v>40353</v>
      </c>
      <c r="P356" s="95">
        <f>O356*N356*M356</f>
        <v>12502.108305179467</v>
      </c>
      <c r="Q356" s="95">
        <f>O356*N356*L356</f>
        <v>27342.827483300232</v>
      </c>
      <c r="R356" s="29"/>
    </row>
    <row r="357" spans="1:18">
      <c r="A357" s="42" t="s">
        <v>1431</v>
      </c>
      <c r="B357" s="43"/>
      <c r="C357" s="50"/>
      <c r="D357" s="73">
        <v>2</v>
      </c>
      <c r="E357" s="45"/>
      <c r="F357" s="95">
        <f>H357+J357</f>
        <v>38822645</v>
      </c>
      <c r="G357" s="46">
        <f>H357/F357</f>
        <v>0.19084730058964297</v>
      </c>
      <c r="H357" s="95">
        <f>H185</f>
        <v>7409197</v>
      </c>
      <c r="I357" s="46">
        <f>J357/F357</f>
        <v>0.80915269941035706</v>
      </c>
      <c r="J357" s="95">
        <f>J185</f>
        <v>31413448</v>
      </c>
      <c r="K357" s="48">
        <f>SUM(H357+J357)</f>
        <v>38822645</v>
      </c>
      <c r="L357" s="49">
        <f>H357/K357</f>
        <v>0.19084730058964297</v>
      </c>
      <c r="M357" s="48">
        <f>J357/K357</f>
        <v>0.80915269941035706</v>
      </c>
      <c r="N357" s="46">
        <f>D357/$D$358</f>
        <v>6.2952470884482222E-3</v>
      </c>
      <c r="O357" s="95">
        <v>40353</v>
      </c>
      <c r="P357" s="95">
        <f>O357*N357*M357</f>
        <v>205.55076411272358</v>
      </c>
      <c r="Q357" s="95">
        <f>O357*N357*L357</f>
        <v>48.481341647427527</v>
      </c>
      <c r="R357" s="29"/>
    </row>
    <row r="358" spans="1:18">
      <c r="A358" s="38" t="s">
        <v>1363</v>
      </c>
      <c r="B358" s="39"/>
      <c r="C358" s="40"/>
      <c r="D358" s="74">
        <f>SUM(D355:D357)</f>
        <v>317.7</v>
      </c>
      <c r="E358" s="41"/>
      <c r="F358" s="91"/>
      <c r="G358" s="40"/>
      <c r="H358" s="91"/>
      <c r="I358" s="40"/>
      <c r="J358" s="91"/>
      <c r="K358" s="40"/>
      <c r="L358" s="40"/>
      <c r="M358" s="40"/>
      <c r="N358" s="40"/>
      <c r="O358" s="91"/>
      <c r="P358" s="91">
        <f>SUM(P355:P357)</f>
        <v>12769.284496402734</v>
      </c>
      <c r="Q358" s="91">
        <f>SUM(Q355:Q357)</f>
        <v>27583.715503597268</v>
      </c>
      <c r="R358" s="37"/>
    </row>
    <row r="359" spans="1:18">
      <c r="A359" s="42" t="s">
        <v>657</v>
      </c>
      <c r="B359" s="43" t="s">
        <v>1485</v>
      </c>
      <c r="C359" s="50" t="s">
        <v>1486</v>
      </c>
      <c r="D359" s="73">
        <v>201.2</v>
      </c>
      <c r="E359" s="45"/>
      <c r="F359" s="95">
        <f>H359+J359</f>
        <v>259769100</v>
      </c>
      <c r="G359" s="46">
        <f>H359/F359</f>
        <v>0.68623093354829345</v>
      </c>
      <c r="H359" s="95">
        <f>$H$57</f>
        <v>178261592</v>
      </c>
      <c r="I359" s="46">
        <f>J359/F359</f>
        <v>0.31376906645170655</v>
      </c>
      <c r="J359" s="95">
        <f>$J$57</f>
        <v>81507508</v>
      </c>
      <c r="K359" s="48">
        <f>SUM(H359+J359)</f>
        <v>259769100</v>
      </c>
      <c r="L359" s="49">
        <f>H359/K359</f>
        <v>0.68623093354829345</v>
      </c>
      <c r="M359" s="48">
        <f>J359/K359</f>
        <v>0.31376906645170655</v>
      </c>
      <c r="N359" s="46">
        <f>D359/$D$360</f>
        <v>1</v>
      </c>
      <c r="O359" s="95">
        <v>501939</v>
      </c>
      <c r="P359" s="95">
        <f>O359*N359*M359</f>
        <v>157492.93144570314</v>
      </c>
      <c r="Q359" s="95">
        <f>O359*N359*L359</f>
        <v>344446.06855429686</v>
      </c>
      <c r="R359" s="29"/>
    </row>
    <row r="360" spans="1:18">
      <c r="A360" s="38" t="s">
        <v>1364</v>
      </c>
      <c r="B360" s="39"/>
      <c r="C360" s="40"/>
      <c r="D360" s="74">
        <f>SUM(D359)</f>
        <v>201.2</v>
      </c>
      <c r="E360" s="41"/>
      <c r="F360" s="91"/>
      <c r="G360" s="40"/>
      <c r="H360" s="91"/>
      <c r="I360" s="40"/>
      <c r="J360" s="91"/>
      <c r="K360" s="40"/>
      <c r="L360" s="40"/>
      <c r="M360" s="40"/>
      <c r="N360" s="40"/>
      <c r="O360" s="91"/>
      <c r="P360" s="91">
        <f>SUM(P359)</f>
        <v>157492.93144570314</v>
      </c>
      <c r="Q360" s="91">
        <f>SUM(Q359)</f>
        <v>344446.06855429686</v>
      </c>
      <c r="R360" s="37"/>
    </row>
    <row r="361" spans="1:18">
      <c r="A361" s="42" t="s">
        <v>1338</v>
      </c>
      <c r="B361" s="43" t="s">
        <v>1485</v>
      </c>
      <c r="C361" s="50" t="s">
        <v>1486</v>
      </c>
      <c r="D361" s="73">
        <v>1</v>
      </c>
      <c r="E361" s="45"/>
      <c r="F361" s="95">
        <f t="shared" ref="F361:F373" si="186">H361+J361</f>
        <v>11282940</v>
      </c>
      <c r="G361" s="46">
        <f>H361/F361</f>
        <v>0.12032448989359157</v>
      </c>
      <c r="H361" s="95">
        <f>'rev send dist only'!O541</f>
        <v>1357614</v>
      </c>
      <c r="I361" s="46">
        <f>J361/F361</f>
        <v>0.87967551010640843</v>
      </c>
      <c r="J361" s="95">
        <f>'rev send dist only'!J541</f>
        <v>9925326</v>
      </c>
      <c r="K361" s="48">
        <f>SUM(H361+J361)</f>
        <v>11282940</v>
      </c>
      <c r="L361" s="49">
        <f>H361/K361</f>
        <v>0.12032448989359157</v>
      </c>
      <c r="M361" s="48">
        <f>J361/K361</f>
        <v>0.87967551010640843</v>
      </c>
      <c r="N361" s="46">
        <f t="shared" ref="N361:N373" si="187">D361/$D$374</f>
        <v>0.01</v>
      </c>
      <c r="O361" s="95">
        <v>651229</v>
      </c>
      <c r="P361" s="95">
        <f>O361*N361*M361</f>
        <v>5728.7020277108622</v>
      </c>
      <c r="Q361" s="95">
        <f>O361*N361*L361</f>
        <v>783.58797228913738</v>
      </c>
      <c r="R361" s="29"/>
    </row>
    <row r="362" spans="1:18">
      <c r="A362" s="42" t="s">
        <v>1206</v>
      </c>
      <c r="B362" s="43"/>
      <c r="C362" s="50"/>
      <c r="D362" s="73">
        <v>1</v>
      </c>
      <c r="E362" s="45"/>
      <c r="F362" s="95">
        <f t="shared" si="186"/>
        <v>10716381</v>
      </c>
      <c r="G362" s="46">
        <f>H362/F362</f>
        <v>0.21740595075893626</v>
      </c>
      <c r="H362" s="95">
        <f>'rev send dist only'!O543</f>
        <v>2329805</v>
      </c>
      <c r="I362" s="46">
        <f>J362/F362</f>
        <v>0.78259404924106379</v>
      </c>
      <c r="J362" s="95">
        <f>'rev send dist only'!J543</f>
        <v>8386576</v>
      </c>
      <c r="K362" s="48">
        <f>SUM(H362+J362)</f>
        <v>10716381</v>
      </c>
      <c r="L362" s="49">
        <f>H362/K362</f>
        <v>0.21740595075893626</v>
      </c>
      <c r="M362" s="48">
        <f>J362/K362</f>
        <v>0.78259404924106379</v>
      </c>
      <c r="N362" s="46">
        <f t="shared" si="187"/>
        <v>0.01</v>
      </c>
      <c r="O362" s="95">
        <v>651229</v>
      </c>
      <c r="P362" s="95">
        <f>O362*N362*M362</f>
        <v>5096.4794009320876</v>
      </c>
      <c r="Q362" s="95">
        <f>O362*N362*L362</f>
        <v>1415.810599067913</v>
      </c>
      <c r="R362" s="29"/>
    </row>
    <row r="363" spans="1:18">
      <c r="A363" s="42" t="s">
        <v>1207</v>
      </c>
      <c r="B363" s="43"/>
      <c r="C363" s="50"/>
      <c r="D363" s="73">
        <v>1</v>
      </c>
      <c r="E363" s="45"/>
      <c r="F363" s="95">
        <f t="shared" si="186"/>
        <v>7315636</v>
      </c>
      <c r="G363" s="46">
        <f t="shared" ref="G363:G373" si="188">H363/F363</f>
        <v>0.18610398330370728</v>
      </c>
      <c r="H363" s="95">
        <f>'rev send dist only'!O544</f>
        <v>1361469</v>
      </c>
      <c r="I363" s="46">
        <f t="shared" ref="I363:I373" si="189">J363/F363</f>
        <v>0.81389601669629275</v>
      </c>
      <c r="J363" s="95">
        <f>'rev send dist only'!J544</f>
        <v>5954167</v>
      </c>
      <c r="K363" s="48">
        <f t="shared" ref="K363:K371" si="190">SUM(H363+J363)</f>
        <v>7315636</v>
      </c>
      <c r="L363" s="49">
        <f t="shared" ref="L363:L371" si="191">H363/K363</f>
        <v>0.18610398330370728</v>
      </c>
      <c r="M363" s="48">
        <f t="shared" ref="M363:M371" si="192">J363/K363</f>
        <v>0.81389601669629275</v>
      </c>
      <c r="N363" s="46">
        <f t="shared" si="187"/>
        <v>0.01</v>
      </c>
      <c r="O363" s="95">
        <v>651229</v>
      </c>
      <c r="P363" s="95">
        <f t="shared" ref="P363:P371" si="193">O363*N363*M363</f>
        <v>5300.3268905711002</v>
      </c>
      <c r="Q363" s="95">
        <f t="shared" ref="Q363:Q371" si="194">O363*N363*L363</f>
        <v>1211.9631094289</v>
      </c>
      <c r="R363" s="29"/>
    </row>
    <row r="364" spans="1:18">
      <c r="A364" s="42" t="s">
        <v>1141</v>
      </c>
      <c r="B364" s="43"/>
      <c r="C364" s="50"/>
      <c r="D364" s="73">
        <v>9</v>
      </c>
      <c r="E364" s="45"/>
      <c r="F364" s="95">
        <f t="shared" si="186"/>
        <v>4387642</v>
      </c>
      <c r="G364" s="46">
        <f t="shared" si="188"/>
        <v>0.31558294865442532</v>
      </c>
      <c r="H364" s="95">
        <f>'rev send dist only'!O548</f>
        <v>1384665</v>
      </c>
      <c r="I364" s="46">
        <f t="shared" si="189"/>
        <v>0.68441705134557473</v>
      </c>
      <c r="J364" s="95">
        <f>'rev send dist only'!J548</f>
        <v>3002977</v>
      </c>
      <c r="K364" s="48">
        <f t="shared" si="190"/>
        <v>4387642</v>
      </c>
      <c r="L364" s="49">
        <f t="shared" si="191"/>
        <v>0.31558294865442532</v>
      </c>
      <c r="M364" s="48">
        <f t="shared" si="192"/>
        <v>0.68441705134557473</v>
      </c>
      <c r="N364" s="46">
        <f t="shared" si="187"/>
        <v>0.09</v>
      </c>
      <c r="O364" s="95">
        <v>651229</v>
      </c>
      <c r="P364" s="95">
        <f t="shared" si="193"/>
        <v>40114.100873765456</v>
      </c>
      <c r="Q364" s="95">
        <f t="shared" si="194"/>
        <v>18496.509126234549</v>
      </c>
      <c r="R364" s="29"/>
    </row>
    <row r="365" spans="1:18">
      <c r="A365" s="42" t="s">
        <v>1208</v>
      </c>
      <c r="B365" s="43"/>
      <c r="C365" s="50"/>
      <c r="D365" s="73">
        <v>1</v>
      </c>
      <c r="E365" s="45"/>
      <c r="F365" s="95">
        <f t="shared" si="186"/>
        <v>8471785</v>
      </c>
      <c r="G365" s="46">
        <f t="shared" si="188"/>
        <v>0.16572434262673097</v>
      </c>
      <c r="H365" s="95">
        <f>'rev send dist only'!O550</f>
        <v>1403981</v>
      </c>
      <c r="I365" s="46">
        <f t="shared" si="189"/>
        <v>0.83427565737326903</v>
      </c>
      <c r="J365" s="95">
        <f>'rev send dist only'!J550</f>
        <v>7067804</v>
      </c>
      <c r="K365" s="48">
        <f t="shared" si="190"/>
        <v>8471785</v>
      </c>
      <c r="L365" s="49">
        <f t="shared" si="191"/>
        <v>0.16572434262673097</v>
      </c>
      <c r="M365" s="48">
        <f t="shared" si="192"/>
        <v>0.83427565737326903</v>
      </c>
      <c r="N365" s="46">
        <f t="shared" si="187"/>
        <v>0.01</v>
      </c>
      <c r="O365" s="95">
        <v>651229</v>
      </c>
      <c r="P365" s="95">
        <f t="shared" si="193"/>
        <v>5433.0450207553658</v>
      </c>
      <c r="Q365" s="95">
        <f t="shared" si="194"/>
        <v>1079.2449792446339</v>
      </c>
      <c r="R365" s="29"/>
    </row>
    <row r="366" spans="1:18">
      <c r="A366" s="42" t="s">
        <v>1343</v>
      </c>
      <c r="B366" s="43"/>
      <c r="C366" s="50"/>
      <c r="D366" s="73">
        <v>10</v>
      </c>
      <c r="E366" s="45"/>
      <c r="F366" s="95">
        <f t="shared" si="186"/>
        <v>28180680</v>
      </c>
      <c r="G366" s="46">
        <f t="shared" si="188"/>
        <v>0.31645269028284628</v>
      </c>
      <c r="H366" s="95">
        <f>'rev send dist only'!O552</f>
        <v>8917852</v>
      </c>
      <c r="I366" s="46">
        <f t="shared" si="189"/>
        <v>0.68354730971715372</v>
      </c>
      <c r="J366" s="95">
        <f>'rev send dist only'!J552</f>
        <v>19262828</v>
      </c>
      <c r="K366" s="48">
        <f t="shared" si="190"/>
        <v>28180680</v>
      </c>
      <c r="L366" s="49">
        <f t="shared" si="191"/>
        <v>0.31645269028284628</v>
      </c>
      <c r="M366" s="48">
        <f t="shared" si="192"/>
        <v>0.68354730971715372</v>
      </c>
      <c r="N366" s="46">
        <f t="shared" si="187"/>
        <v>0.1</v>
      </c>
      <c r="O366" s="95">
        <v>651229</v>
      </c>
      <c r="P366" s="95">
        <f t="shared" si="193"/>
        <v>44514.583095979229</v>
      </c>
      <c r="Q366" s="95">
        <f t="shared" si="194"/>
        <v>20608.316904020772</v>
      </c>
      <c r="R366" s="29"/>
    </row>
    <row r="367" spans="1:18">
      <c r="A367" s="42" t="s">
        <v>1344</v>
      </c>
      <c r="B367" s="43"/>
      <c r="C367" s="50"/>
      <c r="D367" s="73">
        <v>4</v>
      </c>
      <c r="E367" s="45"/>
      <c r="F367" s="95">
        <f t="shared" si="186"/>
        <v>15138479</v>
      </c>
      <c r="G367" s="46">
        <f t="shared" si="188"/>
        <v>0.2953920271646841</v>
      </c>
      <c r="H367" s="95">
        <f>'rev send dist only'!O553</f>
        <v>4471786</v>
      </c>
      <c r="I367" s="46">
        <f t="shared" si="189"/>
        <v>0.70460797283531584</v>
      </c>
      <c r="J367" s="95">
        <f>'rev send dist only'!J553</f>
        <v>10666693</v>
      </c>
      <c r="K367" s="48">
        <f t="shared" si="190"/>
        <v>15138479</v>
      </c>
      <c r="L367" s="49">
        <f t="shared" si="191"/>
        <v>0.2953920271646841</v>
      </c>
      <c r="M367" s="48">
        <f t="shared" si="192"/>
        <v>0.70460797283531584</v>
      </c>
      <c r="N367" s="46">
        <f t="shared" si="187"/>
        <v>0.04</v>
      </c>
      <c r="O367" s="95">
        <v>651229</v>
      </c>
      <c r="P367" s="95">
        <f t="shared" si="193"/>
        <v>18354.445821662797</v>
      </c>
      <c r="Q367" s="95">
        <f t="shared" si="194"/>
        <v>7694.7141783372026</v>
      </c>
      <c r="R367" s="29"/>
    </row>
    <row r="368" spans="1:18">
      <c r="A368" s="42" t="s">
        <v>1209</v>
      </c>
      <c r="B368" s="43"/>
      <c r="C368" s="50"/>
      <c r="D368" s="73">
        <v>43.5</v>
      </c>
      <c r="E368" s="45"/>
      <c r="F368" s="95">
        <f t="shared" si="186"/>
        <v>6433053</v>
      </c>
      <c r="G368" s="46">
        <f t="shared" si="188"/>
        <v>0.24292089619034696</v>
      </c>
      <c r="H368" s="95">
        <f>'rev send dist only'!O556</f>
        <v>1562723</v>
      </c>
      <c r="I368" s="46">
        <f t="shared" si="189"/>
        <v>0.75707910380965304</v>
      </c>
      <c r="J368" s="95">
        <f>'rev send dist only'!J556</f>
        <v>4870330</v>
      </c>
      <c r="K368" s="48">
        <f t="shared" si="190"/>
        <v>6433053</v>
      </c>
      <c r="L368" s="49">
        <f t="shared" si="191"/>
        <v>0.24292089619034696</v>
      </c>
      <c r="M368" s="48">
        <f t="shared" si="192"/>
        <v>0.75707910380965304</v>
      </c>
      <c r="N368" s="46">
        <f t="shared" si="187"/>
        <v>0.435</v>
      </c>
      <c r="O368" s="95">
        <v>651229</v>
      </c>
      <c r="P368" s="95">
        <f t="shared" si="193"/>
        <v>214468.8624472626</v>
      </c>
      <c r="Q368" s="95">
        <f t="shared" si="194"/>
        <v>68815.752552737409</v>
      </c>
      <c r="R368" s="29"/>
    </row>
    <row r="369" spans="1:18">
      <c r="A369" s="42" t="s">
        <v>1345</v>
      </c>
      <c r="B369" s="43"/>
      <c r="C369" s="50"/>
      <c r="D369" s="73">
        <v>4.5</v>
      </c>
      <c r="E369" s="45"/>
      <c r="F369" s="95">
        <f t="shared" si="186"/>
        <v>12955328</v>
      </c>
      <c r="G369" s="46">
        <f t="shared" si="188"/>
        <v>0.25103131314004556</v>
      </c>
      <c r="H369" s="95">
        <f>'rev send dist only'!O557</f>
        <v>3252193</v>
      </c>
      <c r="I369" s="46">
        <f t="shared" si="189"/>
        <v>0.74896868685995444</v>
      </c>
      <c r="J369" s="95">
        <f>'rev send dist only'!J557</f>
        <v>9703135</v>
      </c>
      <c r="K369" s="48">
        <f t="shared" si="190"/>
        <v>12955328</v>
      </c>
      <c r="L369" s="49">
        <f t="shared" si="191"/>
        <v>0.25103131314004556</v>
      </c>
      <c r="M369" s="48">
        <f t="shared" si="192"/>
        <v>0.74896868685995444</v>
      </c>
      <c r="N369" s="46">
        <f t="shared" si="187"/>
        <v>4.4999999999999998E-2</v>
      </c>
      <c r="O369" s="95">
        <v>651229</v>
      </c>
      <c r="P369" s="95">
        <f t="shared" si="193"/>
        <v>21948.755803880456</v>
      </c>
      <c r="Q369" s="95">
        <f t="shared" si="194"/>
        <v>7356.549196119543</v>
      </c>
      <c r="R369" s="29"/>
    </row>
    <row r="370" spans="1:18">
      <c r="A370" s="42" t="s">
        <v>1210</v>
      </c>
      <c r="B370" s="43"/>
      <c r="C370" s="50"/>
      <c r="D370" s="73">
        <v>2</v>
      </c>
      <c r="E370" s="45"/>
      <c r="F370" s="95">
        <f t="shared" si="186"/>
        <v>3479374</v>
      </c>
      <c r="G370" s="46">
        <f t="shared" si="188"/>
        <v>0.42421079194130901</v>
      </c>
      <c r="H370" s="95">
        <f>'rev send dist only'!O558</f>
        <v>1475988</v>
      </c>
      <c r="I370" s="46">
        <f t="shared" si="189"/>
        <v>0.57578920805869105</v>
      </c>
      <c r="J370" s="95">
        <f>'rev send dist only'!J558</f>
        <v>2003386</v>
      </c>
      <c r="K370" s="48">
        <f t="shared" si="190"/>
        <v>3479374</v>
      </c>
      <c r="L370" s="49">
        <f t="shared" si="191"/>
        <v>0.42421079194130901</v>
      </c>
      <c r="M370" s="48">
        <f t="shared" si="192"/>
        <v>0.57578920805869105</v>
      </c>
      <c r="N370" s="46">
        <f t="shared" si="187"/>
        <v>0.02</v>
      </c>
      <c r="O370" s="95">
        <v>651229</v>
      </c>
      <c r="P370" s="95">
        <f t="shared" si="193"/>
        <v>7499.4126034970659</v>
      </c>
      <c r="Q370" s="95">
        <f t="shared" si="194"/>
        <v>5525.167396502934</v>
      </c>
      <c r="R370" s="29"/>
    </row>
    <row r="371" spans="1:18">
      <c r="A371" s="42" t="s">
        <v>1211</v>
      </c>
      <c r="B371" s="43"/>
      <c r="C371" s="50"/>
      <c r="D371" s="73">
        <v>5</v>
      </c>
      <c r="E371" s="45"/>
      <c r="F371" s="95">
        <f t="shared" si="186"/>
        <v>42594074</v>
      </c>
      <c r="G371" s="46">
        <f t="shared" si="188"/>
        <v>6.8200097506521687E-2</v>
      </c>
      <c r="H371" s="95">
        <f>'rev send dist only'!O560</f>
        <v>2904920</v>
      </c>
      <c r="I371" s="46">
        <f t="shared" si="189"/>
        <v>0.93179990249347833</v>
      </c>
      <c r="J371" s="95">
        <f>'rev send dist only'!J560</f>
        <v>39689154</v>
      </c>
      <c r="K371" s="48">
        <f t="shared" si="190"/>
        <v>42594074</v>
      </c>
      <c r="L371" s="49">
        <f t="shared" si="191"/>
        <v>6.8200097506521687E-2</v>
      </c>
      <c r="M371" s="48">
        <f t="shared" si="192"/>
        <v>0.93179990249347833</v>
      </c>
      <c r="N371" s="46">
        <f t="shared" si="187"/>
        <v>0.05</v>
      </c>
      <c r="O371" s="95">
        <v>651229</v>
      </c>
      <c r="P371" s="95">
        <f t="shared" si="193"/>
        <v>30340.755935046269</v>
      </c>
      <c r="Q371" s="95">
        <f t="shared" si="194"/>
        <v>2220.6940649537305</v>
      </c>
      <c r="R371" s="29"/>
    </row>
    <row r="372" spans="1:18">
      <c r="A372" s="42" t="s">
        <v>1213</v>
      </c>
      <c r="B372" s="43"/>
      <c r="C372" s="50"/>
      <c r="D372" s="73">
        <v>3</v>
      </c>
      <c r="E372" s="45"/>
      <c r="F372" s="95">
        <f t="shared" si="186"/>
        <v>18552952</v>
      </c>
      <c r="G372" s="46">
        <f t="shared" si="188"/>
        <v>0.28427411443742212</v>
      </c>
      <c r="H372" s="95">
        <f>'rev send dist only'!O563</f>
        <v>5274124</v>
      </c>
      <c r="I372" s="46">
        <f t="shared" si="189"/>
        <v>0.71572588556257788</v>
      </c>
      <c r="J372" s="95">
        <f>'rev send dist only'!J563</f>
        <v>13278828</v>
      </c>
      <c r="K372" s="48">
        <f>SUM(H372+J372)</f>
        <v>18552952</v>
      </c>
      <c r="L372" s="49">
        <f>H372/K372</f>
        <v>0.28427411443742212</v>
      </c>
      <c r="M372" s="48">
        <f>J372/K372</f>
        <v>0.71572588556257788</v>
      </c>
      <c r="N372" s="46">
        <f t="shared" si="187"/>
        <v>0.03</v>
      </c>
      <c r="O372" s="95">
        <v>651229</v>
      </c>
      <c r="P372" s="95">
        <f>O372*N372*M372</f>
        <v>13983.043581870959</v>
      </c>
      <c r="Q372" s="95">
        <f>O372*N372*L372</f>
        <v>5553.8264181290388</v>
      </c>
      <c r="R372" s="29"/>
    </row>
    <row r="373" spans="1:18">
      <c r="A373" s="42" t="s">
        <v>1212</v>
      </c>
      <c r="B373" s="43"/>
      <c r="C373" s="50"/>
      <c r="D373" s="73">
        <v>15</v>
      </c>
      <c r="E373" s="45"/>
      <c r="F373" s="95">
        <f t="shared" si="186"/>
        <v>56844761</v>
      </c>
      <c r="G373" s="46">
        <f t="shared" si="188"/>
        <v>0.35482735163579981</v>
      </c>
      <c r="H373" s="95">
        <f>'rev send dist only'!O566</f>
        <v>20170076</v>
      </c>
      <c r="I373" s="46">
        <f t="shared" si="189"/>
        <v>0.64517264836420019</v>
      </c>
      <c r="J373" s="95">
        <f>'rev send dist only'!J566</f>
        <v>36674685</v>
      </c>
      <c r="K373" s="48">
        <f>SUM(H373+J373)</f>
        <v>56844761</v>
      </c>
      <c r="L373" s="49">
        <f>H373/K373</f>
        <v>0.35482735163579981</v>
      </c>
      <c r="M373" s="48">
        <f>J373/K373</f>
        <v>0.64517264836420019</v>
      </c>
      <c r="N373" s="46">
        <f t="shared" si="187"/>
        <v>0.15</v>
      </c>
      <c r="O373" s="95">
        <v>651229</v>
      </c>
      <c r="P373" s="95">
        <f>O373*N373*M373</f>
        <v>63023.270793235453</v>
      </c>
      <c r="Q373" s="95">
        <f>O373*N373*L373</f>
        <v>34661.079206764538</v>
      </c>
      <c r="R373" s="29"/>
    </row>
    <row r="374" spans="1:18">
      <c r="A374" s="38" t="s">
        <v>1214</v>
      </c>
      <c r="B374" s="39"/>
      <c r="C374" s="40"/>
      <c r="D374" s="74">
        <f>SUM(D361:D373)</f>
        <v>100</v>
      </c>
      <c r="E374" s="41"/>
      <c r="F374" s="91"/>
      <c r="G374" s="40"/>
      <c r="H374" s="91"/>
      <c r="I374" s="40"/>
      <c r="J374" s="91"/>
      <c r="K374" s="40"/>
      <c r="L374" s="40"/>
      <c r="M374" s="40"/>
      <c r="N374" s="40"/>
      <c r="O374" s="91"/>
      <c r="P374" s="91">
        <f>SUM(P361:P373)</f>
        <v>475805.7842961697</v>
      </c>
      <c r="Q374" s="91">
        <f>SUM(Q361:Q373)</f>
        <v>175423.2157038303</v>
      </c>
      <c r="R374" s="37"/>
    </row>
    <row r="375" spans="1:18">
      <c r="A375" s="42" t="s">
        <v>1405</v>
      </c>
      <c r="B375" s="43" t="s">
        <v>1485</v>
      </c>
      <c r="C375" s="50" t="s">
        <v>1486</v>
      </c>
      <c r="D375" s="73">
        <v>2</v>
      </c>
      <c r="E375" s="45"/>
      <c r="F375" s="95">
        <f>H375+J375</f>
        <v>44905553</v>
      </c>
      <c r="G375" s="46">
        <f>H375/F375</f>
        <v>0.10841155881100051</v>
      </c>
      <c r="H375" s="95">
        <f>H126</f>
        <v>4868281</v>
      </c>
      <c r="I375" s="46">
        <f>J375/F375</f>
        <v>0.89158844118899949</v>
      </c>
      <c r="J375" s="95">
        <f>J126</f>
        <v>40037272</v>
      </c>
      <c r="K375" s="48">
        <f>SUM(H375+J375)</f>
        <v>44905553</v>
      </c>
      <c r="L375" s="49">
        <f>H375/K375</f>
        <v>0.10841155881100051</v>
      </c>
      <c r="M375" s="48">
        <f>J375/K375</f>
        <v>0.89158844118899949</v>
      </c>
      <c r="N375" s="46">
        <f>D375/$D$379</f>
        <v>8.368200836820083E-3</v>
      </c>
      <c r="O375" s="95">
        <v>2011852</v>
      </c>
      <c r="P375" s="95">
        <f>O375*N375*M375</f>
        <v>15010.409946301012</v>
      </c>
      <c r="Q375" s="95">
        <f>O375*N375*L375</f>
        <v>1825.1716436571462</v>
      </c>
      <c r="R375" s="29"/>
    </row>
    <row r="376" spans="1:18">
      <c r="A376" s="42" t="s">
        <v>1407</v>
      </c>
      <c r="B376" s="43"/>
      <c r="C376" s="50"/>
      <c r="D376" s="73">
        <v>5</v>
      </c>
      <c r="E376" s="45"/>
      <c r="F376" s="95">
        <f>H376+J376</f>
        <v>43395349</v>
      </c>
      <c r="G376" s="46">
        <f>H376/F376</f>
        <v>2.3759919525016379E-3</v>
      </c>
      <c r="H376" s="95">
        <f>H128</f>
        <v>103107</v>
      </c>
      <c r="I376" s="46">
        <f>J376/F376</f>
        <v>0.9976240080474984</v>
      </c>
      <c r="J376" s="95">
        <f>J128</f>
        <v>43292242</v>
      </c>
      <c r="K376" s="48">
        <f>SUM(H376+J376)</f>
        <v>43395349</v>
      </c>
      <c r="L376" s="49">
        <f>H376/K376</f>
        <v>2.3759919525016379E-3</v>
      </c>
      <c r="M376" s="48">
        <f>J376/K376</f>
        <v>0.9976240080474984</v>
      </c>
      <c r="N376" s="46">
        <f>D376/$D$379</f>
        <v>2.0920502092050208E-2</v>
      </c>
      <c r="O376" s="95">
        <v>2011852</v>
      </c>
      <c r="P376" s="95">
        <f>O376*N376*M376</f>
        <v>41988.950958961839</v>
      </c>
      <c r="Q376" s="95">
        <f>O376*N376*L376</f>
        <v>100.00301593356329</v>
      </c>
      <c r="R376" s="29"/>
    </row>
    <row r="377" spans="1:18">
      <c r="A377" s="42" t="s">
        <v>1394</v>
      </c>
      <c r="B377" s="43"/>
      <c r="C377" s="50"/>
      <c r="D377" s="73">
        <v>1</v>
      </c>
      <c r="E377" s="45"/>
      <c r="F377" s="95">
        <f>H377+J377</f>
        <v>21406201</v>
      </c>
      <c r="G377" s="46">
        <f>H377/F377</f>
        <v>7.8783713186660262E-2</v>
      </c>
      <c r="H377" s="95">
        <f>H107</f>
        <v>1686460</v>
      </c>
      <c r="I377" s="46">
        <f>J377/F377</f>
        <v>0.92121628681333978</v>
      </c>
      <c r="J377" s="95">
        <f>J107</f>
        <v>19719741</v>
      </c>
      <c r="K377" s="48">
        <f>SUM(H377+J377)</f>
        <v>21406201</v>
      </c>
      <c r="L377" s="49">
        <f>H377/K377</f>
        <v>7.8783713186660262E-2</v>
      </c>
      <c r="M377" s="48">
        <f>J377/K377</f>
        <v>0.92121628681333978</v>
      </c>
      <c r="N377" s="46">
        <f>D377/$D$379</f>
        <v>4.1841004184100415E-3</v>
      </c>
      <c r="O377" s="95">
        <v>2011852</v>
      </c>
      <c r="P377" s="95">
        <f>O377*N377*M377</f>
        <v>7754.6059793221384</v>
      </c>
      <c r="Q377" s="95">
        <f>O377*N377*L377</f>
        <v>663.1848156569406</v>
      </c>
      <c r="R377" s="29"/>
    </row>
    <row r="378" spans="1:18">
      <c r="A378" s="42" t="s">
        <v>1411</v>
      </c>
      <c r="B378" s="43"/>
      <c r="C378" s="50"/>
      <c r="D378" s="73">
        <v>231</v>
      </c>
      <c r="E378" s="45"/>
      <c r="F378" s="95">
        <f>H378+J378</f>
        <v>71836785</v>
      </c>
      <c r="G378" s="46">
        <f>H378/F378</f>
        <v>0</v>
      </c>
      <c r="H378" s="95">
        <f>H133</f>
        <v>0</v>
      </c>
      <c r="I378" s="46">
        <f>J378/F378</f>
        <v>1</v>
      </c>
      <c r="J378" s="95">
        <f>J133</f>
        <v>71836785</v>
      </c>
      <c r="K378" s="48">
        <f>SUM(H378+J378)</f>
        <v>71836785</v>
      </c>
      <c r="L378" s="49">
        <f>H378/K378</f>
        <v>0</v>
      </c>
      <c r="M378" s="48">
        <f>J378/K378</f>
        <v>1</v>
      </c>
      <c r="N378" s="46">
        <f>D378/$D$379</f>
        <v>0.96652719665271969</v>
      </c>
      <c r="O378" s="95">
        <v>2011852</v>
      </c>
      <c r="P378" s="95">
        <f>O378*N378*M378</f>
        <v>1944509.6736401673</v>
      </c>
      <c r="Q378" s="95">
        <f>O378*N378*L378</f>
        <v>0</v>
      </c>
      <c r="R378" s="29"/>
    </row>
    <row r="379" spans="1:18">
      <c r="A379" s="38" t="s">
        <v>1215</v>
      </c>
      <c r="B379" s="39"/>
      <c r="C379" s="40"/>
      <c r="D379" s="74">
        <f>SUM(D375:D378)</f>
        <v>239</v>
      </c>
      <c r="E379" s="41"/>
      <c r="F379" s="91"/>
      <c r="G379" s="40"/>
      <c r="H379" s="91"/>
      <c r="I379" s="40"/>
      <c r="J379" s="91"/>
      <c r="K379" s="40"/>
      <c r="L379" s="40"/>
      <c r="M379" s="40"/>
      <c r="N379" s="40"/>
      <c r="O379" s="91"/>
      <c r="P379" s="91">
        <f>SUM(P375:P378)</f>
        <v>2009263.6405247524</v>
      </c>
      <c r="Q379" s="91">
        <f>SUM(Q375:Q378)</f>
        <v>2588.3594752476502</v>
      </c>
      <c r="R379" s="37"/>
    </row>
    <row r="380" spans="1:18">
      <c r="A380" s="42" t="s">
        <v>1402</v>
      </c>
      <c r="B380" s="43" t="s">
        <v>1485</v>
      </c>
      <c r="C380" s="50" t="s">
        <v>1486</v>
      </c>
      <c r="D380" s="73">
        <v>591.29999999999995</v>
      </c>
      <c r="E380" s="45"/>
      <c r="F380" s="95">
        <f>H380+J380</f>
        <v>128349142</v>
      </c>
      <c r="G380" s="46">
        <f>H380/F380</f>
        <v>0.82133283758141518</v>
      </c>
      <c r="H380" s="95">
        <f>$H$124</f>
        <v>105417365</v>
      </c>
      <c r="I380" s="46">
        <f>J380/F380</f>
        <v>0.17866716241858477</v>
      </c>
      <c r="J380" s="95">
        <f>$J$124</f>
        <v>22931777</v>
      </c>
      <c r="K380" s="48">
        <f>SUM(H380+J380)</f>
        <v>128349142</v>
      </c>
      <c r="L380" s="49">
        <f>H380/K380</f>
        <v>0.82133283758141518</v>
      </c>
      <c r="M380" s="48">
        <f>J380/K380</f>
        <v>0.17866716241858477</v>
      </c>
      <c r="N380" s="46">
        <f>D380/$D$381</f>
        <v>1</v>
      </c>
      <c r="O380" s="95">
        <v>929200</v>
      </c>
      <c r="P380" s="95">
        <f>O380*N380*M380</f>
        <v>166017.52731934897</v>
      </c>
      <c r="Q380" s="95">
        <f>O380*N380*L380</f>
        <v>763182.472680651</v>
      </c>
      <c r="R380" s="29"/>
    </row>
    <row r="381" spans="1:18">
      <c r="A381" s="38" t="s">
        <v>1216</v>
      </c>
      <c r="B381" s="39"/>
      <c r="C381" s="40"/>
      <c r="D381" s="74">
        <f>SUM(D380)</f>
        <v>591.29999999999995</v>
      </c>
      <c r="E381" s="41"/>
      <c r="F381" s="91"/>
      <c r="G381" s="40"/>
      <c r="H381" s="91"/>
      <c r="I381" s="40"/>
      <c r="J381" s="91"/>
      <c r="K381" s="40"/>
      <c r="L381" s="40"/>
      <c r="M381" s="40"/>
      <c r="N381" s="40"/>
      <c r="O381" s="91"/>
      <c r="P381" s="91">
        <f>SUM(P380)</f>
        <v>166017.52731934897</v>
      </c>
      <c r="Q381" s="91">
        <f>SUM(Q380)</f>
        <v>763182.472680651</v>
      </c>
      <c r="R381" s="37"/>
    </row>
    <row r="382" spans="1:18">
      <c r="A382" s="42" t="s">
        <v>1519</v>
      </c>
      <c r="B382" s="43" t="s">
        <v>1485</v>
      </c>
      <c r="C382" s="50" t="s">
        <v>1486</v>
      </c>
      <c r="D382" s="73">
        <v>178</v>
      </c>
      <c r="E382" s="45"/>
      <c r="F382" s="95">
        <f>H382+J382</f>
        <v>62723780</v>
      </c>
      <c r="G382" s="46">
        <f>H382/F382</f>
        <v>0.71806695961244682</v>
      </c>
      <c r="H382" s="95">
        <f>$H$37</f>
        <v>45039874</v>
      </c>
      <c r="I382" s="46">
        <f>J382/F382</f>
        <v>0.28193304038755318</v>
      </c>
      <c r="J382" s="95">
        <f>$J$37</f>
        <v>17683906</v>
      </c>
      <c r="K382" s="48">
        <f>SUM(H382+J382)</f>
        <v>62723780</v>
      </c>
      <c r="L382" s="49">
        <f>H382/K382</f>
        <v>0.71806695961244682</v>
      </c>
      <c r="M382" s="48">
        <f>J382/K382</f>
        <v>0.28193304038755318</v>
      </c>
      <c r="N382" s="46">
        <f>D382/$D$383</f>
        <v>1</v>
      </c>
      <c r="O382" s="95">
        <v>458663</v>
      </c>
      <c r="P382" s="95">
        <f>O382*N382*M382</f>
        <v>129312.25410327631</v>
      </c>
      <c r="Q382" s="95">
        <f>O382*N382*L382</f>
        <v>329350.7458967237</v>
      </c>
      <c r="R382" s="29"/>
    </row>
    <row r="383" spans="1:18">
      <c r="A383" s="38" t="s">
        <v>1217</v>
      </c>
      <c r="B383" s="39"/>
      <c r="C383" s="40"/>
      <c r="D383" s="74">
        <f>SUM(D382)</f>
        <v>178</v>
      </c>
      <c r="E383" s="41"/>
      <c r="F383" s="91"/>
      <c r="G383" s="40"/>
      <c r="H383" s="91"/>
      <c r="I383" s="40"/>
      <c r="J383" s="91"/>
      <c r="K383" s="40"/>
      <c r="L383" s="40"/>
      <c r="M383" s="40"/>
      <c r="N383" s="40"/>
      <c r="O383" s="91"/>
      <c r="P383" s="91">
        <f>SUM(P382)</f>
        <v>129312.25410327631</v>
      </c>
      <c r="Q383" s="91">
        <f>SUM(Q382)</f>
        <v>329350.7458967237</v>
      </c>
      <c r="R383" s="37"/>
    </row>
    <row r="384" spans="1:18">
      <c r="A384" s="42" t="s">
        <v>1390</v>
      </c>
      <c r="B384" s="43" t="s">
        <v>1485</v>
      </c>
      <c r="C384" s="50" t="s">
        <v>1486</v>
      </c>
      <c r="D384" s="73">
        <v>1</v>
      </c>
      <c r="E384" s="45"/>
      <c r="F384" s="95">
        <f t="shared" ref="F384:F417" si="195">H384+J384</f>
        <v>23525325</v>
      </c>
      <c r="G384" s="46">
        <f>H384/F384</f>
        <v>0</v>
      </c>
      <c r="H384" s="95">
        <f>H103</f>
        <v>0</v>
      </c>
      <c r="I384" s="46">
        <f>J384/F384</f>
        <v>1</v>
      </c>
      <c r="J384" s="95">
        <f>J103</f>
        <v>23525325</v>
      </c>
      <c r="K384" s="48">
        <f>SUM(H384+J384)</f>
        <v>23525325</v>
      </c>
      <c r="L384" s="49">
        <f>H384/K384</f>
        <v>0</v>
      </c>
      <c r="M384" s="48">
        <f>J384/K384</f>
        <v>1</v>
      </c>
      <c r="N384" s="46">
        <f>D384/$D$418</f>
        <v>9.8716683119447167E-3</v>
      </c>
      <c r="O384" s="95">
        <v>768198</v>
      </c>
      <c r="P384" s="95">
        <f>O384*N384*M384</f>
        <v>7583.3958538993074</v>
      </c>
      <c r="Q384" s="95">
        <f>O384*N384*L384</f>
        <v>0</v>
      </c>
      <c r="R384" s="29"/>
    </row>
    <row r="385" spans="1:18">
      <c r="A385" s="42" t="s">
        <v>1384</v>
      </c>
      <c r="B385" s="43"/>
      <c r="C385" s="50"/>
      <c r="D385" s="73">
        <v>3</v>
      </c>
      <c r="E385" s="45"/>
      <c r="F385" s="95">
        <f t="shared" si="195"/>
        <v>69459286</v>
      </c>
      <c r="G385" s="46">
        <f>H385/F385</f>
        <v>0.74863650340431087</v>
      </c>
      <c r="H385" s="95">
        <f>H172</f>
        <v>51999757</v>
      </c>
      <c r="I385" s="46">
        <f>J385/F385</f>
        <v>0.25136349659568918</v>
      </c>
      <c r="J385" s="95">
        <f>J172</f>
        <v>17459529</v>
      </c>
      <c r="K385" s="48">
        <f>SUM(H385+J385)</f>
        <v>69459286</v>
      </c>
      <c r="L385" s="49">
        <f>H385/K385</f>
        <v>0.74863650340431087</v>
      </c>
      <c r="M385" s="48">
        <f>J385/K385</f>
        <v>0.25136349659568918</v>
      </c>
      <c r="N385" s="46">
        <f t="shared" ref="N385:N417" si="196">D385/$D$418</f>
        <v>2.9615004935834154E-2</v>
      </c>
      <c r="O385" s="95">
        <v>768198</v>
      </c>
      <c r="P385" s="95">
        <f>O385*N385*M385</f>
        <v>5718.5666937161477</v>
      </c>
      <c r="Q385" s="95">
        <f>O385*N385*L385</f>
        <v>17031.620867981779</v>
      </c>
      <c r="R385" s="29"/>
    </row>
    <row r="386" spans="1:18">
      <c r="A386" s="42" t="s">
        <v>1526</v>
      </c>
      <c r="B386" s="43"/>
      <c r="C386" s="50"/>
      <c r="D386" s="73">
        <v>1.4</v>
      </c>
      <c r="E386" s="45"/>
      <c r="F386" s="95">
        <f t="shared" si="195"/>
        <v>381732222</v>
      </c>
      <c r="G386" s="46">
        <f t="shared" ref="G386:G395" si="197">H386/F386</f>
        <v>0.7574108716449931</v>
      </c>
      <c r="H386" s="95">
        <f>$H$46</f>
        <v>289128135</v>
      </c>
      <c r="I386" s="46">
        <f t="shared" ref="I386:I395" si="198">J386/F386</f>
        <v>0.24258912835500693</v>
      </c>
      <c r="J386" s="95">
        <f>$J$46</f>
        <v>92604087</v>
      </c>
      <c r="K386" s="48">
        <f t="shared" ref="K386:K394" si="199">SUM(H386+J386)</f>
        <v>381732222</v>
      </c>
      <c r="L386" s="49">
        <f t="shared" ref="L386:L394" si="200">H386/K386</f>
        <v>0.7574108716449931</v>
      </c>
      <c r="M386" s="48">
        <f t="shared" ref="M386:M394" si="201">J386/K386</f>
        <v>0.24258912835500693</v>
      </c>
      <c r="N386" s="46">
        <f t="shared" si="196"/>
        <v>1.3820335636722603E-2</v>
      </c>
      <c r="O386" s="95">
        <v>768198</v>
      </c>
      <c r="P386" s="95">
        <f t="shared" ref="P386:P394" si="202">O386*N386*M386</f>
        <v>2575.5091462357691</v>
      </c>
      <c r="Q386" s="95">
        <f t="shared" ref="Q386:Q394" si="203">O386*N386*L386</f>
        <v>8041.245049223262</v>
      </c>
      <c r="R386" s="29"/>
    </row>
    <row r="387" spans="1:18">
      <c r="A387" s="42" t="s">
        <v>1386</v>
      </c>
      <c r="B387" s="43"/>
      <c r="C387" s="50"/>
      <c r="D387" s="73">
        <v>1</v>
      </c>
      <c r="E387" s="45"/>
      <c r="F387" s="95">
        <f t="shared" si="195"/>
        <v>95712705</v>
      </c>
      <c r="G387" s="46">
        <f t="shared" si="197"/>
        <v>0</v>
      </c>
      <c r="H387" s="95">
        <f>H174</f>
        <v>0</v>
      </c>
      <c r="I387" s="46">
        <f t="shared" si="198"/>
        <v>1</v>
      </c>
      <c r="J387" s="95">
        <f>J174</f>
        <v>95712705</v>
      </c>
      <c r="K387" s="48">
        <f t="shared" si="199"/>
        <v>95712705</v>
      </c>
      <c r="L387" s="49">
        <f t="shared" si="200"/>
        <v>0</v>
      </c>
      <c r="M387" s="48">
        <f t="shared" si="201"/>
        <v>1</v>
      </c>
      <c r="N387" s="46">
        <f t="shared" si="196"/>
        <v>9.8716683119447167E-3</v>
      </c>
      <c r="O387" s="95">
        <v>768198</v>
      </c>
      <c r="P387" s="95">
        <f t="shared" si="202"/>
        <v>7583.3958538993074</v>
      </c>
      <c r="Q387" s="95">
        <f t="shared" si="203"/>
        <v>0</v>
      </c>
      <c r="R387" s="29"/>
    </row>
    <row r="388" spans="1:18">
      <c r="A388" s="42" t="s">
        <v>1218</v>
      </c>
      <c r="B388" s="43"/>
      <c r="C388" s="50"/>
      <c r="D388" s="73">
        <v>1</v>
      </c>
      <c r="E388" s="45"/>
      <c r="F388" s="95">
        <f t="shared" si="195"/>
        <v>5345445</v>
      </c>
      <c r="G388" s="46">
        <f t="shared" si="197"/>
        <v>0.18860225855845492</v>
      </c>
      <c r="H388" s="95">
        <f>'rev send dist only'!O304</f>
        <v>1008163</v>
      </c>
      <c r="I388" s="46">
        <f t="shared" si="198"/>
        <v>0.81139774144154508</v>
      </c>
      <c r="J388" s="95">
        <f>'rev send dist only'!J304</f>
        <v>4337282</v>
      </c>
      <c r="K388" s="48">
        <f t="shared" si="199"/>
        <v>5345445</v>
      </c>
      <c r="L388" s="49">
        <f t="shared" si="200"/>
        <v>0.18860225855845492</v>
      </c>
      <c r="M388" s="48">
        <f t="shared" si="201"/>
        <v>0.81139774144154508</v>
      </c>
      <c r="N388" s="46">
        <f t="shared" si="196"/>
        <v>9.8716683119447167E-3</v>
      </c>
      <c r="O388" s="95">
        <v>768198</v>
      </c>
      <c r="P388" s="95">
        <f t="shared" si="202"/>
        <v>6153.1502683110757</v>
      </c>
      <c r="Q388" s="95">
        <f t="shared" si="203"/>
        <v>1430.2455855882322</v>
      </c>
      <c r="R388" s="29"/>
    </row>
    <row r="389" spans="1:18">
      <c r="A389" s="42" t="s">
        <v>1219</v>
      </c>
      <c r="B389" s="43"/>
      <c r="C389" s="50"/>
      <c r="D389" s="73">
        <v>4.7</v>
      </c>
      <c r="E389" s="45"/>
      <c r="F389" s="95">
        <f t="shared" si="195"/>
        <v>14101674</v>
      </c>
      <c r="G389" s="46">
        <f t="shared" si="197"/>
        <v>1.7192923336619467E-2</v>
      </c>
      <c r="H389" s="95">
        <f>'rev send dist only'!O413</f>
        <v>242449</v>
      </c>
      <c r="I389" s="46">
        <f t="shared" si="198"/>
        <v>0.98280707666338052</v>
      </c>
      <c r="J389" s="95">
        <f>'rev send dist only'!J413</f>
        <v>13859225</v>
      </c>
      <c r="K389" s="48">
        <f t="shared" si="199"/>
        <v>14101674</v>
      </c>
      <c r="L389" s="49">
        <f t="shared" si="200"/>
        <v>1.7192923336619467E-2</v>
      </c>
      <c r="M389" s="48">
        <f t="shared" si="201"/>
        <v>0.98280707666338052</v>
      </c>
      <c r="N389" s="46">
        <f t="shared" si="196"/>
        <v>4.6396841066140171E-2</v>
      </c>
      <c r="O389" s="95">
        <v>768198</v>
      </c>
      <c r="P389" s="95">
        <f t="shared" si="202"/>
        <v>35029.171018654299</v>
      </c>
      <c r="Q389" s="95">
        <f t="shared" si="203"/>
        <v>612.78949467244502</v>
      </c>
      <c r="R389" s="29"/>
    </row>
    <row r="390" spans="1:18">
      <c r="A390" s="42" t="s">
        <v>1220</v>
      </c>
      <c r="B390" s="43"/>
      <c r="C390" s="50"/>
      <c r="D390" s="73">
        <v>1</v>
      </c>
      <c r="E390" s="45"/>
      <c r="F390" s="95">
        <f t="shared" si="195"/>
        <v>9829991</v>
      </c>
      <c r="G390" s="46">
        <f t="shared" si="197"/>
        <v>0</v>
      </c>
      <c r="H390" s="95">
        <f>'rev send dist only'!O414</f>
        <v>0</v>
      </c>
      <c r="I390" s="46">
        <f t="shared" si="198"/>
        <v>1</v>
      </c>
      <c r="J390" s="95">
        <f>'rev send dist only'!J414</f>
        <v>9829991</v>
      </c>
      <c r="K390" s="48">
        <f t="shared" si="199"/>
        <v>9829991</v>
      </c>
      <c r="L390" s="49">
        <f t="shared" si="200"/>
        <v>0</v>
      </c>
      <c r="M390" s="48">
        <f t="shared" si="201"/>
        <v>1</v>
      </c>
      <c r="N390" s="46">
        <f t="shared" si="196"/>
        <v>9.8716683119447167E-3</v>
      </c>
      <c r="O390" s="95">
        <v>768198</v>
      </c>
      <c r="P390" s="95">
        <f t="shared" si="202"/>
        <v>7583.3958538993074</v>
      </c>
      <c r="Q390" s="95">
        <f t="shared" si="203"/>
        <v>0</v>
      </c>
      <c r="R390" s="29"/>
    </row>
    <row r="391" spans="1:18">
      <c r="A391" s="42" t="s">
        <v>1221</v>
      </c>
      <c r="B391" s="43"/>
      <c r="C391" s="50"/>
      <c r="D391" s="73">
        <v>2</v>
      </c>
      <c r="E391" s="45"/>
      <c r="F391" s="95">
        <f t="shared" si="195"/>
        <v>12332058</v>
      </c>
      <c r="G391" s="46">
        <f t="shared" si="197"/>
        <v>9.4823913413316738E-2</v>
      </c>
      <c r="H391" s="95">
        <f>'rev send dist only'!O415</f>
        <v>1169374</v>
      </c>
      <c r="I391" s="46">
        <f t="shared" si="198"/>
        <v>0.90517608658668325</v>
      </c>
      <c r="J391" s="95">
        <f>'rev send dist only'!J415</f>
        <v>11162684</v>
      </c>
      <c r="K391" s="48">
        <f t="shared" si="199"/>
        <v>12332058</v>
      </c>
      <c r="L391" s="49">
        <f t="shared" si="200"/>
        <v>9.4823913413316738E-2</v>
      </c>
      <c r="M391" s="48">
        <f t="shared" si="201"/>
        <v>0.90517608658668325</v>
      </c>
      <c r="N391" s="46">
        <f t="shared" si="196"/>
        <v>1.9743336623889433E-2</v>
      </c>
      <c r="O391" s="95">
        <v>768198</v>
      </c>
      <c r="P391" s="95">
        <f t="shared" si="202"/>
        <v>13728.617164140509</v>
      </c>
      <c r="Q391" s="95">
        <f t="shared" si="203"/>
        <v>1438.1745436581061</v>
      </c>
      <c r="R391" s="29"/>
    </row>
    <row r="392" spans="1:18">
      <c r="A392" s="42" t="s">
        <v>1222</v>
      </c>
      <c r="B392" s="43"/>
      <c r="C392" s="50"/>
      <c r="D392" s="73">
        <v>2</v>
      </c>
      <c r="E392" s="45"/>
      <c r="F392" s="95">
        <f t="shared" si="195"/>
        <v>40389273</v>
      </c>
      <c r="G392" s="46">
        <f t="shared" si="197"/>
        <v>0</v>
      </c>
      <c r="H392" s="95">
        <f>'rev send dist only'!O416</f>
        <v>0</v>
      </c>
      <c r="I392" s="46">
        <f t="shared" si="198"/>
        <v>1</v>
      </c>
      <c r="J392" s="95">
        <f>'rev send dist only'!J416</f>
        <v>40389273</v>
      </c>
      <c r="K392" s="48">
        <f t="shared" si="199"/>
        <v>40389273</v>
      </c>
      <c r="L392" s="49">
        <f t="shared" si="200"/>
        <v>0</v>
      </c>
      <c r="M392" s="48">
        <f t="shared" si="201"/>
        <v>1</v>
      </c>
      <c r="N392" s="46">
        <f t="shared" si="196"/>
        <v>1.9743336623889433E-2</v>
      </c>
      <c r="O392" s="95">
        <v>768198</v>
      </c>
      <c r="P392" s="95">
        <f t="shared" si="202"/>
        <v>15166.791707798615</v>
      </c>
      <c r="Q392" s="95">
        <f t="shared" si="203"/>
        <v>0</v>
      </c>
      <c r="R392" s="29"/>
    </row>
    <row r="393" spans="1:18">
      <c r="A393" s="42" t="s">
        <v>1223</v>
      </c>
      <c r="B393" s="43"/>
      <c r="C393" s="50"/>
      <c r="D393" s="73">
        <v>3</v>
      </c>
      <c r="E393" s="45"/>
      <c r="F393" s="95">
        <f t="shared" si="195"/>
        <v>16543289</v>
      </c>
      <c r="G393" s="46">
        <f t="shared" si="197"/>
        <v>0</v>
      </c>
      <c r="H393" s="95">
        <f>'rev send dist only'!O417</f>
        <v>0</v>
      </c>
      <c r="I393" s="46">
        <f t="shared" si="198"/>
        <v>1</v>
      </c>
      <c r="J393" s="95">
        <f>'rev send dist only'!J417</f>
        <v>16543289</v>
      </c>
      <c r="K393" s="48">
        <f t="shared" si="199"/>
        <v>16543289</v>
      </c>
      <c r="L393" s="49">
        <f t="shared" si="200"/>
        <v>0</v>
      </c>
      <c r="M393" s="48">
        <f t="shared" si="201"/>
        <v>1</v>
      </c>
      <c r="N393" s="46">
        <f t="shared" si="196"/>
        <v>2.9615004935834154E-2</v>
      </c>
      <c r="O393" s="95">
        <v>768198</v>
      </c>
      <c r="P393" s="95">
        <f t="shared" si="202"/>
        <v>22750.187561697927</v>
      </c>
      <c r="Q393" s="95">
        <f t="shared" si="203"/>
        <v>0</v>
      </c>
      <c r="R393" s="29"/>
    </row>
    <row r="394" spans="1:18">
      <c r="A394" s="42" t="s">
        <v>1224</v>
      </c>
      <c r="B394" s="43"/>
      <c r="C394" s="50"/>
      <c r="D394" s="73">
        <v>7.1</v>
      </c>
      <c r="E394" s="45"/>
      <c r="F394" s="95">
        <f t="shared" si="195"/>
        <v>21579112</v>
      </c>
      <c r="G394" s="46">
        <f t="shared" si="197"/>
        <v>0</v>
      </c>
      <c r="H394" s="95">
        <f>'rev send dist only'!O418</f>
        <v>0</v>
      </c>
      <c r="I394" s="46">
        <f t="shared" si="198"/>
        <v>1</v>
      </c>
      <c r="J394" s="95">
        <f>'rev send dist only'!J418</f>
        <v>21579112</v>
      </c>
      <c r="K394" s="48">
        <f t="shared" si="199"/>
        <v>21579112</v>
      </c>
      <c r="L394" s="49">
        <f t="shared" si="200"/>
        <v>0</v>
      </c>
      <c r="M394" s="48">
        <f t="shared" si="201"/>
        <v>1</v>
      </c>
      <c r="N394" s="46">
        <f t="shared" si="196"/>
        <v>7.0088845014807485E-2</v>
      </c>
      <c r="O394" s="95">
        <v>768198</v>
      </c>
      <c r="P394" s="95">
        <f t="shared" si="202"/>
        <v>53842.110562685084</v>
      </c>
      <c r="Q394" s="95">
        <f t="shared" si="203"/>
        <v>0</v>
      </c>
      <c r="R394" s="29"/>
    </row>
    <row r="395" spans="1:18">
      <c r="A395" s="42" t="s">
        <v>1332</v>
      </c>
      <c r="B395" s="43"/>
      <c r="C395" s="50"/>
      <c r="D395" s="73">
        <v>1</v>
      </c>
      <c r="E395" s="45"/>
      <c r="F395" s="95">
        <f t="shared" si="195"/>
        <v>21437993</v>
      </c>
      <c r="G395" s="46">
        <f t="shared" si="197"/>
        <v>0.43014842853992907</v>
      </c>
      <c r="H395" s="95">
        <f>'rev send dist only'!O419</f>
        <v>9221519</v>
      </c>
      <c r="I395" s="46">
        <f t="shared" si="198"/>
        <v>0.56985157146007093</v>
      </c>
      <c r="J395" s="95">
        <f>'rev send dist only'!J419</f>
        <v>12216474</v>
      </c>
      <c r="K395" s="48">
        <f>SUM(H395+J395)</f>
        <v>21437993</v>
      </c>
      <c r="L395" s="49">
        <f>H395/K395</f>
        <v>0.43014842853992907</v>
      </c>
      <c r="M395" s="48">
        <f>J395/K395</f>
        <v>0.56985157146007093</v>
      </c>
      <c r="N395" s="46">
        <f t="shared" si="196"/>
        <v>9.8716683119447167E-3</v>
      </c>
      <c r="O395" s="95">
        <v>768198</v>
      </c>
      <c r="P395" s="95">
        <f>O395*N395*M395</f>
        <v>4321.4100443483067</v>
      </c>
      <c r="Q395" s="95">
        <f>O395*N395*L395</f>
        <v>3261.9858095510008</v>
      </c>
      <c r="R395" s="29"/>
    </row>
    <row r="396" spans="1:18">
      <c r="A396" s="42" t="s">
        <v>1225</v>
      </c>
      <c r="B396" s="43" t="s">
        <v>1485</v>
      </c>
      <c r="C396" s="50" t="s">
        <v>1486</v>
      </c>
      <c r="D396" s="73">
        <v>0.2</v>
      </c>
      <c r="E396" s="45"/>
      <c r="F396" s="95">
        <f t="shared" si="195"/>
        <v>14218199</v>
      </c>
      <c r="G396" s="46">
        <f>H396/F396</f>
        <v>0</v>
      </c>
      <c r="H396" s="95">
        <f>'rev send dist only'!O420</f>
        <v>0</v>
      </c>
      <c r="I396" s="46">
        <f>J396/F396</f>
        <v>1</v>
      </c>
      <c r="J396" s="95">
        <f>'rev send dist only'!J420</f>
        <v>14218199</v>
      </c>
      <c r="K396" s="48">
        <f>SUM(H396+J396)</f>
        <v>14218199</v>
      </c>
      <c r="L396" s="49">
        <f>H396/K396</f>
        <v>0</v>
      </c>
      <c r="M396" s="48">
        <f>J396/K396</f>
        <v>1</v>
      </c>
      <c r="N396" s="46">
        <f t="shared" si="196"/>
        <v>1.9743336623889436E-3</v>
      </c>
      <c r="O396" s="95">
        <v>768198</v>
      </c>
      <c r="P396" s="95">
        <f>O396*N396*M396</f>
        <v>1516.6791707798618</v>
      </c>
      <c r="Q396" s="95">
        <f>O396*N396*L396</f>
        <v>0</v>
      </c>
      <c r="R396" s="29"/>
    </row>
    <row r="397" spans="1:18">
      <c r="A397" s="42" t="s">
        <v>1226</v>
      </c>
      <c r="B397" s="43"/>
      <c r="C397" s="50"/>
      <c r="D397" s="73">
        <v>2</v>
      </c>
      <c r="E397" s="45"/>
      <c r="F397" s="95">
        <f t="shared" si="195"/>
        <v>18461607</v>
      </c>
      <c r="G397" s="46">
        <f>H397/F397</f>
        <v>0</v>
      </c>
      <c r="H397" s="95">
        <f>'rev send dist only'!O423</f>
        <v>0</v>
      </c>
      <c r="I397" s="46">
        <f>J397/F397</f>
        <v>1</v>
      </c>
      <c r="J397" s="95">
        <f>'rev send dist only'!J423</f>
        <v>18461607</v>
      </c>
      <c r="K397" s="48">
        <f>SUM(H397+J397)</f>
        <v>18461607</v>
      </c>
      <c r="L397" s="49">
        <f>H397/K397</f>
        <v>0</v>
      </c>
      <c r="M397" s="48">
        <f>J397/K397</f>
        <v>1</v>
      </c>
      <c r="N397" s="46">
        <f t="shared" si="196"/>
        <v>1.9743336623889433E-2</v>
      </c>
      <c r="O397" s="95">
        <v>768198</v>
      </c>
      <c r="P397" s="95">
        <f>O397*N397*M397</f>
        <v>15166.791707798615</v>
      </c>
      <c r="Q397" s="95">
        <f>O397*N397*L397</f>
        <v>0</v>
      </c>
      <c r="R397" s="29"/>
    </row>
    <row r="398" spans="1:18">
      <c r="A398" s="42" t="s">
        <v>1227</v>
      </c>
      <c r="B398" s="43"/>
      <c r="C398" s="50"/>
      <c r="D398" s="73">
        <v>0.5</v>
      </c>
      <c r="E398" s="45"/>
      <c r="F398" s="95">
        <f t="shared" si="195"/>
        <v>12000660</v>
      </c>
      <c r="G398" s="46">
        <f t="shared" ref="G398:G407" si="204">H398/F398</f>
        <v>1.0914399708016058E-3</v>
      </c>
      <c r="H398" s="95">
        <f>'rev send dist only'!O430</f>
        <v>13098</v>
      </c>
      <c r="I398" s="46">
        <f t="shared" ref="I398:I407" si="205">J398/F398</f>
        <v>0.99890856002919837</v>
      </c>
      <c r="J398" s="95">
        <f>'rev send dist only'!J430</f>
        <v>11987562</v>
      </c>
      <c r="K398" s="48">
        <f t="shared" ref="K398:K406" si="206">SUM(H398+J398)</f>
        <v>12000660</v>
      </c>
      <c r="L398" s="49">
        <f t="shared" ref="L398:L406" si="207">H398/K398</f>
        <v>1.0914399708016058E-3</v>
      </c>
      <c r="M398" s="48">
        <f t="shared" ref="M398:M406" si="208">J398/K398</f>
        <v>0.99890856002919837</v>
      </c>
      <c r="N398" s="46">
        <f t="shared" si="196"/>
        <v>4.9358341559723583E-3</v>
      </c>
      <c r="O398" s="95">
        <v>768198</v>
      </c>
      <c r="P398" s="95">
        <f t="shared" ref="P398:P406" si="209">O398*N398*M398</f>
        <v>3787.5595162749751</v>
      </c>
      <c r="Q398" s="95">
        <f t="shared" ref="Q398:Q406" si="210">O398*N398*L398</f>
        <v>4.1384106746784397</v>
      </c>
      <c r="R398" s="29"/>
    </row>
    <row r="399" spans="1:18">
      <c r="A399" s="42" t="s">
        <v>1228</v>
      </c>
      <c r="B399" s="43"/>
      <c r="C399" s="50"/>
      <c r="D399" s="73">
        <v>1.6</v>
      </c>
      <c r="E399" s="45"/>
      <c r="F399" s="95">
        <f t="shared" si="195"/>
        <v>6293449</v>
      </c>
      <c r="G399" s="46">
        <f t="shared" si="204"/>
        <v>7.4432318431435607E-2</v>
      </c>
      <c r="H399" s="95">
        <f>'rev send dist only'!O431</f>
        <v>468436</v>
      </c>
      <c r="I399" s="46">
        <f t="shared" si="205"/>
        <v>0.92556768156856439</v>
      </c>
      <c r="J399" s="95">
        <f>'rev send dist only'!J431</f>
        <v>5825013</v>
      </c>
      <c r="K399" s="48">
        <f t="shared" si="206"/>
        <v>6293449</v>
      </c>
      <c r="L399" s="49">
        <f t="shared" si="207"/>
        <v>7.4432318431435607E-2</v>
      </c>
      <c r="M399" s="48">
        <f t="shared" si="208"/>
        <v>0.92556768156856439</v>
      </c>
      <c r="N399" s="46">
        <f t="shared" si="196"/>
        <v>1.5794669299111549E-2</v>
      </c>
      <c r="O399" s="95">
        <v>768198</v>
      </c>
      <c r="P399" s="95">
        <f t="shared" si="209"/>
        <v>11230.313790256396</v>
      </c>
      <c r="Q399" s="95">
        <f t="shared" si="210"/>
        <v>903.11957598249899</v>
      </c>
      <c r="R399" s="29"/>
    </row>
    <row r="400" spans="1:18">
      <c r="A400" s="42" t="s">
        <v>1229</v>
      </c>
      <c r="B400" s="43"/>
      <c r="C400" s="50"/>
      <c r="D400" s="73">
        <v>3</v>
      </c>
      <c r="E400" s="45"/>
      <c r="F400" s="95">
        <f t="shared" si="195"/>
        <v>53524660</v>
      </c>
      <c r="G400" s="46">
        <f t="shared" si="204"/>
        <v>1.9909888264586827E-3</v>
      </c>
      <c r="H400" s="95">
        <f>'rev send dist only'!O432</f>
        <v>106567</v>
      </c>
      <c r="I400" s="46">
        <f t="shared" si="205"/>
        <v>0.99800901117354135</v>
      </c>
      <c r="J400" s="95">
        <f>'rev send dist only'!J432</f>
        <v>53418093</v>
      </c>
      <c r="K400" s="48">
        <f t="shared" si="206"/>
        <v>53524660</v>
      </c>
      <c r="L400" s="49">
        <f t="shared" si="207"/>
        <v>1.9909888264586827E-3</v>
      </c>
      <c r="M400" s="48">
        <f t="shared" si="208"/>
        <v>0.99800901117354135</v>
      </c>
      <c r="N400" s="46">
        <f t="shared" si="196"/>
        <v>2.9615004935834154E-2</v>
      </c>
      <c r="O400" s="95">
        <v>768198</v>
      </c>
      <c r="P400" s="95">
        <f t="shared" si="209"/>
        <v>22704.892192462747</v>
      </c>
      <c r="Q400" s="95">
        <f t="shared" si="210"/>
        <v>45.295369235179876</v>
      </c>
      <c r="R400" s="29"/>
    </row>
    <row r="401" spans="1:18">
      <c r="A401" s="42" t="s">
        <v>1230</v>
      </c>
      <c r="B401" s="43"/>
      <c r="C401" s="50"/>
      <c r="D401" s="73">
        <v>1</v>
      </c>
      <c r="E401" s="45"/>
      <c r="F401" s="95">
        <f t="shared" si="195"/>
        <v>11480109</v>
      </c>
      <c r="G401" s="46">
        <f t="shared" si="204"/>
        <v>1.5358826296858332E-2</v>
      </c>
      <c r="H401" s="95">
        <f>'rev send dist only'!O436</f>
        <v>176321</v>
      </c>
      <c r="I401" s="46">
        <f t="shared" si="205"/>
        <v>0.98464117370314164</v>
      </c>
      <c r="J401" s="95">
        <f>'rev send dist only'!J436</f>
        <v>11303788</v>
      </c>
      <c r="K401" s="48">
        <f t="shared" si="206"/>
        <v>11480109</v>
      </c>
      <c r="L401" s="49">
        <f t="shared" si="207"/>
        <v>1.5358826296858332E-2</v>
      </c>
      <c r="M401" s="48">
        <f t="shared" si="208"/>
        <v>0.98464117370314164</v>
      </c>
      <c r="N401" s="46">
        <f t="shared" si="196"/>
        <v>9.8716683119447167E-3</v>
      </c>
      <c r="O401" s="95">
        <v>768198</v>
      </c>
      <c r="P401" s="95">
        <f t="shared" si="209"/>
        <v>7466.9237942389518</v>
      </c>
      <c r="Q401" s="95">
        <f t="shared" si="210"/>
        <v>116.47205966035513</v>
      </c>
      <c r="R401" s="29"/>
    </row>
    <row r="402" spans="1:18">
      <c r="A402" s="42" t="s">
        <v>1334</v>
      </c>
      <c r="B402" s="43"/>
      <c r="C402" s="50"/>
      <c r="D402" s="73">
        <v>24.5</v>
      </c>
      <c r="E402" s="45"/>
      <c r="F402" s="95">
        <f t="shared" si="195"/>
        <v>72576950</v>
      </c>
      <c r="G402" s="46">
        <f t="shared" si="204"/>
        <v>0</v>
      </c>
      <c r="H402" s="95">
        <f>'rev send dist only'!O437</f>
        <v>0</v>
      </c>
      <c r="I402" s="46">
        <f t="shared" si="205"/>
        <v>1</v>
      </c>
      <c r="J402" s="95">
        <f>'rev send dist only'!J437</f>
        <v>72576950</v>
      </c>
      <c r="K402" s="48">
        <f t="shared" si="206"/>
        <v>72576950</v>
      </c>
      <c r="L402" s="49">
        <f t="shared" si="207"/>
        <v>0</v>
      </c>
      <c r="M402" s="48">
        <f t="shared" si="208"/>
        <v>1</v>
      </c>
      <c r="N402" s="46">
        <f t="shared" si="196"/>
        <v>0.24185587364264557</v>
      </c>
      <c r="O402" s="95">
        <v>768198</v>
      </c>
      <c r="P402" s="95">
        <f t="shared" si="209"/>
        <v>185793.19842053304</v>
      </c>
      <c r="Q402" s="95">
        <f t="shared" si="210"/>
        <v>0</v>
      </c>
      <c r="R402" s="29"/>
    </row>
    <row r="403" spans="1:18">
      <c r="A403" s="42" t="s">
        <v>1315</v>
      </c>
      <c r="B403" s="43"/>
      <c r="C403" s="50"/>
      <c r="D403" s="73">
        <v>8.1999999999999993</v>
      </c>
      <c r="E403" s="45"/>
      <c r="F403" s="95">
        <f t="shared" si="195"/>
        <v>102452008</v>
      </c>
      <c r="G403" s="46">
        <f t="shared" si="204"/>
        <v>0</v>
      </c>
      <c r="H403" s="95">
        <f>'rev send dist only'!O442</f>
        <v>0</v>
      </c>
      <c r="I403" s="46">
        <f t="shared" si="205"/>
        <v>1</v>
      </c>
      <c r="J403" s="95">
        <f>'rev send dist only'!J442</f>
        <v>102452008</v>
      </c>
      <c r="K403" s="48">
        <f t="shared" si="206"/>
        <v>102452008</v>
      </c>
      <c r="L403" s="49">
        <f t="shared" si="207"/>
        <v>0</v>
      </c>
      <c r="M403" s="48">
        <f t="shared" si="208"/>
        <v>1</v>
      </c>
      <c r="N403" s="46">
        <f t="shared" si="196"/>
        <v>8.0947680157946678E-2</v>
      </c>
      <c r="O403" s="95">
        <v>768198</v>
      </c>
      <c r="P403" s="95">
        <f t="shared" si="209"/>
        <v>62183.846001974322</v>
      </c>
      <c r="Q403" s="95">
        <f t="shared" si="210"/>
        <v>0</v>
      </c>
      <c r="R403" s="29"/>
    </row>
    <row r="404" spans="1:18">
      <c r="A404" s="42" t="s">
        <v>1231</v>
      </c>
      <c r="B404" s="43"/>
      <c r="C404" s="50"/>
      <c r="D404" s="73">
        <v>1</v>
      </c>
      <c r="E404" s="45"/>
      <c r="F404" s="95">
        <f t="shared" si="195"/>
        <v>11623236</v>
      </c>
      <c r="G404" s="46">
        <f t="shared" si="204"/>
        <v>3.1264959259194255E-4</v>
      </c>
      <c r="H404" s="95">
        <f>'rev send dist only'!O443</f>
        <v>3634</v>
      </c>
      <c r="I404" s="46">
        <f t="shared" si="205"/>
        <v>0.99968735040740808</v>
      </c>
      <c r="J404" s="95">
        <f>'rev send dist only'!J443</f>
        <v>11619602</v>
      </c>
      <c r="K404" s="48">
        <f t="shared" si="206"/>
        <v>11623236</v>
      </c>
      <c r="L404" s="49">
        <f t="shared" si="207"/>
        <v>3.1264959259194255E-4</v>
      </c>
      <c r="M404" s="48">
        <f t="shared" si="208"/>
        <v>0.99968735040740808</v>
      </c>
      <c r="N404" s="46">
        <f t="shared" si="196"/>
        <v>9.8716683119447167E-3</v>
      </c>
      <c r="O404" s="95">
        <v>768198</v>
      </c>
      <c r="P404" s="95">
        <f t="shared" si="209"/>
        <v>7581.0249082751225</v>
      </c>
      <c r="Q404" s="95">
        <f t="shared" si="210"/>
        <v>2.3709456241850448</v>
      </c>
      <c r="R404" s="29"/>
    </row>
    <row r="405" spans="1:18">
      <c r="A405" s="42" t="s">
        <v>1232</v>
      </c>
      <c r="B405" s="43"/>
      <c r="C405" s="50"/>
      <c r="D405" s="73">
        <v>9</v>
      </c>
      <c r="E405" s="45"/>
      <c r="F405" s="95">
        <f t="shared" si="195"/>
        <v>58502042</v>
      </c>
      <c r="G405" s="46">
        <f t="shared" si="204"/>
        <v>9.6769801642137554E-2</v>
      </c>
      <c r="H405" s="95">
        <f>'rev send dist only'!O445</f>
        <v>5661231</v>
      </c>
      <c r="I405" s="46">
        <f t="shared" si="205"/>
        <v>0.90323019835786245</v>
      </c>
      <c r="J405" s="95">
        <f>'rev send dist only'!J445</f>
        <v>52840811</v>
      </c>
      <c r="K405" s="48">
        <f t="shared" si="206"/>
        <v>58502042</v>
      </c>
      <c r="L405" s="49">
        <f t="shared" si="207"/>
        <v>9.6769801642137554E-2</v>
      </c>
      <c r="M405" s="48">
        <f t="shared" si="208"/>
        <v>0.90323019835786245</v>
      </c>
      <c r="N405" s="46">
        <f t="shared" si="196"/>
        <v>8.8845014807502454E-2</v>
      </c>
      <c r="O405" s="95">
        <v>768198</v>
      </c>
      <c r="P405" s="95">
        <f t="shared" si="209"/>
        <v>61645.969272092967</v>
      </c>
      <c r="Q405" s="95">
        <f t="shared" si="210"/>
        <v>6604.593413000799</v>
      </c>
      <c r="R405" s="29"/>
    </row>
    <row r="406" spans="1:18">
      <c r="A406" s="42" t="s">
        <v>1233</v>
      </c>
      <c r="B406" s="43"/>
      <c r="C406" s="50"/>
      <c r="D406" s="73">
        <v>4</v>
      </c>
      <c r="E406" s="45"/>
      <c r="F406" s="95">
        <f t="shared" si="195"/>
        <v>37533062</v>
      </c>
      <c r="G406" s="46">
        <f t="shared" si="204"/>
        <v>5.7777060661877251E-3</v>
      </c>
      <c r="H406" s="95">
        <f>'rev send dist only'!O448</f>
        <v>216855</v>
      </c>
      <c r="I406" s="46">
        <f t="shared" si="205"/>
        <v>0.99422229393381223</v>
      </c>
      <c r="J406" s="95">
        <f>'rev send dist only'!J448</f>
        <v>37316207</v>
      </c>
      <c r="K406" s="48">
        <f t="shared" si="206"/>
        <v>37533062</v>
      </c>
      <c r="L406" s="49">
        <f t="shared" si="207"/>
        <v>5.7777060661877251E-3</v>
      </c>
      <c r="M406" s="48">
        <f t="shared" si="208"/>
        <v>0.99422229393381223</v>
      </c>
      <c r="N406" s="46">
        <f t="shared" si="196"/>
        <v>3.9486673247778867E-2</v>
      </c>
      <c r="O406" s="95">
        <v>768198</v>
      </c>
      <c r="P406" s="95">
        <f t="shared" si="209"/>
        <v>30158.324886687722</v>
      </c>
      <c r="Q406" s="95">
        <f t="shared" si="210"/>
        <v>175.25852890950748</v>
      </c>
      <c r="R406" s="29"/>
    </row>
    <row r="407" spans="1:18">
      <c r="A407" s="42" t="s">
        <v>1299</v>
      </c>
      <c r="B407" s="43"/>
      <c r="C407" s="50"/>
      <c r="D407" s="73">
        <v>0.4</v>
      </c>
      <c r="E407" s="45"/>
      <c r="F407" s="95">
        <f t="shared" si="195"/>
        <v>31455791</v>
      </c>
      <c r="G407" s="46">
        <f t="shared" si="204"/>
        <v>0.13936298724772173</v>
      </c>
      <c r="H407" s="95">
        <f>'rev send dist only'!O451</f>
        <v>4383773</v>
      </c>
      <c r="I407" s="46">
        <f t="shared" si="205"/>
        <v>0.86063701275227822</v>
      </c>
      <c r="J407" s="95">
        <f>'rev send dist only'!J451</f>
        <v>27072018</v>
      </c>
      <c r="K407" s="48"/>
      <c r="L407" s="49"/>
      <c r="M407" s="48"/>
      <c r="N407" s="46">
        <f t="shared" si="196"/>
        <v>3.9486673247778872E-3</v>
      </c>
      <c r="O407" s="95">
        <v>768198</v>
      </c>
      <c r="P407" s="95">
        <f>SUM(P390:P391)</f>
        <v>21312.013018039816</v>
      </c>
      <c r="Q407" s="95">
        <f>SUM(Q390:Q391)</f>
        <v>1438.1745436581061</v>
      </c>
      <c r="R407" s="29"/>
    </row>
    <row r="408" spans="1:18">
      <c r="A408" s="42" t="s">
        <v>1234</v>
      </c>
      <c r="B408" s="43" t="s">
        <v>1485</v>
      </c>
      <c r="C408" s="50" t="s">
        <v>1486</v>
      </c>
      <c r="D408" s="73">
        <v>6.8</v>
      </c>
      <c r="E408" s="45"/>
      <c r="F408" s="95">
        <f t="shared" si="195"/>
        <v>12830245</v>
      </c>
      <c r="G408" s="46">
        <f>H408/F408</f>
        <v>8.2293907871595587E-2</v>
      </c>
      <c r="H408" s="95">
        <f>'rev send dist only'!O484</f>
        <v>1055851</v>
      </c>
      <c r="I408" s="46">
        <f>J408/F408</f>
        <v>0.91770609212840437</v>
      </c>
      <c r="J408" s="95">
        <f>'rev send dist only'!J484</f>
        <v>11774394</v>
      </c>
      <c r="K408" s="48">
        <f>SUM(H408+J408)</f>
        <v>12830245</v>
      </c>
      <c r="L408" s="49">
        <f>H408/K408</f>
        <v>8.2293907871595587E-2</v>
      </c>
      <c r="M408" s="48">
        <f>J408/K408</f>
        <v>0.91770609212840437</v>
      </c>
      <c r="N408" s="46">
        <f t="shared" si="196"/>
        <v>6.7127344521224083E-2</v>
      </c>
      <c r="O408" s="95">
        <v>768198</v>
      </c>
      <c r="P408" s="95">
        <f>O408*N408*M408</f>
        <v>47323.434304183815</v>
      </c>
      <c r="Q408" s="95">
        <f>O408*N408*L408</f>
        <v>4243.6575023314817</v>
      </c>
      <c r="R408" s="29"/>
    </row>
    <row r="409" spans="1:18">
      <c r="A409" s="42" t="s">
        <v>1235</v>
      </c>
      <c r="B409" s="43"/>
      <c r="C409" s="50"/>
      <c r="D409" s="73">
        <v>2</v>
      </c>
      <c r="E409" s="45"/>
      <c r="F409" s="95">
        <f t="shared" si="195"/>
        <v>15681879</v>
      </c>
      <c r="G409" s="46">
        <f>H409/F409</f>
        <v>0.12043403727321196</v>
      </c>
      <c r="H409" s="95">
        <f>'rev send dist only'!O499</f>
        <v>1888632</v>
      </c>
      <c r="I409" s="46">
        <f>J409/F409</f>
        <v>0.879565962726788</v>
      </c>
      <c r="J409" s="95">
        <f>'rev send dist only'!J499</f>
        <v>13793247</v>
      </c>
      <c r="K409" s="48">
        <f>SUM(H409+J409)</f>
        <v>15681879</v>
      </c>
      <c r="L409" s="49">
        <f>H409/K409</f>
        <v>0.12043403727321196</v>
      </c>
      <c r="M409" s="48">
        <f>J409/K409</f>
        <v>0.879565962726788</v>
      </c>
      <c r="N409" s="46">
        <f t="shared" si="196"/>
        <v>1.9743336623889433E-2</v>
      </c>
      <c r="O409" s="95">
        <v>768198</v>
      </c>
      <c r="P409" s="95">
        <f>O409*N409*M409</f>
        <v>13340.193749946553</v>
      </c>
      <c r="Q409" s="95">
        <f>O409*N409*L409</f>
        <v>1826.5979578520605</v>
      </c>
      <c r="R409" s="29"/>
    </row>
    <row r="410" spans="1:18">
      <c r="A410" s="42" t="s">
        <v>1236</v>
      </c>
      <c r="B410" s="43"/>
      <c r="C410" s="50"/>
      <c r="D410" s="73">
        <v>2</v>
      </c>
      <c r="E410" s="45"/>
      <c r="F410" s="95">
        <f t="shared" si="195"/>
        <v>11798169</v>
      </c>
      <c r="G410" s="46">
        <f t="shared" ref="G410:G417" si="211">H410/F410</f>
        <v>0.13705821640629151</v>
      </c>
      <c r="H410" s="95">
        <f>'rev send dist only'!O501</f>
        <v>1617036</v>
      </c>
      <c r="I410" s="46">
        <f t="shared" ref="I410:I417" si="212">J410/F410</f>
        <v>0.86294178359370843</v>
      </c>
      <c r="J410" s="95">
        <f>'rev send dist only'!J501</f>
        <v>10181133</v>
      </c>
      <c r="K410" s="48">
        <f t="shared" ref="K410:K416" si="213">SUM(H410+J410)</f>
        <v>11798169</v>
      </c>
      <c r="L410" s="49">
        <f t="shared" ref="L410:L416" si="214">H410/K410</f>
        <v>0.13705821640629151</v>
      </c>
      <c r="M410" s="48">
        <f t="shared" ref="M410:M416" si="215">J410/K410</f>
        <v>0.86294178359370843</v>
      </c>
      <c r="N410" s="46">
        <f t="shared" si="196"/>
        <v>1.9743336623889433E-2</v>
      </c>
      <c r="O410" s="95">
        <v>768198</v>
      </c>
      <c r="P410" s="95">
        <f t="shared" ref="P410:P416" si="216">O410*N410*M410</f>
        <v>13088.058287722004</v>
      </c>
      <c r="Q410" s="95">
        <f t="shared" ref="Q410:Q416" si="217">O410*N410*L410</f>
        <v>2078.7334200766099</v>
      </c>
      <c r="R410" s="29"/>
    </row>
    <row r="411" spans="1:18">
      <c r="A411" s="42" t="s">
        <v>1237</v>
      </c>
      <c r="B411" s="43"/>
      <c r="C411" s="50"/>
      <c r="D411" s="73">
        <v>1</v>
      </c>
      <c r="E411" s="45"/>
      <c r="F411" s="95">
        <f t="shared" si="195"/>
        <v>52700584</v>
      </c>
      <c r="G411" s="46">
        <f t="shared" si="211"/>
        <v>0.18068012301343758</v>
      </c>
      <c r="H411" s="95">
        <f>'rev send dist only'!O503</f>
        <v>9521948</v>
      </c>
      <c r="I411" s="46">
        <f t="shared" si="212"/>
        <v>0.81931987698656239</v>
      </c>
      <c r="J411" s="95">
        <f>'rev send dist only'!J503</f>
        <v>43178636</v>
      </c>
      <c r="K411" s="48">
        <f t="shared" si="213"/>
        <v>52700584</v>
      </c>
      <c r="L411" s="49">
        <f t="shared" si="214"/>
        <v>0.18068012301343758</v>
      </c>
      <c r="M411" s="48">
        <f t="shared" si="215"/>
        <v>0.81931987698656239</v>
      </c>
      <c r="N411" s="46">
        <f t="shared" si="196"/>
        <v>9.8716683119447167E-3</v>
      </c>
      <c r="O411" s="95">
        <v>768198</v>
      </c>
      <c r="P411" s="95">
        <f t="shared" si="216"/>
        <v>6213.2269581571882</v>
      </c>
      <c r="Q411" s="95">
        <f t="shared" si="217"/>
        <v>1370.1688957421195</v>
      </c>
      <c r="R411" s="29"/>
    </row>
    <row r="412" spans="1:18">
      <c r="A412" s="42" t="s">
        <v>1238</v>
      </c>
      <c r="B412" s="43"/>
      <c r="C412" s="50"/>
      <c r="D412" s="73">
        <v>1</v>
      </c>
      <c r="E412" s="45"/>
      <c r="F412" s="95">
        <f t="shared" si="195"/>
        <v>61800676</v>
      </c>
      <c r="G412" s="46">
        <f t="shared" si="211"/>
        <v>0</v>
      </c>
      <c r="H412" s="95">
        <f>'rev send dist only'!O521</f>
        <v>0</v>
      </c>
      <c r="I412" s="46">
        <f t="shared" si="212"/>
        <v>1</v>
      </c>
      <c r="J412" s="95">
        <f>'rev send dist only'!J521</f>
        <v>61800676</v>
      </c>
      <c r="K412" s="48">
        <f t="shared" si="213"/>
        <v>61800676</v>
      </c>
      <c r="L412" s="49">
        <f t="shared" si="214"/>
        <v>0</v>
      </c>
      <c r="M412" s="48">
        <f t="shared" si="215"/>
        <v>1</v>
      </c>
      <c r="N412" s="46">
        <f t="shared" si="196"/>
        <v>9.8716683119447167E-3</v>
      </c>
      <c r="O412" s="95">
        <v>768198</v>
      </c>
      <c r="P412" s="95">
        <f t="shared" si="216"/>
        <v>7583.3958538993074</v>
      </c>
      <c r="Q412" s="95">
        <f t="shared" si="217"/>
        <v>0</v>
      </c>
      <c r="R412" s="29"/>
    </row>
    <row r="413" spans="1:18">
      <c r="A413" s="42" t="s">
        <v>1206</v>
      </c>
      <c r="B413" s="43"/>
      <c r="C413" s="50"/>
      <c r="D413" s="73">
        <v>1</v>
      </c>
      <c r="E413" s="45"/>
      <c r="F413" s="95">
        <f t="shared" si="195"/>
        <v>10716381</v>
      </c>
      <c r="G413" s="46">
        <f t="shared" si="211"/>
        <v>0.21740595075893626</v>
      </c>
      <c r="H413" s="95">
        <f>'rev send dist only'!O543</f>
        <v>2329805</v>
      </c>
      <c r="I413" s="46">
        <f t="shared" si="212"/>
        <v>0.78259404924106379</v>
      </c>
      <c r="J413" s="95">
        <f>'rev send dist only'!J543</f>
        <v>8386576</v>
      </c>
      <c r="K413" s="48">
        <f t="shared" si="213"/>
        <v>10716381</v>
      </c>
      <c r="L413" s="49">
        <f t="shared" si="214"/>
        <v>0.21740595075893626</v>
      </c>
      <c r="M413" s="48">
        <f t="shared" si="215"/>
        <v>0.78259404924106379</v>
      </c>
      <c r="N413" s="46">
        <f t="shared" si="196"/>
        <v>9.8716683119447167E-3</v>
      </c>
      <c r="O413" s="95">
        <v>768198</v>
      </c>
      <c r="P413" s="95">
        <f t="shared" si="216"/>
        <v>5934.7204683009541</v>
      </c>
      <c r="Q413" s="95">
        <f t="shared" si="217"/>
        <v>1648.6753855983543</v>
      </c>
      <c r="R413" s="29"/>
    </row>
    <row r="414" spans="1:18">
      <c r="A414" s="42" t="s">
        <v>1343</v>
      </c>
      <c r="B414" s="43"/>
      <c r="C414" s="50"/>
      <c r="D414" s="73">
        <v>1.8</v>
      </c>
      <c r="E414" s="45"/>
      <c r="F414" s="95">
        <f t="shared" si="195"/>
        <v>28180680</v>
      </c>
      <c r="G414" s="46">
        <f t="shared" si="211"/>
        <v>0.31645269028284628</v>
      </c>
      <c r="H414" s="95">
        <f>'rev send dist only'!O552</f>
        <v>8917852</v>
      </c>
      <c r="I414" s="46">
        <f t="shared" si="212"/>
        <v>0.68354730971715372</v>
      </c>
      <c r="J414" s="95">
        <f>'rev send dist only'!J552</f>
        <v>19262828</v>
      </c>
      <c r="K414" s="48">
        <f t="shared" si="213"/>
        <v>28180680</v>
      </c>
      <c r="L414" s="49">
        <f t="shared" si="214"/>
        <v>0.31645269028284628</v>
      </c>
      <c r="M414" s="48">
        <f t="shared" si="215"/>
        <v>0.68354730971715372</v>
      </c>
      <c r="N414" s="46">
        <f t="shared" si="196"/>
        <v>1.7769002961500493E-2</v>
      </c>
      <c r="O414" s="95">
        <v>768198</v>
      </c>
      <c r="P414" s="95">
        <f t="shared" si="216"/>
        <v>9330.497702015562</v>
      </c>
      <c r="Q414" s="95">
        <f t="shared" si="217"/>
        <v>4319.6148350031935</v>
      </c>
      <c r="R414" s="29"/>
    </row>
    <row r="415" spans="1:18">
      <c r="A415" s="42" t="s">
        <v>1212</v>
      </c>
      <c r="B415" s="43"/>
      <c r="C415" s="50"/>
      <c r="D415" s="73">
        <v>0.7</v>
      </c>
      <c r="E415" s="45"/>
      <c r="F415" s="95">
        <f t="shared" si="195"/>
        <v>56844761</v>
      </c>
      <c r="G415" s="46">
        <f t="shared" si="211"/>
        <v>0.35482735163579981</v>
      </c>
      <c r="H415" s="95">
        <f>'rev send dist only'!O566</f>
        <v>20170076</v>
      </c>
      <c r="I415" s="46">
        <f t="shared" si="212"/>
        <v>0.64517264836420019</v>
      </c>
      <c r="J415" s="95">
        <f>'rev send dist only'!J566</f>
        <v>36674685</v>
      </c>
      <c r="K415" s="48">
        <f t="shared" si="213"/>
        <v>56844761</v>
      </c>
      <c r="L415" s="49">
        <f t="shared" si="214"/>
        <v>0.35482735163579981</v>
      </c>
      <c r="M415" s="48">
        <f t="shared" si="215"/>
        <v>0.64517264836420019</v>
      </c>
      <c r="N415" s="46">
        <f t="shared" si="196"/>
        <v>6.9101678183613015E-3</v>
      </c>
      <c r="O415" s="95">
        <v>768198</v>
      </c>
      <c r="P415" s="95">
        <f t="shared" si="216"/>
        <v>3424.8197106580183</v>
      </c>
      <c r="Q415" s="95">
        <f t="shared" si="217"/>
        <v>1883.5573870714973</v>
      </c>
      <c r="R415" s="29"/>
    </row>
    <row r="416" spans="1:18">
      <c r="A416" s="42" t="s">
        <v>1239</v>
      </c>
      <c r="B416" s="43"/>
      <c r="C416" s="50"/>
      <c r="D416" s="73">
        <v>1</v>
      </c>
      <c r="E416" s="45"/>
      <c r="F416" s="95">
        <f t="shared" si="195"/>
        <v>49248088</v>
      </c>
      <c r="G416" s="46">
        <f t="shared" si="211"/>
        <v>0</v>
      </c>
      <c r="H416" s="95">
        <f>'rev send dist only'!O585</f>
        <v>0</v>
      </c>
      <c r="I416" s="46">
        <f t="shared" si="212"/>
        <v>1</v>
      </c>
      <c r="J416" s="95">
        <f>'rev send dist only'!J585</f>
        <v>49248088</v>
      </c>
      <c r="K416" s="48">
        <f t="shared" si="213"/>
        <v>49248088</v>
      </c>
      <c r="L416" s="49">
        <f t="shared" si="214"/>
        <v>0</v>
      </c>
      <c r="M416" s="48">
        <f t="shared" si="215"/>
        <v>1</v>
      </c>
      <c r="N416" s="46">
        <f t="shared" si="196"/>
        <v>9.8716683119447167E-3</v>
      </c>
      <c r="O416" s="95">
        <v>768198</v>
      </c>
      <c r="P416" s="95">
        <f t="shared" si="216"/>
        <v>7583.3958538993074</v>
      </c>
      <c r="Q416" s="95">
        <f t="shared" si="217"/>
        <v>0</v>
      </c>
      <c r="R416" s="29"/>
    </row>
    <row r="417" spans="1:18">
      <c r="A417" s="42" t="s">
        <v>1240</v>
      </c>
      <c r="B417" s="43"/>
      <c r="C417" s="50"/>
      <c r="D417" s="73">
        <v>0.4</v>
      </c>
      <c r="E417" s="45"/>
      <c r="F417" s="95">
        <f t="shared" si="195"/>
        <v>69115753</v>
      </c>
      <c r="G417" s="46">
        <f t="shared" si="211"/>
        <v>0</v>
      </c>
      <c r="H417" s="95">
        <f>'rev send dist only'!O589</f>
        <v>0</v>
      </c>
      <c r="I417" s="46">
        <f t="shared" si="212"/>
        <v>1</v>
      </c>
      <c r="J417" s="95">
        <f>'rev send dist only'!J589</f>
        <v>69115753</v>
      </c>
      <c r="K417" s="48">
        <f>SUM(H417+J417)</f>
        <v>69115753</v>
      </c>
      <c r="L417" s="49">
        <f>H417/K417</f>
        <v>0</v>
      </c>
      <c r="M417" s="48">
        <f>J417/K417</f>
        <v>1</v>
      </c>
      <c r="N417" s="46">
        <f t="shared" si="196"/>
        <v>3.9486673247778872E-3</v>
      </c>
      <c r="O417" s="95">
        <v>768198</v>
      </c>
      <c r="P417" s="95">
        <f>O417*N417*M417</f>
        <v>3033.3583415597236</v>
      </c>
      <c r="Q417" s="95">
        <f>O417*N417*L417</f>
        <v>0</v>
      </c>
      <c r="R417" s="29"/>
    </row>
    <row r="418" spans="1:18">
      <c r="A418" s="38" t="s">
        <v>1241</v>
      </c>
      <c r="B418" s="39"/>
      <c r="C418" s="40"/>
      <c r="D418" s="74">
        <f>SUM(D384:D417)</f>
        <v>101.30000000000001</v>
      </c>
      <c r="E418" s="41"/>
      <c r="F418" s="91"/>
      <c r="G418" s="40"/>
      <c r="H418" s="91"/>
      <c r="I418" s="40"/>
      <c r="J418" s="91"/>
      <c r="K418" s="40"/>
      <c r="L418" s="40"/>
      <c r="M418" s="40"/>
      <c r="N418" s="40"/>
      <c r="O418" s="91"/>
      <c r="P418" s="91">
        <f>SUM(P408:P417)</f>
        <v>116855.10123034242</v>
      </c>
      <c r="Q418" s="91">
        <f>SUM(Q408:Q417)</f>
        <v>17371.005383675318</v>
      </c>
      <c r="R418" s="37"/>
    </row>
    <row r="419" spans="1:18">
      <c r="A419" s="42" t="s">
        <v>657</v>
      </c>
      <c r="B419" s="43" t="s">
        <v>1485</v>
      </c>
      <c r="C419" s="50" t="s">
        <v>1486</v>
      </c>
      <c r="D419" s="73">
        <v>395.5</v>
      </c>
      <c r="E419" s="45"/>
      <c r="F419" s="95">
        <f>H419+J419</f>
        <v>259769100</v>
      </c>
      <c r="G419" s="46">
        <f>H419/F419</f>
        <v>0.68623093354829345</v>
      </c>
      <c r="H419" s="95">
        <f>$H$57</f>
        <v>178261592</v>
      </c>
      <c r="I419" s="46">
        <f>J419/F419</f>
        <v>0.31376906645170655</v>
      </c>
      <c r="J419" s="95">
        <f>$J$57</f>
        <v>81507508</v>
      </c>
      <c r="K419" s="48">
        <f>SUM(H419+J419)</f>
        <v>259769100</v>
      </c>
      <c r="L419" s="49">
        <f>H419/K419</f>
        <v>0.68623093354829345</v>
      </c>
      <c r="M419" s="48">
        <f>J419/K419</f>
        <v>0.31376906645170655</v>
      </c>
      <c r="N419" s="46">
        <f>D419/$D$420</f>
        <v>1</v>
      </c>
      <c r="O419" s="95">
        <v>1129760</v>
      </c>
      <c r="P419" s="95">
        <f>O419*N419*M419</f>
        <v>354483.74051447998</v>
      </c>
      <c r="Q419" s="95">
        <f>O419*N419*L419</f>
        <v>775276.25948551996</v>
      </c>
      <c r="R419" s="29"/>
    </row>
    <row r="420" spans="1:18">
      <c r="A420" s="38" t="s">
        <v>1242</v>
      </c>
      <c r="B420" s="39"/>
      <c r="C420" s="40"/>
      <c r="D420" s="74">
        <f>SUM(D419)</f>
        <v>395.5</v>
      </c>
      <c r="E420" s="41"/>
      <c r="F420" s="91"/>
      <c r="G420" s="40"/>
      <c r="H420" s="91"/>
      <c r="I420" s="40"/>
      <c r="J420" s="91"/>
      <c r="K420" s="40"/>
      <c r="L420" s="40"/>
      <c r="M420" s="40"/>
      <c r="N420" s="40"/>
      <c r="O420" s="91"/>
      <c r="P420" s="91">
        <f>SUM(P419)</f>
        <v>354483.74051447998</v>
      </c>
      <c r="Q420" s="91">
        <f>SUM(Q419)</f>
        <v>775276.25948551996</v>
      </c>
      <c r="R420" s="37"/>
    </row>
    <row r="421" spans="1:18">
      <c r="A421" s="42" t="s">
        <v>1526</v>
      </c>
      <c r="B421" s="43" t="s">
        <v>1485</v>
      </c>
      <c r="C421" s="50" t="s">
        <v>1486</v>
      </c>
      <c r="D421" s="73">
        <v>117.4</v>
      </c>
      <c r="E421" s="45"/>
      <c r="F421" s="95">
        <f>H421+J421</f>
        <v>381732222</v>
      </c>
      <c r="G421" s="46">
        <f>H421/F421</f>
        <v>0.7574108716449931</v>
      </c>
      <c r="H421" s="95">
        <f>$H$46</f>
        <v>289128135</v>
      </c>
      <c r="I421" s="46">
        <f>J421/F421</f>
        <v>0.24258912835500693</v>
      </c>
      <c r="J421" s="95">
        <f>$J$46</f>
        <v>92604087</v>
      </c>
      <c r="K421" s="48">
        <f>SUM(H421+J421)</f>
        <v>381732222</v>
      </c>
      <c r="L421" s="49">
        <f>H421/K421</f>
        <v>0.7574108716449931</v>
      </c>
      <c r="M421" s="48">
        <f>J421/K421</f>
        <v>0.24258912835500693</v>
      </c>
      <c r="N421" s="46">
        <f>D421/$D$422</f>
        <v>1</v>
      </c>
      <c r="O421" s="95">
        <v>162304</v>
      </c>
      <c r="P421" s="95">
        <f>O421*N421*M421</f>
        <v>39373.185888531043</v>
      </c>
      <c r="Q421" s="95">
        <f>O421*N421*L421</f>
        <v>122930.81411146896</v>
      </c>
      <c r="R421" s="29"/>
    </row>
    <row r="422" spans="1:18">
      <c r="A422" s="38" t="s">
        <v>1243</v>
      </c>
      <c r="B422" s="39"/>
      <c r="C422" s="40"/>
      <c r="D422" s="74">
        <f>SUM(D421)</f>
        <v>117.4</v>
      </c>
      <c r="E422" s="41"/>
      <c r="F422" s="91"/>
      <c r="G422" s="40"/>
      <c r="H422" s="91"/>
      <c r="I422" s="40"/>
      <c r="J422" s="91"/>
      <c r="K422" s="40"/>
      <c r="L422" s="40"/>
      <c r="M422" s="40"/>
      <c r="N422" s="40"/>
      <c r="O422" s="91"/>
      <c r="P422" s="91">
        <f>SUM(P421)</f>
        <v>39373.185888531043</v>
      </c>
      <c r="Q422" s="91">
        <f>SUM(Q421)</f>
        <v>122930.81411146896</v>
      </c>
      <c r="R422" s="37"/>
    </row>
    <row r="423" spans="1:18">
      <c r="A423" s="42" t="s">
        <v>1244</v>
      </c>
      <c r="B423" s="43" t="s">
        <v>1485</v>
      </c>
      <c r="C423" s="50" t="s">
        <v>1486</v>
      </c>
      <c r="D423" s="73">
        <v>1</v>
      </c>
      <c r="E423" s="45"/>
      <c r="F423" s="95">
        <f>H423+J423</f>
        <v>43653145</v>
      </c>
      <c r="G423" s="46">
        <f>H423/F423</f>
        <v>5.1735630960839135E-2</v>
      </c>
      <c r="H423" s="95">
        <f>'rev send dist only'!O322</f>
        <v>2258423</v>
      </c>
      <c r="I423" s="46">
        <f>J423/F423</f>
        <v>0.94826436903916089</v>
      </c>
      <c r="J423" s="95">
        <f>'rev send dist only'!J322</f>
        <v>41394722</v>
      </c>
      <c r="K423" s="48">
        <f>SUM(H423+J423)</f>
        <v>43653145</v>
      </c>
      <c r="L423" s="49">
        <f>H423/K423</f>
        <v>5.1735630960839135E-2</v>
      </c>
      <c r="M423" s="48">
        <f>J423/K423</f>
        <v>0.94826436903916089</v>
      </c>
      <c r="N423" s="46">
        <f>D423/$D$425</f>
        <v>2.845759817871372E-3</v>
      </c>
      <c r="O423" s="95">
        <v>627366</v>
      </c>
      <c r="P423" s="95">
        <f>O423*N423*M423</f>
        <v>1692.9676270535638</v>
      </c>
      <c r="Q423" s="95">
        <f>O423*N423*L423</f>
        <v>92.365326845127512</v>
      </c>
      <c r="R423" s="29"/>
    </row>
    <row r="424" spans="1:18">
      <c r="A424" s="42" t="s">
        <v>1402</v>
      </c>
      <c r="B424" s="43"/>
      <c r="C424" s="50"/>
      <c r="D424" s="73">
        <v>350.4</v>
      </c>
      <c r="E424" s="45"/>
      <c r="F424" s="95">
        <f>H424+J424</f>
        <v>128349142</v>
      </c>
      <c r="G424" s="46">
        <f>H424/F424</f>
        <v>0.82133283758141518</v>
      </c>
      <c r="H424" s="95">
        <f>$H$124</f>
        <v>105417365</v>
      </c>
      <c r="I424" s="46">
        <f>J424/F424</f>
        <v>0.17866716241858477</v>
      </c>
      <c r="J424" s="95">
        <f>$J$124</f>
        <v>22931777</v>
      </c>
      <c r="K424" s="48">
        <f>SUM(H424+J424)</f>
        <v>128349142</v>
      </c>
      <c r="L424" s="49">
        <f>H424/K424</f>
        <v>0.82133283758141518</v>
      </c>
      <c r="M424" s="48">
        <f>J424/K424</f>
        <v>0.17866716241858477</v>
      </c>
      <c r="N424" s="46">
        <f>D424/$D$425</f>
        <v>0.99715424018212862</v>
      </c>
      <c r="O424" s="95">
        <v>627366</v>
      </c>
      <c r="P424" s="95">
        <f>O424*N424*M424</f>
        <v>111770.72264505237</v>
      </c>
      <c r="Q424" s="95">
        <f>O424*N424*L424</f>
        <v>513809.94440104888</v>
      </c>
      <c r="R424" s="29"/>
    </row>
    <row r="425" spans="1:18" ht="14" thickBot="1">
      <c r="A425" s="81"/>
      <c r="B425" s="82"/>
      <c r="C425" s="82"/>
      <c r="D425" s="83">
        <f>SUM(D423:D424)</f>
        <v>351.4</v>
      </c>
      <c r="E425" s="84"/>
      <c r="F425" s="96"/>
      <c r="G425" s="82"/>
      <c r="H425" s="96"/>
      <c r="I425" s="40"/>
      <c r="J425" s="96"/>
      <c r="K425" s="85"/>
      <c r="L425" s="86"/>
      <c r="M425" s="87"/>
      <c r="N425" s="87"/>
      <c r="O425" s="96"/>
      <c r="P425" s="96">
        <f>SUM(P423:P424)</f>
        <v>113463.69027210595</v>
      </c>
      <c r="Q425" s="96">
        <f>SUM(Q423:Q424)</f>
        <v>513902.30972789403</v>
      </c>
      <c r="R425" s="30">
        <f>SUM(P425:Q425)</f>
        <v>627366</v>
      </c>
    </row>
    <row r="426" spans="1:18">
      <c r="A426" s="65" t="s">
        <v>1489</v>
      </c>
      <c r="K426" s="66"/>
      <c r="L426" s="67"/>
      <c r="M426" s="68"/>
      <c r="N426" s="68"/>
    </row>
    <row r="427" spans="1:18">
      <c r="K427" s="66"/>
      <c r="L427" s="67"/>
      <c r="M427" s="68"/>
      <c r="N427" s="68"/>
    </row>
    <row r="428" spans="1:18">
      <c r="D428" s="77" t="s">
        <v>1246</v>
      </c>
    </row>
    <row r="429" spans="1:18">
      <c r="D429" s="77" t="s">
        <v>1247</v>
      </c>
    </row>
    <row r="430" spans="1:18">
      <c r="D430" s="77" t="s">
        <v>1245</v>
      </c>
    </row>
  </sheetData>
  <autoFilter ref="A1:Q430"/>
  <phoneticPr fontId="2" type="noConversion"/>
  <pageMargins left="0.75" right="0.75" top="1" bottom="1" header="0.5" footer="0.5"/>
  <headerFooter alignWithMargins="0"/>
  <legacyDrawing r:id="rId1"/>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CV140"/>
  <sheetViews>
    <sheetView workbookViewId="0">
      <pane ySplit="3" topLeftCell="A65" activePane="bottomLeft" state="frozen"/>
      <selection activeCell="C1" sqref="C1"/>
      <selection pane="bottomLeft" activeCell="D78" sqref="D78"/>
    </sheetView>
  </sheetViews>
  <sheetFormatPr baseColWidth="10" defaultColWidth="8.7109375" defaultRowHeight="13"/>
  <cols>
    <col min="1" max="3" width="5.5703125" customWidth="1"/>
    <col min="4" max="4" width="28.5703125" style="4" customWidth="1"/>
    <col min="5" max="5" width="0.140625" style="4" customWidth="1"/>
    <col min="6" max="6" width="6.7109375" style="4" customWidth="1"/>
    <col min="7" max="7" width="0" style="13" hidden="1" customWidth="1"/>
    <col min="8" max="8" width="10.85546875" hidden="1" customWidth="1"/>
    <col min="9" max="9" width="0" hidden="1" customWidth="1"/>
    <col min="10" max="10" width="6.28515625" hidden="1" customWidth="1"/>
    <col min="11" max="11" width="9.140625" hidden="1" customWidth="1"/>
    <col min="12" max="12" width="6.42578125" hidden="1" customWidth="1"/>
    <col min="13" max="13" width="7.5703125" hidden="1" customWidth="1"/>
    <col min="14" max="14" width="18.28515625" style="117" customWidth="1"/>
    <col min="15" max="15" width="14.140625" style="13" hidden="1" customWidth="1"/>
    <col min="16" max="16" width="0" style="13" hidden="1" customWidth="1"/>
    <col min="17" max="17" width="10" style="98" hidden="1" customWidth="1"/>
    <col min="18" max="18" width="0" hidden="1" customWidth="1"/>
    <col min="19" max="19" width="11" style="2" hidden="1" customWidth="1"/>
    <col min="20" max="24" width="0" hidden="1" customWidth="1"/>
    <col min="25" max="25" width="0" style="13" hidden="1" customWidth="1"/>
    <col min="26" max="44" width="0" hidden="1" customWidth="1"/>
    <col min="45" max="46" width="9.140625" hidden="1" customWidth="1"/>
    <col min="47" max="47" width="0" hidden="1" customWidth="1"/>
    <col min="48" max="48" width="18.28515625" style="115" customWidth="1"/>
    <col min="49" max="52" width="0" hidden="1" customWidth="1"/>
    <col min="53" max="54" width="9.140625" hidden="1" customWidth="1"/>
    <col min="55" max="57" width="0" hidden="1" customWidth="1"/>
    <col min="58" max="58" width="18.28515625" style="120" customWidth="1"/>
    <col min="59" max="78" width="0" hidden="1" customWidth="1"/>
    <col min="79" max="79" width="9.140625" hidden="1" customWidth="1"/>
    <col min="80" max="80" width="0" hidden="1" customWidth="1"/>
    <col min="81" max="81" width="18.140625" style="125" customWidth="1"/>
    <col min="82" max="85" width="0" hidden="1" customWidth="1"/>
    <col min="86" max="86" width="9.140625" hidden="1" customWidth="1"/>
    <col min="87" max="88" width="0" hidden="1" customWidth="1"/>
    <col min="89" max="89" width="18.28515625" style="124" customWidth="1"/>
    <col min="90" max="90" width="15" customWidth="1"/>
    <col min="91" max="99" width="8.7109375" style="20"/>
    <col min="100" max="100" width="8.7109375" style="131"/>
  </cols>
  <sheetData>
    <row r="1" spans="1:100">
      <c r="G1" s="3" t="s">
        <v>723</v>
      </c>
      <c r="H1" s="3" t="s">
        <v>723</v>
      </c>
      <c r="I1" t="s">
        <v>723</v>
      </c>
      <c r="J1" t="s">
        <v>723</v>
      </c>
      <c r="K1" t="s">
        <v>723</v>
      </c>
      <c r="L1" s="3" t="s">
        <v>723</v>
      </c>
      <c r="M1" t="s">
        <v>723</v>
      </c>
      <c r="O1" s="13" t="s">
        <v>725</v>
      </c>
      <c r="P1" s="13" t="s">
        <v>725</v>
      </c>
      <c r="Q1" s="111" t="s">
        <v>725</v>
      </c>
      <c r="R1" t="s">
        <v>725</v>
      </c>
      <c r="S1" s="2" t="s">
        <v>725</v>
      </c>
      <c r="T1" t="s">
        <v>725</v>
      </c>
      <c r="U1" t="s">
        <v>725</v>
      </c>
      <c r="V1" t="s">
        <v>725</v>
      </c>
      <c r="W1" t="s">
        <v>725</v>
      </c>
      <c r="X1" t="s">
        <v>725</v>
      </c>
      <c r="Y1" t="s">
        <v>725</v>
      </c>
      <c r="Z1" t="s">
        <v>725</v>
      </c>
      <c r="AA1" s="3" t="s">
        <v>725</v>
      </c>
      <c r="AB1" t="s">
        <v>725</v>
      </c>
      <c r="AC1" t="s">
        <v>725</v>
      </c>
      <c r="AD1" t="s">
        <v>725</v>
      </c>
      <c r="AE1" s="3" t="s">
        <v>725</v>
      </c>
      <c r="AF1" s="3" t="s">
        <v>725</v>
      </c>
      <c r="AG1" t="s">
        <v>725</v>
      </c>
      <c r="AH1" t="s">
        <v>725</v>
      </c>
      <c r="AI1" t="s">
        <v>725</v>
      </c>
      <c r="AJ1" t="s">
        <v>725</v>
      </c>
      <c r="AK1" t="s">
        <v>725</v>
      </c>
      <c r="AL1" t="s">
        <v>725</v>
      </c>
      <c r="AM1" t="s">
        <v>725</v>
      </c>
      <c r="AN1" t="s">
        <v>725</v>
      </c>
      <c r="AO1" t="s">
        <v>725</v>
      </c>
      <c r="AP1" s="3" t="s">
        <v>725</v>
      </c>
      <c r="AQ1" t="s">
        <v>725</v>
      </c>
      <c r="AR1" t="s">
        <v>725</v>
      </c>
      <c r="AS1" t="s">
        <v>725</v>
      </c>
      <c r="AT1" t="s">
        <v>725</v>
      </c>
      <c r="AU1" t="s">
        <v>713</v>
      </c>
      <c r="AW1" t="s">
        <v>743</v>
      </c>
      <c r="AX1" t="s">
        <v>743</v>
      </c>
      <c r="AY1" t="s">
        <v>743</v>
      </c>
      <c r="AZ1" t="s">
        <v>743</v>
      </c>
      <c r="BA1" s="3" t="s">
        <v>728</v>
      </c>
      <c r="BB1" s="3" t="s">
        <v>728</v>
      </c>
      <c r="BC1" t="s">
        <v>714</v>
      </c>
      <c r="BD1" t="s">
        <v>714</v>
      </c>
      <c r="BE1" t="s">
        <v>714</v>
      </c>
      <c r="BG1" t="s">
        <v>614</v>
      </c>
      <c r="BH1" t="s">
        <v>614</v>
      </c>
      <c r="BI1" s="3" t="s">
        <v>614</v>
      </c>
      <c r="BJ1" t="s">
        <v>614</v>
      </c>
      <c r="BK1" t="s">
        <v>614</v>
      </c>
      <c r="BL1" t="s">
        <v>614</v>
      </c>
      <c r="BM1" t="s">
        <v>614</v>
      </c>
      <c r="BN1" s="3" t="s">
        <v>614</v>
      </c>
      <c r="BO1" s="3" t="s">
        <v>614</v>
      </c>
      <c r="BP1" s="3" t="s">
        <v>614</v>
      </c>
      <c r="BR1" s="3" t="s">
        <v>614</v>
      </c>
      <c r="BS1" t="s">
        <v>614</v>
      </c>
      <c r="BT1" t="s">
        <v>614</v>
      </c>
      <c r="BU1" t="s">
        <v>614</v>
      </c>
      <c r="BV1" t="s">
        <v>614</v>
      </c>
      <c r="BW1" t="s">
        <v>614</v>
      </c>
      <c r="BX1" s="3" t="s">
        <v>614</v>
      </c>
      <c r="BY1" s="3" t="s">
        <v>614</v>
      </c>
      <c r="BZ1" t="s">
        <v>614</v>
      </c>
      <c r="CA1" s="3" t="s">
        <v>614</v>
      </c>
      <c r="CB1" t="s">
        <v>614</v>
      </c>
      <c r="CD1" s="3" t="s">
        <v>1196</v>
      </c>
      <c r="CE1" t="s">
        <v>1196</v>
      </c>
      <c r="CF1" s="3" t="s">
        <v>1196</v>
      </c>
      <c r="CG1" s="3" t="s">
        <v>1196</v>
      </c>
      <c r="CI1" t="s">
        <v>643</v>
      </c>
      <c r="CJ1" t="s">
        <v>643</v>
      </c>
      <c r="CM1" s="20" t="s">
        <v>720</v>
      </c>
      <c r="CN1" s="20" t="s">
        <v>630</v>
      </c>
      <c r="CO1" s="12" t="s">
        <v>725</v>
      </c>
      <c r="CP1" s="20" t="s">
        <v>725</v>
      </c>
      <c r="CQ1" s="20" t="s">
        <v>725</v>
      </c>
      <c r="CR1" s="20" t="s">
        <v>743</v>
      </c>
      <c r="CS1" s="20" t="s">
        <v>743</v>
      </c>
      <c r="CT1" s="20" t="s">
        <v>725</v>
      </c>
      <c r="CU1" s="20" t="s">
        <v>725</v>
      </c>
      <c r="CV1" s="128" t="s">
        <v>1196</v>
      </c>
    </row>
    <row r="2" spans="1:100">
      <c r="A2" s="1" t="s">
        <v>1628</v>
      </c>
      <c r="B2" s="1" t="s">
        <v>1629</v>
      </c>
      <c r="C2" s="1" t="s">
        <v>1761</v>
      </c>
      <c r="D2" s="5" t="s">
        <v>1762</v>
      </c>
      <c r="F2" s="6" t="s">
        <v>505</v>
      </c>
      <c r="G2" s="11" t="s">
        <v>1195</v>
      </c>
      <c r="H2" s="3" t="s">
        <v>734</v>
      </c>
      <c r="I2" s="3" t="s">
        <v>636</v>
      </c>
      <c r="J2" s="3" t="s">
        <v>624</v>
      </c>
      <c r="K2" s="3" t="s">
        <v>741</v>
      </c>
      <c r="L2" s="3" t="s">
        <v>695</v>
      </c>
      <c r="M2" s="3" t="s">
        <v>632</v>
      </c>
      <c r="N2" s="117" t="s">
        <v>1198</v>
      </c>
      <c r="O2" s="11" t="s">
        <v>702</v>
      </c>
      <c r="P2" s="11" t="s">
        <v>749</v>
      </c>
      <c r="Q2" s="98" t="s">
        <v>1195</v>
      </c>
      <c r="R2" s="3" t="s">
        <v>615</v>
      </c>
      <c r="S2" s="24" t="s">
        <v>618</v>
      </c>
      <c r="T2" s="3" t="s">
        <v>627</v>
      </c>
      <c r="U2" s="3" t="s">
        <v>644</v>
      </c>
      <c r="V2" s="3" t="s">
        <v>703</v>
      </c>
      <c r="W2" s="3" t="s">
        <v>704</v>
      </c>
      <c r="X2" s="3" t="s">
        <v>705</v>
      </c>
      <c r="Y2" s="11" t="s">
        <v>738</v>
      </c>
      <c r="Z2" s="3" t="s">
        <v>637</v>
      </c>
      <c r="AA2" s="3" t="s">
        <v>739</v>
      </c>
      <c r="AB2" s="3" t="s">
        <v>617</v>
      </c>
      <c r="AC2" s="3" t="s">
        <v>706</v>
      </c>
      <c r="AD2" s="3" t="s">
        <v>707</v>
      </c>
      <c r="AE2" s="3" t="s">
        <v>726</v>
      </c>
      <c r="AF2" s="3" t="s">
        <v>727</v>
      </c>
      <c r="AG2" s="3" t="s">
        <v>708</v>
      </c>
      <c r="AH2" s="3" t="s">
        <v>709</v>
      </c>
      <c r="AI2" s="3" t="s">
        <v>710</v>
      </c>
      <c r="AJ2" s="3" t="s">
        <v>622</v>
      </c>
      <c r="AK2" t="s">
        <v>638</v>
      </c>
      <c r="AL2" t="s">
        <v>639</v>
      </c>
      <c r="AM2" s="3" t="s">
        <v>731</v>
      </c>
      <c r="AN2" s="3" t="s">
        <v>621</v>
      </c>
      <c r="AO2" s="3" t="s">
        <v>711</v>
      </c>
      <c r="AP2" s="3" t="s">
        <v>719</v>
      </c>
      <c r="AQ2" s="3" t="s">
        <v>647</v>
      </c>
      <c r="AR2" s="3" t="s">
        <v>645</v>
      </c>
      <c r="AS2" s="3" t="s">
        <v>620</v>
      </c>
      <c r="AT2" s="3" t="s">
        <v>616</v>
      </c>
      <c r="AU2" s="3" t="s">
        <v>712</v>
      </c>
      <c r="AW2" s="3" t="s">
        <v>746</v>
      </c>
      <c r="AX2" s="3" t="s">
        <v>628</v>
      </c>
      <c r="AY2" s="3" t="s">
        <v>649</v>
      </c>
      <c r="AZ2" s="3" t="s">
        <v>631</v>
      </c>
      <c r="BA2" s="3" t="s">
        <v>729</v>
      </c>
      <c r="BB2" s="3" t="s">
        <v>732</v>
      </c>
      <c r="BC2" s="3" t="s">
        <v>1197</v>
      </c>
      <c r="BD2" s="3" t="s">
        <v>715</v>
      </c>
      <c r="BE2" s="3" t="s">
        <v>716</v>
      </c>
      <c r="BG2" s="3" t="s">
        <v>613</v>
      </c>
      <c r="BH2" s="3" t="s">
        <v>733</v>
      </c>
      <c r="BI2" s="3" t="s">
        <v>722</v>
      </c>
      <c r="BJ2" s="3" t="s">
        <v>747</v>
      </c>
      <c r="BK2" s="3" t="s">
        <v>633</v>
      </c>
      <c r="BL2" s="3" t="s">
        <v>745</v>
      </c>
      <c r="BM2" s="3" t="s">
        <v>625</v>
      </c>
      <c r="BN2" s="3" t="s">
        <v>697</v>
      </c>
      <c r="BO2" s="3" t="s">
        <v>698</v>
      </c>
      <c r="BP2" s="3" t="s">
        <v>737</v>
      </c>
      <c r="BR2" s="3" t="s">
        <v>748</v>
      </c>
      <c r="BS2" s="3" t="s">
        <v>641</v>
      </c>
      <c r="BT2" s="3" t="s">
        <v>634</v>
      </c>
      <c r="BU2" s="3" t="s">
        <v>646</v>
      </c>
      <c r="BV2" s="3" t="s">
        <v>635</v>
      </c>
      <c r="BW2" s="3" t="s">
        <v>718</v>
      </c>
      <c r="BX2" s="3" t="s">
        <v>733</v>
      </c>
      <c r="BY2" s="3" t="s">
        <v>718</v>
      </c>
      <c r="BZ2" s="3" t="s">
        <v>626</v>
      </c>
      <c r="CA2" s="3" t="s">
        <v>721</v>
      </c>
      <c r="CB2" s="3" t="s">
        <v>733</v>
      </c>
      <c r="CD2" s="3" t="s">
        <v>696</v>
      </c>
      <c r="CE2" s="3" t="s">
        <v>640</v>
      </c>
      <c r="CF2" s="3" t="s">
        <v>735</v>
      </c>
      <c r="CG2" s="3" t="s">
        <v>736</v>
      </c>
      <c r="CI2" s="3" t="s">
        <v>642</v>
      </c>
      <c r="CJ2" s="3" t="s">
        <v>648</v>
      </c>
      <c r="CM2" s="12" t="s">
        <v>744</v>
      </c>
      <c r="CN2" s="12" t="s">
        <v>629</v>
      </c>
      <c r="CO2" s="12" t="s">
        <v>724</v>
      </c>
      <c r="CP2" s="12" t="s">
        <v>740</v>
      </c>
      <c r="CQ2" s="12" t="s">
        <v>623</v>
      </c>
      <c r="CR2" s="12" t="s">
        <v>742</v>
      </c>
      <c r="CS2" s="12" t="s">
        <v>650</v>
      </c>
      <c r="CT2" s="12" t="s">
        <v>730</v>
      </c>
      <c r="CU2" s="12" t="s">
        <v>619</v>
      </c>
      <c r="CV2" s="128" t="s">
        <v>717</v>
      </c>
    </row>
    <row r="3" spans="1:100">
      <c r="A3" s="1"/>
      <c r="B3" s="1"/>
      <c r="C3" s="1"/>
      <c r="D3" s="5"/>
      <c r="F3" s="6"/>
      <c r="G3" s="11" t="s">
        <v>523</v>
      </c>
      <c r="H3" s="1" t="s">
        <v>1691</v>
      </c>
      <c r="I3" s="1" t="s">
        <v>1743</v>
      </c>
      <c r="J3" s="1" t="s">
        <v>1728</v>
      </c>
      <c r="K3" s="1" t="s">
        <v>1698</v>
      </c>
      <c r="L3" s="1" t="s">
        <v>1668</v>
      </c>
      <c r="M3" s="1" t="s">
        <v>1737</v>
      </c>
      <c r="O3" s="78" t="s">
        <v>1649</v>
      </c>
      <c r="P3" s="78" t="s">
        <v>1709</v>
      </c>
      <c r="Q3" s="98" t="s">
        <v>523</v>
      </c>
      <c r="R3" s="1" t="s">
        <v>1711</v>
      </c>
      <c r="S3" s="25" t="s">
        <v>1718</v>
      </c>
      <c r="T3" s="1" t="s">
        <v>1733</v>
      </c>
      <c r="U3" s="1" t="s">
        <v>1752</v>
      </c>
      <c r="V3" s="1" t="s">
        <v>1650</v>
      </c>
      <c r="W3" s="1" t="s">
        <v>1651</v>
      </c>
      <c r="X3" s="1" t="s">
        <v>1652</v>
      </c>
      <c r="Y3" s="78" t="s">
        <v>1695</v>
      </c>
      <c r="Z3" s="1" t="s">
        <v>1744</v>
      </c>
      <c r="AA3" s="1" t="s">
        <v>1696</v>
      </c>
      <c r="AB3" s="1" t="s">
        <v>1716</v>
      </c>
      <c r="AC3" s="1" t="s">
        <v>1653</v>
      </c>
      <c r="AD3" s="1" t="s">
        <v>1654</v>
      </c>
      <c r="AE3" s="1" t="s">
        <v>1682</v>
      </c>
      <c r="AF3" s="1" t="s">
        <v>1683</v>
      </c>
      <c r="AG3" s="1" t="s">
        <v>1655</v>
      </c>
      <c r="AH3" s="1" t="s">
        <v>1656</v>
      </c>
      <c r="AI3" s="1" t="s">
        <v>1657</v>
      </c>
      <c r="AJ3" s="1" t="s">
        <v>1724</v>
      </c>
      <c r="AK3" s="1" t="s">
        <v>1745</v>
      </c>
      <c r="AL3" s="1" t="s">
        <v>1746</v>
      </c>
      <c r="AM3" s="1" t="s">
        <v>1687</v>
      </c>
      <c r="AN3" s="1" t="s">
        <v>1723</v>
      </c>
      <c r="AO3" s="1" t="s">
        <v>1660</v>
      </c>
      <c r="AP3" s="1" t="s">
        <v>1672</v>
      </c>
      <c r="AQ3" s="1" t="s">
        <v>1758</v>
      </c>
      <c r="AR3" s="1" t="s">
        <v>1754</v>
      </c>
      <c r="AS3" s="1" t="s">
        <v>1721</v>
      </c>
      <c r="AT3" s="1" t="s">
        <v>1712</v>
      </c>
      <c r="AU3" s="1" t="s">
        <v>1661</v>
      </c>
      <c r="AV3" s="115" t="s">
        <v>1199</v>
      </c>
      <c r="AW3" s="1" t="s">
        <v>1704</v>
      </c>
      <c r="AX3" s="1" t="s">
        <v>1734</v>
      </c>
      <c r="AY3" s="1" t="s">
        <v>1760</v>
      </c>
      <c r="AZ3" s="1" t="s">
        <v>1736</v>
      </c>
      <c r="BA3" s="1" t="s">
        <v>1684</v>
      </c>
      <c r="BB3" s="1" t="s">
        <v>1688</v>
      </c>
      <c r="BC3" s="1" t="s">
        <v>1663</v>
      </c>
      <c r="BD3" s="1" t="s">
        <v>1664</v>
      </c>
      <c r="BE3" s="1" t="s">
        <v>1665</v>
      </c>
      <c r="BF3" s="120" t="s">
        <v>1200</v>
      </c>
      <c r="BG3" s="1" t="s">
        <v>1710</v>
      </c>
      <c r="BH3" s="1" t="s">
        <v>1727</v>
      </c>
      <c r="BI3" s="1" t="s">
        <v>1680</v>
      </c>
      <c r="BJ3" s="1" t="s">
        <v>1705</v>
      </c>
      <c r="BK3" s="1" t="s">
        <v>1738</v>
      </c>
      <c r="BL3" s="1" t="s">
        <v>1703</v>
      </c>
      <c r="BM3" s="1" t="s">
        <v>1729</v>
      </c>
      <c r="BN3" s="1" t="s">
        <v>1645</v>
      </c>
      <c r="BO3" s="1" t="s">
        <v>1646</v>
      </c>
      <c r="BP3" s="1" t="s">
        <v>1694</v>
      </c>
      <c r="BR3" s="1" t="s">
        <v>1708</v>
      </c>
      <c r="BS3" s="1" t="s">
        <v>1749</v>
      </c>
      <c r="BT3" s="1" t="s">
        <v>1739</v>
      </c>
      <c r="BU3" s="1" t="s">
        <v>1755</v>
      </c>
      <c r="BV3" s="1" t="s">
        <v>1740</v>
      </c>
      <c r="BW3" s="1" t="s">
        <v>1742</v>
      </c>
      <c r="BX3" s="1" t="s">
        <v>1690</v>
      </c>
      <c r="BY3" s="1" t="s">
        <v>1669</v>
      </c>
      <c r="BZ3" s="1" t="s">
        <v>1732</v>
      </c>
      <c r="CA3" s="1" t="s">
        <v>1675</v>
      </c>
      <c r="CB3" s="1" t="s">
        <v>1706</v>
      </c>
      <c r="CC3" s="126" t="s">
        <v>1201</v>
      </c>
      <c r="CD3" s="1" t="s">
        <v>1643</v>
      </c>
      <c r="CE3" s="1" t="s">
        <v>1748</v>
      </c>
      <c r="CF3" s="1" t="s">
        <v>1692</v>
      </c>
      <c r="CG3" s="1" t="s">
        <v>1693</v>
      </c>
      <c r="CI3" s="1" t="s">
        <v>1750</v>
      </c>
      <c r="CJ3" s="1" t="s">
        <v>1759</v>
      </c>
      <c r="CK3" s="124" t="s">
        <v>1202</v>
      </c>
      <c r="CM3" s="23" t="s">
        <v>1701</v>
      </c>
      <c r="CN3" s="23" t="s">
        <v>1735</v>
      </c>
      <c r="CO3" s="23" t="s">
        <v>1681</v>
      </c>
      <c r="CP3" s="23" t="s">
        <v>1697</v>
      </c>
      <c r="CQ3" s="23" t="s">
        <v>1726</v>
      </c>
      <c r="CR3" s="23" t="s">
        <v>1700</v>
      </c>
      <c r="CS3" s="23" t="s">
        <v>1766</v>
      </c>
      <c r="CT3" s="23" t="s">
        <v>1686</v>
      </c>
      <c r="CU3" s="23" t="s">
        <v>1719</v>
      </c>
      <c r="CV3" s="129" t="s">
        <v>1667</v>
      </c>
    </row>
    <row r="4" spans="1:100" ht="12.75" customHeight="1">
      <c r="A4" s="1">
        <v>80</v>
      </c>
      <c r="B4" s="1">
        <v>6010</v>
      </c>
      <c r="C4" s="79" t="s">
        <v>652</v>
      </c>
      <c r="D4" s="8" t="s">
        <v>651</v>
      </c>
      <c r="E4" s="26"/>
      <c r="F4" s="8">
        <v>202</v>
      </c>
      <c r="G4" s="108">
        <v>664063.18885719345</v>
      </c>
      <c r="N4" s="117">
        <f t="shared" ref="N4:N35" si="0">SUM(G4:M4)</f>
        <v>664063.18885719345</v>
      </c>
      <c r="P4" s="78">
        <v>55117</v>
      </c>
      <c r="Q4" s="112">
        <v>1666069.8111428067</v>
      </c>
      <c r="W4" s="1">
        <v>112833</v>
      </c>
      <c r="X4" s="1">
        <v>1400</v>
      </c>
      <c r="AH4" s="1">
        <v>82076</v>
      </c>
      <c r="AV4" s="115">
        <f t="shared" ref="AV4:AV32" si="1">SUM(O4:AU4)</f>
        <v>1917495.8111428067</v>
      </c>
      <c r="AX4" s="1">
        <v>40755</v>
      </c>
      <c r="BC4" s="1">
        <v>97563</v>
      </c>
      <c r="BF4" s="120">
        <f t="shared" ref="BF4:BF32" si="2">SUM(AW4:BE4)</f>
        <v>138318</v>
      </c>
      <c r="CC4" s="125">
        <f t="shared" ref="CC4:CC32" si="3">SUM(BG4:CB4)</f>
        <v>0</v>
      </c>
      <c r="CK4" s="124">
        <f t="shared" ref="CK4:CK32" si="4">SUM(CD4:CJ4)</f>
        <v>0</v>
      </c>
      <c r="CV4" s="129">
        <v>138318</v>
      </c>
    </row>
    <row r="5" spans="1:100">
      <c r="A5" s="1">
        <v>80</v>
      </c>
      <c r="B5" s="1">
        <v>6018</v>
      </c>
      <c r="C5" s="79" t="s">
        <v>765</v>
      </c>
      <c r="D5" s="8" t="s">
        <v>660</v>
      </c>
      <c r="E5" s="22"/>
      <c r="F5" s="8">
        <v>164</v>
      </c>
      <c r="G5" s="108">
        <v>693349.23324889736</v>
      </c>
      <c r="N5" s="117">
        <f t="shared" si="0"/>
        <v>693349.23324889736</v>
      </c>
      <c r="Q5" s="112">
        <v>261124.76675110278</v>
      </c>
      <c r="W5" s="1">
        <v>78081</v>
      </c>
      <c r="AF5" s="1">
        <v>684744</v>
      </c>
      <c r="AH5" s="1">
        <v>52147</v>
      </c>
      <c r="AU5" s="1">
        <v>3000</v>
      </c>
      <c r="AV5" s="115">
        <f t="shared" si="1"/>
        <v>1079096.7667511026</v>
      </c>
      <c r="BC5" s="1">
        <v>27840</v>
      </c>
      <c r="BE5" s="1">
        <v>319041</v>
      </c>
      <c r="BF5" s="120">
        <f t="shared" si="2"/>
        <v>346881</v>
      </c>
      <c r="BU5" s="1">
        <v>61045</v>
      </c>
      <c r="CC5" s="125">
        <f t="shared" si="3"/>
        <v>61045</v>
      </c>
      <c r="CK5" s="124">
        <f t="shared" si="4"/>
        <v>0</v>
      </c>
      <c r="CV5" s="129">
        <v>349881</v>
      </c>
    </row>
    <row r="6" spans="1:100">
      <c r="A6" s="1">
        <v>80</v>
      </c>
      <c r="B6" s="1">
        <v>6212</v>
      </c>
      <c r="C6" s="79" t="s">
        <v>653</v>
      </c>
      <c r="D6" s="8" t="s">
        <v>654</v>
      </c>
      <c r="E6" s="22"/>
      <c r="F6" s="8">
        <v>406</v>
      </c>
      <c r="G6" s="108">
        <v>44734.060439205394</v>
      </c>
      <c r="N6" s="117">
        <f t="shared" si="0"/>
        <v>44734.060439205394</v>
      </c>
      <c r="O6" s="78">
        <v>3079797</v>
      </c>
      <c r="Q6" s="112">
        <v>571193.9395607945</v>
      </c>
      <c r="R6" s="1">
        <v>183466</v>
      </c>
      <c r="W6" s="1">
        <v>173091</v>
      </c>
      <c r="AG6" s="1">
        <v>127894</v>
      </c>
      <c r="AH6" s="1">
        <v>144787</v>
      </c>
      <c r="AI6" s="1">
        <v>353634</v>
      </c>
      <c r="AU6" s="1">
        <v>251</v>
      </c>
      <c r="AV6" s="115">
        <f t="shared" si="1"/>
        <v>4634113.9395607943</v>
      </c>
      <c r="BC6" s="1">
        <v>414688</v>
      </c>
      <c r="BD6" s="1">
        <v>92081</v>
      </c>
      <c r="BE6" s="1">
        <v>42244</v>
      </c>
      <c r="BF6" s="120">
        <f t="shared" si="2"/>
        <v>549013</v>
      </c>
      <c r="CC6" s="125">
        <f t="shared" si="3"/>
        <v>0</v>
      </c>
      <c r="CK6" s="124">
        <f t="shared" si="4"/>
        <v>0</v>
      </c>
      <c r="CV6" s="129">
        <v>549264</v>
      </c>
    </row>
    <row r="7" spans="1:100">
      <c r="A7" s="1">
        <v>80</v>
      </c>
      <c r="B7" s="1">
        <v>6215</v>
      </c>
      <c r="C7" s="79" t="s">
        <v>653</v>
      </c>
      <c r="D7" s="8" t="s">
        <v>655</v>
      </c>
      <c r="E7" s="22"/>
      <c r="F7" s="8">
        <v>391</v>
      </c>
      <c r="G7" s="108">
        <v>138050.71488623761</v>
      </c>
      <c r="N7" s="117">
        <f t="shared" si="0"/>
        <v>138050.71488623761</v>
      </c>
      <c r="O7" s="78">
        <v>2793192</v>
      </c>
      <c r="Q7" s="112">
        <v>1567881.2851137626</v>
      </c>
      <c r="W7" s="1">
        <v>225245</v>
      </c>
      <c r="AG7" s="1">
        <v>115668</v>
      </c>
      <c r="AH7" s="1">
        <v>157364</v>
      </c>
      <c r="AV7" s="115">
        <f t="shared" si="1"/>
        <v>4859350.2851137631</v>
      </c>
      <c r="BC7" s="1">
        <v>361407</v>
      </c>
      <c r="BD7" s="1">
        <v>82539</v>
      </c>
      <c r="BE7" s="1">
        <v>616263</v>
      </c>
      <c r="BF7" s="120">
        <f t="shared" si="2"/>
        <v>1060209</v>
      </c>
      <c r="CC7" s="125">
        <f t="shared" si="3"/>
        <v>0</v>
      </c>
      <c r="CJ7" s="1">
        <v>172344</v>
      </c>
      <c r="CK7" s="124">
        <f t="shared" si="4"/>
        <v>172344</v>
      </c>
      <c r="CV7" s="129">
        <v>1060209</v>
      </c>
    </row>
    <row r="8" spans="1:100">
      <c r="A8" s="1">
        <v>80</v>
      </c>
      <c r="B8" s="1">
        <v>6217</v>
      </c>
      <c r="C8" s="79" t="s">
        <v>659</v>
      </c>
      <c r="D8" s="8" t="s">
        <v>658</v>
      </c>
      <c r="E8" s="22"/>
      <c r="F8" s="8">
        <v>222</v>
      </c>
      <c r="G8" s="108">
        <v>135691.70662086783</v>
      </c>
      <c r="N8" s="117">
        <f t="shared" si="0"/>
        <v>135691.70662086783</v>
      </c>
      <c r="Q8" s="112">
        <v>302047.29337913223</v>
      </c>
      <c r="W8" s="1">
        <v>34375</v>
      </c>
      <c r="AH8" s="1">
        <v>58427</v>
      </c>
      <c r="AI8" s="1">
        <v>1728752</v>
      </c>
      <c r="AU8" s="1">
        <v>565634</v>
      </c>
      <c r="AV8" s="115">
        <f t="shared" si="1"/>
        <v>2689235.2933791322</v>
      </c>
      <c r="BC8" s="1">
        <v>22427</v>
      </c>
      <c r="BE8" s="1">
        <v>650</v>
      </c>
      <c r="BF8" s="120">
        <f t="shared" si="2"/>
        <v>23077</v>
      </c>
      <c r="CC8" s="125">
        <f t="shared" si="3"/>
        <v>0</v>
      </c>
      <c r="CK8" s="124">
        <f t="shared" si="4"/>
        <v>0</v>
      </c>
      <c r="CV8" s="129">
        <v>588711</v>
      </c>
    </row>
    <row r="9" spans="1:100">
      <c r="A9" s="1">
        <v>80</v>
      </c>
      <c r="B9" s="1">
        <v>6220</v>
      </c>
      <c r="C9" s="2" t="s">
        <v>657</v>
      </c>
      <c r="D9" s="7" t="s">
        <v>656</v>
      </c>
      <c r="E9" s="22"/>
      <c r="F9" s="7">
        <v>518</v>
      </c>
      <c r="G9" s="108">
        <v>350113.87872600707</v>
      </c>
      <c r="I9" s="1">
        <v>2299440</v>
      </c>
      <c r="N9" s="117">
        <f t="shared" si="0"/>
        <v>2649553.878726007</v>
      </c>
      <c r="Q9" s="112">
        <v>765719.12127399293</v>
      </c>
      <c r="W9" s="1">
        <v>401004</v>
      </c>
      <c r="AH9" s="1">
        <v>136909</v>
      </c>
      <c r="AM9" s="1">
        <v>130654</v>
      </c>
      <c r="AN9" s="1">
        <v>112475</v>
      </c>
      <c r="AU9" s="1">
        <v>359020</v>
      </c>
      <c r="AV9" s="115">
        <f t="shared" si="1"/>
        <v>1905781.121273993</v>
      </c>
      <c r="BC9" s="1">
        <v>264127</v>
      </c>
      <c r="BD9" s="1">
        <v>89487</v>
      </c>
      <c r="BE9" s="1">
        <v>175429</v>
      </c>
      <c r="BF9" s="120">
        <f t="shared" si="2"/>
        <v>529043</v>
      </c>
      <c r="BR9" s="1">
        <v>101343</v>
      </c>
      <c r="CC9" s="125">
        <f t="shared" si="3"/>
        <v>101343</v>
      </c>
      <c r="CK9" s="124">
        <f t="shared" si="4"/>
        <v>0</v>
      </c>
      <c r="CV9" s="129">
        <v>1131192</v>
      </c>
    </row>
    <row r="10" spans="1:100">
      <c r="A10" s="1">
        <v>80</v>
      </c>
      <c r="B10" s="1">
        <v>6230</v>
      </c>
      <c r="C10" s="26" t="s">
        <v>663</v>
      </c>
      <c r="D10" s="22" t="s">
        <v>664</v>
      </c>
      <c r="E10" s="22"/>
      <c r="F10" s="22">
        <v>104</v>
      </c>
      <c r="G10" s="108">
        <v>820085.01839106833</v>
      </c>
      <c r="K10" s="1">
        <v>6053</v>
      </c>
      <c r="N10" s="117">
        <f t="shared" si="0"/>
        <v>826138.01839106833</v>
      </c>
      <c r="Q10" s="112">
        <v>65457.981608931856</v>
      </c>
      <c r="AF10" s="1">
        <v>66314</v>
      </c>
      <c r="AH10" s="1">
        <v>29116</v>
      </c>
      <c r="AU10" s="1">
        <v>4000</v>
      </c>
      <c r="AV10" s="115">
        <f t="shared" si="1"/>
        <v>164887.98160893185</v>
      </c>
      <c r="BC10" s="1">
        <v>2418</v>
      </c>
      <c r="BD10" s="1">
        <v>2025</v>
      </c>
      <c r="BE10" s="1">
        <v>3859</v>
      </c>
      <c r="BF10" s="120">
        <f t="shared" si="2"/>
        <v>8302</v>
      </c>
      <c r="CC10" s="125">
        <f t="shared" si="3"/>
        <v>0</v>
      </c>
      <c r="CK10" s="124">
        <f t="shared" si="4"/>
        <v>0</v>
      </c>
      <c r="CV10" s="129">
        <v>18355</v>
      </c>
    </row>
    <row r="11" spans="1:100">
      <c r="A11" s="1">
        <v>80</v>
      </c>
      <c r="B11" s="1">
        <v>6232</v>
      </c>
      <c r="C11" s="79" t="s">
        <v>653</v>
      </c>
      <c r="D11" s="22" t="s">
        <v>559</v>
      </c>
      <c r="E11" s="22"/>
      <c r="F11" s="22">
        <v>198</v>
      </c>
      <c r="G11" s="108">
        <v>23379.342759088886</v>
      </c>
      <c r="N11" s="117">
        <f t="shared" si="0"/>
        <v>23379.342759088886</v>
      </c>
      <c r="O11" s="78">
        <v>1157758</v>
      </c>
      <c r="Q11" s="112">
        <v>275004.65724091115</v>
      </c>
      <c r="W11" s="1">
        <v>21623</v>
      </c>
      <c r="AF11" s="1">
        <v>259401</v>
      </c>
      <c r="AH11" s="1">
        <v>52275</v>
      </c>
      <c r="AM11" s="1">
        <v>80195</v>
      </c>
      <c r="AV11" s="115">
        <f t="shared" si="1"/>
        <v>1846256.6572409112</v>
      </c>
      <c r="AX11" s="1">
        <v>4384</v>
      </c>
      <c r="BC11" s="1">
        <v>200514</v>
      </c>
      <c r="BD11" s="1">
        <v>10593</v>
      </c>
      <c r="BE11" s="1">
        <v>206552</v>
      </c>
      <c r="BF11" s="120">
        <f t="shared" si="2"/>
        <v>422043</v>
      </c>
      <c r="CC11" s="125">
        <f t="shared" si="3"/>
        <v>0</v>
      </c>
      <c r="CK11" s="124">
        <f t="shared" si="4"/>
        <v>0</v>
      </c>
      <c r="CT11" s="23">
        <v>141128</v>
      </c>
      <c r="CV11" s="129">
        <v>643366</v>
      </c>
    </row>
    <row r="12" spans="1:100">
      <c r="A12" s="1">
        <v>80</v>
      </c>
      <c r="B12" s="1">
        <v>6235</v>
      </c>
      <c r="C12" s="2" t="s">
        <v>657</v>
      </c>
      <c r="D12" s="7" t="s">
        <v>576</v>
      </c>
      <c r="E12" s="22"/>
      <c r="F12" s="7">
        <v>337</v>
      </c>
      <c r="G12" s="108">
        <v>273261.15620479174</v>
      </c>
      <c r="N12" s="117">
        <f t="shared" si="0"/>
        <v>273261.15620479174</v>
      </c>
      <c r="Q12" s="112">
        <v>584910.84379520814</v>
      </c>
      <c r="W12" s="1">
        <v>153008</v>
      </c>
      <c r="X12" s="1">
        <v>5840</v>
      </c>
      <c r="AF12" s="1">
        <v>2484819</v>
      </c>
      <c r="AH12" s="1">
        <v>76818</v>
      </c>
      <c r="AV12" s="115">
        <f t="shared" si="1"/>
        <v>3305395.8437952083</v>
      </c>
      <c r="BC12" s="1">
        <v>297746</v>
      </c>
      <c r="BD12" s="1">
        <v>49919</v>
      </c>
      <c r="BE12" s="1">
        <v>53825</v>
      </c>
      <c r="BF12" s="120">
        <f t="shared" si="2"/>
        <v>401490</v>
      </c>
      <c r="CC12" s="125">
        <f t="shared" si="3"/>
        <v>0</v>
      </c>
      <c r="CK12" s="124">
        <f t="shared" si="4"/>
        <v>0</v>
      </c>
      <c r="CV12" s="129">
        <v>401490</v>
      </c>
    </row>
    <row r="13" spans="1:100">
      <c r="A13" s="1">
        <v>80</v>
      </c>
      <c r="B13" s="1">
        <v>6240</v>
      </c>
      <c r="C13" s="79" t="s">
        <v>653</v>
      </c>
      <c r="D13" s="22" t="s">
        <v>560</v>
      </c>
      <c r="E13" s="22"/>
      <c r="F13" s="22">
        <v>215</v>
      </c>
      <c r="G13" s="109">
        <v>23011.255004904302</v>
      </c>
      <c r="K13" s="1">
        <v>132750</v>
      </c>
      <c r="N13" s="117">
        <f t="shared" si="0"/>
        <v>155761.25500490429</v>
      </c>
      <c r="O13" s="78">
        <v>1595913</v>
      </c>
      <c r="Q13" s="113">
        <v>289004.74499509571</v>
      </c>
      <c r="W13" s="1">
        <v>160308</v>
      </c>
      <c r="AF13" s="1">
        <v>235387</v>
      </c>
      <c r="AH13" s="1">
        <v>34566</v>
      </c>
      <c r="AV13" s="115">
        <f t="shared" si="1"/>
        <v>2315178.7449950958</v>
      </c>
      <c r="BC13" s="1">
        <v>198674</v>
      </c>
      <c r="BE13" s="1">
        <v>43101</v>
      </c>
      <c r="BF13" s="120">
        <f t="shared" si="2"/>
        <v>241775</v>
      </c>
      <c r="BU13" s="1">
        <v>28933</v>
      </c>
      <c r="CC13" s="125">
        <f t="shared" si="3"/>
        <v>28933</v>
      </c>
      <c r="CK13" s="124">
        <f t="shared" si="4"/>
        <v>0</v>
      </c>
      <c r="CV13" s="129">
        <v>374525</v>
      </c>
    </row>
    <row r="14" spans="1:100">
      <c r="A14" s="1">
        <v>80</v>
      </c>
      <c r="B14" s="1">
        <v>6320</v>
      </c>
      <c r="C14" s="139" t="s">
        <v>667</v>
      </c>
      <c r="D14" s="140" t="s">
        <v>666</v>
      </c>
      <c r="E14" s="140"/>
      <c r="F14" s="140">
        <v>75</v>
      </c>
      <c r="G14" s="108">
        <v>33429.267065576663</v>
      </c>
      <c r="K14" s="1">
        <v>53000</v>
      </c>
      <c r="N14" s="117">
        <f t="shared" si="0"/>
        <v>86429.267065576656</v>
      </c>
      <c r="Q14" s="112">
        <v>104372.73293442334</v>
      </c>
      <c r="W14" s="1">
        <v>53080</v>
      </c>
      <c r="AF14" s="1">
        <v>563805</v>
      </c>
      <c r="AH14" s="1">
        <v>21326</v>
      </c>
      <c r="AV14" s="115">
        <f t="shared" si="1"/>
        <v>742583.73293442337</v>
      </c>
      <c r="BC14" s="1">
        <v>43088</v>
      </c>
      <c r="BD14" s="1">
        <v>10660</v>
      </c>
      <c r="BE14" s="1">
        <v>287792</v>
      </c>
      <c r="BF14" s="120">
        <f t="shared" si="2"/>
        <v>341540</v>
      </c>
      <c r="CC14" s="125">
        <f t="shared" si="3"/>
        <v>0</v>
      </c>
      <c r="CK14" s="124">
        <f t="shared" si="4"/>
        <v>0</v>
      </c>
      <c r="CV14" s="129">
        <v>394540</v>
      </c>
    </row>
    <row r="15" spans="1:100">
      <c r="A15" s="1">
        <v>80</v>
      </c>
      <c r="B15" s="1">
        <v>6325</v>
      </c>
      <c r="C15" s="26" t="s">
        <v>653</v>
      </c>
      <c r="D15" s="22" t="s">
        <v>665</v>
      </c>
      <c r="E15" s="22"/>
      <c r="F15" s="22">
        <v>329</v>
      </c>
      <c r="G15" s="108">
        <v>36511.854244652568</v>
      </c>
      <c r="N15" s="117">
        <f t="shared" si="0"/>
        <v>36511.854244652568</v>
      </c>
      <c r="Q15" s="112">
        <v>435153.14575534745</v>
      </c>
      <c r="W15" s="1">
        <v>78128</v>
      </c>
      <c r="AF15" s="1">
        <v>2900896</v>
      </c>
      <c r="AH15" s="1">
        <v>82597</v>
      </c>
      <c r="AU15" s="1">
        <v>223254</v>
      </c>
      <c r="AV15" s="115">
        <f t="shared" si="1"/>
        <v>3720028.1457553473</v>
      </c>
      <c r="BC15" s="1">
        <v>166396</v>
      </c>
      <c r="BD15" s="1">
        <v>34813</v>
      </c>
      <c r="BE15" s="1">
        <v>6736</v>
      </c>
      <c r="BF15" s="120">
        <f t="shared" si="2"/>
        <v>207945</v>
      </c>
      <c r="CC15" s="125">
        <f t="shared" si="3"/>
        <v>0</v>
      </c>
      <c r="CK15" s="124">
        <f t="shared" si="4"/>
        <v>0</v>
      </c>
      <c r="CV15" s="129">
        <v>431199</v>
      </c>
    </row>
    <row r="16" spans="1:100">
      <c r="A16" s="1">
        <v>80</v>
      </c>
      <c r="B16" s="1">
        <v>6410</v>
      </c>
      <c r="C16" s="26" t="s">
        <v>669</v>
      </c>
      <c r="D16" s="22" t="s">
        <v>668</v>
      </c>
      <c r="E16" s="22"/>
      <c r="F16" s="22">
        <v>501</v>
      </c>
      <c r="G16" s="108">
        <v>191481.33850497287</v>
      </c>
      <c r="N16" s="117">
        <f t="shared" si="0"/>
        <v>191481.33850497287</v>
      </c>
      <c r="O16" s="78">
        <v>2787424</v>
      </c>
      <c r="Q16" s="112">
        <v>717627.66149502737</v>
      </c>
      <c r="W16" s="1">
        <v>103880</v>
      </c>
      <c r="AF16" s="1">
        <v>1255101</v>
      </c>
      <c r="AH16" s="1">
        <v>118791</v>
      </c>
      <c r="AV16" s="115">
        <f t="shared" si="1"/>
        <v>4982823.6614950271</v>
      </c>
      <c r="BC16" s="1">
        <v>425588</v>
      </c>
      <c r="BD16" s="1">
        <v>105509</v>
      </c>
      <c r="BE16" s="1">
        <v>256157</v>
      </c>
      <c r="BF16" s="120">
        <f t="shared" si="2"/>
        <v>787254</v>
      </c>
      <c r="CC16" s="125">
        <f t="shared" si="3"/>
        <v>0</v>
      </c>
      <c r="CK16" s="124">
        <f t="shared" si="4"/>
        <v>0</v>
      </c>
      <c r="CV16" s="129">
        <v>787254</v>
      </c>
    </row>
    <row r="17" spans="1:100">
      <c r="A17" s="1">
        <v>80</v>
      </c>
      <c r="B17" s="1">
        <v>6420</v>
      </c>
      <c r="C17" s="26" t="s">
        <v>671</v>
      </c>
      <c r="D17" s="22" t="s">
        <v>670</v>
      </c>
      <c r="E17" s="22"/>
      <c r="F17" s="22">
        <v>279</v>
      </c>
      <c r="G17" s="108">
        <v>709741.83958493371</v>
      </c>
      <c r="I17" s="1">
        <v>2248197</v>
      </c>
      <c r="N17" s="117">
        <f t="shared" si="0"/>
        <v>2957938.8395849336</v>
      </c>
      <c r="Q17" s="112">
        <v>320838.16041506629</v>
      </c>
      <c r="W17" s="1">
        <v>189487</v>
      </c>
      <c r="AF17" s="1">
        <v>160769</v>
      </c>
      <c r="AG17" s="1">
        <v>111623</v>
      </c>
      <c r="AV17" s="115">
        <f t="shared" si="1"/>
        <v>782717.16041506629</v>
      </c>
      <c r="BC17" s="1">
        <v>64068</v>
      </c>
      <c r="BD17" s="1">
        <v>39671</v>
      </c>
      <c r="BE17" s="1">
        <v>13350</v>
      </c>
      <c r="BF17" s="120">
        <f t="shared" si="2"/>
        <v>117089</v>
      </c>
      <c r="CC17" s="125">
        <f t="shared" si="3"/>
        <v>0</v>
      </c>
      <c r="CK17" s="124">
        <f t="shared" si="4"/>
        <v>0</v>
      </c>
      <c r="CV17" s="129">
        <v>117089</v>
      </c>
    </row>
    <row r="18" spans="1:100">
      <c r="A18" s="1">
        <v>80</v>
      </c>
      <c r="B18" s="1">
        <v>6425</v>
      </c>
      <c r="C18" s="141" t="s">
        <v>673</v>
      </c>
      <c r="D18" s="142" t="s">
        <v>672</v>
      </c>
      <c r="E18" s="142"/>
      <c r="F18" s="142">
        <v>352</v>
      </c>
      <c r="G18" s="108">
        <v>111698.86799722505</v>
      </c>
      <c r="N18" s="117">
        <f t="shared" si="0"/>
        <v>111698.86799722505</v>
      </c>
      <c r="Q18" s="112">
        <v>512356.13200277492</v>
      </c>
      <c r="W18" s="1">
        <v>1462240</v>
      </c>
      <c r="X18" s="1">
        <v>7290</v>
      </c>
      <c r="AF18" s="1">
        <v>2873003</v>
      </c>
      <c r="AH18" s="1">
        <v>99491</v>
      </c>
      <c r="AV18" s="115">
        <f t="shared" si="1"/>
        <v>4954380.1320027746</v>
      </c>
      <c r="BC18" s="1">
        <v>321978</v>
      </c>
      <c r="BD18" s="1">
        <v>63559</v>
      </c>
      <c r="BE18" s="1">
        <v>48003</v>
      </c>
      <c r="BF18" s="120">
        <f t="shared" si="2"/>
        <v>433540</v>
      </c>
      <c r="CC18" s="125">
        <f t="shared" si="3"/>
        <v>0</v>
      </c>
      <c r="CK18" s="124">
        <f t="shared" si="4"/>
        <v>0</v>
      </c>
      <c r="CV18" s="129">
        <v>433540</v>
      </c>
    </row>
    <row r="19" spans="1:100">
      <c r="A19" s="1">
        <v>80</v>
      </c>
      <c r="B19" s="1">
        <v>6430</v>
      </c>
      <c r="C19" s="26" t="s">
        <v>675</v>
      </c>
      <c r="D19" s="22" t="s">
        <v>674</v>
      </c>
      <c r="E19" s="22"/>
      <c r="F19" s="22">
        <v>182</v>
      </c>
      <c r="G19" s="108">
        <v>1396669.3170618259</v>
      </c>
      <c r="N19" s="117">
        <f t="shared" si="0"/>
        <v>1396669.3170618259</v>
      </c>
      <c r="O19" s="78">
        <v>722193</v>
      </c>
      <c r="Q19" s="112">
        <v>43903.682938174163</v>
      </c>
      <c r="W19" s="1">
        <v>55463</v>
      </c>
      <c r="X19" s="1">
        <v>294</v>
      </c>
      <c r="AF19" s="1">
        <v>325</v>
      </c>
      <c r="AH19" s="1">
        <v>70378</v>
      </c>
      <c r="AM19" s="1">
        <v>68279</v>
      </c>
      <c r="AO19" s="1">
        <v>1297</v>
      </c>
      <c r="AV19" s="115">
        <f t="shared" si="1"/>
        <v>962132.68293817411</v>
      </c>
      <c r="AX19" s="1">
        <v>14483</v>
      </c>
      <c r="BA19" s="1">
        <v>475</v>
      </c>
      <c r="BC19" s="1">
        <v>121191</v>
      </c>
      <c r="BD19" s="1">
        <v>27351</v>
      </c>
      <c r="BE19" s="1">
        <v>2900</v>
      </c>
      <c r="BF19" s="120">
        <f t="shared" si="2"/>
        <v>166400</v>
      </c>
      <c r="CC19" s="125">
        <f t="shared" si="3"/>
        <v>0</v>
      </c>
      <c r="CK19" s="124">
        <f t="shared" si="4"/>
        <v>0</v>
      </c>
      <c r="CT19" s="23">
        <v>118130</v>
      </c>
      <c r="CV19" s="129">
        <v>353631</v>
      </c>
    </row>
    <row r="20" spans="1:100">
      <c r="A20" s="1">
        <v>80</v>
      </c>
      <c r="B20" s="1">
        <v>6612</v>
      </c>
      <c r="C20" s="26" t="s">
        <v>562</v>
      </c>
      <c r="D20" s="22" t="s">
        <v>561</v>
      </c>
      <c r="E20" s="22"/>
      <c r="F20" s="22">
        <v>270</v>
      </c>
      <c r="G20" s="108">
        <v>1220410.8530892057</v>
      </c>
      <c r="N20" s="117">
        <f t="shared" si="0"/>
        <v>1220410.8530892057</v>
      </c>
      <c r="Q20" s="112">
        <v>888874.14691079408</v>
      </c>
      <c r="W20" s="1">
        <v>44841</v>
      </c>
      <c r="AF20" s="1">
        <v>219768</v>
      </c>
      <c r="AH20" s="1">
        <v>104580</v>
      </c>
      <c r="AU20" s="1">
        <v>191677</v>
      </c>
      <c r="AV20" s="115">
        <f t="shared" si="1"/>
        <v>1449740.1469107941</v>
      </c>
      <c r="BC20" s="1">
        <v>103503</v>
      </c>
      <c r="BD20" s="1">
        <v>56606</v>
      </c>
      <c r="BE20" s="1">
        <v>7843</v>
      </c>
      <c r="BF20" s="120">
        <f t="shared" si="2"/>
        <v>167952</v>
      </c>
      <c r="BX20" s="1">
        <v>237370</v>
      </c>
      <c r="CC20" s="125">
        <f t="shared" si="3"/>
        <v>237370</v>
      </c>
      <c r="CK20" s="124">
        <f t="shared" si="4"/>
        <v>0</v>
      </c>
      <c r="CV20" s="129">
        <v>359629</v>
      </c>
    </row>
    <row r="21" spans="1:100">
      <c r="A21" s="1">
        <v>80</v>
      </c>
      <c r="B21" s="1">
        <v>6635</v>
      </c>
      <c r="C21" s="26" t="s">
        <v>565</v>
      </c>
      <c r="D21" s="22" t="s">
        <v>564</v>
      </c>
      <c r="E21" s="22"/>
      <c r="F21" s="22">
        <v>219</v>
      </c>
      <c r="G21" s="108">
        <v>556779.22057896631</v>
      </c>
      <c r="I21" s="1"/>
      <c r="N21" s="117">
        <f t="shared" si="0"/>
        <v>556779.22057896631</v>
      </c>
      <c r="O21" s="78">
        <v>587519</v>
      </c>
      <c r="Q21" s="112">
        <v>398661.77942103357</v>
      </c>
      <c r="W21" s="1">
        <v>92829</v>
      </c>
      <c r="X21" s="1">
        <v>32704</v>
      </c>
      <c r="AF21" s="1">
        <v>437901</v>
      </c>
      <c r="AG21" s="1">
        <v>13925</v>
      </c>
      <c r="AH21" s="1">
        <v>69545</v>
      </c>
      <c r="AU21" s="1">
        <v>132180</v>
      </c>
      <c r="AV21" s="115">
        <f t="shared" si="1"/>
        <v>1765264.7794210336</v>
      </c>
      <c r="AY21" s="1">
        <v>32186</v>
      </c>
      <c r="BC21" s="1">
        <v>90866</v>
      </c>
      <c r="BE21" s="1">
        <v>1575</v>
      </c>
      <c r="BF21" s="120">
        <f t="shared" si="2"/>
        <v>124627</v>
      </c>
      <c r="CC21" s="125">
        <f t="shared" si="3"/>
        <v>0</v>
      </c>
      <c r="CK21" s="124">
        <f t="shared" si="4"/>
        <v>0</v>
      </c>
      <c r="CV21" s="129">
        <v>256807</v>
      </c>
    </row>
    <row r="22" spans="1:100">
      <c r="A22" s="1">
        <v>80</v>
      </c>
      <c r="B22" s="1">
        <v>6665</v>
      </c>
      <c r="C22" s="139" t="s">
        <v>667</v>
      </c>
      <c r="D22" s="140" t="s">
        <v>563</v>
      </c>
      <c r="E22" s="140"/>
      <c r="F22" s="140">
        <v>306</v>
      </c>
      <c r="G22" s="108">
        <v>140740.99388469753</v>
      </c>
      <c r="N22" s="117">
        <f t="shared" si="0"/>
        <v>140740.99388469753</v>
      </c>
      <c r="Q22" s="112">
        <v>439421.0061153025</v>
      </c>
      <c r="AF22" s="1">
        <v>2443362</v>
      </c>
      <c r="AH22" s="1">
        <v>74931</v>
      </c>
      <c r="AU22" s="1">
        <v>4000</v>
      </c>
      <c r="AV22" s="115">
        <f t="shared" si="1"/>
        <v>2961714.0061153024</v>
      </c>
      <c r="BC22" s="1">
        <v>234750</v>
      </c>
      <c r="BE22" s="1">
        <v>30398</v>
      </c>
      <c r="BF22" s="120">
        <f t="shared" si="2"/>
        <v>265148</v>
      </c>
      <c r="CC22" s="125">
        <f t="shared" si="3"/>
        <v>0</v>
      </c>
      <c r="CK22" s="124">
        <f t="shared" si="4"/>
        <v>0</v>
      </c>
      <c r="CL22" s="107">
        <f>SUM(N22+AV22+BF22+CC23+CK23)</f>
        <v>3367603</v>
      </c>
      <c r="CV22" s="129">
        <v>269148</v>
      </c>
    </row>
    <row r="23" spans="1:100">
      <c r="A23" s="1">
        <v>80</v>
      </c>
      <c r="B23" s="1">
        <v>6720</v>
      </c>
      <c r="C23" s="26" t="s">
        <v>671</v>
      </c>
      <c r="D23" s="22" t="s">
        <v>567</v>
      </c>
      <c r="E23" s="22"/>
      <c r="F23" s="22">
        <v>251</v>
      </c>
      <c r="G23" s="108">
        <v>1482387.9852969393</v>
      </c>
      <c r="K23" s="1">
        <v>40291</v>
      </c>
      <c r="N23" s="117">
        <f t="shared" si="0"/>
        <v>1522678.9852969393</v>
      </c>
      <c r="O23" s="78">
        <v>1401520</v>
      </c>
      <c r="Q23" s="112">
        <v>617445.0147030612</v>
      </c>
      <c r="W23" s="1">
        <v>228146</v>
      </c>
      <c r="AF23" s="1">
        <v>204519</v>
      </c>
      <c r="AH23" s="1">
        <v>115239</v>
      </c>
      <c r="AV23" s="115">
        <f t="shared" si="1"/>
        <v>2566869.0147030614</v>
      </c>
      <c r="BC23" s="1">
        <v>64795</v>
      </c>
      <c r="BD23" s="1">
        <v>42401</v>
      </c>
      <c r="BE23" s="1">
        <v>18238</v>
      </c>
      <c r="BF23" s="120">
        <f t="shared" si="2"/>
        <v>125434</v>
      </c>
      <c r="CC23" s="125">
        <f t="shared" si="3"/>
        <v>0</v>
      </c>
      <c r="CK23" s="124">
        <f t="shared" si="4"/>
        <v>0</v>
      </c>
      <c r="CV23" s="129">
        <v>165725</v>
      </c>
    </row>
    <row r="24" spans="1:100">
      <c r="A24" s="1">
        <v>80</v>
      </c>
      <c r="B24" s="1">
        <v>6740</v>
      </c>
      <c r="C24" s="26" t="s">
        <v>569</v>
      </c>
      <c r="D24" s="22" t="s">
        <v>568</v>
      </c>
      <c r="E24" s="22"/>
      <c r="F24" s="22">
        <v>135</v>
      </c>
      <c r="G24" s="108">
        <v>76802.085843881316</v>
      </c>
      <c r="N24" s="117">
        <f t="shared" si="0"/>
        <v>76802.085843881316</v>
      </c>
      <c r="Q24" s="112">
        <v>239338.9141561187</v>
      </c>
      <c r="AF24" s="1">
        <v>1296566</v>
      </c>
      <c r="AH24" s="1">
        <v>69043</v>
      </c>
      <c r="AV24" s="115">
        <f t="shared" si="1"/>
        <v>1604947.9141561186</v>
      </c>
      <c r="BC24" s="1">
        <v>110972</v>
      </c>
      <c r="BD24" s="1">
        <v>34603</v>
      </c>
      <c r="BE24" s="1">
        <v>11178</v>
      </c>
      <c r="BF24" s="120">
        <f t="shared" si="2"/>
        <v>156753</v>
      </c>
      <c r="CC24" s="125">
        <f t="shared" si="3"/>
        <v>0</v>
      </c>
      <c r="CK24" s="124">
        <f t="shared" si="4"/>
        <v>0</v>
      </c>
      <c r="CV24" s="129">
        <v>156753</v>
      </c>
    </row>
    <row r="25" spans="1:100">
      <c r="A25" s="1">
        <v>80</v>
      </c>
      <c r="B25" s="1">
        <v>6810</v>
      </c>
      <c r="C25" s="141" t="s">
        <v>673</v>
      </c>
      <c r="D25" s="142" t="s">
        <v>570</v>
      </c>
      <c r="E25" s="142"/>
      <c r="F25" s="142">
        <v>94.5</v>
      </c>
      <c r="G25" s="108">
        <v>29309.45465895674</v>
      </c>
      <c r="I25" s="1"/>
      <c r="N25" s="117">
        <f t="shared" si="0"/>
        <v>29309.45465895674</v>
      </c>
      <c r="Q25" s="112">
        <v>134735.54534104324</v>
      </c>
      <c r="W25" s="1">
        <v>50525</v>
      </c>
      <c r="AF25" s="1">
        <v>753481</v>
      </c>
      <c r="AH25" s="1">
        <v>35679</v>
      </c>
      <c r="AU25" s="1">
        <v>1638</v>
      </c>
      <c r="AV25" s="115">
        <f t="shared" si="1"/>
        <v>976058.54534104327</v>
      </c>
      <c r="BC25" s="1">
        <v>72658</v>
      </c>
      <c r="BD25" s="1">
        <v>26141</v>
      </c>
      <c r="BE25" s="1">
        <v>26029</v>
      </c>
      <c r="BF25" s="120">
        <f t="shared" si="2"/>
        <v>124828</v>
      </c>
      <c r="CC25" s="125">
        <f t="shared" si="3"/>
        <v>0</v>
      </c>
      <c r="CK25" s="124">
        <f t="shared" si="4"/>
        <v>0</v>
      </c>
      <c r="CL25" s="107">
        <f>SUM(N25+AV25+BF25+CC26+CK26)</f>
        <v>1259902</v>
      </c>
      <c r="CV25" s="129">
        <v>126466</v>
      </c>
    </row>
    <row r="26" spans="1:100">
      <c r="A26" s="1">
        <v>80</v>
      </c>
      <c r="B26" s="1">
        <v>6910</v>
      </c>
      <c r="C26" s="2" t="s">
        <v>657</v>
      </c>
      <c r="D26" s="7" t="s">
        <v>571</v>
      </c>
      <c r="E26" s="22"/>
      <c r="F26" s="7">
        <v>505</v>
      </c>
      <c r="G26" s="109">
        <v>348970.77655424637</v>
      </c>
      <c r="N26" s="117">
        <f t="shared" si="0"/>
        <v>348970.77655424637</v>
      </c>
      <c r="O26" s="78">
        <v>2276775</v>
      </c>
      <c r="Q26" s="113">
        <v>743587.22344575357</v>
      </c>
      <c r="W26" s="1">
        <v>60091</v>
      </c>
      <c r="AF26" s="1">
        <v>1305249</v>
      </c>
      <c r="AH26" s="1">
        <v>132000</v>
      </c>
      <c r="AV26" s="115">
        <f t="shared" si="1"/>
        <v>4517702.2234457536</v>
      </c>
      <c r="BC26" s="1">
        <v>670116</v>
      </c>
      <c r="BD26" s="1">
        <v>85170</v>
      </c>
      <c r="BE26" s="1">
        <v>48289</v>
      </c>
      <c r="BF26" s="120">
        <f t="shared" si="2"/>
        <v>803575</v>
      </c>
      <c r="BO26" s="1">
        <v>65022</v>
      </c>
      <c r="BP26" s="1">
        <v>64684</v>
      </c>
      <c r="CC26" s="125">
        <f t="shared" si="3"/>
        <v>129706</v>
      </c>
      <c r="CK26" s="124">
        <f t="shared" si="4"/>
        <v>0</v>
      </c>
      <c r="CV26" s="129">
        <v>803575</v>
      </c>
    </row>
    <row r="27" spans="1:100">
      <c r="A27" s="1">
        <v>80</v>
      </c>
      <c r="B27" s="1">
        <v>6915</v>
      </c>
      <c r="C27" s="2" t="s">
        <v>657</v>
      </c>
      <c r="D27" s="7" t="s">
        <v>572</v>
      </c>
      <c r="E27" s="22"/>
      <c r="F27" s="7">
        <v>494</v>
      </c>
      <c r="G27" s="108">
        <v>368589.85643494938</v>
      </c>
      <c r="N27" s="117">
        <f t="shared" si="0"/>
        <v>368589.85643494938</v>
      </c>
      <c r="Q27" s="112">
        <v>806127.14356505068</v>
      </c>
      <c r="W27" s="1">
        <v>132810</v>
      </c>
      <c r="AF27" s="1">
        <v>3753870</v>
      </c>
      <c r="AH27" s="1">
        <v>161209</v>
      </c>
      <c r="AU27" s="1">
        <v>1892</v>
      </c>
      <c r="AV27" s="115">
        <f t="shared" si="1"/>
        <v>4855908.1435650503</v>
      </c>
      <c r="BC27" s="1">
        <v>300676</v>
      </c>
      <c r="BD27" s="1">
        <v>96131</v>
      </c>
      <c r="BE27" s="1">
        <v>70581</v>
      </c>
      <c r="BF27" s="120">
        <f t="shared" si="2"/>
        <v>467388</v>
      </c>
      <c r="CC27" s="125">
        <f t="shared" si="3"/>
        <v>0</v>
      </c>
      <c r="CK27" s="124">
        <f t="shared" si="4"/>
        <v>0</v>
      </c>
      <c r="CV27" s="129">
        <v>469280</v>
      </c>
    </row>
    <row r="28" spans="1:100">
      <c r="A28" s="1">
        <v>80</v>
      </c>
      <c r="B28" s="1">
        <v>7100</v>
      </c>
      <c r="C28" s="139" t="s">
        <v>667</v>
      </c>
      <c r="D28" s="140" t="s">
        <v>573</v>
      </c>
      <c r="E28" s="140"/>
      <c r="F28" s="140">
        <v>443</v>
      </c>
      <c r="G28" s="109">
        <v>185215.10056276582</v>
      </c>
      <c r="N28" s="117">
        <f t="shared" si="0"/>
        <v>185215.10056276582</v>
      </c>
      <c r="Q28" s="113">
        <v>577992.89943723427</v>
      </c>
      <c r="AF28" s="1">
        <v>3620192</v>
      </c>
      <c r="AH28" s="1">
        <v>161510</v>
      </c>
      <c r="AV28" s="115">
        <f t="shared" si="1"/>
        <v>4359694.8994372338</v>
      </c>
      <c r="BC28" s="1">
        <v>325286</v>
      </c>
      <c r="BD28" s="1">
        <v>96705</v>
      </c>
      <c r="BE28" s="1">
        <v>44518</v>
      </c>
      <c r="BF28" s="120">
        <f t="shared" si="2"/>
        <v>466509</v>
      </c>
      <c r="CC28" s="125">
        <f t="shared" si="3"/>
        <v>0</v>
      </c>
      <c r="CK28" s="124">
        <f t="shared" si="4"/>
        <v>0</v>
      </c>
      <c r="CV28" s="129">
        <v>466509</v>
      </c>
    </row>
    <row r="29" spans="1:100">
      <c r="A29" s="1">
        <v>80</v>
      </c>
      <c r="B29" s="1">
        <v>7109</v>
      </c>
      <c r="C29" s="26" t="s">
        <v>653</v>
      </c>
      <c r="D29" s="22" t="s">
        <v>574</v>
      </c>
      <c r="E29" s="22"/>
      <c r="F29" s="22">
        <v>774</v>
      </c>
      <c r="G29" s="108">
        <v>264692.66132019513</v>
      </c>
      <c r="N29" s="117">
        <f t="shared" si="0"/>
        <v>264692.66132019513</v>
      </c>
      <c r="O29" s="78">
        <v>5075202</v>
      </c>
      <c r="Q29" s="112">
        <v>1540066.3386798047</v>
      </c>
      <c r="W29" s="1">
        <v>167020</v>
      </c>
      <c r="X29" s="1">
        <v>20907</v>
      </c>
      <c r="AF29" s="1">
        <v>554157</v>
      </c>
      <c r="AG29" s="1">
        <v>215266</v>
      </c>
      <c r="AH29" s="1">
        <v>260176</v>
      </c>
      <c r="AM29" s="1">
        <v>327061</v>
      </c>
      <c r="AV29" s="115">
        <f t="shared" si="1"/>
        <v>8159855.3386798045</v>
      </c>
      <c r="BC29" s="1">
        <v>577652</v>
      </c>
      <c r="BD29" s="1">
        <v>151589</v>
      </c>
      <c r="BE29" s="1">
        <v>496172</v>
      </c>
      <c r="BF29" s="120">
        <f t="shared" si="2"/>
        <v>1225413</v>
      </c>
      <c r="BH29" s="1">
        <v>362413</v>
      </c>
      <c r="CC29" s="125">
        <f t="shared" si="3"/>
        <v>362413</v>
      </c>
      <c r="CK29" s="124">
        <f t="shared" si="4"/>
        <v>0</v>
      </c>
      <c r="CT29" s="23">
        <v>582624</v>
      </c>
      <c r="CV29" s="129">
        <v>2135098</v>
      </c>
    </row>
    <row r="30" spans="1:100">
      <c r="A30" s="1">
        <v>80</v>
      </c>
      <c r="B30" s="1">
        <v>7115</v>
      </c>
      <c r="C30" s="2" t="s">
        <v>657</v>
      </c>
      <c r="D30" s="7" t="s">
        <v>575</v>
      </c>
      <c r="E30" s="26"/>
      <c r="F30" s="7">
        <v>322</v>
      </c>
      <c r="G30" s="108">
        <v>266399.35048949241</v>
      </c>
      <c r="I30" s="1">
        <v>1613923</v>
      </c>
      <c r="K30" s="1">
        <v>88637</v>
      </c>
      <c r="N30" s="117">
        <f t="shared" si="0"/>
        <v>1968959.3504894925</v>
      </c>
      <c r="Q30" s="112">
        <v>582630.64951050759</v>
      </c>
      <c r="U30" s="1">
        <v>122868</v>
      </c>
      <c r="W30" s="1">
        <v>150221</v>
      </c>
      <c r="X30" s="1">
        <v>2336</v>
      </c>
      <c r="AF30" s="1">
        <v>562084</v>
      </c>
      <c r="AG30" s="1">
        <v>118066</v>
      </c>
      <c r="AV30" s="115">
        <f t="shared" si="1"/>
        <v>1538205.6495105075</v>
      </c>
      <c r="BC30" s="1">
        <v>125760</v>
      </c>
      <c r="BD30" s="1">
        <v>48427</v>
      </c>
      <c r="BF30" s="120">
        <f t="shared" si="2"/>
        <v>174187</v>
      </c>
      <c r="CC30" s="125">
        <f t="shared" si="3"/>
        <v>0</v>
      </c>
      <c r="CK30" s="124">
        <f t="shared" si="4"/>
        <v>0</v>
      </c>
      <c r="CV30" s="129">
        <v>262824</v>
      </c>
    </row>
    <row r="31" spans="1:100">
      <c r="A31" s="1">
        <v>80</v>
      </c>
      <c r="B31" s="1">
        <v>7210</v>
      </c>
      <c r="C31" s="139" t="s">
        <v>667</v>
      </c>
      <c r="D31" s="140" t="s">
        <v>578</v>
      </c>
      <c r="E31" s="139"/>
      <c r="F31" s="140">
        <v>359</v>
      </c>
      <c r="G31" s="109">
        <v>153396.6261218499</v>
      </c>
      <c r="N31" s="117">
        <f t="shared" si="0"/>
        <v>153396.6261218499</v>
      </c>
      <c r="Q31" s="113">
        <v>478934.37387815013</v>
      </c>
      <c r="AF31" s="1">
        <v>2939449</v>
      </c>
      <c r="AH31" s="1">
        <v>20004</v>
      </c>
      <c r="AV31" s="115">
        <f t="shared" si="1"/>
        <v>3438387.3738781502</v>
      </c>
      <c r="BC31" s="1">
        <v>350177</v>
      </c>
      <c r="BE31" s="1">
        <v>100700</v>
      </c>
      <c r="BF31" s="120">
        <f t="shared" si="2"/>
        <v>450877</v>
      </c>
      <c r="BU31" s="1">
        <v>27893</v>
      </c>
      <c r="CC31" s="125">
        <f t="shared" si="3"/>
        <v>27893</v>
      </c>
      <c r="CK31" s="124">
        <f t="shared" si="4"/>
        <v>0</v>
      </c>
      <c r="CV31" s="129">
        <v>450877</v>
      </c>
    </row>
    <row r="32" spans="1:100">
      <c r="A32" s="1">
        <v>80</v>
      </c>
      <c r="B32" s="1">
        <v>7280</v>
      </c>
      <c r="C32" s="139" t="s">
        <v>667</v>
      </c>
      <c r="D32" s="140" t="s">
        <v>566</v>
      </c>
      <c r="E32" s="140"/>
      <c r="F32" s="140">
        <v>171.3</v>
      </c>
      <c r="G32" s="108">
        <v>83509.124134055935</v>
      </c>
      <c r="K32" s="1">
        <v>10000</v>
      </c>
      <c r="N32" s="117">
        <f t="shared" si="0"/>
        <v>93509.124134055935</v>
      </c>
      <c r="O32" s="78">
        <v>1056725</v>
      </c>
      <c r="Q32" s="112">
        <v>260731.87586594408</v>
      </c>
      <c r="W32" s="1">
        <v>49386</v>
      </c>
      <c r="AD32" s="1">
        <v>162776</v>
      </c>
      <c r="AF32" s="1">
        <v>79312</v>
      </c>
      <c r="AH32" s="1">
        <v>61517</v>
      </c>
      <c r="AV32" s="115">
        <f t="shared" si="1"/>
        <v>1670447.8758659442</v>
      </c>
      <c r="AZ32" s="1">
        <v>11663</v>
      </c>
      <c r="BC32" s="1">
        <v>139803</v>
      </c>
      <c r="BD32" s="1">
        <v>29249</v>
      </c>
      <c r="BF32" s="120">
        <f t="shared" si="2"/>
        <v>180715</v>
      </c>
      <c r="BU32" s="1">
        <v>11176</v>
      </c>
      <c r="CC32" s="125">
        <f t="shared" si="3"/>
        <v>11176</v>
      </c>
      <c r="CK32" s="124">
        <f t="shared" si="4"/>
        <v>0</v>
      </c>
      <c r="CV32" s="129">
        <v>190715</v>
      </c>
    </row>
    <row r="33" spans="1:100">
      <c r="A33" s="1">
        <v>80</v>
      </c>
      <c r="B33" s="1">
        <v>7290</v>
      </c>
      <c r="C33" s="139" t="s">
        <v>667</v>
      </c>
      <c r="D33" s="140" t="s">
        <v>579</v>
      </c>
      <c r="E33" s="140"/>
      <c r="F33" s="140">
        <v>508</v>
      </c>
      <c r="G33" s="109">
        <v>181243.18957659276</v>
      </c>
      <c r="N33" s="117">
        <f t="shared" si="0"/>
        <v>181243.18957659276</v>
      </c>
      <c r="Q33" s="113">
        <v>565876.81042340724</v>
      </c>
      <c r="AF33" s="1">
        <v>3775494</v>
      </c>
      <c r="AH33" s="1">
        <v>144177</v>
      </c>
      <c r="AV33" s="115">
        <f t="shared" ref="AV33:AV56" si="5">SUM(O33:AU33)</f>
        <v>4485547.8104234077</v>
      </c>
      <c r="BC33" s="1">
        <v>540738</v>
      </c>
      <c r="BD33" s="1">
        <v>80906</v>
      </c>
      <c r="BE33" s="1">
        <v>103550</v>
      </c>
      <c r="BF33" s="120">
        <f t="shared" ref="BF33:BF56" si="6">SUM(AW33:BE33)</f>
        <v>725194</v>
      </c>
      <c r="BH33" s="1">
        <v>4174</v>
      </c>
      <c r="CC33" s="125">
        <f t="shared" ref="CC33:CC56" si="7">SUM(BG33:CB33)</f>
        <v>4174</v>
      </c>
      <c r="CK33" s="124">
        <f t="shared" ref="CK33:CK56" si="8">SUM(CD33:CJ33)</f>
        <v>0</v>
      </c>
      <c r="CV33" s="129">
        <v>725194</v>
      </c>
    </row>
    <row r="34" spans="1:100">
      <c r="A34" s="1">
        <v>80</v>
      </c>
      <c r="B34" s="1">
        <v>7320</v>
      </c>
      <c r="C34" s="139" t="s">
        <v>667</v>
      </c>
      <c r="D34" s="140" t="s">
        <v>580</v>
      </c>
      <c r="E34" s="140"/>
      <c r="F34" s="140">
        <v>451</v>
      </c>
      <c r="G34" s="108">
        <v>267018.09616948449</v>
      </c>
      <c r="N34" s="117">
        <f t="shared" si="0"/>
        <v>267018.09616948449</v>
      </c>
      <c r="Q34" s="112">
        <v>833682.90383051557</v>
      </c>
      <c r="AF34" s="1">
        <v>3761939</v>
      </c>
      <c r="AH34" s="1">
        <v>212193</v>
      </c>
      <c r="AU34" s="1">
        <v>90688</v>
      </c>
      <c r="AV34" s="115">
        <f t="shared" si="5"/>
        <v>4898502.9038305152</v>
      </c>
      <c r="BC34" s="1">
        <v>402521</v>
      </c>
      <c r="BD34" s="1">
        <v>65204</v>
      </c>
      <c r="BE34" s="1">
        <v>239596</v>
      </c>
      <c r="BF34" s="120">
        <f t="shared" si="6"/>
        <v>707321</v>
      </c>
      <c r="CC34" s="125">
        <f t="shared" si="7"/>
        <v>0</v>
      </c>
      <c r="CK34" s="124">
        <f t="shared" si="8"/>
        <v>0</v>
      </c>
      <c r="CV34" s="129">
        <v>798009</v>
      </c>
    </row>
    <row r="35" spans="1:100">
      <c r="A35" s="1">
        <v>80</v>
      </c>
      <c r="B35" s="1">
        <v>7325</v>
      </c>
      <c r="C35" s="139" t="s">
        <v>667</v>
      </c>
      <c r="D35" s="140" t="s">
        <v>600</v>
      </c>
      <c r="E35" s="140"/>
      <c r="F35" s="140">
        <v>467</v>
      </c>
      <c r="G35" s="108">
        <v>274966.60509736178</v>
      </c>
      <c r="I35" s="1">
        <v>2699210</v>
      </c>
      <c r="K35" s="1">
        <v>192750</v>
      </c>
      <c r="N35" s="117">
        <f t="shared" si="0"/>
        <v>3166926.6050973618</v>
      </c>
      <c r="Q35" s="112">
        <v>860282.39490263839</v>
      </c>
      <c r="W35" s="1">
        <v>129781</v>
      </c>
      <c r="AF35" s="1">
        <v>634003</v>
      </c>
      <c r="AH35" s="1">
        <v>124814</v>
      </c>
      <c r="AV35" s="115">
        <f t="shared" si="5"/>
        <v>1748880.3949026384</v>
      </c>
      <c r="BC35" s="1">
        <v>317673</v>
      </c>
      <c r="BD35" s="1">
        <v>70308</v>
      </c>
      <c r="BE35" s="1">
        <v>22954</v>
      </c>
      <c r="BF35" s="120">
        <f t="shared" si="6"/>
        <v>410935</v>
      </c>
      <c r="CC35" s="125">
        <f t="shared" si="7"/>
        <v>0</v>
      </c>
      <c r="CK35" s="124">
        <f t="shared" si="8"/>
        <v>0</v>
      </c>
      <c r="CV35" s="129">
        <v>603685</v>
      </c>
    </row>
    <row r="36" spans="1:100">
      <c r="A36" s="1">
        <v>80</v>
      </c>
      <c r="B36" s="1">
        <v>7410</v>
      </c>
      <c r="C36" s="26" t="s">
        <v>662</v>
      </c>
      <c r="D36" s="22" t="s">
        <v>661</v>
      </c>
      <c r="E36" s="22"/>
      <c r="F36" s="22">
        <v>251</v>
      </c>
      <c r="G36" s="108">
        <v>1178176.4091316129</v>
      </c>
      <c r="N36" s="117">
        <f t="shared" ref="N36:N56" si="9">SUM(G36:M36)</f>
        <v>1178176.4091316129</v>
      </c>
      <c r="O36" s="78">
        <v>701118</v>
      </c>
      <c r="Q36" s="112">
        <v>500183.59086838691</v>
      </c>
      <c r="W36" s="1">
        <v>159612</v>
      </c>
      <c r="AF36" s="1">
        <v>194093</v>
      </c>
      <c r="AH36" s="1">
        <v>92893</v>
      </c>
      <c r="AM36" s="1">
        <v>46794</v>
      </c>
      <c r="AV36" s="115">
        <f t="shared" si="5"/>
        <v>1694693.5908683869</v>
      </c>
      <c r="AX36" s="1">
        <v>1000</v>
      </c>
      <c r="BB36" s="1">
        <v>36052</v>
      </c>
      <c r="BC36" s="1">
        <v>82902</v>
      </c>
      <c r="BD36" s="1">
        <v>34529</v>
      </c>
      <c r="BE36" s="1">
        <v>2585</v>
      </c>
      <c r="BF36" s="120">
        <f t="shared" si="6"/>
        <v>157068</v>
      </c>
      <c r="CC36" s="125">
        <f t="shared" si="7"/>
        <v>0</v>
      </c>
      <c r="CK36" s="124">
        <f t="shared" si="8"/>
        <v>0</v>
      </c>
      <c r="CV36" s="129">
        <v>203862</v>
      </c>
    </row>
    <row r="37" spans="1:100">
      <c r="A37" s="1">
        <v>80</v>
      </c>
      <c r="B37" s="1">
        <v>7420</v>
      </c>
      <c r="C37" s="26" t="s">
        <v>582</v>
      </c>
      <c r="D37" s="22" t="s">
        <v>581</v>
      </c>
      <c r="E37" s="22"/>
      <c r="F37" s="22">
        <v>354</v>
      </c>
      <c r="G37" s="108">
        <v>2605924.1982836849</v>
      </c>
      <c r="N37" s="117">
        <f t="shared" si="9"/>
        <v>2605924.1982836849</v>
      </c>
      <c r="Q37" s="112">
        <v>127850.80171631463</v>
      </c>
      <c r="W37" s="1">
        <v>195844</v>
      </c>
      <c r="AF37" s="1">
        <v>1367428</v>
      </c>
      <c r="AG37" s="1">
        <v>153924</v>
      </c>
      <c r="AH37" s="1">
        <v>146793</v>
      </c>
      <c r="AV37" s="115">
        <f t="shared" si="5"/>
        <v>1991839.8017163146</v>
      </c>
      <c r="BC37" s="1">
        <v>282375</v>
      </c>
      <c r="BD37" s="1">
        <v>76095</v>
      </c>
      <c r="BE37" s="1">
        <v>43969</v>
      </c>
      <c r="BF37" s="120">
        <f t="shared" si="6"/>
        <v>402439</v>
      </c>
      <c r="CC37" s="125">
        <f t="shared" si="7"/>
        <v>0</v>
      </c>
      <c r="CK37" s="124">
        <f t="shared" si="8"/>
        <v>0</v>
      </c>
      <c r="CV37" s="129">
        <v>402439</v>
      </c>
    </row>
    <row r="38" spans="1:100">
      <c r="A38" s="1">
        <v>80</v>
      </c>
      <c r="B38" s="1">
        <v>7500</v>
      </c>
      <c r="C38" s="26" t="s">
        <v>584</v>
      </c>
      <c r="D38" s="22" t="s">
        <v>583</v>
      </c>
      <c r="E38" s="22"/>
      <c r="F38" s="22">
        <v>106</v>
      </c>
      <c r="G38" s="108">
        <v>59449.550629151709</v>
      </c>
      <c r="N38" s="117">
        <f t="shared" si="9"/>
        <v>59449.550629151709</v>
      </c>
      <c r="Q38" s="112">
        <v>172862.44937084828</v>
      </c>
      <c r="AF38" s="1">
        <v>759274</v>
      </c>
      <c r="AH38" s="1">
        <v>30272</v>
      </c>
      <c r="AV38" s="115">
        <f t="shared" si="5"/>
        <v>962408.44937084825</v>
      </c>
      <c r="BF38" s="120">
        <f t="shared" si="6"/>
        <v>0</v>
      </c>
      <c r="CC38" s="125">
        <f t="shared" si="7"/>
        <v>0</v>
      </c>
      <c r="CK38" s="124">
        <f t="shared" si="8"/>
        <v>0</v>
      </c>
    </row>
    <row r="39" spans="1:100">
      <c r="A39" s="1">
        <v>80</v>
      </c>
      <c r="B39" s="1">
        <v>7503</v>
      </c>
      <c r="C39" s="26" t="s">
        <v>548</v>
      </c>
      <c r="D39" s="22" t="s">
        <v>585</v>
      </c>
      <c r="E39" s="22"/>
      <c r="F39" s="22">
        <v>397</v>
      </c>
      <c r="G39" s="108">
        <v>197178.29149809363</v>
      </c>
      <c r="N39" s="117">
        <f t="shared" si="9"/>
        <v>197178.29149809363</v>
      </c>
      <c r="Q39" s="112">
        <v>617858.70850190637</v>
      </c>
      <c r="X39" s="1">
        <v>21258</v>
      </c>
      <c r="AH39" s="1">
        <v>109658</v>
      </c>
      <c r="AI39" s="1">
        <v>3238838</v>
      </c>
      <c r="AU39" s="1">
        <v>2125</v>
      </c>
      <c r="AV39" s="115">
        <f t="shared" si="5"/>
        <v>3989737.7085019061</v>
      </c>
      <c r="BC39" s="1">
        <v>171638</v>
      </c>
      <c r="BD39" s="1">
        <v>51728</v>
      </c>
      <c r="BE39" s="1">
        <v>80825</v>
      </c>
      <c r="BF39" s="120">
        <f t="shared" si="6"/>
        <v>304191</v>
      </c>
      <c r="CC39" s="125">
        <f t="shared" si="7"/>
        <v>0</v>
      </c>
      <c r="CK39" s="124">
        <f t="shared" si="8"/>
        <v>0</v>
      </c>
      <c r="CV39" s="129">
        <v>306316</v>
      </c>
    </row>
    <row r="40" spans="1:100">
      <c r="A40" s="1">
        <v>80</v>
      </c>
      <c r="B40" s="1">
        <v>7520</v>
      </c>
      <c r="C40" s="26" t="s">
        <v>587</v>
      </c>
      <c r="D40" s="22" t="s">
        <v>586</v>
      </c>
      <c r="E40" s="22"/>
      <c r="F40" s="22">
        <v>555</v>
      </c>
      <c r="G40" s="108">
        <v>623956.67501121154</v>
      </c>
      <c r="N40" s="117">
        <f t="shared" si="9"/>
        <v>623956.67501121154</v>
      </c>
      <c r="Q40" s="112">
        <v>1075634.3249887887</v>
      </c>
      <c r="W40" s="1">
        <v>171189</v>
      </c>
      <c r="AF40" s="1">
        <v>3877698</v>
      </c>
      <c r="AH40" s="1">
        <v>173391</v>
      </c>
      <c r="AU40" s="1">
        <v>3993</v>
      </c>
      <c r="AV40" s="115">
        <f t="shared" si="5"/>
        <v>5301905.3249887889</v>
      </c>
      <c r="BC40" s="1">
        <v>274711</v>
      </c>
      <c r="BD40" s="1">
        <v>156027</v>
      </c>
      <c r="BE40" s="1">
        <v>154934</v>
      </c>
      <c r="BF40" s="120">
        <f t="shared" si="6"/>
        <v>585672</v>
      </c>
      <c r="CC40" s="125">
        <f t="shared" si="7"/>
        <v>0</v>
      </c>
      <c r="CK40" s="124">
        <f t="shared" si="8"/>
        <v>0</v>
      </c>
      <c r="CV40" s="129">
        <v>589665</v>
      </c>
    </row>
    <row r="41" spans="1:100">
      <c r="A41" s="1">
        <v>80</v>
      </c>
      <c r="B41" s="1">
        <v>7540</v>
      </c>
      <c r="C41" s="26" t="s">
        <v>589</v>
      </c>
      <c r="D41" s="22" t="s">
        <v>588</v>
      </c>
      <c r="E41" s="22"/>
      <c r="F41" s="22">
        <v>290</v>
      </c>
      <c r="G41" s="108">
        <v>2411356.8350409572</v>
      </c>
      <c r="N41" s="117">
        <f t="shared" si="9"/>
        <v>2411356.8350409572</v>
      </c>
      <c r="Q41" s="112">
        <v>80.164959042699081</v>
      </c>
      <c r="W41" s="1">
        <v>38575</v>
      </c>
      <c r="AF41" s="1">
        <v>1619154</v>
      </c>
      <c r="AH41" s="1">
        <v>105722</v>
      </c>
      <c r="AU41" s="1">
        <v>768</v>
      </c>
      <c r="AV41" s="115">
        <f t="shared" si="5"/>
        <v>1764299.1649590428</v>
      </c>
      <c r="BC41" s="1">
        <v>10816</v>
      </c>
      <c r="BD41" s="1">
        <v>35746</v>
      </c>
      <c r="BE41" s="1">
        <v>6331</v>
      </c>
      <c r="BF41" s="120">
        <f t="shared" si="6"/>
        <v>52893</v>
      </c>
      <c r="BO41" s="1">
        <v>26739</v>
      </c>
      <c r="CC41" s="125">
        <f t="shared" si="7"/>
        <v>26739</v>
      </c>
      <c r="CK41" s="124">
        <f t="shared" si="8"/>
        <v>0</v>
      </c>
      <c r="CV41" s="129">
        <v>53661</v>
      </c>
    </row>
    <row r="42" spans="1:100">
      <c r="A42" s="1">
        <v>80</v>
      </c>
      <c r="B42" s="1">
        <v>7600</v>
      </c>
      <c r="C42" s="26" t="s">
        <v>659</v>
      </c>
      <c r="D42" s="22" t="s">
        <v>590</v>
      </c>
      <c r="E42" s="22"/>
      <c r="F42" s="22">
        <v>242</v>
      </c>
      <c r="G42" s="108">
        <v>155198.12356359529</v>
      </c>
      <c r="N42" s="117">
        <f t="shared" si="9"/>
        <v>155198.12356359529</v>
      </c>
      <c r="Q42" s="112">
        <v>388779.87643640471</v>
      </c>
      <c r="W42" s="1">
        <v>34535</v>
      </c>
      <c r="AF42" s="1">
        <v>1884177</v>
      </c>
      <c r="AH42" s="1">
        <v>68339</v>
      </c>
      <c r="AU42" s="1">
        <v>13235</v>
      </c>
      <c r="AV42" s="115">
        <f t="shared" si="5"/>
        <v>2389065.8764364049</v>
      </c>
      <c r="BC42" s="1">
        <v>115184</v>
      </c>
      <c r="BD42" s="1">
        <v>63799</v>
      </c>
      <c r="BE42" s="1">
        <v>606768</v>
      </c>
      <c r="BF42" s="120">
        <f t="shared" si="6"/>
        <v>785751</v>
      </c>
      <c r="CC42" s="125">
        <f t="shared" si="7"/>
        <v>0</v>
      </c>
      <c r="CK42" s="124">
        <f t="shared" si="8"/>
        <v>0</v>
      </c>
      <c r="CV42" s="129">
        <v>798986</v>
      </c>
    </row>
    <row r="43" spans="1:100">
      <c r="A43" s="1">
        <v>80</v>
      </c>
      <c r="B43" s="1">
        <v>7720</v>
      </c>
      <c r="C43" s="26" t="s">
        <v>592</v>
      </c>
      <c r="D43" s="22" t="s">
        <v>591</v>
      </c>
      <c r="E43" s="22"/>
      <c r="F43" s="22">
        <v>156</v>
      </c>
      <c r="G43" s="108">
        <v>1315952</v>
      </c>
      <c r="K43" s="1">
        <v>58357</v>
      </c>
      <c r="N43" s="117">
        <f t="shared" si="9"/>
        <v>1374309</v>
      </c>
      <c r="Q43" s="112">
        <v>0</v>
      </c>
      <c r="W43" s="1">
        <v>272488</v>
      </c>
      <c r="X43" s="1">
        <v>30602</v>
      </c>
      <c r="AF43" s="1">
        <v>647532</v>
      </c>
      <c r="AG43" s="1">
        <v>60459</v>
      </c>
      <c r="AH43" s="1">
        <v>70045</v>
      </c>
      <c r="AM43" s="1">
        <v>51176</v>
      </c>
      <c r="AU43" s="1">
        <v>25000</v>
      </c>
      <c r="AV43" s="115">
        <f t="shared" si="5"/>
        <v>1157302</v>
      </c>
      <c r="BC43" s="1">
        <v>91820</v>
      </c>
      <c r="BD43" s="1">
        <v>27583</v>
      </c>
      <c r="BE43" s="1">
        <v>8795</v>
      </c>
      <c r="BF43" s="120">
        <f t="shared" si="6"/>
        <v>128198</v>
      </c>
      <c r="CC43" s="125">
        <f t="shared" si="7"/>
        <v>0</v>
      </c>
      <c r="CK43" s="124">
        <f t="shared" si="8"/>
        <v>0</v>
      </c>
      <c r="CT43" s="23">
        <v>79189</v>
      </c>
      <c r="CV43" s="129">
        <v>341920</v>
      </c>
    </row>
    <row r="44" spans="1:100">
      <c r="A44" s="1">
        <v>80</v>
      </c>
      <c r="B44" s="1">
        <v>7727</v>
      </c>
      <c r="C44" s="26" t="s">
        <v>594</v>
      </c>
      <c r="D44" s="22" t="s">
        <v>593</v>
      </c>
      <c r="E44" s="22"/>
      <c r="F44" s="22">
        <v>100</v>
      </c>
      <c r="G44" s="108">
        <v>660091.24753322604</v>
      </c>
      <c r="K44" s="1">
        <v>16495</v>
      </c>
      <c r="N44" s="117">
        <f t="shared" si="9"/>
        <v>676586.24753322604</v>
      </c>
      <c r="Q44" s="112">
        <v>171661.75246677402</v>
      </c>
      <c r="AH44" s="1">
        <v>30350</v>
      </c>
      <c r="AI44" s="1">
        <v>153002</v>
      </c>
      <c r="AU44" s="1">
        <v>1645</v>
      </c>
      <c r="AV44" s="115">
        <f t="shared" si="5"/>
        <v>356658.75246677402</v>
      </c>
      <c r="BD44" s="1">
        <v>18973</v>
      </c>
      <c r="BE44" s="1">
        <v>2390</v>
      </c>
      <c r="BF44" s="120">
        <f t="shared" si="6"/>
        <v>21363</v>
      </c>
      <c r="CC44" s="125">
        <f t="shared" si="7"/>
        <v>0</v>
      </c>
      <c r="CK44" s="124">
        <f t="shared" si="8"/>
        <v>0</v>
      </c>
      <c r="CV44" s="129">
        <v>39503</v>
      </c>
    </row>
    <row r="45" spans="1:100">
      <c r="A45" s="1">
        <v>80</v>
      </c>
      <c r="B45" s="1">
        <v>7730</v>
      </c>
      <c r="C45" s="139" t="s">
        <v>667</v>
      </c>
      <c r="D45" s="140" t="s">
        <v>595</v>
      </c>
      <c r="E45" s="140"/>
      <c r="F45" s="140">
        <v>450</v>
      </c>
      <c r="G45" s="108">
        <v>213881.85867286049</v>
      </c>
      <c r="K45" s="1">
        <v>25000</v>
      </c>
      <c r="N45" s="117">
        <f t="shared" si="9"/>
        <v>238881.85867286049</v>
      </c>
      <c r="O45" s="78">
        <v>2505594</v>
      </c>
      <c r="Q45" s="112">
        <v>667781.14132713957</v>
      </c>
      <c r="W45" s="1">
        <v>86079</v>
      </c>
      <c r="X45" s="1">
        <v>4672</v>
      </c>
      <c r="AF45" s="1">
        <v>580524</v>
      </c>
      <c r="AG45" s="1">
        <v>160867</v>
      </c>
      <c r="AH45" s="1">
        <v>141191</v>
      </c>
      <c r="AM45" s="1">
        <v>206868</v>
      </c>
      <c r="AV45" s="115">
        <f t="shared" si="5"/>
        <v>4353576.141327139</v>
      </c>
      <c r="BC45" s="1">
        <v>237658</v>
      </c>
      <c r="BD45" s="1">
        <v>80521</v>
      </c>
      <c r="BE45" s="1">
        <v>136716</v>
      </c>
      <c r="BF45" s="120">
        <f t="shared" si="6"/>
        <v>454895</v>
      </c>
      <c r="CC45" s="125">
        <f t="shared" si="7"/>
        <v>0</v>
      </c>
      <c r="CK45" s="124">
        <f t="shared" si="8"/>
        <v>0</v>
      </c>
      <c r="CT45" s="23">
        <v>365036</v>
      </c>
      <c r="CV45" s="129">
        <v>1051799</v>
      </c>
    </row>
    <row r="46" spans="1:100">
      <c r="A46" s="1">
        <v>80</v>
      </c>
      <c r="B46" s="1">
        <v>7735</v>
      </c>
      <c r="C46" s="139" t="s">
        <v>667</v>
      </c>
      <c r="D46" s="140" t="s">
        <v>577</v>
      </c>
      <c r="E46" s="140"/>
      <c r="F46" s="140">
        <v>112</v>
      </c>
      <c r="G46" s="108">
        <v>53034.107473586548</v>
      </c>
      <c r="N46" s="117">
        <f t="shared" si="9"/>
        <v>53034.107473586548</v>
      </c>
      <c r="P46" s="78">
        <v>666580</v>
      </c>
      <c r="Q46" s="112">
        <v>165582.89252641346</v>
      </c>
      <c r="AF46" s="1">
        <v>205885</v>
      </c>
      <c r="AH46" s="1">
        <v>24171</v>
      </c>
      <c r="AM46" s="1">
        <v>50884</v>
      </c>
      <c r="AO46" s="1">
        <v>32507</v>
      </c>
      <c r="AV46" s="115">
        <f t="shared" si="5"/>
        <v>1145609.8925264133</v>
      </c>
      <c r="AX46" s="1">
        <v>163911</v>
      </c>
      <c r="BF46" s="120">
        <f t="shared" si="6"/>
        <v>163911</v>
      </c>
      <c r="CC46" s="125">
        <f t="shared" si="7"/>
        <v>0</v>
      </c>
      <c r="CK46" s="124">
        <f t="shared" si="8"/>
        <v>0</v>
      </c>
      <c r="CV46" s="129">
        <v>247302</v>
      </c>
    </row>
    <row r="47" spans="1:100">
      <c r="A47" s="1">
        <v>80</v>
      </c>
      <c r="B47" s="1">
        <v>7820</v>
      </c>
      <c r="C47" s="2" t="s">
        <v>657</v>
      </c>
      <c r="D47" s="7" t="s">
        <v>596</v>
      </c>
      <c r="E47" s="22"/>
      <c r="F47" s="7">
        <v>165</v>
      </c>
      <c r="G47" s="108">
        <v>12769.284496402734</v>
      </c>
      <c r="N47" s="117">
        <f t="shared" si="9"/>
        <v>12769.284496402734</v>
      </c>
      <c r="O47" s="78">
        <v>2267098</v>
      </c>
      <c r="Q47" s="112">
        <v>27583.715503597268</v>
      </c>
      <c r="W47" s="1">
        <v>119103</v>
      </c>
      <c r="AF47" s="1">
        <v>830064</v>
      </c>
      <c r="AH47" s="1">
        <v>25762</v>
      </c>
      <c r="AV47" s="115">
        <f t="shared" si="5"/>
        <v>3269610.7155035972</v>
      </c>
      <c r="BC47" s="1">
        <v>451349</v>
      </c>
      <c r="BD47" s="1">
        <v>110363</v>
      </c>
      <c r="BE47" s="1">
        <v>60496</v>
      </c>
      <c r="BF47" s="120">
        <f t="shared" si="6"/>
        <v>622208</v>
      </c>
      <c r="CC47" s="125">
        <f t="shared" si="7"/>
        <v>0</v>
      </c>
      <c r="CK47" s="124">
        <f t="shared" si="8"/>
        <v>0</v>
      </c>
      <c r="CV47" s="129">
        <v>622208</v>
      </c>
    </row>
    <row r="48" spans="1:100">
      <c r="A48" s="1">
        <v>80</v>
      </c>
      <c r="B48" s="1">
        <v>7830</v>
      </c>
      <c r="C48" s="2" t="s">
        <v>657</v>
      </c>
      <c r="D48" s="7" t="s">
        <v>597</v>
      </c>
      <c r="E48" s="22"/>
      <c r="F48" s="7">
        <v>201</v>
      </c>
      <c r="G48" s="108">
        <v>157492.93144570314</v>
      </c>
      <c r="N48" s="117">
        <f t="shared" si="9"/>
        <v>157492.93144570314</v>
      </c>
      <c r="Q48" s="112">
        <v>344446.06855429686</v>
      </c>
      <c r="W48" s="1">
        <v>65649</v>
      </c>
      <c r="AF48" s="1">
        <v>1511178</v>
      </c>
      <c r="AH48" s="1">
        <v>63139</v>
      </c>
      <c r="AI48" s="1">
        <v>917</v>
      </c>
      <c r="AV48" s="115">
        <f t="shared" si="5"/>
        <v>1985329.0685542969</v>
      </c>
      <c r="BC48" s="1">
        <v>147039</v>
      </c>
      <c r="BD48" s="1">
        <v>48074</v>
      </c>
      <c r="BE48" s="1">
        <v>20875</v>
      </c>
      <c r="BF48" s="120">
        <f t="shared" si="6"/>
        <v>215988</v>
      </c>
      <c r="CC48" s="125">
        <f t="shared" si="7"/>
        <v>0</v>
      </c>
      <c r="CK48" s="124">
        <f t="shared" si="8"/>
        <v>0</v>
      </c>
      <c r="CV48" s="129">
        <v>215988</v>
      </c>
    </row>
    <row r="49" spans="1:100">
      <c r="A49" s="1">
        <v>80</v>
      </c>
      <c r="B49" s="1">
        <v>7850</v>
      </c>
      <c r="C49" s="26" t="s">
        <v>599</v>
      </c>
      <c r="D49" s="22" t="s">
        <v>598</v>
      </c>
      <c r="E49" s="22"/>
      <c r="F49" s="22">
        <v>100</v>
      </c>
      <c r="G49" s="108">
        <v>475805.7842961697</v>
      </c>
      <c r="N49" s="117">
        <f t="shared" si="9"/>
        <v>475805.7842961697</v>
      </c>
      <c r="Q49" s="112">
        <v>175423.2157038303</v>
      </c>
      <c r="W49" s="1">
        <v>99957</v>
      </c>
      <c r="AF49" s="1">
        <v>312021</v>
      </c>
      <c r="AG49" s="1">
        <v>36283</v>
      </c>
      <c r="AH49" s="1">
        <v>43372</v>
      </c>
      <c r="AV49" s="115">
        <f t="shared" si="5"/>
        <v>667056.21570383036</v>
      </c>
      <c r="BC49" s="1">
        <v>16745</v>
      </c>
      <c r="BD49" s="1">
        <v>18549</v>
      </c>
      <c r="BE49" s="1">
        <v>26437</v>
      </c>
      <c r="BF49" s="120">
        <f t="shared" si="6"/>
        <v>61731</v>
      </c>
      <c r="BP49" s="1">
        <v>5556</v>
      </c>
      <c r="CC49" s="125">
        <f t="shared" si="7"/>
        <v>5556</v>
      </c>
      <c r="CK49" s="124">
        <f t="shared" si="8"/>
        <v>0</v>
      </c>
      <c r="CV49" s="129">
        <v>61731</v>
      </c>
    </row>
    <row r="50" spans="1:100">
      <c r="A50" s="1">
        <v>80</v>
      </c>
      <c r="B50" s="1">
        <v>7890</v>
      </c>
      <c r="C50" s="26" t="s">
        <v>602</v>
      </c>
      <c r="D50" s="22" t="s">
        <v>601</v>
      </c>
      <c r="E50" s="22"/>
      <c r="F50" s="22">
        <v>240</v>
      </c>
      <c r="G50" s="108">
        <v>2009263.6405247524</v>
      </c>
      <c r="K50" s="1">
        <v>500</v>
      </c>
      <c r="N50" s="117">
        <f t="shared" si="9"/>
        <v>2009763.6405247524</v>
      </c>
      <c r="Q50" s="112">
        <v>2588.3594752476502</v>
      </c>
      <c r="W50" s="1">
        <v>134863</v>
      </c>
      <c r="AF50" s="1">
        <v>1299893</v>
      </c>
      <c r="AH50" s="1">
        <v>112791</v>
      </c>
      <c r="AV50" s="115">
        <f t="shared" si="5"/>
        <v>1550135.3594752476</v>
      </c>
      <c r="BC50" s="1">
        <v>35124</v>
      </c>
      <c r="BD50" s="1">
        <v>33405</v>
      </c>
      <c r="BE50" s="1">
        <v>8312</v>
      </c>
      <c r="BF50" s="120">
        <f t="shared" si="6"/>
        <v>76841</v>
      </c>
      <c r="CC50" s="125">
        <f t="shared" si="7"/>
        <v>0</v>
      </c>
      <c r="CK50" s="124">
        <f t="shared" si="8"/>
        <v>0</v>
      </c>
      <c r="CV50" s="129">
        <v>77341</v>
      </c>
    </row>
    <row r="51" spans="1:100">
      <c r="A51" s="1">
        <v>80</v>
      </c>
      <c r="B51" s="1">
        <v>7901</v>
      </c>
      <c r="C51" s="141" t="s">
        <v>673</v>
      </c>
      <c r="D51" s="142" t="s">
        <v>603</v>
      </c>
      <c r="E51" s="142"/>
      <c r="F51" s="142">
        <v>621</v>
      </c>
      <c r="G51" s="108">
        <v>166017.52731934897</v>
      </c>
      <c r="N51" s="117">
        <f t="shared" si="9"/>
        <v>166017.52731934897</v>
      </c>
      <c r="Q51" s="112">
        <v>763182.472680651</v>
      </c>
      <c r="W51" s="1">
        <v>206107</v>
      </c>
      <c r="X51" s="1">
        <v>2336</v>
      </c>
      <c r="AF51" s="1">
        <v>5005974</v>
      </c>
      <c r="AH51" s="1">
        <v>201848</v>
      </c>
      <c r="AU51" s="1">
        <v>847</v>
      </c>
      <c r="AV51" s="115">
        <f t="shared" si="5"/>
        <v>6180294.4726806507</v>
      </c>
      <c r="BC51" s="1">
        <v>566517</v>
      </c>
      <c r="BD51" s="1">
        <v>153456</v>
      </c>
      <c r="BE51" s="1">
        <v>103731</v>
      </c>
      <c r="BF51" s="120">
        <f t="shared" si="6"/>
        <v>823704</v>
      </c>
      <c r="CC51" s="125">
        <f t="shared" si="7"/>
        <v>0</v>
      </c>
      <c r="CK51" s="124">
        <f t="shared" si="8"/>
        <v>0</v>
      </c>
      <c r="CV51" s="129">
        <v>824551</v>
      </c>
    </row>
    <row r="52" spans="1:100">
      <c r="A52" s="1">
        <v>80</v>
      </c>
      <c r="B52" s="1">
        <v>8010</v>
      </c>
      <c r="C52" s="26" t="s">
        <v>659</v>
      </c>
      <c r="D52" s="22" t="s">
        <v>604</v>
      </c>
      <c r="E52" s="22"/>
      <c r="F52" s="22">
        <v>178</v>
      </c>
      <c r="G52" s="108">
        <v>129312.25410327631</v>
      </c>
      <c r="N52" s="117">
        <f t="shared" si="9"/>
        <v>129312.25410327631</v>
      </c>
      <c r="Q52" s="112">
        <v>329350.7458967237</v>
      </c>
      <c r="W52" s="1">
        <v>51318</v>
      </c>
      <c r="AF52" s="1">
        <v>1396588</v>
      </c>
      <c r="AH52" s="1">
        <v>48620</v>
      </c>
      <c r="AU52" s="1">
        <v>252002</v>
      </c>
      <c r="AV52" s="115">
        <f t="shared" si="5"/>
        <v>2077878.7458967236</v>
      </c>
      <c r="AX52" s="1">
        <v>1349</v>
      </c>
      <c r="BC52" s="1">
        <v>133422</v>
      </c>
      <c r="BD52" s="1">
        <v>22860</v>
      </c>
      <c r="BE52" s="1">
        <v>3680</v>
      </c>
      <c r="BF52" s="120">
        <f t="shared" si="6"/>
        <v>161311</v>
      </c>
      <c r="CC52" s="125">
        <f t="shared" si="7"/>
        <v>0</v>
      </c>
      <c r="CK52" s="124">
        <f t="shared" si="8"/>
        <v>0</v>
      </c>
      <c r="CV52" s="129">
        <v>413313</v>
      </c>
    </row>
    <row r="53" spans="1:100">
      <c r="A53" s="1">
        <v>80</v>
      </c>
      <c r="B53" s="1">
        <v>8050</v>
      </c>
      <c r="C53" s="26" t="s">
        <v>606</v>
      </c>
      <c r="D53" s="22" t="s">
        <v>605</v>
      </c>
      <c r="E53" s="22"/>
      <c r="F53" s="22">
        <v>102</v>
      </c>
      <c r="G53" s="108">
        <v>116855.10123034242</v>
      </c>
      <c r="K53" s="1">
        <v>40642</v>
      </c>
      <c r="N53" s="117">
        <f t="shared" si="9"/>
        <v>157497.10123034241</v>
      </c>
      <c r="Q53" s="112">
        <v>17371.005383675318</v>
      </c>
      <c r="W53" s="1">
        <v>98441</v>
      </c>
      <c r="AF53" s="1">
        <v>386556</v>
      </c>
      <c r="AH53" s="1">
        <v>49971</v>
      </c>
      <c r="AU53" s="1">
        <v>526</v>
      </c>
      <c r="AV53" s="115">
        <f t="shared" si="5"/>
        <v>552865.00538367534</v>
      </c>
      <c r="BD53" s="1">
        <v>18853</v>
      </c>
      <c r="BF53" s="120">
        <f t="shared" si="6"/>
        <v>18853</v>
      </c>
      <c r="CC53" s="125">
        <f t="shared" si="7"/>
        <v>0</v>
      </c>
      <c r="CK53" s="124">
        <f t="shared" si="8"/>
        <v>0</v>
      </c>
      <c r="CV53" s="129">
        <v>60021</v>
      </c>
    </row>
    <row r="54" spans="1:100">
      <c r="A54" s="1">
        <v>80</v>
      </c>
      <c r="B54" s="1">
        <v>8060</v>
      </c>
      <c r="C54" s="2" t="s">
        <v>657</v>
      </c>
      <c r="D54" s="7" t="s">
        <v>607</v>
      </c>
      <c r="E54" s="22"/>
      <c r="F54" s="7">
        <v>405</v>
      </c>
      <c r="G54" s="108">
        <v>354483.74051447998</v>
      </c>
      <c r="K54" s="1">
        <v>5167</v>
      </c>
      <c r="N54" s="117">
        <f t="shared" si="9"/>
        <v>359650.74051447998</v>
      </c>
      <c r="Q54" s="112">
        <v>775276.25948551996</v>
      </c>
      <c r="W54" s="1">
        <v>135570</v>
      </c>
      <c r="AF54" s="1">
        <v>2847849</v>
      </c>
      <c r="AH54" s="1">
        <v>158898</v>
      </c>
      <c r="AU54" s="1">
        <v>4851</v>
      </c>
      <c r="AV54" s="115">
        <f t="shared" si="5"/>
        <v>3922444.25948552</v>
      </c>
      <c r="BC54" s="1">
        <v>81743</v>
      </c>
      <c r="BD54" s="1">
        <v>54552</v>
      </c>
      <c r="BE54" s="1">
        <v>7370</v>
      </c>
      <c r="BF54" s="120">
        <f t="shared" si="6"/>
        <v>143665</v>
      </c>
      <c r="CC54" s="125">
        <f t="shared" si="7"/>
        <v>0</v>
      </c>
      <c r="CK54" s="124">
        <f t="shared" si="8"/>
        <v>0</v>
      </c>
      <c r="CV54" s="129">
        <v>153683</v>
      </c>
    </row>
    <row r="55" spans="1:100">
      <c r="A55" s="1">
        <v>80</v>
      </c>
      <c r="B55" s="1">
        <v>8065</v>
      </c>
      <c r="C55" s="139" t="s">
        <v>667</v>
      </c>
      <c r="D55" s="140" t="s">
        <v>608</v>
      </c>
      <c r="E55" s="140"/>
      <c r="F55" s="140">
        <v>114</v>
      </c>
      <c r="G55" s="108">
        <v>39373.185888531043</v>
      </c>
      <c r="N55" s="117">
        <f t="shared" si="9"/>
        <v>39373.185888531043</v>
      </c>
      <c r="Q55" s="112">
        <v>122930.81411146896</v>
      </c>
      <c r="W55" s="1">
        <v>10043</v>
      </c>
      <c r="X55" s="1">
        <v>1051</v>
      </c>
      <c r="AF55" s="1">
        <v>962386</v>
      </c>
      <c r="AH55" s="1">
        <v>21150</v>
      </c>
      <c r="AU55" s="1">
        <v>579216</v>
      </c>
      <c r="AV55" s="115">
        <f t="shared" si="5"/>
        <v>1696776.8141114688</v>
      </c>
      <c r="BE55" s="1">
        <v>42522</v>
      </c>
      <c r="BF55" s="120">
        <f t="shared" si="6"/>
        <v>42522</v>
      </c>
      <c r="CC55" s="125">
        <f t="shared" si="7"/>
        <v>0</v>
      </c>
      <c r="CK55" s="124">
        <f t="shared" si="8"/>
        <v>0</v>
      </c>
      <c r="CV55" s="129">
        <v>621738</v>
      </c>
    </row>
    <row r="56" spans="1:100">
      <c r="A56" s="1">
        <v>80</v>
      </c>
      <c r="B56" s="1">
        <v>8140</v>
      </c>
      <c r="C56" s="141" t="s">
        <v>673</v>
      </c>
      <c r="D56" s="142" t="s">
        <v>609</v>
      </c>
      <c r="E56" s="142"/>
      <c r="F56" s="142">
        <v>355</v>
      </c>
      <c r="G56" s="108">
        <v>113463.69027210595</v>
      </c>
      <c r="I56" s="1">
        <v>2298132</v>
      </c>
      <c r="K56" s="1">
        <v>10473</v>
      </c>
      <c r="N56" s="117">
        <f t="shared" si="9"/>
        <v>2422068.6902721059</v>
      </c>
      <c r="Q56" s="112">
        <v>513902.30972789403</v>
      </c>
      <c r="W56" s="1">
        <v>42549</v>
      </c>
      <c r="AH56" s="1">
        <v>143801</v>
      </c>
      <c r="AI56" s="1">
        <v>687421</v>
      </c>
      <c r="AU56" s="1">
        <v>2829</v>
      </c>
      <c r="AV56" s="115">
        <f t="shared" si="5"/>
        <v>1390502.3097278941</v>
      </c>
      <c r="BC56" s="1">
        <v>245837</v>
      </c>
      <c r="BD56" s="1">
        <v>73568</v>
      </c>
      <c r="BE56" s="1">
        <v>61123</v>
      </c>
      <c r="BF56" s="120">
        <f t="shared" si="6"/>
        <v>380528</v>
      </c>
      <c r="CC56" s="125">
        <f t="shared" si="7"/>
        <v>0</v>
      </c>
      <c r="CK56" s="124">
        <f t="shared" si="8"/>
        <v>0</v>
      </c>
      <c r="CV56" s="129">
        <v>393830</v>
      </c>
    </row>
    <row r="57" spans="1:100" s="26" customFormat="1">
      <c r="A57" s="80"/>
      <c r="B57" s="80"/>
      <c r="D57" s="22" t="s">
        <v>524</v>
      </c>
      <c r="E57" s="22"/>
      <c r="F57" s="22">
        <f>SUM(F4:F56)</f>
        <v>15738.8</v>
      </c>
      <c r="G57" s="110"/>
      <c r="I57" s="80"/>
      <c r="K57" s="80"/>
      <c r="N57" s="134">
        <f>SUM(N4:N56)</f>
        <v>36433757.456340171</v>
      </c>
      <c r="Q57" s="114"/>
      <c r="W57" s="80"/>
      <c r="AH57" s="80"/>
      <c r="AI57" s="80"/>
      <c r="AU57" s="80"/>
      <c r="AV57" s="133">
        <f>SUM(AV4:AV56)</f>
        <v>140259174.65027383</v>
      </c>
      <c r="BC57" s="80"/>
      <c r="BD57" s="80"/>
      <c r="BE57" s="80"/>
      <c r="BF57" s="135">
        <f>SUM(BF4:BF56)</f>
        <v>17954507</v>
      </c>
      <c r="CC57" s="136">
        <f>SUM(CC4:CC56)</f>
        <v>996348</v>
      </c>
      <c r="CK57" s="138">
        <f>SUM(CK4:CK56)</f>
        <v>172344</v>
      </c>
      <c r="CL57" s="105">
        <f>SUM(N57:CK57)</f>
        <v>195816131.10661399</v>
      </c>
      <c r="CV57" s="129"/>
    </row>
    <row r="58" spans="1:100" s="26" customFormat="1">
      <c r="A58" s="80"/>
      <c r="B58" s="80"/>
      <c r="D58" s="22" t="s">
        <v>525</v>
      </c>
      <c r="E58" s="22"/>
      <c r="F58" s="22"/>
      <c r="G58" s="110"/>
      <c r="I58" s="80"/>
      <c r="K58" s="80"/>
      <c r="N58" s="134">
        <f>N57/$F$57</f>
        <v>2314.9005932053378</v>
      </c>
      <c r="Q58" s="114"/>
      <c r="W58" s="80"/>
      <c r="AH58" s="80"/>
      <c r="AI58" s="80"/>
      <c r="AU58" s="80"/>
      <c r="AV58" s="133">
        <f>AV57/$F$57</f>
        <v>8911.6816180568931</v>
      </c>
      <c r="BC58" s="80"/>
      <c r="BD58" s="80"/>
      <c r="BE58" s="80"/>
      <c r="BF58" s="135">
        <f>BF57/$F$57</f>
        <v>1140.7799196889216</v>
      </c>
      <c r="CC58" s="137">
        <f>CC57/$F$57</f>
        <v>63.305207512643918</v>
      </c>
      <c r="CK58" s="138">
        <f>CK57/$F$57</f>
        <v>10.950263044196509</v>
      </c>
      <c r="CL58" s="105">
        <f>SUM(N58:CK58)</f>
        <v>12441.617601507991</v>
      </c>
      <c r="CV58" s="129"/>
    </row>
    <row r="59" spans="1:100" s="26" customFormat="1">
      <c r="A59" s="80"/>
      <c r="B59" s="80"/>
      <c r="D59" s="22"/>
      <c r="E59" s="22"/>
      <c r="F59" s="22"/>
      <c r="G59" s="110"/>
      <c r="I59" s="80"/>
      <c r="K59" s="80"/>
      <c r="N59" s="117"/>
      <c r="Q59" s="114"/>
      <c r="W59" s="80"/>
      <c r="AH59" s="80"/>
      <c r="AI59" s="80"/>
      <c r="AU59" s="80"/>
      <c r="AV59" s="115"/>
      <c r="BC59" s="80"/>
      <c r="BD59" s="80"/>
      <c r="BE59" s="80"/>
      <c r="BF59" s="120"/>
      <c r="CC59" s="125"/>
      <c r="CK59" s="124"/>
      <c r="CV59" s="129"/>
    </row>
    <row r="60" spans="1:100">
      <c r="A60" s="1">
        <v>80</v>
      </c>
      <c r="B60" s="1">
        <v>6220</v>
      </c>
      <c r="C60" s="2" t="s">
        <v>657</v>
      </c>
      <c r="D60" s="7" t="s">
        <v>656</v>
      </c>
      <c r="E60" s="22"/>
      <c r="F60" s="7">
        <v>518</v>
      </c>
      <c r="G60" s="108">
        <v>350113.87872600707</v>
      </c>
      <c r="I60" s="1">
        <v>2299440</v>
      </c>
      <c r="N60" s="117">
        <f t="shared" ref="N60:N67" si="10">SUM(G60:M60)</f>
        <v>2649553.878726007</v>
      </c>
      <c r="Q60" s="112">
        <v>765719.12127399293</v>
      </c>
      <c r="W60" s="1">
        <v>401004</v>
      </c>
      <c r="AH60" s="1">
        <v>136909</v>
      </c>
      <c r="AM60" s="1">
        <v>130654</v>
      </c>
      <c r="AN60" s="1">
        <v>112475</v>
      </c>
      <c r="AU60" s="1">
        <v>359020</v>
      </c>
      <c r="AV60" s="115">
        <f t="shared" ref="AV60:AV67" si="11">SUM(O60:AU60)</f>
        <v>1905781.121273993</v>
      </c>
      <c r="BC60" s="1">
        <v>264127</v>
      </c>
      <c r="BD60" s="1">
        <v>89487</v>
      </c>
      <c r="BE60" s="1">
        <v>175429</v>
      </c>
      <c r="BF60" s="120">
        <f t="shared" ref="BF60:BF67" si="12">SUM(AW60:BE60)</f>
        <v>529043</v>
      </c>
      <c r="BR60" s="1">
        <v>101343</v>
      </c>
      <c r="CC60" s="125">
        <f t="shared" ref="CC60:CC67" si="13">SUM(BG60:CB60)</f>
        <v>101343</v>
      </c>
      <c r="CK60" s="124">
        <f t="shared" ref="CK60:CK67" si="14">SUM(CD60:CJ60)</f>
        <v>0</v>
      </c>
      <c r="CV60" s="129">
        <v>1131192</v>
      </c>
    </row>
    <row r="61" spans="1:100">
      <c r="A61" s="1">
        <v>80</v>
      </c>
      <c r="B61" s="1">
        <v>6235</v>
      </c>
      <c r="C61" s="2" t="s">
        <v>657</v>
      </c>
      <c r="D61" s="7" t="s">
        <v>576</v>
      </c>
      <c r="E61" s="22"/>
      <c r="F61" s="7">
        <v>337</v>
      </c>
      <c r="G61" s="108">
        <v>273261.15620479174</v>
      </c>
      <c r="N61" s="117">
        <f t="shared" si="10"/>
        <v>273261.15620479174</v>
      </c>
      <c r="Q61" s="112">
        <v>584910.84379520814</v>
      </c>
      <c r="W61" s="1">
        <v>153008</v>
      </c>
      <c r="X61" s="1">
        <v>5840</v>
      </c>
      <c r="AF61" s="1">
        <v>2484819</v>
      </c>
      <c r="AH61" s="1">
        <v>76818</v>
      </c>
      <c r="AV61" s="115">
        <f t="shared" si="11"/>
        <v>3305395.8437952083</v>
      </c>
      <c r="BC61" s="1">
        <v>297746</v>
      </c>
      <c r="BD61" s="1">
        <v>49919</v>
      </c>
      <c r="BE61" s="1">
        <v>53825</v>
      </c>
      <c r="BF61" s="120">
        <f t="shared" si="12"/>
        <v>401490</v>
      </c>
      <c r="CC61" s="125">
        <f t="shared" si="13"/>
        <v>0</v>
      </c>
      <c r="CK61" s="124">
        <f t="shared" si="14"/>
        <v>0</v>
      </c>
      <c r="CV61" s="129">
        <v>401490</v>
      </c>
    </row>
    <row r="62" spans="1:100">
      <c r="A62" s="1">
        <v>80</v>
      </c>
      <c r="B62" s="1">
        <v>6910</v>
      </c>
      <c r="C62" s="2" t="s">
        <v>657</v>
      </c>
      <c r="D62" s="7" t="s">
        <v>571</v>
      </c>
      <c r="E62" s="22"/>
      <c r="F62" s="7">
        <v>505</v>
      </c>
      <c r="G62" s="109">
        <v>348970.77655424637</v>
      </c>
      <c r="N62" s="117">
        <f t="shared" si="10"/>
        <v>348970.77655424637</v>
      </c>
      <c r="O62" s="78">
        <v>2276775</v>
      </c>
      <c r="Q62" s="113">
        <v>743587.22344575357</v>
      </c>
      <c r="W62" s="1">
        <v>60091</v>
      </c>
      <c r="AF62" s="1">
        <v>1305249</v>
      </c>
      <c r="AH62" s="1">
        <v>132000</v>
      </c>
      <c r="AV62" s="115">
        <f t="shared" si="11"/>
        <v>4517702.2234457536</v>
      </c>
      <c r="BC62" s="1">
        <v>670116</v>
      </c>
      <c r="BD62" s="1">
        <v>85170</v>
      </c>
      <c r="BE62" s="1">
        <v>48289</v>
      </c>
      <c r="BF62" s="120">
        <f t="shared" si="12"/>
        <v>803575</v>
      </c>
      <c r="BO62" s="1">
        <v>65022</v>
      </c>
      <c r="BP62" s="1">
        <v>64684</v>
      </c>
      <c r="CC62" s="125">
        <f t="shared" si="13"/>
        <v>129706</v>
      </c>
      <c r="CK62" s="124">
        <f t="shared" si="14"/>
        <v>0</v>
      </c>
      <c r="CV62" s="129">
        <v>803575</v>
      </c>
    </row>
    <row r="63" spans="1:100">
      <c r="A63" s="1">
        <v>80</v>
      </c>
      <c r="B63" s="1">
        <v>6915</v>
      </c>
      <c r="C63" s="2" t="s">
        <v>657</v>
      </c>
      <c r="D63" s="7" t="s">
        <v>572</v>
      </c>
      <c r="E63" s="22"/>
      <c r="F63" s="7">
        <v>494</v>
      </c>
      <c r="G63" s="108">
        <v>368589.85643494938</v>
      </c>
      <c r="N63" s="117">
        <f t="shared" si="10"/>
        <v>368589.85643494938</v>
      </c>
      <c r="Q63" s="112">
        <v>806127.14356505068</v>
      </c>
      <c r="W63" s="1">
        <v>132810</v>
      </c>
      <c r="AF63" s="1">
        <v>3753870</v>
      </c>
      <c r="AH63" s="1">
        <v>161209</v>
      </c>
      <c r="AU63" s="1">
        <v>1892</v>
      </c>
      <c r="AV63" s="115">
        <f t="shared" si="11"/>
        <v>4855908.1435650503</v>
      </c>
      <c r="BC63" s="1">
        <v>300676</v>
      </c>
      <c r="BD63" s="1">
        <v>96131</v>
      </c>
      <c r="BE63" s="1">
        <v>70581</v>
      </c>
      <c r="BF63" s="120">
        <f t="shared" si="12"/>
        <v>467388</v>
      </c>
      <c r="CC63" s="125">
        <f t="shared" si="13"/>
        <v>0</v>
      </c>
      <c r="CK63" s="124">
        <f t="shared" si="14"/>
        <v>0</v>
      </c>
      <c r="CV63" s="129">
        <v>469280</v>
      </c>
    </row>
    <row r="64" spans="1:100">
      <c r="A64" s="1">
        <v>80</v>
      </c>
      <c r="B64" s="1">
        <v>7115</v>
      </c>
      <c r="C64" s="2" t="s">
        <v>657</v>
      </c>
      <c r="D64" s="7" t="s">
        <v>575</v>
      </c>
      <c r="E64" s="26"/>
      <c r="F64" s="7">
        <v>322</v>
      </c>
      <c r="G64" s="108">
        <v>266399.35048949241</v>
      </c>
      <c r="I64" s="1">
        <v>1613923</v>
      </c>
      <c r="K64" s="1">
        <v>88637</v>
      </c>
      <c r="N64" s="117">
        <f t="shared" si="10"/>
        <v>1968959.3504894925</v>
      </c>
      <c r="Q64" s="112">
        <v>582630.64951050759</v>
      </c>
      <c r="U64" s="1">
        <v>122868</v>
      </c>
      <c r="W64" s="1">
        <v>150221</v>
      </c>
      <c r="X64" s="1">
        <v>2336</v>
      </c>
      <c r="AF64" s="1">
        <v>562084</v>
      </c>
      <c r="AG64" s="1">
        <v>118066</v>
      </c>
      <c r="AV64" s="115">
        <f t="shared" si="11"/>
        <v>1538205.6495105075</v>
      </c>
      <c r="BC64" s="1">
        <v>125760</v>
      </c>
      <c r="BD64" s="1">
        <v>48427</v>
      </c>
      <c r="BF64" s="120">
        <f t="shared" si="12"/>
        <v>174187</v>
      </c>
      <c r="CC64" s="125">
        <f t="shared" si="13"/>
        <v>0</v>
      </c>
      <c r="CK64" s="124">
        <f t="shared" si="14"/>
        <v>0</v>
      </c>
      <c r="CV64" s="129">
        <v>262824</v>
      </c>
    </row>
    <row r="65" spans="1:100">
      <c r="A65" s="1">
        <v>80</v>
      </c>
      <c r="B65" s="1">
        <v>7820</v>
      </c>
      <c r="C65" s="2" t="s">
        <v>657</v>
      </c>
      <c r="D65" s="7" t="s">
        <v>596</v>
      </c>
      <c r="E65" s="22"/>
      <c r="F65" s="7">
        <v>165</v>
      </c>
      <c r="G65" s="108">
        <v>12769.284496402734</v>
      </c>
      <c r="N65" s="117">
        <f t="shared" si="10"/>
        <v>12769.284496402734</v>
      </c>
      <c r="O65" s="78">
        <v>2267098</v>
      </c>
      <c r="Q65" s="112">
        <v>27583.715503597268</v>
      </c>
      <c r="W65" s="1">
        <v>119103</v>
      </c>
      <c r="AF65" s="1">
        <v>830064</v>
      </c>
      <c r="AH65" s="1">
        <v>25762</v>
      </c>
      <c r="AV65" s="115">
        <f t="shared" si="11"/>
        <v>3269610.7155035972</v>
      </c>
      <c r="BC65" s="1">
        <v>451349</v>
      </c>
      <c r="BD65" s="1">
        <v>110363</v>
      </c>
      <c r="BE65" s="1">
        <v>60496</v>
      </c>
      <c r="BF65" s="120">
        <f t="shared" si="12"/>
        <v>622208</v>
      </c>
      <c r="CC65" s="125">
        <f t="shared" si="13"/>
        <v>0</v>
      </c>
      <c r="CK65" s="124">
        <f t="shared" si="14"/>
        <v>0</v>
      </c>
      <c r="CV65" s="129">
        <v>622208</v>
      </c>
    </row>
    <row r="66" spans="1:100">
      <c r="A66" s="1">
        <v>80</v>
      </c>
      <c r="B66" s="1">
        <v>7830</v>
      </c>
      <c r="C66" s="2" t="s">
        <v>657</v>
      </c>
      <c r="D66" s="7" t="s">
        <v>597</v>
      </c>
      <c r="E66" s="22"/>
      <c r="F66" s="7">
        <v>201</v>
      </c>
      <c r="G66" s="108">
        <v>157492.93144570314</v>
      </c>
      <c r="N66" s="117">
        <f t="shared" si="10"/>
        <v>157492.93144570314</v>
      </c>
      <c r="Q66" s="112">
        <v>344446.06855429686</v>
      </c>
      <c r="W66" s="1">
        <v>65649</v>
      </c>
      <c r="AF66" s="1">
        <v>1511178</v>
      </c>
      <c r="AH66" s="1">
        <v>63139</v>
      </c>
      <c r="AI66" s="1">
        <v>917</v>
      </c>
      <c r="AV66" s="115">
        <f t="shared" si="11"/>
        <v>1985329.0685542969</v>
      </c>
      <c r="BC66" s="1">
        <v>147039</v>
      </c>
      <c r="BD66" s="1">
        <v>48074</v>
      </c>
      <c r="BE66" s="1">
        <v>20875</v>
      </c>
      <c r="BF66" s="120">
        <f t="shared" si="12"/>
        <v>215988</v>
      </c>
      <c r="CC66" s="125">
        <f t="shared" si="13"/>
        <v>0</v>
      </c>
      <c r="CK66" s="124">
        <f t="shared" si="14"/>
        <v>0</v>
      </c>
      <c r="CV66" s="129">
        <v>215988</v>
      </c>
    </row>
    <row r="67" spans="1:100">
      <c r="A67" s="1">
        <v>80</v>
      </c>
      <c r="B67" s="1">
        <v>8060</v>
      </c>
      <c r="C67" s="2" t="s">
        <v>657</v>
      </c>
      <c r="D67" s="7" t="s">
        <v>607</v>
      </c>
      <c r="E67" s="22"/>
      <c r="F67" s="7">
        <v>405</v>
      </c>
      <c r="G67" s="108">
        <v>354483.74051447998</v>
      </c>
      <c r="K67" s="1">
        <v>5167</v>
      </c>
      <c r="N67" s="117">
        <f t="shared" si="10"/>
        <v>359650.74051447998</v>
      </c>
      <c r="Q67" s="112">
        <v>775276.25948551996</v>
      </c>
      <c r="W67" s="1">
        <v>135570</v>
      </c>
      <c r="AF67" s="1">
        <v>2847849</v>
      </c>
      <c r="AH67" s="1">
        <v>158898</v>
      </c>
      <c r="AU67" s="1">
        <v>4851</v>
      </c>
      <c r="AV67" s="115">
        <f t="shared" si="11"/>
        <v>3922444.25948552</v>
      </c>
      <c r="BC67" s="1">
        <v>81743</v>
      </c>
      <c r="BD67" s="1">
        <v>54552</v>
      </c>
      <c r="BE67" s="1">
        <v>7370</v>
      </c>
      <c r="BF67" s="120">
        <f t="shared" si="12"/>
        <v>143665</v>
      </c>
      <c r="CC67" s="125">
        <f t="shared" si="13"/>
        <v>0</v>
      </c>
      <c r="CK67" s="124">
        <f t="shared" si="14"/>
        <v>0</v>
      </c>
      <c r="CV67" s="129">
        <v>153683</v>
      </c>
    </row>
    <row r="68" spans="1:100" s="26" customFormat="1">
      <c r="A68" s="80"/>
      <c r="B68" s="80"/>
      <c r="D68" s="7" t="s">
        <v>524</v>
      </c>
      <c r="E68" s="22"/>
      <c r="F68" s="22">
        <f>SUM(F60:F67)</f>
        <v>2947</v>
      </c>
      <c r="G68" s="110"/>
      <c r="I68" s="80"/>
      <c r="K68" s="80"/>
      <c r="N68" s="134">
        <f>SUM(N60:N67)</f>
        <v>6139247.9748660717</v>
      </c>
      <c r="Q68" s="114"/>
      <c r="W68" s="80"/>
      <c r="AH68" s="80"/>
      <c r="AI68" s="80"/>
      <c r="AU68" s="80"/>
      <c r="AV68" s="133">
        <f>SUM(AV60:AV67)</f>
        <v>25300377.025133926</v>
      </c>
      <c r="BC68" s="80"/>
      <c r="BD68" s="80"/>
      <c r="BE68" s="80"/>
      <c r="BF68" s="135">
        <f>SUM(BF60:BF67)</f>
        <v>3357544</v>
      </c>
      <c r="CC68" s="136">
        <f>SUM(CC60:CC67)</f>
        <v>231049</v>
      </c>
      <c r="CK68" s="138">
        <f>SUM(CK60:CK67)</f>
        <v>0</v>
      </c>
      <c r="CL68" s="105">
        <f>SUM(N68:CK68)</f>
        <v>35028218</v>
      </c>
      <c r="CV68" s="129"/>
    </row>
    <row r="69" spans="1:100" s="26" customFormat="1">
      <c r="A69" s="80"/>
      <c r="B69" s="80"/>
      <c r="D69" s="7" t="s">
        <v>525</v>
      </c>
      <c r="E69" s="22"/>
      <c r="F69" s="22"/>
      <c r="G69" s="110"/>
      <c r="I69" s="80"/>
      <c r="K69" s="80"/>
      <c r="N69" s="117">
        <f>N68/$F$68</f>
        <v>2083.2195367716563</v>
      </c>
      <c r="Q69" s="114"/>
      <c r="W69" s="80"/>
      <c r="AH69" s="80"/>
      <c r="AI69" s="80"/>
      <c r="AU69" s="80"/>
      <c r="AV69" s="115">
        <f>AV68/$F$68</f>
        <v>8585.1296318744244</v>
      </c>
      <c r="BC69" s="80"/>
      <c r="BD69" s="80"/>
      <c r="BE69" s="80"/>
      <c r="BF69" s="120">
        <f>BF68/$F$68</f>
        <v>1139.3091279267051</v>
      </c>
      <c r="CC69" s="127">
        <f>CC68/$F$68</f>
        <v>78.401425178147264</v>
      </c>
      <c r="CK69" s="124">
        <f>CK68/$F$68</f>
        <v>0</v>
      </c>
      <c r="CL69" s="105">
        <f>SUM(N69:CK69)</f>
        <v>11886.059721750931</v>
      </c>
      <c r="CV69" s="129"/>
    </row>
    <row r="70" spans="1:100" s="26" customFormat="1">
      <c r="A70" s="80"/>
      <c r="B70" s="80"/>
      <c r="D70" s="22"/>
      <c r="E70" s="22"/>
      <c r="F70" s="22"/>
      <c r="G70" s="110"/>
      <c r="I70" s="80"/>
      <c r="K70" s="80"/>
      <c r="N70" s="117"/>
      <c r="Q70" s="114"/>
      <c r="W70" s="80"/>
      <c r="AH70" s="80"/>
      <c r="AI70" s="80"/>
      <c r="AU70" s="80"/>
      <c r="AV70" s="115"/>
      <c r="BC70" s="80"/>
      <c r="BD70" s="80"/>
      <c r="BE70" s="80"/>
      <c r="BF70" s="120"/>
      <c r="CC70" s="125"/>
      <c r="CK70" s="124"/>
      <c r="CV70" s="129"/>
    </row>
    <row r="71" spans="1:100">
      <c r="A71" s="1">
        <v>80</v>
      </c>
      <c r="B71" s="1">
        <v>6320</v>
      </c>
      <c r="C71" s="139" t="s">
        <v>667</v>
      </c>
      <c r="D71" s="140" t="s">
        <v>666</v>
      </c>
      <c r="E71" s="140"/>
      <c r="F71" s="140">
        <v>75</v>
      </c>
      <c r="G71" s="108">
        <v>33429.267065576663</v>
      </c>
      <c r="K71" s="1">
        <v>53000</v>
      </c>
      <c r="N71" s="117">
        <f t="shared" ref="N71:N81" si="15">SUM(G71:M71)</f>
        <v>86429.267065576656</v>
      </c>
      <c r="Q71" s="112">
        <v>104372.73293442334</v>
      </c>
      <c r="W71" s="1">
        <v>53080</v>
      </c>
      <c r="AF71" s="1">
        <v>563805</v>
      </c>
      <c r="AH71" s="1">
        <v>21326</v>
      </c>
      <c r="AV71" s="115">
        <f t="shared" ref="AV71:AV81" si="16">SUM(O71:AU71)</f>
        <v>742583.73293442337</v>
      </c>
      <c r="BC71" s="1">
        <v>43088</v>
      </c>
      <c r="BD71" s="1">
        <v>10660</v>
      </c>
      <c r="BE71" s="1">
        <v>287792</v>
      </c>
      <c r="BF71" s="120">
        <f t="shared" ref="BF71:BF81" si="17">SUM(AW71:BE71)</f>
        <v>341540</v>
      </c>
      <c r="CC71" s="125">
        <f t="shared" ref="CC71:CC81" si="18">SUM(BG71:CB71)</f>
        <v>0</v>
      </c>
      <c r="CK71" s="124">
        <f t="shared" ref="CK71:CK81" si="19">SUM(CD71:CJ71)</f>
        <v>0</v>
      </c>
      <c r="CV71" s="129">
        <v>394540</v>
      </c>
    </row>
    <row r="72" spans="1:100">
      <c r="A72" s="1">
        <v>80</v>
      </c>
      <c r="B72" s="1">
        <v>6665</v>
      </c>
      <c r="C72" s="139" t="s">
        <v>667</v>
      </c>
      <c r="D72" s="140" t="s">
        <v>563</v>
      </c>
      <c r="E72" s="140"/>
      <c r="F72" s="140">
        <v>306</v>
      </c>
      <c r="G72" s="108">
        <v>140740.99388469753</v>
      </c>
      <c r="N72" s="117">
        <f t="shared" si="15"/>
        <v>140740.99388469753</v>
      </c>
      <c r="Q72" s="112">
        <v>439421.0061153025</v>
      </c>
      <c r="AF72" s="1">
        <v>2443362</v>
      </c>
      <c r="AH72" s="1">
        <v>74931</v>
      </c>
      <c r="AU72" s="1">
        <v>4000</v>
      </c>
      <c r="AV72" s="115">
        <f t="shared" si="16"/>
        <v>2961714.0061153024</v>
      </c>
      <c r="BC72" s="1">
        <v>234750</v>
      </c>
      <c r="BE72" s="1">
        <v>30398</v>
      </c>
      <c r="BF72" s="120">
        <f t="shared" si="17"/>
        <v>265148</v>
      </c>
      <c r="CC72" s="125">
        <f t="shared" si="18"/>
        <v>0</v>
      </c>
      <c r="CK72" s="124">
        <f t="shared" si="19"/>
        <v>0</v>
      </c>
      <c r="CL72" s="107"/>
      <c r="CV72" s="129">
        <v>269148</v>
      </c>
    </row>
    <row r="73" spans="1:100">
      <c r="A73" s="1">
        <v>80</v>
      </c>
      <c r="B73" s="1">
        <v>7100</v>
      </c>
      <c r="C73" s="139" t="s">
        <v>667</v>
      </c>
      <c r="D73" s="140" t="s">
        <v>573</v>
      </c>
      <c r="E73" s="140"/>
      <c r="F73" s="140">
        <v>443</v>
      </c>
      <c r="G73" s="109">
        <v>185215.10056276582</v>
      </c>
      <c r="N73" s="117">
        <f t="shared" si="15"/>
        <v>185215.10056276582</v>
      </c>
      <c r="Q73" s="113">
        <v>577992.89943723427</v>
      </c>
      <c r="AF73" s="1">
        <v>3620192</v>
      </c>
      <c r="AH73" s="1">
        <v>161510</v>
      </c>
      <c r="AV73" s="115">
        <f t="shared" si="16"/>
        <v>4359694.8994372338</v>
      </c>
      <c r="BC73" s="1">
        <v>325286</v>
      </c>
      <c r="BD73" s="1">
        <v>96705</v>
      </c>
      <c r="BE73" s="1">
        <v>44518</v>
      </c>
      <c r="BF73" s="120">
        <f t="shared" si="17"/>
        <v>466509</v>
      </c>
      <c r="CC73" s="125">
        <f t="shared" si="18"/>
        <v>0</v>
      </c>
      <c r="CK73" s="124">
        <f t="shared" si="19"/>
        <v>0</v>
      </c>
      <c r="CV73" s="129">
        <v>466509</v>
      </c>
    </row>
    <row r="74" spans="1:100">
      <c r="A74" s="1">
        <v>80</v>
      </c>
      <c r="B74" s="1">
        <v>7210</v>
      </c>
      <c r="C74" s="139" t="s">
        <v>667</v>
      </c>
      <c r="D74" s="140" t="s">
        <v>578</v>
      </c>
      <c r="E74" s="139"/>
      <c r="F74" s="140">
        <v>359</v>
      </c>
      <c r="G74" s="109">
        <v>153396.6261218499</v>
      </c>
      <c r="N74" s="117">
        <f t="shared" si="15"/>
        <v>153396.6261218499</v>
      </c>
      <c r="Q74" s="113">
        <v>478934.37387815013</v>
      </c>
      <c r="AF74" s="1">
        <v>2939449</v>
      </c>
      <c r="AH74" s="1">
        <v>20004</v>
      </c>
      <c r="AV74" s="115">
        <f t="shared" si="16"/>
        <v>3438387.3738781502</v>
      </c>
      <c r="BC74" s="1">
        <v>350177</v>
      </c>
      <c r="BE74" s="1">
        <v>100700</v>
      </c>
      <c r="BF74" s="120">
        <f t="shared" si="17"/>
        <v>450877</v>
      </c>
      <c r="BU74" s="1">
        <v>27893</v>
      </c>
      <c r="CC74" s="125">
        <f t="shared" si="18"/>
        <v>27893</v>
      </c>
      <c r="CK74" s="124">
        <f t="shared" si="19"/>
        <v>0</v>
      </c>
      <c r="CV74" s="129">
        <v>450877</v>
      </c>
    </row>
    <row r="75" spans="1:100">
      <c r="A75" s="1">
        <v>80</v>
      </c>
      <c r="B75" s="1">
        <v>7280</v>
      </c>
      <c r="C75" s="139" t="s">
        <v>667</v>
      </c>
      <c r="D75" s="140" t="s">
        <v>566</v>
      </c>
      <c r="E75" s="140"/>
      <c r="F75" s="140">
        <v>171.3</v>
      </c>
      <c r="G75" s="108">
        <v>83509.124134055935</v>
      </c>
      <c r="K75" s="1">
        <v>10000</v>
      </c>
      <c r="N75" s="117">
        <f t="shared" si="15"/>
        <v>93509.124134055935</v>
      </c>
      <c r="O75" s="78">
        <v>1056725</v>
      </c>
      <c r="Q75" s="112">
        <v>260731.87586594408</v>
      </c>
      <c r="W75" s="1">
        <v>49386</v>
      </c>
      <c r="AD75" s="1">
        <v>162776</v>
      </c>
      <c r="AF75" s="1">
        <v>79312</v>
      </c>
      <c r="AH75" s="1">
        <v>61517</v>
      </c>
      <c r="AV75" s="115">
        <f t="shared" si="16"/>
        <v>1670447.8758659442</v>
      </c>
      <c r="AZ75" s="1">
        <v>11663</v>
      </c>
      <c r="BC75" s="1">
        <v>139803</v>
      </c>
      <c r="BD75" s="1">
        <v>29249</v>
      </c>
      <c r="BF75" s="120">
        <f t="shared" si="17"/>
        <v>180715</v>
      </c>
      <c r="BU75" s="1">
        <v>11176</v>
      </c>
      <c r="CC75" s="125">
        <f t="shared" si="18"/>
        <v>11176</v>
      </c>
      <c r="CK75" s="124">
        <f t="shared" si="19"/>
        <v>0</v>
      </c>
      <c r="CV75" s="129">
        <v>190715</v>
      </c>
    </row>
    <row r="76" spans="1:100">
      <c r="A76" s="1">
        <v>80</v>
      </c>
      <c r="B76" s="1">
        <v>7290</v>
      </c>
      <c r="C76" s="139" t="s">
        <v>667</v>
      </c>
      <c r="D76" s="140" t="s">
        <v>579</v>
      </c>
      <c r="E76" s="140"/>
      <c r="F76" s="140">
        <v>508</v>
      </c>
      <c r="G76" s="109">
        <v>181243.18957659276</v>
      </c>
      <c r="N76" s="117">
        <f t="shared" si="15"/>
        <v>181243.18957659276</v>
      </c>
      <c r="Q76" s="113">
        <v>565876.81042340724</v>
      </c>
      <c r="AF76" s="1">
        <v>3775494</v>
      </c>
      <c r="AH76" s="1">
        <v>144177</v>
      </c>
      <c r="AV76" s="115">
        <f t="shared" si="16"/>
        <v>4485547.8104234077</v>
      </c>
      <c r="BC76" s="1">
        <v>540738</v>
      </c>
      <c r="BD76" s="1">
        <v>80906</v>
      </c>
      <c r="BE76" s="1">
        <v>103550</v>
      </c>
      <c r="BF76" s="120">
        <f t="shared" si="17"/>
        <v>725194</v>
      </c>
      <c r="BH76" s="1">
        <v>4174</v>
      </c>
      <c r="CC76" s="125">
        <f t="shared" si="18"/>
        <v>4174</v>
      </c>
      <c r="CK76" s="124">
        <f t="shared" si="19"/>
        <v>0</v>
      </c>
      <c r="CV76" s="129">
        <v>725194</v>
      </c>
    </row>
    <row r="77" spans="1:100">
      <c r="A77" s="1">
        <v>80</v>
      </c>
      <c r="B77" s="1">
        <v>7320</v>
      </c>
      <c r="C77" s="139" t="s">
        <v>667</v>
      </c>
      <c r="D77" s="140" t="s">
        <v>580</v>
      </c>
      <c r="E77" s="140"/>
      <c r="F77" s="140">
        <v>451</v>
      </c>
      <c r="G77" s="108">
        <v>267018.09616948449</v>
      </c>
      <c r="N77" s="117">
        <f t="shared" si="15"/>
        <v>267018.09616948449</v>
      </c>
      <c r="Q77" s="112">
        <v>833682.90383051557</v>
      </c>
      <c r="AF77" s="1">
        <v>3761939</v>
      </c>
      <c r="AH77" s="1">
        <v>212193</v>
      </c>
      <c r="AU77" s="1">
        <v>90688</v>
      </c>
      <c r="AV77" s="115">
        <f t="shared" si="16"/>
        <v>4898502.9038305152</v>
      </c>
      <c r="BC77" s="1">
        <v>402521</v>
      </c>
      <c r="BD77" s="1">
        <v>65204</v>
      </c>
      <c r="BE77" s="1">
        <v>239596</v>
      </c>
      <c r="BF77" s="120">
        <f t="shared" si="17"/>
        <v>707321</v>
      </c>
      <c r="CC77" s="125">
        <f t="shared" si="18"/>
        <v>0</v>
      </c>
      <c r="CK77" s="124">
        <f t="shared" si="19"/>
        <v>0</v>
      </c>
      <c r="CV77" s="129">
        <v>798009</v>
      </c>
    </row>
    <row r="78" spans="1:100">
      <c r="A78" s="1">
        <v>80</v>
      </c>
      <c r="B78" s="1">
        <v>7325</v>
      </c>
      <c r="C78" s="139" t="s">
        <v>667</v>
      </c>
      <c r="D78" s="140" t="s">
        <v>600</v>
      </c>
      <c r="E78" s="140"/>
      <c r="F78" s="140">
        <v>467</v>
      </c>
      <c r="G78" s="108">
        <v>274966.60509736178</v>
      </c>
      <c r="I78" s="1">
        <v>2699210</v>
      </c>
      <c r="K78" s="1">
        <v>192750</v>
      </c>
      <c r="N78" s="117">
        <f t="shared" si="15"/>
        <v>3166926.6050973618</v>
      </c>
      <c r="Q78" s="112">
        <v>860282.39490263839</v>
      </c>
      <c r="W78" s="1">
        <v>129781</v>
      </c>
      <c r="AF78" s="1">
        <v>634003</v>
      </c>
      <c r="AH78" s="1">
        <v>124814</v>
      </c>
      <c r="AV78" s="115">
        <f t="shared" si="16"/>
        <v>1748880.3949026384</v>
      </c>
      <c r="BC78" s="1">
        <v>317673</v>
      </c>
      <c r="BD78" s="1">
        <v>70308</v>
      </c>
      <c r="BE78" s="1">
        <v>22954</v>
      </c>
      <c r="BF78" s="120">
        <f t="shared" si="17"/>
        <v>410935</v>
      </c>
      <c r="CC78" s="125">
        <f t="shared" si="18"/>
        <v>0</v>
      </c>
      <c r="CK78" s="124">
        <f t="shared" si="19"/>
        <v>0</v>
      </c>
      <c r="CV78" s="129">
        <v>603685</v>
      </c>
    </row>
    <row r="79" spans="1:100">
      <c r="A79" s="1">
        <v>80</v>
      </c>
      <c r="B79" s="1">
        <v>7730</v>
      </c>
      <c r="C79" s="139" t="s">
        <v>667</v>
      </c>
      <c r="D79" s="140" t="s">
        <v>595</v>
      </c>
      <c r="E79" s="140"/>
      <c r="F79" s="140">
        <v>450</v>
      </c>
      <c r="G79" s="108">
        <v>213881.85867286049</v>
      </c>
      <c r="K79" s="1">
        <v>25000</v>
      </c>
      <c r="N79" s="117">
        <f t="shared" si="15"/>
        <v>238881.85867286049</v>
      </c>
      <c r="O79" s="78">
        <v>2505594</v>
      </c>
      <c r="Q79" s="112">
        <v>667781.14132713957</v>
      </c>
      <c r="W79" s="1">
        <v>86079</v>
      </c>
      <c r="X79" s="1">
        <v>4672</v>
      </c>
      <c r="AF79" s="1">
        <v>580524</v>
      </c>
      <c r="AG79" s="1">
        <v>160867</v>
      </c>
      <c r="AH79" s="1">
        <v>141191</v>
      </c>
      <c r="AM79" s="1">
        <v>206868</v>
      </c>
      <c r="AV79" s="115">
        <f t="shared" si="16"/>
        <v>4353576.141327139</v>
      </c>
      <c r="BC79" s="1">
        <v>237658</v>
      </c>
      <c r="BD79" s="1">
        <v>80521</v>
      </c>
      <c r="BE79" s="1">
        <v>136716</v>
      </c>
      <c r="BF79" s="120">
        <f t="shared" si="17"/>
        <v>454895</v>
      </c>
      <c r="CC79" s="125">
        <f t="shared" si="18"/>
        <v>0</v>
      </c>
      <c r="CK79" s="124">
        <f t="shared" si="19"/>
        <v>0</v>
      </c>
      <c r="CT79" s="23">
        <v>365036</v>
      </c>
      <c r="CV79" s="129">
        <v>1051799</v>
      </c>
    </row>
    <row r="80" spans="1:100">
      <c r="A80" s="1">
        <v>80</v>
      </c>
      <c r="B80" s="1">
        <v>7735</v>
      </c>
      <c r="C80" s="139" t="s">
        <v>667</v>
      </c>
      <c r="D80" s="140" t="s">
        <v>577</v>
      </c>
      <c r="E80" s="140"/>
      <c r="F80" s="140">
        <v>112</v>
      </c>
      <c r="G80" s="108">
        <v>53034.107473586548</v>
      </c>
      <c r="N80" s="117">
        <f t="shared" si="15"/>
        <v>53034.107473586548</v>
      </c>
      <c r="P80" s="78">
        <v>666580</v>
      </c>
      <c r="Q80" s="112">
        <v>165582.89252641346</v>
      </c>
      <c r="AF80" s="1">
        <v>205885</v>
      </c>
      <c r="AH80" s="1">
        <v>24171</v>
      </c>
      <c r="AM80" s="1">
        <v>50884</v>
      </c>
      <c r="AO80" s="1">
        <v>32507</v>
      </c>
      <c r="AV80" s="115">
        <f t="shared" si="16"/>
        <v>1145609.8925264133</v>
      </c>
      <c r="AX80" s="1">
        <v>163911</v>
      </c>
      <c r="BF80" s="120">
        <f t="shared" si="17"/>
        <v>163911</v>
      </c>
      <c r="CC80" s="125">
        <f t="shared" si="18"/>
        <v>0</v>
      </c>
      <c r="CK80" s="124">
        <f t="shared" si="19"/>
        <v>0</v>
      </c>
      <c r="CV80" s="129">
        <v>247302</v>
      </c>
    </row>
    <row r="81" spans="1:100">
      <c r="A81" s="1">
        <v>80</v>
      </c>
      <c r="B81" s="1">
        <v>8065</v>
      </c>
      <c r="C81" s="139" t="s">
        <v>667</v>
      </c>
      <c r="D81" s="140" t="s">
        <v>608</v>
      </c>
      <c r="E81" s="140"/>
      <c r="F81" s="140">
        <v>114</v>
      </c>
      <c r="G81" s="108">
        <v>39373.185888531043</v>
      </c>
      <c r="N81" s="117">
        <f t="shared" si="15"/>
        <v>39373.185888531043</v>
      </c>
      <c r="Q81" s="112">
        <v>122930.81411146896</v>
      </c>
      <c r="W81" s="1">
        <v>10043</v>
      </c>
      <c r="X81" s="1">
        <v>1051</v>
      </c>
      <c r="AF81" s="1">
        <v>962386</v>
      </c>
      <c r="AH81" s="1">
        <v>21150</v>
      </c>
      <c r="AU81" s="1">
        <v>579216</v>
      </c>
      <c r="AV81" s="115">
        <f t="shared" si="16"/>
        <v>1696776.8141114688</v>
      </c>
      <c r="BE81" s="1">
        <v>42522</v>
      </c>
      <c r="BF81" s="120">
        <f t="shared" si="17"/>
        <v>42522</v>
      </c>
      <c r="CC81" s="125">
        <f t="shared" si="18"/>
        <v>0</v>
      </c>
      <c r="CK81" s="124">
        <f t="shared" si="19"/>
        <v>0</v>
      </c>
      <c r="CV81" s="129">
        <v>621738</v>
      </c>
    </row>
    <row r="82" spans="1:100" s="26" customFormat="1">
      <c r="A82" s="80"/>
      <c r="B82" s="80"/>
      <c r="C82" s="139"/>
      <c r="D82" s="140" t="s">
        <v>524</v>
      </c>
      <c r="E82" s="140"/>
      <c r="F82" s="140">
        <f>SUM(F71:F81)</f>
        <v>3456.3</v>
      </c>
      <c r="G82" s="110"/>
      <c r="I82" s="80"/>
      <c r="K82" s="80"/>
      <c r="N82" s="134">
        <f>SUM(N71:N81)</f>
        <v>4605768.1546473624</v>
      </c>
      <c r="Q82" s="114"/>
      <c r="W82" s="80"/>
      <c r="AH82" s="80"/>
      <c r="AI82" s="80"/>
      <c r="AU82" s="80"/>
      <c r="AV82" s="133">
        <f>SUM(AV71:AV81)</f>
        <v>31501721.845352639</v>
      </c>
      <c r="BC82" s="80"/>
      <c r="BD82" s="80"/>
      <c r="BE82" s="80"/>
      <c r="BF82" s="135">
        <f>SUM(BF71:BF81)</f>
        <v>4209567</v>
      </c>
      <c r="CC82" s="136">
        <f>SUM(CC71:CC81)</f>
        <v>43243</v>
      </c>
      <c r="CK82" s="138">
        <f>SUM(CK71:CK81)</f>
        <v>0</v>
      </c>
      <c r="CL82" s="105">
        <f>SUM(N82:CK82)</f>
        <v>40360300</v>
      </c>
      <c r="CV82" s="129"/>
    </row>
    <row r="83" spans="1:100" s="26" customFormat="1">
      <c r="A83" s="80"/>
      <c r="B83" s="80"/>
      <c r="C83" s="139"/>
      <c r="D83" s="140" t="s">
        <v>525</v>
      </c>
      <c r="E83" s="140"/>
      <c r="F83" s="140"/>
      <c r="G83" s="110"/>
      <c r="I83" s="80"/>
      <c r="K83" s="80"/>
      <c r="N83" s="117">
        <f>N82/$F$82</f>
        <v>1332.5718701059984</v>
      </c>
      <c r="Q83" s="114"/>
      <c r="W83" s="80"/>
      <c r="AH83" s="80"/>
      <c r="AI83" s="80"/>
      <c r="AU83" s="80"/>
      <c r="AV83" s="115">
        <f>AV82/$F$82</f>
        <v>9114.2903814346664</v>
      </c>
      <c r="BC83" s="80"/>
      <c r="BD83" s="80"/>
      <c r="BE83" s="80"/>
      <c r="BF83" s="120">
        <f>BF82/$F$82</f>
        <v>1217.9402829615485</v>
      </c>
      <c r="CC83" s="127">
        <f>CC82/$F$82</f>
        <v>12.511356074414836</v>
      </c>
      <c r="CK83" s="124">
        <f>CK82/$F$82</f>
        <v>0</v>
      </c>
      <c r="CL83" s="105">
        <f>SUM(N83:CK83)</f>
        <v>11677.313890576628</v>
      </c>
      <c r="CV83" s="129"/>
    </row>
    <row r="84" spans="1:100" s="26" customFormat="1">
      <c r="A84" s="80"/>
      <c r="B84" s="80"/>
      <c r="D84" s="22"/>
      <c r="E84" s="22"/>
      <c r="F84" s="22"/>
      <c r="G84" s="110"/>
      <c r="I84" s="80"/>
      <c r="K84" s="80"/>
      <c r="N84" s="117"/>
      <c r="Q84" s="114"/>
      <c r="W84" s="80"/>
      <c r="AH84" s="80"/>
      <c r="AI84" s="80"/>
      <c r="AU84" s="80"/>
      <c r="AV84" s="115"/>
      <c r="BC84" s="80"/>
      <c r="BD84" s="80"/>
      <c r="BE84" s="80"/>
      <c r="BF84" s="120"/>
      <c r="CC84" s="125"/>
      <c r="CK84" s="124"/>
      <c r="CV84" s="129"/>
    </row>
    <row r="85" spans="1:100">
      <c r="A85" s="1">
        <v>80</v>
      </c>
      <c r="B85" s="1">
        <v>6425</v>
      </c>
      <c r="C85" s="141" t="s">
        <v>673</v>
      </c>
      <c r="D85" s="142" t="s">
        <v>672</v>
      </c>
      <c r="E85" s="142"/>
      <c r="F85" s="142">
        <v>352</v>
      </c>
      <c r="G85" s="108">
        <v>111698.86799722505</v>
      </c>
      <c r="N85" s="117">
        <f>SUM(G85:M85)</f>
        <v>111698.86799722505</v>
      </c>
      <c r="Q85" s="112">
        <v>512356.13200277492</v>
      </c>
      <c r="W85" s="1">
        <v>1462240</v>
      </c>
      <c r="X85" s="1">
        <v>7290</v>
      </c>
      <c r="AF85" s="1">
        <v>2873003</v>
      </c>
      <c r="AH85" s="1">
        <v>99491</v>
      </c>
      <c r="AV85" s="115">
        <f>SUM(O85:AU85)</f>
        <v>4954380.1320027746</v>
      </c>
      <c r="BC85" s="1">
        <v>321978</v>
      </c>
      <c r="BD85" s="1">
        <v>63559</v>
      </c>
      <c r="BE85" s="1">
        <v>48003</v>
      </c>
      <c r="BF85" s="120">
        <f>SUM(AW85:BE85)</f>
        <v>433540</v>
      </c>
      <c r="CC85" s="125">
        <f>SUM(BG85:CB85)</f>
        <v>0</v>
      </c>
      <c r="CK85" s="124">
        <f>SUM(CD85:CJ85)</f>
        <v>0</v>
      </c>
      <c r="CL85" s="105">
        <f>SUM(N85+AV85+BF85+CC85+CK85)</f>
        <v>5499619</v>
      </c>
      <c r="CV85" s="129">
        <v>433540</v>
      </c>
    </row>
    <row r="86" spans="1:100">
      <c r="A86" s="1">
        <v>80</v>
      </c>
      <c r="B86" s="1">
        <v>6810</v>
      </c>
      <c r="C86" s="141" t="s">
        <v>673</v>
      </c>
      <c r="D86" s="142" t="s">
        <v>570</v>
      </c>
      <c r="E86" s="142"/>
      <c r="F86" s="142">
        <v>94.5</v>
      </c>
      <c r="G86" s="108">
        <v>29309.45465895674</v>
      </c>
      <c r="I86" s="1"/>
      <c r="N86" s="117">
        <f>SUM(G86:M86)</f>
        <v>29309.45465895674</v>
      </c>
      <c r="Q86" s="112">
        <v>134735.54534104324</v>
      </c>
      <c r="W86" s="1">
        <v>50525</v>
      </c>
      <c r="AF86" s="1">
        <v>753481</v>
      </c>
      <c r="AH86" s="1">
        <v>35679</v>
      </c>
      <c r="AU86" s="1">
        <v>1638</v>
      </c>
      <c r="AV86" s="115">
        <f>SUM(O86:AU86)</f>
        <v>976058.54534104327</v>
      </c>
      <c r="BC86" s="1">
        <v>72658</v>
      </c>
      <c r="BD86" s="1">
        <v>26141</v>
      </c>
      <c r="BE86" s="1">
        <v>26029</v>
      </c>
      <c r="BF86" s="120">
        <f>SUM(AW86:BE86)</f>
        <v>124828</v>
      </c>
      <c r="CC86" s="125">
        <f>SUM(BG86:CB86)</f>
        <v>0</v>
      </c>
      <c r="CK86" s="124">
        <f>SUM(CD86:CJ86)</f>
        <v>0</v>
      </c>
      <c r="CL86" s="105">
        <f>SUM(N86+AV86+BF86+CC86+CK86)</f>
        <v>1130196</v>
      </c>
      <c r="CV86" s="129">
        <v>126466</v>
      </c>
    </row>
    <row r="87" spans="1:100">
      <c r="A87" s="1">
        <v>80</v>
      </c>
      <c r="B87" s="1">
        <v>7901</v>
      </c>
      <c r="C87" s="141" t="s">
        <v>673</v>
      </c>
      <c r="D87" s="142" t="s">
        <v>603</v>
      </c>
      <c r="E87" s="142"/>
      <c r="F87" s="142">
        <v>621</v>
      </c>
      <c r="G87" s="108">
        <v>166017.52731934897</v>
      </c>
      <c r="N87" s="117">
        <f>SUM(G87:M87)</f>
        <v>166017.52731934897</v>
      </c>
      <c r="Q87" s="112">
        <v>763182.472680651</v>
      </c>
      <c r="W87" s="1">
        <v>206107</v>
      </c>
      <c r="X87" s="1">
        <v>2336</v>
      </c>
      <c r="AF87" s="1">
        <v>5005974</v>
      </c>
      <c r="AH87" s="1">
        <v>201848</v>
      </c>
      <c r="AU87" s="1">
        <v>847</v>
      </c>
      <c r="AV87" s="115">
        <f>SUM(O87:AU87)</f>
        <v>6180294.4726806507</v>
      </c>
      <c r="BC87" s="1">
        <v>566517</v>
      </c>
      <c r="BD87" s="1">
        <v>153456</v>
      </c>
      <c r="BE87" s="1">
        <v>103731</v>
      </c>
      <c r="BF87" s="120">
        <f>SUM(AW87:BE87)</f>
        <v>823704</v>
      </c>
      <c r="CC87" s="125">
        <f>SUM(BG87:CB87)</f>
        <v>0</v>
      </c>
      <c r="CK87" s="124">
        <f>SUM(CD87:CJ87)</f>
        <v>0</v>
      </c>
      <c r="CL87" s="105">
        <f>SUM(N87+AV87+BF87+CC87+CK87)</f>
        <v>7170016</v>
      </c>
      <c r="CV87" s="129">
        <v>824551</v>
      </c>
    </row>
    <row r="88" spans="1:100">
      <c r="A88" s="1">
        <v>80</v>
      </c>
      <c r="B88" s="1">
        <v>8140</v>
      </c>
      <c r="C88" s="141" t="s">
        <v>673</v>
      </c>
      <c r="D88" s="142" t="s">
        <v>609</v>
      </c>
      <c r="E88" s="142"/>
      <c r="F88" s="142">
        <v>355</v>
      </c>
      <c r="G88" s="108">
        <v>113463.69027210595</v>
      </c>
      <c r="I88" s="1">
        <v>2298132</v>
      </c>
      <c r="K88" s="1">
        <v>10473</v>
      </c>
      <c r="N88" s="117">
        <f>SUM(G88:M88)</f>
        <v>2422068.6902721059</v>
      </c>
      <c r="Q88" s="112">
        <v>513902.30972789403</v>
      </c>
      <c r="W88" s="1">
        <v>42549</v>
      </c>
      <c r="AH88" s="1">
        <v>143801</v>
      </c>
      <c r="AI88" s="1">
        <v>687421</v>
      </c>
      <c r="AU88" s="1">
        <v>2829</v>
      </c>
      <c r="AV88" s="115">
        <f>SUM(O88:AU88)</f>
        <v>1390502.3097278941</v>
      </c>
      <c r="BC88" s="1">
        <v>245837</v>
      </c>
      <c r="BD88" s="1">
        <v>73568</v>
      </c>
      <c r="BE88" s="1">
        <v>61123</v>
      </c>
      <c r="BF88" s="120">
        <f>SUM(AW88:BE88)</f>
        <v>380528</v>
      </c>
      <c r="CC88" s="125">
        <f>SUM(BG88:CB88)</f>
        <v>0</v>
      </c>
      <c r="CK88" s="124">
        <f>SUM(CD88:CJ88)</f>
        <v>0</v>
      </c>
      <c r="CL88" s="105">
        <f>SUM(N88+AV88+BF88+CC88+CK88)</f>
        <v>4193099</v>
      </c>
      <c r="CV88" s="129">
        <v>393830</v>
      </c>
    </row>
    <row r="89" spans="1:100" s="26" customFormat="1">
      <c r="A89" s="80"/>
      <c r="B89" s="80"/>
      <c r="C89" s="141"/>
      <c r="D89" s="142" t="s">
        <v>524</v>
      </c>
      <c r="E89" s="142"/>
      <c r="F89" s="142">
        <f>SUM(F85:F88)</f>
        <v>1422.5</v>
      </c>
      <c r="G89" s="110"/>
      <c r="I89" s="80"/>
      <c r="K89" s="80"/>
      <c r="N89" s="134">
        <f>SUM(N85:N88)</f>
        <v>2729094.5402476368</v>
      </c>
      <c r="Q89" s="114"/>
      <c r="W89" s="80"/>
      <c r="AH89" s="80"/>
      <c r="AI89" s="80"/>
      <c r="AU89" s="80"/>
      <c r="AV89" s="133">
        <f>SUM(AV85:AV88)</f>
        <v>13501235.459752362</v>
      </c>
      <c r="BC89" s="80"/>
      <c r="BD89" s="80"/>
      <c r="BE89" s="80"/>
      <c r="BF89" s="135">
        <f>SUM(BF85:BF88)</f>
        <v>1762600</v>
      </c>
      <c r="CC89" s="136">
        <f>SUM(CC85:CC88)</f>
        <v>0</v>
      </c>
      <c r="CK89" s="138">
        <f>SUM(CK85:CK88)</f>
        <v>0</v>
      </c>
      <c r="CL89" s="105">
        <f>SUM(N89:CK89)</f>
        <v>17992930</v>
      </c>
      <c r="CV89" s="129"/>
    </row>
    <row r="90" spans="1:100" s="26" customFormat="1">
      <c r="A90" s="80"/>
      <c r="B90" s="80"/>
      <c r="C90" s="141"/>
      <c r="D90" s="142" t="s">
        <v>525</v>
      </c>
      <c r="E90" s="142"/>
      <c r="F90" s="142"/>
      <c r="G90" s="110"/>
      <c r="I90" s="80"/>
      <c r="K90" s="80"/>
      <c r="N90" s="117">
        <f>N89/$F$89</f>
        <v>1918.519887696054</v>
      </c>
      <c r="Q90" s="114"/>
      <c r="W90" s="80"/>
      <c r="AH90" s="80"/>
      <c r="AI90" s="80"/>
      <c r="AU90" s="80"/>
      <c r="AV90" s="115">
        <f>AV89/$F$89</f>
        <v>9491.2024321633471</v>
      </c>
      <c r="BC90" s="80"/>
      <c r="BD90" s="80"/>
      <c r="BE90" s="80"/>
      <c r="BF90" s="120">
        <f>BF89/$F$89</f>
        <v>1239.0861159929702</v>
      </c>
      <c r="CC90" s="127">
        <f>CC89/$F$89</f>
        <v>0</v>
      </c>
      <c r="CK90" s="124">
        <f>CK89/$F$89</f>
        <v>0</v>
      </c>
      <c r="CL90" s="105">
        <f>SUM(N90:CK90)</f>
        <v>12648.80843585237</v>
      </c>
      <c r="CV90" s="129"/>
    </row>
    <row r="91" spans="1:100" s="26" customFormat="1">
      <c r="A91" s="80"/>
      <c r="B91" s="80"/>
      <c r="D91" s="22"/>
      <c r="E91" s="22"/>
      <c r="F91" s="22"/>
      <c r="G91" s="110"/>
      <c r="I91" s="80"/>
      <c r="K91" s="80"/>
      <c r="N91" s="117"/>
      <c r="Q91" s="114"/>
      <c r="W91" s="80"/>
      <c r="AH91" s="80"/>
      <c r="AI91" s="80"/>
      <c r="AU91" s="80"/>
      <c r="AV91" s="115"/>
      <c r="BC91" s="80"/>
      <c r="BD91" s="80"/>
      <c r="BE91" s="80"/>
      <c r="BF91" s="120"/>
      <c r="CC91" s="125"/>
      <c r="CK91" s="124"/>
      <c r="CV91" s="129"/>
    </row>
    <row r="92" spans="1:100" s="26" customFormat="1">
      <c r="A92" s="80"/>
      <c r="B92" s="80"/>
      <c r="D92" s="22"/>
      <c r="E92" s="22"/>
      <c r="F92" s="22"/>
      <c r="G92" s="110"/>
      <c r="I92" s="80"/>
      <c r="K92" s="80"/>
      <c r="N92" s="117"/>
      <c r="Q92" s="114"/>
      <c r="W92" s="80"/>
      <c r="AH92" s="80"/>
      <c r="AI92" s="80"/>
      <c r="AU92" s="80"/>
      <c r="AV92" s="115"/>
      <c r="BC92" s="80"/>
      <c r="BD92" s="80"/>
      <c r="BE92" s="80"/>
      <c r="BF92" s="120"/>
      <c r="CC92" s="125"/>
      <c r="CK92" s="124"/>
      <c r="CV92" s="129"/>
    </row>
    <row r="93" spans="1:100" s="26" customFormat="1">
      <c r="A93" s="80"/>
      <c r="B93" s="80"/>
      <c r="D93" s="22"/>
      <c r="E93" s="22"/>
      <c r="F93" s="22"/>
      <c r="G93" s="110"/>
      <c r="I93" s="80"/>
      <c r="K93" s="80"/>
      <c r="N93" s="117"/>
      <c r="Q93" s="114"/>
      <c r="W93" s="80"/>
      <c r="AH93" s="80"/>
      <c r="AI93" s="80"/>
      <c r="AU93" s="80"/>
      <c r="AV93" s="115"/>
      <c r="BC93" s="80"/>
      <c r="BD93" s="80"/>
      <c r="BE93" s="80"/>
      <c r="BF93" s="120"/>
      <c r="CC93" s="125"/>
      <c r="CK93" s="124"/>
      <c r="CV93" s="129"/>
    </row>
    <row r="94" spans="1:100" s="26" customFormat="1">
      <c r="A94" s="80"/>
      <c r="B94" s="80"/>
      <c r="D94" s="22"/>
      <c r="E94" s="22"/>
      <c r="F94" s="22"/>
      <c r="G94" s="110"/>
      <c r="I94" s="80"/>
      <c r="K94" s="80"/>
      <c r="N94" s="117"/>
      <c r="Q94" s="114"/>
      <c r="W94" s="80"/>
      <c r="AH94" s="80"/>
      <c r="AI94" s="80"/>
      <c r="AU94" s="80"/>
      <c r="AV94" s="115"/>
      <c r="BC94" s="80"/>
      <c r="BD94" s="80"/>
      <c r="BE94" s="80"/>
      <c r="BF94" s="120"/>
      <c r="CC94" s="125"/>
      <c r="CK94" s="124"/>
      <c r="CV94" s="129"/>
    </row>
    <row r="95" spans="1:100" s="26" customFormat="1">
      <c r="A95" s="80"/>
      <c r="B95" s="80"/>
      <c r="D95" s="22"/>
      <c r="E95" s="22"/>
      <c r="F95" s="22"/>
      <c r="G95" s="110"/>
      <c r="I95" s="80"/>
      <c r="K95" s="80"/>
      <c r="N95" s="117"/>
      <c r="Q95" s="114"/>
      <c r="W95" s="80"/>
      <c r="AH95" s="80"/>
      <c r="AI95" s="80"/>
      <c r="AU95" s="80"/>
      <c r="AV95" s="115"/>
      <c r="BC95" s="80"/>
      <c r="BD95" s="80"/>
      <c r="BE95" s="80"/>
      <c r="BF95" s="120"/>
      <c r="CC95" s="125"/>
      <c r="CK95" s="124"/>
      <c r="CV95" s="129"/>
    </row>
    <row r="96" spans="1:100" s="26" customFormat="1">
      <c r="A96" s="80"/>
      <c r="B96" s="80"/>
      <c r="D96" s="22"/>
      <c r="E96" s="22"/>
      <c r="F96" s="22"/>
      <c r="G96" s="110"/>
      <c r="I96" s="80"/>
      <c r="K96" s="80"/>
      <c r="N96" s="117"/>
      <c r="Q96" s="114"/>
      <c r="W96" s="80"/>
      <c r="AH96" s="80"/>
      <c r="AI96" s="80"/>
      <c r="AU96" s="80"/>
      <c r="AV96" s="115"/>
      <c r="BC96" s="80"/>
      <c r="BD96" s="80"/>
      <c r="BE96" s="80"/>
      <c r="BF96" s="120"/>
      <c r="CC96" s="125"/>
      <c r="CK96" s="124"/>
      <c r="CV96" s="129"/>
    </row>
    <row r="97" spans="1:100" s="26" customFormat="1">
      <c r="A97" s="80"/>
      <c r="B97" s="80"/>
      <c r="D97" s="22"/>
      <c r="E97" s="22"/>
      <c r="F97" s="22"/>
      <c r="G97" s="110"/>
      <c r="I97" s="80"/>
      <c r="K97" s="80"/>
      <c r="N97" s="117"/>
      <c r="Q97" s="114"/>
      <c r="W97" s="80"/>
      <c r="AH97" s="80"/>
      <c r="AI97" s="80"/>
      <c r="AU97" s="80"/>
      <c r="AV97" s="115"/>
      <c r="BC97" s="80"/>
      <c r="BD97" s="80"/>
      <c r="BE97" s="80"/>
      <c r="BF97" s="120"/>
      <c r="CC97" s="125"/>
      <c r="CK97" s="124"/>
      <c r="CV97" s="129"/>
    </row>
    <row r="98" spans="1:100" s="26" customFormat="1">
      <c r="A98" s="80"/>
      <c r="B98" s="80"/>
      <c r="D98" s="22"/>
      <c r="E98" s="22"/>
      <c r="F98" s="22"/>
      <c r="G98" s="110"/>
      <c r="I98" s="80"/>
      <c r="K98" s="80"/>
      <c r="N98" s="117"/>
      <c r="Q98" s="114"/>
      <c r="W98" s="80"/>
      <c r="AH98" s="80"/>
      <c r="AI98" s="80"/>
      <c r="AU98" s="80"/>
      <c r="AV98" s="115"/>
      <c r="BC98" s="80"/>
      <c r="BD98" s="80"/>
      <c r="BE98" s="80"/>
      <c r="BF98" s="120"/>
      <c r="CC98" s="125"/>
      <c r="CK98" s="124"/>
      <c r="CV98" s="129"/>
    </row>
    <row r="99" spans="1:100" s="26" customFormat="1">
      <c r="A99" s="80"/>
      <c r="B99" s="80"/>
      <c r="D99" s="22"/>
      <c r="E99" s="22"/>
      <c r="F99" s="22"/>
      <c r="G99" s="110"/>
      <c r="I99" s="80"/>
      <c r="K99" s="80"/>
      <c r="N99" s="117"/>
      <c r="Q99" s="114"/>
      <c r="W99" s="80"/>
      <c r="AH99" s="80"/>
      <c r="AI99" s="80"/>
      <c r="AU99" s="80"/>
      <c r="AV99" s="115"/>
      <c r="BC99" s="80"/>
      <c r="BD99" s="80"/>
      <c r="BE99" s="80"/>
      <c r="BF99" s="120"/>
      <c r="CC99" s="125"/>
      <c r="CK99" s="124"/>
      <c r="CV99" s="129"/>
    </row>
    <row r="100" spans="1:100" s="26" customFormat="1">
      <c r="A100" s="80"/>
      <c r="B100" s="80"/>
      <c r="D100" s="22"/>
      <c r="E100" s="22"/>
      <c r="F100" s="22"/>
      <c r="G100" s="110"/>
      <c r="I100" s="80"/>
      <c r="K100" s="80"/>
      <c r="N100" s="117"/>
      <c r="Q100" s="114"/>
      <c r="W100" s="80"/>
      <c r="AH100" s="80"/>
      <c r="AI100" s="80"/>
      <c r="AU100" s="80"/>
      <c r="AV100" s="115"/>
      <c r="BC100" s="80"/>
      <c r="BD100" s="80"/>
      <c r="BE100" s="80"/>
      <c r="BF100" s="120"/>
      <c r="CC100" s="125"/>
      <c r="CK100" s="124"/>
      <c r="CV100" s="129"/>
    </row>
    <row r="101" spans="1:100" s="26" customFormat="1">
      <c r="A101" s="80"/>
      <c r="B101" s="80"/>
      <c r="D101" s="22"/>
      <c r="E101" s="22"/>
      <c r="F101" s="22"/>
      <c r="G101" s="110"/>
      <c r="I101" s="80"/>
      <c r="K101" s="80"/>
      <c r="N101" s="117"/>
      <c r="Q101" s="114"/>
      <c r="W101" s="80"/>
      <c r="AH101" s="80"/>
      <c r="AI101" s="80"/>
      <c r="AU101" s="80"/>
      <c r="AV101" s="115"/>
      <c r="BC101" s="80"/>
      <c r="BD101" s="80"/>
      <c r="BE101" s="80"/>
      <c r="BF101" s="120"/>
      <c r="CC101" s="125"/>
      <c r="CK101" s="124"/>
      <c r="CV101" s="129"/>
    </row>
    <row r="102" spans="1:100" s="26" customFormat="1">
      <c r="A102" s="80"/>
      <c r="B102" s="80"/>
      <c r="D102" s="22"/>
      <c r="E102" s="22"/>
      <c r="F102" s="22"/>
      <c r="G102" s="110"/>
      <c r="I102" s="80"/>
      <c r="K102" s="80"/>
      <c r="N102" s="117"/>
      <c r="Q102" s="114"/>
      <c r="W102" s="80"/>
      <c r="AH102" s="80"/>
      <c r="AI102" s="80"/>
      <c r="AU102" s="80"/>
      <c r="AV102" s="115"/>
      <c r="BC102" s="80"/>
      <c r="BD102" s="80"/>
      <c r="BE102" s="80"/>
      <c r="BF102" s="120"/>
      <c r="CC102" s="125"/>
      <c r="CK102" s="124"/>
      <c r="CV102" s="129"/>
    </row>
    <row r="103" spans="1:100" s="26" customFormat="1">
      <c r="A103" s="80"/>
      <c r="B103" s="80"/>
      <c r="D103" s="22"/>
      <c r="E103" s="22"/>
      <c r="F103" s="22"/>
      <c r="G103" s="110"/>
      <c r="I103" s="80"/>
      <c r="K103" s="80"/>
      <c r="N103" s="117"/>
      <c r="Q103" s="114"/>
      <c r="W103" s="80"/>
      <c r="AH103" s="80"/>
      <c r="AI103" s="80"/>
      <c r="AU103" s="80"/>
      <c r="AV103" s="115"/>
      <c r="BC103" s="80"/>
      <c r="BD103" s="80"/>
      <c r="BE103" s="80"/>
      <c r="BF103" s="120"/>
      <c r="CC103" s="125"/>
      <c r="CK103" s="124"/>
      <c r="CV103" s="129"/>
    </row>
    <row r="104" spans="1:100" s="26" customFormat="1">
      <c r="A104" s="80"/>
      <c r="B104" s="80"/>
      <c r="D104" s="22"/>
      <c r="E104" s="22"/>
      <c r="F104" s="22"/>
      <c r="G104" s="110"/>
      <c r="I104" s="80"/>
      <c r="K104" s="80"/>
      <c r="N104" s="117"/>
      <c r="Q104" s="114"/>
      <c r="W104" s="80"/>
      <c r="AH104" s="80"/>
      <c r="AI104" s="80"/>
      <c r="AU104" s="80"/>
      <c r="AV104" s="115"/>
      <c r="BC104" s="80"/>
      <c r="BD104" s="80"/>
      <c r="BE104" s="80"/>
      <c r="BF104" s="120"/>
      <c r="CC104" s="125"/>
      <c r="CK104" s="124"/>
      <c r="CV104" s="129"/>
    </row>
    <row r="105" spans="1:100" s="26" customFormat="1">
      <c r="A105" s="80"/>
      <c r="B105" s="80"/>
      <c r="D105" s="22"/>
      <c r="E105" s="22"/>
      <c r="F105" s="22"/>
      <c r="G105" s="110"/>
      <c r="I105" s="80"/>
      <c r="K105" s="80"/>
      <c r="N105" s="117"/>
      <c r="Q105" s="114"/>
      <c r="W105" s="80"/>
      <c r="AH105" s="80"/>
      <c r="AI105" s="80"/>
      <c r="AU105" s="80"/>
      <c r="AV105" s="115"/>
      <c r="BC105" s="80"/>
      <c r="BD105" s="80"/>
      <c r="BE105" s="80"/>
      <c r="BF105" s="120"/>
      <c r="CC105" s="125"/>
      <c r="CK105" s="124"/>
      <c r="CV105" s="129"/>
    </row>
    <row r="106" spans="1:100" s="26" customFormat="1">
      <c r="A106" s="80"/>
      <c r="B106" s="80"/>
      <c r="D106" s="22"/>
      <c r="E106" s="22"/>
      <c r="F106" s="22"/>
      <c r="G106" s="110"/>
      <c r="I106" s="80"/>
      <c r="K106" s="80"/>
      <c r="N106" s="117"/>
      <c r="Q106" s="114"/>
      <c r="W106" s="80"/>
      <c r="AH106" s="80"/>
      <c r="AI106" s="80"/>
      <c r="AU106" s="80"/>
      <c r="AV106" s="115"/>
      <c r="BC106" s="80"/>
      <c r="BD106" s="80"/>
      <c r="BE106" s="80"/>
      <c r="BF106" s="120"/>
      <c r="CC106" s="125"/>
      <c r="CK106" s="124"/>
      <c r="CV106" s="129"/>
    </row>
    <row r="107" spans="1:100" s="26" customFormat="1">
      <c r="A107" s="80"/>
      <c r="B107" s="80"/>
      <c r="D107" s="22"/>
      <c r="E107" s="22"/>
      <c r="F107" s="22"/>
      <c r="G107" s="110"/>
      <c r="I107" s="80"/>
      <c r="K107" s="80"/>
      <c r="N107" s="117"/>
      <c r="Q107" s="114"/>
      <c r="W107" s="80"/>
      <c r="AH107" s="80"/>
      <c r="AI107" s="80"/>
      <c r="AU107" s="80"/>
      <c r="AV107" s="115"/>
      <c r="BC107" s="80"/>
      <c r="BD107" s="80"/>
      <c r="BE107" s="80"/>
      <c r="BF107" s="120"/>
      <c r="CC107" s="125"/>
      <c r="CK107" s="124"/>
      <c r="CV107" s="129"/>
    </row>
    <row r="108" spans="1:100" s="26" customFormat="1">
      <c r="A108" s="80"/>
      <c r="B108" s="80"/>
      <c r="D108" s="22"/>
      <c r="E108" s="22"/>
      <c r="F108" s="22"/>
      <c r="G108" s="110"/>
      <c r="I108" s="80"/>
      <c r="K108" s="80"/>
      <c r="N108" s="117"/>
      <c r="Q108" s="114"/>
      <c r="W108" s="80"/>
      <c r="AH108" s="80"/>
      <c r="AI108" s="80"/>
      <c r="AU108" s="80"/>
      <c r="AV108" s="115"/>
      <c r="BC108" s="80"/>
      <c r="BD108" s="80"/>
      <c r="BE108" s="80"/>
      <c r="BF108" s="120"/>
      <c r="CC108" s="125"/>
      <c r="CK108" s="124"/>
      <c r="CV108" s="129"/>
    </row>
    <row r="109" spans="1:100" s="26" customFormat="1">
      <c r="A109" s="80"/>
      <c r="B109" s="80"/>
      <c r="D109" s="22"/>
      <c r="E109" s="22"/>
      <c r="F109" s="22"/>
      <c r="G109" s="110"/>
      <c r="I109" s="80"/>
      <c r="K109" s="80"/>
      <c r="N109" s="117"/>
      <c r="Q109" s="114"/>
      <c r="W109" s="80"/>
      <c r="AH109" s="80"/>
      <c r="AI109" s="80"/>
      <c r="AU109" s="80"/>
      <c r="AV109" s="115"/>
      <c r="BC109" s="80"/>
      <c r="BD109" s="80"/>
      <c r="BE109" s="80"/>
      <c r="BF109" s="120"/>
      <c r="CC109" s="125"/>
      <c r="CK109" s="124"/>
      <c r="CV109" s="129"/>
    </row>
    <row r="110" spans="1:100" s="26" customFormat="1">
      <c r="A110" s="80"/>
      <c r="B110" s="80"/>
      <c r="D110" s="22"/>
      <c r="E110" s="22"/>
      <c r="F110" s="22"/>
      <c r="G110" s="110"/>
      <c r="I110" s="80"/>
      <c r="K110" s="80"/>
      <c r="N110" s="117"/>
      <c r="Q110" s="114"/>
      <c r="W110" s="80"/>
      <c r="AH110" s="80"/>
      <c r="AI110" s="80"/>
      <c r="AU110" s="80"/>
      <c r="AV110" s="115"/>
      <c r="BC110" s="80"/>
      <c r="BD110" s="80"/>
      <c r="BE110" s="80"/>
      <c r="BF110" s="120"/>
      <c r="CC110" s="125"/>
      <c r="CK110" s="124"/>
      <c r="CV110" s="129"/>
    </row>
    <row r="111" spans="1:100" s="26" customFormat="1">
      <c r="A111" s="80"/>
      <c r="B111" s="80"/>
      <c r="D111" s="22"/>
      <c r="E111" s="22"/>
      <c r="F111" s="22"/>
      <c r="G111" s="110"/>
      <c r="I111" s="80"/>
      <c r="K111" s="80"/>
      <c r="N111" s="117"/>
      <c r="Q111" s="114"/>
      <c r="W111" s="80"/>
      <c r="AH111" s="80"/>
      <c r="AI111" s="80"/>
      <c r="AU111" s="80"/>
      <c r="AV111" s="115"/>
      <c r="BC111" s="80"/>
      <c r="BD111" s="80"/>
      <c r="BE111" s="80"/>
      <c r="BF111" s="120"/>
      <c r="CC111" s="125"/>
      <c r="CK111" s="124"/>
      <c r="CV111" s="129"/>
    </row>
    <row r="112" spans="1:100" s="26" customFormat="1">
      <c r="A112" s="80"/>
      <c r="B112" s="80"/>
      <c r="D112" s="22"/>
      <c r="E112" s="22"/>
      <c r="F112" s="22"/>
      <c r="G112" s="110"/>
      <c r="I112" s="80"/>
      <c r="K112" s="80"/>
      <c r="N112" s="117"/>
      <c r="Q112" s="114"/>
      <c r="W112" s="80"/>
      <c r="AH112" s="80"/>
      <c r="AI112" s="80"/>
      <c r="AU112" s="80"/>
      <c r="AV112" s="115"/>
      <c r="BC112" s="80"/>
      <c r="BD112" s="80"/>
      <c r="BE112" s="80"/>
      <c r="BF112" s="120"/>
      <c r="CC112" s="125"/>
      <c r="CK112" s="124"/>
      <c r="CV112" s="129"/>
    </row>
    <row r="113" spans="1:100" s="26" customFormat="1">
      <c r="A113" s="80"/>
      <c r="B113" s="80"/>
      <c r="D113" s="22"/>
      <c r="E113" s="22"/>
      <c r="F113" s="22"/>
      <c r="G113" s="110"/>
      <c r="I113" s="80"/>
      <c r="K113" s="80"/>
      <c r="N113" s="117"/>
      <c r="Q113" s="114"/>
      <c r="W113" s="80"/>
      <c r="AH113" s="80"/>
      <c r="AI113" s="80"/>
      <c r="AU113" s="80"/>
      <c r="AV113" s="115"/>
      <c r="BC113" s="80"/>
      <c r="BD113" s="80"/>
      <c r="BE113" s="80"/>
      <c r="BF113" s="120"/>
      <c r="CC113" s="125"/>
      <c r="CK113" s="124"/>
      <c r="CV113" s="129"/>
    </row>
    <row r="114" spans="1:100" s="26" customFormat="1">
      <c r="A114" s="80"/>
      <c r="B114" s="80"/>
      <c r="D114" s="22"/>
      <c r="E114" s="22"/>
      <c r="F114" s="22"/>
      <c r="G114" s="110"/>
      <c r="I114" s="80"/>
      <c r="K114" s="80"/>
      <c r="N114" s="117"/>
      <c r="Q114" s="114"/>
      <c r="W114" s="80"/>
      <c r="AH114" s="80"/>
      <c r="AI114" s="80"/>
      <c r="AU114" s="80"/>
      <c r="AV114" s="115"/>
      <c r="BC114" s="80"/>
      <c r="BD114" s="80"/>
      <c r="BE114" s="80"/>
      <c r="BF114" s="120"/>
      <c r="CC114" s="125"/>
      <c r="CK114" s="124"/>
      <c r="CV114" s="129"/>
    </row>
    <row r="115" spans="1:100" s="26" customFormat="1">
      <c r="A115" s="80"/>
      <c r="B115" s="80"/>
      <c r="D115" s="22"/>
      <c r="E115" s="22"/>
      <c r="F115" s="22"/>
      <c r="G115" s="110"/>
      <c r="I115" s="80"/>
      <c r="K115" s="80"/>
      <c r="N115" s="117"/>
      <c r="Q115" s="114"/>
      <c r="W115" s="80"/>
      <c r="AH115" s="80"/>
      <c r="AI115" s="80"/>
      <c r="AU115" s="80"/>
      <c r="AV115" s="115"/>
      <c r="BC115" s="80"/>
      <c r="BD115" s="80"/>
      <c r="BE115" s="80"/>
      <c r="BF115" s="120"/>
      <c r="CC115" s="125"/>
      <c r="CK115" s="124"/>
      <c r="CV115" s="129"/>
    </row>
    <row r="116" spans="1:100" s="26" customFormat="1">
      <c r="A116" s="80"/>
      <c r="B116" s="80"/>
      <c r="D116" s="22"/>
      <c r="E116" s="22"/>
      <c r="F116" s="22"/>
      <c r="G116" s="110"/>
      <c r="I116" s="80"/>
      <c r="K116" s="80"/>
      <c r="N116" s="117"/>
      <c r="Q116" s="114"/>
      <c r="W116" s="80"/>
      <c r="AH116" s="80"/>
      <c r="AI116" s="80"/>
      <c r="AU116" s="80"/>
      <c r="AV116" s="115"/>
      <c r="BC116" s="80"/>
      <c r="BD116" s="80"/>
      <c r="BE116" s="80"/>
      <c r="BF116" s="120"/>
      <c r="CC116" s="125"/>
      <c r="CK116" s="124"/>
      <c r="CV116" s="129"/>
    </row>
    <row r="117" spans="1:100" s="26" customFormat="1">
      <c r="A117" s="80"/>
      <c r="B117" s="80"/>
      <c r="D117" s="22"/>
      <c r="E117" s="22"/>
      <c r="F117" s="22"/>
      <c r="G117" s="110"/>
      <c r="I117" s="80"/>
      <c r="K117" s="80"/>
      <c r="N117" s="117"/>
      <c r="Q117" s="114"/>
      <c r="W117" s="80"/>
      <c r="AH117" s="80"/>
      <c r="AI117" s="80"/>
      <c r="AU117" s="80"/>
      <c r="AV117" s="115"/>
      <c r="BC117" s="80"/>
      <c r="BD117" s="80"/>
      <c r="BE117" s="80"/>
      <c r="BF117" s="120"/>
      <c r="CC117" s="125"/>
      <c r="CK117" s="124"/>
      <c r="CV117" s="129"/>
    </row>
    <row r="118" spans="1:100" s="26" customFormat="1">
      <c r="A118" s="80"/>
      <c r="B118" s="80"/>
      <c r="D118" s="22"/>
      <c r="E118" s="22"/>
      <c r="F118" s="22"/>
      <c r="G118" s="110"/>
      <c r="I118" s="80"/>
      <c r="K118" s="80"/>
      <c r="N118" s="117"/>
      <c r="Q118" s="114"/>
      <c r="W118" s="80"/>
      <c r="AH118" s="80"/>
      <c r="AI118" s="80"/>
      <c r="AU118" s="80"/>
      <c r="AV118" s="115"/>
      <c r="BC118" s="80"/>
      <c r="BD118" s="80"/>
      <c r="BE118" s="80"/>
      <c r="BF118" s="120"/>
      <c r="CC118" s="125"/>
      <c r="CK118" s="124"/>
      <c r="CV118" s="129"/>
    </row>
    <row r="119" spans="1:100" s="26" customFormat="1">
      <c r="A119" s="80"/>
      <c r="B119" s="80"/>
      <c r="D119" s="22"/>
      <c r="E119" s="22"/>
      <c r="F119" s="22"/>
      <c r="G119" s="110"/>
      <c r="I119" s="80"/>
      <c r="K119" s="80"/>
      <c r="N119" s="117"/>
      <c r="Q119" s="114"/>
      <c r="W119" s="80"/>
      <c r="AH119" s="80"/>
      <c r="AI119" s="80"/>
      <c r="AU119" s="80"/>
      <c r="AV119" s="115"/>
      <c r="BC119" s="80"/>
      <c r="BD119" s="80"/>
      <c r="BE119" s="80"/>
      <c r="BF119" s="120"/>
      <c r="CC119" s="125"/>
      <c r="CK119" s="124"/>
      <c r="CV119" s="129"/>
    </row>
    <row r="120" spans="1:100" s="26" customFormat="1">
      <c r="A120" s="80"/>
      <c r="B120" s="80"/>
      <c r="D120" s="22"/>
      <c r="E120" s="22"/>
      <c r="F120" s="22"/>
      <c r="G120" s="110"/>
      <c r="I120" s="80"/>
      <c r="K120" s="80"/>
      <c r="N120" s="117"/>
      <c r="Q120" s="114"/>
      <c r="W120" s="80"/>
      <c r="AH120" s="80"/>
      <c r="AI120" s="80"/>
      <c r="AU120" s="80"/>
      <c r="AV120" s="115"/>
      <c r="BC120" s="80"/>
      <c r="BD120" s="80"/>
      <c r="BE120" s="80"/>
      <c r="BF120" s="120"/>
      <c r="CC120" s="125"/>
      <c r="CK120" s="124"/>
      <c r="CV120" s="129"/>
    </row>
    <row r="121" spans="1:100" s="26" customFormat="1">
      <c r="A121" s="80"/>
      <c r="B121" s="80"/>
      <c r="D121" s="22"/>
      <c r="E121" s="22"/>
      <c r="F121" s="22"/>
      <c r="G121" s="110"/>
      <c r="I121" s="80"/>
      <c r="K121" s="80"/>
      <c r="N121" s="117"/>
      <c r="Q121" s="114"/>
      <c r="W121" s="80"/>
      <c r="AH121" s="80"/>
      <c r="AI121" s="80"/>
      <c r="AU121" s="80"/>
      <c r="AV121" s="115"/>
      <c r="BC121" s="80"/>
      <c r="BD121" s="80"/>
      <c r="BE121" s="80"/>
      <c r="BF121" s="120"/>
      <c r="CC121" s="125"/>
      <c r="CK121" s="124"/>
      <c r="CV121" s="129"/>
    </row>
    <row r="122" spans="1:100" s="26" customFormat="1">
      <c r="A122" s="80"/>
      <c r="B122" s="80"/>
      <c r="D122" s="22"/>
      <c r="E122" s="22"/>
      <c r="F122" s="22"/>
      <c r="G122" s="110"/>
      <c r="I122" s="80"/>
      <c r="K122" s="80"/>
      <c r="N122" s="117"/>
      <c r="Q122" s="114"/>
      <c r="W122" s="80"/>
      <c r="AH122" s="80"/>
      <c r="AI122" s="80"/>
      <c r="AU122" s="80"/>
      <c r="AV122" s="115"/>
      <c r="BC122" s="80"/>
      <c r="BD122" s="80"/>
      <c r="BE122" s="80"/>
      <c r="BF122" s="120"/>
      <c r="CC122" s="125"/>
      <c r="CK122" s="124"/>
      <c r="CV122" s="129"/>
    </row>
    <row r="123" spans="1:100" s="26" customFormat="1">
      <c r="A123" s="80"/>
      <c r="B123" s="80"/>
      <c r="D123" s="22"/>
      <c r="E123" s="22"/>
      <c r="F123" s="22"/>
      <c r="G123" s="110"/>
      <c r="I123" s="80"/>
      <c r="K123" s="80"/>
      <c r="N123" s="117"/>
      <c r="Q123" s="114"/>
      <c r="W123" s="80"/>
      <c r="AH123" s="80"/>
      <c r="AI123" s="80"/>
      <c r="AU123" s="80"/>
      <c r="AV123" s="115"/>
      <c r="BC123" s="80"/>
      <c r="BD123" s="80"/>
      <c r="BE123" s="80"/>
      <c r="BF123" s="120"/>
      <c r="CC123" s="125"/>
      <c r="CK123" s="124"/>
      <c r="CV123" s="129"/>
    </row>
    <row r="124" spans="1:100" s="26" customFormat="1">
      <c r="A124" s="80"/>
      <c r="B124" s="80"/>
      <c r="D124" s="22"/>
      <c r="E124" s="22"/>
      <c r="F124" s="22"/>
      <c r="G124" s="110"/>
      <c r="I124" s="80"/>
      <c r="K124" s="80"/>
      <c r="N124" s="117"/>
      <c r="Q124" s="114"/>
      <c r="W124" s="80"/>
      <c r="AH124" s="80"/>
      <c r="AI124" s="80"/>
      <c r="AU124" s="80"/>
      <c r="AV124" s="115"/>
      <c r="BC124" s="80"/>
      <c r="BD124" s="80"/>
      <c r="BE124" s="80"/>
      <c r="BF124" s="120"/>
      <c r="CC124" s="125"/>
      <c r="CK124" s="124"/>
      <c r="CV124" s="129"/>
    </row>
    <row r="125" spans="1:100" s="26" customFormat="1">
      <c r="A125" s="80"/>
      <c r="B125" s="80"/>
      <c r="D125" s="22"/>
      <c r="E125" s="22"/>
      <c r="F125" s="22"/>
      <c r="G125" s="110"/>
      <c r="I125" s="80"/>
      <c r="K125" s="80"/>
      <c r="N125" s="117"/>
      <c r="Q125" s="114"/>
      <c r="W125" s="80"/>
      <c r="AH125" s="80"/>
      <c r="AI125" s="80"/>
      <c r="AU125" s="80"/>
      <c r="AV125" s="115"/>
      <c r="BC125" s="80"/>
      <c r="BD125" s="80"/>
      <c r="BE125" s="80"/>
      <c r="BF125" s="120"/>
      <c r="CC125" s="125"/>
      <c r="CK125" s="124"/>
      <c r="CV125" s="129"/>
    </row>
    <row r="126" spans="1:100" s="26" customFormat="1">
      <c r="A126" s="80"/>
      <c r="B126" s="80"/>
      <c r="D126" s="22"/>
      <c r="E126" s="22"/>
      <c r="F126" s="22"/>
      <c r="G126" s="110"/>
      <c r="I126" s="80"/>
      <c r="K126" s="80"/>
      <c r="N126" s="117"/>
      <c r="Q126" s="114"/>
      <c r="W126" s="80"/>
      <c r="AH126" s="80"/>
      <c r="AI126" s="80"/>
      <c r="AU126" s="80"/>
      <c r="AV126" s="115"/>
      <c r="BC126" s="80"/>
      <c r="BD126" s="80"/>
      <c r="BE126" s="80"/>
      <c r="BF126" s="120"/>
      <c r="CC126" s="125"/>
      <c r="CK126" s="124"/>
      <c r="CV126" s="129"/>
    </row>
    <row r="127" spans="1:100" s="26" customFormat="1">
      <c r="A127" s="80"/>
      <c r="B127" s="80"/>
      <c r="D127" s="22"/>
      <c r="E127" s="22"/>
      <c r="F127" s="22"/>
      <c r="G127" s="110"/>
      <c r="I127" s="80"/>
      <c r="K127" s="80"/>
      <c r="N127" s="117"/>
      <c r="Q127" s="114"/>
      <c r="W127" s="80"/>
      <c r="AH127" s="80"/>
      <c r="AI127" s="80"/>
      <c r="AU127" s="80"/>
      <c r="AV127" s="115"/>
      <c r="BC127" s="80"/>
      <c r="BD127" s="80"/>
      <c r="BE127" s="80"/>
      <c r="BF127" s="120"/>
      <c r="CC127" s="125"/>
      <c r="CK127" s="124"/>
      <c r="CV127" s="129"/>
    </row>
    <row r="128" spans="1:100" s="26" customFormat="1">
      <c r="A128" s="80"/>
      <c r="B128" s="80"/>
      <c r="D128" s="22"/>
      <c r="E128" s="22"/>
      <c r="F128" s="22"/>
      <c r="G128" s="110"/>
      <c r="I128" s="80"/>
      <c r="K128" s="80"/>
      <c r="N128" s="117"/>
      <c r="Q128" s="114"/>
      <c r="W128" s="80"/>
      <c r="AH128" s="80"/>
      <c r="AI128" s="80"/>
      <c r="AU128" s="80"/>
      <c r="AV128" s="115"/>
      <c r="BC128" s="80"/>
      <c r="BD128" s="80"/>
      <c r="BE128" s="80"/>
      <c r="BF128" s="120"/>
      <c r="CC128" s="125"/>
      <c r="CK128" s="124"/>
      <c r="CV128" s="129"/>
    </row>
    <row r="129" spans="1:100" s="26" customFormat="1">
      <c r="A129" s="80"/>
      <c r="B129" s="80"/>
      <c r="D129" s="22"/>
      <c r="E129" s="22"/>
      <c r="F129" s="22"/>
      <c r="G129" s="110"/>
      <c r="I129" s="80"/>
      <c r="K129" s="80"/>
      <c r="N129" s="117"/>
      <c r="Q129" s="114"/>
      <c r="W129" s="80"/>
      <c r="AH129" s="80"/>
      <c r="AI129" s="80"/>
      <c r="AU129" s="80"/>
      <c r="AV129" s="115"/>
      <c r="BC129" s="80"/>
      <c r="BD129" s="80"/>
      <c r="BE129" s="80"/>
      <c r="BF129" s="120"/>
      <c r="CC129" s="125"/>
      <c r="CK129" s="124"/>
      <c r="CV129" s="129"/>
    </row>
    <row r="130" spans="1:100" s="26" customFormat="1">
      <c r="A130" s="80"/>
      <c r="B130" s="80"/>
      <c r="D130" s="22"/>
      <c r="E130" s="22"/>
      <c r="F130" s="22"/>
      <c r="G130" s="110"/>
      <c r="I130" s="80"/>
      <c r="K130" s="80"/>
      <c r="N130" s="117"/>
      <c r="Q130" s="114"/>
      <c r="W130" s="80"/>
      <c r="AH130" s="80"/>
      <c r="AI130" s="80"/>
      <c r="AU130" s="80"/>
      <c r="AV130" s="115"/>
      <c r="BC130" s="80"/>
      <c r="BD130" s="80"/>
      <c r="BE130" s="80"/>
      <c r="BF130" s="120"/>
      <c r="CC130" s="125"/>
      <c r="CK130" s="124"/>
      <c r="CV130" s="129"/>
    </row>
    <row r="131" spans="1:100" s="26" customFormat="1">
      <c r="A131" s="80"/>
      <c r="B131" s="80"/>
      <c r="D131" s="22"/>
      <c r="E131" s="22"/>
      <c r="F131" s="22"/>
      <c r="G131" s="110"/>
      <c r="I131" s="80"/>
      <c r="K131" s="80"/>
      <c r="N131" s="117"/>
      <c r="Q131" s="114"/>
      <c r="W131" s="80"/>
      <c r="AH131" s="80"/>
      <c r="AI131" s="80"/>
      <c r="AU131" s="80"/>
      <c r="AV131" s="115"/>
      <c r="BC131" s="80"/>
      <c r="BD131" s="80"/>
      <c r="BE131" s="80"/>
      <c r="BF131" s="120"/>
      <c r="CC131" s="125"/>
      <c r="CK131" s="124"/>
      <c r="CV131" s="129"/>
    </row>
    <row r="132" spans="1:100" s="26" customFormat="1">
      <c r="A132" s="80"/>
      <c r="B132" s="80"/>
      <c r="D132" s="22"/>
      <c r="E132" s="22"/>
      <c r="F132" s="22"/>
      <c r="G132" s="110"/>
      <c r="I132" s="80"/>
      <c r="K132" s="80"/>
      <c r="N132" s="117"/>
      <c r="Q132" s="114"/>
      <c r="W132" s="80"/>
      <c r="AH132" s="80"/>
      <c r="AI132" s="80"/>
      <c r="AU132" s="80"/>
      <c r="AV132" s="115"/>
      <c r="BC132" s="80"/>
      <c r="BD132" s="80"/>
      <c r="BE132" s="80"/>
      <c r="BF132" s="120"/>
      <c r="CC132" s="125"/>
      <c r="CK132" s="124"/>
      <c r="CV132" s="129"/>
    </row>
    <row r="133" spans="1:100" s="26" customFormat="1">
      <c r="A133" s="80"/>
      <c r="B133" s="80"/>
      <c r="D133" s="22"/>
      <c r="E133" s="22"/>
      <c r="F133" s="22"/>
      <c r="G133" s="110"/>
      <c r="I133" s="80"/>
      <c r="K133" s="80"/>
      <c r="N133" s="117"/>
      <c r="Q133" s="114"/>
      <c r="W133" s="80"/>
      <c r="AH133" s="80"/>
      <c r="AI133" s="80"/>
      <c r="AU133" s="80"/>
      <c r="AV133" s="115"/>
      <c r="BC133" s="80"/>
      <c r="BD133" s="80"/>
      <c r="BE133" s="80"/>
      <c r="BF133" s="120"/>
      <c r="CC133" s="125"/>
      <c r="CK133" s="124"/>
      <c r="CV133" s="129"/>
    </row>
    <row r="134" spans="1:100" s="26" customFormat="1">
      <c r="A134" s="80"/>
      <c r="B134" s="80"/>
      <c r="D134" s="22"/>
      <c r="E134" s="22"/>
      <c r="F134" s="22"/>
      <c r="G134" s="110"/>
      <c r="I134" s="80"/>
      <c r="K134" s="80"/>
      <c r="N134" s="117"/>
      <c r="Q134" s="114"/>
      <c r="W134" s="80"/>
      <c r="AH134" s="80"/>
      <c r="AI134" s="80"/>
      <c r="AU134" s="80"/>
      <c r="AV134" s="115"/>
      <c r="BC134" s="80"/>
      <c r="BD134" s="80"/>
      <c r="BE134" s="80"/>
      <c r="BF134" s="120"/>
      <c r="CC134" s="125"/>
      <c r="CK134" s="124"/>
      <c r="CV134" s="129"/>
    </row>
    <row r="135" spans="1:100" s="26" customFormat="1">
      <c r="A135" s="80"/>
      <c r="B135" s="80"/>
      <c r="D135" s="22"/>
      <c r="E135" s="22"/>
      <c r="F135" s="22"/>
      <c r="G135" s="110"/>
      <c r="I135" s="80"/>
      <c r="K135" s="80"/>
      <c r="N135" s="117"/>
      <c r="Q135" s="114"/>
      <c r="W135" s="80"/>
      <c r="AH135" s="80"/>
      <c r="AI135" s="80"/>
      <c r="AU135" s="80"/>
      <c r="AV135" s="115"/>
      <c r="BC135" s="80"/>
      <c r="BD135" s="80"/>
      <c r="BE135" s="80"/>
      <c r="BF135" s="120"/>
      <c r="CC135" s="125"/>
      <c r="CK135" s="124"/>
      <c r="CV135" s="129"/>
    </row>
    <row r="136" spans="1:100" s="26" customFormat="1" ht="25.5" customHeight="1">
      <c r="D136" s="22"/>
      <c r="E136" s="22"/>
      <c r="F136" s="22"/>
      <c r="N136" s="117"/>
      <c r="Q136" s="88"/>
      <c r="AV136" s="115"/>
      <c r="BF136" s="120"/>
      <c r="CC136" s="125"/>
      <c r="CK136" s="124"/>
      <c r="CV136" s="131"/>
    </row>
    <row r="137" spans="1:100" s="26" customFormat="1">
      <c r="D137" s="22"/>
      <c r="E137" s="22"/>
      <c r="F137" s="22"/>
      <c r="N137" s="117"/>
      <c r="Q137" s="88"/>
      <c r="AV137" s="115"/>
      <c r="BF137" s="120"/>
      <c r="CC137" s="125"/>
      <c r="CK137" s="124"/>
      <c r="CV137" s="131"/>
    </row>
    <row r="138" spans="1:100">
      <c r="C138" s="13" t="s">
        <v>504</v>
      </c>
      <c r="D138" s="13"/>
      <c r="E138" s="22"/>
      <c r="F138" s="13"/>
    </row>
    <row r="139" spans="1:100">
      <c r="C139" s="20" t="s">
        <v>503</v>
      </c>
      <c r="D139" s="20"/>
      <c r="E139" s="22"/>
      <c r="F139" s="20" t="s">
        <v>1942</v>
      </c>
    </row>
    <row r="140" spans="1:100">
      <c r="C140" t="s">
        <v>825</v>
      </c>
    </row>
  </sheetData>
  <phoneticPr fontId="2" type="noConversion"/>
  <pageMargins left="0.75" right="0.75" top="1" bottom="1" header="0.5" footer="0.5"/>
  <headerFooter alignWithMargins="0"/>
  <legacyDrawing r:id="rId1"/>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filterMode="1" enableFormatConditionsCalculation="0"/>
  <dimension ref="A1:O673"/>
  <sheetViews>
    <sheetView topLeftCell="D1" workbookViewId="0">
      <selection activeCell="O1" sqref="O1:O65536"/>
    </sheetView>
  </sheetViews>
  <sheetFormatPr baseColWidth="10" defaultColWidth="8.7109375" defaultRowHeight="13"/>
  <cols>
    <col min="1" max="1" width="3.5703125" hidden="1" customWidth="1"/>
    <col min="2" max="2" width="4.7109375" customWidth="1"/>
    <col min="3" max="3" width="15.140625" customWidth="1"/>
    <col min="4" max="4" width="28.5703125" style="4" customWidth="1"/>
    <col min="5" max="5" width="11.28515625" style="4" customWidth="1"/>
    <col min="6" max="6" width="10.28515625" style="4" customWidth="1"/>
    <col min="7" max="7" width="8.42578125" style="26" customWidth="1"/>
    <col min="8" max="8" width="9" style="26" customWidth="1"/>
    <col min="9" max="9" width="6.85546875" style="26" customWidth="1"/>
    <col min="10" max="10" width="10.7109375" style="98" customWidth="1"/>
    <col min="11" max="14" width="9" style="26" customWidth="1"/>
    <col min="15" max="15" width="12.7109375" style="99" customWidth="1"/>
  </cols>
  <sheetData>
    <row r="1" spans="1:15">
      <c r="G1" s="26" t="s">
        <v>700</v>
      </c>
      <c r="H1" s="79" t="s">
        <v>723</v>
      </c>
      <c r="I1" s="26" t="s">
        <v>700</v>
      </c>
      <c r="J1" s="98" t="s">
        <v>1249</v>
      </c>
      <c r="L1" s="26" t="s">
        <v>701</v>
      </c>
      <c r="M1" s="26" t="s">
        <v>725</v>
      </c>
      <c r="N1" s="79" t="s">
        <v>725</v>
      </c>
      <c r="O1" s="99" t="s">
        <v>1250</v>
      </c>
    </row>
    <row r="2" spans="1:15" hidden="1">
      <c r="A2" s="1" t="s">
        <v>1628</v>
      </c>
      <c r="B2" s="1" t="s">
        <v>1629</v>
      </c>
      <c r="C2" s="1" t="s">
        <v>1761</v>
      </c>
      <c r="D2" s="5" t="s">
        <v>1762</v>
      </c>
      <c r="F2" s="6" t="s">
        <v>505</v>
      </c>
      <c r="G2" s="79" t="s">
        <v>695</v>
      </c>
      <c r="H2" s="79" t="s">
        <v>734</v>
      </c>
      <c r="I2" s="79" t="s">
        <v>699</v>
      </c>
      <c r="K2" s="79"/>
      <c r="L2" s="79" t="s">
        <v>702</v>
      </c>
      <c r="M2" s="79" t="s">
        <v>749</v>
      </c>
      <c r="N2" s="79" t="s">
        <v>738</v>
      </c>
    </row>
    <row r="3" spans="1:15" hidden="1">
      <c r="A3" s="1"/>
      <c r="B3" s="1"/>
      <c r="C3" s="1"/>
      <c r="D3" s="5"/>
      <c r="F3" s="6"/>
      <c r="G3" s="80" t="s">
        <v>1642</v>
      </c>
      <c r="H3" s="80" t="s">
        <v>1691</v>
      </c>
      <c r="I3" s="80" t="s">
        <v>1647</v>
      </c>
      <c r="J3" s="100" t="s">
        <v>1751</v>
      </c>
      <c r="K3" s="80"/>
      <c r="L3" s="80" t="s">
        <v>1649</v>
      </c>
      <c r="M3" s="80" t="s">
        <v>1709</v>
      </c>
      <c r="N3" s="80" t="s">
        <v>1695</v>
      </c>
    </row>
    <row r="4" spans="1:15" ht="12.75" hidden="1" customHeight="1">
      <c r="A4" s="1">
        <v>1</v>
      </c>
      <c r="B4" s="1">
        <v>10</v>
      </c>
      <c r="C4" s="1" t="s">
        <v>1768</v>
      </c>
      <c r="D4" s="5" t="s">
        <v>1769</v>
      </c>
      <c r="E4" t="s">
        <v>506</v>
      </c>
      <c r="F4" s="2">
        <v>847</v>
      </c>
      <c r="G4" s="80">
        <v>8172525</v>
      </c>
      <c r="I4" s="80">
        <v>71494</v>
      </c>
      <c r="J4" s="98">
        <f>SUM(G4:I4)</f>
        <v>8244019</v>
      </c>
      <c r="L4" s="80">
        <v>344397</v>
      </c>
      <c r="O4" s="99">
        <f>SUM(L4:N4)</f>
        <v>344397</v>
      </c>
    </row>
    <row r="5" spans="1:15" ht="12.75" hidden="1" customHeight="1">
      <c r="A5" s="1">
        <v>1</v>
      </c>
      <c r="B5" s="1">
        <v>110</v>
      </c>
      <c r="C5" s="1" t="s">
        <v>1768</v>
      </c>
      <c r="D5" s="5" t="s">
        <v>1770</v>
      </c>
      <c r="E5" t="s">
        <v>507</v>
      </c>
      <c r="F5" s="2">
        <v>6974</v>
      </c>
      <c r="G5" s="80">
        <v>93056124</v>
      </c>
      <c r="I5" s="80">
        <v>2460789</v>
      </c>
      <c r="J5" s="98">
        <f t="shared" ref="J5:J68" si="0">SUM(G5:I5)</f>
        <v>95516913</v>
      </c>
      <c r="O5" s="99">
        <f t="shared" ref="O5:O68" si="1">SUM(L5:N5)</f>
        <v>0</v>
      </c>
    </row>
    <row r="6" spans="1:15" ht="12.75" hidden="1" customHeight="1">
      <c r="A6" s="1">
        <v>1</v>
      </c>
      <c r="B6" s="1">
        <v>120</v>
      </c>
      <c r="C6" s="1" t="s">
        <v>1768</v>
      </c>
      <c r="D6" s="5" t="s">
        <v>1771</v>
      </c>
      <c r="E6" t="s">
        <v>508</v>
      </c>
      <c r="F6" s="2">
        <v>532.5</v>
      </c>
      <c r="H6" s="80">
        <v>3624000</v>
      </c>
      <c r="I6" s="80">
        <v>339613</v>
      </c>
      <c r="J6" s="98">
        <f t="shared" si="0"/>
        <v>3963613</v>
      </c>
      <c r="L6" s="80">
        <v>1094318</v>
      </c>
      <c r="N6" s="80">
        <v>1928</v>
      </c>
      <c r="O6" s="99">
        <f t="shared" si="1"/>
        <v>1096246</v>
      </c>
    </row>
    <row r="7" spans="1:15" ht="12.75" hidden="1" customHeight="1">
      <c r="A7" s="1">
        <v>1</v>
      </c>
      <c r="B7" s="1">
        <v>125</v>
      </c>
      <c r="C7" s="1" t="s">
        <v>1768</v>
      </c>
      <c r="D7" s="5" t="s">
        <v>1772</v>
      </c>
      <c r="E7" t="s">
        <v>509</v>
      </c>
      <c r="F7" s="2">
        <v>464</v>
      </c>
      <c r="H7" s="80">
        <v>1854000</v>
      </c>
      <c r="I7" s="80">
        <v>217626</v>
      </c>
      <c r="J7" s="98">
        <f t="shared" si="0"/>
        <v>2071626</v>
      </c>
      <c r="O7" s="99">
        <f t="shared" si="1"/>
        <v>0</v>
      </c>
    </row>
    <row r="8" spans="1:15" ht="12.75" hidden="1" customHeight="1">
      <c r="A8" s="1">
        <v>1</v>
      </c>
      <c r="B8" s="1">
        <v>570</v>
      </c>
      <c r="C8" s="1" t="s">
        <v>1768</v>
      </c>
      <c r="D8" s="5" t="s">
        <v>1773</v>
      </c>
      <c r="E8" t="s">
        <v>510</v>
      </c>
      <c r="F8" s="2">
        <v>885</v>
      </c>
      <c r="G8" s="80">
        <v>13665336</v>
      </c>
      <c r="I8" s="80">
        <v>189857</v>
      </c>
      <c r="J8" s="98">
        <f t="shared" si="0"/>
        <v>13855193</v>
      </c>
      <c r="O8" s="99">
        <f t="shared" si="1"/>
        <v>0</v>
      </c>
    </row>
    <row r="9" spans="1:15" ht="12.75" hidden="1" customHeight="1">
      <c r="A9" s="1">
        <v>1</v>
      </c>
      <c r="B9" s="1">
        <v>590</v>
      </c>
      <c r="C9" s="1" t="s">
        <v>1768</v>
      </c>
      <c r="D9" s="5" t="s">
        <v>1774</v>
      </c>
      <c r="E9" t="s">
        <v>511</v>
      </c>
      <c r="F9" s="2">
        <v>2594</v>
      </c>
      <c r="G9" s="80">
        <v>11204236</v>
      </c>
      <c r="I9" s="80">
        <v>241073</v>
      </c>
      <c r="J9" s="98">
        <f t="shared" si="0"/>
        <v>11445309</v>
      </c>
      <c r="L9" s="80">
        <v>9091917</v>
      </c>
      <c r="N9" s="80">
        <v>299425</v>
      </c>
      <c r="O9" s="99">
        <f t="shared" si="1"/>
        <v>9391342</v>
      </c>
    </row>
    <row r="10" spans="1:15" ht="12.75" hidden="1" customHeight="1">
      <c r="A10" s="1">
        <v>1</v>
      </c>
      <c r="B10" s="1">
        <v>960</v>
      </c>
      <c r="C10" s="1" t="s">
        <v>1768</v>
      </c>
      <c r="D10" s="5" t="s">
        <v>1775</v>
      </c>
      <c r="E10"/>
      <c r="F10" s="2"/>
      <c r="G10" s="80">
        <v>763006</v>
      </c>
      <c r="I10" s="80">
        <v>5382</v>
      </c>
      <c r="J10" s="98">
        <f t="shared" si="0"/>
        <v>768388</v>
      </c>
      <c r="L10" s="80">
        <v>418411</v>
      </c>
      <c r="O10" s="99">
        <f t="shared" si="1"/>
        <v>418411</v>
      </c>
    </row>
    <row r="11" spans="1:15" ht="12.75" hidden="1" customHeight="1">
      <c r="A11" s="1">
        <v>1</v>
      </c>
      <c r="B11" s="1">
        <v>1300</v>
      </c>
      <c r="C11" s="1" t="s">
        <v>1768</v>
      </c>
      <c r="D11" s="5" t="s">
        <v>1776</v>
      </c>
      <c r="E11" t="s">
        <v>512</v>
      </c>
      <c r="F11" s="2">
        <v>520</v>
      </c>
      <c r="G11" s="80">
        <v>1810936</v>
      </c>
      <c r="I11" s="80">
        <v>72013</v>
      </c>
      <c r="J11" s="98">
        <f t="shared" si="0"/>
        <v>1882949</v>
      </c>
      <c r="L11" s="80">
        <v>2389741</v>
      </c>
      <c r="M11" s="80">
        <v>394444</v>
      </c>
      <c r="N11" s="80">
        <v>161942</v>
      </c>
      <c r="O11" s="99">
        <f t="shared" si="1"/>
        <v>2946127</v>
      </c>
    </row>
    <row r="12" spans="1:15" ht="12.75" hidden="1" customHeight="1">
      <c r="A12" s="1">
        <v>1</v>
      </c>
      <c r="B12" s="1">
        <v>1310</v>
      </c>
      <c r="C12" s="1" t="s">
        <v>1768</v>
      </c>
      <c r="D12" s="5" t="s">
        <v>1777</v>
      </c>
      <c r="E12" t="s">
        <v>513</v>
      </c>
      <c r="F12" s="2">
        <v>7484</v>
      </c>
      <c r="G12" s="80">
        <v>50843214</v>
      </c>
      <c r="I12" s="80">
        <v>1217010</v>
      </c>
      <c r="J12" s="98">
        <f t="shared" si="0"/>
        <v>52060224</v>
      </c>
      <c r="L12" s="80">
        <v>20341417</v>
      </c>
      <c r="O12" s="99">
        <f t="shared" si="1"/>
        <v>20341417</v>
      </c>
    </row>
    <row r="13" spans="1:15" ht="12.75" hidden="1" customHeight="1">
      <c r="A13" s="1">
        <v>1</v>
      </c>
      <c r="B13" s="1">
        <v>1410</v>
      </c>
      <c r="C13" s="1" t="s">
        <v>1768</v>
      </c>
      <c r="D13" s="5" t="s">
        <v>1778</v>
      </c>
      <c r="E13" t="s">
        <v>514</v>
      </c>
      <c r="F13" s="2">
        <v>218</v>
      </c>
      <c r="G13" s="80">
        <v>1934320</v>
      </c>
      <c r="I13" s="80">
        <v>22739</v>
      </c>
      <c r="J13" s="98">
        <f t="shared" si="0"/>
        <v>1957059</v>
      </c>
      <c r="L13" s="80">
        <v>1486698</v>
      </c>
      <c r="O13" s="99">
        <f t="shared" si="1"/>
        <v>1486698</v>
      </c>
    </row>
    <row r="14" spans="1:15" ht="12.75" hidden="1" customHeight="1">
      <c r="A14" s="1">
        <v>1</v>
      </c>
      <c r="B14" s="1">
        <v>1540</v>
      </c>
      <c r="C14" s="1" t="s">
        <v>1768</v>
      </c>
      <c r="D14" s="5" t="s">
        <v>1779</v>
      </c>
      <c r="E14" t="s">
        <v>515</v>
      </c>
      <c r="F14" s="2">
        <v>392</v>
      </c>
      <c r="G14" s="80">
        <v>1258908</v>
      </c>
      <c r="I14" s="80">
        <v>109391</v>
      </c>
      <c r="J14" s="98">
        <f t="shared" si="0"/>
        <v>1368299</v>
      </c>
      <c r="L14" s="80">
        <v>1033381</v>
      </c>
      <c r="N14" s="80">
        <v>396365</v>
      </c>
      <c r="O14" s="99">
        <f t="shared" si="1"/>
        <v>1429746</v>
      </c>
    </row>
    <row r="15" spans="1:15" ht="12.75" hidden="1" customHeight="1">
      <c r="A15" s="1">
        <v>1</v>
      </c>
      <c r="B15" s="1">
        <v>1690</v>
      </c>
      <c r="C15" s="1" t="s">
        <v>1768</v>
      </c>
      <c r="D15" s="5" t="s">
        <v>1780</v>
      </c>
      <c r="E15" t="s">
        <v>516</v>
      </c>
      <c r="F15" s="2">
        <v>3791</v>
      </c>
      <c r="G15" s="80">
        <v>26335007</v>
      </c>
      <c r="I15" s="80">
        <v>354991</v>
      </c>
      <c r="J15" s="98">
        <f t="shared" si="0"/>
        <v>26689998</v>
      </c>
      <c r="L15" s="80">
        <v>13410623</v>
      </c>
      <c r="N15" s="80">
        <v>446658</v>
      </c>
      <c r="O15" s="99">
        <f t="shared" si="1"/>
        <v>13857281</v>
      </c>
    </row>
    <row r="16" spans="1:15" ht="12.75" hidden="1" customHeight="1">
      <c r="A16" s="1">
        <v>1</v>
      </c>
      <c r="B16" s="1">
        <v>1790</v>
      </c>
      <c r="C16" s="1" t="s">
        <v>1768</v>
      </c>
      <c r="D16" s="5" t="s">
        <v>1781</v>
      </c>
      <c r="E16" t="s">
        <v>517</v>
      </c>
      <c r="F16" s="2">
        <v>3913.5</v>
      </c>
      <c r="G16" s="80">
        <v>25657864</v>
      </c>
      <c r="I16" s="80">
        <v>711737</v>
      </c>
      <c r="J16" s="98">
        <f t="shared" si="0"/>
        <v>26369601</v>
      </c>
      <c r="L16" s="80">
        <v>17921675</v>
      </c>
      <c r="O16" s="99">
        <f t="shared" si="1"/>
        <v>17921675</v>
      </c>
    </row>
    <row r="17" spans="1:15" ht="12.75" hidden="1" customHeight="1">
      <c r="A17" s="1">
        <v>1</v>
      </c>
      <c r="B17" s="1">
        <v>1940</v>
      </c>
      <c r="C17" s="1" t="s">
        <v>1768</v>
      </c>
      <c r="D17" s="5" t="s">
        <v>1782</v>
      </c>
      <c r="E17" t="s">
        <v>518</v>
      </c>
      <c r="F17" s="2">
        <v>3225</v>
      </c>
      <c r="G17" s="80">
        <v>15007035</v>
      </c>
      <c r="I17" s="80">
        <v>431583</v>
      </c>
      <c r="J17" s="98">
        <f t="shared" si="0"/>
        <v>15438618</v>
      </c>
      <c r="L17" s="80">
        <v>9647111</v>
      </c>
      <c r="O17" s="99">
        <f t="shared" si="1"/>
        <v>9647111</v>
      </c>
    </row>
    <row r="18" spans="1:15" ht="12.75" hidden="1" customHeight="1">
      <c r="A18" s="1">
        <v>1</v>
      </c>
      <c r="B18" s="1">
        <v>1960</v>
      </c>
      <c r="C18" s="1" t="s">
        <v>1768</v>
      </c>
      <c r="D18" s="5" t="s">
        <v>1783</v>
      </c>
      <c r="E18" t="s">
        <v>519</v>
      </c>
      <c r="F18" s="2">
        <v>3325.5</v>
      </c>
      <c r="G18" s="80">
        <v>14521766</v>
      </c>
      <c r="J18" s="98">
        <f t="shared" si="0"/>
        <v>14521766</v>
      </c>
      <c r="L18" s="80">
        <v>4337255</v>
      </c>
      <c r="O18" s="99">
        <f t="shared" si="1"/>
        <v>4337255</v>
      </c>
    </row>
    <row r="19" spans="1:15" ht="12.75" hidden="1" customHeight="1">
      <c r="A19" s="1">
        <v>1</v>
      </c>
      <c r="B19" s="1">
        <v>2680</v>
      </c>
      <c r="C19" s="1" t="s">
        <v>1768</v>
      </c>
      <c r="D19" s="5" t="s">
        <v>1533</v>
      </c>
      <c r="E19" t="s">
        <v>520</v>
      </c>
      <c r="F19" s="2">
        <v>998</v>
      </c>
      <c r="G19" s="80">
        <v>9157885</v>
      </c>
      <c r="I19" s="80">
        <v>143739</v>
      </c>
      <c r="J19" s="98">
        <f t="shared" si="0"/>
        <v>9301624</v>
      </c>
      <c r="L19" s="80">
        <v>969200</v>
      </c>
      <c r="O19" s="99">
        <f t="shared" si="1"/>
        <v>969200</v>
      </c>
    </row>
    <row r="20" spans="1:15" ht="12.75" hidden="1" customHeight="1">
      <c r="A20" s="1">
        <v>1</v>
      </c>
      <c r="B20" s="1">
        <v>2780</v>
      </c>
      <c r="C20" s="1" t="s">
        <v>1768</v>
      </c>
      <c r="D20" s="5" t="s">
        <v>1534</v>
      </c>
      <c r="E20"/>
      <c r="F20" s="2"/>
      <c r="G20" s="80">
        <v>968994</v>
      </c>
      <c r="J20" s="98">
        <f t="shared" si="0"/>
        <v>968994</v>
      </c>
      <c r="N20" s="80">
        <v>71301</v>
      </c>
      <c r="O20" s="99">
        <f t="shared" si="1"/>
        <v>71301</v>
      </c>
    </row>
    <row r="21" spans="1:15" ht="12.75" hidden="1" customHeight="1">
      <c r="A21" s="1">
        <v>1</v>
      </c>
      <c r="B21" s="1">
        <v>2910</v>
      </c>
      <c r="C21" s="1" t="s">
        <v>1768</v>
      </c>
      <c r="D21" s="5" t="s">
        <v>1535</v>
      </c>
      <c r="E21" t="s">
        <v>521</v>
      </c>
      <c r="F21" s="2">
        <v>1621.5</v>
      </c>
      <c r="G21" s="80">
        <v>13953238</v>
      </c>
      <c r="I21" s="80">
        <v>351148</v>
      </c>
      <c r="J21" s="98">
        <f t="shared" si="0"/>
        <v>14304386</v>
      </c>
      <c r="L21" s="80">
        <v>4640595</v>
      </c>
      <c r="O21" s="99">
        <f t="shared" si="1"/>
        <v>4640595</v>
      </c>
    </row>
    <row r="22" spans="1:15" ht="12.75" hidden="1" customHeight="1">
      <c r="A22" s="1">
        <v>1</v>
      </c>
      <c r="B22" s="1">
        <v>3020</v>
      </c>
      <c r="C22" s="1" t="s">
        <v>1768</v>
      </c>
      <c r="D22" s="5" t="s">
        <v>1536</v>
      </c>
      <c r="E22" t="s">
        <v>522</v>
      </c>
      <c r="F22" s="2">
        <v>593</v>
      </c>
      <c r="G22" s="80">
        <v>10173118</v>
      </c>
      <c r="I22" s="80">
        <v>242872</v>
      </c>
      <c r="J22" s="98">
        <f t="shared" si="0"/>
        <v>10415990</v>
      </c>
      <c r="O22" s="99">
        <f t="shared" si="1"/>
        <v>0</v>
      </c>
    </row>
    <row r="23" spans="1:15" ht="12.75" hidden="1" customHeight="1">
      <c r="A23" s="1">
        <v>1</v>
      </c>
      <c r="B23" s="1">
        <v>3480</v>
      </c>
      <c r="C23" s="1" t="s">
        <v>1768</v>
      </c>
      <c r="D23" s="5" t="s">
        <v>1537</v>
      </c>
      <c r="E23" t="s">
        <v>531</v>
      </c>
      <c r="F23" s="2">
        <v>744</v>
      </c>
      <c r="G23" s="80">
        <v>3085814</v>
      </c>
      <c r="I23" s="80">
        <v>34891</v>
      </c>
      <c r="J23" s="98">
        <f t="shared" si="0"/>
        <v>3120705</v>
      </c>
      <c r="L23" s="80">
        <v>3250225</v>
      </c>
      <c r="O23" s="99">
        <f t="shared" si="1"/>
        <v>3250225</v>
      </c>
    </row>
    <row r="24" spans="1:15" ht="12.75" hidden="1" customHeight="1">
      <c r="A24" s="1">
        <v>1</v>
      </c>
      <c r="B24" s="1">
        <v>3720</v>
      </c>
      <c r="C24" s="1" t="s">
        <v>1768</v>
      </c>
      <c r="D24" s="5" t="s">
        <v>1538</v>
      </c>
      <c r="E24" t="s">
        <v>532</v>
      </c>
      <c r="F24" s="2">
        <v>1078</v>
      </c>
      <c r="G24" s="80">
        <v>7194807</v>
      </c>
      <c r="I24" s="80">
        <v>89378</v>
      </c>
      <c r="J24" s="98">
        <f t="shared" si="0"/>
        <v>7284185</v>
      </c>
      <c r="L24" s="80">
        <v>1852131</v>
      </c>
      <c r="O24" s="99">
        <f t="shared" si="1"/>
        <v>1852131</v>
      </c>
    </row>
    <row r="25" spans="1:15" ht="12.75" hidden="1" customHeight="1">
      <c r="A25" s="1">
        <v>1</v>
      </c>
      <c r="B25" s="1">
        <v>4180</v>
      </c>
      <c r="C25" s="1" t="s">
        <v>1768</v>
      </c>
      <c r="D25" s="5" t="s">
        <v>1539</v>
      </c>
      <c r="E25" t="s">
        <v>533</v>
      </c>
      <c r="F25" s="2">
        <v>3423</v>
      </c>
      <c r="G25" s="80">
        <v>6220639</v>
      </c>
      <c r="I25" s="80">
        <v>367173</v>
      </c>
      <c r="J25" s="98">
        <f t="shared" si="0"/>
        <v>6587812</v>
      </c>
      <c r="L25" s="80">
        <v>25501280</v>
      </c>
      <c r="M25" s="80">
        <v>2062146</v>
      </c>
      <c r="O25" s="99">
        <f t="shared" si="1"/>
        <v>27563426</v>
      </c>
    </row>
    <row r="26" spans="1:15" ht="12.75" hidden="1" customHeight="1">
      <c r="A26" s="1">
        <v>1</v>
      </c>
      <c r="B26" s="1">
        <v>4240</v>
      </c>
      <c r="C26" s="1" t="s">
        <v>1768</v>
      </c>
      <c r="D26" s="5" t="s">
        <v>1540</v>
      </c>
      <c r="E26" t="s">
        <v>534</v>
      </c>
      <c r="F26" s="2">
        <v>134</v>
      </c>
      <c r="G26" s="80">
        <v>1229445</v>
      </c>
      <c r="J26" s="98">
        <f t="shared" si="0"/>
        <v>1229445</v>
      </c>
      <c r="N26" s="80">
        <v>771685</v>
      </c>
      <c r="O26" s="99">
        <f t="shared" si="1"/>
        <v>771685</v>
      </c>
    </row>
    <row r="27" spans="1:15" ht="12.75" hidden="1" customHeight="1">
      <c r="A27" s="1">
        <v>1</v>
      </c>
      <c r="B27" s="1">
        <v>4800</v>
      </c>
      <c r="C27" s="1" t="s">
        <v>1768</v>
      </c>
      <c r="D27" s="5" t="s">
        <v>1541</v>
      </c>
      <c r="E27" t="s">
        <v>535</v>
      </c>
      <c r="F27" s="2">
        <v>1124</v>
      </c>
      <c r="G27" s="80">
        <v>7861264</v>
      </c>
      <c r="I27" s="80">
        <v>126375</v>
      </c>
      <c r="J27" s="98">
        <f t="shared" si="0"/>
        <v>7987639</v>
      </c>
      <c r="L27" s="80">
        <v>1865875</v>
      </c>
      <c r="N27" s="80">
        <v>495568</v>
      </c>
      <c r="O27" s="99">
        <f t="shared" si="1"/>
        <v>2361443</v>
      </c>
    </row>
    <row r="28" spans="1:15" ht="12.75" hidden="1" customHeight="1">
      <c r="A28" s="1">
        <v>1</v>
      </c>
      <c r="B28" s="1">
        <v>5350</v>
      </c>
      <c r="C28" s="1" t="s">
        <v>1768</v>
      </c>
      <c r="D28" s="5" t="s">
        <v>1542</v>
      </c>
      <c r="E28" t="s">
        <v>536</v>
      </c>
      <c r="F28" s="2">
        <v>947</v>
      </c>
      <c r="G28" s="80">
        <v>15597115</v>
      </c>
      <c r="I28" s="80">
        <v>104111</v>
      </c>
      <c r="J28" s="98">
        <f t="shared" si="0"/>
        <v>15701226</v>
      </c>
      <c r="N28" s="80">
        <v>100000</v>
      </c>
      <c r="O28" s="99">
        <f t="shared" si="1"/>
        <v>100000</v>
      </c>
    </row>
    <row r="29" spans="1:15" ht="12.75" hidden="1" customHeight="1">
      <c r="A29" s="1">
        <v>1</v>
      </c>
      <c r="B29" s="1">
        <v>5760</v>
      </c>
      <c r="C29" s="1" t="s">
        <v>1768</v>
      </c>
      <c r="D29" s="5" t="s">
        <v>1543</v>
      </c>
      <c r="E29" t="s">
        <v>537</v>
      </c>
      <c r="F29" s="2">
        <v>258</v>
      </c>
      <c r="G29" s="80">
        <v>1631399</v>
      </c>
      <c r="J29" s="98">
        <f t="shared" si="0"/>
        <v>1631399</v>
      </c>
      <c r="L29" s="80">
        <v>1422519</v>
      </c>
      <c r="N29" s="80">
        <v>149066</v>
      </c>
      <c r="O29" s="99">
        <f t="shared" si="1"/>
        <v>1571585</v>
      </c>
    </row>
    <row r="30" spans="1:15" ht="12.75" hidden="1" customHeight="1">
      <c r="A30" s="1">
        <v>3</v>
      </c>
      <c r="B30" s="1">
        <v>40</v>
      </c>
      <c r="C30" s="1" t="s">
        <v>1544</v>
      </c>
      <c r="D30" s="5" t="s">
        <v>1545</v>
      </c>
      <c r="E30" t="s">
        <v>538</v>
      </c>
      <c r="F30" s="2">
        <v>1032</v>
      </c>
      <c r="G30" s="80">
        <v>12025265</v>
      </c>
      <c r="J30" s="98">
        <f t="shared" si="0"/>
        <v>12025265</v>
      </c>
      <c r="O30" s="99">
        <f t="shared" si="1"/>
        <v>0</v>
      </c>
    </row>
    <row r="31" spans="1:15" ht="12.75" hidden="1" customHeight="1">
      <c r="A31" s="1">
        <v>3</v>
      </c>
      <c r="B31" s="1">
        <v>80</v>
      </c>
      <c r="C31" s="1" t="s">
        <v>1544</v>
      </c>
      <c r="D31" s="5" t="s">
        <v>1546</v>
      </c>
      <c r="E31" t="s">
        <v>539</v>
      </c>
      <c r="F31" s="2">
        <v>136</v>
      </c>
      <c r="G31" s="80">
        <v>4660644</v>
      </c>
      <c r="I31" s="80">
        <v>155383</v>
      </c>
      <c r="J31" s="98">
        <f t="shared" si="0"/>
        <v>4816027</v>
      </c>
      <c r="O31" s="99">
        <f t="shared" si="1"/>
        <v>0</v>
      </c>
    </row>
    <row r="32" spans="1:15" ht="12.75" hidden="1" customHeight="1">
      <c r="A32" s="1">
        <v>3</v>
      </c>
      <c r="B32" s="1">
        <v>285</v>
      </c>
      <c r="C32" s="1" t="s">
        <v>1544</v>
      </c>
      <c r="D32" s="5" t="s">
        <v>1547</v>
      </c>
      <c r="E32" t="s">
        <v>540</v>
      </c>
      <c r="F32" s="2">
        <v>1025</v>
      </c>
      <c r="H32" s="80">
        <v>5766582</v>
      </c>
      <c r="I32" s="80">
        <v>928679</v>
      </c>
      <c r="J32" s="98">
        <f t="shared" si="0"/>
        <v>6695261</v>
      </c>
      <c r="O32" s="99">
        <f t="shared" si="1"/>
        <v>0</v>
      </c>
    </row>
    <row r="33" spans="1:15" ht="12.75" hidden="1" customHeight="1">
      <c r="A33" s="1">
        <v>3</v>
      </c>
      <c r="B33" s="1">
        <v>290</v>
      </c>
      <c r="C33" s="1" t="s">
        <v>1544</v>
      </c>
      <c r="D33" s="5" t="s">
        <v>1548</v>
      </c>
      <c r="E33" t="s">
        <v>541</v>
      </c>
      <c r="F33" s="2">
        <v>2089</v>
      </c>
      <c r="H33" s="80">
        <v>22567423</v>
      </c>
      <c r="I33" s="80">
        <v>658561</v>
      </c>
      <c r="J33" s="98">
        <f t="shared" si="0"/>
        <v>23225984</v>
      </c>
      <c r="O33" s="99">
        <f t="shared" si="1"/>
        <v>0</v>
      </c>
    </row>
    <row r="34" spans="1:15" ht="12.75" hidden="1" customHeight="1">
      <c r="A34" s="1">
        <v>3</v>
      </c>
      <c r="B34" s="1">
        <v>300</v>
      </c>
      <c r="C34" s="1" t="s">
        <v>1544</v>
      </c>
      <c r="D34" s="5" t="s">
        <v>1549</v>
      </c>
      <c r="E34" t="s">
        <v>542</v>
      </c>
      <c r="F34" s="2">
        <v>3619</v>
      </c>
      <c r="G34" s="80">
        <v>39876425</v>
      </c>
      <c r="I34" s="80">
        <v>160847</v>
      </c>
      <c r="J34" s="98">
        <f t="shared" si="0"/>
        <v>40037272</v>
      </c>
      <c r="L34" s="80">
        <v>4868281</v>
      </c>
      <c r="O34" s="99">
        <f t="shared" si="1"/>
        <v>4868281</v>
      </c>
    </row>
    <row r="35" spans="1:15" ht="12.75" hidden="1" customHeight="1">
      <c r="A35" s="1">
        <v>3</v>
      </c>
      <c r="B35" s="1">
        <v>440</v>
      </c>
      <c r="C35" s="1" t="s">
        <v>1544</v>
      </c>
      <c r="D35" s="5" t="s">
        <v>1550</v>
      </c>
      <c r="E35" t="s">
        <v>543</v>
      </c>
      <c r="F35" s="2">
        <v>1182</v>
      </c>
      <c r="G35" s="80">
        <v>10238743</v>
      </c>
      <c r="I35" s="80">
        <v>15478</v>
      </c>
      <c r="J35" s="98">
        <f t="shared" si="0"/>
        <v>10254221</v>
      </c>
      <c r="L35" s="80">
        <v>2138184</v>
      </c>
      <c r="N35" s="80">
        <v>848968</v>
      </c>
      <c r="O35" s="99">
        <f t="shared" si="1"/>
        <v>2987152</v>
      </c>
    </row>
    <row r="36" spans="1:15" ht="12.75" hidden="1" customHeight="1">
      <c r="A36" s="1">
        <v>3</v>
      </c>
      <c r="B36" s="1">
        <v>740</v>
      </c>
      <c r="C36" s="1" t="s">
        <v>1544</v>
      </c>
      <c r="D36" s="5" t="s">
        <v>1551</v>
      </c>
      <c r="E36" t="s">
        <v>544</v>
      </c>
      <c r="F36" s="2">
        <v>549.5</v>
      </c>
      <c r="G36" s="80">
        <v>7349150</v>
      </c>
      <c r="I36" s="80">
        <v>51799</v>
      </c>
      <c r="J36" s="98">
        <f t="shared" si="0"/>
        <v>7400949</v>
      </c>
      <c r="O36" s="99">
        <f t="shared" si="1"/>
        <v>0</v>
      </c>
    </row>
    <row r="37" spans="1:15" ht="12.75" hidden="1" customHeight="1">
      <c r="A37" s="1">
        <v>3</v>
      </c>
      <c r="B37" s="1">
        <v>745</v>
      </c>
      <c r="C37" s="1" t="s">
        <v>1544</v>
      </c>
      <c r="D37" s="5" t="s">
        <v>1552</v>
      </c>
      <c r="E37" t="s">
        <v>545</v>
      </c>
      <c r="F37" s="2">
        <v>522.5</v>
      </c>
      <c r="G37" s="80">
        <v>9850324</v>
      </c>
      <c r="I37" s="80">
        <v>208302</v>
      </c>
      <c r="J37" s="98">
        <f t="shared" si="0"/>
        <v>10058626</v>
      </c>
      <c r="N37" s="80">
        <v>130865</v>
      </c>
      <c r="O37" s="99">
        <f t="shared" si="1"/>
        <v>130865</v>
      </c>
    </row>
    <row r="38" spans="1:15" ht="12.75" hidden="1" customHeight="1">
      <c r="A38" s="1">
        <v>3</v>
      </c>
      <c r="B38" s="1">
        <v>890</v>
      </c>
      <c r="C38" s="1" t="s">
        <v>1544</v>
      </c>
      <c r="D38" s="5" t="s">
        <v>1553</v>
      </c>
      <c r="E38" t="s">
        <v>546</v>
      </c>
      <c r="F38" s="2">
        <v>2617</v>
      </c>
      <c r="G38" s="80">
        <v>23525325</v>
      </c>
      <c r="J38" s="98">
        <f t="shared" si="0"/>
        <v>23525325</v>
      </c>
      <c r="O38" s="99">
        <f t="shared" si="1"/>
        <v>0</v>
      </c>
    </row>
    <row r="39" spans="1:15" ht="12.75" hidden="1" customHeight="1">
      <c r="A39" s="1">
        <v>3</v>
      </c>
      <c r="B39" s="1">
        <v>930</v>
      </c>
      <c r="C39" s="1" t="s">
        <v>1544</v>
      </c>
      <c r="D39" s="5" t="s">
        <v>1554</v>
      </c>
      <c r="E39" t="s">
        <v>547</v>
      </c>
      <c r="F39" s="2">
        <v>1183</v>
      </c>
      <c r="G39" s="80">
        <v>13720585</v>
      </c>
      <c r="I39" s="80">
        <v>99983</v>
      </c>
      <c r="J39" s="98">
        <f t="shared" si="0"/>
        <v>13820568</v>
      </c>
      <c r="O39" s="99">
        <f t="shared" si="1"/>
        <v>0</v>
      </c>
    </row>
    <row r="40" spans="1:15" ht="12.75" hidden="1" customHeight="1">
      <c r="A40" s="1">
        <v>3</v>
      </c>
      <c r="B40" s="1">
        <v>990</v>
      </c>
      <c r="C40" s="1" t="s">
        <v>1544</v>
      </c>
      <c r="D40" s="5" t="s">
        <v>1555</v>
      </c>
      <c r="E40" t="s">
        <v>549</v>
      </c>
      <c r="F40" s="2">
        <v>1741</v>
      </c>
      <c r="G40" s="80">
        <v>18521666</v>
      </c>
      <c r="I40" s="80">
        <v>127890</v>
      </c>
      <c r="J40" s="98">
        <f t="shared" si="0"/>
        <v>18649556</v>
      </c>
      <c r="O40" s="99">
        <f t="shared" si="1"/>
        <v>0</v>
      </c>
    </row>
    <row r="41" spans="1:15" ht="12.75" hidden="1" customHeight="1">
      <c r="A41" s="1">
        <v>3</v>
      </c>
      <c r="B41" s="1">
        <v>1070</v>
      </c>
      <c r="C41" s="1" t="s">
        <v>1544</v>
      </c>
      <c r="D41" s="5" t="s">
        <v>1556</v>
      </c>
      <c r="E41" t="s">
        <v>550</v>
      </c>
      <c r="F41" s="2">
        <v>708</v>
      </c>
      <c r="G41" s="80">
        <v>9893854</v>
      </c>
      <c r="I41" s="80">
        <v>167411</v>
      </c>
      <c r="J41" s="98">
        <f t="shared" si="0"/>
        <v>10061265</v>
      </c>
      <c r="O41" s="99">
        <f t="shared" si="1"/>
        <v>0</v>
      </c>
    </row>
    <row r="42" spans="1:15" ht="12.75" hidden="1" customHeight="1">
      <c r="A42" s="1">
        <v>3</v>
      </c>
      <c r="B42" s="1">
        <v>1130</v>
      </c>
      <c r="C42" s="1" t="s">
        <v>1544</v>
      </c>
      <c r="D42" s="5" t="s">
        <v>1557</v>
      </c>
      <c r="E42" t="s">
        <v>551</v>
      </c>
      <c r="F42" s="2">
        <v>2678.5</v>
      </c>
      <c r="G42" s="80">
        <v>27173953</v>
      </c>
      <c r="I42" s="80">
        <v>322978</v>
      </c>
      <c r="J42" s="98">
        <f t="shared" si="0"/>
        <v>27496931</v>
      </c>
      <c r="L42" s="80">
        <v>4728390</v>
      </c>
      <c r="O42" s="99">
        <f t="shared" si="1"/>
        <v>4728390</v>
      </c>
    </row>
    <row r="43" spans="1:15" ht="12.75" hidden="1" customHeight="1">
      <c r="A43" s="1">
        <v>3</v>
      </c>
      <c r="B43" s="1">
        <v>1230</v>
      </c>
      <c r="C43" s="1" t="s">
        <v>1544</v>
      </c>
      <c r="D43" s="5" t="s">
        <v>1558</v>
      </c>
      <c r="E43" t="s">
        <v>552</v>
      </c>
      <c r="F43" s="2">
        <v>730</v>
      </c>
      <c r="G43" s="80">
        <v>10337154</v>
      </c>
      <c r="I43" s="80">
        <v>120348</v>
      </c>
      <c r="J43" s="98">
        <f t="shared" si="0"/>
        <v>10457502</v>
      </c>
      <c r="O43" s="99">
        <f t="shared" si="1"/>
        <v>0</v>
      </c>
    </row>
    <row r="44" spans="1:15" ht="12.75" hidden="1" customHeight="1">
      <c r="A44" s="1">
        <v>3</v>
      </c>
      <c r="B44" s="1">
        <v>1270</v>
      </c>
      <c r="C44" s="1" t="s">
        <v>1544</v>
      </c>
      <c r="D44" s="5" t="s">
        <v>1559</v>
      </c>
      <c r="E44" t="s">
        <v>553</v>
      </c>
      <c r="F44" s="2">
        <v>424</v>
      </c>
      <c r="G44" s="80">
        <v>10863869</v>
      </c>
      <c r="I44" s="80">
        <v>71497</v>
      </c>
      <c r="J44" s="98">
        <f t="shared" si="0"/>
        <v>10935366</v>
      </c>
      <c r="O44" s="99">
        <f t="shared" si="1"/>
        <v>0</v>
      </c>
    </row>
    <row r="45" spans="1:15" ht="12.75" hidden="1" customHeight="1">
      <c r="A45" s="1">
        <v>3</v>
      </c>
      <c r="B45" s="1">
        <v>1345</v>
      </c>
      <c r="C45" s="1" t="s">
        <v>1544</v>
      </c>
      <c r="D45" s="5" t="s">
        <v>1560</v>
      </c>
      <c r="E45" t="s">
        <v>554</v>
      </c>
      <c r="F45" s="2">
        <v>2142</v>
      </c>
      <c r="G45" s="80">
        <v>23573986</v>
      </c>
      <c r="I45" s="80">
        <v>250916</v>
      </c>
      <c r="J45" s="98">
        <f t="shared" si="0"/>
        <v>23824902</v>
      </c>
      <c r="O45" s="99">
        <f t="shared" si="1"/>
        <v>0</v>
      </c>
    </row>
    <row r="46" spans="1:15" ht="12.75" hidden="1" customHeight="1">
      <c r="A46" s="1">
        <v>3</v>
      </c>
      <c r="B46" s="1">
        <v>1360</v>
      </c>
      <c r="C46" s="1" t="s">
        <v>1544</v>
      </c>
      <c r="D46" s="5" t="s">
        <v>1561</v>
      </c>
      <c r="E46" t="s">
        <v>555</v>
      </c>
      <c r="F46" s="2">
        <v>1168</v>
      </c>
      <c r="G46" s="80">
        <v>13943163</v>
      </c>
      <c r="I46" s="80">
        <v>430504</v>
      </c>
      <c r="J46" s="98">
        <f t="shared" si="0"/>
        <v>14373667</v>
      </c>
      <c r="O46" s="99">
        <f t="shared" si="1"/>
        <v>0</v>
      </c>
    </row>
    <row r="47" spans="1:15" ht="12.75" hidden="1" customHeight="1">
      <c r="A47" s="1">
        <v>3</v>
      </c>
      <c r="B47" s="1">
        <v>1370</v>
      </c>
      <c r="C47" s="1" t="s">
        <v>1544</v>
      </c>
      <c r="D47" s="5" t="s">
        <v>1562</v>
      </c>
      <c r="E47" t="s">
        <v>556</v>
      </c>
      <c r="F47" s="2">
        <v>2693.5</v>
      </c>
      <c r="G47" s="80">
        <v>40600443</v>
      </c>
      <c r="I47" s="80">
        <v>2691799</v>
      </c>
      <c r="J47" s="98">
        <f t="shared" si="0"/>
        <v>43292242</v>
      </c>
      <c r="N47" s="80">
        <v>103107</v>
      </c>
      <c r="O47" s="99">
        <f t="shared" si="1"/>
        <v>103107</v>
      </c>
    </row>
    <row r="48" spans="1:15" ht="12.75" hidden="1" customHeight="1">
      <c r="A48" s="1">
        <v>3</v>
      </c>
      <c r="B48" s="1">
        <v>1380</v>
      </c>
      <c r="C48" s="1" t="s">
        <v>1544</v>
      </c>
      <c r="D48" s="5" t="s">
        <v>1563</v>
      </c>
      <c r="E48" t="s">
        <v>557</v>
      </c>
      <c r="F48" s="2">
        <v>421</v>
      </c>
      <c r="G48" s="80">
        <v>8376177</v>
      </c>
      <c r="I48" s="80">
        <v>88602</v>
      </c>
      <c r="J48" s="98">
        <f t="shared" si="0"/>
        <v>8464779</v>
      </c>
      <c r="N48" s="80">
        <v>10497</v>
      </c>
      <c r="O48" s="99">
        <f t="shared" si="1"/>
        <v>10497</v>
      </c>
    </row>
    <row r="49" spans="1:15" ht="12.75" hidden="1" customHeight="1">
      <c r="A49" s="1">
        <v>3</v>
      </c>
      <c r="B49" s="1">
        <v>1450</v>
      </c>
      <c r="C49" s="1" t="s">
        <v>1544</v>
      </c>
      <c r="D49" s="5" t="s">
        <v>1564</v>
      </c>
      <c r="E49" t="s">
        <v>558</v>
      </c>
      <c r="F49" s="2">
        <v>4732.5</v>
      </c>
      <c r="G49" s="80">
        <v>61516737</v>
      </c>
      <c r="J49" s="98">
        <f t="shared" si="0"/>
        <v>61516737</v>
      </c>
      <c r="O49" s="99">
        <f t="shared" si="1"/>
        <v>0</v>
      </c>
    </row>
    <row r="50" spans="1:15" ht="12.75" hidden="1" customHeight="1">
      <c r="A50" s="1">
        <v>3</v>
      </c>
      <c r="B50" s="1">
        <v>1470</v>
      </c>
      <c r="C50" s="1" t="s">
        <v>1544</v>
      </c>
      <c r="D50" s="5" t="s">
        <v>1565</v>
      </c>
      <c r="E50" t="s">
        <v>448</v>
      </c>
      <c r="F50" s="2">
        <v>1028</v>
      </c>
      <c r="G50" s="80">
        <v>11056569</v>
      </c>
      <c r="I50" s="80">
        <v>218588</v>
      </c>
      <c r="J50" s="98">
        <f t="shared" si="0"/>
        <v>11275157</v>
      </c>
      <c r="L50" s="80">
        <v>2026323</v>
      </c>
      <c r="N50" s="80">
        <v>918394</v>
      </c>
      <c r="O50" s="99">
        <f t="shared" si="1"/>
        <v>2944717</v>
      </c>
    </row>
    <row r="51" spans="1:15" ht="12.75" hidden="1" customHeight="1">
      <c r="A51" s="1">
        <v>3</v>
      </c>
      <c r="B51" s="1">
        <v>1550</v>
      </c>
      <c r="C51" s="1" t="s">
        <v>1544</v>
      </c>
      <c r="D51" s="5" t="s">
        <v>1566</v>
      </c>
      <c r="E51" t="s">
        <v>449</v>
      </c>
      <c r="F51" s="2">
        <v>3454</v>
      </c>
      <c r="G51" s="80">
        <v>42581845</v>
      </c>
      <c r="I51" s="80">
        <v>451452</v>
      </c>
      <c r="J51" s="98">
        <f t="shared" si="0"/>
        <v>43033297</v>
      </c>
      <c r="O51" s="99">
        <f t="shared" si="1"/>
        <v>0</v>
      </c>
    </row>
    <row r="52" spans="1:15" ht="12.75" hidden="1" customHeight="1">
      <c r="A52" s="1">
        <v>3</v>
      </c>
      <c r="B52" s="1">
        <v>1580</v>
      </c>
      <c r="C52" s="1" t="s">
        <v>1544</v>
      </c>
      <c r="D52" s="5" t="s">
        <v>1567</v>
      </c>
      <c r="E52" t="s">
        <v>450</v>
      </c>
      <c r="F52" s="2">
        <v>1501</v>
      </c>
      <c r="G52" s="80">
        <v>20267099</v>
      </c>
      <c r="I52" s="80">
        <v>131258</v>
      </c>
      <c r="J52" s="98">
        <f t="shared" si="0"/>
        <v>20398357</v>
      </c>
      <c r="O52" s="99">
        <f t="shared" si="1"/>
        <v>0</v>
      </c>
    </row>
    <row r="53" spans="1:15" ht="12.75" hidden="1" customHeight="1">
      <c r="A53" s="1">
        <v>3</v>
      </c>
      <c r="B53" s="1">
        <v>1700</v>
      </c>
      <c r="C53" s="1" t="s">
        <v>1544</v>
      </c>
      <c r="D53" s="5" t="s">
        <v>1568</v>
      </c>
      <c r="E53" t="s">
        <v>451</v>
      </c>
      <c r="F53" s="2">
        <v>4591</v>
      </c>
      <c r="G53" s="80">
        <v>20348191</v>
      </c>
      <c r="I53" s="80">
        <v>856229</v>
      </c>
      <c r="J53" s="98">
        <f t="shared" si="0"/>
        <v>21204420</v>
      </c>
      <c r="L53" s="80">
        <v>13587511</v>
      </c>
      <c r="O53" s="99">
        <f t="shared" si="1"/>
        <v>13587511</v>
      </c>
    </row>
    <row r="54" spans="1:15" ht="12.75" hidden="1" customHeight="1">
      <c r="A54" s="1">
        <v>3</v>
      </c>
      <c r="B54" s="1">
        <v>1760</v>
      </c>
      <c r="C54" s="1" t="s">
        <v>1544</v>
      </c>
      <c r="D54" s="5" t="s">
        <v>1569</v>
      </c>
      <c r="E54" t="s">
        <v>452</v>
      </c>
      <c r="F54" s="2">
        <v>2473</v>
      </c>
      <c r="G54" s="80">
        <v>33730381</v>
      </c>
      <c r="I54" s="80">
        <v>318594</v>
      </c>
      <c r="J54" s="98">
        <f t="shared" si="0"/>
        <v>34048975</v>
      </c>
      <c r="N54" s="80">
        <v>162279</v>
      </c>
      <c r="O54" s="99">
        <f t="shared" si="1"/>
        <v>162279</v>
      </c>
    </row>
    <row r="55" spans="1:15" ht="12.75" hidden="1" customHeight="1">
      <c r="A55" s="1">
        <v>3</v>
      </c>
      <c r="B55" s="1">
        <v>1860</v>
      </c>
      <c r="C55" s="1" t="s">
        <v>1544</v>
      </c>
      <c r="D55" s="5" t="s">
        <v>1570</v>
      </c>
      <c r="E55" t="s">
        <v>453</v>
      </c>
      <c r="F55" s="2">
        <v>4881</v>
      </c>
      <c r="G55" s="80">
        <v>53452727</v>
      </c>
      <c r="I55" s="80">
        <v>874143</v>
      </c>
      <c r="J55" s="98">
        <f t="shared" si="0"/>
        <v>54326870</v>
      </c>
      <c r="N55" s="80">
        <v>1689</v>
      </c>
      <c r="O55" s="99">
        <f t="shared" si="1"/>
        <v>1689</v>
      </c>
    </row>
    <row r="56" spans="1:15" ht="12.75" hidden="1" customHeight="1">
      <c r="A56" s="1">
        <v>3</v>
      </c>
      <c r="B56" s="1">
        <v>2050</v>
      </c>
      <c r="C56" s="1" t="s">
        <v>1544</v>
      </c>
      <c r="D56" s="5" t="s">
        <v>1571</v>
      </c>
      <c r="E56" t="s">
        <v>454</v>
      </c>
      <c r="F56" s="2">
        <v>704</v>
      </c>
      <c r="G56" s="80">
        <v>8245695</v>
      </c>
      <c r="I56" s="80">
        <v>60122</v>
      </c>
      <c r="J56" s="98">
        <f t="shared" si="0"/>
        <v>8305817</v>
      </c>
      <c r="O56" s="99">
        <f t="shared" si="1"/>
        <v>0</v>
      </c>
    </row>
    <row r="57" spans="1:15" ht="12.75" hidden="1" customHeight="1">
      <c r="A57" s="1">
        <v>3</v>
      </c>
      <c r="B57" s="1">
        <v>2080</v>
      </c>
      <c r="C57" s="1" t="s">
        <v>1544</v>
      </c>
      <c r="D57" s="5" t="s">
        <v>1572</v>
      </c>
      <c r="E57" t="s">
        <v>455</v>
      </c>
      <c r="F57" s="2">
        <v>1556</v>
      </c>
      <c r="G57" s="80">
        <v>18764451</v>
      </c>
      <c r="I57" s="80">
        <v>114387</v>
      </c>
      <c r="J57" s="98">
        <f t="shared" si="0"/>
        <v>18878838</v>
      </c>
      <c r="O57" s="99">
        <f t="shared" si="1"/>
        <v>0</v>
      </c>
    </row>
    <row r="58" spans="1:15" ht="12.75" hidden="1" customHeight="1">
      <c r="A58" s="1">
        <v>3</v>
      </c>
      <c r="B58" s="1">
        <v>2090</v>
      </c>
      <c r="C58" s="1" t="s">
        <v>1544</v>
      </c>
      <c r="D58" s="5" t="s">
        <v>1573</v>
      </c>
      <c r="E58" t="s">
        <v>456</v>
      </c>
      <c r="F58" s="2">
        <v>528</v>
      </c>
      <c r="G58" s="80">
        <v>6249910</v>
      </c>
      <c r="I58" s="80">
        <v>42429</v>
      </c>
      <c r="J58" s="98">
        <f t="shared" si="0"/>
        <v>6292339</v>
      </c>
      <c r="N58" s="80">
        <v>63041</v>
      </c>
      <c r="O58" s="99">
        <f t="shared" si="1"/>
        <v>63041</v>
      </c>
    </row>
    <row r="59" spans="1:15" ht="12.75" hidden="1" customHeight="1">
      <c r="A59" s="1">
        <v>3</v>
      </c>
      <c r="B59" s="1">
        <v>2180</v>
      </c>
      <c r="C59" s="1" t="s">
        <v>1544</v>
      </c>
      <c r="D59" s="5" t="s">
        <v>1574</v>
      </c>
      <c r="E59" t="s">
        <v>457</v>
      </c>
      <c r="F59" s="2">
        <v>1455</v>
      </c>
      <c r="G59" s="80">
        <v>14542646</v>
      </c>
      <c r="I59" s="80">
        <v>71542</v>
      </c>
      <c r="J59" s="98">
        <f t="shared" si="0"/>
        <v>14614188</v>
      </c>
      <c r="O59" s="99">
        <f t="shared" si="1"/>
        <v>0</v>
      </c>
    </row>
    <row r="60" spans="1:15" ht="12.75" hidden="1" customHeight="1">
      <c r="A60" s="1">
        <v>3</v>
      </c>
      <c r="B60" s="1">
        <v>2200</v>
      </c>
      <c r="C60" s="1" t="s">
        <v>1544</v>
      </c>
      <c r="D60" s="5" t="s">
        <v>1575</v>
      </c>
      <c r="E60" t="s">
        <v>458</v>
      </c>
      <c r="F60" s="2">
        <v>670</v>
      </c>
      <c r="G60" s="80">
        <v>9458497</v>
      </c>
      <c r="I60" s="80">
        <v>124762</v>
      </c>
      <c r="J60" s="98">
        <f t="shared" si="0"/>
        <v>9583259</v>
      </c>
      <c r="O60" s="99">
        <f t="shared" si="1"/>
        <v>0</v>
      </c>
    </row>
    <row r="61" spans="1:15" ht="12.75" hidden="1" customHeight="1">
      <c r="A61" s="1">
        <v>3</v>
      </c>
      <c r="B61" s="1">
        <v>2620</v>
      </c>
      <c r="C61" s="1" t="s">
        <v>1544</v>
      </c>
      <c r="D61" s="5" t="s">
        <v>1576</v>
      </c>
      <c r="E61" t="s">
        <v>459</v>
      </c>
      <c r="F61" s="2">
        <v>1731.5</v>
      </c>
      <c r="G61" s="80">
        <v>14333093</v>
      </c>
      <c r="I61" s="80">
        <v>51765</v>
      </c>
      <c r="J61" s="98">
        <f t="shared" si="0"/>
        <v>14384858</v>
      </c>
      <c r="L61" s="80">
        <v>1395172</v>
      </c>
      <c r="O61" s="99">
        <f t="shared" si="1"/>
        <v>1395172</v>
      </c>
    </row>
    <row r="62" spans="1:15" ht="12.75" hidden="1" customHeight="1">
      <c r="A62" s="1">
        <v>3</v>
      </c>
      <c r="B62" s="1">
        <v>2710</v>
      </c>
      <c r="C62" s="1" t="s">
        <v>1544</v>
      </c>
      <c r="D62" s="5" t="s">
        <v>1577</v>
      </c>
      <c r="E62" t="s">
        <v>460</v>
      </c>
      <c r="F62" s="2">
        <v>975</v>
      </c>
      <c r="G62" s="80">
        <v>13285276</v>
      </c>
      <c r="I62" s="80">
        <v>179812</v>
      </c>
      <c r="J62" s="98">
        <f t="shared" si="0"/>
        <v>13465088</v>
      </c>
      <c r="O62" s="99">
        <f t="shared" si="1"/>
        <v>0</v>
      </c>
    </row>
    <row r="63" spans="1:15" ht="12.75" hidden="1" customHeight="1">
      <c r="A63" s="1">
        <v>3</v>
      </c>
      <c r="B63" s="1">
        <v>2740</v>
      </c>
      <c r="C63" s="1" t="s">
        <v>1544</v>
      </c>
      <c r="D63" s="5" t="s">
        <v>1578</v>
      </c>
      <c r="E63" t="s">
        <v>461</v>
      </c>
      <c r="F63" s="2">
        <v>3168.5</v>
      </c>
      <c r="G63" s="80">
        <v>30866646</v>
      </c>
      <c r="I63" s="80">
        <v>485896</v>
      </c>
      <c r="J63" s="98">
        <f t="shared" si="0"/>
        <v>31352542</v>
      </c>
      <c r="L63" s="80">
        <v>5210513</v>
      </c>
      <c r="O63" s="99">
        <f t="shared" si="1"/>
        <v>5210513</v>
      </c>
    </row>
    <row r="64" spans="1:15" ht="12.75" hidden="1" customHeight="1">
      <c r="A64" s="1">
        <v>3</v>
      </c>
      <c r="B64" s="1">
        <v>2860</v>
      </c>
      <c r="C64" s="1" t="s">
        <v>1544</v>
      </c>
      <c r="D64" s="5" t="s">
        <v>1579</v>
      </c>
      <c r="E64" t="s">
        <v>462</v>
      </c>
      <c r="F64" s="2">
        <v>2205.5</v>
      </c>
      <c r="G64" s="80">
        <v>25756895</v>
      </c>
      <c r="I64" s="80">
        <v>218770</v>
      </c>
      <c r="J64" s="98">
        <f t="shared" si="0"/>
        <v>25975665</v>
      </c>
      <c r="N64" s="80">
        <v>69889</v>
      </c>
      <c r="O64" s="99">
        <f t="shared" si="1"/>
        <v>69889</v>
      </c>
    </row>
    <row r="65" spans="1:15" ht="12.75" hidden="1" customHeight="1">
      <c r="A65" s="1">
        <v>3</v>
      </c>
      <c r="B65" s="1">
        <v>2900</v>
      </c>
      <c r="C65" s="1" t="s">
        <v>1544</v>
      </c>
      <c r="D65" s="5" t="s">
        <v>1580</v>
      </c>
      <c r="E65" t="s">
        <v>463</v>
      </c>
      <c r="F65" s="2">
        <v>3394.5</v>
      </c>
      <c r="G65" s="80">
        <v>45107181</v>
      </c>
      <c r="I65" s="80">
        <v>572439</v>
      </c>
      <c r="J65" s="98">
        <f t="shared" si="0"/>
        <v>45679620</v>
      </c>
      <c r="O65" s="99">
        <f t="shared" si="1"/>
        <v>0</v>
      </c>
    </row>
    <row r="66" spans="1:15" ht="12.75" hidden="1" customHeight="1">
      <c r="A66" s="1">
        <v>3</v>
      </c>
      <c r="B66" s="1">
        <v>3060</v>
      </c>
      <c r="C66" s="1" t="s">
        <v>1544</v>
      </c>
      <c r="D66" s="5" t="s">
        <v>1581</v>
      </c>
      <c r="E66" t="s">
        <v>464</v>
      </c>
      <c r="F66" s="2">
        <v>860</v>
      </c>
      <c r="G66" s="80">
        <v>13037857</v>
      </c>
      <c r="J66" s="98">
        <f t="shared" si="0"/>
        <v>13037857</v>
      </c>
      <c r="O66" s="99">
        <f t="shared" si="1"/>
        <v>0</v>
      </c>
    </row>
    <row r="67" spans="1:15" ht="12.75" hidden="1" customHeight="1">
      <c r="A67" s="1">
        <v>3</v>
      </c>
      <c r="B67" s="1">
        <v>3170</v>
      </c>
      <c r="C67" s="1" t="s">
        <v>1544</v>
      </c>
      <c r="D67" s="5" t="s">
        <v>1582</v>
      </c>
      <c r="E67" t="s">
        <v>465</v>
      </c>
      <c r="F67" s="2">
        <v>1131</v>
      </c>
      <c r="G67" s="80">
        <v>14448910</v>
      </c>
      <c r="I67" s="80">
        <v>164665</v>
      </c>
      <c r="J67" s="98">
        <f t="shared" si="0"/>
        <v>14613575</v>
      </c>
      <c r="O67" s="99">
        <f t="shared" si="1"/>
        <v>0</v>
      </c>
    </row>
    <row r="68" spans="1:15" ht="12.75" hidden="1" customHeight="1">
      <c r="A68" s="1">
        <v>3</v>
      </c>
      <c r="B68" s="1">
        <v>3330</v>
      </c>
      <c r="C68" s="1" t="s">
        <v>1544</v>
      </c>
      <c r="D68" s="5" t="s">
        <v>1583</v>
      </c>
      <c r="E68" t="s">
        <v>466</v>
      </c>
      <c r="F68" s="2">
        <v>1007</v>
      </c>
      <c r="G68" s="80">
        <v>11418991</v>
      </c>
      <c r="I68" s="80">
        <v>133721</v>
      </c>
      <c r="J68" s="98">
        <f t="shared" si="0"/>
        <v>11552712</v>
      </c>
      <c r="O68" s="99">
        <f t="shared" si="1"/>
        <v>0</v>
      </c>
    </row>
    <row r="69" spans="1:15" ht="12.75" hidden="1" customHeight="1">
      <c r="A69" s="1">
        <v>3</v>
      </c>
      <c r="B69" s="1">
        <v>3350</v>
      </c>
      <c r="C69" s="1" t="s">
        <v>1544</v>
      </c>
      <c r="D69" s="5" t="s">
        <v>1584</v>
      </c>
      <c r="E69" t="s">
        <v>467</v>
      </c>
      <c r="F69" s="2">
        <v>264</v>
      </c>
      <c r="G69" s="80">
        <v>5527255</v>
      </c>
      <c r="J69" s="98">
        <f t="shared" ref="J69:J132" si="2">SUM(G69:I69)</f>
        <v>5527255</v>
      </c>
      <c r="O69" s="99">
        <f t="shared" ref="O69:O132" si="3">SUM(L69:N69)</f>
        <v>0</v>
      </c>
    </row>
    <row r="70" spans="1:15" ht="12.75" hidden="1" customHeight="1">
      <c r="A70" s="1">
        <v>3</v>
      </c>
      <c r="B70" s="1">
        <v>3550</v>
      </c>
      <c r="C70" s="1" t="s">
        <v>1544</v>
      </c>
      <c r="D70" s="5" t="s">
        <v>1585</v>
      </c>
      <c r="E70" t="s">
        <v>468</v>
      </c>
      <c r="F70" s="2">
        <v>1989.5</v>
      </c>
      <c r="G70" s="80">
        <v>22156722</v>
      </c>
      <c r="I70" s="80">
        <v>195304</v>
      </c>
      <c r="J70" s="98">
        <f t="shared" si="2"/>
        <v>22352026</v>
      </c>
      <c r="O70" s="99">
        <f t="shared" si="3"/>
        <v>0</v>
      </c>
    </row>
    <row r="71" spans="1:15" ht="12.75" hidden="1" customHeight="1">
      <c r="A71" s="1">
        <v>3</v>
      </c>
      <c r="B71" s="1">
        <v>3600</v>
      </c>
      <c r="C71" s="1" t="s">
        <v>1544</v>
      </c>
      <c r="D71" s="5" t="s">
        <v>1586</v>
      </c>
      <c r="E71" t="s">
        <v>469</v>
      </c>
      <c r="F71" s="2">
        <v>1577</v>
      </c>
      <c r="G71" s="80">
        <v>17526121</v>
      </c>
      <c r="I71" s="80">
        <v>213745</v>
      </c>
      <c r="J71" s="98">
        <f t="shared" si="2"/>
        <v>17739866</v>
      </c>
      <c r="O71" s="99">
        <f t="shared" si="3"/>
        <v>0</v>
      </c>
    </row>
    <row r="72" spans="1:15" ht="12.75" hidden="1" customHeight="1">
      <c r="A72" s="1">
        <v>3</v>
      </c>
      <c r="B72" s="1">
        <v>3700</v>
      </c>
      <c r="C72" s="1" t="s">
        <v>1544</v>
      </c>
      <c r="D72" s="5" t="s">
        <v>1587</v>
      </c>
      <c r="E72" t="s">
        <v>470</v>
      </c>
      <c r="F72" s="2">
        <v>1268.5</v>
      </c>
      <c r="G72" s="80">
        <v>16298379</v>
      </c>
      <c r="I72" s="80">
        <v>251891</v>
      </c>
      <c r="J72" s="98">
        <f t="shared" si="2"/>
        <v>16550270</v>
      </c>
      <c r="O72" s="99">
        <f t="shared" si="3"/>
        <v>0</v>
      </c>
    </row>
    <row r="73" spans="1:15" ht="12.75" hidden="1" customHeight="1">
      <c r="A73" s="1">
        <v>3</v>
      </c>
      <c r="B73" s="1">
        <v>3710</v>
      </c>
      <c r="C73" s="1" t="s">
        <v>1544</v>
      </c>
      <c r="D73" s="5" t="s">
        <v>1588</v>
      </c>
      <c r="E73" t="s">
        <v>471</v>
      </c>
      <c r="F73" s="2">
        <v>2453</v>
      </c>
      <c r="G73" s="80">
        <v>37517322</v>
      </c>
      <c r="I73" s="80">
        <v>953541</v>
      </c>
      <c r="J73" s="98">
        <f t="shared" si="2"/>
        <v>38470863</v>
      </c>
      <c r="N73" s="80">
        <v>35026</v>
      </c>
      <c r="O73" s="99">
        <f t="shared" si="3"/>
        <v>35026</v>
      </c>
    </row>
    <row r="74" spans="1:15" ht="12.75" hidden="1" customHeight="1">
      <c r="A74" s="1">
        <v>3</v>
      </c>
      <c r="B74" s="1">
        <v>3730</v>
      </c>
      <c r="C74" s="1" t="s">
        <v>1544</v>
      </c>
      <c r="D74" s="5" t="s">
        <v>1589</v>
      </c>
      <c r="E74" t="s">
        <v>472</v>
      </c>
      <c r="F74" s="2">
        <v>577</v>
      </c>
      <c r="G74" s="80">
        <v>6362000</v>
      </c>
      <c r="I74" s="80">
        <v>30478</v>
      </c>
      <c r="J74" s="98">
        <f t="shared" si="2"/>
        <v>6392478</v>
      </c>
      <c r="N74" s="80">
        <v>47315</v>
      </c>
      <c r="O74" s="99">
        <f t="shared" si="3"/>
        <v>47315</v>
      </c>
    </row>
    <row r="75" spans="1:15" ht="12.75" hidden="1" customHeight="1">
      <c r="A75" s="1">
        <v>3</v>
      </c>
      <c r="B75" s="1">
        <v>3740</v>
      </c>
      <c r="C75" s="1" t="s">
        <v>1544</v>
      </c>
      <c r="D75" s="5" t="s">
        <v>1590</v>
      </c>
      <c r="E75" t="s">
        <v>473</v>
      </c>
      <c r="F75" s="2">
        <v>641</v>
      </c>
      <c r="G75" s="80">
        <v>7119914</v>
      </c>
      <c r="I75" s="80">
        <v>36675</v>
      </c>
      <c r="J75" s="98">
        <f t="shared" si="2"/>
        <v>7156589</v>
      </c>
      <c r="N75" s="80">
        <v>61099</v>
      </c>
      <c r="O75" s="99">
        <f t="shared" si="3"/>
        <v>61099</v>
      </c>
    </row>
    <row r="76" spans="1:15" ht="12.75" hidden="1" customHeight="1">
      <c r="A76" s="1">
        <v>3</v>
      </c>
      <c r="B76" s="1">
        <v>3760</v>
      </c>
      <c r="C76" s="1" t="s">
        <v>1544</v>
      </c>
      <c r="D76" s="5" t="s">
        <v>1591</v>
      </c>
      <c r="E76" t="s">
        <v>474</v>
      </c>
      <c r="F76" s="2">
        <v>1722</v>
      </c>
      <c r="G76" s="80">
        <v>21459443</v>
      </c>
      <c r="J76" s="98">
        <f t="shared" si="2"/>
        <v>21459443</v>
      </c>
      <c r="O76" s="99">
        <f t="shared" si="3"/>
        <v>0</v>
      </c>
    </row>
    <row r="77" spans="1:15" ht="12.75" hidden="1" customHeight="1">
      <c r="A77" s="1">
        <v>3</v>
      </c>
      <c r="B77" s="1">
        <v>3850</v>
      </c>
      <c r="C77" s="1" t="s">
        <v>1544</v>
      </c>
      <c r="D77" s="5" t="s">
        <v>1592</v>
      </c>
      <c r="E77" t="s">
        <v>475</v>
      </c>
      <c r="F77" s="2">
        <v>869</v>
      </c>
      <c r="G77" s="80">
        <v>10284928</v>
      </c>
      <c r="I77" s="80">
        <v>190333</v>
      </c>
      <c r="J77" s="98">
        <f t="shared" si="2"/>
        <v>10475261</v>
      </c>
      <c r="N77" s="80">
        <v>360438</v>
      </c>
      <c r="O77" s="99">
        <f t="shared" si="3"/>
        <v>360438</v>
      </c>
    </row>
    <row r="78" spans="1:15" ht="12.75" hidden="1" customHeight="1">
      <c r="A78" s="1">
        <v>3</v>
      </c>
      <c r="B78" s="1">
        <v>3870</v>
      </c>
      <c r="C78" s="1" t="s">
        <v>1544</v>
      </c>
      <c r="D78" s="5" t="s">
        <v>1593</v>
      </c>
      <c r="E78" t="s">
        <v>476</v>
      </c>
      <c r="F78" s="2">
        <v>791</v>
      </c>
      <c r="G78" s="80">
        <v>7681644</v>
      </c>
      <c r="I78" s="80">
        <v>45889</v>
      </c>
      <c r="J78" s="98">
        <f t="shared" si="2"/>
        <v>7727533</v>
      </c>
      <c r="O78" s="99">
        <f t="shared" si="3"/>
        <v>0</v>
      </c>
    </row>
    <row r="79" spans="1:15" ht="12.75" hidden="1" customHeight="1">
      <c r="A79" s="1">
        <v>3</v>
      </c>
      <c r="B79" s="1">
        <v>3910</v>
      </c>
      <c r="C79" s="1" t="s">
        <v>1544</v>
      </c>
      <c r="D79" s="5" t="s">
        <v>1594</v>
      </c>
      <c r="E79" t="s">
        <v>477</v>
      </c>
      <c r="F79" s="2">
        <v>1518</v>
      </c>
      <c r="G79" s="80">
        <v>16269671</v>
      </c>
      <c r="I79" s="80">
        <v>225358</v>
      </c>
      <c r="J79" s="98">
        <f t="shared" si="2"/>
        <v>16495029</v>
      </c>
      <c r="N79" s="80">
        <v>176935</v>
      </c>
      <c r="O79" s="99">
        <f t="shared" si="3"/>
        <v>176935</v>
      </c>
    </row>
    <row r="80" spans="1:15" ht="12.75" hidden="1" customHeight="1">
      <c r="A80" s="1">
        <v>3</v>
      </c>
      <c r="B80" s="1">
        <v>3930</v>
      </c>
      <c r="C80" s="1" t="s">
        <v>1544</v>
      </c>
      <c r="D80" s="5" t="s">
        <v>1595</v>
      </c>
      <c r="E80" t="s">
        <v>478</v>
      </c>
      <c r="F80" s="2">
        <v>4292.5</v>
      </c>
      <c r="G80" s="80">
        <v>57512840</v>
      </c>
      <c r="I80" s="80">
        <v>1221599</v>
      </c>
      <c r="J80" s="98">
        <f t="shared" si="2"/>
        <v>58734439</v>
      </c>
      <c r="O80" s="99">
        <f t="shared" si="3"/>
        <v>0</v>
      </c>
    </row>
    <row r="81" spans="1:15" ht="12.75" hidden="1" customHeight="1">
      <c r="A81" s="1">
        <v>3</v>
      </c>
      <c r="B81" s="1">
        <v>3940</v>
      </c>
      <c r="C81" s="1" t="s">
        <v>1544</v>
      </c>
      <c r="D81" s="5" t="s">
        <v>1596</v>
      </c>
      <c r="E81" t="s">
        <v>479</v>
      </c>
      <c r="F81" s="2">
        <v>1352.5</v>
      </c>
      <c r="G81" s="80">
        <v>18869664</v>
      </c>
      <c r="I81" s="80">
        <v>214915</v>
      </c>
      <c r="J81" s="98">
        <f t="shared" si="2"/>
        <v>19084579</v>
      </c>
      <c r="O81" s="99">
        <f t="shared" si="3"/>
        <v>0</v>
      </c>
    </row>
    <row r="82" spans="1:15" ht="12.75" hidden="1" customHeight="1">
      <c r="A82" s="1">
        <v>3</v>
      </c>
      <c r="B82" s="1">
        <v>3960</v>
      </c>
      <c r="C82" s="1" t="s">
        <v>1544</v>
      </c>
      <c r="D82" s="5" t="s">
        <v>1597</v>
      </c>
      <c r="E82" t="s">
        <v>480</v>
      </c>
      <c r="F82" s="2">
        <v>1831.5</v>
      </c>
      <c r="G82" s="80">
        <v>31336279</v>
      </c>
      <c r="I82" s="80">
        <v>276587</v>
      </c>
      <c r="J82" s="98">
        <f t="shared" si="2"/>
        <v>31612866</v>
      </c>
      <c r="O82" s="99">
        <f t="shared" si="3"/>
        <v>0</v>
      </c>
    </row>
    <row r="83" spans="1:15" ht="12.75" hidden="1" customHeight="1">
      <c r="A83" s="1">
        <v>3</v>
      </c>
      <c r="B83" s="1">
        <v>4300</v>
      </c>
      <c r="C83" s="1" t="s">
        <v>1544</v>
      </c>
      <c r="D83" s="5" t="s">
        <v>1598</v>
      </c>
      <c r="E83" t="s">
        <v>481</v>
      </c>
      <c r="F83" s="2">
        <v>2282</v>
      </c>
      <c r="G83" s="80">
        <v>38678558</v>
      </c>
      <c r="I83" s="80">
        <v>374824</v>
      </c>
      <c r="J83" s="98">
        <f t="shared" si="2"/>
        <v>39053382</v>
      </c>
      <c r="O83" s="99">
        <f t="shared" si="3"/>
        <v>0</v>
      </c>
    </row>
    <row r="84" spans="1:15" ht="12.75" hidden="1" customHeight="1">
      <c r="A84" s="1">
        <v>3</v>
      </c>
      <c r="B84" s="1">
        <v>4310</v>
      </c>
      <c r="C84" s="1" t="s">
        <v>1544</v>
      </c>
      <c r="D84" s="5" t="s">
        <v>1599</v>
      </c>
      <c r="E84" t="s">
        <v>482</v>
      </c>
      <c r="F84" s="2">
        <v>3097</v>
      </c>
      <c r="G84" s="80">
        <v>39011486</v>
      </c>
      <c r="I84" s="80">
        <v>270321</v>
      </c>
      <c r="J84" s="98">
        <f t="shared" si="2"/>
        <v>39281807</v>
      </c>
      <c r="O84" s="99">
        <f t="shared" si="3"/>
        <v>0</v>
      </c>
    </row>
    <row r="85" spans="1:15" ht="12.75" hidden="1" customHeight="1">
      <c r="A85" s="1">
        <v>3</v>
      </c>
      <c r="B85" s="1">
        <v>4370</v>
      </c>
      <c r="C85" s="1" t="s">
        <v>1544</v>
      </c>
      <c r="D85" s="5" t="s">
        <v>1600</v>
      </c>
      <c r="E85" t="s">
        <v>483</v>
      </c>
      <c r="F85" s="2">
        <v>2045</v>
      </c>
      <c r="G85" s="80">
        <v>12826957</v>
      </c>
      <c r="I85" s="80">
        <v>330695</v>
      </c>
      <c r="J85" s="98">
        <f t="shared" si="2"/>
        <v>13157652</v>
      </c>
      <c r="L85" s="80">
        <v>911179</v>
      </c>
      <c r="O85" s="99">
        <f t="shared" si="3"/>
        <v>911179</v>
      </c>
    </row>
    <row r="86" spans="1:15" ht="12.75" hidden="1" customHeight="1">
      <c r="A86" s="1">
        <v>3</v>
      </c>
      <c r="B86" s="1">
        <v>4380</v>
      </c>
      <c r="C86" s="1" t="s">
        <v>1544</v>
      </c>
      <c r="D86" s="5" t="s">
        <v>1601</v>
      </c>
      <c r="E86" t="s">
        <v>484</v>
      </c>
      <c r="F86" s="2">
        <v>2078</v>
      </c>
      <c r="G86" s="80">
        <v>19431797</v>
      </c>
      <c r="I86" s="80">
        <v>287944</v>
      </c>
      <c r="J86" s="98">
        <f t="shared" si="2"/>
        <v>19719741</v>
      </c>
      <c r="L86" s="80">
        <v>328787</v>
      </c>
      <c r="N86" s="80">
        <v>1357673</v>
      </c>
      <c r="O86" s="99">
        <f t="shared" si="3"/>
        <v>1686460</v>
      </c>
    </row>
    <row r="87" spans="1:15" ht="12.75" hidden="1" customHeight="1">
      <c r="A87" s="1">
        <v>3</v>
      </c>
      <c r="B87" s="1">
        <v>4390</v>
      </c>
      <c r="C87" s="1" t="s">
        <v>1544</v>
      </c>
      <c r="D87" s="5" t="s">
        <v>1602</v>
      </c>
      <c r="E87" t="s">
        <v>485</v>
      </c>
      <c r="F87" s="2">
        <v>5625.5</v>
      </c>
      <c r="G87" s="80">
        <v>67994062</v>
      </c>
      <c r="I87" s="80">
        <v>956061</v>
      </c>
      <c r="J87" s="98">
        <f t="shared" si="2"/>
        <v>68950123</v>
      </c>
      <c r="O87" s="99">
        <f t="shared" si="3"/>
        <v>0</v>
      </c>
    </row>
    <row r="88" spans="1:15" ht="12.75" hidden="1" customHeight="1">
      <c r="A88" s="1">
        <v>3</v>
      </c>
      <c r="B88" s="1">
        <v>4405</v>
      </c>
      <c r="C88" s="1" t="s">
        <v>1544</v>
      </c>
      <c r="D88" s="5" t="s">
        <v>1603</v>
      </c>
      <c r="E88" t="s">
        <v>486</v>
      </c>
      <c r="F88" s="2">
        <v>1493</v>
      </c>
      <c r="G88" s="80">
        <v>20393526</v>
      </c>
      <c r="I88" s="80">
        <v>339696</v>
      </c>
      <c r="J88" s="98">
        <f t="shared" si="2"/>
        <v>20733222</v>
      </c>
      <c r="N88" s="80">
        <v>81024</v>
      </c>
      <c r="O88" s="99">
        <f t="shared" si="3"/>
        <v>81024</v>
      </c>
    </row>
    <row r="89" spans="1:15" ht="12.75" hidden="1" customHeight="1">
      <c r="A89" s="1">
        <v>3</v>
      </c>
      <c r="B89" s="1">
        <v>4410</v>
      </c>
      <c r="C89" s="1" t="s">
        <v>1544</v>
      </c>
      <c r="D89" s="5" t="s">
        <v>1604</v>
      </c>
      <c r="E89" t="s">
        <v>487</v>
      </c>
      <c r="F89" s="2">
        <v>1126</v>
      </c>
      <c r="G89" s="80">
        <v>10462823</v>
      </c>
      <c r="I89" s="80">
        <v>161604</v>
      </c>
      <c r="J89" s="98">
        <f t="shared" si="2"/>
        <v>10624427</v>
      </c>
      <c r="O89" s="99">
        <f t="shared" si="3"/>
        <v>0</v>
      </c>
    </row>
    <row r="90" spans="1:15" ht="12.75" hidden="1" customHeight="1">
      <c r="A90" s="1">
        <v>3</v>
      </c>
      <c r="B90" s="1">
        <v>4430</v>
      </c>
      <c r="C90" s="1" t="s">
        <v>1544</v>
      </c>
      <c r="D90" s="5" t="s">
        <v>1605</v>
      </c>
      <c r="E90" t="s">
        <v>488</v>
      </c>
      <c r="F90" s="2">
        <v>1357</v>
      </c>
      <c r="G90" s="80">
        <v>15429737</v>
      </c>
      <c r="J90" s="98">
        <f t="shared" si="2"/>
        <v>15429737</v>
      </c>
      <c r="O90" s="99">
        <f t="shared" si="3"/>
        <v>0</v>
      </c>
    </row>
    <row r="91" spans="1:15" ht="12.75" hidden="1" customHeight="1">
      <c r="A91" s="1">
        <v>3</v>
      </c>
      <c r="B91" s="1">
        <v>4470</v>
      </c>
      <c r="C91" s="1" t="s">
        <v>1544</v>
      </c>
      <c r="D91" s="5" t="s">
        <v>1606</v>
      </c>
      <c r="E91" t="s">
        <v>489</v>
      </c>
      <c r="F91" s="2">
        <v>480</v>
      </c>
      <c r="G91" s="80">
        <v>8441799</v>
      </c>
      <c r="I91" s="80">
        <v>68848</v>
      </c>
      <c r="J91" s="98">
        <f t="shared" si="2"/>
        <v>8510647</v>
      </c>
      <c r="O91" s="99">
        <f t="shared" si="3"/>
        <v>0</v>
      </c>
    </row>
    <row r="92" spans="1:15" ht="12.75" hidden="1" customHeight="1">
      <c r="A92" s="1">
        <v>3</v>
      </c>
      <c r="B92" s="1">
        <v>4500</v>
      </c>
      <c r="C92" s="1" t="s">
        <v>1544</v>
      </c>
      <c r="D92" s="5" t="s">
        <v>1607</v>
      </c>
      <c r="E92"/>
      <c r="F92" s="2"/>
      <c r="G92" s="80">
        <v>391267</v>
      </c>
      <c r="J92" s="98">
        <f t="shared" si="2"/>
        <v>391267</v>
      </c>
      <c r="O92" s="99">
        <f t="shared" si="3"/>
        <v>0</v>
      </c>
    </row>
    <row r="93" spans="1:15" ht="12.75" hidden="1" customHeight="1">
      <c r="A93" s="1">
        <v>3</v>
      </c>
      <c r="B93" s="1">
        <v>4600</v>
      </c>
      <c r="C93" s="1" t="s">
        <v>1544</v>
      </c>
      <c r="D93" s="5" t="s">
        <v>1608</v>
      </c>
      <c r="E93" t="s">
        <v>490</v>
      </c>
      <c r="F93" s="2">
        <v>2456</v>
      </c>
      <c r="G93" s="80">
        <v>30302192</v>
      </c>
      <c r="I93" s="80">
        <v>163295</v>
      </c>
      <c r="J93" s="98">
        <f t="shared" si="2"/>
        <v>30465487</v>
      </c>
      <c r="N93" s="80">
        <v>812880</v>
      </c>
      <c r="O93" s="99">
        <f t="shared" si="3"/>
        <v>812880</v>
      </c>
    </row>
    <row r="94" spans="1:15" ht="12.75" hidden="1" customHeight="1">
      <c r="A94" s="1">
        <v>3</v>
      </c>
      <c r="B94" s="1">
        <v>4610</v>
      </c>
      <c r="C94" s="1" t="s">
        <v>1544</v>
      </c>
      <c r="D94" s="5" t="s">
        <v>1609</v>
      </c>
      <c r="E94" t="s">
        <v>491</v>
      </c>
      <c r="F94" s="2">
        <v>1593</v>
      </c>
      <c r="G94" s="80">
        <v>20753135</v>
      </c>
      <c r="J94" s="98">
        <f t="shared" si="2"/>
        <v>20753135</v>
      </c>
      <c r="O94" s="99">
        <f t="shared" si="3"/>
        <v>0</v>
      </c>
    </row>
    <row r="95" spans="1:15" ht="12.75" hidden="1" customHeight="1">
      <c r="A95" s="1">
        <v>3</v>
      </c>
      <c r="B95" s="1">
        <v>4620</v>
      </c>
      <c r="C95" s="1" t="s">
        <v>1544</v>
      </c>
      <c r="D95" s="5" t="s">
        <v>1610</v>
      </c>
      <c r="E95" t="s">
        <v>492</v>
      </c>
      <c r="F95" s="2">
        <v>224</v>
      </c>
      <c r="G95" s="80">
        <v>6289800</v>
      </c>
      <c r="I95" s="80">
        <v>6391</v>
      </c>
      <c r="J95" s="98">
        <f t="shared" si="2"/>
        <v>6296191</v>
      </c>
      <c r="O95" s="99">
        <f t="shared" si="3"/>
        <v>0</v>
      </c>
    </row>
    <row r="96" spans="1:15" ht="12.75" hidden="1" customHeight="1">
      <c r="A96" s="1">
        <v>3</v>
      </c>
      <c r="B96" s="1">
        <v>4845</v>
      </c>
      <c r="C96" s="1" t="s">
        <v>1544</v>
      </c>
      <c r="D96" s="5" t="s">
        <v>1611</v>
      </c>
      <c r="E96" t="s">
        <v>493</v>
      </c>
      <c r="F96" s="2">
        <v>321</v>
      </c>
      <c r="I96" s="80">
        <v>2809514</v>
      </c>
      <c r="J96" s="98">
        <f t="shared" si="2"/>
        <v>2809514</v>
      </c>
      <c r="O96" s="99">
        <f t="shared" si="3"/>
        <v>0</v>
      </c>
    </row>
    <row r="97" spans="1:15" ht="12.75" hidden="1" customHeight="1">
      <c r="A97" s="1">
        <v>3</v>
      </c>
      <c r="B97" s="1">
        <v>4870</v>
      </c>
      <c r="C97" s="1" t="s">
        <v>1544</v>
      </c>
      <c r="D97" s="5" t="s">
        <v>1612</v>
      </c>
      <c r="E97" t="s">
        <v>494</v>
      </c>
      <c r="F97" s="2">
        <v>233</v>
      </c>
      <c r="G97" s="80">
        <v>5091935</v>
      </c>
      <c r="I97" s="80">
        <v>160118</v>
      </c>
      <c r="J97" s="98">
        <f t="shared" si="2"/>
        <v>5252053</v>
      </c>
      <c r="O97" s="99">
        <f t="shared" si="3"/>
        <v>0</v>
      </c>
    </row>
    <row r="98" spans="1:15" ht="12.75" hidden="1" customHeight="1">
      <c r="A98" s="1">
        <v>3</v>
      </c>
      <c r="B98" s="1">
        <v>5150</v>
      </c>
      <c r="C98" s="1" t="s">
        <v>1544</v>
      </c>
      <c r="D98" s="5" t="s">
        <v>1613</v>
      </c>
      <c r="E98" t="s">
        <v>495</v>
      </c>
      <c r="F98" s="2">
        <v>4148</v>
      </c>
      <c r="G98" s="80">
        <v>71386061</v>
      </c>
      <c r="I98" s="80">
        <v>450724</v>
      </c>
      <c r="J98" s="98">
        <f t="shared" si="2"/>
        <v>71836785</v>
      </c>
      <c r="O98" s="99">
        <f t="shared" si="3"/>
        <v>0</v>
      </c>
    </row>
    <row r="99" spans="1:15" ht="12.75" hidden="1" customHeight="1">
      <c r="A99" s="1">
        <v>3</v>
      </c>
      <c r="B99" s="1">
        <v>5160</v>
      </c>
      <c r="C99" s="1" t="s">
        <v>1544</v>
      </c>
      <c r="D99" s="5" t="s">
        <v>1614</v>
      </c>
      <c r="E99" t="s">
        <v>496</v>
      </c>
      <c r="F99" s="2">
        <v>3394</v>
      </c>
      <c r="G99" s="80">
        <v>43105141</v>
      </c>
      <c r="I99" s="80">
        <v>655011</v>
      </c>
      <c r="J99" s="98">
        <f t="shared" si="2"/>
        <v>43760152</v>
      </c>
      <c r="O99" s="99">
        <f t="shared" si="3"/>
        <v>0</v>
      </c>
    </row>
    <row r="100" spans="1:15" ht="12.75" hidden="1" customHeight="1">
      <c r="A100" s="1">
        <v>3</v>
      </c>
      <c r="B100" s="1">
        <v>5170</v>
      </c>
      <c r="C100" s="1" t="s">
        <v>1544</v>
      </c>
      <c r="D100" s="5" t="s">
        <v>1615</v>
      </c>
      <c r="E100"/>
      <c r="F100" s="2"/>
      <c r="G100" s="80">
        <v>95316</v>
      </c>
      <c r="J100" s="98">
        <f t="shared" si="2"/>
        <v>95316</v>
      </c>
      <c r="N100" s="80">
        <v>580</v>
      </c>
      <c r="O100" s="99">
        <f t="shared" si="3"/>
        <v>580</v>
      </c>
    </row>
    <row r="101" spans="1:15" ht="12.75" hidden="1" customHeight="1">
      <c r="A101" s="1">
        <v>3</v>
      </c>
      <c r="B101" s="1">
        <v>5330</v>
      </c>
      <c r="C101" s="1" t="s">
        <v>1544</v>
      </c>
      <c r="D101" s="5" t="s">
        <v>1616</v>
      </c>
      <c r="E101" t="s">
        <v>497</v>
      </c>
      <c r="F101" s="2">
        <v>1347</v>
      </c>
      <c r="G101" s="80">
        <v>16723037</v>
      </c>
      <c r="I101" s="80">
        <v>144004</v>
      </c>
      <c r="J101" s="98">
        <f t="shared" si="2"/>
        <v>16867041</v>
      </c>
      <c r="O101" s="99">
        <f t="shared" si="3"/>
        <v>0</v>
      </c>
    </row>
    <row r="102" spans="1:15" ht="12.75" hidden="1" customHeight="1">
      <c r="A102" s="1">
        <v>3</v>
      </c>
      <c r="B102" s="1">
        <v>5410</v>
      </c>
      <c r="C102" s="1" t="s">
        <v>1544</v>
      </c>
      <c r="D102" s="5" t="s">
        <v>1617</v>
      </c>
      <c r="E102" t="s">
        <v>498</v>
      </c>
      <c r="F102" s="2">
        <v>1584.5</v>
      </c>
      <c r="G102" s="80">
        <v>20796714</v>
      </c>
      <c r="I102" s="80">
        <v>230477</v>
      </c>
      <c r="J102" s="98">
        <f t="shared" si="2"/>
        <v>21027191</v>
      </c>
      <c r="O102" s="99">
        <f t="shared" si="3"/>
        <v>0</v>
      </c>
    </row>
    <row r="103" spans="1:15" ht="12.75" hidden="1" customHeight="1">
      <c r="A103" s="1">
        <v>3</v>
      </c>
      <c r="B103" s="1">
        <v>5430</v>
      </c>
      <c r="C103" s="1" t="s">
        <v>1544</v>
      </c>
      <c r="D103" s="5" t="s">
        <v>1618</v>
      </c>
      <c r="E103" t="s">
        <v>499</v>
      </c>
      <c r="F103" s="2">
        <v>1160</v>
      </c>
      <c r="G103" s="80">
        <v>10278587</v>
      </c>
      <c r="I103" s="80">
        <v>339989</v>
      </c>
      <c r="J103" s="98">
        <f t="shared" si="2"/>
        <v>10618576</v>
      </c>
      <c r="L103" s="80">
        <v>1012067</v>
      </c>
      <c r="N103" s="80">
        <v>500156</v>
      </c>
      <c r="O103" s="99">
        <f t="shared" si="3"/>
        <v>1512223</v>
      </c>
    </row>
    <row r="104" spans="1:15" ht="12.75" hidden="1" customHeight="1">
      <c r="A104" s="1">
        <v>3</v>
      </c>
      <c r="B104" s="1">
        <v>5755</v>
      </c>
      <c r="C104" s="1" t="s">
        <v>1544</v>
      </c>
      <c r="D104" s="5" t="s">
        <v>1619</v>
      </c>
      <c r="E104" t="s">
        <v>500</v>
      </c>
      <c r="F104" s="2">
        <v>2646</v>
      </c>
      <c r="G104" s="80">
        <v>36722248</v>
      </c>
      <c r="I104" s="80">
        <v>329272</v>
      </c>
      <c r="J104" s="98">
        <f t="shared" si="2"/>
        <v>37051520</v>
      </c>
      <c r="O104" s="99">
        <f t="shared" si="3"/>
        <v>0</v>
      </c>
    </row>
    <row r="105" spans="1:15" ht="12.75" hidden="1" customHeight="1">
      <c r="A105" s="1">
        <v>3</v>
      </c>
      <c r="B105" s="1">
        <v>5830</v>
      </c>
      <c r="C105" s="1" t="s">
        <v>1544</v>
      </c>
      <c r="D105" s="5" t="s">
        <v>1620</v>
      </c>
      <c r="E105" t="s">
        <v>501</v>
      </c>
      <c r="F105" s="2">
        <v>1125.5</v>
      </c>
      <c r="G105" s="80">
        <v>10831384</v>
      </c>
      <c r="I105" s="80">
        <v>61591</v>
      </c>
      <c r="J105" s="98">
        <f t="shared" si="2"/>
        <v>10892975</v>
      </c>
      <c r="O105" s="99">
        <f t="shared" si="3"/>
        <v>0</v>
      </c>
    </row>
    <row r="106" spans="1:15" ht="12.75" hidden="1" customHeight="1">
      <c r="A106" s="1">
        <v>3</v>
      </c>
      <c r="B106" s="1">
        <v>5880</v>
      </c>
      <c r="C106" s="1" t="s">
        <v>1544</v>
      </c>
      <c r="D106" s="5" t="s">
        <v>1621</v>
      </c>
      <c r="E106" t="s">
        <v>394</v>
      </c>
      <c r="F106" s="2">
        <v>860</v>
      </c>
      <c r="G106" s="80">
        <v>10427500</v>
      </c>
      <c r="I106" s="80">
        <v>168307</v>
      </c>
      <c r="J106" s="98">
        <f t="shared" si="2"/>
        <v>10595807</v>
      </c>
      <c r="N106" s="80">
        <v>86901</v>
      </c>
      <c r="O106" s="99">
        <f t="shared" si="3"/>
        <v>86901</v>
      </c>
    </row>
    <row r="107" spans="1:15" ht="12.75" hidden="1" customHeight="1">
      <c r="A107" s="1">
        <v>3</v>
      </c>
      <c r="B107" s="1">
        <v>5920</v>
      </c>
      <c r="C107" s="1" t="s">
        <v>1544</v>
      </c>
      <c r="D107" s="5" t="s">
        <v>1622</v>
      </c>
      <c r="E107" t="s">
        <v>395</v>
      </c>
      <c r="F107" s="2">
        <v>2384</v>
      </c>
      <c r="I107" s="80">
        <v>309012</v>
      </c>
      <c r="J107" s="98">
        <f t="shared" si="2"/>
        <v>309012</v>
      </c>
      <c r="O107" s="99">
        <f t="shared" si="3"/>
        <v>0</v>
      </c>
    </row>
    <row r="108" spans="1:15" ht="12.75" hidden="1" customHeight="1">
      <c r="A108" s="1">
        <v>5</v>
      </c>
      <c r="B108" s="1">
        <v>200</v>
      </c>
      <c r="C108" s="1" t="s">
        <v>1623</v>
      </c>
      <c r="D108" s="5" t="s">
        <v>1450</v>
      </c>
      <c r="E108" t="s">
        <v>396</v>
      </c>
      <c r="F108" s="2">
        <v>127</v>
      </c>
      <c r="G108" s="80">
        <v>1007169</v>
      </c>
      <c r="I108" s="80">
        <v>9369</v>
      </c>
      <c r="J108" s="98">
        <f t="shared" si="2"/>
        <v>1016538</v>
      </c>
      <c r="L108" s="80">
        <v>676137</v>
      </c>
      <c r="N108" s="80">
        <v>62467</v>
      </c>
      <c r="O108" s="99">
        <f t="shared" si="3"/>
        <v>738604</v>
      </c>
    </row>
    <row r="109" spans="1:15" ht="12.75" hidden="1" customHeight="1">
      <c r="A109" s="1">
        <v>5</v>
      </c>
      <c r="B109" s="1">
        <v>380</v>
      </c>
      <c r="C109" s="1" t="s">
        <v>1623</v>
      </c>
      <c r="D109" s="5" t="s">
        <v>1451</v>
      </c>
      <c r="E109" t="s">
        <v>397</v>
      </c>
      <c r="F109" s="2">
        <v>277</v>
      </c>
      <c r="G109" s="80">
        <v>2504759</v>
      </c>
      <c r="I109" s="80">
        <v>69943</v>
      </c>
      <c r="J109" s="98">
        <f t="shared" si="2"/>
        <v>2574702</v>
      </c>
      <c r="L109" s="80">
        <v>1713366</v>
      </c>
      <c r="M109" s="80">
        <v>254458</v>
      </c>
      <c r="N109" s="80">
        <v>202569</v>
      </c>
      <c r="O109" s="99">
        <f t="shared" si="3"/>
        <v>2170393</v>
      </c>
    </row>
    <row r="110" spans="1:15" ht="12.75" hidden="1" customHeight="1">
      <c r="A110" s="1">
        <v>5</v>
      </c>
      <c r="B110" s="1">
        <v>475</v>
      </c>
      <c r="C110" s="1" t="s">
        <v>1623</v>
      </c>
      <c r="D110" s="5" t="s">
        <v>1452</v>
      </c>
      <c r="E110" t="s">
        <v>398</v>
      </c>
      <c r="F110" s="2">
        <v>2276</v>
      </c>
      <c r="G110" s="80">
        <v>22499730</v>
      </c>
      <c r="I110" s="80">
        <v>313986</v>
      </c>
      <c r="J110" s="98">
        <f t="shared" si="2"/>
        <v>22813716</v>
      </c>
      <c r="L110" s="80">
        <v>3052494</v>
      </c>
      <c r="N110" s="80">
        <v>692349</v>
      </c>
      <c r="O110" s="99">
        <f t="shared" si="3"/>
        <v>3744843</v>
      </c>
    </row>
    <row r="111" spans="1:15" ht="12.75" hidden="1" customHeight="1">
      <c r="A111" s="1">
        <v>5</v>
      </c>
      <c r="B111" s="1">
        <v>600</v>
      </c>
      <c r="C111" s="1" t="s">
        <v>1623</v>
      </c>
      <c r="D111" s="5" t="s">
        <v>1453</v>
      </c>
      <c r="E111" t="s">
        <v>399</v>
      </c>
      <c r="F111" s="2">
        <v>1881</v>
      </c>
      <c r="G111" s="80">
        <v>7650000</v>
      </c>
      <c r="I111" s="80">
        <v>133057</v>
      </c>
      <c r="J111" s="98">
        <f t="shared" si="2"/>
        <v>7783057</v>
      </c>
      <c r="L111" s="80">
        <v>5212735</v>
      </c>
      <c r="N111" s="80">
        <v>100000</v>
      </c>
      <c r="O111" s="99">
        <f t="shared" si="3"/>
        <v>5312735</v>
      </c>
    </row>
    <row r="112" spans="1:15" ht="12.75" hidden="1" customHeight="1">
      <c r="A112" s="1">
        <v>5</v>
      </c>
      <c r="B112" s="1">
        <v>605</v>
      </c>
      <c r="C112" s="1" t="s">
        <v>1623</v>
      </c>
      <c r="D112" s="5" t="s">
        <v>1454</v>
      </c>
      <c r="E112" t="s">
        <v>400</v>
      </c>
      <c r="F112" s="2">
        <v>1067</v>
      </c>
      <c r="H112" s="80">
        <v>4800000</v>
      </c>
      <c r="I112" s="80">
        <v>1836390</v>
      </c>
      <c r="J112" s="98">
        <f t="shared" si="2"/>
        <v>6636390</v>
      </c>
      <c r="O112" s="99">
        <f t="shared" si="3"/>
        <v>0</v>
      </c>
    </row>
    <row r="113" spans="1:15" ht="12.75" hidden="1" customHeight="1">
      <c r="A113" s="1">
        <v>5</v>
      </c>
      <c r="B113" s="1">
        <v>610</v>
      </c>
      <c r="C113" s="1" t="s">
        <v>1623</v>
      </c>
      <c r="D113" s="5" t="s">
        <v>1455</v>
      </c>
      <c r="E113" t="s">
        <v>401</v>
      </c>
      <c r="F113" s="2">
        <v>2124</v>
      </c>
      <c r="H113" s="80">
        <v>15894974</v>
      </c>
      <c r="I113" s="80">
        <v>207487</v>
      </c>
      <c r="J113" s="98">
        <f t="shared" si="2"/>
        <v>16102461</v>
      </c>
      <c r="L113" s="80">
        <v>4454531</v>
      </c>
      <c r="N113" s="80">
        <v>5889</v>
      </c>
      <c r="O113" s="99">
        <f t="shared" si="3"/>
        <v>4460420</v>
      </c>
    </row>
    <row r="114" spans="1:15" ht="12.75" hidden="1" customHeight="1">
      <c r="A114" s="1">
        <v>5</v>
      </c>
      <c r="B114" s="1">
        <v>620</v>
      </c>
      <c r="C114" s="1" t="s">
        <v>1623</v>
      </c>
      <c r="D114" s="5" t="s">
        <v>1456</v>
      </c>
      <c r="E114" t="s">
        <v>402</v>
      </c>
      <c r="F114" s="2">
        <v>4198</v>
      </c>
      <c r="G114" s="80">
        <v>27848255</v>
      </c>
      <c r="I114" s="80">
        <v>396499</v>
      </c>
      <c r="J114" s="98">
        <f t="shared" si="2"/>
        <v>28244754</v>
      </c>
      <c r="L114" s="80">
        <v>9451947</v>
      </c>
      <c r="O114" s="99">
        <f t="shared" si="3"/>
        <v>9451947</v>
      </c>
    </row>
    <row r="115" spans="1:15" ht="12.75" hidden="1" customHeight="1">
      <c r="A115" s="1">
        <v>5</v>
      </c>
      <c r="B115" s="1">
        <v>830</v>
      </c>
      <c r="C115" s="1" t="s">
        <v>1623</v>
      </c>
      <c r="D115" s="5" t="s">
        <v>1457</v>
      </c>
      <c r="E115" t="s">
        <v>403</v>
      </c>
      <c r="F115" s="2">
        <v>348</v>
      </c>
      <c r="G115" s="80">
        <v>3911199</v>
      </c>
      <c r="I115" s="80">
        <v>59044</v>
      </c>
      <c r="J115" s="98">
        <f t="shared" si="2"/>
        <v>3970243</v>
      </c>
      <c r="L115" s="80">
        <v>121890</v>
      </c>
      <c r="N115" s="80">
        <v>11236</v>
      </c>
      <c r="O115" s="99">
        <f t="shared" si="3"/>
        <v>133126</v>
      </c>
    </row>
    <row r="116" spans="1:15" ht="12.75" hidden="1" customHeight="1">
      <c r="A116" s="1">
        <v>5</v>
      </c>
      <c r="B116" s="1">
        <v>840</v>
      </c>
      <c r="C116" s="1" t="s">
        <v>1623</v>
      </c>
      <c r="D116" s="5" t="s">
        <v>1458</v>
      </c>
      <c r="E116" t="s">
        <v>404</v>
      </c>
      <c r="F116" s="2">
        <v>2525.5</v>
      </c>
      <c r="G116" s="80">
        <v>23924030</v>
      </c>
      <c r="I116" s="80">
        <v>265763</v>
      </c>
      <c r="J116" s="98">
        <f t="shared" si="2"/>
        <v>24189793</v>
      </c>
      <c r="L116" s="80">
        <v>5970078</v>
      </c>
      <c r="O116" s="99">
        <f t="shared" si="3"/>
        <v>5970078</v>
      </c>
    </row>
    <row r="117" spans="1:15" ht="12.75" hidden="1" customHeight="1">
      <c r="A117" s="1">
        <v>5</v>
      </c>
      <c r="B117" s="1">
        <v>1030</v>
      </c>
      <c r="C117" s="1" t="s">
        <v>1623</v>
      </c>
      <c r="D117" s="5" t="s">
        <v>1459</v>
      </c>
      <c r="E117" t="s">
        <v>405</v>
      </c>
      <c r="F117" s="2">
        <v>366</v>
      </c>
      <c r="G117" s="80">
        <v>4493107</v>
      </c>
      <c r="I117" s="80">
        <v>110682</v>
      </c>
      <c r="J117" s="98">
        <f t="shared" si="2"/>
        <v>4603789</v>
      </c>
      <c r="L117" s="80">
        <v>1278487</v>
      </c>
      <c r="O117" s="99">
        <f t="shared" si="3"/>
        <v>1278487</v>
      </c>
    </row>
    <row r="118" spans="1:15" ht="12.75" hidden="1" customHeight="1">
      <c r="A118" s="1">
        <v>5</v>
      </c>
      <c r="B118" s="1">
        <v>1060</v>
      </c>
      <c r="C118" s="1" t="s">
        <v>1623</v>
      </c>
      <c r="D118" s="5" t="s">
        <v>1460</v>
      </c>
      <c r="E118" t="s">
        <v>406</v>
      </c>
      <c r="F118" s="2">
        <v>2817</v>
      </c>
      <c r="G118" s="80">
        <v>22780246</v>
      </c>
      <c r="I118" s="80">
        <v>535239</v>
      </c>
      <c r="J118" s="98">
        <f t="shared" si="2"/>
        <v>23315485</v>
      </c>
      <c r="L118" s="80">
        <v>6032588</v>
      </c>
      <c r="M118" s="80">
        <v>317029</v>
      </c>
      <c r="O118" s="99">
        <f t="shared" si="3"/>
        <v>6349617</v>
      </c>
    </row>
    <row r="119" spans="1:15" ht="12.75" hidden="1" customHeight="1">
      <c r="A119" s="1">
        <v>5</v>
      </c>
      <c r="B119" s="1">
        <v>1250</v>
      </c>
      <c r="C119" s="1" t="s">
        <v>1623</v>
      </c>
      <c r="D119" s="5" t="s">
        <v>1461</v>
      </c>
      <c r="E119" t="s">
        <v>407</v>
      </c>
      <c r="F119" s="2">
        <v>761</v>
      </c>
      <c r="G119" s="80">
        <v>4208969</v>
      </c>
      <c r="I119" s="80">
        <v>35251</v>
      </c>
      <c r="J119" s="98">
        <f t="shared" si="2"/>
        <v>4244220</v>
      </c>
      <c r="L119" s="80">
        <v>2632305</v>
      </c>
      <c r="M119" s="80">
        <v>74317</v>
      </c>
      <c r="N119" s="80">
        <v>438929</v>
      </c>
      <c r="O119" s="99">
        <f t="shared" si="3"/>
        <v>3145551</v>
      </c>
    </row>
    <row r="120" spans="1:15" ht="12.75" hidden="1" customHeight="1">
      <c r="A120" s="1">
        <v>5</v>
      </c>
      <c r="B120" s="1">
        <v>1280</v>
      </c>
      <c r="C120" s="1" t="s">
        <v>1623</v>
      </c>
      <c r="D120" s="5" t="s">
        <v>1462</v>
      </c>
      <c r="E120" t="s">
        <v>408</v>
      </c>
      <c r="F120" s="2">
        <v>846</v>
      </c>
      <c r="G120" s="80">
        <v>7000303</v>
      </c>
      <c r="I120" s="80">
        <v>210539</v>
      </c>
      <c r="J120" s="98">
        <f t="shared" si="2"/>
        <v>7210842</v>
      </c>
      <c r="L120" s="80">
        <v>2897899</v>
      </c>
      <c r="M120" s="80">
        <v>503742</v>
      </c>
      <c r="O120" s="99">
        <f t="shared" si="3"/>
        <v>3401641</v>
      </c>
    </row>
    <row r="121" spans="1:15" ht="12.75" hidden="1" customHeight="1">
      <c r="A121" s="1">
        <v>5</v>
      </c>
      <c r="B121" s="1">
        <v>1420</v>
      </c>
      <c r="C121" s="1" t="s">
        <v>1623</v>
      </c>
      <c r="D121" s="5" t="s">
        <v>1463</v>
      </c>
      <c r="E121" t="s">
        <v>409</v>
      </c>
      <c r="F121" s="2">
        <v>5060</v>
      </c>
      <c r="G121" s="80">
        <v>46746887</v>
      </c>
      <c r="I121" s="80">
        <v>1213805</v>
      </c>
      <c r="J121" s="98">
        <f t="shared" si="2"/>
        <v>47960692</v>
      </c>
      <c r="L121" s="80">
        <v>8914992</v>
      </c>
      <c r="O121" s="99">
        <f t="shared" si="3"/>
        <v>8914992</v>
      </c>
    </row>
    <row r="122" spans="1:15" ht="12.75" hidden="1" customHeight="1">
      <c r="A122" s="1">
        <v>5</v>
      </c>
      <c r="B122" s="1">
        <v>1520</v>
      </c>
      <c r="C122" s="1" t="s">
        <v>1623</v>
      </c>
      <c r="D122" s="5" t="s">
        <v>1464</v>
      </c>
      <c r="E122" t="s">
        <v>410</v>
      </c>
      <c r="F122" s="2">
        <v>1599</v>
      </c>
      <c r="G122" s="80">
        <v>11893286</v>
      </c>
      <c r="I122" s="80">
        <v>95551</v>
      </c>
      <c r="J122" s="98">
        <f t="shared" si="2"/>
        <v>11988837</v>
      </c>
      <c r="L122" s="80">
        <v>4260133</v>
      </c>
      <c r="M122" s="80">
        <v>380715</v>
      </c>
      <c r="N122" s="80">
        <v>28823</v>
      </c>
      <c r="O122" s="99">
        <f t="shared" si="3"/>
        <v>4669671</v>
      </c>
    </row>
    <row r="123" spans="1:15" ht="12.75" hidden="1" customHeight="1">
      <c r="A123" s="1">
        <v>5</v>
      </c>
      <c r="B123" s="1">
        <v>1910</v>
      </c>
      <c r="C123" s="1" t="s">
        <v>1623</v>
      </c>
      <c r="D123" s="5" t="s">
        <v>1465</v>
      </c>
      <c r="E123" t="s">
        <v>411</v>
      </c>
      <c r="F123" s="2">
        <v>666</v>
      </c>
      <c r="G123" s="80">
        <v>6053150</v>
      </c>
      <c r="I123" s="80">
        <v>98763</v>
      </c>
      <c r="J123" s="98">
        <f t="shared" si="2"/>
        <v>6151913</v>
      </c>
      <c r="L123" s="80">
        <v>504480</v>
      </c>
      <c r="N123" s="80">
        <v>410786</v>
      </c>
      <c r="O123" s="99">
        <f t="shared" si="3"/>
        <v>915266</v>
      </c>
    </row>
    <row r="124" spans="1:15" ht="12.75" hidden="1" customHeight="1">
      <c r="A124" s="1">
        <v>5</v>
      </c>
      <c r="B124" s="1">
        <v>2610</v>
      </c>
      <c r="C124" s="1" t="s">
        <v>1623</v>
      </c>
      <c r="D124" s="5" t="s">
        <v>1466</v>
      </c>
      <c r="E124" t="s">
        <v>412</v>
      </c>
      <c r="F124" s="2">
        <v>7447</v>
      </c>
      <c r="G124" s="80">
        <v>85135718</v>
      </c>
      <c r="I124" s="80">
        <v>3074827</v>
      </c>
      <c r="J124" s="98">
        <f t="shared" si="2"/>
        <v>88210545</v>
      </c>
      <c r="L124" s="80">
        <v>15543347</v>
      </c>
      <c r="M124" s="80">
        <v>2344907</v>
      </c>
      <c r="O124" s="99">
        <f t="shared" si="3"/>
        <v>17888254</v>
      </c>
    </row>
    <row r="125" spans="1:15" ht="12.75" hidden="1" customHeight="1">
      <c r="A125" s="1">
        <v>5</v>
      </c>
      <c r="B125" s="1">
        <v>2850</v>
      </c>
      <c r="C125" s="1" t="s">
        <v>1623</v>
      </c>
      <c r="D125" s="5" t="s">
        <v>1467</v>
      </c>
      <c r="E125" t="s">
        <v>413</v>
      </c>
      <c r="F125" s="2">
        <v>1806</v>
      </c>
      <c r="G125" s="80">
        <v>11730134</v>
      </c>
      <c r="I125" s="80">
        <v>238998</v>
      </c>
      <c r="J125" s="98">
        <f t="shared" si="2"/>
        <v>11969132</v>
      </c>
      <c r="L125" s="80">
        <v>5129564</v>
      </c>
      <c r="O125" s="99">
        <f t="shared" si="3"/>
        <v>5129564</v>
      </c>
    </row>
    <row r="126" spans="1:15" ht="12.75" hidden="1" customHeight="1">
      <c r="A126" s="1">
        <v>5</v>
      </c>
      <c r="B126" s="1">
        <v>2960</v>
      </c>
      <c r="C126" s="1" t="s">
        <v>1623</v>
      </c>
      <c r="D126" s="5" t="s">
        <v>1468</v>
      </c>
      <c r="E126" t="s">
        <v>414</v>
      </c>
      <c r="F126" s="2">
        <v>682</v>
      </c>
      <c r="G126" s="80">
        <v>7217195</v>
      </c>
      <c r="I126" s="80">
        <v>74586</v>
      </c>
      <c r="J126" s="98">
        <f t="shared" si="2"/>
        <v>7291781</v>
      </c>
      <c r="L126" s="80">
        <v>95458</v>
      </c>
      <c r="O126" s="99">
        <f t="shared" si="3"/>
        <v>95458</v>
      </c>
    </row>
    <row r="127" spans="1:15" ht="12.75" hidden="1" customHeight="1">
      <c r="A127" s="1">
        <v>5</v>
      </c>
      <c r="B127" s="1">
        <v>3010</v>
      </c>
      <c r="C127" s="1" t="s">
        <v>1623</v>
      </c>
      <c r="D127" s="5" t="s">
        <v>1251</v>
      </c>
      <c r="E127" t="s">
        <v>415</v>
      </c>
      <c r="F127" s="2">
        <v>2084</v>
      </c>
      <c r="G127" s="80">
        <v>18424971</v>
      </c>
      <c r="I127" s="80">
        <v>339761</v>
      </c>
      <c r="J127" s="98">
        <f t="shared" si="2"/>
        <v>18764732</v>
      </c>
      <c r="L127" s="80">
        <v>3812660</v>
      </c>
      <c r="M127" s="80">
        <v>633900</v>
      </c>
      <c r="O127" s="99">
        <f t="shared" si="3"/>
        <v>4446560</v>
      </c>
    </row>
    <row r="128" spans="1:15" ht="12.75" hidden="1" customHeight="1">
      <c r="A128" s="1">
        <v>5</v>
      </c>
      <c r="B128" s="1">
        <v>3070</v>
      </c>
      <c r="C128" s="1" t="s">
        <v>1623</v>
      </c>
      <c r="D128" s="5" t="s">
        <v>1252</v>
      </c>
      <c r="E128" t="s">
        <v>416</v>
      </c>
      <c r="F128" s="2">
        <v>525</v>
      </c>
      <c r="G128" s="80">
        <v>4445864</v>
      </c>
      <c r="I128" s="80">
        <v>218946</v>
      </c>
      <c r="J128" s="98">
        <f t="shared" si="2"/>
        <v>4664810</v>
      </c>
      <c r="L128" s="80">
        <v>346136</v>
      </c>
      <c r="O128" s="99">
        <f t="shared" si="3"/>
        <v>346136</v>
      </c>
    </row>
    <row r="129" spans="1:15" ht="12.75" hidden="1" customHeight="1">
      <c r="A129" s="1">
        <v>5</v>
      </c>
      <c r="B129" s="1">
        <v>3080</v>
      </c>
      <c r="C129" s="1" t="s">
        <v>1623</v>
      </c>
      <c r="D129" s="5" t="s">
        <v>1253</v>
      </c>
      <c r="E129" t="s">
        <v>417</v>
      </c>
      <c r="F129" s="2">
        <v>3071</v>
      </c>
      <c r="G129" s="80">
        <v>32595738</v>
      </c>
      <c r="I129" s="80">
        <v>745451</v>
      </c>
      <c r="J129" s="98">
        <f t="shared" si="2"/>
        <v>33341189</v>
      </c>
      <c r="N129" s="80">
        <v>1986683</v>
      </c>
      <c r="O129" s="99">
        <f t="shared" si="3"/>
        <v>1986683</v>
      </c>
    </row>
    <row r="130" spans="1:15" ht="12.75" hidden="1" customHeight="1">
      <c r="A130" s="1">
        <v>5</v>
      </c>
      <c r="B130" s="1">
        <v>3360</v>
      </c>
      <c r="C130" s="1" t="s">
        <v>1623</v>
      </c>
      <c r="D130" s="5" t="s">
        <v>1254</v>
      </c>
      <c r="E130" t="s">
        <v>418</v>
      </c>
      <c r="F130" s="2">
        <v>4381.5</v>
      </c>
      <c r="G130" s="80">
        <v>49692241</v>
      </c>
      <c r="I130" s="80">
        <v>700364</v>
      </c>
      <c r="J130" s="98">
        <f t="shared" si="2"/>
        <v>50392605</v>
      </c>
      <c r="O130" s="99">
        <f t="shared" si="3"/>
        <v>0</v>
      </c>
    </row>
    <row r="131" spans="1:15" ht="12.75" hidden="1" customHeight="1">
      <c r="A131" s="1">
        <v>5</v>
      </c>
      <c r="B131" s="1">
        <v>3430</v>
      </c>
      <c r="C131" s="1" t="s">
        <v>1623</v>
      </c>
      <c r="D131" s="5" t="s">
        <v>1255</v>
      </c>
      <c r="E131" t="s">
        <v>419</v>
      </c>
      <c r="F131" s="2">
        <v>1064</v>
      </c>
      <c r="G131" s="80">
        <v>6558171</v>
      </c>
      <c r="I131" s="80">
        <v>206109</v>
      </c>
      <c r="J131" s="98">
        <f t="shared" si="2"/>
        <v>6764280</v>
      </c>
      <c r="L131" s="80">
        <v>4239311</v>
      </c>
      <c r="M131" s="80">
        <v>432832</v>
      </c>
      <c r="N131" s="80">
        <v>1702970</v>
      </c>
      <c r="O131" s="99">
        <f t="shared" si="3"/>
        <v>6375113</v>
      </c>
    </row>
    <row r="132" spans="1:15" ht="12.75" hidden="1" customHeight="1">
      <c r="A132" s="1">
        <v>5</v>
      </c>
      <c r="B132" s="1">
        <v>3440</v>
      </c>
      <c r="C132" s="1" t="s">
        <v>1623</v>
      </c>
      <c r="D132" s="5" t="s">
        <v>1256</v>
      </c>
      <c r="E132" t="s">
        <v>420</v>
      </c>
      <c r="F132" s="2">
        <v>4516</v>
      </c>
      <c r="G132" s="80">
        <v>45932163</v>
      </c>
      <c r="I132" s="80">
        <v>676676</v>
      </c>
      <c r="J132" s="98">
        <f t="shared" si="2"/>
        <v>46608839</v>
      </c>
      <c r="O132" s="99">
        <f t="shared" si="3"/>
        <v>0</v>
      </c>
    </row>
    <row r="133" spans="1:15" ht="12.75" hidden="1" customHeight="1">
      <c r="A133" s="1">
        <v>5</v>
      </c>
      <c r="B133" s="1">
        <v>3540</v>
      </c>
      <c r="C133" s="1" t="s">
        <v>1623</v>
      </c>
      <c r="D133" s="5" t="s">
        <v>1257</v>
      </c>
      <c r="E133" t="s">
        <v>421</v>
      </c>
      <c r="F133" s="2">
        <v>162</v>
      </c>
      <c r="G133" s="80">
        <v>1390116</v>
      </c>
      <c r="I133" s="80">
        <v>359738</v>
      </c>
      <c r="J133" s="98">
        <f t="shared" ref="J133:J196" si="4">SUM(G133:I133)</f>
        <v>1749854</v>
      </c>
      <c r="L133" s="80">
        <v>1222613</v>
      </c>
      <c r="O133" s="99">
        <f t="shared" ref="O133:O196" si="5">SUM(L133:N133)</f>
        <v>1222613</v>
      </c>
    </row>
    <row r="134" spans="1:15" ht="12.75" hidden="1" customHeight="1">
      <c r="A134" s="1">
        <v>5</v>
      </c>
      <c r="B134" s="1">
        <v>3650</v>
      </c>
      <c r="C134" s="1" t="s">
        <v>1623</v>
      </c>
      <c r="D134" s="5" t="s">
        <v>1258</v>
      </c>
      <c r="E134" t="s">
        <v>422</v>
      </c>
      <c r="F134" s="2">
        <v>1210</v>
      </c>
      <c r="G134" s="80">
        <v>1661288</v>
      </c>
      <c r="I134" s="80">
        <v>1925156</v>
      </c>
      <c r="J134" s="98">
        <f t="shared" si="4"/>
        <v>3586444</v>
      </c>
      <c r="L134" s="80">
        <v>8441805</v>
      </c>
      <c r="O134" s="99">
        <f t="shared" si="5"/>
        <v>8441805</v>
      </c>
    </row>
    <row r="135" spans="1:15" ht="12.75" hidden="1" customHeight="1">
      <c r="A135" s="1">
        <v>5</v>
      </c>
      <c r="B135" s="1">
        <v>3690</v>
      </c>
      <c r="C135" s="1" t="s">
        <v>1623</v>
      </c>
      <c r="D135" s="5" t="s">
        <v>1259</v>
      </c>
      <c r="E135" t="s">
        <v>423</v>
      </c>
      <c r="F135" s="2">
        <v>1891</v>
      </c>
      <c r="G135" s="80">
        <v>14475225</v>
      </c>
      <c r="I135" s="80">
        <v>582998</v>
      </c>
      <c r="J135" s="98">
        <f t="shared" si="4"/>
        <v>15058223</v>
      </c>
      <c r="L135" s="80">
        <v>8554251</v>
      </c>
      <c r="O135" s="99">
        <f t="shared" si="5"/>
        <v>8554251</v>
      </c>
    </row>
    <row r="136" spans="1:15" ht="12.75" hidden="1" customHeight="1">
      <c r="A136" s="1">
        <v>5</v>
      </c>
      <c r="B136" s="1">
        <v>3920</v>
      </c>
      <c r="C136" s="1" t="s">
        <v>1623</v>
      </c>
      <c r="D136" s="5" t="s">
        <v>1260</v>
      </c>
      <c r="E136" t="s">
        <v>424</v>
      </c>
      <c r="F136" s="2">
        <v>1057</v>
      </c>
      <c r="G136" s="80">
        <v>6121339</v>
      </c>
      <c r="I136" s="80">
        <v>88139</v>
      </c>
      <c r="J136" s="98">
        <f t="shared" si="4"/>
        <v>6209478</v>
      </c>
      <c r="L136" s="80">
        <v>2594828</v>
      </c>
      <c r="N136" s="80">
        <v>135829</v>
      </c>
      <c r="O136" s="99">
        <f t="shared" si="5"/>
        <v>2730657</v>
      </c>
    </row>
    <row r="137" spans="1:15" ht="12.75" hidden="1" customHeight="1">
      <c r="A137" s="1">
        <v>5</v>
      </c>
      <c r="B137" s="1">
        <v>4040</v>
      </c>
      <c r="C137" s="1" t="s">
        <v>1623</v>
      </c>
      <c r="D137" s="5" t="s">
        <v>1261</v>
      </c>
      <c r="E137" t="s">
        <v>425</v>
      </c>
      <c r="F137" s="2">
        <v>80</v>
      </c>
      <c r="G137" s="80">
        <v>1185685</v>
      </c>
      <c r="I137" s="80">
        <v>30227</v>
      </c>
      <c r="J137" s="98">
        <f t="shared" si="4"/>
        <v>1215912</v>
      </c>
      <c r="L137" s="80">
        <v>924087</v>
      </c>
      <c r="M137" s="80">
        <v>19246</v>
      </c>
      <c r="N137" s="80">
        <v>25432</v>
      </c>
      <c r="O137" s="99">
        <f t="shared" si="5"/>
        <v>968765</v>
      </c>
    </row>
    <row r="138" spans="1:15" ht="12.75" hidden="1" customHeight="1">
      <c r="A138" s="1">
        <v>5</v>
      </c>
      <c r="B138" s="1">
        <v>4050</v>
      </c>
      <c r="C138" s="1" t="s">
        <v>1623</v>
      </c>
      <c r="D138" s="5" t="s">
        <v>1262</v>
      </c>
      <c r="E138" t="s">
        <v>426</v>
      </c>
      <c r="F138" s="2">
        <v>5226</v>
      </c>
      <c r="G138" s="80">
        <v>10532061</v>
      </c>
      <c r="I138" s="80">
        <v>775504</v>
      </c>
      <c r="J138" s="98">
        <f t="shared" si="4"/>
        <v>11307565</v>
      </c>
      <c r="L138" s="80">
        <v>30767039</v>
      </c>
      <c r="M138" s="80">
        <v>2250521</v>
      </c>
      <c r="N138" s="80">
        <v>1029280</v>
      </c>
      <c r="O138" s="99">
        <f t="shared" si="5"/>
        <v>34046840</v>
      </c>
    </row>
    <row r="139" spans="1:15" ht="12.75" hidden="1" customHeight="1">
      <c r="A139" s="1">
        <v>5</v>
      </c>
      <c r="B139" s="1">
        <v>4320</v>
      </c>
      <c r="C139" s="1" t="s">
        <v>1623</v>
      </c>
      <c r="D139" s="5" t="s">
        <v>1263</v>
      </c>
      <c r="E139" t="s">
        <v>427</v>
      </c>
      <c r="F139" s="2">
        <v>2367</v>
      </c>
      <c r="G139" s="80">
        <v>14225203</v>
      </c>
      <c r="I139" s="80">
        <v>471810</v>
      </c>
      <c r="J139" s="98">
        <f t="shared" si="4"/>
        <v>14697013</v>
      </c>
      <c r="L139" s="80">
        <v>9642743</v>
      </c>
      <c r="O139" s="99">
        <f t="shared" si="5"/>
        <v>9642743</v>
      </c>
    </row>
    <row r="140" spans="1:15" ht="12.75" hidden="1" customHeight="1">
      <c r="A140" s="1">
        <v>5</v>
      </c>
      <c r="B140" s="1">
        <v>4450</v>
      </c>
      <c r="C140" s="1" t="s">
        <v>1623</v>
      </c>
      <c r="D140" s="5" t="s">
        <v>1264</v>
      </c>
      <c r="E140" t="s">
        <v>428</v>
      </c>
      <c r="F140" s="2">
        <v>1444</v>
      </c>
      <c r="G140" s="80">
        <v>6462457</v>
      </c>
      <c r="I140" s="80">
        <v>257389</v>
      </c>
      <c r="J140" s="98">
        <f t="shared" si="4"/>
        <v>6719846</v>
      </c>
      <c r="L140" s="80">
        <v>4984408</v>
      </c>
      <c r="O140" s="99">
        <f t="shared" si="5"/>
        <v>4984408</v>
      </c>
    </row>
    <row r="141" spans="1:15" ht="12.75" hidden="1" customHeight="1">
      <c r="A141" s="1">
        <v>5</v>
      </c>
      <c r="B141" s="1">
        <v>4460</v>
      </c>
      <c r="C141" s="1" t="s">
        <v>1623</v>
      </c>
      <c r="D141" s="5" t="s">
        <v>1265</v>
      </c>
      <c r="E141" t="s">
        <v>429</v>
      </c>
      <c r="F141" s="2">
        <v>243</v>
      </c>
      <c r="G141" s="80">
        <v>3666729</v>
      </c>
      <c r="I141" s="80">
        <v>71388</v>
      </c>
      <c r="J141" s="98">
        <f t="shared" si="4"/>
        <v>3738117</v>
      </c>
      <c r="M141" s="80">
        <v>198468</v>
      </c>
      <c r="O141" s="99">
        <f t="shared" si="5"/>
        <v>198468</v>
      </c>
    </row>
    <row r="142" spans="1:15" ht="12.75" hidden="1" customHeight="1">
      <c r="A142" s="1">
        <v>5</v>
      </c>
      <c r="B142" s="1">
        <v>4740</v>
      </c>
      <c r="C142" s="1" t="s">
        <v>1623</v>
      </c>
      <c r="D142" s="5" t="s">
        <v>1266</v>
      </c>
      <c r="E142" t="s">
        <v>430</v>
      </c>
      <c r="F142" s="2">
        <v>943</v>
      </c>
      <c r="G142" s="80">
        <v>6960215</v>
      </c>
      <c r="I142" s="80">
        <v>133254</v>
      </c>
      <c r="J142" s="98">
        <f t="shared" si="4"/>
        <v>7093469</v>
      </c>
      <c r="L142" s="80">
        <v>1787691</v>
      </c>
      <c r="M142" s="80">
        <v>623328</v>
      </c>
      <c r="N142" s="80">
        <v>656268</v>
      </c>
      <c r="O142" s="99">
        <f t="shared" si="5"/>
        <v>3067287</v>
      </c>
    </row>
    <row r="143" spans="1:15" ht="12.75" hidden="1" customHeight="1">
      <c r="A143" s="1">
        <v>5</v>
      </c>
      <c r="B143" s="1">
        <v>4930</v>
      </c>
      <c r="C143" s="1" t="s">
        <v>1623</v>
      </c>
      <c r="D143" s="5" t="s">
        <v>1267</v>
      </c>
      <c r="E143" t="s">
        <v>431</v>
      </c>
      <c r="F143" s="2">
        <v>799</v>
      </c>
      <c r="G143" s="80">
        <v>8086179</v>
      </c>
      <c r="I143" s="80">
        <v>149912</v>
      </c>
      <c r="J143" s="98">
        <f t="shared" si="4"/>
        <v>8236091</v>
      </c>
      <c r="L143" s="80">
        <v>1099667</v>
      </c>
      <c r="O143" s="99">
        <f t="shared" si="5"/>
        <v>1099667</v>
      </c>
    </row>
    <row r="144" spans="1:15" ht="12.75" hidden="1" customHeight="1">
      <c r="A144" s="1">
        <v>5</v>
      </c>
      <c r="B144" s="1">
        <v>5010</v>
      </c>
      <c r="C144" s="1" t="s">
        <v>1623</v>
      </c>
      <c r="D144" s="5" t="s">
        <v>1268</v>
      </c>
      <c r="E144" t="s">
        <v>432</v>
      </c>
      <c r="F144" s="2">
        <v>311</v>
      </c>
      <c r="G144" s="80">
        <v>2658899</v>
      </c>
      <c r="I144" s="80">
        <v>41718</v>
      </c>
      <c r="J144" s="98">
        <f t="shared" si="4"/>
        <v>2700617</v>
      </c>
      <c r="L144" s="80">
        <v>465878</v>
      </c>
      <c r="N144" s="80">
        <v>54068</v>
      </c>
      <c r="O144" s="99">
        <f t="shared" si="5"/>
        <v>519946</v>
      </c>
    </row>
    <row r="145" spans="1:15" ht="12.75" hidden="1" customHeight="1">
      <c r="A145" s="1">
        <v>5</v>
      </c>
      <c r="B145" s="1">
        <v>5130</v>
      </c>
      <c r="C145" s="1" t="s">
        <v>1623</v>
      </c>
      <c r="D145" s="5" t="s">
        <v>1269</v>
      </c>
      <c r="E145" t="s">
        <v>433</v>
      </c>
      <c r="F145" s="2">
        <v>895</v>
      </c>
      <c r="G145" s="80">
        <v>5802533</v>
      </c>
      <c r="I145" s="80">
        <v>98278</v>
      </c>
      <c r="J145" s="98">
        <f t="shared" si="4"/>
        <v>5900811</v>
      </c>
      <c r="L145" s="80">
        <v>2023786</v>
      </c>
      <c r="M145" s="80">
        <v>832298</v>
      </c>
      <c r="N145" s="80">
        <v>1386103</v>
      </c>
      <c r="O145" s="99">
        <f t="shared" si="5"/>
        <v>4242187</v>
      </c>
    </row>
    <row r="146" spans="1:15" ht="12.75" hidden="1" customHeight="1">
      <c r="A146" s="1">
        <v>5</v>
      </c>
      <c r="B146" s="1">
        <v>5490</v>
      </c>
      <c r="C146" s="1" t="s">
        <v>1623</v>
      </c>
      <c r="D146" s="5" t="s">
        <v>1270</v>
      </c>
      <c r="E146" t="s">
        <v>434</v>
      </c>
      <c r="F146" s="2">
        <v>71</v>
      </c>
      <c r="G146" s="80">
        <v>1237811</v>
      </c>
      <c r="I146" s="80">
        <v>15794</v>
      </c>
      <c r="J146" s="98">
        <f t="shared" si="4"/>
        <v>1253605</v>
      </c>
      <c r="L146" s="80">
        <v>360238</v>
      </c>
      <c r="O146" s="99">
        <f t="shared" si="5"/>
        <v>360238</v>
      </c>
    </row>
    <row r="147" spans="1:15" ht="12.75" hidden="1" customHeight="1">
      <c r="A147" s="1">
        <v>5</v>
      </c>
      <c r="B147" s="1">
        <v>5720</v>
      </c>
      <c r="C147" s="1" t="s">
        <v>1623</v>
      </c>
      <c r="D147" s="5" t="s">
        <v>1271</v>
      </c>
      <c r="E147" t="s">
        <v>435</v>
      </c>
      <c r="F147" s="2">
        <v>937</v>
      </c>
      <c r="G147" s="80">
        <v>6859335</v>
      </c>
      <c r="I147" s="80">
        <v>114701</v>
      </c>
      <c r="J147" s="98">
        <f t="shared" si="4"/>
        <v>6974036</v>
      </c>
      <c r="L147" s="80">
        <v>1974282</v>
      </c>
      <c r="M147" s="80">
        <v>126192</v>
      </c>
      <c r="N147" s="80">
        <v>524591</v>
      </c>
      <c r="O147" s="99">
        <f t="shared" si="5"/>
        <v>2625065</v>
      </c>
    </row>
    <row r="148" spans="1:15" ht="12.75" hidden="1" customHeight="1">
      <c r="A148" s="1">
        <v>5</v>
      </c>
      <c r="B148" s="1">
        <v>5805</v>
      </c>
      <c r="C148" s="1" t="s">
        <v>1623</v>
      </c>
      <c r="D148" s="5" t="s">
        <v>1272</v>
      </c>
      <c r="E148" t="s">
        <v>436</v>
      </c>
      <c r="F148" s="2">
        <v>4977</v>
      </c>
      <c r="G148" s="80">
        <v>28203052</v>
      </c>
      <c r="J148" s="98">
        <f t="shared" si="4"/>
        <v>28203052</v>
      </c>
      <c r="L148" s="80">
        <v>22571491</v>
      </c>
      <c r="M148" s="80">
        <v>2357897</v>
      </c>
      <c r="O148" s="99">
        <f t="shared" si="5"/>
        <v>24929388</v>
      </c>
    </row>
    <row r="149" spans="1:15" ht="12.75" hidden="1" customHeight="1">
      <c r="A149" s="1">
        <v>5</v>
      </c>
      <c r="B149" s="1">
        <v>5890</v>
      </c>
      <c r="C149" s="1" t="s">
        <v>1623</v>
      </c>
      <c r="D149" s="5" t="s">
        <v>1273</v>
      </c>
      <c r="E149" t="s">
        <v>437</v>
      </c>
      <c r="F149" s="2">
        <v>155</v>
      </c>
      <c r="G149" s="80">
        <v>1371804</v>
      </c>
      <c r="I149" s="80">
        <v>18591</v>
      </c>
      <c r="J149" s="98">
        <f t="shared" si="4"/>
        <v>1390395</v>
      </c>
      <c r="N149" s="80">
        <v>617579</v>
      </c>
      <c r="O149" s="99">
        <f t="shared" si="5"/>
        <v>617579</v>
      </c>
    </row>
    <row r="150" spans="1:15" ht="12.75" hidden="1" customHeight="1">
      <c r="A150" s="1">
        <v>7</v>
      </c>
      <c r="B150" s="1">
        <v>150</v>
      </c>
      <c r="C150" s="1" t="s">
        <v>1274</v>
      </c>
      <c r="D150" s="5" t="s">
        <v>1275</v>
      </c>
      <c r="E150" t="s">
        <v>438</v>
      </c>
      <c r="F150" s="2">
        <v>1567.5</v>
      </c>
      <c r="G150" s="80">
        <v>8500527</v>
      </c>
      <c r="I150" s="80">
        <v>98214</v>
      </c>
      <c r="J150" s="98">
        <f t="shared" si="4"/>
        <v>8598741</v>
      </c>
      <c r="L150" s="80">
        <v>4414691</v>
      </c>
      <c r="N150" s="80">
        <v>164089</v>
      </c>
      <c r="O150" s="99">
        <f t="shared" si="5"/>
        <v>4578780</v>
      </c>
    </row>
    <row r="151" spans="1:15" ht="12.75" hidden="1" customHeight="1">
      <c r="A151" s="1">
        <v>7</v>
      </c>
      <c r="B151" s="1">
        <v>160</v>
      </c>
      <c r="C151" s="1" t="s">
        <v>1274</v>
      </c>
      <c r="D151" s="5" t="s">
        <v>1276</v>
      </c>
      <c r="E151"/>
      <c r="F151" s="2"/>
      <c r="G151" s="80">
        <v>49967</v>
      </c>
      <c r="I151" s="80">
        <v>11648</v>
      </c>
      <c r="J151" s="98">
        <f t="shared" si="4"/>
        <v>61615</v>
      </c>
      <c r="L151" s="80">
        <v>984201</v>
      </c>
      <c r="M151" s="80">
        <v>240807</v>
      </c>
      <c r="N151" s="80">
        <v>48507</v>
      </c>
      <c r="O151" s="99">
        <f t="shared" si="5"/>
        <v>1273515</v>
      </c>
    </row>
    <row r="152" spans="1:15" ht="12.75" hidden="1" customHeight="1">
      <c r="A152" s="1">
        <v>7</v>
      </c>
      <c r="B152" s="1">
        <v>190</v>
      </c>
      <c r="C152" s="1" t="s">
        <v>1274</v>
      </c>
      <c r="D152" s="5" t="s">
        <v>1277</v>
      </c>
      <c r="E152" t="s">
        <v>439</v>
      </c>
      <c r="F152" s="2">
        <v>599</v>
      </c>
      <c r="G152" s="80">
        <v>7933863</v>
      </c>
      <c r="I152" s="80">
        <v>145313</v>
      </c>
      <c r="J152" s="98">
        <f t="shared" si="4"/>
        <v>8079176</v>
      </c>
      <c r="L152" s="80">
        <v>1059771</v>
      </c>
      <c r="M152" s="80">
        <v>607528</v>
      </c>
      <c r="O152" s="99">
        <f t="shared" si="5"/>
        <v>1667299</v>
      </c>
    </row>
    <row r="153" spans="1:15" ht="12.75" hidden="1" customHeight="1">
      <c r="A153" s="1">
        <v>7</v>
      </c>
      <c r="B153" s="1">
        <v>260</v>
      </c>
      <c r="C153" s="1" t="s">
        <v>1274</v>
      </c>
      <c r="D153" s="5" t="s">
        <v>1278</v>
      </c>
      <c r="E153" t="s">
        <v>440</v>
      </c>
      <c r="F153" s="2">
        <v>1076</v>
      </c>
      <c r="G153" s="80">
        <v>7035727</v>
      </c>
      <c r="I153" s="80">
        <v>112802</v>
      </c>
      <c r="J153" s="98">
        <f t="shared" si="4"/>
        <v>7148529</v>
      </c>
      <c r="L153" s="80">
        <v>1808143</v>
      </c>
      <c r="M153" s="80">
        <v>126389</v>
      </c>
      <c r="N153" s="80">
        <v>24959</v>
      </c>
      <c r="O153" s="99">
        <f t="shared" si="5"/>
        <v>1959491</v>
      </c>
    </row>
    <row r="154" spans="1:15" ht="12.75" hidden="1" customHeight="1">
      <c r="A154" s="1">
        <v>7</v>
      </c>
      <c r="B154" s="1">
        <v>330</v>
      </c>
      <c r="C154" s="1" t="s">
        <v>1274</v>
      </c>
      <c r="D154" s="5" t="s">
        <v>1279</v>
      </c>
      <c r="E154" t="s">
        <v>441</v>
      </c>
      <c r="F154" s="2">
        <v>813</v>
      </c>
      <c r="G154" s="80">
        <v>5332390</v>
      </c>
      <c r="I154" s="80">
        <v>54482</v>
      </c>
      <c r="J154" s="98">
        <f t="shared" si="4"/>
        <v>5386872</v>
      </c>
      <c r="L154" s="80">
        <v>1671602</v>
      </c>
      <c r="O154" s="99">
        <f t="shared" si="5"/>
        <v>1671602</v>
      </c>
    </row>
    <row r="155" spans="1:15" ht="12.75" hidden="1" customHeight="1">
      <c r="A155" s="1">
        <v>7</v>
      </c>
      <c r="B155" s="1">
        <v>340</v>
      </c>
      <c r="C155" s="1" t="s">
        <v>1274</v>
      </c>
      <c r="D155" s="5" t="s">
        <v>1280</v>
      </c>
      <c r="E155" t="s">
        <v>442</v>
      </c>
      <c r="F155" s="2">
        <v>615</v>
      </c>
      <c r="G155" s="80">
        <v>7379482</v>
      </c>
      <c r="I155" s="80">
        <v>601157</v>
      </c>
      <c r="J155" s="98">
        <f t="shared" si="4"/>
        <v>7980639</v>
      </c>
      <c r="L155" s="80">
        <v>2278004</v>
      </c>
      <c r="N155" s="80">
        <v>699855</v>
      </c>
      <c r="O155" s="99">
        <f t="shared" si="5"/>
        <v>2977859</v>
      </c>
    </row>
    <row r="156" spans="1:15" ht="12.75" hidden="1" customHeight="1">
      <c r="A156" s="1">
        <v>7</v>
      </c>
      <c r="B156" s="1">
        <v>390</v>
      </c>
      <c r="C156" s="1" t="s">
        <v>1274</v>
      </c>
      <c r="D156" s="5" t="s">
        <v>1281</v>
      </c>
      <c r="E156" t="s">
        <v>443</v>
      </c>
      <c r="F156" s="2">
        <v>4262</v>
      </c>
      <c r="G156" s="80">
        <v>27733018</v>
      </c>
      <c r="I156" s="80">
        <v>577024</v>
      </c>
      <c r="J156" s="98">
        <f t="shared" si="4"/>
        <v>28310042</v>
      </c>
      <c r="L156" s="80">
        <v>16925545</v>
      </c>
      <c r="M156" s="80">
        <v>2794745</v>
      </c>
      <c r="N156" s="80">
        <v>276936</v>
      </c>
      <c r="O156" s="99">
        <f t="shared" si="5"/>
        <v>19997226</v>
      </c>
    </row>
    <row r="157" spans="1:15" ht="12.75" hidden="1" customHeight="1">
      <c r="A157" s="1">
        <v>7</v>
      </c>
      <c r="B157" s="1">
        <v>580</v>
      </c>
      <c r="C157" s="1" t="s">
        <v>1274</v>
      </c>
      <c r="D157" s="5" t="s">
        <v>1282</v>
      </c>
      <c r="E157" t="s">
        <v>444</v>
      </c>
      <c r="F157" s="2">
        <v>316</v>
      </c>
      <c r="G157" s="80">
        <v>1017497</v>
      </c>
      <c r="I157" s="80">
        <v>172149</v>
      </c>
      <c r="J157" s="98">
        <f t="shared" si="4"/>
        <v>1189646</v>
      </c>
      <c r="L157" s="80">
        <v>1387532</v>
      </c>
      <c r="O157" s="99">
        <f t="shared" si="5"/>
        <v>1387532</v>
      </c>
    </row>
    <row r="158" spans="1:15" ht="12.75" hidden="1" customHeight="1">
      <c r="A158" s="1">
        <v>7</v>
      </c>
      <c r="B158" s="1">
        <v>680</v>
      </c>
      <c r="C158" s="1" t="s">
        <v>1274</v>
      </c>
      <c r="D158" s="5" t="s">
        <v>1283</v>
      </c>
      <c r="E158" t="s">
        <v>445</v>
      </c>
      <c r="F158" s="2">
        <v>15244</v>
      </c>
      <c r="G158" s="80">
        <v>7449009</v>
      </c>
      <c r="I158" s="80">
        <v>2123053</v>
      </c>
      <c r="J158" s="98">
        <f t="shared" si="4"/>
        <v>9572062</v>
      </c>
      <c r="L158" s="80">
        <v>124213337</v>
      </c>
      <c r="M158" s="80">
        <v>6189753</v>
      </c>
      <c r="N158" s="80">
        <v>2632717</v>
      </c>
      <c r="O158" s="99">
        <f t="shared" si="5"/>
        <v>133035807</v>
      </c>
    </row>
    <row r="159" spans="1:15" ht="12.75" hidden="1" customHeight="1">
      <c r="A159" s="1">
        <v>7</v>
      </c>
      <c r="B159" s="1">
        <v>695</v>
      </c>
      <c r="C159" s="1" t="s">
        <v>1274</v>
      </c>
      <c r="D159" s="5" t="s">
        <v>1114</v>
      </c>
      <c r="E159"/>
      <c r="F159" s="2"/>
      <c r="I159" s="80">
        <v>936961</v>
      </c>
      <c r="J159" s="98">
        <f t="shared" si="4"/>
        <v>936961</v>
      </c>
      <c r="O159" s="99">
        <f t="shared" si="5"/>
        <v>0</v>
      </c>
    </row>
    <row r="160" spans="1:15" ht="12.75" hidden="1" customHeight="1">
      <c r="A160" s="1">
        <v>7</v>
      </c>
      <c r="B160" s="1">
        <v>700</v>
      </c>
      <c r="C160" s="1" t="s">
        <v>1274</v>
      </c>
      <c r="D160" s="5" t="s">
        <v>1115</v>
      </c>
      <c r="E160" t="s">
        <v>446</v>
      </c>
      <c r="F160" s="2">
        <v>1862</v>
      </c>
      <c r="H160" s="80">
        <v>12146033</v>
      </c>
      <c r="I160" s="80">
        <v>680514</v>
      </c>
      <c r="J160" s="98">
        <f t="shared" si="4"/>
        <v>12826547</v>
      </c>
      <c r="L160" s="80">
        <v>7795941</v>
      </c>
      <c r="O160" s="99">
        <f t="shared" si="5"/>
        <v>7795941</v>
      </c>
    </row>
    <row r="161" spans="1:15" ht="12.75" hidden="1" customHeight="1">
      <c r="A161" s="1">
        <v>7</v>
      </c>
      <c r="B161" s="1">
        <v>800</v>
      </c>
      <c r="C161" s="1" t="s">
        <v>1274</v>
      </c>
      <c r="D161" s="5" t="s">
        <v>1116</v>
      </c>
      <c r="E161" t="s">
        <v>447</v>
      </c>
      <c r="F161" s="2">
        <v>11529</v>
      </c>
      <c r="G161" s="80">
        <v>136273471</v>
      </c>
      <c r="I161" s="80">
        <v>1994507</v>
      </c>
      <c r="J161" s="98">
        <f t="shared" si="4"/>
        <v>138267978</v>
      </c>
      <c r="L161" s="80">
        <v>2021629</v>
      </c>
      <c r="O161" s="99">
        <f t="shared" si="5"/>
        <v>2021629</v>
      </c>
    </row>
    <row r="162" spans="1:15" ht="12.75" hidden="1" customHeight="1">
      <c r="A162" s="1">
        <v>7</v>
      </c>
      <c r="B162" s="1">
        <v>810</v>
      </c>
      <c r="C162" s="1" t="s">
        <v>1274</v>
      </c>
      <c r="D162" s="5" t="s">
        <v>1117</v>
      </c>
      <c r="E162" t="s">
        <v>340</v>
      </c>
      <c r="F162" s="2">
        <v>118</v>
      </c>
      <c r="G162" s="80">
        <v>853814</v>
      </c>
      <c r="I162" s="80">
        <v>463481</v>
      </c>
      <c r="J162" s="98">
        <f t="shared" si="4"/>
        <v>1317295</v>
      </c>
      <c r="L162" s="80">
        <v>1574437</v>
      </c>
      <c r="M162" s="80">
        <v>102145</v>
      </c>
      <c r="N162" s="80">
        <v>7</v>
      </c>
      <c r="O162" s="99">
        <f t="shared" si="5"/>
        <v>1676589</v>
      </c>
    </row>
    <row r="163" spans="1:15" ht="12.75" hidden="1" customHeight="1">
      <c r="A163" s="1">
        <v>7</v>
      </c>
      <c r="B163" s="1">
        <v>880</v>
      </c>
      <c r="C163" s="1" t="s">
        <v>1274</v>
      </c>
      <c r="D163" s="5" t="s">
        <v>1118</v>
      </c>
      <c r="E163" t="s">
        <v>341</v>
      </c>
      <c r="F163" s="2">
        <v>559</v>
      </c>
      <c r="G163" s="80">
        <v>3513423</v>
      </c>
      <c r="I163" s="80">
        <v>576032</v>
      </c>
      <c r="J163" s="98">
        <f t="shared" si="4"/>
        <v>4089455</v>
      </c>
      <c r="L163" s="80">
        <v>2978575</v>
      </c>
      <c r="M163" s="80">
        <v>65928</v>
      </c>
      <c r="N163" s="80">
        <v>160793</v>
      </c>
      <c r="O163" s="99">
        <f t="shared" si="5"/>
        <v>3205296</v>
      </c>
    </row>
    <row r="164" spans="1:15" ht="12.75" hidden="1" customHeight="1">
      <c r="A164" s="1">
        <v>7</v>
      </c>
      <c r="B164" s="1">
        <v>940</v>
      </c>
      <c r="C164" s="1" t="s">
        <v>1274</v>
      </c>
      <c r="D164" s="5" t="s">
        <v>1119</v>
      </c>
      <c r="E164" t="s">
        <v>342</v>
      </c>
      <c r="F164" s="2">
        <v>1899</v>
      </c>
      <c r="G164" s="80">
        <v>11955900</v>
      </c>
      <c r="I164" s="80">
        <v>261698</v>
      </c>
      <c r="J164" s="98">
        <f t="shared" si="4"/>
        <v>12217598</v>
      </c>
      <c r="L164" s="80">
        <v>5508389</v>
      </c>
      <c r="M164" s="80">
        <v>1824244</v>
      </c>
      <c r="O164" s="99">
        <f t="shared" si="5"/>
        <v>7332633</v>
      </c>
    </row>
    <row r="165" spans="1:15" ht="12.75" hidden="1" customHeight="1">
      <c r="A165" s="1">
        <v>7</v>
      </c>
      <c r="B165" s="1">
        <v>1255</v>
      </c>
      <c r="C165" s="1" t="s">
        <v>1274</v>
      </c>
      <c r="D165" s="5" t="s">
        <v>1120</v>
      </c>
      <c r="E165" t="s">
        <v>343</v>
      </c>
      <c r="F165" s="2">
        <v>2170</v>
      </c>
      <c r="G165" s="80">
        <v>18476597</v>
      </c>
      <c r="I165" s="80">
        <v>547219</v>
      </c>
      <c r="J165" s="98">
        <f t="shared" si="4"/>
        <v>19023816</v>
      </c>
      <c r="L165" s="80">
        <v>5838667</v>
      </c>
      <c r="M165" s="80">
        <v>978790</v>
      </c>
      <c r="O165" s="99">
        <f t="shared" si="5"/>
        <v>6817457</v>
      </c>
    </row>
    <row r="166" spans="1:15" ht="12.75" hidden="1" customHeight="1">
      <c r="A166" s="1">
        <v>7</v>
      </c>
      <c r="B166" s="1">
        <v>1720</v>
      </c>
      <c r="C166" s="1" t="s">
        <v>1274</v>
      </c>
      <c r="D166" s="5" t="s">
        <v>1121</v>
      </c>
      <c r="E166" t="s">
        <v>344</v>
      </c>
      <c r="F166" s="2">
        <v>292</v>
      </c>
      <c r="G166" s="80">
        <v>2255735</v>
      </c>
      <c r="I166" s="80">
        <v>55803</v>
      </c>
      <c r="J166" s="98">
        <f t="shared" si="4"/>
        <v>2311538</v>
      </c>
      <c r="L166" s="80">
        <v>917674</v>
      </c>
      <c r="N166" s="80">
        <v>62198</v>
      </c>
      <c r="O166" s="99">
        <f t="shared" si="5"/>
        <v>979872</v>
      </c>
    </row>
    <row r="167" spans="1:15" ht="12.75" hidden="1" customHeight="1">
      <c r="A167" s="1">
        <v>7</v>
      </c>
      <c r="B167" s="1">
        <v>1770</v>
      </c>
      <c r="C167" s="1" t="s">
        <v>1274</v>
      </c>
      <c r="D167" s="5" t="s">
        <v>1122</v>
      </c>
      <c r="E167" t="s">
        <v>345</v>
      </c>
      <c r="F167" s="2">
        <v>2106</v>
      </c>
      <c r="G167" s="80">
        <v>2858502</v>
      </c>
      <c r="I167" s="80">
        <v>304932</v>
      </c>
      <c r="J167" s="98">
        <f t="shared" si="4"/>
        <v>3163434</v>
      </c>
      <c r="L167" s="80">
        <v>10382971</v>
      </c>
      <c r="M167" s="80">
        <v>499805</v>
      </c>
      <c r="N167" s="80">
        <v>74037</v>
      </c>
      <c r="O167" s="99">
        <f t="shared" si="5"/>
        <v>10956813</v>
      </c>
    </row>
    <row r="168" spans="1:15" ht="12.75" hidden="1" customHeight="1">
      <c r="A168" s="1">
        <v>7</v>
      </c>
      <c r="B168" s="1">
        <v>1780</v>
      </c>
      <c r="C168" s="1" t="s">
        <v>1274</v>
      </c>
      <c r="D168" s="5" t="s">
        <v>1123</v>
      </c>
      <c r="E168" t="s">
        <v>346</v>
      </c>
      <c r="F168" s="2">
        <v>7773</v>
      </c>
      <c r="G168" s="80">
        <v>39712435</v>
      </c>
      <c r="I168" s="80">
        <v>1401989</v>
      </c>
      <c r="J168" s="98">
        <f t="shared" si="4"/>
        <v>41114424</v>
      </c>
      <c r="L168" s="80">
        <v>27343061</v>
      </c>
      <c r="M168" s="80">
        <v>3299332</v>
      </c>
      <c r="O168" s="99">
        <f t="shared" si="5"/>
        <v>30642393</v>
      </c>
    </row>
    <row r="169" spans="1:15" ht="12.75" hidden="1" customHeight="1">
      <c r="A169" s="1">
        <v>7</v>
      </c>
      <c r="B169" s="1">
        <v>1880</v>
      </c>
      <c r="C169" s="1" t="s">
        <v>1274</v>
      </c>
      <c r="D169" s="5" t="s">
        <v>1124</v>
      </c>
      <c r="E169" t="s">
        <v>347</v>
      </c>
      <c r="F169" s="2">
        <v>1266</v>
      </c>
      <c r="G169" s="80">
        <v>10093596</v>
      </c>
      <c r="I169" s="80">
        <v>170137</v>
      </c>
      <c r="J169" s="98">
        <f t="shared" si="4"/>
        <v>10263733</v>
      </c>
      <c r="M169" s="80">
        <v>371531</v>
      </c>
      <c r="N169" s="80">
        <v>271911</v>
      </c>
      <c r="O169" s="99">
        <f t="shared" si="5"/>
        <v>643442</v>
      </c>
    </row>
    <row r="170" spans="1:15" ht="12.75" hidden="1" customHeight="1">
      <c r="A170" s="1">
        <v>7</v>
      </c>
      <c r="B170" s="1">
        <v>1890</v>
      </c>
      <c r="C170" s="1" t="s">
        <v>1274</v>
      </c>
      <c r="D170" s="5" t="s">
        <v>1125</v>
      </c>
      <c r="E170" t="s">
        <v>348</v>
      </c>
      <c r="F170" s="2">
        <v>2135</v>
      </c>
      <c r="G170" s="80">
        <v>18335228</v>
      </c>
      <c r="I170" s="80">
        <v>243700</v>
      </c>
      <c r="J170" s="98">
        <f t="shared" si="4"/>
        <v>18578928</v>
      </c>
      <c r="L170" s="80">
        <v>5065758</v>
      </c>
      <c r="M170" s="80">
        <v>820376</v>
      </c>
      <c r="O170" s="99">
        <f t="shared" si="5"/>
        <v>5886134</v>
      </c>
    </row>
    <row r="171" spans="1:15" ht="12.75" hidden="1" customHeight="1">
      <c r="A171" s="1">
        <v>7</v>
      </c>
      <c r="B171" s="1">
        <v>1900</v>
      </c>
      <c r="C171" s="1" t="s">
        <v>1274</v>
      </c>
      <c r="D171" s="5" t="s">
        <v>1126</v>
      </c>
      <c r="E171" t="s">
        <v>349</v>
      </c>
      <c r="F171" s="2">
        <v>2406</v>
      </c>
      <c r="G171" s="80">
        <v>26645049</v>
      </c>
      <c r="I171" s="80">
        <v>381701</v>
      </c>
      <c r="J171" s="98">
        <f t="shared" si="4"/>
        <v>27026750</v>
      </c>
      <c r="O171" s="99">
        <f t="shared" si="5"/>
        <v>0</v>
      </c>
    </row>
    <row r="172" spans="1:15" ht="12.75" hidden="1" customHeight="1">
      <c r="A172" s="1">
        <v>7</v>
      </c>
      <c r="B172" s="1">
        <v>2130</v>
      </c>
      <c r="C172" s="1" t="s">
        <v>1274</v>
      </c>
      <c r="D172" s="5" t="s">
        <v>1127</v>
      </c>
      <c r="E172"/>
      <c r="F172" s="2"/>
      <c r="G172" s="80">
        <v>741785</v>
      </c>
      <c r="I172" s="80">
        <v>12111</v>
      </c>
      <c r="J172" s="98">
        <f t="shared" si="4"/>
        <v>753896</v>
      </c>
      <c r="L172" s="80">
        <v>503226</v>
      </c>
      <c r="M172" s="80">
        <v>8813</v>
      </c>
      <c r="O172" s="99">
        <f t="shared" si="5"/>
        <v>512039</v>
      </c>
    </row>
    <row r="173" spans="1:15" ht="12.75" hidden="1" customHeight="1">
      <c r="A173" s="1">
        <v>7</v>
      </c>
      <c r="B173" s="1">
        <v>2540</v>
      </c>
      <c r="C173" s="1" t="s">
        <v>1274</v>
      </c>
      <c r="D173" s="5" t="s">
        <v>1128</v>
      </c>
      <c r="E173" t="s">
        <v>350</v>
      </c>
      <c r="F173" s="2">
        <v>181</v>
      </c>
      <c r="G173" s="80">
        <v>2473606</v>
      </c>
      <c r="I173" s="80">
        <v>42499</v>
      </c>
      <c r="J173" s="98">
        <f t="shared" si="4"/>
        <v>2516105</v>
      </c>
      <c r="L173" s="80">
        <v>812780</v>
      </c>
      <c r="M173" s="80">
        <v>129138</v>
      </c>
      <c r="N173" s="80">
        <v>141147</v>
      </c>
      <c r="O173" s="99">
        <f t="shared" si="5"/>
        <v>1083065</v>
      </c>
    </row>
    <row r="174" spans="1:15" ht="12.75" hidden="1" customHeight="1">
      <c r="A174" s="1">
        <v>7</v>
      </c>
      <c r="B174" s="1">
        <v>2560</v>
      </c>
      <c r="C174" s="1" t="s">
        <v>1274</v>
      </c>
      <c r="D174" s="5" t="s">
        <v>1129</v>
      </c>
      <c r="E174" t="s">
        <v>351</v>
      </c>
      <c r="F174" s="2">
        <v>304</v>
      </c>
      <c r="G174" s="80">
        <v>3561644</v>
      </c>
      <c r="I174" s="80">
        <v>62091</v>
      </c>
      <c r="J174" s="98">
        <f t="shared" si="4"/>
        <v>3623735</v>
      </c>
      <c r="L174" s="80">
        <v>1449355</v>
      </c>
      <c r="N174" s="80">
        <v>604951</v>
      </c>
      <c r="O174" s="99">
        <f t="shared" si="5"/>
        <v>2054306</v>
      </c>
    </row>
    <row r="175" spans="1:15" ht="12.75" hidden="1" customHeight="1">
      <c r="A175" s="1">
        <v>7</v>
      </c>
      <c r="B175" s="1">
        <v>2670</v>
      </c>
      <c r="C175" s="1" t="s">
        <v>1274</v>
      </c>
      <c r="D175" s="5" t="s">
        <v>1130</v>
      </c>
      <c r="E175" t="s">
        <v>352</v>
      </c>
      <c r="F175" s="2">
        <v>2876</v>
      </c>
      <c r="G175" s="80">
        <v>13587700</v>
      </c>
      <c r="I175" s="80">
        <v>188113</v>
      </c>
      <c r="J175" s="98">
        <f t="shared" si="4"/>
        <v>13775813</v>
      </c>
      <c r="L175" s="80">
        <v>9850927</v>
      </c>
      <c r="M175" s="80">
        <v>1563357</v>
      </c>
      <c r="N175" s="80">
        <v>16680</v>
      </c>
      <c r="O175" s="99">
        <f t="shared" si="5"/>
        <v>11430964</v>
      </c>
    </row>
    <row r="176" spans="1:15" ht="12.75" hidden="1" customHeight="1">
      <c r="A176" s="1">
        <v>7</v>
      </c>
      <c r="B176" s="1">
        <v>2890</v>
      </c>
      <c r="C176" s="1" t="s">
        <v>1274</v>
      </c>
      <c r="D176" s="5" t="s">
        <v>1131</v>
      </c>
      <c r="E176" t="s">
        <v>353</v>
      </c>
      <c r="F176" s="2">
        <v>460</v>
      </c>
      <c r="G176" s="80">
        <v>2953866</v>
      </c>
      <c r="I176" s="80">
        <v>2527</v>
      </c>
      <c r="J176" s="98">
        <f t="shared" si="4"/>
        <v>2956393</v>
      </c>
      <c r="L176" s="80">
        <v>1208443</v>
      </c>
      <c r="M176" s="80">
        <v>193577</v>
      </c>
      <c r="N176" s="80">
        <v>213056</v>
      </c>
      <c r="O176" s="99">
        <f t="shared" si="5"/>
        <v>1615076</v>
      </c>
    </row>
    <row r="177" spans="1:15" ht="12.75" hidden="1" customHeight="1">
      <c r="A177" s="1">
        <v>7</v>
      </c>
      <c r="B177" s="1">
        <v>3110</v>
      </c>
      <c r="C177" s="1" t="s">
        <v>1274</v>
      </c>
      <c r="D177" s="5" t="s">
        <v>1132</v>
      </c>
      <c r="E177" t="s">
        <v>354</v>
      </c>
      <c r="F177" s="2">
        <v>362</v>
      </c>
      <c r="G177" s="80">
        <v>3855209</v>
      </c>
      <c r="I177" s="80">
        <v>41193</v>
      </c>
      <c r="J177" s="98">
        <f t="shared" si="4"/>
        <v>3896402</v>
      </c>
      <c r="L177" s="80">
        <v>167707</v>
      </c>
      <c r="M177" s="80">
        <v>475674</v>
      </c>
      <c r="O177" s="99">
        <f t="shared" si="5"/>
        <v>643381</v>
      </c>
    </row>
    <row r="178" spans="1:15" ht="12.75" hidden="1" customHeight="1">
      <c r="A178" s="1">
        <v>7</v>
      </c>
      <c r="B178" s="1">
        <v>3420</v>
      </c>
      <c r="C178" s="1" t="s">
        <v>1274</v>
      </c>
      <c r="D178" s="5" t="s">
        <v>1133</v>
      </c>
      <c r="E178" t="s">
        <v>355</v>
      </c>
      <c r="F178" s="2">
        <v>452</v>
      </c>
      <c r="G178" s="80">
        <v>4160079</v>
      </c>
      <c r="I178" s="80">
        <v>47704</v>
      </c>
      <c r="J178" s="98">
        <f t="shared" si="4"/>
        <v>4207783</v>
      </c>
      <c r="L178" s="80">
        <v>2469391</v>
      </c>
      <c r="O178" s="99">
        <f t="shared" si="5"/>
        <v>2469391</v>
      </c>
    </row>
    <row r="179" spans="1:15" ht="12.75" hidden="1" customHeight="1">
      <c r="A179" s="1">
        <v>7</v>
      </c>
      <c r="B179" s="1">
        <v>3770</v>
      </c>
      <c r="C179" s="1" t="s">
        <v>1274</v>
      </c>
      <c r="D179" s="5" t="s">
        <v>1134</v>
      </c>
      <c r="E179" t="s">
        <v>356</v>
      </c>
      <c r="F179" s="2">
        <v>45</v>
      </c>
      <c r="G179" s="80">
        <v>3851946</v>
      </c>
      <c r="I179" s="80">
        <v>60031</v>
      </c>
      <c r="J179" s="98">
        <f t="shared" si="4"/>
        <v>3911977</v>
      </c>
      <c r="L179" s="80">
        <v>1395991</v>
      </c>
      <c r="M179" s="80">
        <v>62147</v>
      </c>
      <c r="N179" s="80">
        <v>136792</v>
      </c>
      <c r="O179" s="99">
        <f t="shared" si="5"/>
        <v>1594930</v>
      </c>
    </row>
    <row r="180" spans="1:15" ht="12.75" hidden="1" customHeight="1">
      <c r="A180" s="1">
        <v>7</v>
      </c>
      <c r="B180" s="1">
        <v>4060</v>
      </c>
      <c r="C180" s="1" t="s">
        <v>1274</v>
      </c>
      <c r="D180" s="5" t="s">
        <v>1135</v>
      </c>
      <c r="E180" t="s">
        <v>357</v>
      </c>
      <c r="F180" s="2">
        <v>5746</v>
      </c>
      <c r="G180" s="80">
        <v>33134647</v>
      </c>
      <c r="I180" s="80">
        <v>1141635</v>
      </c>
      <c r="J180" s="98">
        <f t="shared" si="4"/>
        <v>34276282</v>
      </c>
      <c r="L180" s="80">
        <v>20787488</v>
      </c>
      <c r="N180" s="80">
        <v>45621</v>
      </c>
      <c r="O180" s="99">
        <f t="shared" si="5"/>
        <v>20833109</v>
      </c>
    </row>
    <row r="181" spans="1:15" ht="12.75" hidden="1" customHeight="1">
      <c r="A181" s="1">
        <v>7</v>
      </c>
      <c r="B181" s="1">
        <v>4110</v>
      </c>
      <c r="C181" s="1" t="s">
        <v>1274</v>
      </c>
      <c r="D181" s="5" t="s">
        <v>1136</v>
      </c>
      <c r="E181" t="s">
        <v>358</v>
      </c>
      <c r="F181" s="2">
        <v>2215</v>
      </c>
      <c r="G181" s="80">
        <v>9066552</v>
      </c>
      <c r="I181" s="80">
        <v>137421</v>
      </c>
      <c r="J181" s="98">
        <f t="shared" si="4"/>
        <v>9203973</v>
      </c>
      <c r="L181" s="80">
        <v>8529386</v>
      </c>
      <c r="M181" s="80">
        <v>1147493</v>
      </c>
      <c r="N181" s="80">
        <v>12574</v>
      </c>
      <c r="O181" s="99">
        <f t="shared" si="5"/>
        <v>9689453</v>
      </c>
    </row>
    <row r="182" spans="1:15" ht="12.75" hidden="1" customHeight="1">
      <c r="A182" s="1">
        <v>7</v>
      </c>
      <c r="B182" s="1">
        <v>4590</v>
      </c>
      <c r="C182" s="1" t="s">
        <v>1274</v>
      </c>
      <c r="D182" s="5" t="s">
        <v>1137</v>
      </c>
      <c r="E182" t="s">
        <v>359</v>
      </c>
      <c r="F182" s="2">
        <v>783</v>
      </c>
      <c r="G182" s="80">
        <v>5980814</v>
      </c>
      <c r="I182" s="80">
        <v>89772</v>
      </c>
      <c r="J182" s="98">
        <f t="shared" si="4"/>
        <v>6070586</v>
      </c>
      <c r="L182" s="80">
        <v>2291391</v>
      </c>
      <c r="M182" s="80">
        <v>294186</v>
      </c>
      <c r="O182" s="99">
        <f t="shared" si="5"/>
        <v>2585577</v>
      </c>
    </row>
    <row r="183" spans="1:15" ht="12.75" hidden="1" customHeight="1">
      <c r="A183" s="1">
        <v>7</v>
      </c>
      <c r="B183" s="1">
        <v>4790</v>
      </c>
      <c r="C183" s="1" t="s">
        <v>1274</v>
      </c>
      <c r="D183" s="5" t="s">
        <v>1138</v>
      </c>
      <c r="E183" t="s">
        <v>360</v>
      </c>
      <c r="F183" s="2">
        <v>468</v>
      </c>
      <c r="G183" s="80">
        <v>3176056</v>
      </c>
      <c r="I183" s="80">
        <v>36012</v>
      </c>
      <c r="J183" s="98">
        <f t="shared" si="4"/>
        <v>3212068</v>
      </c>
      <c r="L183" s="80">
        <v>1417064</v>
      </c>
      <c r="O183" s="99">
        <f t="shared" si="5"/>
        <v>1417064</v>
      </c>
    </row>
    <row r="184" spans="1:15" ht="12.75" hidden="1" customHeight="1">
      <c r="A184" s="1">
        <v>7</v>
      </c>
      <c r="B184" s="1">
        <v>5035</v>
      </c>
      <c r="C184" s="1" t="s">
        <v>1274</v>
      </c>
      <c r="D184" s="5" t="s">
        <v>1139</v>
      </c>
      <c r="E184" t="s">
        <v>361</v>
      </c>
      <c r="F184" s="2">
        <v>973</v>
      </c>
      <c r="G184" s="80">
        <v>7035610</v>
      </c>
      <c r="I184" s="80">
        <v>52279</v>
      </c>
      <c r="J184" s="98">
        <f t="shared" si="4"/>
        <v>7087889</v>
      </c>
      <c r="L184" s="80">
        <v>3297645</v>
      </c>
      <c r="M184" s="80">
        <v>366237</v>
      </c>
      <c r="N184" s="80">
        <v>100000</v>
      </c>
      <c r="O184" s="99">
        <f t="shared" si="5"/>
        <v>3763882</v>
      </c>
    </row>
    <row r="185" spans="1:15" ht="12.75" hidden="1" customHeight="1">
      <c r="A185" s="1">
        <v>7</v>
      </c>
      <c r="B185" s="1">
        <v>5080</v>
      </c>
      <c r="C185" s="1" t="s">
        <v>1274</v>
      </c>
      <c r="D185" s="5" t="s">
        <v>1140</v>
      </c>
      <c r="E185" t="s">
        <v>362</v>
      </c>
      <c r="F185" s="2">
        <v>851</v>
      </c>
      <c r="G185" s="80">
        <v>5327650</v>
      </c>
      <c r="I185" s="80">
        <v>59455</v>
      </c>
      <c r="J185" s="98">
        <f t="shared" si="4"/>
        <v>5387105</v>
      </c>
      <c r="L185" s="80">
        <v>2630076</v>
      </c>
      <c r="M185" s="80">
        <v>20084</v>
      </c>
      <c r="O185" s="99">
        <f t="shared" si="5"/>
        <v>2650160</v>
      </c>
    </row>
    <row r="186" spans="1:15" ht="12.75" hidden="1" customHeight="1">
      <c r="A186" s="1">
        <v>7</v>
      </c>
      <c r="B186" s="1">
        <v>5400</v>
      </c>
      <c r="C186" s="1" t="s">
        <v>1274</v>
      </c>
      <c r="D186" s="5" t="s">
        <v>1142</v>
      </c>
      <c r="E186" t="s">
        <v>363</v>
      </c>
      <c r="F186" s="2">
        <v>3386</v>
      </c>
      <c r="G186" s="80">
        <v>35490300</v>
      </c>
      <c r="I186" s="80">
        <v>560635</v>
      </c>
      <c r="J186" s="98">
        <f t="shared" si="4"/>
        <v>36050935</v>
      </c>
      <c r="L186" s="80">
        <v>895971</v>
      </c>
      <c r="N186" s="80">
        <v>1831143</v>
      </c>
      <c r="O186" s="99">
        <f t="shared" si="5"/>
        <v>2727114</v>
      </c>
    </row>
    <row r="187" spans="1:15" ht="12.75" hidden="1" customHeight="1">
      <c r="A187" s="1">
        <v>7</v>
      </c>
      <c r="B187" s="1">
        <v>5560</v>
      </c>
      <c r="C187" s="1" t="s">
        <v>1274</v>
      </c>
      <c r="D187" s="5" t="s">
        <v>1143</v>
      </c>
      <c r="E187" t="s">
        <v>364</v>
      </c>
      <c r="F187" s="2">
        <v>921</v>
      </c>
      <c r="G187" s="80">
        <v>10257696</v>
      </c>
      <c r="I187" s="80">
        <v>833043</v>
      </c>
      <c r="J187" s="98">
        <f t="shared" si="4"/>
        <v>11090739</v>
      </c>
      <c r="L187" s="80">
        <v>5155428</v>
      </c>
      <c r="M187" s="80">
        <v>286304</v>
      </c>
      <c r="N187" s="80">
        <v>1459767</v>
      </c>
      <c r="O187" s="99">
        <f t="shared" si="5"/>
        <v>6901499</v>
      </c>
    </row>
    <row r="188" spans="1:15" ht="12.75" hidden="1" customHeight="1">
      <c r="A188" s="1">
        <v>7</v>
      </c>
      <c r="B188" s="1">
        <v>5820</v>
      </c>
      <c r="C188" s="1" t="s">
        <v>1274</v>
      </c>
      <c r="D188" s="5" t="s">
        <v>1144</v>
      </c>
      <c r="E188" t="s">
        <v>365</v>
      </c>
      <c r="F188" s="2">
        <v>6278</v>
      </c>
      <c r="G188" s="80">
        <v>35994372</v>
      </c>
      <c r="I188" s="80">
        <v>458070</v>
      </c>
      <c r="J188" s="98">
        <f t="shared" si="4"/>
        <v>36452442</v>
      </c>
      <c r="L188" s="80">
        <v>25520411</v>
      </c>
      <c r="N188" s="80">
        <v>44211</v>
      </c>
      <c r="O188" s="99">
        <f t="shared" si="5"/>
        <v>25564622</v>
      </c>
    </row>
    <row r="189" spans="1:15" ht="12.75" hidden="1" customHeight="1">
      <c r="A189" s="1">
        <v>7</v>
      </c>
      <c r="B189" s="1">
        <v>5900</v>
      </c>
      <c r="C189" s="1" t="s">
        <v>1274</v>
      </c>
      <c r="D189" s="5" t="s">
        <v>1145</v>
      </c>
      <c r="E189" t="s">
        <v>366</v>
      </c>
      <c r="F189" s="2">
        <v>467</v>
      </c>
      <c r="G189" s="80">
        <v>1685318</v>
      </c>
      <c r="I189" s="80">
        <v>58058</v>
      </c>
      <c r="J189" s="98">
        <f t="shared" si="4"/>
        <v>1743376</v>
      </c>
      <c r="L189" s="80">
        <v>3101529</v>
      </c>
      <c r="M189" s="80">
        <v>122626</v>
      </c>
      <c r="N189" s="80">
        <v>96901</v>
      </c>
      <c r="O189" s="99">
        <f t="shared" si="5"/>
        <v>3321056</v>
      </c>
    </row>
    <row r="190" spans="1:15" ht="12.75" hidden="1" customHeight="1">
      <c r="A190" s="1">
        <v>9</v>
      </c>
      <c r="B190" s="1">
        <v>170</v>
      </c>
      <c r="C190" s="1" t="s">
        <v>1146</v>
      </c>
      <c r="D190" s="5" t="s">
        <v>1147</v>
      </c>
      <c r="E190" t="s">
        <v>367</v>
      </c>
      <c r="F190" s="2">
        <v>88</v>
      </c>
      <c r="G190" s="80">
        <v>2944489</v>
      </c>
      <c r="I190" s="80">
        <v>34239</v>
      </c>
      <c r="J190" s="98">
        <f t="shared" si="4"/>
        <v>2978728</v>
      </c>
      <c r="N190" s="80">
        <v>20578</v>
      </c>
      <c r="O190" s="99">
        <f t="shared" si="5"/>
        <v>20578</v>
      </c>
    </row>
    <row r="191" spans="1:15" ht="12.75" hidden="1" customHeight="1">
      <c r="A191" s="1">
        <v>9</v>
      </c>
      <c r="B191" s="1">
        <v>710</v>
      </c>
      <c r="C191" s="1" t="s">
        <v>1146</v>
      </c>
      <c r="D191" s="5" t="s">
        <v>1148</v>
      </c>
      <c r="E191" t="s">
        <v>368</v>
      </c>
      <c r="F191" s="2">
        <v>167</v>
      </c>
      <c r="G191" s="80">
        <v>1338359</v>
      </c>
      <c r="I191" s="80">
        <v>53133</v>
      </c>
      <c r="J191" s="98">
        <f t="shared" si="4"/>
        <v>1391492</v>
      </c>
      <c r="N191" s="80">
        <v>61002</v>
      </c>
      <c r="O191" s="99">
        <f t="shared" si="5"/>
        <v>61002</v>
      </c>
    </row>
    <row r="192" spans="1:15" ht="12.75" hidden="1" customHeight="1">
      <c r="A192" s="1">
        <v>9</v>
      </c>
      <c r="B192" s="1">
        <v>715</v>
      </c>
      <c r="C192" s="1" t="s">
        <v>1146</v>
      </c>
      <c r="D192" s="5" t="s">
        <v>1149</v>
      </c>
      <c r="E192" t="s">
        <v>369</v>
      </c>
      <c r="F192" s="2">
        <v>361</v>
      </c>
      <c r="H192" s="80">
        <v>3499957</v>
      </c>
      <c r="I192" s="80">
        <v>164712</v>
      </c>
      <c r="J192" s="98">
        <f t="shared" si="4"/>
        <v>3664669</v>
      </c>
      <c r="O192" s="99">
        <f t="shared" si="5"/>
        <v>0</v>
      </c>
    </row>
    <row r="193" spans="1:15" ht="12.75" hidden="1" customHeight="1">
      <c r="A193" s="1">
        <v>9</v>
      </c>
      <c r="B193" s="1">
        <v>720</v>
      </c>
      <c r="C193" s="1" t="s">
        <v>1146</v>
      </c>
      <c r="D193" s="5" t="s">
        <v>1150</v>
      </c>
      <c r="E193" t="s">
        <v>370</v>
      </c>
      <c r="F193" s="2">
        <v>574</v>
      </c>
      <c r="H193" s="80">
        <v>5281804</v>
      </c>
      <c r="I193" s="80">
        <v>179621</v>
      </c>
      <c r="J193" s="98">
        <f t="shared" si="4"/>
        <v>5461425</v>
      </c>
      <c r="N193" s="80">
        <v>17406</v>
      </c>
      <c r="O193" s="99">
        <f t="shared" si="5"/>
        <v>17406</v>
      </c>
    </row>
    <row r="194" spans="1:15" ht="12.75" hidden="1" customHeight="1">
      <c r="A194" s="1">
        <v>9</v>
      </c>
      <c r="B194" s="1">
        <v>730</v>
      </c>
      <c r="C194" s="1" t="s">
        <v>1146</v>
      </c>
      <c r="D194" s="5" t="s">
        <v>1151</v>
      </c>
      <c r="E194"/>
      <c r="F194" s="2"/>
      <c r="G194" s="80">
        <v>73541</v>
      </c>
      <c r="I194" s="80">
        <v>1620</v>
      </c>
      <c r="J194" s="98">
        <f t="shared" si="4"/>
        <v>75161</v>
      </c>
      <c r="N194" s="80">
        <v>12852</v>
      </c>
      <c r="O194" s="99">
        <f t="shared" si="5"/>
        <v>12852</v>
      </c>
    </row>
    <row r="195" spans="1:15" ht="12.75" hidden="1" customHeight="1">
      <c r="A195" s="1">
        <v>9</v>
      </c>
      <c r="B195" s="1">
        <v>1080</v>
      </c>
      <c r="C195" s="1" t="s">
        <v>1146</v>
      </c>
      <c r="D195" s="5" t="s">
        <v>1152</v>
      </c>
      <c r="E195" t="s">
        <v>371</v>
      </c>
      <c r="F195" s="2">
        <v>716</v>
      </c>
      <c r="G195" s="80">
        <v>6988971</v>
      </c>
      <c r="I195" s="80">
        <v>124283</v>
      </c>
      <c r="J195" s="98">
        <f t="shared" si="4"/>
        <v>7113254</v>
      </c>
      <c r="L195" s="80">
        <v>3892210</v>
      </c>
      <c r="N195" s="80">
        <v>551953</v>
      </c>
      <c r="O195" s="99">
        <f t="shared" si="5"/>
        <v>4444163</v>
      </c>
    </row>
    <row r="196" spans="1:15" ht="12.75" hidden="1" customHeight="1">
      <c r="A196" s="1">
        <v>9</v>
      </c>
      <c r="B196" s="1">
        <v>2820</v>
      </c>
      <c r="C196" s="1" t="s">
        <v>1146</v>
      </c>
      <c r="D196" s="5" t="s">
        <v>1153</v>
      </c>
      <c r="E196" t="s">
        <v>372</v>
      </c>
      <c r="F196" s="2">
        <v>1761.5</v>
      </c>
      <c r="G196" s="80">
        <v>15107882</v>
      </c>
      <c r="I196" s="80">
        <v>256021</v>
      </c>
      <c r="J196" s="98">
        <f t="shared" si="4"/>
        <v>15363903</v>
      </c>
      <c r="L196" s="80">
        <v>3107196</v>
      </c>
      <c r="N196" s="80">
        <v>1658203</v>
      </c>
      <c r="O196" s="99">
        <f t="shared" si="5"/>
        <v>4765399</v>
      </c>
    </row>
    <row r="197" spans="1:15" ht="12.75" hidden="1" customHeight="1">
      <c r="A197" s="1">
        <v>9</v>
      </c>
      <c r="B197" s="1">
        <v>2840</v>
      </c>
      <c r="C197" s="1" t="s">
        <v>1146</v>
      </c>
      <c r="D197" s="5" t="s">
        <v>1154</v>
      </c>
      <c r="E197" t="s">
        <v>373</v>
      </c>
      <c r="F197" s="2">
        <v>1888</v>
      </c>
      <c r="G197" s="80">
        <v>13606146</v>
      </c>
      <c r="I197" s="80">
        <v>292106</v>
      </c>
      <c r="J197" s="98">
        <f t="shared" ref="J197:J260" si="6">SUM(G197:I197)</f>
        <v>13898252</v>
      </c>
      <c r="L197" s="80">
        <v>4344503</v>
      </c>
      <c r="O197" s="99">
        <f t="shared" ref="O197:O260" si="7">SUM(L197:N197)</f>
        <v>4344503</v>
      </c>
    </row>
    <row r="198" spans="1:15" ht="12.75" hidden="1" customHeight="1">
      <c r="A198" s="1">
        <v>9</v>
      </c>
      <c r="B198" s="1">
        <v>3130</v>
      </c>
      <c r="C198" s="1" t="s">
        <v>1146</v>
      </c>
      <c r="D198" s="5" t="s">
        <v>1155</v>
      </c>
      <c r="E198" t="s">
        <v>374</v>
      </c>
      <c r="F198" s="2">
        <v>2876</v>
      </c>
      <c r="G198" s="80">
        <v>19431395</v>
      </c>
      <c r="I198" s="80">
        <v>319492</v>
      </c>
      <c r="J198" s="98">
        <f t="shared" si="6"/>
        <v>19750887</v>
      </c>
      <c r="L198" s="80">
        <v>7101953</v>
      </c>
      <c r="O198" s="99">
        <f t="shared" si="7"/>
        <v>7101953</v>
      </c>
    </row>
    <row r="199" spans="1:15" ht="12.75" hidden="1" customHeight="1">
      <c r="A199" s="1">
        <v>9</v>
      </c>
      <c r="B199" s="1">
        <v>3680</v>
      </c>
      <c r="C199" s="1" t="s">
        <v>1146</v>
      </c>
      <c r="D199" s="5" t="s">
        <v>1156</v>
      </c>
      <c r="E199" t="s">
        <v>375</v>
      </c>
      <c r="F199" s="2">
        <v>315.5</v>
      </c>
      <c r="G199" s="80">
        <v>5817655</v>
      </c>
      <c r="I199" s="80">
        <v>105613</v>
      </c>
      <c r="J199" s="98">
        <f t="shared" si="6"/>
        <v>5923268</v>
      </c>
      <c r="N199" s="80">
        <v>83057</v>
      </c>
      <c r="O199" s="99">
        <f t="shared" si="7"/>
        <v>83057</v>
      </c>
    </row>
    <row r="200" spans="1:15" ht="12.75" hidden="1" customHeight="1">
      <c r="A200" s="1">
        <v>9</v>
      </c>
      <c r="B200" s="1">
        <v>3780</v>
      </c>
      <c r="C200" s="1" t="s">
        <v>1146</v>
      </c>
      <c r="D200" s="5" t="s">
        <v>1157</v>
      </c>
      <c r="E200" t="s">
        <v>376</v>
      </c>
      <c r="F200" s="2">
        <v>2113.5</v>
      </c>
      <c r="G200" s="80">
        <v>18451332</v>
      </c>
      <c r="I200" s="80">
        <v>431847</v>
      </c>
      <c r="J200" s="98">
        <f t="shared" si="6"/>
        <v>18883179</v>
      </c>
      <c r="N200" s="80">
        <v>395731</v>
      </c>
      <c r="O200" s="99">
        <f t="shared" si="7"/>
        <v>395731</v>
      </c>
    </row>
    <row r="201" spans="1:15" ht="12.75" hidden="1" customHeight="1">
      <c r="A201" s="1">
        <v>9</v>
      </c>
      <c r="B201" s="1">
        <v>4700</v>
      </c>
      <c r="C201" s="1" t="s">
        <v>1146</v>
      </c>
      <c r="D201" s="5" t="s">
        <v>1158</v>
      </c>
      <c r="E201" t="s">
        <v>377</v>
      </c>
      <c r="F201" s="2">
        <v>93</v>
      </c>
      <c r="G201" s="80">
        <v>3257606</v>
      </c>
      <c r="I201" s="80">
        <v>39835</v>
      </c>
      <c r="J201" s="98">
        <f t="shared" si="6"/>
        <v>3297441</v>
      </c>
      <c r="N201" s="80">
        <v>156847</v>
      </c>
      <c r="O201" s="99">
        <f t="shared" si="7"/>
        <v>156847</v>
      </c>
    </row>
    <row r="202" spans="1:15" ht="12.75" hidden="1" customHeight="1">
      <c r="A202" s="1">
        <v>9</v>
      </c>
      <c r="B202" s="1">
        <v>5060</v>
      </c>
      <c r="C202" s="1" t="s">
        <v>1146</v>
      </c>
      <c r="D202" s="5" t="s">
        <v>1159</v>
      </c>
      <c r="E202" t="s">
        <v>378</v>
      </c>
      <c r="F202" s="2">
        <v>96</v>
      </c>
      <c r="G202" s="80">
        <v>1880724</v>
      </c>
      <c r="I202" s="80">
        <v>29584</v>
      </c>
      <c r="J202" s="98">
        <f t="shared" si="6"/>
        <v>1910308</v>
      </c>
      <c r="O202" s="99">
        <f t="shared" si="7"/>
        <v>0</v>
      </c>
    </row>
    <row r="203" spans="1:15" ht="12.75" hidden="1" customHeight="1">
      <c r="A203" s="1">
        <v>9</v>
      </c>
      <c r="B203" s="1">
        <v>5340</v>
      </c>
      <c r="C203" s="1" t="s">
        <v>1146</v>
      </c>
      <c r="D203" s="5" t="s">
        <v>1160</v>
      </c>
      <c r="E203" t="s">
        <v>379</v>
      </c>
      <c r="F203" s="2">
        <v>1579.5</v>
      </c>
      <c r="G203" s="80">
        <v>19667131</v>
      </c>
      <c r="I203" s="80">
        <v>378820</v>
      </c>
      <c r="J203" s="98">
        <f t="shared" si="6"/>
        <v>20045951</v>
      </c>
      <c r="L203" s="80">
        <v>6813489</v>
      </c>
      <c r="O203" s="99">
        <f t="shared" si="7"/>
        <v>6813489</v>
      </c>
    </row>
    <row r="204" spans="1:15" ht="12.75" hidden="1" customHeight="1">
      <c r="A204" s="1">
        <v>9</v>
      </c>
      <c r="B204" s="1">
        <v>5610</v>
      </c>
      <c r="C204" s="1" t="s">
        <v>1146</v>
      </c>
      <c r="D204" s="5" t="s">
        <v>1164</v>
      </c>
      <c r="E204" t="s">
        <v>380</v>
      </c>
      <c r="F204" s="2">
        <v>49</v>
      </c>
      <c r="G204" s="80">
        <v>786505</v>
      </c>
      <c r="I204" s="80">
        <v>6681</v>
      </c>
      <c r="J204" s="98">
        <f t="shared" si="6"/>
        <v>793186</v>
      </c>
      <c r="N204" s="80">
        <v>128246</v>
      </c>
      <c r="O204" s="99">
        <f t="shared" si="7"/>
        <v>128246</v>
      </c>
    </row>
    <row r="205" spans="1:15" ht="12.75" hidden="1" customHeight="1">
      <c r="A205" s="1">
        <v>9</v>
      </c>
      <c r="B205" s="1">
        <v>5700</v>
      </c>
      <c r="C205" s="1" t="s">
        <v>1146</v>
      </c>
      <c r="D205" s="5" t="s">
        <v>1165</v>
      </c>
      <c r="E205"/>
      <c r="F205" s="2"/>
      <c r="G205" s="80">
        <v>1083804</v>
      </c>
      <c r="I205" s="80">
        <v>291</v>
      </c>
      <c r="J205" s="98">
        <f t="shared" si="6"/>
        <v>1084095</v>
      </c>
      <c r="O205" s="99">
        <f t="shared" si="7"/>
        <v>0</v>
      </c>
    </row>
    <row r="206" spans="1:15" ht="12.75" hidden="1" customHeight="1">
      <c r="A206" s="1">
        <v>9</v>
      </c>
      <c r="B206" s="1">
        <v>5790</v>
      </c>
      <c r="C206" s="1" t="s">
        <v>1146</v>
      </c>
      <c r="D206" s="5" t="s">
        <v>1166</v>
      </c>
      <c r="E206" t="s">
        <v>381</v>
      </c>
      <c r="F206" s="2">
        <v>794</v>
      </c>
      <c r="G206" s="80">
        <v>9256098</v>
      </c>
      <c r="I206" s="80">
        <v>138388</v>
      </c>
      <c r="J206" s="98">
        <f t="shared" si="6"/>
        <v>9394486</v>
      </c>
      <c r="L206" s="80">
        <v>1275561</v>
      </c>
      <c r="N206" s="80">
        <v>1998803</v>
      </c>
      <c r="O206" s="99">
        <f t="shared" si="7"/>
        <v>3274364</v>
      </c>
    </row>
    <row r="207" spans="1:15" ht="12.75" hidden="1" customHeight="1">
      <c r="A207" s="1">
        <v>9</v>
      </c>
      <c r="B207" s="1">
        <v>5800</v>
      </c>
      <c r="C207" s="1" t="s">
        <v>1146</v>
      </c>
      <c r="D207" s="5" t="s">
        <v>1167</v>
      </c>
      <c r="E207" t="s">
        <v>382</v>
      </c>
      <c r="F207" s="2">
        <v>274</v>
      </c>
      <c r="G207" s="80">
        <v>5042115</v>
      </c>
      <c r="I207" s="80">
        <v>23179</v>
      </c>
      <c r="J207" s="98">
        <f t="shared" si="6"/>
        <v>5065294</v>
      </c>
      <c r="N207" s="80">
        <v>88140</v>
      </c>
      <c r="O207" s="99">
        <f t="shared" si="7"/>
        <v>88140</v>
      </c>
    </row>
    <row r="208" spans="1:15" ht="12.75" hidden="1" customHeight="1">
      <c r="A208" s="1">
        <v>9</v>
      </c>
      <c r="B208" s="1">
        <v>5840</v>
      </c>
      <c r="C208" s="1" t="s">
        <v>1146</v>
      </c>
      <c r="D208" s="5" t="s">
        <v>1168</v>
      </c>
      <c r="E208" t="s">
        <v>383</v>
      </c>
      <c r="F208" s="2">
        <v>236</v>
      </c>
      <c r="G208" s="80">
        <v>1018600</v>
      </c>
      <c r="I208" s="80">
        <v>11410</v>
      </c>
      <c r="J208" s="98">
        <f t="shared" si="6"/>
        <v>1030010</v>
      </c>
      <c r="L208" s="80">
        <v>1049362</v>
      </c>
      <c r="M208" s="80">
        <v>453828</v>
      </c>
      <c r="N208" s="80">
        <v>474232</v>
      </c>
      <c r="O208" s="99">
        <f t="shared" si="7"/>
        <v>1977422</v>
      </c>
    </row>
    <row r="209" spans="1:15" ht="12.75" hidden="1" customHeight="1">
      <c r="A209" s="1">
        <v>11</v>
      </c>
      <c r="B209" s="1">
        <v>540</v>
      </c>
      <c r="C209" s="1" t="s">
        <v>1169</v>
      </c>
      <c r="D209" s="5" t="s">
        <v>1170</v>
      </c>
      <c r="E209" t="s">
        <v>384</v>
      </c>
      <c r="F209" s="2">
        <v>4577</v>
      </c>
      <c r="G209" s="80">
        <v>3233408</v>
      </c>
      <c r="I209" s="80">
        <v>557995</v>
      </c>
      <c r="J209" s="98">
        <f t="shared" si="6"/>
        <v>3791403</v>
      </c>
      <c r="L209" s="80">
        <v>25374680</v>
      </c>
      <c r="M209" s="80">
        <v>2310560</v>
      </c>
      <c r="O209" s="99">
        <f t="shared" si="7"/>
        <v>27685240</v>
      </c>
    </row>
    <row r="210" spans="1:15" ht="12.75" hidden="1" customHeight="1">
      <c r="A210" s="1">
        <v>11</v>
      </c>
      <c r="B210" s="1">
        <v>950</v>
      </c>
      <c r="C210" s="1" t="s">
        <v>1169</v>
      </c>
      <c r="D210" s="5" t="s">
        <v>1171</v>
      </c>
      <c r="E210" t="s">
        <v>385</v>
      </c>
      <c r="F210" s="2">
        <v>717</v>
      </c>
      <c r="G210" s="80">
        <v>1560450</v>
      </c>
      <c r="I210" s="80">
        <v>317861</v>
      </c>
      <c r="J210" s="98">
        <f t="shared" si="6"/>
        <v>1878311</v>
      </c>
      <c r="L210" s="80">
        <v>5204401</v>
      </c>
      <c r="M210" s="80">
        <v>436994</v>
      </c>
      <c r="O210" s="99">
        <f t="shared" si="7"/>
        <v>5641395</v>
      </c>
    </row>
    <row r="211" spans="1:15" ht="12.75" hidden="1" customHeight="1">
      <c r="A211" s="1">
        <v>11</v>
      </c>
      <c r="B211" s="1">
        <v>995</v>
      </c>
      <c r="C211" s="1" t="s">
        <v>1169</v>
      </c>
      <c r="D211" s="5" t="s">
        <v>1172</v>
      </c>
      <c r="E211" t="s">
        <v>386</v>
      </c>
      <c r="F211" s="2">
        <v>494.5</v>
      </c>
      <c r="H211" s="80">
        <v>1782635</v>
      </c>
      <c r="I211" s="80">
        <v>38693</v>
      </c>
      <c r="J211" s="98">
        <f t="shared" si="6"/>
        <v>1821328</v>
      </c>
      <c r="L211" s="80">
        <v>1184023</v>
      </c>
      <c r="N211" s="80">
        <v>745794</v>
      </c>
      <c r="O211" s="99">
        <f t="shared" si="7"/>
        <v>1929817</v>
      </c>
    </row>
    <row r="212" spans="1:15" ht="12.75" hidden="1" customHeight="1">
      <c r="A212" s="1">
        <v>11</v>
      </c>
      <c r="B212" s="1">
        <v>997</v>
      </c>
      <c r="C212" s="1" t="s">
        <v>1169</v>
      </c>
      <c r="D212" s="5" t="s">
        <v>1173</v>
      </c>
      <c r="E212" t="s">
        <v>387</v>
      </c>
      <c r="F212" s="2">
        <v>1384.5</v>
      </c>
      <c r="G212" s="80">
        <v>7686422</v>
      </c>
      <c r="I212" s="80">
        <v>116017</v>
      </c>
      <c r="J212" s="98">
        <f t="shared" si="6"/>
        <v>7802439</v>
      </c>
      <c r="L212" s="80">
        <v>6015130</v>
      </c>
      <c r="N212" s="80">
        <v>293475</v>
      </c>
      <c r="O212" s="99">
        <f t="shared" si="7"/>
        <v>6308605</v>
      </c>
    </row>
    <row r="213" spans="1:15" ht="12.75" hidden="1" customHeight="1">
      <c r="A213" s="1">
        <v>11</v>
      </c>
      <c r="B213" s="1">
        <v>1020</v>
      </c>
      <c r="C213" s="1" t="s">
        <v>1169</v>
      </c>
      <c r="D213" s="5" t="s">
        <v>1174</v>
      </c>
      <c r="E213" t="s">
        <v>388</v>
      </c>
      <c r="F213" s="2">
        <v>373</v>
      </c>
      <c r="G213" s="80">
        <v>1933690</v>
      </c>
      <c r="I213" s="80">
        <v>46978</v>
      </c>
      <c r="J213" s="98">
        <f t="shared" si="6"/>
        <v>1980668</v>
      </c>
      <c r="L213" s="80">
        <v>1335391</v>
      </c>
      <c r="N213" s="80">
        <v>56084</v>
      </c>
      <c r="O213" s="99">
        <f t="shared" si="7"/>
        <v>1391475</v>
      </c>
    </row>
    <row r="214" spans="1:15" ht="12.75" hidden="1" customHeight="1">
      <c r="A214" s="1">
        <v>11</v>
      </c>
      <c r="B214" s="1">
        <v>1120</v>
      </c>
      <c r="C214" s="1" t="s">
        <v>1169</v>
      </c>
      <c r="D214" s="5" t="s">
        <v>1175</v>
      </c>
      <c r="E214" t="s">
        <v>389</v>
      </c>
      <c r="F214" s="2">
        <v>194</v>
      </c>
      <c r="G214" s="80">
        <v>1227280</v>
      </c>
      <c r="I214" s="80">
        <v>74180</v>
      </c>
      <c r="J214" s="98">
        <f t="shared" si="6"/>
        <v>1301460</v>
      </c>
      <c r="L214" s="80">
        <v>927841</v>
      </c>
      <c r="N214" s="80">
        <v>226812</v>
      </c>
      <c r="O214" s="99">
        <f t="shared" si="7"/>
        <v>1154653</v>
      </c>
    </row>
    <row r="215" spans="1:15" ht="12.75" hidden="1" customHeight="1">
      <c r="A215" s="1">
        <v>11</v>
      </c>
      <c r="B215" s="1">
        <v>1460</v>
      </c>
      <c r="C215" s="1" t="s">
        <v>1169</v>
      </c>
      <c r="D215" s="5" t="s">
        <v>1176</v>
      </c>
      <c r="E215" t="s">
        <v>390</v>
      </c>
      <c r="F215" s="2">
        <v>566</v>
      </c>
      <c r="G215" s="80">
        <v>584786</v>
      </c>
      <c r="I215" s="80">
        <v>19794</v>
      </c>
      <c r="J215" s="98">
        <f t="shared" si="6"/>
        <v>604580</v>
      </c>
      <c r="L215" s="80">
        <v>2557544</v>
      </c>
      <c r="M215" s="80">
        <v>334465</v>
      </c>
      <c r="N215" s="80">
        <v>934846</v>
      </c>
      <c r="O215" s="99">
        <f t="shared" si="7"/>
        <v>3826855</v>
      </c>
    </row>
    <row r="216" spans="1:15" ht="12.75" hidden="1" customHeight="1">
      <c r="A216" s="1">
        <v>11</v>
      </c>
      <c r="B216" s="1">
        <v>1820</v>
      </c>
      <c r="C216" s="1" t="s">
        <v>1169</v>
      </c>
      <c r="D216" s="5" t="s">
        <v>1177</v>
      </c>
      <c r="E216" t="s">
        <v>391</v>
      </c>
      <c r="F216" s="2">
        <v>78</v>
      </c>
      <c r="G216" s="80">
        <v>745271</v>
      </c>
      <c r="I216" s="80">
        <v>2193</v>
      </c>
      <c r="J216" s="98">
        <f t="shared" si="6"/>
        <v>747464</v>
      </c>
      <c r="L216" s="80">
        <v>234687</v>
      </c>
      <c r="O216" s="99">
        <f t="shared" si="7"/>
        <v>234687</v>
      </c>
    </row>
    <row r="217" spans="1:15" ht="12.75" hidden="1" customHeight="1">
      <c r="A217" s="1">
        <v>11</v>
      </c>
      <c r="B217" s="1">
        <v>2270</v>
      </c>
      <c r="C217" s="1" t="s">
        <v>1169</v>
      </c>
      <c r="D217" s="5" t="s">
        <v>1178</v>
      </c>
      <c r="E217" t="s">
        <v>392</v>
      </c>
      <c r="F217" s="2">
        <v>540</v>
      </c>
      <c r="G217" s="80">
        <v>2657265</v>
      </c>
      <c r="I217" s="80">
        <v>60873</v>
      </c>
      <c r="J217" s="98">
        <f t="shared" si="6"/>
        <v>2718138</v>
      </c>
      <c r="L217" s="80">
        <v>2123774</v>
      </c>
      <c r="O217" s="99">
        <f t="shared" si="7"/>
        <v>2123774</v>
      </c>
    </row>
    <row r="218" spans="1:15" ht="12.75" hidden="1" customHeight="1">
      <c r="A218" s="1">
        <v>11</v>
      </c>
      <c r="B218" s="1">
        <v>2570</v>
      </c>
      <c r="C218" s="1" t="s">
        <v>1169</v>
      </c>
      <c r="D218" s="5" t="s">
        <v>1179</v>
      </c>
      <c r="E218" t="s">
        <v>393</v>
      </c>
      <c r="F218" s="2">
        <v>474</v>
      </c>
      <c r="G218" s="80">
        <v>1769532</v>
      </c>
      <c r="I218" s="80">
        <v>135401</v>
      </c>
      <c r="J218" s="98">
        <f t="shared" si="6"/>
        <v>1904933</v>
      </c>
      <c r="L218" s="80">
        <v>2661595</v>
      </c>
      <c r="M218" s="80">
        <v>30886</v>
      </c>
      <c r="N218" s="80">
        <v>270357</v>
      </c>
      <c r="O218" s="99">
        <f t="shared" si="7"/>
        <v>2962838</v>
      </c>
    </row>
    <row r="219" spans="1:15" ht="12.75" hidden="1" customHeight="1">
      <c r="A219" s="1">
        <v>11</v>
      </c>
      <c r="B219" s="1">
        <v>3050</v>
      </c>
      <c r="C219" s="1" t="s">
        <v>1169</v>
      </c>
      <c r="D219" s="5" t="s">
        <v>1180</v>
      </c>
      <c r="E219" t="s">
        <v>286</v>
      </c>
      <c r="F219" s="2">
        <v>390</v>
      </c>
      <c r="G219" s="80">
        <v>2389168</v>
      </c>
      <c r="I219" s="80">
        <v>96118</v>
      </c>
      <c r="J219" s="98">
        <f t="shared" si="6"/>
        <v>2485286</v>
      </c>
      <c r="L219" s="80">
        <v>2832789</v>
      </c>
      <c r="N219" s="80">
        <v>53694</v>
      </c>
      <c r="O219" s="99">
        <f t="shared" si="7"/>
        <v>2886483</v>
      </c>
    </row>
    <row r="220" spans="1:15" ht="12.75" hidden="1" customHeight="1">
      <c r="A220" s="1">
        <v>11</v>
      </c>
      <c r="B220" s="1">
        <v>3230</v>
      </c>
      <c r="C220" s="1" t="s">
        <v>1169</v>
      </c>
      <c r="D220" s="5" t="s">
        <v>1181</v>
      </c>
      <c r="E220" t="s">
        <v>287</v>
      </c>
      <c r="F220" s="2">
        <v>6399.5</v>
      </c>
      <c r="G220" s="80">
        <v>8405643</v>
      </c>
      <c r="I220" s="80">
        <v>1265972</v>
      </c>
      <c r="J220" s="98">
        <f t="shared" si="6"/>
        <v>9671615</v>
      </c>
      <c r="L220" s="80">
        <v>24334844</v>
      </c>
      <c r="M220" s="80">
        <v>2791301</v>
      </c>
      <c r="N220" s="80">
        <v>1051587</v>
      </c>
      <c r="O220" s="99">
        <f t="shared" si="7"/>
        <v>28177732</v>
      </c>
    </row>
    <row r="221" spans="1:15" ht="12.75" hidden="1" customHeight="1">
      <c r="A221" s="1">
        <v>11</v>
      </c>
      <c r="B221" s="1">
        <v>4750</v>
      </c>
      <c r="C221" s="1" t="s">
        <v>1169</v>
      </c>
      <c r="D221" s="5" t="s">
        <v>1182</v>
      </c>
      <c r="E221" t="s">
        <v>288</v>
      </c>
      <c r="F221" s="2">
        <v>52</v>
      </c>
      <c r="G221" s="80">
        <v>257826</v>
      </c>
      <c r="I221" s="80">
        <v>8937</v>
      </c>
      <c r="J221" s="98">
        <f t="shared" si="6"/>
        <v>266763</v>
      </c>
      <c r="L221" s="80">
        <v>295723</v>
      </c>
      <c r="M221" s="80">
        <v>7124</v>
      </c>
      <c r="N221" s="80">
        <v>24042</v>
      </c>
      <c r="O221" s="99">
        <f t="shared" si="7"/>
        <v>326889</v>
      </c>
    </row>
    <row r="222" spans="1:15" ht="12.75" hidden="1" customHeight="1">
      <c r="A222" s="1">
        <v>11</v>
      </c>
      <c r="B222" s="1">
        <v>5070</v>
      </c>
      <c r="C222" s="1" t="s">
        <v>1169</v>
      </c>
      <c r="D222" s="5" t="s">
        <v>1183</v>
      </c>
      <c r="E222" t="s">
        <v>289</v>
      </c>
      <c r="F222" s="2">
        <v>145</v>
      </c>
      <c r="G222" s="80">
        <v>772579</v>
      </c>
      <c r="I222" s="80">
        <v>18820</v>
      </c>
      <c r="J222" s="98">
        <f t="shared" si="6"/>
        <v>791399</v>
      </c>
      <c r="L222" s="80">
        <v>206590</v>
      </c>
      <c r="M222" s="80">
        <v>64199</v>
      </c>
      <c r="N222" s="80">
        <v>404552</v>
      </c>
      <c r="O222" s="99">
        <f t="shared" si="7"/>
        <v>675341</v>
      </c>
    </row>
    <row r="223" spans="1:15" ht="12.75" hidden="1" customHeight="1">
      <c r="A223" s="1">
        <v>11</v>
      </c>
      <c r="B223" s="1">
        <v>5300</v>
      </c>
      <c r="C223" s="1" t="s">
        <v>1169</v>
      </c>
      <c r="D223" s="5" t="s">
        <v>1184</v>
      </c>
      <c r="E223" t="s">
        <v>290</v>
      </c>
      <c r="F223" s="2">
        <v>912</v>
      </c>
      <c r="G223" s="80">
        <v>5303126</v>
      </c>
      <c r="I223" s="80">
        <v>32590</v>
      </c>
      <c r="J223" s="98">
        <f t="shared" si="6"/>
        <v>5335716</v>
      </c>
      <c r="L223" s="80">
        <v>2500367</v>
      </c>
      <c r="M223" s="80">
        <v>146581</v>
      </c>
      <c r="N223" s="80">
        <v>941938</v>
      </c>
      <c r="O223" s="99">
        <f t="shared" si="7"/>
        <v>3588886</v>
      </c>
    </row>
    <row r="224" spans="1:15" ht="12.75" hidden="1" customHeight="1">
      <c r="A224" s="1">
        <v>11</v>
      </c>
      <c r="B224" s="1">
        <v>5390</v>
      </c>
      <c r="C224" s="1" t="s">
        <v>1169</v>
      </c>
      <c r="D224" s="5" t="s">
        <v>1185</v>
      </c>
      <c r="E224" t="s">
        <v>291</v>
      </c>
      <c r="F224" s="2">
        <v>9641</v>
      </c>
      <c r="G224" s="80">
        <v>19467316</v>
      </c>
      <c r="I224" s="80">
        <v>1453061</v>
      </c>
      <c r="J224" s="98">
        <f t="shared" si="6"/>
        <v>20920377</v>
      </c>
      <c r="L224" s="80">
        <v>42323458</v>
      </c>
      <c r="M224" s="80">
        <v>11394451</v>
      </c>
      <c r="N224" s="80">
        <v>1180939</v>
      </c>
      <c r="O224" s="99">
        <f t="shared" si="7"/>
        <v>54898848</v>
      </c>
    </row>
    <row r="225" spans="1:15" ht="12.75" hidden="1" customHeight="1">
      <c r="A225" s="1">
        <v>13</v>
      </c>
      <c r="B225" s="1">
        <v>250</v>
      </c>
      <c r="C225" s="1" t="s">
        <v>1186</v>
      </c>
      <c r="D225" s="5" t="s">
        <v>1187</v>
      </c>
      <c r="E225" t="s">
        <v>292</v>
      </c>
      <c r="F225" s="2">
        <v>4481</v>
      </c>
      <c r="G225" s="80">
        <v>30987272</v>
      </c>
      <c r="I225" s="80">
        <v>176086</v>
      </c>
      <c r="J225" s="98">
        <f t="shared" si="6"/>
        <v>31163358</v>
      </c>
      <c r="L225" s="80">
        <v>12751948</v>
      </c>
      <c r="O225" s="99">
        <f t="shared" si="7"/>
        <v>12751948</v>
      </c>
    </row>
    <row r="226" spans="1:15" ht="12.75" hidden="1" customHeight="1">
      <c r="A226" s="1">
        <v>13</v>
      </c>
      <c r="B226" s="1">
        <v>410</v>
      </c>
      <c r="C226" s="1" t="s">
        <v>1186</v>
      </c>
      <c r="D226" s="5" t="s">
        <v>1188</v>
      </c>
      <c r="E226" t="s">
        <v>293</v>
      </c>
      <c r="F226" s="2">
        <v>5593</v>
      </c>
      <c r="G226" s="80">
        <v>48322565</v>
      </c>
      <c r="I226" s="80">
        <v>36721</v>
      </c>
      <c r="J226" s="98">
        <f t="shared" si="6"/>
        <v>48359286</v>
      </c>
      <c r="L226" s="80">
        <v>8022414</v>
      </c>
      <c r="O226" s="99">
        <f t="shared" si="7"/>
        <v>8022414</v>
      </c>
    </row>
    <row r="227" spans="1:15" ht="12.75" hidden="1" customHeight="1">
      <c r="A227" s="1">
        <v>13</v>
      </c>
      <c r="B227" s="1">
        <v>660</v>
      </c>
      <c r="C227" s="1" t="s">
        <v>1186</v>
      </c>
      <c r="D227" s="5" t="s">
        <v>1189</v>
      </c>
      <c r="E227" t="s">
        <v>294</v>
      </c>
      <c r="F227" s="2">
        <v>2638</v>
      </c>
      <c r="G227" s="80">
        <v>31602576</v>
      </c>
      <c r="I227" s="80">
        <v>384479</v>
      </c>
      <c r="J227" s="98">
        <f t="shared" si="6"/>
        <v>31987055</v>
      </c>
      <c r="O227" s="99">
        <f t="shared" si="7"/>
        <v>0</v>
      </c>
    </row>
    <row r="228" spans="1:15" ht="12.75" hidden="1" customHeight="1">
      <c r="A228" s="1">
        <v>13</v>
      </c>
      <c r="B228" s="1">
        <v>760</v>
      </c>
      <c r="C228" s="1" t="s">
        <v>1186</v>
      </c>
      <c r="D228" s="5" t="s">
        <v>1190</v>
      </c>
      <c r="E228" t="s">
        <v>295</v>
      </c>
      <c r="F228" s="2">
        <v>1576.5</v>
      </c>
      <c r="G228" s="80">
        <v>19647375</v>
      </c>
      <c r="J228" s="98">
        <f t="shared" si="6"/>
        <v>19647375</v>
      </c>
      <c r="O228" s="99">
        <f t="shared" si="7"/>
        <v>0</v>
      </c>
    </row>
    <row r="229" spans="1:15" ht="12.75" hidden="1" customHeight="1">
      <c r="A229" s="1">
        <v>13</v>
      </c>
      <c r="B229" s="1">
        <v>1210</v>
      </c>
      <c r="C229" s="1" t="s">
        <v>1186</v>
      </c>
      <c r="D229" s="5" t="s">
        <v>1191</v>
      </c>
      <c r="E229" t="s">
        <v>296</v>
      </c>
      <c r="F229" s="2">
        <v>10239</v>
      </c>
      <c r="G229" s="80">
        <v>18070000</v>
      </c>
      <c r="I229" s="80">
        <v>2677069</v>
      </c>
      <c r="J229" s="98">
        <f t="shared" si="6"/>
        <v>20747069</v>
      </c>
      <c r="L229" s="80">
        <v>74644013</v>
      </c>
      <c r="M229" s="80">
        <v>8482662</v>
      </c>
      <c r="O229" s="99">
        <f t="shared" si="7"/>
        <v>83126675</v>
      </c>
    </row>
    <row r="230" spans="1:15" ht="12.75" hidden="1" customHeight="1">
      <c r="A230" s="1">
        <v>13</v>
      </c>
      <c r="B230" s="1">
        <v>1387</v>
      </c>
      <c r="C230" s="1" t="s">
        <v>1186</v>
      </c>
      <c r="D230" s="5" t="s">
        <v>1192</v>
      </c>
      <c r="E230" t="s">
        <v>297</v>
      </c>
      <c r="F230" s="2">
        <v>158</v>
      </c>
      <c r="I230" s="80">
        <v>5413943</v>
      </c>
      <c r="J230" s="98">
        <f t="shared" si="6"/>
        <v>5413943</v>
      </c>
      <c r="O230" s="99">
        <f t="shared" si="7"/>
        <v>0</v>
      </c>
    </row>
    <row r="231" spans="1:15" ht="12.75" hidden="1" customHeight="1">
      <c r="A231" s="1">
        <v>13</v>
      </c>
      <c r="B231" s="1">
        <v>1390</v>
      </c>
      <c r="C231" s="1" t="s">
        <v>1186</v>
      </c>
      <c r="D231" s="5" t="s">
        <v>1193</v>
      </c>
      <c r="E231" t="s">
        <v>298</v>
      </c>
      <c r="F231" s="2">
        <v>2184</v>
      </c>
      <c r="H231" s="80">
        <v>4700000</v>
      </c>
      <c r="I231" s="80">
        <v>443068</v>
      </c>
      <c r="J231" s="98">
        <f t="shared" si="6"/>
        <v>5143068</v>
      </c>
      <c r="L231" s="80">
        <v>5501450</v>
      </c>
      <c r="O231" s="99">
        <f t="shared" si="7"/>
        <v>5501450</v>
      </c>
    </row>
    <row r="232" spans="1:15" ht="12.75" hidden="1" customHeight="1">
      <c r="A232" s="1">
        <v>13</v>
      </c>
      <c r="B232" s="1">
        <v>1400</v>
      </c>
      <c r="C232" s="1" t="s">
        <v>1186</v>
      </c>
      <c r="D232" s="5" t="s">
        <v>1194</v>
      </c>
      <c r="E232" t="s">
        <v>299</v>
      </c>
      <c r="F232" s="2">
        <v>281</v>
      </c>
      <c r="G232" s="80">
        <v>3087393</v>
      </c>
      <c r="J232" s="98">
        <f t="shared" si="6"/>
        <v>3087393</v>
      </c>
      <c r="N232" s="80">
        <v>5059</v>
      </c>
      <c r="O232" s="99">
        <f t="shared" si="7"/>
        <v>5059</v>
      </c>
    </row>
    <row r="233" spans="1:15" ht="12.75" hidden="1" customHeight="1">
      <c r="A233" s="1">
        <v>13</v>
      </c>
      <c r="B233" s="1">
        <v>1465</v>
      </c>
      <c r="C233" s="1" t="s">
        <v>1186</v>
      </c>
      <c r="D233" s="5" t="s">
        <v>1176</v>
      </c>
      <c r="E233" t="s">
        <v>300</v>
      </c>
      <c r="F233" s="2">
        <v>708</v>
      </c>
      <c r="G233" s="80">
        <v>8324601</v>
      </c>
      <c r="I233" s="80">
        <v>48979</v>
      </c>
      <c r="J233" s="98">
        <f t="shared" si="6"/>
        <v>8373580</v>
      </c>
      <c r="N233" s="80">
        <v>46057</v>
      </c>
      <c r="O233" s="99">
        <f t="shared" si="7"/>
        <v>46057</v>
      </c>
    </row>
    <row r="234" spans="1:15" ht="12.75" hidden="1" customHeight="1">
      <c r="A234" s="1">
        <v>13</v>
      </c>
      <c r="B234" s="1">
        <v>1750</v>
      </c>
      <c r="C234" s="1" t="s">
        <v>1186</v>
      </c>
      <c r="D234" s="5" t="s">
        <v>1023</v>
      </c>
      <c r="E234" t="s">
        <v>301</v>
      </c>
      <c r="F234" s="2">
        <v>1824</v>
      </c>
      <c r="G234" s="80">
        <v>21227705</v>
      </c>
      <c r="I234" s="80">
        <v>325158</v>
      </c>
      <c r="J234" s="98">
        <f t="shared" si="6"/>
        <v>21552863</v>
      </c>
      <c r="N234" s="80">
        <v>33616</v>
      </c>
      <c r="O234" s="99">
        <f t="shared" si="7"/>
        <v>33616</v>
      </c>
    </row>
    <row r="235" spans="1:15" ht="12.75" hidden="1" customHeight="1">
      <c r="A235" s="1">
        <v>13</v>
      </c>
      <c r="B235" s="1">
        <v>2330</v>
      </c>
      <c r="C235" s="1" t="s">
        <v>1186</v>
      </c>
      <c r="D235" s="5" t="s">
        <v>1024</v>
      </c>
      <c r="E235" t="s">
        <v>302</v>
      </c>
      <c r="F235" s="2">
        <v>7253</v>
      </c>
      <c r="G235" s="80">
        <v>17459529</v>
      </c>
      <c r="J235" s="98">
        <f t="shared" si="6"/>
        <v>17459529</v>
      </c>
      <c r="L235" s="80">
        <v>42978684</v>
      </c>
      <c r="M235" s="80">
        <v>9021073</v>
      </c>
      <c r="O235" s="99">
        <f t="shared" si="7"/>
        <v>51999757</v>
      </c>
    </row>
    <row r="236" spans="1:15" ht="12.75" hidden="1" customHeight="1">
      <c r="A236" s="1">
        <v>13</v>
      </c>
      <c r="B236" s="1">
        <v>2730</v>
      </c>
      <c r="C236" s="1" t="s">
        <v>1186</v>
      </c>
      <c r="D236" s="5" t="s">
        <v>1025</v>
      </c>
      <c r="E236" t="s">
        <v>303</v>
      </c>
      <c r="F236" s="2">
        <v>5533.5</v>
      </c>
      <c r="G236" s="80">
        <v>74542669</v>
      </c>
      <c r="I236" s="80">
        <v>1074136</v>
      </c>
      <c r="J236" s="98">
        <f t="shared" si="6"/>
        <v>75616805</v>
      </c>
      <c r="O236" s="99">
        <f t="shared" si="7"/>
        <v>0</v>
      </c>
    </row>
    <row r="237" spans="1:15" ht="12.75" hidden="1" customHeight="1">
      <c r="A237" s="1">
        <v>13</v>
      </c>
      <c r="B237" s="1">
        <v>3190</v>
      </c>
      <c r="C237" s="1" t="s">
        <v>1186</v>
      </c>
      <c r="D237" s="5" t="s">
        <v>1026</v>
      </c>
      <c r="E237" t="s">
        <v>304</v>
      </c>
      <c r="F237" s="2">
        <v>4580.5</v>
      </c>
      <c r="G237" s="80">
        <v>62055799</v>
      </c>
      <c r="J237" s="98">
        <f t="shared" si="6"/>
        <v>62055799</v>
      </c>
      <c r="O237" s="99">
        <f t="shared" si="7"/>
        <v>0</v>
      </c>
    </row>
    <row r="238" spans="1:15" ht="12.75" hidden="1" customHeight="1">
      <c r="A238" s="1">
        <v>13</v>
      </c>
      <c r="B238" s="1">
        <v>3310</v>
      </c>
      <c r="C238" s="1" t="s">
        <v>1186</v>
      </c>
      <c r="D238" s="5" t="s">
        <v>1027</v>
      </c>
      <c r="E238" t="s">
        <v>305</v>
      </c>
      <c r="F238" s="2">
        <v>6620.5</v>
      </c>
      <c r="G238" s="80">
        <v>84222443</v>
      </c>
      <c r="I238" s="80">
        <v>897313</v>
      </c>
      <c r="J238" s="98">
        <f t="shared" si="6"/>
        <v>85119756</v>
      </c>
      <c r="N238" s="80">
        <v>495734</v>
      </c>
      <c r="O238" s="99">
        <f t="shared" si="7"/>
        <v>495734</v>
      </c>
    </row>
    <row r="239" spans="1:15" ht="12.75" hidden="1" customHeight="1">
      <c r="A239" s="1">
        <v>13</v>
      </c>
      <c r="B239" s="1">
        <v>3570</v>
      </c>
      <c r="C239" s="1" t="s">
        <v>1186</v>
      </c>
      <c r="D239" s="5" t="s">
        <v>1028</v>
      </c>
      <c r="E239" s="2" t="s">
        <v>306</v>
      </c>
      <c r="F239" s="2">
        <v>41266</v>
      </c>
      <c r="G239" s="80">
        <v>88215449</v>
      </c>
      <c r="I239" s="80">
        <v>4388638</v>
      </c>
      <c r="J239" s="98">
        <f t="shared" si="6"/>
        <v>92604087</v>
      </c>
      <c r="L239" s="80">
        <v>268357802</v>
      </c>
      <c r="M239" s="80">
        <v>20770333</v>
      </c>
      <c r="O239" s="99">
        <f t="shared" si="7"/>
        <v>289128135</v>
      </c>
    </row>
    <row r="240" spans="1:15" ht="12.75" hidden="1" customHeight="1">
      <c r="A240" s="1">
        <v>13</v>
      </c>
      <c r="B240" s="1">
        <v>3630</v>
      </c>
      <c r="C240" s="1" t="s">
        <v>1186</v>
      </c>
      <c r="D240" s="5" t="s">
        <v>1029</v>
      </c>
      <c r="E240" t="s">
        <v>307</v>
      </c>
      <c r="F240" s="2">
        <v>648</v>
      </c>
      <c r="G240" s="80">
        <v>8145825</v>
      </c>
      <c r="I240" s="80">
        <v>150656</v>
      </c>
      <c r="J240" s="98">
        <f t="shared" si="6"/>
        <v>8296481</v>
      </c>
      <c r="O240" s="99">
        <f t="shared" si="7"/>
        <v>0</v>
      </c>
    </row>
    <row r="241" spans="1:15" ht="12.75" hidden="1" customHeight="1">
      <c r="A241" s="1">
        <v>13</v>
      </c>
      <c r="B241" s="1">
        <v>3750</v>
      </c>
      <c r="C241" s="1" t="s">
        <v>1186</v>
      </c>
      <c r="D241" s="5" t="s">
        <v>1030</v>
      </c>
      <c r="E241" t="s">
        <v>308</v>
      </c>
      <c r="F241" s="2">
        <v>4060</v>
      </c>
      <c r="G241" s="80">
        <v>40079296</v>
      </c>
      <c r="I241" s="80">
        <v>654045</v>
      </c>
      <c r="J241" s="98">
        <f t="shared" si="6"/>
        <v>40733341</v>
      </c>
      <c r="L241" s="80">
        <v>2799975</v>
      </c>
      <c r="O241" s="99">
        <f t="shared" si="7"/>
        <v>2799975</v>
      </c>
    </row>
    <row r="242" spans="1:15" ht="12.75" hidden="1" customHeight="1">
      <c r="A242" s="1">
        <v>13</v>
      </c>
      <c r="B242" s="1">
        <v>3880</v>
      </c>
      <c r="C242" s="1" t="s">
        <v>1186</v>
      </c>
      <c r="D242" s="5" t="s">
        <v>1031</v>
      </c>
      <c r="E242" t="s">
        <v>309</v>
      </c>
      <c r="F242" s="2">
        <v>4596.5</v>
      </c>
      <c r="G242" s="80">
        <v>8931421</v>
      </c>
      <c r="I242" s="80">
        <v>452852</v>
      </c>
      <c r="J242" s="98">
        <f t="shared" si="6"/>
        <v>9384273</v>
      </c>
      <c r="L242" s="80">
        <v>25811531</v>
      </c>
      <c r="M242" s="80">
        <v>4086817</v>
      </c>
      <c r="O242" s="99">
        <f t="shared" si="7"/>
        <v>29898348</v>
      </c>
    </row>
    <row r="243" spans="1:15" ht="12.75" hidden="1" customHeight="1">
      <c r="A243" s="1">
        <v>13</v>
      </c>
      <c r="B243" s="1">
        <v>4530</v>
      </c>
      <c r="C243" s="1" t="s">
        <v>1186</v>
      </c>
      <c r="D243" s="5" t="s">
        <v>1032</v>
      </c>
      <c r="E243" t="s">
        <v>310</v>
      </c>
      <c r="F243" s="2">
        <v>479</v>
      </c>
      <c r="G243" s="80">
        <v>5648808</v>
      </c>
      <c r="J243" s="98">
        <f t="shared" si="6"/>
        <v>5648808</v>
      </c>
      <c r="O243" s="99">
        <f t="shared" si="7"/>
        <v>0</v>
      </c>
    </row>
    <row r="244" spans="1:15" ht="12.75" hidden="1" customHeight="1">
      <c r="A244" s="1">
        <v>13</v>
      </c>
      <c r="B244" s="1">
        <v>4900</v>
      </c>
      <c r="C244" s="1" t="s">
        <v>1186</v>
      </c>
      <c r="D244" s="5" t="s">
        <v>1033</v>
      </c>
      <c r="E244" t="s">
        <v>311</v>
      </c>
      <c r="F244" s="2">
        <v>6087</v>
      </c>
      <c r="G244" s="80">
        <v>81911476</v>
      </c>
      <c r="I244" s="80">
        <v>883167</v>
      </c>
      <c r="J244" s="98">
        <f t="shared" si="6"/>
        <v>82794643</v>
      </c>
      <c r="N244" s="80">
        <v>282608</v>
      </c>
      <c r="O244" s="99">
        <f t="shared" si="7"/>
        <v>282608</v>
      </c>
    </row>
    <row r="245" spans="1:15" ht="12.75" hidden="1" customHeight="1">
      <c r="A245" s="1">
        <v>13</v>
      </c>
      <c r="B245" s="1">
        <v>5370</v>
      </c>
      <c r="C245" s="1" t="s">
        <v>1186</v>
      </c>
      <c r="D245" s="5" t="s">
        <v>1034</v>
      </c>
      <c r="E245" t="s">
        <v>312</v>
      </c>
      <c r="F245" s="2">
        <v>2047</v>
      </c>
      <c r="G245" s="80">
        <v>22389852</v>
      </c>
      <c r="I245" s="80">
        <v>263421</v>
      </c>
      <c r="J245" s="98">
        <f t="shared" si="6"/>
        <v>22653273</v>
      </c>
      <c r="O245" s="99">
        <f t="shared" si="7"/>
        <v>0</v>
      </c>
    </row>
    <row r="246" spans="1:15" ht="12.75" hidden="1" customHeight="1">
      <c r="A246" s="1">
        <v>13</v>
      </c>
      <c r="B246" s="1">
        <v>5630</v>
      </c>
      <c r="C246" s="1" t="s">
        <v>1186</v>
      </c>
      <c r="D246" s="5" t="s">
        <v>1035</v>
      </c>
      <c r="E246" t="s">
        <v>313</v>
      </c>
      <c r="F246" s="2">
        <v>1615</v>
      </c>
      <c r="G246" s="80">
        <v>24254219</v>
      </c>
      <c r="I246" s="80">
        <v>305804</v>
      </c>
      <c r="J246" s="98">
        <f t="shared" si="6"/>
        <v>24560023</v>
      </c>
      <c r="N246" s="80">
        <v>118282</v>
      </c>
      <c r="O246" s="99">
        <f t="shared" si="7"/>
        <v>118282</v>
      </c>
    </row>
    <row r="247" spans="1:15" ht="12.75" hidden="1" customHeight="1">
      <c r="A247" s="1">
        <v>13</v>
      </c>
      <c r="B247" s="1">
        <v>5680</v>
      </c>
      <c r="C247" s="1" t="s">
        <v>1186</v>
      </c>
      <c r="D247" s="5" t="s">
        <v>1036</v>
      </c>
      <c r="E247" t="s">
        <v>314</v>
      </c>
      <c r="F247" s="2">
        <v>6330</v>
      </c>
      <c r="G247" s="80">
        <v>95139489</v>
      </c>
      <c r="I247" s="80">
        <v>573216</v>
      </c>
      <c r="J247" s="98">
        <f t="shared" si="6"/>
        <v>95712705</v>
      </c>
      <c r="O247" s="99">
        <f t="shared" si="7"/>
        <v>0</v>
      </c>
    </row>
    <row r="248" spans="1:15" ht="12.75" hidden="1" customHeight="1">
      <c r="A248" s="1">
        <v>15</v>
      </c>
      <c r="B248" s="1">
        <v>860</v>
      </c>
      <c r="C248" s="1" t="s">
        <v>1037</v>
      </c>
      <c r="D248" s="5" t="s">
        <v>1038</v>
      </c>
      <c r="E248" t="s">
        <v>315</v>
      </c>
      <c r="F248" s="2">
        <v>1289</v>
      </c>
      <c r="G248" s="80">
        <v>6081922</v>
      </c>
      <c r="I248" s="80">
        <v>75373</v>
      </c>
      <c r="J248" s="98">
        <f t="shared" si="6"/>
        <v>6157295</v>
      </c>
      <c r="L248" s="80">
        <v>4547824</v>
      </c>
      <c r="M248" s="80">
        <v>225148</v>
      </c>
      <c r="N248" s="80">
        <v>61474</v>
      </c>
      <c r="O248" s="99">
        <f t="shared" si="7"/>
        <v>4834446</v>
      </c>
    </row>
    <row r="249" spans="1:15" ht="12.75" hidden="1" customHeight="1">
      <c r="A249" s="1">
        <v>15</v>
      </c>
      <c r="B249" s="1">
        <v>870</v>
      </c>
      <c r="C249" s="1" t="s">
        <v>1037</v>
      </c>
      <c r="D249" s="5" t="s">
        <v>1039</v>
      </c>
      <c r="E249" t="s">
        <v>316</v>
      </c>
      <c r="F249" s="2">
        <v>2390.5</v>
      </c>
      <c r="G249" s="80">
        <v>13321073</v>
      </c>
      <c r="I249" s="80">
        <v>346002</v>
      </c>
      <c r="J249" s="98">
        <f t="shared" si="6"/>
        <v>13667075</v>
      </c>
      <c r="L249" s="80">
        <v>9025472</v>
      </c>
      <c r="M249" s="80">
        <v>48455</v>
      </c>
      <c r="O249" s="99">
        <f t="shared" si="7"/>
        <v>9073927</v>
      </c>
    </row>
    <row r="250" spans="1:15" ht="12.75" hidden="1" customHeight="1">
      <c r="A250" s="1">
        <v>15</v>
      </c>
      <c r="B250" s="1">
        <v>1100</v>
      </c>
      <c r="C250" s="1" t="s">
        <v>1037</v>
      </c>
      <c r="D250" s="5" t="s">
        <v>1040</v>
      </c>
      <c r="E250" t="s">
        <v>317</v>
      </c>
      <c r="F250" s="2">
        <v>4304.5</v>
      </c>
      <c r="G250" s="80">
        <v>30348902</v>
      </c>
      <c r="I250" s="80">
        <v>452373</v>
      </c>
      <c r="J250" s="98">
        <f t="shared" si="6"/>
        <v>30801275</v>
      </c>
      <c r="L250" s="80">
        <v>9949941</v>
      </c>
      <c r="N250" s="80">
        <v>1423467</v>
      </c>
      <c r="O250" s="99">
        <f t="shared" si="7"/>
        <v>11373408</v>
      </c>
    </row>
    <row r="251" spans="1:15" ht="12.75" hidden="1" customHeight="1">
      <c r="A251" s="1">
        <v>15</v>
      </c>
      <c r="B251" s="1">
        <v>1180</v>
      </c>
      <c r="C251" s="1" t="s">
        <v>1037</v>
      </c>
      <c r="D251" s="5" t="s">
        <v>1041</v>
      </c>
      <c r="E251" t="s">
        <v>318</v>
      </c>
      <c r="F251" s="2">
        <v>758</v>
      </c>
      <c r="G251" s="80">
        <v>6058909</v>
      </c>
      <c r="I251" s="80">
        <v>63295</v>
      </c>
      <c r="J251" s="98">
        <f t="shared" si="6"/>
        <v>6122204</v>
      </c>
      <c r="L251" s="80">
        <v>1231285</v>
      </c>
      <c r="N251" s="80">
        <v>342083</v>
      </c>
      <c r="O251" s="99">
        <f t="shared" si="7"/>
        <v>1573368</v>
      </c>
    </row>
    <row r="252" spans="1:15" ht="12.75" hidden="1" customHeight="1">
      <c r="A252" s="1">
        <v>15</v>
      </c>
      <c r="B252" s="1">
        <v>1330</v>
      </c>
      <c r="C252" s="1" t="s">
        <v>1037</v>
      </c>
      <c r="D252" s="5" t="s">
        <v>1042</v>
      </c>
      <c r="E252" t="s">
        <v>319</v>
      </c>
      <c r="F252" s="2">
        <v>371</v>
      </c>
      <c r="G252" s="80">
        <v>1846000</v>
      </c>
      <c r="I252" s="80">
        <v>98051</v>
      </c>
      <c r="J252" s="98">
        <f t="shared" si="6"/>
        <v>1944051</v>
      </c>
      <c r="L252" s="80">
        <v>1026230</v>
      </c>
      <c r="M252" s="80">
        <v>119658</v>
      </c>
      <c r="N252" s="80">
        <v>593456</v>
      </c>
      <c r="O252" s="99">
        <f t="shared" si="7"/>
        <v>1739344</v>
      </c>
    </row>
    <row r="253" spans="1:15" ht="12.75" hidden="1" customHeight="1">
      <c r="A253" s="1">
        <v>15</v>
      </c>
      <c r="B253" s="1">
        <v>1590</v>
      </c>
      <c r="C253" s="1" t="s">
        <v>1037</v>
      </c>
      <c r="D253" s="5" t="s">
        <v>1043</v>
      </c>
      <c r="E253" t="s">
        <v>320</v>
      </c>
      <c r="F253" s="2">
        <v>1525</v>
      </c>
      <c r="G253" s="80">
        <v>7205864</v>
      </c>
      <c r="I253" s="80">
        <v>72385</v>
      </c>
      <c r="J253" s="98">
        <f t="shared" si="6"/>
        <v>7278249</v>
      </c>
      <c r="L253" s="80">
        <v>4729819</v>
      </c>
      <c r="M253" s="80">
        <v>187134</v>
      </c>
      <c r="O253" s="99">
        <f t="shared" si="7"/>
        <v>4916953</v>
      </c>
    </row>
    <row r="254" spans="1:15" ht="12.75" hidden="1" customHeight="1">
      <c r="A254" s="1">
        <v>15</v>
      </c>
      <c r="B254" s="1">
        <v>1715</v>
      </c>
      <c r="C254" s="1" t="s">
        <v>1037</v>
      </c>
      <c r="D254" s="5" t="s">
        <v>1044</v>
      </c>
      <c r="E254" t="s">
        <v>321</v>
      </c>
      <c r="F254" s="2">
        <v>1007</v>
      </c>
      <c r="G254" s="80">
        <v>7601816</v>
      </c>
      <c r="I254" s="80">
        <v>88639</v>
      </c>
      <c r="J254" s="98">
        <f t="shared" si="6"/>
        <v>7690455</v>
      </c>
      <c r="L254" s="80">
        <v>4793570</v>
      </c>
      <c r="M254" s="80">
        <v>356570</v>
      </c>
      <c r="O254" s="99">
        <f t="shared" si="7"/>
        <v>5150140</v>
      </c>
    </row>
    <row r="255" spans="1:15" ht="12.75" hidden="1" customHeight="1">
      <c r="A255" s="1">
        <v>15</v>
      </c>
      <c r="B255" s="1">
        <v>1730</v>
      </c>
      <c r="C255" s="1" t="s">
        <v>1037</v>
      </c>
      <c r="D255" s="5" t="s">
        <v>1045</v>
      </c>
      <c r="E255" t="s">
        <v>322</v>
      </c>
      <c r="F255" s="2">
        <v>2422.5</v>
      </c>
      <c r="G255" s="80">
        <v>15166787</v>
      </c>
      <c r="I255" s="80">
        <v>190006</v>
      </c>
      <c r="J255" s="98">
        <f t="shared" si="6"/>
        <v>15356793</v>
      </c>
      <c r="L255" s="80">
        <v>7480390</v>
      </c>
      <c r="M255" s="80">
        <v>438274</v>
      </c>
      <c r="O255" s="99">
        <f t="shared" si="7"/>
        <v>7918664</v>
      </c>
    </row>
    <row r="256" spans="1:15" ht="12.75" hidden="1" customHeight="1">
      <c r="A256" s="1">
        <v>15</v>
      </c>
      <c r="B256" s="1">
        <v>1774</v>
      </c>
      <c r="C256" s="1" t="s">
        <v>1037</v>
      </c>
      <c r="D256" s="5" t="s">
        <v>1046</v>
      </c>
      <c r="E256" t="s">
        <v>323</v>
      </c>
      <c r="F256" s="2">
        <v>611.5</v>
      </c>
      <c r="H256" s="80">
        <v>500500</v>
      </c>
      <c r="I256" s="80">
        <v>783451</v>
      </c>
      <c r="J256" s="98">
        <f t="shared" si="6"/>
        <v>1283951</v>
      </c>
      <c r="O256" s="99">
        <f t="shared" si="7"/>
        <v>0</v>
      </c>
    </row>
    <row r="257" spans="1:15" ht="12.75" hidden="1" customHeight="1">
      <c r="A257" s="1">
        <v>15</v>
      </c>
      <c r="B257" s="1">
        <v>1775</v>
      </c>
      <c r="C257" s="1" t="s">
        <v>1037</v>
      </c>
      <c r="D257" s="5" t="s">
        <v>1047</v>
      </c>
      <c r="E257" t="s">
        <v>324</v>
      </c>
      <c r="F257" s="2">
        <v>818</v>
      </c>
      <c r="H257" s="80">
        <v>6892450</v>
      </c>
      <c r="I257" s="80">
        <v>491128</v>
      </c>
      <c r="J257" s="98">
        <f t="shared" si="6"/>
        <v>7383578</v>
      </c>
      <c r="L257" s="80">
        <v>1645799</v>
      </c>
      <c r="N257" s="80">
        <v>711988</v>
      </c>
      <c r="O257" s="99">
        <f t="shared" si="7"/>
        <v>2357787</v>
      </c>
    </row>
    <row r="258" spans="1:15" ht="12.75" hidden="1" customHeight="1">
      <c r="A258" s="1">
        <v>15</v>
      </c>
      <c r="B258" s="1">
        <v>1830</v>
      </c>
      <c r="C258" s="1" t="s">
        <v>1037</v>
      </c>
      <c r="D258" s="5" t="s">
        <v>1177</v>
      </c>
      <c r="E258" t="s">
        <v>325</v>
      </c>
      <c r="F258" s="2">
        <v>541</v>
      </c>
      <c r="G258" s="80">
        <v>8376849</v>
      </c>
      <c r="I258" s="80">
        <v>87250</v>
      </c>
      <c r="J258" s="98">
        <f t="shared" si="6"/>
        <v>8464099</v>
      </c>
      <c r="N258" s="80">
        <v>497896</v>
      </c>
      <c r="O258" s="99">
        <f t="shared" si="7"/>
        <v>497896</v>
      </c>
    </row>
    <row r="259" spans="1:15" ht="12.75" hidden="1" customHeight="1">
      <c r="A259" s="1">
        <v>15</v>
      </c>
      <c r="B259" s="1">
        <v>2070</v>
      </c>
      <c r="C259" s="1" t="s">
        <v>1037</v>
      </c>
      <c r="D259" s="5" t="s">
        <v>1048</v>
      </c>
      <c r="E259" t="s">
        <v>326</v>
      </c>
      <c r="F259" s="2">
        <v>1465</v>
      </c>
      <c r="G259" s="80">
        <v>9067248</v>
      </c>
      <c r="I259" s="80">
        <v>158513</v>
      </c>
      <c r="J259" s="98">
        <f t="shared" si="6"/>
        <v>9225761</v>
      </c>
      <c r="L259" s="80">
        <v>3588562</v>
      </c>
      <c r="O259" s="99">
        <f t="shared" si="7"/>
        <v>3588562</v>
      </c>
    </row>
    <row r="260" spans="1:15" ht="12.75" hidden="1" customHeight="1">
      <c r="A260" s="1">
        <v>15</v>
      </c>
      <c r="B260" s="1">
        <v>2440</v>
      </c>
      <c r="C260" s="1" t="s">
        <v>1037</v>
      </c>
      <c r="D260" s="5" t="s">
        <v>1049</v>
      </c>
      <c r="E260" t="s">
        <v>327</v>
      </c>
      <c r="F260" s="2">
        <v>2039</v>
      </c>
      <c r="G260" s="80">
        <v>13402716</v>
      </c>
      <c r="I260" s="80">
        <v>386430</v>
      </c>
      <c r="J260" s="98">
        <f t="shared" si="6"/>
        <v>13789146</v>
      </c>
      <c r="L260" s="80">
        <v>4655512</v>
      </c>
      <c r="O260" s="99">
        <f t="shared" si="7"/>
        <v>4655512</v>
      </c>
    </row>
    <row r="261" spans="1:15" ht="12.75" hidden="1" customHeight="1">
      <c r="A261" s="1">
        <v>15</v>
      </c>
      <c r="B261" s="1">
        <v>2750</v>
      </c>
      <c r="C261" s="1" t="s">
        <v>1037</v>
      </c>
      <c r="D261" s="5" t="s">
        <v>1050</v>
      </c>
      <c r="E261" t="s">
        <v>328</v>
      </c>
      <c r="F261" s="2">
        <v>927</v>
      </c>
      <c r="G261" s="80">
        <v>10122574</v>
      </c>
      <c r="I261" s="80">
        <v>149901</v>
      </c>
      <c r="J261" s="98">
        <f t="shared" ref="J261:J324" si="8">SUM(G261:I261)</f>
        <v>10272475</v>
      </c>
      <c r="L261" s="80">
        <v>3772759</v>
      </c>
      <c r="N261" s="80">
        <v>407012</v>
      </c>
      <c r="O261" s="99">
        <f t="shared" ref="O261:O324" si="9">SUM(L261:N261)</f>
        <v>4179771</v>
      </c>
    </row>
    <row r="262" spans="1:15" ht="12.75" hidden="1" customHeight="1">
      <c r="A262" s="1">
        <v>15</v>
      </c>
      <c r="B262" s="1">
        <v>2990</v>
      </c>
      <c r="C262" s="1" t="s">
        <v>1037</v>
      </c>
      <c r="D262" s="5" t="s">
        <v>1051</v>
      </c>
      <c r="E262" t="s">
        <v>329</v>
      </c>
      <c r="F262" s="2">
        <v>1590</v>
      </c>
      <c r="G262" s="80">
        <v>9727332</v>
      </c>
      <c r="I262" s="80">
        <v>121482</v>
      </c>
      <c r="J262" s="98">
        <f t="shared" si="8"/>
        <v>9848814</v>
      </c>
      <c r="L262" s="80">
        <v>3612499</v>
      </c>
      <c r="N262" s="80">
        <v>218029</v>
      </c>
      <c r="O262" s="99">
        <f t="shared" si="9"/>
        <v>3830528</v>
      </c>
    </row>
    <row r="263" spans="1:15" ht="12.75" hidden="1" customHeight="1">
      <c r="A263" s="1">
        <v>15</v>
      </c>
      <c r="B263" s="1">
        <v>3280</v>
      </c>
      <c r="C263" s="1" t="s">
        <v>1037</v>
      </c>
      <c r="D263" s="5" t="s">
        <v>1052</v>
      </c>
      <c r="E263" t="s">
        <v>330</v>
      </c>
      <c r="F263" s="2">
        <v>5985.5</v>
      </c>
      <c r="G263" s="80">
        <v>34324581</v>
      </c>
      <c r="I263" s="80">
        <v>1160072</v>
      </c>
      <c r="J263" s="98">
        <f t="shared" si="8"/>
        <v>35484653</v>
      </c>
      <c r="L263" s="80">
        <v>18481266</v>
      </c>
      <c r="O263" s="99">
        <f t="shared" si="9"/>
        <v>18481266</v>
      </c>
    </row>
    <row r="264" spans="1:15" ht="12.75" hidden="1" customHeight="1">
      <c r="A264" s="1">
        <v>15</v>
      </c>
      <c r="B264" s="1">
        <v>3490</v>
      </c>
      <c r="C264" s="1" t="s">
        <v>1037</v>
      </c>
      <c r="D264" s="5" t="s">
        <v>1053</v>
      </c>
      <c r="E264" t="s">
        <v>331</v>
      </c>
      <c r="F264" s="2">
        <v>307</v>
      </c>
      <c r="G264" s="80">
        <v>1419368</v>
      </c>
      <c r="I264" s="80">
        <v>23962</v>
      </c>
      <c r="J264" s="98">
        <f t="shared" si="8"/>
        <v>1443330</v>
      </c>
      <c r="L264" s="80">
        <v>966930</v>
      </c>
      <c r="M264" s="80">
        <v>117530</v>
      </c>
      <c r="N264" s="80">
        <v>394901</v>
      </c>
      <c r="O264" s="99">
        <f t="shared" si="9"/>
        <v>1479361</v>
      </c>
    </row>
    <row r="265" spans="1:15" ht="12.75" hidden="1" customHeight="1">
      <c r="A265" s="1">
        <v>15</v>
      </c>
      <c r="B265" s="1">
        <v>3580</v>
      </c>
      <c r="C265" s="1" t="s">
        <v>1037</v>
      </c>
      <c r="D265" s="5" t="s">
        <v>1054</v>
      </c>
      <c r="E265"/>
      <c r="F265" s="2"/>
      <c r="G265" s="80">
        <v>1571475</v>
      </c>
      <c r="I265" s="80">
        <v>4381</v>
      </c>
      <c r="J265" s="98">
        <f t="shared" si="8"/>
        <v>1575856</v>
      </c>
      <c r="L265" s="80">
        <v>715740</v>
      </c>
      <c r="M265" s="80">
        <v>13371</v>
      </c>
      <c r="O265" s="99">
        <f t="shared" si="9"/>
        <v>729111</v>
      </c>
    </row>
    <row r="266" spans="1:15" ht="12.75" hidden="1" customHeight="1">
      <c r="A266" s="1">
        <v>15</v>
      </c>
      <c r="B266" s="1">
        <v>4020</v>
      </c>
      <c r="C266" s="1" t="s">
        <v>1037</v>
      </c>
      <c r="D266" s="5" t="s">
        <v>1055</v>
      </c>
      <c r="E266" t="s">
        <v>332</v>
      </c>
      <c r="F266" s="2">
        <v>1432</v>
      </c>
      <c r="G266" s="80">
        <v>4491320</v>
      </c>
      <c r="I266" s="80">
        <v>398811</v>
      </c>
      <c r="J266" s="98">
        <f t="shared" si="8"/>
        <v>4890131</v>
      </c>
      <c r="L266" s="80">
        <v>6124139</v>
      </c>
      <c r="M266" s="80">
        <v>28457</v>
      </c>
      <c r="O266" s="99">
        <f t="shared" si="9"/>
        <v>6152596</v>
      </c>
    </row>
    <row r="267" spans="1:15" ht="12.75" hidden="1" customHeight="1">
      <c r="A267" s="1">
        <v>15</v>
      </c>
      <c r="B267" s="1">
        <v>4140</v>
      </c>
      <c r="C267" s="1" t="s">
        <v>1037</v>
      </c>
      <c r="D267" s="5" t="s">
        <v>1056</v>
      </c>
      <c r="E267" t="s">
        <v>333</v>
      </c>
      <c r="F267" s="2">
        <v>1599</v>
      </c>
      <c r="G267" s="80">
        <v>10004998</v>
      </c>
      <c r="I267" s="80">
        <v>159376</v>
      </c>
      <c r="J267" s="98">
        <f t="shared" si="8"/>
        <v>10164374</v>
      </c>
      <c r="L267" s="80">
        <v>6981319</v>
      </c>
      <c r="M267" s="80">
        <v>475641</v>
      </c>
      <c r="O267" s="99">
        <f t="shared" si="9"/>
        <v>7456960</v>
      </c>
    </row>
    <row r="268" spans="1:15" ht="12.75" hidden="1" customHeight="1">
      <c r="A268" s="1">
        <v>15</v>
      </c>
      <c r="B268" s="1">
        <v>4880</v>
      </c>
      <c r="C268" s="1" t="s">
        <v>1037</v>
      </c>
      <c r="D268" s="5" t="s">
        <v>1057</v>
      </c>
      <c r="E268" t="s">
        <v>334</v>
      </c>
      <c r="F268" s="2">
        <v>312</v>
      </c>
      <c r="G268" s="80">
        <v>2065230</v>
      </c>
      <c r="I268" s="80">
        <v>72719</v>
      </c>
      <c r="J268" s="98">
        <f t="shared" si="8"/>
        <v>2137949</v>
      </c>
      <c r="L268" s="80">
        <v>454535</v>
      </c>
      <c r="N268" s="80">
        <v>217859</v>
      </c>
      <c r="O268" s="99">
        <f t="shared" si="9"/>
        <v>672394</v>
      </c>
    </row>
    <row r="269" spans="1:15" ht="12.75" hidden="1" customHeight="1">
      <c r="A269" s="1">
        <v>15</v>
      </c>
      <c r="B269" s="1">
        <v>4940</v>
      </c>
      <c r="C269" s="1" t="s">
        <v>1037</v>
      </c>
      <c r="D269" s="5" t="s">
        <v>1058</v>
      </c>
      <c r="E269" t="s">
        <v>335</v>
      </c>
      <c r="F269" s="2">
        <v>1793</v>
      </c>
      <c r="G269" s="80">
        <v>9932194</v>
      </c>
      <c r="I269" s="80">
        <v>159964</v>
      </c>
      <c r="J269" s="98">
        <f t="shared" si="8"/>
        <v>10092158</v>
      </c>
      <c r="L269" s="80">
        <v>9335971</v>
      </c>
      <c r="M269" s="80">
        <v>554559</v>
      </c>
      <c r="N269" s="80">
        <v>156531</v>
      </c>
      <c r="O269" s="99">
        <f t="shared" si="9"/>
        <v>10047061</v>
      </c>
    </row>
    <row r="270" spans="1:15" ht="12.75" hidden="1" customHeight="1">
      <c r="A270" s="1">
        <v>15</v>
      </c>
      <c r="B270" s="1">
        <v>5120</v>
      </c>
      <c r="C270" s="1" t="s">
        <v>1037</v>
      </c>
      <c r="D270" s="5" t="s">
        <v>1059</v>
      </c>
      <c r="E270" t="s">
        <v>336</v>
      </c>
      <c r="F270" s="2">
        <v>1397</v>
      </c>
      <c r="G270" s="80">
        <v>7807540</v>
      </c>
      <c r="J270" s="98">
        <f t="shared" si="8"/>
        <v>7807540</v>
      </c>
      <c r="L270" s="80">
        <v>2830698</v>
      </c>
      <c r="O270" s="99">
        <f t="shared" si="9"/>
        <v>2830698</v>
      </c>
    </row>
    <row r="271" spans="1:15" ht="12.75" hidden="1" customHeight="1">
      <c r="A271" s="1">
        <v>15</v>
      </c>
      <c r="B271" s="1">
        <v>5500</v>
      </c>
      <c r="C271" s="1" t="s">
        <v>1037</v>
      </c>
      <c r="D271" s="5" t="s">
        <v>1270</v>
      </c>
      <c r="E271" t="s">
        <v>337</v>
      </c>
      <c r="F271" s="2">
        <v>9052</v>
      </c>
      <c r="G271" s="80">
        <v>59324899</v>
      </c>
      <c r="I271" s="80">
        <v>965030</v>
      </c>
      <c r="J271" s="98">
        <f t="shared" si="8"/>
        <v>60289929</v>
      </c>
      <c r="L271" s="80">
        <v>37447727</v>
      </c>
      <c r="M271" s="80">
        <v>2412370</v>
      </c>
      <c r="O271" s="99">
        <f t="shared" si="9"/>
        <v>39860097</v>
      </c>
    </row>
    <row r="272" spans="1:15" ht="12.75" hidden="1" customHeight="1">
      <c r="A272" s="1">
        <v>15</v>
      </c>
      <c r="B272" s="1">
        <v>5590</v>
      </c>
      <c r="C272" s="1" t="s">
        <v>1037</v>
      </c>
      <c r="D272" s="5" t="s">
        <v>1060</v>
      </c>
      <c r="E272" t="s">
        <v>338</v>
      </c>
      <c r="F272" s="2">
        <v>234</v>
      </c>
      <c r="G272" s="80">
        <v>1861111</v>
      </c>
      <c r="I272" s="80">
        <v>19905</v>
      </c>
      <c r="J272" s="98">
        <f t="shared" si="8"/>
        <v>1881016</v>
      </c>
      <c r="L272" s="80">
        <v>94591</v>
      </c>
      <c r="N272" s="80">
        <v>130010</v>
      </c>
      <c r="O272" s="99">
        <f t="shared" si="9"/>
        <v>224601</v>
      </c>
    </row>
    <row r="273" spans="1:15" ht="12.75" hidden="1" customHeight="1">
      <c r="A273" s="1">
        <v>15</v>
      </c>
      <c r="B273" s="1">
        <v>5620</v>
      </c>
      <c r="C273" s="1" t="s">
        <v>1037</v>
      </c>
      <c r="D273" s="5" t="s">
        <v>1061</v>
      </c>
      <c r="E273" t="s">
        <v>339</v>
      </c>
      <c r="F273" s="2">
        <v>3331.5</v>
      </c>
      <c r="G273" s="80">
        <v>24738957</v>
      </c>
      <c r="I273" s="80">
        <v>52404</v>
      </c>
      <c r="J273" s="98">
        <f t="shared" si="8"/>
        <v>24791361</v>
      </c>
      <c r="L273" s="80">
        <v>3826962</v>
      </c>
      <c r="N273" s="80">
        <v>1692761</v>
      </c>
      <c r="O273" s="99">
        <f t="shared" si="9"/>
        <v>5519723</v>
      </c>
    </row>
    <row r="274" spans="1:15" ht="12.75" hidden="1" customHeight="1">
      <c r="A274" s="1">
        <v>15</v>
      </c>
      <c r="B274" s="1">
        <v>5740</v>
      </c>
      <c r="C274" s="1" t="s">
        <v>1037</v>
      </c>
      <c r="D274" s="5" t="s">
        <v>1062</v>
      </c>
      <c r="E274" t="s">
        <v>232</v>
      </c>
      <c r="F274" s="2">
        <v>370</v>
      </c>
      <c r="G274" s="80">
        <v>1633249</v>
      </c>
      <c r="I274" s="80">
        <v>66309</v>
      </c>
      <c r="J274" s="98">
        <f t="shared" si="8"/>
        <v>1699558</v>
      </c>
      <c r="L274" s="80">
        <v>1207606</v>
      </c>
      <c r="N274" s="80">
        <v>318870</v>
      </c>
      <c r="O274" s="99">
        <f t="shared" si="9"/>
        <v>1526476</v>
      </c>
    </row>
    <row r="275" spans="1:15" ht="12.75" hidden="1" customHeight="1">
      <c r="A275" s="1">
        <v>15</v>
      </c>
      <c r="B275" s="1">
        <v>5860</v>
      </c>
      <c r="C275" s="1" t="s">
        <v>1037</v>
      </c>
      <c r="D275" s="5" t="s">
        <v>1063</v>
      </c>
      <c r="E275" t="s">
        <v>233</v>
      </c>
      <c r="F275" s="2">
        <v>1546.5</v>
      </c>
      <c r="G275" s="80">
        <v>10963512</v>
      </c>
      <c r="I275" s="80">
        <v>401354</v>
      </c>
      <c r="J275" s="98">
        <f t="shared" si="8"/>
        <v>11364866</v>
      </c>
      <c r="L275" s="80">
        <v>5005254</v>
      </c>
      <c r="M275" s="80">
        <v>699265</v>
      </c>
      <c r="N275" s="80">
        <v>61945</v>
      </c>
      <c r="O275" s="99">
        <f t="shared" si="9"/>
        <v>5766464</v>
      </c>
    </row>
    <row r="276" spans="1:15" ht="12.75" hidden="1" customHeight="1">
      <c r="A276" s="1">
        <v>15</v>
      </c>
      <c r="B276" s="1">
        <v>5870</v>
      </c>
      <c r="C276" s="1" t="s">
        <v>1037</v>
      </c>
      <c r="D276" s="5" t="s">
        <v>1064</v>
      </c>
      <c r="E276" t="s">
        <v>234</v>
      </c>
      <c r="F276" s="2">
        <v>241</v>
      </c>
      <c r="G276" s="80">
        <v>1740439</v>
      </c>
      <c r="I276" s="80">
        <v>30295</v>
      </c>
      <c r="J276" s="98">
        <f t="shared" si="8"/>
        <v>1770734</v>
      </c>
      <c r="L276" s="80">
        <v>564443</v>
      </c>
      <c r="N276" s="80">
        <v>14598</v>
      </c>
      <c r="O276" s="99">
        <f t="shared" si="9"/>
        <v>579041</v>
      </c>
    </row>
    <row r="277" spans="1:15" ht="12.75" hidden="1" customHeight="1">
      <c r="A277" s="1">
        <v>17</v>
      </c>
      <c r="B277" s="1">
        <v>220</v>
      </c>
      <c r="C277" s="1" t="s">
        <v>1065</v>
      </c>
      <c r="D277" s="5" t="s">
        <v>1066</v>
      </c>
      <c r="E277" t="s">
        <v>235</v>
      </c>
      <c r="F277" s="2">
        <v>8736</v>
      </c>
      <c r="G277" s="80">
        <v>52521354</v>
      </c>
      <c r="I277" s="80">
        <v>2888032</v>
      </c>
      <c r="J277" s="98">
        <f t="shared" si="8"/>
        <v>55409386</v>
      </c>
      <c r="L277" s="80">
        <v>16791432</v>
      </c>
      <c r="M277" s="80">
        <v>2371878</v>
      </c>
      <c r="N277" s="80">
        <v>124058</v>
      </c>
      <c r="O277" s="99">
        <f t="shared" si="9"/>
        <v>19287368</v>
      </c>
    </row>
    <row r="278" spans="1:15" ht="12.75" hidden="1" customHeight="1">
      <c r="A278" s="1">
        <v>17</v>
      </c>
      <c r="B278" s="1">
        <v>1200</v>
      </c>
      <c r="C278" s="1" t="s">
        <v>1065</v>
      </c>
      <c r="D278" s="5" t="s">
        <v>1067</v>
      </c>
      <c r="E278" t="s">
        <v>236</v>
      </c>
      <c r="F278" s="2">
        <v>213</v>
      </c>
      <c r="G278" s="80">
        <v>994713</v>
      </c>
      <c r="J278" s="98">
        <f t="shared" si="8"/>
        <v>994713</v>
      </c>
      <c r="L278" s="80">
        <v>1757203</v>
      </c>
      <c r="O278" s="99">
        <f t="shared" si="9"/>
        <v>1757203</v>
      </c>
    </row>
    <row r="279" spans="1:15" ht="12.75" hidden="1" customHeight="1">
      <c r="A279" s="1">
        <v>17</v>
      </c>
      <c r="B279" s="1">
        <v>1850</v>
      </c>
      <c r="C279" s="1" t="s">
        <v>1065</v>
      </c>
      <c r="D279" s="5" t="s">
        <v>1068</v>
      </c>
      <c r="E279" t="s">
        <v>237</v>
      </c>
      <c r="F279" s="2">
        <v>937</v>
      </c>
      <c r="G279" s="80">
        <v>8191499</v>
      </c>
      <c r="I279" s="80">
        <v>126479</v>
      </c>
      <c r="J279" s="98">
        <f t="shared" si="8"/>
        <v>8317978</v>
      </c>
      <c r="L279" s="80">
        <v>602479</v>
      </c>
      <c r="M279" s="80">
        <v>287409</v>
      </c>
      <c r="N279" s="80">
        <v>381118</v>
      </c>
      <c r="O279" s="99">
        <f t="shared" si="9"/>
        <v>1271006</v>
      </c>
    </row>
    <row r="280" spans="1:15" ht="12.75" hidden="1" customHeight="1">
      <c r="A280" s="1">
        <v>17</v>
      </c>
      <c r="B280" s="1">
        <v>2060</v>
      </c>
      <c r="C280" s="1" t="s">
        <v>1065</v>
      </c>
      <c r="D280" s="5" t="s">
        <v>1069</v>
      </c>
      <c r="E280" t="s">
        <v>238</v>
      </c>
      <c r="F280" s="2">
        <v>1873.5</v>
      </c>
      <c r="G280" s="80">
        <v>7884341</v>
      </c>
      <c r="I280" s="80">
        <v>273964</v>
      </c>
      <c r="J280" s="98">
        <f t="shared" si="8"/>
        <v>8158305</v>
      </c>
      <c r="L280" s="80">
        <v>5819651</v>
      </c>
      <c r="N280" s="80">
        <v>38081</v>
      </c>
      <c r="O280" s="99">
        <f t="shared" si="9"/>
        <v>5857732</v>
      </c>
    </row>
    <row r="281" spans="1:15" ht="12.75" hidden="1" customHeight="1">
      <c r="A281" s="1">
        <v>17</v>
      </c>
      <c r="B281" s="1">
        <v>2210</v>
      </c>
      <c r="C281" s="1" t="s">
        <v>1065</v>
      </c>
      <c r="D281" s="5" t="s">
        <v>1070</v>
      </c>
      <c r="E281" t="s">
        <v>239</v>
      </c>
      <c r="F281" s="2">
        <v>1891</v>
      </c>
      <c r="G281" s="80">
        <v>32921770</v>
      </c>
      <c r="I281" s="80">
        <v>253391</v>
      </c>
      <c r="J281" s="98">
        <f t="shared" si="8"/>
        <v>33175161</v>
      </c>
      <c r="N281" s="80">
        <v>4278925</v>
      </c>
      <c r="O281" s="99">
        <f t="shared" si="9"/>
        <v>4278925</v>
      </c>
    </row>
    <row r="282" spans="1:15" ht="12.75" hidden="1" customHeight="1">
      <c r="A282" s="1">
        <v>17</v>
      </c>
      <c r="B282" s="1">
        <v>2295</v>
      </c>
      <c r="C282" s="1" t="s">
        <v>1065</v>
      </c>
      <c r="D282" s="5" t="s">
        <v>1071</v>
      </c>
      <c r="E282" t="s">
        <v>240</v>
      </c>
      <c r="F282" s="2">
        <v>1292</v>
      </c>
      <c r="H282" s="80">
        <v>24314000</v>
      </c>
      <c r="I282" s="80">
        <v>324690</v>
      </c>
      <c r="J282" s="98">
        <f t="shared" si="8"/>
        <v>24638690</v>
      </c>
      <c r="L282" s="80">
        <v>5824446</v>
      </c>
      <c r="N282" s="80">
        <v>605315</v>
      </c>
      <c r="O282" s="99">
        <f t="shared" si="9"/>
        <v>6429761</v>
      </c>
    </row>
    <row r="283" spans="1:15" ht="12.75" hidden="1" customHeight="1">
      <c r="A283" s="1">
        <v>17</v>
      </c>
      <c r="B283" s="1">
        <v>2390</v>
      </c>
      <c r="C283" s="1" t="s">
        <v>1065</v>
      </c>
      <c r="D283" s="5" t="s">
        <v>1072</v>
      </c>
      <c r="E283" s="2" t="s">
        <v>241</v>
      </c>
      <c r="F283" s="2">
        <v>28910</v>
      </c>
      <c r="G283" s="80">
        <v>79624878</v>
      </c>
      <c r="I283" s="80">
        <v>1882630</v>
      </c>
      <c r="J283" s="98">
        <f t="shared" si="8"/>
        <v>81507508</v>
      </c>
      <c r="L283" s="80">
        <v>140686297</v>
      </c>
      <c r="M283" s="80">
        <v>37475295</v>
      </c>
      <c r="N283" s="80">
        <v>100000</v>
      </c>
      <c r="O283" s="99">
        <f t="shared" si="9"/>
        <v>178261592</v>
      </c>
    </row>
    <row r="284" spans="1:15" ht="12.75" hidden="1" customHeight="1">
      <c r="A284" s="1">
        <v>17</v>
      </c>
      <c r="B284" s="1">
        <v>2410</v>
      </c>
      <c r="C284" s="1" t="s">
        <v>1065</v>
      </c>
      <c r="D284" s="5" t="s">
        <v>1073</v>
      </c>
      <c r="E284" t="s">
        <v>242</v>
      </c>
      <c r="F284" s="2">
        <v>5491.5</v>
      </c>
      <c r="G284" s="80">
        <v>41855063</v>
      </c>
      <c r="I284" s="80">
        <v>1183794</v>
      </c>
      <c r="J284" s="98">
        <f t="shared" si="8"/>
        <v>43038857</v>
      </c>
      <c r="K284" s="80"/>
      <c r="L284" s="80">
        <v>12854578</v>
      </c>
      <c r="O284" s="99">
        <f t="shared" si="9"/>
        <v>12854578</v>
      </c>
    </row>
    <row r="285" spans="1:15" ht="12.75" hidden="1" customHeight="1">
      <c r="A285" s="1">
        <v>17</v>
      </c>
      <c r="B285" s="1">
        <v>3610</v>
      </c>
      <c r="C285" s="1" t="s">
        <v>1065</v>
      </c>
      <c r="D285" s="5" t="s">
        <v>1074</v>
      </c>
      <c r="E285" t="s">
        <v>243</v>
      </c>
      <c r="F285" s="2">
        <v>7508.5</v>
      </c>
      <c r="G285" s="80">
        <v>36770533</v>
      </c>
      <c r="I285" s="80">
        <v>1073233</v>
      </c>
      <c r="J285" s="98">
        <f t="shared" si="8"/>
        <v>37843766</v>
      </c>
      <c r="L285" s="80">
        <v>18694706</v>
      </c>
      <c r="N285" s="80">
        <v>463525</v>
      </c>
      <c r="O285" s="99">
        <f t="shared" si="9"/>
        <v>19158231</v>
      </c>
    </row>
    <row r="286" spans="1:15" ht="12.75" hidden="1" customHeight="1">
      <c r="A286" s="1">
        <v>17</v>
      </c>
      <c r="B286" s="1">
        <v>4730</v>
      </c>
      <c r="C286" s="1" t="s">
        <v>1065</v>
      </c>
      <c r="D286" s="5" t="s">
        <v>1075</v>
      </c>
      <c r="E286" t="s">
        <v>244</v>
      </c>
      <c r="F286" s="2">
        <v>1996</v>
      </c>
      <c r="G286" s="80">
        <v>26696628</v>
      </c>
      <c r="I286" s="80">
        <v>378863</v>
      </c>
      <c r="J286" s="98">
        <f t="shared" si="8"/>
        <v>27075491</v>
      </c>
      <c r="K286" s="80"/>
      <c r="O286" s="99">
        <f t="shared" si="9"/>
        <v>0</v>
      </c>
    </row>
    <row r="287" spans="1:15" ht="12.75" hidden="1" customHeight="1">
      <c r="A287" s="1">
        <v>17</v>
      </c>
      <c r="B287" s="1">
        <v>5240</v>
      </c>
      <c r="C287" s="1" t="s">
        <v>1065</v>
      </c>
      <c r="D287" s="5" t="s">
        <v>1076</v>
      </c>
      <c r="E287" t="s">
        <v>245</v>
      </c>
      <c r="F287" s="2">
        <v>9760</v>
      </c>
      <c r="G287" s="80">
        <v>15100496</v>
      </c>
      <c r="I287" s="80">
        <v>3555805</v>
      </c>
      <c r="J287" s="98">
        <f t="shared" si="8"/>
        <v>18656301</v>
      </c>
      <c r="L287" s="80">
        <v>62723853</v>
      </c>
      <c r="M287" s="80">
        <v>7046650</v>
      </c>
      <c r="O287" s="99">
        <f t="shared" si="9"/>
        <v>69770503</v>
      </c>
    </row>
    <row r="288" spans="1:15" ht="12.75" hidden="1" customHeight="1">
      <c r="A288" s="1">
        <v>17</v>
      </c>
      <c r="B288" s="1">
        <v>5580</v>
      </c>
      <c r="C288" s="1" t="s">
        <v>1065</v>
      </c>
      <c r="D288" s="5" t="s">
        <v>1077</v>
      </c>
      <c r="E288" t="s">
        <v>246</v>
      </c>
      <c r="F288" s="2">
        <v>1173</v>
      </c>
      <c r="G288" s="80">
        <v>13351536</v>
      </c>
      <c r="I288" s="80">
        <v>614153</v>
      </c>
      <c r="J288" s="98">
        <f t="shared" si="8"/>
        <v>13965689</v>
      </c>
      <c r="O288" s="99">
        <f t="shared" si="9"/>
        <v>0</v>
      </c>
    </row>
    <row r="289" spans="1:15" ht="12.75" hidden="1" customHeight="1">
      <c r="A289" s="1">
        <v>17</v>
      </c>
      <c r="B289" s="1">
        <v>5670</v>
      </c>
      <c r="C289" s="1" t="s">
        <v>1065</v>
      </c>
      <c r="D289" s="5" t="s">
        <v>1078</v>
      </c>
      <c r="E289" t="s">
        <v>247</v>
      </c>
      <c r="F289" s="2">
        <v>7118.5</v>
      </c>
      <c r="G289" s="80">
        <v>12607840</v>
      </c>
      <c r="I289" s="80">
        <v>1142696</v>
      </c>
      <c r="J289" s="98">
        <f t="shared" si="8"/>
        <v>13750536</v>
      </c>
      <c r="L289" s="80">
        <v>30834901</v>
      </c>
      <c r="M289" s="80">
        <v>5031410</v>
      </c>
      <c r="O289" s="99">
        <f t="shared" si="9"/>
        <v>35866311</v>
      </c>
    </row>
    <row r="290" spans="1:15" ht="12.75" hidden="1" customHeight="1">
      <c r="A290" s="1">
        <v>19</v>
      </c>
      <c r="B290" s="1">
        <v>20</v>
      </c>
      <c r="C290" s="1" t="s">
        <v>1079</v>
      </c>
      <c r="D290" s="5" t="s">
        <v>1080</v>
      </c>
      <c r="E290" t="s">
        <v>248</v>
      </c>
      <c r="F290" s="2">
        <v>654</v>
      </c>
      <c r="G290" s="80">
        <v>6405579</v>
      </c>
      <c r="I290" s="80">
        <v>89171</v>
      </c>
      <c r="J290" s="98">
        <f t="shared" si="8"/>
        <v>6494750</v>
      </c>
      <c r="L290" s="80">
        <v>869779</v>
      </c>
      <c r="N290" s="80">
        <v>155719</v>
      </c>
      <c r="O290" s="99">
        <f t="shared" si="9"/>
        <v>1025498</v>
      </c>
    </row>
    <row r="291" spans="1:15" ht="12.75" hidden="1" customHeight="1">
      <c r="A291" s="1">
        <v>19</v>
      </c>
      <c r="B291" s="1">
        <v>370</v>
      </c>
      <c r="C291" s="1" t="s">
        <v>1079</v>
      </c>
      <c r="D291" s="5" t="s">
        <v>1081</v>
      </c>
      <c r="E291" t="s">
        <v>249</v>
      </c>
      <c r="F291" s="2">
        <v>622</v>
      </c>
      <c r="G291" s="80">
        <v>6570438</v>
      </c>
      <c r="J291" s="98">
        <f t="shared" si="8"/>
        <v>6570438</v>
      </c>
      <c r="L291" s="80">
        <v>659180</v>
      </c>
      <c r="O291" s="99">
        <f t="shared" si="9"/>
        <v>659180</v>
      </c>
    </row>
    <row r="292" spans="1:15" ht="12.75" hidden="1" customHeight="1">
      <c r="A292" s="1">
        <v>19</v>
      </c>
      <c r="B292" s="1">
        <v>430</v>
      </c>
      <c r="C292" s="1" t="s">
        <v>1079</v>
      </c>
      <c r="D292" s="5" t="s">
        <v>1082</v>
      </c>
      <c r="E292" t="s">
        <v>250</v>
      </c>
      <c r="F292" s="2">
        <v>154</v>
      </c>
      <c r="G292" s="80">
        <v>1460000</v>
      </c>
      <c r="I292" s="80">
        <v>13805</v>
      </c>
      <c r="J292" s="98">
        <f t="shared" si="8"/>
        <v>1473805</v>
      </c>
      <c r="L292" s="80">
        <v>114537</v>
      </c>
      <c r="M292" s="80">
        <v>5631</v>
      </c>
      <c r="N292" s="80">
        <v>129015</v>
      </c>
      <c r="O292" s="99">
        <f t="shared" si="9"/>
        <v>249183</v>
      </c>
    </row>
    <row r="293" spans="1:15" ht="12.75" hidden="1" customHeight="1">
      <c r="A293" s="1">
        <v>19</v>
      </c>
      <c r="B293" s="1">
        <v>670</v>
      </c>
      <c r="C293" s="1" t="s">
        <v>1079</v>
      </c>
      <c r="D293" s="5" t="s">
        <v>1083</v>
      </c>
      <c r="E293" t="s">
        <v>251</v>
      </c>
      <c r="F293" s="2">
        <v>141</v>
      </c>
      <c r="G293" s="80">
        <v>1735044</v>
      </c>
      <c r="I293" s="80">
        <v>41361</v>
      </c>
      <c r="J293" s="98">
        <f t="shared" si="8"/>
        <v>1776405</v>
      </c>
      <c r="L293" s="80">
        <v>101749</v>
      </c>
      <c r="N293" s="80">
        <v>2785</v>
      </c>
      <c r="O293" s="99">
        <f t="shared" si="9"/>
        <v>104534</v>
      </c>
    </row>
    <row r="294" spans="1:15" ht="12.75" hidden="1" customHeight="1">
      <c r="A294" s="1">
        <v>19</v>
      </c>
      <c r="B294" s="1">
        <v>910</v>
      </c>
      <c r="C294" s="1" t="s">
        <v>1079</v>
      </c>
      <c r="D294" s="5" t="s">
        <v>1084</v>
      </c>
      <c r="E294" t="s">
        <v>252</v>
      </c>
      <c r="F294" s="2">
        <v>555</v>
      </c>
      <c r="G294" s="80">
        <v>3714408</v>
      </c>
      <c r="I294" s="80">
        <v>11997</v>
      </c>
      <c r="J294" s="98">
        <f t="shared" si="8"/>
        <v>3726405</v>
      </c>
      <c r="O294" s="99">
        <f t="shared" si="9"/>
        <v>0</v>
      </c>
    </row>
    <row r="295" spans="1:15" ht="12.75" hidden="1" customHeight="1">
      <c r="A295" s="1">
        <v>19</v>
      </c>
      <c r="B295" s="1">
        <v>920</v>
      </c>
      <c r="C295" s="1" t="s">
        <v>1079</v>
      </c>
      <c r="D295" s="5" t="s">
        <v>1085</v>
      </c>
      <c r="E295" t="s">
        <v>253</v>
      </c>
      <c r="F295" s="2">
        <v>1805</v>
      </c>
      <c r="G295" s="80">
        <v>18273534</v>
      </c>
      <c r="I295" s="80">
        <v>196061</v>
      </c>
      <c r="J295" s="98">
        <f t="shared" si="8"/>
        <v>18469595</v>
      </c>
      <c r="O295" s="99">
        <f t="shared" si="9"/>
        <v>0</v>
      </c>
    </row>
    <row r="296" spans="1:15" ht="12.75" hidden="1" customHeight="1">
      <c r="A296" s="1">
        <v>19</v>
      </c>
      <c r="B296" s="1">
        <v>1040</v>
      </c>
      <c r="C296" s="1" t="s">
        <v>1079</v>
      </c>
      <c r="D296" s="5" t="s">
        <v>1086</v>
      </c>
      <c r="E296" t="s">
        <v>254</v>
      </c>
      <c r="F296" s="2">
        <v>484</v>
      </c>
      <c r="G296" s="80">
        <v>6035994</v>
      </c>
      <c r="I296" s="80">
        <v>72578</v>
      </c>
      <c r="J296" s="98">
        <f t="shared" si="8"/>
        <v>6108572</v>
      </c>
      <c r="N296" s="80">
        <v>606525</v>
      </c>
      <c r="O296" s="99">
        <f t="shared" si="9"/>
        <v>606525</v>
      </c>
    </row>
    <row r="297" spans="1:15" ht="12.75" hidden="1" customHeight="1">
      <c r="A297" s="1">
        <v>19</v>
      </c>
      <c r="B297" s="1">
        <v>1050</v>
      </c>
      <c r="C297" s="1" t="s">
        <v>1079</v>
      </c>
      <c r="D297" s="5" t="s">
        <v>1087</v>
      </c>
      <c r="E297" t="s">
        <v>255</v>
      </c>
      <c r="F297" s="2">
        <v>951.5</v>
      </c>
      <c r="G297" s="80">
        <v>10974948</v>
      </c>
      <c r="I297" s="80">
        <v>194610</v>
      </c>
      <c r="J297" s="98">
        <f t="shared" si="8"/>
        <v>11169558</v>
      </c>
      <c r="L297" s="80">
        <v>1750505</v>
      </c>
      <c r="N297" s="80">
        <v>821175</v>
      </c>
      <c r="O297" s="99">
        <f t="shared" si="9"/>
        <v>2571680</v>
      </c>
    </row>
    <row r="298" spans="1:15" ht="12.75" hidden="1" customHeight="1">
      <c r="A298" s="1">
        <v>19</v>
      </c>
      <c r="B298" s="1">
        <v>1160</v>
      </c>
      <c r="C298" s="1" t="s">
        <v>1079</v>
      </c>
      <c r="D298" s="5" t="s">
        <v>1088</v>
      </c>
      <c r="E298" t="s">
        <v>256</v>
      </c>
      <c r="F298" s="2">
        <v>497</v>
      </c>
      <c r="G298" s="80">
        <v>5428320</v>
      </c>
      <c r="I298" s="80">
        <v>66491</v>
      </c>
      <c r="J298" s="98">
        <f t="shared" si="8"/>
        <v>5494811</v>
      </c>
      <c r="N298" s="80">
        <v>334717</v>
      </c>
      <c r="O298" s="99">
        <f t="shared" si="9"/>
        <v>334717</v>
      </c>
    </row>
    <row r="299" spans="1:15" ht="12.75" hidden="1" customHeight="1">
      <c r="A299" s="1">
        <v>19</v>
      </c>
      <c r="B299" s="1">
        <v>1510</v>
      </c>
      <c r="C299" s="1" t="s">
        <v>1079</v>
      </c>
      <c r="D299" s="5" t="s">
        <v>1089</v>
      </c>
      <c r="E299" t="s">
        <v>257</v>
      </c>
      <c r="F299" s="2">
        <v>3587</v>
      </c>
      <c r="G299" s="80">
        <v>37820501</v>
      </c>
      <c r="I299" s="80">
        <v>1126695</v>
      </c>
      <c r="J299" s="98">
        <f t="shared" si="8"/>
        <v>38947196</v>
      </c>
      <c r="L299" s="80">
        <v>1486857</v>
      </c>
      <c r="N299" s="80">
        <v>1312672</v>
      </c>
      <c r="O299" s="99">
        <f t="shared" si="9"/>
        <v>2799529</v>
      </c>
    </row>
    <row r="300" spans="1:15" ht="12.75" hidden="1" customHeight="1">
      <c r="A300" s="1">
        <v>19</v>
      </c>
      <c r="B300" s="1">
        <v>1600</v>
      </c>
      <c r="C300" s="1" t="s">
        <v>1079</v>
      </c>
      <c r="D300" s="5" t="s">
        <v>1043</v>
      </c>
      <c r="E300" t="s">
        <v>258</v>
      </c>
      <c r="F300" s="2">
        <v>352</v>
      </c>
      <c r="G300" s="80">
        <v>4781071</v>
      </c>
      <c r="I300" s="80">
        <v>36378</v>
      </c>
      <c r="J300" s="98">
        <f t="shared" si="8"/>
        <v>4817449</v>
      </c>
      <c r="O300" s="99">
        <f t="shared" si="9"/>
        <v>0</v>
      </c>
    </row>
    <row r="301" spans="1:15" ht="12.75" hidden="1" customHeight="1">
      <c r="A301" s="1">
        <v>19</v>
      </c>
      <c r="B301" s="1">
        <v>1680</v>
      </c>
      <c r="C301" s="1" t="s">
        <v>1079</v>
      </c>
      <c r="D301" s="5" t="s">
        <v>1090</v>
      </c>
      <c r="E301" t="s">
        <v>259</v>
      </c>
      <c r="F301" s="2">
        <v>141</v>
      </c>
      <c r="G301" s="80">
        <v>1352227</v>
      </c>
      <c r="I301" s="80">
        <v>17559</v>
      </c>
      <c r="J301" s="98">
        <f t="shared" si="8"/>
        <v>1369786</v>
      </c>
      <c r="N301" s="80">
        <v>531438</v>
      </c>
      <c r="O301" s="99">
        <f t="shared" si="9"/>
        <v>531438</v>
      </c>
    </row>
    <row r="302" spans="1:15" ht="12.75" hidden="1" customHeight="1">
      <c r="A302" s="1">
        <v>19</v>
      </c>
      <c r="B302" s="1">
        <v>1740</v>
      </c>
      <c r="C302" s="1" t="s">
        <v>1079</v>
      </c>
      <c r="D302" s="5" t="s">
        <v>1091</v>
      </c>
      <c r="E302"/>
      <c r="F302" s="2"/>
      <c r="G302" s="80">
        <v>1451415</v>
      </c>
      <c r="I302" s="80">
        <v>14322</v>
      </c>
      <c r="J302" s="98">
        <f t="shared" si="8"/>
        <v>1465737</v>
      </c>
      <c r="L302" s="80">
        <v>471832</v>
      </c>
      <c r="M302" s="80">
        <v>87212</v>
      </c>
      <c r="N302" s="80">
        <v>168621</v>
      </c>
      <c r="O302" s="99">
        <f t="shared" si="9"/>
        <v>727665</v>
      </c>
    </row>
    <row r="303" spans="1:15" ht="12.75" hidden="1" customHeight="1">
      <c r="A303" s="1">
        <v>19</v>
      </c>
      <c r="B303" s="1">
        <v>1970</v>
      </c>
      <c r="C303" s="1" t="s">
        <v>1079</v>
      </c>
      <c r="D303" s="5" t="s">
        <v>1092</v>
      </c>
      <c r="E303" t="s">
        <v>260</v>
      </c>
      <c r="F303" s="2">
        <v>187</v>
      </c>
      <c r="G303" s="80">
        <v>1729693</v>
      </c>
      <c r="I303" s="80">
        <v>5412</v>
      </c>
      <c r="J303" s="98">
        <f t="shared" si="8"/>
        <v>1735105</v>
      </c>
      <c r="L303" s="80">
        <v>523247</v>
      </c>
      <c r="O303" s="99">
        <f t="shared" si="9"/>
        <v>523247</v>
      </c>
    </row>
    <row r="304" spans="1:15" ht="12.75" hidden="1" customHeight="1">
      <c r="A304" s="1">
        <v>19</v>
      </c>
      <c r="B304" s="1">
        <v>2140</v>
      </c>
      <c r="C304" s="1" t="s">
        <v>1079</v>
      </c>
      <c r="D304" s="5" t="s">
        <v>1093</v>
      </c>
      <c r="E304" t="s">
        <v>261</v>
      </c>
      <c r="F304" s="2">
        <v>432</v>
      </c>
      <c r="G304" s="80">
        <v>4311838</v>
      </c>
      <c r="I304" s="80">
        <v>25444</v>
      </c>
      <c r="J304" s="98">
        <f t="shared" si="8"/>
        <v>4337282</v>
      </c>
      <c r="L304" s="80">
        <v>720874</v>
      </c>
      <c r="M304" s="80">
        <v>257603</v>
      </c>
      <c r="N304" s="80">
        <v>29686</v>
      </c>
      <c r="O304" s="99">
        <f t="shared" si="9"/>
        <v>1008163</v>
      </c>
    </row>
    <row r="305" spans="1:15" ht="12.75" hidden="1" customHeight="1">
      <c r="A305" s="1">
        <v>19</v>
      </c>
      <c r="B305" s="1">
        <v>2220</v>
      </c>
      <c r="C305" s="1" t="s">
        <v>1079</v>
      </c>
      <c r="D305" s="5" t="s">
        <v>1094</v>
      </c>
      <c r="E305" t="s">
        <v>262</v>
      </c>
      <c r="F305" s="2">
        <v>718</v>
      </c>
      <c r="G305" s="80">
        <v>6990227</v>
      </c>
      <c r="I305" s="80">
        <v>92576</v>
      </c>
      <c r="J305" s="98">
        <f t="shared" si="8"/>
        <v>7082803</v>
      </c>
      <c r="L305" s="80">
        <v>832842</v>
      </c>
      <c r="N305" s="80">
        <v>174458</v>
      </c>
      <c r="O305" s="99">
        <f t="shared" si="9"/>
        <v>1007300</v>
      </c>
    </row>
    <row r="306" spans="1:15" ht="12.75" hidden="1" customHeight="1">
      <c r="A306" s="1">
        <v>19</v>
      </c>
      <c r="B306" s="1">
        <v>2300</v>
      </c>
      <c r="C306" s="1" t="s">
        <v>1079</v>
      </c>
      <c r="D306" s="5" t="s">
        <v>1095</v>
      </c>
      <c r="E306" t="s">
        <v>263</v>
      </c>
      <c r="F306" s="2">
        <v>2891.5</v>
      </c>
      <c r="G306" s="80">
        <v>45892717</v>
      </c>
      <c r="I306" s="80">
        <v>855989</v>
      </c>
      <c r="J306" s="98">
        <f t="shared" si="8"/>
        <v>46748706</v>
      </c>
      <c r="L306" s="80">
        <v>1941852</v>
      </c>
      <c r="N306" s="80">
        <v>1007809</v>
      </c>
      <c r="O306" s="99">
        <f t="shared" si="9"/>
        <v>2949661</v>
      </c>
    </row>
    <row r="307" spans="1:15" ht="12.75" hidden="1" customHeight="1">
      <c r="A307" s="1">
        <v>19</v>
      </c>
      <c r="B307" s="1">
        <v>2305</v>
      </c>
      <c r="C307" s="1" t="s">
        <v>1079</v>
      </c>
      <c r="D307" s="5" t="s">
        <v>1096</v>
      </c>
      <c r="E307" t="s">
        <v>264</v>
      </c>
      <c r="F307" s="2">
        <v>116.5</v>
      </c>
      <c r="I307" s="80">
        <v>244242</v>
      </c>
      <c r="J307" s="98">
        <f t="shared" si="8"/>
        <v>244242</v>
      </c>
      <c r="O307" s="99">
        <f t="shared" si="9"/>
        <v>0</v>
      </c>
    </row>
    <row r="308" spans="1:15" ht="12.75" hidden="1" customHeight="1">
      <c r="A308" s="1">
        <v>19</v>
      </c>
      <c r="B308" s="1">
        <v>2308</v>
      </c>
      <c r="C308" s="1" t="s">
        <v>1079</v>
      </c>
      <c r="D308" s="5" t="s">
        <v>1097</v>
      </c>
      <c r="E308" t="s">
        <v>265</v>
      </c>
      <c r="F308" s="2">
        <v>223.5</v>
      </c>
      <c r="H308" s="80">
        <v>1349206</v>
      </c>
      <c r="I308" s="80">
        <v>134571</v>
      </c>
      <c r="J308" s="98">
        <f t="shared" si="8"/>
        <v>1483777</v>
      </c>
      <c r="L308" s="80">
        <v>580</v>
      </c>
      <c r="N308" s="80">
        <v>56931</v>
      </c>
      <c r="O308" s="99">
        <f t="shared" si="9"/>
        <v>57511</v>
      </c>
    </row>
    <row r="309" spans="1:15" ht="12.75" hidden="1" customHeight="1">
      <c r="A309" s="1">
        <v>19</v>
      </c>
      <c r="B309" s="1">
        <v>2450</v>
      </c>
      <c r="C309" s="1" t="s">
        <v>1079</v>
      </c>
      <c r="D309" s="5" t="s">
        <v>1098</v>
      </c>
      <c r="E309" t="s">
        <v>266</v>
      </c>
      <c r="F309" s="2">
        <v>488</v>
      </c>
      <c r="G309" s="80">
        <v>4564642</v>
      </c>
      <c r="I309" s="80">
        <v>87811</v>
      </c>
      <c r="J309" s="98">
        <f t="shared" si="8"/>
        <v>4652453</v>
      </c>
      <c r="L309" s="80">
        <v>853693</v>
      </c>
      <c r="O309" s="99">
        <f t="shared" si="9"/>
        <v>853693</v>
      </c>
    </row>
    <row r="310" spans="1:15" ht="12.75" hidden="1" customHeight="1">
      <c r="A310" s="1">
        <v>19</v>
      </c>
      <c r="B310" s="1">
        <v>2530</v>
      </c>
      <c r="C310" s="1" t="s">
        <v>1079</v>
      </c>
      <c r="D310" s="5" t="s">
        <v>1099</v>
      </c>
      <c r="E310" t="s">
        <v>267</v>
      </c>
      <c r="F310" s="2">
        <v>165</v>
      </c>
      <c r="G310" s="80">
        <v>2418317</v>
      </c>
      <c r="I310" s="80">
        <v>20360</v>
      </c>
      <c r="J310" s="98">
        <f t="shared" si="8"/>
        <v>2438677</v>
      </c>
      <c r="N310" s="80">
        <v>96746</v>
      </c>
      <c r="O310" s="99">
        <f t="shared" si="9"/>
        <v>96746</v>
      </c>
    </row>
    <row r="311" spans="1:15" ht="12.75" hidden="1" customHeight="1">
      <c r="A311" s="1">
        <v>19</v>
      </c>
      <c r="B311" s="1">
        <v>2590</v>
      </c>
      <c r="C311" s="1" t="s">
        <v>1079</v>
      </c>
      <c r="D311" s="5" t="s">
        <v>1100</v>
      </c>
      <c r="E311" t="s">
        <v>268</v>
      </c>
      <c r="F311" s="2">
        <v>81</v>
      </c>
      <c r="G311" s="80">
        <v>2005741</v>
      </c>
      <c r="I311" s="80">
        <v>13256</v>
      </c>
      <c r="J311" s="98">
        <f t="shared" si="8"/>
        <v>2018997</v>
      </c>
      <c r="N311" s="80">
        <v>48570</v>
      </c>
      <c r="O311" s="99">
        <f t="shared" si="9"/>
        <v>48570</v>
      </c>
    </row>
    <row r="312" spans="1:15" ht="12.75" hidden="1" customHeight="1">
      <c r="A312" s="1">
        <v>19</v>
      </c>
      <c r="B312" s="1">
        <v>2600</v>
      </c>
      <c r="C312" s="1" t="s">
        <v>1079</v>
      </c>
      <c r="D312" s="5" t="s">
        <v>1101</v>
      </c>
      <c r="E312" t="s">
        <v>269</v>
      </c>
      <c r="F312" s="2">
        <v>829</v>
      </c>
      <c r="G312" s="80">
        <v>9178909</v>
      </c>
      <c r="I312" s="80">
        <v>58366</v>
      </c>
      <c r="J312" s="98">
        <f t="shared" si="8"/>
        <v>9237275</v>
      </c>
      <c r="L312" s="80">
        <v>1113543</v>
      </c>
      <c r="O312" s="99">
        <f t="shared" si="9"/>
        <v>1113543</v>
      </c>
    </row>
    <row r="313" spans="1:15" ht="12.75" hidden="1" customHeight="1">
      <c r="A313" s="1">
        <v>19</v>
      </c>
      <c r="B313" s="1">
        <v>3180</v>
      </c>
      <c r="C313" s="1" t="s">
        <v>1079</v>
      </c>
      <c r="D313" s="5" t="s">
        <v>1102</v>
      </c>
      <c r="E313" t="s">
        <v>270</v>
      </c>
      <c r="F313" s="2">
        <v>119</v>
      </c>
      <c r="G313" s="80">
        <v>1488610</v>
      </c>
      <c r="I313" s="80">
        <v>11830</v>
      </c>
      <c r="J313" s="98">
        <f t="shared" si="8"/>
        <v>1500440</v>
      </c>
      <c r="L313" s="80">
        <v>90299</v>
      </c>
      <c r="O313" s="99">
        <f t="shared" si="9"/>
        <v>90299</v>
      </c>
    </row>
    <row r="314" spans="1:15" ht="12.75" hidden="1" customHeight="1">
      <c r="A314" s="1">
        <v>19</v>
      </c>
      <c r="B314" s="1">
        <v>3660</v>
      </c>
      <c r="C314" s="1" t="s">
        <v>1079</v>
      </c>
      <c r="D314" s="5" t="s">
        <v>1103</v>
      </c>
      <c r="E314" t="s">
        <v>271</v>
      </c>
      <c r="F314" s="2">
        <v>2963.5</v>
      </c>
      <c r="G314" s="80">
        <v>43789154</v>
      </c>
      <c r="J314" s="98">
        <f t="shared" si="8"/>
        <v>43789154</v>
      </c>
      <c r="L314" s="80">
        <v>2440478</v>
      </c>
      <c r="N314" s="80">
        <v>471613</v>
      </c>
      <c r="O314" s="99">
        <f t="shared" si="9"/>
        <v>2912091</v>
      </c>
    </row>
    <row r="315" spans="1:15" ht="12.75" hidden="1" customHeight="1">
      <c r="A315" s="1">
        <v>19</v>
      </c>
      <c r="B315" s="1">
        <v>4350</v>
      </c>
      <c r="C315" s="1" t="s">
        <v>1079</v>
      </c>
      <c r="D315" s="5" t="s">
        <v>1104</v>
      </c>
      <c r="E315" t="s">
        <v>272</v>
      </c>
      <c r="F315" s="2">
        <v>2234</v>
      </c>
      <c r="G315" s="80">
        <v>27923891</v>
      </c>
      <c r="I315" s="80">
        <v>322620</v>
      </c>
      <c r="J315" s="98">
        <f t="shared" si="8"/>
        <v>28246511</v>
      </c>
      <c r="O315" s="99">
        <f t="shared" si="9"/>
        <v>0</v>
      </c>
    </row>
    <row r="316" spans="1:15" ht="12.75" hidden="1" customHeight="1">
      <c r="A316" s="1">
        <v>19</v>
      </c>
      <c r="B316" s="1">
        <v>4890</v>
      </c>
      <c r="C316" s="1" t="s">
        <v>1079</v>
      </c>
      <c r="D316" s="5" t="s">
        <v>1105</v>
      </c>
      <c r="E316" t="s">
        <v>273</v>
      </c>
      <c r="F316" s="2">
        <v>341</v>
      </c>
      <c r="G316" s="80">
        <v>6839303</v>
      </c>
      <c r="I316" s="80">
        <v>57439</v>
      </c>
      <c r="J316" s="98">
        <f t="shared" si="8"/>
        <v>6896742</v>
      </c>
      <c r="N316" s="80">
        <v>187602</v>
      </c>
      <c r="O316" s="99">
        <f t="shared" si="9"/>
        <v>187602</v>
      </c>
    </row>
    <row r="317" spans="1:15" ht="12.75" hidden="1" customHeight="1">
      <c r="A317" s="1">
        <v>19</v>
      </c>
      <c r="B317" s="1">
        <v>5050</v>
      </c>
      <c r="C317" s="1" t="s">
        <v>1079</v>
      </c>
      <c r="D317" s="5" t="s">
        <v>1106</v>
      </c>
      <c r="E317" t="s">
        <v>274</v>
      </c>
      <c r="F317" s="2">
        <v>48</v>
      </c>
      <c r="G317" s="80">
        <v>549360</v>
      </c>
      <c r="I317" s="80">
        <v>5822</v>
      </c>
      <c r="J317" s="98">
        <f t="shared" si="8"/>
        <v>555182</v>
      </c>
      <c r="N317" s="80">
        <v>2285</v>
      </c>
      <c r="O317" s="99">
        <f t="shared" si="9"/>
        <v>2285</v>
      </c>
    </row>
    <row r="318" spans="1:15" ht="12.75" hidden="1" customHeight="1">
      <c r="A318" s="1">
        <v>19</v>
      </c>
      <c r="B318" s="1">
        <v>5180</v>
      </c>
      <c r="C318" s="1" t="s">
        <v>1079</v>
      </c>
      <c r="D318" s="5" t="s">
        <v>1107</v>
      </c>
      <c r="E318" t="s">
        <v>275</v>
      </c>
      <c r="F318" s="2">
        <v>768</v>
      </c>
      <c r="G318" s="80">
        <v>10176892</v>
      </c>
      <c r="I318" s="80">
        <v>148004</v>
      </c>
      <c r="J318" s="98">
        <f t="shared" si="8"/>
        <v>10324896</v>
      </c>
      <c r="O318" s="99">
        <f t="shared" si="9"/>
        <v>0</v>
      </c>
    </row>
    <row r="319" spans="1:15" ht="12.75" hidden="1" customHeight="1">
      <c r="A319" s="1">
        <v>19</v>
      </c>
      <c r="B319" s="1">
        <v>5270</v>
      </c>
      <c r="C319" s="1" t="s">
        <v>1079</v>
      </c>
      <c r="D319" s="5" t="s">
        <v>1108</v>
      </c>
      <c r="E319" t="s">
        <v>276</v>
      </c>
      <c r="F319" s="2">
        <v>600</v>
      </c>
      <c r="G319" s="80">
        <v>7323876</v>
      </c>
      <c r="I319" s="80">
        <v>68266</v>
      </c>
      <c r="J319" s="98">
        <f t="shared" si="8"/>
        <v>7392142</v>
      </c>
      <c r="L319" s="80">
        <v>3790</v>
      </c>
      <c r="N319" s="80">
        <v>106568</v>
      </c>
      <c r="O319" s="99">
        <f t="shared" si="9"/>
        <v>110358</v>
      </c>
    </row>
    <row r="320" spans="1:15" ht="12.75" hidden="1" customHeight="1">
      <c r="A320" s="1">
        <v>19</v>
      </c>
      <c r="B320" s="1">
        <v>5600</v>
      </c>
      <c r="C320" s="1" t="s">
        <v>1079</v>
      </c>
      <c r="D320" s="5" t="s">
        <v>1109</v>
      </c>
      <c r="E320" t="s">
        <v>277</v>
      </c>
      <c r="F320" s="2">
        <v>254</v>
      </c>
      <c r="G320" s="80">
        <v>3075502</v>
      </c>
      <c r="I320" s="80">
        <v>38933</v>
      </c>
      <c r="J320" s="98">
        <f t="shared" si="8"/>
        <v>3114435</v>
      </c>
      <c r="O320" s="99">
        <f t="shared" si="9"/>
        <v>0</v>
      </c>
    </row>
    <row r="321" spans="1:15" ht="12.75" hidden="1" customHeight="1">
      <c r="A321" s="1">
        <v>21</v>
      </c>
      <c r="B321" s="1">
        <v>1245</v>
      </c>
      <c r="C321" s="1" t="s">
        <v>1110</v>
      </c>
      <c r="D321" s="5" t="s">
        <v>1111</v>
      </c>
      <c r="E321" t="s">
        <v>278</v>
      </c>
      <c r="F321" s="2">
        <v>5031.5</v>
      </c>
      <c r="G321" s="80">
        <v>52392602</v>
      </c>
      <c r="I321" s="80">
        <v>604156</v>
      </c>
      <c r="J321" s="98">
        <f t="shared" si="8"/>
        <v>52996758</v>
      </c>
      <c r="L321" s="80">
        <v>6228143</v>
      </c>
      <c r="M321" s="80">
        <v>2998659</v>
      </c>
      <c r="O321" s="99">
        <f t="shared" si="9"/>
        <v>9226802</v>
      </c>
    </row>
    <row r="322" spans="1:15" ht="12.75" hidden="1" customHeight="1">
      <c r="A322" s="1">
        <v>21</v>
      </c>
      <c r="B322" s="1">
        <v>1430</v>
      </c>
      <c r="C322" s="1" t="s">
        <v>1110</v>
      </c>
      <c r="D322" s="5" t="s">
        <v>1112</v>
      </c>
      <c r="E322" t="s">
        <v>279</v>
      </c>
      <c r="F322" s="2">
        <v>3861</v>
      </c>
      <c r="G322" s="80">
        <v>40896413</v>
      </c>
      <c r="I322" s="80">
        <v>498309</v>
      </c>
      <c r="J322" s="98">
        <f t="shared" si="8"/>
        <v>41394722</v>
      </c>
      <c r="N322" s="80">
        <v>2258423</v>
      </c>
      <c r="O322" s="99">
        <f t="shared" si="9"/>
        <v>2258423</v>
      </c>
    </row>
    <row r="323" spans="1:15" ht="12.75" hidden="1" customHeight="1">
      <c r="A323" s="1">
        <v>21</v>
      </c>
      <c r="B323" s="1">
        <v>1950</v>
      </c>
      <c r="C323" s="1" t="s">
        <v>1110</v>
      </c>
      <c r="D323" s="5" t="s">
        <v>1782</v>
      </c>
      <c r="E323" t="s">
        <v>280</v>
      </c>
      <c r="F323" s="2">
        <v>13207.5</v>
      </c>
      <c r="G323" s="80">
        <v>91928223</v>
      </c>
      <c r="I323" s="80">
        <v>1507386</v>
      </c>
      <c r="J323" s="98">
        <f t="shared" si="8"/>
        <v>93435609</v>
      </c>
      <c r="L323" s="80">
        <v>31855304</v>
      </c>
      <c r="O323" s="99">
        <f t="shared" si="9"/>
        <v>31855304</v>
      </c>
    </row>
    <row r="324" spans="1:15" ht="12.75" hidden="1" customHeight="1">
      <c r="A324" s="1">
        <v>21</v>
      </c>
      <c r="B324" s="1">
        <v>2280</v>
      </c>
      <c r="C324" s="1" t="s">
        <v>1110</v>
      </c>
      <c r="D324" s="5" t="s">
        <v>1113</v>
      </c>
      <c r="E324" t="s">
        <v>281</v>
      </c>
      <c r="F324" s="2">
        <v>4035.5</v>
      </c>
      <c r="G324" s="80">
        <v>55061914</v>
      </c>
      <c r="I324" s="80">
        <v>733098</v>
      </c>
      <c r="J324" s="98">
        <f t="shared" si="8"/>
        <v>55795012</v>
      </c>
      <c r="O324" s="99">
        <f t="shared" si="9"/>
        <v>0</v>
      </c>
    </row>
    <row r="325" spans="1:15" ht="12.75" hidden="1" customHeight="1">
      <c r="A325" s="1">
        <v>21</v>
      </c>
      <c r="B325" s="1">
        <v>2580</v>
      </c>
      <c r="C325" s="1" t="s">
        <v>1110</v>
      </c>
      <c r="D325" s="5" t="s">
        <v>1179</v>
      </c>
      <c r="E325" t="s">
        <v>282</v>
      </c>
      <c r="F325" s="2">
        <v>4004.5</v>
      </c>
      <c r="G325" s="80">
        <v>53698356</v>
      </c>
      <c r="I325" s="80">
        <v>652135</v>
      </c>
      <c r="J325" s="98">
        <f t="shared" ref="J325:J388" si="10">SUM(G325:I325)</f>
        <v>54350491</v>
      </c>
      <c r="O325" s="99">
        <f t="shared" ref="O325:O388" si="11">SUM(L325:N325)</f>
        <v>0</v>
      </c>
    </row>
    <row r="326" spans="1:15" ht="12.75" hidden="1" customHeight="1">
      <c r="A326" s="1">
        <v>21</v>
      </c>
      <c r="B326" s="1">
        <v>3103</v>
      </c>
      <c r="C326" s="1" t="s">
        <v>1110</v>
      </c>
      <c r="D326" s="5" t="s">
        <v>931</v>
      </c>
      <c r="E326" t="s">
        <v>283</v>
      </c>
      <c r="F326" s="2">
        <v>760</v>
      </c>
      <c r="H326" s="80">
        <v>1826110</v>
      </c>
      <c r="I326" s="80">
        <v>99541</v>
      </c>
      <c r="J326" s="98">
        <f t="shared" si="10"/>
        <v>1925651</v>
      </c>
      <c r="O326" s="99">
        <f t="shared" si="11"/>
        <v>0</v>
      </c>
    </row>
    <row r="327" spans="1:15" ht="12.75" hidden="1" customHeight="1">
      <c r="A327" s="1">
        <v>21</v>
      </c>
      <c r="B327" s="1">
        <v>3105</v>
      </c>
      <c r="C327" s="1" t="s">
        <v>1110</v>
      </c>
      <c r="D327" s="5" t="s">
        <v>932</v>
      </c>
      <c r="E327" t="s">
        <v>284</v>
      </c>
      <c r="F327" s="2">
        <v>445</v>
      </c>
      <c r="H327" s="80">
        <v>6374479</v>
      </c>
      <c r="I327" s="80">
        <v>729379</v>
      </c>
      <c r="J327" s="98">
        <f t="shared" si="10"/>
        <v>7103858</v>
      </c>
      <c r="L327" s="80">
        <v>587436</v>
      </c>
      <c r="O327" s="99">
        <f t="shared" si="11"/>
        <v>587436</v>
      </c>
    </row>
    <row r="328" spans="1:15" ht="12.75" customHeight="1">
      <c r="A328" s="1">
        <v>21</v>
      </c>
      <c r="B328" s="1">
        <v>4255</v>
      </c>
      <c r="C328" s="1" t="s">
        <v>1110</v>
      </c>
      <c r="D328" s="5" t="s">
        <v>933</v>
      </c>
      <c r="E328" t="s">
        <v>285</v>
      </c>
      <c r="F328" s="2">
        <v>4262</v>
      </c>
      <c r="G328" s="80">
        <v>54925520</v>
      </c>
      <c r="I328" s="80">
        <v>1004045</v>
      </c>
      <c r="J328" s="98">
        <f t="shared" si="10"/>
        <v>55929565</v>
      </c>
      <c r="O328" s="99">
        <f t="shared" si="11"/>
        <v>0</v>
      </c>
    </row>
    <row r="329" spans="1:15" ht="12.75" hidden="1" customHeight="1">
      <c r="A329" s="1">
        <v>21</v>
      </c>
      <c r="B329" s="1">
        <v>5210</v>
      </c>
      <c r="C329" s="1" t="s">
        <v>1110</v>
      </c>
      <c r="D329" s="5" t="s">
        <v>934</v>
      </c>
      <c r="E329" s="2" t="s">
        <v>178</v>
      </c>
      <c r="F329" s="2">
        <v>12047.5</v>
      </c>
      <c r="G329" s="80">
        <v>21115662</v>
      </c>
      <c r="I329" s="80">
        <v>1816115</v>
      </c>
      <c r="J329" s="98">
        <f t="shared" si="10"/>
        <v>22931777</v>
      </c>
      <c r="L329" s="80">
        <v>95433719</v>
      </c>
      <c r="M329" s="80">
        <v>9983646</v>
      </c>
      <c r="O329" s="99">
        <f t="shared" si="11"/>
        <v>105417365</v>
      </c>
    </row>
    <row r="330" spans="1:15" ht="12.75" hidden="1" customHeight="1">
      <c r="A330" s="1">
        <v>21</v>
      </c>
      <c r="B330" s="1">
        <v>5510</v>
      </c>
      <c r="C330" s="1" t="s">
        <v>1110</v>
      </c>
      <c r="D330" s="5" t="s">
        <v>935</v>
      </c>
      <c r="E330" t="s">
        <v>179</v>
      </c>
      <c r="F330" s="2">
        <v>2215.5</v>
      </c>
      <c r="G330" s="80">
        <v>24833670</v>
      </c>
      <c r="I330" s="80">
        <v>200269</v>
      </c>
      <c r="J330" s="98">
        <f t="shared" si="10"/>
        <v>25033939</v>
      </c>
      <c r="O330" s="99">
        <f t="shared" si="11"/>
        <v>0</v>
      </c>
    </row>
    <row r="331" spans="1:15" ht="12.75" hidden="1" customHeight="1">
      <c r="A331" s="1">
        <v>21</v>
      </c>
      <c r="B331" s="1">
        <v>5715</v>
      </c>
      <c r="C331" s="1" t="s">
        <v>1110</v>
      </c>
      <c r="D331" s="5" t="s">
        <v>936</v>
      </c>
      <c r="E331" t="s">
        <v>180</v>
      </c>
      <c r="F331" s="2">
        <v>9508.5</v>
      </c>
      <c r="G331" s="80">
        <v>116252401</v>
      </c>
      <c r="I331" s="80">
        <v>1734102</v>
      </c>
      <c r="J331" s="98">
        <f t="shared" si="10"/>
        <v>117986503</v>
      </c>
      <c r="L331" s="80">
        <v>309051</v>
      </c>
      <c r="N331" s="80">
        <v>836290</v>
      </c>
      <c r="O331" s="99">
        <f t="shared" si="11"/>
        <v>1145341</v>
      </c>
    </row>
    <row r="332" spans="1:15" ht="12.75" hidden="1" customHeight="1">
      <c r="A332" s="1">
        <v>23</v>
      </c>
      <c r="B332" s="1">
        <v>750</v>
      </c>
      <c r="C332" s="1" t="s">
        <v>937</v>
      </c>
      <c r="D332" s="5" t="s">
        <v>938</v>
      </c>
      <c r="E332" t="s">
        <v>181</v>
      </c>
      <c r="F332" s="2">
        <v>3872.5</v>
      </c>
      <c r="G332" s="80">
        <v>22650864</v>
      </c>
      <c r="I332" s="80">
        <v>449828</v>
      </c>
      <c r="J332" s="98">
        <f t="shared" si="10"/>
        <v>23100692</v>
      </c>
      <c r="L332" s="80">
        <v>11413122</v>
      </c>
      <c r="N332" s="80">
        <v>116404</v>
      </c>
      <c r="O332" s="99">
        <f t="shared" si="11"/>
        <v>11529526</v>
      </c>
    </row>
    <row r="333" spans="1:15" ht="12.75" hidden="1" customHeight="1">
      <c r="A333" s="1">
        <v>23</v>
      </c>
      <c r="B333" s="1">
        <v>970</v>
      </c>
      <c r="C333" s="1" t="s">
        <v>937</v>
      </c>
      <c r="D333" s="5" t="s">
        <v>939</v>
      </c>
      <c r="E333" t="s">
        <v>182</v>
      </c>
      <c r="F333" s="2">
        <v>637</v>
      </c>
      <c r="G333" s="80">
        <v>13832437</v>
      </c>
      <c r="I333" s="80">
        <v>161506</v>
      </c>
      <c r="J333" s="98">
        <f t="shared" si="10"/>
        <v>13993943</v>
      </c>
      <c r="O333" s="99">
        <f t="shared" si="11"/>
        <v>0</v>
      </c>
    </row>
    <row r="334" spans="1:15" ht="12.75" hidden="1" customHeight="1">
      <c r="A334" s="1">
        <v>23</v>
      </c>
      <c r="B334" s="1">
        <v>1140</v>
      </c>
      <c r="C334" s="1" t="s">
        <v>937</v>
      </c>
      <c r="D334" s="5" t="s">
        <v>940</v>
      </c>
      <c r="E334" t="s">
        <v>183</v>
      </c>
      <c r="F334" s="2">
        <v>1090.5</v>
      </c>
      <c r="G334" s="80">
        <v>7668256</v>
      </c>
      <c r="I334" s="80">
        <v>8543</v>
      </c>
      <c r="J334" s="98">
        <f t="shared" si="10"/>
        <v>7676799</v>
      </c>
      <c r="L334" s="80">
        <v>2571466</v>
      </c>
      <c r="M334" s="80">
        <v>257940</v>
      </c>
      <c r="O334" s="99">
        <f t="shared" si="11"/>
        <v>2829406</v>
      </c>
    </row>
    <row r="335" spans="1:15" ht="12.75" hidden="1" customHeight="1">
      <c r="A335" s="1">
        <v>23</v>
      </c>
      <c r="B335" s="1">
        <v>1170</v>
      </c>
      <c r="C335" s="1" t="s">
        <v>937</v>
      </c>
      <c r="D335" s="5" t="s">
        <v>941</v>
      </c>
      <c r="E335" t="s">
        <v>184</v>
      </c>
      <c r="F335" s="2">
        <v>8967</v>
      </c>
      <c r="G335" s="80">
        <v>98543803</v>
      </c>
      <c r="I335" s="80">
        <v>1483134</v>
      </c>
      <c r="J335" s="98">
        <f t="shared" si="10"/>
        <v>100026937</v>
      </c>
      <c r="L335" s="80">
        <v>8649678</v>
      </c>
      <c r="O335" s="99">
        <f t="shared" si="11"/>
        <v>8649678</v>
      </c>
    </row>
    <row r="336" spans="1:15" ht="12.75" hidden="1" customHeight="1">
      <c r="A336" s="1">
        <v>23</v>
      </c>
      <c r="B336" s="1">
        <v>1290</v>
      </c>
      <c r="C336" s="1" t="s">
        <v>937</v>
      </c>
      <c r="D336" s="5" t="s">
        <v>942</v>
      </c>
      <c r="E336" t="s">
        <v>185</v>
      </c>
      <c r="F336" s="2">
        <v>13689.5</v>
      </c>
      <c r="G336" s="80">
        <v>158946183</v>
      </c>
      <c r="J336" s="98">
        <f t="shared" si="10"/>
        <v>158946183</v>
      </c>
      <c r="N336" s="80">
        <v>184716</v>
      </c>
      <c r="O336" s="99">
        <f t="shared" si="11"/>
        <v>184716</v>
      </c>
    </row>
    <row r="337" spans="1:15" ht="12.75" hidden="1" customHeight="1">
      <c r="A337" s="1">
        <v>23</v>
      </c>
      <c r="B337" s="1">
        <v>2110</v>
      </c>
      <c r="C337" s="1" t="s">
        <v>937</v>
      </c>
      <c r="D337" s="5" t="s">
        <v>943</v>
      </c>
      <c r="E337"/>
      <c r="F337" s="2"/>
      <c r="G337" s="80">
        <v>2987666</v>
      </c>
      <c r="I337" s="80">
        <v>21775</v>
      </c>
      <c r="J337" s="98">
        <f t="shared" si="10"/>
        <v>3009441</v>
      </c>
      <c r="L337" s="80">
        <v>256803</v>
      </c>
      <c r="O337" s="99">
        <f t="shared" si="11"/>
        <v>256803</v>
      </c>
    </row>
    <row r="338" spans="1:15" ht="12.75" hidden="1" customHeight="1">
      <c r="A338" s="1">
        <v>23</v>
      </c>
      <c r="B338" s="1">
        <v>2150</v>
      </c>
      <c r="C338" s="1" t="s">
        <v>937</v>
      </c>
      <c r="D338" s="5" t="s">
        <v>944</v>
      </c>
      <c r="E338" t="s">
        <v>186</v>
      </c>
      <c r="F338" s="2">
        <v>1545</v>
      </c>
      <c r="G338" s="80">
        <v>17580347</v>
      </c>
      <c r="I338" s="80">
        <v>204776</v>
      </c>
      <c r="J338" s="98">
        <f t="shared" si="10"/>
        <v>17785123</v>
      </c>
      <c r="M338" s="80">
        <v>719646</v>
      </c>
      <c r="N338" s="80">
        <v>167186</v>
      </c>
      <c r="O338" s="99">
        <f t="shared" si="11"/>
        <v>886832</v>
      </c>
    </row>
    <row r="339" spans="1:15" ht="12.75" hidden="1" customHeight="1">
      <c r="A339" s="1">
        <v>23</v>
      </c>
      <c r="B339" s="1">
        <v>2370</v>
      </c>
      <c r="C339" s="1" t="s">
        <v>937</v>
      </c>
      <c r="D339" s="5" t="s">
        <v>945</v>
      </c>
      <c r="E339" t="s">
        <v>187</v>
      </c>
      <c r="F339" s="2">
        <v>657.5</v>
      </c>
      <c r="G339" s="80">
        <v>6420859</v>
      </c>
      <c r="I339" s="80">
        <v>83024</v>
      </c>
      <c r="J339" s="98">
        <f t="shared" si="10"/>
        <v>6503883</v>
      </c>
      <c r="L339" s="80">
        <v>1984604</v>
      </c>
      <c r="M339" s="80">
        <v>162488</v>
      </c>
      <c r="N339" s="80">
        <v>21518</v>
      </c>
      <c r="O339" s="99">
        <f t="shared" si="11"/>
        <v>2168610</v>
      </c>
    </row>
    <row r="340" spans="1:15" ht="12.75" hidden="1" customHeight="1">
      <c r="A340" s="1">
        <v>23</v>
      </c>
      <c r="B340" s="1">
        <v>3120</v>
      </c>
      <c r="C340" s="1" t="s">
        <v>937</v>
      </c>
      <c r="D340" s="5" t="s">
        <v>946</v>
      </c>
      <c r="E340" t="s">
        <v>188</v>
      </c>
      <c r="F340" s="2">
        <v>2010.5</v>
      </c>
      <c r="G340" s="80">
        <v>25051544</v>
      </c>
      <c r="I340" s="80">
        <v>230867</v>
      </c>
      <c r="J340" s="98">
        <f t="shared" si="10"/>
        <v>25282411</v>
      </c>
      <c r="O340" s="99">
        <f t="shared" si="11"/>
        <v>0</v>
      </c>
    </row>
    <row r="341" spans="1:15" ht="12.75" hidden="1" customHeight="1">
      <c r="A341" s="1">
        <v>23</v>
      </c>
      <c r="B341" s="1">
        <v>3140</v>
      </c>
      <c r="C341" s="1" t="s">
        <v>937</v>
      </c>
      <c r="D341" s="5" t="s">
        <v>947</v>
      </c>
      <c r="E341" t="s">
        <v>189</v>
      </c>
      <c r="F341" s="2">
        <v>2039</v>
      </c>
      <c r="G341" s="80">
        <v>18326257</v>
      </c>
      <c r="I341" s="80">
        <v>205656</v>
      </c>
      <c r="J341" s="98">
        <f t="shared" si="10"/>
        <v>18531913</v>
      </c>
      <c r="L341" s="80">
        <v>4636638</v>
      </c>
      <c r="N341" s="80">
        <v>603939</v>
      </c>
      <c r="O341" s="99">
        <f t="shared" si="11"/>
        <v>5240577</v>
      </c>
    </row>
    <row r="342" spans="1:15" ht="12.75" hidden="1" customHeight="1">
      <c r="A342" s="1">
        <v>23</v>
      </c>
      <c r="B342" s="1">
        <v>3145</v>
      </c>
      <c r="C342" s="1" t="s">
        <v>937</v>
      </c>
      <c r="D342" s="5" t="s">
        <v>948</v>
      </c>
      <c r="E342" t="s">
        <v>190</v>
      </c>
      <c r="F342" s="2">
        <v>579.5</v>
      </c>
      <c r="I342" s="80">
        <v>200335</v>
      </c>
      <c r="J342" s="98">
        <f t="shared" si="10"/>
        <v>200335</v>
      </c>
      <c r="O342" s="99">
        <f t="shared" si="11"/>
        <v>0</v>
      </c>
    </row>
    <row r="343" spans="1:15" ht="12.75" hidden="1" customHeight="1">
      <c r="A343" s="1">
        <v>23</v>
      </c>
      <c r="B343" s="1">
        <v>3150</v>
      </c>
      <c r="C343" s="1" t="s">
        <v>937</v>
      </c>
      <c r="D343" s="5" t="s">
        <v>949</v>
      </c>
      <c r="E343" t="s">
        <v>191</v>
      </c>
      <c r="F343" s="2">
        <v>1896.5</v>
      </c>
      <c r="H343" s="80">
        <v>24483808</v>
      </c>
      <c r="I343" s="80">
        <v>2240016</v>
      </c>
      <c r="J343" s="98">
        <f t="shared" si="10"/>
        <v>26723824</v>
      </c>
      <c r="L343" s="80">
        <v>2788463</v>
      </c>
      <c r="N343" s="80">
        <v>616902</v>
      </c>
      <c r="O343" s="99">
        <f t="shared" si="11"/>
        <v>3405365</v>
      </c>
    </row>
    <row r="344" spans="1:15" ht="12.75" hidden="1" customHeight="1">
      <c r="A344" s="1">
        <v>23</v>
      </c>
      <c r="B344" s="1">
        <v>3220</v>
      </c>
      <c r="C344" s="1" t="s">
        <v>937</v>
      </c>
      <c r="D344" s="5" t="s">
        <v>950</v>
      </c>
      <c r="E344" t="s">
        <v>192</v>
      </c>
      <c r="F344" s="2">
        <v>680</v>
      </c>
      <c r="G344" s="80">
        <v>10758188</v>
      </c>
      <c r="I344" s="80">
        <v>77271</v>
      </c>
      <c r="J344" s="98">
        <f t="shared" si="10"/>
        <v>10835459</v>
      </c>
      <c r="L344" s="80">
        <v>83938</v>
      </c>
      <c r="N344" s="80">
        <v>454429</v>
      </c>
      <c r="O344" s="99">
        <f t="shared" si="11"/>
        <v>538367</v>
      </c>
    </row>
    <row r="345" spans="1:15" ht="12.75" hidden="1" customHeight="1">
      <c r="A345" s="1">
        <v>23</v>
      </c>
      <c r="B345" s="1">
        <v>3290</v>
      </c>
      <c r="C345" s="1" t="s">
        <v>937</v>
      </c>
      <c r="D345" s="5" t="s">
        <v>1052</v>
      </c>
      <c r="E345" t="s">
        <v>193</v>
      </c>
      <c r="F345" s="2">
        <v>4924</v>
      </c>
      <c r="G345" s="80">
        <v>61844803</v>
      </c>
      <c r="I345" s="80">
        <v>1047304</v>
      </c>
      <c r="J345" s="98">
        <f t="shared" si="10"/>
        <v>62892107</v>
      </c>
      <c r="O345" s="99">
        <f t="shared" si="11"/>
        <v>0</v>
      </c>
    </row>
    <row r="346" spans="1:15" ht="12.75" hidden="1" customHeight="1">
      <c r="A346" s="1">
        <v>23</v>
      </c>
      <c r="B346" s="1">
        <v>3530</v>
      </c>
      <c r="C346" s="1" t="s">
        <v>937</v>
      </c>
      <c r="D346" s="5" t="s">
        <v>951</v>
      </c>
      <c r="E346" t="s">
        <v>194</v>
      </c>
      <c r="F346" s="2">
        <v>6794</v>
      </c>
      <c r="G346" s="80">
        <v>26158022</v>
      </c>
      <c r="I346" s="80">
        <v>1272483</v>
      </c>
      <c r="J346" s="98">
        <f t="shared" si="10"/>
        <v>27430505</v>
      </c>
      <c r="L346" s="80">
        <v>27880488</v>
      </c>
      <c r="M346" s="80">
        <v>2072614</v>
      </c>
      <c r="O346" s="99">
        <f t="shared" si="11"/>
        <v>29953102</v>
      </c>
    </row>
    <row r="347" spans="1:15" ht="12.75" hidden="1" customHeight="1">
      <c r="A347" s="1">
        <v>23</v>
      </c>
      <c r="B347" s="1">
        <v>3620</v>
      </c>
      <c r="C347" s="1" t="s">
        <v>937</v>
      </c>
      <c r="D347" s="5" t="s">
        <v>952</v>
      </c>
      <c r="E347" t="s">
        <v>195</v>
      </c>
      <c r="F347" s="2">
        <v>5433</v>
      </c>
      <c r="G347" s="80">
        <v>60096571</v>
      </c>
      <c r="I347" s="80">
        <v>987083</v>
      </c>
      <c r="J347" s="98">
        <f t="shared" si="10"/>
        <v>61083654</v>
      </c>
      <c r="L347" s="80">
        <v>345582</v>
      </c>
      <c r="N347" s="80">
        <v>1741194</v>
      </c>
      <c r="O347" s="99">
        <f t="shared" si="11"/>
        <v>2086776</v>
      </c>
    </row>
    <row r="348" spans="1:15" ht="12.75" hidden="1" customHeight="1">
      <c r="A348" s="1">
        <v>23</v>
      </c>
      <c r="B348" s="1">
        <v>3845</v>
      </c>
      <c r="C348" s="1" t="s">
        <v>937</v>
      </c>
      <c r="D348" s="5" t="s">
        <v>953</v>
      </c>
      <c r="E348" t="s">
        <v>196</v>
      </c>
      <c r="F348" s="2">
        <v>9782</v>
      </c>
      <c r="G348" s="80">
        <v>81116094</v>
      </c>
      <c r="I348" s="80">
        <v>668665</v>
      </c>
      <c r="J348" s="98">
        <f t="shared" si="10"/>
        <v>81784759</v>
      </c>
      <c r="L348" s="80">
        <v>23553857</v>
      </c>
      <c r="M348" s="80">
        <v>2968486</v>
      </c>
      <c r="N348" s="80">
        <v>70506</v>
      </c>
      <c r="O348" s="99">
        <f t="shared" si="11"/>
        <v>26592849</v>
      </c>
    </row>
    <row r="349" spans="1:15" ht="12.75" hidden="1" customHeight="1">
      <c r="A349" s="1">
        <v>23</v>
      </c>
      <c r="B349" s="1">
        <v>4090</v>
      </c>
      <c r="C349" s="1" t="s">
        <v>937</v>
      </c>
      <c r="D349" s="5" t="s">
        <v>954</v>
      </c>
      <c r="E349" t="s">
        <v>197</v>
      </c>
      <c r="F349" s="2">
        <v>9534.5</v>
      </c>
      <c r="G349" s="80">
        <v>16597840</v>
      </c>
      <c r="I349" s="80">
        <v>1717953</v>
      </c>
      <c r="J349" s="98">
        <f t="shared" si="10"/>
        <v>18315793</v>
      </c>
      <c r="L349" s="80">
        <v>50704531</v>
      </c>
      <c r="M349" s="80">
        <v>4302598</v>
      </c>
      <c r="O349" s="99">
        <f t="shared" si="11"/>
        <v>55007129</v>
      </c>
    </row>
    <row r="350" spans="1:15" ht="12.75" hidden="1" customHeight="1">
      <c r="A350" s="1">
        <v>23</v>
      </c>
      <c r="B350" s="1">
        <v>4130</v>
      </c>
      <c r="C350" s="1" t="s">
        <v>937</v>
      </c>
      <c r="D350" s="5" t="s">
        <v>955</v>
      </c>
      <c r="E350" t="s">
        <v>198</v>
      </c>
      <c r="F350" s="2">
        <v>6761.5</v>
      </c>
      <c r="G350" s="80">
        <v>69658719</v>
      </c>
      <c r="I350" s="80">
        <v>1001697</v>
      </c>
      <c r="J350" s="98">
        <f t="shared" si="10"/>
        <v>70660416</v>
      </c>
      <c r="L350" s="80">
        <v>3496151</v>
      </c>
      <c r="N350" s="80">
        <v>273664</v>
      </c>
      <c r="O350" s="99">
        <f t="shared" si="11"/>
        <v>3769815</v>
      </c>
    </row>
    <row r="351" spans="1:15" ht="12.75" hidden="1" customHeight="1">
      <c r="A351" s="1">
        <v>23</v>
      </c>
      <c r="B351" s="1">
        <v>4660</v>
      </c>
      <c r="C351" s="1" t="s">
        <v>937</v>
      </c>
      <c r="D351" s="5" t="s">
        <v>956</v>
      </c>
      <c r="E351" t="s">
        <v>199</v>
      </c>
      <c r="F351" s="2">
        <v>5706.5</v>
      </c>
      <c r="G351" s="80">
        <v>47713318</v>
      </c>
      <c r="J351" s="98">
        <f t="shared" si="10"/>
        <v>47713318</v>
      </c>
      <c r="L351" s="80">
        <v>7824745</v>
      </c>
      <c r="O351" s="99">
        <f t="shared" si="11"/>
        <v>7824745</v>
      </c>
    </row>
    <row r="352" spans="1:15" ht="12.75" hidden="1" customHeight="1">
      <c r="A352" s="1">
        <v>23</v>
      </c>
      <c r="B352" s="1">
        <v>4830</v>
      </c>
      <c r="C352" s="1" t="s">
        <v>937</v>
      </c>
      <c r="D352" s="5" t="s">
        <v>957</v>
      </c>
      <c r="E352" t="s">
        <v>200</v>
      </c>
      <c r="F352" s="2">
        <v>1117</v>
      </c>
      <c r="G352" s="80">
        <v>6768167</v>
      </c>
      <c r="I352" s="80">
        <v>24142</v>
      </c>
      <c r="J352" s="98">
        <f t="shared" si="10"/>
        <v>6792309</v>
      </c>
      <c r="L352" s="80">
        <v>3693574</v>
      </c>
      <c r="M352" s="80">
        <v>241838</v>
      </c>
      <c r="O352" s="99">
        <f t="shared" si="11"/>
        <v>3935412</v>
      </c>
    </row>
    <row r="353" spans="1:15" ht="12.75" hidden="1" customHeight="1">
      <c r="A353" s="1">
        <v>23</v>
      </c>
      <c r="B353" s="1">
        <v>4860</v>
      </c>
      <c r="C353" s="1" t="s">
        <v>937</v>
      </c>
      <c r="D353" s="5" t="s">
        <v>958</v>
      </c>
      <c r="E353" t="s">
        <v>201</v>
      </c>
      <c r="F353" s="2">
        <v>8789.5</v>
      </c>
      <c r="G353" s="80">
        <v>89910441</v>
      </c>
      <c r="I353" s="80">
        <v>1226071</v>
      </c>
      <c r="J353" s="98">
        <f t="shared" si="10"/>
        <v>91136512</v>
      </c>
      <c r="L353" s="80">
        <v>10740992</v>
      </c>
      <c r="O353" s="99">
        <f t="shared" si="11"/>
        <v>10740992</v>
      </c>
    </row>
    <row r="354" spans="1:15" ht="12.75" hidden="1" customHeight="1">
      <c r="A354" s="1">
        <v>23</v>
      </c>
      <c r="B354" s="1">
        <v>4910</v>
      </c>
      <c r="C354" s="1" t="s">
        <v>937</v>
      </c>
      <c r="D354" s="5" t="s">
        <v>959</v>
      </c>
      <c r="E354" t="s">
        <v>202</v>
      </c>
      <c r="F354" s="2">
        <v>3799</v>
      </c>
      <c r="G354" s="80">
        <v>38070174</v>
      </c>
      <c r="I354" s="80">
        <v>522741</v>
      </c>
      <c r="J354" s="98">
        <f t="shared" si="10"/>
        <v>38592915</v>
      </c>
      <c r="L354" s="80">
        <v>4585704</v>
      </c>
      <c r="O354" s="99">
        <f t="shared" si="11"/>
        <v>4585704</v>
      </c>
    </row>
    <row r="355" spans="1:15" ht="12.75" hidden="1" customHeight="1">
      <c r="A355" s="1">
        <v>23</v>
      </c>
      <c r="B355" s="1">
        <v>4920</v>
      </c>
      <c r="C355" s="1" t="s">
        <v>937</v>
      </c>
      <c r="D355" s="5" t="s">
        <v>960</v>
      </c>
      <c r="E355" t="s">
        <v>203</v>
      </c>
      <c r="F355" s="2">
        <v>2145.5</v>
      </c>
      <c r="G355" s="80">
        <v>11306839</v>
      </c>
      <c r="I355" s="80">
        <v>407520</v>
      </c>
      <c r="J355" s="98">
        <f t="shared" si="10"/>
        <v>11714359</v>
      </c>
      <c r="L355" s="80">
        <v>5472984</v>
      </c>
      <c r="O355" s="99">
        <f t="shared" si="11"/>
        <v>5472984</v>
      </c>
    </row>
    <row r="356" spans="1:15" ht="12.75" hidden="1" customHeight="1">
      <c r="A356" s="1">
        <v>23</v>
      </c>
      <c r="B356" s="1">
        <v>4970</v>
      </c>
      <c r="C356" s="1" t="s">
        <v>937</v>
      </c>
      <c r="D356" s="5" t="s">
        <v>961</v>
      </c>
      <c r="E356" t="s">
        <v>204</v>
      </c>
      <c r="F356" s="2">
        <v>1764.5</v>
      </c>
      <c r="G356" s="80">
        <v>9401560</v>
      </c>
      <c r="J356" s="98">
        <f t="shared" si="10"/>
        <v>9401560</v>
      </c>
      <c r="L356" s="80">
        <v>2149419</v>
      </c>
      <c r="M356" s="80">
        <v>245175</v>
      </c>
      <c r="O356" s="99">
        <f t="shared" si="11"/>
        <v>2394594</v>
      </c>
    </row>
    <row r="357" spans="1:15" ht="12.75" hidden="1" customHeight="1">
      <c r="A357" s="1">
        <v>23</v>
      </c>
      <c r="B357" s="1">
        <v>5850</v>
      </c>
      <c r="C357" s="1" t="s">
        <v>937</v>
      </c>
      <c r="D357" s="5" t="s">
        <v>962</v>
      </c>
      <c r="E357" t="s">
        <v>205</v>
      </c>
      <c r="F357" s="2">
        <v>13430.5</v>
      </c>
      <c r="G357" s="80">
        <v>136147485</v>
      </c>
      <c r="I357" s="80">
        <v>1770391</v>
      </c>
      <c r="J357" s="98">
        <f t="shared" si="10"/>
        <v>137917876</v>
      </c>
      <c r="L357" s="80">
        <v>897652</v>
      </c>
      <c r="O357" s="99">
        <f t="shared" si="11"/>
        <v>897652</v>
      </c>
    </row>
    <row r="358" spans="1:15" ht="12.75" hidden="1" customHeight="1">
      <c r="A358" s="1">
        <v>25</v>
      </c>
      <c r="B358" s="1">
        <v>50</v>
      </c>
      <c r="C358" s="1" t="s">
        <v>963</v>
      </c>
      <c r="D358" s="5" t="s">
        <v>964</v>
      </c>
      <c r="E358"/>
      <c r="F358" s="2"/>
      <c r="G358" s="80">
        <v>288200</v>
      </c>
      <c r="I358" s="80">
        <v>15672</v>
      </c>
      <c r="J358" s="98">
        <f t="shared" si="10"/>
        <v>303872</v>
      </c>
      <c r="N358" s="80">
        <v>1510</v>
      </c>
      <c r="O358" s="99">
        <f t="shared" si="11"/>
        <v>1510</v>
      </c>
    </row>
    <row r="359" spans="1:15" ht="12.75" hidden="1" customHeight="1">
      <c r="A359" s="1">
        <v>25</v>
      </c>
      <c r="B359" s="1">
        <v>100</v>
      </c>
      <c r="C359" s="1" t="s">
        <v>963</v>
      </c>
      <c r="D359" s="5" t="s">
        <v>965</v>
      </c>
      <c r="E359" t="s">
        <v>206</v>
      </c>
      <c r="F359" s="2">
        <v>2362.5</v>
      </c>
      <c r="G359" s="80">
        <v>5449899</v>
      </c>
      <c r="I359" s="80">
        <v>371620</v>
      </c>
      <c r="J359" s="98">
        <f t="shared" si="10"/>
        <v>5821519</v>
      </c>
      <c r="L359" s="80">
        <v>26194617</v>
      </c>
      <c r="M359" s="80">
        <v>1256722</v>
      </c>
      <c r="O359" s="99">
        <f t="shared" si="11"/>
        <v>27451339</v>
      </c>
    </row>
    <row r="360" spans="1:15" ht="12.75" hidden="1" customHeight="1">
      <c r="A360" s="1">
        <v>25</v>
      </c>
      <c r="B360" s="1">
        <v>130</v>
      </c>
      <c r="C360" s="1" t="s">
        <v>963</v>
      </c>
      <c r="D360" s="5" t="s">
        <v>966</v>
      </c>
      <c r="E360" t="s">
        <v>207</v>
      </c>
      <c r="F360" s="2">
        <v>293</v>
      </c>
      <c r="G360" s="80">
        <v>3610775</v>
      </c>
      <c r="I360" s="80">
        <v>11748</v>
      </c>
      <c r="J360" s="98">
        <f t="shared" si="10"/>
        <v>3622523</v>
      </c>
      <c r="O360" s="99">
        <f t="shared" si="11"/>
        <v>0</v>
      </c>
    </row>
    <row r="361" spans="1:15" ht="12.75" hidden="1" customHeight="1">
      <c r="A361" s="1">
        <v>25</v>
      </c>
      <c r="B361" s="1">
        <v>180</v>
      </c>
      <c r="C361" s="1" t="s">
        <v>963</v>
      </c>
      <c r="D361" s="5" t="s">
        <v>967</v>
      </c>
      <c r="E361" t="s">
        <v>208</v>
      </c>
      <c r="F361" s="2">
        <v>140</v>
      </c>
      <c r="G361" s="80">
        <v>2627353</v>
      </c>
      <c r="I361" s="80">
        <v>11213</v>
      </c>
      <c r="J361" s="98">
        <f t="shared" si="10"/>
        <v>2638566</v>
      </c>
      <c r="N361" s="80">
        <v>68398</v>
      </c>
      <c r="O361" s="99">
        <f t="shared" si="11"/>
        <v>68398</v>
      </c>
    </row>
    <row r="362" spans="1:15" ht="12.75" hidden="1" customHeight="1">
      <c r="A362" s="1">
        <v>25</v>
      </c>
      <c r="B362" s="1">
        <v>225</v>
      </c>
      <c r="C362" s="1" t="s">
        <v>963</v>
      </c>
      <c r="D362" s="5" t="s">
        <v>968</v>
      </c>
      <c r="E362" t="s">
        <v>209</v>
      </c>
      <c r="F362" s="2">
        <v>43</v>
      </c>
      <c r="I362" s="80">
        <v>45541</v>
      </c>
      <c r="J362" s="98">
        <f t="shared" si="10"/>
        <v>45541</v>
      </c>
      <c r="O362" s="99">
        <f t="shared" si="11"/>
        <v>0</v>
      </c>
    </row>
    <row r="363" spans="1:15" ht="12.75" hidden="1" customHeight="1">
      <c r="A363" s="1">
        <v>25</v>
      </c>
      <c r="B363" s="1">
        <v>270</v>
      </c>
      <c r="C363" s="1" t="s">
        <v>963</v>
      </c>
      <c r="D363" s="5" t="s">
        <v>969</v>
      </c>
      <c r="E363" t="s">
        <v>210</v>
      </c>
      <c r="F363" s="2">
        <v>534</v>
      </c>
      <c r="G363" s="80">
        <v>6454116</v>
      </c>
      <c r="I363" s="80">
        <v>36128</v>
      </c>
      <c r="J363" s="98">
        <f t="shared" si="10"/>
        <v>6490244</v>
      </c>
      <c r="O363" s="99">
        <f t="shared" si="11"/>
        <v>0</v>
      </c>
    </row>
    <row r="364" spans="1:15" ht="12.75" hidden="1" customHeight="1">
      <c r="A364" s="1">
        <v>25</v>
      </c>
      <c r="B364" s="1">
        <v>500</v>
      </c>
      <c r="C364" s="1" t="s">
        <v>963</v>
      </c>
      <c r="D364" s="5" t="s">
        <v>970</v>
      </c>
      <c r="E364" t="s">
        <v>211</v>
      </c>
      <c r="F364" s="2">
        <v>264</v>
      </c>
      <c r="G364" s="80">
        <v>4952662</v>
      </c>
      <c r="I364" s="80">
        <v>131146</v>
      </c>
      <c r="J364" s="98">
        <f t="shared" si="10"/>
        <v>5083808</v>
      </c>
      <c r="O364" s="99">
        <f t="shared" si="11"/>
        <v>0</v>
      </c>
    </row>
    <row r="365" spans="1:15" ht="12.75" hidden="1" customHeight="1">
      <c r="A365" s="1">
        <v>25</v>
      </c>
      <c r="B365" s="1">
        <v>560</v>
      </c>
      <c r="C365" s="1" t="s">
        <v>963</v>
      </c>
      <c r="D365" s="5" t="s">
        <v>971</v>
      </c>
      <c r="E365" t="s">
        <v>212</v>
      </c>
      <c r="F365" s="2">
        <v>704</v>
      </c>
      <c r="G365" s="80">
        <v>8959586</v>
      </c>
      <c r="I365" s="80">
        <v>76319</v>
      </c>
      <c r="J365" s="98">
        <f t="shared" si="10"/>
        <v>9035905</v>
      </c>
      <c r="O365" s="99">
        <f t="shared" si="11"/>
        <v>0</v>
      </c>
    </row>
    <row r="366" spans="1:15" ht="12.75" hidden="1" customHeight="1">
      <c r="A366" s="1">
        <v>25</v>
      </c>
      <c r="B366" s="1">
        <v>945</v>
      </c>
      <c r="C366" s="1" t="s">
        <v>963</v>
      </c>
      <c r="D366" s="5" t="s">
        <v>972</v>
      </c>
      <c r="E366" t="s">
        <v>213</v>
      </c>
      <c r="F366" s="2">
        <v>1561</v>
      </c>
      <c r="G366" s="80">
        <v>17262282</v>
      </c>
      <c r="I366" s="80">
        <v>50978</v>
      </c>
      <c r="J366" s="98">
        <f t="shared" si="10"/>
        <v>17313260</v>
      </c>
      <c r="O366" s="99">
        <f t="shared" si="11"/>
        <v>0</v>
      </c>
    </row>
    <row r="367" spans="1:15" ht="12.75" hidden="1" customHeight="1">
      <c r="A367" s="1">
        <v>25</v>
      </c>
      <c r="B367" s="1">
        <v>1000</v>
      </c>
      <c r="C367" s="1" t="s">
        <v>963</v>
      </c>
      <c r="D367" s="5" t="s">
        <v>973</v>
      </c>
      <c r="E367" t="s">
        <v>214</v>
      </c>
      <c r="F367" s="2">
        <v>116</v>
      </c>
      <c r="G367" s="80">
        <v>1657388</v>
      </c>
      <c r="I367" s="80">
        <v>142225</v>
      </c>
      <c r="J367" s="98">
        <f t="shared" si="10"/>
        <v>1799613</v>
      </c>
      <c r="N367" s="80">
        <v>38890</v>
      </c>
      <c r="O367" s="99">
        <f t="shared" si="11"/>
        <v>38890</v>
      </c>
    </row>
    <row r="368" spans="1:15" ht="12.75" hidden="1" customHeight="1">
      <c r="A368" s="1">
        <v>25</v>
      </c>
      <c r="B368" s="1">
        <v>1260</v>
      </c>
      <c r="C368" s="1" t="s">
        <v>963</v>
      </c>
      <c r="D368" s="5" t="s">
        <v>974</v>
      </c>
      <c r="E368" t="s">
        <v>215</v>
      </c>
      <c r="F368" s="2">
        <v>1173</v>
      </c>
      <c r="G368" s="80">
        <v>12689970</v>
      </c>
      <c r="I368" s="80">
        <v>547084</v>
      </c>
      <c r="J368" s="98">
        <f t="shared" si="10"/>
        <v>13237054</v>
      </c>
      <c r="N368" s="80">
        <v>2381780</v>
      </c>
      <c r="O368" s="99">
        <f t="shared" si="11"/>
        <v>2381780</v>
      </c>
    </row>
    <row r="369" spans="1:15" ht="12.75" hidden="1" customHeight="1">
      <c r="A369" s="1">
        <v>25</v>
      </c>
      <c r="B369" s="1">
        <v>1440</v>
      </c>
      <c r="C369" s="1" t="s">
        <v>963</v>
      </c>
      <c r="D369" s="5" t="s">
        <v>975</v>
      </c>
      <c r="E369" t="s">
        <v>216</v>
      </c>
      <c r="F369" s="2">
        <v>991</v>
      </c>
      <c r="G369" s="80">
        <v>9617771</v>
      </c>
      <c r="I369" s="80">
        <v>143226</v>
      </c>
      <c r="J369" s="98">
        <f t="shared" si="10"/>
        <v>9760997</v>
      </c>
      <c r="N369" s="80">
        <v>17940</v>
      </c>
      <c r="O369" s="99">
        <f t="shared" si="11"/>
        <v>17940</v>
      </c>
    </row>
    <row r="370" spans="1:15" ht="12.75" hidden="1" customHeight="1">
      <c r="A370" s="1">
        <v>25</v>
      </c>
      <c r="B370" s="1">
        <v>1490</v>
      </c>
      <c r="C370" s="1" t="s">
        <v>963</v>
      </c>
      <c r="D370" s="5" t="s">
        <v>976</v>
      </c>
      <c r="E370" t="s">
        <v>217</v>
      </c>
      <c r="F370" s="2">
        <v>150</v>
      </c>
      <c r="G370" s="80">
        <v>1347216</v>
      </c>
      <c r="I370" s="80">
        <v>18210</v>
      </c>
      <c r="J370" s="98">
        <f t="shared" si="10"/>
        <v>1365426</v>
      </c>
      <c r="L370" s="80">
        <v>384505</v>
      </c>
      <c r="M370" s="80">
        <v>48303</v>
      </c>
      <c r="N370" s="80">
        <v>242896</v>
      </c>
      <c r="O370" s="99">
        <f t="shared" si="11"/>
        <v>675704</v>
      </c>
    </row>
    <row r="371" spans="1:15" ht="12.75" hidden="1" customHeight="1">
      <c r="A371" s="1">
        <v>25</v>
      </c>
      <c r="B371" s="1">
        <v>1640</v>
      </c>
      <c r="C371" s="1" t="s">
        <v>963</v>
      </c>
      <c r="D371" s="5" t="s">
        <v>977</v>
      </c>
      <c r="E371" t="s">
        <v>218</v>
      </c>
      <c r="F371" s="2">
        <v>1359</v>
      </c>
      <c r="G371" s="80">
        <v>6998482</v>
      </c>
      <c r="I371" s="80">
        <v>139576</v>
      </c>
      <c r="J371" s="98">
        <f t="shared" si="10"/>
        <v>7138058</v>
      </c>
      <c r="L371" s="80">
        <v>2616944</v>
      </c>
      <c r="M371" s="80">
        <v>432639</v>
      </c>
      <c r="O371" s="99">
        <f t="shared" si="11"/>
        <v>3049583</v>
      </c>
    </row>
    <row r="372" spans="1:15" ht="12.75" hidden="1" customHeight="1">
      <c r="A372" s="1">
        <v>25</v>
      </c>
      <c r="B372" s="1">
        <v>1650</v>
      </c>
      <c r="C372" s="1" t="s">
        <v>963</v>
      </c>
      <c r="D372" s="5" t="s">
        <v>978</v>
      </c>
      <c r="E372" t="s">
        <v>219</v>
      </c>
      <c r="F372" s="2">
        <v>11524.5</v>
      </c>
      <c r="G372" s="80">
        <v>100847680</v>
      </c>
      <c r="I372" s="80">
        <v>997871</v>
      </c>
      <c r="J372" s="98">
        <f t="shared" si="10"/>
        <v>101845551</v>
      </c>
      <c r="L372" s="80">
        <v>29166349</v>
      </c>
      <c r="N372" s="80">
        <v>115294</v>
      </c>
      <c r="O372" s="99">
        <f t="shared" si="11"/>
        <v>29281643</v>
      </c>
    </row>
    <row r="373" spans="1:15" ht="12.75" hidden="1" customHeight="1">
      <c r="A373" s="1">
        <v>25</v>
      </c>
      <c r="B373" s="1">
        <v>1660</v>
      </c>
      <c r="C373" s="1" t="s">
        <v>963</v>
      </c>
      <c r="D373" s="5" t="s">
        <v>979</v>
      </c>
      <c r="E373" t="s">
        <v>220</v>
      </c>
      <c r="F373" s="2">
        <v>4586</v>
      </c>
      <c r="G373" s="80">
        <v>49976081</v>
      </c>
      <c r="I373" s="80">
        <v>49583</v>
      </c>
      <c r="J373" s="98">
        <f t="shared" si="10"/>
        <v>50025664</v>
      </c>
      <c r="L373" s="80">
        <v>895034</v>
      </c>
      <c r="O373" s="99">
        <f t="shared" si="11"/>
        <v>895034</v>
      </c>
    </row>
    <row r="374" spans="1:15" ht="12.75" hidden="1" customHeight="1">
      <c r="A374" s="1">
        <v>25</v>
      </c>
      <c r="B374" s="1">
        <v>2105</v>
      </c>
      <c r="C374" s="1" t="s">
        <v>963</v>
      </c>
      <c r="D374" s="5" t="s">
        <v>980</v>
      </c>
      <c r="E374" t="s">
        <v>221</v>
      </c>
      <c r="F374" s="2">
        <v>3377.5</v>
      </c>
      <c r="G374" s="80">
        <v>29790041</v>
      </c>
      <c r="I374" s="80">
        <v>242666</v>
      </c>
      <c r="J374" s="98">
        <f t="shared" si="10"/>
        <v>30032707</v>
      </c>
      <c r="L374" s="80">
        <v>6871998</v>
      </c>
      <c r="M374" s="80">
        <v>487825</v>
      </c>
      <c r="N374" s="80">
        <v>1064215</v>
      </c>
      <c r="O374" s="99">
        <f t="shared" si="11"/>
        <v>8424038</v>
      </c>
    </row>
    <row r="375" spans="1:15" ht="12.75" hidden="1" customHeight="1">
      <c r="A375" s="1">
        <v>25</v>
      </c>
      <c r="B375" s="1">
        <v>2120</v>
      </c>
      <c r="C375" s="1" t="s">
        <v>963</v>
      </c>
      <c r="D375" s="5" t="s">
        <v>981</v>
      </c>
      <c r="E375" t="s">
        <v>222</v>
      </c>
      <c r="F375" s="2">
        <v>473.5</v>
      </c>
      <c r="G375" s="80">
        <v>6645867</v>
      </c>
      <c r="I375" s="80">
        <v>123030</v>
      </c>
      <c r="J375" s="98">
        <f t="shared" si="10"/>
        <v>6768897</v>
      </c>
      <c r="O375" s="99">
        <f t="shared" si="11"/>
        <v>0</v>
      </c>
    </row>
    <row r="376" spans="1:15" ht="12.75" hidden="1" customHeight="1">
      <c r="A376" s="1">
        <v>25</v>
      </c>
      <c r="B376" s="1">
        <v>2160</v>
      </c>
      <c r="C376" s="1" t="s">
        <v>963</v>
      </c>
      <c r="D376" s="5" t="s">
        <v>982</v>
      </c>
      <c r="E376" t="s">
        <v>223</v>
      </c>
      <c r="F376" s="2">
        <v>197</v>
      </c>
      <c r="G376" s="80">
        <v>2788389</v>
      </c>
      <c r="I376" s="80">
        <v>11362</v>
      </c>
      <c r="J376" s="98">
        <f t="shared" si="10"/>
        <v>2799751</v>
      </c>
      <c r="O376" s="99">
        <f t="shared" si="11"/>
        <v>0</v>
      </c>
    </row>
    <row r="377" spans="1:15" ht="12.75" hidden="1" customHeight="1">
      <c r="A377" s="1">
        <v>25</v>
      </c>
      <c r="B377" s="1">
        <v>2230</v>
      </c>
      <c r="C377" s="1" t="s">
        <v>963</v>
      </c>
      <c r="D377" s="5" t="s">
        <v>983</v>
      </c>
      <c r="E377" t="s">
        <v>224</v>
      </c>
      <c r="F377" s="2">
        <v>3482</v>
      </c>
      <c r="G377" s="80">
        <v>42607166</v>
      </c>
      <c r="I377" s="80">
        <v>132546</v>
      </c>
      <c r="J377" s="98">
        <f t="shared" si="10"/>
        <v>42739712</v>
      </c>
      <c r="N377" s="80">
        <v>4502</v>
      </c>
      <c r="O377" s="99">
        <f t="shared" si="11"/>
        <v>4502</v>
      </c>
    </row>
    <row r="378" spans="1:15" ht="12.75" hidden="1" customHeight="1">
      <c r="A378" s="1">
        <v>25</v>
      </c>
      <c r="B378" s="1">
        <v>2290</v>
      </c>
      <c r="C378" s="1" t="s">
        <v>963</v>
      </c>
      <c r="D378" s="5" t="s">
        <v>984</v>
      </c>
      <c r="E378" t="s">
        <v>225</v>
      </c>
      <c r="F378" s="2">
        <v>7252</v>
      </c>
      <c r="G378" s="80">
        <v>58528618</v>
      </c>
      <c r="I378" s="80">
        <v>84886</v>
      </c>
      <c r="J378" s="98">
        <f t="shared" si="10"/>
        <v>58613504</v>
      </c>
      <c r="L378" s="80">
        <v>22621756</v>
      </c>
      <c r="M378" s="80">
        <v>206287</v>
      </c>
      <c r="O378" s="99">
        <f t="shared" si="11"/>
        <v>22828043</v>
      </c>
    </row>
    <row r="379" spans="1:15" ht="12.75" hidden="1" customHeight="1">
      <c r="A379" s="1">
        <v>25</v>
      </c>
      <c r="B379" s="1">
        <v>2400</v>
      </c>
      <c r="C379" s="1" t="s">
        <v>963</v>
      </c>
      <c r="D379" s="5" t="s">
        <v>985</v>
      </c>
      <c r="E379" t="s">
        <v>226</v>
      </c>
      <c r="F379" s="2">
        <v>1915</v>
      </c>
      <c r="G379" s="80">
        <v>3921124</v>
      </c>
      <c r="I379" s="80">
        <v>351012</v>
      </c>
      <c r="J379" s="98">
        <f t="shared" si="10"/>
        <v>4272136</v>
      </c>
      <c r="L379" s="80">
        <v>11199674</v>
      </c>
      <c r="M379" s="80">
        <v>1460671</v>
      </c>
      <c r="O379" s="99">
        <f t="shared" si="11"/>
        <v>12660345</v>
      </c>
    </row>
    <row r="380" spans="1:15" ht="12.75" hidden="1" customHeight="1">
      <c r="A380" s="1">
        <v>25</v>
      </c>
      <c r="B380" s="1">
        <v>2430</v>
      </c>
      <c r="C380" s="1" t="s">
        <v>963</v>
      </c>
      <c r="D380" s="5" t="s">
        <v>986</v>
      </c>
      <c r="E380" t="s">
        <v>227</v>
      </c>
      <c r="F380" s="2">
        <v>1166</v>
      </c>
      <c r="G380" s="80">
        <v>8160176</v>
      </c>
      <c r="I380" s="80">
        <v>128119</v>
      </c>
      <c r="J380" s="98">
        <f t="shared" si="10"/>
        <v>8288295</v>
      </c>
      <c r="L380" s="80">
        <v>2223322</v>
      </c>
      <c r="N380" s="80">
        <v>55554</v>
      </c>
      <c r="O380" s="99">
        <f t="shared" si="11"/>
        <v>2278876</v>
      </c>
    </row>
    <row r="381" spans="1:15" ht="12.75" hidden="1" customHeight="1">
      <c r="A381" s="1">
        <v>25</v>
      </c>
      <c r="B381" s="1">
        <v>2720</v>
      </c>
      <c r="C381" s="1" t="s">
        <v>963</v>
      </c>
      <c r="D381" s="5" t="s">
        <v>987</v>
      </c>
      <c r="E381" t="s">
        <v>228</v>
      </c>
      <c r="F381" s="2">
        <v>788</v>
      </c>
      <c r="G381" s="80">
        <v>9508342</v>
      </c>
      <c r="I381" s="80">
        <v>237450</v>
      </c>
      <c r="J381" s="98">
        <f t="shared" si="10"/>
        <v>9745792</v>
      </c>
      <c r="O381" s="99">
        <f t="shared" si="11"/>
        <v>0</v>
      </c>
    </row>
    <row r="382" spans="1:15" ht="12.75" hidden="1" customHeight="1">
      <c r="A382" s="1">
        <v>25</v>
      </c>
      <c r="B382" s="1">
        <v>2770</v>
      </c>
      <c r="C382" s="1" t="s">
        <v>963</v>
      </c>
      <c r="D382" s="5" t="s">
        <v>988</v>
      </c>
      <c r="E382" t="s">
        <v>229</v>
      </c>
      <c r="F382" s="2">
        <v>4853.5</v>
      </c>
      <c r="G382" s="80">
        <v>29189093</v>
      </c>
      <c r="I382" s="80">
        <v>1924525</v>
      </c>
      <c r="J382" s="98">
        <f t="shared" si="10"/>
        <v>31113618</v>
      </c>
      <c r="L382" s="80">
        <v>14200603</v>
      </c>
      <c r="M382" s="80">
        <v>3640988</v>
      </c>
      <c r="N382" s="80">
        <v>109415</v>
      </c>
      <c r="O382" s="99">
        <f t="shared" si="11"/>
        <v>17951006</v>
      </c>
    </row>
    <row r="383" spans="1:15" ht="12.75" hidden="1" customHeight="1">
      <c r="A383" s="1">
        <v>25</v>
      </c>
      <c r="B383" s="1">
        <v>2920</v>
      </c>
      <c r="C383" s="1" t="s">
        <v>963</v>
      </c>
      <c r="D383" s="5" t="s">
        <v>989</v>
      </c>
      <c r="E383" t="s">
        <v>230</v>
      </c>
      <c r="F383" s="2">
        <v>5446</v>
      </c>
      <c r="G383" s="80">
        <v>41439169</v>
      </c>
      <c r="J383" s="98">
        <f t="shared" si="10"/>
        <v>41439169</v>
      </c>
      <c r="L383" s="80">
        <v>11524776</v>
      </c>
      <c r="O383" s="99">
        <f t="shared" si="11"/>
        <v>11524776</v>
      </c>
    </row>
    <row r="384" spans="1:15" ht="12.75" hidden="1" customHeight="1">
      <c r="A384" s="1">
        <v>25</v>
      </c>
      <c r="B384" s="1">
        <v>2930</v>
      </c>
      <c r="C384" s="1" t="s">
        <v>963</v>
      </c>
      <c r="D384" s="5" t="s">
        <v>990</v>
      </c>
      <c r="E384" t="s">
        <v>231</v>
      </c>
      <c r="F384" s="2">
        <v>1718</v>
      </c>
      <c r="G384" s="80">
        <v>10737772</v>
      </c>
      <c r="I384" s="80">
        <v>217201</v>
      </c>
      <c r="J384" s="98">
        <f t="shared" si="10"/>
        <v>10954973</v>
      </c>
      <c r="N384" s="80">
        <v>118354</v>
      </c>
      <c r="O384" s="99">
        <f t="shared" si="11"/>
        <v>118354</v>
      </c>
    </row>
    <row r="385" spans="1:15" ht="12.75" hidden="1" customHeight="1">
      <c r="A385" s="1">
        <v>25</v>
      </c>
      <c r="B385" s="1">
        <v>3030</v>
      </c>
      <c r="C385" s="1" t="s">
        <v>963</v>
      </c>
      <c r="D385" s="5" t="s">
        <v>991</v>
      </c>
      <c r="E385" t="s">
        <v>124</v>
      </c>
      <c r="F385" s="2">
        <v>6129</v>
      </c>
      <c r="G385" s="80">
        <v>58113855</v>
      </c>
      <c r="I385" s="80">
        <v>654232</v>
      </c>
      <c r="J385" s="98">
        <f t="shared" si="10"/>
        <v>58768087</v>
      </c>
      <c r="L385" s="80">
        <v>3134264</v>
      </c>
      <c r="N385" s="80">
        <v>2279026</v>
      </c>
      <c r="O385" s="99">
        <f t="shared" si="11"/>
        <v>5413290</v>
      </c>
    </row>
    <row r="386" spans="1:15" ht="12.75" hidden="1" customHeight="1">
      <c r="A386" s="1">
        <v>25</v>
      </c>
      <c r="B386" s="1">
        <v>3040</v>
      </c>
      <c r="C386" s="1" t="s">
        <v>963</v>
      </c>
      <c r="D386" s="5" t="s">
        <v>992</v>
      </c>
      <c r="E386" t="s">
        <v>125</v>
      </c>
      <c r="F386" s="2">
        <v>3901.5</v>
      </c>
      <c r="G386" s="80">
        <v>42394422</v>
      </c>
      <c r="I386" s="80">
        <v>488574</v>
      </c>
      <c r="J386" s="98">
        <f t="shared" si="10"/>
        <v>42882996</v>
      </c>
      <c r="L386" s="80">
        <v>3281663</v>
      </c>
      <c r="M386" s="80">
        <v>3880387</v>
      </c>
      <c r="O386" s="99">
        <f t="shared" si="11"/>
        <v>7162050</v>
      </c>
    </row>
    <row r="387" spans="1:15" ht="12.75" hidden="1" customHeight="1">
      <c r="A387" s="1">
        <v>25</v>
      </c>
      <c r="B387" s="1">
        <v>3160</v>
      </c>
      <c r="C387" s="1" t="s">
        <v>963</v>
      </c>
      <c r="D387" s="5" t="s">
        <v>993</v>
      </c>
      <c r="E387" t="s">
        <v>126</v>
      </c>
      <c r="F387" s="2">
        <v>10130.5</v>
      </c>
      <c r="G387" s="80">
        <v>107070009</v>
      </c>
      <c r="I387" s="80">
        <v>2299552</v>
      </c>
      <c r="J387" s="98">
        <f t="shared" si="10"/>
        <v>109369561</v>
      </c>
      <c r="N387" s="80">
        <v>6709865</v>
      </c>
      <c r="O387" s="99">
        <f t="shared" si="11"/>
        <v>6709865</v>
      </c>
    </row>
    <row r="388" spans="1:15" ht="12.75" hidden="1" customHeight="1">
      <c r="A388" s="1">
        <v>25</v>
      </c>
      <c r="B388" s="1">
        <v>3200</v>
      </c>
      <c r="C388" s="1" t="s">
        <v>963</v>
      </c>
      <c r="D388" s="5" t="s">
        <v>994</v>
      </c>
      <c r="E388" t="s">
        <v>127</v>
      </c>
      <c r="F388" s="2">
        <v>1678</v>
      </c>
      <c r="G388" s="80">
        <v>21988746</v>
      </c>
      <c r="I388" s="80">
        <v>413061</v>
      </c>
      <c r="J388" s="98">
        <f t="shared" si="10"/>
        <v>22401807</v>
      </c>
      <c r="L388" s="80">
        <v>2183603</v>
      </c>
      <c r="O388" s="99">
        <f t="shared" si="11"/>
        <v>2183603</v>
      </c>
    </row>
    <row r="389" spans="1:15" ht="12.75" hidden="1" customHeight="1">
      <c r="A389" s="1">
        <v>25</v>
      </c>
      <c r="B389" s="1">
        <v>3250</v>
      </c>
      <c r="C389" s="1" t="s">
        <v>963</v>
      </c>
      <c r="D389" s="5" t="s">
        <v>995</v>
      </c>
      <c r="E389" t="s">
        <v>128</v>
      </c>
      <c r="F389" s="2">
        <v>308</v>
      </c>
      <c r="G389" s="80">
        <v>3525524</v>
      </c>
      <c r="I389" s="80">
        <v>50089</v>
      </c>
      <c r="J389" s="98">
        <f t="shared" ref="J389:J452" si="12">SUM(G389:I389)</f>
        <v>3575613</v>
      </c>
      <c r="N389" s="80">
        <v>18960</v>
      </c>
      <c r="O389" s="99">
        <f t="shared" ref="O389:O452" si="13">SUM(L389:N389)</f>
        <v>18960</v>
      </c>
    </row>
    <row r="390" spans="1:15" ht="12.75" hidden="1" customHeight="1">
      <c r="A390" s="1">
        <v>25</v>
      </c>
      <c r="B390" s="1">
        <v>3255</v>
      </c>
      <c r="C390" s="1" t="s">
        <v>963</v>
      </c>
      <c r="D390" s="5" t="s">
        <v>996</v>
      </c>
      <c r="E390" t="s">
        <v>129</v>
      </c>
      <c r="F390" s="2">
        <v>91.5</v>
      </c>
      <c r="I390" s="80">
        <v>467191</v>
      </c>
      <c r="J390" s="98">
        <f t="shared" si="12"/>
        <v>467191</v>
      </c>
      <c r="O390" s="99">
        <f t="shared" si="13"/>
        <v>0</v>
      </c>
    </row>
    <row r="391" spans="1:15" ht="12.75" hidden="1" customHeight="1">
      <c r="A391" s="1">
        <v>25</v>
      </c>
      <c r="B391" s="1">
        <v>3260</v>
      </c>
      <c r="C391" s="1" t="s">
        <v>963</v>
      </c>
      <c r="D391" s="5" t="s">
        <v>997</v>
      </c>
      <c r="E391" t="s">
        <v>130</v>
      </c>
      <c r="F391" s="2">
        <v>2038.5</v>
      </c>
      <c r="H391" s="80">
        <v>13605120</v>
      </c>
      <c r="I391" s="80">
        <v>1743870</v>
      </c>
      <c r="J391" s="98">
        <f t="shared" si="12"/>
        <v>15348990</v>
      </c>
      <c r="L391" s="80">
        <v>660026</v>
      </c>
      <c r="N391" s="80">
        <v>684332</v>
      </c>
      <c r="O391" s="99">
        <f t="shared" si="13"/>
        <v>1344358</v>
      </c>
    </row>
    <row r="392" spans="1:15" ht="12.75" hidden="1" customHeight="1">
      <c r="A392" s="1">
        <v>25</v>
      </c>
      <c r="B392" s="1">
        <v>3270</v>
      </c>
      <c r="C392" s="1" t="s">
        <v>963</v>
      </c>
      <c r="D392" s="5" t="s">
        <v>998</v>
      </c>
      <c r="E392" t="s">
        <v>131</v>
      </c>
      <c r="F392" s="2">
        <v>1200</v>
      </c>
      <c r="G392" s="80">
        <v>17719047</v>
      </c>
      <c r="I392" s="80">
        <v>371790</v>
      </c>
      <c r="J392" s="98">
        <f t="shared" si="12"/>
        <v>18090837</v>
      </c>
      <c r="L392" s="80">
        <v>914959</v>
      </c>
      <c r="N392" s="80">
        <v>1720160</v>
      </c>
      <c r="O392" s="99">
        <f t="shared" si="13"/>
        <v>2635119</v>
      </c>
    </row>
    <row r="393" spans="1:15" ht="12.75" hidden="1" customHeight="1">
      <c r="A393" s="1">
        <v>25</v>
      </c>
      <c r="B393" s="1">
        <v>3500</v>
      </c>
      <c r="C393" s="1" t="s">
        <v>963</v>
      </c>
      <c r="D393" s="5" t="s">
        <v>999</v>
      </c>
      <c r="E393" t="s">
        <v>132</v>
      </c>
      <c r="F393" s="2">
        <v>392</v>
      </c>
      <c r="G393" s="80">
        <v>4406498</v>
      </c>
      <c r="I393" s="80">
        <v>69957</v>
      </c>
      <c r="J393" s="98">
        <f t="shared" si="12"/>
        <v>4476455</v>
      </c>
      <c r="L393" s="80">
        <v>941448</v>
      </c>
      <c r="O393" s="99">
        <f t="shared" si="13"/>
        <v>941448</v>
      </c>
    </row>
    <row r="394" spans="1:15" ht="12.75" hidden="1" customHeight="1">
      <c r="A394" s="1">
        <v>25</v>
      </c>
      <c r="B394" s="1">
        <v>3510</v>
      </c>
      <c r="C394" s="1" t="s">
        <v>963</v>
      </c>
      <c r="D394" s="5" t="s">
        <v>1000</v>
      </c>
      <c r="E394" t="s">
        <v>133</v>
      </c>
      <c r="F394" s="2">
        <v>5033</v>
      </c>
      <c r="G394" s="80">
        <v>29049868</v>
      </c>
      <c r="I394" s="80">
        <v>806519</v>
      </c>
      <c r="J394" s="98">
        <f t="shared" si="12"/>
        <v>29856387</v>
      </c>
      <c r="L394" s="80">
        <v>8004527</v>
      </c>
      <c r="N394" s="80">
        <v>509342</v>
      </c>
      <c r="O394" s="99">
        <f t="shared" si="13"/>
        <v>8513869</v>
      </c>
    </row>
    <row r="395" spans="1:15" ht="12.75" hidden="1" customHeight="1">
      <c r="A395" s="1">
        <v>25</v>
      </c>
      <c r="B395" s="1">
        <v>3810</v>
      </c>
      <c r="C395" s="1" t="s">
        <v>963</v>
      </c>
      <c r="D395" s="5" t="s">
        <v>1001</v>
      </c>
      <c r="E395" t="s">
        <v>134</v>
      </c>
      <c r="F395" s="2">
        <v>4318</v>
      </c>
      <c r="G395" s="80">
        <v>47642573</v>
      </c>
      <c r="I395" s="80">
        <v>488382</v>
      </c>
      <c r="J395" s="98">
        <f t="shared" si="12"/>
        <v>48130955</v>
      </c>
      <c r="L395" s="80">
        <v>81662</v>
      </c>
      <c r="N395" s="80">
        <v>4864867</v>
      </c>
      <c r="O395" s="99">
        <f t="shared" si="13"/>
        <v>4946529</v>
      </c>
    </row>
    <row r="396" spans="1:15" ht="12.75" hidden="1" customHeight="1">
      <c r="A396" s="1">
        <v>25</v>
      </c>
      <c r="B396" s="1">
        <v>3830</v>
      </c>
      <c r="C396" s="1" t="s">
        <v>963</v>
      </c>
      <c r="D396" s="5" t="s">
        <v>1002</v>
      </c>
      <c r="E396" t="s">
        <v>135</v>
      </c>
      <c r="F396" s="2">
        <v>693</v>
      </c>
      <c r="G396" s="80">
        <v>6632658</v>
      </c>
      <c r="I396" s="80">
        <v>59138</v>
      </c>
      <c r="J396" s="98">
        <f t="shared" si="12"/>
        <v>6691796</v>
      </c>
      <c r="O396" s="99">
        <f t="shared" si="13"/>
        <v>0</v>
      </c>
    </row>
    <row r="397" spans="1:15" ht="12.75" hidden="1" customHeight="1">
      <c r="A397" s="1">
        <v>25</v>
      </c>
      <c r="B397" s="1">
        <v>4360</v>
      </c>
      <c r="C397" s="1" t="s">
        <v>963</v>
      </c>
      <c r="D397" s="5" t="s">
        <v>1003</v>
      </c>
      <c r="E397" t="s">
        <v>136</v>
      </c>
      <c r="F397" s="2">
        <v>857</v>
      </c>
      <c r="G397" s="80">
        <v>11076997</v>
      </c>
      <c r="I397" s="80">
        <v>147649</v>
      </c>
      <c r="J397" s="98">
        <f t="shared" si="12"/>
        <v>11224646</v>
      </c>
      <c r="O397" s="99">
        <f t="shared" si="13"/>
        <v>0</v>
      </c>
    </row>
    <row r="398" spans="1:15" ht="12.75" hidden="1" customHeight="1">
      <c r="A398" s="1">
        <v>25</v>
      </c>
      <c r="B398" s="1">
        <v>4365</v>
      </c>
      <c r="C398" s="1" t="s">
        <v>963</v>
      </c>
      <c r="D398" s="5" t="s">
        <v>1004</v>
      </c>
      <c r="E398" t="s">
        <v>137</v>
      </c>
      <c r="F398" s="2">
        <v>1110</v>
      </c>
      <c r="G398" s="80">
        <v>15953619</v>
      </c>
      <c r="I398" s="80">
        <v>217056</v>
      </c>
      <c r="J398" s="98">
        <f t="shared" si="12"/>
        <v>16170675</v>
      </c>
      <c r="N398" s="80">
        <v>430046</v>
      </c>
      <c r="O398" s="99">
        <f t="shared" si="13"/>
        <v>430046</v>
      </c>
    </row>
    <row r="399" spans="1:15" ht="12.75" hidden="1" customHeight="1">
      <c r="A399" s="1">
        <v>25</v>
      </c>
      <c r="B399" s="1">
        <v>4520</v>
      </c>
      <c r="C399" s="1" t="s">
        <v>963</v>
      </c>
      <c r="D399" s="5" t="s">
        <v>1005</v>
      </c>
      <c r="E399" t="s">
        <v>138</v>
      </c>
      <c r="F399" s="2">
        <v>91</v>
      </c>
      <c r="G399" s="80">
        <v>1170752</v>
      </c>
      <c r="I399" s="80">
        <v>2267</v>
      </c>
      <c r="J399" s="98">
        <f t="shared" si="12"/>
        <v>1173019</v>
      </c>
      <c r="L399" s="80">
        <v>417561</v>
      </c>
      <c r="M399" s="80">
        <v>205083</v>
      </c>
      <c r="N399" s="80">
        <v>33611</v>
      </c>
      <c r="O399" s="99">
        <f t="shared" si="13"/>
        <v>656255</v>
      </c>
    </row>
    <row r="400" spans="1:15" ht="12.75" hidden="1" customHeight="1">
      <c r="A400" s="1">
        <v>25</v>
      </c>
      <c r="B400" s="1">
        <v>4570</v>
      </c>
      <c r="C400" s="1" t="s">
        <v>963</v>
      </c>
      <c r="D400" s="5" t="s">
        <v>1006</v>
      </c>
      <c r="E400" t="s">
        <v>139</v>
      </c>
      <c r="F400" s="2">
        <v>958</v>
      </c>
      <c r="G400" s="80">
        <v>10695140</v>
      </c>
      <c r="I400" s="80">
        <v>189405</v>
      </c>
      <c r="J400" s="98">
        <f t="shared" si="12"/>
        <v>10884545</v>
      </c>
      <c r="O400" s="99">
        <f t="shared" si="13"/>
        <v>0</v>
      </c>
    </row>
    <row r="401" spans="1:15" ht="12.75" hidden="1" customHeight="1">
      <c r="A401" s="1">
        <v>25</v>
      </c>
      <c r="B401" s="1">
        <v>4580</v>
      </c>
      <c r="C401" s="1" t="s">
        <v>963</v>
      </c>
      <c r="D401" s="5" t="s">
        <v>1007</v>
      </c>
      <c r="E401" t="s">
        <v>140</v>
      </c>
      <c r="F401" s="2">
        <v>996.5</v>
      </c>
      <c r="G401" s="80">
        <v>12753309</v>
      </c>
      <c r="I401" s="80">
        <v>196159</v>
      </c>
      <c r="J401" s="98">
        <f t="shared" si="12"/>
        <v>12949468</v>
      </c>
      <c r="O401" s="99">
        <f t="shared" si="13"/>
        <v>0</v>
      </c>
    </row>
    <row r="402" spans="1:15" ht="12.75" hidden="1" customHeight="1">
      <c r="A402" s="1">
        <v>25</v>
      </c>
      <c r="B402" s="1">
        <v>4690</v>
      </c>
      <c r="C402" s="1" t="s">
        <v>963</v>
      </c>
      <c r="D402" s="5" t="s">
        <v>1008</v>
      </c>
      <c r="E402" t="s">
        <v>141</v>
      </c>
      <c r="F402" s="2">
        <v>172.5</v>
      </c>
      <c r="G402" s="80">
        <v>3473180</v>
      </c>
      <c r="I402" s="80">
        <v>28729</v>
      </c>
      <c r="J402" s="98">
        <f t="shared" si="12"/>
        <v>3501909</v>
      </c>
      <c r="O402" s="99">
        <f t="shared" si="13"/>
        <v>0</v>
      </c>
    </row>
    <row r="403" spans="1:15" ht="12.75" hidden="1" customHeight="1">
      <c r="A403" s="1">
        <v>25</v>
      </c>
      <c r="B403" s="1">
        <v>4760</v>
      </c>
      <c r="C403" s="1" t="s">
        <v>963</v>
      </c>
      <c r="D403" s="5" t="s">
        <v>1009</v>
      </c>
      <c r="E403" t="s">
        <v>142</v>
      </c>
      <c r="F403" s="2">
        <v>747.5</v>
      </c>
      <c r="G403" s="80">
        <v>12051366</v>
      </c>
      <c r="I403" s="80">
        <v>155609</v>
      </c>
      <c r="J403" s="98">
        <f t="shared" si="12"/>
        <v>12206975</v>
      </c>
      <c r="O403" s="99">
        <f t="shared" si="13"/>
        <v>0</v>
      </c>
    </row>
    <row r="404" spans="1:15" ht="12.75" hidden="1" customHeight="1">
      <c r="A404" s="1">
        <v>25</v>
      </c>
      <c r="B404" s="1">
        <v>4770</v>
      </c>
      <c r="C404" s="1" t="s">
        <v>963</v>
      </c>
      <c r="D404" s="5" t="s">
        <v>1010</v>
      </c>
      <c r="E404" t="s">
        <v>143</v>
      </c>
      <c r="F404" s="2">
        <v>503</v>
      </c>
      <c r="G404" s="80">
        <v>5731281</v>
      </c>
      <c r="I404" s="80">
        <v>38141</v>
      </c>
      <c r="J404" s="98">
        <f t="shared" si="12"/>
        <v>5769422</v>
      </c>
      <c r="N404" s="80">
        <v>34084</v>
      </c>
      <c r="O404" s="99">
        <f t="shared" si="13"/>
        <v>34084</v>
      </c>
    </row>
    <row r="405" spans="1:15" ht="12.75" hidden="1" customHeight="1">
      <c r="A405" s="1">
        <v>25</v>
      </c>
      <c r="B405" s="1">
        <v>4840</v>
      </c>
      <c r="C405" s="1" t="s">
        <v>963</v>
      </c>
      <c r="D405" s="5" t="s">
        <v>1011</v>
      </c>
      <c r="E405"/>
      <c r="F405" s="2"/>
      <c r="G405" s="80">
        <v>2447693</v>
      </c>
      <c r="I405" s="80">
        <v>21468</v>
      </c>
      <c r="J405" s="98">
        <f t="shared" si="12"/>
        <v>2469161</v>
      </c>
      <c r="N405" s="80">
        <v>316813</v>
      </c>
      <c r="O405" s="99">
        <f t="shared" si="13"/>
        <v>316813</v>
      </c>
    </row>
    <row r="406" spans="1:15" ht="12.75" hidden="1" customHeight="1">
      <c r="A406" s="1">
        <v>25</v>
      </c>
      <c r="B406" s="1">
        <v>4980</v>
      </c>
      <c r="C406" s="1" t="s">
        <v>963</v>
      </c>
      <c r="D406" s="5" t="s">
        <v>1012</v>
      </c>
      <c r="E406" t="s">
        <v>144</v>
      </c>
      <c r="F406" s="2">
        <v>253</v>
      </c>
      <c r="G406" s="80">
        <v>6137862</v>
      </c>
      <c r="J406" s="98">
        <f t="shared" si="12"/>
        <v>6137862</v>
      </c>
      <c r="N406" s="80">
        <v>71314</v>
      </c>
      <c r="O406" s="99">
        <f t="shared" si="13"/>
        <v>71314</v>
      </c>
    </row>
    <row r="407" spans="1:15" ht="12.75" hidden="1" customHeight="1">
      <c r="A407" s="1">
        <v>25</v>
      </c>
      <c r="B407" s="1">
        <v>4990</v>
      </c>
      <c r="C407" s="1" t="s">
        <v>963</v>
      </c>
      <c r="D407" s="5" t="s">
        <v>1013</v>
      </c>
      <c r="E407" t="s">
        <v>145</v>
      </c>
      <c r="F407" s="2">
        <v>354</v>
      </c>
      <c r="G407" s="80">
        <v>5856354</v>
      </c>
      <c r="I407" s="80">
        <v>32670</v>
      </c>
      <c r="J407" s="98">
        <f t="shared" si="12"/>
        <v>5889024</v>
      </c>
      <c r="N407" s="80">
        <v>21065</v>
      </c>
      <c r="O407" s="99">
        <f t="shared" si="13"/>
        <v>21065</v>
      </c>
    </row>
    <row r="408" spans="1:15" ht="12.75" hidden="1" customHeight="1">
      <c r="A408" s="1">
        <v>25</v>
      </c>
      <c r="B408" s="1">
        <v>5185</v>
      </c>
      <c r="C408" s="1" t="s">
        <v>963</v>
      </c>
      <c r="D408" s="5" t="s">
        <v>1014</v>
      </c>
      <c r="E408" t="s">
        <v>146</v>
      </c>
      <c r="F408" s="2">
        <v>1576</v>
      </c>
      <c r="G408" s="80">
        <v>16576450</v>
      </c>
      <c r="J408" s="98">
        <f t="shared" si="12"/>
        <v>16576450</v>
      </c>
      <c r="L408" s="80">
        <v>495755</v>
      </c>
      <c r="N408" s="80">
        <v>533347</v>
      </c>
      <c r="O408" s="99">
        <f t="shared" si="13"/>
        <v>1029102</v>
      </c>
    </row>
    <row r="409" spans="1:15" ht="12.75" hidden="1" customHeight="1">
      <c r="A409" s="1">
        <v>25</v>
      </c>
      <c r="B409" s="1">
        <v>5230</v>
      </c>
      <c r="C409" s="1" t="s">
        <v>963</v>
      </c>
      <c r="D409" s="5" t="s">
        <v>1015</v>
      </c>
      <c r="E409" t="s">
        <v>147</v>
      </c>
      <c r="F409" s="2">
        <v>826</v>
      </c>
      <c r="G409" s="80">
        <v>6153919</v>
      </c>
      <c r="I409" s="80">
        <v>99980</v>
      </c>
      <c r="J409" s="98">
        <f t="shared" si="12"/>
        <v>6253899</v>
      </c>
      <c r="L409" s="80">
        <v>5011768</v>
      </c>
      <c r="N409" s="80">
        <v>171874</v>
      </c>
      <c r="O409" s="99">
        <f t="shared" si="13"/>
        <v>5183642</v>
      </c>
    </row>
    <row r="410" spans="1:15" ht="12.75" hidden="1" customHeight="1">
      <c r="A410" s="1">
        <v>25</v>
      </c>
      <c r="B410" s="1">
        <v>5310</v>
      </c>
      <c r="C410" s="1" t="s">
        <v>963</v>
      </c>
      <c r="D410" s="5" t="s">
        <v>1016</v>
      </c>
      <c r="E410" t="s">
        <v>148</v>
      </c>
      <c r="F410" s="2">
        <v>2279.5</v>
      </c>
      <c r="G410" s="80">
        <v>15597479</v>
      </c>
      <c r="I410" s="80">
        <v>125704</v>
      </c>
      <c r="J410" s="98">
        <f t="shared" si="12"/>
        <v>15723183</v>
      </c>
      <c r="L410" s="80">
        <v>2189520</v>
      </c>
      <c r="O410" s="99">
        <f t="shared" si="13"/>
        <v>2189520</v>
      </c>
    </row>
    <row r="411" spans="1:15" ht="12.75" hidden="1" customHeight="1">
      <c r="A411" s="1">
        <v>25</v>
      </c>
      <c r="B411" s="1">
        <v>5420</v>
      </c>
      <c r="C411" s="1" t="s">
        <v>963</v>
      </c>
      <c r="D411" s="5" t="s">
        <v>1017</v>
      </c>
      <c r="E411" t="s">
        <v>149</v>
      </c>
      <c r="F411" s="2">
        <v>4348.5</v>
      </c>
      <c r="G411" s="80">
        <v>48971356</v>
      </c>
      <c r="I411" s="80">
        <v>317772</v>
      </c>
      <c r="J411" s="98">
        <f t="shared" si="12"/>
        <v>49289128</v>
      </c>
      <c r="N411" s="80">
        <v>695486</v>
      </c>
      <c r="O411" s="99">
        <f t="shared" si="13"/>
        <v>695486</v>
      </c>
    </row>
    <row r="412" spans="1:15" ht="12.75" hidden="1" customHeight="1">
      <c r="A412" s="1">
        <v>25</v>
      </c>
      <c r="B412" s="1">
        <v>5640</v>
      </c>
      <c r="C412" s="1" t="s">
        <v>963</v>
      </c>
      <c r="D412" s="5" t="s">
        <v>1018</v>
      </c>
      <c r="E412" t="s">
        <v>150</v>
      </c>
      <c r="F412" s="2">
        <v>782</v>
      </c>
      <c r="G412" s="80">
        <v>8201959</v>
      </c>
      <c r="I412" s="80">
        <v>142615</v>
      </c>
      <c r="J412" s="98">
        <f t="shared" si="12"/>
        <v>8344574</v>
      </c>
      <c r="O412" s="99">
        <f t="shared" si="13"/>
        <v>0</v>
      </c>
    </row>
    <row r="413" spans="1:15" ht="12.75" hidden="1" customHeight="1">
      <c r="A413" s="1">
        <v>27</v>
      </c>
      <c r="B413" s="1">
        <v>450</v>
      </c>
      <c r="C413" s="1" t="s">
        <v>1019</v>
      </c>
      <c r="D413" s="5" t="s">
        <v>1020</v>
      </c>
      <c r="E413" t="s">
        <v>151</v>
      </c>
      <c r="F413" s="2">
        <v>1273</v>
      </c>
      <c r="G413" s="80">
        <v>13755266</v>
      </c>
      <c r="I413" s="80">
        <v>103959</v>
      </c>
      <c r="J413" s="98">
        <f t="shared" si="12"/>
        <v>13859225</v>
      </c>
      <c r="N413" s="80">
        <v>242449</v>
      </c>
      <c r="O413" s="99">
        <f t="shared" si="13"/>
        <v>242449</v>
      </c>
    </row>
    <row r="414" spans="1:15" ht="12.75" hidden="1" customHeight="1">
      <c r="A414" s="1">
        <v>27</v>
      </c>
      <c r="B414" s="1">
        <v>460</v>
      </c>
      <c r="C414" s="1" t="s">
        <v>1019</v>
      </c>
      <c r="D414" s="5" t="s">
        <v>1021</v>
      </c>
      <c r="E414" t="s">
        <v>152</v>
      </c>
      <c r="F414" s="2">
        <v>525</v>
      </c>
      <c r="G414" s="80">
        <v>9732135</v>
      </c>
      <c r="I414" s="80">
        <v>97856</v>
      </c>
      <c r="J414" s="98">
        <f t="shared" si="12"/>
        <v>9829991</v>
      </c>
      <c r="O414" s="99">
        <f t="shared" si="13"/>
        <v>0</v>
      </c>
    </row>
    <row r="415" spans="1:15" ht="12.75" hidden="1" customHeight="1">
      <c r="A415" s="1">
        <v>27</v>
      </c>
      <c r="B415" s="1">
        <v>630</v>
      </c>
      <c r="C415" s="1" t="s">
        <v>1019</v>
      </c>
      <c r="D415" s="5" t="s">
        <v>840</v>
      </c>
      <c r="E415" t="s">
        <v>153</v>
      </c>
      <c r="F415" s="2">
        <v>1189</v>
      </c>
      <c r="G415" s="80">
        <v>10845708</v>
      </c>
      <c r="I415" s="80">
        <v>316976</v>
      </c>
      <c r="J415" s="98">
        <f t="shared" si="12"/>
        <v>11162684</v>
      </c>
      <c r="N415" s="80">
        <v>1169374</v>
      </c>
      <c r="O415" s="99">
        <f t="shared" si="13"/>
        <v>1169374</v>
      </c>
    </row>
    <row r="416" spans="1:15" ht="12.75" hidden="1" customHeight="1">
      <c r="A416" s="1">
        <v>27</v>
      </c>
      <c r="B416" s="1">
        <v>785</v>
      </c>
      <c r="C416" s="1" t="s">
        <v>1019</v>
      </c>
      <c r="D416" s="5" t="s">
        <v>841</v>
      </c>
      <c r="E416" t="s">
        <v>154</v>
      </c>
      <c r="F416" s="2">
        <v>3489.5</v>
      </c>
      <c r="G416" s="80">
        <v>40389273</v>
      </c>
      <c r="J416" s="98">
        <f t="shared" si="12"/>
        <v>40389273</v>
      </c>
      <c r="O416" s="99">
        <f t="shared" si="13"/>
        <v>0</v>
      </c>
    </row>
    <row r="417" spans="1:15" ht="12.75" hidden="1" customHeight="1">
      <c r="A417" s="1">
        <v>27</v>
      </c>
      <c r="B417" s="1">
        <v>820</v>
      </c>
      <c r="C417" s="1" t="s">
        <v>1019</v>
      </c>
      <c r="D417" s="5" t="s">
        <v>842</v>
      </c>
      <c r="E417" t="s">
        <v>155</v>
      </c>
      <c r="F417" s="2">
        <v>1388</v>
      </c>
      <c r="G417" s="80">
        <v>16543289</v>
      </c>
      <c r="J417" s="98">
        <f t="shared" si="12"/>
        <v>16543289</v>
      </c>
      <c r="O417" s="99">
        <f t="shared" si="13"/>
        <v>0</v>
      </c>
    </row>
    <row r="418" spans="1:15" ht="12.75" hidden="1" customHeight="1">
      <c r="A418" s="1">
        <v>27</v>
      </c>
      <c r="B418" s="1">
        <v>1090</v>
      </c>
      <c r="C418" s="1" t="s">
        <v>1019</v>
      </c>
      <c r="D418" s="5" t="s">
        <v>843</v>
      </c>
      <c r="E418" t="s">
        <v>156</v>
      </c>
      <c r="F418" s="2">
        <v>1945</v>
      </c>
      <c r="G418" s="80">
        <v>21516202</v>
      </c>
      <c r="I418" s="80">
        <v>62910</v>
      </c>
      <c r="J418" s="98">
        <f t="shared" si="12"/>
        <v>21579112</v>
      </c>
      <c r="O418" s="99">
        <f t="shared" si="13"/>
        <v>0</v>
      </c>
    </row>
    <row r="419" spans="1:15" ht="12.75" hidden="1" customHeight="1">
      <c r="A419" s="1">
        <v>27</v>
      </c>
      <c r="B419" s="1">
        <v>1110</v>
      </c>
      <c r="C419" s="1" t="s">
        <v>1019</v>
      </c>
      <c r="D419" s="5" t="s">
        <v>844</v>
      </c>
      <c r="E419" t="s">
        <v>157</v>
      </c>
      <c r="F419" s="2">
        <v>2876</v>
      </c>
      <c r="G419" s="80">
        <v>11882100</v>
      </c>
      <c r="I419" s="80">
        <v>334374</v>
      </c>
      <c r="J419" s="98">
        <f t="shared" si="12"/>
        <v>12216474</v>
      </c>
      <c r="L419" s="80">
        <v>9221519</v>
      </c>
      <c r="O419" s="99">
        <f t="shared" si="13"/>
        <v>9221519</v>
      </c>
    </row>
    <row r="420" spans="1:15" ht="12.75" hidden="1" customHeight="1">
      <c r="A420" s="1">
        <v>27</v>
      </c>
      <c r="B420" s="1">
        <v>1190</v>
      </c>
      <c r="C420" s="1" t="s">
        <v>1019</v>
      </c>
      <c r="D420" s="5" t="s">
        <v>845</v>
      </c>
      <c r="E420" t="s">
        <v>158</v>
      </c>
      <c r="F420" s="2">
        <v>1147</v>
      </c>
      <c r="G420" s="80">
        <v>14218199</v>
      </c>
      <c r="J420" s="98">
        <f t="shared" si="12"/>
        <v>14218199</v>
      </c>
      <c r="O420" s="99">
        <f t="shared" si="13"/>
        <v>0</v>
      </c>
    </row>
    <row r="421" spans="1:15" ht="12.75" hidden="1" customHeight="1">
      <c r="A421" s="1">
        <v>27</v>
      </c>
      <c r="B421" s="1">
        <v>1530</v>
      </c>
      <c r="C421" s="1" t="s">
        <v>1019</v>
      </c>
      <c r="D421" s="5" t="s">
        <v>846</v>
      </c>
      <c r="E421" t="s">
        <v>159</v>
      </c>
      <c r="F421" s="2">
        <v>970</v>
      </c>
      <c r="G421" s="80">
        <v>12813493</v>
      </c>
      <c r="J421" s="98">
        <f t="shared" si="12"/>
        <v>12813493</v>
      </c>
      <c r="O421" s="99">
        <f t="shared" si="13"/>
        <v>0</v>
      </c>
    </row>
    <row r="422" spans="1:15" ht="12.75" hidden="1" customHeight="1">
      <c r="A422" s="1">
        <v>27</v>
      </c>
      <c r="B422" s="1">
        <v>1990</v>
      </c>
      <c r="C422" s="1" t="s">
        <v>1019</v>
      </c>
      <c r="D422" s="5" t="s">
        <v>847</v>
      </c>
      <c r="E422" t="s">
        <v>160</v>
      </c>
      <c r="F422" s="2">
        <v>1507</v>
      </c>
      <c r="G422" s="80">
        <v>21772560</v>
      </c>
      <c r="I422" s="80">
        <v>324338</v>
      </c>
      <c r="J422" s="98">
        <f t="shared" si="12"/>
        <v>22096898</v>
      </c>
      <c r="O422" s="99">
        <f t="shared" si="13"/>
        <v>0</v>
      </c>
    </row>
    <row r="423" spans="1:15" ht="12.75" hidden="1" customHeight="1">
      <c r="A423" s="1">
        <v>27</v>
      </c>
      <c r="B423" s="1">
        <v>2000</v>
      </c>
      <c r="C423" s="1" t="s">
        <v>1019</v>
      </c>
      <c r="D423" s="5" t="s">
        <v>848</v>
      </c>
      <c r="E423" t="s">
        <v>161</v>
      </c>
      <c r="F423" s="2">
        <v>1553</v>
      </c>
      <c r="G423" s="80">
        <v>18146999</v>
      </c>
      <c r="I423" s="80">
        <v>314608</v>
      </c>
      <c r="J423" s="98">
        <f t="shared" si="12"/>
        <v>18461607</v>
      </c>
      <c r="O423" s="99">
        <f t="shared" si="13"/>
        <v>0</v>
      </c>
    </row>
    <row r="424" spans="1:15" ht="12.75" hidden="1" customHeight="1">
      <c r="A424" s="1">
        <v>27</v>
      </c>
      <c r="B424" s="1">
        <v>2010</v>
      </c>
      <c r="C424" s="1" t="s">
        <v>1019</v>
      </c>
      <c r="D424" s="5" t="s">
        <v>849</v>
      </c>
      <c r="E424" t="s">
        <v>162</v>
      </c>
      <c r="F424" s="2">
        <v>317</v>
      </c>
      <c r="G424" s="80">
        <v>7433536</v>
      </c>
      <c r="J424" s="98">
        <f t="shared" si="12"/>
        <v>7433536</v>
      </c>
      <c r="O424" s="99">
        <f t="shared" si="13"/>
        <v>0</v>
      </c>
    </row>
    <row r="425" spans="1:15" ht="12.75" hidden="1" customHeight="1">
      <c r="A425" s="1">
        <v>27</v>
      </c>
      <c r="B425" s="1">
        <v>2380</v>
      </c>
      <c r="C425" s="1" t="s">
        <v>1019</v>
      </c>
      <c r="D425" s="5" t="s">
        <v>850</v>
      </c>
      <c r="E425" t="s">
        <v>163</v>
      </c>
      <c r="F425" s="2">
        <v>3635</v>
      </c>
      <c r="G425" s="80">
        <v>31568517</v>
      </c>
      <c r="I425" s="80">
        <v>179910</v>
      </c>
      <c r="J425" s="98">
        <f t="shared" si="12"/>
        <v>31748427</v>
      </c>
      <c r="L425" s="80">
        <v>9626956</v>
      </c>
      <c r="O425" s="99">
        <f t="shared" si="13"/>
        <v>9626956</v>
      </c>
    </row>
    <row r="426" spans="1:15" ht="12.75" hidden="1" customHeight="1">
      <c r="A426" s="1">
        <v>27</v>
      </c>
      <c r="B426" s="1">
        <v>2460</v>
      </c>
      <c r="C426" s="1" t="s">
        <v>1019</v>
      </c>
      <c r="D426" s="5" t="s">
        <v>851</v>
      </c>
      <c r="E426" t="s">
        <v>164</v>
      </c>
      <c r="F426" s="2">
        <v>2194</v>
      </c>
      <c r="G426" s="80">
        <v>26031655</v>
      </c>
      <c r="J426" s="98">
        <f t="shared" si="12"/>
        <v>26031655</v>
      </c>
      <c r="O426" s="99">
        <f t="shared" si="13"/>
        <v>0</v>
      </c>
    </row>
    <row r="427" spans="1:15" ht="12.75" hidden="1" customHeight="1">
      <c r="A427" s="1">
        <v>27</v>
      </c>
      <c r="B427" s="1">
        <v>2650</v>
      </c>
      <c r="C427" s="1" t="s">
        <v>1019</v>
      </c>
      <c r="D427" s="5" t="s">
        <v>852</v>
      </c>
      <c r="E427" t="s">
        <v>165</v>
      </c>
      <c r="F427" s="2">
        <v>934</v>
      </c>
      <c r="G427" s="80">
        <v>14142445</v>
      </c>
      <c r="I427" s="80">
        <v>135843</v>
      </c>
      <c r="J427" s="98">
        <f t="shared" si="12"/>
        <v>14278288</v>
      </c>
      <c r="N427" s="80">
        <v>79007</v>
      </c>
      <c r="O427" s="99">
        <f t="shared" si="13"/>
        <v>79007</v>
      </c>
    </row>
    <row r="428" spans="1:15" ht="12.75" hidden="1" customHeight="1">
      <c r="A428" s="1">
        <v>27</v>
      </c>
      <c r="B428" s="1">
        <v>2870</v>
      </c>
      <c r="C428" s="1" t="s">
        <v>1019</v>
      </c>
      <c r="D428" s="5" t="s">
        <v>853</v>
      </c>
      <c r="E428" t="s">
        <v>166</v>
      </c>
      <c r="F428" s="2">
        <v>2276.5</v>
      </c>
      <c r="G428" s="80">
        <v>27114621</v>
      </c>
      <c r="I428" s="80">
        <v>363945</v>
      </c>
      <c r="J428" s="98">
        <f t="shared" si="12"/>
        <v>27478566</v>
      </c>
      <c r="O428" s="99">
        <f t="shared" si="13"/>
        <v>0</v>
      </c>
    </row>
    <row r="429" spans="1:15" ht="12.75" hidden="1" customHeight="1">
      <c r="A429" s="1">
        <v>27</v>
      </c>
      <c r="B429" s="1">
        <v>3090</v>
      </c>
      <c r="C429" s="1" t="s">
        <v>1019</v>
      </c>
      <c r="D429" s="5" t="s">
        <v>854</v>
      </c>
      <c r="E429" t="s">
        <v>167</v>
      </c>
      <c r="F429" s="2">
        <v>729</v>
      </c>
      <c r="G429" s="80">
        <v>7528966</v>
      </c>
      <c r="I429" s="80">
        <v>58526</v>
      </c>
      <c r="J429" s="98">
        <f t="shared" si="12"/>
        <v>7587492</v>
      </c>
      <c r="N429" s="80">
        <v>2072</v>
      </c>
      <c r="O429" s="99">
        <f t="shared" si="13"/>
        <v>2072</v>
      </c>
    </row>
    <row r="430" spans="1:15" ht="12.75" hidden="1" customHeight="1">
      <c r="A430" s="1">
        <v>27</v>
      </c>
      <c r="B430" s="1">
        <v>3100</v>
      </c>
      <c r="C430" s="1" t="s">
        <v>1019</v>
      </c>
      <c r="D430" s="5" t="s">
        <v>855</v>
      </c>
      <c r="E430" t="s">
        <v>168</v>
      </c>
      <c r="F430" s="2">
        <v>893</v>
      </c>
      <c r="G430" s="80">
        <v>11887760</v>
      </c>
      <c r="I430" s="80">
        <v>99802</v>
      </c>
      <c r="J430" s="98">
        <f t="shared" si="12"/>
        <v>11987562</v>
      </c>
      <c r="N430" s="80">
        <v>13098</v>
      </c>
      <c r="O430" s="99">
        <f t="shared" si="13"/>
        <v>13098</v>
      </c>
    </row>
    <row r="431" spans="1:15" ht="12.75" hidden="1" customHeight="1">
      <c r="A431" s="1">
        <v>27</v>
      </c>
      <c r="B431" s="1">
        <v>3240</v>
      </c>
      <c r="C431" s="1" t="s">
        <v>1019</v>
      </c>
      <c r="D431" s="5" t="s">
        <v>856</v>
      </c>
      <c r="E431" t="s">
        <v>169</v>
      </c>
      <c r="F431" s="2">
        <v>355</v>
      </c>
      <c r="G431" s="80">
        <v>5728000</v>
      </c>
      <c r="I431" s="80">
        <v>97013</v>
      </c>
      <c r="J431" s="98">
        <f t="shared" si="12"/>
        <v>5825013</v>
      </c>
      <c r="L431" s="80">
        <v>357461</v>
      </c>
      <c r="N431" s="80">
        <v>110975</v>
      </c>
      <c r="O431" s="99">
        <f t="shared" si="13"/>
        <v>468436</v>
      </c>
    </row>
    <row r="432" spans="1:15" ht="12.75" hidden="1" customHeight="1">
      <c r="A432" s="1">
        <v>27</v>
      </c>
      <c r="B432" s="1">
        <v>3340</v>
      </c>
      <c r="C432" s="1" t="s">
        <v>1019</v>
      </c>
      <c r="D432" s="5" t="s">
        <v>857</v>
      </c>
      <c r="E432" t="s">
        <v>170</v>
      </c>
      <c r="F432" s="2">
        <v>4182</v>
      </c>
      <c r="G432" s="80">
        <v>52779206</v>
      </c>
      <c r="I432" s="80">
        <v>638887</v>
      </c>
      <c r="J432" s="98">
        <f t="shared" si="12"/>
        <v>53418093</v>
      </c>
      <c r="N432" s="80">
        <v>106567</v>
      </c>
      <c r="O432" s="99">
        <f t="shared" si="13"/>
        <v>106567</v>
      </c>
    </row>
    <row r="433" spans="1:15" ht="12.75" hidden="1" customHeight="1">
      <c r="A433" s="1">
        <v>27</v>
      </c>
      <c r="B433" s="1">
        <v>3364</v>
      </c>
      <c r="C433" s="1" t="s">
        <v>1019</v>
      </c>
      <c r="D433" s="5" t="s">
        <v>858</v>
      </c>
      <c r="E433" t="s">
        <v>171</v>
      </c>
      <c r="F433" s="2">
        <v>136.5</v>
      </c>
      <c r="I433" s="80">
        <v>127776</v>
      </c>
      <c r="J433" s="98">
        <f t="shared" si="12"/>
        <v>127776</v>
      </c>
      <c r="O433" s="99">
        <f t="shared" si="13"/>
        <v>0</v>
      </c>
    </row>
    <row r="434" spans="1:15" ht="12.75" hidden="1" customHeight="1">
      <c r="A434" s="1">
        <v>27</v>
      </c>
      <c r="B434" s="1">
        <v>3365</v>
      </c>
      <c r="C434" s="1" t="s">
        <v>1019</v>
      </c>
      <c r="D434" s="5" t="s">
        <v>859</v>
      </c>
      <c r="E434" t="s">
        <v>172</v>
      </c>
      <c r="F434" s="2">
        <v>605</v>
      </c>
      <c r="H434" s="80">
        <v>6086061</v>
      </c>
      <c r="I434" s="80">
        <v>713530</v>
      </c>
      <c r="J434" s="98">
        <f t="shared" si="12"/>
        <v>6799591</v>
      </c>
      <c r="N434" s="80">
        <v>134657</v>
      </c>
      <c r="O434" s="99">
        <f t="shared" si="13"/>
        <v>134657</v>
      </c>
    </row>
    <row r="435" spans="1:15" ht="12.75" hidden="1" customHeight="1">
      <c r="A435" s="1">
        <v>27</v>
      </c>
      <c r="B435" s="1">
        <v>3370</v>
      </c>
      <c r="C435" s="1" t="s">
        <v>1019</v>
      </c>
      <c r="D435" s="5" t="s">
        <v>860</v>
      </c>
      <c r="E435" t="s">
        <v>173</v>
      </c>
      <c r="F435" s="2">
        <v>2730</v>
      </c>
      <c r="G435" s="80">
        <v>40260382</v>
      </c>
      <c r="I435" s="80">
        <v>484130</v>
      </c>
      <c r="J435" s="98">
        <f t="shared" si="12"/>
        <v>40744512</v>
      </c>
      <c r="L435" s="80">
        <v>909385</v>
      </c>
      <c r="N435" s="80">
        <v>1291734</v>
      </c>
      <c r="O435" s="99">
        <f t="shared" si="13"/>
        <v>2201119</v>
      </c>
    </row>
    <row r="436" spans="1:15" ht="12.75" hidden="1" customHeight="1">
      <c r="A436" s="1">
        <v>27</v>
      </c>
      <c r="B436" s="1">
        <v>3380</v>
      </c>
      <c r="C436" s="1" t="s">
        <v>1019</v>
      </c>
      <c r="D436" s="5" t="s">
        <v>861</v>
      </c>
      <c r="E436" t="s">
        <v>174</v>
      </c>
      <c r="F436" s="2">
        <v>617</v>
      </c>
      <c r="G436" s="80">
        <v>11199448</v>
      </c>
      <c r="I436" s="80">
        <v>104340</v>
      </c>
      <c r="J436" s="98">
        <f t="shared" si="12"/>
        <v>11303788</v>
      </c>
      <c r="N436" s="80">
        <v>176321</v>
      </c>
      <c r="O436" s="99">
        <f t="shared" si="13"/>
        <v>176321</v>
      </c>
    </row>
    <row r="437" spans="1:15" ht="12.75" hidden="1" customHeight="1">
      <c r="A437" s="1">
        <v>27</v>
      </c>
      <c r="B437" s="1">
        <v>3385</v>
      </c>
      <c r="C437" s="1" t="s">
        <v>1019</v>
      </c>
      <c r="D437" s="5" t="s">
        <v>862</v>
      </c>
      <c r="E437" t="s">
        <v>175</v>
      </c>
      <c r="F437" s="2">
        <v>4648</v>
      </c>
      <c r="G437" s="80">
        <v>71829348</v>
      </c>
      <c r="I437" s="80">
        <v>747602</v>
      </c>
      <c r="J437" s="98">
        <f t="shared" si="12"/>
        <v>72576950</v>
      </c>
      <c r="O437" s="99">
        <f t="shared" si="13"/>
        <v>0</v>
      </c>
    </row>
    <row r="438" spans="1:15" ht="12.75" hidden="1" customHeight="1">
      <c r="A438" s="1">
        <v>27</v>
      </c>
      <c r="B438" s="1">
        <v>3410</v>
      </c>
      <c r="C438" s="1" t="s">
        <v>1019</v>
      </c>
      <c r="D438" s="5" t="s">
        <v>863</v>
      </c>
      <c r="E438" t="s">
        <v>176</v>
      </c>
      <c r="F438" s="2">
        <v>405</v>
      </c>
      <c r="G438" s="80">
        <v>7976039</v>
      </c>
      <c r="I438" s="80">
        <v>86824</v>
      </c>
      <c r="J438" s="98">
        <f t="shared" si="12"/>
        <v>8062863</v>
      </c>
      <c r="N438" s="80">
        <v>111523</v>
      </c>
      <c r="O438" s="99">
        <f t="shared" si="13"/>
        <v>111523</v>
      </c>
    </row>
    <row r="439" spans="1:15" ht="12.75" hidden="1" customHeight="1">
      <c r="A439" s="1">
        <v>27</v>
      </c>
      <c r="B439" s="1">
        <v>3450</v>
      </c>
      <c r="C439" s="1" t="s">
        <v>1019</v>
      </c>
      <c r="D439" s="5" t="s">
        <v>864</v>
      </c>
      <c r="E439" t="s">
        <v>177</v>
      </c>
      <c r="F439" s="2">
        <v>4981</v>
      </c>
      <c r="G439" s="80">
        <v>49278445</v>
      </c>
      <c r="I439" s="80">
        <v>462726</v>
      </c>
      <c r="J439" s="98">
        <f t="shared" si="12"/>
        <v>49741171</v>
      </c>
      <c r="L439" s="80">
        <v>8054305</v>
      </c>
      <c r="N439" s="80">
        <v>545746</v>
      </c>
      <c r="O439" s="99">
        <f t="shared" si="13"/>
        <v>8600051</v>
      </c>
    </row>
    <row r="440" spans="1:15" ht="12.75" hidden="1" customHeight="1">
      <c r="A440" s="1">
        <v>27</v>
      </c>
      <c r="B440" s="1">
        <v>3460</v>
      </c>
      <c r="C440" s="1" t="s">
        <v>1019</v>
      </c>
      <c r="D440" s="5" t="s">
        <v>865</v>
      </c>
      <c r="E440" t="s">
        <v>62</v>
      </c>
      <c r="F440" s="2">
        <v>1747</v>
      </c>
      <c r="G440" s="80">
        <v>16059217</v>
      </c>
      <c r="J440" s="98">
        <f t="shared" si="12"/>
        <v>16059217</v>
      </c>
      <c r="O440" s="99">
        <f t="shared" si="13"/>
        <v>0</v>
      </c>
    </row>
    <row r="441" spans="1:15" ht="12.75" hidden="1" customHeight="1">
      <c r="A441" s="1">
        <v>27</v>
      </c>
      <c r="B441" s="1">
        <v>3520</v>
      </c>
      <c r="C441" s="1" t="s">
        <v>1019</v>
      </c>
      <c r="D441" s="5" t="s">
        <v>866</v>
      </c>
      <c r="E441" t="s">
        <v>63</v>
      </c>
      <c r="F441" s="2">
        <v>295</v>
      </c>
      <c r="G441" s="80">
        <v>2713134</v>
      </c>
      <c r="I441" s="80">
        <v>35124</v>
      </c>
      <c r="J441" s="98">
        <f t="shared" si="12"/>
        <v>2748258</v>
      </c>
      <c r="L441" s="80">
        <v>309916</v>
      </c>
      <c r="N441" s="80">
        <v>235105</v>
      </c>
      <c r="O441" s="99">
        <f t="shared" si="13"/>
        <v>545021</v>
      </c>
    </row>
    <row r="442" spans="1:15" ht="12.75" hidden="1" customHeight="1">
      <c r="A442" s="1">
        <v>27</v>
      </c>
      <c r="B442" s="1">
        <v>3950</v>
      </c>
      <c r="C442" s="1" t="s">
        <v>1019</v>
      </c>
      <c r="D442" s="5" t="s">
        <v>867</v>
      </c>
      <c r="E442" t="s">
        <v>64</v>
      </c>
      <c r="F442" s="2">
        <v>7169.5</v>
      </c>
      <c r="G442" s="80">
        <v>100210723</v>
      </c>
      <c r="I442" s="80">
        <v>2241285</v>
      </c>
      <c r="J442" s="98">
        <f t="shared" si="12"/>
        <v>102452008</v>
      </c>
      <c r="O442" s="99">
        <f t="shared" si="13"/>
        <v>0</v>
      </c>
    </row>
    <row r="443" spans="1:15" ht="12.75" hidden="1" customHeight="1">
      <c r="A443" s="1">
        <v>27</v>
      </c>
      <c r="B443" s="1">
        <v>4000</v>
      </c>
      <c r="C443" s="1" t="s">
        <v>1019</v>
      </c>
      <c r="D443" s="5" t="s">
        <v>868</v>
      </c>
      <c r="E443" t="s">
        <v>65</v>
      </c>
      <c r="F443" s="2">
        <v>1065</v>
      </c>
      <c r="G443" s="80">
        <v>11433923</v>
      </c>
      <c r="I443" s="80">
        <v>185679</v>
      </c>
      <c r="J443" s="98">
        <f t="shared" si="12"/>
        <v>11619602</v>
      </c>
      <c r="N443" s="80">
        <v>3634</v>
      </c>
      <c r="O443" s="99">
        <f t="shared" si="13"/>
        <v>3634</v>
      </c>
    </row>
    <row r="444" spans="1:15" ht="12.75" hidden="1" customHeight="1">
      <c r="A444" s="1">
        <v>27</v>
      </c>
      <c r="B444" s="1">
        <v>4080</v>
      </c>
      <c r="C444" s="1" t="s">
        <v>1019</v>
      </c>
      <c r="D444" s="5" t="s">
        <v>869</v>
      </c>
      <c r="E444" t="s">
        <v>66</v>
      </c>
      <c r="F444" s="2">
        <v>2478</v>
      </c>
      <c r="G444" s="80">
        <v>27271858</v>
      </c>
      <c r="I444" s="80">
        <v>340242</v>
      </c>
      <c r="J444" s="98">
        <f t="shared" si="12"/>
        <v>27612100</v>
      </c>
      <c r="N444" s="80">
        <v>565711</v>
      </c>
      <c r="O444" s="99">
        <f t="shared" si="13"/>
        <v>565711</v>
      </c>
    </row>
    <row r="445" spans="1:15" ht="12.75" hidden="1" customHeight="1">
      <c r="A445" s="1">
        <v>27</v>
      </c>
      <c r="B445" s="1">
        <v>4330</v>
      </c>
      <c r="C445" s="1" t="s">
        <v>1019</v>
      </c>
      <c r="D445" s="5" t="s">
        <v>870</v>
      </c>
      <c r="E445" t="s">
        <v>67</v>
      </c>
      <c r="F445" s="2">
        <v>5535</v>
      </c>
      <c r="G445" s="80">
        <v>52784496</v>
      </c>
      <c r="I445" s="80">
        <v>56315</v>
      </c>
      <c r="J445" s="98">
        <f t="shared" si="12"/>
        <v>52840811</v>
      </c>
      <c r="L445" s="80">
        <v>1036148</v>
      </c>
      <c r="N445" s="80">
        <v>4625083</v>
      </c>
      <c r="O445" s="99">
        <f t="shared" si="13"/>
        <v>5661231</v>
      </c>
    </row>
    <row r="446" spans="1:15" ht="12.75" hidden="1" customHeight="1">
      <c r="A446" s="1">
        <v>27</v>
      </c>
      <c r="B446" s="1">
        <v>4440</v>
      </c>
      <c r="C446" s="1" t="s">
        <v>1019</v>
      </c>
      <c r="D446" s="5" t="s">
        <v>871</v>
      </c>
      <c r="E446" t="s">
        <v>68</v>
      </c>
      <c r="F446" s="2">
        <v>266</v>
      </c>
      <c r="G446" s="80">
        <v>4764615</v>
      </c>
      <c r="J446" s="98">
        <f t="shared" si="12"/>
        <v>4764615</v>
      </c>
      <c r="O446" s="99">
        <f t="shared" si="13"/>
        <v>0</v>
      </c>
    </row>
    <row r="447" spans="1:15" ht="12.75" hidden="1" customHeight="1">
      <c r="A447" s="1">
        <v>27</v>
      </c>
      <c r="B447" s="1">
        <v>4480</v>
      </c>
      <c r="C447" s="1" t="s">
        <v>1019</v>
      </c>
      <c r="D447" s="5" t="s">
        <v>872</v>
      </c>
      <c r="E447" t="s">
        <v>69</v>
      </c>
      <c r="F447" s="2">
        <v>622</v>
      </c>
      <c r="G447" s="80">
        <v>6020071</v>
      </c>
      <c r="I447" s="80">
        <v>54915</v>
      </c>
      <c r="J447" s="98">
        <f t="shared" si="12"/>
        <v>6074986</v>
      </c>
      <c r="O447" s="99">
        <f t="shared" si="13"/>
        <v>0</v>
      </c>
    </row>
    <row r="448" spans="1:15" ht="12.75" hidden="1" customHeight="1">
      <c r="A448" s="1">
        <v>27</v>
      </c>
      <c r="B448" s="1">
        <v>4490</v>
      </c>
      <c r="C448" s="1" t="s">
        <v>1019</v>
      </c>
      <c r="D448" s="5" t="s">
        <v>873</v>
      </c>
      <c r="E448" t="s">
        <v>70</v>
      </c>
      <c r="F448" s="2">
        <v>2854</v>
      </c>
      <c r="G448" s="80">
        <v>36816712</v>
      </c>
      <c r="I448" s="80">
        <v>499495</v>
      </c>
      <c r="J448" s="98">
        <f t="shared" si="12"/>
        <v>37316207</v>
      </c>
      <c r="N448" s="80">
        <v>216855</v>
      </c>
      <c r="O448" s="99">
        <f t="shared" si="13"/>
        <v>216855</v>
      </c>
    </row>
    <row r="449" spans="1:15" ht="12.75" hidden="1" customHeight="1">
      <c r="A449" s="1">
        <v>27</v>
      </c>
      <c r="B449" s="1">
        <v>4560</v>
      </c>
      <c r="C449" s="1" t="s">
        <v>1019</v>
      </c>
      <c r="D449" s="5" t="s">
        <v>874</v>
      </c>
      <c r="E449" t="s">
        <v>71</v>
      </c>
      <c r="F449" s="2">
        <v>4499</v>
      </c>
      <c r="G449" s="80">
        <v>41553971</v>
      </c>
      <c r="I449" s="80">
        <v>1076754</v>
      </c>
      <c r="J449" s="98">
        <f t="shared" si="12"/>
        <v>42630725</v>
      </c>
      <c r="L449" s="80">
        <v>5187272</v>
      </c>
      <c r="N449" s="80">
        <v>3943752</v>
      </c>
      <c r="O449" s="99">
        <f t="shared" si="13"/>
        <v>9131024</v>
      </c>
    </row>
    <row r="450" spans="1:15" ht="12.75" hidden="1" customHeight="1">
      <c r="A450" s="1">
        <v>27</v>
      </c>
      <c r="B450" s="1">
        <v>5380</v>
      </c>
      <c r="C450" s="1" t="s">
        <v>1019</v>
      </c>
      <c r="D450" s="5" t="s">
        <v>875</v>
      </c>
      <c r="E450"/>
      <c r="F450" s="2"/>
      <c r="G450" s="80">
        <v>922230</v>
      </c>
      <c r="I450" s="80">
        <v>49575</v>
      </c>
      <c r="J450" s="98">
        <f t="shared" si="12"/>
        <v>971805</v>
      </c>
      <c r="L450" s="80">
        <v>1298841</v>
      </c>
      <c r="N450" s="80">
        <v>236779</v>
      </c>
      <c r="O450" s="99">
        <f t="shared" si="13"/>
        <v>1535620</v>
      </c>
    </row>
    <row r="451" spans="1:15" ht="12.75" hidden="1" customHeight="1">
      <c r="A451" s="1">
        <v>27</v>
      </c>
      <c r="B451" s="1">
        <v>5520</v>
      </c>
      <c r="C451" s="1" t="s">
        <v>1019</v>
      </c>
      <c r="D451" s="5" t="s">
        <v>1270</v>
      </c>
      <c r="E451" t="s">
        <v>72</v>
      </c>
      <c r="F451" s="2">
        <v>2913</v>
      </c>
      <c r="G451" s="80">
        <v>26744883</v>
      </c>
      <c r="I451" s="80">
        <v>327135</v>
      </c>
      <c r="J451" s="98">
        <f t="shared" si="12"/>
        <v>27072018</v>
      </c>
      <c r="L451" s="80">
        <v>2179110</v>
      </c>
      <c r="N451" s="80">
        <v>2204663</v>
      </c>
      <c r="O451" s="99">
        <f t="shared" si="13"/>
        <v>4383773</v>
      </c>
    </row>
    <row r="452" spans="1:15" ht="12.75" hidden="1" customHeight="1">
      <c r="A452" s="1">
        <v>27</v>
      </c>
      <c r="B452" s="1">
        <v>5660</v>
      </c>
      <c r="C452" s="1" t="s">
        <v>1019</v>
      </c>
      <c r="D452" s="5" t="s">
        <v>876</v>
      </c>
      <c r="E452" t="s">
        <v>73</v>
      </c>
      <c r="F452" s="2">
        <v>2525</v>
      </c>
      <c r="G452" s="80">
        <v>33202895</v>
      </c>
      <c r="I452" s="80">
        <v>735120</v>
      </c>
      <c r="J452" s="98">
        <f t="shared" si="12"/>
        <v>33938015</v>
      </c>
      <c r="N452" s="80">
        <v>2852253</v>
      </c>
      <c r="O452" s="99">
        <f t="shared" si="13"/>
        <v>2852253</v>
      </c>
    </row>
    <row r="453" spans="1:15" ht="12.75" hidden="1" customHeight="1">
      <c r="A453" s="1">
        <v>27</v>
      </c>
      <c r="B453" s="1">
        <v>5770</v>
      </c>
      <c r="C453" s="1" t="s">
        <v>1019</v>
      </c>
      <c r="D453" s="5" t="s">
        <v>877</v>
      </c>
      <c r="E453" t="s">
        <v>74</v>
      </c>
      <c r="F453" s="2">
        <v>746</v>
      </c>
      <c r="G453" s="80">
        <v>6703455</v>
      </c>
      <c r="I453" s="80">
        <v>22144</v>
      </c>
      <c r="J453" s="98">
        <f t="shared" ref="J453:J516" si="14">SUM(G453:I453)</f>
        <v>6725599</v>
      </c>
      <c r="L453" s="80">
        <v>1196806</v>
      </c>
      <c r="O453" s="99">
        <f t="shared" ref="O453:O516" si="15">SUM(L453:N453)</f>
        <v>1196806</v>
      </c>
    </row>
    <row r="454" spans="1:15" ht="12.75" hidden="1" customHeight="1">
      <c r="A454" s="1">
        <v>29</v>
      </c>
      <c r="B454" s="1">
        <v>185</v>
      </c>
      <c r="C454" s="1" t="s">
        <v>878</v>
      </c>
      <c r="D454" s="5" t="s">
        <v>879</v>
      </c>
      <c r="E454" t="s">
        <v>1892</v>
      </c>
      <c r="F454" s="2">
        <v>3049.5</v>
      </c>
      <c r="G454" s="80">
        <v>19755300</v>
      </c>
      <c r="I454" s="80">
        <v>164427</v>
      </c>
      <c r="J454" s="98">
        <f t="shared" si="14"/>
        <v>19919727</v>
      </c>
      <c r="L454" s="80">
        <v>14044416</v>
      </c>
      <c r="O454" s="99">
        <f t="shared" si="15"/>
        <v>14044416</v>
      </c>
    </row>
    <row r="455" spans="1:15" ht="12.75" hidden="1" customHeight="1">
      <c r="A455" s="1">
        <v>29</v>
      </c>
      <c r="B455" s="1">
        <v>210</v>
      </c>
      <c r="C455" s="1" t="s">
        <v>878</v>
      </c>
      <c r="D455" s="5" t="s">
        <v>880</v>
      </c>
      <c r="E455" t="s">
        <v>1893</v>
      </c>
      <c r="F455" s="2">
        <v>93</v>
      </c>
      <c r="G455" s="80">
        <v>2121394</v>
      </c>
      <c r="I455" s="80">
        <v>2991</v>
      </c>
      <c r="J455" s="98">
        <f t="shared" si="14"/>
        <v>2124385</v>
      </c>
      <c r="N455" s="80">
        <v>25150</v>
      </c>
      <c r="O455" s="99">
        <f t="shared" si="15"/>
        <v>25150</v>
      </c>
    </row>
    <row r="456" spans="1:15" ht="12.75" hidden="1" customHeight="1">
      <c r="A456" s="1">
        <v>29</v>
      </c>
      <c r="B456" s="1">
        <v>230</v>
      </c>
      <c r="C456" s="1" t="s">
        <v>878</v>
      </c>
      <c r="D456" s="5" t="s">
        <v>881</v>
      </c>
      <c r="E456" t="s">
        <v>1894</v>
      </c>
      <c r="F456" s="2">
        <v>65</v>
      </c>
      <c r="G456" s="80">
        <v>1198525</v>
      </c>
      <c r="I456" s="80">
        <v>10323</v>
      </c>
      <c r="J456" s="98">
        <f t="shared" si="14"/>
        <v>1208848</v>
      </c>
      <c r="N456" s="80">
        <v>51147</v>
      </c>
      <c r="O456" s="99">
        <f t="shared" si="15"/>
        <v>51147</v>
      </c>
    </row>
    <row r="457" spans="1:15" ht="12.75" hidden="1" customHeight="1">
      <c r="A457" s="1">
        <v>29</v>
      </c>
      <c r="B457" s="1">
        <v>320</v>
      </c>
      <c r="C457" s="1" t="s">
        <v>878</v>
      </c>
      <c r="D457" s="5" t="s">
        <v>882</v>
      </c>
      <c r="E457" t="s">
        <v>1895</v>
      </c>
      <c r="F457" s="2">
        <v>1908</v>
      </c>
      <c r="G457" s="80">
        <v>21843362</v>
      </c>
      <c r="I457" s="80">
        <v>96311</v>
      </c>
      <c r="J457" s="98">
        <f t="shared" si="14"/>
        <v>21939673</v>
      </c>
      <c r="O457" s="99">
        <f t="shared" si="15"/>
        <v>0</v>
      </c>
    </row>
    <row r="458" spans="1:15" ht="12.75" hidden="1" customHeight="1">
      <c r="A458" s="1">
        <v>29</v>
      </c>
      <c r="B458" s="1">
        <v>530</v>
      </c>
      <c r="C458" s="1" t="s">
        <v>878</v>
      </c>
      <c r="D458" s="5" t="s">
        <v>883</v>
      </c>
      <c r="E458" t="s">
        <v>1896</v>
      </c>
      <c r="F458" s="2">
        <v>10714</v>
      </c>
      <c r="G458" s="80">
        <v>79614807</v>
      </c>
      <c r="I458" s="80">
        <v>1055509</v>
      </c>
      <c r="J458" s="98">
        <f t="shared" si="14"/>
        <v>80670316</v>
      </c>
      <c r="L458" s="80">
        <v>19226620</v>
      </c>
      <c r="O458" s="99">
        <f t="shared" si="15"/>
        <v>19226620</v>
      </c>
    </row>
    <row r="459" spans="1:15" ht="12.75" hidden="1" customHeight="1">
      <c r="A459" s="1">
        <v>29</v>
      </c>
      <c r="B459" s="1">
        <v>770</v>
      </c>
      <c r="C459" s="1" t="s">
        <v>878</v>
      </c>
      <c r="D459" s="5" t="s">
        <v>884</v>
      </c>
      <c r="E459" t="s">
        <v>1897</v>
      </c>
      <c r="F459" s="2">
        <v>2169</v>
      </c>
      <c r="G459" s="80">
        <v>23052945</v>
      </c>
      <c r="I459" s="80">
        <v>544017</v>
      </c>
      <c r="J459" s="98">
        <f t="shared" si="14"/>
        <v>23596962</v>
      </c>
      <c r="L459" s="80">
        <v>171643</v>
      </c>
      <c r="O459" s="99">
        <f t="shared" si="15"/>
        <v>171643</v>
      </c>
    </row>
    <row r="460" spans="1:15" ht="12.75" hidden="1" customHeight="1">
      <c r="A460" s="1">
        <v>29</v>
      </c>
      <c r="B460" s="1">
        <v>1150</v>
      </c>
      <c r="C460" s="1" t="s">
        <v>878</v>
      </c>
      <c r="D460" s="5" t="s">
        <v>885</v>
      </c>
      <c r="E460" t="s">
        <v>1898</v>
      </c>
      <c r="F460" s="2">
        <v>140</v>
      </c>
      <c r="G460" s="80">
        <v>1380676</v>
      </c>
      <c r="I460" s="80">
        <v>16294</v>
      </c>
      <c r="J460" s="98">
        <f t="shared" si="14"/>
        <v>1396970</v>
      </c>
      <c r="L460" s="80">
        <v>299075</v>
      </c>
      <c r="N460" s="80">
        <v>60973</v>
      </c>
      <c r="O460" s="99">
        <f t="shared" si="15"/>
        <v>360048</v>
      </c>
    </row>
    <row r="461" spans="1:15" ht="12.75" hidden="1" customHeight="1">
      <c r="A461" s="1">
        <v>29</v>
      </c>
      <c r="B461" s="1">
        <v>2350</v>
      </c>
      <c r="C461" s="1" t="s">
        <v>878</v>
      </c>
      <c r="D461" s="5" t="s">
        <v>886</v>
      </c>
      <c r="E461" t="s">
        <v>1899</v>
      </c>
      <c r="F461" s="2">
        <v>114</v>
      </c>
      <c r="G461" s="80">
        <v>1519823</v>
      </c>
      <c r="I461" s="80">
        <v>38731</v>
      </c>
      <c r="J461" s="98">
        <f t="shared" si="14"/>
        <v>1558554</v>
      </c>
      <c r="N461" s="80">
        <v>33828</v>
      </c>
      <c r="O461" s="99">
        <f t="shared" si="15"/>
        <v>33828</v>
      </c>
    </row>
    <row r="462" spans="1:15" ht="12.75" hidden="1" customHeight="1">
      <c r="A462" s="1">
        <v>29</v>
      </c>
      <c r="B462" s="1">
        <v>2360</v>
      </c>
      <c r="C462" s="1" t="s">
        <v>878</v>
      </c>
      <c r="D462" s="5" t="s">
        <v>887</v>
      </c>
      <c r="E462" t="s">
        <v>1900</v>
      </c>
      <c r="F462" s="2">
        <v>9681</v>
      </c>
      <c r="G462" s="80">
        <v>60020934</v>
      </c>
      <c r="I462" s="80">
        <v>1079633</v>
      </c>
      <c r="J462" s="98">
        <f t="shared" si="14"/>
        <v>61100567</v>
      </c>
      <c r="L462" s="80">
        <v>30752632</v>
      </c>
      <c r="O462" s="99">
        <f t="shared" si="15"/>
        <v>30752632</v>
      </c>
    </row>
    <row r="463" spans="1:15" ht="12.75" hidden="1" customHeight="1">
      <c r="A463" s="1">
        <v>29</v>
      </c>
      <c r="B463" s="1">
        <v>2480</v>
      </c>
      <c r="C463" s="1" t="s">
        <v>878</v>
      </c>
      <c r="D463" s="5" t="s">
        <v>888</v>
      </c>
      <c r="E463" t="s">
        <v>1901</v>
      </c>
      <c r="F463" s="2">
        <v>5004.5</v>
      </c>
      <c r="G463" s="80">
        <v>34814214</v>
      </c>
      <c r="I463" s="80">
        <v>221791</v>
      </c>
      <c r="J463" s="98">
        <f t="shared" si="14"/>
        <v>35036005</v>
      </c>
      <c r="L463" s="80">
        <v>12646728</v>
      </c>
      <c r="O463" s="99">
        <f t="shared" si="15"/>
        <v>12646728</v>
      </c>
    </row>
    <row r="464" spans="1:15" ht="12.75" hidden="1" customHeight="1">
      <c r="A464" s="1">
        <v>29</v>
      </c>
      <c r="B464" s="1">
        <v>2500</v>
      </c>
      <c r="C464" s="1" t="s">
        <v>878</v>
      </c>
      <c r="D464" s="5" t="s">
        <v>889</v>
      </c>
      <c r="E464" t="s">
        <v>1902</v>
      </c>
      <c r="F464" s="2">
        <v>469</v>
      </c>
      <c r="G464" s="80">
        <v>1018796</v>
      </c>
      <c r="I464" s="80">
        <v>50566</v>
      </c>
      <c r="J464" s="98">
        <f t="shared" si="14"/>
        <v>1069362</v>
      </c>
      <c r="L464" s="80">
        <v>3509383</v>
      </c>
      <c r="M464" s="80">
        <v>54604</v>
      </c>
      <c r="N464" s="80">
        <v>150180</v>
      </c>
      <c r="O464" s="99">
        <f t="shared" si="15"/>
        <v>3714167</v>
      </c>
    </row>
    <row r="465" spans="1:15" ht="12.75" hidden="1" customHeight="1">
      <c r="A465" s="1">
        <v>29</v>
      </c>
      <c r="B465" s="1">
        <v>2520</v>
      </c>
      <c r="C465" s="1" t="s">
        <v>878</v>
      </c>
      <c r="D465" s="5" t="s">
        <v>890</v>
      </c>
      <c r="E465" t="s">
        <v>1903</v>
      </c>
      <c r="F465" s="2">
        <v>5452</v>
      </c>
      <c r="G465" s="80">
        <v>62254745</v>
      </c>
      <c r="I465" s="80">
        <v>664294</v>
      </c>
      <c r="J465" s="98">
        <f t="shared" si="14"/>
        <v>62919039</v>
      </c>
      <c r="L465" s="80">
        <v>4358760</v>
      </c>
      <c r="N465" s="80">
        <v>1854071</v>
      </c>
      <c r="O465" s="99">
        <f t="shared" si="15"/>
        <v>6212831</v>
      </c>
    </row>
    <row r="466" spans="1:15" ht="12.75" hidden="1" customHeight="1">
      <c r="A466" s="1">
        <v>29</v>
      </c>
      <c r="B466" s="1">
        <v>2550</v>
      </c>
      <c r="C466" s="1" t="s">
        <v>878</v>
      </c>
      <c r="D466" s="5" t="s">
        <v>891</v>
      </c>
      <c r="E466" t="s">
        <v>1904</v>
      </c>
      <c r="F466" s="2">
        <v>143</v>
      </c>
      <c r="G466" s="80">
        <v>2807809</v>
      </c>
      <c r="I466" s="80">
        <v>20988</v>
      </c>
      <c r="J466" s="98">
        <f t="shared" si="14"/>
        <v>2828797</v>
      </c>
      <c r="N466" s="80">
        <v>22419</v>
      </c>
      <c r="O466" s="99">
        <f t="shared" si="15"/>
        <v>22419</v>
      </c>
    </row>
    <row r="467" spans="1:15" ht="12.75" hidden="1" customHeight="1">
      <c r="A467" s="1">
        <v>29</v>
      </c>
      <c r="B467" s="1">
        <v>2690</v>
      </c>
      <c r="C467" s="1" t="s">
        <v>878</v>
      </c>
      <c r="D467" s="5" t="s">
        <v>892</v>
      </c>
      <c r="E467" t="s">
        <v>1905</v>
      </c>
      <c r="F467" s="2">
        <v>1712</v>
      </c>
      <c r="G467" s="80">
        <v>9298508</v>
      </c>
      <c r="J467" s="98">
        <f t="shared" si="14"/>
        <v>9298508</v>
      </c>
      <c r="L467" s="80">
        <v>3871332</v>
      </c>
      <c r="O467" s="99">
        <f t="shared" si="15"/>
        <v>3871332</v>
      </c>
    </row>
    <row r="468" spans="1:15" ht="12.75" hidden="1" customHeight="1">
      <c r="A468" s="1">
        <v>29</v>
      </c>
      <c r="B468" s="1">
        <v>2760</v>
      </c>
      <c r="C468" s="1" t="s">
        <v>878</v>
      </c>
      <c r="D468" s="5" t="s">
        <v>893</v>
      </c>
      <c r="E468" t="s">
        <v>1906</v>
      </c>
      <c r="F468" s="2">
        <v>248</v>
      </c>
      <c r="G468" s="80">
        <v>5172983</v>
      </c>
      <c r="I468" s="80">
        <v>16106</v>
      </c>
      <c r="J468" s="98">
        <f t="shared" si="14"/>
        <v>5189089</v>
      </c>
      <c r="O468" s="99">
        <f t="shared" si="15"/>
        <v>0</v>
      </c>
    </row>
    <row r="469" spans="1:15" ht="12.75" hidden="1" customHeight="1">
      <c r="A469" s="1">
        <v>29</v>
      </c>
      <c r="B469" s="1">
        <v>2940</v>
      </c>
      <c r="C469" s="1" t="s">
        <v>878</v>
      </c>
      <c r="D469" s="5" t="s">
        <v>894</v>
      </c>
      <c r="E469" t="s">
        <v>1907</v>
      </c>
      <c r="F469" s="2">
        <v>3363</v>
      </c>
      <c r="G469" s="80">
        <v>31200923</v>
      </c>
      <c r="I469" s="80">
        <v>315780</v>
      </c>
      <c r="J469" s="98">
        <f t="shared" si="14"/>
        <v>31516703</v>
      </c>
      <c r="L469" s="80">
        <v>739324</v>
      </c>
      <c r="O469" s="99">
        <f t="shared" si="15"/>
        <v>739324</v>
      </c>
    </row>
    <row r="470" spans="1:15" ht="12.75" hidden="1" customHeight="1">
      <c r="A470" s="1">
        <v>29</v>
      </c>
      <c r="B470" s="1">
        <v>2980</v>
      </c>
      <c r="C470" s="1" t="s">
        <v>878</v>
      </c>
      <c r="D470" s="5" t="s">
        <v>895</v>
      </c>
      <c r="E470"/>
      <c r="F470" s="2"/>
      <c r="G470" s="80">
        <v>107821</v>
      </c>
      <c r="I470" s="80">
        <v>24794</v>
      </c>
      <c r="J470" s="98">
        <f t="shared" si="14"/>
        <v>132615</v>
      </c>
      <c r="N470" s="80">
        <v>2449</v>
      </c>
      <c r="O470" s="99">
        <f t="shared" si="15"/>
        <v>2449</v>
      </c>
    </row>
    <row r="471" spans="1:15" ht="12.75" hidden="1" customHeight="1">
      <c r="A471" s="1">
        <v>29</v>
      </c>
      <c r="B471" s="1">
        <v>3790</v>
      </c>
      <c r="C471" s="1" t="s">
        <v>878</v>
      </c>
      <c r="D471" s="5" t="s">
        <v>896</v>
      </c>
      <c r="E471" t="s">
        <v>1909</v>
      </c>
      <c r="F471" s="2">
        <v>1103</v>
      </c>
      <c r="H471" s="80">
        <v>14228528</v>
      </c>
      <c r="I471" s="80">
        <v>520296</v>
      </c>
      <c r="J471" s="98">
        <f t="shared" si="14"/>
        <v>14748824</v>
      </c>
      <c r="L471" s="80">
        <v>1278726</v>
      </c>
      <c r="N471" s="80">
        <v>9220</v>
      </c>
      <c r="O471" s="99">
        <f t="shared" si="15"/>
        <v>1287946</v>
      </c>
    </row>
    <row r="472" spans="1:15" ht="12.75" hidden="1" customHeight="1">
      <c r="A472" s="1">
        <v>29</v>
      </c>
      <c r="B472" s="1">
        <v>3800</v>
      </c>
      <c r="C472" s="1" t="s">
        <v>878</v>
      </c>
      <c r="D472" s="5" t="s">
        <v>897</v>
      </c>
      <c r="E472" t="s">
        <v>1910</v>
      </c>
      <c r="F472" s="2">
        <v>147</v>
      </c>
      <c r="G472" s="80">
        <v>1387828</v>
      </c>
      <c r="I472" s="80">
        <v>19177</v>
      </c>
      <c r="J472" s="98">
        <f t="shared" si="14"/>
        <v>1407005</v>
      </c>
      <c r="L472" s="80">
        <v>546906</v>
      </c>
      <c r="O472" s="99">
        <f t="shared" si="15"/>
        <v>546906</v>
      </c>
    </row>
    <row r="473" spans="1:15" ht="12.75" hidden="1" customHeight="1">
      <c r="A473" s="1">
        <v>29</v>
      </c>
      <c r="B473" s="1">
        <v>3820</v>
      </c>
      <c r="C473" s="1" t="s">
        <v>878</v>
      </c>
      <c r="D473" s="5" t="s">
        <v>1001</v>
      </c>
      <c r="E473" t="s">
        <v>1911</v>
      </c>
      <c r="F473" s="2">
        <v>556</v>
      </c>
      <c r="G473" s="80">
        <v>8215031</v>
      </c>
      <c r="I473" s="80">
        <v>263017</v>
      </c>
      <c r="J473" s="98">
        <f t="shared" si="14"/>
        <v>8478048</v>
      </c>
      <c r="L473" s="80">
        <v>3746670</v>
      </c>
      <c r="N473" s="80">
        <v>969725</v>
      </c>
      <c r="O473" s="99">
        <f t="shared" si="15"/>
        <v>4716395</v>
      </c>
    </row>
    <row r="474" spans="1:15" ht="12.75" hidden="1" customHeight="1">
      <c r="A474" s="1">
        <v>29</v>
      </c>
      <c r="B474" s="1">
        <v>4105</v>
      </c>
      <c r="C474" s="1" t="s">
        <v>878</v>
      </c>
      <c r="D474" s="5" t="s">
        <v>898</v>
      </c>
      <c r="E474" t="s">
        <v>1912</v>
      </c>
      <c r="F474" s="2">
        <v>1895</v>
      </c>
      <c r="G474" s="80">
        <v>14766460</v>
      </c>
      <c r="I474" s="80">
        <v>213999</v>
      </c>
      <c r="J474" s="98">
        <f t="shared" si="14"/>
        <v>14980459</v>
      </c>
      <c r="L474" s="80">
        <v>7976631</v>
      </c>
      <c r="N474" s="80">
        <v>308961</v>
      </c>
      <c r="O474" s="99">
        <f t="shared" si="15"/>
        <v>8285592</v>
      </c>
    </row>
    <row r="475" spans="1:15" ht="12.75" hidden="1" customHeight="1">
      <c r="A475" s="1">
        <v>29</v>
      </c>
      <c r="B475" s="1">
        <v>4190</v>
      </c>
      <c r="C475" s="1" t="s">
        <v>878</v>
      </c>
      <c r="D475" s="5" t="s">
        <v>899</v>
      </c>
      <c r="E475" t="s">
        <v>1913</v>
      </c>
      <c r="F475" s="2">
        <v>1823</v>
      </c>
      <c r="G475" s="80">
        <v>8065539</v>
      </c>
      <c r="I475" s="80">
        <v>278985</v>
      </c>
      <c r="J475" s="98">
        <f t="shared" si="14"/>
        <v>8344524</v>
      </c>
      <c r="L475" s="80">
        <v>6327312</v>
      </c>
      <c r="O475" s="99">
        <f t="shared" si="15"/>
        <v>6327312</v>
      </c>
    </row>
    <row r="476" spans="1:15" ht="12.75" hidden="1" customHeight="1">
      <c r="A476" s="1">
        <v>29</v>
      </c>
      <c r="B476" s="1">
        <v>4210</v>
      </c>
      <c r="C476" s="1" t="s">
        <v>878</v>
      </c>
      <c r="D476" s="5" t="s">
        <v>900</v>
      </c>
      <c r="E476" t="s">
        <v>1914</v>
      </c>
      <c r="F476" s="2">
        <v>3208</v>
      </c>
      <c r="G476" s="80">
        <v>23810271</v>
      </c>
      <c r="I476" s="80">
        <v>452540</v>
      </c>
      <c r="J476" s="98">
        <f t="shared" si="14"/>
        <v>24262811</v>
      </c>
      <c r="L476" s="80">
        <v>2873337</v>
      </c>
      <c r="N476" s="80">
        <v>220898</v>
      </c>
      <c r="O476" s="99">
        <f t="shared" si="15"/>
        <v>3094235</v>
      </c>
    </row>
    <row r="477" spans="1:15" ht="12.75" hidden="1" customHeight="1">
      <c r="A477" s="1">
        <v>29</v>
      </c>
      <c r="B477" s="1">
        <v>4220</v>
      </c>
      <c r="C477" s="1" t="s">
        <v>878</v>
      </c>
      <c r="D477" s="5" t="s">
        <v>901</v>
      </c>
      <c r="E477" t="s">
        <v>1915</v>
      </c>
      <c r="F477" s="2">
        <v>870</v>
      </c>
      <c r="G477" s="80">
        <v>8689532</v>
      </c>
      <c r="J477" s="98">
        <f t="shared" si="14"/>
        <v>8689532</v>
      </c>
      <c r="O477" s="99">
        <f t="shared" si="15"/>
        <v>0</v>
      </c>
    </row>
    <row r="478" spans="1:15" ht="12.75" hidden="1" customHeight="1">
      <c r="A478" s="1">
        <v>29</v>
      </c>
      <c r="B478" s="1">
        <v>4710</v>
      </c>
      <c r="C478" s="1" t="s">
        <v>878</v>
      </c>
      <c r="D478" s="5" t="s">
        <v>902</v>
      </c>
      <c r="E478" t="s">
        <v>1916</v>
      </c>
      <c r="F478" s="2">
        <v>210</v>
      </c>
      <c r="G478" s="80">
        <v>2207141</v>
      </c>
      <c r="I478" s="80">
        <v>75590</v>
      </c>
      <c r="J478" s="98">
        <f t="shared" si="14"/>
        <v>2282731</v>
      </c>
      <c r="L478" s="80">
        <v>308186</v>
      </c>
      <c r="O478" s="99">
        <f t="shared" si="15"/>
        <v>308186</v>
      </c>
    </row>
    <row r="479" spans="1:15" ht="12.75" hidden="1" customHeight="1">
      <c r="A479" s="1">
        <v>29</v>
      </c>
      <c r="B479" s="1">
        <v>4720</v>
      </c>
      <c r="C479" s="1" t="s">
        <v>878</v>
      </c>
      <c r="D479" s="5" t="s">
        <v>903</v>
      </c>
      <c r="E479" t="s">
        <v>1917</v>
      </c>
      <c r="F479" s="2">
        <v>92</v>
      </c>
      <c r="G479" s="80">
        <v>1283650</v>
      </c>
      <c r="I479" s="80">
        <v>52624</v>
      </c>
      <c r="J479" s="98">
        <f t="shared" si="14"/>
        <v>1336274</v>
      </c>
      <c r="O479" s="99">
        <f t="shared" si="15"/>
        <v>0</v>
      </c>
    </row>
    <row r="480" spans="1:15" ht="12.75" hidden="1" customHeight="1">
      <c r="A480" s="1">
        <v>29</v>
      </c>
      <c r="B480" s="1">
        <v>4950</v>
      </c>
      <c r="C480" s="1" t="s">
        <v>878</v>
      </c>
      <c r="D480" s="5" t="s">
        <v>904</v>
      </c>
      <c r="E480" t="s">
        <v>1918</v>
      </c>
      <c r="F480" s="2">
        <v>3271.5</v>
      </c>
      <c r="G480" s="80">
        <v>34866771</v>
      </c>
      <c r="I480" s="80">
        <v>926584</v>
      </c>
      <c r="J480" s="98">
        <f t="shared" si="14"/>
        <v>35793355</v>
      </c>
      <c r="O480" s="99">
        <f t="shared" si="15"/>
        <v>0</v>
      </c>
    </row>
    <row r="481" spans="1:15" ht="12.75" hidden="1" customHeight="1">
      <c r="A481" s="1">
        <v>29</v>
      </c>
      <c r="B481" s="1">
        <v>5020</v>
      </c>
      <c r="C481" s="1" t="s">
        <v>878</v>
      </c>
      <c r="D481" s="5" t="s">
        <v>905</v>
      </c>
      <c r="E481" t="s">
        <v>1919</v>
      </c>
      <c r="F481" s="2">
        <v>2494</v>
      </c>
      <c r="G481" s="80">
        <v>21740992</v>
      </c>
      <c r="I481" s="80">
        <v>553277</v>
      </c>
      <c r="J481" s="98">
        <f t="shared" si="14"/>
        <v>22294269</v>
      </c>
      <c r="L481" s="80">
        <v>4049894</v>
      </c>
      <c r="N481" s="80">
        <v>364181</v>
      </c>
      <c r="O481" s="99">
        <f t="shared" si="15"/>
        <v>4414075</v>
      </c>
    </row>
    <row r="482" spans="1:15" ht="12.75" hidden="1" customHeight="1">
      <c r="A482" s="1">
        <v>29</v>
      </c>
      <c r="B482" s="1">
        <v>5190</v>
      </c>
      <c r="C482" s="1" t="s">
        <v>878</v>
      </c>
      <c r="D482" s="5" t="s">
        <v>906</v>
      </c>
      <c r="E482" t="s">
        <v>1920</v>
      </c>
      <c r="F482" s="2">
        <v>17631</v>
      </c>
      <c r="G482" s="80">
        <v>104580126</v>
      </c>
      <c r="I482" s="80">
        <v>134021</v>
      </c>
      <c r="J482" s="98">
        <f t="shared" si="14"/>
        <v>104714147</v>
      </c>
      <c r="K482" s="80"/>
      <c r="L482" s="80">
        <v>39379179</v>
      </c>
      <c r="O482" s="99">
        <f t="shared" si="15"/>
        <v>39379179</v>
      </c>
    </row>
    <row r="483" spans="1:15" ht="12.75" hidden="1" customHeight="1">
      <c r="A483" s="1">
        <v>29</v>
      </c>
      <c r="B483" s="1">
        <v>5220</v>
      </c>
      <c r="C483" s="1" t="s">
        <v>878</v>
      </c>
      <c r="D483" s="5" t="s">
        <v>907</v>
      </c>
      <c r="E483" t="s">
        <v>1921</v>
      </c>
      <c r="F483" s="2">
        <v>266</v>
      </c>
      <c r="G483" s="80">
        <v>1908256</v>
      </c>
      <c r="I483" s="80">
        <v>68324</v>
      </c>
      <c r="J483" s="98">
        <f t="shared" si="14"/>
        <v>1976580</v>
      </c>
      <c r="L483" s="80">
        <v>682594</v>
      </c>
      <c r="N483" s="80">
        <v>73136</v>
      </c>
      <c r="O483" s="99">
        <f t="shared" si="15"/>
        <v>755730</v>
      </c>
    </row>
    <row r="484" spans="1:15" ht="12.75" hidden="1" customHeight="1">
      <c r="A484" s="1">
        <v>31</v>
      </c>
      <c r="B484" s="1">
        <v>420</v>
      </c>
      <c r="C484" s="1" t="s">
        <v>908</v>
      </c>
      <c r="D484" s="5" t="s">
        <v>909</v>
      </c>
      <c r="E484" t="s">
        <v>1922</v>
      </c>
      <c r="F484" s="2">
        <v>687.5</v>
      </c>
      <c r="G484" s="80">
        <v>11674554</v>
      </c>
      <c r="I484" s="80">
        <v>99840</v>
      </c>
      <c r="J484" s="98">
        <f t="shared" si="14"/>
        <v>11774394</v>
      </c>
      <c r="N484" s="80">
        <v>1055851</v>
      </c>
      <c r="O484" s="99">
        <f t="shared" si="15"/>
        <v>1055851</v>
      </c>
    </row>
    <row r="485" spans="1:15" ht="12.75" hidden="1" customHeight="1">
      <c r="A485" s="1">
        <v>31</v>
      </c>
      <c r="B485" s="1">
        <v>900</v>
      </c>
      <c r="C485" s="1" t="s">
        <v>908</v>
      </c>
      <c r="D485" s="5" t="s">
        <v>910</v>
      </c>
      <c r="E485" t="s">
        <v>1923</v>
      </c>
      <c r="F485" s="2">
        <v>10388</v>
      </c>
      <c r="G485" s="80">
        <v>101312881</v>
      </c>
      <c r="J485" s="98">
        <f t="shared" si="14"/>
        <v>101312881</v>
      </c>
      <c r="L485" s="80">
        <v>4314755</v>
      </c>
      <c r="O485" s="99">
        <f t="shared" si="15"/>
        <v>4314755</v>
      </c>
    </row>
    <row r="486" spans="1:15" ht="12.75" hidden="1" customHeight="1">
      <c r="A486" s="1">
        <v>31</v>
      </c>
      <c r="B486" s="1">
        <v>1920</v>
      </c>
      <c r="C486" s="1" t="s">
        <v>908</v>
      </c>
      <c r="D486" s="5" t="s">
        <v>911</v>
      </c>
      <c r="E486" t="s">
        <v>1924</v>
      </c>
      <c r="F486" s="2">
        <v>1033</v>
      </c>
      <c r="G486" s="80">
        <v>4808738</v>
      </c>
      <c r="I486" s="80">
        <v>122686</v>
      </c>
      <c r="J486" s="98">
        <f t="shared" si="14"/>
        <v>4931424</v>
      </c>
      <c r="L486" s="80">
        <v>2929828</v>
      </c>
      <c r="O486" s="99">
        <f t="shared" si="15"/>
        <v>2929828</v>
      </c>
    </row>
    <row r="487" spans="1:15" ht="12.75" hidden="1" customHeight="1">
      <c r="A487" s="1">
        <v>31</v>
      </c>
      <c r="B487" s="1">
        <v>2100</v>
      </c>
      <c r="C487" s="1" t="s">
        <v>908</v>
      </c>
      <c r="D487" s="5" t="s">
        <v>912</v>
      </c>
      <c r="E487" t="s">
        <v>1925</v>
      </c>
      <c r="F487" s="2">
        <v>2382</v>
      </c>
      <c r="G487" s="80">
        <v>26377804</v>
      </c>
      <c r="J487" s="98">
        <f t="shared" si="14"/>
        <v>26377804</v>
      </c>
      <c r="O487" s="99">
        <f t="shared" si="15"/>
        <v>0</v>
      </c>
    </row>
    <row r="488" spans="1:15" ht="12.75" hidden="1" customHeight="1">
      <c r="A488" s="1">
        <v>31</v>
      </c>
      <c r="B488" s="1">
        <v>2510</v>
      </c>
      <c r="C488" s="1" t="s">
        <v>908</v>
      </c>
      <c r="D488" s="5" t="s">
        <v>913</v>
      </c>
      <c r="E488" t="s">
        <v>1926</v>
      </c>
      <c r="F488" s="2">
        <v>1127.5</v>
      </c>
      <c r="G488" s="80">
        <v>14274393</v>
      </c>
      <c r="I488" s="80">
        <v>212750</v>
      </c>
      <c r="J488" s="98">
        <f t="shared" si="14"/>
        <v>14487143</v>
      </c>
      <c r="L488" s="80">
        <v>1299622</v>
      </c>
      <c r="M488" s="80">
        <v>324030</v>
      </c>
      <c r="N488" s="80">
        <v>1714039</v>
      </c>
      <c r="O488" s="99">
        <f t="shared" si="15"/>
        <v>3337691</v>
      </c>
    </row>
    <row r="489" spans="1:15" ht="12.75" hidden="1" customHeight="1">
      <c r="A489" s="1">
        <v>31</v>
      </c>
      <c r="B489" s="1">
        <v>2700</v>
      </c>
      <c r="C489" s="1" t="s">
        <v>908</v>
      </c>
      <c r="D489" s="5" t="s">
        <v>914</v>
      </c>
      <c r="E489" t="s">
        <v>1931</v>
      </c>
      <c r="F489" s="2">
        <v>882</v>
      </c>
      <c r="G489" s="80">
        <v>9812794</v>
      </c>
      <c r="I489" s="80">
        <v>100081</v>
      </c>
      <c r="J489" s="98">
        <f t="shared" si="14"/>
        <v>9912875</v>
      </c>
      <c r="O489" s="99">
        <f t="shared" si="15"/>
        <v>0</v>
      </c>
    </row>
    <row r="490" spans="1:15" ht="12.75" hidden="1" customHeight="1">
      <c r="A490" s="1">
        <v>31</v>
      </c>
      <c r="B490" s="1">
        <v>3640</v>
      </c>
      <c r="C490" s="1" t="s">
        <v>908</v>
      </c>
      <c r="D490" s="5" t="s">
        <v>915</v>
      </c>
      <c r="E490" t="s">
        <v>1932</v>
      </c>
      <c r="F490" s="2">
        <v>662</v>
      </c>
      <c r="G490" s="80">
        <v>6302416</v>
      </c>
      <c r="J490" s="98">
        <f t="shared" si="14"/>
        <v>6302416</v>
      </c>
      <c r="O490" s="99">
        <f t="shared" si="15"/>
        <v>0</v>
      </c>
    </row>
    <row r="491" spans="1:15" ht="12.75" hidden="1" customHeight="1">
      <c r="A491" s="1">
        <v>31</v>
      </c>
      <c r="B491" s="1">
        <v>3970</v>
      </c>
      <c r="C491" s="1" t="s">
        <v>908</v>
      </c>
      <c r="D491" s="5" t="s">
        <v>916</v>
      </c>
      <c r="E491" t="s">
        <v>1933</v>
      </c>
      <c r="F491" s="2">
        <v>12247</v>
      </c>
      <c r="G491" s="80">
        <v>13869390</v>
      </c>
      <c r="I491" s="80">
        <v>2281958</v>
      </c>
      <c r="J491" s="98">
        <f t="shared" si="14"/>
        <v>16151348</v>
      </c>
      <c r="L491" s="80">
        <v>65783761</v>
      </c>
      <c r="M491" s="80">
        <v>7842417</v>
      </c>
      <c r="O491" s="99">
        <f t="shared" si="15"/>
        <v>73626178</v>
      </c>
    </row>
    <row r="492" spans="1:15" ht="12.75" hidden="1" customHeight="1">
      <c r="A492" s="1">
        <v>31</v>
      </c>
      <c r="B492" s="1">
        <v>3975</v>
      </c>
      <c r="C492" s="1" t="s">
        <v>908</v>
      </c>
      <c r="D492" s="5" t="s">
        <v>917</v>
      </c>
      <c r="E492" t="s">
        <v>1934</v>
      </c>
      <c r="F492" s="2">
        <v>255</v>
      </c>
      <c r="G492" s="80">
        <v>5828738</v>
      </c>
      <c r="J492" s="98">
        <f t="shared" si="14"/>
        <v>5828738</v>
      </c>
      <c r="O492" s="99">
        <f t="shared" si="15"/>
        <v>0</v>
      </c>
    </row>
    <row r="493" spans="1:15" ht="12.75" hidden="1" customHeight="1">
      <c r="A493" s="1">
        <v>31</v>
      </c>
      <c r="B493" s="1">
        <v>3980</v>
      </c>
      <c r="C493" s="1" t="s">
        <v>908</v>
      </c>
      <c r="D493" s="5" t="s">
        <v>918</v>
      </c>
      <c r="E493" t="s">
        <v>1935</v>
      </c>
      <c r="F493" s="2">
        <v>793</v>
      </c>
      <c r="G493" s="80">
        <v>8986178</v>
      </c>
      <c r="I493" s="80">
        <v>135448</v>
      </c>
      <c r="J493" s="98">
        <f t="shared" si="14"/>
        <v>9121626</v>
      </c>
      <c r="L493" s="80">
        <v>2276281</v>
      </c>
      <c r="M493" s="80">
        <v>104132</v>
      </c>
      <c r="O493" s="99">
        <f t="shared" si="15"/>
        <v>2380413</v>
      </c>
    </row>
    <row r="494" spans="1:15" ht="12.75" hidden="1" customHeight="1">
      <c r="A494" s="1">
        <v>31</v>
      </c>
      <c r="B494" s="1">
        <v>3990</v>
      </c>
      <c r="C494" s="1" t="s">
        <v>908</v>
      </c>
      <c r="D494" s="5" t="s">
        <v>919</v>
      </c>
      <c r="E494" t="s">
        <v>1936</v>
      </c>
      <c r="F494" s="2">
        <v>1313</v>
      </c>
      <c r="G494" s="80">
        <v>17262984</v>
      </c>
      <c r="I494" s="80">
        <v>125144</v>
      </c>
      <c r="J494" s="98">
        <f t="shared" si="14"/>
        <v>17388128</v>
      </c>
      <c r="N494" s="80">
        <v>61512</v>
      </c>
      <c r="O494" s="99">
        <f t="shared" si="15"/>
        <v>61512</v>
      </c>
    </row>
    <row r="495" spans="1:15" ht="12.75" hidden="1" customHeight="1">
      <c r="A495" s="1">
        <v>31</v>
      </c>
      <c r="B495" s="1">
        <v>3995</v>
      </c>
      <c r="C495" s="1" t="s">
        <v>908</v>
      </c>
      <c r="D495" s="5" t="s">
        <v>920</v>
      </c>
      <c r="E495" t="s">
        <v>1937</v>
      </c>
      <c r="F495" s="2">
        <v>2517.5</v>
      </c>
      <c r="H495" s="80">
        <v>7144585</v>
      </c>
      <c r="I495" s="80">
        <v>237881</v>
      </c>
      <c r="J495" s="98">
        <f t="shared" si="14"/>
        <v>7382466</v>
      </c>
      <c r="L495" s="80">
        <v>5752321</v>
      </c>
      <c r="O495" s="99">
        <f t="shared" si="15"/>
        <v>5752321</v>
      </c>
    </row>
    <row r="496" spans="1:15" ht="12.75" hidden="1" customHeight="1">
      <c r="A496" s="1">
        <v>31</v>
      </c>
      <c r="B496" s="1">
        <v>4010</v>
      </c>
      <c r="C496" s="1" t="s">
        <v>908</v>
      </c>
      <c r="D496" s="5" t="s">
        <v>921</v>
      </c>
      <c r="E496" t="s">
        <v>1938</v>
      </c>
      <c r="F496" s="2">
        <v>24950</v>
      </c>
      <c r="G496" s="80">
        <v>36016971</v>
      </c>
      <c r="I496" s="80">
        <v>4589844</v>
      </c>
      <c r="J496" s="98">
        <f t="shared" si="14"/>
        <v>40606815</v>
      </c>
      <c r="L496" s="80">
        <v>155240299</v>
      </c>
      <c r="M496" s="80">
        <v>16980835</v>
      </c>
      <c r="O496" s="99">
        <f t="shared" si="15"/>
        <v>172221134</v>
      </c>
    </row>
    <row r="497" spans="1:15" ht="12.75" hidden="1" customHeight="1">
      <c r="A497" s="1">
        <v>31</v>
      </c>
      <c r="B497" s="1">
        <v>4230</v>
      </c>
      <c r="C497" s="1" t="s">
        <v>908</v>
      </c>
      <c r="D497" s="5" t="s">
        <v>922</v>
      </c>
      <c r="E497" t="s">
        <v>1939</v>
      </c>
      <c r="F497" s="2">
        <v>1793.5</v>
      </c>
      <c r="G497" s="80">
        <v>18612007</v>
      </c>
      <c r="J497" s="98">
        <f t="shared" si="14"/>
        <v>18612007</v>
      </c>
      <c r="L497" s="80">
        <v>2485685</v>
      </c>
      <c r="M497" s="80">
        <v>264666</v>
      </c>
      <c r="O497" s="99">
        <f t="shared" si="15"/>
        <v>2750351</v>
      </c>
    </row>
    <row r="498" spans="1:15" ht="12.75" hidden="1" customHeight="1">
      <c r="A498" s="1">
        <v>31</v>
      </c>
      <c r="B498" s="1">
        <v>4270</v>
      </c>
      <c r="C498" s="1" t="s">
        <v>908</v>
      </c>
      <c r="D498" s="5" t="s">
        <v>923</v>
      </c>
      <c r="E498" t="s">
        <v>1940</v>
      </c>
      <c r="F498" s="2">
        <v>821</v>
      </c>
      <c r="G498" s="80">
        <v>2389174</v>
      </c>
      <c r="J498" s="98">
        <f t="shared" si="14"/>
        <v>2389174</v>
      </c>
      <c r="L498" s="80">
        <v>3671951</v>
      </c>
      <c r="M498" s="80">
        <v>51542</v>
      </c>
      <c r="O498" s="99">
        <f t="shared" si="15"/>
        <v>3723493</v>
      </c>
    </row>
    <row r="499" spans="1:15" ht="12.75" hidden="1" customHeight="1">
      <c r="A499" s="1">
        <v>31</v>
      </c>
      <c r="B499" s="1">
        <v>4400</v>
      </c>
      <c r="C499" s="1" t="s">
        <v>908</v>
      </c>
      <c r="D499" s="5" t="s">
        <v>924</v>
      </c>
      <c r="E499" t="s">
        <v>1941</v>
      </c>
      <c r="F499" s="2">
        <v>1412</v>
      </c>
      <c r="G499" s="80">
        <v>13567275</v>
      </c>
      <c r="I499" s="80">
        <v>225972</v>
      </c>
      <c r="J499" s="98">
        <f t="shared" si="14"/>
        <v>13793247</v>
      </c>
      <c r="L499" s="80">
        <v>237625</v>
      </c>
      <c r="N499" s="80">
        <v>1651007</v>
      </c>
      <c r="O499" s="99">
        <f t="shared" si="15"/>
        <v>1888632</v>
      </c>
    </row>
    <row r="500" spans="1:15" ht="12.75" hidden="1" customHeight="1">
      <c r="A500" s="1">
        <v>31</v>
      </c>
      <c r="B500" s="1">
        <v>5200</v>
      </c>
      <c r="C500" s="1" t="s">
        <v>908</v>
      </c>
      <c r="D500" s="5" t="s">
        <v>925</v>
      </c>
      <c r="E500" t="s">
        <v>1838</v>
      </c>
      <c r="F500" s="2">
        <v>993</v>
      </c>
      <c r="G500" s="80">
        <v>10863652</v>
      </c>
      <c r="I500" s="80">
        <v>8891</v>
      </c>
      <c r="J500" s="98">
        <f t="shared" si="14"/>
        <v>10872543</v>
      </c>
      <c r="O500" s="99">
        <f t="shared" si="15"/>
        <v>0</v>
      </c>
    </row>
    <row r="501" spans="1:15" ht="12.75" hidden="1" customHeight="1">
      <c r="A501" s="1">
        <v>31</v>
      </c>
      <c r="B501" s="1">
        <v>5440</v>
      </c>
      <c r="C501" s="1" t="s">
        <v>908</v>
      </c>
      <c r="D501" s="5" t="s">
        <v>926</v>
      </c>
      <c r="E501" t="s">
        <v>1839</v>
      </c>
      <c r="F501" s="2">
        <v>984</v>
      </c>
      <c r="G501" s="80">
        <v>9975454</v>
      </c>
      <c r="I501" s="80">
        <v>205679</v>
      </c>
      <c r="J501" s="98">
        <f t="shared" si="14"/>
        <v>10181133</v>
      </c>
      <c r="L501" s="80">
        <v>508337</v>
      </c>
      <c r="N501" s="80">
        <v>1108699</v>
      </c>
      <c r="O501" s="99">
        <f t="shared" si="15"/>
        <v>1617036</v>
      </c>
    </row>
    <row r="502" spans="1:15" ht="12.75" hidden="1" customHeight="1">
      <c r="A502" s="1">
        <v>31</v>
      </c>
      <c r="B502" s="1">
        <v>5570</v>
      </c>
      <c r="C502" s="1" t="s">
        <v>908</v>
      </c>
      <c r="D502" s="5" t="s">
        <v>927</v>
      </c>
      <c r="E502" t="s">
        <v>1840</v>
      </c>
      <c r="F502" s="2">
        <v>8873</v>
      </c>
      <c r="G502" s="80">
        <v>105832575</v>
      </c>
      <c r="I502" s="80">
        <v>1420579</v>
      </c>
      <c r="J502" s="98">
        <f t="shared" si="14"/>
        <v>107253154</v>
      </c>
      <c r="O502" s="99">
        <f t="shared" si="15"/>
        <v>0</v>
      </c>
    </row>
    <row r="503" spans="1:15" ht="12.75" hidden="1" customHeight="1">
      <c r="A503" s="1">
        <v>31</v>
      </c>
      <c r="B503" s="1">
        <v>5650</v>
      </c>
      <c r="C503" s="1" t="s">
        <v>908</v>
      </c>
      <c r="D503" s="5" t="s">
        <v>928</v>
      </c>
      <c r="E503" t="s">
        <v>1841</v>
      </c>
      <c r="F503" s="2">
        <v>4385.5</v>
      </c>
      <c r="G503" s="80">
        <v>42868997</v>
      </c>
      <c r="I503" s="80">
        <v>309639</v>
      </c>
      <c r="J503" s="98">
        <f t="shared" si="14"/>
        <v>43178636</v>
      </c>
      <c r="L503" s="80">
        <v>8722850</v>
      </c>
      <c r="N503" s="80">
        <v>799098</v>
      </c>
      <c r="O503" s="99">
        <f t="shared" si="15"/>
        <v>9521948</v>
      </c>
    </row>
    <row r="504" spans="1:15" ht="12.75" hidden="1" customHeight="1">
      <c r="A504" s="1">
        <v>31</v>
      </c>
      <c r="B504" s="1">
        <v>5690</v>
      </c>
      <c r="C504" s="1" t="s">
        <v>908</v>
      </c>
      <c r="D504" s="5" t="s">
        <v>929</v>
      </c>
      <c r="E504" t="s">
        <v>1842</v>
      </c>
      <c r="F504" s="2">
        <v>1003</v>
      </c>
      <c r="G504" s="80">
        <v>10427322</v>
      </c>
      <c r="I504" s="80">
        <v>217264</v>
      </c>
      <c r="J504" s="98">
        <f t="shared" si="14"/>
        <v>10644586</v>
      </c>
      <c r="O504" s="99">
        <f t="shared" si="15"/>
        <v>0</v>
      </c>
    </row>
    <row r="505" spans="1:15" ht="12.75" hidden="1" customHeight="1">
      <c r="A505" s="1">
        <v>33</v>
      </c>
      <c r="B505" s="1">
        <v>60</v>
      </c>
      <c r="C505" s="1" t="s">
        <v>930</v>
      </c>
      <c r="D505" s="5" t="s">
        <v>750</v>
      </c>
      <c r="E505" t="s">
        <v>1843</v>
      </c>
      <c r="F505" s="2">
        <v>482</v>
      </c>
      <c r="G505" s="80">
        <v>3064000</v>
      </c>
      <c r="I505" s="80">
        <v>91528</v>
      </c>
      <c r="J505" s="98">
        <f t="shared" si="14"/>
        <v>3155528</v>
      </c>
      <c r="L505" s="80">
        <v>1956888</v>
      </c>
      <c r="N505" s="80">
        <v>406818</v>
      </c>
      <c r="O505" s="99">
        <f t="shared" si="15"/>
        <v>2363706</v>
      </c>
    </row>
    <row r="506" spans="1:15" ht="12.75" hidden="1" customHeight="1">
      <c r="A506" s="1">
        <v>33</v>
      </c>
      <c r="B506" s="1">
        <v>1340</v>
      </c>
      <c r="C506" s="1" t="s">
        <v>930</v>
      </c>
      <c r="D506" s="5" t="s">
        <v>751</v>
      </c>
      <c r="E506" t="s">
        <v>1844</v>
      </c>
      <c r="F506" s="2">
        <v>81</v>
      </c>
      <c r="G506" s="80">
        <v>1087722</v>
      </c>
      <c r="I506" s="80">
        <v>24530</v>
      </c>
      <c r="J506" s="98">
        <f t="shared" si="14"/>
        <v>1112252</v>
      </c>
      <c r="L506" s="80">
        <v>1100785</v>
      </c>
      <c r="N506" s="80">
        <v>47975</v>
      </c>
      <c r="O506" s="99">
        <f t="shared" si="15"/>
        <v>1148760</v>
      </c>
    </row>
    <row r="507" spans="1:15" ht="12.75" hidden="1" customHeight="1">
      <c r="A507" s="1">
        <v>33</v>
      </c>
      <c r="B507" s="1">
        <v>1350</v>
      </c>
      <c r="C507" s="1" t="s">
        <v>930</v>
      </c>
      <c r="D507" s="5" t="s">
        <v>752</v>
      </c>
      <c r="E507" t="s">
        <v>1845</v>
      </c>
      <c r="F507" s="2">
        <v>108</v>
      </c>
      <c r="G507" s="80">
        <v>1190351</v>
      </c>
      <c r="I507" s="80">
        <v>22792</v>
      </c>
      <c r="J507" s="98">
        <f t="shared" si="14"/>
        <v>1213143</v>
      </c>
      <c r="L507" s="80">
        <v>346209</v>
      </c>
      <c r="O507" s="99">
        <f t="shared" si="15"/>
        <v>346209</v>
      </c>
    </row>
    <row r="508" spans="1:15" ht="12.75" hidden="1" customHeight="1">
      <c r="A508" s="1">
        <v>33</v>
      </c>
      <c r="B508" s="1">
        <v>2800</v>
      </c>
      <c r="C508" s="1" t="s">
        <v>930</v>
      </c>
      <c r="D508" s="5" t="s">
        <v>753</v>
      </c>
      <c r="E508" t="s">
        <v>1846</v>
      </c>
      <c r="F508" s="2">
        <v>236</v>
      </c>
      <c r="G508" s="80">
        <v>3000000</v>
      </c>
      <c r="I508" s="80">
        <v>31289</v>
      </c>
      <c r="J508" s="98">
        <f t="shared" si="14"/>
        <v>3031289</v>
      </c>
      <c r="N508" s="80">
        <v>744343</v>
      </c>
      <c r="O508" s="99">
        <f t="shared" si="15"/>
        <v>744343</v>
      </c>
    </row>
    <row r="509" spans="1:15" ht="12.75" hidden="1" customHeight="1">
      <c r="A509" s="1">
        <v>33</v>
      </c>
      <c r="B509" s="1">
        <v>2950</v>
      </c>
      <c r="C509" s="1" t="s">
        <v>930</v>
      </c>
      <c r="D509" s="5" t="s">
        <v>754</v>
      </c>
      <c r="E509" t="s">
        <v>1847</v>
      </c>
      <c r="F509" s="2">
        <v>154</v>
      </c>
      <c r="G509" s="80">
        <v>2052703</v>
      </c>
      <c r="I509" s="80">
        <v>54165</v>
      </c>
      <c r="J509" s="98">
        <f t="shared" si="14"/>
        <v>2106868</v>
      </c>
      <c r="L509" s="80">
        <v>93795</v>
      </c>
      <c r="N509" s="80">
        <v>162527</v>
      </c>
      <c r="O509" s="99">
        <f t="shared" si="15"/>
        <v>256322</v>
      </c>
    </row>
    <row r="510" spans="1:15" ht="12.75" hidden="1" customHeight="1">
      <c r="A510" s="1">
        <v>33</v>
      </c>
      <c r="B510" s="1">
        <v>3860</v>
      </c>
      <c r="C510" s="1" t="s">
        <v>930</v>
      </c>
      <c r="D510" s="5" t="s">
        <v>755</v>
      </c>
      <c r="E510" t="s">
        <v>1848</v>
      </c>
      <c r="F510" s="2">
        <v>219.5</v>
      </c>
      <c r="G510" s="80">
        <v>2569891</v>
      </c>
      <c r="I510" s="80">
        <v>47244</v>
      </c>
      <c r="J510" s="98">
        <f t="shared" si="14"/>
        <v>2617135</v>
      </c>
      <c r="L510" s="80">
        <v>874147</v>
      </c>
      <c r="N510" s="80">
        <v>347906</v>
      </c>
      <c r="O510" s="99">
        <f t="shared" si="15"/>
        <v>1222053</v>
      </c>
    </row>
    <row r="511" spans="1:15" ht="12.75" hidden="1" customHeight="1">
      <c r="A511" s="1">
        <v>33</v>
      </c>
      <c r="B511" s="1">
        <v>4070</v>
      </c>
      <c r="C511" s="1" t="s">
        <v>930</v>
      </c>
      <c r="D511" s="5" t="s">
        <v>756</v>
      </c>
      <c r="E511" t="s">
        <v>1849</v>
      </c>
      <c r="F511" s="2">
        <v>2393</v>
      </c>
      <c r="G511" s="80">
        <v>9120821</v>
      </c>
      <c r="I511" s="80">
        <v>258939</v>
      </c>
      <c r="J511" s="98">
        <f t="shared" si="14"/>
        <v>9379760</v>
      </c>
      <c r="L511" s="80">
        <v>9959352</v>
      </c>
      <c r="M511" s="80">
        <v>749241</v>
      </c>
      <c r="N511" s="80">
        <v>36279</v>
      </c>
      <c r="O511" s="99">
        <f t="shared" si="15"/>
        <v>10744872</v>
      </c>
    </row>
    <row r="512" spans="1:15" ht="12.75" hidden="1" customHeight="1">
      <c r="A512" s="1">
        <v>33</v>
      </c>
      <c r="B512" s="1">
        <v>4075</v>
      </c>
      <c r="C512" s="1" t="s">
        <v>930</v>
      </c>
      <c r="D512" s="5" t="s">
        <v>757</v>
      </c>
      <c r="E512" t="s">
        <v>1850</v>
      </c>
      <c r="F512" s="2">
        <v>2068.5</v>
      </c>
      <c r="G512" s="80">
        <v>16884103</v>
      </c>
      <c r="I512" s="80">
        <v>191205</v>
      </c>
      <c r="J512" s="98">
        <f t="shared" si="14"/>
        <v>17075308</v>
      </c>
      <c r="L512" s="80">
        <v>5080151</v>
      </c>
      <c r="N512" s="80">
        <v>613496</v>
      </c>
      <c r="O512" s="99">
        <f t="shared" si="15"/>
        <v>5693647</v>
      </c>
    </row>
    <row r="513" spans="1:15" ht="12.75" hidden="1" customHeight="1">
      <c r="A513" s="1">
        <v>33</v>
      </c>
      <c r="B513" s="1">
        <v>4150</v>
      </c>
      <c r="C513" s="1" t="s">
        <v>930</v>
      </c>
      <c r="D513" s="5" t="s">
        <v>758</v>
      </c>
      <c r="E513" t="s">
        <v>1851</v>
      </c>
      <c r="F513" s="2">
        <v>1919.5</v>
      </c>
      <c r="G513" s="80">
        <v>8164880</v>
      </c>
      <c r="I513" s="80">
        <v>402441</v>
      </c>
      <c r="J513" s="98">
        <f t="shared" si="14"/>
        <v>8567321</v>
      </c>
      <c r="L513" s="80">
        <v>6433077</v>
      </c>
      <c r="N513" s="80">
        <v>1368188</v>
      </c>
      <c r="O513" s="99">
        <f t="shared" si="15"/>
        <v>7801265</v>
      </c>
    </row>
    <row r="514" spans="1:15" ht="12.75" hidden="1" customHeight="1">
      <c r="A514" s="1">
        <v>33</v>
      </c>
      <c r="B514" s="1">
        <v>4280</v>
      </c>
      <c r="C514" s="1" t="s">
        <v>930</v>
      </c>
      <c r="D514" s="5" t="s">
        <v>759</v>
      </c>
      <c r="E514" t="s">
        <v>1852</v>
      </c>
      <c r="F514" s="2">
        <v>346</v>
      </c>
      <c r="G514" s="80">
        <v>2214913</v>
      </c>
      <c r="I514" s="80">
        <v>45072</v>
      </c>
      <c r="J514" s="98">
        <f t="shared" si="14"/>
        <v>2259985</v>
      </c>
      <c r="L514" s="80">
        <v>1477124</v>
      </c>
      <c r="N514" s="80">
        <v>180098</v>
      </c>
      <c r="O514" s="99">
        <f t="shared" si="15"/>
        <v>1657222</v>
      </c>
    </row>
    <row r="515" spans="1:15" ht="12.75" hidden="1" customHeight="1">
      <c r="A515" s="1">
        <v>33</v>
      </c>
      <c r="B515" s="1">
        <v>4630</v>
      </c>
      <c r="C515" s="1" t="s">
        <v>930</v>
      </c>
      <c r="D515" s="5" t="s">
        <v>760</v>
      </c>
      <c r="E515" t="s">
        <v>1853</v>
      </c>
      <c r="F515" s="2">
        <v>1497</v>
      </c>
      <c r="G515" s="80">
        <v>2366655</v>
      </c>
      <c r="I515" s="80">
        <v>217226</v>
      </c>
      <c r="J515" s="98">
        <f t="shared" si="14"/>
        <v>2583881</v>
      </c>
      <c r="L515" s="80">
        <v>6738659</v>
      </c>
      <c r="M515" s="80">
        <v>482496</v>
      </c>
      <c r="N515" s="80">
        <v>20639</v>
      </c>
      <c r="O515" s="99">
        <f t="shared" si="15"/>
        <v>7241794</v>
      </c>
    </row>
    <row r="516" spans="1:15" ht="12.75" hidden="1" customHeight="1">
      <c r="A516" s="1">
        <v>33</v>
      </c>
      <c r="B516" s="1">
        <v>4635</v>
      </c>
      <c r="C516" s="1" t="s">
        <v>930</v>
      </c>
      <c r="D516" s="5" t="s">
        <v>761</v>
      </c>
      <c r="E516" t="s">
        <v>1854</v>
      </c>
      <c r="F516" s="2">
        <v>83.5</v>
      </c>
      <c r="H516" s="80">
        <v>291459</v>
      </c>
      <c r="I516" s="80">
        <v>4033</v>
      </c>
      <c r="J516" s="98">
        <f t="shared" si="14"/>
        <v>295492</v>
      </c>
      <c r="O516" s="99">
        <f t="shared" si="15"/>
        <v>0</v>
      </c>
    </row>
    <row r="517" spans="1:15" ht="12.75" hidden="1" customHeight="1">
      <c r="A517" s="1">
        <v>33</v>
      </c>
      <c r="B517" s="1">
        <v>4640</v>
      </c>
      <c r="C517" s="1" t="s">
        <v>930</v>
      </c>
      <c r="D517" s="5" t="s">
        <v>762</v>
      </c>
      <c r="E517" t="s">
        <v>1855</v>
      </c>
      <c r="F517" s="2">
        <v>557.5</v>
      </c>
      <c r="H517" s="80">
        <v>1530000</v>
      </c>
      <c r="I517" s="80">
        <v>287021</v>
      </c>
      <c r="J517" s="98">
        <f t="shared" ref="J517:J580" si="16">SUM(G517:I517)</f>
        <v>1817021</v>
      </c>
      <c r="L517" s="80">
        <v>2007292</v>
      </c>
      <c r="O517" s="99">
        <f t="shared" ref="O517:O580" si="17">SUM(L517:N517)</f>
        <v>2007292</v>
      </c>
    </row>
    <row r="518" spans="1:15" ht="12.75" hidden="1" customHeight="1">
      <c r="A518" s="1">
        <v>33</v>
      </c>
      <c r="B518" s="1">
        <v>5320</v>
      </c>
      <c r="C518" s="1" t="s">
        <v>930</v>
      </c>
      <c r="D518" s="5" t="s">
        <v>763</v>
      </c>
      <c r="E518" t="s">
        <v>1856</v>
      </c>
      <c r="F518" s="2">
        <v>434</v>
      </c>
      <c r="G518" s="80">
        <v>2863480</v>
      </c>
      <c r="J518" s="98">
        <f t="shared" si="16"/>
        <v>2863480</v>
      </c>
      <c r="L518" s="80">
        <v>2019326</v>
      </c>
      <c r="N518" s="80">
        <v>72246</v>
      </c>
      <c r="O518" s="99">
        <f t="shared" si="17"/>
        <v>2091572</v>
      </c>
    </row>
    <row r="519" spans="1:15" ht="12.75" hidden="1" customHeight="1">
      <c r="A519" s="1">
        <v>33</v>
      </c>
      <c r="B519" s="1">
        <v>5910</v>
      </c>
      <c r="C519" s="1" t="s">
        <v>930</v>
      </c>
      <c r="D519" s="5" t="s">
        <v>764</v>
      </c>
      <c r="E519" t="s">
        <v>1857</v>
      </c>
      <c r="F519" s="2">
        <v>1621</v>
      </c>
      <c r="G519" s="80">
        <v>8521913</v>
      </c>
      <c r="I519" s="80">
        <v>37032</v>
      </c>
      <c r="J519" s="98">
        <f t="shared" si="16"/>
        <v>8558945</v>
      </c>
      <c r="L519" s="80">
        <v>4194191</v>
      </c>
      <c r="N519" s="80">
        <v>505697</v>
      </c>
      <c r="O519" s="99">
        <f t="shared" si="17"/>
        <v>4699888</v>
      </c>
    </row>
    <row r="520" spans="1:15" ht="12.75" hidden="1" customHeight="1">
      <c r="A520" s="1">
        <v>35</v>
      </c>
      <c r="B520" s="1">
        <v>240</v>
      </c>
      <c r="C520" s="1" t="s">
        <v>765</v>
      </c>
      <c r="D520" s="5" t="s">
        <v>766</v>
      </c>
      <c r="E520" t="s">
        <v>1858</v>
      </c>
      <c r="F520" s="2">
        <v>582</v>
      </c>
      <c r="G520" s="80">
        <v>12123393</v>
      </c>
      <c r="I520" s="80">
        <v>90259</v>
      </c>
      <c r="J520" s="98">
        <f t="shared" si="16"/>
        <v>12213652</v>
      </c>
      <c r="O520" s="99">
        <f t="shared" si="17"/>
        <v>0</v>
      </c>
    </row>
    <row r="521" spans="1:15" ht="12.75" hidden="1" customHeight="1">
      <c r="A521" s="1">
        <v>35</v>
      </c>
      <c r="B521" s="1">
        <v>350</v>
      </c>
      <c r="C521" s="1" t="s">
        <v>765</v>
      </c>
      <c r="D521" s="5" t="s">
        <v>767</v>
      </c>
      <c r="E521" t="s">
        <v>1859</v>
      </c>
      <c r="F521" s="2">
        <v>5314.5</v>
      </c>
      <c r="G521" s="80">
        <v>61313765</v>
      </c>
      <c r="I521" s="80">
        <v>486911</v>
      </c>
      <c r="J521" s="98">
        <f t="shared" si="16"/>
        <v>61800676</v>
      </c>
      <c r="O521" s="99">
        <f t="shared" si="17"/>
        <v>0</v>
      </c>
    </row>
    <row r="522" spans="1:15" ht="12.75" hidden="1" customHeight="1">
      <c r="A522" s="1">
        <v>35</v>
      </c>
      <c r="B522" s="1">
        <v>490</v>
      </c>
      <c r="C522" s="1" t="s">
        <v>765</v>
      </c>
      <c r="D522" s="5" t="s">
        <v>768</v>
      </c>
      <c r="E522" t="s">
        <v>1860</v>
      </c>
      <c r="F522" s="2">
        <v>1465</v>
      </c>
      <c r="G522" s="80">
        <v>12385567</v>
      </c>
      <c r="I522" s="80">
        <v>221573</v>
      </c>
      <c r="J522" s="98">
        <f t="shared" si="16"/>
        <v>12607140</v>
      </c>
      <c r="L522" s="80">
        <v>2337066</v>
      </c>
      <c r="M522" s="80">
        <v>43008</v>
      </c>
      <c r="O522" s="99">
        <f t="shared" si="17"/>
        <v>2380074</v>
      </c>
    </row>
    <row r="523" spans="1:15" ht="12.75" hidden="1" customHeight="1">
      <c r="A523" s="1">
        <v>35</v>
      </c>
      <c r="B523" s="1">
        <v>510</v>
      </c>
      <c r="C523" s="1" t="s">
        <v>765</v>
      </c>
      <c r="D523" s="5" t="s">
        <v>769</v>
      </c>
      <c r="E523" t="s">
        <v>1861</v>
      </c>
      <c r="F523" s="2">
        <v>1949</v>
      </c>
      <c r="G523" s="80">
        <v>34778141</v>
      </c>
      <c r="I523" s="80">
        <v>315974</v>
      </c>
      <c r="J523" s="98">
        <f t="shared" si="16"/>
        <v>35094115</v>
      </c>
      <c r="O523" s="99">
        <f t="shared" si="17"/>
        <v>0</v>
      </c>
    </row>
    <row r="524" spans="1:15" ht="12.75" hidden="1" customHeight="1">
      <c r="A524" s="1">
        <v>35</v>
      </c>
      <c r="B524" s="1">
        <v>555</v>
      </c>
      <c r="C524" s="1" t="s">
        <v>765</v>
      </c>
      <c r="D524" s="5" t="s">
        <v>770</v>
      </c>
      <c r="E524" t="s">
        <v>1862</v>
      </c>
      <c r="F524" s="2">
        <v>9205</v>
      </c>
      <c r="G524" s="80">
        <v>105178496</v>
      </c>
      <c r="I524" s="80">
        <v>1217439</v>
      </c>
      <c r="J524" s="98">
        <f t="shared" si="16"/>
        <v>106395935</v>
      </c>
      <c r="O524" s="99">
        <f t="shared" si="17"/>
        <v>0</v>
      </c>
    </row>
    <row r="525" spans="1:15" ht="12.75" hidden="1" customHeight="1">
      <c r="A525" s="1">
        <v>35</v>
      </c>
      <c r="B525" s="1">
        <v>1610</v>
      </c>
      <c r="C525" s="1" t="s">
        <v>765</v>
      </c>
      <c r="D525" s="5" t="s">
        <v>1043</v>
      </c>
      <c r="E525" t="s">
        <v>1863</v>
      </c>
      <c r="F525" s="2">
        <v>7274.5</v>
      </c>
      <c r="G525" s="80">
        <v>96893929</v>
      </c>
      <c r="I525" s="80">
        <v>1035793</v>
      </c>
      <c r="J525" s="98">
        <f t="shared" si="16"/>
        <v>97929722</v>
      </c>
      <c r="O525" s="99">
        <f t="shared" si="17"/>
        <v>0</v>
      </c>
    </row>
    <row r="526" spans="1:15" ht="12.75" hidden="1" customHeight="1">
      <c r="A526" s="1">
        <v>35</v>
      </c>
      <c r="B526" s="1">
        <v>1810</v>
      </c>
      <c r="C526" s="1" t="s">
        <v>765</v>
      </c>
      <c r="D526" s="5" t="s">
        <v>771</v>
      </c>
      <c r="E526" t="s">
        <v>1864</v>
      </c>
      <c r="F526" s="2">
        <v>969</v>
      </c>
      <c r="G526" s="80">
        <v>17005537</v>
      </c>
      <c r="I526" s="80">
        <v>300144</v>
      </c>
      <c r="J526" s="98">
        <f t="shared" si="16"/>
        <v>17305681</v>
      </c>
      <c r="N526" s="80">
        <v>59887</v>
      </c>
      <c r="O526" s="99">
        <f t="shared" si="17"/>
        <v>59887</v>
      </c>
    </row>
    <row r="527" spans="1:15" ht="12.75" hidden="1" customHeight="1">
      <c r="A527" s="1">
        <v>35</v>
      </c>
      <c r="B527" s="1">
        <v>2170</v>
      </c>
      <c r="C527" s="1" t="s">
        <v>765</v>
      </c>
      <c r="D527" s="5" t="s">
        <v>772</v>
      </c>
      <c r="E527" t="s">
        <v>1865</v>
      </c>
      <c r="F527" s="2">
        <v>7559</v>
      </c>
      <c r="G527" s="80">
        <v>66203109</v>
      </c>
      <c r="J527" s="98">
        <f t="shared" si="16"/>
        <v>66203109</v>
      </c>
      <c r="L527" s="80">
        <v>11655115</v>
      </c>
      <c r="O527" s="99">
        <f t="shared" si="17"/>
        <v>11655115</v>
      </c>
    </row>
    <row r="528" spans="1:15" ht="12.75" hidden="1" customHeight="1">
      <c r="A528" s="1">
        <v>35</v>
      </c>
      <c r="B528" s="1">
        <v>3000</v>
      </c>
      <c r="C528" s="1" t="s">
        <v>765</v>
      </c>
      <c r="D528" s="5" t="s">
        <v>773</v>
      </c>
      <c r="E528" t="s">
        <v>1866</v>
      </c>
      <c r="F528" s="2">
        <v>1331.5</v>
      </c>
      <c r="G528" s="80">
        <v>11330109</v>
      </c>
      <c r="I528" s="80">
        <v>195556</v>
      </c>
      <c r="J528" s="98">
        <f t="shared" si="16"/>
        <v>11525665</v>
      </c>
      <c r="L528" s="80">
        <v>2334773</v>
      </c>
      <c r="O528" s="99">
        <f t="shared" si="17"/>
        <v>2334773</v>
      </c>
    </row>
    <row r="529" spans="1:15" ht="12.75" hidden="1" customHeight="1">
      <c r="A529" s="1">
        <v>35</v>
      </c>
      <c r="B529" s="1">
        <v>3210</v>
      </c>
      <c r="C529" s="1" t="s">
        <v>765</v>
      </c>
      <c r="D529" s="5" t="s">
        <v>774</v>
      </c>
      <c r="E529"/>
      <c r="F529" s="2"/>
      <c r="G529" s="80">
        <v>468130</v>
      </c>
      <c r="J529" s="98">
        <f t="shared" si="16"/>
        <v>468130</v>
      </c>
      <c r="O529" s="99">
        <f t="shared" si="17"/>
        <v>0</v>
      </c>
    </row>
    <row r="530" spans="1:15" ht="12.75" hidden="1" customHeight="1">
      <c r="A530" s="1">
        <v>35</v>
      </c>
      <c r="B530" s="1">
        <v>3320</v>
      </c>
      <c r="C530" s="1" t="s">
        <v>765</v>
      </c>
      <c r="D530" s="5" t="s">
        <v>775</v>
      </c>
      <c r="E530" t="s">
        <v>1867</v>
      </c>
      <c r="F530" s="2">
        <v>5225.5</v>
      </c>
      <c r="G530" s="80">
        <v>54602102</v>
      </c>
      <c r="I530" s="80">
        <v>1452441</v>
      </c>
      <c r="J530" s="98">
        <f t="shared" si="16"/>
        <v>56054543</v>
      </c>
      <c r="N530" s="80">
        <v>32171</v>
      </c>
      <c r="O530" s="99">
        <f t="shared" si="17"/>
        <v>32171</v>
      </c>
    </row>
    <row r="531" spans="1:15" ht="12.75" hidden="1" customHeight="1">
      <c r="A531" s="1">
        <v>35</v>
      </c>
      <c r="B531" s="1">
        <v>3670</v>
      </c>
      <c r="C531" s="1" t="s">
        <v>765</v>
      </c>
      <c r="D531" s="5" t="s">
        <v>776</v>
      </c>
      <c r="E531" t="s">
        <v>1868</v>
      </c>
      <c r="F531" s="2">
        <v>3130</v>
      </c>
      <c r="G531" s="80">
        <v>25591705</v>
      </c>
      <c r="I531" s="80">
        <v>350692</v>
      </c>
      <c r="J531" s="98">
        <f t="shared" si="16"/>
        <v>25942397</v>
      </c>
      <c r="L531" s="80">
        <v>9916092</v>
      </c>
      <c r="M531" s="80">
        <v>1770073</v>
      </c>
      <c r="O531" s="99">
        <f t="shared" si="17"/>
        <v>11686165</v>
      </c>
    </row>
    <row r="532" spans="1:15" ht="12.75" hidden="1" customHeight="1">
      <c r="A532" s="1">
        <v>35</v>
      </c>
      <c r="B532" s="1">
        <v>4510</v>
      </c>
      <c r="C532" s="1" t="s">
        <v>765</v>
      </c>
      <c r="D532" s="5" t="s">
        <v>777</v>
      </c>
      <c r="E532"/>
      <c r="F532" s="2"/>
      <c r="G532" s="80">
        <v>929009</v>
      </c>
      <c r="I532" s="80">
        <v>9863</v>
      </c>
      <c r="J532" s="98">
        <f t="shared" si="16"/>
        <v>938872</v>
      </c>
      <c r="O532" s="99">
        <f t="shared" si="17"/>
        <v>0</v>
      </c>
    </row>
    <row r="533" spans="1:15" ht="12.75" hidden="1" customHeight="1">
      <c r="A533" s="1">
        <v>35</v>
      </c>
      <c r="B533" s="1">
        <v>4805</v>
      </c>
      <c r="C533" s="1" t="s">
        <v>765</v>
      </c>
      <c r="D533" s="5" t="s">
        <v>778</v>
      </c>
      <c r="E533" t="s">
        <v>1869</v>
      </c>
      <c r="F533" s="2">
        <v>183</v>
      </c>
      <c r="I533" s="80">
        <v>341358</v>
      </c>
      <c r="J533" s="98">
        <f t="shared" si="16"/>
        <v>341358</v>
      </c>
      <c r="O533" s="99">
        <f t="shared" si="17"/>
        <v>0</v>
      </c>
    </row>
    <row r="534" spans="1:15" ht="12.75" hidden="1" customHeight="1">
      <c r="A534" s="1">
        <v>35</v>
      </c>
      <c r="B534" s="1">
        <v>4810</v>
      </c>
      <c r="C534" s="1" t="s">
        <v>765</v>
      </c>
      <c r="D534" s="5" t="s">
        <v>779</v>
      </c>
      <c r="E534" t="s">
        <v>1870</v>
      </c>
      <c r="F534" s="2">
        <v>456.5</v>
      </c>
      <c r="H534" s="80">
        <v>11557550</v>
      </c>
      <c r="I534" s="80">
        <v>1273727</v>
      </c>
      <c r="J534" s="98">
        <f t="shared" si="16"/>
        <v>12831277</v>
      </c>
      <c r="O534" s="99">
        <f t="shared" si="17"/>
        <v>0</v>
      </c>
    </row>
    <row r="535" spans="1:15" ht="12.75" hidden="1" customHeight="1">
      <c r="A535" s="1">
        <v>35</v>
      </c>
      <c r="B535" s="1">
        <v>4815</v>
      </c>
      <c r="C535" s="1" t="s">
        <v>765</v>
      </c>
      <c r="D535" s="5" t="s">
        <v>780</v>
      </c>
      <c r="E535" t="s">
        <v>1871</v>
      </c>
      <c r="F535" s="2">
        <v>2021.5</v>
      </c>
      <c r="G535" s="80">
        <v>24951946</v>
      </c>
      <c r="I535" s="80">
        <v>1234830</v>
      </c>
      <c r="J535" s="98">
        <f t="shared" si="16"/>
        <v>26186776</v>
      </c>
      <c r="N535" s="80">
        <v>43233</v>
      </c>
      <c r="O535" s="99">
        <f t="shared" si="17"/>
        <v>43233</v>
      </c>
    </row>
    <row r="536" spans="1:15" ht="12.75" hidden="1" customHeight="1">
      <c r="A536" s="1">
        <v>35</v>
      </c>
      <c r="B536" s="1">
        <v>4820</v>
      </c>
      <c r="C536" s="1" t="s">
        <v>765</v>
      </c>
      <c r="D536" s="5" t="s">
        <v>781</v>
      </c>
      <c r="E536" t="s">
        <v>1872</v>
      </c>
      <c r="F536" s="2">
        <v>2166.5</v>
      </c>
      <c r="G536" s="80">
        <v>17153021</v>
      </c>
      <c r="I536" s="80">
        <v>733607</v>
      </c>
      <c r="J536" s="98">
        <f t="shared" si="16"/>
        <v>17886628</v>
      </c>
      <c r="L536" s="80">
        <v>1591268</v>
      </c>
      <c r="M536" s="80">
        <v>323329</v>
      </c>
      <c r="O536" s="99">
        <f t="shared" si="17"/>
        <v>1914597</v>
      </c>
    </row>
    <row r="537" spans="1:15" ht="12.75" hidden="1" customHeight="1">
      <c r="A537" s="1">
        <v>35</v>
      </c>
      <c r="B537" s="1">
        <v>4850</v>
      </c>
      <c r="C537" s="1" t="s">
        <v>765</v>
      </c>
      <c r="D537" s="5" t="s">
        <v>782</v>
      </c>
      <c r="E537" t="s">
        <v>1873</v>
      </c>
      <c r="F537" s="2">
        <v>477</v>
      </c>
      <c r="G537" s="80">
        <v>4788682</v>
      </c>
      <c r="I537" s="80">
        <v>53790</v>
      </c>
      <c r="J537" s="98">
        <f t="shared" si="16"/>
        <v>4842472</v>
      </c>
      <c r="L537" s="80">
        <v>1828727</v>
      </c>
      <c r="M537" s="80">
        <v>276937</v>
      </c>
      <c r="O537" s="99">
        <f t="shared" si="17"/>
        <v>2105664</v>
      </c>
    </row>
    <row r="538" spans="1:15" ht="12.75" hidden="1" customHeight="1">
      <c r="A538" s="1">
        <v>35</v>
      </c>
      <c r="B538" s="1">
        <v>5470</v>
      </c>
      <c r="C538" s="1" t="s">
        <v>765</v>
      </c>
      <c r="D538" s="5" t="s">
        <v>783</v>
      </c>
      <c r="E538" t="s">
        <v>1874</v>
      </c>
      <c r="F538" s="2">
        <v>2216</v>
      </c>
      <c r="G538" s="80">
        <v>31010603</v>
      </c>
      <c r="I538" s="80">
        <v>234769</v>
      </c>
      <c r="J538" s="98">
        <f t="shared" si="16"/>
        <v>31245372</v>
      </c>
      <c r="O538" s="99">
        <f t="shared" si="17"/>
        <v>0</v>
      </c>
    </row>
    <row r="539" spans="1:15" ht="12.75" hidden="1" customHeight="1">
      <c r="A539" s="1">
        <v>35</v>
      </c>
      <c r="B539" s="1">
        <v>5540</v>
      </c>
      <c r="C539" s="1" t="s">
        <v>765</v>
      </c>
      <c r="D539" s="5" t="s">
        <v>784</v>
      </c>
      <c r="E539" t="s">
        <v>1875</v>
      </c>
      <c r="F539" s="2">
        <v>682</v>
      </c>
      <c r="G539" s="80">
        <v>8548938</v>
      </c>
      <c r="I539" s="80">
        <v>189746</v>
      </c>
      <c r="J539" s="98">
        <f t="shared" si="16"/>
        <v>8738684</v>
      </c>
      <c r="N539" s="80">
        <v>21828</v>
      </c>
      <c r="O539" s="99">
        <f t="shared" si="17"/>
        <v>21828</v>
      </c>
    </row>
    <row r="540" spans="1:15" ht="12.75" hidden="1" customHeight="1">
      <c r="A540" s="1">
        <v>35</v>
      </c>
      <c r="B540" s="1">
        <v>5550</v>
      </c>
      <c r="C540" s="1" t="s">
        <v>765</v>
      </c>
      <c r="D540" s="5" t="s">
        <v>785</v>
      </c>
      <c r="E540" t="s">
        <v>1876</v>
      </c>
      <c r="F540" s="2">
        <v>2007.5</v>
      </c>
      <c r="G540" s="80">
        <v>22976388</v>
      </c>
      <c r="I540" s="80">
        <v>285837</v>
      </c>
      <c r="J540" s="98">
        <f t="shared" si="16"/>
        <v>23262225</v>
      </c>
      <c r="O540" s="99">
        <f t="shared" si="17"/>
        <v>0</v>
      </c>
    </row>
    <row r="541" spans="1:15" ht="12.75" hidden="1" customHeight="1">
      <c r="A541" s="1">
        <v>37</v>
      </c>
      <c r="B541" s="1">
        <v>90</v>
      </c>
      <c r="C541" s="1" t="s">
        <v>786</v>
      </c>
      <c r="D541" s="5" t="s">
        <v>787</v>
      </c>
      <c r="E541" t="s">
        <v>1877</v>
      </c>
      <c r="F541" s="2">
        <v>709</v>
      </c>
      <c r="G541" s="80">
        <v>9854369</v>
      </c>
      <c r="I541" s="80">
        <v>70957</v>
      </c>
      <c r="J541" s="98">
        <f t="shared" si="16"/>
        <v>9925326</v>
      </c>
      <c r="L541" s="80">
        <v>1357614</v>
      </c>
      <c r="O541" s="99">
        <f t="shared" si="17"/>
        <v>1357614</v>
      </c>
    </row>
    <row r="542" spans="1:15" ht="12.75" hidden="1" customHeight="1">
      <c r="A542" s="1">
        <v>37</v>
      </c>
      <c r="B542" s="1">
        <v>520</v>
      </c>
      <c r="C542" s="1" t="s">
        <v>786</v>
      </c>
      <c r="D542" s="5" t="s">
        <v>788</v>
      </c>
      <c r="E542"/>
      <c r="F542" s="2"/>
      <c r="G542" s="80">
        <v>798920</v>
      </c>
      <c r="J542" s="98">
        <f t="shared" si="16"/>
        <v>798920</v>
      </c>
      <c r="L542" s="80">
        <v>33722</v>
      </c>
      <c r="N542" s="80">
        <v>51087</v>
      </c>
      <c r="O542" s="99">
        <f t="shared" si="17"/>
        <v>84809</v>
      </c>
    </row>
    <row r="543" spans="1:15" ht="12.75" hidden="1" customHeight="1">
      <c r="A543" s="1">
        <v>37</v>
      </c>
      <c r="B543" s="1">
        <v>640</v>
      </c>
      <c r="C543" s="1" t="s">
        <v>786</v>
      </c>
      <c r="D543" s="5" t="s">
        <v>789</v>
      </c>
      <c r="E543" t="s">
        <v>1878</v>
      </c>
      <c r="F543" s="2">
        <v>1183</v>
      </c>
      <c r="G543" s="80">
        <v>8291386</v>
      </c>
      <c r="I543" s="80">
        <v>95190</v>
      </c>
      <c r="J543" s="98">
        <f t="shared" si="16"/>
        <v>8386576</v>
      </c>
      <c r="L543" s="80">
        <v>1880963</v>
      </c>
      <c r="N543" s="80">
        <v>448842</v>
      </c>
      <c r="O543" s="99">
        <f t="shared" si="17"/>
        <v>2329805</v>
      </c>
    </row>
    <row r="544" spans="1:15" ht="12.75" hidden="1" customHeight="1">
      <c r="A544" s="1">
        <v>37</v>
      </c>
      <c r="B544" s="1">
        <v>1560</v>
      </c>
      <c r="C544" s="1" t="s">
        <v>786</v>
      </c>
      <c r="D544" s="5" t="s">
        <v>790</v>
      </c>
      <c r="E544" t="s">
        <v>1879</v>
      </c>
      <c r="F544" s="2">
        <v>734</v>
      </c>
      <c r="G544" s="80">
        <v>5932244</v>
      </c>
      <c r="I544" s="80">
        <v>21923</v>
      </c>
      <c r="J544" s="98">
        <f t="shared" si="16"/>
        <v>5954167</v>
      </c>
      <c r="L544" s="80">
        <v>458008</v>
      </c>
      <c r="N544" s="80">
        <v>903461</v>
      </c>
      <c r="O544" s="99">
        <f t="shared" si="17"/>
        <v>1361469</v>
      </c>
    </row>
    <row r="545" spans="1:15" ht="12.75" hidden="1" customHeight="1">
      <c r="A545" s="1">
        <v>37</v>
      </c>
      <c r="B545" s="1">
        <v>1570</v>
      </c>
      <c r="C545" s="1" t="s">
        <v>786</v>
      </c>
      <c r="D545" s="5" t="s">
        <v>791</v>
      </c>
      <c r="E545" t="s">
        <v>1880</v>
      </c>
      <c r="F545" s="2">
        <v>489</v>
      </c>
      <c r="G545" s="80">
        <v>3852608</v>
      </c>
      <c r="I545" s="80">
        <v>54999</v>
      </c>
      <c r="J545" s="98">
        <f t="shared" si="16"/>
        <v>3907607</v>
      </c>
      <c r="L545" s="80">
        <v>1701980</v>
      </c>
      <c r="N545" s="80">
        <v>843608</v>
      </c>
      <c r="O545" s="99">
        <f t="shared" si="17"/>
        <v>2545588</v>
      </c>
    </row>
    <row r="546" spans="1:15" ht="12.75" hidden="1" customHeight="1">
      <c r="A546" s="1">
        <v>37</v>
      </c>
      <c r="B546" s="1">
        <v>1630</v>
      </c>
      <c r="C546" s="1" t="s">
        <v>786</v>
      </c>
      <c r="D546" s="5" t="s">
        <v>792</v>
      </c>
      <c r="E546" t="s">
        <v>1881</v>
      </c>
      <c r="F546" s="2">
        <v>331</v>
      </c>
      <c r="G546" s="80">
        <v>3438700</v>
      </c>
      <c r="I546" s="80">
        <v>36538</v>
      </c>
      <c r="J546" s="98">
        <f t="shared" si="16"/>
        <v>3475238</v>
      </c>
      <c r="N546" s="80">
        <v>261850</v>
      </c>
      <c r="O546" s="99">
        <f t="shared" si="17"/>
        <v>261850</v>
      </c>
    </row>
    <row r="547" spans="1:15" ht="12.75" hidden="1" customHeight="1">
      <c r="A547" s="1">
        <v>37</v>
      </c>
      <c r="B547" s="1">
        <v>1800</v>
      </c>
      <c r="C547" s="1" t="s">
        <v>786</v>
      </c>
      <c r="D547" s="5" t="s">
        <v>793</v>
      </c>
      <c r="E547" t="s">
        <v>1882</v>
      </c>
      <c r="F547" s="2">
        <v>515</v>
      </c>
      <c r="G547" s="80">
        <v>6070009</v>
      </c>
      <c r="I547" s="80">
        <v>27853</v>
      </c>
      <c r="J547" s="98">
        <f t="shared" si="16"/>
        <v>6097862</v>
      </c>
      <c r="L547" s="80">
        <v>1342840</v>
      </c>
      <c r="N547" s="80">
        <v>89323</v>
      </c>
      <c r="O547" s="99">
        <f t="shared" si="17"/>
        <v>1432163</v>
      </c>
    </row>
    <row r="548" spans="1:15" ht="12.75" hidden="1" customHeight="1">
      <c r="A548" s="1">
        <v>37</v>
      </c>
      <c r="B548" s="1">
        <v>1930</v>
      </c>
      <c r="C548" s="1" t="s">
        <v>786</v>
      </c>
      <c r="D548" s="5" t="s">
        <v>794</v>
      </c>
      <c r="E548" t="s">
        <v>1883</v>
      </c>
      <c r="F548" s="2">
        <v>338</v>
      </c>
      <c r="G548" s="80">
        <v>2983833</v>
      </c>
      <c r="I548" s="80">
        <v>19144</v>
      </c>
      <c r="J548" s="98">
        <f t="shared" si="16"/>
        <v>3002977</v>
      </c>
      <c r="L548" s="80">
        <v>1025119</v>
      </c>
      <c r="N548" s="80">
        <v>359546</v>
      </c>
      <c r="O548" s="99">
        <f t="shared" si="17"/>
        <v>1384665</v>
      </c>
    </row>
    <row r="549" spans="1:15" ht="12.75" hidden="1" customHeight="1">
      <c r="A549" s="1">
        <v>37</v>
      </c>
      <c r="B549" s="1">
        <v>1980</v>
      </c>
      <c r="C549" s="1" t="s">
        <v>786</v>
      </c>
      <c r="D549" s="5" t="s">
        <v>795</v>
      </c>
      <c r="E549" t="s">
        <v>1884</v>
      </c>
      <c r="F549" s="2">
        <v>439</v>
      </c>
      <c r="G549" s="80">
        <v>4391661</v>
      </c>
      <c r="I549" s="80">
        <v>43117</v>
      </c>
      <c r="J549" s="98">
        <f t="shared" si="16"/>
        <v>4434778</v>
      </c>
      <c r="L549" s="80">
        <v>685152</v>
      </c>
      <c r="N549" s="80">
        <v>149180</v>
      </c>
      <c r="O549" s="99">
        <f t="shared" si="17"/>
        <v>834332</v>
      </c>
    </row>
    <row r="550" spans="1:15" ht="12.75" hidden="1" customHeight="1">
      <c r="A550" s="1">
        <v>37</v>
      </c>
      <c r="B550" s="1">
        <v>2030</v>
      </c>
      <c r="C550" s="1" t="s">
        <v>786</v>
      </c>
      <c r="D550" s="5" t="s">
        <v>796</v>
      </c>
      <c r="E550" t="s">
        <v>1885</v>
      </c>
      <c r="F550" s="2">
        <v>765.5</v>
      </c>
      <c r="G550" s="80">
        <v>7012747</v>
      </c>
      <c r="I550" s="80">
        <v>55057</v>
      </c>
      <c r="J550" s="98">
        <f t="shared" si="16"/>
        <v>7067804</v>
      </c>
      <c r="L550" s="80">
        <v>1027771</v>
      </c>
      <c r="N550" s="80">
        <v>376210</v>
      </c>
      <c r="O550" s="99">
        <f t="shared" si="17"/>
        <v>1403981</v>
      </c>
    </row>
    <row r="551" spans="1:15" ht="12.75" hidden="1" customHeight="1">
      <c r="A551" s="1">
        <v>37</v>
      </c>
      <c r="B551" s="1">
        <v>2165</v>
      </c>
      <c r="C551" s="1" t="s">
        <v>786</v>
      </c>
      <c r="D551" s="5" t="s">
        <v>797</v>
      </c>
      <c r="E551" t="s">
        <v>1886</v>
      </c>
      <c r="F551" s="2">
        <v>1349</v>
      </c>
      <c r="G551" s="80">
        <v>13554595</v>
      </c>
      <c r="I551" s="80">
        <v>166073</v>
      </c>
      <c r="J551" s="98">
        <f t="shared" si="16"/>
        <v>13720668</v>
      </c>
      <c r="L551" s="80">
        <v>4765724</v>
      </c>
      <c r="O551" s="99">
        <f t="shared" si="17"/>
        <v>4765724</v>
      </c>
    </row>
    <row r="552" spans="1:15" ht="12.75" hidden="1" customHeight="1">
      <c r="A552" s="1">
        <v>37</v>
      </c>
      <c r="B552" s="1">
        <v>2240</v>
      </c>
      <c r="C552" s="1" t="s">
        <v>786</v>
      </c>
      <c r="D552" s="5" t="s">
        <v>798</v>
      </c>
      <c r="E552" t="s">
        <v>1887</v>
      </c>
      <c r="F552" s="2">
        <v>2491.5</v>
      </c>
      <c r="G552" s="80">
        <v>18891056</v>
      </c>
      <c r="I552" s="80">
        <v>371772</v>
      </c>
      <c r="J552" s="98">
        <f t="shared" si="16"/>
        <v>19262828</v>
      </c>
      <c r="L552" s="80">
        <v>7491747</v>
      </c>
      <c r="M552" s="80">
        <v>173651</v>
      </c>
      <c r="N552" s="80">
        <v>1252454</v>
      </c>
      <c r="O552" s="99">
        <f t="shared" si="17"/>
        <v>8917852</v>
      </c>
    </row>
    <row r="553" spans="1:15" ht="12.75" hidden="1" customHeight="1">
      <c r="A553" s="1">
        <v>37</v>
      </c>
      <c r="B553" s="1">
        <v>2465</v>
      </c>
      <c r="C553" s="1" t="s">
        <v>786</v>
      </c>
      <c r="D553" s="5" t="s">
        <v>799</v>
      </c>
      <c r="E553" t="s">
        <v>1888</v>
      </c>
      <c r="F553" s="2">
        <v>1243</v>
      </c>
      <c r="G553" s="80">
        <v>10666693</v>
      </c>
      <c r="J553" s="98">
        <f t="shared" si="16"/>
        <v>10666693</v>
      </c>
      <c r="L553" s="80">
        <v>3948673</v>
      </c>
      <c r="N553" s="80">
        <v>523113</v>
      </c>
      <c r="O553" s="99">
        <f t="shared" si="17"/>
        <v>4471786</v>
      </c>
    </row>
    <row r="554" spans="1:15" ht="12.75" hidden="1" customHeight="1">
      <c r="A554" s="1">
        <v>37</v>
      </c>
      <c r="B554" s="1">
        <v>2490</v>
      </c>
      <c r="C554" s="1" t="s">
        <v>786</v>
      </c>
      <c r="D554" s="5" t="s">
        <v>800</v>
      </c>
      <c r="E554" t="s">
        <v>1889</v>
      </c>
      <c r="F554" s="2">
        <v>313</v>
      </c>
      <c r="G554" s="80">
        <v>3246725</v>
      </c>
      <c r="I554" s="80">
        <v>20961</v>
      </c>
      <c r="J554" s="98">
        <f t="shared" si="16"/>
        <v>3267686</v>
      </c>
      <c r="L554" s="80">
        <v>276708</v>
      </c>
      <c r="N554" s="80">
        <v>15331</v>
      </c>
      <c r="O554" s="99">
        <f t="shared" si="17"/>
        <v>292039</v>
      </c>
    </row>
    <row r="555" spans="1:15" ht="12.75" hidden="1" customHeight="1">
      <c r="A555" s="1">
        <v>37</v>
      </c>
      <c r="B555" s="1">
        <v>2615</v>
      </c>
      <c r="C555" s="1" t="s">
        <v>786</v>
      </c>
      <c r="D555" s="5" t="s">
        <v>801</v>
      </c>
      <c r="E555" t="s">
        <v>1890</v>
      </c>
      <c r="F555" s="2">
        <v>137.5</v>
      </c>
      <c r="G555" s="80">
        <v>8271550</v>
      </c>
      <c r="J555" s="98">
        <f t="shared" si="16"/>
        <v>8271550</v>
      </c>
      <c r="L555" s="80">
        <v>2137291</v>
      </c>
      <c r="M555" s="80">
        <v>192347</v>
      </c>
      <c r="N555" s="80">
        <v>389834</v>
      </c>
      <c r="O555" s="99">
        <f t="shared" si="17"/>
        <v>2719472</v>
      </c>
    </row>
    <row r="556" spans="1:15" ht="12.75" hidden="1" customHeight="1">
      <c r="A556" s="1">
        <v>37</v>
      </c>
      <c r="B556" s="1">
        <v>3300</v>
      </c>
      <c r="C556" s="1" t="s">
        <v>786</v>
      </c>
      <c r="D556" s="5" t="s">
        <v>802</v>
      </c>
      <c r="E556" t="s">
        <v>1891</v>
      </c>
      <c r="F556" s="2">
        <v>310</v>
      </c>
      <c r="G556" s="80">
        <v>4870330</v>
      </c>
      <c r="J556" s="98">
        <f t="shared" si="16"/>
        <v>4870330</v>
      </c>
      <c r="L556" s="80">
        <v>709001</v>
      </c>
      <c r="N556" s="80">
        <v>853722</v>
      </c>
      <c r="O556" s="99">
        <f t="shared" si="17"/>
        <v>1562723</v>
      </c>
    </row>
    <row r="557" spans="1:15" ht="12.75" hidden="1" customHeight="1">
      <c r="A557" s="1">
        <v>37</v>
      </c>
      <c r="B557" s="1">
        <v>3590</v>
      </c>
      <c r="C557" s="1" t="s">
        <v>786</v>
      </c>
      <c r="D557" s="5" t="s">
        <v>803</v>
      </c>
      <c r="E557" t="s">
        <v>1784</v>
      </c>
      <c r="F557" s="2">
        <v>1635</v>
      </c>
      <c r="G557" s="80">
        <v>9529621</v>
      </c>
      <c r="I557" s="80">
        <v>173514</v>
      </c>
      <c r="J557" s="98">
        <f t="shared" si="16"/>
        <v>9703135</v>
      </c>
      <c r="L557" s="80">
        <v>3252193</v>
      </c>
      <c r="O557" s="99">
        <f t="shared" si="17"/>
        <v>3252193</v>
      </c>
    </row>
    <row r="558" spans="1:15" ht="12.75" hidden="1" customHeight="1">
      <c r="A558" s="1">
        <v>37</v>
      </c>
      <c r="B558" s="1">
        <v>3840</v>
      </c>
      <c r="C558" s="1" t="s">
        <v>786</v>
      </c>
      <c r="D558" s="5" t="s">
        <v>804</v>
      </c>
      <c r="E558" t="s">
        <v>1785</v>
      </c>
      <c r="F558" s="2">
        <v>338</v>
      </c>
      <c r="G558" s="80">
        <v>1966856</v>
      </c>
      <c r="I558" s="80">
        <v>36530</v>
      </c>
      <c r="J558" s="98">
        <f t="shared" si="16"/>
        <v>2003386</v>
      </c>
      <c r="L558" s="80">
        <v>1351953</v>
      </c>
      <c r="M558" s="80">
        <v>124035</v>
      </c>
      <c r="O558" s="99">
        <f t="shared" si="17"/>
        <v>1475988</v>
      </c>
    </row>
    <row r="559" spans="1:15" ht="12.75" hidden="1" customHeight="1">
      <c r="A559" s="1">
        <v>37</v>
      </c>
      <c r="B559" s="1">
        <v>4650</v>
      </c>
      <c r="C559" s="1" t="s">
        <v>786</v>
      </c>
      <c r="D559" s="5" t="s">
        <v>805</v>
      </c>
      <c r="E559" t="s">
        <v>1786</v>
      </c>
      <c r="F559" s="2">
        <v>184</v>
      </c>
      <c r="G559" s="80">
        <v>1497522</v>
      </c>
      <c r="I559" s="80">
        <v>20470</v>
      </c>
      <c r="J559" s="98">
        <f t="shared" si="16"/>
        <v>1517992</v>
      </c>
      <c r="L559" s="80">
        <v>370874</v>
      </c>
      <c r="O559" s="99">
        <f t="shared" si="17"/>
        <v>370874</v>
      </c>
    </row>
    <row r="560" spans="1:15" ht="12.75" hidden="1" customHeight="1">
      <c r="A560" s="1">
        <v>37</v>
      </c>
      <c r="B560" s="1">
        <v>4960</v>
      </c>
      <c r="C560" s="1" t="s">
        <v>786</v>
      </c>
      <c r="D560" s="5" t="s">
        <v>806</v>
      </c>
      <c r="E560" t="s">
        <v>1787</v>
      </c>
      <c r="F560" s="2">
        <v>4026.5</v>
      </c>
      <c r="G560" s="80">
        <v>39354680</v>
      </c>
      <c r="I560" s="80">
        <v>334474</v>
      </c>
      <c r="J560" s="98">
        <f t="shared" si="16"/>
        <v>39689154</v>
      </c>
      <c r="L560" s="80">
        <v>2416398</v>
      </c>
      <c r="N560" s="80">
        <v>488522</v>
      </c>
      <c r="O560" s="99">
        <f t="shared" si="17"/>
        <v>2904920</v>
      </c>
    </row>
    <row r="561" spans="1:15" ht="12.75" hidden="1" customHeight="1">
      <c r="A561" s="1">
        <v>37</v>
      </c>
      <c r="B561" s="1">
        <v>5030</v>
      </c>
      <c r="C561" s="1" t="s">
        <v>786</v>
      </c>
      <c r="D561" s="5" t="s">
        <v>807</v>
      </c>
      <c r="E561" t="s">
        <v>1788</v>
      </c>
      <c r="F561" s="2">
        <v>405</v>
      </c>
      <c r="G561" s="80">
        <v>3097786</v>
      </c>
      <c r="I561" s="80">
        <v>66130</v>
      </c>
      <c r="J561" s="98">
        <f t="shared" si="16"/>
        <v>3163916</v>
      </c>
      <c r="L561" s="80">
        <v>727380</v>
      </c>
      <c r="M561" s="80">
        <v>291607</v>
      </c>
      <c r="O561" s="99">
        <f t="shared" si="17"/>
        <v>1018987</v>
      </c>
    </row>
    <row r="562" spans="1:15" ht="12.75" hidden="1" customHeight="1">
      <c r="A562" s="1">
        <v>37</v>
      </c>
      <c r="B562" s="1">
        <v>5040</v>
      </c>
      <c r="C562" s="1" t="s">
        <v>786</v>
      </c>
      <c r="D562" s="5" t="s">
        <v>808</v>
      </c>
      <c r="E562" t="s">
        <v>1789</v>
      </c>
      <c r="F562" s="2">
        <v>394</v>
      </c>
      <c r="G562" s="80">
        <v>3256387</v>
      </c>
      <c r="J562" s="98">
        <f t="shared" si="16"/>
        <v>3256387</v>
      </c>
      <c r="L562" s="80">
        <v>869876</v>
      </c>
      <c r="N562" s="80">
        <v>539380</v>
      </c>
      <c r="O562" s="99">
        <f t="shared" si="17"/>
        <v>1409256</v>
      </c>
    </row>
    <row r="563" spans="1:15" ht="12.75" hidden="1" customHeight="1">
      <c r="A563" s="1">
        <v>37</v>
      </c>
      <c r="B563" s="1">
        <v>5100</v>
      </c>
      <c r="C563" s="1" t="s">
        <v>786</v>
      </c>
      <c r="D563" s="5" t="s">
        <v>809</v>
      </c>
      <c r="E563" t="s">
        <v>1790</v>
      </c>
      <c r="F563" s="2">
        <v>1668</v>
      </c>
      <c r="G563" s="80">
        <v>13169324</v>
      </c>
      <c r="I563" s="80">
        <v>109504</v>
      </c>
      <c r="J563" s="98">
        <f t="shared" si="16"/>
        <v>13278828</v>
      </c>
      <c r="L563" s="80">
        <v>5274124</v>
      </c>
      <c r="O563" s="99">
        <f t="shared" si="17"/>
        <v>5274124</v>
      </c>
    </row>
    <row r="564" spans="1:15" ht="12.75" hidden="1" customHeight="1">
      <c r="A564" s="1">
        <v>37</v>
      </c>
      <c r="B564" s="1">
        <v>5105</v>
      </c>
      <c r="C564" s="1" t="s">
        <v>786</v>
      </c>
      <c r="D564" s="5" t="s">
        <v>810</v>
      </c>
      <c r="E564" t="s">
        <v>1791</v>
      </c>
      <c r="F564" s="2">
        <v>21</v>
      </c>
      <c r="J564" s="98">
        <f t="shared" si="16"/>
        <v>0</v>
      </c>
      <c r="O564" s="99">
        <f t="shared" si="17"/>
        <v>0</v>
      </c>
    </row>
    <row r="565" spans="1:15" ht="12.75" hidden="1" customHeight="1">
      <c r="A565" s="1">
        <v>37</v>
      </c>
      <c r="B565" s="1">
        <v>5110</v>
      </c>
      <c r="C565" s="1" t="s">
        <v>786</v>
      </c>
      <c r="D565" s="5" t="s">
        <v>811</v>
      </c>
      <c r="E565" t="s">
        <v>1792</v>
      </c>
      <c r="F565" s="2">
        <v>594.5</v>
      </c>
      <c r="H565" s="80">
        <v>7047646</v>
      </c>
      <c r="I565" s="80">
        <v>101206</v>
      </c>
      <c r="J565" s="98">
        <f t="shared" si="16"/>
        <v>7148852</v>
      </c>
      <c r="L565" s="80">
        <v>1780660</v>
      </c>
      <c r="N565" s="80">
        <v>551618</v>
      </c>
      <c r="O565" s="99">
        <f t="shared" si="17"/>
        <v>2332278</v>
      </c>
    </row>
    <row r="566" spans="1:15" ht="12.75" hidden="1" customHeight="1">
      <c r="A566" s="1">
        <v>37</v>
      </c>
      <c r="B566" s="1">
        <v>5360</v>
      </c>
      <c r="C566" s="1" t="s">
        <v>786</v>
      </c>
      <c r="D566" s="5" t="s">
        <v>812</v>
      </c>
      <c r="E566" t="s">
        <v>1793</v>
      </c>
      <c r="F566" s="2">
        <v>4980.5</v>
      </c>
      <c r="G566" s="80">
        <v>36216741</v>
      </c>
      <c r="I566" s="80">
        <v>457944</v>
      </c>
      <c r="J566" s="98">
        <f t="shared" si="16"/>
        <v>36674685</v>
      </c>
      <c r="L566" s="80">
        <v>20170076</v>
      </c>
      <c r="O566" s="99">
        <f t="shared" si="17"/>
        <v>20170076</v>
      </c>
    </row>
    <row r="567" spans="1:15" ht="12.75" hidden="1" customHeight="1">
      <c r="A567" s="1">
        <v>37</v>
      </c>
      <c r="B567" s="1">
        <v>5435</v>
      </c>
      <c r="C567" s="1" t="s">
        <v>786</v>
      </c>
      <c r="D567" s="5" t="s">
        <v>813</v>
      </c>
      <c r="E567" t="s">
        <v>1794</v>
      </c>
      <c r="F567" s="2">
        <v>877</v>
      </c>
      <c r="G567" s="80">
        <v>7544809</v>
      </c>
      <c r="I567" s="80">
        <v>178718</v>
      </c>
      <c r="J567" s="98">
        <f t="shared" si="16"/>
        <v>7723527</v>
      </c>
      <c r="L567" s="80">
        <v>3737004</v>
      </c>
      <c r="O567" s="99">
        <f t="shared" si="17"/>
        <v>3737004</v>
      </c>
    </row>
    <row r="568" spans="1:15" ht="12.75" hidden="1" customHeight="1">
      <c r="A568" s="1">
        <v>39</v>
      </c>
      <c r="B568" s="1">
        <v>310</v>
      </c>
      <c r="C568" s="1" t="s">
        <v>814</v>
      </c>
      <c r="D568" s="5" t="s">
        <v>815</v>
      </c>
      <c r="E568" t="s">
        <v>1795</v>
      </c>
      <c r="F568" s="2">
        <v>2847.5</v>
      </c>
      <c r="G568" s="80">
        <v>31930028</v>
      </c>
      <c r="I568" s="80">
        <v>373821</v>
      </c>
      <c r="J568" s="98">
        <f t="shared" si="16"/>
        <v>32303849</v>
      </c>
      <c r="O568" s="99">
        <f t="shared" si="17"/>
        <v>0</v>
      </c>
    </row>
    <row r="569" spans="1:15" ht="12.75" hidden="1" customHeight="1">
      <c r="A569" s="1">
        <v>39</v>
      </c>
      <c r="B569" s="1">
        <v>850</v>
      </c>
      <c r="C569" s="1" t="s">
        <v>814</v>
      </c>
      <c r="D569" s="5" t="s">
        <v>816</v>
      </c>
      <c r="E569" t="s">
        <v>1796</v>
      </c>
      <c r="F569" s="2">
        <v>2373</v>
      </c>
      <c r="G569" s="80">
        <v>25981824</v>
      </c>
      <c r="I569" s="80">
        <v>407074</v>
      </c>
      <c r="J569" s="98">
        <f t="shared" si="16"/>
        <v>26388898</v>
      </c>
      <c r="N569" s="80">
        <v>18742</v>
      </c>
      <c r="O569" s="99">
        <f t="shared" si="17"/>
        <v>18742</v>
      </c>
    </row>
    <row r="570" spans="1:15" ht="12.75" hidden="1" customHeight="1">
      <c r="A570" s="1">
        <v>39</v>
      </c>
      <c r="B570" s="1">
        <v>980</v>
      </c>
      <c r="C570" s="1" t="s">
        <v>814</v>
      </c>
      <c r="D570" s="5" t="s">
        <v>817</v>
      </c>
      <c r="E570" t="s">
        <v>1797</v>
      </c>
      <c r="F570" s="2">
        <v>3699</v>
      </c>
      <c r="G570" s="80">
        <v>39872851</v>
      </c>
      <c r="I570" s="80">
        <v>375215</v>
      </c>
      <c r="J570" s="98">
        <f t="shared" si="16"/>
        <v>40248066</v>
      </c>
      <c r="O570" s="99">
        <f t="shared" si="17"/>
        <v>0</v>
      </c>
    </row>
    <row r="571" spans="1:15" ht="12.75" hidden="1" customHeight="1">
      <c r="A571" s="1">
        <v>39</v>
      </c>
      <c r="B571" s="1">
        <v>1320</v>
      </c>
      <c r="C571" s="1" t="s">
        <v>814</v>
      </c>
      <c r="D571" s="5" t="s">
        <v>818</v>
      </c>
      <c r="E571" t="s">
        <v>1798</v>
      </c>
      <c r="F571" s="2">
        <v>21214</v>
      </c>
      <c r="G571" s="80">
        <v>37165104</v>
      </c>
      <c r="I571" s="80">
        <v>4184358</v>
      </c>
      <c r="J571" s="98">
        <f t="shared" si="16"/>
        <v>41349462</v>
      </c>
      <c r="L571" s="80">
        <v>107387646</v>
      </c>
      <c r="M571" s="80">
        <v>13017568</v>
      </c>
      <c r="O571" s="99">
        <f t="shared" si="17"/>
        <v>120405214</v>
      </c>
    </row>
    <row r="572" spans="1:15" ht="12.75" hidden="1" customHeight="1">
      <c r="A572" s="1">
        <v>39</v>
      </c>
      <c r="B572" s="1">
        <v>1710</v>
      </c>
      <c r="C572" s="1" t="s">
        <v>814</v>
      </c>
      <c r="D572" s="5" t="s">
        <v>819</v>
      </c>
      <c r="E572" t="s">
        <v>1799</v>
      </c>
      <c r="F572" s="2">
        <v>407</v>
      </c>
      <c r="G572" s="80">
        <v>5240944</v>
      </c>
      <c r="I572" s="80">
        <v>459295</v>
      </c>
      <c r="J572" s="98">
        <f t="shared" si="16"/>
        <v>5700239</v>
      </c>
      <c r="O572" s="99">
        <f t="shared" si="17"/>
        <v>0</v>
      </c>
    </row>
    <row r="573" spans="1:15" ht="12.75" hidden="1" customHeight="1">
      <c r="A573" s="1">
        <v>39</v>
      </c>
      <c r="B573" s="1">
        <v>2190</v>
      </c>
      <c r="C573" s="1" t="s">
        <v>814</v>
      </c>
      <c r="D573" s="5" t="s">
        <v>820</v>
      </c>
      <c r="E573" t="s">
        <v>1800</v>
      </c>
      <c r="F573" s="2">
        <v>3206.5</v>
      </c>
      <c r="G573" s="80">
        <v>23742459</v>
      </c>
      <c r="J573" s="98">
        <f t="shared" si="16"/>
        <v>23742459</v>
      </c>
      <c r="L573" s="80">
        <v>6751939</v>
      </c>
      <c r="M573" s="80">
        <v>1691712</v>
      </c>
      <c r="O573" s="99">
        <f t="shared" si="17"/>
        <v>8443651</v>
      </c>
    </row>
    <row r="574" spans="1:15" ht="12.75" hidden="1" customHeight="1">
      <c r="A574" s="1">
        <v>39</v>
      </c>
      <c r="B574" s="1">
        <v>2420</v>
      </c>
      <c r="C574" s="1" t="s">
        <v>814</v>
      </c>
      <c r="D574" s="5" t="s">
        <v>821</v>
      </c>
      <c r="E574" t="s">
        <v>1801</v>
      </c>
      <c r="F574" s="2">
        <v>1324.5</v>
      </c>
      <c r="G574" s="80">
        <v>14133275</v>
      </c>
      <c r="I574" s="80">
        <v>521603</v>
      </c>
      <c r="J574" s="98">
        <f t="shared" si="16"/>
        <v>14654878</v>
      </c>
      <c r="N574" s="80">
        <v>91573</v>
      </c>
      <c r="O574" s="99">
        <f t="shared" si="17"/>
        <v>91573</v>
      </c>
    </row>
    <row r="575" spans="1:15" ht="12.75" hidden="1" customHeight="1">
      <c r="A575" s="1">
        <v>39</v>
      </c>
      <c r="B575" s="1">
        <v>2660</v>
      </c>
      <c r="C575" s="1" t="s">
        <v>814</v>
      </c>
      <c r="D575" s="5" t="s">
        <v>822</v>
      </c>
      <c r="E575" t="s">
        <v>1802</v>
      </c>
      <c r="F575" s="2">
        <v>6205.5</v>
      </c>
      <c r="G575" s="80">
        <v>68458631</v>
      </c>
      <c r="I575" s="80">
        <v>1310574</v>
      </c>
      <c r="J575" s="98">
        <f t="shared" si="16"/>
        <v>69769205</v>
      </c>
      <c r="L575" s="80">
        <v>4626218</v>
      </c>
      <c r="O575" s="99">
        <f t="shared" si="17"/>
        <v>4626218</v>
      </c>
    </row>
    <row r="576" spans="1:15" ht="12.75" hidden="1" customHeight="1">
      <c r="A576" s="1">
        <v>39</v>
      </c>
      <c r="B576" s="1">
        <v>3395</v>
      </c>
      <c r="C576" s="1" t="s">
        <v>814</v>
      </c>
      <c r="D576" s="5" t="s">
        <v>823</v>
      </c>
      <c r="E576" t="s">
        <v>1803</v>
      </c>
      <c r="F576" s="2">
        <v>303</v>
      </c>
      <c r="I576" s="80">
        <v>1957864</v>
      </c>
      <c r="J576" s="98">
        <f t="shared" si="16"/>
        <v>1957864</v>
      </c>
      <c r="O576" s="99">
        <f t="shared" si="17"/>
        <v>0</v>
      </c>
    </row>
    <row r="577" spans="1:15" ht="12.75" hidden="1" customHeight="1">
      <c r="A577" s="1">
        <v>39</v>
      </c>
      <c r="B577" s="1">
        <v>3470</v>
      </c>
      <c r="C577" s="1" t="s">
        <v>814</v>
      </c>
      <c r="D577" s="5" t="s">
        <v>824</v>
      </c>
      <c r="E577" t="s">
        <v>1804</v>
      </c>
      <c r="F577" s="2">
        <v>761</v>
      </c>
      <c r="G577" s="80">
        <v>10884860</v>
      </c>
      <c r="I577" s="80">
        <v>1267709</v>
      </c>
      <c r="J577" s="98">
        <f t="shared" si="16"/>
        <v>12152569</v>
      </c>
      <c r="O577" s="99">
        <f t="shared" si="17"/>
        <v>0</v>
      </c>
    </row>
    <row r="578" spans="1:15" ht="12.75" hidden="1" customHeight="1">
      <c r="A578" s="1">
        <v>39</v>
      </c>
      <c r="B578" s="1">
        <v>3560</v>
      </c>
      <c r="C578" s="1" t="s">
        <v>814</v>
      </c>
      <c r="D578" s="5" t="s">
        <v>826</v>
      </c>
      <c r="E578" t="s">
        <v>1805</v>
      </c>
      <c r="F578" s="2">
        <v>2239.5</v>
      </c>
      <c r="G578" s="80">
        <v>26562548</v>
      </c>
      <c r="I578" s="80">
        <v>311706</v>
      </c>
      <c r="J578" s="98">
        <f t="shared" si="16"/>
        <v>26874254</v>
      </c>
      <c r="N578" s="80">
        <v>89311</v>
      </c>
      <c r="O578" s="99">
        <f t="shared" si="17"/>
        <v>89311</v>
      </c>
    </row>
    <row r="579" spans="1:15" ht="12.75" hidden="1" customHeight="1">
      <c r="A579" s="1">
        <v>39</v>
      </c>
      <c r="B579" s="1">
        <v>4160</v>
      </c>
      <c r="C579" s="1" t="s">
        <v>814</v>
      </c>
      <c r="D579" s="5" t="s">
        <v>827</v>
      </c>
      <c r="E579" t="s">
        <v>1806</v>
      </c>
      <c r="F579" s="2">
        <v>6624</v>
      </c>
      <c r="G579" s="80">
        <v>17683906</v>
      </c>
      <c r="J579" s="98">
        <f t="shared" si="16"/>
        <v>17683906</v>
      </c>
      <c r="L579" s="80">
        <v>37971450</v>
      </c>
      <c r="M579" s="80">
        <v>7068424</v>
      </c>
      <c r="O579" s="99">
        <f t="shared" si="17"/>
        <v>45039874</v>
      </c>
    </row>
    <row r="580" spans="1:15" ht="12.75" hidden="1" customHeight="1">
      <c r="A580" s="1">
        <v>39</v>
      </c>
      <c r="B580" s="1">
        <v>4290</v>
      </c>
      <c r="C580" s="1" t="s">
        <v>814</v>
      </c>
      <c r="D580" s="5" t="s">
        <v>828</v>
      </c>
      <c r="E580" t="s">
        <v>1807</v>
      </c>
      <c r="F580" s="2">
        <v>3911</v>
      </c>
      <c r="G580" s="80">
        <v>31181917</v>
      </c>
      <c r="I580" s="80">
        <v>231531</v>
      </c>
      <c r="J580" s="98">
        <f t="shared" si="16"/>
        <v>31413448</v>
      </c>
      <c r="L580" s="80">
        <v>7409197</v>
      </c>
      <c r="O580" s="99">
        <f t="shared" si="17"/>
        <v>7409197</v>
      </c>
    </row>
    <row r="581" spans="1:15" ht="12.75" hidden="1" customHeight="1">
      <c r="A581" s="1">
        <v>39</v>
      </c>
      <c r="B581" s="1">
        <v>4540</v>
      </c>
      <c r="C581" s="1" t="s">
        <v>814</v>
      </c>
      <c r="D581" s="5" t="s">
        <v>829</v>
      </c>
      <c r="E581" t="s">
        <v>1808</v>
      </c>
      <c r="F581" s="2">
        <v>2827</v>
      </c>
      <c r="G581" s="80">
        <v>22171532</v>
      </c>
      <c r="J581" s="98">
        <f t="shared" ref="J581:J644" si="18">SUM(G581:I581)</f>
        <v>22171532</v>
      </c>
      <c r="L581" s="80">
        <v>7839844</v>
      </c>
      <c r="M581" s="80">
        <v>399104</v>
      </c>
      <c r="N581" s="80">
        <v>2687030</v>
      </c>
      <c r="O581" s="99">
        <f t="shared" ref="O581:O644" si="19">SUM(L581:N581)</f>
        <v>10925978</v>
      </c>
    </row>
    <row r="582" spans="1:15" ht="12.75" hidden="1" customHeight="1">
      <c r="A582" s="1">
        <v>39</v>
      </c>
      <c r="B582" s="1">
        <v>4550</v>
      </c>
      <c r="C582" s="1" t="s">
        <v>814</v>
      </c>
      <c r="D582" s="5" t="s">
        <v>830</v>
      </c>
      <c r="E582" t="s">
        <v>1809</v>
      </c>
      <c r="F582" s="2">
        <v>2032</v>
      </c>
      <c r="G582" s="80">
        <v>15686219</v>
      </c>
      <c r="I582" s="80">
        <v>145205</v>
      </c>
      <c r="J582" s="98">
        <f t="shared" si="18"/>
        <v>15831424</v>
      </c>
      <c r="L582" s="80">
        <v>5303358</v>
      </c>
      <c r="M582" s="80">
        <v>775850</v>
      </c>
      <c r="O582" s="99">
        <f t="shared" si="19"/>
        <v>6079208</v>
      </c>
    </row>
    <row r="583" spans="1:15" ht="12.75" hidden="1" customHeight="1">
      <c r="A583" s="1">
        <v>39</v>
      </c>
      <c r="B583" s="1">
        <v>4670</v>
      </c>
      <c r="C583" s="1" t="s">
        <v>814</v>
      </c>
      <c r="D583" s="5" t="s">
        <v>831</v>
      </c>
      <c r="E583" t="s">
        <v>1810</v>
      </c>
      <c r="F583" s="2">
        <v>5333</v>
      </c>
      <c r="G583" s="80">
        <v>62140004</v>
      </c>
      <c r="I583" s="80">
        <v>501762</v>
      </c>
      <c r="J583" s="98">
        <f t="shared" si="18"/>
        <v>62641766</v>
      </c>
      <c r="O583" s="99">
        <f t="shared" si="19"/>
        <v>0</v>
      </c>
    </row>
    <row r="584" spans="1:15" ht="12.75" hidden="1" customHeight="1">
      <c r="A584" s="1">
        <v>39</v>
      </c>
      <c r="B584" s="1">
        <v>5000</v>
      </c>
      <c r="C584" s="1" t="s">
        <v>814</v>
      </c>
      <c r="D584" s="5" t="s">
        <v>1268</v>
      </c>
      <c r="E584" t="s">
        <v>1811</v>
      </c>
      <c r="F584" s="2">
        <v>2055</v>
      </c>
      <c r="G584" s="80">
        <v>27761228</v>
      </c>
      <c r="J584" s="98">
        <f t="shared" si="18"/>
        <v>27761228</v>
      </c>
      <c r="O584" s="99">
        <f t="shared" si="19"/>
        <v>0</v>
      </c>
    </row>
    <row r="585" spans="1:15" ht="12.75" hidden="1" customHeight="1">
      <c r="A585" s="1">
        <v>39</v>
      </c>
      <c r="B585" s="1">
        <v>5090</v>
      </c>
      <c r="C585" s="1" t="s">
        <v>814</v>
      </c>
      <c r="D585" s="5" t="s">
        <v>832</v>
      </c>
      <c r="E585" t="s">
        <v>1812</v>
      </c>
      <c r="F585" s="2">
        <v>3729</v>
      </c>
      <c r="G585" s="80">
        <v>49248088</v>
      </c>
      <c r="J585" s="98">
        <f t="shared" si="18"/>
        <v>49248088</v>
      </c>
      <c r="O585" s="99">
        <f t="shared" si="19"/>
        <v>0</v>
      </c>
    </row>
    <row r="586" spans="1:15" ht="12.75" hidden="1" customHeight="1">
      <c r="A586" s="1">
        <v>39</v>
      </c>
      <c r="B586" s="1">
        <v>5245</v>
      </c>
      <c r="C586" s="1" t="s">
        <v>814</v>
      </c>
      <c r="D586" s="5" t="s">
        <v>833</v>
      </c>
      <c r="E586" t="s">
        <v>1813</v>
      </c>
      <c r="F586" s="2">
        <v>299.5</v>
      </c>
      <c r="I586" s="80">
        <v>789201</v>
      </c>
      <c r="J586" s="98">
        <f t="shared" si="18"/>
        <v>789201</v>
      </c>
      <c r="O586" s="99">
        <f t="shared" si="19"/>
        <v>0</v>
      </c>
    </row>
    <row r="587" spans="1:15" ht="12.75" hidden="1" customHeight="1">
      <c r="A587" s="1">
        <v>39</v>
      </c>
      <c r="B587" s="1">
        <v>5260</v>
      </c>
      <c r="C587" s="1" t="s">
        <v>814</v>
      </c>
      <c r="D587" s="5" t="s">
        <v>834</v>
      </c>
      <c r="E587" t="s">
        <v>1814</v>
      </c>
      <c r="F587" s="2">
        <v>1148</v>
      </c>
      <c r="H587" s="80">
        <v>3879087</v>
      </c>
      <c r="I587" s="80">
        <v>436853</v>
      </c>
      <c r="J587" s="98">
        <f t="shared" si="18"/>
        <v>4315940</v>
      </c>
      <c r="L587" s="80">
        <v>617598</v>
      </c>
      <c r="N587" s="80">
        <v>65213</v>
      </c>
      <c r="O587" s="99">
        <f t="shared" si="19"/>
        <v>682811</v>
      </c>
    </row>
    <row r="588" spans="1:15" ht="12.75" hidden="1" customHeight="1">
      <c r="A588" s="1">
        <v>39</v>
      </c>
      <c r="B588" s="1">
        <v>5290</v>
      </c>
      <c r="C588" s="1" t="s">
        <v>814</v>
      </c>
      <c r="D588" s="5" t="s">
        <v>1108</v>
      </c>
      <c r="E588" t="s">
        <v>1815</v>
      </c>
      <c r="F588" s="2">
        <v>7901</v>
      </c>
      <c r="G588" s="80">
        <v>68832048</v>
      </c>
      <c r="I588" s="80">
        <v>1558617</v>
      </c>
      <c r="J588" s="98">
        <f t="shared" si="18"/>
        <v>70390665</v>
      </c>
      <c r="L588" s="80">
        <v>13552736</v>
      </c>
      <c r="N588" s="80">
        <v>446901</v>
      </c>
      <c r="O588" s="99">
        <f t="shared" si="19"/>
        <v>13999637</v>
      </c>
    </row>
    <row r="589" spans="1:15" ht="12.75" hidden="1" customHeight="1">
      <c r="A589" s="1">
        <v>39</v>
      </c>
      <c r="B589" s="1">
        <v>5730</v>
      </c>
      <c r="C589" s="1" t="s">
        <v>814</v>
      </c>
      <c r="D589" s="5" t="s">
        <v>835</v>
      </c>
      <c r="E589" t="s">
        <v>1816</v>
      </c>
      <c r="F589" s="2">
        <v>6049</v>
      </c>
      <c r="G589" s="80">
        <v>68227778</v>
      </c>
      <c r="I589" s="80">
        <v>887975</v>
      </c>
      <c r="J589" s="98">
        <f t="shared" si="18"/>
        <v>69115753</v>
      </c>
      <c r="O589" s="99">
        <f t="shared" si="19"/>
        <v>0</v>
      </c>
    </row>
    <row r="590" spans="1:15" ht="12.75" hidden="1" customHeight="1">
      <c r="A590" s="1">
        <v>39</v>
      </c>
      <c r="B590" s="1">
        <v>5810</v>
      </c>
      <c r="C590" s="1" t="s">
        <v>814</v>
      </c>
      <c r="D590" s="5" t="s">
        <v>836</v>
      </c>
      <c r="E590" t="s">
        <v>1817</v>
      </c>
      <c r="F590" s="2">
        <v>122</v>
      </c>
      <c r="G590" s="80">
        <v>1430010</v>
      </c>
      <c r="I590" s="80">
        <v>34531</v>
      </c>
      <c r="J590" s="98">
        <f t="shared" si="18"/>
        <v>1464541</v>
      </c>
      <c r="L590" s="80">
        <v>685276</v>
      </c>
      <c r="M590" s="80">
        <v>473629</v>
      </c>
      <c r="N590" s="80">
        <v>102949</v>
      </c>
      <c r="O590" s="99">
        <f t="shared" si="19"/>
        <v>1261854</v>
      </c>
    </row>
    <row r="591" spans="1:15" ht="12.75" hidden="1" customHeight="1">
      <c r="A591" s="1">
        <v>41</v>
      </c>
      <c r="B591" s="1">
        <v>30</v>
      </c>
      <c r="C591" s="1" t="s">
        <v>837</v>
      </c>
      <c r="D591" s="5" t="s">
        <v>838</v>
      </c>
      <c r="E591" t="s">
        <v>1818</v>
      </c>
      <c r="F591" s="2">
        <v>356</v>
      </c>
      <c r="G591" s="80">
        <v>5460391</v>
      </c>
      <c r="I591" s="80">
        <v>262119</v>
      </c>
      <c r="J591" s="98">
        <f t="shared" si="18"/>
        <v>5722510</v>
      </c>
      <c r="O591" s="99">
        <f t="shared" si="19"/>
        <v>0</v>
      </c>
    </row>
    <row r="592" spans="1:15" ht="12.75" hidden="1" customHeight="1">
      <c r="A592" s="1">
        <v>41</v>
      </c>
      <c r="B592" s="1">
        <v>70</v>
      </c>
      <c r="C592" s="1" t="s">
        <v>837</v>
      </c>
      <c r="D592" s="5" t="s">
        <v>839</v>
      </c>
      <c r="E592" t="s">
        <v>1819</v>
      </c>
      <c r="F592" s="2">
        <v>278</v>
      </c>
      <c r="G592" s="80">
        <v>2630152</v>
      </c>
      <c r="I592" s="80">
        <v>34187</v>
      </c>
      <c r="J592" s="98">
        <f t="shared" si="18"/>
        <v>2664339</v>
      </c>
      <c r="L592" s="80">
        <v>1054999</v>
      </c>
      <c r="N592" s="80">
        <v>15947</v>
      </c>
      <c r="O592" s="99">
        <f t="shared" si="19"/>
        <v>1070946</v>
      </c>
    </row>
    <row r="593" spans="1:15" ht="12.75" hidden="1" customHeight="1">
      <c r="A593" s="1">
        <v>41</v>
      </c>
      <c r="B593" s="1">
        <v>280</v>
      </c>
      <c r="C593" s="1" t="s">
        <v>837</v>
      </c>
      <c r="D593" s="5" t="s">
        <v>676</v>
      </c>
      <c r="E593" t="s">
        <v>1820</v>
      </c>
      <c r="F593" s="2">
        <v>924</v>
      </c>
      <c r="G593" s="80">
        <v>3238000</v>
      </c>
      <c r="J593" s="98">
        <f t="shared" si="18"/>
        <v>3238000</v>
      </c>
      <c r="L593" s="80">
        <v>2136918</v>
      </c>
      <c r="O593" s="99">
        <f t="shared" si="19"/>
        <v>2136918</v>
      </c>
    </row>
    <row r="594" spans="1:15" ht="12.75" hidden="1" customHeight="1">
      <c r="A594" s="1">
        <v>41</v>
      </c>
      <c r="B594" s="1">
        <v>400</v>
      </c>
      <c r="C594" s="1" t="s">
        <v>837</v>
      </c>
      <c r="D594" s="5" t="s">
        <v>677</v>
      </c>
      <c r="E594" t="s">
        <v>1821</v>
      </c>
      <c r="F594" s="2">
        <v>736</v>
      </c>
      <c r="G594" s="80">
        <v>4302865</v>
      </c>
      <c r="I594" s="80">
        <v>92312</v>
      </c>
      <c r="J594" s="98">
        <f t="shared" si="18"/>
        <v>4395177</v>
      </c>
      <c r="L594" s="80">
        <v>510461</v>
      </c>
      <c r="N594" s="80">
        <v>23901</v>
      </c>
      <c r="O594" s="99">
        <f t="shared" si="19"/>
        <v>534362</v>
      </c>
    </row>
    <row r="595" spans="1:15" ht="12.75" hidden="1" customHeight="1">
      <c r="A595" s="1">
        <v>41</v>
      </c>
      <c r="B595" s="1">
        <v>1620</v>
      </c>
      <c r="C595" s="1" t="s">
        <v>837</v>
      </c>
      <c r="D595" s="5" t="s">
        <v>1043</v>
      </c>
      <c r="E595" t="s">
        <v>1822</v>
      </c>
      <c r="F595" s="2">
        <v>400</v>
      </c>
      <c r="G595" s="80">
        <v>3229209</v>
      </c>
      <c r="I595" s="80">
        <v>35598</v>
      </c>
      <c r="J595" s="98">
        <f t="shared" si="18"/>
        <v>3264807</v>
      </c>
      <c r="L595" s="80">
        <v>410875</v>
      </c>
      <c r="O595" s="99">
        <f t="shared" si="19"/>
        <v>410875</v>
      </c>
    </row>
    <row r="596" spans="1:15" ht="12.75" hidden="1" customHeight="1">
      <c r="A596" s="1">
        <v>41</v>
      </c>
      <c r="B596" s="1">
        <v>1670</v>
      </c>
      <c r="C596" s="1" t="s">
        <v>837</v>
      </c>
      <c r="D596" s="5" t="s">
        <v>678</v>
      </c>
      <c r="E596" t="s">
        <v>1823</v>
      </c>
      <c r="F596" s="2">
        <v>203</v>
      </c>
      <c r="G596" s="80">
        <v>1788289</v>
      </c>
      <c r="I596" s="80">
        <v>26211</v>
      </c>
      <c r="J596" s="98">
        <f t="shared" si="18"/>
        <v>1814500</v>
      </c>
      <c r="L596" s="80">
        <v>337342</v>
      </c>
      <c r="O596" s="99">
        <f t="shared" si="19"/>
        <v>337342</v>
      </c>
    </row>
    <row r="597" spans="1:15" ht="12.75" hidden="1" customHeight="1">
      <c r="A597" s="1">
        <v>41</v>
      </c>
      <c r="B597" s="1">
        <v>1785</v>
      </c>
      <c r="C597" s="1" t="s">
        <v>837</v>
      </c>
      <c r="D597" s="5" t="s">
        <v>679</v>
      </c>
      <c r="E597" t="s">
        <v>1824</v>
      </c>
      <c r="F597" s="2">
        <v>1009</v>
      </c>
      <c r="G597" s="80">
        <v>10893399</v>
      </c>
      <c r="I597" s="80">
        <v>124125</v>
      </c>
      <c r="J597" s="98">
        <f t="shared" si="18"/>
        <v>11017524</v>
      </c>
      <c r="L597" s="80">
        <v>3271549</v>
      </c>
      <c r="N597" s="80">
        <v>1133951</v>
      </c>
      <c r="O597" s="99">
        <f t="shared" si="19"/>
        <v>4405500</v>
      </c>
    </row>
    <row r="598" spans="1:15" ht="12.75" hidden="1" customHeight="1">
      <c r="A598" s="1">
        <v>41</v>
      </c>
      <c r="B598" s="1">
        <v>1840</v>
      </c>
      <c r="C598" s="1" t="s">
        <v>837</v>
      </c>
      <c r="D598" s="5" t="s">
        <v>1177</v>
      </c>
      <c r="E598" t="s">
        <v>1825</v>
      </c>
      <c r="F598" s="2">
        <v>986</v>
      </c>
      <c r="G598" s="80">
        <v>6508815</v>
      </c>
      <c r="I598" s="80">
        <v>259233</v>
      </c>
      <c r="J598" s="98">
        <f t="shared" si="18"/>
        <v>6768048</v>
      </c>
      <c r="L598" s="80">
        <v>3240425</v>
      </c>
      <c r="O598" s="99">
        <f t="shared" si="19"/>
        <v>3240425</v>
      </c>
    </row>
    <row r="599" spans="1:15" ht="12.75" hidden="1" customHeight="1">
      <c r="A599" s="1">
        <v>41</v>
      </c>
      <c r="B599" s="1">
        <v>1870</v>
      </c>
      <c r="C599" s="1" t="s">
        <v>837</v>
      </c>
      <c r="D599" s="5" t="s">
        <v>680</v>
      </c>
      <c r="E599" t="s">
        <v>1826</v>
      </c>
      <c r="F599" s="2">
        <v>1890</v>
      </c>
      <c r="G599" s="80">
        <v>13121539</v>
      </c>
      <c r="I599" s="80">
        <v>131320</v>
      </c>
      <c r="J599" s="98">
        <f t="shared" si="18"/>
        <v>13252859</v>
      </c>
      <c r="L599" s="80">
        <v>3591875</v>
      </c>
      <c r="O599" s="99">
        <f t="shared" si="19"/>
        <v>3591875</v>
      </c>
    </row>
    <row r="600" spans="1:15" ht="12.75" hidden="1" customHeight="1">
      <c r="A600" s="1">
        <v>41</v>
      </c>
      <c r="B600" s="1">
        <v>2020</v>
      </c>
      <c r="C600" s="1" t="s">
        <v>837</v>
      </c>
      <c r="D600" s="5" t="s">
        <v>681</v>
      </c>
      <c r="E600"/>
      <c r="F600" s="2"/>
      <c r="G600" s="80">
        <v>1452000</v>
      </c>
      <c r="I600" s="80">
        <v>25196</v>
      </c>
      <c r="J600" s="98">
        <f t="shared" si="18"/>
        <v>1477196</v>
      </c>
      <c r="L600" s="80">
        <v>221691</v>
      </c>
      <c r="O600" s="99">
        <f t="shared" si="19"/>
        <v>221691</v>
      </c>
    </row>
    <row r="601" spans="1:15" ht="12.75" hidden="1" customHeight="1">
      <c r="A601" s="1">
        <v>41</v>
      </c>
      <c r="B601" s="1">
        <v>2040</v>
      </c>
      <c r="C601" s="1" t="s">
        <v>837</v>
      </c>
      <c r="D601" s="5" t="s">
        <v>682</v>
      </c>
      <c r="E601" t="s">
        <v>1827</v>
      </c>
      <c r="F601" s="2">
        <v>305</v>
      </c>
      <c r="G601" s="80">
        <v>4928250</v>
      </c>
      <c r="I601" s="80">
        <v>67599</v>
      </c>
      <c r="J601" s="98">
        <f t="shared" si="18"/>
        <v>4995849</v>
      </c>
      <c r="N601" s="80">
        <v>29046</v>
      </c>
      <c r="O601" s="99">
        <f t="shared" si="19"/>
        <v>29046</v>
      </c>
    </row>
    <row r="602" spans="1:15" ht="12.75" hidden="1" customHeight="1">
      <c r="A602" s="1">
        <v>41</v>
      </c>
      <c r="B602" s="1">
        <v>2250</v>
      </c>
      <c r="C602" s="1" t="s">
        <v>837</v>
      </c>
      <c r="D602" s="5" t="s">
        <v>683</v>
      </c>
      <c r="E602" t="s">
        <v>1828</v>
      </c>
      <c r="F602" s="2">
        <v>228</v>
      </c>
      <c r="G602" s="80">
        <v>2763268</v>
      </c>
      <c r="I602" s="80">
        <v>27024</v>
      </c>
      <c r="J602" s="98">
        <f t="shared" si="18"/>
        <v>2790292</v>
      </c>
      <c r="L602" s="80">
        <v>100138</v>
      </c>
      <c r="N602" s="80">
        <v>570500</v>
      </c>
      <c r="O602" s="99">
        <f t="shared" si="19"/>
        <v>670638</v>
      </c>
    </row>
    <row r="603" spans="1:15" ht="12.75" hidden="1" customHeight="1">
      <c r="A603" s="1">
        <v>41</v>
      </c>
      <c r="B603" s="1">
        <v>2470</v>
      </c>
      <c r="C603" s="1" t="s">
        <v>837</v>
      </c>
      <c r="D603" s="5" t="s">
        <v>684</v>
      </c>
      <c r="E603" t="s">
        <v>1829</v>
      </c>
      <c r="F603" s="2">
        <v>320</v>
      </c>
      <c r="G603" s="80">
        <v>2366564</v>
      </c>
      <c r="I603" s="80">
        <v>60401</v>
      </c>
      <c r="J603" s="98">
        <f t="shared" si="18"/>
        <v>2426965</v>
      </c>
      <c r="L603" s="80">
        <v>696181</v>
      </c>
      <c r="N603" s="80">
        <v>226912</v>
      </c>
      <c r="O603" s="99">
        <f t="shared" si="19"/>
        <v>923093</v>
      </c>
    </row>
    <row r="604" spans="1:15" ht="12.75" hidden="1" customHeight="1">
      <c r="A604" s="1">
        <v>41</v>
      </c>
      <c r="B604" s="1">
        <v>2790</v>
      </c>
      <c r="C604" s="1" t="s">
        <v>837</v>
      </c>
      <c r="D604" s="5" t="s">
        <v>685</v>
      </c>
      <c r="E604" t="s">
        <v>1830</v>
      </c>
      <c r="F604" s="2">
        <v>912</v>
      </c>
      <c r="G604" s="80">
        <v>10693264</v>
      </c>
      <c r="I604" s="80">
        <v>81087</v>
      </c>
      <c r="J604" s="98">
        <f t="shared" si="18"/>
        <v>10774351</v>
      </c>
      <c r="L604" s="80">
        <v>1849722</v>
      </c>
      <c r="O604" s="99">
        <f t="shared" si="19"/>
        <v>1849722</v>
      </c>
    </row>
    <row r="605" spans="1:15" ht="12.75" hidden="1" customHeight="1">
      <c r="A605" s="1">
        <v>41</v>
      </c>
      <c r="B605" s="1">
        <v>2970</v>
      </c>
      <c r="C605" s="1" t="s">
        <v>837</v>
      </c>
      <c r="D605" s="5" t="s">
        <v>1468</v>
      </c>
      <c r="E605" t="s">
        <v>1831</v>
      </c>
      <c r="F605" s="2">
        <v>704</v>
      </c>
      <c r="G605" s="80">
        <v>4469733</v>
      </c>
      <c r="I605" s="80">
        <v>58225</v>
      </c>
      <c r="J605" s="98">
        <f t="shared" si="18"/>
        <v>4527958</v>
      </c>
      <c r="L605" s="80">
        <v>1197974</v>
      </c>
      <c r="M605" s="80">
        <v>378277</v>
      </c>
      <c r="N605" s="80">
        <v>461172</v>
      </c>
      <c r="O605" s="99">
        <f t="shared" si="19"/>
        <v>2037423</v>
      </c>
    </row>
    <row r="606" spans="1:15" ht="12.75" hidden="1" customHeight="1">
      <c r="A606" s="1">
        <v>41</v>
      </c>
      <c r="B606" s="1">
        <v>3675</v>
      </c>
      <c r="C606" s="1" t="s">
        <v>837</v>
      </c>
      <c r="D606" s="5" t="s">
        <v>686</v>
      </c>
      <c r="E606" t="s">
        <v>1832</v>
      </c>
      <c r="F606" s="2">
        <v>1263</v>
      </c>
      <c r="G606" s="80">
        <v>9322313</v>
      </c>
      <c r="I606" s="80">
        <v>157824</v>
      </c>
      <c r="J606" s="98">
        <f t="shared" si="18"/>
        <v>9480137</v>
      </c>
      <c r="L606" s="80">
        <v>3033417</v>
      </c>
      <c r="O606" s="99">
        <f t="shared" si="19"/>
        <v>3033417</v>
      </c>
    </row>
    <row r="607" spans="1:15" ht="12.75" hidden="1" customHeight="1">
      <c r="A607" s="1">
        <v>41</v>
      </c>
      <c r="B607" s="1">
        <v>3890</v>
      </c>
      <c r="C607" s="1" t="s">
        <v>837</v>
      </c>
      <c r="D607" s="5" t="s">
        <v>687</v>
      </c>
      <c r="E607" t="s">
        <v>1833</v>
      </c>
      <c r="F607" s="2">
        <v>318</v>
      </c>
      <c r="G607" s="80">
        <v>2721704</v>
      </c>
      <c r="I607" s="80">
        <v>30156</v>
      </c>
      <c r="J607" s="98">
        <f t="shared" si="18"/>
        <v>2751860</v>
      </c>
      <c r="L607" s="80">
        <v>1859663</v>
      </c>
      <c r="O607" s="99">
        <f t="shared" si="19"/>
        <v>1859663</v>
      </c>
    </row>
    <row r="608" spans="1:15" ht="12.75" hidden="1" customHeight="1">
      <c r="A608" s="1">
        <v>41</v>
      </c>
      <c r="B608" s="1">
        <v>4100</v>
      </c>
      <c r="C608" s="1" t="s">
        <v>837</v>
      </c>
      <c r="D608" s="5" t="s">
        <v>688</v>
      </c>
      <c r="E608" t="s">
        <v>1834</v>
      </c>
      <c r="F608" s="2">
        <v>3723</v>
      </c>
      <c r="G608" s="80">
        <v>6241166</v>
      </c>
      <c r="I608" s="80">
        <v>424244</v>
      </c>
      <c r="J608" s="98">
        <f t="shared" si="18"/>
        <v>6665410</v>
      </c>
      <c r="L608" s="80">
        <v>12984654</v>
      </c>
      <c r="M608" s="80">
        <v>333641</v>
      </c>
      <c r="O608" s="99">
        <f t="shared" si="19"/>
        <v>13318295</v>
      </c>
    </row>
    <row r="609" spans="1:15" ht="12.75" hidden="1" customHeight="1">
      <c r="A609" s="1">
        <v>41</v>
      </c>
      <c r="B609" s="1">
        <v>4200</v>
      </c>
      <c r="C609" s="1" t="s">
        <v>837</v>
      </c>
      <c r="D609" s="5" t="s">
        <v>689</v>
      </c>
      <c r="E609" t="s">
        <v>1835</v>
      </c>
      <c r="F609" s="2">
        <v>379</v>
      </c>
      <c r="G609" s="80">
        <v>4489308</v>
      </c>
      <c r="I609" s="80">
        <v>67054</v>
      </c>
      <c r="J609" s="98">
        <f t="shared" si="18"/>
        <v>4556362</v>
      </c>
      <c r="L609" s="80">
        <v>881330</v>
      </c>
      <c r="N609" s="80">
        <v>252698</v>
      </c>
      <c r="O609" s="99">
        <f t="shared" si="19"/>
        <v>1134028</v>
      </c>
    </row>
    <row r="610" spans="1:15" ht="12.75" hidden="1" customHeight="1">
      <c r="A610" s="1">
        <v>41</v>
      </c>
      <c r="B610" s="1">
        <v>5450</v>
      </c>
      <c r="C610" s="1" t="s">
        <v>837</v>
      </c>
      <c r="D610" s="5" t="s">
        <v>690</v>
      </c>
      <c r="E610" t="s">
        <v>1836</v>
      </c>
      <c r="F610" s="2">
        <v>63</v>
      </c>
      <c r="H610" s="80">
        <v>184821</v>
      </c>
      <c r="I610" s="80">
        <v>199812</v>
      </c>
      <c r="J610" s="98">
        <f t="shared" si="18"/>
        <v>384633</v>
      </c>
      <c r="O610" s="99">
        <f t="shared" si="19"/>
        <v>0</v>
      </c>
    </row>
    <row r="611" spans="1:15" ht="12.75" hidden="1" customHeight="1">
      <c r="A611" s="1">
        <v>41</v>
      </c>
      <c r="B611" s="1">
        <v>5460</v>
      </c>
      <c r="C611" s="1" t="s">
        <v>837</v>
      </c>
      <c r="D611" s="5" t="s">
        <v>691</v>
      </c>
      <c r="E611" t="s">
        <v>1837</v>
      </c>
      <c r="F611" s="2">
        <v>417</v>
      </c>
      <c r="H611" s="80">
        <v>4012290</v>
      </c>
      <c r="I611" s="80">
        <v>214808</v>
      </c>
      <c r="J611" s="98">
        <f t="shared" si="18"/>
        <v>4227098</v>
      </c>
      <c r="L611" s="80">
        <v>960964</v>
      </c>
      <c r="N611" s="80">
        <v>67799</v>
      </c>
      <c r="O611" s="99">
        <f t="shared" si="19"/>
        <v>1028763</v>
      </c>
    </row>
    <row r="612" spans="1:15" ht="12.75" hidden="1" customHeight="1">
      <c r="A612" s="1">
        <v>41</v>
      </c>
      <c r="B612" s="1">
        <v>5465</v>
      </c>
      <c r="C612" s="1" t="s">
        <v>837</v>
      </c>
      <c r="D612" s="5" t="s">
        <v>692</v>
      </c>
      <c r="E612" t="s">
        <v>1624</v>
      </c>
      <c r="F612" s="2">
        <v>2161</v>
      </c>
      <c r="G612" s="80">
        <v>16916300</v>
      </c>
      <c r="I612" s="80">
        <v>254116</v>
      </c>
      <c r="J612" s="98">
        <f t="shared" si="18"/>
        <v>17170416</v>
      </c>
      <c r="L612" s="80">
        <v>7385112</v>
      </c>
      <c r="O612" s="99">
        <f t="shared" si="19"/>
        <v>7385112</v>
      </c>
    </row>
    <row r="613" spans="1:15" ht="12.75" hidden="1" customHeight="1">
      <c r="A613" s="1">
        <v>41</v>
      </c>
      <c r="B613" s="1">
        <v>5480</v>
      </c>
      <c r="C613" s="1" t="s">
        <v>837</v>
      </c>
      <c r="D613" s="5" t="s">
        <v>693</v>
      </c>
      <c r="E613" t="s">
        <v>1625</v>
      </c>
      <c r="F613" s="2">
        <v>511</v>
      </c>
      <c r="G613" s="80">
        <v>3313716</v>
      </c>
      <c r="I613" s="80">
        <v>87062</v>
      </c>
      <c r="J613" s="98">
        <f t="shared" si="18"/>
        <v>3400778</v>
      </c>
      <c r="L613" s="80">
        <v>1765208</v>
      </c>
      <c r="M613" s="80">
        <v>64251</v>
      </c>
      <c r="O613" s="99">
        <f t="shared" si="19"/>
        <v>1829459</v>
      </c>
    </row>
    <row r="614" spans="1:15" ht="12.75" hidden="1" customHeight="1">
      <c r="A614" s="1">
        <v>41</v>
      </c>
      <c r="B614" s="1">
        <v>5530</v>
      </c>
      <c r="C614" s="1" t="s">
        <v>837</v>
      </c>
      <c r="D614" s="5" t="s">
        <v>1270</v>
      </c>
      <c r="E614" t="s">
        <v>1626</v>
      </c>
      <c r="F614" s="2">
        <v>674</v>
      </c>
      <c r="G614" s="80">
        <v>4628909</v>
      </c>
      <c r="I614" s="80">
        <v>120195</v>
      </c>
      <c r="J614" s="98">
        <f t="shared" si="18"/>
        <v>4749104</v>
      </c>
      <c r="L614" s="80">
        <v>1470772</v>
      </c>
      <c r="N614" s="80">
        <v>303063</v>
      </c>
      <c r="O614" s="99">
        <f t="shared" si="19"/>
        <v>1773835</v>
      </c>
    </row>
    <row r="615" spans="1:15" ht="12.75" hidden="1" customHeight="1">
      <c r="A615" s="1">
        <v>41</v>
      </c>
      <c r="B615" s="1">
        <v>5780</v>
      </c>
      <c r="C615" s="1" t="s">
        <v>837</v>
      </c>
      <c r="D615" s="5" t="s">
        <v>694</v>
      </c>
      <c r="E615" t="s">
        <v>1627</v>
      </c>
      <c r="F615" s="2">
        <v>438</v>
      </c>
      <c r="G615" s="80">
        <v>5682676</v>
      </c>
      <c r="I615" s="80">
        <v>22907</v>
      </c>
      <c r="J615" s="98">
        <f t="shared" si="18"/>
        <v>5705583</v>
      </c>
      <c r="L615" s="80">
        <v>197926</v>
      </c>
      <c r="N615" s="80">
        <v>1034493</v>
      </c>
      <c r="O615" s="99">
        <f t="shared" si="19"/>
        <v>1232419</v>
      </c>
    </row>
    <row r="616" spans="1:15" ht="12.75" hidden="1" customHeight="1">
      <c r="A616" s="1">
        <v>80</v>
      </c>
      <c r="B616" s="1">
        <v>6010</v>
      </c>
      <c r="C616" s="11" t="s">
        <v>652</v>
      </c>
      <c r="D616" s="8" t="s">
        <v>651</v>
      </c>
      <c r="E616" s="2"/>
      <c r="F616" s="8">
        <v>202</v>
      </c>
      <c r="G616" s="80">
        <v>2264122</v>
      </c>
      <c r="I616" s="80">
        <v>66011</v>
      </c>
      <c r="J616" s="98">
        <f t="shared" si="18"/>
        <v>2330133</v>
      </c>
      <c r="M616" s="80">
        <v>55117</v>
      </c>
      <c r="O616" s="99">
        <f t="shared" si="19"/>
        <v>55117</v>
      </c>
    </row>
    <row r="617" spans="1:15" hidden="1">
      <c r="A617" s="1">
        <v>80</v>
      </c>
      <c r="B617" s="1">
        <v>6018</v>
      </c>
      <c r="C617" s="12" t="s">
        <v>765</v>
      </c>
      <c r="D617" s="6" t="s">
        <v>660</v>
      </c>
      <c r="E617" s="17"/>
      <c r="F617" s="6">
        <v>165</v>
      </c>
      <c r="G617" s="80">
        <v>925472</v>
      </c>
      <c r="I617" s="80">
        <v>29002</v>
      </c>
      <c r="J617" s="98">
        <f t="shared" si="18"/>
        <v>954474</v>
      </c>
      <c r="O617" s="99">
        <f t="shared" si="19"/>
        <v>0</v>
      </c>
    </row>
    <row r="618" spans="1:15" hidden="1">
      <c r="A618" s="1">
        <v>80</v>
      </c>
      <c r="B618" s="1">
        <v>6212</v>
      </c>
      <c r="C618" s="9" t="s">
        <v>653</v>
      </c>
      <c r="D618" s="10" t="s">
        <v>654</v>
      </c>
      <c r="E618" s="17"/>
      <c r="F618" s="10">
        <v>406</v>
      </c>
      <c r="G618" s="80">
        <v>602515</v>
      </c>
      <c r="I618" s="80">
        <v>13413</v>
      </c>
      <c r="J618" s="98">
        <f t="shared" si="18"/>
        <v>615928</v>
      </c>
      <c r="L618" s="80">
        <v>3079797</v>
      </c>
      <c r="O618" s="99">
        <f t="shared" si="19"/>
        <v>3079797</v>
      </c>
    </row>
    <row r="619" spans="1:15" hidden="1">
      <c r="A619" s="1">
        <v>80</v>
      </c>
      <c r="B619" s="1">
        <v>6215</v>
      </c>
      <c r="C619" s="9" t="s">
        <v>653</v>
      </c>
      <c r="D619" s="10" t="s">
        <v>655</v>
      </c>
      <c r="F619" s="10">
        <v>391</v>
      </c>
      <c r="G619" s="80">
        <v>521025</v>
      </c>
      <c r="I619" s="80">
        <v>1184907</v>
      </c>
      <c r="J619" s="98">
        <f t="shared" si="18"/>
        <v>1705932</v>
      </c>
      <c r="K619" s="80"/>
      <c r="L619" s="80">
        <v>2793192</v>
      </c>
      <c r="O619" s="99">
        <f t="shared" si="19"/>
        <v>2793192</v>
      </c>
    </row>
    <row r="620" spans="1:15" hidden="1">
      <c r="A620" s="1">
        <v>80</v>
      </c>
      <c r="B620" s="1">
        <v>6217</v>
      </c>
      <c r="C620" s="12" t="s">
        <v>659</v>
      </c>
      <c r="D620" s="6" t="s">
        <v>658</v>
      </c>
      <c r="F620" s="6">
        <v>222</v>
      </c>
      <c r="G620" s="80">
        <v>417241</v>
      </c>
      <c r="I620" s="80">
        <v>20498</v>
      </c>
      <c r="J620" s="98">
        <f t="shared" si="18"/>
        <v>437739</v>
      </c>
      <c r="O620" s="99">
        <f t="shared" si="19"/>
        <v>0</v>
      </c>
    </row>
    <row r="621" spans="1:15" hidden="1">
      <c r="A621" s="1">
        <v>80</v>
      </c>
      <c r="B621" s="1">
        <v>6220</v>
      </c>
      <c r="C621" s="2" t="s">
        <v>657</v>
      </c>
      <c r="D621" s="7" t="s">
        <v>656</v>
      </c>
      <c r="F621" s="7">
        <v>518</v>
      </c>
      <c r="G621" s="80">
        <v>1073162</v>
      </c>
      <c r="I621" s="80">
        <v>42671</v>
      </c>
      <c r="J621" s="98">
        <f t="shared" si="18"/>
        <v>1115833</v>
      </c>
      <c r="O621" s="99">
        <f t="shared" si="19"/>
        <v>0</v>
      </c>
    </row>
    <row r="622" spans="1:15" hidden="1">
      <c r="A622" s="1">
        <v>80</v>
      </c>
      <c r="B622" s="1">
        <v>6230</v>
      </c>
      <c r="C622" s="13" t="s">
        <v>663</v>
      </c>
      <c r="D622" s="4" t="s">
        <v>664</v>
      </c>
      <c r="F622" s="4">
        <v>104</v>
      </c>
      <c r="G622" s="80">
        <v>884961</v>
      </c>
      <c r="I622" s="80">
        <v>582</v>
      </c>
      <c r="J622" s="98">
        <f t="shared" si="18"/>
        <v>885543</v>
      </c>
      <c r="O622" s="99">
        <f t="shared" si="19"/>
        <v>0</v>
      </c>
    </row>
    <row r="623" spans="1:15" hidden="1">
      <c r="A623" s="1">
        <v>80</v>
      </c>
      <c r="B623" s="1">
        <v>6232</v>
      </c>
      <c r="C623" s="9" t="s">
        <v>653</v>
      </c>
      <c r="D623" s="4" t="s">
        <v>559</v>
      </c>
      <c r="F623" s="4">
        <v>198</v>
      </c>
      <c r="G623" s="80">
        <v>235045</v>
      </c>
      <c r="I623" s="80">
        <v>63339</v>
      </c>
      <c r="J623" s="98">
        <f t="shared" si="18"/>
        <v>298384</v>
      </c>
      <c r="L623" s="80">
        <v>1157758</v>
      </c>
      <c r="O623" s="99">
        <f t="shared" si="19"/>
        <v>1157758</v>
      </c>
    </row>
    <row r="624" spans="1:15" hidden="1">
      <c r="A624" s="1">
        <v>80</v>
      </c>
      <c r="B624" s="1">
        <v>6235</v>
      </c>
      <c r="C624" s="2" t="s">
        <v>657</v>
      </c>
      <c r="D624" s="7" t="s">
        <v>576</v>
      </c>
      <c r="F624" s="21"/>
      <c r="G624" s="80">
        <v>808494</v>
      </c>
      <c r="I624" s="80">
        <v>49678</v>
      </c>
      <c r="J624" s="98">
        <f t="shared" si="18"/>
        <v>858172</v>
      </c>
      <c r="O624" s="99">
        <f t="shared" si="19"/>
        <v>0</v>
      </c>
    </row>
    <row r="625" spans="1:15" hidden="1">
      <c r="A625" s="1">
        <v>80</v>
      </c>
      <c r="B625" s="1">
        <v>6240</v>
      </c>
      <c r="C625" s="9" t="s">
        <v>653</v>
      </c>
      <c r="D625" s="4" t="s">
        <v>560</v>
      </c>
      <c r="E625" s="15"/>
      <c r="F625" s="4">
        <v>215</v>
      </c>
      <c r="G625" s="80">
        <v>312016</v>
      </c>
      <c r="J625" s="98">
        <f t="shared" si="18"/>
        <v>312016</v>
      </c>
      <c r="L625" s="80">
        <v>1595913</v>
      </c>
      <c r="O625" s="99">
        <f t="shared" si="19"/>
        <v>1595913</v>
      </c>
    </row>
    <row r="626" spans="1:15" hidden="1">
      <c r="A626" s="1">
        <v>80</v>
      </c>
      <c r="B626" s="1">
        <v>6320</v>
      </c>
      <c r="C626" s="16" t="s">
        <v>667</v>
      </c>
      <c r="D626" s="17" t="s">
        <v>666</v>
      </c>
      <c r="F626" s="17">
        <v>75</v>
      </c>
      <c r="G626" s="80">
        <v>135258</v>
      </c>
      <c r="I626" s="80">
        <v>2544</v>
      </c>
      <c r="J626" s="98">
        <f t="shared" si="18"/>
        <v>137802</v>
      </c>
      <c r="O626" s="99">
        <f t="shared" si="19"/>
        <v>0</v>
      </c>
    </row>
    <row r="627" spans="1:15" hidden="1">
      <c r="A627" s="1">
        <v>80</v>
      </c>
      <c r="B627" s="1">
        <v>6325</v>
      </c>
      <c r="C627" s="14" t="s">
        <v>653</v>
      </c>
      <c r="D627" s="15" t="s">
        <v>665</v>
      </c>
      <c r="F627" s="15">
        <v>329</v>
      </c>
      <c r="G627" s="80">
        <v>435618</v>
      </c>
      <c r="I627" s="80">
        <v>36047</v>
      </c>
      <c r="J627" s="98">
        <f t="shared" si="18"/>
        <v>471665</v>
      </c>
      <c r="O627" s="99">
        <f t="shared" si="19"/>
        <v>0</v>
      </c>
    </row>
    <row r="628" spans="1:15" hidden="1">
      <c r="A628" s="1">
        <v>80</v>
      </c>
      <c r="B628" s="1">
        <v>6410</v>
      </c>
      <c r="C628" s="14" t="s">
        <v>669</v>
      </c>
      <c r="D628" s="15" t="s">
        <v>668</v>
      </c>
      <c r="E628" s="17"/>
      <c r="F628" s="15">
        <v>501</v>
      </c>
      <c r="G628" s="80">
        <v>877153</v>
      </c>
      <c r="I628" s="80">
        <v>31956</v>
      </c>
      <c r="J628" s="98">
        <f t="shared" si="18"/>
        <v>909109</v>
      </c>
      <c r="L628" s="80">
        <v>2787424</v>
      </c>
      <c r="O628" s="99">
        <f t="shared" si="19"/>
        <v>2787424</v>
      </c>
    </row>
    <row r="629" spans="1:15" hidden="1">
      <c r="A629" s="1">
        <v>80</v>
      </c>
      <c r="B629" s="1">
        <v>6420</v>
      </c>
      <c r="C629" s="14" t="s">
        <v>671</v>
      </c>
      <c r="D629" s="15" t="s">
        <v>670</v>
      </c>
      <c r="E629" s="17"/>
      <c r="F629" s="15">
        <v>279</v>
      </c>
      <c r="G629" s="80">
        <v>988806</v>
      </c>
      <c r="I629" s="80">
        <v>41774</v>
      </c>
      <c r="J629" s="98">
        <f t="shared" si="18"/>
        <v>1030580</v>
      </c>
      <c r="O629" s="99">
        <f t="shared" si="19"/>
        <v>0</v>
      </c>
    </row>
    <row r="630" spans="1:15" hidden="1">
      <c r="A630" s="1">
        <v>80</v>
      </c>
      <c r="B630" s="1">
        <v>6425</v>
      </c>
      <c r="C630" s="18" t="s">
        <v>673</v>
      </c>
      <c r="D630" s="19" t="s">
        <v>672</v>
      </c>
      <c r="E630" s="7"/>
      <c r="F630" s="19">
        <v>352</v>
      </c>
      <c r="G630" s="80">
        <v>586800</v>
      </c>
      <c r="I630" s="80">
        <v>37255</v>
      </c>
      <c r="J630" s="98">
        <f t="shared" si="18"/>
        <v>624055</v>
      </c>
      <c r="O630" s="99">
        <f t="shared" si="19"/>
        <v>0</v>
      </c>
    </row>
    <row r="631" spans="1:15" hidden="1">
      <c r="A631" s="1">
        <v>80</v>
      </c>
      <c r="B631" s="1">
        <v>6430</v>
      </c>
      <c r="C631" s="13" t="s">
        <v>675</v>
      </c>
      <c r="D631" s="4" t="s">
        <v>674</v>
      </c>
      <c r="E631" s="7"/>
      <c r="F631" s="22">
        <v>182</v>
      </c>
      <c r="G631" s="80">
        <v>1404661</v>
      </c>
      <c r="I631" s="80">
        <v>35912</v>
      </c>
      <c r="J631" s="98">
        <f t="shared" si="18"/>
        <v>1440573</v>
      </c>
      <c r="L631" s="80">
        <v>722193</v>
      </c>
      <c r="O631" s="99">
        <f t="shared" si="19"/>
        <v>722193</v>
      </c>
    </row>
    <row r="632" spans="1:15" hidden="1">
      <c r="A632" s="1">
        <v>80</v>
      </c>
      <c r="B632" s="1">
        <v>6612</v>
      </c>
      <c r="C632" s="13" t="s">
        <v>562</v>
      </c>
      <c r="D632" s="4" t="s">
        <v>561</v>
      </c>
      <c r="F632" s="22">
        <v>270</v>
      </c>
      <c r="G632" s="80">
        <v>2071435</v>
      </c>
      <c r="I632" s="80">
        <v>37850</v>
      </c>
      <c r="J632" s="98">
        <f t="shared" si="18"/>
        <v>2109285</v>
      </c>
      <c r="O632" s="99">
        <f t="shared" si="19"/>
        <v>0</v>
      </c>
    </row>
    <row r="633" spans="1:15" hidden="1">
      <c r="A633" s="1">
        <v>80</v>
      </c>
      <c r="B633" s="1">
        <v>6635</v>
      </c>
      <c r="C633" s="14" t="s">
        <v>565</v>
      </c>
      <c r="D633" s="15" t="s">
        <v>564</v>
      </c>
      <c r="F633" s="15">
        <v>219</v>
      </c>
      <c r="I633" s="80">
        <v>135328</v>
      </c>
      <c r="J633" s="98">
        <f t="shared" si="18"/>
        <v>135328</v>
      </c>
      <c r="L633" s="80">
        <v>587519</v>
      </c>
      <c r="O633" s="99">
        <f t="shared" si="19"/>
        <v>587519</v>
      </c>
    </row>
    <row r="634" spans="1:15" hidden="1">
      <c r="A634" s="1">
        <v>80</v>
      </c>
      <c r="B634" s="1">
        <v>6665</v>
      </c>
      <c r="C634" s="16" t="s">
        <v>667</v>
      </c>
      <c r="D634" s="17" t="s">
        <v>563</v>
      </c>
      <c r="E634" s="19"/>
      <c r="F634" s="17">
        <v>306</v>
      </c>
      <c r="G634" s="80">
        <v>511896</v>
      </c>
      <c r="I634" s="80">
        <v>68266</v>
      </c>
      <c r="J634" s="98">
        <f t="shared" si="18"/>
        <v>580162</v>
      </c>
      <c r="O634" s="99">
        <f t="shared" si="19"/>
        <v>0</v>
      </c>
    </row>
    <row r="635" spans="1:15" hidden="1">
      <c r="A635" s="1">
        <v>80</v>
      </c>
      <c r="B635" s="1">
        <v>6720</v>
      </c>
      <c r="C635" s="14" t="s">
        <v>671</v>
      </c>
      <c r="D635" s="15" t="s">
        <v>567</v>
      </c>
      <c r="F635" s="15">
        <v>251</v>
      </c>
      <c r="G635" s="80">
        <v>2057278</v>
      </c>
      <c r="I635" s="80">
        <v>42555</v>
      </c>
      <c r="J635" s="98">
        <f t="shared" si="18"/>
        <v>2099833</v>
      </c>
      <c r="L635" s="80">
        <v>1401520</v>
      </c>
      <c r="O635" s="99">
        <f t="shared" si="19"/>
        <v>1401520</v>
      </c>
    </row>
    <row r="636" spans="1:15" hidden="1">
      <c r="A636" s="1">
        <v>80</v>
      </c>
      <c r="B636" s="1">
        <v>6740</v>
      </c>
      <c r="C636" s="14" t="s">
        <v>569</v>
      </c>
      <c r="D636" s="15" t="s">
        <v>568</v>
      </c>
      <c r="F636" s="15">
        <v>135</v>
      </c>
      <c r="G636" s="80">
        <v>311099</v>
      </c>
      <c r="I636" s="80">
        <v>5042</v>
      </c>
      <c r="J636" s="98">
        <f t="shared" si="18"/>
        <v>316141</v>
      </c>
      <c r="O636" s="99">
        <f t="shared" si="19"/>
        <v>0</v>
      </c>
    </row>
    <row r="637" spans="1:15" hidden="1">
      <c r="A637" s="1">
        <v>80</v>
      </c>
      <c r="B637" s="1">
        <v>6810</v>
      </c>
      <c r="C637" s="18" t="s">
        <v>673</v>
      </c>
      <c r="D637" s="19" t="s">
        <v>570</v>
      </c>
      <c r="E637" s="7"/>
      <c r="F637" s="19">
        <v>945</v>
      </c>
      <c r="I637" s="80">
        <v>33197</v>
      </c>
      <c r="J637" s="98">
        <f t="shared" si="18"/>
        <v>33197</v>
      </c>
      <c r="O637" s="99">
        <f t="shared" si="19"/>
        <v>0</v>
      </c>
    </row>
    <row r="638" spans="1:15" hidden="1">
      <c r="A638" s="1">
        <v>80</v>
      </c>
      <c r="B638" s="1">
        <v>6910</v>
      </c>
      <c r="C638" s="2" t="s">
        <v>657</v>
      </c>
      <c r="D638" s="7" t="s">
        <v>571</v>
      </c>
      <c r="F638" s="7">
        <v>505</v>
      </c>
      <c r="G638" s="80">
        <v>1092558</v>
      </c>
      <c r="J638" s="98">
        <f t="shared" si="18"/>
        <v>1092558</v>
      </c>
      <c r="L638" s="80">
        <v>2276775</v>
      </c>
      <c r="O638" s="99">
        <f t="shared" si="19"/>
        <v>2276775</v>
      </c>
    </row>
    <row r="639" spans="1:15" hidden="1">
      <c r="A639" s="1">
        <v>80</v>
      </c>
      <c r="B639" s="1">
        <v>6915</v>
      </c>
      <c r="C639" s="2" t="s">
        <v>657</v>
      </c>
      <c r="D639" s="7" t="s">
        <v>572</v>
      </c>
      <c r="E639" s="19"/>
      <c r="F639" s="7">
        <v>494</v>
      </c>
      <c r="G639" s="80">
        <v>1137076</v>
      </c>
      <c r="I639" s="80">
        <v>37641</v>
      </c>
      <c r="J639" s="98">
        <f t="shared" si="18"/>
        <v>1174717</v>
      </c>
      <c r="O639" s="99">
        <f t="shared" si="19"/>
        <v>0</v>
      </c>
    </row>
    <row r="640" spans="1:15" hidden="1">
      <c r="A640" s="1">
        <v>80</v>
      </c>
      <c r="B640" s="1">
        <v>7100</v>
      </c>
      <c r="C640" s="16" t="s">
        <v>667</v>
      </c>
      <c r="D640" s="17" t="s">
        <v>573</v>
      </c>
      <c r="E640" s="7"/>
      <c r="F640" s="17">
        <v>443</v>
      </c>
      <c r="G640" s="80">
        <v>763208</v>
      </c>
      <c r="J640" s="98">
        <f t="shared" si="18"/>
        <v>763208</v>
      </c>
      <c r="O640" s="99">
        <f t="shared" si="19"/>
        <v>0</v>
      </c>
    </row>
    <row r="641" spans="1:15" hidden="1">
      <c r="A641" s="1">
        <v>80</v>
      </c>
      <c r="B641" s="1">
        <v>7109</v>
      </c>
      <c r="C641" s="14" t="s">
        <v>653</v>
      </c>
      <c r="D641" s="15" t="s">
        <v>574</v>
      </c>
      <c r="F641" s="15">
        <v>774</v>
      </c>
      <c r="G641" s="80">
        <v>1485204</v>
      </c>
      <c r="I641" s="80">
        <v>319555</v>
      </c>
      <c r="J641" s="98">
        <f t="shared" si="18"/>
        <v>1804759</v>
      </c>
      <c r="L641" s="80">
        <v>5075202</v>
      </c>
      <c r="O641" s="99">
        <f t="shared" si="19"/>
        <v>5075202</v>
      </c>
    </row>
    <row r="642" spans="1:15" hidden="1">
      <c r="A642" s="1">
        <v>80</v>
      </c>
      <c r="B642" s="1">
        <v>7115</v>
      </c>
      <c r="C642" s="2" t="s">
        <v>657</v>
      </c>
      <c r="D642" s="7" t="s">
        <v>575</v>
      </c>
      <c r="E642" s="13"/>
      <c r="F642" s="7">
        <v>322</v>
      </c>
      <c r="G642" s="80">
        <v>753227</v>
      </c>
      <c r="I642" s="80">
        <v>95803</v>
      </c>
      <c r="J642" s="98">
        <f t="shared" si="18"/>
        <v>849030</v>
      </c>
      <c r="O642" s="99">
        <f t="shared" si="19"/>
        <v>0</v>
      </c>
    </row>
    <row r="643" spans="1:15" hidden="1">
      <c r="A643" s="1">
        <v>80</v>
      </c>
      <c r="B643" s="1">
        <v>7210</v>
      </c>
      <c r="C643" s="16" t="s">
        <v>667</v>
      </c>
      <c r="D643" s="17" t="s">
        <v>578</v>
      </c>
      <c r="E643" s="20"/>
      <c r="F643" s="17">
        <v>359</v>
      </c>
      <c r="G643" s="80">
        <v>632331</v>
      </c>
      <c r="J643" s="98">
        <f t="shared" si="18"/>
        <v>632331</v>
      </c>
      <c r="O643" s="99">
        <f t="shared" si="19"/>
        <v>0</v>
      </c>
    </row>
    <row r="644" spans="1:15" hidden="1">
      <c r="A644" s="1">
        <v>80</v>
      </c>
      <c r="B644" s="1">
        <v>7280</v>
      </c>
      <c r="C644" s="16" t="s">
        <v>667</v>
      </c>
      <c r="D644" s="17" t="s">
        <v>566</v>
      </c>
      <c r="F644" s="21"/>
      <c r="G644" s="80">
        <v>303507</v>
      </c>
      <c r="I644" s="80">
        <v>40734</v>
      </c>
      <c r="J644" s="98">
        <f t="shared" si="18"/>
        <v>344241</v>
      </c>
      <c r="L644" s="80">
        <v>1056725</v>
      </c>
      <c r="O644" s="99">
        <f t="shared" si="19"/>
        <v>1056725</v>
      </c>
    </row>
    <row r="645" spans="1:15" hidden="1">
      <c r="A645" s="1">
        <v>80</v>
      </c>
      <c r="B645" s="1">
        <v>7290</v>
      </c>
      <c r="C645" s="16" t="s">
        <v>667</v>
      </c>
      <c r="D645" s="17" t="s">
        <v>579</v>
      </c>
      <c r="F645" s="21"/>
      <c r="G645" s="80">
        <v>747120</v>
      </c>
      <c r="J645" s="98">
        <f t="shared" ref="J645:J668" si="20">SUM(G645:I645)</f>
        <v>747120</v>
      </c>
      <c r="O645" s="99">
        <f t="shared" ref="O645:O668" si="21">SUM(L645:N645)</f>
        <v>0</v>
      </c>
    </row>
    <row r="646" spans="1:15" hidden="1">
      <c r="A646" s="1">
        <v>80</v>
      </c>
      <c r="B646" s="1">
        <v>7320</v>
      </c>
      <c r="C646" s="16" t="s">
        <v>667</v>
      </c>
      <c r="D646" s="17" t="s">
        <v>580</v>
      </c>
      <c r="F646" s="17">
        <v>451</v>
      </c>
      <c r="G646" s="80">
        <v>825039</v>
      </c>
      <c r="I646" s="80">
        <v>275662</v>
      </c>
      <c r="J646" s="98">
        <f t="shared" si="20"/>
        <v>1100701</v>
      </c>
      <c r="O646" s="99">
        <f t="shared" si="21"/>
        <v>0</v>
      </c>
    </row>
    <row r="647" spans="1:15" hidden="1">
      <c r="A647" s="1">
        <v>80</v>
      </c>
      <c r="B647" s="1">
        <v>7325</v>
      </c>
      <c r="C647" s="16" t="s">
        <v>667</v>
      </c>
      <c r="D647" s="17" t="s">
        <v>600</v>
      </c>
      <c r="F647" s="17">
        <v>467</v>
      </c>
      <c r="G647" s="80">
        <v>857301</v>
      </c>
      <c r="I647" s="80">
        <v>277948</v>
      </c>
      <c r="J647" s="98">
        <f t="shared" si="20"/>
        <v>1135249</v>
      </c>
      <c r="O647" s="99">
        <f t="shared" si="21"/>
        <v>0</v>
      </c>
    </row>
    <row r="648" spans="1:15" hidden="1">
      <c r="A648" s="1">
        <v>80</v>
      </c>
      <c r="B648" s="1">
        <v>7410</v>
      </c>
      <c r="C648" s="13" t="s">
        <v>662</v>
      </c>
      <c r="D648" s="4" t="s">
        <v>661</v>
      </c>
      <c r="F648" s="22">
        <v>251</v>
      </c>
      <c r="G648" s="80">
        <v>1635745</v>
      </c>
      <c r="I648" s="80">
        <v>42615</v>
      </c>
      <c r="J648" s="98">
        <f t="shared" si="20"/>
        <v>1678360</v>
      </c>
      <c r="L648" s="80">
        <v>701118</v>
      </c>
      <c r="O648" s="99">
        <f t="shared" si="21"/>
        <v>701118</v>
      </c>
    </row>
    <row r="649" spans="1:15" hidden="1">
      <c r="A649" s="1">
        <v>80</v>
      </c>
      <c r="B649" s="1">
        <v>7420</v>
      </c>
      <c r="C649" s="13" t="s">
        <v>582</v>
      </c>
      <c r="D649" s="4" t="s">
        <v>581</v>
      </c>
      <c r="F649" s="22">
        <v>354</v>
      </c>
      <c r="G649" s="80">
        <v>2697950</v>
      </c>
      <c r="I649" s="80">
        <v>35825</v>
      </c>
      <c r="J649" s="98">
        <f t="shared" si="20"/>
        <v>2733775</v>
      </c>
      <c r="O649" s="99">
        <f t="shared" si="21"/>
        <v>0</v>
      </c>
    </row>
    <row r="650" spans="1:15" hidden="1">
      <c r="A650" s="1">
        <v>80</v>
      </c>
      <c r="B650" s="1">
        <v>7500</v>
      </c>
      <c r="C650" s="13" t="s">
        <v>584</v>
      </c>
      <c r="D650" s="4" t="s">
        <v>583</v>
      </c>
      <c r="F650" s="22">
        <v>106</v>
      </c>
      <c r="G650" s="80">
        <v>222518</v>
      </c>
      <c r="I650" s="80">
        <v>9794</v>
      </c>
      <c r="J650" s="98">
        <f t="shared" si="20"/>
        <v>232312</v>
      </c>
      <c r="O650" s="99">
        <f t="shared" si="21"/>
        <v>0</v>
      </c>
    </row>
    <row r="651" spans="1:15" hidden="1">
      <c r="A651" s="1">
        <v>80</v>
      </c>
      <c r="B651" s="1">
        <v>7503</v>
      </c>
      <c r="C651" s="26" t="s">
        <v>548</v>
      </c>
      <c r="D651" s="4" t="s">
        <v>585</v>
      </c>
      <c r="F651" s="22">
        <v>397</v>
      </c>
      <c r="G651" s="80">
        <v>799123</v>
      </c>
      <c r="I651" s="80">
        <v>15914</v>
      </c>
      <c r="J651" s="98">
        <f t="shared" si="20"/>
        <v>815037</v>
      </c>
      <c r="O651" s="99">
        <f t="shared" si="21"/>
        <v>0</v>
      </c>
    </row>
    <row r="652" spans="1:15" hidden="1">
      <c r="A652" s="1">
        <v>80</v>
      </c>
      <c r="B652" s="1">
        <v>7520</v>
      </c>
      <c r="C652" s="13" t="s">
        <v>587</v>
      </c>
      <c r="D652" s="4" t="s">
        <v>586</v>
      </c>
      <c r="F652" s="22">
        <v>555</v>
      </c>
      <c r="G652" s="80">
        <v>1649922</v>
      </c>
      <c r="I652" s="80">
        <v>49669</v>
      </c>
      <c r="J652" s="98">
        <f t="shared" si="20"/>
        <v>1699591</v>
      </c>
      <c r="O652" s="99">
        <f t="shared" si="21"/>
        <v>0</v>
      </c>
    </row>
    <row r="653" spans="1:15" hidden="1">
      <c r="A653" s="1">
        <v>80</v>
      </c>
      <c r="B653" s="1">
        <v>7540</v>
      </c>
      <c r="C653" s="13" t="s">
        <v>589</v>
      </c>
      <c r="D653" s="4" t="s">
        <v>588</v>
      </c>
      <c r="F653" s="22">
        <v>290</v>
      </c>
      <c r="G653" s="80">
        <v>2397684</v>
      </c>
      <c r="I653" s="80">
        <v>13753</v>
      </c>
      <c r="J653" s="98">
        <f t="shared" si="20"/>
        <v>2411437</v>
      </c>
      <c r="O653" s="99">
        <f t="shared" si="21"/>
        <v>0</v>
      </c>
    </row>
    <row r="654" spans="1:15" hidden="1">
      <c r="A654" s="1">
        <v>80</v>
      </c>
      <c r="B654" s="1">
        <v>7600</v>
      </c>
      <c r="C654" s="14" t="s">
        <v>659</v>
      </c>
      <c r="D654" s="15" t="s">
        <v>590</v>
      </c>
      <c r="F654" s="15">
        <v>242</v>
      </c>
      <c r="G654" s="80">
        <v>504808</v>
      </c>
      <c r="I654" s="80">
        <v>39170</v>
      </c>
      <c r="J654" s="98">
        <f t="shared" si="20"/>
        <v>543978</v>
      </c>
      <c r="O654" s="99">
        <f t="shared" si="21"/>
        <v>0</v>
      </c>
    </row>
    <row r="655" spans="1:15" hidden="1">
      <c r="A655" s="1">
        <v>80</v>
      </c>
      <c r="B655" s="1">
        <v>7720</v>
      </c>
      <c r="C655" s="13" t="s">
        <v>592</v>
      </c>
      <c r="D655" s="4" t="s">
        <v>591</v>
      </c>
      <c r="F655" s="22">
        <v>156</v>
      </c>
      <c r="G655" s="80">
        <v>1288310</v>
      </c>
      <c r="I655" s="80">
        <v>27642</v>
      </c>
      <c r="J655" s="98">
        <f t="shared" si="20"/>
        <v>1315952</v>
      </c>
      <c r="O655" s="99">
        <f t="shared" si="21"/>
        <v>0</v>
      </c>
    </row>
    <row r="656" spans="1:15" hidden="1">
      <c r="A656" s="1">
        <v>80</v>
      </c>
      <c r="B656" s="1">
        <v>7727</v>
      </c>
      <c r="C656" s="26" t="s">
        <v>594</v>
      </c>
      <c r="D656" s="4" t="s">
        <v>593</v>
      </c>
      <c r="F656" s="22">
        <v>100</v>
      </c>
      <c r="G656" s="80">
        <v>815095</v>
      </c>
      <c r="I656" s="80">
        <v>16658</v>
      </c>
      <c r="J656" s="98">
        <f t="shared" si="20"/>
        <v>831753</v>
      </c>
      <c r="O656" s="99">
        <f t="shared" si="21"/>
        <v>0</v>
      </c>
    </row>
    <row r="657" spans="1:15" hidden="1">
      <c r="A657" s="1">
        <v>80</v>
      </c>
      <c r="B657" s="1">
        <v>7730</v>
      </c>
      <c r="C657" s="16" t="s">
        <v>667</v>
      </c>
      <c r="D657" s="17" t="s">
        <v>595</v>
      </c>
      <c r="F657" s="17">
        <v>450</v>
      </c>
      <c r="G657" s="80">
        <v>796237</v>
      </c>
      <c r="I657" s="80">
        <v>85426</v>
      </c>
      <c r="J657" s="98">
        <f t="shared" si="20"/>
        <v>881663</v>
      </c>
      <c r="L657" s="80">
        <v>2505594</v>
      </c>
      <c r="O657" s="99">
        <f t="shared" si="21"/>
        <v>2505594</v>
      </c>
    </row>
    <row r="658" spans="1:15" hidden="1">
      <c r="A658" s="1">
        <v>80</v>
      </c>
      <c r="B658" s="1">
        <v>7735</v>
      </c>
      <c r="C658" s="16" t="s">
        <v>667</v>
      </c>
      <c r="D658" s="17" t="s">
        <v>577</v>
      </c>
      <c r="F658" s="17">
        <v>112</v>
      </c>
      <c r="G658" s="80">
        <v>211828</v>
      </c>
      <c r="I658" s="80">
        <v>6789</v>
      </c>
      <c r="J658" s="98">
        <f t="shared" si="20"/>
        <v>218617</v>
      </c>
      <c r="M658" s="80">
        <v>666580</v>
      </c>
      <c r="O658" s="99">
        <f t="shared" si="21"/>
        <v>666580</v>
      </c>
    </row>
    <row r="659" spans="1:15" hidden="1">
      <c r="A659" s="1">
        <v>80</v>
      </c>
      <c r="B659" s="1">
        <v>7820</v>
      </c>
      <c r="C659" s="2" t="s">
        <v>657</v>
      </c>
      <c r="D659" s="7" t="s">
        <v>596</v>
      </c>
      <c r="F659" s="7">
        <v>165</v>
      </c>
      <c r="I659" s="80">
        <v>40353</v>
      </c>
      <c r="J659" s="98">
        <f t="shared" si="20"/>
        <v>40353</v>
      </c>
      <c r="L659" s="80">
        <v>2267098</v>
      </c>
      <c r="O659" s="99">
        <f t="shared" si="21"/>
        <v>2267098</v>
      </c>
    </row>
    <row r="660" spans="1:15" hidden="1">
      <c r="A660" s="1">
        <v>80</v>
      </c>
      <c r="B660" s="1">
        <v>7830</v>
      </c>
      <c r="C660" s="2" t="s">
        <v>657</v>
      </c>
      <c r="D660" s="7" t="s">
        <v>597</v>
      </c>
      <c r="F660" s="7">
        <v>201</v>
      </c>
      <c r="G660" s="80">
        <v>478366</v>
      </c>
      <c r="I660" s="80">
        <v>23573</v>
      </c>
      <c r="J660" s="98">
        <f t="shared" si="20"/>
        <v>501939</v>
      </c>
      <c r="O660" s="99">
        <f t="shared" si="21"/>
        <v>0</v>
      </c>
    </row>
    <row r="661" spans="1:15" hidden="1">
      <c r="A661" s="1">
        <v>80</v>
      </c>
      <c r="B661" s="1">
        <v>7850</v>
      </c>
      <c r="C661" s="13" t="s">
        <v>599</v>
      </c>
      <c r="D661" s="4" t="s">
        <v>598</v>
      </c>
      <c r="F661" s="4">
        <v>100</v>
      </c>
      <c r="G661" s="80">
        <v>649812</v>
      </c>
      <c r="I661" s="80">
        <v>1417</v>
      </c>
      <c r="J661" s="98">
        <f t="shared" si="20"/>
        <v>651229</v>
      </c>
      <c r="O661" s="99">
        <f t="shared" si="21"/>
        <v>0</v>
      </c>
    </row>
    <row r="662" spans="1:15" hidden="1">
      <c r="A662" s="1">
        <v>80</v>
      </c>
      <c r="B662" s="1">
        <v>7890</v>
      </c>
      <c r="C662" s="13" t="s">
        <v>602</v>
      </c>
      <c r="D662" s="4" t="s">
        <v>601</v>
      </c>
      <c r="F662" s="4">
        <v>240</v>
      </c>
      <c r="G662" s="80">
        <v>1926615</v>
      </c>
      <c r="I662" s="80">
        <v>85237</v>
      </c>
      <c r="J662" s="98">
        <f t="shared" si="20"/>
        <v>2011852</v>
      </c>
      <c r="O662" s="99">
        <f t="shared" si="21"/>
        <v>0</v>
      </c>
    </row>
    <row r="663" spans="1:15" hidden="1">
      <c r="A663" s="1">
        <v>80</v>
      </c>
      <c r="B663" s="1">
        <v>7901</v>
      </c>
      <c r="C663" s="18" t="s">
        <v>673</v>
      </c>
      <c r="D663" s="19" t="s">
        <v>603</v>
      </c>
      <c r="F663" s="19">
        <v>621</v>
      </c>
      <c r="G663" s="80">
        <v>867053</v>
      </c>
      <c r="I663" s="80">
        <v>62147</v>
      </c>
      <c r="J663" s="98">
        <f t="shared" si="20"/>
        <v>929200</v>
      </c>
      <c r="O663" s="99">
        <f t="shared" si="21"/>
        <v>0</v>
      </c>
    </row>
    <row r="664" spans="1:15" hidden="1">
      <c r="A664" s="1">
        <v>80</v>
      </c>
      <c r="B664" s="1">
        <v>8010</v>
      </c>
      <c r="C664" s="26" t="s">
        <v>659</v>
      </c>
      <c r="D664" s="4" t="s">
        <v>604</v>
      </c>
      <c r="F664" s="21"/>
      <c r="G664" s="80">
        <v>366174</v>
      </c>
      <c r="I664" s="80">
        <v>92489</v>
      </c>
      <c r="J664" s="98">
        <f t="shared" si="20"/>
        <v>458663</v>
      </c>
      <c r="O664" s="99">
        <f t="shared" si="21"/>
        <v>0</v>
      </c>
    </row>
    <row r="665" spans="1:15" hidden="1">
      <c r="A665" s="1">
        <v>80</v>
      </c>
      <c r="B665" s="1">
        <v>8050</v>
      </c>
      <c r="C665" s="13" t="s">
        <v>606</v>
      </c>
      <c r="D665" s="4" t="s">
        <v>605</v>
      </c>
      <c r="F665" s="4">
        <v>102</v>
      </c>
      <c r="G665" s="80">
        <v>756099</v>
      </c>
      <c r="I665" s="80">
        <v>12099</v>
      </c>
      <c r="J665" s="98">
        <f t="shared" si="20"/>
        <v>768198</v>
      </c>
      <c r="O665" s="99">
        <f t="shared" si="21"/>
        <v>0</v>
      </c>
    </row>
    <row r="666" spans="1:15" hidden="1">
      <c r="A666" s="1">
        <v>80</v>
      </c>
      <c r="B666" s="1">
        <v>8060</v>
      </c>
      <c r="C666" s="2" t="s">
        <v>657</v>
      </c>
      <c r="D666" s="7" t="s">
        <v>607</v>
      </c>
      <c r="F666" s="7">
        <v>405</v>
      </c>
      <c r="G666" s="80">
        <v>1075653</v>
      </c>
      <c r="I666" s="80">
        <v>54107</v>
      </c>
      <c r="J666" s="98">
        <f t="shared" si="20"/>
        <v>1129760</v>
      </c>
      <c r="O666" s="99">
        <f t="shared" si="21"/>
        <v>0</v>
      </c>
    </row>
    <row r="667" spans="1:15" hidden="1">
      <c r="A667" s="1">
        <v>80</v>
      </c>
      <c r="B667" s="1">
        <v>8065</v>
      </c>
      <c r="C667" s="20" t="s">
        <v>667</v>
      </c>
      <c r="D667" s="4" t="s">
        <v>608</v>
      </c>
      <c r="F667" s="4">
        <v>114</v>
      </c>
      <c r="G667" s="80">
        <v>154971</v>
      </c>
      <c r="I667" s="80">
        <v>7333</v>
      </c>
      <c r="J667" s="98">
        <f t="shared" si="20"/>
        <v>162304</v>
      </c>
      <c r="O667" s="99">
        <f t="shared" si="21"/>
        <v>0</v>
      </c>
    </row>
    <row r="668" spans="1:15" hidden="1">
      <c r="A668" s="1">
        <v>80</v>
      </c>
      <c r="B668" s="1">
        <v>8140</v>
      </c>
      <c r="C668" s="18" t="s">
        <v>673</v>
      </c>
      <c r="D668" s="19" t="s">
        <v>609</v>
      </c>
      <c r="F668" s="19">
        <v>355</v>
      </c>
      <c r="G668" s="80">
        <v>522148</v>
      </c>
      <c r="I668" s="80">
        <v>105218</v>
      </c>
      <c r="J668" s="98">
        <f t="shared" si="20"/>
        <v>627366</v>
      </c>
      <c r="O668" s="99">
        <f t="shared" si="21"/>
        <v>0</v>
      </c>
    </row>
    <row r="669" spans="1:15" ht="25.5" hidden="1" customHeight="1">
      <c r="A669" s="2"/>
      <c r="B669" s="2"/>
      <c r="C669" s="2"/>
      <c r="D669" s="7"/>
      <c r="F669" s="7"/>
    </row>
    <row r="670" spans="1:15" hidden="1"/>
    <row r="671" spans="1:15" hidden="1">
      <c r="C671" s="13" t="s">
        <v>504</v>
      </c>
      <c r="D671" s="13"/>
      <c r="F671" s="13"/>
    </row>
    <row r="672" spans="1:15" hidden="1">
      <c r="C672" s="20" t="s">
        <v>503</v>
      </c>
      <c r="D672" s="20"/>
      <c r="F672" s="20"/>
    </row>
    <row r="673" spans="3:3" hidden="1">
      <c r="C673" t="s">
        <v>825</v>
      </c>
    </row>
  </sheetData>
  <autoFilter ref="A1:O673">
    <filterColumn colId="3">
      <filters>
        <filter val="PRINCETON REGIONAL"/>
      </filters>
    </filterColumn>
  </autoFilter>
  <phoneticPr fontId="2" type="noConversion"/>
  <pageMargins left="0.75" right="0.75" top="1" bottom="1" header="0.5" footer="0.5"/>
  <headerFooter alignWithMargins="0"/>
  <legacyDrawing r:id="rId1"/>
  <extLst>
    <ext xmlns:mx="http://schemas.microsoft.com/office/mac/excel/2008/main" uri="http://schemas.microsoft.com/office/mac/excel/2008/main">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EK666"/>
  <sheetViews>
    <sheetView topLeftCell="AA1" workbookViewId="0">
      <selection activeCell="AK469" sqref="AK469"/>
    </sheetView>
  </sheetViews>
  <sheetFormatPr baseColWidth="10" defaultColWidth="8.7109375" defaultRowHeight="13"/>
  <cols>
    <col min="4" max="4" width="33.85546875" customWidth="1"/>
    <col min="17" max="17" width="14" customWidth="1"/>
    <col min="141" max="141" width="8.7109375" style="2"/>
  </cols>
  <sheetData>
    <row r="1" spans="1:140">
      <c r="A1" s="1" t="s">
        <v>1628</v>
      </c>
      <c r="B1" s="1" t="s">
        <v>1629</v>
      </c>
      <c r="C1" s="1" t="s">
        <v>1761</v>
      </c>
      <c r="D1" s="1" t="s">
        <v>1762</v>
      </c>
      <c r="E1" s="1" t="s">
        <v>1630</v>
      </c>
      <c r="F1" s="1" t="s">
        <v>1631</v>
      </c>
      <c r="G1" s="1" t="s">
        <v>1632</v>
      </c>
      <c r="H1" s="1" t="s">
        <v>1633</v>
      </c>
      <c r="I1" s="1" t="s">
        <v>1634</v>
      </c>
      <c r="J1" s="1" t="s">
        <v>1635</v>
      </c>
      <c r="K1" s="1" t="s">
        <v>1636</v>
      </c>
      <c r="L1" s="1" t="s">
        <v>1637</v>
      </c>
      <c r="M1" s="1" t="s">
        <v>1638</v>
      </c>
      <c r="N1" s="1" t="s">
        <v>1639</v>
      </c>
      <c r="O1" s="1" t="s">
        <v>1640</v>
      </c>
      <c r="P1" s="1" t="s">
        <v>1641</v>
      </c>
      <c r="Q1" s="1" t="s">
        <v>1642</v>
      </c>
      <c r="R1" s="1" t="s">
        <v>1643</v>
      </c>
      <c r="S1" s="1" t="s">
        <v>1644</v>
      </c>
      <c r="T1" s="1" t="s">
        <v>1645</v>
      </c>
      <c r="U1" s="1" t="s">
        <v>1646</v>
      </c>
      <c r="V1" s="1" t="s">
        <v>1647</v>
      </c>
      <c r="W1" s="1" t="s">
        <v>1648</v>
      </c>
      <c r="X1" s="1" t="s">
        <v>1649</v>
      </c>
      <c r="Y1" s="1" t="s">
        <v>1650</v>
      </c>
      <c r="Z1" s="1" t="s">
        <v>1651</v>
      </c>
      <c r="AA1" s="1" t="s">
        <v>1652</v>
      </c>
      <c r="AB1" s="1" t="s">
        <v>1653</v>
      </c>
      <c r="AC1" s="1" t="s">
        <v>1654</v>
      </c>
      <c r="AD1" s="1" t="s">
        <v>1655</v>
      </c>
      <c r="AE1" s="1" t="s">
        <v>1656</v>
      </c>
      <c r="AF1" s="1" t="s">
        <v>1657</v>
      </c>
      <c r="AG1" s="1" t="s">
        <v>1658</v>
      </c>
      <c r="AH1" s="1" t="s">
        <v>1659</v>
      </c>
      <c r="AI1" s="1" t="s">
        <v>1660</v>
      </c>
      <c r="AJ1" s="1" t="s">
        <v>1661</v>
      </c>
      <c r="AK1" s="1" t="s">
        <v>1662</v>
      </c>
      <c r="AL1" s="1" t="s">
        <v>1663</v>
      </c>
      <c r="AM1" s="1" t="s">
        <v>1664</v>
      </c>
      <c r="AN1" s="1" t="s">
        <v>1665</v>
      </c>
      <c r="AO1" s="1" t="s">
        <v>1666</v>
      </c>
      <c r="AP1" s="1" t="s">
        <v>1667</v>
      </c>
      <c r="AQ1" s="1" t="s">
        <v>1668</v>
      </c>
      <c r="AR1" s="1" t="s">
        <v>1669</v>
      </c>
      <c r="AS1" s="1" t="s">
        <v>1670</v>
      </c>
      <c r="AT1" s="1" t="s">
        <v>1671</v>
      </c>
      <c r="AU1" s="1" t="s">
        <v>1672</v>
      </c>
      <c r="AV1" s="1" t="s">
        <v>1673</v>
      </c>
      <c r="AW1" s="1" t="s">
        <v>1674</v>
      </c>
      <c r="AX1" s="1" t="s">
        <v>1675</v>
      </c>
      <c r="AY1" s="1" t="s">
        <v>1676</v>
      </c>
      <c r="AZ1" s="1" t="s">
        <v>1677</v>
      </c>
      <c r="BA1" s="1" t="s">
        <v>1678</v>
      </c>
      <c r="BB1" s="1" t="s">
        <v>1679</v>
      </c>
      <c r="BC1" s="1" t="s">
        <v>1680</v>
      </c>
      <c r="BD1" s="1" t="s">
        <v>1681</v>
      </c>
      <c r="BE1" s="1" t="s">
        <v>1682</v>
      </c>
      <c r="BF1" s="1" t="s">
        <v>1683</v>
      </c>
      <c r="BG1" s="1" t="s">
        <v>1684</v>
      </c>
      <c r="BH1" s="1" t="s">
        <v>1685</v>
      </c>
      <c r="BI1" s="1" t="s">
        <v>1686</v>
      </c>
      <c r="BJ1" s="1" t="s">
        <v>1687</v>
      </c>
      <c r="BK1" s="1" t="s">
        <v>1688</v>
      </c>
      <c r="BL1" s="1" t="s">
        <v>1689</v>
      </c>
      <c r="BM1" s="1" t="s">
        <v>1690</v>
      </c>
      <c r="BN1" s="1" t="s">
        <v>1691</v>
      </c>
      <c r="BO1" s="1" t="s">
        <v>1692</v>
      </c>
      <c r="BP1" s="1" t="s">
        <v>1693</v>
      </c>
      <c r="BQ1" s="1" t="s">
        <v>1694</v>
      </c>
      <c r="BR1" s="1" t="s">
        <v>1695</v>
      </c>
      <c r="BS1" s="1" t="s">
        <v>1696</v>
      </c>
      <c r="BT1" s="1" t="s">
        <v>1697</v>
      </c>
      <c r="BU1" s="1" t="s">
        <v>1698</v>
      </c>
      <c r="BV1" s="1" t="s">
        <v>1699</v>
      </c>
      <c r="BW1" s="1" t="s">
        <v>1700</v>
      </c>
      <c r="BX1" s="1" t="s">
        <v>1701</v>
      </c>
      <c r="BY1" s="1" t="s">
        <v>1702</v>
      </c>
      <c r="BZ1" s="1" t="s">
        <v>1703</v>
      </c>
      <c r="CA1" s="1" t="s">
        <v>1704</v>
      </c>
      <c r="CB1" s="1" t="s">
        <v>1705</v>
      </c>
      <c r="CC1" s="1" t="s">
        <v>1706</v>
      </c>
      <c r="CD1" s="1" t="s">
        <v>1707</v>
      </c>
      <c r="CE1" s="1" t="s">
        <v>1708</v>
      </c>
      <c r="CF1" s="1" t="s">
        <v>1709</v>
      </c>
      <c r="CG1" s="1" t="s">
        <v>1710</v>
      </c>
      <c r="CH1" s="1" t="s">
        <v>1711</v>
      </c>
      <c r="CI1" s="1" t="s">
        <v>1712</v>
      </c>
      <c r="CJ1" s="1" t="s">
        <v>1713</v>
      </c>
      <c r="CK1" s="1" t="s">
        <v>1714</v>
      </c>
      <c r="CL1" s="1" t="s">
        <v>1715</v>
      </c>
      <c r="CM1" s="1" t="s">
        <v>1716</v>
      </c>
      <c r="CN1" s="1" t="s">
        <v>1717</v>
      </c>
      <c r="CO1" s="1" t="s">
        <v>1718</v>
      </c>
      <c r="CP1" s="1" t="s">
        <v>1719</v>
      </c>
      <c r="CQ1" s="1" t="s">
        <v>1720</v>
      </c>
      <c r="CR1" s="1" t="s">
        <v>1721</v>
      </c>
      <c r="CS1" s="1" t="s">
        <v>1722</v>
      </c>
      <c r="CT1" s="1" t="s">
        <v>1723</v>
      </c>
      <c r="CU1" s="1" t="s">
        <v>1724</v>
      </c>
      <c r="CV1" s="1" t="s">
        <v>1725</v>
      </c>
      <c r="CW1" s="1" t="s">
        <v>1726</v>
      </c>
      <c r="CX1" s="1" t="s">
        <v>1727</v>
      </c>
      <c r="CY1" s="1" t="s">
        <v>1728</v>
      </c>
      <c r="CZ1" s="1" t="s">
        <v>1729</v>
      </c>
      <c r="DA1" s="1" t="s">
        <v>1730</v>
      </c>
      <c r="DB1" s="1" t="s">
        <v>1731</v>
      </c>
      <c r="DC1" s="1" t="s">
        <v>1732</v>
      </c>
      <c r="DD1" s="1" t="s">
        <v>1733</v>
      </c>
      <c r="DE1" s="1" t="s">
        <v>1734</v>
      </c>
      <c r="DF1" s="1" t="s">
        <v>1735</v>
      </c>
      <c r="DG1" s="1" t="s">
        <v>1736</v>
      </c>
      <c r="DH1" s="1" t="s">
        <v>1737</v>
      </c>
      <c r="DI1" s="1" t="s">
        <v>1738</v>
      </c>
      <c r="DJ1" s="1" t="s">
        <v>1739</v>
      </c>
      <c r="DK1" s="1" t="s">
        <v>1740</v>
      </c>
      <c r="DL1" s="1" t="s">
        <v>1741</v>
      </c>
      <c r="DM1" s="1" t="s">
        <v>1742</v>
      </c>
      <c r="DN1" s="1" t="s">
        <v>1743</v>
      </c>
      <c r="DO1" s="1" t="s">
        <v>1744</v>
      </c>
      <c r="DP1" s="1" t="s">
        <v>1745</v>
      </c>
      <c r="DQ1" s="1" t="s">
        <v>1746</v>
      </c>
      <c r="DR1" s="1" t="s">
        <v>1747</v>
      </c>
      <c r="DS1" s="1" t="s">
        <v>1748</v>
      </c>
      <c r="DT1" s="1" t="s">
        <v>1749</v>
      </c>
      <c r="DU1" s="1" t="s">
        <v>1750</v>
      </c>
      <c r="DV1" s="1" t="s">
        <v>1751</v>
      </c>
      <c r="DW1" s="1" t="s">
        <v>1752</v>
      </c>
      <c r="DX1" s="1" t="s">
        <v>1753</v>
      </c>
      <c r="DY1" s="1" t="s">
        <v>1754</v>
      </c>
      <c r="DZ1" s="1" t="s">
        <v>1755</v>
      </c>
      <c r="EA1" s="1" t="s">
        <v>1756</v>
      </c>
      <c r="EB1" s="1" t="s">
        <v>1757</v>
      </c>
      <c r="EC1" s="1" t="s">
        <v>1758</v>
      </c>
      <c r="ED1" s="1" t="s">
        <v>1759</v>
      </c>
      <c r="EE1" s="1" t="s">
        <v>1760</v>
      </c>
      <c r="EF1" s="1" t="s">
        <v>1763</v>
      </c>
      <c r="EG1" s="1" t="s">
        <v>1764</v>
      </c>
      <c r="EH1" s="1" t="s">
        <v>1765</v>
      </c>
      <c r="EI1" s="1" t="s">
        <v>1766</v>
      </c>
      <c r="EJ1" s="1" t="s">
        <v>1767</v>
      </c>
    </row>
    <row r="2" spans="1:140">
      <c r="A2" s="1">
        <v>1</v>
      </c>
      <c r="B2" s="1">
        <v>10</v>
      </c>
      <c r="C2" s="1" t="s">
        <v>1768</v>
      </c>
      <c r="D2" s="1" t="s">
        <v>1769</v>
      </c>
      <c r="E2" s="1">
        <v>35200</v>
      </c>
      <c r="F2" s="1">
        <v>800</v>
      </c>
      <c r="G2" s="1">
        <v>22986</v>
      </c>
      <c r="H2" s="1">
        <v>145750</v>
      </c>
      <c r="I2" s="1">
        <v>515706</v>
      </c>
      <c r="J2" s="1">
        <v>720442</v>
      </c>
      <c r="K2" s="1">
        <v>186685</v>
      </c>
      <c r="L2" s="1">
        <v>32594</v>
      </c>
      <c r="M2" s="1">
        <v>38022</v>
      </c>
      <c r="N2" s="1">
        <v>841</v>
      </c>
      <c r="O2" s="1">
        <v>258142</v>
      </c>
      <c r="P2" s="1">
        <v>341</v>
      </c>
      <c r="Q2" s="1">
        <v>8172525</v>
      </c>
      <c r="R2" s="1">
        <v>52188</v>
      </c>
      <c r="S2" s="1">
        <v>52188</v>
      </c>
      <c r="T2" s="1">
        <v>5834</v>
      </c>
      <c r="U2" s="1">
        <v>25895</v>
      </c>
      <c r="V2" s="1">
        <v>71494</v>
      </c>
      <c r="W2" s="1">
        <v>8327936</v>
      </c>
      <c r="X2" s="1">
        <v>344397</v>
      </c>
      <c r="Y2" s="1">
        <v>139638</v>
      </c>
      <c r="Z2" s="1">
        <v>656131</v>
      </c>
      <c r="AA2" s="1">
        <v>54842</v>
      </c>
      <c r="AB2" s="1">
        <v>9607</v>
      </c>
      <c r="AC2" s="1">
        <v>147092</v>
      </c>
      <c r="AD2" s="1">
        <v>860745</v>
      </c>
      <c r="AE2" s="1">
        <v>371687</v>
      </c>
      <c r="AF2" s="1">
        <v>5397</v>
      </c>
      <c r="AG2" s="1">
        <v>2589536</v>
      </c>
      <c r="AH2" s="1">
        <v>10917813</v>
      </c>
      <c r="AI2" s="1">
        <v>35811</v>
      </c>
      <c r="AJ2" s="1">
        <v>406322</v>
      </c>
      <c r="AK2" s="1">
        <v>442133</v>
      </c>
      <c r="AL2" s="1">
        <v>144655</v>
      </c>
      <c r="AM2" s="1">
        <v>244547</v>
      </c>
      <c r="AN2" s="1">
        <v>59446</v>
      </c>
      <c r="AO2" s="1">
        <v>448648</v>
      </c>
      <c r="AP2" s="1">
        <v>890781</v>
      </c>
      <c r="AQ2" s="1">
        <v>1134135</v>
      </c>
      <c r="AR2" s="1">
        <v>1817</v>
      </c>
      <c r="AS2" s="1">
        <v>1817</v>
      </c>
      <c r="AT2" s="1">
        <v>1135952</v>
      </c>
      <c r="AU2" s="1">
        <v>91394</v>
      </c>
      <c r="AV2" s="1">
        <v>1227346</v>
      </c>
      <c r="AW2" s="1">
        <v>1227346</v>
      </c>
      <c r="AX2" s="1">
        <v>341</v>
      </c>
      <c r="AY2" s="1">
        <v>-341</v>
      </c>
      <c r="AZ2" s="1">
        <v>14014524</v>
      </c>
    </row>
    <row r="3" spans="1:140">
      <c r="A3" s="1">
        <v>1</v>
      </c>
      <c r="B3" s="1">
        <v>110</v>
      </c>
      <c r="C3" s="1" t="s">
        <v>1768</v>
      </c>
      <c r="D3" s="1" t="s">
        <v>1770</v>
      </c>
      <c r="F3" s="1">
        <v>3780064</v>
      </c>
      <c r="G3" s="1">
        <v>5258723</v>
      </c>
      <c r="H3" s="1">
        <v>3595885</v>
      </c>
      <c r="I3" s="1">
        <v>505000</v>
      </c>
      <c r="J3" s="1">
        <v>14840068</v>
      </c>
      <c r="K3" s="1">
        <v>2682970</v>
      </c>
      <c r="M3" s="1">
        <v>737864</v>
      </c>
      <c r="N3" s="1">
        <v>30041</v>
      </c>
      <c r="O3" s="1">
        <v>3450875</v>
      </c>
      <c r="Q3" s="1">
        <v>93056124</v>
      </c>
      <c r="S3" s="1">
        <v>11635011</v>
      </c>
      <c r="V3" s="1">
        <v>2460789</v>
      </c>
      <c r="W3" s="1">
        <v>107151924</v>
      </c>
      <c r="Y3" s="1">
        <v>1042992</v>
      </c>
      <c r="Z3" s="1">
        <v>5304073</v>
      </c>
      <c r="AA3" s="1">
        <v>910558</v>
      </c>
      <c r="AB3" s="1">
        <v>202806</v>
      </c>
      <c r="AC3" s="1">
        <v>749710</v>
      </c>
      <c r="AD3" s="1">
        <v>6726159</v>
      </c>
      <c r="AE3" s="1">
        <v>3691269</v>
      </c>
      <c r="AG3" s="1">
        <v>19698097</v>
      </c>
      <c r="AH3" s="1">
        <v>126878654</v>
      </c>
      <c r="AJ3" s="1">
        <v>229570</v>
      </c>
      <c r="AK3" s="1">
        <v>9461606</v>
      </c>
      <c r="AL3" s="1">
        <v>3730927</v>
      </c>
      <c r="AM3" s="1">
        <v>2312622</v>
      </c>
      <c r="AN3" s="1">
        <v>3125142</v>
      </c>
      <c r="AO3" s="1">
        <v>9266420</v>
      </c>
      <c r="AP3" s="1">
        <v>18728026</v>
      </c>
      <c r="AQ3" s="1">
        <v>11534220</v>
      </c>
      <c r="AT3" s="1">
        <v>11534220</v>
      </c>
      <c r="AU3" s="1">
        <v>1034431</v>
      </c>
      <c r="AV3" s="1">
        <v>12581503</v>
      </c>
      <c r="AW3" s="1">
        <v>12581503</v>
      </c>
      <c r="AZ3" s="1">
        <v>176479126</v>
      </c>
      <c r="BA3" s="1">
        <v>1643557</v>
      </c>
      <c r="BB3" s="1">
        <v>56839</v>
      </c>
      <c r="BC3" s="1">
        <v>11635011</v>
      </c>
      <c r="BD3" s="1">
        <v>34678</v>
      </c>
      <c r="BE3" s="1">
        <v>525813</v>
      </c>
      <c r="BF3" s="1">
        <v>510039</v>
      </c>
      <c r="BG3" s="1">
        <v>28633</v>
      </c>
      <c r="BH3" s="1">
        <v>28633</v>
      </c>
      <c r="BI3" s="1">
        <v>5952147</v>
      </c>
      <c r="BJ3" s="1">
        <v>3279889</v>
      </c>
      <c r="BK3" s="1">
        <v>97729</v>
      </c>
      <c r="BL3" s="1">
        <v>3080</v>
      </c>
      <c r="BM3" s="1">
        <v>9772</v>
      </c>
    </row>
    <row r="4" spans="1:140">
      <c r="A4" s="1">
        <v>1</v>
      </c>
      <c r="B4" s="1">
        <v>120</v>
      </c>
      <c r="C4" s="1" t="s">
        <v>1768</v>
      </c>
      <c r="D4" s="1" t="s">
        <v>1771</v>
      </c>
      <c r="F4" s="1">
        <v>467596</v>
      </c>
      <c r="G4" s="1">
        <v>261575</v>
      </c>
      <c r="H4" s="1">
        <v>477914</v>
      </c>
      <c r="J4" s="1">
        <v>1207085</v>
      </c>
      <c r="K4" s="1">
        <v>520694</v>
      </c>
      <c r="L4" s="1">
        <v>149811</v>
      </c>
      <c r="O4" s="1">
        <v>670505</v>
      </c>
      <c r="V4" s="1">
        <v>339613</v>
      </c>
      <c r="W4" s="1">
        <v>6514876</v>
      </c>
      <c r="X4" s="1">
        <v>1094318</v>
      </c>
      <c r="Z4" s="1">
        <v>469855</v>
      </c>
      <c r="AC4" s="1">
        <v>20527</v>
      </c>
      <c r="AD4" s="1">
        <v>513045</v>
      </c>
      <c r="AE4" s="1">
        <v>280300</v>
      </c>
      <c r="AG4" s="1">
        <v>3750845</v>
      </c>
      <c r="AH4" s="1">
        <v>10265721</v>
      </c>
      <c r="AJ4" s="1">
        <v>99216</v>
      </c>
      <c r="AK4" s="1">
        <v>494426</v>
      </c>
      <c r="AL4" s="1">
        <v>123727</v>
      </c>
      <c r="AN4" s="1">
        <v>104821</v>
      </c>
      <c r="AO4" s="1">
        <v>564317</v>
      </c>
      <c r="AP4" s="1">
        <v>1282453</v>
      </c>
      <c r="AZ4" s="1">
        <v>14986022</v>
      </c>
      <c r="BD4" s="1">
        <v>208499</v>
      </c>
      <c r="BE4" s="1">
        <v>97652</v>
      </c>
      <c r="BJ4" s="1">
        <v>395210</v>
      </c>
      <c r="BK4" s="1">
        <v>260628</v>
      </c>
      <c r="BN4" s="1">
        <v>3624000</v>
      </c>
      <c r="BO4" s="1">
        <v>1907500</v>
      </c>
      <c r="BP4" s="1">
        <v>497926</v>
      </c>
      <c r="BQ4" s="1">
        <v>145837</v>
      </c>
      <c r="BR4" s="1">
        <v>1928</v>
      </c>
      <c r="BS4" s="1">
        <v>878471</v>
      </c>
      <c r="BT4" s="1">
        <v>186250</v>
      </c>
      <c r="BU4" s="1">
        <v>223710</v>
      </c>
      <c r="BV4" s="1">
        <v>223710</v>
      </c>
      <c r="BW4" s="1">
        <v>75141</v>
      </c>
      <c r="BX4" s="1">
        <v>1560258</v>
      </c>
      <c r="BY4" s="1">
        <v>1560258</v>
      </c>
    </row>
    <row r="5" spans="1:140">
      <c r="A5" s="1">
        <v>1</v>
      </c>
      <c r="B5" s="1">
        <v>125</v>
      </c>
      <c r="C5" s="1" t="s">
        <v>1768</v>
      </c>
      <c r="D5" s="1" t="s">
        <v>1772</v>
      </c>
      <c r="F5" s="1">
        <v>35722</v>
      </c>
      <c r="I5" s="1">
        <v>28418</v>
      </c>
      <c r="J5" s="1">
        <v>64140</v>
      </c>
      <c r="K5" s="1">
        <v>2413589</v>
      </c>
      <c r="L5" s="1">
        <v>675000</v>
      </c>
      <c r="M5" s="1">
        <v>216792</v>
      </c>
      <c r="O5" s="1">
        <v>3305381</v>
      </c>
      <c r="V5" s="1">
        <v>217626</v>
      </c>
      <c r="W5" s="1">
        <v>18544306</v>
      </c>
      <c r="AD5" s="1">
        <v>776303</v>
      </c>
      <c r="AE5" s="1">
        <v>559221</v>
      </c>
      <c r="AG5" s="1">
        <v>1335524</v>
      </c>
      <c r="AH5" s="1">
        <v>20016499</v>
      </c>
      <c r="AJ5" s="1">
        <v>201282</v>
      </c>
      <c r="AK5" s="1">
        <v>201282</v>
      </c>
      <c r="AM5" s="1">
        <v>27450</v>
      </c>
      <c r="AO5" s="1">
        <v>27450</v>
      </c>
      <c r="AP5" s="1">
        <v>267387</v>
      </c>
      <c r="AZ5" s="1">
        <v>23653407</v>
      </c>
      <c r="BH5" s="1">
        <v>136669</v>
      </c>
      <c r="BN5" s="1">
        <v>1854000</v>
      </c>
      <c r="BO5" s="1">
        <v>15458793</v>
      </c>
      <c r="BP5" s="1">
        <v>861740</v>
      </c>
      <c r="BU5" s="1">
        <v>38655</v>
      </c>
      <c r="BV5" s="1">
        <v>38655</v>
      </c>
      <c r="BZ5" s="1">
        <v>152147</v>
      </c>
      <c r="CA5" s="1">
        <v>136669</v>
      </c>
    </row>
    <row r="6" spans="1:140">
      <c r="A6" s="1">
        <v>1</v>
      </c>
      <c r="B6" s="1">
        <v>570</v>
      </c>
      <c r="C6" s="1" t="s">
        <v>1768</v>
      </c>
      <c r="D6" s="1" t="s">
        <v>1773</v>
      </c>
      <c r="G6" s="1">
        <v>1412365</v>
      </c>
      <c r="H6" s="1">
        <v>1040602</v>
      </c>
      <c r="I6" s="1">
        <v>1</v>
      </c>
      <c r="J6" s="1">
        <v>2452968</v>
      </c>
      <c r="K6" s="1">
        <v>300627</v>
      </c>
      <c r="O6" s="1">
        <v>300627</v>
      </c>
      <c r="Q6" s="1">
        <v>13665336</v>
      </c>
      <c r="V6" s="1">
        <v>189857</v>
      </c>
      <c r="W6" s="1">
        <v>13855193</v>
      </c>
      <c r="Y6" s="1">
        <v>570923</v>
      </c>
      <c r="Z6" s="1">
        <v>1168580</v>
      </c>
      <c r="AA6" s="1">
        <v>39048</v>
      </c>
      <c r="AC6" s="1">
        <v>152382</v>
      </c>
      <c r="AD6" s="1">
        <v>808384</v>
      </c>
      <c r="AE6" s="1">
        <v>455929</v>
      </c>
      <c r="AF6" s="1">
        <v>928</v>
      </c>
      <c r="AG6" s="1">
        <v>3253000</v>
      </c>
      <c r="AH6" s="1">
        <v>17108193</v>
      </c>
      <c r="AJ6" s="1">
        <v>2440</v>
      </c>
      <c r="AK6" s="1">
        <v>1054983</v>
      </c>
      <c r="AL6" s="1">
        <v>264884</v>
      </c>
      <c r="AM6" s="1">
        <v>289968</v>
      </c>
      <c r="AN6" s="1">
        <v>81077</v>
      </c>
      <c r="AO6" s="1">
        <v>635929</v>
      </c>
      <c r="AP6" s="1">
        <v>1703941</v>
      </c>
      <c r="AZ6" s="1">
        <v>21576929</v>
      </c>
      <c r="BE6" s="1">
        <v>56826</v>
      </c>
      <c r="BI6" s="1">
        <v>605498</v>
      </c>
      <c r="BJ6" s="1">
        <v>447045</v>
      </c>
      <c r="BU6" s="1">
        <v>13029</v>
      </c>
      <c r="BV6" s="1">
        <v>13029</v>
      </c>
      <c r="BX6" s="1">
        <v>11200</v>
      </c>
      <c r="BY6" s="1">
        <v>11200</v>
      </c>
    </row>
    <row r="7" spans="1:140">
      <c r="A7" s="1">
        <v>1</v>
      </c>
      <c r="B7" s="1">
        <v>590</v>
      </c>
      <c r="C7" s="1" t="s">
        <v>1768</v>
      </c>
      <c r="D7" s="1" t="s">
        <v>1774</v>
      </c>
      <c r="F7" s="1">
        <v>340556</v>
      </c>
      <c r="G7" s="1">
        <v>445245</v>
      </c>
      <c r="I7" s="1">
        <v>30742</v>
      </c>
      <c r="J7" s="1">
        <v>816543</v>
      </c>
      <c r="K7" s="1">
        <v>587426</v>
      </c>
      <c r="L7" s="1">
        <v>100000</v>
      </c>
      <c r="M7" s="1">
        <v>9880899</v>
      </c>
      <c r="N7" s="1">
        <v>126447</v>
      </c>
      <c r="O7" s="1">
        <v>10694772</v>
      </c>
      <c r="Q7" s="1">
        <v>11204236</v>
      </c>
      <c r="R7" s="1">
        <v>4026996</v>
      </c>
      <c r="S7" s="1">
        <v>4086377</v>
      </c>
      <c r="T7" s="1">
        <v>371163</v>
      </c>
      <c r="U7" s="1">
        <v>1000</v>
      </c>
      <c r="V7" s="1">
        <v>241073</v>
      </c>
      <c r="W7" s="1">
        <v>15903849</v>
      </c>
      <c r="X7" s="1">
        <v>9091917</v>
      </c>
      <c r="Y7" s="1">
        <v>964459</v>
      </c>
      <c r="Z7" s="1">
        <v>1451707</v>
      </c>
      <c r="AA7" s="1">
        <v>66540</v>
      </c>
      <c r="AB7" s="1">
        <v>31772</v>
      </c>
      <c r="AC7" s="1">
        <v>230631</v>
      </c>
      <c r="AD7" s="1">
        <v>2272723</v>
      </c>
      <c r="AE7" s="1">
        <v>1101103</v>
      </c>
      <c r="AF7" s="1">
        <v>176033</v>
      </c>
      <c r="AG7" s="1">
        <v>16112737</v>
      </c>
      <c r="AH7" s="1">
        <v>32075085</v>
      </c>
      <c r="AJ7" s="1">
        <v>359797</v>
      </c>
      <c r="AK7" s="1">
        <v>2591692</v>
      </c>
      <c r="AL7" s="1">
        <v>899513</v>
      </c>
      <c r="AM7" s="1">
        <v>930500</v>
      </c>
      <c r="AN7" s="1">
        <v>1201979</v>
      </c>
      <c r="AO7" s="1">
        <v>3031992</v>
      </c>
      <c r="AP7" s="1">
        <v>5624363</v>
      </c>
      <c r="AQ7" s="1">
        <v>816593</v>
      </c>
      <c r="AT7" s="1">
        <v>816593</v>
      </c>
      <c r="AU7" s="1">
        <v>378926</v>
      </c>
      <c r="AV7" s="1">
        <v>1815313</v>
      </c>
      <c r="AW7" s="1">
        <v>1815313</v>
      </c>
      <c r="AZ7" s="1">
        <v>51030320</v>
      </c>
      <c r="BE7" s="1">
        <v>426427</v>
      </c>
      <c r="BH7" s="1">
        <v>58499</v>
      </c>
      <c r="BI7" s="1">
        <v>1292661</v>
      </c>
      <c r="BJ7" s="1">
        <v>939234</v>
      </c>
      <c r="BL7" s="1">
        <v>619794</v>
      </c>
      <c r="BR7" s="1">
        <v>299425</v>
      </c>
      <c r="BU7" s="1">
        <v>679</v>
      </c>
      <c r="BV7" s="1">
        <v>679</v>
      </c>
      <c r="BY7" s="1">
        <v>4244</v>
      </c>
      <c r="CA7" s="1">
        <v>58499</v>
      </c>
      <c r="CB7" s="1">
        <v>59381</v>
      </c>
      <c r="CC7" s="1">
        <v>4244</v>
      </c>
    </row>
    <row r="8" spans="1:140">
      <c r="A8" s="1">
        <v>1</v>
      </c>
      <c r="B8" s="1">
        <v>960</v>
      </c>
      <c r="C8" s="1" t="s">
        <v>1768</v>
      </c>
      <c r="D8" s="1" t="s">
        <v>1775</v>
      </c>
      <c r="G8" s="1">
        <v>31243</v>
      </c>
      <c r="J8" s="1">
        <v>134348</v>
      </c>
      <c r="K8" s="1">
        <v>100000</v>
      </c>
      <c r="L8" s="1">
        <v>135807</v>
      </c>
      <c r="O8" s="1">
        <v>235807</v>
      </c>
      <c r="Q8" s="1">
        <v>763006</v>
      </c>
      <c r="V8" s="1">
        <v>5382</v>
      </c>
      <c r="W8" s="1">
        <v>858388</v>
      </c>
      <c r="X8" s="1">
        <v>418411</v>
      </c>
      <c r="Y8" s="1">
        <v>99415</v>
      </c>
      <c r="Z8" s="1">
        <v>159276</v>
      </c>
      <c r="AC8" s="1">
        <v>14483</v>
      </c>
      <c r="AD8" s="1">
        <v>24067</v>
      </c>
      <c r="AG8" s="1">
        <v>736400</v>
      </c>
      <c r="AH8" s="1">
        <v>1594788</v>
      </c>
      <c r="AZ8" s="1">
        <v>1964943</v>
      </c>
      <c r="BE8" s="1">
        <v>20748</v>
      </c>
      <c r="CD8" s="1">
        <v>103105</v>
      </c>
      <c r="CE8" s="1">
        <v>90000</v>
      </c>
    </row>
    <row r="9" spans="1:140">
      <c r="A9" s="1">
        <v>1</v>
      </c>
      <c r="B9" s="1">
        <v>1300</v>
      </c>
      <c r="C9" s="1" t="s">
        <v>1768</v>
      </c>
      <c r="D9" s="1" t="s">
        <v>1776</v>
      </c>
      <c r="F9" s="1">
        <v>46477</v>
      </c>
      <c r="G9" s="1">
        <v>356691</v>
      </c>
      <c r="H9" s="1">
        <v>184009</v>
      </c>
      <c r="I9" s="1">
        <v>22501</v>
      </c>
      <c r="J9" s="1">
        <v>759171</v>
      </c>
      <c r="K9" s="1">
        <v>123672</v>
      </c>
      <c r="N9" s="1">
        <v>2</v>
      </c>
      <c r="O9" s="1">
        <v>123674</v>
      </c>
      <c r="Q9" s="1">
        <v>1810936</v>
      </c>
      <c r="R9" s="1">
        <v>35345</v>
      </c>
      <c r="S9" s="1">
        <v>35345</v>
      </c>
      <c r="U9" s="1">
        <v>3902</v>
      </c>
      <c r="V9" s="1">
        <v>72013</v>
      </c>
      <c r="W9" s="1">
        <v>1922196</v>
      </c>
      <c r="X9" s="1">
        <v>2389741</v>
      </c>
      <c r="Y9" s="1">
        <v>62692</v>
      </c>
      <c r="Z9" s="1">
        <v>471258</v>
      </c>
      <c r="AA9" s="1">
        <v>14052</v>
      </c>
      <c r="AB9" s="1">
        <v>5724</v>
      </c>
      <c r="AC9" s="1">
        <v>59249</v>
      </c>
      <c r="AD9" s="1">
        <v>525270</v>
      </c>
      <c r="AE9" s="1">
        <v>268265</v>
      </c>
      <c r="AG9" s="1">
        <v>4526911</v>
      </c>
      <c r="AH9" s="1">
        <v>6451156</v>
      </c>
      <c r="AJ9" s="1">
        <v>210171</v>
      </c>
      <c r="AK9" s="1">
        <v>973029</v>
      </c>
      <c r="AL9" s="1">
        <v>362190</v>
      </c>
      <c r="AM9" s="1">
        <v>173141</v>
      </c>
      <c r="AN9" s="1">
        <v>877377</v>
      </c>
      <c r="AO9" s="1">
        <v>1412708</v>
      </c>
      <c r="AP9" s="1">
        <v>2385737</v>
      </c>
      <c r="AZ9" s="1">
        <v>9719738</v>
      </c>
      <c r="BA9" s="1">
        <v>149493</v>
      </c>
      <c r="BE9" s="1">
        <v>127797</v>
      </c>
      <c r="BF9" s="1">
        <v>46477</v>
      </c>
      <c r="BH9" s="1">
        <v>2049</v>
      </c>
      <c r="BI9" s="1">
        <v>498381</v>
      </c>
      <c r="BJ9" s="1">
        <v>264477</v>
      </c>
      <c r="BR9" s="1">
        <v>161942</v>
      </c>
      <c r="CA9" s="1">
        <v>2049</v>
      </c>
      <c r="CF9" s="1">
        <v>394444</v>
      </c>
    </row>
    <row r="10" spans="1:140">
      <c r="A10" s="1">
        <v>1</v>
      </c>
      <c r="B10" s="1">
        <v>1310</v>
      </c>
      <c r="C10" s="1" t="s">
        <v>1768</v>
      </c>
      <c r="D10" s="1" t="s">
        <v>1777</v>
      </c>
      <c r="F10" s="1">
        <v>1126727</v>
      </c>
      <c r="G10" s="1">
        <v>3250080</v>
      </c>
      <c r="H10" s="1">
        <v>2481057</v>
      </c>
      <c r="I10" s="1">
        <v>742211</v>
      </c>
      <c r="J10" s="1">
        <v>7605303</v>
      </c>
      <c r="K10" s="1">
        <v>2250739</v>
      </c>
      <c r="L10" s="1">
        <v>1905047</v>
      </c>
      <c r="M10" s="1">
        <v>24790608</v>
      </c>
      <c r="N10" s="1">
        <v>64370</v>
      </c>
      <c r="O10" s="1">
        <v>29010764</v>
      </c>
      <c r="Q10" s="1">
        <v>50843214</v>
      </c>
      <c r="S10" s="1">
        <v>54619</v>
      </c>
      <c r="V10" s="1">
        <v>1217010</v>
      </c>
      <c r="W10" s="1">
        <v>52114843</v>
      </c>
      <c r="X10" s="1">
        <v>20341417</v>
      </c>
      <c r="Y10" s="1">
        <v>2516475</v>
      </c>
      <c r="Z10" s="1">
        <v>4028682</v>
      </c>
      <c r="AA10" s="1">
        <v>105426</v>
      </c>
      <c r="AC10" s="1">
        <v>749168</v>
      </c>
      <c r="AD10" s="1">
        <v>4426169</v>
      </c>
      <c r="AE10" s="1">
        <v>2890602</v>
      </c>
      <c r="AG10" s="1">
        <v>37234397</v>
      </c>
      <c r="AH10" s="1">
        <v>91003659</v>
      </c>
      <c r="AI10" s="1">
        <v>333900</v>
      </c>
      <c r="AJ10" s="1">
        <v>352277</v>
      </c>
      <c r="AK10" s="1">
        <v>923816</v>
      </c>
      <c r="AL10" s="1">
        <v>596828</v>
      </c>
      <c r="AM10" s="1">
        <v>1547033</v>
      </c>
      <c r="AN10" s="1">
        <v>274331</v>
      </c>
      <c r="AO10" s="1">
        <v>2442134</v>
      </c>
      <c r="AP10" s="1">
        <v>3375797</v>
      </c>
      <c r="AQ10" s="1">
        <v>4222368</v>
      </c>
      <c r="AT10" s="1">
        <v>4222368</v>
      </c>
      <c r="AU10" s="1">
        <v>3143213</v>
      </c>
      <c r="AV10" s="1">
        <v>7365581</v>
      </c>
      <c r="AW10" s="1">
        <v>7365581</v>
      </c>
      <c r="AY10" s="1">
        <v>3057611</v>
      </c>
      <c r="AZ10" s="1">
        <v>142204715</v>
      </c>
      <c r="BA10" s="1">
        <v>5228</v>
      </c>
      <c r="BC10" s="1">
        <v>54619</v>
      </c>
      <c r="BE10" s="1">
        <v>849381</v>
      </c>
      <c r="BF10" s="1">
        <v>1327077</v>
      </c>
      <c r="BH10" s="1">
        <v>9037</v>
      </c>
      <c r="BJ10" s="1">
        <v>237639</v>
      </c>
      <c r="BK10" s="1">
        <v>23942</v>
      </c>
      <c r="BU10" s="1">
        <v>9847</v>
      </c>
      <c r="BV10" s="1">
        <v>9847</v>
      </c>
      <c r="BY10" s="1">
        <v>3843611</v>
      </c>
      <c r="CA10" s="1">
        <v>9037</v>
      </c>
      <c r="CC10" s="1">
        <v>786000</v>
      </c>
      <c r="CG10" s="1">
        <v>1645382</v>
      </c>
    </row>
    <row r="11" spans="1:140">
      <c r="A11" s="1">
        <v>1</v>
      </c>
      <c r="B11" s="1">
        <v>1410</v>
      </c>
      <c r="C11" s="1" t="s">
        <v>1768</v>
      </c>
      <c r="D11" s="1" t="s">
        <v>1778</v>
      </c>
      <c r="F11" s="1">
        <v>25287</v>
      </c>
      <c r="G11" s="1">
        <v>37697</v>
      </c>
      <c r="H11" s="1">
        <v>21081</v>
      </c>
      <c r="I11" s="1">
        <v>112696</v>
      </c>
      <c r="J11" s="1">
        <v>196761</v>
      </c>
      <c r="K11" s="1">
        <v>100000</v>
      </c>
      <c r="L11" s="1">
        <v>50000</v>
      </c>
      <c r="M11" s="1">
        <v>89042</v>
      </c>
      <c r="N11" s="1">
        <v>3755</v>
      </c>
      <c r="O11" s="1">
        <v>242797</v>
      </c>
      <c r="P11" s="1">
        <v>887</v>
      </c>
      <c r="Q11" s="1">
        <v>1934320</v>
      </c>
      <c r="U11" s="1">
        <v>4696</v>
      </c>
      <c r="V11" s="1">
        <v>22739</v>
      </c>
      <c r="W11" s="1">
        <v>1961755</v>
      </c>
      <c r="X11" s="1">
        <v>1486698</v>
      </c>
      <c r="Y11" s="1">
        <v>142144</v>
      </c>
      <c r="Z11" s="1">
        <v>214603</v>
      </c>
      <c r="AC11" s="1">
        <v>35549</v>
      </c>
      <c r="AD11" s="1">
        <v>199475</v>
      </c>
      <c r="AE11" s="1">
        <v>107599</v>
      </c>
      <c r="AG11" s="1">
        <v>2242946</v>
      </c>
      <c r="AH11" s="1">
        <v>4205588</v>
      </c>
      <c r="AI11" s="1">
        <v>19128</v>
      </c>
      <c r="AK11" s="1">
        <v>19128</v>
      </c>
      <c r="AL11" s="1">
        <v>20070</v>
      </c>
      <c r="AM11" s="1">
        <v>73136</v>
      </c>
      <c r="AN11" s="1">
        <v>35431</v>
      </c>
      <c r="AO11" s="1">
        <v>128637</v>
      </c>
      <c r="AP11" s="1">
        <v>147765</v>
      </c>
      <c r="AQ11" s="1">
        <v>152371</v>
      </c>
      <c r="AT11" s="1">
        <v>152371</v>
      </c>
      <c r="AU11" s="1">
        <v>97530</v>
      </c>
      <c r="AV11" s="1">
        <v>249901</v>
      </c>
      <c r="AW11" s="1">
        <v>249901</v>
      </c>
      <c r="AY11" s="1">
        <v>50000</v>
      </c>
      <c r="AZ11" s="1">
        <v>5092812</v>
      </c>
      <c r="BE11" s="1">
        <v>56878</v>
      </c>
      <c r="BY11" s="1">
        <v>50000</v>
      </c>
    </row>
    <row r="12" spans="1:140">
      <c r="A12" s="1">
        <v>1</v>
      </c>
      <c r="B12" s="1">
        <v>1540</v>
      </c>
      <c r="C12" s="1" t="s">
        <v>1768</v>
      </c>
      <c r="D12" s="1" t="s">
        <v>1779</v>
      </c>
      <c r="F12" s="1">
        <v>345800</v>
      </c>
      <c r="G12" s="1">
        <v>393916</v>
      </c>
      <c r="H12" s="1">
        <v>306282</v>
      </c>
      <c r="I12" s="1">
        <v>131540</v>
      </c>
      <c r="J12" s="1">
        <v>1272538</v>
      </c>
      <c r="K12" s="1">
        <v>100000</v>
      </c>
      <c r="L12" s="1">
        <v>70000</v>
      </c>
      <c r="M12" s="1">
        <v>962159</v>
      </c>
      <c r="N12" s="1">
        <v>16493</v>
      </c>
      <c r="O12" s="1">
        <v>1148652</v>
      </c>
      <c r="P12" s="1">
        <v>11766</v>
      </c>
      <c r="Q12" s="1">
        <v>1258908</v>
      </c>
      <c r="V12" s="1">
        <v>109391</v>
      </c>
      <c r="W12" s="1">
        <v>1368299</v>
      </c>
      <c r="X12" s="1">
        <v>1033381</v>
      </c>
      <c r="Y12" s="1">
        <v>205587</v>
      </c>
      <c r="Z12" s="1">
        <v>237486</v>
      </c>
      <c r="AB12" s="1">
        <v>2689</v>
      </c>
      <c r="AC12" s="1">
        <v>52446</v>
      </c>
      <c r="AD12" s="1">
        <v>290001</v>
      </c>
      <c r="AE12" s="1">
        <v>153302</v>
      </c>
      <c r="AG12" s="1">
        <v>3773112</v>
      </c>
      <c r="AH12" s="1">
        <v>5153177</v>
      </c>
      <c r="AI12" s="1">
        <v>3993</v>
      </c>
      <c r="AJ12" s="1">
        <v>1237</v>
      </c>
      <c r="AK12" s="1">
        <v>208131</v>
      </c>
      <c r="AL12" s="1">
        <v>74182</v>
      </c>
      <c r="AM12" s="1">
        <v>106314</v>
      </c>
      <c r="AN12" s="1">
        <v>33297</v>
      </c>
      <c r="AO12" s="1">
        <v>213793</v>
      </c>
      <c r="AP12" s="1">
        <v>421924</v>
      </c>
      <c r="AQ12" s="1">
        <v>228216</v>
      </c>
      <c r="AT12" s="1">
        <v>228216</v>
      </c>
      <c r="AV12" s="1">
        <v>228216</v>
      </c>
      <c r="AW12" s="1">
        <v>228216</v>
      </c>
      <c r="AY12" s="1">
        <v>163175</v>
      </c>
      <c r="AZ12" s="1">
        <v>8861887</v>
      </c>
      <c r="BB12" s="1">
        <v>95000</v>
      </c>
      <c r="BE12" s="1">
        <v>95963</v>
      </c>
      <c r="BF12" s="1">
        <v>103116</v>
      </c>
      <c r="BI12" s="1">
        <v>128018</v>
      </c>
      <c r="BJ12" s="1">
        <v>74883</v>
      </c>
      <c r="BR12" s="1">
        <v>396365</v>
      </c>
      <c r="BY12" s="1">
        <v>637380</v>
      </c>
      <c r="CH12" s="1">
        <v>1202776</v>
      </c>
      <c r="CI12" s="1">
        <v>474205</v>
      </c>
    </row>
    <row r="13" spans="1:140">
      <c r="A13" s="1">
        <v>1</v>
      </c>
      <c r="B13" s="1">
        <v>1690</v>
      </c>
      <c r="C13" s="1" t="s">
        <v>1768</v>
      </c>
      <c r="D13" s="1" t="s">
        <v>1780</v>
      </c>
      <c r="F13" s="1">
        <v>29819</v>
      </c>
      <c r="G13" s="1">
        <v>630906</v>
      </c>
      <c r="H13" s="1">
        <v>1350803</v>
      </c>
      <c r="I13" s="1">
        <v>510942</v>
      </c>
      <c r="J13" s="1">
        <v>2543714</v>
      </c>
      <c r="K13" s="1">
        <v>906382</v>
      </c>
      <c r="L13" s="1">
        <v>617326</v>
      </c>
      <c r="M13" s="1">
        <v>202679</v>
      </c>
      <c r="N13" s="1">
        <v>71001</v>
      </c>
      <c r="O13" s="1">
        <v>1797388</v>
      </c>
      <c r="P13" s="1">
        <v>166392</v>
      </c>
      <c r="Q13" s="1">
        <v>26335007</v>
      </c>
      <c r="R13" s="1">
        <v>67647</v>
      </c>
      <c r="S13" s="1">
        <v>67647</v>
      </c>
      <c r="U13" s="1">
        <v>10876</v>
      </c>
      <c r="V13" s="1">
        <v>354991</v>
      </c>
      <c r="W13" s="1">
        <v>26768521</v>
      </c>
      <c r="X13" s="1">
        <v>13410623</v>
      </c>
      <c r="Y13" s="1">
        <v>1107364</v>
      </c>
      <c r="Z13" s="1">
        <v>2223740</v>
      </c>
      <c r="AA13" s="1">
        <v>233940</v>
      </c>
      <c r="AB13" s="1">
        <v>70191</v>
      </c>
      <c r="AC13" s="1">
        <v>456764</v>
      </c>
      <c r="AD13" s="1">
        <v>2446616</v>
      </c>
      <c r="AE13" s="1">
        <v>1625712</v>
      </c>
      <c r="AF13" s="1">
        <v>41187</v>
      </c>
      <c r="AG13" s="1">
        <v>22605935</v>
      </c>
      <c r="AH13" s="1">
        <v>49545515</v>
      </c>
      <c r="AI13" s="1">
        <v>207522</v>
      </c>
      <c r="AJ13" s="1">
        <v>434300</v>
      </c>
      <c r="AK13" s="1">
        <v>659891</v>
      </c>
      <c r="AL13" s="1">
        <v>430365</v>
      </c>
      <c r="AM13" s="1">
        <v>790131</v>
      </c>
      <c r="AN13" s="1">
        <v>179128</v>
      </c>
      <c r="AO13" s="1">
        <v>1399624</v>
      </c>
      <c r="AP13" s="1">
        <v>2076754</v>
      </c>
      <c r="AQ13" s="1">
        <v>1644990</v>
      </c>
      <c r="AT13" s="1">
        <v>1644990</v>
      </c>
      <c r="AU13" s="1">
        <v>1400447</v>
      </c>
      <c r="AV13" s="1">
        <v>3045437</v>
      </c>
      <c r="AW13" s="1">
        <v>3045437</v>
      </c>
      <c r="AY13" s="1">
        <v>271390</v>
      </c>
      <c r="AZ13" s="1">
        <v>59282523</v>
      </c>
      <c r="BA13" s="1">
        <v>21244</v>
      </c>
      <c r="BE13" s="1">
        <v>543140</v>
      </c>
      <c r="BH13" s="1">
        <v>4667</v>
      </c>
      <c r="BJ13" s="1">
        <v>18069</v>
      </c>
      <c r="BR13" s="1">
        <v>446658</v>
      </c>
      <c r="BU13" s="1">
        <v>17239</v>
      </c>
      <c r="BV13" s="1">
        <v>17239</v>
      </c>
      <c r="BY13" s="1">
        <v>273715</v>
      </c>
      <c r="CA13" s="1">
        <v>4667</v>
      </c>
      <c r="CC13" s="1">
        <v>2325</v>
      </c>
      <c r="CJ13" s="1">
        <v>2268129</v>
      </c>
      <c r="CK13" s="1">
        <v>300000</v>
      </c>
    </row>
    <row r="14" spans="1:140">
      <c r="A14" s="1">
        <v>1</v>
      </c>
      <c r="B14" s="1">
        <v>1790</v>
      </c>
      <c r="C14" s="1" t="s">
        <v>1768</v>
      </c>
      <c r="D14" s="1" t="s">
        <v>1781</v>
      </c>
      <c r="F14" s="1">
        <v>263189</v>
      </c>
      <c r="G14" s="1">
        <v>3156329</v>
      </c>
      <c r="H14" s="1">
        <v>2197469</v>
      </c>
      <c r="I14" s="1">
        <v>14926</v>
      </c>
      <c r="J14" s="1">
        <v>5631913</v>
      </c>
      <c r="K14" s="1">
        <v>1052462</v>
      </c>
      <c r="L14" s="1">
        <v>320600</v>
      </c>
      <c r="M14" s="1">
        <v>365725</v>
      </c>
      <c r="N14" s="1">
        <v>40515</v>
      </c>
      <c r="O14" s="1">
        <v>1779302</v>
      </c>
      <c r="Q14" s="1">
        <v>25657864</v>
      </c>
      <c r="R14" s="1">
        <v>768171</v>
      </c>
      <c r="S14" s="1">
        <v>768171</v>
      </c>
      <c r="U14" s="1">
        <v>746</v>
      </c>
      <c r="V14" s="1">
        <v>711737</v>
      </c>
      <c r="W14" s="1">
        <v>27138518</v>
      </c>
      <c r="X14" s="1">
        <v>17921675</v>
      </c>
      <c r="Y14" s="1">
        <v>1381334</v>
      </c>
      <c r="Z14" s="1">
        <v>3012677</v>
      </c>
      <c r="AA14" s="1">
        <v>68552</v>
      </c>
      <c r="AB14" s="1">
        <v>132882</v>
      </c>
      <c r="AC14" s="1">
        <v>408378</v>
      </c>
      <c r="AD14" s="1">
        <v>2964023</v>
      </c>
      <c r="AE14" s="1">
        <v>1509445</v>
      </c>
      <c r="AF14" s="1">
        <v>1019919</v>
      </c>
      <c r="AG14" s="1">
        <v>28418885</v>
      </c>
      <c r="AH14" s="1">
        <v>55557403</v>
      </c>
      <c r="AI14" s="1">
        <v>163980</v>
      </c>
      <c r="AJ14" s="1">
        <v>50882</v>
      </c>
      <c r="AK14" s="1">
        <v>214862</v>
      </c>
      <c r="AL14" s="1">
        <v>213644</v>
      </c>
      <c r="AM14" s="1">
        <v>754208</v>
      </c>
      <c r="AN14" s="1">
        <v>94838</v>
      </c>
      <c r="AO14" s="1">
        <v>1075014</v>
      </c>
      <c r="AP14" s="1">
        <v>1305970</v>
      </c>
      <c r="AQ14" s="1">
        <v>550208</v>
      </c>
      <c r="AT14" s="1">
        <v>550208</v>
      </c>
      <c r="AU14" s="1">
        <v>768616</v>
      </c>
      <c r="AV14" s="1">
        <v>1373817</v>
      </c>
      <c r="AW14" s="1">
        <v>1373817</v>
      </c>
      <c r="AX14" s="1">
        <v>54993</v>
      </c>
      <c r="AY14" s="1">
        <v>-54993</v>
      </c>
      <c r="AZ14" s="1">
        <v>65648405</v>
      </c>
      <c r="BK14" s="1">
        <v>12324</v>
      </c>
      <c r="BL14" s="1">
        <v>54993</v>
      </c>
      <c r="BU14" s="1">
        <v>16094</v>
      </c>
      <c r="BV14" s="1">
        <v>16094</v>
      </c>
    </row>
    <row r="15" spans="1:140">
      <c r="A15" s="1">
        <v>1</v>
      </c>
      <c r="B15" s="1">
        <v>1940</v>
      </c>
      <c r="C15" s="1" t="s">
        <v>1768</v>
      </c>
      <c r="D15" s="1" t="s">
        <v>1782</v>
      </c>
      <c r="F15" s="1">
        <v>28315</v>
      </c>
      <c r="H15" s="1">
        <v>383737</v>
      </c>
      <c r="I15" s="1">
        <v>397321</v>
      </c>
      <c r="J15" s="1">
        <v>1374554</v>
      </c>
      <c r="K15" s="1">
        <v>493394</v>
      </c>
      <c r="L15" s="1">
        <v>250000</v>
      </c>
      <c r="M15" s="1">
        <v>62223</v>
      </c>
      <c r="N15" s="1">
        <v>1</v>
      </c>
      <c r="O15" s="1">
        <v>805618</v>
      </c>
      <c r="P15" s="1">
        <v>20000</v>
      </c>
      <c r="Q15" s="1">
        <v>15007035</v>
      </c>
      <c r="R15" s="1">
        <v>37551</v>
      </c>
      <c r="S15" s="1">
        <v>37551</v>
      </c>
      <c r="U15" s="1">
        <v>19539</v>
      </c>
      <c r="V15" s="1">
        <v>431583</v>
      </c>
      <c r="W15" s="1">
        <v>15495708</v>
      </c>
      <c r="X15" s="1">
        <v>9647111</v>
      </c>
      <c r="Y15" s="1">
        <v>1195764</v>
      </c>
      <c r="Z15" s="1">
        <v>2588474</v>
      </c>
      <c r="AA15" s="1">
        <v>85102</v>
      </c>
      <c r="AB15" s="1">
        <v>58163</v>
      </c>
      <c r="AC15" s="1">
        <v>318846</v>
      </c>
      <c r="AD15" s="1">
        <v>1645769</v>
      </c>
      <c r="AE15" s="1">
        <v>1191425</v>
      </c>
      <c r="AF15" s="1">
        <v>13911</v>
      </c>
      <c r="AG15" s="1">
        <v>17228296</v>
      </c>
      <c r="AH15" s="1">
        <v>32893329</v>
      </c>
      <c r="AJ15" s="1">
        <v>167856</v>
      </c>
      <c r="AK15" s="1">
        <v>2462056</v>
      </c>
      <c r="AL15" s="1">
        <v>634548</v>
      </c>
      <c r="AM15" s="1">
        <v>711678</v>
      </c>
      <c r="AN15" s="1">
        <v>213655</v>
      </c>
      <c r="AO15" s="1">
        <v>1559881</v>
      </c>
      <c r="AP15" s="1">
        <v>4021937</v>
      </c>
      <c r="AQ15" s="1">
        <v>2800921</v>
      </c>
      <c r="AT15" s="1">
        <v>2800921</v>
      </c>
      <c r="AU15" s="1">
        <v>1672760</v>
      </c>
      <c r="AV15" s="1">
        <v>4473681</v>
      </c>
      <c r="AW15" s="1">
        <v>4473681</v>
      </c>
      <c r="AY15" s="1">
        <v>30797</v>
      </c>
      <c r="AZ15" s="1">
        <v>43599916</v>
      </c>
      <c r="BE15" s="1">
        <v>483731</v>
      </c>
      <c r="BH15" s="1">
        <v>37787</v>
      </c>
      <c r="BI15" s="1">
        <v>1427282</v>
      </c>
      <c r="BJ15" s="1">
        <v>866918</v>
      </c>
      <c r="BY15" s="1">
        <v>30797</v>
      </c>
      <c r="CA15" s="1">
        <v>37787</v>
      </c>
      <c r="CG15" s="1">
        <v>111538</v>
      </c>
      <c r="CL15" s="1">
        <v>565181</v>
      </c>
    </row>
    <row r="16" spans="1:140">
      <c r="A16" s="1">
        <v>1</v>
      </c>
      <c r="B16" s="1">
        <v>1960</v>
      </c>
      <c r="C16" s="1" t="s">
        <v>1768</v>
      </c>
      <c r="D16" s="1" t="s">
        <v>1783</v>
      </c>
      <c r="I16" s="1">
        <v>1213</v>
      </c>
      <c r="J16" s="1">
        <v>1213</v>
      </c>
      <c r="K16" s="1">
        <v>-2187609</v>
      </c>
      <c r="M16" s="1">
        <v>1709176</v>
      </c>
      <c r="N16" s="1">
        <v>18835</v>
      </c>
      <c r="O16" s="1">
        <v>-459598</v>
      </c>
      <c r="Q16" s="1">
        <v>14521766</v>
      </c>
      <c r="R16" s="1">
        <v>6734504</v>
      </c>
      <c r="S16" s="1">
        <v>6734504</v>
      </c>
      <c r="U16" s="1">
        <v>77</v>
      </c>
      <c r="W16" s="1">
        <v>22916492</v>
      </c>
      <c r="X16" s="1">
        <v>4337255</v>
      </c>
      <c r="Y16" s="1">
        <v>359182</v>
      </c>
      <c r="Z16" s="1">
        <v>1793188</v>
      </c>
      <c r="AA16" s="1">
        <v>102820</v>
      </c>
      <c r="AB16" s="1">
        <v>36942</v>
      </c>
      <c r="AC16" s="1">
        <v>249064</v>
      </c>
      <c r="AD16" s="1">
        <v>2238589</v>
      </c>
      <c r="AE16" s="1">
        <v>1265095</v>
      </c>
      <c r="AG16" s="1">
        <v>10777222</v>
      </c>
      <c r="AH16" s="1">
        <v>33722214</v>
      </c>
      <c r="AJ16" s="1">
        <v>427475</v>
      </c>
      <c r="AK16" s="1">
        <v>2210726</v>
      </c>
      <c r="AL16" s="1">
        <v>679112</v>
      </c>
      <c r="AM16" s="1">
        <v>625973</v>
      </c>
      <c r="AN16" s="1">
        <v>150046</v>
      </c>
      <c r="AO16" s="1">
        <v>1474560</v>
      </c>
      <c r="AP16" s="1">
        <v>3685286</v>
      </c>
      <c r="AQ16" s="1">
        <v>1531726</v>
      </c>
      <c r="AT16" s="1">
        <v>1531726</v>
      </c>
      <c r="AU16" s="1">
        <v>5597</v>
      </c>
      <c r="AV16" s="1">
        <v>1621610</v>
      </c>
      <c r="AW16" s="1">
        <v>1621610</v>
      </c>
      <c r="AX16" s="1">
        <v>84287</v>
      </c>
      <c r="AY16" s="1">
        <v>-84287</v>
      </c>
      <c r="AZ16" s="1">
        <v>38570725</v>
      </c>
      <c r="BE16" s="1">
        <v>258745</v>
      </c>
      <c r="BF16" s="1">
        <v>5104</v>
      </c>
      <c r="BI16" s="1">
        <v>1265056</v>
      </c>
      <c r="BJ16" s="1">
        <v>518195</v>
      </c>
      <c r="BK16" s="1">
        <v>19429</v>
      </c>
      <c r="BL16" s="1">
        <v>84287</v>
      </c>
      <c r="BQ16" s="1">
        <v>1660145</v>
      </c>
      <c r="CG16" s="1">
        <v>28500</v>
      </c>
      <c r="CM16" s="1">
        <v>131238</v>
      </c>
    </row>
    <row r="17" spans="1:100">
      <c r="A17" s="1">
        <v>1</v>
      </c>
      <c r="B17" s="1">
        <v>2680</v>
      </c>
      <c r="C17" s="1" t="s">
        <v>1768</v>
      </c>
      <c r="D17" s="1" t="s">
        <v>1533</v>
      </c>
      <c r="F17" s="1">
        <v>28772</v>
      </c>
      <c r="G17" s="1">
        <v>453670</v>
      </c>
      <c r="H17" s="1">
        <v>529280</v>
      </c>
      <c r="I17" s="1">
        <v>243273</v>
      </c>
      <c r="J17" s="1">
        <v>1254995</v>
      </c>
      <c r="K17" s="1">
        <v>227182</v>
      </c>
      <c r="L17" s="1">
        <v>185000</v>
      </c>
      <c r="M17" s="1">
        <v>505459</v>
      </c>
      <c r="O17" s="1">
        <v>917641</v>
      </c>
      <c r="Q17" s="1">
        <v>9157885</v>
      </c>
      <c r="V17" s="1">
        <v>143739</v>
      </c>
      <c r="W17" s="1">
        <v>9301624</v>
      </c>
      <c r="X17" s="1">
        <v>969200</v>
      </c>
      <c r="Y17" s="1">
        <v>89582</v>
      </c>
      <c r="Z17" s="1">
        <v>719219</v>
      </c>
      <c r="AA17" s="1">
        <v>6990</v>
      </c>
      <c r="AB17" s="1">
        <v>11010</v>
      </c>
      <c r="AC17" s="1">
        <v>111914</v>
      </c>
      <c r="AD17" s="1">
        <v>866075</v>
      </c>
      <c r="AE17" s="1">
        <v>433211</v>
      </c>
      <c r="AG17" s="1">
        <v>3265775</v>
      </c>
      <c r="AH17" s="1">
        <v>12567399</v>
      </c>
      <c r="AL17" s="1">
        <v>18339</v>
      </c>
      <c r="AM17" s="1">
        <v>196563</v>
      </c>
      <c r="AN17" s="1">
        <v>25114</v>
      </c>
      <c r="AO17" s="1">
        <v>240016</v>
      </c>
      <c r="AP17" s="1">
        <v>296663</v>
      </c>
      <c r="AZ17" s="1">
        <v>15036698</v>
      </c>
      <c r="BE17" s="1">
        <v>56907</v>
      </c>
      <c r="BF17" s="1">
        <v>1667</v>
      </c>
      <c r="BU17" s="1">
        <v>56647</v>
      </c>
      <c r="BV17" s="1">
        <v>56647</v>
      </c>
    </row>
    <row r="18" spans="1:100">
      <c r="A18" s="1">
        <v>1</v>
      </c>
      <c r="B18" s="1">
        <v>2780</v>
      </c>
      <c r="C18" s="1" t="s">
        <v>1768</v>
      </c>
      <c r="D18" s="1" t="s">
        <v>1534</v>
      </c>
      <c r="K18" s="1">
        <v>21479</v>
      </c>
      <c r="O18" s="1">
        <v>21479</v>
      </c>
      <c r="Q18" s="1">
        <v>968994</v>
      </c>
      <c r="W18" s="1">
        <v>982338</v>
      </c>
      <c r="Y18" s="1">
        <v>10048</v>
      </c>
      <c r="Z18" s="1">
        <v>10922</v>
      </c>
      <c r="AC18" s="1">
        <v>5267</v>
      </c>
      <c r="AE18" s="1">
        <v>319</v>
      </c>
      <c r="AG18" s="1">
        <v>108407</v>
      </c>
      <c r="AH18" s="1">
        <v>1090745</v>
      </c>
      <c r="AZ18" s="1">
        <v>1112224</v>
      </c>
      <c r="BE18" s="1">
        <v>2926</v>
      </c>
      <c r="BF18" s="1">
        <v>7624</v>
      </c>
      <c r="BQ18" s="1">
        <v>13344</v>
      </c>
      <c r="BR18" s="1">
        <v>71301</v>
      </c>
    </row>
    <row r="19" spans="1:100">
      <c r="A19" s="1">
        <v>1</v>
      </c>
      <c r="B19" s="1">
        <v>2910</v>
      </c>
      <c r="C19" s="1" t="s">
        <v>1768</v>
      </c>
      <c r="D19" s="1" t="s">
        <v>1535</v>
      </c>
      <c r="F19" s="1">
        <v>527609</v>
      </c>
      <c r="G19" s="1">
        <v>590476</v>
      </c>
      <c r="H19" s="1">
        <v>312750</v>
      </c>
      <c r="J19" s="1">
        <v>1430835</v>
      </c>
      <c r="K19" s="1">
        <v>421625</v>
      </c>
      <c r="L19" s="1">
        <v>432869</v>
      </c>
      <c r="M19" s="1">
        <v>12599</v>
      </c>
      <c r="N19" s="1">
        <v>28099</v>
      </c>
      <c r="O19" s="1">
        <v>895192</v>
      </c>
      <c r="Q19" s="1">
        <v>13953238</v>
      </c>
      <c r="T19" s="1">
        <v>109989</v>
      </c>
      <c r="V19" s="1">
        <v>351148</v>
      </c>
      <c r="W19" s="1">
        <v>14414375</v>
      </c>
      <c r="X19" s="1">
        <v>4640595</v>
      </c>
      <c r="Y19" s="1">
        <v>267605</v>
      </c>
      <c r="Z19" s="1">
        <v>759228</v>
      </c>
      <c r="AA19" s="1">
        <v>22254</v>
      </c>
      <c r="AB19" s="1">
        <v>33727</v>
      </c>
      <c r="AC19" s="1">
        <v>187841</v>
      </c>
      <c r="AD19" s="1">
        <v>1346139</v>
      </c>
      <c r="AE19" s="1">
        <v>781598</v>
      </c>
      <c r="AF19" s="1">
        <v>88865</v>
      </c>
      <c r="AG19" s="1">
        <v>8305301</v>
      </c>
      <c r="AH19" s="1">
        <v>23040688</v>
      </c>
      <c r="AI19" s="1">
        <v>37457</v>
      </c>
      <c r="AJ19" s="1">
        <v>3000</v>
      </c>
      <c r="AK19" s="1">
        <v>40457</v>
      </c>
      <c r="AL19" s="1">
        <v>49629</v>
      </c>
      <c r="AM19" s="1">
        <v>277679</v>
      </c>
      <c r="AN19" s="1">
        <v>20393</v>
      </c>
      <c r="AO19" s="1">
        <v>355799</v>
      </c>
      <c r="AP19" s="1">
        <v>396256</v>
      </c>
      <c r="AQ19" s="1">
        <v>785123</v>
      </c>
      <c r="AT19" s="1">
        <v>785123</v>
      </c>
      <c r="AU19" s="1">
        <v>275591</v>
      </c>
      <c r="AV19" s="1">
        <v>1064277</v>
      </c>
      <c r="AW19" s="1">
        <v>1064277</v>
      </c>
      <c r="AY19" s="1">
        <v>-3563</v>
      </c>
      <c r="AZ19" s="1">
        <v>26827248</v>
      </c>
      <c r="BE19" s="1">
        <v>177449</v>
      </c>
      <c r="BK19" s="1">
        <v>8098</v>
      </c>
      <c r="BL19" s="1">
        <v>3563</v>
      </c>
      <c r="CC19" s="1">
        <v>3563</v>
      </c>
      <c r="CG19" s="1">
        <v>321012</v>
      </c>
    </row>
    <row r="20" spans="1:100">
      <c r="A20" s="1">
        <v>1</v>
      </c>
      <c r="B20" s="1">
        <v>3020</v>
      </c>
      <c r="C20" s="1" t="s">
        <v>1768</v>
      </c>
      <c r="D20" s="1" t="s">
        <v>1536</v>
      </c>
      <c r="F20" s="1">
        <v>45430</v>
      </c>
      <c r="G20" s="1">
        <v>926429</v>
      </c>
      <c r="H20" s="1">
        <v>484084</v>
      </c>
      <c r="J20" s="1">
        <v>1456297</v>
      </c>
      <c r="K20" s="1">
        <v>239403</v>
      </c>
      <c r="L20" s="1">
        <v>81475</v>
      </c>
      <c r="O20" s="1">
        <v>320878</v>
      </c>
      <c r="Q20" s="1">
        <v>10173118</v>
      </c>
      <c r="R20" s="1">
        <v>734759</v>
      </c>
      <c r="S20" s="1">
        <v>791419</v>
      </c>
      <c r="V20" s="1">
        <v>242872</v>
      </c>
      <c r="W20" s="1">
        <v>11207409</v>
      </c>
      <c r="Y20" s="1">
        <v>112437</v>
      </c>
      <c r="Z20" s="1">
        <v>643606</v>
      </c>
      <c r="AA20" s="1">
        <v>10530</v>
      </c>
      <c r="AB20" s="1">
        <v>7656</v>
      </c>
      <c r="AC20" s="1">
        <v>79108</v>
      </c>
      <c r="AD20" s="1">
        <v>686231</v>
      </c>
      <c r="AE20" s="1">
        <v>331567</v>
      </c>
      <c r="AG20" s="1">
        <v>1902405</v>
      </c>
      <c r="AH20" s="1">
        <v>13109814</v>
      </c>
      <c r="AI20" s="1">
        <v>22170</v>
      </c>
      <c r="AJ20" s="1">
        <v>69505</v>
      </c>
      <c r="AK20" s="1">
        <v>91675</v>
      </c>
      <c r="AL20" s="1">
        <v>53328</v>
      </c>
      <c r="AM20" s="1">
        <v>196003</v>
      </c>
      <c r="AN20" s="1">
        <v>22880</v>
      </c>
      <c r="AO20" s="1">
        <v>272211</v>
      </c>
      <c r="AP20" s="1">
        <v>419529</v>
      </c>
      <c r="AZ20" s="1">
        <v>15306518</v>
      </c>
      <c r="BA20" s="1">
        <v>354</v>
      </c>
      <c r="BC20" s="1">
        <v>56660</v>
      </c>
      <c r="BE20" s="1">
        <v>26036</v>
      </c>
      <c r="BF20" s="1">
        <v>5234</v>
      </c>
      <c r="BU20" s="1">
        <v>55643</v>
      </c>
      <c r="BV20" s="1">
        <v>55643</v>
      </c>
    </row>
    <row r="21" spans="1:100">
      <c r="A21" s="1">
        <v>1</v>
      </c>
      <c r="B21" s="1">
        <v>3480</v>
      </c>
      <c r="C21" s="1" t="s">
        <v>1768</v>
      </c>
      <c r="D21" s="1" t="s">
        <v>1537</v>
      </c>
      <c r="F21" s="1">
        <v>428221</v>
      </c>
      <c r="J21" s="1">
        <v>552790</v>
      </c>
      <c r="K21" s="1">
        <v>87261</v>
      </c>
      <c r="L21" s="1">
        <v>75525</v>
      </c>
      <c r="M21" s="1">
        <v>150965</v>
      </c>
      <c r="O21" s="1">
        <v>313751</v>
      </c>
      <c r="P21" s="1">
        <v>1024</v>
      </c>
      <c r="Q21" s="1">
        <v>3085814</v>
      </c>
      <c r="R21" s="1">
        <v>1861</v>
      </c>
      <c r="S21" s="1">
        <v>1861</v>
      </c>
      <c r="V21" s="1">
        <v>34891</v>
      </c>
      <c r="W21" s="1">
        <v>3122566</v>
      </c>
      <c r="X21" s="1">
        <v>3250225</v>
      </c>
      <c r="Y21" s="1">
        <v>288968</v>
      </c>
      <c r="Z21" s="1">
        <v>713718</v>
      </c>
      <c r="AA21" s="1">
        <v>24510</v>
      </c>
      <c r="AC21" s="1">
        <v>81114</v>
      </c>
      <c r="AD21" s="1">
        <v>644108</v>
      </c>
      <c r="AE21" s="1">
        <v>348414</v>
      </c>
      <c r="AG21" s="1">
        <v>5528054</v>
      </c>
      <c r="AH21" s="1">
        <v>8657911</v>
      </c>
      <c r="AJ21" s="1">
        <v>27228</v>
      </c>
      <c r="AK21" s="1">
        <v>715823</v>
      </c>
      <c r="AL21" s="1">
        <v>207484</v>
      </c>
      <c r="AM21" s="1">
        <v>171601</v>
      </c>
      <c r="AN21" s="1">
        <v>209147</v>
      </c>
      <c r="AO21" s="1">
        <v>588232</v>
      </c>
      <c r="AP21" s="1">
        <v>1304055</v>
      </c>
      <c r="AQ21" s="1">
        <v>428248</v>
      </c>
      <c r="AT21" s="1">
        <v>428248</v>
      </c>
      <c r="AU21" s="1">
        <v>173482</v>
      </c>
      <c r="AV21" s="1">
        <v>601730</v>
      </c>
      <c r="AW21" s="1">
        <v>601730</v>
      </c>
      <c r="AZ21" s="1">
        <v>11430237</v>
      </c>
      <c r="BE21" s="1">
        <v>115947</v>
      </c>
      <c r="BF21" s="1">
        <v>61050</v>
      </c>
      <c r="BH21" s="1">
        <v>6267</v>
      </c>
      <c r="BI21" s="1">
        <v>418670</v>
      </c>
      <c r="BJ21" s="1">
        <v>269925</v>
      </c>
      <c r="CA21" s="1">
        <v>6267</v>
      </c>
      <c r="CL21" s="1">
        <v>124569</v>
      </c>
    </row>
    <row r="22" spans="1:100">
      <c r="A22" s="1">
        <v>1</v>
      </c>
      <c r="B22" s="1">
        <v>3720</v>
      </c>
      <c r="C22" s="1" t="s">
        <v>1768</v>
      </c>
      <c r="D22" s="1" t="s">
        <v>1538</v>
      </c>
      <c r="F22" s="1">
        <v>146347</v>
      </c>
      <c r="G22" s="1">
        <v>376665</v>
      </c>
      <c r="H22" s="1">
        <v>371256</v>
      </c>
      <c r="I22" s="1">
        <v>284803</v>
      </c>
      <c r="J22" s="1">
        <v>1229071</v>
      </c>
      <c r="K22" s="1">
        <v>192789</v>
      </c>
      <c r="N22" s="1">
        <v>-140326</v>
      </c>
      <c r="O22" s="1">
        <v>52463</v>
      </c>
      <c r="Q22" s="1">
        <v>7194807</v>
      </c>
      <c r="S22" s="1">
        <v>7820</v>
      </c>
      <c r="V22" s="1">
        <v>89378</v>
      </c>
      <c r="W22" s="1">
        <v>7292005</v>
      </c>
      <c r="X22" s="1">
        <v>1852131</v>
      </c>
      <c r="Y22" s="1">
        <v>77066</v>
      </c>
      <c r="Z22" s="1">
        <v>774067</v>
      </c>
      <c r="AA22" s="1">
        <v>15220</v>
      </c>
      <c r="AB22" s="1">
        <v>2732</v>
      </c>
      <c r="AC22" s="1">
        <v>125520</v>
      </c>
      <c r="AD22" s="1">
        <v>868975</v>
      </c>
      <c r="AE22" s="1">
        <v>415642</v>
      </c>
      <c r="AG22" s="1">
        <v>4222968</v>
      </c>
      <c r="AH22" s="1">
        <v>11514973</v>
      </c>
      <c r="AI22" s="1">
        <v>17088</v>
      </c>
      <c r="AJ22" s="1">
        <v>16291</v>
      </c>
      <c r="AK22" s="1">
        <v>33379</v>
      </c>
      <c r="AL22" s="1">
        <v>83672</v>
      </c>
      <c r="AM22" s="1">
        <v>208359</v>
      </c>
      <c r="AN22" s="1">
        <v>41523</v>
      </c>
      <c r="AO22" s="1">
        <v>333554</v>
      </c>
      <c r="AP22" s="1">
        <v>367854</v>
      </c>
      <c r="AQ22" s="1">
        <v>1093305</v>
      </c>
      <c r="AT22" s="1">
        <v>1093305</v>
      </c>
      <c r="AU22" s="1">
        <v>504684</v>
      </c>
      <c r="AV22" s="1">
        <v>1597989</v>
      </c>
      <c r="AW22" s="1">
        <v>1597989</v>
      </c>
      <c r="AZ22" s="1">
        <v>14762350</v>
      </c>
      <c r="BB22" s="1">
        <v>50000</v>
      </c>
      <c r="BC22" s="1">
        <v>7820</v>
      </c>
      <c r="BE22" s="1">
        <v>85833</v>
      </c>
      <c r="BF22" s="1">
        <v>5782</v>
      </c>
      <c r="BU22" s="1">
        <v>921</v>
      </c>
      <c r="BV22" s="1">
        <v>921</v>
      </c>
    </row>
    <row r="23" spans="1:100">
      <c r="A23" s="1">
        <v>1</v>
      </c>
      <c r="B23" s="1">
        <v>4180</v>
      </c>
      <c r="C23" s="1" t="s">
        <v>1768</v>
      </c>
      <c r="D23" s="1" t="s">
        <v>1539</v>
      </c>
      <c r="F23" s="1">
        <v>19873</v>
      </c>
      <c r="G23" s="1">
        <v>2012771</v>
      </c>
      <c r="I23" s="1">
        <v>1</v>
      </c>
      <c r="J23" s="1">
        <v>2032645</v>
      </c>
      <c r="K23" s="1">
        <v>1536534</v>
      </c>
      <c r="L23" s="1">
        <v>1962613</v>
      </c>
      <c r="M23" s="1">
        <v>11979533</v>
      </c>
      <c r="N23" s="1">
        <v>-118716</v>
      </c>
      <c r="O23" s="1">
        <v>15359964</v>
      </c>
      <c r="Q23" s="1">
        <v>6220639</v>
      </c>
      <c r="S23" s="1">
        <v>212378</v>
      </c>
      <c r="V23" s="1">
        <v>367173</v>
      </c>
      <c r="W23" s="1">
        <v>6800190</v>
      </c>
      <c r="X23" s="1">
        <v>25501280</v>
      </c>
      <c r="Y23" s="1">
        <v>623617</v>
      </c>
      <c r="Z23" s="1">
        <v>3575208</v>
      </c>
      <c r="AA23" s="1">
        <v>205140</v>
      </c>
      <c r="AB23" s="1">
        <v>17354</v>
      </c>
      <c r="AC23" s="1">
        <v>447987</v>
      </c>
      <c r="AD23" s="1">
        <v>3461190</v>
      </c>
      <c r="AE23" s="1">
        <v>2071333</v>
      </c>
      <c r="AG23" s="1">
        <v>65823048</v>
      </c>
      <c r="AH23" s="1">
        <v>72660664</v>
      </c>
      <c r="AJ23" s="1">
        <v>110506</v>
      </c>
      <c r="AK23" s="1">
        <v>7081127</v>
      </c>
      <c r="AL23" s="1">
        <v>2395104</v>
      </c>
      <c r="AM23" s="1">
        <v>756929</v>
      </c>
      <c r="AN23" s="1">
        <v>1241904</v>
      </c>
      <c r="AO23" s="1">
        <v>4496370</v>
      </c>
      <c r="AP23" s="1">
        <v>12011586</v>
      </c>
      <c r="AQ23" s="1">
        <v>973100</v>
      </c>
      <c r="AT23" s="1">
        <v>973100</v>
      </c>
      <c r="AU23" s="1">
        <v>2825822</v>
      </c>
      <c r="AV23" s="1">
        <v>3798922</v>
      </c>
      <c r="AW23" s="1">
        <v>3844440</v>
      </c>
      <c r="AX23" s="1">
        <v>12034</v>
      </c>
      <c r="AZ23" s="1">
        <v>105921333</v>
      </c>
      <c r="BC23" s="1">
        <v>212378</v>
      </c>
      <c r="BF23" s="1">
        <v>12562</v>
      </c>
      <c r="BH23" s="1">
        <v>37426</v>
      </c>
      <c r="BI23" s="1">
        <v>3469509</v>
      </c>
      <c r="BJ23" s="1">
        <v>1644468</v>
      </c>
      <c r="BK23" s="1">
        <v>17900</v>
      </c>
      <c r="BU23" s="1">
        <v>2800</v>
      </c>
      <c r="BV23" s="1">
        <v>2800</v>
      </c>
      <c r="BW23" s="1">
        <v>84533</v>
      </c>
      <c r="BY23" s="1">
        <v>12034</v>
      </c>
      <c r="CA23" s="1">
        <v>37426</v>
      </c>
      <c r="CF23" s="1">
        <v>2062146</v>
      </c>
      <c r="CN23" s="1">
        <v>136279</v>
      </c>
      <c r="CO23" s="1">
        <v>27845231</v>
      </c>
      <c r="CP23" s="1">
        <v>1856644</v>
      </c>
      <c r="CQ23" s="1">
        <v>431289</v>
      </c>
      <c r="CR23" s="1">
        <v>45518</v>
      </c>
      <c r="CS23" s="1">
        <v>45518</v>
      </c>
    </row>
    <row r="24" spans="1:100">
      <c r="A24" s="1">
        <v>1</v>
      </c>
      <c r="B24" s="1">
        <v>4240</v>
      </c>
      <c r="C24" s="1" t="s">
        <v>1768</v>
      </c>
      <c r="D24" s="1" t="s">
        <v>1540</v>
      </c>
      <c r="F24" s="1">
        <v>38911</v>
      </c>
      <c r="H24" s="1">
        <v>41215</v>
      </c>
      <c r="I24" s="1">
        <v>529</v>
      </c>
      <c r="J24" s="1">
        <v>80655</v>
      </c>
      <c r="K24" s="1">
        <v>85514</v>
      </c>
      <c r="O24" s="1">
        <v>85514</v>
      </c>
      <c r="Q24" s="1">
        <v>1229445</v>
      </c>
      <c r="S24" s="1">
        <v>4010</v>
      </c>
      <c r="U24" s="1">
        <v>13</v>
      </c>
      <c r="W24" s="1">
        <v>1258685</v>
      </c>
      <c r="Y24" s="1">
        <v>40319</v>
      </c>
      <c r="Z24" s="1">
        <v>94368</v>
      </c>
      <c r="AC24" s="1">
        <v>16568</v>
      </c>
      <c r="AD24" s="1">
        <v>138067</v>
      </c>
      <c r="AE24" s="1">
        <v>61914</v>
      </c>
      <c r="AG24" s="1">
        <v>1150675</v>
      </c>
      <c r="AH24" s="1">
        <v>2409360</v>
      </c>
      <c r="AI24" s="1">
        <v>5904</v>
      </c>
      <c r="AJ24" s="1">
        <v>4000</v>
      </c>
      <c r="AK24" s="1">
        <v>9904</v>
      </c>
      <c r="AM24" s="1">
        <v>35301</v>
      </c>
      <c r="AN24" s="1">
        <v>20344</v>
      </c>
      <c r="AO24" s="1">
        <v>55645</v>
      </c>
      <c r="AP24" s="1">
        <v>65549</v>
      </c>
      <c r="AZ24" s="1">
        <v>2641078</v>
      </c>
      <c r="BC24" s="1">
        <v>4010</v>
      </c>
      <c r="BE24" s="1">
        <v>27754</v>
      </c>
      <c r="BQ24" s="1">
        <v>25217</v>
      </c>
      <c r="BR24" s="1">
        <v>771685</v>
      </c>
    </row>
    <row r="25" spans="1:100">
      <c r="A25" s="1">
        <v>1</v>
      </c>
      <c r="B25" s="1">
        <v>4800</v>
      </c>
      <c r="C25" s="1" t="s">
        <v>1768</v>
      </c>
      <c r="D25" s="1" t="s">
        <v>1541</v>
      </c>
      <c r="F25" s="1">
        <v>271466</v>
      </c>
      <c r="G25" s="1">
        <v>47420</v>
      </c>
      <c r="I25" s="1">
        <v>100</v>
      </c>
      <c r="J25" s="1">
        <v>318986</v>
      </c>
      <c r="K25" s="1">
        <v>223582</v>
      </c>
      <c r="L25" s="1">
        <v>335000</v>
      </c>
      <c r="M25" s="1">
        <v>9910</v>
      </c>
      <c r="N25" s="1">
        <v>30736</v>
      </c>
      <c r="O25" s="1">
        <v>599228</v>
      </c>
      <c r="Q25" s="1">
        <v>7861264</v>
      </c>
      <c r="R25" s="1">
        <v>9163</v>
      </c>
      <c r="S25" s="1">
        <v>9163</v>
      </c>
      <c r="V25" s="1">
        <v>126375</v>
      </c>
      <c r="W25" s="1">
        <v>7996802</v>
      </c>
      <c r="X25" s="1">
        <v>1865875</v>
      </c>
      <c r="Y25" s="1">
        <v>104766</v>
      </c>
      <c r="Z25" s="1">
        <v>995247</v>
      </c>
      <c r="AA25" s="1">
        <v>10602</v>
      </c>
      <c r="AC25" s="1">
        <v>130554</v>
      </c>
      <c r="AD25" s="1">
        <v>661108</v>
      </c>
      <c r="AE25" s="1">
        <v>478014</v>
      </c>
      <c r="AG25" s="1">
        <v>4742980</v>
      </c>
      <c r="AH25" s="1">
        <v>12768955</v>
      </c>
      <c r="AJ25" s="1">
        <v>280061</v>
      </c>
      <c r="AK25" s="1">
        <v>1014957</v>
      </c>
      <c r="AL25" s="1">
        <v>373936</v>
      </c>
      <c r="AM25" s="1">
        <v>332863</v>
      </c>
      <c r="AN25" s="1">
        <v>91519</v>
      </c>
      <c r="AO25" s="1">
        <v>798318</v>
      </c>
      <c r="AP25" s="1">
        <v>1813275</v>
      </c>
      <c r="AQ25" s="1">
        <v>813791</v>
      </c>
      <c r="AT25" s="1">
        <v>813791</v>
      </c>
      <c r="AU25" s="1">
        <v>228558</v>
      </c>
      <c r="AV25" s="1">
        <v>1042700</v>
      </c>
      <c r="AW25" s="1">
        <v>1042700</v>
      </c>
      <c r="AX25" s="1">
        <v>351</v>
      </c>
      <c r="AY25" s="1">
        <v>-351</v>
      </c>
      <c r="AZ25" s="1">
        <v>16543144</v>
      </c>
      <c r="BF25" s="1">
        <v>1246</v>
      </c>
      <c r="BH25" s="1">
        <v>29173</v>
      </c>
      <c r="BI25" s="1">
        <v>588316</v>
      </c>
      <c r="BJ25" s="1">
        <v>146580</v>
      </c>
      <c r="BL25" s="1">
        <v>351</v>
      </c>
      <c r="BR25" s="1">
        <v>495568</v>
      </c>
      <c r="CA25" s="1">
        <v>29173</v>
      </c>
    </row>
    <row r="26" spans="1:100">
      <c r="A26" s="1">
        <v>1</v>
      </c>
      <c r="B26" s="1">
        <v>5350</v>
      </c>
      <c r="C26" s="1" t="s">
        <v>1768</v>
      </c>
      <c r="D26" s="1" t="s">
        <v>1542</v>
      </c>
      <c r="F26" s="1">
        <v>4355</v>
      </c>
      <c r="G26" s="1">
        <v>410096</v>
      </c>
      <c r="H26" s="1">
        <v>50296</v>
      </c>
      <c r="J26" s="1">
        <v>480318</v>
      </c>
      <c r="K26" s="1">
        <v>335319</v>
      </c>
      <c r="L26" s="1">
        <v>87255</v>
      </c>
      <c r="M26" s="1">
        <v>179447</v>
      </c>
      <c r="O26" s="1">
        <v>602021</v>
      </c>
      <c r="Q26" s="1">
        <v>15597115</v>
      </c>
      <c r="T26" s="1">
        <v>202611</v>
      </c>
      <c r="V26" s="1">
        <v>104111</v>
      </c>
      <c r="W26" s="1">
        <v>15903837</v>
      </c>
      <c r="Y26" s="1">
        <v>364427</v>
      </c>
      <c r="Z26" s="1">
        <v>608896</v>
      </c>
      <c r="AA26" s="1">
        <v>92670</v>
      </c>
      <c r="AB26" s="1">
        <v>7724</v>
      </c>
      <c r="AC26" s="1">
        <v>160233</v>
      </c>
      <c r="AD26" s="1">
        <v>860391</v>
      </c>
      <c r="AE26" s="1">
        <v>487513</v>
      </c>
      <c r="AG26" s="1">
        <v>2855229</v>
      </c>
      <c r="AH26" s="1">
        <v>18909986</v>
      </c>
      <c r="AJ26" s="1">
        <v>87075</v>
      </c>
      <c r="AK26" s="1">
        <v>992788</v>
      </c>
      <c r="AL26" s="1">
        <v>439488</v>
      </c>
      <c r="AM26" s="1">
        <v>307288</v>
      </c>
      <c r="AN26" s="1">
        <v>674368</v>
      </c>
      <c r="AO26" s="1">
        <v>1421144</v>
      </c>
      <c r="AP26" s="1">
        <v>2413932</v>
      </c>
      <c r="AZ26" s="1">
        <v>22406257</v>
      </c>
      <c r="BA26" s="1">
        <v>15571</v>
      </c>
      <c r="BE26" s="1">
        <v>51228</v>
      </c>
      <c r="BF26" s="1">
        <v>122147</v>
      </c>
      <c r="BH26" s="1">
        <v>6327</v>
      </c>
      <c r="BI26" s="1">
        <v>553471</v>
      </c>
      <c r="BJ26" s="1">
        <v>351801</v>
      </c>
      <c r="BR26" s="1">
        <v>100000</v>
      </c>
      <c r="CA26" s="1">
        <v>6327</v>
      </c>
      <c r="CG26" s="1">
        <v>144593</v>
      </c>
      <c r="CT26" s="1">
        <v>441</v>
      </c>
    </row>
    <row r="27" spans="1:100">
      <c r="A27" s="1">
        <v>1</v>
      </c>
      <c r="B27" s="1">
        <v>5760</v>
      </c>
      <c r="C27" s="1" t="s">
        <v>1768</v>
      </c>
      <c r="D27" s="1" t="s">
        <v>1543</v>
      </c>
      <c r="F27" s="1">
        <v>49286</v>
      </c>
      <c r="G27" s="1">
        <v>116648</v>
      </c>
      <c r="H27" s="1">
        <v>13470</v>
      </c>
      <c r="I27" s="1">
        <v>51271</v>
      </c>
      <c r="J27" s="1">
        <v>280675</v>
      </c>
      <c r="K27" s="1">
        <v>100000</v>
      </c>
      <c r="L27" s="1">
        <v>34338</v>
      </c>
      <c r="M27" s="1">
        <v>35040</v>
      </c>
      <c r="O27" s="1">
        <v>169378</v>
      </c>
      <c r="Q27" s="1">
        <v>1631399</v>
      </c>
      <c r="U27" s="1">
        <v>2358</v>
      </c>
      <c r="W27" s="1">
        <v>1672026</v>
      </c>
      <c r="X27" s="1">
        <v>1422519</v>
      </c>
      <c r="Y27" s="1">
        <v>189150</v>
      </c>
      <c r="Z27" s="1">
        <v>204252</v>
      </c>
      <c r="AA27" s="1">
        <v>2336</v>
      </c>
      <c r="AC27" s="1">
        <v>39389</v>
      </c>
      <c r="AD27" s="1">
        <v>183426</v>
      </c>
      <c r="AE27" s="1">
        <v>104043</v>
      </c>
      <c r="AG27" s="1">
        <v>2388583</v>
      </c>
      <c r="AH27" s="1">
        <v>4060609</v>
      </c>
      <c r="AK27" s="1">
        <v>172178</v>
      </c>
      <c r="AL27" s="1">
        <v>46174</v>
      </c>
      <c r="AM27" s="1">
        <v>86518</v>
      </c>
      <c r="AN27" s="1">
        <v>52849</v>
      </c>
      <c r="AO27" s="1">
        <v>185541</v>
      </c>
      <c r="AP27" s="1">
        <v>357719</v>
      </c>
      <c r="AQ27" s="1">
        <v>63946</v>
      </c>
      <c r="AT27" s="1">
        <v>63946</v>
      </c>
      <c r="AU27" s="1">
        <v>70360</v>
      </c>
      <c r="AV27" s="1">
        <v>134306</v>
      </c>
      <c r="AW27" s="1">
        <v>134306</v>
      </c>
      <c r="AZ27" s="1">
        <v>5002687</v>
      </c>
      <c r="BA27" s="1">
        <v>50000</v>
      </c>
      <c r="BE27" s="1">
        <v>65023</v>
      </c>
      <c r="BF27" s="1">
        <v>29379</v>
      </c>
      <c r="BI27" s="1">
        <v>106502</v>
      </c>
      <c r="BJ27" s="1">
        <v>65676</v>
      </c>
      <c r="BQ27" s="1">
        <v>38269</v>
      </c>
      <c r="BR27" s="1">
        <v>149066</v>
      </c>
    </row>
    <row r="28" spans="1:100">
      <c r="A28" s="1">
        <v>3</v>
      </c>
      <c r="B28" s="1">
        <v>40</v>
      </c>
      <c r="C28" s="1" t="s">
        <v>1544</v>
      </c>
      <c r="D28" s="1" t="s">
        <v>1545</v>
      </c>
      <c r="F28" s="1">
        <v>172253</v>
      </c>
      <c r="G28" s="1">
        <v>477698</v>
      </c>
      <c r="H28" s="1">
        <v>45784</v>
      </c>
      <c r="I28" s="1">
        <v>320548</v>
      </c>
      <c r="J28" s="1">
        <v>1244486</v>
      </c>
      <c r="K28" s="1">
        <v>372692</v>
      </c>
      <c r="L28" s="1">
        <v>136382</v>
      </c>
      <c r="M28" s="1">
        <v>4455111</v>
      </c>
      <c r="N28" s="1">
        <v>128709</v>
      </c>
      <c r="O28" s="1">
        <v>5092894</v>
      </c>
      <c r="Q28" s="1">
        <v>12025265</v>
      </c>
      <c r="S28" s="1">
        <v>203476</v>
      </c>
      <c r="U28" s="1">
        <v>96334</v>
      </c>
      <c r="W28" s="1">
        <v>12367879</v>
      </c>
      <c r="Z28" s="1">
        <v>526449</v>
      </c>
      <c r="AB28" s="1">
        <v>162846</v>
      </c>
      <c r="AC28" s="1">
        <v>72221</v>
      </c>
      <c r="AD28" s="1">
        <v>939402</v>
      </c>
      <c r="AE28" s="1">
        <v>455185</v>
      </c>
      <c r="AG28" s="1">
        <v>2174063</v>
      </c>
      <c r="AH28" s="1">
        <v>14541942</v>
      </c>
      <c r="AM28" s="1">
        <v>166055</v>
      </c>
      <c r="AN28" s="1">
        <v>39362</v>
      </c>
      <c r="AO28" s="1">
        <v>205417</v>
      </c>
      <c r="AP28" s="1">
        <v>205417</v>
      </c>
      <c r="AQ28" s="1">
        <v>847316</v>
      </c>
      <c r="AT28" s="1">
        <v>847316</v>
      </c>
      <c r="AU28" s="1">
        <v>142845</v>
      </c>
      <c r="AV28" s="1">
        <v>1174257</v>
      </c>
      <c r="AW28" s="1">
        <v>1174257</v>
      </c>
      <c r="AX28" s="1">
        <v>184096</v>
      </c>
      <c r="AY28" s="1">
        <v>-184096</v>
      </c>
      <c r="AZ28" s="1">
        <v>22258996</v>
      </c>
      <c r="BA28" s="1">
        <v>2647</v>
      </c>
      <c r="BC28" s="1">
        <v>203476</v>
      </c>
      <c r="BE28" s="1">
        <v>17960</v>
      </c>
      <c r="BL28" s="1">
        <v>184096</v>
      </c>
      <c r="BQ28" s="1">
        <v>42804</v>
      </c>
      <c r="CL28" s="1">
        <v>225556</v>
      </c>
    </row>
    <row r="29" spans="1:100">
      <c r="A29" s="1">
        <v>3</v>
      </c>
      <c r="B29" s="1">
        <v>80</v>
      </c>
      <c r="C29" s="1" t="s">
        <v>1544</v>
      </c>
      <c r="D29" s="1" t="s">
        <v>1546</v>
      </c>
      <c r="F29" s="1">
        <v>76843</v>
      </c>
      <c r="I29" s="1">
        <v>184405</v>
      </c>
      <c r="J29" s="1">
        <v>261248</v>
      </c>
      <c r="K29" s="1">
        <v>75240</v>
      </c>
      <c r="L29" s="1">
        <v>499574</v>
      </c>
      <c r="O29" s="1">
        <v>574814</v>
      </c>
      <c r="Q29" s="1">
        <v>4660644</v>
      </c>
      <c r="S29" s="1">
        <v>65000</v>
      </c>
      <c r="U29" s="1">
        <v>8791</v>
      </c>
      <c r="V29" s="1">
        <v>155383</v>
      </c>
      <c r="W29" s="1">
        <v>4889818</v>
      </c>
      <c r="Y29" s="1">
        <v>96713</v>
      </c>
      <c r="Z29" s="1">
        <v>123868</v>
      </c>
      <c r="AA29" s="1">
        <v>5822</v>
      </c>
      <c r="AB29" s="1">
        <v>45117</v>
      </c>
      <c r="AC29" s="1">
        <v>10419</v>
      </c>
      <c r="AD29" s="1">
        <v>118188</v>
      </c>
      <c r="AE29" s="1">
        <v>261834</v>
      </c>
      <c r="AF29" s="1">
        <v>4654</v>
      </c>
      <c r="AG29" s="1">
        <v>673720</v>
      </c>
      <c r="AH29" s="1">
        <v>5563538</v>
      </c>
      <c r="AM29" s="1">
        <v>49553</v>
      </c>
      <c r="AN29" s="1">
        <v>6462</v>
      </c>
      <c r="AO29" s="1">
        <v>56015</v>
      </c>
      <c r="AP29" s="1">
        <v>56015</v>
      </c>
      <c r="AZ29" s="1">
        <v>6455615</v>
      </c>
      <c r="BC29" s="1">
        <v>65000</v>
      </c>
      <c r="BE29" s="1">
        <v>7105</v>
      </c>
    </row>
    <row r="30" spans="1:100">
      <c r="A30" s="1">
        <v>3</v>
      </c>
      <c r="B30" s="1">
        <v>285</v>
      </c>
      <c r="C30" s="1" t="s">
        <v>1544</v>
      </c>
      <c r="D30" s="1" t="s">
        <v>1547</v>
      </c>
      <c r="F30" s="1">
        <v>777052</v>
      </c>
      <c r="I30" s="1">
        <v>1</v>
      </c>
      <c r="J30" s="1">
        <v>1593723</v>
      </c>
      <c r="K30" s="1">
        <v>639897</v>
      </c>
      <c r="M30" s="1">
        <v>-3902824</v>
      </c>
      <c r="O30" s="1">
        <v>-3262927</v>
      </c>
      <c r="P30" s="1">
        <v>500000</v>
      </c>
      <c r="V30" s="1">
        <v>928679</v>
      </c>
      <c r="W30" s="1">
        <v>45783020</v>
      </c>
      <c r="AD30" s="1">
        <v>2430667</v>
      </c>
      <c r="AE30" s="1">
        <v>1996751</v>
      </c>
      <c r="AG30" s="1">
        <v>4427418</v>
      </c>
      <c r="AH30" s="1">
        <v>50999569</v>
      </c>
      <c r="AJ30" s="1">
        <v>8621435</v>
      </c>
      <c r="AK30" s="1">
        <v>8621435</v>
      </c>
      <c r="AN30" s="1">
        <v>149901</v>
      </c>
      <c r="AO30" s="1">
        <v>149901</v>
      </c>
      <c r="AP30" s="1">
        <v>8771336</v>
      </c>
      <c r="AZ30" s="1">
        <v>61235749</v>
      </c>
      <c r="BH30" s="1">
        <v>289131</v>
      </c>
      <c r="BN30" s="1">
        <v>5766582</v>
      </c>
      <c r="BO30" s="1">
        <v>37970599</v>
      </c>
      <c r="BY30" s="1">
        <v>3134048</v>
      </c>
      <c r="BZ30" s="1">
        <v>1117160</v>
      </c>
      <c r="CA30" s="1">
        <v>289131</v>
      </c>
      <c r="CC30" s="1">
        <v>2421390</v>
      </c>
      <c r="CI30" s="1">
        <v>712658</v>
      </c>
      <c r="CL30" s="1">
        <v>816670</v>
      </c>
    </row>
    <row r="31" spans="1:100">
      <c r="A31" s="1">
        <v>3</v>
      </c>
      <c r="B31" s="1">
        <v>290</v>
      </c>
      <c r="C31" s="1" t="s">
        <v>1544</v>
      </c>
      <c r="D31" s="1" t="s">
        <v>1548</v>
      </c>
      <c r="F31" s="1">
        <v>627887</v>
      </c>
      <c r="I31" s="1">
        <v>1</v>
      </c>
      <c r="J31" s="1">
        <v>9571603</v>
      </c>
      <c r="K31" s="1">
        <v>521291</v>
      </c>
      <c r="M31" s="1">
        <v>-13882839</v>
      </c>
      <c r="O31" s="1">
        <v>-13361548</v>
      </c>
      <c r="P31" s="1">
        <v>200000</v>
      </c>
      <c r="V31" s="1">
        <v>658561</v>
      </c>
      <c r="W31" s="1">
        <v>42646447</v>
      </c>
      <c r="Z31" s="1">
        <v>1994976</v>
      </c>
      <c r="AC31" s="1">
        <v>254112</v>
      </c>
      <c r="AD31" s="1">
        <v>2839675</v>
      </c>
      <c r="AE31" s="1">
        <v>1538392</v>
      </c>
      <c r="AG31" s="1">
        <v>10919543</v>
      </c>
      <c r="AH31" s="1">
        <v>53767554</v>
      </c>
      <c r="AI31" s="1">
        <v>50546</v>
      </c>
      <c r="AJ31" s="1">
        <v>2296065</v>
      </c>
      <c r="AK31" s="1">
        <v>2424223</v>
      </c>
      <c r="AL31" s="1">
        <v>109066</v>
      </c>
      <c r="AM31" s="1">
        <v>449358</v>
      </c>
      <c r="AN31" s="1">
        <v>6400215</v>
      </c>
      <c r="AO31" s="1">
        <v>7664599</v>
      </c>
      <c r="AP31" s="1">
        <v>10122209</v>
      </c>
      <c r="AZ31" s="1">
        <v>67716456</v>
      </c>
      <c r="BE31" s="1">
        <v>191334</v>
      </c>
      <c r="BF31" s="1">
        <v>114052</v>
      </c>
      <c r="BH31" s="1">
        <v>1564</v>
      </c>
      <c r="BJ31" s="1">
        <v>65024</v>
      </c>
      <c r="BN31" s="1">
        <v>22567423</v>
      </c>
      <c r="BO31" s="1">
        <v>19420463</v>
      </c>
      <c r="BS31" s="1">
        <v>3987002</v>
      </c>
      <c r="BU31" s="1">
        <v>33387</v>
      </c>
      <c r="BV31" s="1">
        <v>33387</v>
      </c>
      <c r="BW31" s="1">
        <v>705960</v>
      </c>
      <c r="BY31" s="1">
        <v>7616638</v>
      </c>
      <c r="CA31" s="1">
        <v>1564</v>
      </c>
      <c r="CC31" s="1">
        <v>6349545</v>
      </c>
      <c r="CI31" s="1">
        <v>1267093</v>
      </c>
      <c r="CL31" s="1">
        <v>8943715</v>
      </c>
      <c r="CU31" s="1">
        <v>12588</v>
      </c>
    </row>
    <row r="32" spans="1:100">
      <c r="A32" s="1">
        <v>3</v>
      </c>
      <c r="B32" s="1">
        <v>300</v>
      </c>
      <c r="C32" s="1" t="s">
        <v>1544</v>
      </c>
      <c r="D32" s="1" t="s">
        <v>1549</v>
      </c>
      <c r="F32" s="1">
        <v>875958</v>
      </c>
      <c r="H32" s="1">
        <v>125821</v>
      </c>
      <c r="J32" s="1">
        <v>1223128</v>
      </c>
      <c r="K32" s="1">
        <v>1330132</v>
      </c>
      <c r="L32" s="1">
        <v>255208</v>
      </c>
      <c r="M32" s="1">
        <v>116389</v>
      </c>
      <c r="N32" s="1">
        <v>30718</v>
      </c>
      <c r="O32" s="1">
        <v>1732447</v>
      </c>
      <c r="P32" s="1">
        <v>116389</v>
      </c>
      <c r="Q32" s="1">
        <v>39876425</v>
      </c>
      <c r="R32" s="1">
        <v>446821</v>
      </c>
      <c r="S32" s="1">
        <v>446821</v>
      </c>
      <c r="T32" s="1">
        <v>37909</v>
      </c>
      <c r="V32" s="1">
        <v>160847</v>
      </c>
      <c r="W32" s="1">
        <v>40522002</v>
      </c>
      <c r="X32" s="1">
        <v>4868281</v>
      </c>
      <c r="Y32" s="1">
        <v>536398</v>
      </c>
      <c r="Z32" s="1">
        <v>4311809</v>
      </c>
      <c r="AA32" s="1">
        <v>256852</v>
      </c>
      <c r="AB32" s="1">
        <v>546454</v>
      </c>
      <c r="AC32" s="1">
        <v>443255</v>
      </c>
      <c r="AD32" s="1">
        <v>3890150</v>
      </c>
      <c r="AE32" s="1">
        <v>1703206</v>
      </c>
      <c r="AG32" s="1">
        <v>16560955</v>
      </c>
      <c r="AH32" s="1">
        <v>57199346</v>
      </c>
      <c r="AI32" s="1">
        <v>16999</v>
      </c>
      <c r="AJ32" s="1">
        <v>207490</v>
      </c>
      <c r="AK32" s="1">
        <v>331816</v>
      </c>
      <c r="AL32" s="1">
        <v>157200</v>
      </c>
      <c r="AM32" s="1">
        <v>840891</v>
      </c>
      <c r="AN32" s="1">
        <v>591920</v>
      </c>
      <c r="AO32" s="1">
        <v>1590011</v>
      </c>
      <c r="AP32" s="1">
        <v>1937654</v>
      </c>
      <c r="AY32" s="1">
        <v>-116389</v>
      </c>
      <c r="AZ32" s="1">
        <v>61976186</v>
      </c>
      <c r="BA32" s="1">
        <v>2608</v>
      </c>
      <c r="BB32" s="1">
        <v>141520</v>
      </c>
      <c r="BF32" s="1">
        <v>4550</v>
      </c>
      <c r="BJ32" s="1">
        <v>107327</v>
      </c>
      <c r="BU32" s="1">
        <v>15827</v>
      </c>
      <c r="BV32" s="1">
        <v>15827</v>
      </c>
      <c r="BY32" s="1">
        <v>-116389</v>
      </c>
      <c r="CV32" s="1">
        <v>77221</v>
      </c>
    </row>
    <row r="33" spans="1:105">
      <c r="A33" s="1">
        <v>3</v>
      </c>
      <c r="B33" s="1">
        <v>440</v>
      </c>
      <c r="C33" s="1" t="s">
        <v>1544</v>
      </c>
      <c r="D33" s="1" t="s">
        <v>1550</v>
      </c>
      <c r="F33" s="1">
        <v>161128</v>
      </c>
      <c r="I33" s="1">
        <v>102164</v>
      </c>
      <c r="J33" s="1">
        <v>296724</v>
      </c>
      <c r="K33" s="1">
        <v>137626</v>
      </c>
      <c r="M33" s="1">
        <v>19445</v>
      </c>
      <c r="N33" s="1">
        <v>153504</v>
      </c>
      <c r="O33" s="1">
        <v>310575</v>
      </c>
      <c r="P33" s="1">
        <v>2917</v>
      </c>
      <c r="Q33" s="1">
        <v>10238743</v>
      </c>
      <c r="R33" s="1">
        <v>153063</v>
      </c>
      <c r="S33" s="1">
        <v>153063</v>
      </c>
      <c r="U33" s="1">
        <v>3288</v>
      </c>
      <c r="V33" s="1">
        <v>15478</v>
      </c>
      <c r="W33" s="1">
        <v>10487236</v>
      </c>
      <c r="X33" s="1">
        <v>2138184</v>
      </c>
      <c r="Y33" s="1">
        <v>93884</v>
      </c>
      <c r="Z33" s="1">
        <v>746584</v>
      </c>
      <c r="AA33" s="1">
        <v>64168</v>
      </c>
      <c r="AB33" s="1">
        <v>81967</v>
      </c>
      <c r="AC33" s="1">
        <v>120692</v>
      </c>
      <c r="AD33" s="1">
        <v>1001031</v>
      </c>
      <c r="AE33" s="1">
        <v>493396</v>
      </c>
      <c r="AG33" s="1">
        <v>5711832</v>
      </c>
      <c r="AH33" s="1">
        <v>16201985</v>
      </c>
      <c r="AI33" s="1">
        <v>42780</v>
      </c>
      <c r="AJ33" s="1">
        <v>136148</v>
      </c>
      <c r="AK33" s="1">
        <v>178928</v>
      </c>
      <c r="AL33" s="1">
        <v>204753</v>
      </c>
      <c r="AM33" s="1">
        <v>273462</v>
      </c>
      <c r="AN33" s="1">
        <v>52104</v>
      </c>
      <c r="AO33" s="1">
        <v>530319</v>
      </c>
      <c r="AP33" s="1">
        <v>709247</v>
      </c>
      <c r="AQ33" s="1">
        <v>576161</v>
      </c>
      <c r="AT33" s="1">
        <v>576161</v>
      </c>
      <c r="AU33" s="1">
        <v>13229</v>
      </c>
      <c r="AV33" s="1">
        <v>589390</v>
      </c>
      <c r="AW33" s="1">
        <v>589390</v>
      </c>
      <c r="AZ33" s="1">
        <v>18156179</v>
      </c>
      <c r="BE33" s="1">
        <v>121658</v>
      </c>
      <c r="BF33" s="1">
        <v>1300</v>
      </c>
      <c r="BQ33" s="1">
        <v>76664</v>
      </c>
      <c r="BR33" s="1">
        <v>848968</v>
      </c>
      <c r="BY33" s="1">
        <v>48258</v>
      </c>
      <c r="CI33" s="1">
        <v>48258</v>
      </c>
      <c r="CL33" s="1">
        <v>33432</v>
      </c>
    </row>
    <row r="34" spans="1:105">
      <c r="A34" s="1">
        <v>3</v>
      </c>
      <c r="B34" s="1">
        <v>740</v>
      </c>
      <c r="C34" s="1" t="s">
        <v>1544</v>
      </c>
      <c r="D34" s="1" t="s">
        <v>1551</v>
      </c>
      <c r="F34" s="1">
        <v>23924</v>
      </c>
      <c r="G34" s="1">
        <v>621722</v>
      </c>
      <c r="I34" s="1">
        <v>11001</v>
      </c>
      <c r="J34" s="1">
        <v>656647</v>
      </c>
      <c r="K34" s="1">
        <v>150823</v>
      </c>
      <c r="M34" s="1">
        <v>8668712</v>
      </c>
      <c r="N34" s="1">
        <v>151356</v>
      </c>
      <c r="O34" s="1">
        <v>8970891</v>
      </c>
      <c r="P34" s="1">
        <v>192846</v>
      </c>
      <c r="Q34" s="1">
        <v>7349150</v>
      </c>
      <c r="V34" s="1">
        <v>51799</v>
      </c>
      <c r="W34" s="1">
        <v>7400949</v>
      </c>
      <c r="Y34" s="1">
        <v>42654</v>
      </c>
      <c r="Z34" s="1">
        <v>277899</v>
      </c>
      <c r="AA34" s="1">
        <v>34896</v>
      </c>
      <c r="AB34" s="1">
        <v>15795</v>
      </c>
      <c r="AC34" s="1">
        <v>53873</v>
      </c>
      <c r="AD34" s="1">
        <v>570464</v>
      </c>
      <c r="AE34" s="1">
        <v>301675</v>
      </c>
      <c r="AG34" s="1">
        <v>1309536</v>
      </c>
      <c r="AH34" s="1">
        <v>8975463</v>
      </c>
      <c r="AJ34" s="1">
        <v>2162</v>
      </c>
      <c r="AK34" s="1">
        <v>2162</v>
      </c>
      <c r="AL34" s="1">
        <v>25722</v>
      </c>
      <c r="AM34" s="1">
        <v>126210</v>
      </c>
      <c r="AN34" s="1">
        <v>18893</v>
      </c>
      <c r="AO34" s="1">
        <v>170825</v>
      </c>
      <c r="AP34" s="1">
        <v>178899</v>
      </c>
      <c r="AQ34" s="1">
        <v>1533835</v>
      </c>
      <c r="AT34" s="1">
        <v>1533835</v>
      </c>
      <c r="AV34" s="1">
        <v>1533835</v>
      </c>
      <c r="AW34" s="1">
        <v>1533835</v>
      </c>
      <c r="AX34" s="1">
        <v>192846</v>
      </c>
      <c r="AY34" s="1">
        <v>-192846</v>
      </c>
      <c r="AZ34" s="1">
        <v>24477451</v>
      </c>
      <c r="BE34" s="1">
        <v>12280</v>
      </c>
      <c r="BU34" s="1">
        <v>5912</v>
      </c>
      <c r="BV34" s="1">
        <v>5912</v>
      </c>
      <c r="BY34" s="1">
        <v>4161716</v>
      </c>
      <c r="CG34" s="1">
        <v>72132</v>
      </c>
      <c r="CI34" s="1">
        <v>4161716</v>
      </c>
    </row>
    <row r="35" spans="1:105">
      <c r="A35" s="1">
        <v>3</v>
      </c>
      <c r="B35" s="1">
        <v>745</v>
      </c>
      <c r="C35" s="1" t="s">
        <v>1544</v>
      </c>
      <c r="D35" s="1" t="s">
        <v>1552</v>
      </c>
      <c r="F35" s="1">
        <v>104027</v>
      </c>
      <c r="G35" s="1">
        <v>189415</v>
      </c>
      <c r="H35" s="1">
        <v>96496</v>
      </c>
      <c r="I35" s="1">
        <v>37235</v>
      </c>
      <c r="J35" s="1">
        <v>427173</v>
      </c>
      <c r="K35" s="1">
        <v>222784</v>
      </c>
      <c r="L35" s="1">
        <v>13443</v>
      </c>
      <c r="M35" s="1">
        <v>1149309</v>
      </c>
      <c r="N35" s="1">
        <v>26147</v>
      </c>
      <c r="O35" s="1">
        <v>1411683</v>
      </c>
      <c r="Q35" s="1">
        <v>9850324</v>
      </c>
      <c r="U35" s="1">
        <v>1819</v>
      </c>
      <c r="V35" s="1">
        <v>208302</v>
      </c>
      <c r="W35" s="1">
        <v>10065732</v>
      </c>
      <c r="Y35" s="1">
        <v>79978</v>
      </c>
      <c r="Z35" s="1">
        <v>155683</v>
      </c>
      <c r="AA35" s="1">
        <v>43144</v>
      </c>
      <c r="AB35" s="1">
        <v>38250</v>
      </c>
      <c r="AC35" s="1">
        <v>60127</v>
      </c>
      <c r="AD35" s="1">
        <v>635576</v>
      </c>
      <c r="AE35" s="1">
        <v>300644</v>
      </c>
      <c r="AG35" s="1">
        <v>1495031</v>
      </c>
      <c r="AH35" s="1">
        <v>11560763</v>
      </c>
      <c r="AI35" s="1">
        <v>5355</v>
      </c>
      <c r="AK35" s="1">
        <v>5355</v>
      </c>
      <c r="AL35" s="1">
        <v>63360</v>
      </c>
      <c r="AM35" s="1">
        <v>109403</v>
      </c>
      <c r="AN35" s="1">
        <v>28203</v>
      </c>
      <c r="AO35" s="1">
        <v>200966</v>
      </c>
      <c r="AP35" s="1">
        <v>206321</v>
      </c>
      <c r="AV35" s="1">
        <v>44396</v>
      </c>
      <c r="AW35" s="1">
        <v>44396</v>
      </c>
      <c r="AX35" s="1">
        <v>44396</v>
      </c>
      <c r="AY35" s="1">
        <v>-44396</v>
      </c>
      <c r="AZ35" s="1">
        <v>13650336</v>
      </c>
      <c r="BE35" s="1">
        <v>14180</v>
      </c>
      <c r="BF35" s="1">
        <v>36584</v>
      </c>
      <c r="BL35" s="1">
        <v>44396</v>
      </c>
      <c r="BQ35" s="1">
        <v>5287</v>
      </c>
      <c r="BR35" s="1">
        <v>130865</v>
      </c>
    </row>
    <row r="36" spans="1:105">
      <c r="A36" s="1">
        <v>3</v>
      </c>
      <c r="B36" s="1">
        <v>890</v>
      </c>
      <c r="C36" s="1" t="s">
        <v>1544</v>
      </c>
      <c r="D36" s="1" t="s">
        <v>1553</v>
      </c>
      <c r="F36" s="1">
        <v>70000</v>
      </c>
      <c r="G36" s="1">
        <v>178387</v>
      </c>
      <c r="J36" s="1">
        <v>248387</v>
      </c>
      <c r="K36" s="1">
        <v>656073</v>
      </c>
      <c r="L36" s="1">
        <v>113242</v>
      </c>
      <c r="M36" s="1">
        <v>84587</v>
      </c>
      <c r="N36" s="1">
        <v>10</v>
      </c>
      <c r="O36" s="1">
        <v>853912</v>
      </c>
      <c r="Q36" s="1">
        <v>23525325</v>
      </c>
      <c r="S36" s="1">
        <v>4993919</v>
      </c>
      <c r="T36" s="1">
        <v>16200</v>
      </c>
      <c r="U36" s="1">
        <v>188266</v>
      </c>
      <c r="W36" s="1">
        <v>29116737</v>
      </c>
      <c r="Y36" s="1">
        <v>137025</v>
      </c>
      <c r="Z36" s="1">
        <v>1172210</v>
      </c>
      <c r="AA36" s="1">
        <v>405044</v>
      </c>
      <c r="AB36" s="1">
        <v>89578</v>
      </c>
      <c r="AC36" s="1">
        <v>237544</v>
      </c>
      <c r="AD36" s="1">
        <v>2136593</v>
      </c>
      <c r="AE36" s="1">
        <v>1148715</v>
      </c>
      <c r="AG36" s="1">
        <v>5754302</v>
      </c>
      <c r="AH36" s="1">
        <v>35037712</v>
      </c>
      <c r="AJ36" s="1">
        <v>151704</v>
      </c>
      <c r="AK36" s="1">
        <v>1976828</v>
      </c>
      <c r="AL36" s="1">
        <v>412083</v>
      </c>
      <c r="AM36" s="1">
        <v>524366</v>
      </c>
      <c r="AN36" s="1">
        <v>709642</v>
      </c>
      <c r="AO36" s="1">
        <v>1646091</v>
      </c>
      <c r="AP36" s="1">
        <v>3622919</v>
      </c>
      <c r="AQ36" s="1">
        <v>441357</v>
      </c>
      <c r="AT36" s="1">
        <v>441357</v>
      </c>
      <c r="AU36" s="1">
        <v>5667</v>
      </c>
      <c r="AV36" s="1">
        <v>542884</v>
      </c>
      <c r="AW36" s="1">
        <v>542884</v>
      </c>
      <c r="AZ36" s="1">
        <v>40305814</v>
      </c>
      <c r="BC36" s="1">
        <v>4993919</v>
      </c>
      <c r="BE36" s="1">
        <v>110346</v>
      </c>
      <c r="BF36" s="1">
        <v>317247</v>
      </c>
      <c r="BI36" s="1">
        <v>1226989</v>
      </c>
      <c r="BJ36" s="1">
        <v>499388</v>
      </c>
      <c r="BM36" s="1">
        <v>95860</v>
      </c>
      <c r="BQ36" s="1">
        <v>393027</v>
      </c>
      <c r="CG36" s="1">
        <v>166673</v>
      </c>
      <c r="CU36" s="1">
        <v>88195</v>
      </c>
      <c r="CW36" s="1">
        <v>10552</v>
      </c>
    </row>
    <row r="37" spans="1:105">
      <c r="A37" s="1">
        <v>3</v>
      </c>
      <c r="B37" s="1">
        <v>930</v>
      </c>
      <c r="C37" s="1" t="s">
        <v>1544</v>
      </c>
      <c r="D37" s="1" t="s">
        <v>1554</v>
      </c>
      <c r="F37" s="1">
        <v>145924</v>
      </c>
      <c r="G37" s="1">
        <v>188128</v>
      </c>
      <c r="H37" s="1">
        <v>105069</v>
      </c>
      <c r="I37" s="1">
        <v>84560</v>
      </c>
      <c r="J37" s="1">
        <v>633979</v>
      </c>
      <c r="K37" s="1">
        <v>331473</v>
      </c>
      <c r="L37" s="1">
        <v>29475</v>
      </c>
      <c r="M37" s="1">
        <v>2444</v>
      </c>
      <c r="N37" s="1">
        <v>38379</v>
      </c>
      <c r="O37" s="1">
        <v>401771</v>
      </c>
      <c r="P37" s="1">
        <v>54665</v>
      </c>
      <c r="Q37" s="1">
        <v>13720585</v>
      </c>
      <c r="R37" s="1">
        <v>75673</v>
      </c>
      <c r="S37" s="1">
        <v>75673</v>
      </c>
      <c r="U37" s="1">
        <v>4463</v>
      </c>
      <c r="V37" s="1">
        <v>99983</v>
      </c>
      <c r="W37" s="1">
        <v>13900704</v>
      </c>
      <c r="Z37" s="1">
        <v>560979</v>
      </c>
      <c r="AB37" s="1">
        <v>64189</v>
      </c>
      <c r="AC37" s="1">
        <v>75446</v>
      </c>
      <c r="AD37" s="1">
        <v>1100971</v>
      </c>
      <c r="AE37" s="1">
        <v>612178</v>
      </c>
      <c r="AG37" s="1">
        <v>2442263</v>
      </c>
      <c r="AH37" s="1">
        <v>16397632</v>
      </c>
      <c r="AJ37" s="1">
        <v>31530</v>
      </c>
      <c r="AK37" s="1">
        <v>31530</v>
      </c>
      <c r="AM37" s="1">
        <v>232295</v>
      </c>
      <c r="AO37" s="1">
        <v>232295</v>
      </c>
      <c r="AP37" s="1">
        <v>266313</v>
      </c>
      <c r="AQ37" s="1">
        <v>1022877</v>
      </c>
      <c r="AT37" s="1">
        <v>1022877</v>
      </c>
      <c r="AV37" s="1">
        <v>1025103</v>
      </c>
      <c r="AW37" s="1">
        <v>1025103</v>
      </c>
      <c r="AX37" s="1">
        <v>2226</v>
      </c>
      <c r="AY37" s="1">
        <v>-56891</v>
      </c>
      <c r="AZ37" s="1">
        <v>18686910</v>
      </c>
      <c r="BE37" s="1">
        <v>19093</v>
      </c>
      <c r="BF37" s="1">
        <v>9407</v>
      </c>
      <c r="BL37" s="1">
        <v>2226</v>
      </c>
      <c r="BU37" s="1">
        <v>2488</v>
      </c>
      <c r="BV37" s="1">
        <v>2488</v>
      </c>
      <c r="BY37" s="1">
        <v>-37888</v>
      </c>
      <c r="CI37" s="1">
        <v>16777</v>
      </c>
      <c r="CL37" s="1">
        <v>110298</v>
      </c>
    </row>
    <row r="38" spans="1:105">
      <c r="A38" s="1">
        <v>3</v>
      </c>
      <c r="B38" s="1">
        <v>990</v>
      </c>
      <c r="C38" s="1" t="s">
        <v>1544</v>
      </c>
      <c r="D38" s="1" t="s">
        <v>1555</v>
      </c>
      <c r="F38" s="1">
        <v>16038</v>
      </c>
      <c r="G38" s="1">
        <v>348217</v>
      </c>
      <c r="H38" s="1">
        <v>260346</v>
      </c>
      <c r="I38" s="1">
        <v>132729</v>
      </c>
      <c r="J38" s="1">
        <v>757330</v>
      </c>
      <c r="K38" s="1">
        <v>476119</v>
      </c>
      <c r="L38" s="1">
        <v>26796</v>
      </c>
      <c r="M38" s="1">
        <v>18139066</v>
      </c>
      <c r="N38" s="1">
        <v>22221</v>
      </c>
      <c r="O38" s="1">
        <v>18664202</v>
      </c>
      <c r="P38" s="1">
        <v>544349</v>
      </c>
      <c r="Q38" s="1">
        <v>18521666</v>
      </c>
      <c r="R38" s="1">
        <v>85949</v>
      </c>
      <c r="S38" s="1">
        <v>292449</v>
      </c>
      <c r="U38" s="1">
        <v>7000</v>
      </c>
      <c r="V38" s="1">
        <v>127890</v>
      </c>
      <c r="W38" s="1">
        <v>18953313</v>
      </c>
      <c r="Z38" s="1">
        <v>803849</v>
      </c>
      <c r="AB38" s="1">
        <v>78920</v>
      </c>
      <c r="AC38" s="1">
        <v>97137</v>
      </c>
      <c r="AD38" s="1">
        <v>1424359</v>
      </c>
      <c r="AE38" s="1">
        <v>811488</v>
      </c>
      <c r="AG38" s="1">
        <v>3359760</v>
      </c>
      <c r="AH38" s="1">
        <v>23137445</v>
      </c>
      <c r="AJ38" s="1">
        <v>81572</v>
      </c>
      <c r="AK38" s="1">
        <v>81572</v>
      </c>
      <c r="AM38" s="1">
        <v>289457</v>
      </c>
      <c r="AN38" s="1">
        <v>51222</v>
      </c>
      <c r="AO38" s="1">
        <v>340679</v>
      </c>
      <c r="AP38" s="1">
        <v>609130</v>
      </c>
      <c r="AQ38" s="1">
        <v>1623773</v>
      </c>
      <c r="AT38" s="1">
        <v>1623773</v>
      </c>
      <c r="AU38" s="1">
        <v>43946</v>
      </c>
      <c r="AV38" s="1">
        <v>1667719</v>
      </c>
      <c r="AW38" s="1">
        <v>1667719</v>
      </c>
      <c r="AX38" s="1">
        <v>544349</v>
      </c>
      <c r="AY38" s="1">
        <v>-544349</v>
      </c>
      <c r="AZ38" s="1">
        <v>54271369</v>
      </c>
      <c r="BC38" s="1">
        <v>206500</v>
      </c>
      <c r="BE38" s="1">
        <v>27030</v>
      </c>
      <c r="BF38" s="1">
        <v>116977</v>
      </c>
      <c r="BU38" s="1">
        <v>186879</v>
      </c>
      <c r="BV38" s="1">
        <v>186879</v>
      </c>
      <c r="BY38" s="1">
        <v>9435543</v>
      </c>
      <c r="CE38" s="1">
        <v>4308</v>
      </c>
      <c r="CG38" s="1">
        <v>280023</v>
      </c>
      <c r="CI38" s="1">
        <v>9435543</v>
      </c>
    </row>
    <row r="39" spans="1:105">
      <c r="A39" s="1">
        <v>3</v>
      </c>
      <c r="B39" s="1">
        <v>1070</v>
      </c>
      <c r="C39" s="1" t="s">
        <v>1544</v>
      </c>
      <c r="D39" s="1" t="s">
        <v>1556</v>
      </c>
      <c r="F39" s="1">
        <v>24956</v>
      </c>
      <c r="H39" s="1">
        <v>441403</v>
      </c>
      <c r="I39" s="1">
        <v>16594</v>
      </c>
      <c r="J39" s="1">
        <v>482953</v>
      </c>
      <c r="K39" s="1">
        <v>245157</v>
      </c>
      <c r="L39" s="1">
        <v>177438</v>
      </c>
      <c r="M39" s="1">
        <v>186836</v>
      </c>
      <c r="O39" s="1">
        <v>609431</v>
      </c>
      <c r="P39" s="1">
        <v>8490</v>
      </c>
      <c r="Q39" s="1">
        <v>9893854</v>
      </c>
      <c r="R39" s="1">
        <v>56662</v>
      </c>
      <c r="S39" s="1">
        <v>56662</v>
      </c>
      <c r="V39" s="1">
        <v>167411</v>
      </c>
      <c r="W39" s="1">
        <v>10117927</v>
      </c>
      <c r="Z39" s="1">
        <v>463656</v>
      </c>
      <c r="AB39" s="1">
        <v>47131</v>
      </c>
      <c r="AC39" s="1">
        <v>48318</v>
      </c>
      <c r="AD39" s="1">
        <v>582754</v>
      </c>
      <c r="AE39" s="1">
        <v>338624</v>
      </c>
      <c r="AG39" s="1">
        <v>1499773</v>
      </c>
      <c r="AH39" s="1">
        <v>11626190</v>
      </c>
      <c r="AJ39" s="1">
        <v>95513</v>
      </c>
      <c r="AK39" s="1">
        <v>95513</v>
      </c>
      <c r="AM39" s="1">
        <v>233493</v>
      </c>
      <c r="AO39" s="1">
        <v>233493</v>
      </c>
      <c r="AP39" s="1">
        <v>329006</v>
      </c>
      <c r="AQ39" s="1">
        <v>649950</v>
      </c>
      <c r="AT39" s="1">
        <v>649950</v>
      </c>
      <c r="AV39" s="1">
        <v>649950</v>
      </c>
      <c r="AW39" s="1">
        <v>649950</v>
      </c>
      <c r="AY39" s="1">
        <v>136319</v>
      </c>
      <c r="AZ39" s="1">
        <v>13833849</v>
      </c>
      <c r="BE39" s="1">
        <v>15359</v>
      </c>
      <c r="BF39" s="1">
        <v>3931</v>
      </c>
      <c r="BY39" s="1">
        <v>136319</v>
      </c>
    </row>
    <row r="40" spans="1:105">
      <c r="A40" s="1">
        <v>3</v>
      </c>
      <c r="B40" s="1">
        <v>1130</v>
      </c>
      <c r="C40" s="1" t="s">
        <v>1544</v>
      </c>
      <c r="D40" s="1" t="s">
        <v>1557</v>
      </c>
      <c r="F40" s="1">
        <v>293155</v>
      </c>
      <c r="I40" s="1">
        <v>1</v>
      </c>
      <c r="J40" s="1">
        <v>11968480</v>
      </c>
      <c r="K40" s="1">
        <v>695893</v>
      </c>
      <c r="L40" s="1">
        <v>1</v>
      </c>
      <c r="M40" s="1">
        <v>1915363</v>
      </c>
      <c r="N40" s="1">
        <v>212971</v>
      </c>
      <c r="O40" s="1">
        <v>2824228</v>
      </c>
      <c r="P40" s="1">
        <v>15726</v>
      </c>
      <c r="Q40" s="1">
        <v>27173953</v>
      </c>
      <c r="S40" s="1">
        <v>18433</v>
      </c>
      <c r="V40" s="1">
        <v>322978</v>
      </c>
      <c r="W40" s="1">
        <v>27515364</v>
      </c>
      <c r="X40" s="1">
        <v>4728390</v>
      </c>
      <c r="Y40" s="1">
        <v>246326</v>
      </c>
      <c r="Z40" s="1">
        <v>1467804</v>
      </c>
      <c r="AA40" s="1">
        <v>134176</v>
      </c>
      <c r="AB40" s="1">
        <v>173399</v>
      </c>
      <c r="AC40" s="1">
        <v>304583</v>
      </c>
      <c r="AD40" s="1">
        <v>2764116</v>
      </c>
      <c r="AE40" s="1">
        <v>1381865</v>
      </c>
      <c r="AG40" s="1">
        <v>11411322</v>
      </c>
      <c r="AH40" s="1">
        <v>39063159</v>
      </c>
      <c r="AL40" s="1">
        <v>75238</v>
      </c>
      <c r="AM40" s="1">
        <v>521027</v>
      </c>
      <c r="AN40" s="1">
        <v>109524</v>
      </c>
      <c r="AO40" s="1">
        <v>705789</v>
      </c>
      <c r="AP40" s="1">
        <v>705789</v>
      </c>
      <c r="AQ40" s="1">
        <v>1397488</v>
      </c>
      <c r="AT40" s="1">
        <v>1397488</v>
      </c>
      <c r="AV40" s="1">
        <v>1540657</v>
      </c>
      <c r="AW40" s="1">
        <v>1540657</v>
      </c>
      <c r="AY40" s="1">
        <v>56353</v>
      </c>
      <c r="AZ40" s="1">
        <v>56158666</v>
      </c>
      <c r="BA40" s="1">
        <v>6677</v>
      </c>
      <c r="BC40" s="1">
        <v>18433</v>
      </c>
      <c r="BE40" s="1">
        <v>206438</v>
      </c>
      <c r="BF40" s="1">
        <v>4225</v>
      </c>
      <c r="BL40" s="1">
        <v>143169</v>
      </c>
      <c r="BY40" s="1">
        <v>56353</v>
      </c>
      <c r="CG40" s="1">
        <v>120747</v>
      </c>
      <c r="CL40" s="1">
        <v>11668647</v>
      </c>
    </row>
    <row r="41" spans="1:105">
      <c r="A41" s="1">
        <v>3</v>
      </c>
      <c r="B41" s="1">
        <v>1230</v>
      </c>
      <c r="C41" s="1" t="s">
        <v>1544</v>
      </c>
      <c r="D41" s="1" t="s">
        <v>1558</v>
      </c>
      <c r="F41" s="1">
        <v>1062278</v>
      </c>
      <c r="I41" s="1">
        <v>392023</v>
      </c>
      <c r="J41" s="1">
        <v>1454301</v>
      </c>
      <c r="K41" s="1">
        <v>134918</v>
      </c>
      <c r="M41" s="1">
        <v>65249</v>
      </c>
      <c r="N41" s="1">
        <v>218</v>
      </c>
      <c r="O41" s="1">
        <v>200385</v>
      </c>
      <c r="Q41" s="1">
        <v>10337154</v>
      </c>
      <c r="V41" s="1">
        <v>120348</v>
      </c>
      <c r="W41" s="1">
        <v>10457502</v>
      </c>
      <c r="Y41" s="1">
        <v>53200</v>
      </c>
      <c r="Z41" s="1">
        <v>473935</v>
      </c>
      <c r="AA41" s="1">
        <v>70873</v>
      </c>
      <c r="AB41" s="1">
        <v>14583</v>
      </c>
      <c r="AC41" s="1">
        <v>78779</v>
      </c>
      <c r="AD41" s="1">
        <v>757665</v>
      </c>
      <c r="AE41" s="1">
        <v>483932</v>
      </c>
      <c r="AG41" s="1">
        <v>1955895</v>
      </c>
      <c r="AH41" s="1">
        <v>12413397</v>
      </c>
      <c r="AI41" s="1">
        <v>24117</v>
      </c>
      <c r="AJ41" s="1">
        <v>125477</v>
      </c>
      <c r="AK41" s="1">
        <v>212966</v>
      </c>
      <c r="AL41" s="1">
        <v>136359</v>
      </c>
      <c r="AM41" s="1">
        <v>192525</v>
      </c>
      <c r="AN41" s="1">
        <v>77847</v>
      </c>
      <c r="AO41" s="1">
        <v>406731</v>
      </c>
      <c r="AP41" s="1">
        <v>621440</v>
      </c>
      <c r="AQ41" s="1">
        <v>661590</v>
      </c>
      <c r="AT41" s="1">
        <v>661590</v>
      </c>
      <c r="AV41" s="1">
        <v>661590</v>
      </c>
      <c r="AW41" s="1">
        <v>661590</v>
      </c>
      <c r="AX41" s="1">
        <v>12204</v>
      </c>
      <c r="AZ41" s="1">
        <v>15411581</v>
      </c>
      <c r="BE41" s="1">
        <v>22928</v>
      </c>
      <c r="BJ41" s="1">
        <v>63372</v>
      </c>
      <c r="BU41" s="1">
        <v>1743</v>
      </c>
      <c r="BV41" s="1">
        <v>1743</v>
      </c>
      <c r="BY41" s="1">
        <v>60468</v>
      </c>
      <c r="CC41" s="1">
        <v>48264</v>
      </c>
    </row>
    <row r="42" spans="1:105">
      <c r="A42" s="1">
        <v>3</v>
      </c>
      <c r="B42" s="1">
        <v>1270</v>
      </c>
      <c r="C42" s="1" t="s">
        <v>1544</v>
      </c>
      <c r="D42" s="1" t="s">
        <v>1559</v>
      </c>
      <c r="F42" s="1">
        <v>276161</v>
      </c>
      <c r="G42" s="1">
        <v>422619</v>
      </c>
      <c r="H42" s="1">
        <v>316097</v>
      </c>
      <c r="I42" s="1">
        <v>456711</v>
      </c>
      <c r="J42" s="1">
        <v>1485409</v>
      </c>
      <c r="K42" s="1">
        <v>300481</v>
      </c>
      <c r="L42" s="1">
        <v>84439</v>
      </c>
      <c r="M42" s="1">
        <v>101713</v>
      </c>
      <c r="O42" s="1">
        <v>486633</v>
      </c>
      <c r="Q42" s="1">
        <v>10863869</v>
      </c>
      <c r="U42" s="1">
        <v>22829</v>
      </c>
      <c r="V42" s="1">
        <v>71497</v>
      </c>
      <c r="W42" s="1">
        <v>10958195</v>
      </c>
      <c r="Y42" s="1">
        <v>156041</v>
      </c>
      <c r="Z42" s="1">
        <v>426795</v>
      </c>
      <c r="AA42" s="1">
        <v>96584</v>
      </c>
      <c r="AB42" s="1">
        <v>102244</v>
      </c>
      <c r="AC42" s="1">
        <v>69782</v>
      </c>
      <c r="AD42" s="1">
        <v>382102</v>
      </c>
      <c r="AE42" s="1">
        <v>218033</v>
      </c>
      <c r="AG42" s="1">
        <v>1533898</v>
      </c>
      <c r="AH42" s="1">
        <v>12524133</v>
      </c>
      <c r="AJ42" s="1">
        <v>20583</v>
      </c>
      <c r="AK42" s="1">
        <v>291480</v>
      </c>
      <c r="AL42" s="1">
        <v>95651</v>
      </c>
      <c r="AM42" s="1">
        <v>104604</v>
      </c>
      <c r="AN42" s="1">
        <v>36206</v>
      </c>
      <c r="AO42" s="1">
        <v>236461</v>
      </c>
      <c r="AP42" s="1">
        <v>527941</v>
      </c>
      <c r="AQ42" s="1">
        <v>695876</v>
      </c>
      <c r="AT42" s="1">
        <v>695876</v>
      </c>
      <c r="AV42" s="1">
        <v>695876</v>
      </c>
      <c r="AW42" s="1">
        <v>695876</v>
      </c>
      <c r="AX42" s="1">
        <v>60875</v>
      </c>
      <c r="AY42" s="1">
        <v>-60875</v>
      </c>
      <c r="AZ42" s="1">
        <v>15719992</v>
      </c>
      <c r="BE42" s="1">
        <v>30853</v>
      </c>
      <c r="BF42" s="1">
        <v>51464</v>
      </c>
      <c r="BI42" s="1">
        <v>158498</v>
      </c>
      <c r="BJ42" s="1">
        <v>112399</v>
      </c>
      <c r="CL42" s="1">
        <v>13821</v>
      </c>
      <c r="CX42" s="1">
        <v>32040</v>
      </c>
    </row>
    <row r="43" spans="1:105">
      <c r="A43" s="1">
        <v>3</v>
      </c>
      <c r="B43" s="1">
        <v>1345</v>
      </c>
      <c r="C43" s="1" t="s">
        <v>1544</v>
      </c>
      <c r="D43" s="1" t="s">
        <v>1560</v>
      </c>
      <c r="F43" s="1">
        <v>408749</v>
      </c>
      <c r="I43" s="1">
        <v>305694</v>
      </c>
      <c r="J43" s="1">
        <v>714443</v>
      </c>
      <c r="K43" s="1">
        <v>306324</v>
      </c>
      <c r="L43" s="1">
        <v>1400000</v>
      </c>
      <c r="M43" s="1">
        <v>22606697</v>
      </c>
      <c r="N43" s="1">
        <v>559930</v>
      </c>
      <c r="O43" s="1">
        <v>24872951</v>
      </c>
      <c r="P43" s="1">
        <v>96976</v>
      </c>
      <c r="Q43" s="1">
        <v>23573986</v>
      </c>
      <c r="V43" s="1">
        <v>250916</v>
      </c>
      <c r="W43" s="1">
        <v>23824902</v>
      </c>
      <c r="Z43" s="1">
        <v>1670708</v>
      </c>
      <c r="AA43" s="1">
        <v>44742</v>
      </c>
      <c r="AB43" s="1">
        <v>164008</v>
      </c>
      <c r="AC43" s="1">
        <v>233813</v>
      </c>
      <c r="AD43" s="1">
        <v>1790711</v>
      </c>
      <c r="AE43" s="1">
        <v>704203</v>
      </c>
      <c r="AG43" s="1">
        <v>4695066</v>
      </c>
      <c r="AH43" s="1">
        <v>28616944</v>
      </c>
      <c r="AI43" s="1">
        <v>99740</v>
      </c>
      <c r="AJ43" s="1">
        <v>317417</v>
      </c>
      <c r="AK43" s="1">
        <v>417157</v>
      </c>
      <c r="AL43" s="1">
        <v>281717</v>
      </c>
      <c r="AM43" s="1">
        <v>538274</v>
      </c>
      <c r="AN43" s="1">
        <v>103195</v>
      </c>
      <c r="AO43" s="1">
        <v>923186</v>
      </c>
      <c r="AP43" s="1">
        <v>1340785</v>
      </c>
      <c r="AQ43" s="1">
        <v>1462374</v>
      </c>
      <c r="AT43" s="1">
        <v>1462374</v>
      </c>
      <c r="AV43" s="1">
        <v>1462374</v>
      </c>
      <c r="AW43" s="1">
        <v>1462374</v>
      </c>
      <c r="AX43" s="1">
        <v>96976</v>
      </c>
      <c r="AY43" s="1">
        <v>1208717</v>
      </c>
      <c r="AZ43" s="1">
        <v>58313190</v>
      </c>
      <c r="BE43" s="1">
        <v>61470</v>
      </c>
      <c r="BF43" s="1">
        <v>25411</v>
      </c>
      <c r="BU43" s="1">
        <v>442</v>
      </c>
      <c r="BV43" s="1">
        <v>442</v>
      </c>
      <c r="BY43" s="1">
        <v>1305693</v>
      </c>
    </row>
    <row r="44" spans="1:105">
      <c r="A44" s="1">
        <v>3</v>
      </c>
      <c r="B44" s="1">
        <v>1360</v>
      </c>
      <c r="C44" s="1" t="s">
        <v>1544</v>
      </c>
      <c r="D44" s="1" t="s">
        <v>1561</v>
      </c>
      <c r="F44" s="1">
        <v>115000</v>
      </c>
      <c r="I44" s="1">
        <v>447058</v>
      </c>
      <c r="J44" s="1">
        <v>608266</v>
      </c>
      <c r="K44" s="1">
        <v>442711</v>
      </c>
      <c r="L44" s="1">
        <v>175000</v>
      </c>
      <c r="N44" s="1">
        <v>2</v>
      </c>
      <c r="O44" s="1">
        <v>617713</v>
      </c>
      <c r="Q44" s="1">
        <v>13943163</v>
      </c>
      <c r="R44" s="1">
        <v>206773</v>
      </c>
      <c r="S44" s="1">
        <v>206773</v>
      </c>
      <c r="V44" s="1">
        <v>430504</v>
      </c>
      <c r="W44" s="1">
        <v>14896292</v>
      </c>
      <c r="Z44" s="1">
        <v>678512</v>
      </c>
      <c r="AA44" s="1">
        <v>9200</v>
      </c>
      <c r="AB44" s="1">
        <v>134187</v>
      </c>
      <c r="AD44" s="1">
        <v>1204110</v>
      </c>
      <c r="AE44" s="1">
        <v>486497</v>
      </c>
      <c r="AG44" s="1">
        <v>2512506</v>
      </c>
      <c r="AH44" s="1">
        <v>17408798</v>
      </c>
      <c r="AJ44" s="1">
        <v>63269</v>
      </c>
      <c r="AK44" s="1">
        <v>63269</v>
      </c>
      <c r="AM44" s="1">
        <v>222247</v>
      </c>
      <c r="AN44" s="1">
        <v>43417</v>
      </c>
      <c r="AO44" s="1">
        <v>265664</v>
      </c>
      <c r="AP44" s="1">
        <v>328933</v>
      </c>
      <c r="AQ44" s="1">
        <v>541898</v>
      </c>
      <c r="AT44" s="1">
        <v>541898</v>
      </c>
      <c r="AV44" s="1">
        <v>541898</v>
      </c>
      <c r="AW44" s="1">
        <v>541898</v>
      </c>
      <c r="AZ44" s="1">
        <v>19505608</v>
      </c>
      <c r="BA44" s="1">
        <v>46208</v>
      </c>
      <c r="CY44" s="1">
        <v>315852</v>
      </c>
    </row>
    <row r="45" spans="1:105">
      <c r="A45" s="1">
        <v>3</v>
      </c>
      <c r="B45" s="1">
        <v>1370</v>
      </c>
      <c r="C45" s="1" t="s">
        <v>1544</v>
      </c>
      <c r="D45" s="1" t="s">
        <v>1562</v>
      </c>
      <c r="F45" s="1">
        <v>213930</v>
      </c>
      <c r="G45" s="1">
        <v>533966</v>
      </c>
      <c r="J45" s="1">
        <v>747896</v>
      </c>
      <c r="K45" s="1">
        <v>1033844</v>
      </c>
      <c r="L45" s="1">
        <v>2639563</v>
      </c>
      <c r="M45" s="1">
        <v>22646939</v>
      </c>
      <c r="N45" s="1">
        <v>1704</v>
      </c>
      <c r="O45" s="1">
        <v>26322050</v>
      </c>
      <c r="P45" s="1">
        <v>803945</v>
      </c>
      <c r="Q45" s="1">
        <v>40600443</v>
      </c>
      <c r="R45" s="1">
        <v>82692</v>
      </c>
      <c r="S45" s="1">
        <v>82692</v>
      </c>
      <c r="V45" s="1">
        <v>2691799</v>
      </c>
      <c r="W45" s="1">
        <v>43488822</v>
      </c>
      <c r="Y45" s="1">
        <v>736241</v>
      </c>
      <c r="Z45" s="1">
        <v>2503994</v>
      </c>
      <c r="AA45" s="1">
        <v>295918</v>
      </c>
      <c r="AB45" s="1">
        <v>261295</v>
      </c>
      <c r="AC45" s="1">
        <v>314787</v>
      </c>
      <c r="AD45" s="1">
        <v>3158978</v>
      </c>
      <c r="AE45" s="1">
        <v>1590886</v>
      </c>
      <c r="AG45" s="1">
        <v>15852840</v>
      </c>
      <c r="AH45" s="1">
        <v>60145607</v>
      </c>
      <c r="AJ45" s="1">
        <v>676697</v>
      </c>
      <c r="AK45" s="1">
        <v>3909873</v>
      </c>
      <c r="AL45" s="1">
        <v>686694</v>
      </c>
      <c r="AM45" s="1">
        <v>973034</v>
      </c>
      <c r="AN45" s="1">
        <v>2169893</v>
      </c>
      <c r="AO45" s="1">
        <v>3829621</v>
      </c>
      <c r="AP45" s="1">
        <v>7753567</v>
      </c>
      <c r="AQ45" s="1">
        <v>2358026</v>
      </c>
      <c r="AT45" s="1">
        <v>2358026</v>
      </c>
      <c r="AV45" s="1">
        <v>2358026</v>
      </c>
      <c r="AW45" s="1">
        <v>2358026</v>
      </c>
      <c r="AX45" s="1">
        <v>803945</v>
      </c>
      <c r="AY45" s="1">
        <v>1535618</v>
      </c>
      <c r="AZ45" s="1">
        <v>101005553</v>
      </c>
      <c r="BE45" s="1">
        <v>249444</v>
      </c>
      <c r="BF45" s="1">
        <v>4264290</v>
      </c>
      <c r="BI45" s="1">
        <v>2167999</v>
      </c>
      <c r="BJ45" s="1">
        <v>1057576</v>
      </c>
      <c r="BR45" s="1">
        <v>103107</v>
      </c>
      <c r="BU45" s="1">
        <v>14073</v>
      </c>
      <c r="BV45" s="1">
        <v>14073</v>
      </c>
      <c r="BY45" s="1">
        <v>3678407</v>
      </c>
      <c r="CE45" s="1">
        <v>113888</v>
      </c>
      <c r="CH45" s="1">
        <v>2373900</v>
      </c>
      <c r="CI45" s="1">
        <v>1338844</v>
      </c>
      <c r="CU45" s="1">
        <v>2102</v>
      </c>
      <c r="CW45" s="1">
        <v>5499</v>
      </c>
    </row>
    <row r="46" spans="1:105">
      <c r="A46" s="1">
        <v>3</v>
      </c>
      <c r="B46" s="1">
        <v>1380</v>
      </c>
      <c r="C46" s="1" t="s">
        <v>1544</v>
      </c>
      <c r="D46" s="1" t="s">
        <v>1563</v>
      </c>
      <c r="F46" s="1">
        <v>327327</v>
      </c>
      <c r="G46" s="1">
        <v>284524</v>
      </c>
      <c r="I46" s="1">
        <v>1</v>
      </c>
      <c r="J46" s="1">
        <v>611852</v>
      </c>
      <c r="K46" s="1">
        <v>228965</v>
      </c>
      <c r="M46" s="1">
        <v>533841</v>
      </c>
      <c r="O46" s="1">
        <v>762806</v>
      </c>
      <c r="Q46" s="1">
        <v>8376177</v>
      </c>
      <c r="R46" s="1">
        <v>82100</v>
      </c>
      <c r="S46" s="1">
        <v>82100</v>
      </c>
      <c r="V46" s="1">
        <v>88602</v>
      </c>
      <c r="W46" s="1">
        <v>8546879</v>
      </c>
      <c r="Y46" s="1">
        <v>156312</v>
      </c>
      <c r="Z46" s="1">
        <v>334186</v>
      </c>
      <c r="AA46" s="1">
        <v>35058</v>
      </c>
      <c r="AB46" s="1">
        <v>50691</v>
      </c>
      <c r="AC46" s="1">
        <v>25428</v>
      </c>
      <c r="AD46" s="1">
        <v>688094</v>
      </c>
      <c r="AE46" s="1">
        <v>248129</v>
      </c>
      <c r="AG46" s="1">
        <v>1574603</v>
      </c>
      <c r="AH46" s="1">
        <v>10121482</v>
      </c>
      <c r="AM46" s="1">
        <v>88457</v>
      </c>
      <c r="AN46" s="1">
        <v>34972</v>
      </c>
      <c r="AO46" s="1">
        <v>123429</v>
      </c>
      <c r="AP46" s="1">
        <v>123429</v>
      </c>
      <c r="AQ46" s="1">
        <v>99000</v>
      </c>
      <c r="AT46" s="1">
        <v>99000</v>
      </c>
      <c r="AV46" s="1">
        <v>210386</v>
      </c>
      <c r="AW46" s="1">
        <v>210386</v>
      </c>
      <c r="AX46" s="1">
        <v>111386</v>
      </c>
      <c r="AY46" s="1">
        <v>-111386</v>
      </c>
      <c r="AZ46" s="1">
        <v>15785955</v>
      </c>
      <c r="BE46" s="1">
        <v>16844</v>
      </c>
      <c r="BF46" s="1">
        <v>9364</v>
      </c>
      <c r="BL46" s="1">
        <v>111386</v>
      </c>
      <c r="BR46" s="1">
        <v>10497</v>
      </c>
      <c r="BX46" s="1">
        <v>3956000</v>
      </c>
      <c r="BY46" s="1">
        <v>3956000</v>
      </c>
    </row>
    <row r="47" spans="1:105">
      <c r="A47" s="1">
        <v>3</v>
      </c>
      <c r="B47" s="1">
        <v>1450</v>
      </c>
      <c r="C47" s="1" t="s">
        <v>1544</v>
      </c>
      <c r="D47" s="1" t="s">
        <v>1564</v>
      </c>
      <c r="F47" s="1">
        <v>1517501</v>
      </c>
      <c r="G47" s="1">
        <v>98868</v>
      </c>
      <c r="I47" s="1">
        <v>122368</v>
      </c>
      <c r="J47" s="1">
        <v>8411353</v>
      </c>
      <c r="K47" s="1">
        <v>1988149</v>
      </c>
      <c r="M47" s="1">
        <v>2605139</v>
      </c>
      <c r="N47" s="1">
        <v>473708</v>
      </c>
      <c r="O47" s="1">
        <v>5066996</v>
      </c>
      <c r="Q47" s="1">
        <v>61516737</v>
      </c>
      <c r="S47" s="1">
        <v>490375</v>
      </c>
      <c r="U47" s="1">
        <v>5939</v>
      </c>
      <c r="W47" s="1">
        <v>64701885</v>
      </c>
      <c r="Y47" s="1">
        <v>379972</v>
      </c>
      <c r="Z47" s="1">
        <v>3777675</v>
      </c>
      <c r="AA47" s="1">
        <v>305260</v>
      </c>
      <c r="AB47" s="1">
        <v>548191</v>
      </c>
      <c r="AC47" s="1">
        <v>531374</v>
      </c>
      <c r="AD47" s="1">
        <v>5011570</v>
      </c>
      <c r="AE47" s="1">
        <v>2305500</v>
      </c>
      <c r="AG47" s="1">
        <v>13057866</v>
      </c>
      <c r="AH47" s="1">
        <v>77759751</v>
      </c>
      <c r="AJ47" s="1">
        <v>695894</v>
      </c>
      <c r="AK47" s="1">
        <v>695894</v>
      </c>
      <c r="AL47" s="1">
        <v>167043</v>
      </c>
      <c r="AM47" s="1">
        <v>1029380</v>
      </c>
      <c r="AN47" s="1">
        <v>173212</v>
      </c>
      <c r="AO47" s="1">
        <v>1369635</v>
      </c>
      <c r="AP47" s="1">
        <v>2082913</v>
      </c>
      <c r="AQ47" s="1">
        <v>1758531</v>
      </c>
      <c r="AT47" s="1">
        <v>1758531</v>
      </c>
      <c r="AV47" s="1">
        <v>1916307</v>
      </c>
      <c r="AW47" s="1">
        <v>1916307</v>
      </c>
      <c r="AZ47" s="1">
        <v>95237320</v>
      </c>
      <c r="BC47" s="1">
        <v>490375</v>
      </c>
      <c r="BE47" s="1">
        <v>149828</v>
      </c>
      <c r="BF47" s="1">
        <v>48496</v>
      </c>
      <c r="BL47" s="1">
        <v>157776</v>
      </c>
      <c r="BQ47" s="1">
        <v>2652157</v>
      </c>
      <c r="BU47" s="1">
        <v>17384</v>
      </c>
      <c r="BV47" s="1">
        <v>17384</v>
      </c>
      <c r="CL47" s="1">
        <v>6672616</v>
      </c>
      <c r="CZ47" s="1">
        <v>36677</v>
      </c>
    </row>
    <row r="48" spans="1:105">
      <c r="A48" s="1">
        <v>3</v>
      </c>
      <c r="B48" s="1">
        <v>1470</v>
      </c>
      <c r="C48" s="1" t="s">
        <v>1544</v>
      </c>
      <c r="D48" s="1" t="s">
        <v>1565</v>
      </c>
      <c r="E48" s="1">
        <v>200000</v>
      </c>
      <c r="F48" s="1">
        <v>379798</v>
      </c>
      <c r="G48" s="1">
        <v>72406</v>
      </c>
      <c r="H48" s="1">
        <v>45166</v>
      </c>
      <c r="J48" s="1">
        <v>1247370</v>
      </c>
      <c r="K48" s="1">
        <v>410172</v>
      </c>
      <c r="L48" s="1">
        <v>158861</v>
      </c>
      <c r="N48" s="1">
        <v>2</v>
      </c>
      <c r="O48" s="1">
        <v>569035</v>
      </c>
      <c r="Q48" s="1">
        <v>11056569</v>
      </c>
      <c r="V48" s="1">
        <v>218588</v>
      </c>
      <c r="W48" s="1">
        <v>11275157</v>
      </c>
      <c r="X48" s="1">
        <v>2026323</v>
      </c>
      <c r="Y48" s="1">
        <v>151808</v>
      </c>
      <c r="Z48" s="1">
        <v>802397</v>
      </c>
      <c r="AA48" s="1">
        <v>189162</v>
      </c>
      <c r="AB48" s="1">
        <v>54407</v>
      </c>
      <c r="AC48" s="1">
        <v>142737</v>
      </c>
      <c r="AD48" s="1">
        <v>628606</v>
      </c>
      <c r="AE48" s="1">
        <v>421071</v>
      </c>
      <c r="AG48" s="1">
        <v>5546591</v>
      </c>
      <c r="AH48" s="1">
        <v>16865080</v>
      </c>
      <c r="AJ48" s="1">
        <v>121104</v>
      </c>
      <c r="AK48" s="1">
        <v>991584</v>
      </c>
      <c r="AL48" s="1">
        <v>587765</v>
      </c>
      <c r="AM48" s="1">
        <v>367113</v>
      </c>
      <c r="AN48" s="1">
        <v>113195</v>
      </c>
      <c r="AO48" s="1">
        <v>1068073</v>
      </c>
      <c r="AP48" s="1">
        <v>2059657</v>
      </c>
      <c r="AQ48" s="1">
        <v>276896</v>
      </c>
      <c r="AT48" s="1">
        <v>276896</v>
      </c>
      <c r="AU48" s="1">
        <v>58155</v>
      </c>
      <c r="AV48" s="1">
        <v>335051</v>
      </c>
      <c r="AW48" s="1">
        <v>335051</v>
      </c>
      <c r="AZ48" s="1">
        <v>21076193</v>
      </c>
      <c r="BE48" s="1">
        <v>97174</v>
      </c>
      <c r="BF48" s="1">
        <v>114512</v>
      </c>
      <c r="BI48" s="1">
        <v>476213</v>
      </c>
      <c r="BJ48" s="1">
        <v>394267</v>
      </c>
      <c r="BR48" s="1">
        <v>918394</v>
      </c>
      <c r="CD48" s="1">
        <v>350000</v>
      </c>
      <c r="CG48" s="1">
        <v>43332</v>
      </c>
      <c r="DA48" s="1">
        <v>200000</v>
      </c>
    </row>
    <row r="49" spans="1:110">
      <c r="A49" s="1">
        <v>3</v>
      </c>
      <c r="B49" s="1">
        <v>1550</v>
      </c>
      <c r="C49" s="1" t="s">
        <v>1544</v>
      </c>
      <c r="D49" s="1" t="s">
        <v>1566</v>
      </c>
      <c r="F49" s="1">
        <v>961257</v>
      </c>
      <c r="G49" s="1">
        <v>183028</v>
      </c>
      <c r="H49" s="1">
        <v>56337</v>
      </c>
      <c r="I49" s="1">
        <v>1103890</v>
      </c>
      <c r="J49" s="1">
        <v>2304512</v>
      </c>
      <c r="K49" s="1">
        <v>1071306</v>
      </c>
      <c r="M49" s="1">
        <v>1042756</v>
      </c>
      <c r="O49" s="1">
        <v>2114062</v>
      </c>
      <c r="Q49" s="1">
        <v>42581845</v>
      </c>
      <c r="U49" s="1">
        <v>53422</v>
      </c>
      <c r="V49" s="1">
        <v>451452</v>
      </c>
      <c r="W49" s="1">
        <v>43137529</v>
      </c>
      <c r="Y49" s="1">
        <v>234506</v>
      </c>
      <c r="Z49" s="1">
        <v>1892463</v>
      </c>
      <c r="AA49" s="1">
        <v>483210</v>
      </c>
      <c r="AB49" s="1">
        <v>184414</v>
      </c>
      <c r="AC49" s="1">
        <v>388189</v>
      </c>
      <c r="AD49" s="1">
        <v>3203089</v>
      </c>
      <c r="AE49" s="1">
        <v>1659219</v>
      </c>
      <c r="AG49" s="1">
        <v>8164764</v>
      </c>
      <c r="AH49" s="1">
        <v>51302293</v>
      </c>
      <c r="AJ49" s="1">
        <v>147760</v>
      </c>
      <c r="AK49" s="1">
        <v>147760</v>
      </c>
      <c r="AL49" s="1">
        <v>665539</v>
      </c>
      <c r="AM49" s="1">
        <v>739555</v>
      </c>
      <c r="AN49" s="1">
        <v>494676</v>
      </c>
      <c r="AO49" s="1">
        <v>1899770</v>
      </c>
      <c r="AP49" s="1">
        <v>3876310</v>
      </c>
      <c r="AZ49" s="1">
        <v>59610828</v>
      </c>
      <c r="BE49" s="1">
        <v>89951</v>
      </c>
      <c r="BF49" s="1">
        <v>29723</v>
      </c>
      <c r="BQ49" s="1">
        <v>50810</v>
      </c>
      <c r="BU49" s="1">
        <v>1828780</v>
      </c>
      <c r="BV49" s="1">
        <v>1828780</v>
      </c>
      <c r="BY49" s="1">
        <v>13651</v>
      </c>
      <c r="CI49" s="1">
        <v>13651</v>
      </c>
      <c r="CK49" s="1">
        <v>207920</v>
      </c>
      <c r="DB49" s="1">
        <v>30000</v>
      </c>
    </row>
    <row r="50" spans="1:110">
      <c r="A50" s="1">
        <v>3</v>
      </c>
      <c r="B50" s="1">
        <v>1580</v>
      </c>
      <c r="C50" s="1" t="s">
        <v>1544</v>
      </c>
      <c r="D50" s="1" t="s">
        <v>1567</v>
      </c>
      <c r="F50" s="1">
        <v>171123</v>
      </c>
      <c r="G50" s="1">
        <v>49766</v>
      </c>
      <c r="I50" s="1">
        <v>52288</v>
      </c>
      <c r="J50" s="1">
        <v>284357</v>
      </c>
      <c r="K50" s="1">
        <v>511126</v>
      </c>
      <c r="M50" s="1">
        <v>-150779</v>
      </c>
      <c r="N50" s="1">
        <v>329</v>
      </c>
      <c r="O50" s="1">
        <v>360676</v>
      </c>
      <c r="P50" s="1">
        <v>1319</v>
      </c>
      <c r="Q50" s="1">
        <v>20267099</v>
      </c>
      <c r="R50" s="1">
        <v>1392942</v>
      </c>
      <c r="S50" s="1">
        <v>1392942</v>
      </c>
      <c r="V50" s="1">
        <v>131258</v>
      </c>
      <c r="W50" s="1">
        <v>21955099</v>
      </c>
      <c r="Y50" s="1">
        <v>353045</v>
      </c>
      <c r="Z50" s="1">
        <v>739427</v>
      </c>
      <c r="AB50" s="1">
        <v>44431</v>
      </c>
      <c r="AC50" s="1">
        <v>89911</v>
      </c>
      <c r="AD50" s="1">
        <v>1506439</v>
      </c>
      <c r="AE50" s="1">
        <v>885247</v>
      </c>
      <c r="AG50" s="1">
        <v>3737193</v>
      </c>
      <c r="AH50" s="1">
        <v>25693611</v>
      </c>
      <c r="AJ50" s="1">
        <v>127437</v>
      </c>
      <c r="AK50" s="1">
        <v>127437</v>
      </c>
      <c r="AM50" s="1">
        <v>312026</v>
      </c>
      <c r="AN50" s="1">
        <v>42296</v>
      </c>
      <c r="AO50" s="1">
        <v>354322</v>
      </c>
      <c r="AP50" s="1">
        <v>545032</v>
      </c>
      <c r="AQ50" s="1">
        <v>2287311</v>
      </c>
      <c r="AS50" s="1">
        <v>20961</v>
      </c>
      <c r="AT50" s="1">
        <v>2308272</v>
      </c>
      <c r="AV50" s="1">
        <v>2308272</v>
      </c>
      <c r="AW50" s="1">
        <v>2308272</v>
      </c>
      <c r="AX50" s="1">
        <v>1319</v>
      </c>
      <c r="AY50" s="1">
        <v>-1319</v>
      </c>
      <c r="AZ50" s="1">
        <v>29453931</v>
      </c>
      <c r="BE50" s="1">
        <v>35471</v>
      </c>
      <c r="BF50" s="1">
        <v>83222</v>
      </c>
      <c r="BU50" s="1">
        <v>63273</v>
      </c>
      <c r="BV50" s="1">
        <v>63273</v>
      </c>
      <c r="BY50" s="1">
        <v>261983</v>
      </c>
      <c r="CC50" s="1">
        <v>2979</v>
      </c>
      <c r="CI50" s="1">
        <v>259004</v>
      </c>
      <c r="CL50" s="1">
        <v>11180</v>
      </c>
      <c r="CZ50" s="1">
        <v>163800</v>
      </c>
      <c r="DC50" s="1">
        <v>20961</v>
      </c>
    </row>
    <row r="51" spans="1:110">
      <c r="A51" s="1">
        <v>3</v>
      </c>
      <c r="B51" s="1">
        <v>1700</v>
      </c>
      <c r="C51" s="1" t="s">
        <v>1544</v>
      </c>
      <c r="D51" s="1" t="s">
        <v>1568</v>
      </c>
      <c r="F51" s="1">
        <v>7734</v>
      </c>
      <c r="I51" s="1">
        <v>1</v>
      </c>
      <c r="J51" s="1">
        <v>823980</v>
      </c>
      <c r="K51" s="1">
        <v>-200182</v>
      </c>
      <c r="L51" s="1">
        <v>700000</v>
      </c>
      <c r="M51" s="1">
        <v>467115</v>
      </c>
      <c r="N51" s="1">
        <v>27361</v>
      </c>
      <c r="O51" s="1">
        <v>994294</v>
      </c>
      <c r="Q51" s="1">
        <v>20348191</v>
      </c>
      <c r="V51" s="1">
        <v>856229</v>
      </c>
      <c r="W51" s="1">
        <v>21204420</v>
      </c>
      <c r="X51" s="1">
        <v>13587511</v>
      </c>
      <c r="Y51" s="1">
        <v>664602</v>
      </c>
      <c r="Z51" s="1">
        <v>2879851</v>
      </c>
      <c r="AA51" s="1">
        <v>618754</v>
      </c>
      <c r="AB51" s="1">
        <v>171284</v>
      </c>
      <c r="AC51" s="1">
        <v>453802</v>
      </c>
      <c r="AD51" s="1">
        <v>3331260</v>
      </c>
      <c r="AE51" s="1">
        <v>2125415</v>
      </c>
      <c r="AG51" s="1">
        <v>41411875</v>
      </c>
      <c r="AH51" s="1">
        <v>62956133</v>
      </c>
      <c r="AJ51" s="1">
        <v>347577</v>
      </c>
      <c r="AK51" s="1">
        <v>6678664</v>
      </c>
      <c r="AL51" s="1">
        <v>794521</v>
      </c>
      <c r="AM51" s="1">
        <v>1170835</v>
      </c>
      <c r="AN51" s="1">
        <v>384841</v>
      </c>
      <c r="AO51" s="1">
        <v>2350197</v>
      </c>
      <c r="AP51" s="1">
        <v>9985888</v>
      </c>
      <c r="AQ51" s="1">
        <v>507892</v>
      </c>
      <c r="AT51" s="1">
        <v>507892</v>
      </c>
      <c r="AU51" s="1">
        <v>395103</v>
      </c>
      <c r="AV51" s="1">
        <v>928278</v>
      </c>
      <c r="AW51" s="1">
        <v>928278</v>
      </c>
      <c r="AX51" s="1">
        <v>25283</v>
      </c>
      <c r="AY51" s="1">
        <v>-25283</v>
      </c>
      <c r="AZ51" s="1">
        <v>89196040</v>
      </c>
      <c r="BA51" s="1">
        <v>816245</v>
      </c>
      <c r="BH51" s="1">
        <v>15359</v>
      </c>
      <c r="BI51" s="1">
        <v>2095651</v>
      </c>
      <c r="BJ51" s="1">
        <v>1330142</v>
      </c>
      <c r="BL51" s="1">
        <v>25283</v>
      </c>
      <c r="BU51" s="1">
        <v>9942</v>
      </c>
      <c r="BV51" s="1">
        <v>9942</v>
      </c>
      <c r="BY51" s="1">
        <v>13507467</v>
      </c>
      <c r="CA51" s="1">
        <v>15359</v>
      </c>
      <c r="CG51" s="1">
        <v>324479</v>
      </c>
      <c r="CI51" s="1">
        <v>13507467</v>
      </c>
      <c r="CO51" s="1">
        <v>16327786</v>
      </c>
      <c r="CP51" s="1">
        <v>2905294</v>
      </c>
      <c r="CQ51" s="1">
        <v>947085</v>
      </c>
      <c r="DD51" s="1">
        <v>1251610</v>
      </c>
    </row>
    <row r="52" spans="1:110">
      <c r="A52" s="1">
        <v>3</v>
      </c>
      <c r="B52" s="1">
        <v>1760</v>
      </c>
      <c r="C52" s="1" t="s">
        <v>1544</v>
      </c>
      <c r="D52" s="1" t="s">
        <v>1569</v>
      </c>
      <c r="F52" s="1">
        <v>464334</v>
      </c>
      <c r="G52" s="1">
        <v>250098</v>
      </c>
      <c r="H52" s="1">
        <v>365085</v>
      </c>
      <c r="I52" s="1">
        <v>200765</v>
      </c>
      <c r="J52" s="1">
        <v>1280282</v>
      </c>
      <c r="K52" s="1">
        <v>817156</v>
      </c>
      <c r="L52" s="1">
        <v>217318</v>
      </c>
      <c r="M52" s="1">
        <v>143582</v>
      </c>
      <c r="N52" s="1">
        <v>1</v>
      </c>
      <c r="O52" s="1">
        <v>1178057</v>
      </c>
      <c r="Q52" s="1">
        <v>33730381</v>
      </c>
      <c r="S52" s="1">
        <v>269546</v>
      </c>
      <c r="V52" s="1">
        <v>318594</v>
      </c>
      <c r="W52" s="1">
        <v>34318521</v>
      </c>
      <c r="Y52" s="1">
        <v>76355</v>
      </c>
      <c r="Z52" s="1">
        <v>1209911</v>
      </c>
      <c r="AA52" s="1">
        <v>110582</v>
      </c>
      <c r="AB52" s="1">
        <v>152077</v>
      </c>
      <c r="AC52" s="1">
        <v>150896</v>
      </c>
      <c r="AD52" s="1">
        <v>2308442</v>
      </c>
      <c r="AE52" s="1">
        <v>1224144</v>
      </c>
      <c r="AG52" s="1">
        <v>5445987</v>
      </c>
      <c r="AH52" s="1">
        <v>39764508</v>
      </c>
      <c r="AJ52" s="1">
        <v>207768</v>
      </c>
      <c r="AK52" s="1">
        <v>207768</v>
      </c>
      <c r="AM52" s="1">
        <v>502797</v>
      </c>
      <c r="AN52" s="1">
        <v>72843</v>
      </c>
      <c r="AO52" s="1">
        <v>580947</v>
      </c>
      <c r="AP52" s="1">
        <v>788715</v>
      </c>
      <c r="AQ52" s="1">
        <v>1131604</v>
      </c>
      <c r="AT52" s="1">
        <v>1131604</v>
      </c>
      <c r="AV52" s="1">
        <v>1131604</v>
      </c>
      <c r="AW52" s="1">
        <v>1131604</v>
      </c>
      <c r="AY52" s="1">
        <v>182402</v>
      </c>
      <c r="AZ52" s="1">
        <v>44325568</v>
      </c>
      <c r="BC52" s="1">
        <v>269546</v>
      </c>
      <c r="BE52" s="1">
        <v>51301</v>
      </c>
      <c r="BR52" s="1">
        <v>162279</v>
      </c>
      <c r="BY52" s="1">
        <v>182402</v>
      </c>
      <c r="CK52" s="1">
        <v>182402</v>
      </c>
      <c r="DE52" s="1">
        <v>5307</v>
      </c>
    </row>
    <row r="53" spans="1:110">
      <c r="A53" s="1">
        <v>3</v>
      </c>
      <c r="B53" s="1">
        <v>1860</v>
      </c>
      <c r="C53" s="1" t="s">
        <v>1544</v>
      </c>
      <c r="D53" s="1" t="s">
        <v>1570</v>
      </c>
      <c r="F53" s="1">
        <v>1470267</v>
      </c>
      <c r="G53" s="1">
        <v>2712494</v>
      </c>
      <c r="H53" s="1">
        <v>3180087</v>
      </c>
      <c r="I53" s="1">
        <v>2226188</v>
      </c>
      <c r="J53" s="1">
        <v>9589036</v>
      </c>
      <c r="K53" s="1">
        <v>1543418</v>
      </c>
      <c r="L53" s="1">
        <v>517137</v>
      </c>
      <c r="M53" s="1">
        <v>2454283</v>
      </c>
      <c r="N53" s="1">
        <v>299230</v>
      </c>
      <c r="O53" s="1">
        <v>4814068</v>
      </c>
      <c r="P53" s="1">
        <v>-2116899</v>
      </c>
      <c r="Q53" s="1">
        <v>53452727</v>
      </c>
      <c r="R53" s="1">
        <v>5273917</v>
      </c>
      <c r="S53" s="1">
        <v>5273917</v>
      </c>
      <c r="U53" s="1">
        <v>110654</v>
      </c>
      <c r="V53" s="1">
        <v>874143</v>
      </c>
      <c r="W53" s="1">
        <v>59711441</v>
      </c>
      <c r="Y53" s="1">
        <v>580033</v>
      </c>
      <c r="Z53" s="1">
        <v>4004188</v>
      </c>
      <c r="AA53" s="1">
        <v>472986</v>
      </c>
      <c r="AB53" s="1">
        <v>275791</v>
      </c>
      <c r="AC53" s="1">
        <v>514697</v>
      </c>
      <c r="AD53" s="1">
        <v>2687426</v>
      </c>
      <c r="AE53" s="1">
        <v>5445973</v>
      </c>
      <c r="AG53" s="1">
        <v>14649447</v>
      </c>
      <c r="AH53" s="1">
        <v>72244750</v>
      </c>
      <c r="AJ53" s="1">
        <v>580007</v>
      </c>
      <c r="AK53" s="1">
        <v>5114650</v>
      </c>
      <c r="AL53" s="1">
        <v>1020766</v>
      </c>
      <c r="AM53" s="1">
        <v>1170013</v>
      </c>
      <c r="AN53" s="1">
        <v>3117083</v>
      </c>
      <c r="AO53" s="1">
        <v>5308097</v>
      </c>
      <c r="AP53" s="1">
        <v>10456274</v>
      </c>
      <c r="AQ53" s="1">
        <v>1053774</v>
      </c>
      <c r="AT53" s="1">
        <v>1053774</v>
      </c>
      <c r="AV53" s="1">
        <v>1151585</v>
      </c>
      <c r="AW53" s="1">
        <v>1151585</v>
      </c>
      <c r="AY53" s="1">
        <v>2116899</v>
      </c>
      <c r="AZ53" s="1">
        <v>100372612</v>
      </c>
      <c r="BE53" s="1">
        <v>298852</v>
      </c>
      <c r="BF53" s="1">
        <v>367812</v>
      </c>
      <c r="BH53" s="1">
        <v>761</v>
      </c>
      <c r="BI53" s="1">
        <v>2435922</v>
      </c>
      <c r="BJ53" s="1">
        <v>2098721</v>
      </c>
      <c r="BK53" s="1">
        <v>235</v>
      </c>
      <c r="BM53" s="1">
        <v>97811</v>
      </c>
      <c r="BR53" s="1">
        <v>1689</v>
      </c>
      <c r="BU53" s="1">
        <v>33527</v>
      </c>
      <c r="BV53" s="1">
        <v>33527</v>
      </c>
      <c r="BY53" s="1">
        <v>2116899</v>
      </c>
      <c r="CA53" s="1">
        <v>761</v>
      </c>
    </row>
    <row r="54" spans="1:110">
      <c r="A54" s="1">
        <v>3</v>
      </c>
      <c r="B54" s="1">
        <v>2050</v>
      </c>
      <c r="C54" s="1" t="s">
        <v>1544</v>
      </c>
      <c r="D54" s="1" t="s">
        <v>1571</v>
      </c>
      <c r="F54" s="1">
        <v>510247</v>
      </c>
      <c r="G54" s="1">
        <v>59550</v>
      </c>
      <c r="H54" s="1">
        <v>62812</v>
      </c>
      <c r="I54" s="1">
        <v>1</v>
      </c>
      <c r="J54" s="1">
        <v>632610</v>
      </c>
      <c r="K54" s="1">
        <v>159321</v>
      </c>
      <c r="M54" s="1">
        <v>5528</v>
      </c>
      <c r="N54" s="1">
        <v>12411</v>
      </c>
      <c r="O54" s="1">
        <v>177260</v>
      </c>
      <c r="Q54" s="1">
        <v>8245695</v>
      </c>
      <c r="V54" s="1">
        <v>60122</v>
      </c>
      <c r="W54" s="1">
        <v>8305817</v>
      </c>
      <c r="Y54" s="1">
        <v>26681</v>
      </c>
      <c r="Z54" s="1">
        <v>301878</v>
      </c>
      <c r="AA54" s="1">
        <v>20862</v>
      </c>
      <c r="AB54" s="1">
        <v>36778</v>
      </c>
      <c r="AC54" s="1">
        <v>39485</v>
      </c>
      <c r="AD54" s="1">
        <v>592275</v>
      </c>
      <c r="AE54" s="1">
        <v>296128</v>
      </c>
      <c r="AG54" s="1">
        <v>1369500</v>
      </c>
      <c r="AH54" s="1">
        <v>9675317</v>
      </c>
      <c r="AJ54" s="1">
        <v>3000</v>
      </c>
      <c r="AK54" s="1">
        <v>3000</v>
      </c>
      <c r="AM54" s="1">
        <v>100000</v>
      </c>
      <c r="AN54" s="1">
        <v>8829</v>
      </c>
      <c r="AO54" s="1">
        <v>108829</v>
      </c>
      <c r="AP54" s="1">
        <v>112511</v>
      </c>
      <c r="AQ54" s="1">
        <v>327097</v>
      </c>
      <c r="AT54" s="1">
        <v>327097</v>
      </c>
      <c r="AV54" s="1">
        <v>327097</v>
      </c>
      <c r="AW54" s="1">
        <v>327097</v>
      </c>
      <c r="AZ54" s="1">
        <v>10924795</v>
      </c>
      <c r="BE54" s="1">
        <v>11667</v>
      </c>
      <c r="BF54" s="1">
        <v>43746</v>
      </c>
      <c r="BU54" s="1">
        <v>682</v>
      </c>
      <c r="BV54" s="1">
        <v>682</v>
      </c>
    </row>
    <row r="55" spans="1:110">
      <c r="A55" s="1">
        <v>3</v>
      </c>
      <c r="B55" s="1">
        <v>2080</v>
      </c>
      <c r="C55" s="1" t="s">
        <v>1544</v>
      </c>
      <c r="D55" s="1" t="s">
        <v>1572</v>
      </c>
      <c r="F55" s="1">
        <v>57302</v>
      </c>
      <c r="I55" s="1">
        <v>1</v>
      </c>
      <c r="J55" s="1">
        <v>57303</v>
      </c>
      <c r="K55" s="1">
        <v>438583</v>
      </c>
      <c r="N55" s="1">
        <v>30937</v>
      </c>
      <c r="O55" s="1">
        <v>469520</v>
      </c>
      <c r="Q55" s="1">
        <v>18764451</v>
      </c>
      <c r="S55" s="1">
        <v>250115</v>
      </c>
      <c r="V55" s="1">
        <v>114387</v>
      </c>
      <c r="W55" s="1">
        <v>19128953</v>
      </c>
      <c r="Y55" s="1">
        <v>132137</v>
      </c>
      <c r="Z55" s="1">
        <v>1121956</v>
      </c>
      <c r="AA55" s="1">
        <v>36172</v>
      </c>
      <c r="AB55" s="1">
        <v>111593</v>
      </c>
      <c r="AC55" s="1">
        <v>177308</v>
      </c>
      <c r="AD55" s="1">
        <v>1296758</v>
      </c>
      <c r="AE55" s="1">
        <v>755362</v>
      </c>
      <c r="AG55" s="1">
        <v>3676973</v>
      </c>
      <c r="AH55" s="1">
        <v>22908046</v>
      </c>
      <c r="AJ55" s="1">
        <v>218157</v>
      </c>
      <c r="AK55" s="1">
        <v>218157</v>
      </c>
      <c r="AM55" s="1">
        <v>358687</v>
      </c>
      <c r="AN55" s="1">
        <v>98098</v>
      </c>
      <c r="AO55" s="1">
        <v>456785</v>
      </c>
      <c r="AP55" s="1">
        <v>682942</v>
      </c>
      <c r="AQ55" s="1">
        <v>550690</v>
      </c>
      <c r="AT55" s="1">
        <v>550690</v>
      </c>
      <c r="AU55" s="1">
        <v>210587</v>
      </c>
      <c r="AV55" s="1">
        <v>761277</v>
      </c>
      <c r="AW55" s="1">
        <v>761277</v>
      </c>
      <c r="AZ55" s="1">
        <v>24879088</v>
      </c>
      <c r="BC55" s="1">
        <v>250115</v>
      </c>
      <c r="BE55" s="1">
        <v>44027</v>
      </c>
      <c r="BF55" s="1">
        <v>1660</v>
      </c>
      <c r="BU55" s="1">
        <v>8000</v>
      </c>
      <c r="BV55" s="1">
        <v>8000</v>
      </c>
      <c r="CG55" s="1">
        <v>102120</v>
      </c>
    </row>
    <row r="56" spans="1:110">
      <c r="A56" s="1">
        <v>3</v>
      </c>
      <c r="B56" s="1">
        <v>2090</v>
      </c>
      <c r="C56" s="1" t="s">
        <v>1544</v>
      </c>
      <c r="D56" s="1" t="s">
        <v>1573</v>
      </c>
      <c r="F56" s="1">
        <v>25289</v>
      </c>
      <c r="G56" s="1">
        <v>232566</v>
      </c>
      <c r="I56" s="1">
        <v>29544</v>
      </c>
      <c r="J56" s="1">
        <v>287399</v>
      </c>
      <c r="K56" s="1">
        <v>135664</v>
      </c>
      <c r="L56" s="1">
        <v>365068</v>
      </c>
      <c r="M56" s="1">
        <v>709594</v>
      </c>
      <c r="N56" s="1">
        <v>58084</v>
      </c>
      <c r="O56" s="1">
        <v>1268410</v>
      </c>
      <c r="Q56" s="1">
        <v>6249910</v>
      </c>
      <c r="S56" s="1">
        <v>115637</v>
      </c>
      <c r="V56" s="1">
        <v>42429</v>
      </c>
      <c r="W56" s="1">
        <v>6407976</v>
      </c>
      <c r="Y56" s="1">
        <v>55451</v>
      </c>
      <c r="Z56" s="1">
        <v>165993</v>
      </c>
      <c r="AA56" s="1">
        <v>8248</v>
      </c>
      <c r="AC56" s="1">
        <v>29815</v>
      </c>
      <c r="AD56" s="1">
        <v>414183</v>
      </c>
      <c r="AE56" s="1">
        <v>237047</v>
      </c>
      <c r="AG56" s="1">
        <v>1018462</v>
      </c>
      <c r="AH56" s="1">
        <v>7427804</v>
      </c>
      <c r="AM56" s="1">
        <v>92849</v>
      </c>
      <c r="AN56" s="1">
        <v>5446</v>
      </c>
      <c r="AO56" s="1">
        <v>98295</v>
      </c>
      <c r="AP56" s="1">
        <v>100682</v>
      </c>
      <c r="AQ56" s="1">
        <v>489050</v>
      </c>
      <c r="AT56" s="1">
        <v>489050</v>
      </c>
      <c r="AU56" s="1">
        <v>101874</v>
      </c>
      <c r="AV56" s="1">
        <v>616963</v>
      </c>
      <c r="AW56" s="1">
        <v>616963</v>
      </c>
      <c r="AZ56" s="1">
        <v>9701258</v>
      </c>
      <c r="BC56" s="1">
        <v>115637</v>
      </c>
      <c r="BE56" s="1">
        <v>9676</v>
      </c>
      <c r="BF56" s="1">
        <v>35008</v>
      </c>
      <c r="BH56" s="1">
        <v>1366</v>
      </c>
      <c r="BL56" s="1">
        <v>26039</v>
      </c>
      <c r="BR56" s="1">
        <v>63041</v>
      </c>
      <c r="BU56" s="1">
        <v>2387</v>
      </c>
      <c r="BV56" s="1">
        <v>2387</v>
      </c>
      <c r="CA56" s="1">
        <v>1366</v>
      </c>
    </row>
    <row r="57" spans="1:110">
      <c r="A57" s="1">
        <v>3</v>
      </c>
      <c r="B57" s="1">
        <v>2180</v>
      </c>
      <c r="C57" s="1" t="s">
        <v>1544</v>
      </c>
      <c r="D57" s="1" t="s">
        <v>1574</v>
      </c>
      <c r="F57" s="1">
        <v>107533</v>
      </c>
      <c r="I57" s="1">
        <v>81441</v>
      </c>
      <c r="J57" s="1">
        <v>188974</v>
      </c>
      <c r="K57" s="1">
        <v>271270</v>
      </c>
      <c r="L57" s="1">
        <v>100000</v>
      </c>
      <c r="M57" s="1">
        <v>81076</v>
      </c>
      <c r="N57" s="1">
        <v>1</v>
      </c>
      <c r="O57" s="1">
        <v>452347</v>
      </c>
      <c r="P57" s="1">
        <v>7968</v>
      </c>
      <c r="Q57" s="1">
        <v>14542646</v>
      </c>
      <c r="S57" s="1">
        <v>90001</v>
      </c>
      <c r="V57" s="1">
        <v>71542</v>
      </c>
      <c r="W57" s="1">
        <v>14704189</v>
      </c>
      <c r="Z57" s="1">
        <v>710226</v>
      </c>
      <c r="AB57" s="1">
        <v>41502</v>
      </c>
      <c r="AC57" s="1">
        <v>148122</v>
      </c>
      <c r="AD57" s="1">
        <v>1266343</v>
      </c>
      <c r="AE57" s="1">
        <v>606178</v>
      </c>
      <c r="AG57" s="1">
        <v>2887926</v>
      </c>
      <c r="AH57" s="1">
        <v>17600083</v>
      </c>
      <c r="AJ57" s="1">
        <v>232989</v>
      </c>
      <c r="AK57" s="1">
        <v>232989</v>
      </c>
      <c r="AL57" s="1">
        <v>28153</v>
      </c>
      <c r="AM57" s="1">
        <v>339368</v>
      </c>
      <c r="AN57" s="1">
        <v>96048</v>
      </c>
      <c r="AO57" s="1">
        <v>463569</v>
      </c>
      <c r="AP57" s="1">
        <v>699714</v>
      </c>
      <c r="AQ57" s="1">
        <v>810828</v>
      </c>
      <c r="AT57" s="1">
        <v>810828</v>
      </c>
      <c r="AU57" s="1">
        <v>6899</v>
      </c>
      <c r="AV57" s="1">
        <v>817727</v>
      </c>
      <c r="AW57" s="1">
        <v>817727</v>
      </c>
      <c r="AX57" s="1">
        <v>7968</v>
      </c>
      <c r="AY57" s="1">
        <v>-7968</v>
      </c>
      <c r="AZ57" s="1">
        <v>19758845</v>
      </c>
      <c r="BC57" s="1">
        <v>90001</v>
      </c>
      <c r="BE57" s="1">
        <v>25750</v>
      </c>
      <c r="BF57" s="1">
        <v>89805</v>
      </c>
      <c r="BU57" s="1">
        <v>3156</v>
      </c>
      <c r="BV57" s="1">
        <v>3156</v>
      </c>
    </row>
    <row r="58" spans="1:110">
      <c r="A58" s="1">
        <v>3</v>
      </c>
      <c r="B58" s="1">
        <v>2200</v>
      </c>
      <c r="C58" s="1" t="s">
        <v>1544</v>
      </c>
      <c r="D58" s="1" t="s">
        <v>1575</v>
      </c>
      <c r="F58" s="1">
        <v>129667</v>
      </c>
      <c r="G58" s="1">
        <v>13508</v>
      </c>
      <c r="H58" s="1">
        <v>26265</v>
      </c>
      <c r="I58" s="1">
        <v>157641</v>
      </c>
      <c r="J58" s="1">
        <v>327081</v>
      </c>
      <c r="K58" s="1">
        <v>231943</v>
      </c>
      <c r="L58" s="1">
        <v>109431</v>
      </c>
      <c r="M58" s="1">
        <v>161872</v>
      </c>
      <c r="O58" s="1">
        <v>503246</v>
      </c>
      <c r="Q58" s="1">
        <v>9458497</v>
      </c>
      <c r="R58" s="1">
        <v>418495</v>
      </c>
      <c r="S58" s="1">
        <v>455322</v>
      </c>
      <c r="U58" s="1">
        <v>2200</v>
      </c>
      <c r="V58" s="1">
        <v>124762</v>
      </c>
      <c r="W58" s="1">
        <v>10040781</v>
      </c>
      <c r="Z58" s="1">
        <v>578839</v>
      </c>
      <c r="AB58" s="1">
        <v>11903</v>
      </c>
      <c r="AC58" s="1">
        <v>44046</v>
      </c>
      <c r="AD58" s="1">
        <v>591611</v>
      </c>
      <c r="AE58" s="1">
        <v>315960</v>
      </c>
      <c r="AF58" s="1">
        <v>4993</v>
      </c>
      <c r="AG58" s="1">
        <v>1566039</v>
      </c>
      <c r="AH58" s="1">
        <v>11606820</v>
      </c>
      <c r="AJ58" s="1">
        <v>1156</v>
      </c>
      <c r="AK58" s="1">
        <v>1156</v>
      </c>
      <c r="AM58" s="1">
        <v>149256</v>
      </c>
      <c r="AN58" s="1">
        <v>10986</v>
      </c>
      <c r="AO58" s="1">
        <v>160242</v>
      </c>
      <c r="AP58" s="1">
        <v>175979</v>
      </c>
      <c r="AQ58" s="1">
        <v>781411</v>
      </c>
      <c r="AT58" s="1">
        <v>781411</v>
      </c>
      <c r="AU58" s="1">
        <v>86513</v>
      </c>
      <c r="AV58" s="1">
        <v>869348</v>
      </c>
      <c r="AW58" s="1">
        <v>869348</v>
      </c>
      <c r="AZ58" s="1">
        <v>13482474</v>
      </c>
      <c r="BC58" s="1">
        <v>36827</v>
      </c>
      <c r="BE58" s="1">
        <v>18687</v>
      </c>
      <c r="BL58" s="1">
        <v>1424</v>
      </c>
      <c r="BU58" s="1">
        <v>14581</v>
      </c>
      <c r="BV58" s="1">
        <v>14581</v>
      </c>
      <c r="CJ58" s="1">
        <v>135696</v>
      </c>
    </row>
    <row r="59" spans="1:110">
      <c r="A59" s="1">
        <v>3</v>
      </c>
      <c r="B59" s="1">
        <v>2620</v>
      </c>
      <c r="C59" s="1" t="s">
        <v>1544</v>
      </c>
      <c r="D59" s="1" t="s">
        <v>1576</v>
      </c>
      <c r="F59" s="1">
        <v>129408</v>
      </c>
      <c r="H59" s="1">
        <v>26338</v>
      </c>
      <c r="J59" s="1">
        <v>155746</v>
      </c>
      <c r="K59" s="1">
        <v>427217</v>
      </c>
      <c r="L59" s="1">
        <v>458518</v>
      </c>
      <c r="M59" s="1">
        <v>3350370</v>
      </c>
      <c r="N59" s="1">
        <v>154489</v>
      </c>
      <c r="O59" s="1">
        <v>4390594</v>
      </c>
      <c r="Q59" s="1">
        <v>14333093</v>
      </c>
      <c r="R59" s="1">
        <v>4975907</v>
      </c>
      <c r="S59" s="1">
        <v>4975907</v>
      </c>
      <c r="V59" s="1">
        <v>51765</v>
      </c>
      <c r="W59" s="1">
        <v>19360765</v>
      </c>
      <c r="X59" s="1">
        <v>1395172</v>
      </c>
      <c r="Y59" s="1">
        <v>97614</v>
      </c>
      <c r="Z59" s="1">
        <v>1105766</v>
      </c>
      <c r="AA59" s="1">
        <v>253886</v>
      </c>
      <c r="AB59" s="1">
        <v>21167</v>
      </c>
      <c r="AC59" s="1">
        <v>96686</v>
      </c>
      <c r="AD59" s="1">
        <v>1642096</v>
      </c>
      <c r="AE59" s="1">
        <v>889386</v>
      </c>
      <c r="AG59" s="1">
        <v>5628804</v>
      </c>
      <c r="AH59" s="1">
        <v>24989569</v>
      </c>
      <c r="AJ59" s="1">
        <v>103336</v>
      </c>
      <c r="AK59" s="1">
        <v>103336</v>
      </c>
      <c r="AL59" s="1">
        <v>84006</v>
      </c>
      <c r="AM59" s="1">
        <v>252659</v>
      </c>
      <c r="AN59" s="1">
        <v>95104</v>
      </c>
      <c r="AO59" s="1">
        <v>432109</v>
      </c>
      <c r="AP59" s="1">
        <v>535445</v>
      </c>
      <c r="AQ59" s="1">
        <v>1260323</v>
      </c>
      <c r="AR59" s="1">
        <v>116827</v>
      </c>
      <c r="AS59" s="1">
        <v>116827</v>
      </c>
      <c r="AT59" s="1">
        <v>1377150</v>
      </c>
      <c r="AU59" s="1">
        <v>48812</v>
      </c>
      <c r="AV59" s="1">
        <v>1425962</v>
      </c>
      <c r="AW59" s="1">
        <v>1425962</v>
      </c>
      <c r="AZ59" s="1">
        <v>31497316</v>
      </c>
      <c r="BE59" s="1">
        <v>88797</v>
      </c>
      <c r="BF59" s="1">
        <v>38234</v>
      </c>
      <c r="DE59" s="1">
        <v>340</v>
      </c>
    </row>
    <row r="60" spans="1:110">
      <c r="A60" s="1">
        <v>3</v>
      </c>
      <c r="B60" s="1">
        <v>2710</v>
      </c>
      <c r="C60" s="1" t="s">
        <v>1544</v>
      </c>
      <c r="D60" s="1" t="s">
        <v>1577</v>
      </c>
      <c r="E60" s="1">
        <v>150000</v>
      </c>
      <c r="F60" s="1">
        <v>222599</v>
      </c>
      <c r="G60" s="1">
        <v>94619</v>
      </c>
      <c r="H60" s="1">
        <v>189759</v>
      </c>
      <c r="I60" s="1">
        <v>96253</v>
      </c>
      <c r="J60" s="1">
        <v>753230</v>
      </c>
      <c r="K60" s="1">
        <v>307988</v>
      </c>
      <c r="L60" s="1">
        <v>929</v>
      </c>
      <c r="M60" s="1">
        <v>45515</v>
      </c>
      <c r="O60" s="1">
        <v>354432</v>
      </c>
      <c r="Q60" s="1">
        <v>13285276</v>
      </c>
      <c r="S60" s="1">
        <v>58273</v>
      </c>
      <c r="U60" s="1">
        <v>5079</v>
      </c>
      <c r="V60" s="1">
        <v>179812</v>
      </c>
      <c r="W60" s="1">
        <v>13528440</v>
      </c>
      <c r="Y60" s="1">
        <v>279789</v>
      </c>
      <c r="Z60" s="1">
        <v>790392</v>
      </c>
      <c r="AA60" s="1">
        <v>167706</v>
      </c>
      <c r="AB60" s="1">
        <v>45936</v>
      </c>
      <c r="AC60" s="1">
        <v>127824</v>
      </c>
      <c r="AD60" s="1">
        <v>557239</v>
      </c>
      <c r="AE60" s="1">
        <v>76249</v>
      </c>
      <c r="AG60" s="1">
        <v>2095734</v>
      </c>
      <c r="AH60" s="1">
        <v>15624174</v>
      </c>
      <c r="AK60" s="1">
        <v>90000</v>
      </c>
      <c r="AL60" s="1">
        <v>100061</v>
      </c>
      <c r="AM60" s="1">
        <v>245808</v>
      </c>
      <c r="AN60" s="1">
        <v>81237</v>
      </c>
      <c r="AO60" s="1">
        <v>430208</v>
      </c>
      <c r="AP60" s="1">
        <v>520208</v>
      </c>
      <c r="AU60" s="1">
        <v>478400</v>
      </c>
      <c r="AV60" s="1">
        <v>478400</v>
      </c>
      <c r="AW60" s="1">
        <v>478400</v>
      </c>
      <c r="AZ60" s="1">
        <v>17730444</v>
      </c>
      <c r="BC60" s="1">
        <v>58273</v>
      </c>
      <c r="BE60" s="1">
        <v>40971</v>
      </c>
      <c r="BF60" s="1">
        <v>9628</v>
      </c>
      <c r="BI60" s="1">
        <v>90000</v>
      </c>
      <c r="DE60" s="1">
        <v>3102</v>
      </c>
    </row>
    <row r="61" spans="1:110">
      <c r="A61" s="1">
        <v>3</v>
      </c>
      <c r="B61" s="1">
        <v>2740</v>
      </c>
      <c r="C61" s="1" t="s">
        <v>1544</v>
      </c>
      <c r="D61" s="1" t="s">
        <v>1578</v>
      </c>
      <c r="F61" s="1">
        <v>210867</v>
      </c>
      <c r="G61" s="1">
        <v>1067419</v>
      </c>
      <c r="H61" s="1">
        <v>522039</v>
      </c>
      <c r="I61" s="1">
        <v>9257</v>
      </c>
      <c r="J61" s="1">
        <v>1882243</v>
      </c>
      <c r="K61" s="1">
        <v>905460</v>
      </c>
      <c r="L61" s="1">
        <v>616278</v>
      </c>
      <c r="M61" s="1">
        <v>1105</v>
      </c>
      <c r="N61" s="1">
        <v>1699</v>
      </c>
      <c r="O61" s="1">
        <v>1524542</v>
      </c>
      <c r="Q61" s="1">
        <v>30866646</v>
      </c>
      <c r="R61" s="1">
        <v>15170</v>
      </c>
      <c r="S61" s="1">
        <v>15170</v>
      </c>
      <c r="U61" s="1">
        <v>104</v>
      </c>
      <c r="V61" s="1">
        <v>485896</v>
      </c>
      <c r="W61" s="1">
        <v>31367816</v>
      </c>
      <c r="X61" s="1">
        <v>5210513</v>
      </c>
      <c r="Y61" s="1">
        <v>416900</v>
      </c>
      <c r="Z61" s="1">
        <v>1999480</v>
      </c>
      <c r="AA61" s="1">
        <v>331208</v>
      </c>
      <c r="AB61" s="1">
        <v>137767</v>
      </c>
      <c r="AC61" s="1">
        <v>343533</v>
      </c>
      <c r="AD61" s="1">
        <v>2740444</v>
      </c>
      <c r="AE61" s="1">
        <v>1362966</v>
      </c>
      <c r="AG61" s="1">
        <v>12862908</v>
      </c>
      <c r="AH61" s="1">
        <v>44241026</v>
      </c>
      <c r="AJ61" s="1">
        <v>84484</v>
      </c>
      <c r="AK61" s="1">
        <v>2184097</v>
      </c>
      <c r="AL61" s="1">
        <v>404860</v>
      </c>
      <c r="AM61" s="1">
        <v>722228</v>
      </c>
      <c r="AN61" s="1">
        <v>193036</v>
      </c>
      <c r="AO61" s="1">
        <v>1320124</v>
      </c>
      <c r="AP61" s="1">
        <v>3504221</v>
      </c>
      <c r="AQ61" s="1">
        <v>812481</v>
      </c>
      <c r="AT61" s="1">
        <v>812481</v>
      </c>
      <c r="AU61" s="1">
        <v>112708</v>
      </c>
      <c r="AV61" s="1">
        <v>925189</v>
      </c>
      <c r="AW61" s="1">
        <v>925189</v>
      </c>
      <c r="AX61" s="1">
        <v>331</v>
      </c>
      <c r="AZ61" s="1">
        <v>52077552</v>
      </c>
      <c r="BA61" s="1">
        <v>72661</v>
      </c>
      <c r="BE61" s="1">
        <v>313655</v>
      </c>
      <c r="BF61" s="1">
        <v>6442</v>
      </c>
      <c r="BH61" s="1">
        <v>10302</v>
      </c>
      <c r="BI61" s="1">
        <v>1490447</v>
      </c>
      <c r="BJ61" s="1">
        <v>609166</v>
      </c>
      <c r="BY61" s="1">
        <v>331</v>
      </c>
      <c r="CA61" s="1">
        <v>10302</v>
      </c>
    </row>
    <row r="62" spans="1:110">
      <c r="A62" s="1">
        <v>3</v>
      </c>
      <c r="B62" s="1">
        <v>2860</v>
      </c>
      <c r="C62" s="1" t="s">
        <v>1544</v>
      </c>
      <c r="D62" s="1" t="s">
        <v>1579</v>
      </c>
      <c r="F62" s="1">
        <v>299950</v>
      </c>
      <c r="J62" s="1">
        <v>299950</v>
      </c>
      <c r="K62" s="1">
        <v>327477</v>
      </c>
      <c r="L62" s="1">
        <v>700199</v>
      </c>
      <c r="N62" s="1">
        <v>284</v>
      </c>
      <c r="O62" s="1">
        <v>1027960</v>
      </c>
      <c r="Q62" s="1">
        <v>25756895</v>
      </c>
      <c r="R62" s="1">
        <v>12006</v>
      </c>
      <c r="S62" s="1">
        <v>12006</v>
      </c>
      <c r="V62" s="1">
        <v>218770</v>
      </c>
      <c r="W62" s="1">
        <v>25987671</v>
      </c>
      <c r="Y62" s="1">
        <v>272818</v>
      </c>
      <c r="Z62" s="1">
        <v>1300792</v>
      </c>
      <c r="AA62" s="1">
        <v>31824</v>
      </c>
      <c r="AB62" s="1">
        <v>86139</v>
      </c>
      <c r="AC62" s="1">
        <v>230631</v>
      </c>
      <c r="AD62" s="1">
        <v>2052735</v>
      </c>
      <c r="AE62" s="1">
        <v>1029913</v>
      </c>
      <c r="AG62" s="1">
        <v>5136914</v>
      </c>
      <c r="AH62" s="1">
        <v>31127518</v>
      </c>
      <c r="AI62" s="1">
        <v>70928</v>
      </c>
      <c r="AJ62" s="1">
        <v>133985</v>
      </c>
      <c r="AK62" s="1">
        <v>204913</v>
      </c>
      <c r="AL62" s="1">
        <v>184872</v>
      </c>
      <c r="AM62" s="1">
        <v>569830</v>
      </c>
      <c r="AN62" s="1">
        <v>88046</v>
      </c>
      <c r="AO62" s="1">
        <v>842748</v>
      </c>
      <c r="AP62" s="1">
        <v>1047661</v>
      </c>
      <c r="AQ62" s="1">
        <v>769000</v>
      </c>
      <c r="AT62" s="1">
        <v>769000</v>
      </c>
      <c r="AV62" s="1">
        <v>769000</v>
      </c>
      <c r="AW62" s="1">
        <v>769000</v>
      </c>
      <c r="AZ62" s="1">
        <v>34272089</v>
      </c>
      <c r="BE62" s="1">
        <v>59306</v>
      </c>
      <c r="BF62" s="1">
        <v>2867</v>
      </c>
      <c r="BH62" s="1">
        <v>2933</v>
      </c>
      <c r="BR62" s="1">
        <v>69889</v>
      </c>
      <c r="CA62" s="1">
        <v>2933</v>
      </c>
    </row>
    <row r="63" spans="1:110">
      <c r="A63" s="1">
        <v>3</v>
      </c>
      <c r="B63" s="1">
        <v>2900</v>
      </c>
      <c r="C63" s="1" t="s">
        <v>1544</v>
      </c>
      <c r="D63" s="1" t="s">
        <v>1580</v>
      </c>
      <c r="F63" s="1">
        <v>814532</v>
      </c>
      <c r="G63" s="1">
        <v>926083</v>
      </c>
      <c r="H63" s="1">
        <v>712560</v>
      </c>
      <c r="I63" s="1">
        <v>999981</v>
      </c>
      <c r="J63" s="1">
        <v>3453156</v>
      </c>
      <c r="K63" s="1">
        <v>1136071</v>
      </c>
      <c r="L63" s="1">
        <v>597440</v>
      </c>
      <c r="M63" s="1">
        <v>1614457</v>
      </c>
      <c r="N63" s="1">
        <v>60457</v>
      </c>
      <c r="O63" s="1">
        <v>3408425</v>
      </c>
      <c r="Q63" s="1">
        <v>45107181</v>
      </c>
      <c r="S63" s="1">
        <v>6950</v>
      </c>
      <c r="T63" s="1">
        <v>34258</v>
      </c>
      <c r="U63" s="1">
        <v>60145</v>
      </c>
      <c r="V63" s="1">
        <v>572439</v>
      </c>
      <c r="W63" s="1">
        <v>45780973</v>
      </c>
      <c r="Y63" s="1">
        <v>756729</v>
      </c>
      <c r="Z63" s="1">
        <v>2519918</v>
      </c>
      <c r="AA63" s="1">
        <v>49128</v>
      </c>
      <c r="AB63" s="1">
        <v>203801</v>
      </c>
      <c r="AC63" s="1">
        <v>135321</v>
      </c>
      <c r="AD63" s="1">
        <v>2916813</v>
      </c>
      <c r="AE63" s="1">
        <v>1664800</v>
      </c>
      <c r="AG63" s="1">
        <v>8389950</v>
      </c>
      <c r="AH63" s="1">
        <v>54170923</v>
      </c>
      <c r="AJ63" s="1">
        <v>58642</v>
      </c>
      <c r="AK63" s="1">
        <v>58642</v>
      </c>
      <c r="AL63" s="1">
        <v>132248</v>
      </c>
      <c r="AM63" s="1">
        <v>639808</v>
      </c>
      <c r="AN63" s="1">
        <v>164346</v>
      </c>
      <c r="AO63" s="1">
        <v>936402</v>
      </c>
      <c r="AP63" s="1">
        <v>995044</v>
      </c>
      <c r="AQ63" s="1">
        <v>2844069</v>
      </c>
      <c r="AT63" s="1">
        <v>2844069</v>
      </c>
      <c r="AV63" s="1">
        <v>2851682</v>
      </c>
      <c r="AW63" s="1">
        <v>2851682</v>
      </c>
      <c r="AY63" s="1">
        <v>1281517</v>
      </c>
      <c r="AZ63" s="1">
        <v>66160747</v>
      </c>
      <c r="BC63" s="1">
        <v>6950</v>
      </c>
      <c r="BE63" s="1">
        <v>103833</v>
      </c>
      <c r="BF63" s="1">
        <v>39607</v>
      </c>
      <c r="BL63" s="1">
        <v>7613</v>
      </c>
      <c r="BY63" s="1">
        <v>1281517</v>
      </c>
      <c r="CJ63" s="1">
        <v>1060000</v>
      </c>
      <c r="DB63" s="1">
        <v>250000</v>
      </c>
    </row>
    <row r="64" spans="1:110">
      <c r="A64" s="1">
        <v>3</v>
      </c>
      <c r="B64" s="1">
        <v>3060</v>
      </c>
      <c r="C64" s="1" t="s">
        <v>1544</v>
      </c>
      <c r="D64" s="1" t="s">
        <v>1581</v>
      </c>
      <c r="E64" s="1">
        <v>261000</v>
      </c>
      <c r="F64" s="1">
        <v>42630</v>
      </c>
      <c r="G64" s="1">
        <v>624388</v>
      </c>
      <c r="H64" s="1">
        <v>385000</v>
      </c>
      <c r="I64" s="1">
        <v>53615</v>
      </c>
      <c r="J64" s="1">
        <v>16937033</v>
      </c>
      <c r="K64" s="1">
        <v>338251</v>
      </c>
      <c r="L64" s="1">
        <v>113806</v>
      </c>
      <c r="M64" s="1">
        <v>-5631591</v>
      </c>
      <c r="N64" s="1">
        <v>311477</v>
      </c>
      <c r="O64" s="1">
        <v>-4868057</v>
      </c>
      <c r="P64" s="1">
        <v>304593</v>
      </c>
      <c r="Q64" s="1">
        <v>13037857</v>
      </c>
      <c r="U64" s="1">
        <v>274395</v>
      </c>
      <c r="W64" s="1">
        <v>13405244</v>
      </c>
      <c r="Z64" s="1">
        <v>972595</v>
      </c>
      <c r="AA64" s="1">
        <v>4874</v>
      </c>
      <c r="AB64" s="1">
        <v>69167</v>
      </c>
      <c r="AC64" s="1">
        <v>123106</v>
      </c>
      <c r="AD64" s="1">
        <v>734197</v>
      </c>
      <c r="AE64" s="1">
        <v>372924</v>
      </c>
      <c r="AG64" s="1">
        <v>2319900</v>
      </c>
      <c r="AH64" s="1">
        <v>16029737</v>
      </c>
      <c r="AI64" s="1">
        <v>9357</v>
      </c>
      <c r="AJ64" s="1">
        <v>16326</v>
      </c>
      <c r="AK64" s="1">
        <v>25683</v>
      </c>
      <c r="AL64" s="1">
        <v>67732</v>
      </c>
      <c r="AM64" s="1">
        <v>239985</v>
      </c>
      <c r="AN64" s="1">
        <v>37358</v>
      </c>
      <c r="AO64" s="1">
        <v>345075</v>
      </c>
      <c r="AP64" s="1">
        <v>371758</v>
      </c>
      <c r="AQ64" s="1">
        <v>642041</v>
      </c>
      <c r="AT64" s="1">
        <v>642041</v>
      </c>
      <c r="AV64" s="1">
        <v>642041</v>
      </c>
      <c r="AW64" s="1">
        <v>642041</v>
      </c>
      <c r="AX64" s="1">
        <v>302344</v>
      </c>
      <c r="AY64" s="1">
        <v>-304593</v>
      </c>
      <c r="AZ64" s="1">
        <v>36172652</v>
      </c>
      <c r="BE64" s="1">
        <v>33298</v>
      </c>
      <c r="BF64" s="1">
        <v>9739</v>
      </c>
      <c r="BQ64" s="1">
        <v>92992</v>
      </c>
      <c r="BU64" s="1">
        <v>1000</v>
      </c>
      <c r="BV64" s="1">
        <v>1000</v>
      </c>
      <c r="BX64" s="1">
        <v>2249</v>
      </c>
      <c r="BY64" s="1">
        <v>7060140</v>
      </c>
      <c r="CD64" s="1">
        <v>263000</v>
      </c>
      <c r="CI64" s="1">
        <v>5018140</v>
      </c>
      <c r="CL64" s="1">
        <v>15057400</v>
      </c>
      <c r="DA64" s="1">
        <v>250000</v>
      </c>
      <c r="DF64" s="1">
        <v>2042000</v>
      </c>
    </row>
    <row r="65" spans="1:112">
      <c r="A65" s="1">
        <v>3</v>
      </c>
      <c r="B65" s="1">
        <v>3170</v>
      </c>
      <c r="C65" s="1" t="s">
        <v>1544</v>
      </c>
      <c r="D65" s="1" t="s">
        <v>1582</v>
      </c>
      <c r="G65" s="1">
        <v>112719</v>
      </c>
      <c r="H65" s="1">
        <v>36046</v>
      </c>
      <c r="I65" s="1">
        <v>128532</v>
      </c>
      <c r="J65" s="1">
        <v>555318</v>
      </c>
      <c r="K65" s="1">
        <v>413940</v>
      </c>
      <c r="L65" s="1">
        <v>189707</v>
      </c>
      <c r="M65" s="1">
        <v>-10478</v>
      </c>
      <c r="O65" s="1">
        <v>593169</v>
      </c>
      <c r="P65" s="1">
        <v>51</v>
      </c>
      <c r="Q65" s="1">
        <v>14448910</v>
      </c>
      <c r="R65" s="1">
        <v>63395</v>
      </c>
      <c r="S65" s="1">
        <v>63395</v>
      </c>
      <c r="U65" s="1">
        <v>4637</v>
      </c>
      <c r="V65" s="1">
        <v>164665</v>
      </c>
      <c r="W65" s="1">
        <v>16032778</v>
      </c>
      <c r="Z65" s="1">
        <v>857702</v>
      </c>
      <c r="AB65" s="1">
        <v>86138</v>
      </c>
      <c r="AC65" s="1">
        <v>124203</v>
      </c>
      <c r="AD65" s="1">
        <v>1075650</v>
      </c>
      <c r="AE65" s="1">
        <v>604059</v>
      </c>
      <c r="AG65" s="1">
        <v>2779426</v>
      </c>
      <c r="AH65" s="1">
        <v>18812255</v>
      </c>
      <c r="AJ65" s="1">
        <v>165493</v>
      </c>
      <c r="AK65" s="1">
        <v>165493</v>
      </c>
      <c r="AL65" s="1">
        <v>30940</v>
      </c>
      <c r="AM65" s="1">
        <v>285512</v>
      </c>
      <c r="AN65" s="1">
        <v>50870</v>
      </c>
      <c r="AO65" s="1">
        <v>367322</v>
      </c>
      <c r="AP65" s="1">
        <v>532815</v>
      </c>
      <c r="AQ65" s="1">
        <v>450590</v>
      </c>
      <c r="AT65" s="1">
        <v>450590</v>
      </c>
      <c r="AV65" s="1">
        <v>450590</v>
      </c>
      <c r="AW65" s="1">
        <v>450590</v>
      </c>
      <c r="AX65" s="1">
        <v>51</v>
      </c>
      <c r="AY65" s="1">
        <v>-51</v>
      </c>
      <c r="AZ65" s="1">
        <v>20945125</v>
      </c>
      <c r="BE65" s="1">
        <v>29457</v>
      </c>
      <c r="BF65" s="1">
        <v>2217</v>
      </c>
      <c r="BQ65" s="1">
        <v>1351171</v>
      </c>
      <c r="BY65" s="1">
        <v>978</v>
      </c>
      <c r="CI65" s="1">
        <v>978</v>
      </c>
      <c r="CL65" s="1">
        <v>115750</v>
      </c>
      <c r="CV65" s="1">
        <v>162271</v>
      </c>
    </row>
    <row r="66" spans="1:112">
      <c r="A66" s="1">
        <v>3</v>
      </c>
      <c r="B66" s="1">
        <v>3330</v>
      </c>
      <c r="C66" s="1" t="s">
        <v>1544</v>
      </c>
      <c r="D66" s="1" t="s">
        <v>1583</v>
      </c>
      <c r="F66" s="1">
        <v>45030</v>
      </c>
      <c r="G66" s="1">
        <v>329093</v>
      </c>
      <c r="H66" s="1">
        <v>345101</v>
      </c>
      <c r="I66" s="1">
        <v>83869</v>
      </c>
      <c r="J66" s="1">
        <v>803093</v>
      </c>
      <c r="K66" s="1">
        <v>292016</v>
      </c>
      <c r="L66" s="1">
        <v>100000</v>
      </c>
      <c r="M66" s="1">
        <v>1280043</v>
      </c>
      <c r="N66" s="1">
        <v>25020</v>
      </c>
      <c r="O66" s="1">
        <v>1697079</v>
      </c>
      <c r="Q66" s="1">
        <v>11418991</v>
      </c>
      <c r="S66" s="1">
        <v>56</v>
      </c>
      <c r="U66" s="1">
        <v>4035</v>
      </c>
      <c r="V66" s="1">
        <v>133721</v>
      </c>
      <c r="W66" s="1">
        <v>11594770</v>
      </c>
      <c r="Z66" s="1">
        <v>610682</v>
      </c>
      <c r="AB66" s="1">
        <v>37875</v>
      </c>
      <c r="AC66" s="1">
        <v>60967</v>
      </c>
      <c r="AD66" s="1">
        <v>991490</v>
      </c>
      <c r="AE66" s="1">
        <v>510958</v>
      </c>
      <c r="AG66" s="1">
        <v>2286031</v>
      </c>
      <c r="AH66" s="1">
        <v>13881645</v>
      </c>
      <c r="AK66" s="1">
        <v>1892</v>
      </c>
      <c r="AM66" s="1">
        <v>183529</v>
      </c>
      <c r="AN66" s="1">
        <v>26298</v>
      </c>
      <c r="AO66" s="1">
        <v>209827</v>
      </c>
      <c r="AP66" s="1">
        <v>215545</v>
      </c>
      <c r="AQ66" s="1">
        <v>547552</v>
      </c>
      <c r="AT66" s="1">
        <v>547552</v>
      </c>
      <c r="AV66" s="1">
        <v>590496</v>
      </c>
      <c r="AW66" s="1">
        <v>590496</v>
      </c>
      <c r="AZ66" s="1">
        <v>19558858</v>
      </c>
      <c r="BC66" s="1">
        <v>56</v>
      </c>
      <c r="BE66" s="1">
        <v>20149</v>
      </c>
      <c r="BF66" s="1">
        <v>53910</v>
      </c>
      <c r="BI66" s="1">
        <v>1892</v>
      </c>
      <c r="BL66" s="1">
        <v>42944</v>
      </c>
      <c r="BU66" s="1">
        <v>3826</v>
      </c>
      <c r="BV66" s="1">
        <v>3826</v>
      </c>
      <c r="BY66" s="1">
        <v>2371000</v>
      </c>
      <c r="CC66" s="1">
        <v>2371000</v>
      </c>
      <c r="CX66" s="1">
        <v>844</v>
      </c>
      <c r="CZ66" s="1">
        <v>37967</v>
      </c>
    </row>
    <row r="67" spans="1:112">
      <c r="A67" s="1">
        <v>3</v>
      </c>
      <c r="B67" s="1">
        <v>3350</v>
      </c>
      <c r="C67" s="1" t="s">
        <v>1544</v>
      </c>
      <c r="D67" s="1" t="s">
        <v>1584</v>
      </c>
      <c r="E67" s="1">
        <v>12000</v>
      </c>
      <c r="F67" s="1">
        <v>186746</v>
      </c>
      <c r="G67" s="1">
        <v>9160</v>
      </c>
      <c r="H67" s="1">
        <v>116138</v>
      </c>
      <c r="I67" s="1">
        <v>5252</v>
      </c>
      <c r="J67" s="1">
        <v>419296</v>
      </c>
      <c r="K67" s="1">
        <v>136962</v>
      </c>
      <c r="L67" s="1">
        <v>203814</v>
      </c>
      <c r="M67" s="1">
        <v>345</v>
      </c>
      <c r="N67" s="1">
        <v>1</v>
      </c>
      <c r="O67" s="1">
        <v>341122</v>
      </c>
      <c r="Q67" s="1">
        <v>5527255</v>
      </c>
      <c r="R67" s="1">
        <v>243997</v>
      </c>
      <c r="S67" s="1">
        <v>243997</v>
      </c>
      <c r="U67" s="1">
        <v>41074</v>
      </c>
      <c r="W67" s="1">
        <v>5919537</v>
      </c>
      <c r="Y67" s="1">
        <v>107383</v>
      </c>
      <c r="Z67" s="1">
        <v>362968</v>
      </c>
      <c r="AA67" s="1">
        <v>14016</v>
      </c>
      <c r="AB67" s="1">
        <v>12931</v>
      </c>
      <c r="AC67" s="1">
        <v>40158</v>
      </c>
      <c r="AD67" s="1">
        <v>136369</v>
      </c>
      <c r="AE67" s="1">
        <v>171797</v>
      </c>
      <c r="AG67" s="1">
        <v>864064</v>
      </c>
      <c r="AH67" s="1">
        <v>6783946</v>
      </c>
      <c r="AI67" s="1">
        <v>12891</v>
      </c>
      <c r="AJ67" s="1">
        <v>4500</v>
      </c>
      <c r="AK67" s="1">
        <v>17391</v>
      </c>
      <c r="AL67" s="1">
        <v>50558</v>
      </c>
      <c r="AM67" s="1">
        <v>92421</v>
      </c>
      <c r="AN67" s="1">
        <v>13538</v>
      </c>
      <c r="AO67" s="1">
        <v>156517</v>
      </c>
      <c r="AP67" s="1">
        <v>173908</v>
      </c>
      <c r="AQ67" s="1">
        <v>362116</v>
      </c>
      <c r="AT67" s="1">
        <v>362116</v>
      </c>
      <c r="AV67" s="1">
        <v>362116</v>
      </c>
      <c r="AW67" s="1">
        <v>362116</v>
      </c>
      <c r="AY67" s="1">
        <v>-345</v>
      </c>
      <c r="AZ67" s="1">
        <v>8080043</v>
      </c>
      <c r="BE67" s="1">
        <v>16122</v>
      </c>
      <c r="BF67" s="1">
        <v>2320</v>
      </c>
      <c r="BQ67" s="1">
        <v>107211</v>
      </c>
      <c r="BY67" s="1">
        <v>-345</v>
      </c>
      <c r="CX67" s="1">
        <v>345</v>
      </c>
      <c r="DA67" s="1">
        <v>90000</v>
      </c>
    </row>
    <row r="68" spans="1:112">
      <c r="A68" s="1">
        <v>3</v>
      </c>
      <c r="B68" s="1">
        <v>3550</v>
      </c>
      <c r="C68" s="1" t="s">
        <v>1544</v>
      </c>
      <c r="D68" s="1" t="s">
        <v>1585</v>
      </c>
      <c r="F68" s="1">
        <v>775465</v>
      </c>
      <c r="G68" s="1">
        <v>231227</v>
      </c>
      <c r="H68" s="1">
        <v>618841</v>
      </c>
      <c r="I68" s="1">
        <v>459315</v>
      </c>
      <c r="J68" s="1">
        <v>2150386</v>
      </c>
      <c r="K68" s="1">
        <v>467926</v>
      </c>
      <c r="M68" s="1">
        <v>74163</v>
      </c>
      <c r="O68" s="1">
        <v>542089</v>
      </c>
      <c r="P68" s="1">
        <v>3809</v>
      </c>
      <c r="Q68" s="1">
        <v>22156722</v>
      </c>
      <c r="S68" s="1">
        <v>7549</v>
      </c>
      <c r="U68" s="1">
        <v>23321</v>
      </c>
      <c r="V68" s="1">
        <v>195304</v>
      </c>
      <c r="W68" s="1">
        <v>22391286</v>
      </c>
      <c r="Y68" s="1">
        <v>126397</v>
      </c>
      <c r="Z68" s="1">
        <v>1387088</v>
      </c>
      <c r="AA68" s="1">
        <v>69074</v>
      </c>
      <c r="AB68" s="1">
        <v>127019</v>
      </c>
      <c r="AC68" s="1">
        <v>215271</v>
      </c>
      <c r="AD68" s="1">
        <v>1955709</v>
      </c>
      <c r="AE68" s="1">
        <v>789590</v>
      </c>
      <c r="AF68" s="1">
        <v>13548</v>
      </c>
      <c r="AG68" s="1">
        <v>4738373</v>
      </c>
      <c r="AH68" s="1">
        <v>27296468</v>
      </c>
      <c r="AI68" s="1">
        <v>24734</v>
      </c>
      <c r="AJ68" s="1">
        <v>500445</v>
      </c>
      <c r="AK68" s="1">
        <v>525179</v>
      </c>
      <c r="AL68" s="1">
        <v>87309</v>
      </c>
      <c r="AM68" s="1">
        <v>741940</v>
      </c>
      <c r="AN68" s="1">
        <v>65800</v>
      </c>
      <c r="AO68" s="1">
        <v>895049</v>
      </c>
      <c r="AP68" s="1">
        <v>1420228</v>
      </c>
      <c r="AQ68" s="1">
        <v>539088</v>
      </c>
      <c r="AT68" s="1">
        <v>539088</v>
      </c>
      <c r="AV68" s="1">
        <v>539088</v>
      </c>
      <c r="AW68" s="1">
        <v>539088</v>
      </c>
      <c r="AX68" s="1">
        <v>3809</v>
      </c>
      <c r="AY68" s="1">
        <v>-3809</v>
      </c>
      <c r="AZ68" s="1">
        <v>31957409</v>
      </c>
      <c r="BB68" s="1">
        <v>65538</v>
      </c>
      <c r="BC68" s="1">
        <v>7549</v>
      </c>
      <c r="BE68" s="1">
        <v>54677</v>
      </c>
      <c r="BQ68" s="1">
        <v>3887</v>
      </c>
      <c r="BY68" s="1">
        <v>9150</v>
      </c>
      <c r="CG68" s="1">
        <v>163000</v>
      </c>
      <c r="CI68" s="1">
        <v>9150</v>
      </c>
      <c r="CZ68" s="1">
        <v>4503</v>
      </c>
    </row>
    <row r="69" spans="1:112">
      <c r="A69" s="1">
        <v>3</v>
      </c>
      <c r="B69" s="1">
        <v>3600</v>
      </c>
      <c r="C69" s="1" t="s">
        <v>1544</v>
      </c>
      <c r="D69" s="1" t="s">
        <v>1586</v>
      </c>
      <c r="F69" s="1">
        <v>551309</v>
      </c>
      <c r="G69" s="1">
        <v>327763</v>
      </c>
      <c r="H69" s="1">
        <v>140803</v>
      </c>
      <c r="I69" s="1">
        <v>1861998</v>
      </c>
      <c r="J69" s="1">
        <v>3065343</v>
      </c>
      <c r="K69" s="1">
        <v>369122</v>
      </c>
      <c r="L69" s="1">
        <v>65648</v>
      </c>
      <c r="M69" s="1">
        <v>2383</v>
      </c>
      <c r="N69" s="1">
        <v>3</v>
      </c>
      <c r="O69" s="1">
        <v>437156</v>
      </c>
      <c r="Q69" s="1">
        <v>17526121</v>
      </c>
      <c r="U69" s="1">
        <v>100963</v>
      </c>
      <c r="V69" s="1">
        <v>213745</v>
      </c>
      <c r="W69" s="1">
        <v>17840829</v>
      </c>
      <c r="Y69" s="1">
        <v>134920</v>
      </c>
      <c r="Z69" s="1">
        <v>1194232</v>
      </c>
      <c r="AA69" s="1">
        <v>120304</v>
      </c>
      <c r="AB69" s="1">
        <v>60581</v>
      </c>
      <c r="AC69" s="1">
        <v>160411</v>
      </c>
      <c r="AD69" s="1">
        <v>1351412</v>
      </c>
      <c r="AE69" s="1">
        <v>617441</v>
      </c>
      <c r="AG69" s="1">
        <v>3692934</v>
      </c>
      <c r="AH69" s="1">
        <v>21649096</v>
      </c>
      <c r="AI69" s="1">
        <v>40929</v>
      </c>
      <c r="AJ69" s="1">
        <v>389948</v>
      </c>
      <c r="AK69" s="1">
        <v>430877</v>
      </c>
      <c r="AL69" s="1">
        <v>92771</v>
      </c>
      <c r="AM69" s="1">
        <v>467136</v>
      </c>
      <c r="AN69" s="1">
        <v>93682</v>
      </c>
      <c r="AO69" s="1">
        <v>723491</v>
      </c>
      <c r="AP69" s="1">
        <v>1165538</v>
      </c>
      <c r="AQ69" s="1">
        <v>1009797</v>
      </c>
      <c r="AT69" s="1">
        <v>1009797</v>
      </c>
      <c r="AV69" s="1">
        <v>1009797</v>
      </c>
      <c r="AW69" s="1">
        <v>1009797</v>
      </c>
      <c r="AY69" s="1">
        <v>12850</v>
      </c>
      <c r="AZ69" s="1">
        <v>27574341</v>
      </c>
      <c r="BE69" s="1">
        <v>49524</v>
      </c>
      <c r="BF69" s="1">
        <v>4109</v>
      </c>
      <c r="BU69" s="1">
        <v>11170</v>
      </c>
      <c r="BV69" s="1">
        <v>11170</v>
      </c>
      <c r="BY69" s="1">
        <v>247411</v>
      </c>
      <c r="CG69" s="1">
        <v>115333</v>
      </c>
      <c r="CI69" s="1">
        <v>234561</v>
      </c>
      <c r="CL69" s="1">
        <v>183470</v>
      </c>
      <c r="DG69" s="1">
        <v>69902</v>
      </c>
    </row>
    <row r="70" spans="1:112">
      <c r="A70" s="1">
        <v>3</v>
      </c>
      <c r="B70" s="1">
        <v>3700</v>
      </c>
      <c r="C70" s="1" t="s">
        <v>1544</v>
      </c>
      <c r="D70" s="1" t="s">
        <v>1587</v>
      </c>
      <c r="F70" s="1">
        <v>923701</v>
      </c>
      <c r="G70" s="1">
        <v>874777</v>
      </c>
      <c r="H70" s="1">
        <v>633928</v>
      </c>
      <c r="I70" s="1">
        <v>88672</v>
      </c>
      <c r="J70" s="1">
        <v>2574425</v>
      </c>
      <c r="K70" s="1">
        <v>502636</v>
      </c>
      <c r="L70" s="1">
        <v>153347</v>
      </c>
      <c r="M70" s="1">
        <v>1079149</v>
      </c>
      <c r="O70" s="1">
        <v>1735132</v>
      </c>
      <c r="P70" s="1">
        <v>66209</v>
      </c>
      <c r="Q70" s="1">
        <v>16298379</v>
      </c>
      <c r="R70" s="1">
        <v>3288700</v>
      </c>
      <c r="S70" s="1">
        <v>3288700</v>
      </c>
      <c r="U70" s="1">
        <v>4883</v>
      </c>
      <c r="V70" s="1">
        <v>251891</v>
      </c>
      <c r="W70" s="1">
        <v>19843853</v>
      </c>
      <c r="Y70" s="1">
        <v>260888</v>
      </c>
      <c r="Z70" s="1">
        <v>318012</v>
      </c>
      <c r="AA70" s="1">
        <v>13962</v>
      </c>
      <c r="AB70" s="1">
        <v>69274</v>
      </c>
      <c r="AC70" s="1">
        <v>74019</v>
      </c>
      <c r="AD70" s="1">
        <v>1452064</v>
      </c>
      <c r="AE70" s="1">
        <v>745206</v>
      </c>
      <c r="AF70" s="1">
        <v>7322</v>
      </c>
      <c r="AG70" s="1">
        <v>3086523</v>
      </c>
      <c r="AH70" s="1">
        <v>22996585</v>
      </c>
      <c r="AM70" s="1">
        <v>159173</v>
      </c>
      <c r="AN70" s="1">
        <v>20195</v>
      </c>
      <c r="AO70" s="1">
        <v>179368</v>
      </c>
      <c r="AP70" s="1">
        <v>179368</v>
      </c>
      <c r="AQ70" s="1">
        <v>1441219</v>
      </c>
      <c r="AT70" s="1">
        <v>1441219</v>
      </c>
      <c r="AV70" s="1">
        <v>1441219</v>
      </c>
      <c r="AW70" s="1">
        <v>1441219</v>
      </c>
      <c r="AZ70" s="1">
        <v>28926729</v>
      </c>
      <c r="BA70" s="1">
        <v>53347</v>
      </c>
      <c r="BE70" s="1">
        <v>20006</v>
      </c>
      <c r="BF70" s="1">
        <v>125770</v>
      </c>
      <c r="CJ70" s="1">
        <v>787275</v>
      </c>
    </row>
    <row r="71" spans="1:112">
      <c r="A71" s="1">
        <v>3</v>
      </c>
      <c r="B71" s="1">
        <v>3710</v>
      </c>
      <c r="C71" s="1" t="s">
        <v>1544</v>
      </c>
      <c r="D71" s="1" t="s">
        <v>1588</v>
      </c>
      <c r="F71" s="1">
        <v>619636</v>
      </c>
      <c r="I71" s="1">
        <v>513344</v>
      </c>
      <c r="J71" s="1">
        <v>1678105</v>
      </c>
      <c r="K71" s="1">
        <v>790385</v>
      </c>
      <c r="L71" s="1">
        <v>1000000</v>
      </c>
      <c r="M71" s="1">
        <v>2176353</v>
      </c>
      <c r="N71" s="1">
        <v>510303</v>
      </c>
      <c r="O71" s="1">
        <v>4477041</v>
      </c>
      <c r="P71" s="1">
        <v>-3140</v>
      </c>
      <c r="Q71" s="1">
        <v>37517322</v>
      </c>
      <c r="S71" s="1">
        <v>423047</v>
      </c>
      <c r="U71" s="1">
        <v>34578</v>
      </c>
      <c r="V71" s="1">
        <v>953541</v>
      </c>
      <c r="W71" s="1">
        <v>38928488</v>
      </c>
      <c r="Y71" s="1">
        <v>273847</v>
      </c>
      <c r="Z71" s="1">
        <v>1232560</v>
      </c>
      <c r="AA71" s="1">
        <v>25984</v>
      </c>
      <c r="AB71" s="1">
        <v>171728</v>
      </c>
      <c r="AC71" s="1">
        <v>183891</v>
      </c>
      <c r="AD71" s="1">
        <v>3247706</v>
      </c>
      <c r="AE71" s="1">
        <v>1744936</v>
      </c>
      <c r="AG71" s="1">
        <v>7111575</v>
      </c>
      <c r="AH71" s="1">
        <v>46036923</v>
      </c>
      <c r="AJ71" s="1">
        <v>120116</v>
      </c>
      <c r="AK71" s="1">
        <v>120116</v>
      </c>
      <c r="AL71" s="1">
        <v>68545</v>
      </c>
      <c r="AM71" s="1">
        <v>269284</v>
      </c>
      <c r="AN71" s="1">
        <v>340018</v>
      </c>
      <c r="AO71" s="1">
        <v>677847</v>
      </c>
      <c r="AP71" s="1">
        <v>797963</v>
      </c>
      <c r="AQ71" s="1">
        <v>1117715</v>
      </c>
      <c r="AT71" s="1">
        <v>1117715</v>
      </c>
      <c r="AV71" s="1">
        <v>1312989</v>
      </c>
      <c r="AW71" s="1">
        <v>1312989</v>
      </c>
      <c r="AX71" s="1">
        <v>2051374</v>
      </c>
      <c r="AZ71" s="1">
        <v>56354395</v>
      </c>
      <c r="BC71" s="1">
        <v>423047</v>
      </c>
      <c r="BE71" s="1">
        <v>52539</v>
      </c>
      <c r="BF71" s="1">
        <v>143358</v>
      </c>
      <c r="BL71" s="1">
        <v>195274</v>
      </c>
      <c r="BR71" s="1">
        <v>35026</v>
      </c>
      <c r="BY71" s="1">
        <v>2051374</v>
      </c>
      <c r="CL71" s="1">
        <v>545125</v>
      </c>
    </row>
    <row r="72" spans="1:112">
      <c r="A72" s="1">
        <v>3</v>
      </c>
      <c r="B72" s="1">
        <v>3730</v>
      </c>
      <c r="C72" s="1" t="s">
        <v>1544</v>
      </c>
      <c r="D72" s="1" t="s">
        <v>1589</v>
      </c>
      <c r="F72" s="1">
        <v>15515</v>
      </c>
      <c r="H72" s="1">
        <v>28770</v>
      </c>
      <c r="J72" s="1">
        <v>676643</v>
      </c>
      <c r="K72" s="1">
        <v>188928</v>
      </c>
      <c r="M72" s="1">
        <v>298621</v>
      </c>
      <c r="O72" s="1">
        <v>487549</v>
      </c>
      <c r="P72" s="1">
        <v>14278</v>
      </c>
      <c r="Q72" s="1">
        <v>6362000</v>
      </c>
      <c r="R72" s="1">
        <v>186288</v>
      </c>
      <c r="S72" s="1">
        <v>186288</v>
      </c>
      <c r="V72" s="1">
        <v>30478</v>
      </c>
      <c r="W72" s="1">
        <v>6578766</v>
      </c>
      <c r="Y72" s="1">
        <v>7781</v>
      </c>
      <c r="Z72" s="1">
        <v>204920</v>
      </c>
      <c r="AA72" s="1">
        <v>22210</v>
      </c>
      <c r="AB72" s="1">
        <v>57800</v>
      </c>
      <c r="AC72" s="1">
        <v>61882</v>
      </c>
      <c r="AD72" s="1">
        <v>581317</v>
      </c>
      <c r="AE72" s="1">
        <v>255326</v>
      </c>
      <c r="AG72" s="1">
        <v>1275735</v>
      </c>
      <c r="AH72" s="1">
        <v>7868779</v>
      </c>
      <c r="AM72" s="1">
        <v>110156</v>
      </c>
      <c r="AN72" s="1">
        <v>33072</v>
      </c>
      <c r="AO72" s="1">
        <v>143228</v>
      </c>
      <c r="AP72" s="1">
        <v>180603</v>
      </c>
      <c r="AQ72" s="1">
        <v>445807</v>
      </c>
      <c r="AT72" s="1">
        <v>445807</v>
      </c>
      <c r="AV72" s="1">
        <v>445807</v>
      </c>
      <c r="AW72" s="1">
        <v>445807</v>
      </c>
      <c r="AX72" s="1">
        <v>14143</v>
      </c>
      <c r="AY72" s="1">
        <v>-14143</v>
      </c>
      <c r="AZ72" s="1">
        <v>9662242</v>
      </c>
      <c r="BE72" s="1">
        <v>10323</v>
      </c>
      <c r="BF72" s="1">
        <v>26861</v>
      </c>
      <c r="BR72" s="1">
        <v>47315</v>
      </c>
      <c r="BU72" s="1">
        <v>37375</v>
      </c>
      <c r="BV72" s="1">
        <v>37375</v>
      </c>
      <c r="BY72" s="1">
        <v>2861</v>
      </c>
      <c r="CL72" s="1">
        <v>632358</v>
      </c>
      <c r="DH72" s="1">
        <v>2861</v>
      </c>
    </row>
    <row r="73" spans="1:112">
      <c r="A73" s="1">
        <v>3</v>
      </c>
      <c r="B73" s="1">
        <v>3740</v>
      </c>
      <c r="C73" s="1" t="s">
        <v>1544</v>
      </c>
      <c r="D73" s="1" t="s">
        <v>1590</v>
      </c>
      <c r="G73" s="1">
        <v>7563</v>
      </c>
      <c r="H73" s="1">
        <v>47231</v>
      </c>
      <c r="I73" s="1">
        <v>3718</v>
      </c>
      <c r="J73" s="1">
        <v>58512</v>
      </c>
      <c r="K73" s="1">
        <v>229207</v>
      </c>
      <c r="M73" s="1">
        <v>4980437</v>
      </c>
      <c r="N73" s="1">
        <v>218049</v>
      </c>
      <c r="O73" s="1">
        <v>5427693</v>
      </c>
      <c r="Q73" s="1">
        <v>7119914</v>
      </c>
      <c r="R73" s="1">
        <v>14550</v>
      </c>
      <c r="S73" s="1">
        <v>14550</v>
      </c>
      <c r="U73" s="1">
        <v>3730</v>
      </c>
      <c r="V73" s="1">
        <v>36675</v>
      </c>
      <c r="W73" s="1">
        <v>7174869</v>
      </c>
      <c r="Y73" s="1">
        <v>55490</v>
      </c>
      <c r="Z73" s="1">
        <v>457301</v>
      </c>
      <c r="AB73" s="1">
        <v>59974</v>
      </c>
      <c r="AC73" s="1">
        <v>42770</v>
      </c>
      <c r="AD73" s="1">
        <v>541711</v>
      </c>
      <c r="AE73" s="1">
        <v>264601</v>
      </c>
      <c r="AG73" s="1">
        <v>1506648</v>
      </c>
      <c r="AH73" s="1">
        <v>8681517</v>
      </c>
      <c r="AJ73" s="1">
        <v>125052</v>
      </c>
      <c r="AK73" s="1">
        <v>125052</v>
      </c>
      <c r="AM73" s="1">
        <v>172344</v>
      </c>
      <c r="AO73" s="1">
        <v>172344</v>
      </c>
      <c r="AP73" s="1">
        <v>297396</v>
      </c>
      <c r="AQ73" s="1">
        <v>428632</v>
      </c>
      <c r="AT73" s="1">
        <v>428632</v>
      </c>
      <c r="AV73" s="1">
        <v>667046</v>
      </c>
      <c r="AW73" s="1">
        <v>667046</v>
      </c>
      <c r="AX73" s="1">
        <v>238414</v>
      </c>
      <c r="AY73" s="1">
        <v>-238414</v>
      </c>
      <c r="AZ73" s="1">
        <v>16208413</v>
      </c>
      <c r="BE73" s="1">
        <v>18500</v>
      </c>
      <c r="BF73" s="1">
        <v>5202</v>
      </c>
      <c r="BL73" s="1">
        <v>238414</v>
      </c>
      <c r="BR73" s="1">
        <v>61099</v>
      </c>
      <c r="BY73" s="1">
        <v>1076249</v>
      </c>
      <c r="CI73" s="1">
        <v>1076249</v>
      </c>
    </row>
    <row r="74" spans="1:112">
      <c r="A74" s="1">
        <v>3</v>
      </c>
      <c r="B74" s="1">
        <v>3760</v>
      </c>
      <c r="C74" s="1" t="s">
        <v>1544</v>
      </c>
      <c r="D74" s="1" t="s">
        <v>1591</v>
      </c>
      <c r="F74" s="1">
        <v>787634</v>
      </c>
      <c r="G74" s="1">
        <v>153782</v>
      </c>
      <c r="H74" s="1">
        <v>93165</v>
      </c>
      <c r="I74" s="1">
        <v>168545</v>
      </c>
      <c r="J74" s="1">
        <v>1203126</v>
      </c>
      <c r="K74" s="1">
        <v>434141</v>
      </c>
      <c r="M74" s="1">
        <v>-70472</v>
      </c>
      <c r="O74" s="1">
        <v>363669</v>
      </c>
      <c r="Q74" s="1">
        <v>21459443</v>
      </c>
      <c r="T74" s="1">
        <v>84313</v>
      </c>
      <c r="W74" s="1">
        <v>21724481</v>
      </c>
      <c r="Z74" s="1">
        <v>892731</v>
      </c>
      <c r="AB74" s="1">
        <v>87224</v>
      </c>
      <c r="AC74" s="1">
        <v>98574</v>
      </c>
      <c r="AD74" s="1">
        <v>1945335</v>
      </c>
      <c r="AE74" s="1">
        <v>787246</v>
      </c>
      <c r="AG74" s="1">
        <v>3850131</v>
      </c>
      <c r="AH74" s="1">
        <v>25574612</v>
      </c>
      <c r="AJ74" s="1">
        <v>143804</v>
      </c>
      <c r="AK74" s="1">
        <v>143804</v>
      </c>
      <c r="AM74" s="1">
        <v>371324</v>
      </c>
      <c r="AN74" s="1">
        <v>36339</v>
      </c>
      <c r="AO74" s="1">
        <v>407663</v>
      </c>
      <c r="AP74" s="1">
        <v>551467</v>
      </c>
      <c r="AV74" s="1">
        <v>64131</v>
      </c>
      <c r="AW74" s="1">
        <v>64131</v>
      </c>
      <c r="AX74" s="1">
        <v>64131</v>
      </c>
      <c r="AY74" s="1">
        <v>-64131</v>
      </c>
      <c r="AZ74" s="1">
        <v>30490005</v>
      </c>
      <c r="BE74" s="1">
        <v>29739</v>
      </c>
      <c r="BF74" s="1">
        <v>9282</v>
      </c>
      <c r="BL74" s="1">
        <v>64131</v>
      </c>
      <c r="BQ74" s="1">
        <v>180725</v>
      </c>
      <c r="BX74" s="1">
        <v>2733000</v>
      </c>
      <c r="BY74" s="1">
        <v>2733000</v>
      </c>
    </row>
    <row r="75" spans="1:112">
      <c r="A75" s="1">
        <v>3</v>
      </c>
      <c r="B75" s="1">
        <v>3850</v>
      </c>
      <c r="C75" s="1" t="s">
        <v>1544</v>
      </c>
      <c r="D75" s="1" t="s">
        <v>1592</v>
      </c>
      <c r="F75" s="1">
        <v>25423</v>
      </c>
      <c r="G75" s="1">
        <v>1134496</v>
      </c>
      <c r="H75" s="1">
        <v>675732</v>
      </c>
      <c r="I75" s="1">
        <v>25000</v>
      </c>
      <c r="J75" s="1">
        <v>2239804</v>
      </c>
      <c r="K75" s="1">
        <v>235538</v>
      </c>
      <c r="M75" s="1">
        <v>-151676</v>
      </c>
      <c r="N75" s="1">
        <v>39731</v>
      </c>
      <c r="O75" s="1">
        <v>123593</v>
      </c>
      <c r="Q75" s="1">
        <v>10284928</v>
      </c>
      <c r="R75" s="1">
        <v>22529</v>
      </c>
      <c r="S75" s="1">
        <v>22529</v>
      </c>
      <c r="V75" s="1">
        <v>190333</v>
      </c>
      <c r="W75" s="1">
        <v>10497790</v>
      </c>
      <c r="Y75" s="1">
        <v>88321</v>
      </c>
      <c r="Z75" s="1">
        <v>82197</v>
      </c>
      <c r="AA75" s="1">
        <v>72</v>
      </c>
      <c r="AB75" s="1">
        <v>42523</v>
      </c>
      <c r="AC75" s="1">
        <v>49055</v>
      </c>
      <c r="AD75" s="1">
        <v>684152</v>
      </c>
      <c r="AE75" s="1">
        <v>354270</v>
      </c>
      <c r="AG75" s="1">
        <v>1692782</v>
      </c>
      <c r="AH75" s="1">
        <v>12190572</v>
      </c>
      <c r="AJ75" s="1">
        <v>5000</v>
      </c>
      <c r="AK75" s="1">
        <v>5000</v>
      </c>
      <c r="AM75" s="1">
        <v>147568</v>
      </c>
      <c r="AN75" s="1">
        <v>4556</v>
      </c>
      <c r="AO75" s="1">
        <v>152124</v>
      </c>
      <c r="AP75" s="1">
        <v>184649</v>
      </c>
      <c r="AQ75" s="1">
        <v>702834</v>
      </c>
      <c r="AT75" s="1">
        <v>702834</v>
      </c>
      <c r="AU75" s="1">
        <v>210789</v>
      </c>
      <c r="AV75" s="1">
        <v>913640</v>
      </c>
      <c r="AW75" s="1">
        <v>913640</v>
      </c>
      <c r="AX75" s="1">
        <v>17</v>
      </c>
      <c r="AY75" s="1">
        <v>-17</v>
      </c>
      <c r="AZ75" s="1">
        <v>15803910</v>
      </c>
      <c r="BE75" s="1">
        <v>17402</v>
      </c>
      <c r="BF75" s="1">
        <v>14352</v>
      </c>
      <c r="BL75" s="1">
        <v>17</v>
      </c>
      <c r="BR75" s="1">
        <v>360438</v>
      </c>
      <c r="BU75" s="1">
        <v>27525</v>
      </c>
      <c r="BV75" s="1">
        <v>27525</v>
      </c>
      <c r="BY75" s="1">
        <v>151652</v>
      </c>
      <c r="CI75" s="1">
        <v>151652</v>
      </c>
      <c r="CL75" s="1">
        <v>379153</v>
      </c>
    </row>
    <row r="76" spans="1:112">
      <c r="A76" s="1">
        <v>3</v>
      </c>
      <c r="B76" s="1">
        <v>3870</v>
      </c>
      <c r="C76" s="1" t="s">
        <v>1544</v>
      </c>
      <c r="D76" s="1" t="s">
        <v>1593</v>
      </c>
      <c r="F76" s="1">
        <v>53810</v>
      </c>
      <c r="G76" s="1">
        <v>250122</v>
      </c>
      <c r="H76" s="1">
        <v>265253</v>
      </c>
      <c r="I76" s="1">
        <v>112</v>
      </c>
      <c r="J76" s="1">
        <v>569297</v>
      </c>
      <c r="K76" s="1">
        <v>208674</v>
      </c>
      <c r="L76" s="1">
        <v>200000</v>
      </c>
      <c r="M76" s="1">
        <v>6035380</v>
      </c>
      <c r="N76" s="1">
        <v>4733</v>
      </c>
      <c r="O76" s="1">
        <v>6448787</v>
      </c>
      <c r="P76" s="1">
        <v>117418</v>
      </c>
      <c r="Q76" s="1">
        <v>7681644</v>
      </c>
      <c r="R76" s="1">
        <v>36942</v>
      </c>
      <c r="S76" s="1">
        <v>36942</v>
      </c>
      <c r="U76" s="1">
        <v>3</v>
      </c>
      <c r="V76" s="1">
        <v>45889</v>
      </c>
      <c r="W76" s="1">
        <v>7764478</v>
      </c>
      <c r="Y76" s="1">
        <v>19263</v>
      </c>
      <c r="Z76" s="1">
        <v>404414</v>
      </c>
      <c r="AA76" s="1">
        <v>19856</v>
      </c>
      <c r="AB76" s="1">
        <v>32894</v>
      </c>
      <c r="AC76" s="1">
        <v>29289</v>
      </c>
      <c r="AD76" s="1">
        <v>521165</v>
      </c>
      <c r="AE76" s="1">
        <v>306076</v>
      </c>
      <c r="AG76" s="1">
        <v>1384762</v>
      </c>
      <c r="AH76" s="1">
        <v>9266658</v>
      </c>
      <c r="AJ76" s="1">
        <v>126385</v>
      </c>
      <c r="AK76" s="1">
        <v>126385</v>
      </c>
      <c r="AM76" s="1">
        <v>194029</v>
      </c>
      <c r="AN76" s="1">
        <v>26494</v>
      </c>
      <c r="AO76" s="1">
        <v>220523</v>
      </c>
      <c r="AP76" s="1">
        <v>346908</v>
      </c>
      <c r="AQ76" s="1">
        <v>1331741</v>
      </c>
      <c r="AT76" s="1">
        <v>1331741</v>
      </c>
      <c r="AV76" s="1">
        <v>1331741</v>
      </c>
      <c r="AW76" s="1">
        <v>1331741</v>
      </c>
      <c r="AX76" s="1">
        <v>117418</v>
      </c>
      <c r="AY76" s="1">
        <v>-117418</v>
      </c>
      <c r="AZ76" s="1">
        <v>20160959</v>
      </c>
      <c r="BE76" s="1">
        <v>14185</v>
      </c>
      <c r="BF76" s="1">
        <v>37620</v>
      </c>
      <c r="BY76" s="1">
        <v>2197568</v>
      </c>
      <c r="CI76" s="1">
        <v>2197568</v>
      </c>
    </row>
    <row r="77" spans="1:112">
      <c r="A77" s="1">
        <v>3</v>
      </c>
      <c r="B77" s="1">
        <v>3910</v>
      </c>
      <c r="C77" s="1" t="s">
        <v>1544</v>
      </c>
      <c r="D77" s="1" t="s">
        <v>1594</v>
      </c>
      <c r="F77" s="1">
        <v>383099</v>
      </c>
      <c r="G77" s="1">
        <v>182416</v>
      </c>
      <c r="H77" s="1">
        <v>30083</v>
      </c>
      <c r="I77" s="1">
        <v>49019</v>
      </c>
      <c r="J77" s="1">
        <v>934617</v>
      </c>
      <c r="K77" s="1">
        <v>423571</v>
      </c>
      <c r="L77" s="1">
        <v>574203</v>
      </c>
      <c r="M77" s="1">
        <v>117349</v>
      </c>
      <c r="N77" s="1">
        <v>-8964</v>
      </c>
      <c r="O77" s="1">
        <v>1106159</v>
      </c>
      <c r="Q77" s="1">
        <v>16269671</v>
      </c>
      <c r="S77" s="1">
        <v>18000</v>
      </c>
      <c r="U77" s="1">
        <v>4946</v>
      </c>
      <c r="V77" s="1">
        <v>225358</v>
      </c>
      <c r="W77" s="1">
        <v>16517975</v>
      </c>
      <c r="Y77" s="1">
        <v>60899</v>
      </c>
      <c r="Z77" s="1">
        <v>830472</v>
      </c>
      <c r="AA77" s="1">
        <v>287436</v>
      </c>
      <c r="AB77" s="1">
        <v>74646</v>
      </c>
      <c r="AC77" s="1">
        <v>158050</v>
      </c>
      <c r="AD77" s="1">
        <v>1350234</v>
      </c>
      <c r="AE77" s="1">
        <v>668646</v>
      </c>
      <c r="AG77" s="1">
        <v>3659599</v>
      </c>
      <c r="AH77" s="1">
        <v>20177574</v>
      </c>
      <c r="AI77" s="1">
        <v>11034</v>
      </c>
      <c r="AJ77" s="1">
        <v>102515</v>
      </c>
      <c r="AK77" s="1">
        <v>249859</v>
      </c>
      <c r="AL77" s="1">
        <v>228197</v>
      </c>
      <c r="AM77" s="1">
        <v>311841</v>
      </c>
      <c r="AN77" s="1">
        <v>159995</v>
      </c>
      <c r="AO77" s="1">
        <v>700033</v>
      </c>
      <c r="AP77" s="1">
        <v>949892</v>
      </c>
      <c r="AQ77" s="1">
        <v>551878</v>
      </c>
      <c r="AT77" s="1">
        <v>551878</v>
      </c>
      <c r="AV77" s="1">
        <v>595883</v>
      </c>
      <c r="AW77" s="1">
        <v>595883</v>
      </c>
      <c r="AX77" s="1">
        <v>44005</v>
      </c>
      <c r="AY77" s="1">
        <v>150000</v>
      </c>
      <c r="AZ77" s="1">
        <v>23958130</v>
      </c>
      <c r="BC77" s="1">
        <v>18000</v>
      </c>
      <c r="BE77" s="1">
        <v>44713</v>
      </c>
      <c r="BF77" s="1">
        <v>7568</v>
      </c>
      <c r="BJ77" s="1">
        <v>136310</v>
      </c>
      <c r="BL77" s="1">
        <v>44005</v>
      </c>
      <c r="BR77" s="1">
        <v>176935</v>
      </c>
      <c r="BY77" s="1">
        <v>194005</v>
      </c>
      <c r="CJ77" s="1">
        <v>257030</v>
      </c>
      <c r="CL77" s="1">
        <v>290000</v>
      </c>
    </row>
    <row r="78" spans="1:112">
      <c r="A78" s="1">
        <v>3</v>
      </c>
      <c r="B78" s="1">
        <v>3930</v>
      </c>
      <c r="C78" s="1" t="s">
        <v>1544</v>
      </c>
      <c r="D78" s="1" t="s">
        <v>1595</v>
      </c>
      <c r="F78" s="1">
        <v>619544</v>
      </c>
      <c r="G78" s="1">
        <v>200000</v>
      </c>
      <c r="H78" s="1">
        <v>599679</v>
      </c>
      <c r="I78" s="1">
        <v>45450</v>
      </c>
      <c r="J78" s="1">
        <v>1464673</v>
      </c>
      <c r="K78" s="1">
        <v>1355247</v>
      </c>
      <c r="L78" s="1">
        <v>552670</v>
      </c>
      <c r="M78" s="1">
        <v>15715529</v>
      </c>
      <c r="N78" s="1">
        <v>-455824</v>
      </c>
      <c r="O78" s="1">
        <v>17167622</v>
      </c>
      <c r="P78" s="1">
        <v>491391</v>
      </c>
      <c r="Q78" s="1">
        <v>57512840</v>
      </c>
      <c r="R78" s="1">
        <v>134744</v>
      </c>
      <c r="S78" s="1">
        <v>153841</v>
      </c>
      <c r="V78" s="1">
        <v>1221599</v>
      </c>
      <c r="W78" s="1">
        <v>59142064</v>
      </c>
      <c r="Y78" s="1">
        <v>14258</v>
      </c>
      <c r="Z78" s="1">
        <v>2612975</v>
      </c>
      <c r="AA78" s="1">
        <v>249718</v>
      </c>
      <c r="AB78" s="1">
        <v>128462</v>
      </c>
      <c r="AC78" s="1">
        <v>477611</v>
      </c>
      <c r="AD78" s="1">
        <v>4684736</v>
      </c>
      <c r="AE78" s="1">
        <v>2051862</v>
      </c>
      <c r="AG78" s="1">
        <v>10352782</v>
      </c>
      <c r="AH78" s="1">
        <v>69986237</v>
      </c>
      <c r="AJ78" s="1">
        <v>1213276</v>
      </c>
      <c r="AK78" s="1">
        <v>1213276</v>
      </c>
      <c r="AL78" s="1">
        <v>293118</v>
      </c>
      <c r="AM78" s="1">
        <v>1304399</v>
      </c>
      <c r="AN78" s="1">
        <v>262337</v>
      </c>
      <c r="AO78" s="1">
        <v>1859854</v>
      </c>
      <c r="AP78" s="1">
        <v>3125364</v>
      </c>
      <c r="AQ78" s="1">
        <v>3331654</v>
      </c>
      <c r="AT78" s="1">
        <v>3331654</v>
      </c>
      <c r="AU78" s="1">
        <v>230235</v>
      </c>
      <c r="AV78" s="1">
        <v>3561889</v>
      </c>
      <c r="AW78" s="1">
        <v>3561889</v>
      </c>
      <c r="AX78" s="1">
        <v>491391</v>
      </c>
      <c r="AY78" s="1">
        <v>-491391</v>
      </c>
      <c r="AZ78" s="1">
        <v>108532912</v>
      </c>
      <c r="BC78" s="1">
        <v>19097</v>
      </c>
      <c r="BE78" s="1">
        <v>100637</v>
      </c>
      <c r="BF78" s="1">
        <v>32523</v>
      </c>
      <c r="BQ78" s="1">
        <v>253784</v>
      </c>
      <c r="BU78" s="1">
        <v>52234</v>
      </c>
      <c r="BV78" s="1">
        <v>52234</v>
      </c>
      <c r="BY78" s="1">
        <v>13227127</v>
      </c>
      <c r="CC78" s="1">
        <v>3149861</v>
      </c>
      <c r="CI78" s="1">
        <v>10077266</v>
      </c>
    </row>
    <row r="79" spans="1:112">
      <c r="A79" s="1">
        <v>3</v>
      </c>
      <c r="B79" s="1">
        <v>3940</v>
      </c>
      <c r="C79" s="1" t="s">
        <v>1544</v>
      </c>
      <c r="D79" s="1" t="s">
        <v>1596</v>
      </c>
      <c r="F79" s="1">
        <v>436399</v>
      </c>
      <c r="I79" s="1">
        <v>1</v>
      </c>
      <c r="J79" s="1">
        <v>436400</v>
      </c>
      <c r="K79" s="1">
        <v>492574</v>
      </c>
      <c r="L79" s="1">
        <v>175000</v>
      </c>
      <c r="M79" s="1">
        <v>16732</v>
      </c>
      <c r="N79" s="1">
        <v>1</v>
      </c>
      <c r="O79" s="1">
        <v>684307</v>
      </c>
      <c r="P79" s="1">
        <v>125000</v>
      </c>
      <c r="Q79" s="1">
        <v>18869664</v>
      </c>
      <c r="R79" s="1">
        <v>55079</v>
      </c>
      <c r="S79" s="1">
        <v>55079</v>
      </c>
      <c r="V79" s="1">
        <v>214915</v>
      </c>
      <c r="W79" s="1">
        <v>19139658</v>
      </c>
      <c r="Z79" s="1">
        <v>671137</v>
      </c>
      <c r="AB79" s="1">
        <v>112567</v>
      </c>
      <c r="AC79" s="1">
        <v>78444</v>
      </c>
      <c r="AD79" s="1">
        <v>1531491</v>
      </c>
      <c r="AE79" s="1">
        <v>638601</v>
      </c>
      <c r="AG79" s="1">
        <v>3054727</v>
      </c>
      <c r="AH79" s="1">
        <v>22319385</v>
      </c>
      <c r="AJ79" s="1">
        <v>92891</v>
      </c>
      <c r="AK79" s="1">
        <v>92891</v>
      </c>
      <c r="AM79" s="1">
        <v>312311</v>
      </c>
      <c r="AN79" s="1">
        <v>35596</v>
      </c>
      <c r="AO79" s="1">
        <v>347907</v>
      </c>
      <c r="AP79" s="1">
        <v>454582</v>
      </c>
      <c r="AQ79" s="1">
        <v>244215</v>
      </c>
      <c r="AT79" s="1">
        <v>244215</v>
      </c>
      <c r="AV79" s="1">
        <v>244215</v>
      </c>
      <c r="AW79" s="1">
        <v>244215</v>
      </c>
      <c r="AX79" s="1">
        <v>10186</v>
      </c>
      <c r="AZ79" s="1">
        <v>24149075</v>
      </c>
      <c r="BE79" s="1">
        <v>22487</v>
      </c>
      <c r="BU79" s="1">
        <v>13784</v>
      </c>
      <c r="BV79" s="1">
        <v>13784</v>
      </c>
      <c r="BY79" s="1">
        <v>10186</v>
      </c>
    </row>
    <row r="80" spans="1:112">
      <c r="A80" s="1">
        <v>3</v>
      </c>
      <c r="B80" s="1">
        <v>3960</v>
      </c>
      <c r="C80" s="1" t="s">
        <v>1544</v>
      </c>
      <c r="D80" s="1" t="s">
        <v>1597</v>
      </c>
      <c r="F80" s="1">
        <v>479720</v>
      </c>
      <c r="H80" s="1">
        <v>1264806</v>
      </c>
      <c r="I80" s="1">
        <v>1</v>
      </c>
      <c r="J80" s="1">
        <v>1744527</v>
      </c>
      <c r="K80" s="1">
        <v>698991</v>
      </c>
      <c r="L80" s="1">
        <v>1016605</v>
      </c>
      <c r="M80" s="1">
        <v>20482646</v>
      </c>
      <c r="N80" s="1">
        <v>1</v>
      </c>
      <c r="O80" s="1">
        <v>22198243</v>
      </c>
      <c r="P80" s="1">
        <v>355120</v>
      </c>
      <c r="Q80" s="1">
        <v>31336279</v>
      </c>
      <c r="R80" s="1">
        <v>124758</v>
      </c>
      <c r="S80" s="1">
        <v>124758</v>
      </c>
      <c r="V80" s="1">
        <v>276587</v>
      </c>
      <c r="W80" s="1">
        <v>31737624</v>
      </c>
      <c r="Y80" s="1">
        <v>386632</v>
      </c>
      <c r="Z80" s="1">
        <v>968056</v>
      </c>
      <c r="AA80" s="1">
        <v>2336</v>
      </c>
      <c r="AB80" s="1">
        <v>60594</v>
      </c>
      <c r="AC80" s="1">
        <v>123610</v>
      </c>
      <c r="AD80" s="1">
        <v>2610879</v>
      </c>
      <c r="AE80" s="1">
        <v>1103378</v>
      </c>
      <c r="AG80" s="1">
        <v>5427807</v>
      </c>
      <c r="AH80" s="1">
        <v>37520551</v>
      </c>
      <c r="AJ80" s="1">
        <v>233530</v>
      </c>
      <c r="AK80" s="1">
        <v>233530</v>
      </c>
      <c r="AL80" s="1">
        <v>39504</v>
      </c>
      <c r="AN80" s="1">
        <v>409304</v>
      </c>
      <c r="AO80" s="1">
        <v>448808</v>
      </c>
      <c r="AP80" s="1">
        <v>682338</v>
      </c>
      <c r="AQ80" s="1">
        <v>1793563</v>
      </c>
      <c r="AT80" s="1">
        <v>1793563</v>
      </c>
      <c r="AV80" s="1">
        <v>1793563</v>
      </c>
      <c r="AW80" s="1">
        <v>1793563</v>
      </c>
      <c r="AX80" s="1">
        <v>355120</v>
      </c>
      <c r="AY80" s="1">
        <v>-355120</v>
      </c>
      <c r="AZ80" s="1">
        <v>63939222</v>
      </c>
      <c r="BE80" s="1">
        <v>44419</v>
      </c>
      <c r="BF80" s="1">
        <v>127903</v>
      </c>
    </row>
    <row r="81" spans="1:117">
      <c r="A81" s="1">
        <v>3</v>
      </c>
      <c r="B81" s="1">
        <v>4300</v>
      </c>
      <c r="C81" s="1" t="s">
        <v>1544</v>
      </c>
      <c r="D81" s="1" t="s">
        <v>1598</v>
      </c>
      <c r="F81" s="1">
        <v>452880</v>
      </c>
      <c r="G81" s="1">
        <v>599118</v>
      </c>
      <c r="H81" s="1">
        <v>174002</v>
      </c>
      <c r="I81" s="1">
        <v>327406</v>
      </c>
      <c r="J81" s="1">
        <v>2083557</v>
      </c>
      <c r="K81" s="1">
        <v>952944</v>
      </c>
      <c r="L81" s="1">
        <v>333458</v>
      </c>
      <c r="M81" s="1">
        <v>-26919</v>
      </c>
      <c r="N81" s="1">
        <v>89783</v>
      </c>
      <c r="O81" s="1">
        <v>1349266</v>
      </c>
      <c r="Q81" s="1">
        <v>38678558</v>
      </c>
      <c r="R81" s="1">
        <v>70905</v>
      </c>
      <c r="S81" s="1">
        <v>70905</v>
      </c>
      <c r="U81" s="1">
        <v>73329</v>
      </c>
      <c r="V81" s="1">
        <v>374824</v>
      </c>
      <c r="W81" s="1">
        <v>39494147</v>
      </c>
      <c r="Y81" s="1">
        <v>366335</v>
      </c>
      <c r="Z81" s="1">
        <v>1250247</v>
      </c>
      <c r="AA81" s="1">
        <v>7044</v>
      </c>
      <c r="AB81" s="1">
        <v>125592</v>
      </c>
      <c r="AC81" s="1">
        <v>133385</v>
      </c>
      <c r="AD81" s="1">
        <v>2926732</v>
      </c>
      <c r="AE81" s="1">
        <v>1170571</v>
      </c>
      <c r="AG81" s="1">
        <v>6177115</v>
      </c>
      <c r="AH81" s="1">
        <v>45671262</v>
      </c>
      <c r="AJ81" s="1">
        <v>47080</v>
      </c>
      <c r="AK81" s="1">
        <v>47080</v>
      </c>
      <c r="AL81" s="1">
        <v>66721</v>
      </c>
      <c r="AM81" s="1">
        <v>398846</v>
      </c>
      <c r="AN81" s="1">
        <v>21516</v>
      </c>
      <c r="AO81" s="1">
        <v>487083</v>
      </c>
      <c r="AP81" s="1">
        <v>581383</v>
      </c>
      <c r="AQ81" s="1">
        <v>1667375</v>
      </c>
      <c r="AT81" s="1">
        <v>1667375</v>
      </c>
      <c r="AV81" s="1">
        <v>1667375</v>
      </c>
      <c r="AW81" s="1">
        <v>1667375</v>
      </c>
      <c r="AZ81" s="1">
        <v>51567522</v>
      </c>
      <c r="BA81" s="1">
        <v>91369</v>
      </c>
      <c r="BE81" s="1">
        <v>52710</v>
      </c>
      <c r="BF81" s="1">
        <v>144499</v>
      </c>
      <c r="BQ81" s="1">
        <v>274983</v>
      </c>
      <c r="BU81" s="1">
        <v>47220</v>
      </c>
      <c r="BV81" s="1">
        <v>47220</v>
      </c>
      <c r="BY81" s="1">
        <v>214679</v>
      </c>
      <c r="CI81" s="1">
        <v>214679</v>
      </c>
      <c r="CL81" s="1">
        <v>438782</v>
      </c>
      <c r="CZ81" s="1">
        <v>21548</v>
      </c>
    </row>
    <row r="82" spans="1:117">
      <c r="A82" s="1">
        <v>3</v>
      </c>
      <c r="B82" s="1">
        <v>4310</v>
      </c>
      <c r="C82" s="1" t="s">
        <v>1544</v>
      </c>
      <c r="D82" s="1" t="s">
        <v>1599</v>
      </c>
      <c r="G82" s="1">
        <v>234030</v>
      </c>
      <c r="H82" s="1">
        <v>629177</v>
      </c>
      <c r="I82" s="1">
        <v>311017</v>
      </c>
      <c r="J82" s="1">
        <v>1174224</v>
      </c>
      <c r="K82" s="1">
        <v>1076832</v>
      </c>
      <c r="L82" s="1">
        <v>134448</v>
      </c>
      <c r="M82" s="1">
        <v>5700341</v>
      </c>
      <c r="N82" s="1">
        <v>577233</v>
      </c>
      <c r="O82" s="1">
        <v>7488854</v>
      </c>
      <c r="Q82" s="1">
        <v>39011486</v>
      </c>
      <c r="R82" s="1">
        <v>1667528</v>
      </c>
      <c r="S82" s="1">
        <v>1667528</v>
      </c>
      <c r="V82" s="1">
        <v>270321</v>
      </c>
      <c r="W82" s="1">
        <v>40977364</v>
      </c>
      <c r="Y82" s="1">
        <v>113807</v>
      </c>
      <c r="Z82" s="1">
        <v>1602397</v>
      </c>
      <c r="AA82" s="1">
        <v>49020</v>
      </c>
      <c r="AB82" s="1">
        <v>222166</v>
      </c>
      <c r="AC82" s="1">
        <v>186957</v>
      </c>
      <c r="AD82" s="1">
        <v>3304358</v>
      </c>
      <c r="AE82" s="1">
        <v>1561093</v>
      </c>
      <c r="AG82" s="1">
        <v>7239281</v>
      </c>
      <c r="AH82" s="1">
        <v>48218781</v>
      </c>
      <c r="AJ82" s="1">
        <v>314685</v>
      </c>
      <c r="AK82" s="1">
        <v>314685</v>
      </c>
      <c r="AM82" s="1">
        <v>683223</v>
      </c>
      <c r="AN82" s="1">
        <v>71396</v>
      </c>
      <c r="AO82" s="1">
        <v>754619</v>
      </c>
      <c r="AP82" s="1">
        <v>1069304</v>
      </c>
      <c r="AQ82" s="1">
        <v>2190293</v>
      </c>
      <c r="AT82" s="1">
        <v>2190293</v>
      </c>
      <c r="AV82" s="1">
        <v>2475452</v>
      </c>
      <c r="AW82" s="1">
        <v>2475452</v>
      </c>
      <c r="AX82" s="1">
        <v>285159</v>
      </c>
      <c r="AY82" s="1">
        <v>-84585</v>
      </c>
      <c r="AZ82" s="1">
        <v>60725305</v>
      </c>
      <c r="BE82" s="1">
        <v>58565</v>
      </c>
      <c r="BF82" s="1">
        <v>140918</v>
      </c>
      <c r="BH82" s="1">
        <v>2136</v>
      </c>
      <c r="BL82" s="1">
        <v>285159</v>
      </c>
      <c r="BQ82" s="1">
        <v>14728</v>
      </c>
      <c r="BY82" s="1">
        <v>298690</v>
      </c>
      <c r="CA82" s="1">
        <v>2136</v>
      </c>
      <c r="CC82" s="1">
        <v>98116</v>
      </c>
      <c r="CZ82" s="1">
        <v>13301</v>
      </c>
    </row>
    <row r="83" spans="1:117">
      <c r="A83" s="1">
        <v>3</v>
      </c>
      <c r="B83" s="1">
        <v>4370</v>
      </c>
      <c r="C83" s="1" t="s">
        <v>1544</v>
      </c>
      <c r="D83" s="1" t="s">
        <v>1600</v>
      </c>
      <c r="F83" s="1">
        <v>185658</v>
      </c>
      <c r="G83" s="1">
        <v>260751</v>
      </c>
      <c r="I83" s="1">
        <v>1</v>
      </c>
      <c r="J83" s="1">
        <v>3438653</v>
      </c>
      <c r="K83" s="1">
        <v>564834</v>
      </c>
      <c r="M83" s="1">
        <v>-2246754</v>
      </c>
      <c r="O83" s="1">
        <v>-1681920</v>
      </c>
      <c r="P83" s="1">
        <v>43004</v>
      </c>
      <c r="Q83" s="1">
        <v>12826957</v>
      </c>
      <c r="R83" s="1">
        <v>13711452</v>
      </c>
      <c r="S83" s="1">
        <v>13711452</v>
      </c>
      <c r="V83" s="1">
        <v>330695</v>
      </c>
      <c r="W83" s="1">
        <v>28180273</v>
      </c>
      <c r="X83" s="1">
        <v>911179</v>
      </c>
      <c r="Y83" s="1">
        <v>37368</v>
      </c>
      <c r="Z83" s="1">
        <v>795291</v>
      </c>
      <c r="AA83" s="1">
        <v>143502</v>
      </c>
      <c r="AB83" s="1">
        <v>5052</v>
      </c>
      <c r="AC83" s="1">
        <v>203311</v>
      </c>
      <c r="AD83" s="1">
        <v>1751049</v>
      </c>
      <c r="AE83" s="1">
        <v>1067114</v>
      </c>
      <c r="AG83" s="1">
        <v>5057918</v>
      </c>
      <c r="AH83" s="1">
        <v>33281195</v>
      </c>
      <c r="AI83" s="1">
        <v>70950</v>
      </c>
      <c r="AJ83" s="1">
        <v>99267</v>
      </c>
      <c r="AK83" s="1">
        <v>258471</v>
      </c>
      <c r="AL83" s="1">
        <v>210750</v>
      </c>
      <c r="AM83" s="1">
        <v>239412</v>
      </c>
      <c r="AN83" s="1">
        <v>117560</v>
      </c>
      <c r="AO83" s="1">
        <v>567722</v>
      </c>
      <c r="AP83" s="1">
        <v>847989</v>
      </c>
      <c r="AV83" s="1">
        <v>4242</v>
      </c>
      <c r="AW83" s="1">
        <v>4242</v>
      </c>
      <c r="AX83" s="1">
        <v>32702</v>
      </c>
      <c r="AY83" s="1">
        <v>-32023</v>
      </c>
      <c r="AZ83" s="1">
        <v>44298838</v>
      </c>
      <c r="BA83" s="1">
        <v>155243</v>
      </c>
      <c r="BE83" s="1">
        <v>67496</v>
      </c>
      <c r="BF83" s="1">
        <v>76556</v>
      </c>
      <c r="BJ83" s="1">
        <v>88254</v>
      </c>
      <c r="BL83" s="1">
        <v>4242</v>
      </c>
      <c r="BQ83" s="1">
        <v>1311169</v>
      </c>
      <c r="BU83" s="1">
        <v>21796</v>
      </c>
      <c r="BV83" s="1">
        <v>21796</v>
      </c>
      <c r="BX83" s="1">
        <v>8408000</v>
      </c>
      <c r="BY83" s="1">
        <v>8408679</v>
      </c>
      <c r="CD83" s="1">
        <v>511000</v>
      </c>
      <c r="CL83" s="1">
        <v>2326000</v>
      </c>
    </row>
    <row r="84" spans="1:117">
      <c r="A84" s="1">
        <v>3</v>
      </c>
      <c r="B84" s="1">
        <v>4380</v>
      </c>
      <c r="C84" s="1" t="s">
        <v>1544</v>
      </c>
      <c r="D84" s="1" t="s">
        <v>1601</v>
      </c>
      <c r="G84" s="1">
        <v>426951</v>
      </c>
      <c r="H84" s="1">
        <v>102926</v>
      </c>
      <c r="I84" s="1">
        <v>102</v>
      </c>
      <c r="J84" s="1">
        <v>529979</v>
      </c>
      <c r="K84" s="1">
        <v>696025</v>
      </c>
      <c r="L84" s="1">
        <v>196470</v>
      </c>
      <c r="N84" s="1">
        <v>468</v>
      </c>
      <c r="O84" s="1">
        <v>892963</v>
      </c>
      <c r="Q84" s="1">
        <v>19431797</v>
      </c>
      <c r="R84" s="1">
        <v>3619159</v>
      </c>
      <c r="S84" s="1">
        <v>3619159</v>
      </c>
      <c r="U84" s="1">
        <v>2</v>
      </c>
      <c r="V84" s="1">
        <v>287944</v>
      </c>
      <c r="W84" s="1">
        <v>23338902</v>
      </c>
      <c r="X84" s="1">
        <v>328787</v>
      </c>
      <c r="Y84" s="1">
        <v>261054</v>
      </c>
      <c r="Z84" s="1">
        <v>1203765</v>
      </c>
      <c r="AA84" s="1">
        <v>108696</v>
      </c>
      <c r="AB84" s="1">
        <v>77739</v>
      </c>
      <c r="AC84" s="1">
        <v>191242</v>
      </c>
      <c r="AD84" s="1">
        <v>1878888</v>
      </c>
      <c r="AE84" s="1">
        <v>1000977</v>
      </c>
      <c r="AG84" s="1">
        <v>6653543</v>
      </c>
      <c r="AH84" s="1">
        <v>29992445</v>
      </c>
      <c r="AI84" s="1">
        <v>81879</v>
      </c>
      <c r="AJ84" s="1">
        <v>182685</v>
      </c>
      <c r="AK84" s="1">
        <v>318739</v>
      </c>
      <c r="AL84" s="1">
        <v>347920</v>
      </c>
      <c r="AM84" s="1">
        <v>537985</v>
      </c>
      <c r="AN84" s="1">
        <v>181569</v>
      </c>
      <c r="AO84" s="1">
        <v>1067474</v>
      </c>
      <c r="AP84" s="1">
        <v>1386213</v>
      </c>
      <c r="AQ84" s="1">
        <v>416161</v>
      </c>
      <c r="AT84" s="1">
        <v>416161</v>
      </c>
      <c r="AU84" s="1">
        <v>217200</v>
      </c>
      <c r="AV84" s="1">
        <v>633361</v>
      </c>
      <c r="AW84" s="1">
        <v>633361</v>
      </c>
      <c r="AZ84" s="1">
        <v>33434961</v>
      </c>
      <c r="BE84" s="1">
        <v>107618</v>
      </c>
      <c r="BF84" s="1">
        <v>137104</v>
      </c>
      <c r="BJ84" s="1">
        <v>54175</v>
      </c>
      <c r="BR84" s="1">
        <v>1357673</v>
      </c>
    </row>
    <row r="85" spans="1:117">
      <c r="A85" s="1">
        <v>3</v>
      </c>
      <c r="B85" s="1">
        <v>4390</v>
      </c>
      <c r="C85" s="1" t="s">
        <v>1544</v>
      </c>
      <c r="D85" s="1" t="s">
        <v>1602</v>
      </c>
      <c r="F85" s="1">
        <v>512093</v>
      </c>
      <c r="G85" s="1">
        <v>1526711</v>
      </c>
      <c r="H85" s="1">
        <v>1650875</v>
      </c>
      <c r="I85" s="1">
        <v>262494</v>
      </c>
      <c r="J85" s="1">
        <v>5563718</v>
      </c>
      <c r="K85" s="1">
        <v>1814300</v>
      </c>
      <c r="L85" s="1">
        <v>16150</v>
      </c>
      <c r="M85" s="1">
        <v>6967</v>
      </c>
      <c r="N85" s="1">
        <v>11023</v>
      </c>
      <c r="O85" s="1">
        <v>1848440</v>
      </c>
      <c r="Q85" s="1">
        <v>67994062</v>
      </c>
      <c r="R85" s="1">
        <v>322482</v>
      </c>
      <c r="S85" s="1">
        <v>570751</v>
      </c>
      <c r="U85" s="1">
        <v>13709</v>
      </c>
      <c r="V85" s="1">
        <v>956061</v>
      </c>
      <c r="W85" s="1">
        <v>71151787</v>
      </c>
      <c r="Z85" s="1">
        <v>2551192</v>
      </c>
      <c r="AA85" s="1">
        <v>137922</v>
      </c>
      <c r="AB85" s="1">
        <v>393046</v>
      </c>
      <c r="AC85" s="1">
        <v>366139</v>
      </c>
      <c r="AD85" s="1">
        <v>5812214</v>
      </c>
      <c r="AE85" s="1">
        <v>2805090</v>
      </c>
      <c r="AG85" s="1">
        <v>12246682</v>
      </c>
      <c r="AH85" s="1">
        <v>84017074</v>
      </c>
      <c r="AJ85" s="1">
        <v>2025</v>
      </c>
      <c r="AK85" s="1">
        <v>2025</v>
      </c>
      <c r="AL85" s="1">
        <v>177746</v>
      </c>
      <c r="AM85" s="1">
        <v>876476</v>
      </c>
      <c r="AN85" s="1">
        <v>176173</v>
      </c>
      <c r="AO85" s="1">
        <v>1230395</v>
      </c>
      <c r="AP85" s="1">
        <v>1648552</v>
      </c>
      <c r="AQ85" s="1">
        <v>1381771</v>
      </c>
      <c r="AT85" s="1">
        <v>1381771</v>
      </c>
      <c r="AU85" s="1">
        <v>517670</v>
      </c>
      <c r="AV85" s="1">
        <v>1899441</v>
      </c>
      <c r="AW85" s="1">
        <v>1899441</v>
      </c>
      <c r="AZ85" s="1">
        <v>94977225</v>
      </c>
      <c r="BA85" s="1">
        <v>1607455</v>
      </c>
      <c r="BC85" s="1">
        <v>142580</v>
      </c>
      <c r="BE85" s="1">
        <v>91658</v>
      </c>
      <c r="BF85" s="1">
        <v>89421</v>
      </c>
      <c r="BQ85" s="1">
        <v>1114975</v>
      </c>
      <c r="BU85" s="1">
        <v>416132</v>
      </c>
      <c r="BV85" s="1">
        <v>416132</v>
      </c>
      <c r="CE85" s="1">
        <v>440324</v>
      </c>
      <c r="CG85" s="1">
        <v>618605</v>
      </c>
      <c r="CL85" s="1">
        <v>4090</v>
      </c>
      <c r="CY85" s="1">
        <v>15417</v>
      </c>
      <c r="CZ85" s="1">
        <v>1066</v>
      </c>
      <c r="DI85" s="1">
        <v>105689</v>
      </c>
      <c r="DJ85" s="1">
        <v>35720</v>
      </c>
      <c r="DK85" s="1">
        <v>9702</v>
      </c>
    </row>
    <row r="86" spans="1:117">
      <c r="A86" s="1">
        <v>3</v>
      </c>
      <c r="B86" s="1">
        <v>4405</v>
      </c>
      <c r="C86" s="1" t="s">
        <v>1544</v>
      </c>
      <c r="D86" s="1" t="s">
        <v>1603</v>
      </c>
      <c r="F86" s="1">
        <v>177058</v>
      </c>
      <c r="G86" s="1">
        <v>1039365</v>
      </c>
      <c r="H86" s="1">
        <v>242879</v>
      </c>
      <c r="I86" s="1">
        <v>107612</v>
      </c>
      <c r="J86" s="1">
        <v>11640565</v>
      </c>
      <c r="K86" s="1">
        <v>505717</v>
      </c>
      <c r="M86" s="1">
        <v>1148042</v>
      </c>
      <c r="N86" s="1">
        <v>17890</v>
      </c>
      <c r="O86" s="1">
        <v>1671649</v>
      </c>
      <c r="P86" s="1">
        <v>26548</v>
      </c>
      <c r="Q86" s="1">
        <v>20393526</v>
      </c>
      <c r="R86" s="1">
        <v>269577</v>
      </c>
      <c r="S86" s="1">
        <v>269577</v>
      </c>
      <c r="U86" s="1">
        <v>1346</v>
      </c>
      <c r="V86" s="1">
        <v>339696</v>
      </c>
      <c r="W86" s="1">
        <v>21061163</v>
      </c>
      <c r="Y86" s="1">
        <v>125173</v>
      </c>
      <c r="Z86" s="1">
        <v>615366</v>
      </c>
      <c r="AA86" s="1">
        <v>53674</v>
      </c>
      <c r="AB86" s="1">
        <v>101578</v>
      </c>
      <c r="AC86" s="1">
        <v>101699</v>
      </c>
      <c r="AD86" s="1">
        <v>1886917</v>
      </c>
      <c r="AE86" s="1">
        <v>833617</v>
      </c>
      <c r="AG86" s="1">
        <v>3842650</v>
      </c>
      <c r="AH86" s="1">
        <v>25748395</v>
      </c>
      <c r="AJ86" s="1">
        <v>266911</v>
      </c>
      <c r="AK86" s="1">
        <v>266911</v>
      </c>
      <c r="AM86" s="1">
        <v>341753</v>
      </c>
      <c r="AN86" s="1">
        <v>83654</v>
      </c>
      <c r="AO86" s="1">
        <v>425407</v>
      </c>
      <c r="AP86" s="1">
        <v>700818</v>
      </c>
      <c r="AQ86" s="1">
        <v>2198091</v>
      </c>
      <c r="AT86" s="1">
        <v>2198091</v>
      </c>
      <c r="AV86" s="1">
        <v>2198091</v>
      </c>
      <c r="AW86" s="1">
        <v>2198091</v>
      </c>
      <c r="AX86" s="1">
        <v>26548</v>
      </c>
      <c r="AY86" s="1">
        <v>-26548</v>
      </c>
      <c r="AZ86" s="1">
        <v>41959518</v>
      </c>
      <c r="BF86" s="1">
        <v>43602</v>
      </c>
      <c r="BQ86" s="1">
        <v>57018</v>
      </c>
      <c r="BR86" s="1">
        <v>81024</v>
      </c>
      <c r="BU86" s="1">
        <v>8500</v>
      </c>
      <c r="BV86" s="1">
        <v>8500</v>
      </c>
      <c r="CG86" s="1">
        <v>818034</v>
      </c>
      <c r="CL86" s="1">
        <v>10073651</v>
      </c>
      <c r="DL86" s="1">
        <v>107428</v>
      </c>
    </row>
    <row r="87" spans="1:117">
      <c r="A87" s="1">
        <v>3</v>
      </c>
      <c r="B87" s="1">
        <v>4410</v>
      </c>
      <c r="C87" s="1" t="s">
        <v>1544</v>
      </c>
      <c r="D87" s="1" t="s">
        <v>1604</v>
      </c>
      <c r="F87" s="1">
        <v>62837</v>
      </c>
      <c r="G87" s="1">
        <v>418946</v>
      </c>
      <c r="H87" s="1">
        <v>106617</v>
      </c>
      <c r="I87" s="1">
        <v>1</v>
      </c>
      <c r="J87" s="1">
        <v>14517448</v>
      </c>
      <c r="K87" s="1">
        <v>251761</v>
      </c>
      <c r="M87" s="1">
        <v>-5271002</v>
      </c>
      <c r="N87" s="1">
        <v>190331</v>
      </c>
      <c r="O87" s="1">
        <v>-4828910</v>
      </c>
      <c r="Q87" s="1">
        <v>10462823</v>
      </c>
      <c r="S87" s="1">
        <v>8000</v>
      </c>
      <c r="V87" s="1">
        <v>161604</v>
      </c>
      <c r="W87" s="1">
        <v>10682202</v>
      </c>
      <c r="Y87" s="1">
        <v>35444</v>
      </c>
      <c r="Z87" s="1">
        <v>335553</v>
      </c>
      <c r="AA87" s="1">
        <v>72254</v>
      </c>
      <c r="AB87" s="1">
        <v>48050</v>
      </c>
      <c r="AC87" s="1">
        <v>112573</v>
      </c>
      <c r="AD87" s="1">
        <v>860910</v>
      </c>
      <c r="AE87" s="1">
        <v>435598</v>
      </c>
      <c r="AG87" s="1">
        <v>1999289</v>
      </c>
      <c r="AH87" s="1">
        <v>12681491</v>
      </c>
      <c r="AJ87" s="1">
        <v>384617</v>
      </c>
      <c r="AK87" s="1">
        <v>384617</v>
      </c>
      <c r="AM87" s="1">
        <v>319219</v>
      </c>
      <c r="AN87" s="1">
        <v>60960</v>
      </c>
      <c r="AO87" s="1">
        <v>380179</v>
      </c>
      <c r="AP87" s="1">
        <v>764796</v>
      </c>
      <c r="AQ87" s="1">
        <v>996710</v>
      </c>
      <c r="AT87" s="1">
        <v>996710</v>
      </c>
      <c r="AV87" s="1">
        <v>1537994</v>
      </c>
      <c r="AW87" s="1">
        <v>1537994</v>
      </c>
      <c r="AX87" s="1">
        <v>530503</v>
      </c>
      <c r="AY87" s="1">
        <v>-541284</v>
      </c>
      <c r="AZ87" s="1">
        <v>33535592</v>
      </c>
      <c r="BC87" s="1">
        <v>8000</v>
      </c>
      <c r="BE87" s="1">
        <v>16675</v>
      </c>
      <c r="BF87" s="1">
        <v>82232</v>
      </c>
      <c r="BL87" s="1">
        <v>541284</v>
      </c>
      <c r="BQ87" s="1">
        <v>49775</v>
      </c>
      <c r="BY87" s="1">
        <v>8862773</v>
      </c>
      <c r="CC87" s="1">
        <v>8865781</v>
      </c>
      <c r="CL87" s="1">
        <v>13929047</v>
      </c>
      <c r="DH87" s="1">
        <v>7773</v>
      </c>
    </row>
    <row r="88" spans="1:117">
      <c r="A88" s="1">
        <v>3</v>
      </c>
      <c r="B88" s="1">
        <v>4430</v>
      </c>
      <c r="C88" s="1" t="s">
        <v>1544</v>
      </c>
      <c r="D88" s="1" t="s">
        <v>1605</v>
      </c>
      <c r="F88" s="1">
        <v>302945</v>
      </c>
      <c r="G88" s="1">
        <v>191263</v>
      </c>
      <c r="H88" s="1">
        <v>123401</v>
      </c>
      <c r="I88" s="1">
        <v>205507</v>
      </c>
      <c r="J88" s="1">
        <v>1431809</v>
      </c>
      <c r="K88" s="1">
        <v>346068</v>
      </c>
      <c r="M88" s="1">
        <v>192773</v>
      </c>
      <c r="N88" s="1">
        <v>1</v>
      </c>
      <c r="O88" s="1">
        <v>538842</v>
      </c>
      <c r="P88" s="1">
        <v>20298</v>
      </c>
      <c r="Q88" s="1">
        <v>15429737</v>
      </c>
      <c r="S88" s="1">
        <v>15087</v>
      </c>
      <c r="U88" s="1">
        <v>101171</v>
      </c>
      <c r="W88" s="1">
        <v>15582011</v>
      </c>
      <c r="Y88" s="1">
        <v>101086</v>
      </c>
      <c r="Z88" s="1">
        <v>440480</v>
      </c>
      <c r="AA88" s="1">
        <v>23324</v>
      </c>
      <c r="AB88" s="1">
        <v>58666</v>
      </c>
      <c r="AC88" s="1">
        <v>74496</v>
      </c>
      <c r="AD88" s="1">
        <v>1323409</v>
      </c>
      <c r="AE88" s="1">
        <v>630492</v>
      </c>
      <c r="AG88" s="1">
        <v>2676558</v>
      </c>
      <c r="AH88" s="1">
        <v>18278867</v>
      </c>
      <c r="AJ88" s="1">
        <v>4000</v>
      </c>
      <c r="AK88" s="1">
        <v>4000</v>
      </c>
      <c r="AM88" s="1">
        <v>230762</v>
      </c>
      <c r="AN88" s="1">
        <v>29326</v>
      </c>
      <c r="AO88" s="1">
        <v>260088</v>
      </c>
      <c r="AP88" s="1">
        <v>265241</v>
      </c>
      <c r="AQ88" s="1">
        <v>984356</v>
      </c>
      <c r="AT88" s="1">
        <v>984356</v>
      </c>
      <c r="AV88" s="1">
        <v>984356</v>
      </c>
      <c r="AW88" s="1">
        <v>984356</v>
      </c>
      <c r="AX88" s="1">
        <v>30149</v>
      </c>
      <c r="AY88" s="1">
        <v>-20298</v>
      </c>
      <c r="AZ88" s="1">
        <v>21508966</v>
      </c>
      <c r="BC88" s="1">
        <v>15087</v>
      </c>
      <c r="BE88" s="1">
        <v>19182</v>
      </c>
      <c r="BF88" s="1">
        <v>5423</v>
      </c>
      <c r="BQ88" s="1">
        <v>36016</v>
      </c>
      <c r="BV88" s="1">
        <v>1153</v>
      </c>
      <c r="BY88" s="1">
        <v>9851</v>
      </c>
      <c r="CL88" s="1">
        <v>608693</v>
      </c>
      <c r="DM88" s="1">
        <v>1153</v>
      </c>
    </row>
    <row r="89" spans="1:117">
      <c r="A89" s="1">
        <v>3</v>
      </c>
      <c r="B89" s="1">
        <v>4470</v>
      </c>
      <c r="C89" s="1" t="s">
        <v>1544</v>
      </c>
      <c r="D89" s="1" t="s">
        <v>1606</v>
      </c>
      <c r="F89" s="1">
        <v>4000</v>
      </c>
      <c r="G89" s="1">
        <v>179082</v>
      </c>
      <c r="H89" s="1">
        <v>42602</v>
      </c>
      <c r="I89" s="1">
        <v>39806</v>
      </c>
      <c r="J89" s="1">
        <v>265490</v>
      </c>
      <c r="K89" s="1">
        <v>240345</v>
      </c>
      <c r="M89" s="1">
        <v>63828</v>
      </c>
      <c r="N89" s="1">
        <v>4758</v>
      </c>
      <c r="O89" s="1">
        <v>308931</v>
      </c>
      <c r="Q89" s="1">
        <v>8441799</v>
      </c>
      <c r="R89" s="1">
        <v>12810</v>
      </c>
      <c r="S89" s="1">
        <v>12810</v>
      </c>
      <c r="U89" s="1">
        <v>2011</v>
      </c>
      <c r="V89" s="1">
        <v>68848</v>
      </c>
      <c r="W89" s="1">
        <v>8525468</v>
      </c>
      <c r="Y89" s="1">
        <v>220066</v>
      </c>
      <c r="Z89" s="1">
        <v>297023</v>
      </c>
      <c r="AA89" s="1">
        <v>12866</v>
      </c>
      <c r="AB89" s="1">
        <v>37559</v>
      </c>
      <c r="AC89" s="1">
        <v>70550</v>
      </c>
      <c r="AD89" s="1">
        <v>534683</v>
      </c>
      <c r="AE89" s="1">
        <v>260936</v>
      </c>
      <c r="AG89" s="1">
        <v>1452294</v>
      </c>
      <c r="AH89" s="1">
        <v>9977762</v>
      </c>
      <c r="AI89" s="1">
        <v>19454</v>
      </c>
      <c r="AK89" s="1">
        <v>19454</v>
      </c>
      <c r="AL89" s="1">
        <v>23520</v>
      </c>
      <c r="AM89" s="1">
        <v>120093</v>
      </c>
      <c r="AN89" s="1">
        <v>7121</v>
      </c>
      <c r="AO89" s="1">
        <v>150734</v>
      </c>
      <c r="AP89" s="1">
        <v>210688</v>
      </c>
      <c r="AQ89" s="1">
        <v>277229</v>
      </c>
      <c r="AS89" s="1">
        <v>3708</v>
      </c>
      <c r="AT89" s="1">
        <v>280937</v>
      </c>
      <c r="AV89" s="1">
        <v>280937</v>
      </c>
      <c r="AW89" s="1">
        <v>280937</v>
      </c>
      <c r="AZ89" s="1">
        <v>11043808</v>
      </c>
      <c r="BE89" s="1">
        <v>18611</v>
      </c>
      <c r="BU89" s="1">
        <v>40500</v>
      </c>
      <c r="BV89" s="1">
        <v>40500</v>
      </c>
      <c r="DC89" s="1">
        <v>3708</v>
      </c>
    </row>
    <row r="90" spans="1:117">
      <c r="A90" s="1">
        <v>3</v>
      </c>
      <c r="B90" s="1">
        <v>4500</v>
      </c>
      <c r="C90" s="1" t="s">
        <v>1544</v>
      </c>
      <c r="D90" s="1" t="s">
        <v>1607</v>
      </c>
      <c r="G90" s="1">
        <v>100959</v>
      </c>
      <c r="H90" s="1">
        <v>113409</v>
      </c>
      <c r="J90" s="1">
        <v>214368</v>
      </c>
      <c r="K90" s="1">
        <v>107689</v>
      </c>
      <c r="L90" s="1">
        <v>915</v>
      </c>
      <c r="O90" s="1">
        <v>108604</v>
      </c>
      <c r="Q90" s="1">
        <v>391267</v>
      </c>
      <c r="W90" s="1">
        <v>402385</v>
      </c>
      <c r="Y90" s="1">
        <v>12961</v>
      </c>
      <c r="Z90" s="1">
        <v>10251</v>
      </c>
      <c r="AB90" s="1">
        <v>8916</v>
      </c>
      <c r="AC90" s="1">
        <v>1975</v>
      </c>
      <c r="AE90" s="1">
        <v>1102</v>
      </c>
      <c r="AG90" s="1">
        <v>37701</v>
      </c>
      <c r="AH90" s="1">
        <v>440086</v>
      </c>
      <c r="AZ90" s="1">
        <v>763058</v>
      </c>
      <c r="BE90" s="1">
        <v>756</v>
      </c>
      <c r="BF90" s="1">
        <v>1740</v>
      </c>
      <c r="BQ90" s="1">
        <v>11118</v>
      </c>
    </row>
    <row r="91" spans="1:117">
      <c r="A91" s="1">
        <v>3</v>
      </c>
      <c r="B91" s="1">
        <v>4600</v>
      </c>
      <c r="C91" s="1" t="s">
        <v>1544</v>
      </c>
      <c r="D91" s="1" t="s">
        <v>1608</v>
      </c>
      <c r="F91" s="1">
        <v>543947</v>
      </c>
      <c r="G91" s="1">
        <v>207886</v>
      </c>
      <c r="I91" s="1">
        <v>189487</v>
      </c>
      <c r="J91" s="1">
        <v>941320</v>
      </c>
      <c r="K91" s="1">
        <v>633925</v>
      </c>
      <c r="L91" s="1">
        <v>170531</v>
      </c>
      <c r="M91" s="1">
        <v>907895</v>
      </c>
      <c r="N91" s="1">
        <v>107509</v>
      </c>
      <c r="O91" s="1">
        <v>1819860</v>
      </c>
      <c r="P91" s="1">
        <v>115906</v>
      </c>
      <c r="Q91" s="1">
        <v>30302192</v>
      </c>
      <c r="R91" s="1">
        <v>9462</v>
      </c>
      <c r="S91" s="1">
        <v>9462</v>
      </c>
      <c r="U91" s="1">
        <v>7579</v>
      </c>
      <c r="V91" s="1">
        <v>163295</v>
      </c>
      <c r="W91" s="1">
        <v>30482528</v>
      </c>
      <c r="Y91" s="1">
        <v>160785</v>
      </c>
      <c r="Z91" s="1">
        <v>1463029</v>
      </c>
      <c r="AA91" s="1">
        <v>38778</v>
      </c>
      <c r="AB91" s="1">
        <v>86411</v>
      </c>
      <c r="AC91" s="1">
        <v>261792</v>
      </c>
      <c r="AD91" s="1">
        <v>2336320</v>
      </c>
      <c r="AE91" s="1">
        <v>1243641</v>
      </c>
      <c r="AG91" s="1">
        <v>6485754</v>
      </c>
      <c r="AH91" s="1">
        <v>37303568</v>
      </c>
      <c r="AJ91" s="1">
        <v>192754</v>
      </c>
      <c r="AK91" s="1">
        <v>192754</v>
      </c>
      <c r="AM91" s="1">
        <v>472709</v>
      </c>
      <c r="AN91" s="1">
        <v>82294</v>
      </c>
      <c r="AO91" s="1">
        <v>555003</v>
      </c>
      <c r="AP91" s="1">
        <v>747757</v>
      </c>
      <c r="AQ91" s="1">
        <v>1855225</v>
      </c>
      <c r="AT91" s="1">
        <v>1855225</v>
      </c>
      <c r="AV91" s="1">
        <v>1888682</v>
      </c>
      <c r="AW91" s="1">
        <v>1888682</v>
      </c>
      <c r="AX91" s="1">
        <v>165063</v>
      </c>
      <c r="AZ91" s="1">
        <v>42866250</v>
      </c>
      <c r="BE91" s="1">
        <v>82118</v>
      </c>
      <c r="BL91" s="1">
        <v>33457</v>
      </c>
      <c r="BR91" s="1">
        <v>812880</v>
      </c>
      <c r="BY91" s="1">
        <v>165063</v>
      </c>
      <c r="CG91" s="1">
        <v>219380</v>
      </c>
    </row>
    <row r="92" spans="1:117">
      <c r="A92" s="1">
        <v>3</v>
      </c>
      <c r="B92" s="1">
        <v>4610</v>
      </c>
      <c r="C92" s="1" t="s">
        <v>1544</v>
      </c>
      <c r="D92" s="1" t="s">
        <v>1609</v>
      </c>
      <c r="F92" s="1">
        <v>203138</v>
      </c>
      <c r="J92" s="1">
        <v>361761</v>
      </c>
      <c r="K92" s="1">
        <v>532589</v>
      </c>
      <c r="L92" s="1">
        <v>100000</v>
      </c>
      <c r="M92" s="1">
        <v>508342</v>
      </c>
      <c r="O92" s="1">
        <v>1140931</v>
      </c>
      <c r="P92" s="1">
        <v>40118</v>
      </c>
      <c r="Q92" s="1">
        <v>20753135</v>
      </c>
      <c r="R92" s="1">
        <v>428179</v>
      </c>
      <c r="S92" s="1">
        <v>428179</v>
      </c>
      <c r="W92" s="1">
        <v>21295737</v>
      </c>
      <c r="Y92" s="1">
        <v>170310</v>
      </c>
      <c r="Z92" s="1">
        <v>1256342</v>
      </c>
      <c r="AA92" s="1">
        <v>37412</v>
      </c>
      <c r="AB92" s="1">
        <v>183772</v>
      </c>
      <c r="AC92" s="1">
        <v>190035</v>
      </c>
      <c r="AD92" s="1">
        <v>1685832</v>
      </c>
      <c r="AE92" s="1">
        <v>752488</v>
      </c>
      <c r="AG92" s="1">
        <v>4345104</v>
      </c>
      <c r="AH92" s="1">
        <v>25680959</v>
      </c>
      <c r="AJ92" s="1">
        <v>18626</v>
      </c>
      <c r="AK92" s="1">
        <v>18626</v>
      </c>
      <c r="AL92" s="1">
        <v>91535</v>
      </c>
      <c r="AM92" s="1">
        <v>349857</v>
      </c>
      <c r="AN92" s="1">
        <v>70659</v>
      </c>
      <c r="AO92" s="1">
        <v>512051</v>
      </c>
      <c r="AP92" s="1">
        <v>534333</v>
      </c>
      <c r="AQ92" s="1">
        <v>1766865</v>
      </c>
      <c r="AT92" s="1">
        <v>1766865</v>
      </c>
      <c r="AV92" s="1">
        <v>1766865</v>
      </c>
      <c r="AW92" s="1">
        <v>1766865</v>
      </c>
      <c r="AX92" s="1">
        <v>40118</v>
      </c>
      <c r="AY92" s="1">
        <v>-40118</v>
      </c>
      <c r="AZ92" s="1">
        <v>29618405</v>
      </c>
      <c r="BE92" s="1">
        <v>49623</v>
      </c>
      <c r="BF92" s="1">
        <v>19290</v>
      </c>
      <c r="BQ92" s="1">
        <v>114423</v>
      </c>
      <c r="BU92" s="1">
        <v>3656</v>
      </c>
      <c r="BV92" s="1">
        <v>3656</v>
      </c>
      <c r="BY92" s="1">
        <v>133556</v>
      </c>
      <c r="CI92" s="1">
        <v>133556</v>
      </c>
      <c r="CL92" s="1">
        <v>158623</v>
      </c>
    </row>
    <row r="93" spans="1:117">
      <c r="A93" s="1">
        <v>3</v>
      </c>
      <c r="B93" s="1">
        <v>4620</v>
      </c>
      <c r="C93" s="1" t="s">
        <v>1544</v>
      </c>
      <c r="D93" s="1" t="s">
        <v>1610</v>
      </c>
      <c r="F93" s="1">
        <v>210010</v>
      </c>
      <c r="G93" s="1">
        <v>393783</v>
      </c>
      <c r="H93" s="1">
        <v>81016</v>
      </c>
      <c r="I93" s="1">
        <v>344836</v>
      </c>
      <c r="J93" s="1">
        <v>1921038</v>
      </c>
      <c r="K93" s="1">
        <v>164745</v>
      </c>
      <c r="L93" s="1">
        <v>542842</v>
      </c>
      <c r="M93" s="1">
        <v>125188</v>
      </c>
      <c r="N93" s="1">
        <v>2934</v>
      </c>
      <c r="O93" s="1">
        <v>835709</v>
      </c>
      <c r="P93" s="1">
        <v>16460</v>
      </c>
      <c r="Q93" s="1">
        <v>6289800</v>
      </c>
      <c r="R93" s="1">
        <v>75188</v>
      </c>
      <c r="S93" s="1">
        <v>75188</v>
      </c>
      <c r="U93" s="1">
        <v>17190</v>
      </c>
      <c r="V93" s="1">
        <v>6391</v>
      </c>
      <c r="W93" s="1">
        <v>6491131</v>
      </c>
      <c r="Y93" s="1">
        <v>83420</v>
      </c>
      <c r="Z93" s="1">
        <v>226624</v>
      </c>
      <c r="AA93" s="1">
        <v>4654</v>
      </c>
      <c r="AB93" s="1">
        <v>42696</v>
      </c>
      <c r="AC93" s="1">
        <v>17341</v>
      </c>
      <c r="AD93" s="1">
        <v>275902</v>
      </c>
      <c r="AE93" s="1">
        <v>145403</v>
      </c>
      <c r="AG93" s="1">
        <v>814971</v>
      </c>
      <c r="AH93" s="1">
        <v>7322562</v>
      </c>
      <c r="AJ93" s="1">
        <v>38728</v>
      </c>
      <c r="AK93" s="1">
        <v>38728</v>
      </c>
      <c r="AM93" s="1">
        <v>110050</v>
      </c>
      <c r="AN93" s="1">
        <v>10877</v>
      </c>
      <c r="AO93" s="1">
        <v>120927</v>
      </c>
      <c r="AP93" s="1">
        <v>196459</v>
      </c>
      <c r="AQ93" s="1">
        <v>127170</v>
      </c>
      <c r="AT93" s="1">
        <v>127170</v>
      </c>
      <c r="AV93" s="1">
        <v>127170</v>
      </c>
      <c r="AW93" s="1">
        <v>127170</v>
      </c>
      <c r="AX93" s="1">
        <v>16460</v>
      </c>
      <c r="AY93" s="1">
        <v>-16460</v>
      </c>
      <c r="AZ93" s="1">
        <v>10620247</v>
      </c>
      <c r="BB93" s="1">
        <v>42500</v>
      </c>
      <c r="BE93" s="1">
        <v>9961</v>
      </c>
      <c r="BF93" s="1">
        <v>8970</v>
      </c>
      <c r="BQ93" s="1">
        <v>102562</v>
      </c>
      <c r="BU93" s="1">
        <v>36804</v>
      </c>
      <c r="BV93" s="1">
        <v>36804</v>
      </c>
      <c r="BY93" s="1">
        <v>217309</v>
      </c>
      <c r="CI93" s="1">
        <v>217309</v>
      </c>
      <c r="CL93" s="1">
        <v>848893</v>
      </c>
    </row>
    <row r="94" spans="1:117">
      <c r="A94" s="1">
        <v>3</v>
      </c>
      <c r="B94" s="1">
        <v>4845</v>
      </c>
      <c r="C94" s="1" t="s">
        <v>1544</v>
      </c>
      <c r="D94" s="1" t="s">
        <v>1611</v>
      </c>
      <c r="F94" s="1">
        <v>127308</v>
      </c>
      <c r="J94" s="1">
        <v>127308</v>
      </c>
      <c r="K94" s="1">
        <v>3136408</v>
      </c>
      <c r="O94" s="1">
        <v>3136408</v>
      </c>
      <c r="S94" s="1">
        <v>12294442</v>
      </c>
      <c r="T94" s="1">
        <v>19331492</v>
      </c>
      <c r="V94" s="1">
        <v>2809514</v>
      </c>
      <c r="W94" s="1">
        <v>34612149</v>
      </c>
      <c r="AD94" s="1">
        <v>509239</v>
      </c>
      <c r="AE94" s="1">
        <v>550383</v>
      </c>
      <c r="AG94" s="1">
        <v>1059622</v>
      </c>
      <c r="AH94" s="1">
        <v>35671771</v>
      </c>
      <c r="AZ94" s="1">
        <v>38935487</v>
      </c>
      <c r="BC94" s="1">
        <v>12294442</v>
      </c>
      <c r="BQ94" s="1">
        <v>176701</v>
      </c>
    </row>
    <row r="95" spans="1:117">
      <c r="A95" s="1">
        <v>3</v>
      </c>
      <c r="B95" s="1">
        <v>4870</v>
      </c>
      <c r="C95" s="1" t="s">
        <v>1544</v>
      </c>
      <c r="D95" s="1" t="s">
        <v>1612</v>
      </c>
      <c r="G95" s="1">
        <v>100282</v>
      </c>
      <c r="J95" s="1">
        <v>100282</v>
      </c>
      <c r="K95" s="1">
        <v>132309</v>
      </c>
      <c r="L95" s="1">
        <v>76418</v>
      </c>
      <c r="M95" s="1">
        <v>1551178</v>
      </c>
      <c r="N95" s="1">
        <v>161531</v>
      </c>
      <c r="O95" s="1">
        <v>1921436</v>
      </c>
      <c r="Q95" s="1">
        <v>5091935</v>
      </c>
      <c r="R95" s="1">
        <v>73470</v>
      </c>
      <c r="S95" s="1">
        <v>73470</v>
      </c>
      <c r="V95" s="1">
        <v>160118</v>
      </c>
      <c r="W95" s="1">
        <v>5325523</v>
      </c>
      <c r="Y95" s="1">
        <v>14640</v>
      </c>
      <c r="Z95" s="1">
        <v>324441</v>
      </c>
      <c r="AA95" s="1">
        <v>26720</v>
      </c>
      <c r="AB95" s="1">
        <v>35117</v>
      </c>
      <c r="AC95" s="1">
        <v>32038</v>
      </c>
      <c r="AD95" s="1">
        <v>242865</v>
      </c>
      <c r="AE95" s="1">
        <v>107802</v>
      </c>
      <c r="AG95" s="1">
        <v>795911</v>
      </c>
      <c r="AH95" s="1">
        <v>6121644</v>
      </c>
      <c r="AI95" s="1">
        <v>11760</v>
      </c>
      <c r="AK95" s="1">
        <v>11760</v>
      </c>
      <c r="AL95" s="1">
        <v>22656</v>
      </c>
      <c r="AM95" s="1">
        <v>62770</v>
      </c>
      <c r="AN95" s="1">
        <v>114062</v>
      </c>
      <c r="AO95" s="1">
        <v>199488</v>
      </c>
      <c r="AP95" s="1">
        <v>211248</v>
      </c>
      <c r="AQ95" s="1">
        <v>527830</v>
      </c>
      <c r="AS95" s="1">
        <v>240588</v>
      </c>
      <c r="AT95" s="1">
        <v>768418</v>
      </c>
      <c r="AV95" s="1">
        <v>768418</v>
      </c>
      <c r="AW95" s="1">
        <v>768418</v>
      </c>
      <c r="AZ95" s="1">
        <v>9123028</v>
      </c>
      <c r="BE95" s="1">
        <v>12288</v>
      </c>
      <c r="BH95" s="1">
        <v>210</v>
      </c>
      <c r="CA95" s="1">
        <v>210</v>
      </c>
      <c r="DC95" s="1">
        <v>240588</v>
      </c>
    </row>
    <row r="96" spans="1:117">
      <c r="A96" s="1">
        <v>3</v>
      </c>
      <c r="B96" s="1">
        <v>5150</v>
      </c>
      <c r="C96" s="1" t="s">
        <v>1544</v>
      </c>
      <c r="D96" s="1" t="s">
        <v>1613</v>
      </c>
      <c r="F96" s="1">
        <v>1163385</v>
      </c>
      <c r="G96" s="1">
        <v>1972989</v>
      </c>
      <c r="H96" s="1">
        <v>1119006</v>
      </c>
      <c r="I96" s="1">
        <v>534661</v>
      </c>
      <c r="J96" s="1">
        <v>6380837</v>
      </c>
      <c r="K96" s="1">
        <v>2015505</v>
      </c>
      <c r="L96" s="1">
        <v>480686</v>
      </c>
      <c r="M96" s="1">
        <v>595486</v>
      </c>
      <c r="O96" s="1">
        <v>3091677</v>
      </c>
      <c r="P96" s="1">
        <v>-450000</v>
      </c>
      <c r="Q96" s="1">
        <v>71386061</v>
      </c>
      <c r="R96" s="1">
        <v>192172</v>
      </c>
      <c r="S96" s="1">
        <v>204637</v>
      </c>
      <c r="T96" s="1">
        <v>30231</v>
      </c>
      <c r="U96" s="1">
        <v>53060</v>
      </c>
      <c r="V96" s="1">
        <v>450724</v>
      </c>
      <c r="W96" s="1">
        <v>72124713</v>
      </c>
      <c r="Y96" s="1">
        <v>1351777</v>
      </c>
      <c r="Z96" s="1">
        <v>3431277</v>
      </c>
      <c r="AA96" s="1">
        <v>111104</v>
      </c>
      <c r="AB96" s="1">
        <v>356965</v>
      </c>
      <c r="AC96" s="1">
        <v>506682</v>
      </c>
      <c r="AD96" s="1">
        <v>5308816</v>
      </c>
      <c r="AE96" s="1">
        <v>2371489</v>
      </c>
      <c r="AG96" s="1">
        <v>13715456</v>
      </c>
      <c r="AH96" s="1">
        <v>85390169</v>
      </c>
      <c r="AI96" s="1">
        <v>174894</v>
      </c>
      <c r="AJ96" s="1">
        <v>516864</v>
      </c>
      <c r="AK96" s="1">
        <v>691758</v>
      </c>
      <c r="AL96" s="1">
        <v>278537</v>
      </c>
      <c r="AM96" s="1">
        <v>962509</v>
      </c>
      <c r="AN96" s="1">
        <v>188410</v>
      </c>
      <c r="AO96" s="1">
        <v>1429456</v>
      </c>
      <c r="AP96" s="1">
        <v>2352460</v>
      </c>
      <c r="AQ96" s="1">
        <v>1770877</v>
      </c>
      <c r="AT96" s="1">
        <v>1770877</v>
      </c>
      <c r="AV96" s="1">
        <v>1770877</v>
      </c>
      <c r="AW96" s="1">
        <v>1770877</v>
      </c>
      <c r="AX96" s="1">
        <v>2078</v>
      </c>
      <c r="AZ96" s="1">
        <v>99906288</v>
      </c>
      <c r="BC96" s="1">
        <v>12465</v>
      </c>
      <c r="BE96" s="1">
        <v>150527</v>
      </c>
      <c r="BF96" s="1">
        <v>126819</v>
      </c>
      <c r="BU96" s="1">
        <v>231246</v>
      </c>
      <c r="BV96" s="1">
        <v>231246</v>
      </c>
      <c r="BY96" s="1">
        <v>920268</v>
      </c>
      <c r="CC96" s="1">
        <v>450000</v>
      </c>
      <c r="CI96" s="1">
        <v>468190</v>
      </c>
      <c r="CL96" s="1">
        <v>1590796</v>
      </c>
    </row>
    <row r="97" spans="1:118">
      <c r="A97" s="1">
        <v>3</v>
      </c>
      <c r="B97" s="1">
        <v>5160</v>
      </c>
      <c r="C97" s="1" t="s">
        <v>1544</v>
      </c>
      <c r="D97" s="1" t="s">
        <v>1614</v>
      </c>
      <c r="F97" s="1">
        <v>28511</v>
      </c>
      <c r="G97" s="1">
        <v>345644</v>
      </c>
      <c r="H97" s="1">
        <v>57027</v>
      </c>
      <c r="I97" s="1">
        <v>363360</v>
      </c>
      <c r="J97" s="1">
        <v>833042</v>
      </c>
      <c r="K97" s="1">
        <v>1214246</v>
      </c>
      <c r="M97" s="1">
        <v>23991530</v>
      </c>
      <c r="N97" s="1">
        <v>613583</v>
      </c>
      <c r="O97" s="1">
        <v>25819359</v>
      </c>
      <c r="Q97" s="1">
        <v>43105141</v>
      </c>
      <c r="R97" s="1">
        <v>967893</v>
      </c>
      <c r="S97" s="1">
        <v>1057457</v>
      </c>
      <c r="U97" s="1">
        <v>18177</v>
      </c>
      <c r="V97" s="1">
        <v>655011</v>
      </c>
      <c r="W97" s="1">
        <v>44835786</v>
      </c>
      <c r="Y97" s="1">
        <v>176208</v>
      </c>
      <c r="Z97" s="1">
        <v>1415475</v>
      </c>
      <c r="AA97" s="1">
        <v>223196</v>
      </c>
      <c r="AB97" s="1">
        <v>355434</v>
      </c>
      <c r="AC97" s="1">
        <v>215130</v>
      </c>
      <c r="AD97" s="1">
        <v>3238229</v>
      </c>
      <c r="AE97" s="1">
        <v>1739574</v>
      </c>
      <c r="AG97" s="1">
        <v>7610899</v>
      </c>
      <c r="AH97" s="1">
        <v>52446685</v>
      </c>
      <c r="AJ97" s="1">
        <v>117786</v>
      </c>
      <c r="AK97" s="1">
        <v>117786</v>
      </c>
      <c r="AM97" s="1">
        <v>739768</v>
      </c>
      <c r="AN97" s="1">
        <v>191726</v>
      </c>
      <c r="AO97" s="1">
        <v>931494</v>
      </c>
      <c r="AP97" s="1">
        <v>1315834</v>
      </c>
      <c r="AQ97" s="1">
        <v>1836220</v>
      </c>
      <c r="AT97" s="1">
        <v>1836220</v>
      </c>
      <c r="AV97" s="1">
        <v>3005692</v>
      </c>
      <c r="AW97" s="1">
        <v>3005692</v>
      </c>
      <c r="AX97" s="1">
        <v>1169418</v>
      </c>
      <c r="AY97" s="1">
        <v>-1169472</v>
      </c>
      <c r="AZ97" s="1">
        <v>90931612</v>
      </c>
      <c r="BC97" s="1">
        <v>89564</v>
      </c>
      <c r="BE97" s="1">
        <v>60900</v>
      </c>
      <c r="BF97" s="1">
        <v>186753</v>
      </c>
      <c r="BL97" s="1">
        <v>1169472</v>
      </c>
      <c r="BU97" s="1">
        <v>266554</v>
      </c>
      <c r="BV97" s="1">
        <v>266554</v>
      </c>
      <c r="BX97" s="1">
        <v>7511000</v>
      </c>
      <c r="BY97" s="1">
        <v>7511000</v>
      </c>
      <c r="CL97" s="1">
        <v>38500</v>
      </c>
      <c r="DF97" s="1">
        <v>54</v>
      </c>
    </row>
    <row r="98" spans="1:118">
      <c r="A98" s="1">
        <v>3</v>
      </c>
      <c r="B98" s="1">
        <v>5170</v>
      </c>
      <c r="C98" s="1" t="s">
        <v>1544</v>
      </c>
      <c r="D98" s="1" t="s">
        <v>1615</v>
      </c>
      <c r="G98" s="1">
        <v>91188</v>
      </c>
      <c r="H98" s="1">
        <v>162826</v>
      </c>
      <c r="J98" s="1">
        <v>254014</v>
      </c>
      <c r="K98" s="1">
        <v>100000</v>
      </c>
      <c r="O98" s="1">
        <v>100000</v>
      </c>
      <c r="Q98" s="1">
        <v>95316</v>
      </c>
      <c r="W98" s="1">
        <v>111125</v>
      </c>
      <c r="AC98" s="1">
        <v>2085</v>
      </c>
      <c r="AG98" s="1">
        <v>2745</v>
      </c>
      <c r="AH98" s="1">
        <v>113870</v>
      </c>
      <c r="AZ98" s="1">
        <v>467884</v>
      </c>
      <c r="BE98" s="1">
        <v>80</v>
      </c>
      <c r="BQ98" s="1">
        <v>15809</v>
      </c>
      <c r="BR98" s="1">
        <v>580</v>
      </c>
    </row>
    <row r="99" spans="1:118">
      <c r="A99" s="1">
        <v>3</v>
      </c>
      <c r="B99" s="1">
        <v>5330</v>
      </c>
      <c r="C99" s="1" t="s">
        <v>1544</v>
      </c>
      <c r="D99" s="1" t="s">
        <v>1616</v>
      </c>
      <c r="F99" s="1">
        <v>175475</v>
      </c>
      <c r="G99" s="1">
        <v>473474</v>
      </c>
      <c r="H99" s="1">
        <v>253186</v>
      </c>
      <c r="I99" s="1">
        <v>366676</v>
      </c>
      <c r="J99" s="1">
        <v>1269811</v>
      </c>
      <c r="K99" s="1">
        <v>437069</v>
      </c>
      <c r="L99" s="1">
        <v>88100</v>
      </c>
      <c r="M99" s="1">
        <v>112452</v>
      </c>
      <c r="N99" s="1">
        <v>21503</v>
      </c>
      <c r="O99" s="1">
        <v>659124</v>
      </c>
      <c r="Q99" s="1">
        <v>16723037</v>
      </c>
      <c r="R99" s="1">
        <v>112785</v>
      </c>
      <c r="S99" s="1">
        <v>112785</v>
      </c>
      <c r="U99" s="1">
        <v>13691</v>
      </c>
      <c r="V99" s="1">
        <v>144004</v>
      </c>
      <c r="W99" s="1">
        <v>16993517</v>
      </c>
      <c r="Y99" s="1">
        <v>71715</v>
      </c>
      <c r="Z99" s="1">
        <v>645244</v>
      </c>
      <c r="AA99" s="1">
        <v>24456</v>
      </c>
      <c r="AB99" s="1">
        <v>92820</v>
      </c>
      <c r="AC99" s="1">
        <v>77418</v>
      </c>
      <c r="AD99" s="1">
        <v>1211759</v>
      </c>
      <c r="AE99" s="1">
        <v>641135</v>
      </c>
      <c r="AG99" s="1">
        <v>2797739</v>
      </c>
      <c r="AH99" s="1">
        <v>19866497</v>
      </c>
      <c r="AJ99" s="1">
        <v>1988</v>
      </c>
      <c r="AK99" s="1">
        <v>1988</v>
      </c>
      <c r="AM99" s="1">
        <v>239522</v>
      </c>
      <c r="AN99" s="1">
        <v>22577</v>
      </c>
      <c r="AO99" s="1">
        <v>262099</v>
      </c>
      <c r="AP99" s="1">
        <v>264087</v>
      </c>
      <c r="AQ99" s="1">
        <v>737134</v>
      </c>
      <c r="AT99" s="1">
        <v>737134</v>
      </c>
      <c r="AU99" s="1">
        <v>293149</v>
      </c>
      <c r="AV99" s="1">
        <v>1030283</v>
      </c>
      <c r="AW99" s="1">
        <v>1030283</v>
      </c>
      <c r="AX99" s="1">
        <v>328</v>
      </c>
      <c r="AZ99" s="1">
        <v>23090130</v>
      </c>
      <c r="BE99" s="1">
        <v>24565</v>
      </c>
      <c r="BF99" s="1">
        <v>8627</v>
      </c>
      <c r="BY99" s="1">
        <v>328</v>
      </c>
      <c r="CG99" s="1">
        <v>75241</v>
      </c>
      <c r="CL99" s="1">
        <v>1000</v>
      </c>
    </row>
    <row r="100" spans="1:118">
      <c r="A100" s="1">
        <v>3</v>
      </c>
      <c r="B100" s="1">
        <v>5410</v>
      </c>
      <c r="C100" s="1" t="s">
        <v>1544</v>
      </c>
      <c r="D100" s="1" t="s">
        <v>1617</v>
      </c>
      <c r="F100" s="1">
        <v>79829</v>
      </c>
      <c r="G100" s="1">
        <v>872407</v>
      </c>
      <c r="H100" s="1">
        <v>173651</v>
      </c>
      <c r="I100" s="1">
        <v>1</v>
      </c>
      <c r="J100" s="1">
        <v>1710315</v>
      </c>
      <c r="K100" s="1">
        <v>503385</v>
      </c>
      <c r="M100" s="1">
        <v>367990</v>
      </c>
      <c r="N100" s="1">
        <v>2041</v>
      </c>
      <c r="O100" s="1">
        <v>873416</v>
      </c>
      <c r="P100" s="1">
        <v>-521656</v>
      </c>
      <c r="Q100" s="1">
        <v>20796714</v>
      </c>
      <c r="S100" s="1">
        <v>17000</v>
      </c>
      <c r="V100" s="1">
        <v>230477</v>
      </c>
      <c r="W100" s="1">
        <v>21044191</v>
      </c>
      <c r="Y100" s="1">
        <v>148593</v>
      </c>
      <c r="Z100" s="1">
        <v>918126</v>
      </c>
      <c r="AA100" s="1">
        <v>81436</v>
      </c>
      <c r="AB100" s="1">
        <v>105163</v>
      </c>
      <c r="AC100" s="1">
        <v>172370</v>
      </c>
      <c r="AD100" s="1">
        <v>1823248</v>
      </c>
      <c r="AE100" s="1">
        <v>749773</v>
      </c>
      <c r="AG100" s="1">
        <v>4044662</v>
      </c>
      <c r="AH100" s="1">
        <v>24632724</v>
      </c>
      <c r="AJ100" s="1">
        <v>140986</v>
      </c>
      <c r="AK100" s="1">
        <v>140986</v>
      </c>
      <c r="AM100" s="1">
        <v>336360</v>
      </c>
      <c r="AN100" s="1">
        <v>86549</v>
      </c>
      <c r="AO100" s="1">
        <v>422909</v>
      </c>
      <c r="AP100" s="1">
        <v>563895</v>
      </c>
      <c r="AQ100" s="1">
        <v>674742</v>
      </c>
      <c r="AT100" s="1">
        <v>674742</v>
      </c>
      <c r="AV100" s="1">
        <v>674742</v>
      </c>
      <c r="AW100" s="1">
        <v>674742</v>
      </c>
      <c r="AX100" s="1">
        <v>28344</v>
      </c>
      <c r="AY100" s="1">
        <v>521656</v>
      </c>
      <c r="AZ100" s="1">
        <v>29005092</v>
      </c>
      <c r="BC100" s="1">
        <v>17000</v>
      </c>
      <c r="BE100" s="1">
        <v>39616</v>
      </c>
      <c r="BF100" s="1">
        <v>6337</v>
      </c>
      <c r="BY100" s="1">
        <v>550000</v>
      </c>
      <c r="CG100" s="1">
        <v>65527</v>
      </c>
      <c r="CL100" s="1">
        <v>584427</v>
      </c>
    </row>
    <row r="101" spans="1:118">
      <c r="A101" s="1">
        <v>3</v>
      </c>
      <c r="B101" s="1">
        <v>5430</v>
      </c>
      <c r="C101" s="1" t="s">
        <v>1544</v>
      </c>
      <c r="D101" s="1" t="s">
        <v>1618</v>
      </c>
      <c r="F101" s="1">
        <v>449412</v>
      </c>
      <c r="G101" s="1">
        <v>401893</v>
      </c>
      <c r="H101" s="1">
        <v>173983</v>
      </c>
      <c r="I101" s="1">
        <v>103811</v>
      </c>
      <c r="J101" s="1">
        <v>1129099</v>
      </c>
      <c r="K101" s="1">
        <v>283846</v>
      </c>
      <c r="L101" s="1">
        <v>426017</v>
      </c>
      <c r="M101" s="1">
        <v>3606681</v>
      </c>
      <c r="N101" s="1">
        <v>13477</v>
      </c>
      <c r="O101" s="1">
        <v>4330021</v>
      </c>
      <c r="Q101" s="1">
        <v>10278587</v>
      </c>
      <c r="U101" s="1">
        <v>4162</v>
      </c>
      <c r="V101" s="1">
        <v>339989</v>
      </c>
      <c r="W101" s="1">
        <v>10622738</v>
      </c>
      <c r="X101" s="1">
        <v>1012067</v>
      </c>
      <c r="Y101" s="1">
        <v>54324</v>
      </c>
      <c r="Z101" s="1">
        <v>399297</v>
      </c>
      <c r="AA101" s="1">
        <v>177338</v>
      </c>
      <c r="AB101" s="1">
        <v>40644</v>
      </c>
      <c r="AC101" s="1">
        <v>126288</v>
      </c>
      <c r="AD101" s="1">
        <v>856173</v>
      </c>
      <c r="AE101" s="1">
        <v>515924</v>
      </c>
      <c r="AG101" s="1">
        <v>3752708</v>
      </c>
      <c r="AH101" s="1">
        <v>14375446</v>
      </c>
      <c r="AI101" s="1">
        <v>8460</v>
      </c>
      <c r="AJ101" s="1">
        <v>77591</v>
      </c>
      <c r="AK101" s="1">
        <v>86051</v>
      </c>
      <c r="AL101" s="1">
        <v>130354</v>
      </c>
      <c r="AM101" s="1">
        <v>237330</v>
      </c>
      <c r="AN101" s="1">
        <v>125636</v>
      </c>
      <c r="AO101" s="1">
        <v>493320</v>
      </c>
      <c r="AP101" s="1">
        <v>586270</v>
      </c>
      <c r="AQ101" s="1">
        <v>310991</v>
      </c>
      <c r="AT101" s="1">
        <v>310991</v>
      </c>
      <c r="AU101" s="1">
        <v>4343</v>
      </c>
      <c r="AV101" s="1">
        <v>315334</v>
      </c>
      <c r="AW101" s="1">
        <v>315334</v>
      </c>
      <c r="AZ101" s="1">
        <v>21108581</v>
      </c>
      <c r="BE101" s="1">
        <v>68338</v>
      </c>
      <c r="BF101" s="1">
        <v>2159</v>
      </c>
      <c r="BR101" s="1">
        <v>500156</v>
      </c>
      <c r="BU101" s="1">
        <v>6899</v>
      </c>
      <c r="BV101" s="1">
        <v>6899</v>
      </c>
      <c r="BY101" s="1">
        <v>372411</v>
      </c>
      <c r="CI101" s="1">
        <v>372411</v>
      </c>
    </row>
    <row r="102" spans="1:118">
      <c r="A102" s="1">
        <v>3</v>
      </c>
      <c r="B102" s="1">
        <v>5755</v>
      </c>
      <c r="C102" s="1" t="s">
        <v>1544</v>
      </c>
      <c r="D102" s="1" t="s">
        <v>1619</v>
      </c>
      <c r="F102" s="1">
        <v>279436</v>
      </c>
      <c r="G102" s="1">
        <v>63482</v>
      </c>
      <c r="I102" s="1">
        <v>152922</v>
      </c>
      <c r="J102" s="1">
        <v>495840</v>
      </c>
      <c r="K102" s="1">
        <v>1040037</v>
      </c>
      <c r="L102" s="1">
        <v>522582</v>
      </c>
      <c r="M102" s="1">
        <v>-13848</v>
      </c>
      <c r="N102" s="1">
        <v>4266</v>
      </c>
      <c r="O102" s="1">
        <v>1553037</v>
      </c>
      <c r="Q102" s="1">
        <v>36722248</v>
      </c>
      <c r="U102" s="1">
        <v>8481</v>
      </c>
      <c r="V102" s="1">
        <v>329272</v>
      </c>
      <c r="W102" s="1">
        <v>37060001</v>
      </c>
      <c r="Y102" s="1">
        <v>530222</v>
      </c>
      <c r="Z102" s="1">
        <v>1534883</v>
      </c>
      <c r="AA102" s="1">
        <v>113798</v>
      </c>
      <c r="AB102" s="1">
        <v>201347</v>
      </c>
      <c r="AC102" s="1">
        <v>280773</v>
      </c>
      <c r="AD102" s="1">
        <v>2690545</v>
      </c>
      <c r="AE102" s="1">
        <v>1291384</v>
      </c>
      <c r="AG102" s="1">
        <v>6895761</v>
      </c>
      <c r="AH102" s="1">
        <v>44111323</v>
      </c>
      <c r="AJ102" s="1">
        <v>181743</v>
      </c>
      <c r="AK102" s="1">
        <v>181743</v>
      </c>
      <c r="AL102" s="1">
        <v>83118</v>
      </c>
      <c r="AM102" s="1">
        <v>715816</v>
      </c>
      <c r="AN102" s="1">
        <v>77003</v>
      </c>
      <c r="AO102" s="1">
        <v>875937</v>
      </c>
      <c r="AP102" s="1">
        <v>1081293</v>
      </c>
      <c r="AQ102" s="1">
        <v>642002</v>
      </c>
      <c r="AT102" s="1">
        <v>642002</v>
      </c>
      <c r="AU102" s="1">
        <v>15904</v>
      </c>
      <c r="AV102" s="1">
        <v>657906</v>
      </c>
      <c r="AW102" s="1">
        <v>657906</v>
      </c>
      <c r="AZ102" s="1">
        <v>47917597</v>
      </c>
      <c r="BE102" s="1">
        <v>73790</v>
      </c>
      <c r="BF102" s="1">
        <v>179019</v>
      </c>
      <c r="BU102" s="1">
        <v>23613</v>
      </c>
      <c r="BV102" s="1">
        <v>23613</v>
      </c>
      <c r="BY102" s="1">
        <v>18198</v>
      </c>
      <c r="CG102" s="1">
        <v>155561</v>
      </c>
      <c r="CI102" s="1">
        <v>18198</v>
      </c>
    </row>
    <row r="103" spans="1:118">
      <c r="A103" s="1">
        <v>3</v>
      </c>
      <c r="B103" s="1">
        <v>5830</v>
      </c>
      <c r="C103" s="1" t="s">
        <v>1544</v>
      </c>
      <c r="D103" s="1" t="s">
        <v>1620</v>
      </c>
      <c r="F103" s="1">
        <v>306448</v>
      </c>
      <c r="G103" s="1">
        <v>363880</v>
      </c>
      <c r="H103" s="1">
        <v>465459</v>
      </c>
      <c r="I103" s="1">
        <v>59776</v>
      </c>
      <c r="J103" s="1">
        <v>1221220</v>
      </c>
      <c r="K103" s="1">
        <v>266823</v>
      </c>
      <c r="L103" s="1">
        <v>99229</v>
      </c>
      <c r="M103" s="1">
        <v>1603489</v>
      </c>
      <c r="N103" s="1">
        <v>153925</v>
      </c>
      <c r="O103" s="1">
        <v>2123466</v>
      </c>
      <c r="Q103" s="1">
        <v>10831384</v>
      </c>
      <c r="S103" s="1">
        <v>1099420</v>
      </c>
      <c r="U103" s="1">
        <v>1250</v>
      </c>
      <c r="V103" s="1">
        <v>61591</v>
      </c>
      <c r="W103" s="1">
        <v>12087804</v>
      </c>
      <c r="Z103" s="1">
        <v>670362</v>
      </c>
      <c r="AB103" s="1">
        <v>53246</v>
      </c>
      <c r="AC103" s="1">
        <v>93701</v>
      </c>
      <c r="AD103" s="1">
        <v>886266</v>
      </c>
      <c r="AE103" s="1">
        <v>439613</v>
      </c>
      <c r="AG103" s="1">
        <v>2260838</v>
      </c>
      <c r="AH103" s="1">
        <v>14408872</v>
      </c>
      <c r="AI103" s="1">
        <v>21753</v>
      </c>
      <c r="AJ103" s="1">
        <v>120548</v>
      </c>
      <c r="AK103" s="1">
        <v>142301</v>
      </c>
      <c r="AL103" s="1">
        <v>70064</v>
      </c>
      <c r="AM103" s="1">
        <v>234158</v>
      </c>
      <c r="AN103" s="1">
        <v>33682</v>
      </c>
      <c r="AO103" s="1">
        <v>337904</v>
      </c>
      <c r="AP103" s="1">
        <v>480205</v>
      </c>
      <c r="AQ103" s="1">
        <v>283960</v>
      </c>
      <c r="AT103" s="1">
        <v>283960</v>
      </c>
      <c r="AV103" s="1">
        <v>362065</v>
      </c>
      <c r="AW103" s="1">
        <v>362065</v>
      </c>
      <c r="AZ103" s="1">
        <v>18595828</v>
      </c>
      <c r="BE103" s="1">
        <v>23574</v>
      </c>
      <c r="BF103" s="1">
        <v>94076</v>
      </c>
      <c r="BH103" s="1">
        <v>629</v>
      </c>
      <c r="BL103" s="1">
        <v>78105</v>
      </c>
      <c r="BQ103" s="1">
        <v>94159</v>
      </c>
      <c r="CA103" s="1">
        <v>629</v>
      </c>
      <c r="CB103" s="1">
        <v>1099420</v>
      </c>
      <c r="CG103" s="1">
        <v>59601</v>
      </c>
      <c r="CL103" s="1">
        <v>25657</v>
      </c>
      <c r="DB103" s="1">
        <v>70019</v>
      </c>
    </row>
    <row r="104" spans="1:118">
      <c r="A104" s="1">
        <v>3</v>
      </c>
      <c r="B104" s="1">
        <v>5880</v>
      </c>
      <c r="C104" s="1" t="s">
        <v>1544</v>
      </c>
      <c r="D104" s="1" t="s">
        <v>1621</v>
      </c>
      <c r="F104" s="1">
        <v>318954</v>
      </c>
      <c r="G104" s="1">
        <v>213595</v>
      </c>
      <c r="H104" s="1">
        <v>355022</v>
      </c>
      <c r="I104" s="1">
        <v>598263</v>
      </c>
      <c r="J104" s="1">
        <v>2455781</v>
      </c>
      <c r="K104" s="1">
        <v>240611</v>
      </c>
      <c r="L104" s="1">
        <v>94846</v>
      </c>
      <c r="M104" s="1">
        <v>58781</v>
      </c>
      <c r="N104" s="1">
        <v>46320</v>
      </c>
      <c r="O104" s="1">
        <v>440558</v>
      </c>
      <c r="Q104" s="1">
        <v>10427500</v>
      </c>
      <c r="R104" s="1">
        <v>8868</v>
      </c>
      <c r="S104" s="1">
        <v>38074</v>
      </c>
      <c r="U104" s="1">
        <v>26720</v>
      </c>
      <c r="V104" s="1">
        <v>168307</v>
      </c>
      <c r="W104" s="1">
        <v>10660601</v>
      </c>
      <c r="Y104" s="1">
        <v>101177</v>
      </c>
      <c r="Z104" s="1">
        <v>435027</v>
      </c>
      <c r="AA104" s="1">
        <v>8140</v>
      </c>
      <c r="AB104" s="1">
        <v>55992</v>
      </c>
      <c r="AC104" s="1">
        <v>37932</v>
      </c>
      <c r="AD104" s="1">
        <v>786768</v>
      </c>
      <c r="AE104" s="1">
        <v>423489</v>
      </c>
      <c r="AG104" s="1">
        <v>1958760</v>
      </c>
      <c r="AH104" s="1">
        <v>12619361</v>
      </c>
      <c r="AM104" s="1">
        <v>163614</v>
      </c>
      <c r="AN104" s="1">
        <v>15223</v>
      </c>
      <c r="AO104" s="1">
        <v>178837</v>
      </c>
      <c r="AP104" s="1">
        <v>198461</v>
      </c>
      <c r="AQ104" s="1">
        <v>1057868</v>
      </c>
      <c r="AR104" s="1">
        <v>32277</v>
      </c>
      <c r="AS104" s="1">
        <v>66405</v>
      </c>
      <c r="AT104" s="1">
        <v>1124273</v>
      </c>
      <c r="AU104" s="1">
        <v>16898</v>
      </c>
      <c r="AV104" s="1">
        <v>1141171</v>
      </c>
      <c r="AW104" s="1">
        <v>1141171</v>
      </c>
      <c r="AY104" s="1">
        <v>200000</v>
      </c>
      <c r="AZ104" s="1">
        <v>17063216</v>
      </c>
      <c r="BC104" s="1">
        <v>29206</v>
      </c>
      <c r="BE104" s="1">
        <v>18263</v>
      </c>
      <c r="BF104" s="1">
        <v>5071</v>
      </c>
      <c r="BR104" s="1">
        <v>86901</v>
      </c>
      <c r="BU104" s="1">
        <v>19624</v>
      </c>
      <c r="BV104" s="1">
        <v>19624</v>
      </c>
      <c r="BY104" s="1">
        <v>207884</v>
      </c>
      <c r="CI104" s="1">
        <v>7884</v>
      </c>
      <c r="CL104" s="1">
        <v>969947</v>
      </c>
      <c r="DC104" s="1">
        <v>34128</v>
      </c>
    </row>
    <row r="105" spans="1:118">
      <c r="A105" s="1">
        <v>3</v>
      </c>
      <c r="B105" s="1">
        <v>5920</v>
      </c>
      <c r="C105" s="1" t="s">
        <v>1544</v>
      </c>
      <c r="D105" s="1" t="s">
        <v>1622</v>
      </c>
      <c r="F105" s="1">
        <v>497035</v>
      </c>
      <c r="G105" s="1">
        <v>628703</v>
      </c>
      <c r="H105" s="1">
        <v>329792</v>
      </c>
      <c r="I105" s="1">
        <v>525733</v>
      </c>
      <c r="J105" s="1">
        <v>29626661</v>
      </c>
      <c r="K105" s="1">
        <v>643380</v>
      </c>
      <c r="L105" s="1">
        <v>283352</v>
      </c>
      <c r="M105" s="1">
        <v>-3722891</v>
      </c>
      <c r="N105" s="1">
        <v>896922</v>
      </c>
      <c r="O105" s="1">
        <v>-1899237</v>
      </c>
      <c r="U105" s="1">
        <v>15493</v>
      </c>
      <c r="V105" s="1">
        <v>309012</v>
      </c>
      <c r="W105" s="1">
        <v>26882216</v>
      </c>
      <c r="Y105" s="1">
        <v>28992</v>
      </c>
      <c r="Z105" s="1">
        <v>1120426</v>
      </c>
      <c r="AA105" s="1">
        <v>22300</v>
      </c>
      <c r="AB105" s="1">
        <v>85231</v>
      </c>
      <c r="AC105" s="1">
        <v>149914</v>
      </c>
      <c r="AD105" s="1">
        <v>2047498</v>
      </c>
      <c r="AE105" s="1">
        <v>1099483</v>
      </c>
      <c r="AG105" s="1">
        <v>4609078</v>
      </c>
      <c r="AH105" s="1">
        <v>31491294</v>
      </c>
      <c r="AJ105" s="1">
        <v>247283</v>
      </c>
      <c r="AK105" s="1">
        <v>247283</v>
      </c>
      <c r="AM105" s="1">
        <v>489240</v>
      </c>
      <c r="AN105" s="1">
        <v>50579</v>
      </c>
      <c r="AO105" s="1">
        <v>539819</v>
      </c>
      <c r="AP105" s="1">
        <v>807190</v>
      </c>
      <c r="AQ105" s="1">
        <v>1564678</v>
      </c>
      <c r="AT105" s="1">
        <v>1564678</v>
      </c>
      <c r="AV105" s="1">
        <v>2313610</v>
      </c>
      <c r="AW105" s="1">
        <v>2313610</v>
      </c>
      <c r="AX105" s="1">
        <v>748932</v>
      </c>
      <c r="AY105" s="1">
        <v>-748932</v>
      </c>
      <c r="AZ105" s="1">
        <v>69452588</v>
      </c>
      <c r="BE105" s="1">
        <v>39649</v>
      </c>
      <c r="BF105" s="1">
        <v>15585</v>
      </c>
      <c r="BL105" s="1">
        <v>748932</v>
      </c>
      <c r="BU105" s="1">
        <v>20088</v>
      </c>
      <c r="BV105" s="1">
        <v>20088</v>
      </c>
      <c r="BY105" s="1">
        <v>7113070</v>
      </c>
      <c r="CC105" s="1">
        <v>474420</v>
      </c>
      <c r="CE105" s="1">
        <v>1465</v>
      </c>
      <c r="CI105" s="1">
        <v>6638650</v>
      </c>
      <c r="CL105" s="1">
        <v>27645398</v>
      </c>
      <c r="DN105" s="1">
        <v>26556246</v>
      </c>
    </row>
    <row r="106" spans="1:118">
      <c r="A106" s="1">
        <v>5</v>
      </c>
      <c r="B106" s="1">
        <v>200</v>
      </c>
      <c r="C106" s="1" t="s">
        <v>1623</v>
      </c>
      <c r="D106" s="1" t="s">
        <v>1450</v>
      </c>
      <c r="F106" s="1">
        <v>14446</v>
      </c>
      <c r="G106" s="1">
        <v>129166</v>
      </c>
      <c r="I106" s="1">
        <v>10002</v>
      </c>
      <c r="J106" s="1">
        <v>153614</v>
      </c>
      <c r="K106" s="1">
        <v>100000</v>
      </c>
      <c r="L106" s="1">
        <v>230000</v>
      </c>
      <c r="O106" s="1">
        <v>330000</v>
      </c>
      <c r="Q106" s="1">
        <v>1007169</v>
      </c>
      <c r="V106" s="1">
        <v>9369</v>
      </c>
      <c r="W106" s="1">
        <v>1016538</v>
      </c>
      <c r="X106" s="1">
        <v>676137</v>
      </c>
      <c r="Y106" s="1">
        <v>38204</v>
      </c>
      <c r="Z106" s="1">
        <v>38643</v>
      </c>
      <c r="AA106" s="1">
        <v>2318</v>
      </c>
      <c r="AC106" s="1">
        <v>15361</v>
      </c>
      <c r="AD106" s="1">
        <v>158446</v>
      </c>
      <c r="AE106" s="1">
        <v>77362</v>
      </c>
      <c r="AG106" s="1">
        <v>1094175</v>
      </c>
      <c r="AH106" s="1">
        <v>2110713</v>
      </c>
      <c r="AI106" s="1">
        <v>8118</v>
      </c>
      <c r="AJ106" s="1">
        <v>356</v>
      </c>
      <c r="AK106" s="1">
        <v>8474</v>
      </c>
      <c r="AL106" s="1">
        <v>17216</v>
      </c>
      <c r="AM106" s="1">
        <v>45753</v>
      </c>
      <c r="AN106" s="1">
        <v>8011</v>
      </c>
      <c r="AO106" s="1">
        <v>93880</v>
      </c>
      <c r="AP106" s="1">
        <v>102354</v>
      </c>
      <c r="AQ106" s="1">
        <v>48897</v>
      </c>
      <c r="AT106" s="1">
        <v>48897</v>
      </c>
      <c r="AU106" s="1">
        <v>60589</v>
      </c>
      <c r="AV106" s="1">
        <v>109486</v>
      </c>
      <c r="AW106" s="1">
        <v>109486</v>
      </c>
      <c r="AZ106" s="1">
        <v>2806167</v>
      </c>
      <c r="BE106" s="1">
        <v>25237</v>
      </c>
      <c r="BR106" s="1">
        <v>62467</v>
      </c>
      <c r="DE106" s="1">
        <v>22900</v>
      </c>
    </row>
    <row r="107" spans="1:118">
      <c r="A107" s="1">
        <v>5</v>
      </c>
      <c r="B107" s="1">
        <v>380</v>
      </c>
      <c r="C107" s="1" t="s">
        <v>1623</v>
      </c>
      <c r="D107" s="1" t="s">
        <v>1451</v>
      </c>
      <c r="I107" s="1">
        <v>10350</v>
      </c>
      <c r="J107" s="1">
        <v>10350</v>
      </c>
      <c r="K107" s="1">
        <v>-277593</v>
      </c>
      <c r="O107" s="1">
        <v>-277593</v>
      </c>
      <c r="Q107" s="1">
        <v>2504759</v>
      </c>
      <c r="R107" s="1">
        <v>8654</v>
      </c>
      <c r="S107" s="1">
        <v>8654</v>
      </c>
      <c r="T107" s="1">
        <v>10287</v>
      </c>
      <c r="V107" s="1">
        <v>69943</v>
      </c>
      <c r="W107" s="1">
        <v>2593643</v>
      </c>
      <c r="X107" s="1">
        <v>1713366</v>
      </c>
      <c r="Y107" s="1">
        <v>302316</v>
      </c>
      <c r="Z107" s="1">
        <v>578820</v>
      </c>
      <c r="AA107" s="1">
        <v>5858</v>
      </c>
      <c r="AB107" s="1">
        <v>8314</v>
      </c>
      <c r="AC107" s="1">
        <v>44107</v>
      </c>
      <c r="AD107" s="1">
        <v>235084</v>
      </c>
      <c r="AE107" s="1">
        <v>136031</v>
      </c>
      <c r="AG107" s="1">
        <v>3617883</v>
      </c>
      <c r="AH107" s="1">
        <v>6216043</v>
      </c>
      <c r="AJ107" s="1">
        <v>49235</v>
      </c>
      <c r="AK107" s="1">
        <v>414953</v>
      </c>
      <c r="AL107" s="1">
        <v>171241</v>
      </c>
      <c r="AM107" s="1">
        <v>118288</v>
      </c>
      <c r="AN107" s="1">
        <v>39853</v>
      </c>
      <c r="AO107" s="1">
        <v>329382</v>
      </c>
      <c r="AP107" s="1">
        <v>744335</v>
      </c>
      <c r="AZ107" s="1">
        <v>6693135</v>
      </c>
      <c r="BE107" s="1">
        <v>104167</v>
      </c>
      <c r="BF107" s="1">
        <v>32793</v>
      </c>
      <c r="BH107" s="1">
        <v>4517</v>
      </c>
      <c r="BI107" s="1">
        <v>242903</v>
      </c>
      <c r="BJ107" s="1">
        <v>122815</v>
      </c>
      <c r="BR107" s="1">
        <v>202569</v>
      </c>
      <c r="CA107" s="1">
        <v>4517</v>
      </c>
      <c r="CF107" s="1">
        <v>254458</v>
      </c>
    </row>
    <row r="108" spans="1:118">
      <c r="A108" s="1">
        <v>5</v>
      </c>
      <c r="B108" s="1">
        <v>475</v>
      </c>
      <c r="C108" s="1" t="s">
        <v>1623</v>
      </c>
      <c r="D108" s="1" t="s">
        <v>1452</v>
      </c>
      <c r="F108" s="1">
        <v>2415</v>
      </c>
      <c r="I108" s="1">
        <v>52251</v>
      </c>
      <c r="J108" s="1">
        <v>4533902</v>
      </c>
      <c r="K108" s="1">
        <v>691435</v>
      </c>
      <c r="L108" s="1">
        <v>10000</v>
      </c>
      <c r="M108" s="1">
        <v>-1979</v>
      </c>
      <c r="N108" s="1">
        <v>196768</v>
      </c>
      <c r="O108" s="1">
        <v>896224</v>
      </c>
      <c r="P108" s="1">
        <v>286229</v>
      </c>
      <c r="Q108" s="1">
        <v>22499730</v>
      </c>
      <c r="S108" s="1">
        <v>824765</v>
      </c>
      <c r="T108" s="1">
        <v>56299</v>
      </c>
      <c r="U108" s="1">
        <v>450</v>
      </c>
      <c r="V108" s="1">
        <v>313986</v>
      </c>
      <c r="W108" s="1">
        <v>23695230</v>
      </c>
      <c r="X108" s="1">
        <v>3052494</v>
      </c>
      <c r="Y108" s="1">
        <v>597133</v>
      </c>
      <c r="Z108" s="1">
        <v>1898721</v>
      </c>
      <c r="AA108" s="1">
        <v>35022</v>
      </c>
      <c r="AB108" s="1">
        <v>46154</v>
      </c>
      <c r="AC108" s="1">
        <v>230083</v>
      </c>
      <c r="AD108" s="1">
        <v>1941686</v>
      </c>
      <c r="AE108" s="1">
        <v>944097</v>
      </c>
      <c r="AG108" s="1">
        <v>9668522</v>
      </c>
      <c r="AH108" s="1">
        <v>33797773</v>
      </c>
      <c r="AI108" s="1">
        <v>35985</v>
      </c>
      <c r="AJ108" s="1">
        <v>111393</v>
      </c>
      <c r="AK108" s="1">
        <v>147378</v>
      </c>
      <c r="AL108" s="1">
        <v>235146</v>
      </c>
      <c r="AM108" s="1">
        <v>484854</v>
      </c>
      <c r="AN108" s="1">
        <v>103364</v>
      </c>
      <c r="AO108" s="1">
        <v>823364</v>
      </c>
      <c r="AP108" s="1">
        <v>981114</v>
      </c>
      <c r="AQ108" s="1">
        <v>2797567</v>
      </c>
      <c r="AT108" s="1">
        <v>2797567</v>
      </c>
      <c r="AU108" s="1">
        <v>216432</v>
      </c>
      <c r="AV108" s="1">
        <v>3013999</v>
      </c>
      <c r="AW108" s="1">
        <v>3013999</v>
      </c>
      <c r="AX108" s="1">
        <v>91404</v>
      </c>
      <c r="AZ108" s="1">
        <v>44510734</v>
      </c>
      <c r="BC108" s="1">
        <v>824765</v>
      </c>
      <c r="BE108" s="1">
        <v>196254</v>
      </c>
      <c r="BF108" s="1">
        <v>34529</v>
      </c>
      <c r="BR108" s="1">
        <v>692349</v>
      </c>
      <c r="BU108" s="1">
        <v>10372</v>
      </c>
      <c r="BV108" s="1">
        <v>10372</v>
      </c>
      <c r="BY108" s="1">
        <v>1287722</v>
      </c>
      <c r="CG108" s="1">
        <v>147792</v>
      </c>
      <c r="CI108" s="1">
        <v>1196318</v>
      </c>
      <c r="CL108" s="1">
        <v>4479236</v>
      </c>
    </row>
    <row r="109" spans="1:118">
      <c r="A109" s="1">
        <v>5</v>
      </c>
      <c r="B109" s="1">
        <v>600</v>
      </c>
      <c r="C109" s="1" t="s">
        <v>1623</v>
      </c>
      <c r="D109" s="1" t="s">
        <v>1453</v>
      </c>
      <c r="K109" s="1">
        <v>380774</v>
      </c>
      <c r="L109" s="1">
        <v>500000</v>
      </c>
      <c r="O109" s="1">
        <v>880774</v>
      </c>
      <c r="Q109" s="1">
        <v>7650000</v>
      </c>
      <c r="R109" s="1">
        <v>2090995</v>
      </c>
      <c r="S109" s="1">
        <v>2090995</v>
      </c>
      <c r="T109" s="1">
        <v>27169</v>
      </c>
      <c r="V109" s="1">
        <v>133057</v>
      </c>
      <c r="W109" s="1">
        <v>9901221</v>
      </c>
      <c r="X109" s="1">
        <v>5212735</v>
      </c>
      <c r="Y109" s="1">
        <v>203361</v>
      </c>
      <c r="Z109" s="1">
        <v>1602469</v>
      </c>
      <c r="AA109" s="1">
        <v>58274</v>
      </c>
      <c r="AB109" s="1">
        <v>18684</v>
      </c>
      <c r="AC109" s="1">
        <v>155912</v>
      </c>
      <c r="AD109" s="1">
        <v>1944730</v>
      </c>
      <c r="AE109" s="1">
        <v>973599</v>
      </c>
      <c r="AG109" s="1">
        <v>17666600</v>
      </c>
      <c r="AH109" s="1">
        <v>27588451</v>
      </c>
      <c r="AJ109" s="1">
        <v>634256</v>
      </c>
      <c r="AK109" s="1">
        <v>2939096</v>
      </c>
      <c r="AL109" s="1">
        <v>385560</v>
      </c>
      <c r="AM109" s="1">
        <v>488841</v>
      </c>
      <c r="AN109" s="1">
        <v>343126</v>
      </c>
      <c r="AO109" s="1">
        <v>1217527</v>
      </c>
      <c r="AP109" s="1">
        <v>4435824</v>
      </c>
      <c r="AQ109" s="1">
        <v>201643</v>
      </c>
      <c r="AT109" s="1">
        <v>201643</v>
      </c>
      <c r="AV109" s="1">
        <v>201643</v>
      </c>
      <c r="AW109" s="1">
        <v>201643</v>
      </c>
      <c r="AZ109" s="1">
        <v>33106692</v>
      </c>
      <c r="BF109" s="1">
        <v>7396836</v>
      </c>
      <c r="BH109" s="1">
        <v>20630</v>
      </c>
      <c r="BI109" s="1">
        <v>825397</v>
      </c>
      <c r="BJ109" s="1">
        <v>598040</v>
      </c>
      <c r="BR109" s="1">
        <v>100000</v>
      </c>
      <c r="CA109" s="1">
        <v>20630</v>
      </c>
      <c r="CP109" s="1">
        <v>842768</v>
      </c>
      <c r="CQ109" s="1">
        <v>279201</v>
      </c>
      <c r="CW109" s="1">
        <v>38635</v>
      </c>
    </row>
    <row r="110" spans="1:118">
      <c r="A110" s="1">
        <v>5</v>
      </c>
      <c r="B110" s="1">
        <v>605</v>
      </c>
      <c r="C110" s="1" t="s">
        <v>1623</v>
      </c>
      <c r="D110" s="1" t="s">
        <v>1454</v>
      </c>
      <c r="I110" s="1">
        <v>1022704</v>
      </c>
      <c r="J110" s="1">
        <v>1022704</v>
      </c>
      <c r="K110" s="1">
        <v>4747925</v>
      </c>
      <c r="O110" s="1">
        <v>4747925</v>
      </c>
      <c r="V110" s="1">
        <v>1836390</v>
      </c>
      <c r="W110" s="1">
        <v>38509524</v>
      </c>
      <c r="AD110" s="1">
        <v>1599106</v>
      </c>
      <c r="AE110" s="1">
        <v>1283195</v>
      </c>
      <c r="AG110" s="1">
        <v>2882301</v>
      </c>
      <c r="AH110" s="1">
        <v>41730858</v>
      </c>
      <c r="AJ110" s="1">
        <v>1950</v>
      </c>
      <c r="AK110" s="1">
        <v>1950</v>
      </c>
      <c r="AN110" s="1">
        <v>25695</v>
      </c>
      <c r="AO110" s="1">
        <v>25695</v>
      </c>
      <c r="AP110" s="1">
        <v>42210</v>
      </c>
      <c r="AZ110" s="1">
        <v>47543697</v>
      </c>
      <c r="BH110" s="1">
        <v>339033</v>
      </c>
      <c r="BN110" s="1">
        <v>4800000</v>
      </c>
      <c r="BO110" s="1">
        <v>24086887</v>
      </c>
      <c r="BP110" s="1">
        <v>7630148</v>
      </c>
      <c r="BU110" s="1">
        <v>14565</v>
      </c>
      <c r="BV110" s="1">
        <v>14565</v>
      </c>
      <c r="BZ110" s="1">
        <v>156099</v>
      </c>
      <c r="CA110" s="1">
        <v>339033</v>
      </c>
    </row>
    <row r="111" spans="1:118">
      <c r="A111" s="1">
        <v>5</v>
      </c>
      <c r="B111" s="1">
        <v>610</v>
      </c>
      <c r="C111" s="1" t="s">
        <v>1623</v>
      </c>
      <c r="D111" s="1" t="s">
        <v>1455</v>
      </c>
      <c r="F111" s="1">
        <v>253096</v>
      </c>
      <c r="J111" s="1">
        <v>1136657</v>
      </c>
      <c r="K111" s="1">
        <v>1688077</v>
      </c>
      <c r="L111" s="1">
        <v>60000</v>
      </c>
      <c r="M111" s="1">
        <v>987606</v>
      </c>
      <c r="O111" s="1">
        <v>2735683</v>
      </c>
      <c r="V111" s="1">
        <v>207487</v>
      </c>
      <c r="W111" s="1">
        <v>20818782</v>
      </c>
      <c r="X111" s="1">
        <v>4454531</v>
      </c>
      <c r="Z111" s="1">
        <v>1895109</v>
      </c>
      <c r="AC111" s="1">
        <v>192778</v>
      </c>
      <c r="AD111" s="1">
        <v>1839186</v>
      </c>
      <c r="AE111" s="1">
        <v>1099351</v>
      </c>
      <c r="AG111" s="1">
        <v>14488654</v>
      </c>
      <c r="AH111" s="1">
        <v>35307436</v>
      </c>
      <c r="AI111" s="1">
        <v>88161</v>
      </c>
      <c r="AJ111" s="1">
        <v>58772</v>
      </c>
      <c r="AK111" s="1">
        <v>146933</v>
      </c>
      <c r="AL111" s="1">
        <v>597730</v>
      </c>
      <c r="AM111" s="1">
        <v>416321</v>
      </c>
      <c r="AN111" s="1">
        <v>434562</v>
      </c>
      <c r="AO111" s="1">
        <v>1448613</v>
      </c>
      <c r="AP111" s="1">
        <v>1595546</v>
      </c>
      <c r="AZ111" s="1">
        <v>40775322</v>
      </c>
      <c r="BE111" s="1">
        <v>490664</v>
      </c>
      <c r="BN111" s="1">
        <v>15894974</v>
      </c>
      <c r="BO111" s="1">
        <v>3944000</v>
      </c>
      <c r="BP111" s="1">
        <v>772321</v>
      </c>
      <c r="BR111" s="1">
        <v>5889</v>
      </c>
      <c r="BS111" s="1">
        <v>3066301</v>
      </c>
      <c r="BT111" s="1">
        <v>1444845</v>
      </c>
      <c r="CL111" s="1">
        <v>883561</v>
      </c>
    </row>
    <row r="112" spans="1:118">
      <c r="A112" s="1">
        <v>5</v>
      </c>
      <c r="B112" s="1">
        <v>620</v>
      </c>
      <c r="C112" s="1" t="s">
        <v>1623</v>
      </c>
      <c r="D112" s="1" t="s">
        <v>1456</v>
      </c>
      <c r="F112" s="1">
        <v>328111</v>
      </c>
      <c r="G112" s="1">
        <v>1924399</v>
      </c>
      <c r="H112" s="1">
        <v>2647147</v>
      </c>
      <c r="I112" s="1">
        <v>2320</v>
      </c>
      <c r="J112" s="1">
        <v>16269968</v>
      </c>
      <c r="K112" s="1">
        <v>936863</v>
      </c>
      <c r="L112" s="1">
        <v>20428</v>
      </c>
      <c r="M112" s="1">
        <v>6243756</v>
      </c>
      <c r="N112" s="1">
        <v>1385331</v>
      </c>
      <c r="O112" s="1">
        <v>8586378</v>
      </c>
      <c r="Q112" s="1">
        <v>27848255</v>
      </c>
      <c r="R112" s="1">
        <v>104129</v>
      </c>
      <c r="S112" s="1">
        <v>109529</v>
      </c>
      <c r="T112" s="1">
        <v>18728</v>
      </c>
      <c r="U112" s="1">
        <v>110</v>
      </c>
      <c r="V112" s="1">
        <v>396499</v>
      </c>
      <c r="W112" s="1">
        <v>28373121</v>
      </c>
      <c r="X112" s="1">
        <v>9451947</v>
      </c>
      <c r="Y112" s="1">
        <v>1370609</v>
      </c>
      <c r="Z112" s="1">
        <v>2551787</v>
      </c>
      <c r="AA112" s="1">
        <v>103916</v>
      </c>
      <c r="AB112" s="1">
        <v>130819</v>
      </c>
      <c r="AC112" s="1">
        <v>448974</v>
      </c>
      <c r="AD112" s="1">
        <v>2493564</v>
      </c>
      <c r="AE112" s="1">
        <v>1434168</v>
      </c>
      <c r="AG112" s="1">
        <v>18677119</v>
      </c>
      <c r="AH112" s="1">
        <v>47050240</v>
      </c>
      <c r="AI112" s="1">
        <v>115992</v>
      </c>
      <c r="AK112" s="1">
        <v>115992</v>
      </c>
      <c r="AL112" s="1">
        <v>199504</v>
      </c>
      <c r="AM112" s="1">
        <v>721731</v>
      </c>
      <c r="AN112" s="1">
        <v>202979</v>
      </c>
      <c r="AO112" s="1">
        <v>1124214</v>
      </c>
      <c r="AP112" s="1">
        <v>1250149</v>
      </c>
      <c r="AQ112" s="1">
        <v>3150626</v>
      </c>
      <c r="AS112" s="1">
        <v>356250</v>
      </c>
      <c r="AT112" s="1">
        <v>3506876</v>
      </c>
      <c r="AU112" s="1">
        <v>1329185</v>
      </c>
      <c r="AV112" s="1">
        <v>4836061</v>
      </c>
      <c r="AW112" s="1">
        <v>4836061</v>
      </c>
      <c r="AY112" s="1">
        <v>510000</v>
      </c>
      <c r="AZ112" s="1">
        <v>78539973</v>
      </c>
      <c r="BC112" s="1">
        <v>5400</v>
      </c>
      <c r="BE112" s="1">
        <v>421297</v>
      </c>
      <c r="BF112" s="1">
        <v>270038</v>
      </c>
      <c r="BU112" s="1">
        <v>9943</v>
      </c>
      <c r="BV112" s="1">
        <v>9943</v>
      </c>
      <c r="BY112" s="1">
        <v>547177</v>
      </c>
      <c r="CC112" s="1">
        <v>37177</v>
      </c>
      <c r="CL112" s="1">
        <v>11367991</v>
      </c>
      <c r="DC112" s="1">
        <v>356250</v>
      </c>
    </row>
    <row r="113" spans="1:109">
      <c r="A113" s="1">
        <v>5</v>
      </c>
      <c r="B113" s="1">
        <v>830</v>
      </c>
      <c r="C113" s="1" t="s">
        <v>1623</v>
      </c>
      <c r="D113" s="1" t="s">
        <v>1457</v>
      </c>
      <c r="G113" s="1">
        <v>29678</v>
      </c>
      <c r="H113" s="1">
        <v>39117</v>
      </c>
      <c r="I113" s="1">
        <v>1137</v>
      </c>
      <c r="J113" s="1">
        <v>69932</v>
      </c>
      <c r="K113" s="1">
        <v>110089</v>
      </c>
      <c r="L113" s="1">
        <v>103691</v>
      </c>
      <c r="O113" s="1">
        <v>213780</v>
      </c>
      <c r="Q113" s="1">
        <v>3911199</v>
      </c>
      <c r="S113" s="1">
        <v>11698</v>
      </c>
      <c r="U113" s="1">
        <v>59</v>
      </c>
      <c r="V113" s="1">
        <v>59044</v>
      </c>
      <c r="W113" s="1">
        <v>3982000</v>
      </c>
      <c r="X113" s="1">
        <v>121890</v>
      </c>
      <c r="Y113" s="1">
        <v>78888</v>
      </c>
      <c r="Z113" s="1">
        <v>59777</v>
      </c>
      <c r="AB113" s="1">
        <v>3681</v>
      </c>
      <c r="AC113" s="1">
        <v>29624</v>
      </c>
      <c r="AD113" s="1">
        <v>255282</v>
      </c>
      <c r="AE113" s="1">
        <v>155970</v>
      </c>
      <c r="AG113" s="1">
        <v>728244</v>
      </c>
      <c r="AH113" s="1">
        <v>4710244</v>
      </c>
      <c r="AJ113" s="1">
        <v>42126</v>
      </c>
      <c r="AK113" s="1">
        <v>42126</v>
      </c>
      <c r="AM113" s="1">
        <v>71061</v>
      </c>
      <c r="AN113" s="1">
        <v>12139</v>
      </c>
      <c r="AO113" s="1">
        <v>116535</v>
      </c>
      <c r="AP113" s="1">
        <v>158661</v>
      </c>
      <c r="AQ113" s="1">
        <v>95351</v>
      </c>
      <c r="AT113" s="1">
        <v>95351</v>
      </c>
      <c r="AU113" s="1">
        <v>6300</v>
      </c>
      <c r="AV113" s="1">
        <v>101651</v>
      </c>
      <c r="AW113" s="1">
        <v>101651</v>
      </c>
      <c r="AZ113" s="1">
        <v>5254268</v>
      </c>
      <c r="BC113" s="1">
        <v>9409</v>
      </c>
      <c r="BE113" s="1">
        <v>9042</v>
      </c>
      <c r="BF113" s="1">
        <v>2854</v>
      </c>
      <c r="BR113" s="1">
        <v>11236</v>
      </c>
      <c r="CB113" s="1">
        <v>2289</v>
      </c>
      <c r="DE113" s="1">
        <v>33335</v>
      </c>
    </row>
    <row r="114" spans="1:109">
      <c r="A114" s="1">
        <v>5</v>
      </c>
      <c r="B114" s="1">
        <v>840</v>
      </c>
      <c r="C114" s="1" t="s">
        <v>1623</v>
      </c>
      <c r="D114" s="1" t="s">
        <v>1458</v>
      </c>
      <c r="F114" s="1">
        <v>379368</v>
      </c>
      <c r="G114" s="1">
        <v>912302</v>
      </c>
      <c r="H114" s="1">
        <v>527037</v>
      </c>
      <c r="I114" s="1">
        <v>5741</v>
      </c>
      <c r="J114" s="1">
        <v>1824448</v>
      </c>
      <c r="K114" s="1">
        <v>745863</v>
      </c>
      <c r="L114" s="1">
        <v>71449</v>
      </c>
      <c r="M114" s="1">
        <v>26423</v>
      </c>
      <c r="N114" s="1">
        <v>10034</v>
      </c>
      <c r="O114" s="1">
        <v>853769</v>
      </c>
      <c r="Q114" s="1">
        <v>23924030</v>
      </c>
      <c r="R114" s="1">
        <v>158857</v>
      </c>
      <c r="S114" s="1">
        <v>171961</v>
      </c>
      <c r="T114" s="1">
        <v>376193</v>
      </c>
      <c r="U114" s="1">
        <v>275</v>
      </c>
      <c r="V114" s="1">
        <v>265763</v>
      </c>
      <c r="W114" s="1">
        <v>24779961</v>
      </c>
      <c r="X114" s="1">
        <v>5970078</v>
      </c>
      <c r="Y114" s="1">
        <v>565077</v>
      </c>
      <c r="Z114" s="1">
        <v>1620290</v>
      </c>
      <c r="AA114" s="1">
        <v>13980</v>
      </c>
      <c r="AB114" s="1">
        <v>129599</v>
      </c>
      <c r="AC114" s="1">
        <v>288673</v>
      </c>
      <c r="AD114" s="1">
        <v>2470744</v>
      </c>
      <c r="AE114" s="1">
        <v>1141146</v>
      </c>
      <c r="AG114" s="1">
        <v>12471787</v>
      </c>
      <c r="AH114" s="1">
        <v>37751748</v>
      </c>
      <c r="AJ114" s="1">
        <v>237363</v>
      </c>
      <c r="AK114" s="1">
        <v>237363</v>
      </c>
      <c r="AL114" s="1">
        <v>126217</v>
      </c>
      <c r="AM114" s="1">
        <v>588156</v>
      </c>
      <c r="AN114" s="1">
        <v>85481</v>
      </c>
      <c r="AO114" s="1">
        <v>799854</v>
      </c>
      <c r="AP114" s="1">
        <v>1062342</v>
      </c>
      <c r="AQ114" s="1">
        <v>1300569</v>
      </c>
      <c r="AR114" s="1">
        <v>1489</v>
      </c>
      <c r="AS114" s="1">
        <v>1489</v>
      </c>
      <c r="AT114" s="1">
        <v>1302058</v>
      </c>
      <c r="AU114" s="1">
        <v>538714</v>
      </c>
      <c r="AV114" s="1">
        <v>1840772</v>
      </c>
      <c r="AW114" s="1">
        <v>1840772</v>
      </c>
      <c r="AZ114" s="1">
        <v>43335004</v>
      </c>
      <c r="BC114" s="1">
        <v>13104</v>
      </c>
      <c r="BE114" s="1">
        <v>253743</v>
      </c>
      <c r="BF114" s="1">
        <v>18457</v>
      </c>
      <c r="BQ114" s="1">
        <v>41739</v>
      </c>
      <c r="BU114" s="1">
        <v>25125</v>
      </c>
      <c r="BV114" s="1">
        <v>25125</v>
      </c>
      <c r="BY114" s="1">
        <v>1925</v>
      </c>
      <c r="CC114" s="1">
        <v>1925</v>
      </c>
      <c r="CG114" s="1">
        <v>500000</v>
      </c>
    </row>
    <row r="115" spans="1:109">
      <c r="A115" s="1">
        <v>5</v>
      </c>
      <c r="B115" s="1">
        <v>1030</v>
      </c>
      <c r="C115" s="1" t="s">
        <v>1623</v>
      </c>
      <c r="D115" s="1" t="s">
        <v>1459</v>
      </c>
      <c r="F115" s="1">
        <v>35894</v>
      </c>
      <c r="G115" s="1">
        <v>499684</v>
      </c>
      <c r="H115" s="1">
        <v>362747</v>
      </c>
      <c r="I115" s="1">
        <v>53371</v>
      </c>
      <c r="J115" s="1">
        <v>4347798</v>
      </c>
      <c r="K115" s="1">
        <v>121754</v>
      </c>
      <c r="L115" s="1">
        <v>11624</v>
      </c>
      <c r="M115" s="1">
        <v>1427683</v>
      </c>
      <c r="N115" s="1">
        <v>377108</v>
      </c>
      <c r="O115" s="1">
        <v>1938169</v>
      </c>
      <c r="Q115" s="1">
        <v>4493107</v>
      </c>
      <c r="S115" s="1">
        <v>3533</v>
      </c>
      <c r="U115" s="1">
        <v>2938</v>
      </c>
      <c r="V115" s="1">
        <v>110682</v>
      </c>
      <c r="W115" s="1">
        <v>4612264</v>
      </c>
      <c r="X115" s="1">
        <v>1278487</v>
      </c>
      <c r="Y115" s="1">
        <v>102452</v>
      </c>
      <c r="Z115" s="1">
        <v>592996</v>
      </c>
      <c r="AC115" s="1">
        <v>55409</v>
      </c>
      <c r="AD115" s="1">
        <v>321760</v>
      </c>
      <c r="AE115" s="1">
        <v>187718</v>
      </c>
      <c r="AG115" s="1">
        <v>2604123</v>
      </c>
      <c r="AH115" s="1">
        <v>7216387</v>
      </c>
      <c r="AI115" s="1">
        <v>23628</v>
      </c>
      <c r="AK115" s="1">
        <v>23628</v>
      </c>
      <c r="AL115" s="1">
        <v>60349</v>
      </c>
      <c r="AM115" s="1">
        <v>33000</v>
      </c>
      <c r="AN115" s="1">
        <v>24071</v>
      </c>
      <c r="AO115" s="1">
        <v>117420</v>
      </c>
      <c r="AP115" s="1">
        <v>141048</v>
      </c>
      <c r="AQ115" s="1">
        <v>333175</v>
      </c>
      <c r="AT115" s="1">
        <v>333175</v>
      </c>
      <c r="AV115" s="1">
        <v>382186</v>
      </c>
      <c r="AW115" s="1">
        <v>382186</v>
      </c>
      <c r="AX115" s="1">
        <v>49011</v>
      </c>
      <c r="AY115" s="1">
        <v>-49011</v>
      </c>
      <c r="AZ115" s="1">
        <v>14025588</v>
      </c>
      <c r="BC115" s="1">
        <v>3533</v>
      </c>
      <c r="BE115" s="1">
        <v>61589</v>
      </c>
      <c r="BF115" s="1">
        <v>3712</v>
      </c>
      <c r="BL115" s="1">
        <v>49011</v>
      </c>
      <c r="BQ115" s="1">
        <v>2004</v>
      </c>
      <c r="CJ115" s="1">
        <v>374371</v>
      </c>
      <c r="CL115" s="1">
        <v>3396102</v>
      </c>
    </row>
    <row r="116" spans="1:109">
      <c r="A116" s="1">
        <v>5</v>
      </c>
      <c r="B116" s="1">
        <v>1060</v>
      </c>
      <c r="C116" s="1" t="s">
        <v>1623</v>
      </c>
      <c r="D116" s="1" t="s">
        <v>1460</v>
      </c>
      <c r="F116" s="1">
        <v>181285</v>
      </c>
      <c r="G116" s="1">
        <v>2585004</v>
      </c>
      <c r="H116" s="1">
        <v>1812361</v>
      </c>
      <c r="J116" s="1">
        <v>4578650</v>
      </c>
      <c r="K116" s="1">
        <v>637339</v>
      </c>
      <c r="M116" s="1">
        <v>361692</v>
      </c>
      <c r="N116" s="1">
        <v>55057</v>
      </c>
      <c r="O116" s="1">
        <v>1054088</v>
      </c>
      <c r="Q116" s="1">
        <v>22780246</v>
      </c>
      <c r="R116" s="1">
        <v>14393</v>
      </c>
      <c r="S116" s="1">
        <v>40900</v>
      </c>
      <c r="V116" s="1">
        <v>535239</v>
      </c>
      <c r="W116" s="1">
        <v>23356385</v>
      </c>
      <c r="X116" s="1">
        <v>6032588</v>
      </c>
      <c r="Y116" s="1">
        <v>429424</v>
      </c>
      <c r="Z116" s="1">
        <v>1336073</v>
      </c>
      <c r="AA116" s="1">
        <v>101562</v>
      </c>
      <c r="AB116" s="1">
        <v>52408</v>
      </c>
      <c r="AC116" s="1">
        <v>296134</v>
      </c>
      <c r="AD116" s="1">
        <v>1704916</v>
      </c>
      <c r="AE116" s="1">
        <v>1089359</v>
      </c>
      <c r="AG116" s="1">
        <v>11756310</v>
      </c>
      <c r="AH116" s="1">
        <v>35112695</v>
      </c>
      <c r="AI116" s="1">
        <v>65289</v>
      </c>
      <c r="AJ116" s="1">
        <v>403689</v>
      </c>
      <c r="AK116" s="1">
        <v>468978</v>
      </c>
      <c r="AL116" s="1">
        <v>170269</v>
      </c>
      <c r="AM116" s="1">
        <v>567645</v>
      </c>
      <c r="AN116" s="1">
        <v>134930</v>
      </c>
      <c r="AO116" s="1">
        <v>872844</v>
      </c>
      <c r="AP116" s="1">
        <v>1348174</v>
      </c>
      <c r="AQ116" s="1">
        <v>1095818</v>
      </c>
      <c r="AR116" s="1">
        <v>16464</v>
      </c>
      <c r="AS116" s="1">
        <v>16553</v>
      </c>
      <c r="AT116" s="1">
        <v>1112371</v>
      </c>
      <c r="AU116" s="1">
        <v>350526</v>
      </c>
      <c r="AV116" s="1">
        <v>1462897</v>
      </c>
      <c r="AW116" s="1">
        <v>1462897</v>
      </c>
      <c r="AX116" s="1">
        <v>2971</v>
      </c>
      <c r="AZ116" s="1">
        <v>43559475</v>
      </c>
      <c r="BC116" s="1">
        <v>26507</v>
      </c>
      <c r="BE116" s="1">
        <v>257343</v>
      </c>
      <c r="BF116" s="1">
        <v>139474</v>
      </c>
      <c r="BU116" s="1">
        <v>6352</v>
      </c>
      <c r="BV116" s="1">
        <v>6352</v>
      </c>
      <c r="BY116" s="1">
        <v>2971</v>
      </c>
      <c r="CF116" s="1">
        <v>317029</v>
      </c>
      <c r="DC116" s="1">
        <v>89</v>
      </c>
    </row>
    <row r="117" spans="1:109">
      <c r="A117" s="1">
        <v>5</v>
      </c>
      <c r="B117" s="1">
        <v>1250</v>
      </c>
      <c r="C117" s="1" t="s">
        <v>1623</v>
      </c>
      <c r="D117" s="1" t="s">
        <v>1461</v>
      </c>
      <c r="F117" s="1">
        <v>24297</v>
      </c>
      <c r="G117" s="1">
        <v>192552</v>
      </c>
      <c r="I117" s="1">
        <v>86654</v>
      </c>
      <c r="J117" s="1">
        <v>303503</v>
      </c>
      <c r="K117" s="1">
        <v>170540</v>
      </c>
      <c r="L117" s="1">
        <v>45508</v>
      </c>
      <c r="M117" s="1">
        <v>18769426</v>
      </c>
      <c r="N117" s="1">
        <v>314608</v>
      </c>
      <c r="O117" s="1">
        <v>19300082</v>
      </c>
      <c r="P117" s="1">
        <v>200000</v>
      </c>
      <c r="Q117" s="1">
        <v>4208969</v>
      </c>
      <c r="U117" s="1">
        <v>4177</v>
      </c>
      <c r="V117" s="1">
        <v>35251</v>
      </c>
      <c r="W117" s="1">
        <v>4248397</v>
      </c>
      <c r="X117" s="1">
        <v>2632305</v>
      </c>
      <c r="Y117" s="1">
        <v>234974</v>
      </c>
      <c r="Z117" s="1">
        <v>574025</v>
      </c>
      <c r="AA117" s="1">
        <v>12848</v>
      </c>
      <c r="AB117" s="1">
        <v>11773</v>
      </c>
      <c r="AC117" s="1">
        <v>89422</v>
      </c>
      <c r="AD117" s="1">
        <v>466944</v>
      </c>
      <c r="AE117" s="1">
        <v>323506</v>
      </c>
      <c r="AG117" s="1">
        <v>4985982</v>
      </c>
      <c r="AH117" s="1">
        <v>9458063</v>
      </c>
      <c r="AJ117" s="1">
        <v>60840</v>
      </c>
      <c r="AK117" s="1">
        <v>60840</v>
      </c>
      <c r="AL117" s="1">
        <v>72407</v>
      </c>
      <c r="AM117" s="1">
        <v>223619</v>
      </c>
      <c r="AN117" s="1">
        <v>31357</v>
      </c>
      <c r="AO117" s="1">
        <v>327383</v>
      </c>
      <c r="AP117" s="1">
        <v>388223</v>
      </c>
      <c r="AQ117" s="1">
        <v>632785</v>
      </c>
      <c r="AT117" s="1">
        <v>632785</v>
      </c>
      <c r="AU117" s="1">
        <v>214906</v>
      </c>
      <c r="AV117" s="1">
        <v>890241</v>
      </c>
      <c r="AW117" s="1">
        <v>890241</v>
      </c>
      <c r="AX117" s="1">
        <v>242550</v>
      </c>
      <c r="AY117" s="1">
        <v>-242550</v>
      </c>
      <c r="AZ117" s="1">
        <v>30420112</v>
      </c>
      <c r="BE117" s="1">
        <v>121705</v>
      </c>
      <c r="BF117" s="1">
        <v>5234</v>
      </c>
      <c r="BL117" s="1">
        <v>42550</v>
      </c>
      <c r="BR117" s="1">
        <v>438929</v>
      </c>
      <c r="BY117" s="1">
        <v>80000</v>
      </c>
      <c r="CC117" s="1">
        <v>80000</v>
      </c>
      <c r="CF117" s="1">
        <v>74317</v>
      </c>
      <c r="CG117" s="1">
        <v>23684</v>
      </c>
      <c r="CJ117" s="1">
        <v>474043</v>
      </c>
    </row>
    <row r="118" spans="1:109">
      <c r="A118" s="1">
        <v>5</v>
      </c>
      <c r="B118" s="1">
        <v>1280</v>
      </c>
      <c r="C118" s="1" t="s">
        <v>1623</v>
      </c>
      <c r="D118" s="1" t="s">
        <v>1462</v>
      </c>
      <c r="G118" s="1">
        <v>190343</v>
      </c>
      <c r="I118" s="1">
        <v>31471</v>
      </c>
      <c r="J118" s="1">
        <v>221814</v>
      </c>
      <c r="K118" s="1">
        <v>243076</v>
      </c>
      <c r="L118" s="1">
        <v>708430</v>
      </c>
      <c r="M118" s="1">
        <v>2237020</v>
      </c>
      <c r="O118" s="1">
        <v>3188526</v>
      </c>
      <c r="Q118" s="1">
        <v>7000303</v>
      </c>
      <c r="U118" s="1">
        <v>1259</v>
      </c>
      <c r="V118" s="1">
        <v>210539</v>
      </c>
      <c r="W118" s="1">
        <v>7212101</v>
      </c>
      <c r="X118" s="1">
        <v>2897899</v>
      </c>
      <c r="Y118" s="1">
        <v>413025</v>
      </c>
      <c r="Z118" s="1">
        <v>873942</v>
      </c>
      <c r="AA118" s="1">
        <v>70116</v>
      </c>
      <c r="AB118" s="1">
        <v>9477</v>
      </c>
      <c r="AC118" s="1">
        <v>119652</v>
      </c>
      <c r="AD118" s="1">
        <v>835478</v>
      </c>
      <c r="AE118" s="1">
        <v>403506</v>
      </c>
      <c r="AG118" s="1">
        <v>6285438</v>
      </c>
      <c r="AH118" s="1">
        <v>13497539</v>
      </c>
      <c r="AJ118" s="1">
        <v>4003</v>
      </c>
      <c r="AK118" s="1">
        <v>852843</v>
      </c>
      <c r="AL118" s="1">
        <v>231091</v>
      </c>
      <c r="AM118" s="1">
        <v>259287</v>
      </c>
      <c r="AN118" s="1">
        <v>62864</v>
      </c>
      <c r="AO118" s="1">
        <v>553242</v>
      </c>
      <c r="AP118" s="1">
        <v>1406085</v>
      </c>
      <c r="AV118" s="1">
        <v>329288</v>
      </c>
      <c r="AW118" s="1">
        <v>329288</v>
      </c>
      <c r="AZ118" s="1">
        <v>18643252</v>
      </c>
      <c r="BE118" s="1">
        <v>157089</v>
      </c>
      <c r="BF118" s="1">
        <v>1512</v>
      </c>
      <c r="BI118" s="1">
        <v>523638</v>
      </c>
      <c r="BJ118" s="1">
        <v>325202</v>
      </c>
      <c r="BL118" s="1">
        <v>327040</v>
      </c>
      <c r="BM118" s="1">
        <v>2248</v>
      </c>
      <c r="CF118" s="1">
        <v>503742</v>
      </c>
    </row>
    <row r="119" spans="1:109">
      <c r="A119" s="1">
        <v>5</v>
      </c>
      <c r="B119" s="1">
        <v>1420</v>
      </c>
      <c r="C119" s="1" t="s">
        <v>1623</v>
      </c>
      <c r="D119" s="1" t="s">
        <v>1463</v>
      </c>
      <c r="F119" s="1">
        <v>999082</v>
      </c>
      <c r="G119" s="1">
        <v>3818038</v>
      </c>
      <c r="H119" s="1">
        <v>2096522</v>
      </c>
      <c r="I119" s="1">
        <v>76084</v>
      </c>
      <c r="J119" s="1">
        <v>15825480</v>
      </c>
      <c r="K119" s="1">
        <v>1316915</v>
      </c>
      <c r="L119" s="1">
        <v>226534</v>
      </c>
      <c r="M119" s="1">
        <v>-2962711</v>
      </c>
      <c r="N119" s="1">
        <v>94544</v>
      </c>
      <c r="O119" s="1">
        <v>-1324718</v>
      </c>
      <c r="Q119" s="1">
        <v>46746887</v>
      </c>
      <c r="R119" s="1">
        <v>17682</v>
      </c>
      <c r="S119" s="1">
        <v>17682</v>
      </c>
      <c r="U119" s="1">
        <v>3436</v>
      </c>
      <c r="V119" s="1">
        <v>1213805</v>
      </c>
      <c r="W119" s="1">
        <v>47981810</v>
      </c>
      <c r="X119" s="1">
        <v>8914992</v>
      </c>
      <c r="Y119" s="1">
        <v>1222027</v>
      </c>
      <c r="Z119" s="1">
        <v>3527112</v>
      </c>
      <c r="AA119" s="1">
        <v>44438</v>
      </c>
      <c r="AB119" s="1">
        <v>111115</v>
      </c>
      <c r="AC119" s="1">
        <v>278706</v>
      </c>
      <c r="AD119" s="1">
        <v>3675094</v>
      </c>
      <c r="AE119" s="1">
        <v>2090599</v>
      </c>
      <c r="AG119" s="1">
        <v>20281050</v>
      </c>
      <c r="AH119" s="1">
        <v>68369610</v>
      </c>
      <c r="AJ119" s="1">
        <v>252897</v>
      </c>
      <c r="AK119" s="1">
        <v>252897</v>
      </c>
      <c r="AL119" s="1">
        <v>163080</v>
      </c>
      <c r="AM119" s="1">
        <v>1180944</v>
      </c>
      <c r="AN119" s="1">
        <v>132247</v>
      </c>
      <c r="AO119" s="1">
        <v>1476271</v>
      </c>
      <c r="AP119" s="1">
        <v>1781384</v>
      </c>
      <c r="AQ119" s="1">
        <v>5296095</v>
      </c>
      <c r="AS119" s="1">
        <v>1058461</v>
      </c>
      <c r="AT119" s="1">
        <v>6354556</v>
      </c>
      <c r="AU119" s="1">
        <v>1358289</v>
      </c>
      <c r="AV119" s="1">
        <v>7712845</v>
      </c>
      <c r="AW119" s="1">
        <v>7712845</v>
      </c>
      <c r="AY119" s="1">
        <v>6066000</v>
      </c>
      <c r="AZ119" s="1">
        <v>98430601</v>
      </c>
      <c r="BA119" s="1">
        <v>121655</v>
      </c>
      <c r="BE119" s="1">
        <v>390673</v>
      </c>
      <c r="BF119" s="1">
        <v>26294</v>
      </c>
      <c r="BU119" s="1">
        <v>52216</v>
      </c>
      <c r="BV119" s="1">
        <v>52216</v>
      </c>
      <c r="BY119" s="1">
        <v>6066000</v>
      </c>
      <c r="CG119" s="1">
        <v>17533</v>
      </c>
      <c r="CJ119" s="1">
        <v>2323056</v>
      </c>
      <c r="CL119" s="1">
        <v>8714099</v>
      </c>
      <c r="CX119" s="1">
        <v>89217</v>
      </c>
      <c r="DC119" s="1">
        <v>1058461</v>
      </c>
    </row>
    <row r="120" spans="1:109">
      <c r="A120" s="1">
        <v>5</v>
      </c>
      <c r="B120" s="1">
        <v>1520</v>
      </c>
      <c r="C120" s="1" t="s">
        <v>1623</v>
      </c>
      <c r="D120" s="1" t="s">
        <v>1464</v>
      </c>
      <c r="F120" s="1">
        <v>29905</v>
      </c>
      <c r="H120" s="1">
        <v>346539</v>
      </c>
      <c r="I120" s="1">
        <v>1099</v>
      </c>
      <c r="J120" s="1">
        <v>377543</v>
      </c>
      <c r="K120" s="1">
        <v>769666</v>
      </c>
      <c r="L120" s="1">
        <v>298254</v>
      </c>
      <c r="M120" s="1">
        <v>13992056</v>
      </c>
      <c r="O120" s="1">
        <v>15059976</v>
      </c>
      <c r="Q120" s="1">
        <v>11893286</v>
      </c>
      <c r="R120" s="1">
        <v>145777</v>
      </c>
      <c r="S120" s="1">
        <v>220692</v>
      </c>
      <c r="U120" s="1">
        <v>81580</v>
      </c>
      <c r="V120" s="1">
        <v>95551</v>
      </c>
      <c r="W120" s="1">
        <v>12291109</v>
      </c>
      <c r="X120" s="1">
        <v>4260133</v>
      </c>
      <c r="Y120" s="1">
        <v>370242</v>
      </c>
      <c r="Z120" s="1">
        <v>1513657</v>
      </c>
      <c r="AA120" s="1">
        <v>37394</v>
      </c>
      <c r="AB120" s="1">
        <v>44887</v>
      </c>
      <c r="AC120" s="1">
        <v>176539</v>
      </c>
      <c r="AD120" s="1">
        <v>1426069</v>
      </c>
      <c r="AE120" s="1">
        <v>703763</v>
      </c>
      <c r="AG120" s="1">
        <v>9160896</v>
      </c>
      <c r="AH120" s="1">
        <v>21573170</v>
      </c>
      <c r="AI120" s="1">
        <v>82788</v>
      </c>
      <c r="AJ120" s="1">
        <v>149312</v>
      </c>
      <c r="AK120" s="1">
        <v>342788</v>
      </c>
      <c r="AL120" s="1">
        <v>230547</v>
      </c>
      <c r="AM120" s="1">
        <v>411181</v>
      </c>
      <c r="AN120" s="1">
        <v>87109</v>
      </c>
      <c r="AO120" s="1">
        <v>728837</v>
      </c>
      <c r="AP120" s="1">
        <v>1077327</v>
      </c>
      <c r="AQ120" s="1">
        <v>2224883</v>
      </c>
      <c r="AT120" s="1">
        <v>2224883</v>
      </c>
      <c r="AU120" s="1">
        <v>303469</v>
      </c>
      <c r="AV120" s="1">
        <v>3162085</v>
      </c>
      <c r="AW120" s="1">
        <v>3162085</v>
      </c>
      <c r="AX120" s="1">
        <v>284551</v>
      </c>
      <c r="AZ120" s="1">
        <v>44008547</v>
      </c>
      <c r="BE120" s="1">
        <v>208814</v>
      </c>
      <c r="BF120" s="1">
        <v>9860</v>
      </c>
      <c r="BH120" s="1">
        <v>11250</v>
      </c>
      <c r="BJ120" s="1">
        <v>110688</v>
      </c>
      <c r="BL120" s="1">
        <v>633733</v>
      </c>
      <c r="BR120" s="1">
        <v>28823</v>
      </c>
      <c r="BU120" s="1">
        <v>5702</v>
      </c>
      <c r="BV120" s="1">
        <v>5702</v>
      </c>
      <c r="BY120" s="1">
        <v>2758446</v>
      </c>
      <c r="CA120" s="1">
        <v>11250</v>
      </c>
      <c r="CB120" s="1">
        <v>74915</v>
      </c>
      <c r="CC120" s="1">
        <v>112376</v>
      </c>
      <c r="CF120" s="1">
        <v>380715</v>
      </c>
      <c r="CG120" s="1">
        <v>109915</v>
      </c>
      <c r="CI120" s="1">
        <v>2361519</v>
      </c>
    </row>
    <row r="121" spans="1:109">
      <c r="A121" s="1">
        <v>5</v>
      </c>
      <c r="B121" s="1">
        <v>1910</v>
      </c>
      <c r="C121" s="1" t="s">
        <v>1623</v>
      </c>
      <c r="D121" s="1" t="s">
        <v>1465</v>
      </c>
      <c r="H121" s="1">
        <v>407062</v>
      </c>
      <c r="I121" s="1">
        <v>205370</v>
      </c>
      <c r="J121" s="1">
        <v>612432</v>
      </c>
      <c r="K121" s="1">
        <v>139327</v>
      </c>
      <c r="L121" s="1">
        <v>303836</v>
      </c>
      <c r="M121" s="1">
        <v>36652</v>
      </c>
      <c r="N121" s="1">
        <v>14724</v>
      </c>
      <c r="O121" s="1">
        <v>494539</v>
      </c>
      <c r="Q121" s="1">
        <v>6053150</v>
      </c>
      <c r="S121" s="1">
        <v>46882</v>
      </c>
      <c r="U121" s="1">
        <v>10554</v>
      </c>
      <c r="V121" s="1">
        <v>98763</v>
      </c>
      <c r="W121" s="1">
        <v>6209349</v>
      </c>
      <c r="X121" s="1">
        <v>504480</v>
      </c>
      <c r="Y121" s="1">
        <v>128376</v>
      </c>
      <c r="Z121" s="1">
        <v>256398</v>
      </c>
      <c r="AB121" s="1">
        <v>16912</v>
      </c>
      <c r="AC121" s="1">
        <v>60346</v>
      </c>
      <c r="AD121" s="1">
        <v>438409</v>
      </c>
      <c r="AE121" s="1">
        <v>281184</v>
      </c>
      <c r="AG121" s="1">
        <v>2232333</v>
      </c>
      <c r="AH121" s="1">
        <v>8442017</v>
      </c>
      <c r="AJ121" s="1">
        <v>3100</v>
      </c>
      <c r="AK121" s="1">
        <v>3100</v>
      </c>
      <c r="AL121" s="1">
        <v>34580</v>
      </c>
      <c r="AM121" s="1">
        <v>146775</v>
      </c>
      <c r="AN121" s="1">
        <v>16311</v>
      </c>
      <c r="AO121" s="1">
        <v>197666</v>
      </c>
      <c r="AP121" s="1">
        <v>200766</v>
      </c>
      <c r="AQ121" s="1">
        <v>504147</v>
      </c>
      <c r="AT121" s="1">
        <v>504147</v>
      </c>
      <c r="AU121" s="1">
        <v>95464</v>
      </c>
      <c r="AV121" s="1">
        <v>600948</v>
      </c>
      <c r="AW121" s="1">
        <v>600948</v>
      </c>
      <c r="AX121" s="1">
        <v>1337</v>
      </c>
      <c r="AZ121" s="1">
        <v>10352039</v>
      </c>
      <c r="BC121" s="1">
        <v>46882</v>
      </c>
      <c r="BE121" s="1">
        <v>40812</v>
      </c>
      <c r="BF121" s="1">
        <v>94630</v>
      </c>
      <c r="BH121" s="1">
        <v>335</v>
      </c>
      <c r="BL121" s="1">
        <v>1337</v>
      </c>
      <c r="BR121" s="1">
        <v>410786</v>
      </c>
      <c r="BY121" s="1">
        <v>1337</v>
      </c>
      <c r="CA121" s="1">
        <v>335</v>
      </c>
    </row>
    <row r="122" spans="1:109">
      <c r="A122" s="1">
        <v>5</v>
      </c>
      <c r="B122" s="1">
        <v>2610</v>
      </c>
      <c r="C122" s="1" t="s">
        <v>1623</v>
      </c>
      <c r="D122" s="1" t="s">
        <v>1466</v>
      </c>
      <c r="F122" s="1">
        <v>1056827</v>
      </c>
      <c r="J122" s="1">
        <v>16453155</v>
      </c>
      <c r="K122" s="1">
        <v>1796920</v>
      </c>
      <c r="L122" s="1">
        <v>1089346</v>
      </c>
      <c r="M122" s="1">
        <v>72296859</v>
      </c>
      <c r="N122" s="1">
        <v>1003122</v>
      </c>
      <c r="O122" s="1">
        <v>76186247</v>
      </c>
      <c r="P122" s="1">
        <v>1185103</v>
      </c>
      <c r="Q122" s="1">
        <v>85135718</v>
      </c>
      <c r="V122" s="1">
        <v>3074827</v>
      </c>
      <c r="W122" s="1">
        <v>88210545</v>
      </c>
      <c r="X122" s="1">
        <v>15543347</v>
      </c>
      <c r="Y122" s="1">
        <v>3005505</v>
      </c>
      <c r="Z122" s="1">
        <v>4543370</v>
      </c>
      <c r="AA122" s="1">
        <v>43284</v>
      </c>
      <c r="AB122" s="1">
        <v>210465</v>
      </c>
      <c r="AC122" s="1">
        <v>790971</v>
      </c>
      <c r="AD122" s="1">
        <v>5714464</v>
      </c>
      <c r="AE122" s="1">
        <v>3503550</v>
      </c>
      <c r="AG122" s="1">
        <v>36894606</v>
      </c>
      <c r="AH122" s="1">
        <v>127816640</v>
      </c>
      <c r="AJ122" s="1">
        <v>12057</v>
      </c>
      <c r="AK122" s="1">
        <v>12057</v>
      </c>
      <c r="AL122" s="1">
        <v>106301</v>
      </c>
      <c r="AM122" s="1">
        <v>1179162</v>
      </c>
      <c r="AN122" s="1">
        <v>439492</v>
      </c>
      <c r="AO122" s="1">
        <v>1724955</v>
      </c>
      <c r="AP122" s="1">
        <v>1739351</v>
      </c>
      <c r="AQ122" s="1">
        <v>7856254</v>
      </c>
      <c r="AT122" s="1">
        <v>7856254</v>
      </c>
      <c r="AU122" s="1">
        <v>1723304</v>
      </c>
      <c r="AV122" s="1">
        <v>9579558</v>
      </c>
      <c r="AW122" s="1">
        <v>9579558</v>
      </c>
      <c r="AZ122" s="1">
        <v>232960054</v>
      </c>
      <c r="BE122" s="1">
        <v>788142</v>
      </c>
      <c r="BF122" s="1">
        <v>406601</v>
      </c>
      <c r="BU122" s="1">
        <v>2339</v>
      </c>
      <c r="BV122" s="1">
        <v>2339</v>
      </c>
      <c r="BY122" s="1">
        <v>1185103</v>
      </c>
      <c r="CC122" s="1">
        <v>1185103</v>
      </c>
      <c r="CF122" s="1">
        <v>2344907</v>
      </c>
      <c r="CG122" s="1">
        <v>1526386</v>
      </c>
      <c r="CL122" s="1">
        <v>15396328</v>
      </c>
    </row>
    <row r="123" spans="1:109">
      <c r="A123" s="1">
        <v>5</v>
      </c>
      <c r="B123" s="1">
        <v>2850</v>
      </c>
      <c r="C123" s="1" t="s">
        <v>1623</v>
      </c>
      <c r="D123" s="1" t="s">
        <v>1467</v>
      </c>
      <c r="F123" s="1">
        <v>65358</v>
      </c>
      <c r="G123" s="1">
        <v>1424363</v>
      </c>
      <c r="H123" s="1">
        <v>1883866</v>
      </c>
      <c r="I123" s="1">
        <v>732</v>
      </c>
      <c r="J123" s="1">
        <v>3464842</v>
      </c>
      <c r="K123" s="1">
        <v>384794</v>
      </c>
      <c r="M123" s="1">
        <v>3095</v>
      </c>
      <c r="N123" s="1">
        <v>838</v>
      </c>
      <c r="O123" s="1">
        <v>388727</v>
      </c>
      <c r="Q123" s="1">
        <v>11730134</v>
      </c>
      <c r="S123" s="1">
        <v>3347</v>
      </c>
      <c r="U123" s="1">
        <v>33</v>
      </c>
      <c r="V123" s="1">
        <v>238998</v>
      </c>
      <c r="W123" s="1">
        <v>11972512</v>
      </c>
      <c r="X123" s="1">
        <v>5129564</v>
      </c>
      <c r="Y123" s="1">
        <v>304659</v>
      </c>
      <c r="Z123" s="1">
        <v>1020025</v>
      </c>
      <c r="AA123" s="1">
        <v>36082</v>
      </c>
      <c r="AB123" s="1">
        <v>29916</v>
      </c>
      <c r="AC123" s="1">
        <v>195082</v>
      </c>
      <c r="AD123" s="1">
        <v>1069022</v>
      </c>
      <c r="AE123" s="1">
        <v>750159</v>
      </c>
      <c r="AF123" s="1">
        <v>132768</v>
      </c>
      <c r="AG123" s="1">
        <v>8869037</v>
      </c>
      <c r="AH123" s="1">
        <v>20841549</v>
      </c>
      <c r="AI123" s="1">
        <v>39906</v>
      </c>
      <c r="AJ123" s="1">
        <v>6016</v>
      </c>
      <c r="AK123" s="1">
        <v>45922</v>
      </c>
      <c r="AL123" s="1">
        <v>95897</v>
      </c>
      <c r="AM123" s="1">
        <v>332803</v>
      </c>
      <c r="AN123" s="1">
        <v>87490</v>
      </c>
      <c r="AO123" s="1">
        <v>516190</v>
      </c>
      <c r="AP123" s="1">
        <v>562112</v>
      </c>
      <c r="AQ123" s="1">
        <v>1724154</v>
      </c>
      <c r="AT123" s="1">
        <v>1724154</v>
      </c>
      <c r="AU123" s="1">
        <v>1058993</v>
      </c>
      <c r="AV123" s="1">
        <v>2783147</v>
      </c>
      <c r="AW123" s="1">
        <v>2783147</v>
      </c>
      <c r="AZ123" s="1">
        <v>28040377</v>
      </c>
      <c r="BC123" s="1">
        <v>3347</v>
      </c>
      <c r="BE123" s="1">
        <v>201760</v>
      </c>
      <c r="CL123" s="1">
        <v>90523</v>
      </c>
    </row>
    <row r="124" spans="1:109">
      <c r="A124" s="1">
        <v>5</v>
      </c>
      <c r="B124" s="1">
        <v>2960</v>
      </c>
      <c r="C124" s="1" t="s">
        <v>1623</v>
      </c>
      <c r="D124" s="1" t="s">
        <v>1468</v>
      </c>
      <c r="F124" s="1">
        <v>117384</v>
      </c>
      <c r="G124" s="1">
        <v>241002</v>
      </c>
      <c r="H124" s="1">
        <v>577539</v>
      </c>
      <c r="I124" s="1">
        <v>61901</v>
      </c>
      <c r="J124" s="1">
        <v>997826</v>
      </c>
      <c r="K124" s="1">
        <v>160336</v>
      </c>
      <c r="L124" s="1">
        <v>145188</v>
      </c>
      <c r="M124" s="1">
        <v>229932</v>
      </c>
      <c r="N124" s="1">
        <v>20213</v>
      </c>
      <c r="O124" s="1">
        <v>555669</v>
      </c>
      <c r="Q124" s="1">
        <v>7217195</v>
      </c>
      <c r="R124" s="1">
        <v>39581</v>
      </c>
      <c r="S124" s="1">
        <v>39581</v>
      </c>
      <c r="V124" s="1">
        <v>74586</v>
      </c>
      <c r="W124" s="1">
        <v>7331362</v>
      </c>
      <c r="X124" s="1">
        <v>95458</v>
      </c>
      <c r="Y124" s="1">
        <v>145543</v>
      </c>
      <c r="Z124" s="1">
        <v>325844</v>
      </c>
      <c r="AA124" s="1">
        <v>12776</v>
      </c>
      <c r="AB124" s="1">
        <v>31769</v>
      </c>
      <c r="AC124" s="1">
        <v>75707</v>
      </c>
      <c r="AD124" s="1">
        <v>434328</v>
      </c>
      <c r="AE124" s="1">
        <v>308546</v>
      </c>
      <c r="AG124" s="1">
        <v>1522690</v>
      </c>
      <c r="AH124" s="1">
        <v>8854052</v>
      </c>
      <c r="AJ124" s="1">
        <v>48129</v>
      </c>
      <c r="AK124" s="1">
        <v>48129</v>
      </c>
      <c r="AL124" s="1">
        <v>19496</v>
      </c>
      <c r="AM124" s="1">
        <v>124693</v>
      </c>
      <c r="AN124" s="1">
        <v>22509</v>
      </c>
      <c r="AO124" s="1">
        <v>166698</v>
      </c>
      <c r="AP124" s="1">
        <v>215798</v>
      </c>
      <c r="AQ124" s="1">
        <v>648036</v>
      </c>
      <c r="AR124" s="1">
        <v>10099</v>
      </c>
      <c r="AS124" s="1">
        <v>10099</v>
      </c>
      <c r="AT124" s="1">
        <v>658135</v>
      </c>
      <c r="AV124" s="1">
        <v>658135</v>
      </c>
      <c r="AW124" s="1">
        <v>658135</v>
      </c>
      <c r="AZ124" s="1">
        <v>11281480</v>
      </c>
      <c r="BE124" s="1">
        <v>19660</v>
      </c>
      <c r="BF124" s="1">
        <v>73059</v>
      </c>
      <c r="BU124" s="1">
        <v>971</v>
      </c>
      <c r="BV124" s="1">
        <v>971</v>
      </c>
    </row>
    <row r="125" spans="1:109">
      <c r="A125" s="1">
        <v>5</v>
      </c>
      <c r="B125" s="1">
        <v>3010</v>
      </c>
      <c r="C125" s="1" t="s">
        <v>1623</v>
      </c>
      <c r="D125" s="1" t="s">
        <v>1251</v>
      </c>
      <c r="F125" s="1">
        <v>490373</v>
      </c>
      <c r="G125" s="1">
        <v>708111</v>
      </c>
      <c r="H125" s="1">
        <v>703194</v>
      </c>
      <c r="I125" s="1">
        <v>2055</v>
      </c>
      <c r="J125" s="1">
        <v>1903733</v>
      </c>
      <c r="K125" s="1">
        <v>522396</v>
      </c>
      <c r="M125" s="1">
        <v>22838832</v>
      </c>
      <c r="N125" s="1">
        <v>546919</v>
      </c>
      <c r="O125" s="1">
        <v>23908147</v>
      </c>
      <c r="Q125" s="1">
        <v>18424971</v>
      </c>
      <c r="R125" s="1">
        <v>56700</v>
      </c>
      <c r="S125" s="1">
        <v>56700</v>
      </c>
      <c r="T125" s="1">
        <v>86553</v>
      </c>
      <c r="U125" s="1">
        <v>89</v>
      </c>
      <c r="V125" s="1">
        <v>339761</v>
      </c>
      <c r="W125" s="1">
        <v>18908074</v>
      </c>
      <c r="X125" s="1">
        <v>3812660</v>
      </c>
      <c r="Y125" s="1">
        <v>283594</v>
      </c>
      <c r="Z125" s="1">
        <v>2052220</v>
      </c>
      <c r="AA125" s="1">
        <v>74662</v>
      </c>
      <c r="AB125" s="1">
        <v>16586</v>
      </c>
      <c r="AC125" s="1">
        <v>242042</v>
      </c>
      <c r="AD125" s="1">
        <v>1704916</v>
      </c>
      <c r="AE125" s="1">
        <v>914076</v>
      </c>
      <c r="AG125" s="1">
        <v>9969555</v>
      </c>
      <c r="AH125" s="1">
        <v>28877629</v>
      </c>
      <c r="AI125" s="1">
        <v>84300</v>
      </c>
      <c r="AJ125" s="1">
        <v>143759</v>
      </c>
      <c r="AK125" s="1">
        <v>228059</v>
      </c>
      <c r="AL125" s="1">
        <v>163801</v>
      </c>
      <c r="AM125" s="1">
        <v>532539</v>
      </c>
      <c r="AN125" s="1">
        <v>239175</v>
      </c>
      <c r="AO125" s="1">
        <v>935515</v>
      </c>
      <c r="AP125" s="1">
        <v>1163574</v>
      </c>
      <c r="AQ125" s="1">
        <v>1863504</v>
      </c>
      <c r="AR125" s="1">
        <v>789302</v>
      </c>
      <c r="AS125" s="1">
        <v>789302</v>
      </c>
      <c r="AT125" s="1">
        <v>2652806</v>
      </c>
      <c r="AU125" s="1">
        <v>347740</v>
      </c>
      <c r="AV125" s="1">
        <v>3000546</v>
      </c>
      <c r="AW125" s="1">
        <v>3000546</v>
      </c>
      <c r="AZ125" s="1">
        <v>58853629</v>
      </c>
      <c r="BE125" s="1">
        <v>215501</v>
      </c>
      <c r="BF125" s="1">
        <v>19398</v>
      </c>
      <c r="CF125" s="1">
        <v>633900</v>
      </c>
    </row>
    <row r="126" spans="1:109">
      <c r="A126" s="1">
        <v>5</v>
      </c>
      <c r="B126" s="1">
        <v>3070</v>
      </c>
      <c r="C126" s="1" t="s">
        <v>1623</v>
      </c>
      <c r="D126" s="1" t="s">
        <v>1252</v>
      </c>
      <c r="F126" s="1">
        <v>5108</v>
      </c>
      <c r="G126" s="1">
        <v>365567</v>
      </c>
      <c r="H126" s="1">
        <v>488889</v>
      </c>
      <c r="I126" s="1">
        <v>1</v>
      </c>
      <c r="J126" s="1">
        <v>859565</v>
      </c>
      <c r="K126" s="1">
        <v>115808</v>
      </c>
      <c r="M126" s="1">
        <v>240837</v>
      </c>
      <c r="N126" s="1">
        <v>2</v>
      </c>
      <c r="O126" s="1">
        <v>356647</v>
      </c>
      <c r="Q126" s="1">
        <v>4445864</v>
      </c>
      <c r="R126" s="1">
        <v>9601</v>
      </c>
      <c r="S126" s="1">
        <v>9601</v>
      </c>
      <c r="V126" s="1">
        <v>218946</v>
      </c>
      <c r="W126" s="1">
        <v>4674411</v>
      </c>
      <c r="X126" s="1">
        <v>346136</v>
      </c>
      <c r="Y126" s="1">
        <v>40978</v>
      </c>
      <c r="Z126" s="1">
        <v>513978</v>
      </c>
      <c r="AA126" s="1">
        <v>4636</v>
      </c>
      <c r="AB126" s="1">
        <v>8411</v>
      </c>
      <c r="AC126" s="1">
        <v>31032</v>
      </c>
      <c r="AD126" s="1">
        <v>523520</v>
      </c>
      <c r="AE126" s="1">
        <v>236773</v>
      </c>
      <c r="AG126" s="1">
        <v>1737817</v>
      </c>
      <c r="AH126" s="1">
        <v>6412228</v>
      </c>
      <c r="AJ126" s="1">
        <v>556</v>
      </c>
      <c r="AK126" s="1">
        <v>556</v>
      </c>
      <c r="AM126" s="1">
        <v>95375</v>
      </c>
      <c r="AN126" s="1">
        <v>21128</v>
      </c>
      <c r="AO126" s="1">
        <v>116503</v>
      </c>
      <c r="AP126" s="1">
        <v>120910</v>
      </c>
      <c r="AQ126" s="1">
        <v>485688</v>
      </c>
      <c r="AT126" s="1">
        <v>485688</v>
      </c>
      <c r="AU126" s="1">
        <v>46206</v>
      </c>
      <c r="AV126" s="1">
        <v>601188</v>
      </c>
      <c r="AW126" s="1">
        <v>601188</v>
      </c>
      <c r="AZ126" s="1">
        <v>8350538</v>
      </c>
      <c r="BE126" s="1">
        <v>28103</v>
      </c>
      <c r="BF126" s="1">
        <v>4250</v>
      </c>
      <c r="BL126" s="1">
        <v>69294</v>
      </c>
      <c r="BU126" s="1">
        <v>3851</v>
      </c>
      <c r="BV126" s="1">
        <v>3851</v>
      </c>
    </row>
    <row r="127" spans="1:109">
      <c r="A127" s="1">
        <v>5</v>
      </c>
      <c r="B127" s="1">
        <v>3080</v>
      </c>
      <c r="C127" s="1" t="s">
        <v>1623</v>
      </c>
      <c r="D127" s="1" t="s">
        <v>1253</v>
      </c>
      <c r="F127" s="1">
        <v>130606</v>
      </c>
      <c r="G127" s="1">
        <v>1589672</v>
      </c>
      <c r="H127" s="1">
        <v>1824456</v>
      </c>
      <c r="J127" s="1">
        <v>3544734</v>
      </c>
      <c r="K127" s="1">
        <v>821575</v>
      </c>
      <c r="L127" s="1">
        <v>1092636</v>
      </c>
      <c r="M127" s="1">
        <v>2237016</v>
      </c>
      <c r="N127" s="1">
        <v>250404</v>
      </c>
      <c r="O127" s="1">
        <v>4401631</v>
      </c>
      <c r="Q127" s="1">
        <v>32595738</v>
      </c>
      <c r="V127" s="1">
        <v>745451</v>
      </c>
      <c r="W127" s="1">
        <v>33341189</v>
      </c>
      <c r="Y127" s="1">
        <v>810851</v>
      </c>
      <c r="Z127" s="1">
        <v>2052445</v>
      </c>
      <c r="AA127" s="1">
        <v>7066</v>
      </c>
      <c r="AB127" s="1">
        <v>107089</v>
      </c>
      <c r="AC127" s="1">
        <v>183015</v>
      </c>
      <c r="AD127" s="1">
        <v>2578947</v>
      </c>
      <c r="AE127" s="1">
        <v>1260601</v>
      </c>
      <c r="AG127" s="1">
        <v>9142603</v>
      </c>
      <c r="AH127" s="1">
        <v>42483792</v>
      </c>
      <c r="AJ127" s="1">
        <v>197950</v>
      </c>
      <c r="AK127" s="1">
        <v>197950</v>
      </c>
      <c r="AL127" s="1">
        <v>100486</v>
      </c>
      <c r="AM127" s="1">
        <v>589447</v>
      </c>
      <c r="AN127" s="1">
        <v>117925</v>
      </c>
      <c r="AO127" s="1">
        <v>807858</v>
      </c>
      <c r="AP127" s="1">
        <v>1005808</v>
      </c>
      <c r="AQ127" s="1">
        <v>2984124</v>
      </c>
      <c r="AT127" s="1">
        <v>2984124</v>
      </c>
      <c r="AV127" s="1">
        <v>3710082</v>
      </c>
      <c r="AW127" s="1">
        <v>3710082</v>
      </c>
      <c r="AX127" s="1">
        <v>63243</v>
      </c>
      <c r="AZ127" s="1">
        <v>55209290</v>
      </c>
      <c r="BE127" s="1">
        <v>151202</v>
      </c>
      <c r="BF127" s="1">
        <v>4704</v>
      </c>
      <c r="BL127" s="1">
        <v>725958</v>
      </c>
      <c r="BR127" s="1">
        <v>1986683</v>
      </c>
      <c r="BY127" s="1">
        <v>63243</v>
      </c>
    </row>
    <row r="128" spans="1:109">
      <c r="A128" s="1">
        <v>5</v>
      </c>
      <c r="B128" s="1">
        <v>3360</v>
      </c>
      <c r="C128" s="1" t="s">
        <v>1623</v>
      </c>
      <c r="D128" s="1" t="s">
        <v>1254</v>
      </c>
      <c r="F128" s="1">
        <v>207490</v>
      </c>
      <c r="G128" s="1">
        <v>1590607</v>
      </c>
      <c r="H128" s="1">
        <v>1182414</v>
      </c>
      <c r="I128" s="1">
        <v>1130</v>
      </c>
      <c r="J128" s="1">
        <v>2981641</v>
      </c>
      <c r="K128" s="1">
        <v>1398862</v>
      </c>
      <c r="L128" s="1">
        <v>395308</v>
      </c>
      <c r="M128" s="1">
        <v>114171</v>
      </c>
      <c r="N128" s="1">
        <v>453938</v>
      </c>
      <c r="O128" s="1">
        <v>2362279</v>
      </c>
      <c r="Q128" s="1">
        <v>49692241</v>
      </c>
      <c r="R128" s="1">
        <v>836569</v>
      </c>
      <c r="S128" s="1">
        <v>1031522</v>
      </c>
      <c r="T128" s="1">
        <v>34863</v>
      </c>
      <c r="U128" s="1">
        <v>60</v>
      </c>
      <c r="V128" s="1">
        <v>700364</v>
      </c>
      <c r="W128" s="1">
        <v>51459050</v>
      </c>
      <c r="Y128" s="1">
        <v>289264</v>
      </c>
      <c r="Z128" s="1">
        <v>3546250</v>
      </c>
      <c r="AA128" s="1">
        <v>27978</v>
      </c>
      <c r="AB128" s="1">
        <v>189779</v>
      </c>
      <c r="AC128" s="1">
        <v>259818</v>
      </c>
      <c r="AD128" s="1">
        <v>3340134</v>
      </c>
      <c r="AE128" s="1">
        <v>1971161</v>
      </c>
      <c r="AF128" s="1">
        <v>356828</v>
      </c>
      <c r="AG128" s="1">
        <v>9981212</v>
      </c>
      <c r="AH128" s="1">
        <v>63453526</v>
      </c>
      <c r="AJ128" s="1">
        <v>343794</v>
      </c>
      <c r="AK128" s="1">
        <v>343794</v>
      </c>
      <c r="AL128" s="1">
        <v>120600</v>
      </c>
      <c r="AM128" s="1">
        <v>916359</v>
      </c>
      <c r="AN128" s="1">
        <v>409184</v>
      </c>
      <c r="AO128" s="1">
        <v>1446143</v>
      </c>
      <c r="AP128" s="1">
        <v>1800636</v>
      </c>
      <c r="AQ128" s="1">
        <v>4698352</v>
      </c>
      <c r="AR128" s="1">
        <v>50883</v>
      </c>
      <c r="AS128" s="1">
        <v>237183</v>
      </c>
      <c r="AT128" s="1">
        <v>4935535</v>
      </c>
      <c r="AU128" s="1">
        <v>531675</v>
      </c>
      <c r="AV128" s="1">
        <v>5467210</v>
      </c>
      <c r="AW128" s="1">
        <v>5467210</v>
      </c>
      <c r="AZ128" s="1">
        <v>76124876</v>
      </c>
      <c r="BC128" s="1">
        <v>194953</v>
      </c>
      <c r="BH128" s="1">
        <v>5507</v>
      </c>
      <c r="BU128" s="1">
        <v>10699</v>
      </c>
      <c r="BV128" s="1">
        <v>10699</v>
      </c>
      <c r="BY128" s="1">
        <v>59584</v>
      </c>
      <c r="CA128" s="1">
        <v>5507</v>
      </c>
      <c r="CC128" s="1">
        <v>59584</v>
      </c>
      <c r="CG128" s="1">
        <v>2007757</v>
      </c>
      <c r="DC128" s="1">
        <v>186300</v>
      </c>
    </row>
    <row r="129" spans="1:108">
      <c r="A129" s="1">
        <v>5</v>
      </c>
      <c r="B129" s="1">
        <v>3430</v>
      </c>
      <c r="C129" s="1" t="s">
        <v>1623</v>
      </c>
      <c r="D129" s="1" t="s">
        <v>1255</v>
      </c>
      <c r="G129" s="1">
        <v>365484</v>
      </c>
      <c r="H129" s="1">
        <v>310371</v>
      </c>
      <c r="I129" s="1">
        <v>525088</v>
      </c>
      <c r="J129" s="1">
        <v>1200943</v>
      </c>
      <c r="K129" s="1">
        <v>345778</v>
      </c>
      <c r="L129" s="1">
        <v>40001</v>
      </c>
      <c r="O129" s="1">
        <v>385779</v>
      </c>
      <c r="Q129" s="1">
        <v>6558171</v>
      </c>
      <c r="R129" s="1">
        <v>49097</v>
      </c>
      <c r="S129" s="1">
        <v>49097</v>
      </c>
      <c r="U129" s="1">
        <v>23794</v>
      </c>
      <c r="V129" s="1">
        <v>206109</v>
      </c>
      <c r="W129" s="1">
        <v>7187171</v>
      </c>
      <c r="X129" s="1">
        <v>4239311</v>
      </c>
      <c r="Y129" s="1">
        <v>198480</v>
      </c>
      <c r="Z129" s="1">
        <v>1436370</v>
      </c>
      <c r="AA129" s="1">
        <v>44240</v>
      </c>
      <c r="AB129" s="1">
        <v>25686</v>
      </c>
      <c r="AC129" s="1">
        <v>123764</v>
      </c>
      <c r="AD129" s="1">
        <v>1413615</v>
      </c>
      <c r="AE129" s="1">
        <v>598788</v>
      </c>
      <c r="AG129" s="1">
        <v>10584487</v>
      </c>
      <c r="AH129" s="1">
        <v>17841001</v>
      </c>
      <c r="AJ129" s="1">
        <v>238041</v>
      </c>
      <c r="AK129" s="1">
        <v>1231118</v>
      </c>
      <c r="AL129" s="1">
        <v>592563</v>
      </c>
      <c r="AM129" s="1">
        <v>399165</v>
      </c>
      <c r="AN129" s="1">
        <v>490021</v>
      </c>
      <c r="AO129" s="1">
        <v>1481749</v>
      </c>
      <c r="AP129" s="1">
        <v>2712867</v>
      </c>
      <c r="AZ129" s="1">
        <v>22140590</v>
      </c>
      <c r="BE129" s="1">
        <v>275131</v>
      </c>
      <c r="BF129" s="1">
        <v>93300</v>
      </c>
      <c r="BH129" s="1">
        <v>69343</v>
      </c>
      <c r="BI129" s="1">
        <v>583288</v>
      </c>
      <c r="BJ129" s="1">
        <v>409789</v>
      </c>
      <c r="BQ129" s="1">
        <v>350000</v>
      </c>
      <c r="BR129" s="1">
        <v>1702970</v>
      </c>
      <c r="CA129" s="1">
        <v>69343</v>
      </c>
      <c r="CF129" s="1">
        <v>432832</v>
      </c>
    </row>
    <row r="130" spans="1:108">
      <c r="A130" s="1">
        <v>5</v>
      </c>
      <c r="B130" s="1">
        <v>3440</v>
      </c>
      <c r="C130" s="1" t="s">
        <v>1623</v>
      </c>
      <c r="D130" s="1" t="s">
        <v>1256</v>
      </c>
      <c r="F130" s="1">
        <v>309963</v>
      </c>
      <c r="G130" s="1">
        <v>1885009</v>
      </c>
      <c r="H130" s="1">
        <v>2063772</v>
      </c>
      <c r="I130" s="1">
        <v>311617</v>
      </c>
      <c r="J130" s="1">
        <v>5155133</v>
      </c>
      <c r="K130" s="1">
        <v>1106913</v>
      </c>
      <c r="L130" s="1">
        <v>218159</v>
      </c>
      <c r="M130" s="1">
        <v>1592423</v>
      </c>
      <c r="N130" s="1">
        <v>592363</v>
      </c>
      <c r="O130" s="1">
        <v>3509858</v>
      </c>
      <c r="Q130" s="1">
        <v>45932163</v>
      </c>
      <c r="R130" s="1">
        <v>324235</v>
      </c>
      <c r="S130" s="1">
        <v>324235</v>
      </c>
      <c r="T130" s="1">
        <v>20670</v>
      </c>
      <c r="U130" s="1">
        <v>1300</v>
      </c>
      <c r="V130" s="1">
        <v>676676</v>
      </c>
      <c r="W130" s="1">
        <v>47323813</v>
      </c>
      <c r="Y130" s="1">
        <v>939586</v>
      </c>
      <c r="Z130" s="1">
        <v>4168389</v>
      </c>
      <c r="AA130" s="1">
        <v>50206</v>
      </c>
      <c r="AB130" s="1">
        <v>96323</v>
      </c>
      <c r="AC130" s="1">
        <v>276087</v>
      </c>
      <c r="AD130" s="1">
        <v>3003102</v>
      </c>
      <c r="AE130" s="1">
        <v>1947594</v>
      </c>
      <c r="AG130" s="1">
        <v>10672256</v>
      </c>
      <c r="AH130" s="1">
        <v>58856184</v>
      </c>
      <c r="AJ130" s="1">
        <v>37161</v>
      </c>
      <c r="AK130" s="1">
        <v>37161</v>
      </c>
      <c r="AL130" s="1">
        <v>246767</v>
      </c>
      <c r="AM130" s="1">
        <v>923761</v>
      </c>
      <c r="AN130" s="1">
        <v>160095</v>
      </c>
      <c r="AO130" s="1">
        <v>1330623</v>
      </c>
      <c r="AP130" s="1">
        <v>1367784</v>
      </c>
      <c r="AQ130" s="1">
        <v>3476427</v>
      </c>
      <c r="AT130" s="1">
        <v>3476427</v>
      </c>
      <c r="AU130" s="1">
        <v>407443</v>
      </c>
      <c r="AV130" s="1">
        <v>4181124</v>
      </c>
      <c r="AW130" s="1">
        <v>4181124</v>
      </c>
      <c r="AX130" s="1">
        <v>297254</v>
      </c>
      <c r="AY130" s="1">
        <v>-297254</v>
      </c>
      <c r="AZ130" s="1">
        <v>73070083</v>
      </c>
      <c r="BE130" s="1">
        <v>163028</v>
      </c>
      <c r="BF130" s="1">
        <v>27941</v>
      </c>
      <c r="BL130" s="1">
        <v>297254</v>
      </c>
      <c r="BQ130" s="1">
        <v>368769</v>
      </c>
      <c r="CG130" s="1">
        <v>860115</v>
      </c>
      <c r="CL130" s="1">
        <v>277423</v>
      </c>
      <c r="CV130" s="1">
        <v>307349</v>
      </c>
    </row>
    <row r="131" spans="1:108">
      <c r="A131" s="1">
        <v>5</v>
      </c>
      <c r="B131" s="1">
        <v>3540</v>
      </c>
      <c r="C131" s="1" t="s">
        <v>1623</v>
      </c>
      <c r="D131" s="1" t="s">
        <v>1257</v>
      </c>
      <c r="F131" s="1">
        <v>10238</v>
      </c>
      <c r="G131" s="1">
        <v>859531</v>
      </c>
      <c r="H131" s="1">
        <v>17296</v>
      </c>
      <c r="I131" s="1">
        <v>20308</v>
      </c>
      <c r="J131" s="1">
        <v>6273302</v>
      </c>
      <c r="K131" s="1">
        <v>100000</v>
      </c>
      <c r="L131" s="1">
        <v>343235</v>
      </c>
      <c r="M131" s="1">
        <v>29148</v>
      </c>
      <c r="O131" s="1">
        <v>472383</v>
      </c>
      <c r="Q131" s="1">
        <v>1390116</v>
      </c>
      <c r="U131" s="1">
        <v>1257</v>
      </c>
      <c r="V131" s="1">
        <v>359738</v>
      </c>
      <c r="W131" s="1">
        <v>1751111</v>
      </c>
      <c r="X131" s="1">
        <v>1222613</v>
      </c>
      <c r="Y131" s="1">
        <v>202733</v>
      </c>
      <c r="Z131" s="1">
        <v>734313</v>
      </c>
      <c r="AA131" s="1">
        <v>4672</v>
      </c>
      <c r="AC131" s="1">
        <v>26240</v>
      </c>
      <c r="AD131" s="1">
        <v>141477</v>
      </c>
      <c r="AE131" s="1">
        <v>116681</v>
      </c>
      <c r="AG131" s="1">
        <v>2536128</v>
      </c>
      <c r="AH131" s="1">
        <v>4505748</v>
      </c>
      <c r="AJ131" s="1">
        <v>77684</v>
      </c>
      <c r="AK131" s="1">
        <v>247312</v>
      </c>
      <c r="AL131" s="1">
        <v>103745</v>
      </c>
      <c r="AM131" s="1">
        <v>86631</v>
      </c>
      <c r="AN131" s="1">
        <v>52694</v>
      </c>
      <c r="AO131" s="1">
        <v>243070</v>
      </c>
      <c r="AP131" s="1">
        <v>498382</v>
      </c>
      <c r="AZ131" s="1">
        <v>11843954</v>
      </c>
      <c r="BA131" s="1">
        <v>5365929</v>
      </c>
      <c r="BE131" s="1">
        <v>49763</v>
      </c>
      <c r="BF131" s="1">
        <v>37636</v>
      </c>
      <c r="BG131" s="1">
        <v>218509</v>
      </c>
      <c r="BH131" s="1">
        <v>218509</v>
      </c>
      <c r="BI131" s="1">
        <v>108491</v>
      </c>
      <c r="BJ131" s="1">
        <v>61137</v>
      </c>
      <c r="BU131" s="1">
        <v>8000</v>
      </c>
      <c r="BV131" s="1">
        <v>8000</v>
      </c>
      <c r="BY131" s="1">
        <v>94139</v>
      </c>
      <c r="CC131" s="1">
        <v>94139</v>
      </c>
      <c r="CJ131" s="1">
        <v>360531</v>
      </c>
    </row>
    <row r="132" spans="1:108">
      <c r="A132" s="1">
        <v>5</v>
      </c>
      <c r="B132" s="1">
        <v>3650</v>
      </c>
      <c r="C132" s="1" t="s">
        <v>1623</v>
      </c>
      <c r="D132" s="1" t="s">
        <v>1258</v>
      </c>
      <c r="F132" s="1">
        <v>4510200</v>
      </c>
      <c r="I132" s="1">
        <v>1768580</v>
      </c>
      <c r="J132" s="1">
        <v>20399401</v>
      </c>
      <c r="K132" s="1">
        <v>1183428</v>
      </c>
      <c r="O132" s="1">
        <v>1183428</v>
      </c>
      <c r="Q132" s="1">
        <v>1661288</v>
      </c>
      <c r="S132" s="1">
        <v>37509</v>
      </c>
      <c r="U132" s="1">
        <v>114810</v>
      </c>
      <c r="V132" s="1">
        <v>1925156</v>
      </c>
      <c r="W132" s="1">
        <v>3799278</v>
      </c>
      <c r="X132" s="1">
        <v>8441805</v>
      </c>
      <c r="Y132" s="1">
        <v>270964</v>
      </c>
      <c r="Z132" s="1">
        <v>1044205</v>
      </c>
      <c r="AB132" s="1">
        <v>9753</v>
      </c>
      <c r="AC132" s="1">
        <v>129902</v>
      </c>
      <c r="AD132" s="1">
        <v>1308664</v>
      </c>
      <c r="AE132" s="1">
        <v>619877</v>
      </c>
      <c r="AG132" s="1">
        <v>12027837</v>
      </c>
      <c r="AH132" s="1">
        <v>25764562</v>
      </c>
      <c r="AI132" s="1">
        <v>36789</v>
      </c>
      <c r="AK132" s="1">
        <v>36789</v>
      </c>
      <c r="AL132" s="1">
        <v>132235</v>
      </c>
      <c r="AM132" s="1">
        <v>264038</v>
      </c>
      <c r="AN132" s="1">
        <v>73659</v>
      </c>
      <c r="AO132" s="1">
        <v>469932</v>
      </c>
      <c r="AP132" s="1">
        <v>506721</v>
      </c>
      <c r="AZ132" s="1">
        <v>47854112</v>
      </c>
      <c r="BA132" s="1">
        <v>14120621</v>
      </c>
      <c r="BC132" s="1">
        <v>37509</v>
      </c>
      <c r="BE132" s="1">
        <v>199999</v>
      </c>
      <c r="BF132" s="1">
        <v>2668</v>
      </c>
      <c r="BG132" s="1">
        <v>9937167</v>
      </c>
      <c r="BH132" s="1">
        <v>9937447</v>
      </c>
      <c r="CA132" s="1">
        <v>280</v>
      </c>
      <c r="CZ132" s="1">
        <v>60515</v>
      </c>
    </row>
    <row r="133" spans="1:108">
      <c r="A133" s="1">
        <v>5</v>
      </c>
      <c r="B133" s="1">
        <v>3690</v>
      </c>
      <c r="C133" s="1" t="s">
        <v>1623</v>
      </c>
      <c r="D133" s="1" t="s">
        <v>1259</v>
      </c>
      <c r="F133" s="1">
        <v>2487558</v>
      </c>
      <c r="G133" s="1">
        <v>1278976</v>
      </c>
      <c r="H133" s="1">
        <v>1204706</v>
      </c>
      <c r="I133" s="1">
        <v>662870</v>
      </c>
      <c r="J133" s="1">
        <v>6579486</v>
      </c>
      <c r="K133" s="1">
        <v>1928306</v>
      </c>
      <c r="L133" s="1">
        <v>345294</v>
      </c>
      <c r="M133" s="1">
        <v>679178</v>
      </c>
      <c r="O133" s="1">
        <v>2952778</v>
      </c>
      <c r="Q133" s="1">
        <v>14475225</v>
      </c>
      <c r="R133" s="1">
        <v>180074</v>
      </c>
      <c r="S133" s="1">
        <v>180074</v>
      </c>
      <c r="U133" s="1">
        <v>34420</v>
      </c>
      <c r="V133" s="1">
        <v>582998</v>
      </c>
      <c r="W133" s="1">
        <v>15438047</v>
      </c>
      <c r="X133" s="1">
        <v>8554251</v>
      </c>
      <c r="Y133" s="1">
        <v>837077</v>
      </c>
      <c r="Z133" s="1">
        <v>1189476</v>
      </c>
      <c r="AA133" s="1">
        <v>10476</v>
      </c>
      <c r="AB133" s="1">
        <v>36413</v>
      </c>
      <c r="AC133" s="1">
        <v>218123</v>
      </c>
      <c r="AD133" s="1">
        <v>1562966</v>
      </c>
      <c r="AE133" s="1">
        <v>867269</v>
      </c>
      <c r="AG133" s="1">
        <v>13708683</v>
      </c>
      <c r="AH133" s="1">
        <v>30616452</v>
      </c>
      <c r="AJ133" s="1">
        <v>163636</v>
      </c>
      <c r="AK133" s="1">
        <v>163636</v>
      </c>
      <c r="AM133" s="1">
        <v>339659</v>
      </c>
      <c r="AN133" s="1">
        <v>58462</v>
      </c>
      <c r="AO133" s="1">
        <v>398121</v>
      </c>
      <c r="AP133" s="1">
        <v>561757</v>
      </c>
      <c r="AQ133" s="1">
        <v>2184215</v>
      </c>
      <c r="AT133" s="1">
        <v>2184215</v>
      </c>
      <c r="AU133" s="1">
        <v>330485</v>
      </c>
      <c r="AV133" s="1">
        <v>2514700</v>
      </c>
      <c r="AW133" s="1">
        <v>2514700</v>
      </c>
      <c r="AZ133" s="1">
        <v>43225173</v>
      </c>
      <c r="BA133" s="1">
        <v>395500</v>
      </c>
      <c r="BE133" s="1">
        <v>324282</v>
      </c>
      <c r="BF133" s="1">
        <v>108350</v>
      </c>
      <c r="BG133" s="1">
        <v>1469722</v>
      </c>
      <c r="BH133" s="1">
        <v>1469722</v>
      </c>
      <c r="CL133" s="1">
        <v>549876</v>
      </c>
      <c r="CZ133" s="1">
        <v>165330</v>
      </c>
    </row>
    <row r="134" spans="1:108">
      <c r="A134" s="1">
        <v>5</v>
      </c>
      <c r="B134" s="1">
        <v>3920</v>
      </c>
      <c r="C134" s="1" t="s">
        <v>1623</v>
      </c>
      <c r="D134" s="1" t="s">
        <v>1260</v>
      </c>
      <c r="H134" s="1">
        <v>40407</v>
      </c>
      <c r="I134" s="1">
        <v>414031</v>
      </c>
      <c r="J134" s="1">
        <v>454438</v>
      </c>
      <c r="K134" s="1">
        <v>243555</v>
      </c>
      <c r="L134" s="1">
        <v>529168</v>
      </c>
      <c r="M134" s="1">
        <v>3734972</v>
      </c>
      <c r="O134" s="1">
        <v>4507695</v>
      </c>
      <c r="P134" s="1">
        <v>188478</v>
      </c>
      <c r="Q134" s="1">
        <v>6121339</v>
      </c>
      <c r="S134" s="1">
        <v>1865238</v>
      </c>
      <c r="U134" s="1">
        <v>15940</v>
      </c>
      <c r="V134" s="1">
        <v>88139</v>
      </c>
      <c r="W134" s="1">
        <v>8090656</v>
      </c>
      <c r="X134" s="1">
        <v>2594828</v>
      </c>
      <c r="Y134" s="1">
        <v>141921</v>
      </c>
      <c r="Z134" s="1">
        <v>883849</v>
      </c>
      <c r="AA134" s="1">
        <v>10476</v>
      </c>
      <c r="AB134" s="1">
        <v>9354</v>
      </c>
      <c r="AC134" s="1">
        <v>288939</v>
      </c>
      <c r="AD134" s="1">
        <v>1030763</v>
      </c>
      <c r="AE134" s="1">
        <v>436089</v>
      </c>
      <c r="AG134" s="1">
        <v>5655400</v>
      </c>
      <c r="AH134" s="1">
        <v>13934534</v>
      </c>
      <c r="AI134" s="1">
        <v>55881</v>
      </c>
      <c r="AK134" s="1">
        <v>55881</v>
      </c>
      <c r="AL134" s="1">
        <v>175295</v>
      </c>
      <c r="AM134" s="1">
        <v>234927</v>
      </c>
      <c r="AN134" s="1">
        <v>57750</v>
      </c>
      <c r="AO134" s="1">
        <v>467972</v>
      </c>
      <c r="AP134" s="1">
        <v>523853</v>
      </c>
      <c r="AQ134" s="1">
        <v>488036</v>
      </c>
      <c r="AR134" s="1">
        <v>39582</v>
      </c>
      <c r="AS134" s="1">
        <v>39582</v>
      </c>
      <c r="AT134" s="1">
        <v>527618</v>
      </c>
      <c r="AU134" s="1">
        <v>234714</v>
      </c>
      <c r="AV134" s="1">
        <v>762332</v>
      </c>
      <c r="AW134" s="1">
        <v>762332</v>
      </c>
      <c r="AX134" s="1">
        <v>114002</v>
      </c>
      <c r="AZ134" s="1">
        <v>20296854</v>
      </c>
      <c r="BC134" s="1">
        <v>1865238</v>
      </c>
      <c r="BE134" s="1">
        <v>123352</v>
      </c>
      <c r="BR134" s="1">
        <v>135829</v>
      </c>
      <c r="BY134" s="1">
        <v>114002</v>
      </c>
    </row>
    <row r="135" spans="1:108">
      <c r="A135" s="1">
        <v>5</v>
      </c>
      <c r="B135" s="1">
        <v>4040</v>
      </c>
      <c r="C135" s="1" t="s">
        <v>1623</v>
      </c>
      <c r="D135" s="1" t="s">
        <v>1261</v>
      </c>
      <c r="G135" s="1">
        <v>259766</v>
      </c>
      <c r="H135" s="1">
        <v>134038</v>
      </c>
      <c r="I135" s="1">
        <v>9780</v>
      </c>
      <c r="J135" s="1">
        <v>403584</v>
      </c>
      <c r="K135" s="1">
        <v>110775</v>
      </c>
      <c r="L135" s="1">
        <v>134962</v>
      </c>
      <c r="O135" s="1">
        <v>245737</v>
      </c>
      <c r="Q135" s="1">
        <v>1185685</v>
      </c>
      <c r="V135" s="1">
        <v>30227</v>
      </c>
      <c r="W135" s="1">
        <v>1215912</v>
      </c>
      <c r="X135" s="1">
        <v>924087</v>
      </c>
      <c r="Y135" s="1">
        <v>47611</v>
      </c>
      <c r="Z135" s="1">
        <v>181523</v>
      </c>
      <c r="AC135" s="1">
        <v>19638</v>
      </c>
      <c r="AD135" s="1">
        <v>109203</v>
      </c>
      <c r="AE135" s="1">
        <v>54884</v>
      </c>
      <c r="AG135" s="1">
        <v>1432869</v>
      </c>
      <c r="AH135" s="1">
        <v>2648781</v>
      </c>
      <c r="AI135" s="1">
        <v>3267</v>
      </c>
      <c r="AK135" s="1">
        <v>121763</v>
      </c>
      <c r="AL135" s="1">
        <v>32898</v>
      </c>
      <c r="AM135" s="1">
        <v>55326</v>
      </c>
      <c r="AN135" s="1">
        <v>23153</v>
      </c>
      <c r="AO135" s="1">
        <v>111377</v>
      </c>
      <c r="AP135" s="1">
        <v>233140</v>
      </c>
      <c r="AZ135" s="1">
        <v>3531242</v>
      </c>
      <c r="BE135" s="1">
        <v>35581</v>
      </c>
      <c r="BF135" s="1">
        <v>15664</v>
      </c>
      <c r="BI135" s="1">
        <v>73370</v>
      </c>
      <c r="BJ135" s="1">
        <v>45126</v>
      </c>
      <c r="BR135" s="1">
        <v>25432</v>
      </c>
      <c r="CF135" s="1">
        <v>19246</v>
      </c>
    </row>
    <row r="136" spans="1:108">
      <c r="A136" s="1">
        <v>5</v>
      </c>
      <c r="B136" s="1">
        <v>4050</v>
      </c>
      <c r="C136" s="1" t="s">
        <v>1623</v>
      </c>
      <c r="D136" s="1" t="s">
        <v>1262</v>
      </c>
      <c r="F136" s="1">
        <v>62665</v>
      </c>
      <c r="I136" s="1">
        <v>42191</v>
      </c>
      <c r="J136" s="1">
        <v>1117915</v>
      </c>
      <c r="K136" s="1">
        <v>2943242</v>
      </c>
      <c r="L136" s="1">
        <v>2750000</v>
      </c>
      <c r="N136" s="1">
        <v>2</v>
      </c>
      <c r="O136" s="1">
        <v>5693244</v>
      </c>
      <c r="Q136" s="1">
        <v>10532061</v>
      </c>
      <c r="S136" s="1">
        <v>1035401</v>
      </c>
      <c r="T136" s="1">
        <v>113889</v>
      </c>
      <c r="V136" s="1">
        <v>775504</v>
      </c>
      <c r="W136" s="1">
        <v>12456855</v>
      </c>
      <c r="X136" s="1">
        <v>30767039</v>
      </c>
      <c r="Y136" s="1">
        <v>2732774</v>
      </c>
      <c r="Z136" s="1">
        <v>5879753</v>
      </c>
      <c r="AA136" s="1">
        <v>52452</v>
      </c>
      <c r="AB136" s="1">
        <v>97506</v>
      </c>
      <c r="AC136" s="1">
        <v>619260</v>
      </c>
      <c r="AD136" s="1">
        <v>5823510</v>
      </c>
      <c r="AE136" s="1">
        <v>3113245</v>
      </c>
      <c r="AG136" s="1">
        <v>87689585</v>
      </c>
      <c r="AH136" s="1">
        <v>101262974</v>
      </c>
      <c r="AJ136" s="1">
        <v>5112</v>
      </c>
      <c r="AK136" s="1">
        <v>6439569</v>
      </c>
      <c r="AL136" s="1">
        <v>985675</v>
      </c>
      <c r="AM136" s="1">
        <v>1516530</v>
      </c>
      <c r="AN136" s="1">
        <v>895174</v>
      </c>
      <c r="AO136" s="1">
        <v>3397379</v>
      </c>
      <c r="AP136" s="1">
        <v>10275753</v>
      </c>
      <c r="AQ136" s="1">
        <v>504079</v>
      </c>
      <c r="AT136" s="1">
        <v>504079</v>
      </c>
      <c r="AU136" s="1">
        <v>949644</v>
      </c>
      <c r="AV136" s="1">
        <v>1453723</v>
      </c>
      <c r="AW136" s="1">
        <v>1453723</v>
      </c>
      <c r="AZ136" s="1">
        <v>120831450</v>
      </c>
      <c r="BA136" s="1">
        <v>800258</v>
      </c>
      <c r="BC136" s="1">
        <v>1035401</v>
      </c>
      <c r="BG136" s="1">
        <v>1040929</v>
      </c>
      <c r="BH136" s="1">
        <v>1116534</v>
      </c>
      <c r="BI136" s="1">
        <v>5141733</v>
      </c>
      <c r="BJ136" s="1">
        <v>1292724</v>
      </c>
      <c r="BR136" s="1">
        <v>1029280</v>
      </c>
      <c r="BY136" s="1">
        <v>1027841</v>
      </c>
      <c r="CA136" s="1">
        <v>75605</v>
      </c>
      <c r="CC136" s="1">
        <v>1027841</v>
      </c>
      <c r="CD136" s="1">
        <v>212801</v>
      </c>
      <c r="CF136" s="1">
        <v>2250521</v>
      </c>
      <c r="CN136" s="1">
        <v>35208</v>
      </c>
      <c r="CO136" s="1">
        <v>32423595</v>
      </c>
      <c r="CQ136" s="1">
        <v>438805</v>
      </c>
      <c r="DD136" s="1">
        <v>2900650</v>
      </c>
    </row>
    <row r="137" spans="1:108">
      <c r="A137" s="1">
        <v>5</v>
      </c>
      <c r="B137" s="1">
        <v>4320</v>
      </c>
      <c r="C137" s="1" t="s">
        <v>1623</v>
      </c>
      <c r="D137" s="1" t="s">
        <v>1263</v>
      </c>
      <c r="F137" s="1">
        <v>478544</v>
      </c>
      <c r="G137" s="1">
        <v>2862051</v>
      </c>
      <c r="H137" s="1">
        <v>2287667</v>
      </c>
      <c r="I137" s="1">
        <v>637831</v>
      </c>
      <c r="J137" s="1">
        <v>6266093</v>
      </c>
      <c r="K137" s="1">
        <v>587655</v>
      </c>
      <c r="L137" s="1">
        <v>309954</v>
      </c>
      <c r="M137" s="1">
        <v>432302</v>
      </c>
      <c r="N137" s="1">
        <v>48699</v>
      </c>
      <c r="O137" s="1">
        <v>1378610</v>
      </c>
      <c r="Q137" s="1">
        <v>14225203</v>
      </c>
      <c r="S137" s="1">
        <v>1262194</v>
      </c>
      <c r="U137" s="1">
        <v>37772</v>
      </c>
      <c r="V137" s="1">
        <v>471810</v>
      </c>
      <c r="W137" s="1">
        <v>15996979</v>
      </c>
      <c r="X137" s="1">
        <v>9642743</v>
      </c>
      <c r="Y137" s="1">
        <v>767018</v>
      </c>
      <c r="Z137" s="1">
        <v>2327207</v>
      </c>
      <c r="AA137" s="1">
        <v>22174</v>
      </c>
      <c r="AB137" s="1">
        <v>43163</v>
      </c>
      <c r="AC137" s="1">
        <v>165534</v>
      </c>
      <c r="AD137" s="1">
        <v>1578323</v>
      </c>
      <c r="AE137" s="1">
        <v>773689</v>
      </c>
      <c r="AG137" s="1">
        <v>15951977</v>
      </c>
      <c r="AH137" s="1">
        <v>31948956</v>
      </c>
      <c r="AI137" s="1">
        <v>46983</v>
      </c>
      <c r="AK137" s="1">
        <v>46983</v>
      </c>
      <c r="AL137" s="1">
        <v>86321</v>
      </c>
      <c r="AM137" s="1">
        <v>444834</v>
      </c>
      <c r="AN137" s="1">
        <v>89439</v>
      </c>
      <c r="AO137" s="1">
        <v>677738</v>
      </c>
      <c r="AP137" s="1">
        <v>724721</v>
      </c>
      <c r="AQ137" s="1">
        <v>761784</v>
      </c>
      <c r="AT137" s="1">
        <v>761784</v>
      </c>
      <c r="AU137" s="1">
        <v>883432</v>
      </c>
      <c r="AV137" s="1">
        <v>1668562</v>
      </c>
      <c r="AW137" s="1">
        <v>1668562</v>
      </c>
      <c r="AX137" s="1">
        <v>23346</v>
      </c>
      <c r="AY137" s="1">
        <v>-23346</v>
      </c>
      <c r="AZ137" s="1">
        <v>41986942</v>
      </c>
      <c r="BC137" s="1">
        <v>1262194</v>
      </c>
      <c r="BD137" s="1">
        <v>86603</v>
      </c>
      <c r="BE137" s="1">
        <v>391748</v>
      </c>
      <c r="BF137" s="1">
        <v>153775</v>
      </c>
      <c r="BL137" s="1">
        <v>23346</v>
      </c>
      <c r="BW137" s="1">
        <v>57144</v>
      </c>
    </row>
    <row r="138" spans="1:108">
      <c r="A138" s="1">
        <v>5</v>
      </c>
      <c r="B138" s="1">
        <v>4450</v>
      </c>
      <c r="C138" s="1" t="s">
        <v>1623</v>
      </c>
      <c r="D138" s="1" t="s">
        <v>1264</v>
      </c>
      <c r="F138" s="1">
        <v>79816</v>
      </c>
      <c r="G138" s="1">
        <v>111310</v>
      </c>
      <c r="I138" s="1">
        <v>20302</v>
      </c>
      <c r="J138" s="1">
        <v>211428</v>
      </c>
      <c r="K138" s="1">
        <v>291727</v>
      </c>
      <c r="L138" s="1">
        <v>600000</v>
      </c>
      <c r="M138" s="1">
        <v>89606</v>
      </c>
      <c r="N138" s="1">
        <v>53551</v>
      </c>
      <c r="O138" s="1">
        <v>1034884</v>
      </c>
      <c r="Q138" s="1">
        <v>6462457</v>
      </c>
      <c r="R138" s="1">
        <v>1463500</v>
      </c>
      <c r="S138" s="1">
        <v>1463500</v>
      </c>
      <c r="T138" s="1">
        <v>50259</v>
      </c>
      <c r="V138" s="1">
        <v>257389</v>
      </c>
      <c r="W138" s="1">
        <v>8233605</v>
      </c>
      <c r="X138" s="1">
        <v>4984408</v>
      </c>
      <c r="Y138" s="1">
        <v>153140</v>
      </c>
      <c r="Z138" s="1">
        <v>1593714</v>
      </c>
      <c r="AA138" s="1">
        <v>45426</v>
      </c>
      <c r="AB138" s="1">
        <v>17941</v>
      </c>
      <c r="AC138" s="1">
        <v>142417</v>
      </c>
      <c r="AD138" s="1">
        <v>1159138</v>
      </c>
      <c r="AE138" s="1">
        <v>613633</v>
      </c>
      <c r="AG138" s="1">
        <v>9039345</v>
      </c>
      <c r="AH138" s="1">
        <v>17272950</v>
      </c>
      <c r="AK138" s="1">
        <v>971735</v>
      </c>
      <c r="AL138" s="1">
        <v>369273</v>
      </c>
      <c r="AM138" s="1">
        <v>439210</v>
      </c>
      <c r="AN138" s="1">
        <v>72465</v>
      </c>
      <c r="AO138" s="1">
        <v>880948</v>
      </c>
      <c r="AP138" s="1">
        <v>1852683</v>
      </c>
      <c r="AQ138" s="1">
        <v>492042</v>
      </c>
      <c r="AT138" s="1">
        <v>492042</v>
      </c>
      <c r="AU138" s="1">
        <v>130380</v>
      </c>
      <c r="AV138" s="1">
        <v>631309</v>
      </c>
      <c r="AW138" s="1">
        <v>631309</v>
      </c>
      <c r="AX138" s="1">
        <v>8887</v>
      </c>
      <c r="AY138" s="1">
        <v>-8887</v>
      </c>
      <c r="AZ138" s="1">
        <v>21003254</v>
      </c>
      <c r="BE138" s="1">
        <v>236663</v>
      </c>
      <c r="BF138" s="1">
        <v>92865</v>
      </c>
      <c r="BI138" s="1">
        <v>694161</v>
      </c>
      <c r="BJ138" s="1">
        <v>277574</v>
      </c>
      <c r="BL138" s="1">
        <v>8887</v>
      </c>
    </row>
    <row r="139" spans="1:108">
      <c r="A139" s="1">
        <v>5</v>
      </c>
      <c r="B139" s="1">
        <v>4460</v>
      </c>
      <c r="C139" s="1" t="s">
        <v>1623</v>
      </c>
      <c r="D139" s="1" t="s">
        <v>1265</v>
      </c>
      <c r="F139" s="1">
        <v>66409</v>
      </c>
      <c r="G139" s="1">
        <v>20800</v>
      </c>
      <c r="J139" s="1">
        <v>87209</v>
      </c>
      <c r="K139" s="1">
        <v>100000</v>
      </c>
      <c r="O139" s="1">
        <v>100000</v>
      </c>
      <c r="Q139" s="1">
        <v>3666729</v>
      </c>
      <c r="V139" s="1">
        <v>71388</v>
      </c>
      <c r="W139" s="1">
        <v>3738117</v>
      </c>
      <c r="Y139" s="1">
        <v>15826</v>
      </c>
      <c r="Z139" s="1">
        <v>324706</v>
      </c>
      <c r="AA139" s="1">
        <v>13926</v>
      </c>
      <c r="AB139" s="1">
        <v>7348</v>
      </c>
      <c r="AC139" s="1">
        <v>36050</v>
      </c>
      <c r="AD139" s="1">
        <v>258413</v>
      </c>
      <c r="AE139" s="1">
        <v>128032</v>
      </c>
      <c r="AG139" s="1">
        <v>997328</v>
      </c>
      <c r="AH139" s="1">
        <v>4735445</v>
      </c>
      <c r="AI139" s="1">
        <v>9558</v>
      </c>
      <c r="AK139" s="1">
        <v>9558</v>
      </c>
      <c r="AL139" s="1">
        <v>19086</v>
      </c>
      <c r="AM139" s="1">
        <v>73517</v>
      </c>
      <c r="AN139" s="1">
        <v>12703</v>
      </c>
      <c r="AO139" s="1">
        <v>105306</v>
      </c>
      <c r="AP139" s="1">
        <v>114864</v>
      </c>
      <c r="AQ139" s="1">
        <v>139590</v>
      </c>
      <c r="AT139" s="1">
        <v>139590</v>
      </c>
      <c r="AV139" s="1">
        <v>139590</v>
      </c>
      <c r="AW139" s="1">
        <v>139590</v>
      </c>
      <c r="AZ139" s="1">
        <v>5177108</v>
      </c>
      <c r="BE139" s="1">
        <v>14559</v>
      </c>
      <c r="CF139" s="1">
        <v>198468</v>
      </c>
    </row>
    <row r="140" spans="1:108">
      <c r="A140" s="1">
        <v>5</v>
      </c>
      <c r="B140" s="1">
        <v>4740</v>
      </c>
      <c r="C140" s="1" t="s">
        <v>1623</v>
      </c>
      <c r="D140" s="1" t="s">
        <v>1266</v>
      </c>
      <c r="F140" s="1">
        <v>49589</v>
      </c>
      <c r="G140" s="1">
        <v>140587</v>
      </c>
      <c r="H140" s="1">
        <v>55485</v>
      </c>
      <c r="I140" s="1">
        <v>104752</v>
      </c>
      <c r="J140" s="1">
        <v>377143</v>
      </c>
      <c r="K140" s="1">
        <v>236357</v>
      </c>
      <c r="L140" s="1">
        <v>301026</v>
      </c>
      <c r="M140" s="1">
        <v>16185</v>
      </c>
      <c r="O140" s="1">
        <v>553568</v>
      </c>
      <c r="Q140" s="1">
        <v>6960215</v>
      </c>
      <c r="R140" s="1">
        <v>16588</v>
      </c>
      <c r="S140" s="1">
        <v>16588</v>
      </c>
      <c r="U140" s="1">
        <v>2797</v>
      </c>
      <c r="V140" s="1">
        <v>133254</v>
      </c>
      <c r="W140" s="1">
        <v>7112854</v>
      </c>
      <c r="X140" s="1">
        <v>1787691</v>
      </c>
      <c r="Y140" s="1">
        <v>299989</v>
      </c>
      <c r="Z140" s="1">
        <v>572668</v>
      </c>
      <c r="AA140" s="1">
        <v>18</v>
      </c>
      <c r="AB140" s="1">
        <v>10753</v>
      </c>
      <c r="AC140" s="1">
        <v>99187</v>
      </c>
      <c r="AD140" s="1">
        <v>774484</v>
      </c>
      <c r="AE140" s="1">
        <v>423330</v>
      </c>
      <c r="AG140" s="1">
        <v>5372204</v>
      </c>
      <c r="AH140" s="1">
        <v>12485058</v>
      </c>
      <c r="AJ140" s="1">
        <v>1300</v>
      </c>
      <c r="AK140" s="1">
        <v>1300</v>
      </c>
      <c r="AL140" s="1">
        <v>27221</v>
      </c>
      <c r="AM140" s="1">
        <v>181712</v>
      </c>
      <c r="AN140" s="1">
        <v>28524</v>
      </c>
      <c r="AO140" s="1">
        <v>237457</v>
      </c>
      <c r="AP140" s="1">
        <v>292609</v>
      </c>
      <c r="AQ140" s="1">
        <v>633312</v>
      </c>
      <c r="AT140" s="1">
        <v>633312</v>
      </c>
      <c r="AU140" s="1">
        <v>122099</v>
      </c>
      <c r="AV140" s="1">
        <v>760907</v>
      </c>
      <c r="AW140" s="1">
        <v>760907</v>
      </c>
      <c r="AZ140" s="1">
        <v>15226631</v>
      </c>
      <c r="BE140" s="1">
        <v>121174</v>
      </c>
      <c r="BF140" s="1">
        <v>3314</v>
      </c>
      <c r="BL140" s="1">
        <v>5496</v>
      </c>
      <c r="BR140" s="1">
        <v>656268</v>
      </c>
      <c r="BU140" s="1">
        <v>53852</v>
      </c>
      <c r="BV140" s="1">
        <v>53852</v>
      </c>
      <c r="BX140" s="1">
        <v>757346</v>
      </c>
      <c r="BY140" s="1">
        <v>757346</v>
      </c>
      <c r="CF140" s="1">
        <v>623328</v>
      </c>
      <c r="CL140" s="1">
        <v>26730</v>
      </c>
    </row>
    <row r="141" spans="1:108">
      <c r="A141" s="1">
        <v>5</v>
      </c>
      <c r="B141" s="1">
        <v>4930</v>
      </c>
      <c r="C141" s="1" t="s">
        <v>1623</v>
      </c>
      <c r="D141" s="1" t="s">
        <v>1267</v>
      </c>
      <c r="F141" s="1">
        <v>266470</v>
      </c>
      <c r="G141" s="1">
        <v>19637</v>
      </c>
      <c r="H141" s="1">
        <v>232378</v>
      </c>
      <c r="I141" s="1">
        <v>128203</v>
      </c>
      <c r="J141" s="1">
        <v>768951</v>
      </c>
      <c r="K141" s="1">
        <v>216715</v>
      </c>
      <c r="L141" s="1">
        <v>300047</v>
      </c>
      <c r="M141" s="1">
        <v>1209256</v>
      </c>
      <c r="N141" s="1">
        <v>45363</v>
      </c>
      <c r="O141" s="1">
        <v>1771381</v>
      </c>
      <c r="P141" s="1">
        <v>45692</v>
      </c>
      <c r="Q141" s="1">
        <v>8086179</v>
      </c>
      <c r="S141" s="1">
        <v>1600</v>
      </c>
      <c r="U141" s="1">
        <v>7437</v>
      </c>
      <c r="V141" s="1">
        <v>149912</v>
      </c>
      <c r="W141" s="1">
        <v>8245128</v>
      </c>
      <c r="X141" s="1">
        <v>1099667</v>
      </c>
      <c r="Y141" s="1">
        <v>412497</v>
      </c>
      <c r="Z141" s="1">
        <v>600765</v>
      </c>
      <c r="AA141" s="1">
        <v>1168</v>
      </c>
      <c r="AB141" s="1">
        <v>7435</v>
      </c>
      <c r="AC141" s="1">
        <v>92725</v>
      </c>
      <c r="AD141" s="1">
        <v>681013</v>
      </c>
      <c r="AE141" s="1">
        <v>419383</v>
      </c>
      <c r="AG141" s="1">
        <v>3375913</v>
      </c>
      <c r="AH141" s="1">
        <v>11666733</v>
      </c>
      <c r="AI141" s="1">
        <v>18951</v>
      </c>
      <c r="AJ141" s="1">
        <v>2275</v>
      </c>
      <c r="AK141" s="1">
        <v>21226</v>
      </c>
      <c r="AL141" s="1">
        <v>47363</v>
      </c>
      <c r="AM141" s="1">
        <v>190218</v>
      </c>
      <c r="AN141" s="1">
        <v>46847</v>
      </c>
      <c r="AO141" s="1">
        <v>284428</v>
      </c>
      <c r="AP141" s="1">
        <v>320250</v>
      </c>
      <c r="AQ141" s="1">
        <v>838422</v>
      </c>
      <c r="AS141" s="1">
        <v>763</v>
      </c>
      <c r="AT141" s="1">
        <v>839185</v>
      </c>
      <c r="AU141" s="1">
        <v>82932</v>
      </c>
      <c r="AV141" s="1">
        <v>922117</v>
      </c>
      <c r="AW141" s="1">
        <v>922117</v>
      </c>
      <c r="AZ141" s="1">
        <v>15450790</v>
      </c>
      <c r="BC141" s="1">
        <v>1600</v>
      </c>
      <c r="BE141" s="1">
        <v>55013</v>
      </c>
      <c r="BF141" s="1">
        <v>6247</v>
      </c>
      <c r="BU141" s="1">
        <v>14596</v>
      </c>
      <c r="BV141" s="1">
        <v>14596</v>
      </c>
      <c r="BY141" s="1">
        <v>1358</v>
      </c>
      <c r="CC141" s="1">
        <v>1358</v>
      </c>
      <c r="CL141" s="1">
        <v>122263</v>
      </c>
      <c r="DC141" s="1">
        <v>763</v>
      </c>
    </row>
    <row r="142" spans="1:108">
      <c r="A142" s="1">
        <v>5</v>
      </c>
      <c r="B142" s="1">
        <v>5010</v>
      </c>
      <c r="C142" s="1" t="s">
        <v>1623</v>
      </c>
      <c r="D142" s="1" t="s">
        <v>1268</v>
      </c>
      <c r="F142" s="1">
        <v>89599</v>
      </c>
      <c r="H142" s="1">
        <v>265679</v>
      </c>
      <c r="I142" s="1">
        <v>37298</v>
      </c>
      <c r="J142" s="1">
        <v>430020</v>
      </c>
      <c r="K142" s="1">
        <v>100000</v>
      </c>
      <c r="L142" s="1">
        <v>239304</v>
      </c>
      <c r="O142" s="1">
        <v>339304</v>
      </c>
      <c r="P142" s="1">
        <v>3064</v>
      </c>
      <c r="Q142" s="1">
        <v>2658899</v>
      </c>
      <c r="S142" s="1">
        <v>11000</v>
      </c>
      <c r="U142" s="1">
        <v>5676</v>
      </c>
      <c r="V142" s="1">
        <v>41718</v>
      </c>
      <c r="W142" s="1">
        <v>2717293</v>
      </c>
      <c r="X142" s="1">
        <v>465878</v>
      </c>
      <c r="Y142" s="1">
        <v>164276</v>
      </c>
      <c r="Z142" s="1">
        <v>510548</v>
      </c>
      <c r="AB142" s="1">
        <v>3392</v>
      </c>
      <c r="AC142" s="1">
        <v>36863</v>
      </c>
      <c r="AD142" s="1">
        <v>252608</v>
      </c>
      <c r="AE142" s="1">
        <v>140699</v>
      </c>
      <c r="AF142" s="1">
        <v>6156</v>
      </c>
      <c r="AG142" s="1">
        <v>1666878</v>
      </c>
      <c r="AH142" s="1">
        <v>4387235</v>
      </c>
      <c r="AI142" s="1">
        <v>10320</v>
      </c>
      <c r="AJ142" s="1">
        <v>14760</v>
      </c>
      <c r="AK142" s="1">
        <v>25080</v>
      </c>
      <c r="AL142" s="1">
        <v>13520</v>
      </c>
      <c r="AM142" s="1">
        <v>81769</v>
      </c>
      <c r="AN142" s="1">
        <v>7645</v>
      </c>
      <c r="AO142" s="1">
        <v>102934</v>
      </c>
      <c r="AP142" s="1">
        <v>128014</v>
      </c>
      <c r="AQ142" s="1">
        <v>158670</v>
      </c>
      <c r="AT142" s="1">
        <v>158670</v>
      </c>
      <c r="AU142" s="1">
        <v>68995</v>
      </c>
      <c r="AV142" s="1">
        <v>227665</v>
      </c>
      <c r="AW142" s="1">
        <v>227665</v>
      </c>
      <c r="AZ142" s="1">
        <v>5512238</v>
      </c>
      <c r="BC142" s="1">
        <v>11000</v>
      </c>
      <c r="BE142" s="1">
        <v>32390</v>
      </c>
      <c r="BR142" s="1">
        <v>54068</v>
      </c>
      <c r="CL142" s="1">
        <v>37444</v>
      </c>
    </row>
    <row r="143" spans="1:108">
      <c r="A143" s="1">
        <v>5</v>
      </c>
      <c r="B143" s="1">
        <v>5130</v>
      </c>
      <c r="C143" s="1" t="s">
        <v>1623</v>
      </c>
      <c r="D143" s="1" t="s">
        <v>1269</v>
      </c>
      <c r="F143" s="1">
        <v>24183</v>
      </c>
      <c r="G143" s="1">
        <v>679990</v>
      </c>
      <c r="H143" s="1">
        <v>557035</v>
      </c>
      <c r="I143" s="1">
        <v>1693</v>
      </c>
      <c r="J143" s="1">
        <v>1262901</v>
      </c>
      <c r="K143" s="1">
        <v>218573</v>
      </c>
      <c r="L143" s="1">
        <v>123093</v>
      </c>
      <c r="M143" s="1">
        <v>5437726</v>
      </c>
      <c r="N143" s="1">
        <v>104748</v>
      </c>
      <c r="O143" s="1">
        <v>5884140</v>
      </c>
      <c r="Q143" s="1">
        <v>5802533</v>
      </c>
      <c r="R143" s="1">
        <v>14964</v>
      </c>
      <c r="S143" s="1">
        <v>14964</v>
      </c>
      <c r="U143" s="1">
        <v>43</v>
      </c>
      <c r="V143" s="1">
        <v>98278</v>
      </c>
      <c r="W143" s="1">
        <v>5915818</v>
      </c>
      <c r="X143" s="1">
        <v>2023786</v>
      </c>
      <c r="Y143" s="1">
        <v>352847</v>
      </c>
      <c r="Z143" s="1">
        <v>642125</v>
      </c>
      <c r="AC143" s="1">
        <v>101820</v>
      </c>
      <c r="AD143" s="1">
        <v>1041168</v>
      </c>
      <c r="AE143" s="1">
        <v>443324</v>
      </c>
      <c r="AG143" s="1">
        <v>6984290</v>
      </c>
      <c r="AH143" s="1">
        <v>12981186</v>
      </c>
      <c r="AJ143" s="1">
        <v>16630</v>
      </c>
      <c r="AK143" s="1">
        <v>16630</v>
      </c>
      <c r="AL143" s="1">
        <v>41163</v>
      </c>
      <c r="AM143" s="1">
        <v>143310</v>
      </c>
      <c r="AN143" s="1">
        <v>32183</v>
      </c>
      <c r="AO143" s="1">
        <v>216656</v>
      </c>
      <c r="AP143" s="1">
        <v>233286</v>
      </c>
      <c r="AQ143" s="1">
        <v>709250</v>
      </c>
      <c r="AR143" s="1">
        <v>80845</v>
      </c>
      <c r="AS143" s="1">
        <v>80845</v>
      </c>
      <c r="AT143" s="1">
        <v>790095</v>
      </c>
      <c r="AU143" s="1">
        <v>124092</v>
      </c>
      <c r="AV143" s="1">
        <v>914187</v>
      </c>
      <c r="AW143" s="1">
        <v>914187</v>
      </c>
      <c r="AZ143" s="1">
        <v>21275700</v>
      </c>
      <c r="BE143" s="1">
        <v>160169</v>
      </c>
      <c r="BF143" s="1">
        <v>650</v>
      </c>
      <c r="BR143" s="1">
        <v>1386103</v>
      </c>
      <c r="CF143" s="1">
        <v>832298</v>
      </c>
      <c r="CG143" s="1">
        <v>81078</v>
      </c>
    </row>
    <row r="144" spans="1:108">
      <c r="A144" s="1">
        <v>5</v>
      </c>
      <c r="B144" s="1">
        <v>5490</v>
      </c>
      <c r="C144" s="1" t="s">
        <v>1623</v>
      </c>
      <c r="D144" s="1" t="s">
        <v>1270</v>
      </c>
      <c r="F144" s="1">
        <v>83035</v>
      </c>
      <c r="G144" s="1">
        <v>19800</v>
      </c>
      <c r="J144" s="1">
        <v>1495791</v>
      </c>
      <c r="K144" s="1">
        <v>101173</v>
      </c>
      <c r="L144" s="1">
        <v>41390</v>
      </c>
      <c r="M144" s="1">
        <v>20714</v>
      </c>
      <c r="O144" s="1">
        <v>163277</v>
      </c>
      <c r="Q144" s="1">
        <v>1237811</v>
      </c>
      <c r="S144" s="1">
        <v>22131</v>
      </c>
      <c r="V144" s="1">
        <v>15794</v>
      </c>
      <c r="W144" s="1">
        <v>1275736</v>
      </c>
      <c r="X144" s="1">
        <v>360238</v>
      </c>
      <c r="Y144" s="1">
        <v>83823</v>
      </c>
      <c r="Z144" s="1">
        <v>137244</v>
      </c>
      <c r="AB144" s="1">
        <v>3810</v>
      </c>
      <c r="AC144" s="1">
        <v>13934</v>
      </c>
      <c r="AD144" s="1">
        <v>112415</v>
      </c>
      <c r="AE144" s="1">
        <v>57518</v>
      </c>
      <c r="AG144" s="1">
        <v>858785</v>
      </c>
      <c r="AH144" s="1">
        <v>2134521</v>
      </c>
      <c r="AI144" s="1">
        <v>7040</v>
      </c>
      <c r="AJ144" s="1">
        <v>533</v>
      </c>
      <c r="AK144" s="1">
        <v>7573</v>
      </c>
      <c r="AL144" s="1">
        <v>10340</v>
      </c>
      <c r="AM144" s="1">
        <v>30268</v>
      </c>
      <c r="AN144" s="1">
        <v>445</v>
      </c>
      <c r="AO144" s="1">
        <v>41053</v>
      </c>
      <c r="AP144" s="1">
        <v>79714</v>
      </c>
      <c r="AZ144" s="1">
        <v>3873303</v>
      </c>
      <c r="BA144" s="1">
        <v>5100</v>
      </c>
      <c r="BC144" s="1">
        <v>22131</v>
      </c>
      <c r="BE144" s="1">
        <v>33236</v>
      </c>
      <c r="BF144" s="1">
        <v>6713</v>
      </c>
      <c r="BU144" s="1">
        <v>31088</v>
      </c>
      <c r="BV144" s="1">
        <v>31088</v>
      </c>
      <c r="CH144" s="1">
        <v>49854</v>
      </c>
      <c r="CL144" s="1">
        <v>1387856</v>
      </c>
    </row>
    <row r="145" spans="1:119">
      <c r="A145" s="1">
        <v>5</v>
      </c>
      <c r="B145" s="1">
        <v>5720</v>
      </c>
      <c r="C145" s="1" t="s">
        <v>1623</v>
      </c>
      <c r="D145" s="1" t="s">
        <v>1271</v>
      </c>
      <c r="F145" s="1">
        <v>115069</v>
      </c>
      <c r="G145" s="1">
        <v>186970</v>
      </c>
      <c r="J145" s="1">
        <v>302039</v>
      </c>
      <c r="K145" s="1">
        <v>203827</v>
      </c>
      <c r="L145" s="1">
        <v>400000</v>
      </c>
      <c r="M145" s="1">
        <v>2877503</v>
      </c>
      <c r="N145" s="1">
        <v>116557</v>
      </c>
      <c r="O145" s="1">
        <v>3597887</v>
      </c>
      <c r="Q145" s="1">
        <v>6859335</v>
      </c>
      <c r="V145" s="1">
        <v>114701</v>
      </c>
      <c r="W145" s="1">
        <v>6974036</v>
      </c>
      <c r="X145" s="1">
        <v>1974282</v>
      </c>
      <c r="Y145" s="1">
        <v>295866</v>
      </c>
      <c r="Z145" s="1">
        <v>469455</v>
      </c>
      <c r="AB145" s="1">
        <v>8686</v>
      </c>
      <c r="AC145" s="1">
        <v>109210</v>
      </c>
      <c r="AD145" s="1">
        <v>673921</v>
      </c>
      <c r="AE145" s="1">
        <v>398051</v>
      </c>
      <c r="AG145" s="1">
        <v>4687624</v>
      </c>
      <c r="AH145" s="1">
        <v>11661660</v>
      </c>
      <c r="AJ145" s="1">
        <v>51771</v>
      </c>
      <c r="AK145" s="1">
        <v>51771</v>
      </c>
      <c r="AL145" s="1">
        <v>38846</v>
      </c>
      <c r="AM145" s="1">
        <v>232627</v>
      </c>
      <c r="AN145" s="1">
        <v>19348</v>
      </c>
      <c r="AO145" s="1">
        <v>290821</v>
      </c>
      <c r="AP145" s="1">
        <v>342592</v>
      </c>
      <c r="AQ145" s="1">
        <v>882417</v>
      </c>
      <c r="AT145" s="1">
        <v>882417</v>
      </c>
      <c r="AU145" s="1">
        <v>317632</v>
      </c>
      <c r="AV145" s="1">
        <v>1312584</v>
      </c>
      <c r="AW145" s="1">
        <v>1312584</v>
      </c>
      <c r="AX145" s="1">
        <v>112535</v>
      </c>
      <c r="AZ145" s="1">
        <v>17329297</v>
      </c>
      <c r="BE145" s="1">
        <v>97974</v>
      </c>
      <c r="BF145" s="1">
        <v>9396</v>
      </c>
      <c r="BL145" s="1">
        <v>112535</v>
      </c>
      <c r="BR145" s="1">
        <v>524591</v>
      </c>
      <c r="BY145" s="1">
        <v>112535</v>
      </c>
      <c r="CF145" s="1">
        <v>126192</v>
      </c>
    </row>
    <row r="146" spans="1:119">
      <c r="A146" s="1">
        <v>5</v>
      </c>
      <c r="B146" s="1">
        <v>5805</v>
      </c>
      <c r="C146" s="1" t="s">
        <v>1623</v>
      </c>
      <c r="D146" s="1" t="s">
        <v>1272</v>
      </c>
      <c r="K146" s="1">
        <v>1027985</v>
      </c>
      <c r="M146" s="1">
        <v>1420223</v>
      </c>
      <c r="N146" s="1">
        <v>464</v>
      </c>
      <c r="O146" s="1">
        <v>2448672</v>
      </c>
      <c r="P146" s="1">
        <v>6518</v>
      </c>
      <c r="Q146" s="1">
        <v>28203052</v>
      </c>
      <c r="R146" s="1">
        <v>333934</v>
      </c>
      <c r="S146" s="1">
        <v>333934</v>
      </c>
      <c r="W146" s="1">
        <v>29493077</v>
      </c>
      <c r="X146" s="1">
        <v>22571491</v>
      </c>
      <c r="Y146" s="1">
        <v>1483420</v>
      </c>
      <c r="Z146" s="1">
        <v>4519700</v>
      </c>
      <c r="AA146" s="1">
        <v>33818</v>
      </c>
      <c r="AB146" s="1">
        <v>115239</v>
      </c>
      <c r="AC146" s="1">
        <v>592049</v>
      </c>
      <c r="AD146" s="1">
        <v>6689447</v>
      </c>
      <c r="AE146" s="1">
        <v>2065876</v>
      </c>
      <c r="AG146" s="1">
        <v>41957761</v>
      </c>
      <c r="AH146" s="1">
        <v>71462372</v>
      </c>
      <c r="AJ146" s="1">
        <v>453709</v>
      </c>
      <c r="AK146" s="1">
        <v>4206850</v>
      </c>
      <c r="AL146" s="1">
        <v>633664</v>
      </c>
      <c r="AM146" s="1">
        <v>1073567</v>
      </c>
      <c r="AN146" s="1">
        <v>1174834</v>
      </c>
      <c r="AO146" s="1">
        <v>3035777</v>
      </c>
      <c r="AP146" s="1">
        <v>7244599</v>
      </c>
      <c r="AQ146" s="1">
        <v>559815</v>
      </c>
      <c r="AT146" s="1">
        <v>559815</v>
      </c>
      <c r="AU146" s="1">
        <v>562435</v>
      </c>
      <c r="AV146" s="1">
        <v>1122250</v>
      </c>
      <c r="AW146" s="1">
        <v>1122250</v>
      </c>
      <c r="AX146" s="1">
        <v>11753</v>
      </c>
      <c r="AZ146" s="1">
        <v>82289646</v>
      </c>
      <c r="BE146" s="1">
        <v>1084301</v>
      </c>
      <c r="BF146" s="1">
        <v>444523</v>
      </c>
      <c r="BH146" s="1">
        <v>5016</v>
      </c>
      <c r="BI146" s="1">
        <v>1930678</v>
      </c>
      <c r="BJ146" s="1">
        <v>1822463</v>
      </c>
      <c r="BQ146" s="1">
        <v>956091</v>
      </c>
      <c r="BU146" s="1">
        <v>1972</v>
      </c>
      <c r="BV146" s="1">
        <v>1972</v>
      </c>
      <c r="BW146" s="1">
        <v>153712</v>
      </c>
      <c r="BY146" s="1">
        <v>11753</v>
      </c>
      <c r="CA146" s="1">
        <v>5016</v>
      </c>
      <c r="CF146" s="1">
        <v>2357897</v>
      </c>
    </row>
    <row r="147" spans="1:119">
      <c r="A147" s="1">
        <v>5</v>
      </c>
      <c r="B147" s="1">
        <v>5890</v>
      </c>
      <c r="C147" s="1" t="s">
        <v>1623</v>
      </c>
      <c r="D147" s="1" t="s">
        <v>1273</v>
      </c>
      <c r="F147" s="1">
        <v>7625</v>
      </c>
      <c r="G147" s="1">
        <v>89087</v>
      </c>
      <c r="H147" s="1">
        <v>96848</v>
      </c>
      <c r="I147" s="1">
        <v>1</v>
      </c>
      <c r="J147" s="1">
        <v>193561</v>
      </c>
      <c r="K147" s="1">
        <v>100168</v>
      </c>
      <c r="L147" s="1">
        <v>28096</v>
      </c>
      <c r="O147" s="1">
        <v>128264</v>
      </c>
      <c r="Q147" s="1">
        <v>1371804</v>
      </c>
      <c r="V147" s="1">
        <v>18591</v>
      </c>
      <c r="W147" s="1">
        <v>1390395</v>
      </c>
      <c r="Y147" s="1">
        <v>70150</v>
      </c>
      <c r="Z147" s="1">
        <v>114839</v>
      </c>
      <c r="AC147" s="1">
        <v>15690</v>
      </c>
      <c r="AD147" s="1">
        <v>191879</v>
      </c>
      <c r="AE147" s="1">
        <v>74551</v>
      </c>
      <c r="AG147" s="1">
        <v>1109633</v>
      </c>
      <c r="AH147" s="1">
        <v>2555893</v>
      </c>
      <c r="AI147" s="1">
        <v>5523</v>
      </c>
      <c r="AK147" s="1">
        <v>5523</v>
      </c>
      <c r="AL147" s="1">
        <v>14260</v>
      </c>
      <c r="AM147" s="1">
        <v>38732</v>
      </c>
      <c r="AN147" s="1">
        <v>29461</v>
      </c>
      <c r="AO147" s="1">
        <v>82453</v>
      </c>
      <c r="AP147" s="1">
        <v>87976</v>
      </c>
      <c r="AZ147" s="1">
        <v>2965694</v>
      </c>
      <c r="BE147" s="1">
        <v>24713</v>
      </c>
      <c r="BF147" s="1">
        <v>232</v>
      </c>
      <c r="BR147" s="1">
        <v>617579</v>
      </c>
      <c r="CG147" s="1">
        <v>55865</v>
      </c>
    </row>
    <row r="148" spans="1:119">
      <c r="A148" s="1">
        <v>7</v>
      </c>
      <c r="B148" s="1">
        <v>150</v>
      </c>
      <c r="C148" s="1" t="s">
        <v>1274</v>
      </c>
      <c r="D148" s="1" t="s">
        <v>1275</v>
      </c>
      <c r="H148" s="1">
        <v>105546</v>
      </c>
      <c r="I148" s="1">
        <v>26277</v>
      </c>
      <c r="J148" s="1">
        <v>131823</v>
      </c>
      <c r="K148" s="1">
        <v>347454</v>
      </c>
      <c r="L148" s="1">
        <v>121300</v>
      </c>
      <c r="M148" s="1">
        <v>39652</v>
      </c>
      <c r="O148" s="1">
        <v>508406</v>
      </c>
      <c r="Q148" s="1">
        <v>8500527</v>
      </c>
      <c r="S148" s="1">
        <v>3519748</v>
      </c>
      <c r="U148" s="1">
        <v>1127</v>
      </c>
      <c r="V148" s="1">
        <v>98214</v>
      </c>
      <c r="W148" s="1">
        <v>12119616</v>
      </c>
      <c r="X148" s="1">
        <v>4414691</v>
      </c>
      <c r="Y148" s="1">
        <v>57489</v>
      </c>
      <c r="Z148" s="1">
        <v>866056</v>
      </c>
      <c r="AA148" s="1">
        <v>4654</v>
      </c>
      <c r="AB148" s="1">
        <v>15294</v>
      </c>
      <c r="AC148" s="1">
        <v>143845</v>
      </c>
      <c r="AD148" s="1">
        <v>1429971</v>
      </c>
      <c r="AE148" s="1">
        <v>718177</v>
      </c>
      <c r="AG148" s="1">
        <v>7952217</v>
      </c>
      <c r="AH148" s="1">
        <v>20126833</v>
      </c>
      <c r="AI148" s="1">
        <v>39597</v>
      </c>
      <c r="AJ148" s="1">
        <v>24981</v>
      </c>
      <c r="AK148" s="1">
        <v>64578</v>
      </c>
      <c r="AL148" s="1">
        <v>116148</v>
      </c>
      <c r="AM148" s="1">
        <v>341653</v>
      </c>
      <c r="AN148" s="1">
        <v>61958</v>
      </c>
      <c r="AO148" s="1">
        <v>519759</v>
      </c>
      <c r="AP148" s="1">
        <v>584337</v>
      </c>
      <c r="AQ148" s="1">
        <v>969406</v>
      </c>
      <c r="AS148" s="1">
        <v>65285</v>
      </c>
      <c r="AT148" s="1">
        <v>1034691</v>
      </c>
      <c r="AU148" s="1">
        <v>162359</v>
      </c>
      <c r="AV148" s="1">
        <v>1207225</v>
      </c>
      <c r="AW148" s="1">
        <v>1207225</v>
      </c>
      <c r="AX148" s="1">
        <v>10175</v>
      </c>
      <c r="AZ148" s="1">
        <v>22598245</v>
      </c>
      <c r="BC148" s="1">
        <v>3519748</v>
      </c>
      <c r="BE148" s="1">
        <v>135467</v>
      </c>
      <c r="BF148" s="1">
        <v>2484</v>
      </c>
      <c r="BL148" s="1">
        <v>10175</v>
      </c>
      <c r="BR148" s="1">
        <v>164089</v>
      </c>
      <c r="BY148" s="1">
        <v>39621</v>
      </c>
      <c r="CC148" s="1">
        <v>29446</v>
      </c>
      <c r="CG148" s="1">
        <v>55000</v>
      </c>
      <c r="DC148" s="1">
        <v>65285</v>
      </c>
    </row>
    <row r="149" spans="1:119">
      <c r="A149" s="1">
        <v>7</v>
      </c>
      <c r="B149" s="1">
        <v>160</v>
      </c>
      <c r="C149" s="1" t="s">
        <v>1274</v>
      </c>
      <c r="D149" s="1" t="s">
        <v>1276</v>
      </c>
      <c r="G149" s="1">
        <v>20086</v>
      </c>
      <c r="H149" s="1">
        <v>160494</v>
      </c>
      <c r="J149" s="1">
        <v>180580</v>
      </c>
      <c r="K149" s="1">
        <v>100000</v>
      </c>
      <c r="L149" s="1">
        <v>73000</v>
      </c>
      <c r="O149" s="1">
        <v>173000</v>
      </c>
      <c r="Q149" s="1">
        <v>49967</v>
      </c>
      <c r="V149" s="1">
        <v>11648</v>
      </c>
      <c r="W149" s="1">
        <v>61615</v>
      </c>
      <c r="X149" s="1">
        <v>984201</v>
      </c>
      <c r="Y149" s="1">
        <v>10087</v>
      </c>
      <c r="Z149" s="1">
        <v>114606</v>
      </c>
      <c r="AC149" s="1">
        <v>17775</v>
      </c>
      <c r="AG149" s="1">
        <v>1458462</v>
      </c>
      <c r="AH149" s="1">
        <v>1520077</v>
      </c>
      <c r="AZ149" s="1">
        <v>1873657</v>
      </c>
      <c r="BE149" s="1">
        <v>42479</v>
      </c>
      <c r="BR149" s="1">
        <v>48507</v>
      </c>
      <c r="CF149" s="1">
        <v>240807</v>
      </c>
      <c r="CJ149" s="1">
        <v>233494</v>
      </c>
    </row>
    <row r="150" spans="1:119">
      <c r="A150" s="1">
        <v>7</v>
      </c>
      <c r="B150" s="1">
        <v>190</v>
      </c>
      <c r="C150" s="1" t="s">
        <v>1274</v>
      </c>
      <c r="D150" s="1" t="s">
        <v>1277</v>
      </c>
      <c r="F150" s="1">
        <v>22100</v>
      </c>
      <c r="G150" s="1">
        <v>770228</v>
      </c>
      <c r="I150" s="1">
        <v>41651</v>
      </c>
      <c r="J150" s="1">
        <v>833979</v>
      </c>
      <c r="K150" s="1">
        <v>283928</v>
      </c>
      <c r="L150" s="1">
        <v>560000</v>
      </c>
      <c r="M150" s="1">
        <v>468886</v>
      </c>
      <c r="N150" s="1">
        <v>164666</v>
      </c>
      <c r="O150" s="1">
        <v>1477480</v>
      </c>
      <c r="Q150" s="1">
        <v>7933863</v>
      </c>
      <c r="R150" s="1">
        <v>3362</v>
      </c>
      <c r="S150" s="1">
        <v>3362</v>
      </c>
      <c r="U150" s="1">
        <v>2234</v>
      </c>
      <c r="V150" s="1">
        <v>145313</v>
      </c>
      <c r="W150" s="1">
        <v>8084772</v>
      </c>
      <c r="X150" s="1">
        <v>1059771</v>
      </c>
      <c r="Y150" s="1">
        <v>155437</v>
      </c>
      <c r="Z150" s="1">
        <v>856720</v>
      </c>
      <c r="AA150" s="1">
        <v>1186</v>
      </c>
      <c r="AB150" s="1">
        <v>43168</v>
      </c>
      <c r="AC150" s="1">
        <v>100065</v>
      </c>
      <c r="AD150" s="1">
        <v>557572</v>
      </c>
      <c r="AE150" s="1">
        <v>249582</v>
      </c>
      <c r="AF150" s="1">
        <v>3807</v>
      </c>
      <c r="AG150" s="1">
        <v>3722852</v>
      </c>
      <c r="AH150" s="1">
        <v>11807624</v>
      </c>
      <c r="AI150" s="1">
        <v>18867</v>
      </c>
      <c r="AJ150" s="1">
        <v>297263</v>
      </c>
      <c r="AK150" s="1">
        <v>316130</v>
      </c>
      <c r="AL150" s="1">
        <v>44510</v>
      </c>
      <c r="AM150" s="1">
        <v>202592</v>
      </c>
      <c r="AN150" s="1">
        <v>22806</v>
      </c>
      <c r="AO150" s="1">
        <v>269908</v>
      </c>
      <c r="AP150" s="1">
        <v>586038</v>
      </c>
      <c r="AQ150" s="1">
        <v>397733</v>
      </c>
      <c r="AT150" s="1">
        <v>397733</v>
      </c>
      <c r="AU150" s="1">
        <v>17174</v>
      </c>
      <c r="AV150" s="1">
        <v>492887</v>
      </c>
      <c r="AW150" s="1">
        <v>492887</v>
      </c>
      <c r="AZ150" s="1">
        <v>15198226</v>
      </c>
      <c r="BE150" s="1">
        <v>88016</v>
      </c>
      <c r="BM150" s="1">
        <v>77980</v>
      </c>
      <c r="BY150" s="1">
        <v>218</v>
      </c>
      <c r="CC150" s="1">
        <v>218</v>
      </c>
      <c r="CF150" s="1">
        <v>607528</v>
      </c>
    </row>
    <row r="151" spans="1:119">
      <c r="A151" s="1">
        <v>7</v>
      </c>
      <c r="B151" s="1">
        <v>260</v>
      </c>
      <c r="C151" s="1" t="s">
        <v>1274</v>
      </c>
      <c r="D151" s="1" t="s">
        <v>1278</v>
      </c>
      <c r="F151" s="1">
        <v>17227</v>
      </c>
      <c r="G151" s="1">
        <v>10389</v>
      </c>
      <c r="H151" s="1">
        <v>216011</v>
      </c>
      <c r="I151" s="1">
        <v>142886</v>
      </c>
      <c r="J151" s="1">
        <v>386513</v>
      </c>
      <c r="K151" s="1">
        <v>191360</v>
      </c>
      <c r="L151" s="1">
        <v>157561</v>
      </c>
      <c r="M151" s="1">
        <v>13857</v>
      </c>
      <c r="O151" s="1">
        <v>362778</v>
      </c>
      <c r="Q151" s="1">
        <v>7035727</v>
      </c>
      <c r="V151" s="1">
        <v>112802</v>
      </c>
      <c r="W151" s="1">
        <v>7148529</v>
      </c>
      <c r="X151" s="1">
        <v>1808143</v>
      </c>
      <c r="Y151" s="1">
        <v>90717</v>
      </c>
      <c r="Z151" s="1">
        <v>657252</v>
      </c>
      <c r="AA151" s="1">
        <v>8194</v>
      </c>
      <c r="AB151" s="1">
        <v>9154</v>
      </c>
      <c r="AC151" s="1">
        <v>104673</v>
      </c>
      <c r="AD151" s="1">
        <v>1108708</v>
      </c>
      <c r="AE151" s="1">
        <v>426145</v>
      </c>
      <c r="AG151" s="1">
        <v>4564204</v>
      </c>
      <c r="AH151" s="1">
        <v>11713940</v>
      </c>
      <c r="AJ151" s="1">
        <v>160913</v>
      </c>
      <c r="AK151" s="1">
        <v>943405</v>
      </c>
      <c r="AL151" s="1">
        <v>299583</v>
      </c>
      <c r="AM151" s="1">
        <v>273241</v>
      </c>
      <c r="AN151" s="1">
        <v>52136</v>
      </c>
      <c r="AO151" s="1">
        <v>624960</v>
      </c>
      <c r="AP151" s="1">
        <v>1940649</v>
      </c>
      <c r="AQ151" s="1">
        <v>204856</v>
      </c>
      <c r="AT151" s="1">
        <v>204856</v>
      </c>
      <c r="AU151" s="1">
        <v>29182</v>
      </c>
      <c r="AV151" s="1">
        <v>387128</v>
      </c>
      <c r="AW151" s="1">
        <v>387128</v>
      </c>
      <c r="AZ151" s="1">
        <v>14791008</v>
      </c>
      <c r="BE151" s="1">
        <v>108230</v>
      </c>
      <c r="BF151" s="1">
        <v>91640</v>
      </c>
      <c r="BH151" s="1">
        <v>1207</v>
      </c>
      <c r="BI151" s="1">
        <v>478952</v>
      </c>
      <c r="BJ151" s="1">
        <v>303540</v>
      </c>
      <c r="BL151" s="1">
        <v>153090</v>
      </c>
      <c r="BR151" s="1">
        <v>24959</v>
      </c>
      <c r="CA151" s="1">
        <v>1207</v>
      </c>
      <c r="CF151" s="1">
        <v>126389</v>
      </c>
      <c r="CQ151" s="1">
        <v>372284</v>
      </c>
      <c r="DB151" s="1">
        <v>142886</v>
      </c>
    </row>
    <row r="152" spans="1:119">
      <c r="A152" s="1">
        <v>7</v>
      </c>
      <c r="B152" s="1">
        <v>330</v>
      </c>
      <c r="C152" s="1" t="s">
        <v>1274</v>
      </c>
      <c r="D152" s="1" t="s">
        <v>1279</v>
      </c>
      <c r="G152" s="1">
        <v>126003</v>
      </c>
      <c r="H152" s="1">
        <v>281504</v>
      </c>
      <c r="J152" s="1">
        <v>407507</v>
      </c>
      <c r="K152" s="1">
        <v>181858</v>
      </c>
      <c r="L152" s="1">
        <v>45005</v>
      </c>
      <c r="M152" s="1">
        <v>451652</v>
      </c>
      <c r="N152" s="1">
        <v>24086</v>
      </c>
      <c r="O152" s="1">
        <v>702601</v>
      </c>
      <c r="Q152" s="1">
        <v>5332390</v>
      </c>
      <c r="V152" s="1">
        <v>54482</v>
      </c>
      <c r="W152" s="1">
        <v>5386872</v>
      </c>
      <c r="X152" s="1">
        <v>1671602</v>
      </c>
      <c r="Y152" s="1">
        <v>219610</v>
      </c>
      <c r="Z152" s="1">
        <v>629403</v>
      </c>
      <c r="AA152" s="1">
        <v>13944</v>
      </c>
      <c r="AB152" s="1">
        <v>18425</v>
      </c>
      <c r="AC152" s="1">
        <v>87557</v>
      </c>
      <c r="AD152" s="1">
        <v>612497</v>
      </c>
      <c r="AE152" s="1">
        <v>318181</v>
      </c>
      <c r="AG152" s="1">
        <v>3651178</v>
      </c>
      <c r="AH152" s="1">
        <v>9038050</v>
      </c>
      <c r="AI152" s="1">
        <v>13005</v>
      </c>
      <c r="AJ152" s="1">
        <v>218174</v>
      </c>
      <c r="AK152" s="1">
        <v>231179</v>
      </c>
      <c r="AL152" s="1">
        <v>64878</v>
      </c>
      <c r="AM152" s="1">
        <v>186266</v>
      </c>
      <c r="AN152" s="1">
        <v>36160</v>
      </c>
      <c r="AO152" s="1">
        <v>287304</v>
      </c>
      <c r="AP152" s="1">
        <v>518483</v>
      </c>
      <c r="AQ152" s="1">
        <v>551723</v>
      </c>
      <c r="AR152" s="1">
        <v>21043</v>
      </c>
      <c r="AS152" s="1">
        <v>21043</v>
      </c>
      <c r="AT152" s="1">
        <v>572766</v>
      </c>
      <c r="AU152" s="1">
        <v>171493</v>
      </c>
      <c r="AV152" s="1">
        <v>744259</v>
      </c>
      <c r="AW152" s="1">
        <v>744259</v>
      </c>
      <c r="AZ152" s="1">
        <v>11410900</v>
      </c>
      <c r="BE152" s="1">
        <v>79054</v>
      </c>
      <c r="BF152" s="1">
        <v>905</v>
      </c>
    </row>
    <row r="153" spans="1:119">
      <c r="A153" s="1">
        <v>7</v>
      </c>
      <c r="B153" s="1">
        <v>340</v>
      </c>
      <c r="C153" s="1" t="s">
        <v>1274</v>
      </c>
      <c r="D153" s="1" t="s">
        <v>1280</v>
      </c>
      <c r="F153" s="1">
        <v>374965</v>
      </c>
      <c r="G153" s="1">
        <v>286895</v>
      </c>
      <c r="J153" s="1">
        <v>761860</v>
      </c>
      <c r="K153" s="1">
        <v>227887</v>
      </c>
      <c r="L153" s="1">
        <v>159270</v>
      </c>
      <c r="O153" s="1">
        <v>387157</v>
      </c>
      <c r="Q153" s="1">
        <v>7379482</v>
      </c>
      <c r="R153" s="1">
        <v>36842</v>
      </c>
      <c r="S153" s="1">
        <v>36842</v>
      </c>
      <c r="V153" s="1">
        <v>601157</v>
      </c>
      <c r="W153" s="1">
        <v>8017481</v>
      </c>
      <c r="X153" s="1">
        <v>2278004</v>
      </c>
      <c r="Y153" s="1">
        <v>408283</v>
      </c>
      <c r="Z153" s="1">
        <v>441292</v>
      </c>
      <c r="AA153" s="1">
        <v>24466</v>
      </c>
      <c r="AB153" s="1">
        <v>10565</v>
      </c>
      <c r="AC153" s="1">
        <v>108623</v>
      </c>
      <c r="AD153" s="1">
        <v>576344</v>
      </c>
      <c r="AE153" s="1">
        <v>334889</v>
      </c>
      <c r="AG153" s="1">
        <v>5020195</v>
      </c>
      <c r="AH153" s="1">
        <v>13037676</v>
      </c>
      <c r="AJ153" s="1">
        <v>6325</v>
      </c>
      <c r="AK153" s="1">
        <v>537429</v>
      </c>
      <c r="AL153" s="1">
        <v>183639</v>
      </c>
      <c r="AM153" s="1">
        <v>175997</v>
      </c>
      <c r="AN153" s="1">
        <v>70499</v>
      </c>
      <c r="AO153" s="1">
        <v>430135</v>
      </c>
      <c r="AP153" s="1">
        <v>967564</v>
      </c>
      <c r="AQ153" s="1">
        <v>329455</v>
      </c>
      <c r="AT153" s="1">
        <v>329455</v>
      </c>
      <c r="AU153" s="1">
        <v>204751</v>
      </c>
      <c r="AV153" s="1">
        <v>534206</v>
      </c>
      <c r="AW153" s="1">
        <v>534206</v>
      </c>
      <c r="AZ153" s="1">
        <v>15688463</v>
      </c>
      <c r="BE153" s="1">
        <v>134682</v>
      </c>
      <c r="BF153" s="1">
        <v>3192</v>
      </c>
      <c r="BI153" s="1">
        <v>323662</v>
      </c>
      <c r="BJ153" s="1">
        <v>207442</v>
      </c>
      <c r="BR153" s="1">
        <v>699855</v>
      </c>
      <c r="CD153" s="1">
        <v>100000</v>
      </c>
    </row>
    <row r="154" spans="1:119">
      <c r="A154" s="1">
        <v>7</v>
      </c>
      <c r="B154" s="1">
        <v>390</v>
      </c>
      <c r="C154" s="1" t="s">
        <v>1274</v>
      </c>
      <c r="D154" s="1" t="s">
        <v>1281</v>
      </c>
      <c r="F154" s="1">
        <v>986274</v>
      </c>
      <c r="G154" s="1">
        <v>456212</v>
      </c>
      <c r="H154" s="1">
        <v>1154071</v>
      </c>
      <c r="I154" s="1">
        <v>1</v>
      </c>
      <c r="J154" s="1">
        <v>3467926</v>
      </c>
      <c r="K154" s="1">
        <v>1063820</v>
      </c>
      <c r="L154" s="1">
        <v>1951990</v>
      </c>
      <c r="N154" s="1">
        <v>85775</v>
      </c>
      <c r="O154" s="1">
        <v>3101585</v>
      </c>
      <c r="Q154" s="1">
        <v>27733018</v>
      </c>
      <c r="T154" s="1">
        <v>330164</v>
      </c>
      <c r="V154" s="1">
        <v>577024</v>
      </c>
      <c r="W154" s="1">
        <v>28640206</v>
      </c>
      <c r="X154" s="1">
        <v>16925545</v>
      </c>
      <c r="Y154" s="1">
        <v>1616934</v>
      </c>
      <c r="Z154" s="1">
        <v>2310624</v>
      </c>
      <c r="AA154" s="1">
        <v>16352</v>
      </c>
      <c r="AC154" s="1">
        <v>454460</v>
      </c>
      <c r="AD154" s="1">
        <v>3113735</v>
      </c>
      <c r="AE154" s="1">
        <v>1546025</v>
      </c>
      <c r="AG154" s="1">
        <v>30119312</v>
      </c>
      <c r="AH154" s="1">
        <v>58759518</v>
      </c>
      <c r="AI154" s="1">
        <v>88137</v>
      </c>
      <c r="AK154" s="1">
        <v>88137</v>
      </c>
      <c r="AL154" s="1">
        <v>107714</v>
      </c>
      <c r="AM154" s="1">
        <v>727251</v>
      </c>
      <c r="AN154" s="1">
        <v>71830</v>
      </c>
      <c r="AO154" s="1">
        <v>971176</v>
      </c>
      <c r="AP154" s="1">
        <v>1059313</v>
      </c>
      <c r="AQ154" s="1">
        <v>1806378</v>
      </c>
      <c r="AT154" s="1">
        <v>1806378</v>
      </c>
      <c r="AU154" s="1">
        <v>1910811</v>
      </c>
      <c r="AV154" s="1">
        <v>3717189</v>
      </c>
      <c r="AW154" s="1">
        <v>3717189</v>
      </c>
      <c r="AZ154" s="1">
        <v>70105531</v>
      </c>
      <c r="BA154" s="1">
        <v>871368</v>
      </c>
      <c r="BE154" s="1">
        <v>734512</v>
      </c>
      <c r="BF154" s="1">
        <v>329444</v>
      </c>
      <c r="BK154" s="1">
        <v>64381</v>
      </c>
      <c r="BR154" s="1">
        <v>276936</v>
      </c>
      <c r="CF154" s="1">
        <v>2794745</v>
      </c>
    </row>
    <row r="155" spans="1:119">
      <c r="A155" s="1">
        <v>7</v>
      </c>
      <c r="B155" s="1">
        <v>580</v>
      </c>
      <c r="C155" s="1" t="s">
        <v>1274</v>
      </c>
      <c r="D155" s="1" t="s">
        <v>1282</v>
      </c>
      <c r="G155" s="1">
        <v>110698</v>
      </c>
      <c r="I155" s="1">
        <v>1</v>
      </c>
      <c r="J155" s="1">
        <v>185699</v>
      </c>
      <c r="K155" s="1">
        <v>100000</v>
      </c>
      <c r="L155" s="1">
        <v>112846</v>
      </c>
      <c r="M155" s="1">
        <v>572241</v>
      </c>
      <c r="N155" s="1">
        <v>6786</v>
      </c>
      <c r="O155" s="1">
        <v>791873</v>
      </c>
      <c r="Q155" s="1">
        <v>1017497</v>
      </c>
      <c r="V155" s="1">
        <v>172149</v>
      </c>
      <c r="W155" s="1">
        <v>1189646</v>
      </c>
      <c r="X155" s="1">
        <v>1387532</v>
      </c>
      <c r="Y155" s="1">
        <v>30915</v>
      </c>
      <c r="Z155" s="1">
        <v>250650</v>
      </c>
      <c r="AC155" s="1">
        <v>39170</v>
      </c>
      <c r="AD155" s="1">
        <v>262772</v>
      </c>
      <c r="AE155" s="1">
        <v>133310</v>
      </c>
      <c r="AG155" s="1">
        <v>3021777</v>
      </c>
      <c r="AH155" s="1">
        <v>4211423</v>
      </c>
      <c r="AJ155" s="1">
        <v>36000</v>
      </c>
      <c r="AK155" s="1">
        <v>252446</v>
      </c>
      <c r="AL155" s="1">
        <v>117460</v>
      </c>
      <c r="AM155" s="1">
        <v>122957</v>
      </c>
      <c r="AN155" s="1">
        <v>14977</v>
      </c>
      <c r="AO155" s="1">
        <v>255394</v>
      </c>
      <c r="AP155" s="1">
        <v>508340</v>
      </c>
      <c r="AQ155" s="1">
        <v>152399</v>
      </c>
      <c r="AT155" s="1">
        <v>152399</v>
      </c>
      <c r="AV155" s="1">
        <v>155039</v>
      </c>
      <c r="AW155" s="1">
        <v>155039</v>
      </c>
      <c r="AX155" s="1">
        <v>2640</v>
      </c>
      <c r="AZ155" s="1">
        <v>5855014</v>
      </c>
      <c r="BE155" s="1">
        <v>72684</v>
      </c>
      <c r="BF155" s="1">
        <v>113552</v>
      </c>
      <c r="BI155" s="1">
        <v>138977</v>
      </c>
      <c r="BJ155" s="1">
        <v>77469</v>
      </c>
      <c r="BL155" s="1">
        <v>2640</v>
      </c>
      <c r="BU155" s="1">
        <v>500</v>
      </c>
      <c r="BV155" s="1">
        <v>500</v>
      </c>
      <c r="BY155" s="1">
        <v>2640</v>
      </c>
      <c r="CD155" s="1">
        <v>75000</v>
      </c>
      <c r="CH155" s="1">
        <v>731192</v>
      </c>
    </row>
    <row r="156" spans="1:119">
      <c r="A156" s="1">
        <v>7</v>
      </c>
      <c r="B156" s="1">
        <v>680</v>
      </c>
      <c r="C156" s="1" t="s">
        <v>1274</v>
      </c>
      <c r="D156" s="1" t="s">
        <v>1283</v>
      </c>
      <c r="F156" s="1">
        <v>829815</v>
      </c>
      <c r="I156" s="1">
        <v>1</v>
      </c>
      <c r="J156" s="1">
        <v>829816</v>
      </c>
      <c r="K156" s="1">
        <v>-10561154</v>
      </c>
      <c r="L156" s="1">
        <v>17419199</v>
      </c>
      <c r="M156" s="1">
        <v>127427886</v>
      </c>
      <c r="N156" s="1">
        <v>13898</v>
      </c>
      <c r="O156" s="1">
        <v>134299829</v>
      </c>
      <c r="Q156" s="1">
        <v>7449009</v>
      </c>
      <c r="S156" s="1">
        <v>20078</v>
      </c>
      <c r="U156" s="1">
        <v>1</v>
      </c>
      <c r="V156" s="1">
        <v>2123053</v>
      </c>
      <c r="W156" s="1">
        <v>9592141</v>
      </c>
      <c r="X156" s="1">
        <v>124213337</v>
      </c>
      <c r="Y156" s="1">
        <v>4648561</v>
      </c>
      <c r="Z156" s="1">
        <v>14245185</v>
      </c>
      <c r="AA156" s="1">
        <v>1393710</v>
      </c>
      <c r="AB156" s="1">
        <v>268223</v>
      </c>
      <c r="AC156" s="1">
        <v>1438991</v>
      </c>
      <c r="AD156" s="1">
        <v>15554769</v>
      </c>
      <c r="AE156" s="1">
        <v>8833274</v>
      </c>
      <c r="AG156" s="1">
        <v>265621954</v>
      </c>
      <c r="AH156" s="1">
        <v>276586331</v>
      </c>
      <c r="AJ156" s="1">
        <v>2249164</v>
      </c>
      <c r="AK156" s="1">
        <v>27783099</v>
      </c>
      <c r="AL156" s="1">
        <v>15082703</v>
      </c>
      <c r="AM156" s="1">
        <v>4705630</v>
      </c>
      <c r="AN156" s="1">
        <v>5288779</v>
      </c>
      <c r="AO156" s="1">
        <v>25246381</v>
      </c>
      <c r="AP156" s="1">
        <v>53043617</v>
      </c>
      <c r="AQ156" s="1">
        <v>196109</v>
      </c>
      <c r="AT156" s="1">
        <v>196109</v>
      </c>
      <c r="AU156" s="1">
        <v>1454406</v>
      </c>
      <c r="AV156" s="1">
        <v>1650515</v>
      </c>
      <c r="AW156" s="1">
        <v>1650515</v>
      </c>
      <c r="AZ156" s="1">
        <v>467176168</v>
      </c>
      <c r="BD156" s="1">
        <v>399038</v>
      </c>
      <c r="BF156" s="1">
        <v>80357</v>
      </c>
      <c r="BG156" s="1">
        <v>24080</v>
      </c>
      <c r="BH156" s="1">
        <v>317733</v>
      </c>
      <c r="BI156" s="1">
        <v>13531671</v>
      </c>
      <c r="BJ156" s="1">
        <v>7054959</v>
      </c>
      <c r="BK156" s="1">
        <v>169269</v>
      </c>
      <c r="BR156" s="1">
        <v>2632717</v>
      </c>
      <c r="BU156" s="1">
        <v>14137</v>
      </c>
      <c r="BV156" s="1">
        <v>14137</v>
      </c>
      <c r="BY156" s="1">
        <v>766060</v>
      </c>
      <c r="CA156" s="1">
        <v>293653</v>
      </c>
      <c r="CB156" s="1">
        <v>20078</v>
      </c>
      <c r="CC156" s="1">
        <v>236754</v>
      </c>
      <c r="CF156" s="1">
        <v>6189753</v>
      </c>
      <c r="CI156" s="1">
        <v>529306</v>
      </c>
      <c r="CO156" s="1">
        <v>73724039</v>
      </c>
      <c r="CP156" s="1">
        <v>4947305</v>
      </c>
      <c r="CX156" s="1">
        <v>1054503</v>
      </c>
      <c r="DD156" s="1">
        <v>12000000</v>
      </c>
    </row>
    <row r="157" spans="1:119">
      <c r="A157" s="1">
        <v>7</v>
      </c>
      <c r="B157" s="1">
        <v>695</v>
      </c>
      <c r="C157" s="1" t="s">
        <v>1274</v>
      </c>
      <c r="D157" s="1" t="s">
        <v>1114</v>
      </c>
      <c r="K157" s="1">
        <v>3300423</v>
      </c>
      <c r="M157" s="1">
        <v>133475</v>
      </c>
      <c r="O157" s="1">
        <v>3433898</v>
      </c>
      <c r="R157" s="1">
        <v>927239</v>
      </c>
      <c r="S157" s="1">
        <v>927239</v>
      </c>
      <c r="T157" s="1">
        <v>13523176</v>
      </c>
      <c r="V157" s="1">
        <v>936961</v>
      </c>
      <c r="W157" s="1">
        <v>15387376</v>
      </c>
      <c r="AD157" s="1">
        <v>349949</v>
      </c>
      <c r="AE157" s="1">
        <v>281164</v>
      </c>
      <c r="AG157" s="1">
        <v>631113</v>
      </c>
      <c r="AH157" s="1">
        <v>16018489</v>
      </c>
      <c r="AJ157" s="1">
        <v>6488625</v>
      </c>
      <c r="AK157" s="1">
        <v>6488625</v>
      </c>
      <c r="AL157" s="1">
        <v>117549</v>
      </c>
      <c r="AO157" s="1">
        <v>117549</v>
      </c>
      <c r="AP157" s="1">
        <v>6606174</v>
      </c>
      <c r="AV157" s="1">
        <v>1173267</v>
      </c>
      <c r="AW157" s="1">
        <v>1173267</v>
      </c>
      <c r="AX157" s="1">
        <v>86407</v>
      </c>
      <c r="AY157" s="1">
        <v>252927</v>
      </c>
      <c r="AZ157" s="1">
        <v>31316162</v>
      </c>
      <c r="BL157" s="1">
        <v>1173267</v>
      </c>
      <c r="BY157" s="1">
        <v>4084334</v>
      </c>
      <c r="CC157" s="1">
        <v>3745000</v>
      </c>
    </row>
    <row r="158" spans="1:119">
      <c r="A158" s="1">
        <v>7</v>
      </c>
      <c r="B158" s="1">
        <v>700</v>
      </c>
      <c r="C158" s="1" t="s">
        <v>1274</v>
      </c>
      <c r="D158" s="1" t="s">
        <v>1115</v>
      </c>
      <c r="F158" s="1">
        <v>55794</v>
      </c>
      <c r="G158" s="1">
        <v>1295382</v>
      </c>
      <c r="H158" s="1">
        <v>1243345</v>
      </c>
      <c r="I158" s="1">
        <v>1</v>
      </c>
      <c r="J158" s="1">
        <v>2594522</v>
      </c>
      <c r="K158" s="1">
        <v>2897077</v>
      </c>
      <c r="M158" s="1">
        <v>294465</v>
      </c>
      <c r="O158" s="1">
        <v>3191542</v>
      </c>
      <c r="V158" s="1">
        <v>680514</v>
      </c>
      <c r="W158" s="1">
        <v>13942087</v>
      </c>
      <c r="X158" s="1">
        <v>7795941</v>
      </c>
      <c r="Z158" s="1">
        <v>2230591</v>
      </c>
      <c r="AA158" s="1">
        <v>108</v>
      </c>
      <c r="AC158" s="1">
        <v>215240</v>
      </c>
      <c r="AD158" s="1">
        <v>2015912</v>
      </c>
      <c r="AE158" s="1">
        <v>1061207</v>
      </c>
      <c r="AG158" s="1">
        <v>19803551</v>
      </c>
      <c r="AH158" s="1">
        <v>33759055</v>
      </c>
      <c r="AJ158" s="1">
        <v>341930</v>
      </c>
      <c r="AK158" s="1">
        <v>2777204</v>
      </c>
      <c r="AL158" s="1">
        <v>789082</v>
      </c>
      <c r="AM158" s="1">
        <v>644039</v>
      </c>
      <c r="AN158" s="1">
        <v>1752252</v>
      </c>
      <c r="AO158" s="1">
        <v>3255290</v>
      </c>
      <c r="AP158" s="1">
        <v>6103405</v>
      </c>
      <c r="AZ158" s="1">
        <v>50334524</v>
      </c>
      <c r="BE158" s="1">
        <v>354964</v>
      </c>
      <c r="BF158" s="1">
        <v>154909</v>
      </c>
      <c r="BH158" s="1">
        <v>13417</v>
      </c>
      <c r="BJ158" s="1">
        <v>2435274</v>
      </c>
      <c r="BK158" s="1">
        <v>69917</v>
      </c>
      <c r="BN158" s="1">
        <v>12146033</v>
      </c>
      <c r="BQ158" s="1">
        <v>1115540</v>
      </c>
      <c r="BS158" s="1">
        <v>3691574</v>
      </c>
      <c r="BT158" s="1">
        <v>2283105</v>
      </c>
      <c r="BU158" s="1">
        <v>70911</v>
      </c>
      <c r="BV158" s="1">
        <v>70911</v>
      </c>
      <c r="BY158" s="1">
        <v>4686000</v>
      </c>
      <c r="CA158" s="1">
        <v>13417</v>
      </c>
      <c r="CC158" s="1">
        <v>4686000</v>
      </c>
    </row>
    <row r="159" spans="1:119">
      <c r="A159" s="1">
        <v>7</v>
      </c>
      <c r="B159" s="1">
        <v>800</v>
      </c>
      <c r="C159" s="1" t="s">
        <v>1274</v>
      </c>
      <c r="D159" s="1" t="s">
        <v>1116</v>
      </c>
      <c r="F159" s="1">
        <v>709051</v>
      </c>
      <c r="G159" s="1">
        <v>215123</v>
      </c>
      <c r="H159" s="1">
        <v>685583</v>
      </c>
      <c r="I159" s="1">
        <v>30721</v>
      </c>
      <c r="J159" s="1">
        <v>9853793</v>
      </c>
      <c r="K159" s="1">
        <v>3040150</v>
      </c>
      <c r="M159" s="1">
        <v>14226967</v>
      </c>
      <c r="N159" s="1">
        <v>12168</v>
      </c>
      <c r="O159" s="1">
        <v>17279285</v>
      </c>
      <c r="P159" s="1">
        <v>215094</v>
      </c>
      <c r="Q159" s="1">
        <v>136273471</v>
      </c>
      <c r="R159" s="1">
        <v>123112</v>
      </c>
      <c r="S159" s="1">
        <v>123112</v>
      </c>
      <c r="U159" s="1">
        <v>1631</v>
      </c>
      <c r="V159" s="1">
        <v>1994507</v>
      </c>
      <c r="W159" s="1">
        <v>138392721</v>
      </c>
      <c r="X159" s="1">
        <v>2021629</v>
      </c>
      <c r="Y159" s="1">
        <v>1450828</v>
      </c>
      <c r="Z159" s="1">
        <v>6036679</v>
      </c>
      <c r="AA159" s="1">
        <v>210042</v>
      </c>
      <c r="AB159" s="1">
        <v>296278</v>
      </c>
      <c r="AC159" s="1">
        <v>681025</v>
      </c>
      <c r="AD159" s="1">
        <v>12200789</v>
      </c>
      <c r="AE159" s="1">
        <v>5274914</v>
      </c>
      <c r="AG159" s="1">
        <v>32855184</v>
      </c>
      <c r="AH159" s="1">
        <v>171462999</v>
      </c>
      <c r="AJ159" s="1">
        <v>1706772</v>
      </c>
      <c r="AK159" s="1">
        <v>1706772</v>
      </c>
      <c r="AL159" s="1">
        <v>328339</v>
      </c>
      <c r="AM159" s="1">
        <v>2498940</v>
      </c>
      <c r="AN159" s="1">
        <v>359071</v>
      </c>
      <c r="AO159" s="1">
        <v>3186350</v>
      </c>
      <c r="AP159" s="1">
        <v>4920896</v>
      </c>
      <c r="AQ159" s="1">
        <v>2742506</v>
      </c>
      <c r="AT159" s="1">
        <v>2742506</v>
      </c>
      <c r="AU159" s="1">
        <v>1402730</v>
      </c>
      <c r="AV159" s="1">
        <v>4207906</v>
      </c>
      <c r="AW159" s="1">
        <v>4207906</v>
      </c>
      <c r="AX159" s="1">
        <v>277765</v>
      </c>
      <c r="AZ159" s="1">
        <v>208002644</v>
      </c>
      <c r="BA159" s="1">
        <v>330910</v>
      </c>
      <c r="BE159" s="1">
        <v>436672</v>
      </c>
      <c r="BF159" s="1">
        <v>43423</v>
      </c>
      <c r="BL159" s="1">
        <v>62670</v>
      </c>
      <c r="BU159" s="1">
        <v>27774</v>
      </c>
      <c r="BV159" s="1">
        <v>27774</v>
      </c>
      <c r="BY159" s="1">
        <v>277765</v>
      </c>
      <c r="CL159" s="1">
        <v>7882405</v>
      </c>
      <c r="DO159" s="1">
        <v>4202905</v>
      </c>
    </row>
    <row r="160" spans="1:119">
      <c r="A160" s="1">
        <v>7</v>
      </c>
      <c r="B160" s="1">
        <v>810</v>
      </c>
      <c r="C160" s="1" t="s">
        <v>1274</v>
      </c>
      <c r="D160" s="1" t="s">
        <v>1117</v>
      </c>
      <c r="F160" s="1">
        <v>9667</v>
      </c>
      <c r="G160" s="1">
        <v>376283</v>
      </c>
      <c r="H160" s="1">
        <v>330922</v>
      </c>
      <c r="J160" s="1">
        <v>716872</v>
      </c>
      <c r="K160" s="1">
        <v>100979</v>
      </c>
      <c r="M160" s="1">
        <v>3187</v>
      </c>
      <c r="O160" s="1">
        <v>104166</v>
      </c>
      <c r="Q160" s="1">
        <v>853814</v>
      </c>
      <c r="V160" s="1">
        <v>463481</v>
      </c>
      <c r="W160" s="1">
        <v>1317295</v>
      </c>
      <c r="X160" s="1">
        <v>1574437</v>
      </c>
      <c r="Y160" s="1">
        <v>126584</v>
      </c>
      <c r="Z160" s="1">
        <v>258307</v>
      </c>
      <c r="AA160" s="1">
        <v>2550</v>
      </c>
      <c r="AB160" s="1">
        <v>1210</v>
      </c>
      <c r="AC160" s="1">
        <v>25674</v>
      </c>
      <c r="AD160" s="1">
        <v>78415</v>
      </c>
      <c r="AE160" s="1">
        <v>60355</v>
      </c>
      <c r="AG160" s="1">
        <v>2321938</v>
      </c>
      <c r="AH160" s="1">
        <v>3639233</v>
      </c>
      <c r="AJ160" s="1">
        <v>801</v>
      </c>
      <c r="AK160" s="1">
        <v>266410</v>
      </c>
      <c r="AL160" s="1">
        <v>133109</v>
      </c>
      <c r="AM160" s="1">
        <v>43266</v>
      </c>
      <c r="AN160" s="1">
        <v>14424</v>
      </c>
      <c r="AO160" s="1">
        <v>190799</v>
      </c>
      <c r="AP160" s="1">
        <v>457209</v>
      </c>
      <c r="AZ160" s="1">
        <v>4917480</v>
      </c>
      <c r="BE160" s="1">
        <v>70604</v>
      </c>
      <c r="BF160" s="1">
        <v>21650</v>
      </c>
      <c r="BI160" s="1">
        <v>171259</v>
      </c>
      <c r="BJ160" s="1">
        <v>94350</v>
      </c>
      <c r="BR160" s="1">
        <v>7</v>
      </c>
      <c r="CF160" s="1">
        <v>102145</v>
      </c>
    </row>
    <row r="161" spans="1:118">
      <c r="A161" s="1">
        <v>7</v>
      </c>
      <c r="B161" s="1">
        <v>880</v>
      </c>
      <c r="C161" s="1" t="s">
        <v>1274</v>
      </c>
      <c r="D161" s="1" t="s">
        <v>1118</v>
      </c>
      <c r="F161" s="1">
        <v>188325</v>
      </c>
      <c r="G161" s="1">
        <v>111304</v>
      </c>
      <c r="I161" s="1">
        <v>222</v>
      </c>
      <c r="J161" s="1">
        <v>299851</v>
      </c>
      <c r="K161" s="1">
        <v>155353</v>
      </c>
      <c r="L161" s="1">
        <v>357199</v>
      </c>
      <c r="M161" s="1">
        <v>1192065</v>
      </c>
      <c r="N161" s="1">
        <v>127592</v>
      </c>
      <c r="O161" s="1">
        <v>1832209</v>
      </c>
      <c r="Q161" s="1">
        <v>3513423</v>
      </c>
      <c r="U161" s="1">
        <v>2545</v>
      </c>
      <c r="V161" s="1">
        <v>576032</v>
      </c>
      <c r="W161" s="1">
        <v>4092000</v>
      </c>
      <c r="X161" s="1">
        <v>2978575</v>
      </c>
      <c r="Y161" s="1">
        <v>226197</v>
      </c>
      <c r="Z161" s="1">
        <v>597567</v>
      </c>
      <c r="AA161" s="1">
        <v>15183</v>
      </c>
      <c r="AB161" s="1">
        <v>34461</v>
      </c>
      <c r="AC161" s="1">
        <v>82729</v>
      </c>
      <c r="AD161" s="1">
        <v>417941</v>
      </c>
      <c r="AE161" s="1">
        <v>221617</v>
      </c>
      <c r="AG161" s="1">
        <v>5013201</v>
      </c>
      <c r="AH161" s="1">
        <v>9109439</v>
      </c>
      <c r="AJ161" s="1">
        <v>140055</v>
      </c>
      <c r="AK161" s="1">
        <v>649256</v>
      </c>
      <c r="AL161" s="1">
        <v>206498</v>
      </c>
      <c r="AM161" s="1">
        <v>186977</v>
      </c>
      <c r="AN161" s="1">
        <v>45052</v>
      </c>
      <c r="AO161" s="1">
        <v>438527</v>
      </c>
      <c r="AP161" s="1">
        <v>1087783</v>
      </c>
      <c r="AQ161" s="1">
        <v>248092</v>
      </c>
      <c r="AT161" s="1">
        <v>248092</v>
      </c>
      <c r="AU161" s="1">
        <v>169162</v>
      </c>
      <c r="AV161" s="1">
        <v>467193</v>
      </c>
      <c r="AW161" s="1">
        <v>467193</v>
      </c>
      <c r="AX161" s="1">
        <v>49939</v>
      </c>
      <c r="AZ161" s="1">
        <v>12846414</v>
      </c>
      <c r="BE161" s="1">
        <v>138757</v>
      </c>
      <c r="BF161" s="1">
        <v>73453</v>
      </c>
      <c r="BH161" s="1">
        <v>4238</v>
      </c>
      <c r="BI161" s="1">
        <v>317085</v>
      </c>
      <c r="BJ161" s="1">
        <v>192116</v>
      </c>
      <c r="BL161" s="1">
        <v>49939</v>
      </c>
      <c r="BR161" s="1">
        <v>160793</v>
      </c>
      <c r="BY161" s="1">
        <v>49939</v>
      </c>
      <c r="CA161" s="1">
        <v>4238</v>
      </c>
      <c r="CF161" s="1">
        <v>65928</v>
      </c>
    </row>
    <row r="162" spans="1:118">
      <c r="A162" s="1">
        <v>7</v>
      </c>
      <c r="B162" s="1">
        <v>940</v>
      </c>
      <c r="C162" s="1" t="s">
        <v>1274</v>
      </c>
      <c r="D162" s="1" t="s">
        <v>1119</v>
      </c>
      <c r="G162" s="1">
        <v>636196</v>
      </c>
      <c r="I162" s="1">
        <v>208751</v>
      </c>
      <c r="J162" s="1">
        <v>844947</v>
      </c>
      <c r="K162" s="1">
        <v>506662</v>
      </c>
      <c r="L162" s="1">
        <v>1872317</v>
      </c>
      <c r="M162" s="1">
        <v>30723724</v>
      </c>
      <c r="N162" s="1">
        <v>428843</v>
      </c>
      <c r="O162" s="1">
        <v>33531546</v>
      </c>
      <c r="Q162" s="1">
        <v>11955900</v>
      </c>
      <c r="S162" s="1">
        <v>3015289</v>
      </c>
      <c r="U162" s="1">
        <v>12088</v>
      </c>
      <c r="V162" s="1">
        <v>261698</v>
      </c>
      <c r="W162" s="1">
        <v>15244975</v>
      </c>
      <c r="X162" s="1">
        <v>5508389</v>
      </c>
      <c r="Y162" s="1">
        <v>282528</v>
      </c>
      <c r="Z162" s="1">
        <v>1576635</v>
      </c>
      <c r="AA162" s="1">
        <v>58328</v>
      </c>
      <c r="AB162" s="1">
        <v>7713</v>
      </c>
      <c r="AC162" s="1">
        <v>191898</v>
      </c>
      <c r="AD162" s="1">
        <v>1977290</v>
      </c>
      <c r="AE162" s="1">
        <v>989144</v>
      </c>
      <c r="AG162" s="1">
        <v>12796770</v>
      </c>
      <c r="AH162" s="1">
        <v>28059672</v>
      </c>
      <c r="AI162" s="1">
        <v>116652</v>
      </c>
      <c r="AJ162" s="1">
        <v>139969</v>
      </c>
      <c r="AK162" s="1">
        <v>338857</v>
      </c>
      <c r="AL162" s="1">
        <v>376889</v>
      </c>
      <c r="AM162" s="1">
        <v>559659</v>
      </c>
      <c r="AN162" s="1">
        <v>103913</v>
      </c>
      <c r="AO162" s="1">
        <v>1040461</v>
      </c>
      <c r="AP162" s="1">
        <v>1379318</v>
      </c>
      <c r="AQ162" s="1">
        <v>872806</v>
      </c>
      <c r="AT162" s="1">
        <v>872806</v>
      </c>
      <c r="AV162" s="1">
        <v>1419985</v>
      </c>
      <c r="AW162" s="1">
        <v>1419985</v>
      </c>
      <c r="AX162" s="1">
        <v>547179</v>
      </c>
      <c r="AZ162" s="1">
        <v>65782647</v>
      </c>
      <c r="BC162" s="1">
        <v>3015289</v>
      </c>
      <c r="BE162" s="1">
        <v>235578</v>
      </c>
      <c r="BF162" s="1">
        <v>145023</v>
      </c>
      <c r="BH162" s="1">
        <v>17927</v>
      </c>
      <c r="BJ162" s="1">
        <v>82236</v>
      </c>
      <c r="BL162" s="1">
        <v>547179</v>
      </c>
      <c r="BY162" s="1">
        <v>547179</v>
      </c>
      <c r="CA162" s="1">
        <v>17927</v>
      </c>
      <c r="CF162" s="1">
        <v>1824244</v>
      </c>
    </row>
    <row r="163" spans="1:118">
      <c r="A163" s="1">
        <v>7</v>
      </c>
      <c r="B163" s="1">
        <v>1255</v>
      </c>
      <c r="C163" s="1" t="s">
        <v>1274</v>
      </c>
      <c r="D163" s="1" t="s">
        <v>1120</v>
      </c>
      <c r="F163" s="1">
        <v>253659</v>
      </c>
      <c r="G163" s="1">
        <v>217414</v>
      </c>
      <c r="H163" s="1">
        <v>734746</v>
      </c>
      <c r="I163" s="1">
        <v>1554</v>
      </c>
      <c r="J163" s="1">
        <v>1347373</v>
      </c>
      <c r="K163" s="1">
        <v>642225</v>
      </c>
      <c r="L163" s="1">
        <v>994515</v>
      </c>
      <c r="N163" s="1">
        <v>284017</v>
      </c>
      <c r="O163" s="1">
        <v>1920757</v>
      </c>
      <c r="Q163" s="1">
        <v>18476597</v>
      </c>
      <c r="R163" s="1">
        <v>127648</v>
      </c>
      <c r="S163" s="1">
        <v>152230</v>
      </c>
      <c r="T163" s="1">
        <v>201456</v>
      </c>
      <c r="V163" s="1">
        <v>547219</v>
      </c>
      <c r="W163" s="1">
        <v>19377502</v>
      </c>
      <c r="X163" s="1">
        <v>5838667</v>
      </c>
      <c r="Y163" s="1">
        <v>768362</v>
      </c>
      <c r="Z163" s="1">
        <v>1402227</v>
      </c>
      <c r="AA163" s="1">
        <v>15220</v>
      </c>
      <c r="AB163" s="1">
        <v>87929</v>
      </c>
      <c r="AC163" s="1">
        <v>251478</v>
      </c>
      <c r="AD163" s="1">
        <v>1693897</v>
      </c>
      <c r="AE163" s="1">
        <v>959473</v>
      </c>
      <c r="AG163" s="1">
        <v>12282164</v>
      </c>
      <c r="AH163" s="1">
        <v>31659666</v>
      </c>
      <c r="AJ163" s="1">
        <v>12740</v>
      </c>
      <c r="AK163" s="1">
        <v>12740</v>
      </c>
      <c r="AL163" s="1">
        <v>63531</v>
      </c>
      <c r="AM163" s="1">
        <v>349764</v>
      </c>
      <c r="AN163" s="1">
        <v>181742</v>
      </c>
      <c r="AO163" s="1">
        <v>595037</v>
      </c>
      <c r="AP163" s="1">
        <v>610221</v>
      </c>
      <c r="AQ163" s="1">
        <v>1669719</v>
      </c>
      <c r="AT163" s="1">
        <v>1669719</v>
      </c>
      <c r="AU163" s="1">
        <v>513059</v>
      </c>
      <c r="AV163" s="1">
        <v>2182778</v>
      </c>
      <c r="AW163" s="1">
        <v>2182778</v>
      </c>
      <c r="AZ163" s="1">
        <v>37720795</v>
      </c>
      <c r="BB163" s="1">
        <v>140000</v>
      </c>
      <c r="BC163" s="1">
        <v>24582</v>
      </c>
      <c r="BE163" s="1">
        <v>277642</v>
      </c>
      <c r="BF163" s="1">
        <v>8479</v>
      </c>
      <c r="BU163" s="1">
        <v>2444</v>
      </c>
      <c r="BV163" s="1">
        <v>2444</v>
      </c>
      <c r="CF163" s="1">
        <v>978790</v>
      </c>
    </row>
    <row r="164" spans="1:118">
      <c r="A164" s="1">
        <v>7</v>
      </c>
      <c r="B164" s="1">
        <v>1720</v>
      </c>
      <c r="C164" s="1" t="s">
        <v>1274</v>
      </c>
      <c r="D164" s="1" t="s">
        <v>1121</v>
      </c>
      <c r="F164" s="1">
        <v>65385</v>
      </c>
      <c r="G164" s="1">
        <v>144783</v>
      </c>
      <c r="H164" s="1">
        <v>15135</v>
      </c>
      <c r="I164" s="1">
        <v>1</v>
      </c>
      <c r="J164" s="1">
        <v>276923</v>
      </c>
      <c r="K164" s="1">
        <v>100504</v>
      </c>
      <c r="L164" s="1">
        <v>75666</v>
      </c>
      <c r="M164" s="1">
        <v>56220</v>
      </c>
      <c r="N164" s="1">
        <v>1</v>
      </c>
      <c r="O164" s="1">
        <v>232391</v>
      </c>
      <c r="Q164" s="1">
        <v>2255735</v>
      </c>
      <c r="S164" s="1">
        <v>28895</v>
      </c>
      <c r="V164" s="1">
        <v>55803</v>
      </c>
      <c r="W164" s="1">
        <v>2340433</v>
      </c>
      <c r="X164" s="1">
        <v>917674</v>
      </c>
      <c r="Y164" s="1">
        <v>30191</v>
      </c>
      <c r="Z164" s="1">
        <v>283051</v>
      </c>
      <c r="AC164" s="1">
        <v>31490</v>
      </c>
      <c r="AD164" s="1">
        <v>253618</v>
      </c>
      <c r="AE164" s="1">
        <v>143686</v>
      </c>
      <c r="AF164" s="1">
        <v>45601</v>
      </c>
      <c r="AG164" s="1">
        <v>1807424</v>
      </c>
      <c r="AH164" s="1">
        <v>4147857</v>
      </c>
      <c r="AI164" s="1">
        <v>9476</v>
      </c>
      <c r="AJ164" s="1">
        <v>5899</v>
      </c>
      <c r="AK164" s="1">
        <v>15375</v>
      </c>
      <c r="AL164" s="1">
        <v>23862</v>
      </c>
      <c r="AM164" s="1">
        <v>87662</v>
      </c>
      <c r="AN164" s="1">
        <v>20145</v>
      </c>
      <c r="AO164" s="1">
        <v>131669</v>
      </c>
      <c r="AP164" s="1">
        <v>147044</v>
      </c>
      <c r="AQ164" s="1">
        <v>216910</v>
      </c>
      <c r="AT164" s="1">
        <v>216910</v>
      </c>
      <c r="AU164" s="1">
        <v>17301</v>
      </c>
      <c r="AV164" s="1">
        <v>234211</v>
      </c>
      <c r="AW164" s="1">
        <v>234211</v>
      </c>
      <c r="AZ164" s="1">
        <v>5038426</v>
      </c>
      <c r="BC164" s="1">
        <v>28895</v>
      </c>
      <c r="BE164" s="1">
        <v>39915</v>
      </c>
      <c r="BR164" s="1">
        <v>62198</v>
      </c>
      <c r="CL164" s="1">
        <v>51619</v>
      </c>
    </row>
    <row r="165" spans="1:118">
      <c r="A165" s="1">
        <v>7</v>
      </c>
      <c r="B165" s="1">
        <v>1770</v>
      </c>
      <c r="C165" s="1" t="s">
        <v>1274</v>
      </c>
      <c r="D165" s="1" t="s">
        <v>1122</v>
      </c>
      <c r="F165" s="1">
        <v>330230</v>
      </c>
      <c r="J165" s="1">
        <v>330230</v>
      </c>
      <c r="K165" s="1">
        <v>456858</v>
      </c>
      <c r="L165" s="1">
        <v>3350661</v>
      </c>
      <c r="N165" s="1">
        <v>139763</v>
      </c>
      <c r="O165" s="1">
        <v>3947282</v>
      </c>
      <c r="Q165" s="1">
        <v>2858502</v>
      </c>
      <c r="R165" s="1">
        <v>624067</v>
      </c>
      <c r="S165" s="1">
        <v>624067</v>
      </c>
      <c r="V165" s="1">
        <v>304932</v>
      </c>
      <c r="W165" s="1">
        <v>3793858</v>
      </c>
      <c r="X165" s="1">
        <v>10382971</v>
      </c>
      <c r="Y165" s="1">
        <v>176557</v>
      </c>
      <c r="Z165" s="1">
        <v>1856157</v>
      </c>
      <c r="AA165" s="1">
        <v>1186</v>
      </c>
      <c r="AB165" s="1">
        <v>52344</v>
      </c>
      <c r="AC165" s="1">
        <v>217465</v>
      </c>
      <c r="AD165" s="1">
        <v>2173796</v>
      </c>
      <c r="AE165" s="1">
        <v>1205737</v>
      </c>
      <c r="AG165" s="1">
        <v>32356015</v>
      </c>
      <c r="AH165" s="1">
        <v>36254570</v>
      </c>
      <c r="AJ165" s="1">
        <v>557863</v>
      </c>
      <c r="AK165" s="1">
        <v>2378378</v>
      </c>
      <c r="AL165" s="1">
        <v>920505</v>
      </c>
      <c r="AM165" s="1">
        <v>774616</v>
      </c>
      <c r="AN165" s="1">
        <v>717256</v>
      </c>
      <c r="AO165" s="1">
        <v>2412377</v>
      </c>
      <c r="AP165" s="1">
        <v>6731896</v>
      </c>
      <c r="AQ165" s="1">
        <v>609374</v>
      </c>
      <c r="AT165" s="1">
        <v>609374</v>
      </c>
      <c r="AU165" s="1">
        <v>749381</v>
      </c>
      <c r="AV165" s="1">
        <v>1358755</v>
      </c>
      <c r="AW165" s="1">
        <v>1358755</v>
      </c>
      <c r="AZ165" s="1">
        <v>48622733</v>
      </c>
      <c r="BF165" s="1">
        <v>20560</v>
      </c>
      <c r="BH165" s="1">
        <v>104697</v>
      </c>
      <c r="BI165" s="1">
        <v>1067266</v>
      </c>
      <c r="BJ165" s="1">
        <v>753249</v>
      </c>
      <c r="BR165" s="1">
        <v>74037</v>
      </c>
      <c r="CA165" s="1">
        <v>104697</v>
      </c>
      <c r="CF165" s="1">
        <v>499805</v>
      </c>
      <c r="CO165" s="1">
        <v>15695400</v>
      </c>
      <c r="CQ165" s="1">
        <v>1941141</v>
      </c>
      <c r="CZ165" s="1">
        <v>6357</v>
      </c>
    </row>
    <row r="166" spans="1:118">
      <c r="A166" s="1">
        <v>7</v>
      </c>
      <c r="B166" s="1">
        <v>1780</v>
      </c>
      <c r="C166" s="1" t="s">
        <v>1274</v>
      </c>
      <c r="D166" s="1" t="s">
        <v>1123</v>
      </c>
      <c r="E166" s="1">
        <v>190000</v>
      </c>
      <c r="F166" s="1">
        <v>570904</v>
      </c>
      <c r="G166" s="1">
        <v>3393142</v>
      </c>
      <c r="H166" s="1">
        <v>1034896</v>
      </c>
      <c r="I166" s="1">
        <v>499499</v>
      </c>
      <c r="J166" s="1">
        <v>5875719</v>
      </c>
      <c r="K166" s="1">
        <v>1800512</v>
      </c>
      <c r="L166" s="1">
        <v>453000</v>
      </c>
      <c r="M166" s="1">
        <v>244588</v>
      </c>
      <c r="N166" s="1">
        <v>9970</v>
      </c>
      <c r="O166" s="1">
        <v>2508070</v>
      </c>
      <c r="Q166" s="1">
        <v>39712435</v>
      </c>
      <c r="R166" s="1">
        <v>63774</v>
      </c>
      <c r="S166" s="1">
        <v>63774</v>
      </c>
      <c r="U166" s="1">
        <v>26379</v>
      </c>
      <c r="V166" s="1">
        <v>1401989</v>
      </c>
      <c r="W166" s="1">
        <v>41204577</v>
      </c>
      <c r="X166" s="1">
        <v>27343061</v>
      </c>
      <c r="Y166" s="1">
        <v>1530367</v>
      </c>
      <c r="Z166" s="1">
        <v>4780934</v>
      </c>
      <c r="AA166" s="1">
        <v>66450</v>
      </c>
      <c r="AB166" s="1">
        <v>245359</v>
      </c>
      <c r="AC166" s="1">
        <v>882001</v>
      </c>
      <c r="AD166" s="1">
        <v>5350444</v>
      </c>
      <c r="AE166" s="1">
        <v>3127618</v>
      </c>
      <c r="AG166" s="1">
        <v>47961717</v>
      </c>
      <c r="AH166" s="1">
        <v>89169563</v>
      </c>
      <c r="AI166" s="1">
        <v>255948</v>
      </c>
      <c r="AJ166" s="1">
        <v>430708</v>
      </c>
      <c r="AK166" s="1">
        <v>938587</v>
      </c>
      <c r="AL166" s="1">
        <v>500672</v>
      </c>
      <c r="AM166" s="1">
        <v>1728191</v>
      </c>
      <c r="AN166" s="1">
        <v>290743</v>
      </c>
      <c r="AO166" s="1">
        <v>2519606</v>
      </c>
      <c r="AP166" s="1">
        <v>3458193</v>
      </c>
      <c r="AQ166" s="1">
        <v>2183185</v>
      </c>
      <c r="AR166" s="1">
        <v>124288</v>
      </c>
      <c r="AS166" s="1">
        <v>136792</v>
      </c>
      <c r="AT166" s="1">
        <v>2319977</v>
      </c>
      <c r="AU166" s="1">
        <v>1449546</v>
      </c>
      <c r="AV166" s="1">
        <v>3769523</v>
      </c>
      <c r="AW166" s="1">
        <v>3769523</v>
      </c>
      <c r="AZ166" s="1">
        <v>112587068</v>
      </c>
      <c r="BA166" s="1">
        <v>17278</v>
      </c>
      <c r="BE166" s="1">
        <v>1119932</v>
      </c>
      <c r="BF166" s="1">
        <v>216219</v>
      </c>
      <c r="BH166" s="1">
        <v>3269</v>
      </c>
      <c r="BJ166" s="1">
        <v>251931</v>
      </c>
      <c r="BX166" s="1">
        <v>7806000</v>
      </c>
      <c r="BY166" s="1">
        <v>7806000</v>
      </c>
      <c r="CA166" s="1">
        <v>3269</v>
      </c>
      <c r="CD166" s="1">
        <v>170000</v>
      </c>
      <c r="CF166" s="1">
        <v>3299332</v>
      </c>
      <c r="DC166" s="1">
        <v>12504</v>
      </c>
    </row>
    <row r="167" spans="1:118">
      <c r="A167" s="1">
        <v>7</v>
      </c>
      <c r="B167" s="1">
        <v>1880</v>
      </c>
      <c r="C167" s="1" t="s">
        <v>1274</v>
      </c>
      <c r="D167" s="1" t="s">
        <v>1124</v>
      </c>
      <c r="G167" s="1">
        <v>244129</v>
      </c>
      <c r="J167" s="1">
        <v>244129</v>
      </c>
      <c r="K167" s="1">
        <v>319784</v>
      </c>
      <c r="L167" s="1">
        <v>400000</v>
      </c>
      <c r="M167" s="1">
        <v>912901</v>
      </c>
      <c r="N167" s="1">
        <v>245701</v>
      </c>
      <c r="O167" s="1">
        <v>1878386</v>
      </c>
      <c r="P167" s="1">
        <v>449382</v>
      </c>
      <c r="Q167" s="1">
        <v>10093596</v>
      </c>
      <c r="S167" s="1">
        <v>5098341</v>
      </c>
      <c r="V167" s="1">
        <v>170137</v>
      </c>
      <c r="W167" s="1">
        <v>15362074</v>
      </c>
      <c r="Y167" s="1">
        <v>139736</v>
      </c>
      <c r="Z167" s="1">
        <v>763043</v>
      </c>
      <c r="AB167" s="1">
        <v>17528</v>
      </c>
      <c r="AC167" s="1">
        <v>101857</v>
      </c>
      <c r="AD167" s="1">
        <v>1327575</v>
      </c>
      <c r="AE167" s="1">
        <v>656486</v>
      </c>
      <c r="AG167" s="1">
        <v>3697269</v>
      </c>
      <c r="AH167" s="1">
        <v>19508725</v>
      </c>
      <c r="AJ167" s="1">
        <v>356009</v>
      </c>
      <c r="AK167" s="1">
        <v>356009</v>
      </c>
      <c r="AL167" s="1">
        <v>72035</v>
      </c>
      <c r="AM167" s="1">
        <v>290165</v>
      </c>
      <c r="AN167" s="1">
        <v>137552</v>
      </c>
      <c r="AO167" s="1">
        <v>499752</v>
      </c>
      <c r="AP167" s="1">
        <v>855761</v>
      </c>
      <c r="AQ167" s="1">
        <v>1139338</v>
      </c>
      <c r="AT167" s="1">
        <v>1139338</v>
      </c>
      <c r="AU167" s="1">
        <v>5309</v>
      </c>
      <c r="AV167" s="1">
        <v>1144647</v>
      </c>
      <c r="AW167" s="1">
        <v>1144647</v>
      </c>
      <c r="AX167" s="1">
        <v>453396</v>
      </c>
      <c r="AZ167" s="1">
        <v>24085044</v>
      </c>
      <c r="BC167" s="1">
        <v>5098341</v>
      </c>
      <c r="BE167" s="1">
        <v>44242</v>
      </c>
      <c r="BF167" s="1">
        <v>3360</v>
      </c>
      <c r="BR167" s="1">
        <v>271911</v>
      </c>
      <c r="BY167" s="1">
        <v>453396</v>
      </c>
      <c r="CF167" s="1">
        <v>371531</v>
      </c>
    </row>
    <row r="168" spans="1:118">
      <c r="A168" s="1">
        <v>7</v>
      </c>
      <c r="B168" s="1">
        <v>1890</v>
      </c>
      <c r="C168" s="1" t="s">
        <v>1274</v>
      </c>
      <c r="D168" s="1" t="s">
        <v>1125</v>
      </c>
      <c r="F168" s="1">
        <v>168115</v>
      </c>
      <c r="G168" s="1">
        <v>497280</v>
      </c>
      <c r="H168" s="1">
        <v>159679</v>
      </c>
      <c r="I168" s="1">
        <v>1</v>
      </c>
      <c r="J168" s="1">
        <v>828846</v>
      </c>
      <c r="K168" s="1">
        <v>602379</v>
      </c>
      <c r="L168" s="1">
        <v>321</v>
      </c>
      <c r="M168" s="1">
        <v>210430</v>
      </c>
      <c r="N168" s="1">
        <v>56161</v>
      </c>
      <c r="O168" s="1">
        <v>869291</v>
      </c>
      <c r="Q168" s="1">
        <v>18335228</v>
      </c>
      <c r="S168" s="1">
        <v>54350</v>
      </c>
      <c r="V168" s="1">
        <v>243700</v>
      </c>
      <c r="W168" s="1">
        <v>18633278</v>
      </c>
      <c r="X168" s="1">
        <v>5065758</v>
      </c>
      <c r="Y168" s="1">
        <v>266525</v>
      </c>
      <c r="Z168" s="1">
        <v>1511145</v>
      </c>
      <c r="AA168" s="1">
        <v>26756</v>
      </c>
      <c r="AB168" s="1">
        <v>113298</v>
      </c>
      <c r="AC168" s="1">
        <v>235863</v>
      </c>
      <c r="AD168" s="1">
        <v>953023</v>
      </c>
      <c r="AE168" s="1">
        <v>917883</v>
      </c>
      <c r="AG168" s="1">
        <v>10135712</v>
      </c>
      <c r="AH168" s="1">
        <v>28768990</v>
      </c>
      <c r="AJ168" s="1">
        <v>558629</v>
      </c>
      <c r="AK168" s="1">
        <v>558629</v>
      </c>
      <c r="AL168" s="1">
        <v>105292</v>
      </c>
      <c r="AM168" s="1">
        <v>534066</v>
      </c>
      <c r="AN168" s="1">
        <v>58639</v>
      </c>
      <c r="AO168" s="1">
        <v>697997</v>
      </c>
      <c r="AP168" s="1">
        <v>1260608</v>
      </c>
      <c r="AQ168" s="1">
        <v>1027245</v>
      </c>
      <c r="AR168" s="1">
        <v>19485</v>
      </c>
      <c r="AS168" s="1">
        <v>19485</v>
      </c>
      <c r="AT168" s="1">
        <v>1046730</v>
      </c>
      <c r="AU168" s="1">
        <v>99335</v>
      </c>
      <c r="AV168" s="1">
        <v>1146065</v>
      </c>
      <c r="AW168" s="1">
        <v>1146065</v>
      </c>
      <c r="AZ168" s="1">
        <v>32873800</v>
      </c>
      <c r="BA168" s="1">
        <v>3771</v>
      </c>
      <c r="BC168" s="1">
        <v>54350</v>
      </c>
      <c r="BE168" s="1">
        <v>217545</v>
      </c>
      <c r="BF168" s="1">
        <v>7540</v>
      </c>
      <c r="BU168" s="1">
        <v>3982</v>
      </c>
      <c r="BV168" s="1">
        <v>3982</v>
      </c>
      <c r="CF168" s="1">
        <v>820376</v>
      </c>
    </row>
    <row r="169" spans="1:118">
      <c r="A169" s="1">
        <v>7</v>
      </c>
      <c r="B169" s="1">
        <v>1900</v>
      </c>
      <c r="C169" s="1" t="s">
        <v>1274</v>
      </c>
      <c r="D169" s="1" t="s">
        <v>1126</v>
      </c>
      <c r="G169" s="1">
        <v>2544</v>
      </c>
      <c r="H169" s="1">
        <v>111761</v>
      </c>
      <c r="I169" s="1">
        <v>112</v>
      </c>
      <c r="J169" s="1">
        <v>114417</v>
      </c>
      <c r="K169" s="1">
        <v>554822</v>
      </c>
      <c r="M169" s="1">
        <v>888023</v>
      </c>
      <c r="N169" s="1">
        <v>328197</v>
      </c>
      <c r="O169" s="1">
        <v>1771042</v>
      </c>
      <c r="Q169" s="1">
        <v>26645049</v>
      </c>
      <c r="R169" s="1">
        <v>11817</v>
      </c>
      <c r="S169" s="1">
        <v>362478</v>
      </c>
      <c r="V169" s="1">
        <v>381701</v>
      </c>
      <c r="W169" s="1">
        <v>27389228</v>
      </c>
      <c r="Z169" s="1">
        <v>1354448</v>
      </c>
      <c r="AB169" s="1">
        <v>85518</v>
      </c>
      <c r="AC169" s="1">
        <v>163551</v>
      </c>
      <c r="AD169" s="1">
        <v>1950490</v>
      </c>
      <c r="AE169" s="1">
        <v>1070394</v>
      </c>
      <c r="AG169" s="1">
        <v>4672750</v>
      </c>
      <c r="AH169" s="1">
        <v>32082924</v>
      </c>
      <c r="AJ169" s="1">
        <v>256653</v>
      </c>
      <c r="AK169" s="1">
        <v>256653</v>
      </c>
      <c r="AM169" s="1">
        <v>482130</v>
      </c>
      <c r="AN169" s="1">
        <v>57288</v>
      </c>
      <c r="AO169" s="1">
        <v>539418</v>
      </c>
      <c r="AP169" s="1">
        <v>796071</v>
      </c>
      <c r="AQ169" s="1">
        <v>1700213</v>
      </c>
      <c r="AR169" s="1">
        <v>117948</v>
      </c>
      <c r="AS169" s="1">
        <v>117948</v>
      </c>
      <c r="AT169" s="1">
        <v>1818161</v>
      </c>
      <c r="AU169" s="1">
        <v>95745</v>
      </c>
      <c r="AV169" s="1">
        <v>1914273</v>
      </c>
      <c r="AW169" s="1">
        <v>1914273</v>
      </c>
      <c r="AY169" s="1">
        <v>-367</v>
      </c>
      <c r="AZ169" s="1">
        <v>36678360</v>
      </c>
      <c r="BC169" s="1">
        <v>350661</v>
      </c>
      <c r="BE169" s="1">
        <v>45540</v>
      </c>
      <c r="BF169" s="1">
        <v>2809</v>
      </c>
      <c r="BL169" s="1">
        <v>367</v>
      </c>
      <c r="BY169" s="1">
        <v>-367</v>
      </c>
      <c r="CG169" s="1">
        <v>20946</v>
      </c>
    </row>
    <row r="170" spans="1:118">
      <c r="A170" s="1">
        <v>7</v>
      </c>
      <c r="B170" s="1">
        <v>2130</v>
      </c>
      <c r="C170" s="1" t="s">
        <v>1274</v>
      </c>
      <c r="D170" s="1" t="s">
        <v>1127</v>
      </c>
      <c r="G170" s="1">
        <v>32356</v>
      </c>
      <c r="J170" s="1">
        <v>32356</v>
      </c>
      <c r="K170" s="1">
        <v>100000</v>
      </c>
      <c r="L170" s="1">
        <v>82000</v>
      </c>
      <c r="O170" s="1">
        <v>182000</v>
      </c>
      <c r="Q170" s="1">
        <v>741785</v>
      </c>
      <c r="V170" s="1">
        <v>12111</v>
      </c>
      <c r="W170" s="1">
        <v>753896</v>
      </c>
      <c r="X170" s="1">
        <v>503226</v>
      </c>
      <c r="Y170" s="1">
        <v>84323</v>
      </c>
      <c r="Z170" s="1">
        <v>107285</v>
      </c>
      <c r="AC170" s="1">
        <v>17336</v>
      </c>
      <c r="AG170" s="1">
        <v>743656</v>
      </c>
      <c r="AH170" s="1">
        <v>1497552</v>
      </c>
      <c r="AZ170" s="1">
        <v>1711908</v>
      </c>
      <c r="BE170" s="1">
        <v>21629</v>
      </c>
      <c r="BF170" s="1">
        <v>1044</v>
      </c>
      <c r="CF170" s="1">
        <v>8813</v>
      </c>
    </row>
    <row r="171" spans="1:118">
      <c r="A171" s="1">
        <v>7</v>
      </c>
      <c r="B171" s="1">
        <v>2540</v>
      </c>
      <c r="C171" s="1" t="s">
        <v>1274</v>
      </c>
      <c r="D171" s="1" t="s">
        <v>1128</v>
      </c>
      <c r="F171" s="1">
        <v>315</v>
      </c>
      <c r="G171" s="1">
        <v>90627</v>
      </c>
      <c r="H171" s="1">
        <v>81834</v>
      </c>
      <c r="I171" s="1">
        <v>1113</v>
      </c>
      <c r="J171" s="1">
        <v>200593</v>
      </c>
      <c r="K171" s="1">
        <v>100000</v>
      </c>
      <c r="O171" s="1">
        <v>100000</v>
      </c>
      <c r="P171" s="1">
        <v>11953</v>
      </c>
      <c r="Q171" s="1">
        <v>2473606</v>
      </c>
      <c r="V171" s="1">
        <v>42499</v>
      </c>
      <c r="W171" s="1">
        <v>2516435</v>
      </c>
      <c r="X171" s="1">
        <v>812780</v>
      </c>
      <c r="Y171" s="1">
        <v>20349</v>
      </c>
      <c r="Z171" s="1">
        <v>215514</v>
      </c>
      <c r="AA171" s="1">
        <v>4636</v>
      </c>
      <c r="AC171" s="1">
        <v>33465</v>
      </c>
      <c r="AD171" s="1">
        <v>153445</v>
      </c>
      <c r="AE171" s="1">
        <v>73665</v>
      </c>
      <c r="AF171" s="1">
        <v>14842</v>
      </c>
      <c r="AG171" s="1">
        <v>1639990</v>
      </c>
      <c r="AH171" s="1">
        <v>4168378</v>
      </c>
      <c r="AI171" s="1">
        <v>9921</v>
      </c>
      <c r="AJ171" s="1">
        <v>406</v>
      </c>
      <c r="AK171" s="1">
        <v>10327</v>
      </c>
      <c r="AL171" s="1">
        <v>51866</v>
      </c>
      <c r="AM171" s="1">
        <v>73919</v>
      </c>
      <c r="AN171" s="1">
        <v>8433</v>
      </c>
      <c r="AO171" s="1">
        <v>134218</v>
      </c>
      <c r="AP171" s="1">
        <v>145353</v>
      </c>
      <c r="AX171" s="1">
        <v>11953</v>
      </c>
      <c r="AY171" s="1">
        <v>-11953</v>
      </c>
      <c r="AZ171" s="1">
        <v>4614324</v>
      </c>
      <c r="BA171" s="1">
        <v>26704</v>
      </c>
      <c r="BE171" s="1">
        <v>41009</v>
      </c>
      <c r="BR171" s="1">
        <v>141147</v>
      </c>
      <c r="BU171" s="1">
        <v>808</v>
      </c>
      <c r="BV171" s="1">
        <v>808</v>
      </c>
      <c r="CF171" s="1">
        <v>129138</v>
      </c>
      <c r="CZ171" s="1">
        <v>330</v>
      </c>
    </row>
    <row r="172" spans="1:118">
      <c r="A172" s="1">
        <v>7</v>
      </c>
      <c r="B172" s="1">
        <v>2560</v>
      </c>
      <c r="C172" s="1" t="s">
        <v>1274</v>
      </c>
      <c r="D172" s="1" t="s">
        <v>1129</v>
      </c>
      <c r="F172" s="1">
        <v>17923</v>
      </c>
      <c r="G172" s="1">
        <v>310662</v>
      </c>
      <c r="I172" s="1">
        <v>16178</v>
      </c>
      <c r="J172" s="1">
        <v>344763</v>
      </c>
      <c r="K172" s="1">
        <v>116384</v>
      </c>
      <c r="L172" s="1">
        <v>226403</v>
      </c>
      <c r="M172" s="1">
        <v>34672</v>
      </c>
      <c r="N172" s="1">
        <v>24204</v>
      </c>
      <c r="O172" s="1">
        <v>401663</v>
      </c>
      <c r="Q172" s="1">
        <v>3561644</v>
      </c>
      <c r="U172" s="1">
        <v>1445</v>
      </c>
      <c r="V172" s="1">
        <v>62091</v>
      </c>
      <c r="W172" s="1">
        <v>3625180</v>
      </c>
      <c r="X172" s="1">
        <v>1449355</v>
      </c>
      <c r="Y172" s="1">
        <v>133933</v>
      </c>
      <c r="Z172" s="1">
        <v>511360</v>
      </c>
      <c r="AB172" s="1">
        <v>14216</v>
      </c>
      <c r="AC172" s="1">
        <v>46850</v>
      </c>
      <c r="AD172" s="1">
        <v>266015</v>
      </c>
      <c r="AE172" s="1">
        <v>151929</v>
      </c>
      <c r="AG172" s="1">
        <v>3337468</v>
      </c>
      <c r="AH172" s="1">
        <v>6962648</v>
      </c>
      <c r="AJ172" s="1">
        <v>16927</v>
      </c>
      <c r="AK172" s="1">
        <v>441393</v>
      </c>
      <c r="AL172" s="1">
        <v>177842</v>
      </c>
      <c r="AM172" s="1">
        <v>106954</v>
      </c>
      <c r="AN172" s="1">
        <v>313123</v>
      </c>
      <c r="AO172" s="1">
        <v>597919</v>
      </c>
      <c r="AP172" s="1">
        <v>1039312</v>
      </c>
      <c r="AQ172" s="1">
        <v>16363</v>
      </c>
      <c r="AT172" s="1">
        <v>16363</v>
      </c>
      <c r="AU172" s="1">
        <v>37600</v>
      </c>
      <c r="AV172" s="1">
        <v>53963</v>
      </c>
      <c r="AW172" s="1">
        <v>53963</v>
      </c>
      <c r="AZ172" s="1">
        <v>8802349</v>
      </c>
      <c r="BE172" s="1">
        <v>93541</v>
      </c>
      <c r="BF172" s="1">
        <v>65318</v>
      </c>
      <c r="BI172" s="1">
        <v>283101</v>
      </c>
      <c r="BJ172" s="1">
        <v>141365</v>
      </c>
      <c r="BR172" s="1">
        <v>604951</v>
      </c>
    </row>
    <row r="173" spans="1:118">
      <c r="A173" s="1">
        <v>7</v>
      </c>
      <c r="B173" s="1">
        <v>2670</v>
      </c>
      <c r="C173" s="1" t="s">
        <v>1274</v>
      </c>
      <c r="D173" s="1" t="s">
        <v>1130</v>
      </c>
      <c r="F173" s="1">
        <v>1026020</v>
      </c>
      <c r="H173" s="1">
        <v>159212</v>
      </c>
      <c r="I173" s="1">
        <v>1</v>
      </c>
      <c r="J173" s="1">
        <v>1185233</v>
      </c>
      <c r="K173" s="1">
        <v>573498</v>
      </c>
      <c r="L173" s="1">
        <v>160537</v>
      </c>
      <c r="M173" s="1">
        <v>723227</v>
      </c>
      <c r="N173" s="1">
        <v>201</v>
      </c>
      <c r="O173" s="1">
        <v>1457463</v>
      </c>
      <c r="Q173" s="1">
        <v>13587700</v>
      </c>
      <c r="V173" s="1">
        <v>188113</v>
      </c>
      <c r="W173" s="1">
        <v>13775813</v>
      </c>
      <c r="X173" s="1">
        <v>9850927</v>
      </c>
      <c r="Y173" s="1">
        <v>1037586</v>
      </c>
      <c r="Z173" s="1">
        <v>2255294</v>
      </c>
      <c r="AA173" s="1">
        <v>100382</v>
      </c>
      <c r="AB173" s="1">
        <v>25439</v>
      </c>
      <c r="AC173" s="1">
        <v>265413</v>
      </c>
      <c r="AD173" s="1">
        <v>2015550</v>
      </c>
      <c r="AE173" s="1">
        <v>1114149</v>
      </c>
      <c r="AF173" s="1">
        <v>196186</v>
      </c>
      <c r="AG173" s="1">
        <v>18961938</v>
      </c>
      <c r="AH173" s="1">
        <v>32760220</v>
      </c>
      <c r="AJ173" s="1">
        <v>258434</v>
      </c>
      <c r="AK173" s="1">
        <v>2119286</v>
      </c>
      <c r="AL173" s="1">
        <v>1085625</v>
      </c>
      <c r="AM173" s="1">
        <v>647088</v>
      </c>
      <c r="AN173" s="1">
        <v>695529</v>
      </c>
      <c r="AO173" s="1">
        <v>2428242</v>
      </c>
      <c r="AP173" s="1">
        <v>4547528</v>
      </c>
      <c r="AQ173" s="1">
        <v>986467</v>
      </c>
      <c r="AT173" s="1">
        <v>986467</v>
      </c>
      <c r="AU173" s="1">
        <v>950587</v>
      </c>
      <c r="AV173" s="1">
        <v>1937054</v>
      </c>
      <c r="AW173" s="1">
        <v>1937054</v>
      </c>
      <c r="AY173" s="1">
        <v>-38539</v>
      </c>
      <c r="AZ173" s="1">
        <v>41848959</v>
      </c>
      <c r="BE173" s="1">
        <v>508515</v>
      </c>
      <c r="BF173" s="1">
        <v>12460</v>
      </c>
      <c r="BH173" s="1">
        <v>22469</v>
      </c>
      <c r="BI173" s="1">
        <v>1130478</v>
      </c>
      <c r="BJ173" s="1">
        <v>730374</v>
      </c>
      <c r="BR173" s="1">
        <v>16680</v>
      </c>
      <c r="BY173" s="1">
        <v>-38539</v>
      </c>
      <c r="CA173" s="1">
        <v>22469</v>
      </c>
      <c r="CF173" s="1">
        <v>1563357</v>
      </c>
    </row>
    <row r="174" spans="1:118">
      <c r="A174" s="1">
        <v>7</v>
      </c>
      <c r="B174" s="1">
        <v>2890</v>
      </c>
      <c r="C174" s="1" t="s">
        <v>1274</v>
      </c>
      <c r="D174" s="1" t="s">
        <v>1131</v>
      </c>
      <c r="F174" s="1">
        <v>32527</v>
      </c>
      <c r="G174" s="1">
        <v>43913</v>
      </c>
      <c r="H174" s="1">
        <v>4513</v>
      </c>
      <c r="I174" s="1">
        <v>2</v>
      </c>
      <c r="J174" s="1">
        <v>80955</v>
      </c>
      <c r="K174" s="1">
        <v>105205</v>
      </c>
      <c r="L174" s="1">
        <v>66071</v>
      </c>
      <c r="M174" s="1">
        <v>16167</v>
      </c>
      <c r="N174" s="1">
        <v>1</v>
      </c>
      <c r="O174" s="1">
        <v>187444</v>
      </c>
      <c r="Q174" s="1">
        <v>2953866</v>
      </c>
      <c r="U174" s="1">
        <v>38479</v>
      </c>
      <c r="V174" s="1">
        <v>2527</v>
      </c>
      <c r="W174" s="1">
        <v>2994872</v>
      </c>
      <c r="X174" s="1">
        <v>1208443</v>
      </c>
      <c r="Y174" s="1">
        <v>55984</v>
      </c>
      <c r="Z174" s="1">
        <v>624162</v>
      </c>
      <c r="AA174" s="1">
        <v>36</v>
      </c>
      <c r="AC174" s="1">
        <v>47399</v>
      </c>
      <c r="AD174" s="1">
        <v>456820</v>
      </c>
      <c r="AE174" s="1">
        <v>203665</v>
      </c>
      <c r="AG174" s="1">
        <v>3081070</v>
      </c>
      <c r="AH174" s="1">
        <v>6075942</v>
      </c>
      <c r="AJ174" s="1">
        <v>2112</v>
      </c>
      <c r="AK174" s="1">
        <v>250056</v>
      </c>
      <c r="AL174" s="1">
        <v>128194</v>
      </c>
      <c r="AM174" s="1">
        <v>161787</v>
      </c>
      <c r="AN174" s="1">
        <v>173692</v>
      </c>
      <c r="AO174" s="1">
        <v>463673</v>
      </c>
      <c r="AP174" s="1">
        <v>713729</v>
      </c>
      <c r="AQ174" s="1">
        <v>187002</v>
      </c>
      <c r="AT174" s="1">
        <v>187002</v>
      </c>
      <c r="AU174" s="1">
        <v>132719</v>
      </c>
      <c r="AV174" s="1">
        <v>319721</v>
      </c>
      <c r="AW174" s="1">
        <v>319721</v>
      </c>
      <c r="AZ174" s="1">
        <v>7377791</v>
      </c>
      <c r="BE174" s="1">
        <v>77928</v>
      </c>
      <c r="BI174" s="1">
        <v>156944</v>
      </c>
      <c r="BJ174" s="1">
        <v>91000</v>
      </c>
      <c r="BR174" s="1">
        <v>213056</v>
      </c>
      <c r="CF174" s="1">
        <v>193577</v>
      </c>
    </row>
    <row r="175" spans="1:118">
      <c r="A175" s="1">
        <v>7</v>
      </c>
      <c r="B175" s="1">
        <v>3110</v>
      </c>
      <c r="C175" s="1" t="s">
        <v>1274</v>
      </c>
      <c r="D175" s="1" t="s">
        <v>1132</v>
      </c>
      <c r="E175" s="1">
        <v>43000</v>
      </c>
      <c r="F175" s="1">
        <v>45183</v>
      </c>
      <c r="G175" s="1">
        <v>121019</v>
      </c>
      <c r="H175" s="1">
        <v>6075</v>
      </c>
      <c r="J175" s="1">
        <v>345089</v>
      </c>
      <c r="K175" s="1">
        <v>133800</v>
      </c>
      <c r="M175" s="1">
        <v>3469</v>
      </c>
      <c r="N175" s="1">
        <v>495</v>
      </c>
      <c r="O175" s="1">
        <v>137764</v>
      </c>
      <c r="Q175" s="1">
        <v>3855209</v>
      </c>
      <c r="S175" s="1">
        <v>25005</v>
      </c>
      <c r="V175" s="1">
        <v>41193</v>
      </c>
      <c r="W175" s="1">
        <v>3932907</v>
      </c>
      <c r="X175" s="1">
        <v>167707</v>
      </c>
      <c r="Y175" s="1">
        <v>154491</v>
      </c>
      <c r="Z175" s="1">
        <v>422677</v>
      </c>
      <c r="AA175" s="1">
        <v>5876</v>
      </c>
      <c r="AC175" s="1">
        <v>47180</v>
      </c>
      <c r="AD175" s="1">
        <v>295378</v>
      </c>
      <c r="AE175" s="1">
        <v>162788</v>
      </c>
      <c r="AG175" s="1">
        <v>1811669</v>
      </c>
      <c r="AH175" s="1">
        <v>5744576</v>
      </c>
      <c r="AJ175" s="1">
        <v>291588</v>
      </c>
      <c r="AK175" s="1">
        <v>596418</v>
      </c>
      <c r="AL175" s="1">
        <v>81121</v>
      </c>
      <c r="AM175" s="1">
        <v>116083</v>
      </c>
      <c r="AN175" s="1">
        <v>6719</v>
      </c>
      <c r="AO175" s="1">
        <v>203923</v>
      </c>
      <c r="AP175" s="1">
        <v>800341</v>
      </c>
      <c r="AQ175" s="1">
        <v>305092</v>
      </c>
      <c r="AT175" s="1">
        <v>305092</v>
      </c>
      <c r="AU175" s="1">
        <v>21769</v>
      </c>
      <c r="AV175" s="1">
        <v>326861</v>
      </c>
      <c r="AW175" s="1">
        <v>326861</v>
      </c>
      <c r="AZ175" s="1">
        <v>7354631</v>
      </c>
      <c r="BB175" s="1">
        <v>115000</v>
      </c>
      <c r="BC175" s="1">
        <v>25005</v>
      </c>
      <c r="BE175" s="1">
        <v>46229</v>
      </c>
      <c r="BF175" s="1">
        <v>33669</v>
      </c>
      <c r="BI175" s="1">
        <v>204379</v>
      </c>
      <c r="BJ175" s="1">
        <v>100451</v>
      </c>
      <c r="CF175" s="1">
        <v>475674</v>
      </c>
      <c r="CL175" s="1">
        <v>14812</v>
      </c>
      <c r="DN175" s="1">
        <v>11500</v>
      </c>
    </row>
    <row r="176" spans="1:118">
      <c r="A176" s="1">
        <v>7</v>
      </c>
      <c r="B176" s="1">
        <v>3420</v>
      </c>
      <c r="C176" s="1" t="s">
        <v>1274</v>
      </c>
      <c r="D176" s="1" t="s">
        <v>1133</v>
      </c>
      <c r="G176" s="1">
        <v>53889</v>
      </c>
      <c r="I176" s="1">
        <v>1108</v>
      </c>
      <c r="J176" s="1">
        <v>54997</v>
      </c>
      <c r="K176" s="1">
        <v>145050</v>
      </c>
      <c r="L176" s="1">
        <v>415649</v>
      </c>
      <c r="M176" s="1">
        <v>689976</v>
      </c>
      <c r="N176" s="1">
        <v>225866</v>
      </c>
      <c r="O176" s="1">
        <v>1476541</v>
      </c>
      <c r="Q176" s="1">
        <v>4160079</v>
      </c>
      <c r="S176" s="1">
        <v>103128</v>
      </c>
      <c r="U176" s="1">
        <v>62</v>
      </c>
      <c r="V176" s="1">
        <v>47704</v>
      </c>
      <c r="W176" s="1">
        <v>4310973</v>
      </c>
      <c r="X176" s="1">
        <v>2469391</v>
      </c>
      <c r="Y176" s="1">
        <v>50599</v>
      </c>
      <c r="Z176" s="1">
        <v>542932</v>
      </c>
      <c r="AA176" s="1">
        <v>10512</v>
      </c>
      <c r="AB176" s="1">
        <v>83816</v>
      </c>
      <c r="AC176" s="1">
        <v>74171</v>
      </c>
      <c r="AD176" s="1">
        <v>321270</v>
      </c>
      <c r="AE176" s="1">
        <v>207224</v>
      </c>
      <c r="AG176" s="1">
        <v>3859865</v>
      </c>
      <c r="AH176" s="1">
        <v>8170838</v>
      </c>
      <c r="AI176" s="1">
        <v>18432</v>
      </c>
      <c r="AK176" s="1">
        <v>18432</v>
      </c>
      <c r="AL176" s="1">
        <v>53168</v>
      </c>
      <c r="AM176" s="1">
        <v>157793</v>
      </c>
      <c r="AN176" s="1">
        <v>27025</v>
      </c>
      <c r="AO176" s="1">
        <v>237986</v>
      </c>
      <c r="AP176" s="1">
        <v>256418</v>
      </c>
      <c r="AQ176" s="1">
        <v>349218</v>
      </c>
      <c r="AT176" s="1">
        <v>349218</v>
      </c>
      <c r="AU176" s="1">
        <v>120384</v>
      </c>
      <c r="AV176" s="1">
        <v>531829</v>
      </c>
      <c r="AW176" s="1">
        <v>531829</v>
      </c>
      <c r="AX176" s="1">
        <v>62227</v>
      </c>
      <c r="AZ176" s="1">
        <v>10552850</v>
      </c>
      <c r="BC176" s="1">
        <v>103128</v>
      </c>
      <c r="BE176" s="1">
        <v>94981</v>
      </c>
      <c r="BF176" s="1">
        <v>4969</v>
      </c>
      <c r="BL176" s="1">
        <v>62227</v>
      </c>
      <c r="BY176" s="1">
        <v>62227</v>
      </c>
    </row>
    <row r="177" spans="1:119">
      <c r="A177" s="1">
        <v>7</v>
      </c>
      <c r="B177" s="1">
        <v>3770</v>
      </c>
      <c r="C177" s="1" t="s">
        <v>1274</v>
      </c>
      <c r="D177" s="1" t="s">
        <v>1134</v>
      </c>
      <c r="I177" s="1">
        <v>1166</v>
      </c>
      <c r="J177" s="1">
        <v>49166</v>
      </c>
      <c r="K177" s="1">
        <v>170132</v>
      </c>
      <c r="L177" s="1">
        <v>112000</v>
      </c>
      <c r="O177" s="1">
        <v>282132</v>
      </c>
      <c r="Q177" s="1">
        <v>3851946</v>
      </c>
      <c r="S177" s="1">
        <v>671703</v>
      </c>
      <c r="U177" s="1">
        <v>52</v>
      </c>
      <c r="V177" s="1">
        <v>60031</v>
      </c>
      <c r="W177" s="1">
        <v>4583732</v>
      </c>
      <c r="X177" s="1">
        <v>1395991</v>
      </c>
      <c r="Y177" s="1">
        <v>64993</v>
      </c>
      <c r="Z177" s="1">
        <v>366758</v>
      </c>
      <c r="AB177" s="1">
        <v>33387</v>
      </c>
      <c r="AC177" s="1">
        <v>55079</v>
      </c>
      <c r="AD177" s="1">
        <v>439291</v>
      </c>
      <c r="AE177" s="1">
        <v>183838</v>
      </c>
      <c r="AG177" s="1">
        <v>2801831</v>
      </c>
      <c r="AH177" s="1">
        <v>7385563</v>
      </c>
      <c r="AI177" s="1">
        <v>25890</v>
      </c>
      <c r="AK177" s="1">
        <v>25890</v>
      </c>
      <c r="AL177" s="1">
        <v>89635</v>
      </c>
      <c r="AM177" s="1">
        <v>125936</v>
      </c>
      <c r="AN177" s="1">
        <v>29511</v>
      </c>
      <c r="AO177" s="1">
        <v>245082</v>
      </c>
      <c r="AP177" s="1">
        <v>270972</v>
      </c>
      <c r="AQ177" s="1">
        <v>69304</v>
      </c>
      <c r="AT177" s="1">
        <v>69304</v>
      </c>
      <c r="AU177" s="1">
        <v>34847</v>
      </c>
      <c r="AV177" s="1">
        <v>104151</v>
      </c>
      <c r="AW177" s="1">
        <v>104151</v>
      </c>
      <c r="AZ177" s="1">
        <v>8091984</v>
      </c>
      <c r="BC177" s="1">
        <v>671703</v>
      </c>
      <c r="BE177" s="1">
        <v>63230</v>
      </c>
      <c r="BF177" s="1">
        <v>325</v>
      </c>
      <c r="BR177" s="1">
        <v>136792</v>
      </c>
      <c r="CD177" s="1">
        <v>48000</v>
      </c>
      <c r="CF177" s="1">
        <v>62147</v>
      </c>
    </row>
    <row r="178" spans="1:119">
      <c r="A178" s="1">
        <v>7</v>
      </c>
      <c r="B178" s="1">
        <v>4060</v>
      </c>
      <c r="C178" s="1" t="s">
        <v>1274</v>
      </c>
      <c r="D178" s="1" t="s">
        <v>1135</v>
      </c>
      <c r="F178" s="1">
        <v>1559072</v>
      </c>
      <c r="G178" s="1">
        <v>4873894</v>
      </c>
      <c r="H178" s="1">
        <v>4399586</v>
      </c>
      <c r="I178" s="1">
        <v>1185</v>
      </c>
      <c r="J178" s="1">
        <v>11165924</v>
      </c>
      <c r="K178" s="1">
        <v>1497863</v>
      </c>
      <c r="L178" s="1">
        <v>357359</v>
      </c>
      <c r="M178" s="1">
        <v>749432</v>
      </c>
      <c r="N178" s="1">
        <v>9376</v>
      </c>
      <c r="O178" s="1">
        <v>2614030</v>
      </c>
      <c r="P178" s="1">
        <v>39412</v>
      </c>
      <c r="Q178" s="1">
        <v>33134647</v>
      </c>
      <c r="R178" s="1">
        <v>661103</v>
      </c>
      <c r="S178" s="1">
        <v>661103</v>
      </c>
      <c r="V178" s="1">
        <v>1141635</v>
      </c>
      <c r="W178" s="1">
        <v>34937385</v>
      </c>
      <c r="X178" s="1">
        <v>20787488</v>
      </c>
      <c r="Y178" s="1">
        <v>2589163</v>
      </c>
      <c r="Z178" s="1">
        <v>5248588</v>
      </c>
      <c r="AA178" s="1">
        <v>171750</v>
      </c>
      <c r="AB178" s="1">
        <v>223764</v>
      </c>
      <c r="AC178" s="1">
        <v>653643</v>
      </c>
      <c r="AD178" s="1">
        <v>5369817</v>
      </c>
      <c r="AE178" s="1">
        <v>2475926</v>
      </c>
      <c r="AG178" s="1">
        <v>39099008</v>
      </c>
      <c r="AH178" s="1">
        <v>74177624</v>
      </c>
      <c r="AJ178" s="1">
        <v>745415</v>
      </c>
      <c r="AK178" s="1">
        <v>5319281</v>
      </c>
      <c r="AL178" s="1">
        <v>537575</v>
      </c>
      <c r="AM178" s="1">
        <v>1660592</v>
      </c>
      <c r="AN178" s="1">
        <v>370551</v>
      </c>
      <c r="AO178" s="1">
        <v>2568718</v>
      </c>
      <c r="AP178" s="1">
        <v>7890421</v>
      </c>
      <c r="AQ178" s="1">
        <v>2169042</v>
      </c>
      <c r="AT178" s="1">
        <v>2169042</v>
      </c>
      <c r="AU178" s="1">
        <v>1757937</v>
      </c>
      <c r="AV178" s="1">
        <v>3926979</v>
      </c>
      <c r="AW178" s="1">
        <v>3926979</v>
      </c>
      <c r="AY178" s="1">
        <v>-38468</v>
      </c>
      <c r="AZ178" s="1">
        <v>99774978</v>
      </c>
      <c r="BA178" s="1">
        <v>332187</v>
      </c>
      <c r="BE178" s="1">
        <v>979630</v>
      </c>
      <c r="BF178" s="1">
        <v>553618</v>
      </c>
      <c r="BH178" s="1">
        <v>52103</v>
      </c>
      <c r="BI178" s="1">
        <v>2727887</v>
      </c>
      <c r="BJ178" s="1">
        <v>1845979</v>
      </c>
      <c r="BR178" s="1">
        <v>45621</v>
      </c>
      <c r="BU178" s="1">
        <v>2422</v>
      </c>
      <c r="BV178" s="1">
        <v>2422</v>
      </c>
      <c r="CA178" s="1">
        <v>52103</v>
      </c>
      <c r="CC178" s="1">
        <v>38468</v>
      </c>
      <c r="CJ178" s="1">
        <v>4756945</v>
      </c>
      <c r="CX178" s="1">
        <v>49716</v>
      </c>
    </row>
    <row r="179" spans="1:119">
      <c r="A179" s="1">
        <v>7</v>
      </c>
      <c r="B179" s="1">
        <v>4110</v>
      </c>
      <c r="C179" s="1" t="s">
        <v>1274</v>
      </c>
      <c r="D179" s="1" t="s">
        <v>1136</v>
      </c>
      <c r="I179" s="1">
        <v>76000</v>
      </c>
      <c r="J179" s="1">
        <v>76000</v>
      </c>
      <c r="K179" s="1">
        <v>608603</v>
      </c>
      <c r="L179" s="1">
        <v>520819</v>
      </c>
      <c r="M179" s="1">
        <v>45187</v>
      </c>
      <c r="N179" s="1">
        <v>41696</v>
      </c>
      <c r="O179" s="1">
        <v>1216305</v>
      </c>
      <c r="Q179" s="1">
        <v>9066552</v>
      </c>
      <c r="R179" s="1">
        <v>5183600</v>
      </c>
      <c r="S179" s="1">
        <v>5183600</v>
      </c>
      <c r="T179" s="1">
        <v>90078</v>
      </c>
      <c r="U179" s="1">
        <v>2000</v>
      </c>
      <c r="V179" s="1">
        <v>137421</v>
      </c>
      <c r="W179" s="1">
        <v>14479651</v>
      </c>
      <c r="X179" s="1">
        <v>8529386</v>
      </c>
      <c r="Y179" s="1">
        <v>657159</v>
      </c>
      <c r="Z179" s="1">
        <v>1189620</v>
      </c>
      <c r="AA179" s="1">
        <v>2586</v>
      </c>
      <c r="AB179" s="1">
        <v>55713</v>
      </c>
      <c r="AC179" s="1">
        <v>197167</v>
      </c>
      <c r="AD179" s="1">
        <v>1683280</v>
      </c>
      <c r="AE179" s="1">
        <v>1054527</v>
      </c>
      <c r="AG179" s="1">
        <v>15069579</v>
      </c>
      <c r="AH179" s="1">
        <v>29553942</v>
      </c>
      <c r="AK179" s="1">
        <v>1226283</v>
      </c>
      <c r="AL179" s="1">
        <v>672168</v>
      </c>
      <c r="AM179" s="1">
        <v>407618</v>
      </c>
      <c r="AN179" s="1">
        <v>157566</v>
      </c>
      <c r="AO179" s="1">
        <v>1237352</v>
      </c>
      <c r="AP179" s="1">
        <v>2463635</v>
      </c>
      <c r="AQ179" s="1">
        <v>627268</v>
      </c>
      <c r="AT179" s="1">
        <v>627268</v>
      </c>
      <c r="AU179" s="1">
        <v>824528</v>
      </c>
      <c r="AV179" s="1">
        <v>1451796</v>
      </c>
      <c r="AW179" s="1">
        <v>1451796</v>
      </c>
      <c r="AZ179" s="1">
        <v>34761678</v>
      </c>
      <c r="BE179" s="1">
        <v>388868</v>
      </c>
      <c r="BF179" s="1">
        <v>151206</v>
      </c>
      <c r="BH179" s="1">
        <v>4712</v>
      </c>
      <c r="BI179" s="1">
        <v>818556</v>
      </c>
      <c r="BJ179" s="1">
        <v>407727</v>
      </c>
      <c r="BR179" s="1">
        <v>12574</v>
      </c>
      <c r="CA179" s="1">
        <v>4712</v>
      </c>
      <c r="CF179" s="1">
        <v>1147493</v>
      </c>
    </row>
    <row r="180" spans="1:119">
      <c r="A180" s="1">
        <v>7</v>
      </c>
      <c r="B180" s="1">
        <v>4590</v>
      </c>
      <c r="C180" s="1" t="s">
        <v>1274</v>
      </c>
      <c r="D180" s="1" t="s">
        <v>1137</v>
      </c>
      <c r="G180" s="1">
        <v>353315</v>
      </c>
      <c r="J180" s="1">
        <v>353315</v>
      </c>
      <c r="K180" s="1">
        <v>187200</v>
      </c>
      <c r="L180" s="1">
        <v>453000</v>
      </c>
      <c r="O180" s="1">
        <v>640200</v>
      </c>
      <c r="Q180" s="1">
        <v>5980814</v>
      </c>
      <c r="V180" s="1">
        <v>89772</v>
      </c>
      <c r="W180" s="1">
        <v>6070586</v>
      </c>
      <c r="X180" s="1">
        <v>2291391</v>
      </c>
      <c r="Y180" s="1">
        <v>112994</v>
      </c>
      <c r="Z180" s="1">
        <v>797747</v>
      </c>
      <c r="AB180" s="1">
        <v>35437</v>
      </c>
      <c r="AC180" s="1">
        <v>86789</v>
      </c>
      <c r="AD180" s="1">
        <v>824096</v>
      </c>
      <c r="AE180" s="1">
        <v>377002</v>
      </c>
      <c r="AG180" s="1">
        <v>4995959</v>
      </c>
      <c r="AH180" s="1">
        <v>11074296</v>
      </c>
      <c r="AI180" s="1">
        <v>41727</v>
      </c>
      <c r="AJ180" s="1">
        <v>213883</v>
      </c>
      <c r="AK180" s="1">
        <v>299101</v>
      </c>
      <c r="AL180" s="1">
        <v>127274</v>
      </c>
      <c r="AM180" s="1">
        <v>246459</v>
      </c>
      <c r="AN180" s="1">
        <v>55041</v>
      </c>
      <c r="AO180" s="1">
        <v>428774</v>
      </c>
      <c r="AP180" s="1">
        <v>727875</v>
      </c>
      <c r="AQ180" s="1">
        <v>183353</v>
      </c>
      <c r="AT180" s="1">
        <v>183353</v>
      </c>
      <c r="AU180" s="1">
        <v>114984</v>
      </c>
      <c r="AV180" s="1">
        <v>298337</v>
      </c>
      <c r="AW180" s="1">
        <v>298337</v>
      </c>
      <c r="AZ180" s="1">
        <v>13094023</v>
      </c>
      <c r="BE180" s="1">
        <v>110050</v>
      </c>
      <c r="BF180" s="1">
        <v>66267</v>
      </c>
      <c r="BH180" s="1">
        <v>7751</v>
      </c>
      <c r="BJ180" s="1">
        <v>43491</v>
      </c>
      <c r="CA180" s="1">
        <v>7751</v>
      </c>
      <c r="CF180" s="1">
        <v>294186</v>
      </c>
    </row>
    <row r="181" spans="1:119">
      <c r="A181" s="1">
        <v>7</v>
      </c>
      <c r="B181" s="1">
        <v>4790</v>
      </c>
      <c r="C181" s="1" t="s">
        <v>1274</v>
      </c>
      <c r="D181" s="1" t="s">
        <v>1138</v>
      </c>
      <c r="F181" s="1">
        <v>19279</v>
      </c>
      <c r="G181" s="1">
        <v>204953</v>
      </c>
      <c r="I181" s="1">
        <v>1</v>
      </c>
      <c r="J181" s="1">
        <v>224233</v>
      </c>
      <c r="K181" s="1">
        <v>104430</v>
      </c>
      <c r="L181" s="1">
        <v>129931</v>
      </c>
      <c r="M181" s="1">
        <v>32348</v>
      </c>
      <c r="N181" s="1">
        <v>40</v>
      </c>
      <c r="O181" s="1">
        <v>266749</v>
      </c>
      <c r="Q181" s="1">
        <v>3176056</v>
      </c>
      <c r="R181" s="1">
        <v>108563</v>
      </c>
      <c r="S181" s="1">
        <v>108563</v>
      </c>
      <c r="V181" s="1">
        <v>36012</v>
      </c>
      <c r="W181" s="1">
        <v>3320631</v>
      </c>
      <c r="X181" s="1">
        <v>1417064</v>
      </c>
      <c r="Y181" s="1">
        <v>36262</v>
      </c>
      <c r="Z181" s="1">
        <v>295919</v>
      </c>
      <c r="AA181" s="1">
        <v>10494</v>
      </c>
      <c r="AB181" s="1">
        <v>10048</v>
      </c>
      <c r="AC181" s="1">
        <v>52556</v>
      </c>
      <c r="AD181" s="1">
        <v>391740</v>
      </c>
      <c r="AE181" s="1">
        <v>202669</v>
      </c>
      <c r="AG181" s="1">
        <v>2483451</v>
      </c>
      <c r="AH181" s="1">
        <v>5804082</v>
      </c>
      <c r="AJ181" s="1">
        <v>201714</v>
      </c>
      <c r="AK181" s="1">
        <v>615278</v>
      </c>
      <c r="AL181" s="1">
        <v>93666</v>
      </c>
      <c r="AM181" s="1">
        <v>129526</v>
      </c>
      <c r="AN181" s="1">
        <v>7266</v>
      </c>
      <c r="AO181" s="1">
        <v>230458</v>
      </c>
      <c r="AP181" s="1">
        <v>845736</v>
      </c>
      <c r="AQ181" s="1">
        <v>221447</v>
      </c>
      <c r="AT181" s="1">
        <v>221447</v>
      </c>
      <c r="AU181" s="1">
        <v>134054</v>
      </c>
      <c r="AV181" s="1">
        <v>355501</v>
      </c>
      <c r="AW181" s="1">
        <v>355501</v>
      </c>
      <c r="AZ181" s="1">
        <v>7496301</v>
      </c>
      <c r="BE181" s="1">
        <v>66699</v>
      </c>
      <c r="BI181" s="1">
        <v>256054</v>
      </c>
      <c r="BJ181" s="1">
        <v>157510</v>
      </c>
    </row>
    <row r="182" spans="1:119">
      <c r="A182" s="1">
        <v>7</v>
      </c>
      <c r="B182" s="1">
        <v>5035</v>
      </c>
      <c r="C182" s="1" t="s">
        <v>1274</v>
      </c>
      <c r="D182" s="1" t="s">
        <v>1139</v>
      </c>
      <c r="H182" s="1">
        <v>6109</v>
      </c>
      <c r="I182" s="1">
        <v>203216</v>
      </c>
      <c r="J182" s="1">
        <v>209325</v>
      </c>
      <c r="K182" s="1">
        <v>258314</v>
      </c>
      <c r="L182" s="1">
        <v>15000</v>
      </c>
      <c r="O182" s="1">
        <v>273314</v>
      </c>
      <c r="Q182" s="1">
        <v>7035610</v>
      </c>
      <c r="R182" s="1">
        <v>2006401</v>
      </c>
      <c r="S182" s="1">
        <v>2006401</v>
      </c>
      <c r="U182" s="1">
        <v>16888</v>
      </c>
      <c r="V182" s="1">
        <v>52279</v>
      </c>
      <c r="W182" s="1">
        <v>9111178</v>
      </c>
      <c r="X182" s="1">
        <v>3297645</v>
      </c>
      <c r="Y182" s="1">
        <v>45126</v>
      </c>
      <c r="Z182" s="1">
        <v>686884</v>
      </c>
      <c r="AB182" s="1">
        <v>30353</v>
      </c>
      <c r="AC182" s="1">
        <v>94579</v>
      </c>
      <c r="AD182" s="1">
        <v>963567</v>
      </c>
      <c r="AE182" s="1">
        <v>405792</v>
      </c>
      <c r="AG182" s="1">
        <v>6128462</v>
      </c>
      <c r="AH182" s="1">
        <v>15239640</v>
      </c>
      <c r="AI182" s="1">
        <v>18843</v>
      </c>
      <c r="AJ182" s="1">
        <v>2129</v>
      </c>
      <c r="AK182" s="1">
        <v>20972</v>
      </c>
      <c r="AL182" s="1">
        <v>56720</v>
      </c>
      <c r="AM182" s="1">
        <v>196065</v>
      </c>
      <c r="AN182" s="1">
        <v>130769</v>
      </c>
      <c r="AO182" s="1">
        <v>383554</v>
      </c>
      <c r="AP182" s="1">
        <v>404526</v>
      </c>
      <c r="AQ182" s="1">
        <v>408176</v>
      </c>
      <c r="AT182" s="1">
        <v>408176</v>
      </c>
      <c r="AU182" s="1">
        <v>386607</v>
      </c>
      <c r="AV182" s="1">
        <v>794783</v>
      </c>
      <c r="AW182" s="1">
        <v>794783</v>
      </c>
      <c r="AY182" s="1">
        <v>187257</v>
      </c>
      <c r="AZ182" s="1">
        <v>17185528</v>
      </c>
      <c r="BE182" s="1">
        <v>138279</v>
      </c>
      <c r="BR182" s="1">
        <v>100000</v>
      </c>
      <c r="BY182" s="1">
        <v>263940</v>
      </c>
      <c r="CC182" s="1">
        <v>76683</v>
      </c>
      <c r="CF182" s="1">
        <v>366237</v>
      </c>
    </row>
    <row r="183" spans="1:119">
      <c r="A183" s="1">
        <v>7</v>
      </c>
      <c r="B183" s="1">
        <v>5080</v>
      </c>
      <c r="C183" s="1" t="s">
        <v>1274</v>
      </c>
      <c r="D183" s="1" t="s">
        <v>1140</v>
      </c>
      <c r="G183" s="1">
        <v>241451</v>
      </c>
      <c r="I183" s="1">
        <v>117512</v>
      </c>
      <c r="J183" s="1">
        <v>358963</v>
      </c>
      <c r="K183" s="1">
        <v>185926</v>
      </c>
      <c r="L183" s="1">
        <v>183942</v>
      </c>
      <c r="M183" s="1">
        <v>14967</v>
      </c>
      <c r="O183" s="1">
        <v>384835</v>
      </c>
      <c r="P183" s="1">
        <v>6718</v>
      </c>
      <c r="Q183" s="1">
        <v>5327650</v>
      </c>
      <c r="S183" s="1">
        <v>604854</v>
      </c>
      <c r="U183" s="1">
        <v>4525</v>
      </c>
      <c r="V183" s="1">
        <v>59455</v>
      </c>
      <c r="W183" s="1">
        <v>5996484</v>
      </c>
      <c r="X183" s="1">
        <v>2630076</v>
      </c>
      <c r="Y183" s="1">
        <v>92565</v>
      </c>
      <c r="Z183" s="1">
        <v>665469</v>
      </c>
      <c r="AA183" s="1">
        <v>24402</v>
      </c>
      <c r="AB183" s="1">
        <v>20586</v>
      </c>
      <c r="AC183" s="1">
        <v>89790</v>
      </c>
      <c r="AD183" s="1">
        <v>724474</v>
      </c>
      <c r="AE183" s="1">
        <v>358742</v>
      </c>
      <c r="AG183" s="1">
        <v>4723049</v>
      </c>
      <c r="AH183" s="1">
        <v>10792346</v>
      </c>
      <c r="AI183" s="1">
        <v>35007</v>
      </c>
      <c r="AJ183" s="1">
        <v>392155</v>
      </c>
      <c r="AK183" s="1">
        <v>427162</v>
      </c>
      <c r="AL183" s="1">
        <v>101644</v>
      </c>
      <c r="AM183" s="1">
        <v>199378</v>
      </c>
      <c r="AN183" s="1">
        <v>29410</v>
      </c>
      <c r="AO183" s="1">
        <v>330432</v>
      </c>
      <c r="AP183" s="1">
        <v>757594</v>
      </c>
      <c r="AQ183" s="1">
        <v>353949</v>
      </c>
      <c r="AT183" s="1">
        <v>353949</v>
      </c>
      <c r="AU183" s="1">
        <v>238276</v>
      </c>
      <c r="AV183" s="1">
        <v>592225</v>
      </c>
      <c r="AW183" s="1">
        <v>592225</v>
      </c>
      <c r="AZ183" s="1">
        <v>12885963</v>
      </c>
      <c r="BC183" s="1">
        <v>604854</v>
      </c>
      <c r="BE183" s="1">
        <v>96177</v>
      </c>
      <c r="BF183" s="1">
        <v>684</v>
      </c>
      <c r="BH183" s="1">
        <v>1500</v>
      </c>
      <c r="CA183" s="1">
        <v>1500</v>
      </c>
      <c r="CF183" s="1">
        <v>20084</v>
      </c>
      <c r="CG183" s="1">
        <v>64595</v>
      </c>
    </row>
    <row r="184" spans="1:119">
      <c r="A184" s="1">
        <v>7</v>
      </c>
      <c r="B184" s="1">
        <v>5400</v>
      </c>
      <c r="C184" s="1" t="s">
        <v>1274</v>
      </c>
      <c r="D184" s="1" t="s">
        <v>1142</v>
      </c>
      <c r="G184" s="1">
        <v>2550754</v>
      </c>
      <c r="H184" s="1">
        <v>2203449</v>
      </c>
      <c r="I184" s="1">
        <v>100</v>
      </c>
      <c r="J184" s="1">
        <v>4978098</v>
      </c>
      <c r="K184" s="1">
        <v>985573</v>
      </c>
      <c r="L184" s="1">
        <v>194552</v>
      </c>
      <c r="M184" s="1">
        <v>83976</v>
      </c>
      <c r="N184" s="1">
        <v>7642</v>
      </c>
      <c r="O184" s="1">
        <v>1271743</v>
      </c>
      <c r="Q184" s="1">
        <v>35490300</v>
      </c>
      <c r="V184" s="1">
        <v>560635</v>
      </c>
      <c r="W184" s="1">
        <v>36050935</v>
      </c>
      <c r="X184" s="1">
        <v>895971</v>
      </c>
      <c r="Y184" s="1">
        <v>847363</v>
      </c>
      <c r="Z184" s="1">
        <v>2291657</v>
      </c>
      <c r="AA184" s="1">
        <v>80592</v>
      </c>
      <c r="AB184" s="1">
        <v>139862</v>
      </c>
      <c r="AC184" s="1">
        <v>218522</v>
      </c>
      <c r="AD184" s="1">
        <v>2100544</v>
      </c>
      <c r="AE184" s="1">
        <v>1597709</v>
      </c>
      <c r="AG184" s="1">
        <v>10188524</v>
      </c>
      <c r="AH184" s="1">
        <v>46239728</v>
      </c>
      <c r="AJ184" s="1">
        <v>61914</v>
      </c>
      <c r="AK184" s="1">
        <v>61914</v>
      </c>
      <c r="AL184" s="1">
        <v>284511</v>
      </c>
      <c r="AM184" s="1">
        <v>756238</v>
      </c>
      <c r="AN184" s="1">
        <v>121167</v>
      </c>
      <c r="AO184" s="1">
        <v>1161916</v>
      </c>
      <c r="AP184" s="1">
        <v>1223830</v>
      </c>
      <c r="AQ184" s="1">
        <v>1328433</v>
      </c>
      <c r="AR184" s="1">
        <v>3539</v>
      </c>
      <c r="AS184" s="1">
        <v>3539</v>
      </c>
      <c r="AT184" s="1">
        <v>1331972</v>
      </c>
      <c r="AU184" s="1">
        <v>37501</v>
      </c>
      <c r="AV184" s="1">
        <v>1369473</v>
      </c>
      <c r="AW184" s="1">
        <v>1369473</v>
      </c>
      <c r="AZ184" s="1">
        <v>55082872</v>
      </c>
      <c r="BA184" s="1">
        <v>6188</v>
      </c>
      <c r="BE184" s="1">
        <v>158878</v>
      </c>
      <c r="BF184" s="1">
        <v>26283</v>
      </c>
      <c r="BH184" s="1">
        <v>269</v>
      </c>
      <c r="BR184" s="1">
        <v>1831143</v>
      </c>
      <c r="CA184" s="1">
        <v>269</v>
      </c>
      <c r="CL184" s="1">
        <v>217607</v>
      </c>
    </row>
    <row r="185" spans="1:119">
      <c r="A185" s="1">
        <v>7</v>
      </c>
      <c r="B185" s="1">
        <v>5560</v>
      </c>
      <c r="C185" s="1" t="s">
        <v>1274</v>
      </c>
      <c r="D185" s="1" t="s">
        <v>1143</v>
      </c>
      <c r="F185" s="1">
        <v>143558</v>
      </c>
      <c r="G185" s="1">
        <v>1282682</v>
      </c>
      <c r="H185" s="1">
        <v>371978</v>
      </c>
      <c r="I185" s="1">
        <v>5449</v>
      </c>
      <c r="J185" s="1">
        <v>1803667</v>
      </c>
      <c r="K185" s="1">
        <v>444916</v>
      </c>
      <c r="L185" s="1">
        <v>608349</v>
      </c>
      <c r="M185" s="1">
        <v>58309</v>
      </c>
      <c r="O185" s="1">
        <v>1111574</v>
      </c>
      <c r="Q185" s="1">
        <v>10257696</v>
      </c>
      <c r="S185" s="1">
        <v>80793</v>
      </c>
      <c r="U185" s="1">
        <v>3059</v>
      </c>
      <c r="V185" s="1">
        <v>833043</v>
      </c>
      <c r="W185" s="1">
        <v>11174591</v>
      </c>
      <c r="X185" s="1">
        <v>5155428</v>
      </c>
      <c r="Y185" s="1">
        <v>1142787</v>
      </c>
      <c r="Z185" s="1">
        <v>1432119</v>
      </c>
      <c r="AA185" s="1">
        <v>11118</v>
      </c>
      <c r="AB185" s="1">
        <v>45736</v>
      </c>
      <c r="AC185" s="1">
        <v>192559</v>
      </c>
      <c r="AD185" s="1">
        <v>702204</v>
      </c>
      <c r="AE185" s="1">
        <v>457820</v>
      </c>
      <c r="AG185" s="1">
        <v>11181281</v>
      </c>
      <c r="AH185" s="1">
        <v>22355872</v>
      </c>
      <c r="AI185" s="1">
        <v>26103</v>
      </c>
      <c r="AJ185" s="1">
        <v>129189</v>
      </c>
      <c r="AK185" s="1">
        <v>155292</v>
      </c>
      <c r="AL185" s="1">
        <v>130656</v>
      </c>
      <c r="AM185" s="1">
        <v>325113</v>
      </c>
      <c r="AN185" s="1">
        <v>42371</v>
      </c>
      <c r="AO185" s="1">
        <v>498140</v>
      </c>
      <c r="AP185" s="1">
        <v>653432</v>
      </c>
      <c r="AQ185" s="1">
        <v>60240</v>
      </c>
      <c r="AT185" s="1">
        <v>60240</v>
      </c>
      <c r="AV185" s="1">
        <v>60240</v>
      </c>
      <c r="AW185" s="1">
        <v>60240</v>
      </c>
      <c r="AZ185" s="1">
        <v>25984785</v>
      </c>
      <c r="BC185" s="1">
        <v>80793</v>
      </c>
      <c r="BE185" s="1">
        <v>291186</v>
      </c>
      <c r="BF185" s="1">
        <v>4253</v>
      </c>
      <c r="BR185" s="1">
        <v>1459767</v>
      </c>
      <c r="CF185" s="1">
        <v>286304</v>
      </c>
    </row>
    <row r="186" spans="1:119">
      <c r="A186" s="1">
        <v>7</v>
      </c>
      <c r="B186" s="1">
        <v>5820</v>
      </c>
      <c r="C186" s="1" t="s">
        <v>1274</v>
      </c>
      <c r="D186" s="1" t="s">
        <v>1144</v>
      </c>
      <c r="F186" s="1">
        <v>203376</v>
      </c>
      <c r="J186" s="1">
        <v>203376</v>
      </c>
      <c r="K186" s="1">
        <v>-84104</v>
      </c>
      <c r="L186" s="1">
        <v>250000</v>
      </c>
      <c r="M186" s="1">
        <v>71834</v>
      </c>
      <c r="N186" s="1">
        <v>5659</v>
      </c>
      <c r="O186" s="1">
        <v>243389</v>
      </c>
      <c r="Q186" s="1">
        <v>35994372</v>
      </c>
      <c r="R186" s="1">
        <v>1608846</v>
      </c>
      <c r="S186" s="1">
        <v>1608846</v>
      </c>
      <c r="T186" s="1">
        <v>30000</v>
      </c>
      <c r="V186" s="1">
        <v>458070</v>
      </c>
      <c r="W186" s="1">
        <v>38091288</v>
      </c>
      <c r="X186" s="1">
        <v>25520411</v>
      </c>
      <c r="Y186" s="1">
        <v>3942621</v>
      </c>
      <c r="Z186" s="1">
        <v>5109269</v>
      </c>
      <c r="AA186" s="1">
        <v>141194</v>
      </c>
      <c r="AB186" s="1">
        <v>123975</v>
      </c>
      <c r="AC186" s="1">
        <v>650749</v>
      </c>
      <c r="AD186" s="1">
        <v>4597111</v>
      </c>
      <c r="AE186" s="1">
        <v>2777871</v>
      </c>
      <c r="AG186" s="1">
        <v>44162743</v>
      </c>
      <c r="AH186" s="1">
        <v>82254081</v>
      </c>
      <c r="AJ186" s="1">
        <v>374408</v>
      </c>
      <c r="AK186" s="1">
        <v>4969545</v>
      </c>
      <c r="AL186" s="1">
        <v>529194</v>
      </c>
      <c r="AM186" s="1">
        <v>1318209</v>
      </c>
      <c r="AN186" s="1">
        <v>738279</v>
      </c>
      <c r="AO186" s="1">
        <v>2631371</v>
      </c>
      <c r="AP186" s="1">
        <v>7615365</v>
      </c>
      <c r="AQ186" s="1">
        <v>1543889</v>
      </c>
      <c r="AT186" s="1">
        <v>1543889</v>
      </c>
      <c r="AU186" s="1">
        <v>1460653</v>
      </c>
      <c r="AV186" s="1">
        <v>3004542</v>
      </c>
      <c r="AW186" s="1">
        <v>3004542</v>
      </c>
      <c r="AZ186" s="1">
        <v>93320753</v>
      </c>
      <c r="BE186" s="1">
        <v>1203474</v>
      </c>
      <c r="BF186" s="1">
        <v>51857</v>
      </c>
      <c r="BH186" s="1">
        <v>50</v>
      </c>
      <c r="BI186" s="1">
        <v>3142789</v>
      </c>
      <c r="BJ186" s="1">
        <v>1452348</v>
      </c>
      <c r="BK186" s="1">
        <v>38435</v>
      </c>
      <c r="BR186" s="1">
        <v>44211</v>
      </c>
      <c r="BU186" s="1">
        <v>14449</v>
      </c>
      <c r="BV186" s="1">
        <v>14449</v>
      </c>
      <c r="CA186" s="1">
        <v>50</v>
      </c>
      <c r="DE186" s="1">
        <v>7254</v>
      </c>
    </row>
    <row r="187" spans="1:119">
      <c r="A187" s="1">
        <v>7</v>
      </c>
      <c r="B187" s="1">
        <v>5900</v>
      </c>
      <c r="C187" s="1" t="s">
        <v>1274</v>
      </c>
      <c r="D187" s="1" t="s">
        <v>1145</v>
      </c>
      <c r="E187" s="1">
        <v>75000</v>
      </c>
      <c r="F187" s="1">
        <v>35610</v>
      </c>
      <c r="G187" s="1">
        <v>194448</v>
      </c>
      <c r="H187" s="1">
        <v>85265</v>
      </c>
      <c r="I187" s="1">
        <v>22596</v>
      </c>
      <c r="J187" s="1">
        <v>412919</v>
      </c>
      <c r="K187" s="1">
        <v>129862</v>
      </c>
      <c r="L187" s="1">
        <v>93582</v>
      </c>
      <c r="M187" s="1">
        <v>5004</v>
      </c>
      <c r="O187" s="1">
        <v>228448</v>
      </c>
      <c r="Q187" s="1">
        <v>1685318</v>
      </c>
      <c r="U187" s="1">
        <v>1023</v>
      </c>
      <c r="V187" s="1">
        <v>58058</v>
      </c>
      <c r="W187" s="1">
        <v>1744399</v>
      </c>
      <c r="X187" s="1">
        <v>3101529</v>
      </c>
      <c r="Y187" s="1">
        <v>116080</v>
      </c>
      <c r="Z187" s="1">
        <v>530698</v>
      </c>
      <c r="AA187" s="1">
        <v>22228</v>
      </c>
      <c r="AB187" s="1">
        <v>13354</v>
      </c>
      <c r="AC187" s="1">
        <v>68356</v>
      </c>
      <c r="AD187" s="1">
        <v>319421</v>
      </c>
      <c r="AE187" s="1">
        <v>150769</v>
      </c>
      <c r="AG187" s="1">
        <v>4765414</v>
      </c>
      <c r="AH187" s="1">
        <v>6514530</v>
      </c>
      <c r="AK187" s="1">
        <v>542241</v>
      </c>
      <c r="AL187" s="1">
        <v>350586</v>
      </c>
      <c r="AM187" s="1">
        <v>158240</v>
      </c>
      <c r="AN187" s="1">
        <v>115618</v>
      </c>
      <c r="AO187" s="1">
        <v>624444</v>
      </c>
      <c r="AP187" s="1">
        <v>1166685</v>
      </c>
      <c r="AQ187" s="1">
        <v>25824</v>
      </c>
      <c r="AT187" s="1">
        <v>25824</v>
      </c>
      <c r="AU187" s="1">
        <v>84676</v>
      </c>
      <c r="AV187" s="1">
        <v>110500</v>
      </c>
      <c r="AW187" s="1">
        <v>110500</v>
      </c>
      <c r="AY187" s="1">
        <v>-5004</v>
      </c>
      <c r="AZ187" s="1">
        <v>8428078</v>
      </c>
      <c r="BE187" s="1">
        <v>137654</v>
      </c>
      <c r="BF187" s="1">
        <v>85798</v>
      </c>
      <c r="BH187" s="1">
        <v>4717</v>
      </c>
      <c r="BI187" s="1">
        <v>351556</v>
      </c>
      <c r="BJ187" s="1">
        <v>190685</v>
      </c>
      <c r="BR187" s="1">
        <v>96901</v>
      </c>
      <c r="BY187" s="1">
        <v>-5004</v>
      </c>
      <c r="CA187" s="1">
        <v>4717</v>
      </c>
      <c r="CF187" s="1">
        <v>122626</v>
      </c>
      <c r="CJ187" s="1">
        <v>178847</v>
      </c>
    </row>
    <row r="188" spans="1:119">
      <c r="A188" s="1">
        <v>9</v>
      </c>
      <c r="B188" s="1">
        <v>170</v>
      </c>
      <c r="C188" s="1" t="s">
        <v>1146</v>
      </c>
      <c r="D188" s="1" t="s">
        <v>1147</v>
      </c>
      <c r="F188" s="1">
        <v>64508</v>
      </c>
      <c r="G188" s="1">
        <v>59385</v>
      </c>
      <c r="I188" s="1">
        <v>879</v>
      </c>
      <c r="J188" s="1">
        <v>149772</v>
      </c>
      <c r="K188" s="1">
        <v>100000</v>
      </c>
      <c r="M188" s="1">
        <v>123496</v>
      </c>
      <c r="N188" s="1">
        <v>42962</v>
      </c>
      <c r="O188" s="1">
        <v>266458</v>
      </c>
      <c r="Q188" s="1">
        <v>2944489</v>
      </c>
      <c r="R188" s="1">
        <v>28000</v>
      </c>
      <c r="S188" s="1">
        <v>28000</v>
      </c>
      <c r="T188" s="1">
        <v>16834</v>
      </c>
      <c r="V188" s="1">
        <v>34239</v>
      </c>
      <c r="W188" s="1">
        <v>3023562</v>
      </c>
      <c r="Y188" s="1">
        <v>25634</v>
      </c>
      <c r="Z188" s="1">
        <v>24942</v>
      </c>
      <c r="AA188" s="1">
        <v>4636</v>
      </c>
      <c r="AC188" s="1">
        <v>11625</v>
      </c>
      <c r="AD188" s="1">
        <v>207548</v>
      </c>
      <c r="AE188" s="1">
        <v>90573</v>
      </c>
      <c r="AF188" s="1">
        <v>352</v>
      </c>
      <c r="AG188" s="1">
        <v>386924</v>
      </c>
      <c r="AH188" s="1">
        <v>3410486</v>
      </c>
      <c r="AI188" s="1">
        <v>1875</v>
      </c>
      <c r="AJ188" s="1">
        <v>4000</v>
      </c>
      <c r="AK188" s="1">
        <v>5875</v>
      </c>
      <c r="AM188" s="1">
        <v>23206</v>
      </c>
      <c r="AN188" s="1">
        <v>18096</v>
      </c>
      <c r="AO188" s="1">
        <v>41302</v>
      </c>
      <c r="AP188" s="1">
        <v>47177</v>
      </c>
      <c r="AQ188" s="1">
        <v>454572</v>
      </c>
      <c r="AS188" s="1">
        <v>1</v>
      </c>
      <c r="AT188" s="1">
        <v>454573</v>
      </c>
      <c r="AV188" s="1">
        <v>460888</v>
      </c>
      <c r="AW188" s="1">
        <v>460888</v>
      </c>
      <c r="AY188" s="1">
        <v>-6315</v>
      </c>
      <c r="AZ188" s="1">
        <v>4334781</v>
      </c>
      <c r="BB188" s="1">
        <v>25000</v>
      </c>
      <c r="BE188" s="1">
        <v>1036</v>
      </c>
      <c r="BL188" s="1">
        <v>6315</v>
      </c>
      <c r="BR188" s="1">
        <v>20578</v>
      </c>
      <c r="CC188" s="1">
        <v>6315</v>
      </c>
      <c r="DC188" s="1">
        <v>1</v>
      </c>
    </row>
    <row r="189" spans="1:119">
      <c r="A189" s="1">
        <v>9</v>
      </c>
      <c r="B189" s="1">
        <v>710</v>
      </c>
      <c r="C189" s="1" t="s">
        <v>1146</v>
      </c>
      <c r="D189" s="1" t="s">
        <v>1148</v>
      </c>
      <c r="F189" s="1">
        <v>490</v>
      </c>
      <c r="I189" s="1">
        <v>42885</v>
      </c>
      <c r="J189" s="1">
        <v>43375</v>
      </c>
      <c r="K189" s="1">
        <v>308609</v>
      </c>
      <c r="L189" s="1">
        <v>471505</v>
      </c>
      <c r="O189" s="1">
        <v>780114</v>
      </c>
      <c r="Q189" s="1">
        <v>1338359</v>
      </c>
      <c r="R189" s="1">
        <v>13500</v>
      </c>
      <c r="S189" s="1">
        <v>13500</v>
      </c>
      <c r="U189" s="1">
        <v>2142</v>
      </c>
      <c r="V189" s="1">
        <v>53133</v>
      </c>
      <c r="W189" s="1">
        <v>1407134</v>
      </c>
      <c r="Y189" s="1">
        <v>4744</v>
      </c>
      <c r="Z189" s="1">
        <v>184709</v>
      </c>
      <c r="AA189" s="1">
        <v>5822</v>
      </c>
      <c r="AC189" s="1">
        <v>19091</v>
      </c>
      <c r="AD189" s="1">
        <v>250127</v>
      </c>
      <c r="AE189" s="1">
        <v>99278</v>
      </c>
      <c r="AG189" s="1">
        <v>638772</v>
      </c>
      <c r="AH189" s="1">
        <v>2689579</v>
      </c>
      <c r="AI189" s="1">
        <v>3993</v>
      </c>
      <c r="AJ189" s="1">
        <v>71623</v>
      </c>
      <c r="AK189" s="1">
        <v>251692</v>
      </c>
      <c r="AL189" s="1">
        <v>61038</v>
      </c>
      <c r="AM189" s="1">
        <v>64291</v>
      </c>
      <c r="AN189" s="1">
        <v>12424</v>
      </c>
      <c r="AO189" s="1">
        <v>137753</v>
      </c>
      <c r="AP189" s="1">
        <v>389445</v>
      </c>
      <c r="AZ189" s="1">
        <v>3902513</v>
      </c>
      <c r="BE189" s="1">
        <v>13663</v>
      </c>
      <c r="BF189" s="1">
        <v>336</v>
      </c>
      <c r="BG189" s="1">
        <v>643673</v>
      </c>
      <c r="BH189" s="1">
        <v>643673</v>
      </c>
      <c r="BI189" s="1">
        <v>101706</v>
      </c>
      <c r="BJ189" s="1">
        <v>74370</v>
      </c>
      <c r="BR189" s="1">
        <v>61002</v>
      </c>
    </row>
    <row r="190" spans="1:119">
      <c r="A190" s="1">
        <v>9</v>
      </c>
      <c r="B190" s="1">
        <v>715</v>
      </c>
      <c r="C190" s="1" t="s">
        <v>1146</v>
      </c>
      <c r="D190" s="1" t="s">
        <v>1149</v>
      </c>
      <c r="F190" s="1">
        <v>28606</v>
      </c>
      <c r="I190" s="1">
        <v>1</v>
      </c>
      <c r="J190" s="1">
        <v>28607</v>
      </c>
      <c r="K190" s="1">
        <v>1511006</v>
      </c>
      <c r="L190" s="1">
        <v>91334</v>
      </c>
      <c r="M190" s="1">
        <v>340482</v>
      </c>
      <c r="O190" s="1">
        <v>1942822</v>
      </c>
      <c r="P190" s="1">
        <v>125918</v>
      </c>
      <c r="V190" s="1">
        <v>164712</v>
      </c>
      <c r="W190" s="1">
        <v>12542499</v>
      </c>
      <c r="AD190" s="1">
        <v>775449</v>
      </c>
      <c r="AE190" s="1">
        <v>488082</v>
      </c>
      <c r="AG190" s="1">
        <v>1263531</v>
      </c>
      <c r="AH190" s="1">
        <v>13985923</v>
      </c>
      <c r="AJ190" s="1">
        <v>16840</v>
      </c>
      <c r="AK190" s="1">
        <v>16840</v>
      </c>
      <c r="AN190" s="1">
        <v>104738</v>
      </c>
      <c r="AO190" s="1">
        <v>104738</v>
      </c>
      <c r="AP190" s="1">
        <v>203469</v>
      </c>
      <c r="AZ190" s="1">
        <v>16160821</v>
      </c>
      <c r="BH190" s="1">
        <v>53975</v>
      </c>
      <c r="BN190" s="1">
        <v>3499957</v>
      </c>
      <c r="BO190" s="1">
        <v>8322723</v>
      </c>
      <c r="BU190" s="1">
        <v>81891</v>
      </c>
      <c r="BV190" s="1">
        <v>81891</v>
      </c>
      <c r="BZ190" s="1">
        <v>555107</v>
      </c>
      <c r="CA190" s="1">
        <v>53975</v>
      </c>
    </row>
    <row r="191" spans="1:119">
      <c r="A191" s="1">
        <v>9</v>
      </c>
      <c r="B191" s="1">
        <v>720</v>
      </c>
      <c r="C191" s="1" t="s">
        <v>1146</v>
      </c>
      <c r="D191" s="1" t="s">
        <v>1150</v>
      </c>
      <c r="F191" s="1">
        <v>467211</v>
      </c>
      <c r="G191" s="1">
        <v>243266</v>
      </c>
      <c r="H191" s="1">
        <v>244723</v>
      </c>
      <c r="I191" s="1">
        <v>249073</v>
      </c>
      <c r="J191" s="1">
        <v>1406266</v>
      </c>
      <c r="K191" s="1">
        <v>610714</v>
      </c>
      <c r="L191" s="1">
        <v>401774</v>
      </c>
      <c r="M191" s="1">
        <v>13910243</v>
      </c>
      <c r="O191" s="1">
        <v>14922731</v>
      </c>
      <c r="U191" s="1">
        <v>14788</v>
      </c>
      <c r="V191" s="1">
        <v>179621</v>
      </c>
      <c r="W191" s="1">
        <v>9470010</v>
      </c>
      <c r="Z191" s="1">
        <v>374790</v>
      </c>
      <c r="AC191" s="1">
        <v>137264</v>
      </c>
      <c r="AD191" s="1">
        <v>469380</v>
      </c>
      <c r="AE191" s="1">
        <v>369773</v>
      </c>
      <c r="AG191" s="1">
        <v>2440005</v>
      </c>
      <c r="AH191" s="1">
        <v>11910015</v>
      </c>
      <c r="AI191" s="1">
        <v>13160</v>
      </c>
      <c r="AJ191" s="1">
        <v>63729</v>
      </c>
      <c r="AK191" s="1">
        <v>76889</v>
      </c>
      <c r="AL191" s="1">
        <v>56618</v>
      </c>
      <c r="AM191" s="1">
        <v>100024</v>
      </c>
      <c r="AN191" s="1">
        <v>687170</v>
      </c>
      <c r="AO191" s="1">
        <v>1496724</v>
      </c>
      <c r="AP191" s="1">
        <v>1574445</v>
      </c>
      <c r="AZ191" s="1">
        <v>29813457</v>
      </c>
      <c r="BB191" s="1">
        <v>45790</v>
      </c>
      <c r="BE191" s="1">
        <v>47169</v>
      </c>
      <c r="BK191" s="1">
        <v>143798</v>
      </c>
      <c r="BN191" s="1">
        <v>5281804</v>
      </c>
      <c r="BO191" s="1">
        <v>3660910</v>
      </c>
      <c r="BQ191" s="1">
        <v>323887</v>
      </c>
      <c r="BR191" s="1">
        <v>17406</v>
      </c>
      <c r="BS191" s="1">
        <v>982193</v>
      </c>
      <c r="BT191" s="1">
        <v>42030</v>
      </c>
      <c r="BU191" s="1">
        <v>832</v>
      </c>
      <c r="BV191" s="1">
        <v>832</v>
      </c>
      <c r="BW191" s="1">
        <v>509114</v>
      </c>
      <c r="BZ191" s="1">
        <v>9000</v>
      </c>
      <c r="CL191" s="1">
        <v>156203</v>
      </c>
    </row>
    <row r="192" spans="1:119">
      <c r="A192" s="1">
        <v>9</v>
      </c>
      <c r="B192" s="1">
        <v>730</v>
      </c>
      <c r="C192" s="1" t="s">
        <v>1146</v>
      </c>
      <c r="D192" s="1" t="s">
        <v>1151</v>
      </c>
      <c r="K192" s="1">
        <v>74265</v>
      </c>
      <c r="L192" s="1">
        <v>5000</v>
      </c>
      <c r="O192" s="1">
        <v>79265</v>
      </c>
      <c r="Q192" s="1">
        <v>73541</v>
      </c>
      <c r="V192" s="1">
        <v>1620</v>
      </c>
      <c r="W192" s="1">
        <v>75161</v>
      </c>
      <c r="Y192" s="1">
        <v>6757</v>
      </c>
      <c r="Z192" s="1">
        <v>3260</v>
      </c>
      <c r="AC192" s="1">
        <v>658</v>
      </c>
      <c r="AD192" s="1">
        <v>571</v>
      </c>
      <c r="AE192" s="1">
        <v>591</v>
      </c>
      <c r="AG192" s="1">
        <v>29294</v>
      </c>
      <c r="AH192" s="1">
        <v>104455</v>
      </c>
      <c r="AZ192" s="1">
        <v>183720</v>
      </c>
      <c r="BE192" s="1">
        <v>815</v>
      </c>
      <c r="BF192" s="1">
        <v>160</v>
      </c>
      <c r="BR192" s="1">
        <v>12852</v>
      </c>
      <c r="DO192" s="1">
        <v>3630</v>
      </c>
    </row>
    <row r="193" spans="1:120">
      <c r="A193" s="1">
        <v>9</v>
      </c>
      <c r="B193" s="1">
        <v>1080</v>
      </c>
      <c r="C193" s="1" t="s">
        <v>1146</v>
      </c>
      <c r="D193" s="1" t="s">
        <v>1152</v>
      </c>
      <c r="F193" s="1">
        <v>84512</v>
      </c>
      <c r="G193" s="1">
        <v>19833</v>
      </c>
      <c r="I193" s="1">
        <v>253681</v>
      </c>
      <c r="J193" s="1">
        <v>358026</v>
      </c>
      <c r="K193" s="1">
        <v>301127</v>
      </c>
      <c r="M193" s="1">
        <v>80909</v>
      </c>
      <c r="N193" s="1">
        <v>2</v>
      </c>
      <c r="O193" s="1">
        <v>382038</v>
      </c>
      <c r="Q193" s="1">
        <v>6988971</v>
      </c>
      <c r="S193" s="1">
        <v>4620</v>
      </c>
      <c r="T193" s="1">
        <v>27041</v>
      </c>
      <c r="U193" s="1">
        <v>6570</v>
      </c>
      <c r="V193" s="1">
        <v>124283</v>
      </c>
      <c r="W193" s="1">
        <v>7151485</v>
      </c>
      <c r="X193" s="1">
        <v>3892210</v>
      </c>
      <c r="Y193" s="1">
        <v>769875</v>
      </c>
      <c r="Z193" s="1">
        <v>954614</v>
      </c>
      <c r="AC193" s="1">
        <v>123874</v>
      </c>
      <c r="AD193" s="1">
        <v>600303</v>
      </c>
      <c r="AE193" s="1">
        <v>357536</v>
      </c>
      <c r="AG193" s="1">
        <v>7485141</v>
      </c>
      <c r="AH193" s="1">
        <v>14636626</v>
      </c>
      <c r="AI193" s="1">
        <v>25956</v>
      </c>
      <c r="AJ193" s="1">
        <v>242673</v>
      </c>
      <c r="AK193" s="1">
        <v>268629</v>
      </c>
      <c r="AL193" s="1">
        <v>64753</v>
      </c>
      <c r="AM193" s="1">
        <v>278634</v>
      </c>
      <c r="AN193" s="1">
        <v>21943</v>
      </c>
      <c r="AO193" s="1">
        <v>365330</v>
      </c>
      <c r="AP193" s="1">
        <v>641358</v>
      </c>
      <c r="AQ193" s="1">
        <v>536274</v>
      </c>
      <c r="AT193" s="1">
        <v>536274</v>
      </c>
      <c r="AU193" s="1">
        <v>88975</v>
      </c>
      <c r="AV193" s="1">
        <v>651449</v>
      </c>
      <c r="AW193" s="1">
        <v>651449</v>
      </c>
      <c r="AZ193" s="1">
        <v>16669497</v>
      </c>
      <c r="BC193" s="1">
        <v>4620</v>
      </c>
      <c r="BE193" s="1">
        <v>189554</v>
      </c>
      <c r="BF193" s="1">
        <v>45222</v>
      </c>
      <c r="BL193" s="1">
        <v>26200</v>
      </c>
      <c r="BR193" s="1">
        <v>551953</v>
      </c>
      <c r="BU193" s="1">
        <v>7399</v>
      </c>
      <c r="BV193" s="1">
        <v>7399</v>
      </c>
    </row>
    <row r="194" spans="1:120">
      <c r="A194" s="1">
        <v>9</v>
      </c>
      <c r="B194" s="1">
        <v>2820</v>
      </c>
      <c r="C194" s="1" t="s">
        <v>1146</v>
      </c>
      <c r="D194" s="1" t="s">
        <v>1153</v>
      </c>
      <c r="F194" s="1">
        <v>130610</v>
      </c>
      <c r="G194" s="1">
        <v>686758</v>
      </c>
      <c r="H194" s="1">
        <v>587008</v>
      </c>
      <c r="I194" s="1">
        <v>11284</v>
      </c>
      <c r="J194" s="1">
        <v>1415660</v>
      </c>
      <c r="K194" s="1">
        <v>477532</v>
      </c>
      <c r="M194" s="1">
        <v>471392</v>
      </c>
      <c r="N194" s="1">
        <v>67935</v>
      </c>
      <c r="O194" s="1">
        <v>1016859</v>
      </c>
      <c r="Q194" s="1">
        <v>15107882</v>
      </c>
      <c r="R194" s="1">
        <v>27592</v>
      </c>
      <c r="S194" s="1">
        <v>27592</v>
      </c>
      <c r="T194" s="1">
        <v>148383</v>
      </c>
      <c r="U194" s="1">
        <v>438</v>
      </c>
      <c r="V194" s="1">
        <v>256021</v>
      </c>
      <c r="W194" s="1">
        <v>15540316</v>
      </c>
      <c r="X194" s="1">
        <v>3107196</v>
      </c>
      <c r="Y194" s="1">
        <v>1001184</v>
      </c>
      <c r="Z194" s="1">
        <v>1589757</v>
      </c>
      <c r="AA194" s="1">
        <v>10512</v>
      </c>
      <c r="AB194" s="1">
        <v>20459</v>
      </c>
      <c r="AC194" s="1">
        <v>206274</v>
      </c>
      <c r="AD194" s="1">
        <v>1420406</v>
      </c>
      <c r="AE194" s="1">
        <v>826941</v>
      </c>
      <c r="AG194" s="1">
        <v>10119295</v>
      </c>
      <c r="AH194" s="1">
        <v>25662017</v>
      </c>
      <c r="AJ194" s="1">
        <v>23341</v>
      </c>
      <c r="AK194" s="1">
        <v>1570832</v>
      </c>
      <c r="AL194" s="1">
        <v>226387</v>
      </c>
      <c r="AM194" s="1">
        <v>433321</v>
      </c>
      <c r="AN194" s="1">
        <v>254334</v>
      </c>
      <c r="AO194" s="1">
        <v>914042</v>
      </c>
      <c r="AP194" s="1">
        <v>2485304</v>
      </c>
      <c r="AQ194" s="1">
        <v>1391106</v>
      </c>
      <c r="AR194" s="1">
        <v>35872</v>
      </c>
      <c r="AS194" s="1">
        <v>35872</v>
      </c>
      <c r="AT194" s="1">
        <v>1426978</v>
      </c>
      <c r="AU194" s="1">
        <v>186051</v>
      </c>
      <c r="AV194" s="1">
        <v>1613029</v>
      </c>
      <c r="AW194" s="1">
        <v>1613029</v>
      </c>
      <c r="AZ194" s="1">
        <v>32787869</v>
      </c>
      <c r="BE194" s="1">
        <v>273147</v>
      </c>
      <c r="BF194" s="1">
        <v>5216</v>
      </c>
      <c r="BH194" s="1">
        <v>2406</v>
      </c>
      <c r="BJ194" s="1">
        <v>1531782</v>
      </c>
      <c r="BR194" s="1">
        <v>1658203</v>
      </c>
      <c r="BU194" s="1">
        <v>430</v>
      </c>
      <c r="BV194" s="1">
        <v>430</v>
      </c>
      <c r="BX194" s="1">
        <v>595000</v>
      </c>
      <c r="BY194" s="1">
        <v>595000</v>
      </c>
      <c r="CA194" s="1">
        <v>2406</v>
      </c>
      <c r="CU194" s="1">
        <v>15709</v>
      </c>
    </row>
    <row r="195" spans="1:120">
      <c r="A195" s="1">
        <v>9</v>
      </c>
      <c r="B195" s="1">
        <v>2840</v>
      </c>
      <c r="C195" s="1" t="s">
        <v>1146</v>
      </c>
      <c r="D195" s="1" t="s">
        <v>1154</v>
      </c>
      <c r="F195" s="1">
        <v>42780</v>
      </c>
      <c r="G195" s="1">
        <v>973621</v>
      </c>
      <c r="H195" s="1">
        <v>482941</v>
      </c>
      <c r="I195" s="1">
        <v>1</v>
      </c>
      <c r="J195" s="1">
        <v>2199343</v>
      </c>
      <c r="K195" s="1">
        <v>425631</v>
      </c>
      <c r="N195" s="1">
        <v>1340</v>
      </c>
      <c r="O195" s="1">
        <v>426971</v>
      </c>
      <c r="Q195" s="1">
        <v>13606146</v>
      </c>
      <c r="R195" s="1">
        <v>87688</v>
      </c>
      <c r="S195" s="1">
        <v>87688</v>
      </c>
      <c r="V195" s="1">
        <v>292106</v>
      </c>
      <c r="W195" s="1">
        <v>13985940</v>
      </c>
      <c r="X195" s="1">
        <v>4344503</v>
      </c>
      <c r="Y195" s="1">
        <v>817490</v>
      </c>
      <c r="Z195" s="1">
        <v>2098389</v>
      </c>
      <c r="AA195" s="1">
        <v>10512</v>
      </c>
      <c r="AC195" s="1">
        <v>199252</v>
      </c>
      <c r="AD195" s="1">
        <v>1328184</v>
      </c>
      <c r="AE195" s="1">
        <v>817421</v>
      </c>
      <c r="AG195" s="1">
        <v>10255152</v>
      </c>
      <c r="AH195" s="1">
        <v>24261304</v>
      </c>
      <c r="AJ195" s="1">
        <v>43276</v>
      </c>
      <c r="AK195" s="1">
        <v>1694521</v>
      </c>
      <c r="AL195" s="1">
        <v>415504</v>
      </c>
      <c r="AM195" s="1">
        <v>459763</v>
      </c>
      <c r="AN195" s="1">
        <v>183069</v>
      </c>
      <c r="AO195" s="1">
        <v>1058336</v>
      </c>
      <c r="AP195" s="1">
        <v>2753853</v>
      </c>
      <c r="AQ195" s="1">
        <v>471558</v>
      </c>
      <c r="AS195" s="1">
        <v>398</v>
      </c>
      <c r="AT195" s="1">
        <v>471956</v>
      </c>
      <c r="AU195" s="1">
        <v>217873</v>
      </c>
      <c r="AV195" s="1">
        <v>689829</v>
      </c>
      <c r="AW195" s="1">
        <v>689829</v>
      </c>
      <c r="AZ195" s="1">
        <v>30331300</v>
      </c>
      <c r="BB195" s="1">
        <v>700000</v>
      </c>
      <c r="BE195" s="1">
        <v>273642</v>
      </c>
      <c r="BF195" s="1">
        <v>8472</v>
      </c>
      <c r="BH195" s="1">
        <v>20212</v>
      </c>
      <c r="BI195" s="1">
        <v>1008384</v>
      </c>
      <c r="BJ195" s="1">
        <v>642861</v>
      </c>
      <c r="BU195" s="1">
        <v>996</v>
      </c>
      <c r="BV195" s="1">
        <v>996</v>
      </c>
      <c r="CA195" s="1">
        <v>20212</v>
      </c>
      <c r="CH195" s="1">
        <v>357287</v>
      </c>
      <c r="DC195" s="1">
        <v>398</v>
      </c>
    </row>
    <row r="196" spans="1:120">
      <c r="A196" s="1">
        <v>9</v>
      </c>
      <c r="B196" s="1">
        <v>3130</v>
      </c>
      <c r="C196" s="1" t="s">
        <v>1146</v>
      </c>
      <c r="D196" s="1" t="s">
        <v>1155</v>
      </c>
      <c r="F196" s="1">
        <v>26893</v>
      </c>
      <c r="G196" s="1">
        <v>839892</v>
      </c>
      <c r="H196" s="1">
        <v>1186650</v>
      </c>
      <c r="I196" s="1">
        <v>108480</v>
      </c>
      <c r="J196" s="1">
        <v>2461915</v>
      </c>
      <c r="K196" s="1">
        <v>662583</v>
      </c>
      <c r="L196" s="1">
        <v>106852</v>
      </c>
      <c r="M196" s="1">
        <v>15994</v>
      </c>
      <c r="N196" s="1">
        <v>5335</v>
      </c>
      <c r="O196" s="1">
        <v>790764</v>
      </c>
      <c r="Q196" s="1">
        <v>19431395</v>
      </c>
      <c r="R196" s="1">
        <v>3134847</v>
      </c>
      <c r="S196" s="1">
        <v>3134847</v>
      </c>
      <c r="T196" s="1">
        <v>52400</v>
      </c>
      <c r="U196" s="1">
        <v>3455</v>
      </c>
      <c r="V196" s="1">
        <v>319492</v>
      </c>
      <c r="W196" s="1">
        <v>22955341</v>
      </c>
      <c r="X196" s="1">
        <v>7101953</v>
      </c>
      <c r="Y196" s="1">
        <v>1133882</v>
      </c>
      <c r="Z196" s="1">
        <v>2568868</v>
      </c>
      <c r="AA196" s="1">
        <v>12884</v>
      </c>
      <c r="AB196" s="1">
        <v>94673</v>
      </c>
      <c r="AC196" s="1">
        <v>283846</v>
      </c>
      <c r="AD196" s="1">
        <v>2267840</v>
      </c>
      <c r="AE196" s="1">
        <v>1252132</v>
      </c>
      <c r="AF196" s="1">
        <v>11140</v>
      </c>
      <c r="AG196" s="1">
        <v>15121447</v>
      </c>
      <c r="AH196" s="1">
        <v>38300736</v>
      </c>
      <c r="AJ196" s="1">
        <v>43189</v>
      </c>
      <c r="AK196" s="1">
        <v>2066497</v>
      </c>
      <c r="AL196" s="1">
        <v>658311</v>
      </c>
      <c r="AM196" s="1">
        <v>602010</v>
      </c>
      <c r="AN196" s="1">
        <v>325529</v>
      </c>
      <c r="AO196" s="1">
        <v>1585850</v>
      </c>
      <c r="AP196" s="1">
        <v>3926958</v>
      </c>
      <c r="AQ196" s="1">
        <v>1579862</v>
      </c>
      <c r="AR196" s="1">
        <v>31353</v>
      </c>
      <c r="AS196" s="1">
        <v>32156</v>
      </c>
      <c r="AT196" s="1">
        <v>1612018</v>
      </c>
      <c r="AU196" s="1">
        <v>597433</v>
      </c>
      <c r="AV196" s="1">
        <v>2209451</v>
      </c>
      <c r="AW196" s="1">
        <v>2209451</v>
      </c>
      <c r="AY196" s="1">
        <v>-27041</v>
      </c>
      <c r="AZ196" s="1">
        <v>47673830</v>
      </c>
      <c r="BE196" s="1">
        <v>394229</v>
      </c>
      <c r="BH196" s="1">
        <v>30944</v>
      </c>
      <c r="BI196" s="1">
        <v>1448672</v>
      </c>
      <c r="BJ196" s="1">
        <v>574636</v>
      </c>
      <c r="BQ196" s="1">
        <v>13752</v>
      </c>
      <c r="BU196" s="1">
        <v>9480</v>
      </c>
      <c r="BV196" s="1">
        <v>9480</v>
      </c>
      <c r="BY196" s="1">
        <v>-15994</v>
      </c>
      <c r="CA196" s="1">
        <v>30944</v>
      </c>
      <c r="CC196" s="1">
        <v>11047</v>
      </c>
      <c r="CG196" s="1">
        <v>193004</v>
      </c>
      <c r="CQ196" s="1">
        <v>265131</v>
      </c>
      <c r="DA196" s="1">
        <v>300000</v>
      </c>
      <c r="DC196" s="1">
        <v>803</v>
      </c>
    </row>
    <row r="197" spans="1:120">
      <c r="A197" s="1">
        <v>9</v>
      </c>
      <c r="B197" s="1">
        <v>3680</v>
      </c>
      <c r="C197" s="1" t="s">
        <v>1146</v>
      </c>
      <c r="D197" s="1" t="s">
        <v>1156</v>
      </c>
      <c r="E197" s="1">
        <v>61241</v>
      </c>
      <c r="F197" s="1">
        <v>104149</v>
      </c>
      <c r="G197" s="1">
        <v>304164</v>
      </c>
      <c r="H197" s="1">
        <v>270483</v>
      </c>
      <c r="I197" s="1">
        <v>135262</v>
      </c>
      <c r="J197" s="1">
        <v>1241695</v>
      </c>
      <c r="K197" s="1">
        <v>137296</v>
      </c>
      <c r="L197" s="1">
        <v>79517</v>
      </c>
      <c r="M197" s="1">
        <v>10086</v>
      </c>
      <c r="O197" s="1">
        <v>226899</v>
      </c>
      <c r="Q197" s="1">
        <v>5817655</v>
      </c>
      <c r="R197" s="1">
        <v>891849</v>
      </c>
      <c r="S197" s="1">
        <v>891849</v>
      </c>
      <c r="U197" s="1">
        <v>3841</v>
      </c>
      <c r="V197" s="1">
        <v>105613</v>
      </c>
      <c r="W197" s="1">
        <v>6818958</v>
      </c>
      <c r="Y197" s="1">
        <v>100105</v>
      </c>
      <c r="Z197" s="1">
        <v>346920</v>
      </c>
      <c r="AA197" s="1">
        <v>8197</v>
      </c>
      <c r="AC197" s="1">
        <v>38170</v>
      </c>
      <c r="AD197" s="1">
        <v>440680</v>
      </c>
      <c r="AE197" s="1">
        <v>232320</v>
      </c>
      <c r="AF197" s="1">
        <v>1740</v>
      </c>
      <c r="AG197" s="1">
        <v>1269453</v>
      </c>
      <c r="AH197" s="1">
        <v>8088411</v>
      </c>
      <c r="AJ197" s="1">
        <v>86942</v>
      </c>
      <c r="AK197" s="1">
        <v>551523</v>
      </c>
      <c r="AL197" s="1">
        <v>127656</v>
      </c>
      <c r="AM197" s="1">
        <v>175870</v>
      </c>
      <c r="AN197" s="1">
        <v>49850</v>
      </c>
      <c r="AO197" s="1">
        <v>353376</v>
      </c>
      <c r="AP197" s="1">
        <v>908914</v>
      </c>
      <c r="AQ197" s="1">
        <v>225824</v>
      </c>
      <c r="AT197" s="1">
        <v>225824</v>
      </c>
      <c r="AV197" s="1">
        <v>225824</v>
      </c>
      <c r="AW197" s="1">
        <v>225824</v>
      </c>
      <c r="AZ197" s="1">
        <v>10691743</v>
      </c>
      <c r="BB197" s="1">
        <v>161719</v>
      </c>
      <c r="BE197" s="1">
        <v>18264</v>
      </c>
      <c r="BI197" s="1">
        <v>309258</v>
      </c>
      <c r="BJ197" s="1">
        <v>151117</v>
      </c>
      <c r="BR197" s="1">
        <v>83057</v>
      </c>
      <c r="BU197" s="1">
        <v>4015</v>
      </c>
      <c r="BV197" s="1">
        <v>4015</v>
      </c>
      <c r="CD197" s="1">
        <v>123489</v>
      </c>
      <c r="DA197" s="1">
        <v>81188</v>
      </c>
      <c r="DP197" s="1">
        <v>4206</v>
      </c>
    </row>
    <row r="198" spans="1:120">
      <c r="A198" s="1">
        <v>9</v>
      </c>
      <c r="B198" s="1">
        <v>3780</v>
      </c>
      <c r="C198" s="1" t="s">
        <v>1146</v>
      </c>
      <c r="D198" s="1" t="s">
        <v>1157</v>
      </c>
      <c r="F198" s="1">
        <v>289957</v>
      </c>
      <c r="G198" s="1">
        <v>1424290</v>
      </c>
      <c r="H198" s="1">
        <v>2445338</v>
      </c>
      <c r="I198" s="1">
        <v>1</v>
      </c>
      <c r="J198" s="1">
        <v>4543542</v>
      </c>
      <c r="K198" s="1">
        <v>716693</v>
      </c>
      <c r="L198" s="1">
        <v>980985</v>
      </c>
      <c r="M198" s="1">
        <v>1442765</v>
      </c>
      <c r="N198" s="1">
        <v>165282</v>
      </c>
      <c r="O198" s="1">
        <v>3305725</v>
      </c>
      <c r="Q198" s="1">
        <v>18451332</v>
      </c>
      <c r="R198" s="1">
        <v>14302265</v>
      </c>
      <c r="S198" s="1">
        <v>14302265</v>
      </c>
      <c r="V198" s="1">
        <v>431847</v>
      </c>
      <c r="W198" s="1">
        <v>33185444</v>
      </c>
      <c r="Y198" s="1">
        <v>315236</v>
      </c>
      <c r="Z198" s="1">
        <v>990115</v>
      </c>
      <c r="AA198" s="1">
        <v>16388</v>
      </c>
      <c r="AB198" s="1">
        <v>11917</v>
      </c>
      <c r="AC198" s="1">
        <v>126808</v>
      </c>
      <c r="AD198" s="1">
        <v>2843641</v>
      </c>
      <c r="AE198" s="1">
        <v>1415799</v>
      </c>
      <c r="AF198" s="1">
        <v>5561</v>
      </c>
      <c r="AG198" s="1">
        <v>6164008</v>
      </c>
      <c r="AH198" s="1">
        <v>39349452</v>
      </c>
      <c r="AI198" s="1">
        <v>78191</v>
      </c>
      <c r="AJ198" s="1">
        <v>63739</v>
      </c>
      <c r="AK198" s="1">
        <v>248754</v>
      </c>
      <c r="AL198" s="1">
        <v>221994</v>
      </c>
      <c r="AM198" s="1">
        <v>329090</v>
      </c>
      <c r="AN198" s="1">
        <v>131356</v>
      </c>
      <c r="AO198" s="1">
        <v>682440</v>
      </c>
      <c r="AP198" s="1">
        <v>945847</v>
      </c>
      <c r="AQ198" s="1">
        <v>2099140</v>
      </c>
      <c r="AT198" s="1">
        <v>2099140</v>
      </c>
      <c r="AV198" s="1">
        <v>2143175</v>
      </c>
      <c r="AW198" s="1">
        <v>2143175</v>
      </c>
      <c r="AX198" s="1">
        <v>44035</v>
      </c>
      <c r="AY198" s="1">
        <v>-44035</v>
      </c>
      <c r="AZ198" s="1">
        <v>50287741</v>
      </c>
      <c r="BB198" s="1">
        <v>383956</v>
      </c>
      <c r="BE198" s="1">
        <v>42812</v>
      </c>
      <c r="BJ198" s="1">
        <v>106824</v>
      </c>
      <c r="BL198" s="1">
        <v>44035</v>
      </c>
      <c r="BR198" s="1">
        <v>395731</v>
      </c>
      <c r="BU198" s="1">
        <v>14653</v>
      </c>
      <c r="BV198" s="1">
        <v>14653</v>
      </c>
    </row>
    <row r="199" spans="1:120">
      <c r="A199" s="1">
        <v>9</v>
      </c>
      <c r="B199" s="1">
        <v>4700</v>
      </c>
      <c r="C199" s="1" t="s">
        <v>1146</v>
      </c>
      <c r="D199" s="1" t="s">
        <v>1158</v>
      </c>
      <c r="F199" s="1">
        <v>1567</v>
      </c>
      <c r="G199" s="1">
        <v>264227</v>
      </c>
      <c r="H199" s="1">
        <v>465398</v>
      </c>
      <c r="I199" s="1">
        <v>151818</v>
      </c>
      <c r="J199" s="1">
        <v>883010</v>
      </c>
      <c r="K199" s="1">
        <v>195822</v>
      </c>
      <c r="O199" s="1">
        <v>195822</v>
      </c>
      <c r="Q199" s="1">
        <v>3257606</v>
      </c>
      <c r="S199" s="1">
        <v>21200</v>
      </c>
      <c r="U199" s="1">
        <v>7036</v>
      </c>
      <c r="V199" s="1">
        <v>39835</v>
      </c>
      <c r="W199" s="1">
        <v>3325677</v>
      </c>
      <c r="Y199" s="1">
        <v>91655</v>
      </c>
      <c r="Z199" s="1">
        <v>159046</v>
      </c>
      <c r="AC199" s="1">
        <v>21431</v>
      </c>
      <c r="AD199" s="1">
        <v>173280</v>
      </c>
      <c r="AE199" s="1">
        <v>77597</v>
      </c>
      <c r="AG199" s="1">
        <v>745339</v>
      </c>
      <c r="AH199" s="1">
        <v>4071016</v>
      </c>
      <c r="AJ199" s="1">
        <v>7518</v>
      </c>
      <c r="AK199" s="1">
        <v>7518</v>
      </c>
      <c r="AL199" s="1">
        <v>24541</v>
      </c>
      <c r="AM199" s="1">
        <v>37515</v>
      </c>
      <c r="AN199" s="1">
        <v>3948</v>
      </c>
      <c r="AO199" s="1">
        <v>66004</v>
      </c>
      <c r="AP199" s="1">
        <v>73522</v>
      </c>
      <c r="AZ199" s="1">
        <v>5223370</v>
      </c>
      <c r="BC199" s="1">
        <v>21200</v>
      </c>
      <c r="BF199" s="1">
        <v>65483</v>
      </c>
      <c r="BR199" s="1">
        <v>156847</v>
      </c>
    </row>
    <row r="200" spans="1:120">
      <c r="A200" s="1">
        <v>9</v>
      </c>
      <c r="B200" s="1">
        <v>5060</v>
      </c>
      <c r="C200" s="1" t="s">
        <v>1146</v>
      </c>
      <c r="D200" s="1" t="s">
        <v>1159</v>
      </c>
      <c r="F200" s="1">
        <v>44426</v>
      </c>
      <c r="G200" s="1">
        <v>112157</v>
      </c>
      <c r="H200" s="1">
        <v>65142</v>
      </c>
      <c r="I200" s="1">
        <v>62871</v>
      </c>
      <c r="J200" s="1">
        <v>424596</v>
      </c>
      <c r="K200" s="1">
        <v>100092</v>
      </c>
      <c r="L200" s="1">
        <v>345</v>
      </c>
      <c r="M200" s="1">
        <v>17169</v>
      </c>
      <c r="O200" s="1">
        <v>117606</v>
      </c>
      <c r="Q200" s="1">
        <v>1880724</v>
      </c>
      <c r="S200" s="1">
        <v>150564</v>
      </c>
      <c r="U200" s="1">
        <v>100</v>
      </c>
      <c r="V200" s="1">
        <v>29584</v>
      </c>
      <c r="W200" s="1">
        <v>2060972</v>
      </c>
      <c r="Z200" s="1">
        <v>51928</v>
      </c>
      <c r="AC200" s="1">
        <v>9655</v>
      </c>
      <c r="AD200" s="1">
        <v>156914</v>
      </c>
      <c r="AE200" s="1">
        <v>69134</v>
      </c>
      <c r="AG200" s="1">
        <v>289478</v>
      </c>
      <c r="AH200" s="1">
        <v>2350450</v>
      </c>
      <c r="AJ200" s="1">
        <v>2926</v>
      </c>
      <c r="AK200" s="1">
        <v>2926</v>
      </c>
      <c r="AM200" s="1">
        <v>15858</v>
      </c>
      <c r="AN200" s="1">
        <v>20764</v>
      </c>
      <c r="AO200" s="1">
        <v>36622</v>
      </c>
      <c r="AP200" s="1">
        <v>39548</v>
      </c>
      <c r="AQ200" s="1">
        <v>145186</v>
      </c>
      <c r="AT200" s="1">
        <v>145186</v>
      </c>
      <c r="AV200" s="1">
        <v>145186</v>
      </c>
      <c r="AW200" s="1">
        <v>145186</v>
      </c>
      <c r="AZ200" s="1">
        <v>3077386</v>
      </c>
      <c r="BB200" s="1">
        <v>140000</v>
      </c>
      <c r="BC200" s="1">
        <v>150564</v>
      </c>
      <c r="BE200" s="1">
        <v>1847</v>
      </c>
    </row>
    <row r="201" spans="1:120">
      <c r="A201" s="1">
        <v>9</v>
      </c>
      <c r="B201" s="1">
        <v>5340</v>
      </c>
      <c r="C201" s="1" t="s">
        <v>1146</v>
      </c>
      <c r="D201" s="1" t="s">
        <v>1160</v>
      </c>
      <c r="F201" s="1">
        <v>706213</v>
      </c>
      <c r="G201" s="1">
        <v>248169</v>
      </c>
      <c r="H201" s="1">
        <v>157687</v>
      </c>
      <c r="I201" s="1">
        <v>3</v>
      </c>
      <c r="J201" s="1">
        <v>1487072</v>
      </c>
      <c r="K201" s="1">
        <v>594091</v>
      </c>
      <c r="L201" s="1">
        <v>79313</v>
      </c>
      <c r="M201" s="1">
        <v>2915</v>
      </c>
      <c r="O201" s="1">
        <v>676319</v>
      </c>
      <c r="P201" s="1">
        <v>15000</v>
      </c>
      <c r="Q201" s="1">
        <v>19667131</v>
      </c>
      <c r="R201" s="1">
        <v>748289</v>
      </c>
      <c r="S201" s="1">
        <v>748289</v>
      </c>
      <c r="T201" s="1">
        <v>150637</v>
      </c>
      <c r="V201" s="1">
        <v>378820</v>
      </c>
      <c r="W201" s="1">
        <v>20944877</v>
      </c>
      <c r="X201" s="1">
        <v>6813489</v>
      </c>
      <c r="Y201" s="1">
        <v>1381269</v>
      </c>
      <c r="Z201" s="1">
        <v>1485787</v>
      </c>
      <c r="AC201" s="1">
        <v>277372</v>
      </c>
      <c r="AD201" s="1">
        <v>1155181</v>
      </c>
      <c r="AE201" s="1">
        <v>713826</v>
      </c>
      <c r="AG201" s="1">
        <v>12125213</v>
      </c>
      <c r="AH201" s="1">
        <v>33085090</v>
      </c>
      <c r="AJ201" s="1">
        <v>6551</v>
      </c>
      <c r="AK201" s="1">
        <v>6551</v>
      </c>
      <c r="AL201" s="1">
        <v>63209</v>
      </c>
      <c r="AM201" s="1">
        <v>578379</v>
      </c>
      <c r="AN201" s="1">
        <v>57544</v>
      </c>
      <c r="AO201" s="1">
        <v>702132</v>
      </c>
      <c r="AP201" s="1">
        <v>708683</v>
      </c>
      <c r="AQ201" s="1">
        <v>585622</v>
      </c>
      <c r="AT201" s="1">
        <v>585622</v>
      </c>
      <c r="AU201" s="1">
        <v>310100</v>
      </c>
      <c r="AV201" s="1">
        <v>895722</v>
      </c>
      <c r="AW201" s="1">
        <v>895722</v>
      </c>
      <c r="AZ201" s="1">
        <v>36852886</v>
      </c>
      <c r="BE201" s="1">
        <v>298289</v>
      </c>
      <c r="CD201" s="1">
        <v>375000</v>
      </c>
      <c r="DG201" s="1">
        <v>3000</v>
      </c>
    </row>
    <row r="202" spans="1:120">
      <c r="A202" s="1">
        <v>9</v>
      </c>
      <c r="B202" s="1">
        <v>5610</v>
      </c>
      <c r="C202" s="1" t="s">
        <v>1146</v>
      </c>
      <c r="D202" s="1" t="s">
        <v>1164</v>
      </c>
      <c r="H202" s="1">
        <v>76110</v>
      </c>
      <c r="I202" s="1">
        <v>2725</v>
      </c>
      <c r="J202" s="1">
        <v>78835</v>
      </c>
      <c r="K202" s="1">
        <v>88996</v>
      </c>
      <c r="L202" s="1">
        <v>3123</v>
      </c>
      <c r="O202" s="1">
        <v>92119</v>
      </c>
      <c r="Q202" s="1">
        <v>786505</v>
      </c>
      <c r="S202" s="1">
        <v>54100</v>
      </c>
      <c r="U202" s="1">
        <v>99</v>
      </c>
      <c r="V202" s="1">
        <v>6681</v>
      </c>
      <c r="W202" s="1">
        <v>847385</v>
      </c>
      <c r="Y202" s="1">
        <v>5675</v>
      </c>
      <c r="Z202" s="1">
        <v>35460</v>
      </c>
      <c r="AB202" s="1">
        <v>2462</v>
      </c>
      <c r="AC202" s="1">
        <v>6206</v>
      </c>
      <c r="AD202" s="1">
        <v>94343</v>
      </c>
      <c r="AE202" s="1">
        <v>33782</v>
      </c>
      <c r="AG202" s="1">
        <v>307224</v>
      </c>
      <c r="AH202" s="1">
        <v>1154609</v>
      </c>
      <c r="AJ202" s="1">
        <v>3115</v>
      </c>
      <c r="AK202" s="1">
        <v>3115</v>
      </c>
      <c r="AM202" s="1">
        <v>12997</v>
      </c>
      <c r="AO202" s="1">
        <v>12997</v>
      </c>
      <c r="AP202" s="1">
        <v>17030</v>
      </c>
      <c r="AQ202" s="1">
        <v>50283</v>
      </c>
      <c r="AT202" s="1">
        <v>50283</v>
      </c>
      <c r="AU202" s="1">
        <v>33111</v>
      </c>
      <c r="AV202" s="1">
        <v>83394</v>
      </c>
      <c r="AW202" s="1">
        <v>83394</v>
      </c>
      <c r="AZ202" s="1">
        <v>1425987</v>
      </c>
      <c r="BC202" s="1">
        <v>54100</v>
      </c>
      <c r="BE202" s="1">
        <v>974</v>
      </c>
      <c r="BF202" s="1">
        <v>76</v>
      </c>
      <c r="BR202" s="1">
        <v>128246</v>
      </c>
      <c r="BU202" s="1">
        <v>918</v>
      </c>
      <c r="BV202" s="1">
        <v>918</v>
      </c>
    </row>
    <row r="203" spans="1:120">
      <c r="A203" s="1">
        <v>9</v>
      </c>
      <c r="B203" s="1">
        <v>5700</v>
      </c>
      <c r="C203" s="1" t="s">
        <v>1146</v>
      </c>
      <c r="D203" s="1" t="s">
        <v>1165</v>
      </c>
      <c r="E203" s="1">
        <v>30000</v>
      </c>
      <c r="J203" s="1">
        <v>30000</v>
      </c>
      <c r="K203" s="1">
        <v>96316</v>
      </c>
      <c r="L203" s="1">
        <v>50000</v>
      </c>
      <c r="O203" s="1">
        <v>146316</v>
      </c>
      <c r="Q203" s="1">
        <v>1083804</v>
      </c>
      <c r="V203" s="1">
        <v>291</v>
      </c>
      <c r="W203" s="1">
        <v>1084095</v>
      </c>
      <c r="Z203" s="1">
        <v>57346</v>
      </c>
      <c r="AA203" s="1">
        <v>4951</v>
      </c>
      <c r="AC203" s="1">
        <v>5945</v>
      </c>
      <c r="AG203" s="1">
        <v>69483</v>
      </c>
      <c r="AH203" s="1">
        <v>1153578</v>
      </c>
      <c r="AZ203" s="1">
        <v>1329894</v>
      </c>
      <c r="BE203" s="1">
        <v>1241</v>
      </c>
    </row>
    <row r="204" spans="1:120">
      <c r="A204" s="1">
        <v>9</v>
      </c>
      <c r="B204" s="1">
        <v>5790</v>
      </c>
      <c r="C204" s="1" t="s">
        <v>1146</v>
      </c>
      <c r="D204" s="1" t="s">
        <v>1166</v>
      </c>
      <c r="F204" s="1">
        <v>1008084</v>
      </c>
      <c r="G204" s="1">
        <v>76579</v>
      </c>
      <c r="I204" s="1">
        <v>6</v>
      </c>
      <c r="J204" s="1">
        <v>1084669</v>
      </c>
      <c r="K204" s="1">
        <v>274680</v>
      </c>
      <c r="L204" s="1">
        <v>176535</v>
      </c>
      <c r="O204" s="1">
        <v>451215</v>
      </c>
      <c r="Q204" s="1">
        <v>9256098</v>
      </c>
      <c r="R204" s="1">
        <v>2012190</v>
      </c>
      <c r="S204" s="1">
        <v>2012190</v>
      </c>
      <c r="V204" s="1">
        <v>138388</v>
      </c>
      <c r="W204" s="1">
        <v>11406676</v>
      </c>
      <c r="X204" s="1">
        <v>1275561</v>
      </c>
      <c r="Y204" s="1">
        <v>121051</v>
      </c>
      <c r="Z204" s="1">
        <v>565343</v>
      </c>
      <c r="AA204" s="1">
        <v>129270</v>
      </c>
      <c r="AC204" s="1">
        <v>86882</v>
      </c>
      <c r="AD204" s="1">
        <v>1108567</v>
      </c>
      <c r="AE204" s="1">
        <v>610816</v>
      </c>
      <c r="AG204" s="1">
        <v>6004627</v>
      </c>
      <c r="AH204" s="1">
        <v>17411303</v>
      </c>
      <c r="AJ204" s="1">
        <v>87373</v>
      </c>
      <c r="AK204" s="1">
        <v>1215487</v>
      </c>
      <c r="AL204" s="1">
        <v>778024</v>
      </c>
      <c r="AM204" s="1">
        <v>241700</v>
      </c>
      <c r="AN204" s="1">
        <v>777601</v>
      </c>
      <c r="AO204" s="1">
        <v>1797325</v>
      </c>
      <c r="AP204" s="1">
        <v>3012812</v>
      </c>
      <c r="AQ204" s="1">
        <v>63065</v>
      </c>
      <c r="AT204" s="1">
        <v>63065</v>
      </c>
      <c r="AU204" s="1">
        <v>21742</v>
      </c>
      <c r="AV204" s="1">
        <v>84807</v>
      </c>
      <c r="AW204" s="1">
        <v>84807</v>
      </c>
      <c r="AZ204" s="1">
        <v>22044806</v>
      </c>
      <c r="BE204" s="1">
        <v>108334</v>
      </c>
      <c r="BI204" s="1">
        <v>677348</v>
      </c>
      <c r="BJ204" s="1">
        <v>450766</v>
      </c>
      <c r="BR204" s="1">
        <v>1998803</v>
      </c>
    </row>
    <row r="205" spans="1:120">
      <c r="A205" s="1">
        <v>9</v>
      </c>
      <c r="B205" s="1">
        <v>5800</v>
      </c>
      <c r="C205" s="1" t="s">
        <v>1146</v>
      </c>
      <c r="D205" s="1" t="s">
        <v>1167</v>
      </c>
      <c r="F205" s="1">
        <v>51237</v>
      </c>
      <c r="H205" s="1">
        <v>26717</v>
      </c>
      <c r="J205" s="1">
        <v>77954</v>
      </c>
      <c r="K205" s="1">
        <v>100465</v>
      </c>
      <c r="M205" s="1">
        <v>4197</v>
      </c>
      <c r="O205" s="1">
        <v>104662</v>
      </c>
      <c r="Q205" s="1">
        <v>5042115</v>
      </c>
      <c r="V205" s="1">
        <v>23179</v>
      </c>
      <c r="W205" s="1">
        <v>5065294</v>
      </c>
      <c r="Y205" s="1">
        <v>33492</v>
      </c>
      <c r="Z205" s="1">
        <v>261161</v>
      </c>
      <c r="AA205" s="1">
        <v>6990</v>
      </c>
      <c r="AB205" s="1">
        <v>6950</v>
      </c>
      <c r="AC205" s="1">
        <v>38019</v>
      </c>
      <c r="AD205" s="1">
        <v>359018</v>
      </c>
      <c r="AE205" s="1">
        <v>213305</v>
      </c>
      <c r="AG205" s="1">
        <v>1020626</v>
      </c>
      <c r="AH205" s="1">
        <v>6085920</v>
      </c>
      <c r="AK205" s="1">
        <v>332519</v>
      </c>
      <c r="AL205" s="1">
        <v>78123</v>
      </c>
      <c r="AM205" s="1">
        <v>86878</v>
      </c>
      <c r="AN205" s="1">
        <v>26069</v>
      </c>
      <c r="AO205" s="1">
        <v>191070</v>
      </c>
      <c r="AP205" s="1">
        <v>527389</v>
      </c>
      <c r="AZ205" s="1">
        <v>6795925</v>
      </c>
      <c r="BE205" s="1">
        <v>13551</v>
      </c>
      <c r="BI205" s="1">
        <v>220376</v>
      </c>
      <c r="BJ205" s="1">
        <v>112143</v>
      </c>
      <c r="BR205" s="1">
        <v>88140</v>
      </c>
      <c r="BU205" s="1">
        <v>3800</v>
      </c>
      <c r="BV205" s="1">
        <v>3800</v>
      </c>
    </row>
    <row r="206" spans="1:120">
      <c r="A206" s="1">
        <v>9</v>
      </c>
      <c r="B206" s="1">
        <v>5840</v>
      </c>
      <c r="C206" s="1" t="s">
        <v>1146</v>
      </c>
      <c r="D206" s="1" t="s">
        <v>1168</v>
      </c>
      <c r="F206" s="1">
        <v>103716</v>
      </c>
      <c r="J206" s="1">
        <v>103716</v>
      </c>
      <c r="K206" s="1">
        <v>-57901</v>
      </c>
      <c r="M206" s="1">
        <v>1230310</v>
      </c>
      <c r="O206" s="1">
        <v>1172409</v>
      </c>
      <c r="Q206" s="1">
        <v>1018600</v>
      </c>
      <c r="V206" s="1">
        <v>11410</v>
      </c>
      <c r="W206" s="1">
        <v>1030010</v>
      </c>
      <c r="X206" s="1">
        <v>1049362</v>
      </c>
      <c r="Y206" s="1">
        <v>147737</v>
      </c>
      <c r="Z206" s="1">
        <v>295843</v>
      </c>
      <c r="AA206" s="1">
        <v>9524</v>
      </c>
      <c r="AC206" s="1">
        <v>30541</v>
      </c>
      <c r="AD206" s="1">
        <v>227495</v>
      </c>
      <c r="AE206" s="1">
        <v>106360</v>
      </c>
      <c r="AF206" s="1">
        <v>41950</v>
      </c>
      <c r="AG206" s="1">
        <v>2898713</v>
      </c>
      <c r="AH206" s="1">
        <v>3928723</v>
      </c>
      <c r="AJ206" s="1">
        <v>108805</v>
      </c>
      <c r="AK206" s="1">
        <v>413732</v>
      </c>
      <c r="AL206" s="1">
        <v>223066</v>
      </c>
      <c r="AM206" s="1">
        <v>97593</v>
      </c>
      <c r="AN206" s="1">
        <v>102125</v>
      </c>
      <c r="AO206" s="1">
        <v>422784</v>
      </c>
      <c r="AP206" s="1">
        <v>838108</v>
      </c>
      <c r="AZ206" s="1">
        <v>7837522</v>
      </c>
      <c r="BE206" s="1">
        <v>61841</v>
      </c>
      <c r="BI206" s="1">
        <v>201092</v>
      </c>
      <c r="BJ206" s="1">
        <v>103835</v>
      </c>
      <c r="BR206" s="1">
        <v>474232</v>
      </c>
      <c r="BU206" s="1">
        <v>1592</v>
      </c>
      <c r="BV206" s="1">
        <v>1592</v>
      </c>
      <c r="BY206" s="1">
        <v>1794566</v>
      </c>
      <c r="CC206" s="1">
        <v>1794566</v>
      </c>
      <c r="CF206" s="1">
        <v>453828</v>
      </c>
    </row>
    <row r="207" spans="1:120">
      <c r="A207" s="1">
        <v>11</v>
      </c>
      <c r="B207" s="1">
        <v>540</v>
      </c>
      <c r="C207" s="1" t="s">
        <v>1169</v>
      </c>
      <c r="D207" s="1" t="s">
        <v>1170</v>
      </c>
      <c r="K207" s="1">
        <v>1002465</v>
      </c>
      <c r="L207" s="1">
        <v>2000000</v>
      </c>
      <c r="N207" s="1">
        <v>3</v>
      </c>
      <c r="O207" s="1">
        <v>3002468</v>
      </c>
      <c r="Q207" s="1">
        <v>3233408</v>
      </c>
      <c r="R207" s="1">
        <v>662574</v>
      </c>
      <c r="S207" s="1">
        <v>662574</v>
      </c>
      <c r="V207" s="1">
        <v>557995</v>
      </c>
      <c r="W207" s="1">
        <v>4453977</v>
      </c>
      <c r="X207" s="1">
        <v>25374680</v>
      </c>
      <c r="Y207" s="1">
        <v>821069</v>
      </c>
      <c r="Z207" s="1">
        <v>2639468</v>
      </c>
      <c r="AA207" s="1">
        <v>400732</v>
      </c>
      <c r="AC207" s="1">
        <v>327660</v>
      </c>
      <c r="AD207" s="1">
        <v>4175174</v>
      </c>
      <c r="AE207" s="1">
        <v>2316185</v>
      </c>
      <c r="AF207" s="1">
        <v>5077</v>
      </c>
      <c r="AG207" s="1">
        <v>60143724</v>
      </c>
      <c r="AH207" s="1">
        <v>64617830</v>
      </c>
      <c r="AJ207" s="1">
        <v>342933</v>
      </c>
      <c r="AK207" s="1">
        <v>10240452</v>
      </c>
      <c r="AL207" s="1">
        <v>2521350</v>
      </c>
      <c r="AM207" s="1">
        <v>1223161</v>
      </c>
      <c r="AN207" s="1">
        <v>838274</v>
      </c>
      <c r="AO207" s="1">
        <v>4667577</v>
      </c>
      <c r="AP207" s="1">
        <v>14951111</v>
      </c>
      <c r="AQ207" s="1">
        <v>167193</v>
      </c>
      <c r="AT207" s="1">
        <v>167193</v>
      </c>
      <c r="AU207" s="1">
        <v>554423</v>
      </c>
      <c r="AV207" s="1">
        <v>721616</v>
      </c>
      <c r="AW207" s="1">
        <v>721616</v>
      </c>
      <c r="AZ207" s="1">
        <v>83508009</v>
      </c>
      <c r="BD207" s="1">
        <v>113744</v>
      </c>
      <c r="BH207" s="1">
        <v>20129</v>
      </c>
      <c r="BI207" s="1">
        <v>8103169</v>
      </c>
      <c r="BJ207" s="1">
        <v>1794350</v>
      </c>
      <c r="BK207" s="1">
        <v>57723</v>
      </c>
      <c r="BU207" s="1">
        <v>43082</v>
      </c>
      <c r="BV207" s="1">
        <v>43082</v>
      </c>
      <c r="BW207" s="1">
        <v>27069</v>
      </c>
      <c r="BY207" s="1">
        <v>214984</v>
      </c>
      <c r="CA207" s="1">
        <v>20129</v>
      </c>
      <c r="CF207" s="1">
        <v>2310560</v>
      </c>
      <c r="CI207" s="1">
        <v>214984</v>
      </c>
      <c r="CO207" s="1">
        <v>19912989</v>
      </c>
      <c r="DD207" s="1">
        <v>1746386</v>
      </c>
    </row>
    <row r="208" spans="1:120">
      <c r="A208" s="1">
        <v>11</v>
      </c>
      <c r="B208" s="1">
        <v>950</v>
      </c>
      <c r="C208" s="1" t="s">
        <v>1169</v>
      </c>
      <c r="D208" s="1" t="s">
        <v>1171</v>
      </c>
      <c r="F208" s="1">
        <v>37670</v>
      </c>
      <c r="G208" s="1">
        <v>710169</v>
      </c>
      <c r="H208" s="1">
        <v>1005240</v>
      </c>
      <c r="I208" s="1">
        <v>27438</v>
      </c>
      <c r="J208" s="1">
        <v>1805517</v>
      </c>
      <c r="K208" s="1">
        <v>184259</v>
      </c>
      <c r="L208" s="1">
        <v>177969</v>
      </c>
      <c r="M208" s="1">
        <v>25463</v>
      </c>
      <c r="N208" s="1">
        <v>28659</v>
      </c>
      <c r="O208" s="1">
        <v>416350</v>
      </c>
      <c r="P208" s="1">
        <v>3423</v>
      </c>
      <c r="Q208" s="1">
        <v>1560450</v>
      </c>
      <c r="U208" s="1">
        <v>996</v>
      </c>
      <c r="V208" s="1">
        <v>317861</v>
      </c>
      <c r="W208" s="1">
        <v>1879307</v>
      </c>
      <c r="X208" s="1">
        <v>5204401</v>
      </c>
      <c r="Y208" s="1">
        <v>493995</v>
      </c>
      <c r="Z208" s="1">
        <v>708164</v>
      </c>
      <c r="AA208" s="1">
        <v>2318</v>
      </c>
      <c r="AB208" s="1">
        <v>8529</v>
      </c>
      <c r="AC208" s="1">
        <v>102369</v>
      </c>
      <c r="AD208" s="1">
        <v>565642</v>
      </c>
      <c r="AE208" s="1">
        <v>302745</v>
      </c>
      <c r="AG208" s="1">
        <v>8141139</v>
      </c>
      <c r="AH208" s="1">
        <v>10024283</v>
      </c>
      <c r="AJ208" s="1">
        <v>3282</v>
      </c>
      <c r="AK208" s="1">
        <v>911651</v>
      </c>
      <c r="AL208" s="1">
        <v>472384</v>
      </c>
      <c r="AM208" s="1">
        <v>245999</v>
      </c>
      <c r="AN208" s="1">
        <v>156690</v>
      </c>
      <c r="AO208" s="1">
        <v>895036</v>
      </c>
      <c r="AP208" s="1">
        <v>1809687</v>
      </c>
      <c r="AQ208" s="1">
        <v>86149</v>
      </c>
      <c r="AT208" s="1">
        <v>86149</v>
      </c>
      <c r="AU208" s="1">
        <v>257262</v>
      </c>
      <c r="AV208" s="1">
        <v>348166</v>
      </c>
      <c r="AW208" s="1">
        <v>348166</v>
      </c>
      <c r="AX208" s="1">
        <v>1653</v>
      </c>
      <c r="AY208" s="1">
        <v>-8178</v>
      </c>
      <c r="AZ208" s="1">
        <v>14397478</v>
      </c>
      <c r="BB208" s="1">
        <v>25000</v>
      </c>
      <c r="BE208" s="1">
        <v>235636</v>
      </c>
      <c r="BF208" s="1">
        <v>80346</v>
      </c>
      <c r="BH208" s="1">
        <v>414</v>
      </c>
      <c r="BI208" s="1">
        <v>587890</v>
      </c>
      <c r="BJ208" s="1">
        <v>320479</v>
      </c>
      <c r="BL208" s="1">
        <v>4755</v>
      </c>
      <c r="BU208" s="1">
        <v>3000</v>
      </c>
      <c r="BV208" s="1">
        <v>3000</v>
      </c>
      <c r="BY208" s="1">
        <v>-6525</v>
      </c>
      <c r="CA208" s="1">
        <v>414</v>
      </c>
      <c r="CF208" s="1">
        <v>436994</v>
      </c>
      <c r="DE208" s="1">
        <v>19963</v>
      </c>
    </row>
    <row r="209" spans="1:122">
      <c r="A209" s="1">
        <v>11</v>
      </c>
      <c r="B209" s="1">
        <v>995</v>
      </c>
      <c r="C209" s="1" t="s">
        <v>1169</v>
      </c>
      <c r="D209" s="1" t="s">
        <v>1172</v>
      </c>
      <c r="F209" s="1">
        <v>83753</v>
      </c>
      <c r="G209" s="1">
        <v>647369</v>
      </c>
      <c r="H209" s="1">
        <v>527920</v>
      </c>
      <c r="I209" s="1">
        <v>421193</v>
      </c>
      <c r="J209" s="1">
        <v>1818635</v>
      </c>
      <c r="K209" s="1">
        <v>362679</v>
      </c>
      <c r="L209" s="1">
        <v>347080</v>
      </c>
      <c r="M209" s="1">
        <v>290000</v>
      </c>
      <c r="O209" s="1">
        <v>999759</v>
      </c>
      <c r="P209" s="1">
        <v>1118</v>
      </c>
      <c r="U209" s="1">
        <v>123249</v>
      </c>
      <c r="V209" s="1">
        <v>38693</v>
      </c>
      <c r="W209" s="1">
        <v>3084209</v>
      </c>
      <c r="X209" s="1">
        <v>1184023</v>
      </c>
      <c r="Z209" s="1">
        <v>594785</v>
      </c>
      <c r="AC209" s="1">
        <v>30831</v>
      </c>
      <c r="AD209" s="1">
        <v>431315</v>
      </c>
      <c r="AE209" s="1">
        <v>232322</v>
      </c>
      <c r="AF209" s="1">
        <v>46585</v>
      </c>
      <c r="AG209" s="1">
        <v>4166420</v>
      </c>
      <c r="AH209" s="1">
        <v>7251747</v>
      </c>
      <c r="AJ209" s="1">
        <v>63921</v>
      </c>
      <c r="AK209" s="1">
        <v>236810</v>
      </c>
      <c r="AL209" s="1">
        <v>145706</v>
      </c>
      <c r="AM209" s="1">
        <v>99401</v>
      </c>
      <c r="AN209" s="1">
        <v>318709</v>
      </c>
      <c r="AO209" s="1">
        <v>563816</v>
      </c>
      <c r="AP209" s="1">
        <v>847554</v>
      </c>
      <c r="AX209" s="1">
        <v>28</v>
      </c>
      <c r="AY209" s="1">
        <v>-28</v>
      </c>
      <c r="AZ209" s="1">
        <v>10917695</v>
      </c>
      <c r="BB209" s="1">
        <v>138400</v>
      </c>
      <c r="BE209" s="1">
        <v>106366</v>
      </c>
      <c r="BJ209" s="1">
        <v>172889</v>
      </c>
      <c r="BN209" s="1">
        <v>1782635</v>
      </c>
      <c r="BO209" s="1">
        <v>556900</v>
      </c>
      <c r="BQ209" s="1">
        <v>559532</v>
      </c>
      <c r="BR209" s="1">
        <v>745794</v>
      </c>
      <c r="BS209" s="1">
        <v>440399</v>
      </c>
      <c r="BT209" s="1">
        <v>354000</v>
      </c>
      <c r="BU209" s="1">
        <v>46928</v>
      </c>
      <c r="BV209" s="1">
        <v>46928</v>
      </c>
      <c r="BZ209" s="1">
        <v>23200</v>
      </c>
    </row>
    <row r="210" spans="1:122">
      <c r="A210" s="1">
        <v>11</v>
      </c>
      <c r="B210" s="1">
        <v>997</v>
      </c>
      <c r="C210" s="1" t="s">
        <v>1169</v>
      </c>
      <c r="D210" s="1" t="s">
        <v>1173</v>
      </c>
      <c r="F210" s="1">
        <v>476034</v>
      </c>
      <c r="G210" s="1">
        <v>274424</v>
      </c>
      <c r="H210" s="1">
        <v>248851</v>
      </c>
      <c r="I210" s="1">
        <v>1</v>
      </c>
      <c r="J210" s="1">
        <v>999310</v>
      </c>
      <c r="K210" s="1">
        <v>481618</v>
      </c>
      <c r="L210" s="1">
        <v>235155</v>
      </c>
      <c r="M210" s="1">
        <v>14717703</v>
      </c>
      <c r="N210" s="1">
        <v>38558</v>
      </c>
      <c r="O210" s="1">
        <v>15473034</v>
      </c>
      <c r="Q210" s="1">
        <v>7686422</v>
      </c>
      <c r="R210" s="1">
        <v>58533</v>
      </c>
      <c r="S210" s="1">
        <v>58533</v>
      </c>
      <c r="T210" s="1">
        <v>146620</v>
      </c>
      <c r="V210" s="1">
        <v>116017</v>
      </c>
      <c r="W210" s="1">
        <v>8007592</v>
      </c>
      <c r="X210" s="1">
        <v>6015130</v>
      </c>
      <c r="Y210" s="1">
        <v>532556</v>
      </c>
      <c r="Z210" s="1">
        <v>772399</v>
      </c>
      <c r="AA210" s="1">
        <v>5876</v>
      </c>
      <c r="AB210" s="1">
        <v>37767</v>
      </c>
      <c r="AC210" s="1">
        <v>139674</v>
      </c>
      <c r="AD210" s="1">
        <v>973754</v>
      </c>
      <c r="AE210" s="1">
        <v>557040</v>
      </c>
      <c r="AG210" s="1">
        <v>10873842</v>
      </c>
      <c r="AH210" s="1">
        <v>18882616</v>
      </c>
      <c r="AI210" s="1">
        <v>51348</v>
      </c>
      <c r="AJ210" s="1">
        <v>3415</v>
      </c>
      <c r="AK210" s="1">
        <v>69816</v>
      </c>
      <c r="AL210" s="1">
        <v>123702</v>
      </c>
      <c r="AM210" s="1">
        <v>271175</v>
      </c>
      <c r="AN210" s="1">
        <v>48177</v>
      </c>
      <c r="AO210" s="1">
        <v>490253</v>
      </c>
      <c r="AP210" s="1">
        <v>560069</v>
      </c>
      <c r="AQ210" s="1">
        <v>734005</v>
      </c>
      <c r="AT210" s="1">
        <v>734005</v>
      </c>
      <c r="AU210" s="1">
        <v>277406</v>
      </c>
      <c r="AV210" s="1">
        <v>1013192</v>
      </c>
      <c r="AW210" s="1">
        <v>1013192</v>
      </c>
      <c r="AX210" s="1">
        <v>1781</v>
      </c>
      <c r="AY210" s="1">
        <v>-1781</v>
      </c>
      <c r="AZ210" s="1">
        <v>43668533</v>
      </c>
      <c r="BE210" s="1">
        <v>258197</v>
      </c>
      <c r="BF210" s="1">
        <v>274276</v>
      </c>
      <c r="BH210" s="1">
        <v>1182</v>
      </c>
      <c r="BK210" s="1">
        <v>28888</v>
      </c>
      <c r="BM210" s="1">
        <v>1781</v>
      </c>
      <c r="BR210" s="1">
        <v>293475</v>
      </c>
      <c r="BY210" s="1">
        <v>6740312</v>
      </c>
      <c r="CA210" s="1">
        <v>1182</v>
      </c>
      <c r="CH210" s="1">
        <v>1013698</v>
      </c>
      <c r="CI210" s="1">
        <v>6740312</v>
      </c>
      <c r="CJ210" s="1">
        <v>484006</v>
      </c>
      <c r="DG210" s="1">
        <v>18311</v>
      </c>
      <c r="DQ210" s="1">
        <v>15053</v>
      </c>
    </row>
    <row r="211" spans="1:122">
      <c r="A211" s="1">
        <v>11</v>
      </c>
      <c r="B211" s="1">
        <v>1020</v>
      </c>
      <c r="C211" s="1" t="s">
        <v>1169</v>
      </c>
      <c r="D211" s="1" t="s">
        <v>1174</v>
      </c>
      <c r="F211" s="1">
        <v>123561</v>
      </c>
      <c r="G211" s="1">
        <v>101117</v>
      </c>
      <c r="H211" s="1">
        <v>77091</v>
      </c>
      <c r="I211" s="1">
        <v>5</v>
      </c>
      <c r="J211" s="1">
        <v>317524</v>
      </c>
      <c r="K211" s="1">
        <v>130820</v>
      </c>
      <c r="L211" s="1">
        <v>88918</v>
      </c>
      <c r="M211" s="1">
        <v>471</v>
      </c>
      <c r="N211" s="1">
        <v>7172</v>
      </c>
      <c r="O211" s="1">
        <v>227381</v>
      </c>
      <c r="Q211" s="1">
        <v>1933690</v>
      </c>
      <c r="U211" s="1">
        <v>1</v>
      </c>
      <c r="V211" s="1">
        <v>46978</v>
      </c>
      <c r="W211" s="1">
        <v>1980669</v>
      </c>
      <c r="X211" s="1">
        <v>1335391</v>
      </c>
      <c r="Y211" s="1">
        <v>75166</v>
      </c>
      <c r="Z211" s="1">
        <v>167807</v>
      </c>
      <c r="AC211" s="1">
        <v>35878</v>
      </c>
      <c r="AD211" s="1">
        <v>317960</v>
      </c>
      <c r="AE211" s="1">
        <v>154616</v>
      </c>
      <c r="AG211" s="1">
        <v>2234292</v>
      </c>
      <c r="AH211" s="1">
        <v>4214961</v>
      </c>
      <c r="AJ211" s="1">
        <v>505</v>
      </c>
      <c r="AK211" s="1">
        <v>287427</v>
      </c>
      <c r="AL211" s="1">
        <v>105100</v>
      </c>
      <c r="AM211" s="1">
        <v>79476</v>
      </c>
      <c r="AN211" s="1">
        <v>33249</v>
      </c>
      <c r="AO211" s="1">
        <v>217825</v>
      </c>
      <c r="AP211" s="1">
        <v>505252</v>
      </c>
      <c r="AQ211" s="1">
        <v>262080</v>
      </c>
      <c r="AT211" s="1">
        <v>262080</v>
      </c>
      <c r="AU211" s="1">
        <v>158718</v>
      </c>
      <c r="AV211" s="1">
        <v>424706</v>
      </c>
      <c r="AW211" s="1">
        <v>424706</v>
      </c>
      <c r="AX211" s="1">
        <v>3908</v>
      </c>
      <c r="AY211" s="1">
        <v>-3908</v>
      </c>
      <c r="AZ211" s="1">
        <v>5689824</v>
      </c>
      <c r="BB211" s="1">
        <v>15750</v>
      </c>
      <c r="BE211" s="1">
        <v>58748</v>
      </c>
      <c r="BF211" s="1">
        <v>32642</v>
      </c>
      <c r="BI211" s="1">
        <v>150918</v>
      </c>
      <c r="BJ211" s="1">
        <v>106055</v>
      </c>
      <c r="BM211" s="1">
        <v>3908</v>
      </c>
      <c r="BR211" s="1">
        <v>56084</v>
      </c>
      <c r="CJ211" s="1">
        <v>166009</v>
      </c>
      <c r="CU211" s="1">
        <v>10206</v>
      </c>
      <c r="CW211" s="1">
        <v>19743</v>
      </c>
      <c r="DB211" s="1">
        <v>1</v>
      </c>
    </row>
    <row r="212" spans="1:122">
      <c r="A212" s="1">
        <v>11</v>
      </c>
      <c r="B212" s="1">
        <v>1120</v>
      </c>
      <c r="C212" s="1" t="s">
        <v>1169</v>
      </c>
      <c r="D212" s="1" t="s">
        <v>1175</v>
      </c>
      <c r="F212" s="1">
        <v>4729</v>
      </c>
      <c r="G212" s="1">
        <v>505935</v>
      </c>
      <c r="H212" s="1">
        <v>606861</v>
      </c>
      <c r="I212" s="1">
        <v>452034</v>
      </c>
      <c r="J212" s="1">
        <v>1569559</v>
      </c>
      <c r="K212" s="1">
        <v>133043</v>
      </c>
      <c r="L212" s="1">
        <v>12446</v>
      </c>
      <c r="O212" s="1">
        <v>145489</v>
      </c>
      <c r="Q212" s="1">
        <v>1227280</v>
      </c>
      <c r="R212" s="1">
        <v>354182</v>
      </c>
      <c r="S212" s="1">
        <v>354182</v>
      </c>
      <c r="T212" s="1">
        <v>114524</v>
      </c>
      <c r="U212" s="1">
        <v>22602</v>
      </c>
      <c r="V212" s="1">
        <v>74180</v>
      </c>
      <c r="W212" s="1">
        <v>1792768</v>
      </c>
      <c r="X212" s="1">
        <v>927841</v>
      </c>
      <c r="Y212" s="1">
        <v>152684</v>
      </c>
      <c r="Z212" s="1">
        <v>69731</v>
      </c>
      <c r="AB212" s="1">
        <v>7444</v>
      </c>
      <c r="AC212" s="1">
        <v>25894</v>
      </c>
      <c r="AD212" s="1">
        <v>252889</v>
      </c>
      <c r="AE212" s="1">
        <v>121068</v>
      </c>
      <c r="AG212" s="1">
        <v>1859483</v>
      </c>
      <c r="AH212" s="1">
        <v>3701973</v>
      </c>
      <c r="AJ212" s="1">
        <v>50450</v>
      </c>
      <c r="AK212" s="1">
        <v>351976</v>
      </c>
      <c r="AL212" s="1">
        <v>108152</v>
      </c>
      <c r="AM212" s="1">
        <v>69559</v>
      </c>
      <c r="AN212" s="1">
        <v>33558</v>
      </c>
      <c r="AO212" s="1">
        <v>211269</v>
      </c>
      <c r="AP212" s="1">
        <v>563245</v>
      </c>
      <c r="AQ212" s="1">
        <v>42519</v>
      </c>
      <c r="AT212" s="1">
        <v>42519</v>
      </c>
      <c r="AU212" s="1">
        <v>41361</v>
      </c>
      <c r="AV212" s="1">
        <v>83880</v>
      </c>
      <c r="AW212" s="1">
        <v>83880</v>
      </c>
      <c r="AZ212" s="1">
        <v>6064146</v>
      </c>
      <c r="BE212" s="1">
        <v>51183</v>
      </c>
      <c r="BF212" s="1">
        <v>23937</v>
      </c>
      <c r="BH212" s="1">
        <v>3785</v>
      </c>
      <c r="BI212" s="1">
        <v>197502</v>
      </c>
      <c r="BJ212" s="1">
        <v>84178</v>
      </c>
      <c r="BR212" s="1">
        <v>226812</v>
      </c>
      <c r="CA212" s="1">
        <v>3785</v>
      </c>
      <c r="CG212" s="1">
        <v>45937</v>
      </c>
      <c r="CU212" s="1">
        <v>17615</v>
      </c>
      <c r="CW212" s="1">
        <v>2231</v>
      </c>
    </row>
    <row r="213" spans="1:122">
      <c r="A213" s="1">
        <v>11</v>
      </c>
      <c r="B213" s="1">
        <v>1460</v>
      </c>
      <c r="C213" s="1" t="s">
        <v>1169</v>
      </c>
      <c r="D213" s="1" t="s">
        <v>1176</v>
      </c>
      <c r="F213" s="1">
        <v>13885</v>
      </c>
      <c r="I213" s="1">
        <v>78014</v>
      </c>
      <c r="J213" s="1">
        <v>91899</v>
      </c>
      <c r="K213" s="1">
        <v>129547</v>
      </c>
      <c r="L213" s="1">
        <v>475000</v>
      </c>
      <c r="M213" s="1">
        <v>816297</v>
      </c>
      <c r="O213" s="1">
        <v>1420844</v>
      </c>
      <c r="P213" s="1">
        <v>31089</v>
      </c>
      <c r="Q213" s="1">
        <v>584786</v>
      </c>
      <c r="R213" s="1">
        <v>13147</v>
      </c>
      <c r="S213" s="1">
        <v>13147</v>
      </c>
      <c r="U213" s="1">
        <v>487</v>
      </c>
      <c r="V213" s="1">
        <v>19794</v>
      </c>
      <c r="W213" s="1">
        <v>618214</v>
      </c>
      <c r="X213" s="1">
        <v>2557544</v>
      </c>
      <c r="Y213" s="1">
        <v>196423</v>
      </c>
      <c r="Z213" s="1">
        <v>298817</v>
      </c>
      <c r="AA213" s="1">
        <v>15094</v>
      </c>
      <c r="AB213" s="1">
        <v>13742</v>
      </c>
      <c r="AC213" s="1">
        <v>60236</v>
      </c>
      <c r="AD213" s="1">
        <v>565874</v>
      </c>
      <c r="AE213" s="1">
        <v>243540</v>
      </c>
      <c r="AG213" s="1">
        <v>5424108</v>
      </c>
      <c r="AH213" s="1">
        <v>6077558</v>
      </c>
      <c r="AJ213" s="1">
        <v>3891</v>
      </c>
      <c r="AK213" s="1">
        <v>706280</v>
      </c>
      <c r="AL213" s="1">
        <v>388134</v>
      </c>
      <c r="AM213" s="1">
        <v>173264</v>
      </c>
      <c r="AN213" s="1">
        <v>77388</v>
      </c>
      <c r="AO213" s="1">
        <v>638786</v>
      </c>
      <c r="AP213" s="1">
        <v>1345066</v>
      </c>
      <c r="AQ213" s="1">
        <v>349210</v>
      </c>
      <c r="AT213" s="1">
        <v>349210</v>
      </c>
      <c r="AV213" s="1">
        <v>349210</v>
      </c>
      <c r="AW213" s="1">
        <v>349210</v>
      </c>
      <c r="AZ213" s="1">
        <v>9284577</v>
      </c>
      <c r="BE213" s="1">
        <v>153111</v>
      </c>
      <c r="BF213" s="1">
        <v>50416</v>
      </c>
      <c r="BH213" s="1">
        <v>4147</v>
      </c>
      <c r="BI213" s="1">
        <v>450579</v>
      </c>
      <c r="BJ213" s="1">
        <v>251810</v>
      </c>
      <c r="BR213" s="1">
        <v>934846</v>
      </c>
      <c r="CA213" s="1">
        <v>4147</v>
      </c>
      <c r="CF213" s="1">
        <v>334465</v>
      </c>
    </row>
    <row r="214" spans="1:122">
      <c r="A214" s="1">
        <v>11</v>
      </c>
      <c r="B214" s="1">
        <v>1820</v>
      </c>
      <c r="C214" s="1" t="s">
        <v>1169</v>
      </c>
      <c r="D214" s="1" t="s">
        <v>1177</v>
      </c>
      <c r="F214" s="1">
        <v>4777</v>
      </c>
      <c r="G214" s="1">
        <v>15324</v>
      </c>
      <c r="H214" s="1">
        <v>12410</v>
      </c>
      <c r="I214" s="1">
        <v>20610</v>
      </c>
      <c r="J214" s="1">
        <v>53121</v>
      </c>
      <c r="K214" s="1">
        <v>100840</v>
      </c>
      <c r="L214" s="1">
        <v>427</v>
      </c>
      <c r="M214" s="1">
        <v>2406</v>
      </c>
      <c r="O214" s="1">
        <v>103673</v>
      </c>
      <c r="Q214" s="1">
        <v>745271</v>
      </c>
      <c r="S214" s="1">
        <v>35862</v>
      </c>
      <c r="U214" s="1">
        <v>9832</v>
      </c>
      <c r="V214" s="1">
        <v>2193</v>
      </c>
      <c r="W214" s="1">
        <v>793158</v>
      </c>
      <c r="X214" s="1">
        <v>234687</v>
      </c>
      <c r="Y214" s="1">
        <v>33124</v>
      </c>
      <c r="Z214" s="1">
        <v>69845</v>
      </c>
      <c r="AA214" s="1">
        <v>4636</v>
      </c>
      <c r="AC214" s="1">
        <v>8007</v>
      </c>
      <c r="AD214" s="1">
        <v>111525</v>
      </c>
      <c r="AE214" s="1">
        <v>45837</v>
      </c>
      <c r="AF214" s="1">
        <v>6070</v>
      </c>
      <c r="AG214" s="1">
        <v>521906</v>
      </c>
      <c r="AH214" s="1">
        <v>1315064</v>
      </c>
      <c r="AK214" s="1">
        <v>79921</v>
      </c>
      <c r="AL214" s="1">
        <v>27949</v>
      </c>
      <c r="AM214" s="1">
        <v>18405</v>
      </c>
      <c r="AN214" s="1">
        <v>15206</v>
      </c>
      <c r="AO214" s="1">
        <v>61560</v>
      </c>
      <c r="AP214" s="1">
        <v>141481</v>
      </c>
      <c r="AZ214" s="1">
        <v>1613339</v>
      </c>
      <c r="BC214" s="1">
        <v>35862</v>
      </c>
      <c r="BE214" s="1">
        <v>8175</v>
      </c>
      <c r="BI214" s="1">
        <v>48249</v>
      </c>
      <c r="BJ214" s="1">
        <v>31672</v>
      </c>
    </row>
    <row r="215" spans="1:122">
      <c r="A215" s="1">
        <v>11</v>
      </c>
      <c r="B215" s="1">
        <v>2270</v>
      </c>
      <c r="C215" s="1" t="s">
        <v>1169</v>
      </c>
      <c r="D215" s="1" t="s">
        <v>1178</v>
      </c>
      <c r="F215" s="1">
        <v>18988</v>
      </c>
      <c r="I215" s="1">
        <v>26101</v>
      </c>
      <c r="J215" s="1">
        <v>45089</v>
      </c>
      <c r="K215" s="1">
        <v>74386</v>
      </c>
      <c r="M215" s="1">
        <v>251924</v>
      </c>
      <c r="N215" s="1">
        <v>9804</v>
      </c>
      <c r="O215" s="1">
        <v>336114</v>
      </c>
      <c r="Q215" s="1">
        <v>2657265</v>
      </c>
      <c r="R215" s="1">
        <v>270254</v>
      </c>
      <c r="S215" s="1">
        <v>270254</v>
      </c>
      <c r="U215" s="1">
        <v>100</v>
      </c>
      <c r="V215" s="1">
        <v>60873</v>
      </c>
      <c r="W215" s="1">
        <v>2988492</v>
      </c>
      <c r="X215" s="1">
        <v>2123774</v>
      </c>
      <c r="Y215" s="1">
        <v>142047</v>
      </c>
      <c r="Z215" s="1">
        <v>151919</v>
      </c>
      <c r="AA215" s="1">
        <v>12794</v>
      </c>
      <c r="AC215" s="1">
        <v>59376</v>
      </c>
      <c r="AD215" s="1">
        <v>508318</v>
      </c>
      <c r="AE215" s="1">
        <v>221405</v>
      </c>
      <c r="AG215" s="1">
        <v>3284096</v>
      </c>
      <c r="AH215" s="1">
        <v>6272588</v>
      </c>
      <c r="AI215" s="1">
        <v>24033</v>
      </c>
      <c r="AJ215" s="1">
        <v>2314</v>
      </c>
      <c r="AK215" s="1">
        <v>26347</v>
      </c>
      <c r="AL215" s="1">
        <v>110704</v>
      </c>
      <c r="AM215" s="1">
        <v>106834</v>
      </c>
      <c r="AN215" s="1">
        <v>58670</v>
      </c>
      <c r="AO215" s="1">
        <v>276208</v>
      </c>
      <c r="AP215" s="1">
        <v>302555</v>
      </c>
      <c r="AQ215" s="1">
        <v>453712</v>
      </c>
      <c r="AT215" s="1">
        <v>453712</v>
      </c>
      <c r="AU215" s="1">
        <v>371084</v>
      </c>
      <c r="AV215" s="1">
        <v>824796</v>
      </c>
      <c r="AW215" s="1">
        <v>824796</v>
      </c>
      <c r="AZ215" s="1">
        <v>7781142</v>
      </c>
      <c r="BE215" s="1">
        <v>64463</v>
      </c>
      <c r="DB215" s="1">
        <v>100</v>
      </c>
    </row>
    <row r="216" spans="1:122">
      <c r="A216" s="1">
        <v>11</v>
      </c>
      <c r="B216" s="1">
        <v>2570</v>
      </c>
      <c r="C216" s="1" t="s">
        <v>1169</v>
      </c>
      <c r="D216" s="1" t="s">
        <v>1179</v>
      </c>
      <c r="F216" s="1">
        <v>79994</v>
      </c>
      <c r="G216" s="1">
        <v>374404</v>
      </c>
      <c r="H216" s="1">
        <v>325828</v>
      </c>
      <c r="I216" s="1">
        <v>2385</v>
      </c>
      <c r="J216" s="1">
        <v>782611</v>
      </c>
      <c r="K216" s="1">
        <v>176973</v>
      </c>
      <c r="L216" s="1">
        <v>208462</v>
      </c>
      <c r="N216" s="1">
        <v>1</v>
      </c>
      <c r="O216" s="1">
        <v>385436</v>
      </c>
      <c r="P216" s="1">
        <v>75000</v>
      </c>
      <c r="Q216" s="1">
        <v>1769532</v>
      </c>
      <c r="S216" s="1">
        <v>16773</v>
      </c>
      <c r="U216" s="1">
        <v>119</v>
      </c>
      <c r="V216" s="1">
        <v>135401</v>
      </c>
      <c r="W216" s="1">
        <v>1921825</v>
      </c>
      <c r="X216" s="1">
        <v>2661595</v>
      </c>
      <c r="Y216" s="1">
        <v>326419</v>
      </c>
      <c r="Z216" s="1">
        <v>470655</v>
      </c>
      <c r="AA216" s="1">
        <v>12812</v>
      </c>
      <c r="AC216" s="1">
        <v>58810</v>
      </c>
      <c r="AD216" s="1">
        <v>310829</v>
      </c>
      <c r="AE216" s="1">
        <v>180579</v>
      </c>
      <c r="AG216" s="1">
        <v>4503785</v>
      </c>
      <c r="AH216" s="1">
        <v>6500610</v>
      </c>
      <c r="AK216" s="1">
        <v>477259</v>
      </c>
      <c r="AL216" s="1">
        <v>369068</v>
      </c>
      <c r="AM216" s="1">
        <v>169948</v>
      </c>
      <c r="AN216" s="1">
        <v>406934</v>
      </c>
      <c r="AO216" s="1">
        <v>945950</v>
      </c>
      <c r="AP216" s="1">
        <v>1423209</v>
      </c>
      <c r="AQ216" s="1">
        <v>76792</v>
      </c>
      <c r="AT216" s="1">
        <v>76792</v>
      </c>
      <c r="AU216" s="1">
        <v>148008</v>
      </c>
      <c r="AV216" s="1">
        <v>224800</v>
      </c>
      <c r="AW216" s="1">
        <v>224800</v>
      </c>
      <c r="AZ216" s="1">
        <v>9316666</v>
      </c>
      <c r="BC216" s="1">
        <v>16773</v>
      </c>
      <c r="BE216" s="1">
        <v>128396</v>
      </c>
      <c r="BF216" s="1">
        <v>52447</v>
      </c>
      <c r="BI216" s="1">
        <v>195743</v>
      </c>
      <c r="BJ216" s="1">
        <v>67608</v>
      </c>
      <c r="BR216" s="1">
        <v>270357</v>
      </c>
      <c r="CF216" s="1">
        <v>30886</v>
      </c>
      <c r="CJ216" s="1">
        <v>534290</v>
      </c>
      <c r="CU216" s="1">
        <v>94809</v>
      </c>
      <c r="CW216" s="1">
        <v>119099</v>
      </c>
      <c r="DB216" s="1">
        <v>1</v>
      </c>
    </row>
    <row r="217" spans="1:122">
      <c r="A217" s="1">
        <v>11</v>
      </c>
      <c r="B217" s="1">
        <v>3050</v>
      </c>
      <c r="C217" s="1" t="s">
        <v>1169</v>
      </c>
      <c r="D217" s="1" t="s">
        <v>1180</v>
      </c>
      <c r="F217" s="1">
        <v>272064</v>
      </c>
      <c r="G217" s="1">
        <v>435697</v>
      </c>
      <c r="H217" s="1">
        <v>442634</v>
      </c>
      <c r="J217" s="1">
        <v>1150395</v>
      </c>
      <c r="K217" s="1">
        <v>143488</v>
      </c>
      <c r="L217" s="1">
        <v>145084</v>
      </c>
      <c r="O217" s="1">
        <v>288572</v>
      </c>
      <c r="Q217" s="1">
        <v>2389168</v>
      </c>
      <c r="R217" s="1">
        <v>34287</v>
      </c>
      <c r="S217" s="1">
        <v>34287</v>
      </c>
      <c r="T217" s="1">
        <v>129466</v>
      </c>
      <c r="V217" s="1">
        <v>96118</v>
      </c>
      <c r="W217" s="1">
        <v>2649039</v>
      </c>
      <c r="X217" s="1">
        <v>2832789</v>
      </c>
      <c r="Y217" s="1">
        <v>346620</v>
      </c>
      <c r="Z217" s="1">
        <v>341512</v>
      </c>
      <c r="AB217" s="1">
        <v>15495</v>
      </c>
      <c r="AC217" s="1">
        <v>61788</v>
      </c>
      <c r="AD217" s="1">
        <v>442912</v>
      </c>
      <c r="AE217" s="1">
        <v>189633</v>
      </c>
      <c r="AG217" s="1">
        <v>4435537</v>
      </c>
      <c r="AH217" s="1">
        <v>7084576</v>
      </c>
      <c r="AK217" s="1">
        <v>358819</v>
      </c>
      <c r="AL217" s="1">
        <v>96230</v>
      </c>
      <c r="AM217" s="1">
        <v>134737</v>
      </c>
      <c r="AN217" s="1">
        <v>52874</v>
      </c>
      <c r="AO217" s="1">
        <v>283841</v>
      </c>
      <c r="AP217" s="1">
        <v>642660</v>
      </c>
      <c r="AQ217" s="1">
        <v>102808</v>
      </c>
      <c r="AT217" s="1">
        <v>102808</v>
      </c>
      <c r="AU217" s="1">
        <v>156927</v>
      </c>
      <c r="AV217" s="1">
        <v>259735</v>
      </c>
      <c r="AW217" s="1">
        <v>259735</v>
      </c>
      <c r="AZ217" s="1">
        <v>9425938</v>
      </c>
      <c r="BE217" s="1">
        <v>99940</v>
      </c>
      <c r="BF217" s="1">
        <v>51154</v>
      </c>
      <c r="BI217" s="1">
        <v>219154</v>
      </c>
      <c r="BJ217" s="1">
        <v>139665</v>
      </c>
      <c r="BR217" s="1">
        <v>53694</v>
      </c>
    </row>
    <row r="218" spans="1:122">
      <c r="A218" s="1">
        <v>11</v>
      </c>
      <c r="B218" s="1">
        <v>3230</v>
      </c>
      <c r="C218" s="1" t="s">
        <v>1169</v>
      </c>
      <c r="D218" s="1" t="s">
        <v>1181</v>
      </c>
      <c r="F218" s="1">
        <v>1049913</v>
      </c>
      <c r="H218" s="1">
        <v>1900000</v>
      </c>
      <c r="J218" s="1">
        <v>2949913</v>
      </c>
      <c r="K218" s="1">
        <v>908874</v>
      </c>
      <c r="M218" s="1">
        <v>21200</v>
      </c>
      <c r="N218" s="1">
        <v>1</v>
      </c>
      <c r="O218" s="1">
        <v>930075</v>
      </c>
      <c r="Q218" s="1">
        <v>8405643</v>
      </c>
      <c r="R218" s="1">
        <v>4716668</v>
      </c>
      <c r="S218" s="1">
        <v>4716668</v>
      </c>
      <c r="V218" s="1">
        <v>1265972</v>
      </c>
      <c r="W218" s="1">
        <v>14439792</v>
      </c>
      <c r="X218" s="1">
        <v>24334844</v>
      </c>
      <c r="Y218" s="1">
        <v>1284406</v>
      </c>
      <c r="Z218" s="1">
        <v>3076906</v>
      </c>
      <c r="AA218" s="1">
        <v>142334</v>
      </c>
      <c r="AB218" s="1">
        <v>122796</v>
      </c>
      <c r="AC218" s="1">
        <v>568130</v>
      </c>
      <c r="AE218" s="1">
        <v>8249571</v>
      </c>
      <c r="AF218" s="1">
        <v>15111</v>
      </c>
      <c r="AG218" s="1">
        <v>70548476</v>
      </c>
      <c r="AH218" s="1">
        <v>85059111</v>
      </c>
      <c r="AJ218" s="1">
        <v>1002434</v>
      </c>
      <c r="AK218" s="1">
        <v>8703553</v>
      </c>
      <c r="AL218" s="1">
        <v>1701875</v>
      </c>
      <c r="AM218" s="1">
        <v>1438230</v>
      </c>
      <c r="AN218" s="1">
        <v>1304117</v>
      </c>
      <c r="AO218" s="1">
        <v>4565461</v>
      </c>
      <c r="AP218" s="1">
        <v>15620378</v>
      </c>
      <c r="AQ218" s="1">
        <v>692566</v>
      </c>
      <c r="AT218" s="1">
        <v>692566</v>
      </c>
      <c r="AU218" s="1">
        <v>967956</v>
      </c>
      <c r="AV218" s="1">
        <v>1660522</v>
      </c>
      <c r="AW218" s="1">
        <v>1660522</v>
      </c>
      <c r="AZ218" s="1">
        <v>107383231</v>
      </c>
      <c r="BH218" s="1">
        <v>70843</v>
      </c>
      <c r="BI218" s="1">
        <v>2830169</v>
      </c>
      <c r="BJ218" s="1">
        <v>2090074</v>
      </c>
      <c r="BK218" s="1">
        <v>80034</v>
      </c>
      <c r="BQ218" s="1">
        <v>51509</v>
      </c>
      <c r="BR218" s="1">
        <v>1051587</v>
      </c>
      <c r="BU218" s="1">
        <v>162864</v>
      </c>
      <c r="BV218" s="1">
        <v>162864</v>
      </c>
      <c r="BW218" s="1">
        <v>41205</v>
      </c>
      <c r="BY218" s="1">
        <v>1163232</v>
      </c>
      <c r="CA218" s="1">
        <v>70843</v>
      </c>
      <c r="CC218" s="1">
        <v>1163232</v>
      </c>
      <c r="CF218" s="1">
        <v>2791301</v>
      </c>
      <c r="CO218" s="1">
        <v>27811490</v>
      </c>
      <c r="CP218" s="1">
        <v>2780876</v>
      </c>
      <c r="CQ218" s="1">
        <v>2188500</v>
      </c>
      <c r="DD218" s="1">
        <v>1100000</v>
      </c>
    </row>
    <row r="219" spans="1:122">
      <c r="A219" s="1">
        <v>11</v>
      </c>
      <c r="B219" s="1">
        <v>4750</v>
      </c>
      <c r="C219" s="1" t="s">
        <v>1169</v>
      </c>
      <c r="D219" s="1" t="s">
        <v>1182</v>
      </c>
      <c r="F219" s="1">
        <v>1514</v>
      </c>
      <c r="G219" s="1">
        <v>50505</v>
      </c>
      <c r="H219" s="1">
        <v>30821</v>
      </c>
      <c r="I219" s="1">
        <v>5051</v>
      </c>
      <c r="J219" s="1">
        <v>87891</v>
      </c>
      <c r="K219" s="1">
        <v>104807</v>
      </c>
      <c r="L219" s="1">
        <v>20427</v>
      </c>
      <c r="O219" s="1">
        <v>125234</v>
      </c>
      <c r="Q219" s="1">
        <v>257826</v>
      </c>
      <c r="S219" s="1">
        <v>30192</v>
      </c>
      <c r="U219" s="1">
        <v>25</v>
      </c>
      <c r="V219" s="1">
        <v>8937</v>
      </c>
      <c r="W219" s="1">
        <v>296980</v>
      </c>
      <c r="X219" s="1">
        <v>295723</v>
      </c>
      <c r="Y219" s="1">
        <v>1225</v>
      </c>
      <c r="Z219" s="1">
        <v>10448</v>
      </c>
      <c r="AC219" s="1">
        <v>6144</v>
      </c>
      <c r="AD219" s="1">
        <v>58426</v>
      </c>
      <c r="AE219" s="1">
        <v>22799</v>
      </c>
      <c r="AG219" s="1">
        <v>441777</v>
      </c>
      <c r="AH219" s="1">
        <v>738757</v>
      </c>
      <c r="AJ219" s="1">
        <v>6361</v>
      </c>
      <c r="AK219" s="1">
        <v>9379</v>
      </c>
      <c r="AL219" s="1">
        <v>1642</v>
      </c>
      <c r="AM219" s="1">
        <v>12533</v>
      </c>
      <c r="AN219" s="1">
        <v>22472</v>
      </c>
      <c r="AO219" s="1">
        <v>36647</v>
      </c>
      <c r="AP219" s="1">
        <v>46026</v>
      </c>
      <c r="AZ219" s="1">
        <v>997908</v>
      </c>
      <c r="BC219" s="1">
        <v>30192</v>
      </c>
      <c r="BE219" s="1">
        <v>10397</v>
      </c>
      <c r="BF219" s="1">
        <v>5449</v>
      </c>
      <c r="BR219" s="1">
        <v>24042</v>
      </c>
      <c r="CF219" s="1">
        <v>7124</v>
      </c>
      <c r="DP219" s="1">
        <v>1170</v>
      </c>
      <c r="DQ219" s="1">
        <v>1848</v>
      </c>
    </row>
    <row r="220" spans="1:122">
      <c r="A220" s="1">
        <v>11</v>
      </c>
      <c r="B220" s="1">
        <v>5070</v>
      </c>
      <c r="C220" s="1" t="s">
        <v>1169</v>
      </c>
      <c r="D220" s="1" t="s">
        <v>1183</v>
      </c>
      <c r="G220" s="1">
        <v>75593</v>
      </c>
      <c r="H220" s="1">
        <v>7509</v>
      </c>
      <c r="I220" s="1">
        <v>37954</v>
      </c>
      <c r="J220" s="1">
        <v>121056</v>
      </c>
      <c r="K220" s="1">
        <v>102001</v>
      </c>
      <c r="L220" s="1">
        <v>31999</v>
      </c>
      <c r="O220" s="1">
        <v>134000</v>
      </c>
      <c r="Q220" s="1">
        <v>772579</v>
      </c>
      <c r="R220" s="1">
        <v>15200</v>
      </c>
      <c r="S220" s="1">
        <v>15200</v>
      </c>
      <c r="T220" s="1">
        <v>1890</v>
      </c>
      <c r="U220" s="1">
        <v>1660</v>
      </c>
      <c r="V220" s="1">
        <v>18820</v>
      </c>
      <c r="W220" s="1">
        <v>810149</v>
      </c>
      <c r="X220" s="1">
        <v>206590</v>
      </c>
      <c r="Y220" s="1">
        <v>56376</v>
      </c>
      <c r="Z220" s="1">
        <v>41693</v>
      </c>
      <c r="AC220" s="1">
        <v>15471</v>
      </c>
      <c r="AD220" s="1">
        <v>156122</v>
      </c>
      <c r="AE220" s="1">
        <v>52842</v>
      </c>
      <c r="AG220" s="1">
        <v>1024302</v>
      </c>
      <c r="AH220" s="1">
        <v>1834451</v>
      </c>
      <c r="AJ220" s="1">
        <v>40075</v>
      </c>
      <c r="AK220" s="1">
        <v>45050</v>
      </c>
      <c r="AL220" s="1">
        <v>19070</v>
      </c>
      <c r="AM220" s="1">
        <v>27223</v>
      </c>
      <c r="AN220" s="1">
        <v>26369</v>
      </c>
      <c r="AO220" s="1">
        <v>72662</v>
      </c>
      <c r="AP220" s="1">
        <v>119232</v>
      </c>
      <c r="AZ220" s="1">
        <v>2208739</v>
      </c>
      <c r="BE220" s="1">
        <v>23789</v>
      </c>
      <c r="BF220" s="1">
        <v>2668</v>
      </c>
      <c r="BR220" s="1">
        <v>404552</v>
      </c>
      <c r="BU220" s="1">
        <v>1520</v>
      </c>
      <c r="BV220" s="1">
        <v>1520</v>
      </c>
      <c r="CF220" s="1">
        <v>64199</v>
      </c>
      <c r="DP220" s="1">
        <v>880</v>
      </c>
      <c r="DQ220" s="1">
        <v>4095</v>
      </c>
    </row>
    <row r="221" spans="1:122">
      <c r="A221" s="1">
        <v>11</v>
      </c>
      <c r="B221" s="1">
        <v>5300</v>
      </c>
      <c r="C221" s="1" t="s">
        <v>1169</v>
      </c>
      <c r="D221" s="1" t="s">
        <v>1184</v>
      </c>
      <c r="F221" s="1">
        <v>581367</v>
      </c>
      <c r="G221" s="1">
        <v>175150</v>
      </c>
      <c r="H221" s="1">
        <v>106125</v>
      </c>
      <c r="I221" s="1">
        <v>105898</v>
      </c>
      <c r="J221" s="1">
        <v>975120</v>
      </c>
      <c r="K221" s="1">
        <v>278426</v>
      </c>
      <c r="L221" s="1">
        <v>250001</v>
      </c>
      <c r="N221" s="1">
        <v>41797</v>
      </c>
      <c r="O221" s="1">
        <v>570224</v>
      </c>
      <c r="Q221" s="1">
        <v>5303126</v>
      </c>
      <c r="S221" s="1">
        <v>100418</v>
      </c>
      <c r="U221" s="1">
        <v>117824</v>
      </c>
      <c r="V221" s="1">
        <v>32590</v>
      </c>
      <c r="W221" s="1">
        <v>5553958</v>
      </c>
      <c r="X221" s="1">
        <v>2500367</v>
      </c>
      <c r="Y221" s="1">
        <v>275998</v>
      </c>
      <c r="Z221" s="1">
        <v>663441</v>
      </c>
      <c r="AA221" s="1">
        <v>16424</v>
      </c>
      <c r="AC221" s="1">
        <v>90958</v>
      </c>
      <c r="AD221" s="1">
        <v>902876</v>
      </c>
      <c r="AE221" s="1">
        <v>424143</v>
      </c>
      <c r="AG221" s="1">
        <v>6208516</v>
      </c>
      <c r="AH221" s="1">
        <v>11766984</v>
      </c>
      <c r="AJ221" s="1">
        <v>50000</v>
      </c>
      <c r="AK221" s="1">
        <v>1165905</v>
      </c>
      <c r="AL221" s="1">
        <v>383483</v>
      </c>
      <c r="AM221" s="1">
        <v>205353</v>
      </c>
      <c r="AN221" s="1">
        <v>85401</v>
      </c>
      <c r="AO221" s="1">
        <v>674237</v>
      </c>
      <c r="AP221" s="1">
        <v>1840142</v>
      </c>
      <c r="AQ221" s="1">
        <v>474126</v>
      </c>
      <c r="AT221" s="1">
        <v>474126</v>
      </c>
      <c r="AU221" s="1">
        <v>25669</v>
      </c>
      <c r="AV221" s="1">
        <v>501368</v>
      </c>
      <c r="AW221" s="1">
        <v>501368</v>
      </c>
      <c r="AZ221" s="1">
        <v>15653838</v>
      </c>
      <c r="BC221" s="1">
        <v>100418</v>
      </c>
      <c r="BE221" s="1">
        <v>170514</v>
      </c>
      <c r="BF221" s="1">
        <v>75276</v>
      </c>
      <c r="BH221" s="1">
        <v>4510</v>
      </c>
      <c r="BI221" s="1">
        <v>739721</v>
      </c>
      <c r="BJ221" s="1">
        <v>376184</v>
      </c>
      <c r="BM221" s="1">
        <v>1573</v>
      </c>
      <c r="BR221" s="1">
        <v>941938</v>
      </c>
      <c r="CA221" s="1">
        <v>4510</v>
      </c>
      <c r="CF221" s="1">
        <v>146581</v>
      </c>
      <c r="CL221" s="1">
        <v>6580</v>
      </c>
    </row>
    <row r="222" spans="1:122">
      <c r="A222" s="1">
        <v>11</v>
      </c>
      <c r="B222" s="1">
        <v>5390</v>
      </c>
      <c r="C222" s="1" t="s">
        <v>1169</v>
      </c>
      <c r="D222" s="1" t="s">
        <v>1185</v>
      </c>
      <c r="F222" s="1">
        <v>101069</v>
      </c>
      <c r="G222" s="1">
        <v>905472</v>
      </c>
      <c r="I222" s="1">
        <v>1</v>
      </c>
      <c r="J222" s="1">
        <v>1006542</v>
      </c>
      <c r="K222" s="1">
        <v>3829260</v>
      </c>
      <c r="L222" s="1">
        <v>7000000</v>
      </c>
      <c r="O222" s="1">
        <v>10829260</v>
      </c>
      <c r="Q222" s="1">
        <v>19467316</v>
      </c>
      <c r="S222" s="1">
        <v>683496</v>
      </c>
      <c r="V222" s="1">
        <v>1453061</v>
      </c>
      <c r="W222" s="1">
        <v>21603873</v>
      </c>
      <c r="X222" s="1">
        <v>42323458</v>
      </c>
      <c r="Y222" s="1">
        <v>2928627</v>
      </c>
      <c r="Z222" s="1">
        <v>5759016</v>
      </c>
      <c r="AA222" s="1">
        <v>649532</v>
      </c>
      <c r="AB222" s="1">
        <v>288761</v>
      </c>
      <c r="AC222" s="1">
        <v>1047497</v>
      </c>
      <c r="AD222" s="1">
        <v>9807107</v>
      </c>
      <c r="AE222" s="1">
        <v>5112682</v>
      </c>
      <c r="AG222" s="1">
        <v>132175820</v>
      </c>
      <c r="AH222" s="1">
        <v>154162281</v>
      </c>
      <c r="AJ222" s="1">
        <v>7706754</v>
      </c>
      <c r="AK222" s="1">
        <v>25108230</v>
      </c>
      <c r="AL222" s="1">
        <v>2431660</v>
      </c>
      <c r="AN222" s="1">
        <v>3633135</v>
      </c>
      <c r="AO222" s="1">
        <v>6693199</v>
      </c>
      <c r="AP222" s="1">
        <v>32276783</v>
      </c>
      <c r="AZ222" s="1">
        <v>198274866</v>
      </c>
      <c r="BC222" s="1">
        <v>683496</v>
      </c>
      <c r="BF222" s="1">
        <v>39334</v>
      </c>
      <c r="BH222" s="1">
        <v>382588</v>
      </c>
      <c r="BI222" s="1">
        <v>6732292</v>
      </c>
      <c r="BJ222" s="1">
        <v>3971760</v>
      </c>
      <c r="BK222" s="1">
        <v>86616</v>
      </c>
      <c r="BR222" s="1">
        <v>1180939</v>
      </c>
      <c r="BU222" s="1">
        <v>54694</v>
      </c>
      <c r="BV222" s="1">
        <v>54694</v>
      </c>
      <c r="BW222" s="1">
        <v>541788</v>
      </c>
      <c r="CA222" s="1">
        <v>382588</v>
      </c>
      <c r="CF222" s="1">
        <v>11394451</v>
      </c>
      <c r="CN222" s="1">
        <v>6814</v>
      </c>
      <c r="CO222" s="1">
        <v>51644416</v>
      </c>
      <c r="CP222" s="1">
        <v>6697424</v>
      </c>
      <c r="CQ222" s="1">
        <v>420660</v>
      </c>
      <c r="DR222" s="1">
        <v>125</v>
      </c>
    </row>
    <row r="223" spans="1:122">
      <c r="A223" s="1">
        <v>13</v>
      </c>
      <c r="B223" s="1">
        <v>250</v>
      </c>
      <c r="C223" s="1" t="s">
        <v>1186</v>
      </c>
      <c r="D223" s="1" t="s">
        <v>1187</v>
      </c>
      <c r="F223" s="1">
        <v>245772</v>
      </c>
      <c r="I223" s="1">
        <v>91395</v>
      </c>
      <c r="J223" s="1">
        <v>841624</v>
      </c>
      <c r="K223" s="1">
        <v>1065889</v>
      </c>
      <c r="L223" s="1">
        <v>384639</v>
      </c>
      <c r="M223" s="1">
        <v>501029</v>
      </c>
      <c r="O223" s="1">
        <v>1951557</v>
      </c>
      <c r="P223" s="1">
        <v>35882</v>
      </c>
      <c r="Q223" s="1">
        <v>30987272</v>
      </c>
      <c r="R223" s="1">
        <v>30582</v>
      </c>
      <c r="S223" s="1">
        <v>60376</v>
      </c>
      <c r="V223" s="1">
        <v>176086</v>
      </c>
      <c r="W223" s="1">
        <v>31223734</v>
      </c>
      <c r="X223" s="1">
        <v>12751948</v>
      </c>
      <c r="Y223" s="1">
        <v>611166</v>
      </c>
      <c r="Z223" s="1">
        <v>3087405</v>
      </c>
      <c r="AA223" s="1">
        <v>280230</v>
      </c>
      <c r="AB223" s="1">
        <v>154464</v>
      </c>
      <c r="AC223" s="1">
        <v>516013</v>
      </c>
      <c r="AD223" s="1">
        <v>4011948</v>
      </c>
      <c r="AE223" s="1">
        <v>2060410</v>
      </c>
      <c r="AG223" s="1">
        <v>24445931</v>
      </c>
      <c r="AH223" s="1">
        <v>55755813</v>
      </c>
      <c r="AI223" s="1">
        <v>339272</v>
      </c>
      <c r="AJ223" s="1">
        <v>231538</v>
      </c>
      <c r="AK223" s="1">
        <v>1166024</v>
      </c>
      <c r="AL223" s="1">
        <v>748176</v>
      </c>
      <c r="AM223" s="1">
        <v>985133</v>
      </c>
      <c r="AN223" s="1">
        <v>537777</v>
      </c>
      <c r="AO223" s="1">
        <v>2315869</v>
      </c>
      <c r="AP223" s="1">
        <v>3506653</v>
      </c>
      <c r="AZ223" s="1">
        <v>62055647</v>
      </c>
      <c r="BC223" s="1">
        <v>12471</v>
      </c>
      <c r="BE223" s="1">
        <v>546190</v>
      </c>
      <c r="BF223" s="1">
        <v>426157</v>
      </c>
      <c r="BH223" s="1">
        <v>50266</v>
      </c>
      <c r="BJ223" s="1">
        <v>595214</v>
      </c>
      <c r="BK223" s="1">
        <v>37183</v>
      </c>
      <c r="BU223" s="1">
        <v>24760</v>
      </c>
      <c r="BV223" s="1">
        <v>24760</v>
      </c>
      <c r="CA223" s="1">
        <v>50266</v>
      </c>
      <c r="CB223" s="1">
        <v>17323</v>
      </c>
      <c r="CL223" s="1">
        <v>504457</v>
      </c>
      <c r="DG223" s="1">
        <v>7600</v>
      </c>
    </row>
    <row r="224" spans="1:122">
      <c r="A224" s="1">
        <v>13</v>
      </c>
      <c r="B224" s="1">
        <v>410</v>
      </c>
      <c r="C224" s="1" t="s">
        <v>1186</v>
      </c>
      <c r="D224" s="1" t="s">
        <v>1188</v>
      </c>
      <c r="F224" s="1">
        <v>827879</v>
      </c>
      <c r="I224" s="1">
        <v>655347</v>
      </c>
      <c r="J224" s="1">
        <v>10762459</v>
      </c>
      <c r="K224" s="1">
        <v>172766</v>
      </c>
      <c r="L224" s="1">
        <v>1500000</v>
      </c>
      <c r="M224" s="1">
        <v>1771399</v>
      </c>
      <c r="N224" s="1">
        <v>278637</v>
      </c>
      <c r="O224" s="1">
        <v>3722802</v>
      </c>
      <c r="P224" s="1">
        <v>19110</v>
      </c>
      <c r="Q224" s="1">
        <v>48322565</v>
      </c>
      <c r="R224" s="1">
        <v>358775</v>
      </c>
      <c r="S224" s="1">
        <v>404645</v>
      </c>
      <c r="U224" s="1">
        <v>174115</v>
      </c>
      <c r="V224" s="1">
        <v>36721</v>
      </c>
      <c r="W224" s="1">
        <v>48957941</v>
      </c>
      <c r="X224" s="1">
        <v>8022414</v>
      </c>
      <c r="Y224" s="1">
        <v>1071892</v>
      </c>
      <c r="Z224" s="1">
        <v>3387365</v>
      </c>
      <c r="AA224" s="1">
        <v>255612</v>
      </c>
      <c r="AB224" s="1">
        <v>768870</v>
      </c>
      <c r="AC224" s="1">
        <v>664245</v>
      </c>
      <c r="AD224" s="1">
        <v>5531777</v>
      </c>
      <c r="AE224" s="1">
        <v>2583964</v>
      </c>
      <c r="AG224" s="1">
        <v>22728234</v>
      </c>
      <c r="AH224" s="1">
        <v>71721775</v>
      </c>
      <c r="AI224" s="1">
        <v>411564</v>
      </c>
      <c r="AJ224" s="1">
        <v>368444</v>
      </c>
      <c r="AK224" s="1">
        <v>1703420</v>
      </c>
      <c r="AL224" s="1">
        <v>608268</v>
      </c>
      <c r="AM224" s="1">
        <v>1387420</v>
      </c>
      <c r="AN224" s="1">
        <v>269636</v>
      </c>
      <c r="AO224" s="1">
        <v>2340952</v>
      </c>
      <c r="AP224" s="1">
        <v>4044372</v>
      </c>
      <c r="AQ224" s="1">
        <v>3256651</v>
      </c>
      <c r="AT224" s="1">
        <v>3256651</v>
      </c>
      <c r="AU224" s="1">
        <v>323777</v>
      </c>
      <c r="AV224" s="1">
        <v>3580428</v>
      </c>
      <c r="AW224" s="1">
        <v>3580428</v>
      </c>
      <c r="AX224" s="1">
        <v>125297</v>
      </c>
      <c r="AY224" s="1">
        <v>600000</v>
      </c>
      <c r="AZ224" s="1">
        <v>94557133</v>
      </c>
      <c r="BE224" s="1">
        <v>442095</v>
      </c>
      <c r="BH224" s="1">
        <v>16490</v>
      </c>
      <c r="BJ224" s="1">
        <v>923412</v>
      </c>
      <c r="BK224" s="1">
        <v>33715</v>
      </c>
      <c r="BY224" s="1">
        <v>725297</v>
      </c>
      <c r="CA224" s="1">
        <v>16490</v>
      </c>
      <c r="CE224" s="1">
        <v>19895</v>
      </c>
      <c r="CL224" s="1">
        <v>9279233</v>
      </c>
      <c r="DE224" s="1">
        <v>41913</v>
      </c>
      <c r="DI224" s="1">
        <v>45870</v>
      </c>
    </row>
    <row r="225" spans="1:123">
      <c r="A225" s="1">
        <v>13</v>
      </c>
      <c r="B225" s="1">
        <v>660</v>
      </c>
      <c r="C225" s="1" t="s">
        <v>1186</v>
      </c>
      <c r="D225" s="1" t="s">
        <v>1189</v>
      </c>
      <c r="F225" s="1">
        <v>592567</v>
      </c>
      <c r="I225" s="1">
        <v>52848</v>
      </c>
      <c r="J225" s="1">
        <v>645415</v>
      </c>
      <c r="K225" s="1">
        <v>702576</v>
      </c>
      <c r="L225" s="1">
        <v>786860</v>
      </c>
      <c r="M225" s="1">
        <v>717567</v>
      </c>
      <c r="O225" s="1">
        <v>2207003</v>
      </c>
      <c r="P225" s="1">
        <v>62642</v>
      </c>
      <c r="Q225" s="1">
        <v>31602576</v>
      </c>
      <c r="U225" s="1">
        <v>11826</v>
      </c>
      <c r="V225" s="1">
        <v>384479</v>
      </c>
      <c r="W225" s="1">
        <v>32001671</v>
      </c>
      <c r="Y225" s="1">
        <v>27956</v>
      </c>
      <c r="Z225" s="1">
        <v>1347874</v>
      </c>
      <c r="AB225" s="1">
        <v>186755</v>
      </c>
      <c r="AC225" s="1">
        <v>185716</v>
      </c>
      <c r="AD225" s="1">
        <v>2734883</v>
      </c>
      <c r="AE225" s="1">
        <v>1145005</v>
      </c>
      <c r="AG225" s="1">
        <v>5679722</v>
      </c>
      <c r="AH225" s="1">
        <v>37744035</v>
      </c>
      <c r="AJ225" s="1">
        <v>187428</v>
      </c>
      <c r="AK225" s="1">
        <v>187428</v>
      </c>
      <c r="AM225" s="1">
        <v>541839</v>
      </c>
      <c r="AN225" s="1">
        <v>50722</v>
      </c>
      <c r="AO225" s="1">
        <v>592561</v>
      </c>
      <c r="AP225" s="1">
        <v>779989</v>
      </c>
      <c r="AQ225" s="1">
        <v>657872</v>
      </c>
      <c r="AT225" s="1">
        <v>657872</v>
      </c>
      <c r="AU225" s="1">
        <v>37901</v>
      </c>
      <c r="AV225" s="1">
        <v>750773</v>
      </c>
      <c r="AW225" s="1">
        <v>750773</v>
      </c>
      <c r="AY225" s="1">
        <v>176891</v>
      </c>
      <c r="AZ225" s="1">
        <v>42304106</v>
      </c>
      <c r="BE225" s="1">
        <v>46008</v>
      </c>
      <c r="BF225" s="1">
        <v>5525</v>
      </c>
      <c r="BL225" s="1">
        <v>55000</v>
      </c>
      <c r="BY225" s="1">
        <v>176891</v>
      </c>
      <c r="CZ225" s="1">
        <v>2790</v>
      </c>
      <c r="DB225" s="1">
        <v>336860</v>
      </c>
    </row>
    <row r="226" spans="1:123">
      <c r="A226" s="1">
        <v>13</v>
      </c>
      <c r="B226" s="1">
        <v>760</v>
      </c>
      <c r="C226" s="1" t="s">
        <v>1186</v>
      </c>
      <c r="D226" s="1" t="s">
        <v>1190</v>
      </c>
      <c r="F226" s="1">
        <v>133856</v>
      </c>
      <c r="G226" s="1">
        <v>433441</v>
      </c>
      <c r="H226" s="1">
        <v>665913</v>
      </c>
      <c r="I226" s="1">
        <v>157756</v>
      </c>
      <c r="J226" s="1">
        <v>1658732</v>
      </c>
      <c r="K226" s="1">
        <v>421593</v>
      </c>
      <c r="L226" s="1">
        <v>104539</v>
      </c>
      <c r="M226" s="1">
        <v>745630</v>
      </c>
      <c r="N226" s="1">
        <v>2767</v>
      </c>
      <c r="O226" s="1">
        <v>1274529</v>
      </c>
      <c r="P226" s="1">
        <v>2051</v>
      </c>
      <c r="Q226" s="1">
        <v>19647375</v>
      </c>
      <c r="R226" s="1">
        <v>2805</v>
      </c>
      <c r="S226" s="1">
        <v>2805</v>
      </c>
      <c r="W226" s="1">
        <v>20583646</v>
      </c>
      <c r="Y226" s="1">
        <v>164038</v>
      </c>
      <c r="Z226" s="1">
        <v>919948</v>
      </c>
      <c r="AB226" s="1">
        <v>173870</v>
      </c>
      <c r="AC226" s="1">
        <v>161288</v>
      </c>
      <c r="AD226" s="1">
        <v>1628840</v>
      </c>
      <c r="AE226" s="1">
        <v>762779</v>
      </c>
      <c r="AG226" s="1">
        <v>3953963</v>
      </c>
      <c r="AH226" s="1">
        <v>24539660</v>
      </c>
      <c r="AJ226" s="1">
        <v>102906</v>
      </c>
      <c r="AK226" s="1">
        <v>102906</v>
      </c>
      <c r="AM226" s="1">
        <v>417286</v>
      </c>
      <c r="AN226" s="1">
        <v>31217</v>
      </c>
      <c r="AO226" s="1">
        <v>448503</v>
      </c>
      <c r="AP226" s="1">
        <v>553409</v>
      </c>
      <c r="AQ226" s="1">
        <v>722228</v>
      </c>
      <c r="AR226" s="1">
        <v>965</v>
      </c>
      <c r="AS226" s="1">
        <v>965</v>
      </c>
      <c r="AT226" s="1">
        <v>723193</v>
      </c>
      <c r="AV226" s="1">
        <v>723193</v>
      </c>
      <c r="AW226" s="1">
        <v>723193</v>
      </c>
      <c r="AX226" s="1">
        <v>5259</v>
      </c>
      <c r="AY226" s="1">
        <v>-2051</v>
      </c>
      <c r="AZ226" s="1">
        <v>29372288</v>
      </c>
      <c r="BE226" s="1">
        <v>37358</v>
      </c>
      <c r="BF226" s="1">
        <v>105842</v>
      </c>
      <c r="BQ226" s="1">
        <v>933466</v>
      </c>
      <c r="BU226" s="1">
        <v>2000</v>
      </c>
      <c r="BV226" s="1">
        <v>2000</v>
      </c>
      <c r="BY226" s="1">
        <v>622765</v>
      </c>
      <c r="CI226" s="1">
        <v>387757</v>
      </c>
      <c r="CL226" s="1">
        <v>267766</v>
      </c>
      <c r="DH226" s="1">
        <v>231800</v>
      </c>
    </row>
    <row r="227" spans="1:123">
      <c r="A227" s="1">
        <v>13</v>
      </c>
      <c r="B227" s="1">
        <v>1210</v>
      </c>
      <c r="C227" s="1" t="s">
        <v>1186</v>
      </c>
      <c r="D227" s="1" t="s">
        <v>1191</v>
      </c>
      <c r="F227" s="1">
        <v>2583543</v>
      </c>
      <c r="I227" s="1">
        <v>1</v>
      </c>
      <c r="J227" s="1">
        <v>8435344</v>
      </c>
      <c r="K227" s="1">
        <v>-3601519</v>
      </c>
      <c r="L227" s="1">
        <v>13997472</v>
      </c>
      <c r="M227" s="1">
        <v>6327523</v>
      </c>
      <c r="N227" s="1">
        <v>153309</v>
      </c>
      <c r="O227" s="1">
        <v>16876785</v>
      </c>
      <c r="Q227" s="1">
        <v>18070000</v>
      </c>
      <c r="V227" s="1">
        <v>2677069</v>
      </c>
      <c r="W227" s="1">
        <v>20747069</v>
      </c>
      <c r="X227" s="1">
        <v>74644013</v>
      </c>
      <c r="Y227" s="1">
        <v>787793</v>
      </c>
      <c r="Z227" s="1">
        <v>5594988</v>
      </c>
      <c r="AA227" s="1">
        <v>430596</v>
      </c>
      <c r="AB227" s="1">
        <v>706669</v>
      </c>
      <c r="AC227" s="1">
        <v>1015733</v>
      </c>
      <c r="AD227" s="1">
        <v>10694875</v>
      </c>
      <c r="AE227" s="1">
        <v>6342605</v>
      </c>
      <c r="AG227" s="1">
        <v>172378711</v>
      </c>
      <c r="AH227" s="1">
        <v>193320269</v>
      </c>
      <c r="AJ227" s="1">
        <v>1495790</v>
      </c>
      <c r="AK227" s="1">
        <v>19776408</v>
      </c>
      <c r="AL227" s="1">
        <v>4655762</v>
      </c>
      <c r="AM227" s="1">
        <v>2764958</v>
      </c>
      <c r="AN227" s="1">
        <v>2429381</v>
      </c>
      <c r="AO227" s="1">
        <v>10211380</v>
      </c>
      <c r="AP227" s="1">
        <v>32399691</v>
      </c>
      <c r="AQ227" s="1">
        <v>864079</v>
      </c>
      <c r="AT227" s="1">
        <v>864079</v>
      </c>
      <c r="AU227" s="1">
        <v>2687119</v>
      </c>
      <c r="AV227" s="1">
        <v>3861685</v>
      </c>
      <c r="AW227" s="1">
        <v>3861685</v>
      </c>
      <c r="AX227" s="1">
        <v>405915</v>
      </c>
      <c r="AY227" s="1">
        <v>-310487</v>
      </c>
      <c r="AZ227" s="1">
        <v>284456028</v>
      </c>
      <c r="BA227" s="1">
        <v>4000000</v>
      </c>
      <c r="BD227" s="1">
        <v>351707</v>
      </c>
      <c r="BH227" s="1">
        <v>194489</v>
      </c>
      <c r="BI227" s="1">
        <v>9036873</v>
      </c>
      <c r="BJ227" s="1">
        <v>5182386</v>
      </c>
      <c r="BK227" s="1">
        <v>144345</v>
      </c>
      <c r="BL227" s="1">
        <v>310487</v>
      </c>
      <c r="BU227" s="1">
        <v>1275884</v>
      </c>
      <c r="BV227" s="1">
        <v>1275884</v>
      </c>
      <c r="BW227" s="1">
        <v>216934</v>
      </c>
      <c r="BY227" s="1">
        <v>29562254</v>
      </c>
      <c r="CA227" s="1">
        <v>194489</v>
      </c>
      <c r="CF227" s="1">
        <v>8482662</v>
      </c>
      <c r="CI227" s="1">
        <v>29466826</v>
      </c>
      <c r="CL227" s="1">
        <v>1851800</v>
      </c>
      <c r="CO227" s="1">
        <v>63327070</v>
      </c>
      <c r="CP227" s="1">
        <v>4061359</v>
      </c>
      <c r="CQ227" s="1">
        <v>1136019</v>
      </c>
    </row>
    <row r="228" spans="1:123">
      <c r="A228" s="1">
        <v>13</v>
      </c>
      <c r="B228" s="1">
        <v>1387</v>
      </c>
      <c r="C228" s="1" t="s">
        <v>1186</v>
      </c>
      <c r="D228" s="1" t="s">
        <v>1192</v>
      </c>
      <c r="K228" s="1">
        <v>19119045</v>
      </c>
      <c r="O228" s="1">
        <v>19119045</v>
      </c>
      <c r="R228" s="1">
        <v>5728041</v>
      </c>
      <c r="S228" s="1">
        <v>5728041</v>
      </c>
      <c r="T228" s="1">
        <v>54756134</v>
      </c>
      <c r="V228" s="1">
        <v>5413943</v>
      </c>
      <c r="W228" s="1">
        <v>65898118</v>
      </c>
      <c r="AD228" s="1">
        <v>1041168</v>
      </c>
      <c r="AE228" s="1">
        <v>667752</v>
      </c>
      <c r="AG228" s="1">
        <v>1708920</v>
      </c>
      <c r="AH228" s="1">
        <v>67696918</v>
      </c>
      <c r="AJ228" s="1">
        <v>125356</v>
      </c>
      <c r="AK228" s="1">
        <v>125356</v>
      </c>
      <c r="AL228" s="1">
        <v>220494</v>
      </c>
      <c r="AN228" s="1">
        <v>530983</v>
      </c>
      <c r="AO228" s="1">
        <v>751477</v>
      </c>
      <c r="AP228" s="1">
        <v>15019616</v>
      </c>
      <c r="AZ228" s="1">
        <v>101835579</v>
      </c>
      <c r="BU228" s="1">
        <v>14142783</v>
      </c>
      <c r="BV228" s="1">
        <v>14142783</v>
      </c>
      <c r="CG228" s="1">
        <v>89880</v>
      </c>
    </row>
    <row r="229" spans="1:123">
      <c r="A229" s="1">
        <v>13</v>
      </c>
      <c r="B229" s="1">
        <v>1390</v>
      </c>
      <c r="C229" s="1" t="s">
        <v>1186</v>
      </c>
      <c r="D229" s="1" t="s">
        <v>1193</v>
      </c>
      <c r="F229" s="1">
        <v>97087</v>
      </c>
      <c r="J229" s="1">
        <v>8363318</v>
      </c>
      <c r="K229" s="1">
        <v>-535654</v>
      </c>
      <c r="M229" s="1">
        <v>4592242</v>
      </c>
      <c r="O229" s="1">
        <v>4056588</v>
      </c>
      <c r="V229" s="1">
        <v>443068</v>
      </c>
      <c r="W229" s="1">
        <v>17801128</v>
      </c>
      <c r="X229" s="1">
        <v>5501450</v>
      </c>
      <c r="Z229" s="1">
        <v>1130391</v>
      </c>
      <c r="AA229" s="1">
        <v>124024</v>
      </c>
      <c r="AC229" s="1">
        <v>227559</v>
      </c>
      <c r="AD229" s="1">
        <v>2374505</v>
      </c>
      <c r="AE229" s="1">
        <v>1203526</v>
      </c>
      <c r="AG229" s="1">
        <v>15961256</v>
      </c>
      <c r="AH229" s="1">
        <v>33771032</v>
      </c>
      <c r="AJ229" s="1">
        <v>294793</v>
      </c>
      <c r="AK229" s="1">
        <v>3532894</v>
      </c>
      <c r="AL229" s="1">
        <v>2107169</v>
      </c>
      <c r="AM229" s="1">
        <v>492568</v>
      </c>
      <c r="AN229" s="1">
        <v>338389</v>
      </c>
      <c r="AO229" s="1">
        <v>3928675</v>
      </c>
      <c r="AP229" s="1">
        <v>7461569</v>
      </c>
      <c r="AZ229" s="1">
        <v>55686057</v>
      </c>
      <c r="BE229" s="1">
        <v>433911</v>
      </c>
      <c r="BF229" s="1">
        <v>170813</v>
      </c>
      <c r="BH229" s="1">
        <v>8648</v>
      </c>
      <c r="BJ229" s="1">
        <v>3218572</v>
      </c>
      <c r="BK229" s="1">
        <v>760979</v>
      </c>
      <c r="BN229" s="1">
        <v>4700000</v>
      </c>
      <c r="BO229" s="1">
        <v>12515524</v>
      </c>
      <c r="BP229" s="1">
        <v>142536</v>
      </c>
      <c r="BS229" s="1">
        <v>3944987</v>
      </c>
      <c r="BT229" s="1">
        <v>850090</v>
      </c>
      <c r="BW229" s="1">
        <v>229570</v>
      </c>
      <c r="BY229" s="1">
        <v>2033550</v>
      </c>
      <c r="CA229" s="1">
        <v>8648</v>
      </c>
      <c r="CC229" s="1">
        <v>2033550</v>
      </c>
      <c r="CL229" s="1">
        <v>8266231</v>
      </c>
      <c r="CT229" s="1">
        <v>19529</v>
      </c>
    </row>
    <row r="230" spans="1:123">
      <c r="A230" s="1">
        <v>13</v>
      </c>
      <c r="B230" s="1">
        <v>1400</v>
      </c>
      <c r="C230" s="1" t="s">
        <v>1186</v>
      </c>
      <c r="D230" s="1" t="s">
        <v>1194</v>
      </c>
      <c r="F230" s="1">
        <v>12944</v>
      </c>
      <c r="H230" s="1">
        <v>38575</v>
      </c>
      <c r="I230" s="1">
        <v>31278</v>
      </c>
      <c r="J230" s="1">
        <v>82797</v>
      </c>
      <c r="K230" s="1">
        <v>99936</v>
      </c>
      <c r="M230" s="1">
        <v>14502</v>
      </c>
      <c r="N230" s="1">
        <v>1</v>
      </c>
      <c r="O230" s="1">
        <v>114439</v>
      </c>
      <c r="Q230" s="1">
        <v>3087393</v>
      </c>
      <c r="W230" s="1">
        <v>3121238</v>
      </c>
      <c r="Y230" s="1">
        <v>751</v>
      </c>
      <c r="Z230" s="1">
        <v>121311</v>
      </c>
      <c r="AA230" s="1">
        <v>2336</v>
      </c>
      <c r="AB230" s="1">
        <v>3564</v>
      </c>
      <c r="AC230" s="1">
        <v>11707</v>
      </c>
      <c r="AD230" s="1">
        <v>234220</v>
      </c>
      <c r="AE230" s="1">
        <v>141130</v>
      </c>
      <c r="AG230" s="1">
        <v>524313</v>
      </c>
      <c r="AH230" s="1">
        <v>3645551</v>
      </c>
      <c r="AJ230" s="1">
        <v>733</v>
      </c>
      <c r="AK230" s="1">
        <v>733</v>
      </c>
      <c r="AM230" s="1">
        <v>37643</v>
      </c>
      <c r="AN230" s="1">
        <v>1491</v>
      </c>
      <c r="AO230" s="1">
        <v>39134</v>
      </c>
      <c r="AP230" s="1">
        <v>39867</v>
      </c>
      <c r="AQ230" s="1">
        <v>257220</v>
      </c>
      <c r="AT230" s="1">
        <v>257220</v>
      </c>
      <c r="AV230" s="1">
        <v>257220</v>
      </c>
      <c r="AW230" s="1">
        <v>257220</v>
      </c>
      <c r="AZ230" s="1">
        <v>4139874</v>
      </c>
      <c r="BE230" s="1">
        <v>4235</v>
      </c>
      <c r="BQ230" s="1">
        <v>33845</v>
      </c>
      <c r="BR230" s="1">
        <v>5059</v>
      </c>
    </row>
    <row r="231" spans="1:123">
      <c r="A231" s="1">
        <v>13</v>
      </c>
      <c r="B231" s="1">
        <v>1465</v>
      </c>
      <c r="C231" s="1" t="s">
        <v>1186</v>
      </c>
      <c r="D231" s="1" t="s">
        <v>1176</v>
      </c>
      <c r="F231" s="1">
        <v>279043</v>
      </c>
      <c r="G231" s="1">
        <v>258966</v>
      </c>
      <c r="J231" s="1">
        <v>538009</v>
      </c>
      <c r="K231" s="1">
        <v>169199</v>
      </c>
      <c r="L231" s="1">
        <v>304781</v>
      </c>
      <c r="M231" s="1">
        <v>-108914</v>
      </c>
      <c r="N231" s="1">
        <v>17469</v>
      </c>
      <c r="O231" s="1">
        <v>382535</v>
      </c>
      <c r="Q231" s="1">
        <v>8324601</v>
      </c>
      <c r="R231" s="1">
        <v>147250</v>
      </c>
      <c r="S231" s="1">
        <v>147250</v>
      </c>
      <c r="V231" s="1">
        <v>48979</v>
      </c>
      <c r="W231" s="1">
        <v>8622660</v>
      </c>
      <c r="Y231" s="1">
        <v>162966</v>
      </c>
      <c r="Z231" s="1">
        <v>175010</v>
      </c>
      <c r="AA231" s="1">
        <v>9326</v>
      </c>
      <c r="AB231" s="1">
        <v>36739</v>
      </c>
      <c r="AC231" s="1">
        <v>79766</v>
      </c>
      <c r="AD231" s="1">
        <v>683163</v>
      </c>
      <c r="AE231" s="1">
        <v>314405</v>
      </c>
      <c r="AG231" s="1">
        <v>1555678</v>
      </c>
      <c r="AH231" s="1">
        <v>10178338</v>
      </c>
      <c r="AM231" s="1">
        <v>154905</v>
      </c>
      <c r="AN231" s="1">
        <v>12961</v>
      </c>
      <c r="AO231" s="1">
        <v>167866</v>
      </c>
      <c r="AP231" s="1">
        <v>167866</v>
      </c>
      <c r="AQ231" s="1">
        <v>151461</v>
      </c>
      <c r="AT231" s="1">
        <v>151461</v>
      </c>
      <c r="AV231" s="1">
        <v>151461</v>
      </c>
      <c r="AW231" s="1">
        <v>151461</v>
      </c>
      <c r="AX231" s="1">
        <v>125000</v>
      </c>
      <c r="AZ231" s="1">
        <v>11582093</v>
      </c>
      <c r="BE231" s="1">
        <v>14194</v>
      </c>
      <c r="BF231" s="1">
        <v>34052</v>
      </c>
      <c r="BQ231" s="1">
        <v>101830</v>
      </c>
      <c r="BR231" s="1">
        <v>46057</v>
      </c>
      <c r="BY231" s="1">
        <v>163884</v>
      </c>
      <c r="CC231" s="1">
        <v>38884</v>
      </c>
    </row>
    <row r="232" spans="1:123">
      <c r="A232" s="1">
        <v>13</v>
      </c>
      <c r="B232" s="1">
        <v>1750</v>
      </c>
      <c r="C232" s="1" t="s">
        <v>1186</v>
      </c>
      <c r="D232" s="1" t="s">
        <v>1023</v>
      </c>
      <c r="F232" s="1">
        <v>504642</v>
      </c>
      <c r="G232" s="1">
        <v>312283</v>
      </c>
      <c r="H232" s="1">
        <v>28668</v>
      </c>
      <c r="I232" s="1">
        <v>100</v>
      </c>
      <c r="J232" s="1">
        <v>845693</v>
      </c>
      <c r="K232" s="1">
        <v>408934</v>
      </c>
      <c r="M232" s="1">
        <v>207272</v>
      </c>
      <c r="N232" s="1">
        <v>13661</v>
      </c>
      <c r="O232" s="1">
        <v>629867</v>
      </c>
      <c r="Q232" s="1">
        <v>21227705</v>
      </c>
      <c r="S232" s="1">
        <v>180517</v>
      </c>
      <c r="V232" s="1">
        <v>325158</v>
      </c>
      <c r="W232" s="1">
        <v>21733380</v>
      </c>
      <c r="Y232" s="1">
        <v>118486</v>
      </c>
      <c r="Z232" s="1">
        <v>689116</v>
      </c>
      <c r="AA232" s="1">
        <v>4748</v>
      </c>
      <c r="AB232" s="1">
        <v>41940</v>
      </c>
      <c r="AC232" s="1">
        <v>100601</v>
      </c>
      <c r="AD232" s="1">
        <v>1419136</v>
      </c>
      <c r="AE232" s="1">
        <v>849192</v>
      </c>
      <c r="AG232" s="1">
        <v>3368679</v>
      </c>
      <c r="AH232" s="1">
        <v>25102059</v>
      </c>
      <c r="AM232" s="1">
        <v>301724</v>
      </c>
      <c r="AN232" s="1">
        <v>28443</v>
      </c>
      <c r="AO232" s="1">
        <v>330167</v>
      </c>
      <c r="AP232" s="1">
        <v>338237</v>
      </c>
      <c r="AQ232" s="1">
        <v>949784</v>
      </c>
      <c r="AT232" s="1">
        <v>949784</v>
      </c>
      <c r="AV232" s="1">
        <v>957467</v>
      </c>
      <c r="AW232" s="1">
        <v>957467</v>
      </c>
      <c r="AX232" s="1">
        <v>7683</v>
      </c>
      <c r="AY232" s="1">
        <v>-7683</v>
      </c>
      <c r="AZ232" s="1">
        <v>27873526</v>
      </c>
      <c r="BC232" s="1">
        <v>180517</v>
      </c>
      <c r="BE232" s="1">
        <v>28397</v>
      </c>
      <c r="BF232" s="1">
        <v>83447</v>
      </c>
      <c r="BL232" s="1">
        <v>7683</v>
      </c>
      <c r="BR232" s="1">
        <v>33616</v>
      </c>
      <c r="BU232" s="1">
        <v>8070</v>
      </c>
      <c r="BV232" s="1">
        <v>8070</v>
      </c>
      <c r="BY232" s="1">
        <v>203</v>
      </c>
      <c r="CI232" s="1">
        <v>203</v>
      </c>
    </row>
    <row r="233" spans="1:123">
      <c r="A233" s="1">
        <v>13</v>
      </c>
      <c r="B233" s="1">
        <v>2330</v>
      </c>
      <c r="C233" s="1" t="s">
        <v>1186</v>
      </c>
      <c r="D233" s="1" t="s">
        <v>1024</v>
      </c>
      <c r="F233" s="1">
        <v>410918</v>
      </c>
      <c r="H233" s="1">
        <v>6500000</v>
      </c>
      <c r="J233" s="1">
        <v>6910918</v>
      </c>
      <c r="K233" s="1">
        <v>3203587</v>
      </c>
      <c r="O233" s="1">
        <v>3203587</v>
      </c>
      <c r="Q233" s="1">
        <v>17459529</v>
      </c>
      <c r="W233" s="1">
        <v>18627310</v>
      </c>
      <c r="X233" s="1">
        <v>42978684</v>
      </c>
      <c r="Y233" s="1">
        <v>1497408</v>
      </c>
      <c r="Z233" s="1">
        <v>6083319</v>
      </c>
      <c r="AA233" s="1">
        <v>503604</v>
      </c>
      <c r="AB233" s="1">
        <v>886664</v>
      </c>
      <c r="AC233" s="1">
        <v>2600009</v>
      </c>
      <c r="AD233" s="1">
        <v>6683675</v>
      </c>
      <c r="AE233" s="1">
        <v>3932135</v>
      </c>
      <c r="AG233" s="1">
        <v>111287192</v>
      </c>
      <c r="AH233" s="1">
        <v>130039530</v>
      </c>
      <c r="AJ233" s="1">
        <v>521565</v>
      </c>
      <c r="AK233" s="1">
        <v>19357475</v>
      </c>
      <c r="AL233" s="1">
        <v>4013545</v>
      </c>
      <c r="AM233" s="1">
        <v>1774630</v>
      </c>
      <c r="AN233" s="1">
        <v>1292293</v>
      </c>
      <c r="AO233" s="1">
        <v>7080468</v>
      </c>
      <c r="AP233" s="1">
        <v>26862471</v>
      </c>
      <c r="AZ233" s="1">
        <v>167016506</v>
      </c>
      <c r="BH233" s="1">
        <v>125028</v>
      </c>
      <c r="BI233" s="1">
        <v>6150867</v>
      </c>
      <c r="BJ233" s="1">
        <v>3601723</v>
      </c>
      <c r="BQ233" s="1">
        <v>1167781</v>
      </c>
      <c r="BU233" s="1">
        <v>74528</v>
      </c>
      <c r="BV233" s="1">
        <v>74528</v>
      </c>
      <c r="CA233" s="1">
        <v>125028</v>
      </c>
      <c r="CF233" s="1">
        <v>9021073</v>
      </c>
      <c r="CN233" s="1">
        <v>334546</v>
      </c>
      <c r="CO233" s="1">
        <v>37100621</v>
      </c>
      <c r="CP233" s="1">
        <v>9083320</v>
      </c>
      <c r="CQ233" s="1">
        <v>350000</v>
      </c>
    </row>
    <row r="234" spans="1:123">
      <c r="A234" s="1">
        <v>13</v>
      </c>
      <c r="B234" s="1">
        <v>2730</v>
      </c>
      <c r="C234" s="1" t="s">
        <v>1186</v>
      </c>
      <c r="D234" s="1" t="s">
        <v>1025</v>
      </c>
      <c r="F234" s="1">
        <v>227916</v>
      </c>
      <c r="H234" s="1">
        <v>438512</v>
      </c>
      <c r="I234" s="1">
        <v>468379</v>
      </c>
      <c r="J234" s="1">
        <v>1134807</v>
      </c>
      <c r="K234" s="1">
        <v>1897373</v>
      </c>
      <c r="L234" s="1">
        <v>900000</v>
      </c>
      <c r="M234" s="1">
        <v>7514999</v>
      </c>
      <c r="O234" s="1">
        <v>10312372</v>
      </c>
      <c r="Q234" s="1">
        <v>74542669</v>
      </c>
      <c r="R234" s="1">
        <v>33559</v>
      </c>
      <c r="S234" s="1">
        <v>33559</v>
      </c>
      <c r="T234" s="1">
        <v>60000</v>
      </c>
      <c r="V234" s="1">
        <v>1074136</v>
      </c>
      <c r="W234" s="1">
        <v>75710364</v>
      </c>
      <c r="Z234" s="1">
        <v>3580775</v>
      </c>
      <c r="AB234" s="1">
        <v>381698</v>
      </c>
      <c r="AC234" s="1">
        <v>343945</v>
      </c>
      <c r="AD234" s="1">
        <v>6123924</v>
      </c>
      <c r="AE234" s="1">
        <v>2967250</v>
      </c>
      <c r="AG234" s="1">
        <v>13764586</v>
      </c>
      <c r="AH234" s="1">
        <v>90274414</v>
      </c>
      <c r="AJ234" s="1">
        <v>628694</v>
      </c>
      <c r="AK234" s="1">
        <v>628694</v>
      </c>
      <c r="AM234" s="1">
        <v>1178707</v>
      </c>
      <c r="AN234" s="1">
        <v>113001</v>
      </c>
      <c r="AO234" s="1">
        <v>1291708</v>
      </c>
      <c r="AP234" s="1">
        <v>1921902</v>
      </c>
      <c r="AQ234" s="1">
        <v>1820867</v>
      </c>
      <c r="AT234" s="1">
        <v>1820867</v>
      </c>
      <c r="AV234" s="1">
        <v>2198365</v>
      </c>
      <c r="AW234" s="1">
        <v>2198365</v>
      </c>
      <c r="AX234" s="1">
        <v>377498</v>
      </c>
      <c r="AY234" s="1">
        <v>-377498</v>
      </c>
      <c r="AZ234" s="1">
        <v>105841860</v>
      </c>
      <c r="BE234" s="1">
        <v>117742</v>
      </c>
      <c r="BF234" s="1">
        <v>249252</v>
      </c>
      <c r="BL234" s="1">
        <v>377498</v>
      </c>
      <c r="BU234" s="1">
        <v>1500</v>
      </c>
      <c r="BV234" s="1">
        <v>1500</v>
      </c>
      <c r="CG234" s="1">
        <v>799464</v>
      </c>
    </row>
    <row r="235" spans="1:123">
      <c r="A235" s="1">
        <v>13</v>
      </c>
      <c r="B235" s="1">
        <v>3190</v>
      </c>
      <c r="C235" s="1" t="s">
        <v>1186</v>
      </c>
      <c r="D235" s="1" t="s">
        <v>1026</v>
      </c>
      <c r="F235" s="1">
        <v>362043</v>
      </c>
      <c r="G235" s="1">
        <v>2149507</v>
      </c>
      <c r="H235" s="1">
        <v>1314794</v>
      </c>
      <c r="I235" s="1">
        <v>583466</v>
      </c>
      <c r="J235" s="1">
        <v>4409810</v>
      </c>
      <c r="K235" s="1">
        <v>1593598</v>
      </c>
      <c r="L235" s="1">
        <v>601352</v>
      </c>
      <c r="M235" s="1">
        <v>1658803</v>
      </c>
      <c r="N235" s="1">
        <v>92474</v>
      </c>
      <c r="O235" s="1">
        <v>3946227</v>
      </c>
      <c r="P235" s="1">
        <v>353232</v>
      </c>
      <c r="Q235" s="1">
        <v>62055799</v>
      </c>
      <c r="R235" s="1">
        <v>159625</v>
      </c>
      <c r="S235" s="1">
        <v>159625</v>
      </c>
      <c r="U235" s="1">
        <v>63661</v>
      </c>
      <c r="W235" s="1">
        <v>63201056</v>
      </c>
      <c r="Y235" s="1">
        <v>35851</v>
      </c>
      <c r="Z235" s="1">
        <v>2563431</v>
      </c>
      <c r="AB235" s="1">
        <v>356364</v>
      </c>
      <c r="AC235" s="1">
        <v>262192</v>
      </c>
      <c r="AD235" s="1">
        <v>4349997</v>
      </c>
      <c r="AE235" s="1">
        <v>2523483</v>
      </c>
      <c r="AG235" s="1">
        <v>10434807</v>
      </c>
      <c r="AH235" s="1">
        <v>73989095</v>
      </c>
      <c r="AJ235" s="1">
        <v>199441</v>
      </c>
      <c r="AK235" s="1">
        <v>199441</v>
      </c>
      <c r="AM235" s="1">
        <v>686242</v>
      </c>
      <c r="AN235" s="1">
        <v>453755</v>
      </c>
      <c r="AO235" s="1">
        <v>1139997</v>
      </c>
      <c r="AP235" s="1">
        <v>1437909</v>
      </c>
      <c r="AQ235" s="1">
        <v>3674470</v>
      </c>
      <c r="AS235" s="1">
        <v>3416</v>
      </c>
      <c r="AT235" s="1">
        <v>3677886</v>
      </c>
      <c r="AU235" s="1">
        <v>2098</v>
      </c>
      <c r="AV235" s="1">
        <v>4109934</v>
      </c>
      <c r="AW235" s="1">
        <v>4109934</v>
      </c>
      <c r="AZ235" s="1">
        <v>108957474</v>
      </c>
      <c r="BE235" s="1">
        <v>84769</v>
      </c>
      <c r="BF235" s="1">
        <v>258720</v>
      </c>
      <c r="BL235" s="1">
        <v>429950</v>
      </c>
      <c r="BQ235" s="1">
        <v>921971</v>
      </c>
      <c r="BU235" s="1">
        <v>98471</v>
      </c>
      <c r="BV235" s="1">
        <v>98471</v>
      </c>
      <c r="BX235" s="1">
        <v>21064499</v>
      </c>
      <c r="BY235" s="1">
        <v>21064499</v>
      </c>
      <c r="DC235" s="1">
        <v>3416</v>
      </c>
    </row>
    <row r="236" spans="1:123">
      <c r="A236" s="1">
        <v>13</v>
      </c>
      <c r="B236" s="1">
        <v>3310</v>
      </c>
      <c r="C236" s="1" t="s">
        <v>1186</v>
      </c>
      <c r="D236" s="1" t="s">
        <v>1027</v>
      </c>
      <c r="F236" s="1">
        <v>374985</v>
      </c>
      <c r="G236" s="1">
        <v>754642</v>
      </c>
      <c r="H236" s="1">
        <v>395357</v>
      </c>
      <c r="I236" s="1">
        <v>1</v>
      </c>
      <c r="J236" s="1">
        <v>1582163</v>
      </c>
      <c r="K236" s="1">
        <v>2622300</v>
      </c>
      <c r="L236" s="1">
        <v>2048643</v>
      </c>
      <c r="M236" s="1">
        <v>44454502</v>
      </c>
      <c r="O236" s="1">
        <v>49125445</v>
      </c>
      <c r="Q236" s="1">
        <v>84222443</v>
      </c>
      <c r="S236" s="1">
        <v>73332</v>
      </c>
      <c r="V236" s="1">
        <v>897313</v>
      </c>
      <c r="W236" s="1">
        <v>85745060</v>
      </c>
      <c r="Y236" s="1">
        <v>970411</v>
      </c>
      <c r="Z236" s="1">
        <v>4475567</v>
      </c>
      <c r="AA236" s="1">
        <v>127204</v>
      </c>
      <c r="AB236" s="1">
        <v>284880</v>
      </c>
      <c r="AC236" s="1">
        <v>716910</v>
      </c>
      <c r="AD236" s="1">
        <v>6430039</v>
      </c>
      <c r="AE236" s="1">
        <v>3597062</v>
      </c>
      <c r="AG236" s="1">
        <v>18881288</v>
      </c>
      <c r="AH236" s="1">
        <v>104626348</v>
      </c>
      <c r="AI236" s="1">
        <v>391512</v>
      </c>
      <c r="AJ236" s="1">
        <v>520265</v>
      </c>
      <c r="AK236" s="1">
        <v>1542080</v>
      </c>
      <c r="AL236" s="1">
        <v>369702</v>
      </c>
      <c r="AM236" s="1">
        <v>1424004</v>
      </c>
      <c r="AN236" s="1">
        <v>259735</v>
      </c>
      <c r="AO236" s="1">
        <v>2105082</v>
      </c>
      <c r="AP236" s="1">
        <v>7307460</v>
      </c>
      <c r="AZ236" s="1">
        <v>167022936</v>
      </c>
      <c r="BA236" s="1">
        <v>21500</v>
      </c>
      <c r="BE236" s="1">
        <v>233942</v>
      </c>
      <c r="BF236" s="1">
        <v>1549539</v>
      </c>
      <c r="BJ236" s="1">
        <v>630303</v>
      </c>
      <c r="BK236" s="1">
        <v>27682</v>
      </c>
      <c r="BQ236" s="1">
        <v>551972</v>
      </c>
      <c r="BR236" s="1">
        <v>495734</v>
      </c>
      <c r="BU236" s="1">
        <v>3660298</v>
      </c>
      <c r="BV236" s="1">
        <v>3660298</v>
      </c>
      <c r="BY236" s="1">
        <v>4381520</v>
      </c>
      <c r="CC236" s="1">
        <v>4381520</v>
      </c>
      <c r="CV236" s="1">
        <v>35678</v>
      </c>
      <c r="DG236" s="1">
        <v>23959</v>
      </c>
      <c r="DS236" s="1">
        <v>73332</v>
      </c>
    </row>
    <row r="237" spans="1:123">
      <c r="A237" s="1">
        <v>13</v>
      </c>
      <c r="B237" s="1">
        <v>3570</v>
      </c>
      <c r="C237" s="1" t="s">
        <v>1186</v>
      </c>
      <c r="D237" s="1" t="s">
        <v>1028</v>
      </c>
      <c r="F237" s="1">
        <v>24677923</v>
      </c>
      <c r="J237" s="1">
        <v>25154513</v>
      </c>
      <c r="K237" s="1">
        <v>13196395</v>
      </c>
      <c r="L237" s="1">
        <v>24000000</v>
      </c>
      <c r="M237" s="1">
        <v>2535771</v>
      </c>
      <c r="O237" s="1">
        <v>39732166</v>
      </c>
      <c r="Q237" s="1">
        <v>88215449</v>
      </c>
      <c r="R237" s="1">
        <v>532406</v>
      </c>
      <c r="S237" s="1">
        <v>532406</v>
      </c>
      <c r="U237" s="1">
        <v>5427423</v>
      </c>
      <c r="V237" s="1">
        <v>4388638</v>
      </c>
      <c r="W237" s="1">
        <v>98563916</v>
      </c>
      <c r="X237" s="1">
        <v>268357802</v>
      </c>
      <c r="Y237" s="1">
        <v>4490894</v>
      </c>
      <c r="Z237" s="1">
        <v>32976010</v>
      </c>
      <c r="AA237" s="1">
        <v>4276426</v>
      </c>
      <c r="AB237" s="1">
        <v>1641715</v>
      </c>
      <c r="AC237" s="1">
        <v>4963733</v>
      </c>
      <c r="AD237" s="1">
        <v>52873386</v>
      </c>
      <c r="AE237" s="1">
        <v>25840032</v>
      </c>
      <c r="AG237" s="1">
        <v>714663184</v>
      </c>
      <c r="AH237" s="1">
        <v>813726641</v>
      </c>
      <c r="AJ237" s="1">
        <v>8153803</v>
      </c>
      <c r="AK237" s="1">
        <v>119417508</v>
      </c>
      <c r="AL237" s="1">
        <v>34269293</v>
      </c>
      <c r="AM237" s="1">
        <v>11782372</v>
      </c>
      <c r="AN237" s="1">
        <v>20538364</v>
      </c>
      <c r="AO237" s="1">
        <v>66590029</v>
      </c>
      <c r="AP237" s="1">
        <v>192448886</v>
      </c>
      <c r="AZ237" s="1">
        <v>1158569815</v>
      </c>
      <c r="BF237" s="1">
        <v>179220</v>
      </c>
      <c r="BG237" s="1">
        <v>24864</v>
      </c>
      <c r="BH237" s="1">
        <v>499541</v>
      </c>
      <c r="BI237" s="1">
        <v>91172495</v>
      </c>
      <c r="BJ237" s="1">
        <v>20091210</v>
      </c>
      <c r="BU237" s="1">
        <v>6441349</v>
      </c>
      <c r="BV237" s="1">
        <v>6441349</v>
      </c>
      <c r="BY237" s="1">
        <v>87507609</v>
      </c>
      <c r="CA237" s="1">
        <v>474677</v>
      </c>
      <c r="CC237" s="1">
        <v>87507609</v>
      </c>
      <c r="CF237" s="1">
        <v>20770333</v>
      </c>
      <c r="CJ237" s="1">
        <v>5120918</v>
      </c>
      <c r="CL237" s="1">
        <v>476590</v>
      </c>
      <c r="CO237" s="1">
        <v>298293633</v>
      </c>
    </row>
    <row r="238" spans="1:123">
      <c r="A238" s="1">
        <v>13</v>
      </c>
      <c r="B238" s="1">
        <v>3630</v>
      </c>
      <c r="C238" s="1" t="s">
        <v>1186</v>
      </c>
      <c r="D238" s="1" t="s">
        <v>1029</v>
      </c>
      <c r="F238" s="1">
        <v>6124</v>
      </c>
      <c r="G238" s="1">
        <v>411374</v>
      </c>
      <c r="H238" s="1">
        <v>172264</v>
      </c>
      <c r="I238" s="1">
        <v>1</v>
      </c>
      <c r="J238" s="1">
        <v>599469</v>
      </c>
      <c r="K238" s="1">
        <v>261187</v>
      </c>
      <c r="M238" s="1">
        <v>140166</v>
      </c>
      <c r="N238" s="1">
        <v>2</v>
      </c>
      <c r="O238" s="1">
        <v>401355</v>
      </c>
      <c r="P238" s="1">
        <v>1997</v>
      </c>
      <c r="Q238" s="1">
        <v>8145825</v>
      </c>
      <c r="V238" s="1">
        <v>150656</v>
      </c>
      <c r="W238" s="1">
        <v>8296481</v>
      </c>
      <c r="Z238" s="1">
        <v>269502</v>
      </c>
      <c r="AB238" s="1">
        <v>83901</v>
      </c>
      <c r="AC238" s="1">
        <v>25312</v>
      </c>
      <c r="AD238" s="1">
        <v>564287</v>
      </c>
      <c r="AE238" s="1">
        <v>304902</v>
      </c>
      <c r="AG238" s="1">
        <v>1257723</v>
      </c>
      <c r="AH238" s="1">
        <v>9556201</v>
      </c>
      <c r="AM238" s="1">
        <v>119044</v>
      </c>
      <c r="AN238" s="1">
        <v>27168</v>
      </c>
      <c r="AO238" s="1">
        <v>146212</v>
      </c>
      <c r="AP238" s="1">
        <v>146212</v>
      </c>
      <c r="AQ238" s="1">
        <v>961473</v>
      </c>
      <c r="AT238" s="1">
        <v>961473</v>
      </c>
      <c r="AV238" s="1">
        <v>961473</v>
      </c>
      <c r="AW238" s="1">
        <v>961473</v>
      </c>
      <c r="AX238" s="1">
        <v>1997</v>
      </c>
      <c r="AY238" s="1">
        <v>-1997</v>
      </c>
      <c r="AZ238" s="1">
        <v>11690543</v>
      </c>
      <c r="BE238" s="1">
        <v>8844</v>
      </c>
      <c r="BF238" s="1">
        <v>975</v>
      </c>
      <c r="BY238" s="1">
        <v>25833</v>
      </c>
      <c r="CI238" s="1">
        <v>25833</v>
      </c>
      <c r="CL238" s="1">
        <v>9706</v>
      </c>
    </row>
    <row r="239" spans="1:123">
      <c r="A239" s="1">
        <v>13</v>
      </c>
      <c r="B239" s="1">
        <v>3750</v>
      </c>
      <c r="C239" s="1" t="s">
        <v>1186</v>
      </c>
      <c r="D239" s="1" t="s">
        <v>1030</v>
      </c>
      <c r="F239" s="1">
        <v>285315</v>
      </c>
      <c r="G239" s="1">
        <v>605253</v>
      </c>
      <c r="H239" s="1">
        <v>458607</v>
      </c>
      <c r="I239" s="1">
        <v>159263</v>
      </c>
      <c r="J239" s="1">
        <v>1508438</v>
      </c>
      <c r="K239" s="1">
        <v>1103845</v>
      </c>
      <c r="L239" s="1">
        <v>159485</v>
      </c>
      <c r="M239" s="1">
        <v>8918532</v>
      </c>
      <c r="N239" s="1">
        <v>15255</v>
      </c>
      <c r="O239" s="1">
        <v>10197117</v>
      </c>
      <c r="Q239" s="1">
        <v>40079296</v>
      </c>
      <c r="R239" s="1">
        <v>73703</v>
      </c>
      <c r="S239" s="1">
        <v>73703</v>
      </c>
      <c r="T239" s="1">
        <v>98884</v>
      </c>
      <c r="U239" s="1">
        <v>5088</v>
      </c>
      <c r="V239" s="1">
        <v>654045</v>
      </c>
      <c r="W239" s="1">
        <v>40926819</v>
      </c>
      <c r="X239" s="1">
        <v>2799975</v>
      </c>
      <c r="Y239" s="1">
        <v>345006</v>
      </c>
      <c r="Z239" s="1">
        <v>2235481</v>
      </c>
      <c r="AA239" s="1">
        <v>65426</v>
      </c>
      <c r="AB239" s="1">
        <v>166155</v>
      </c>
      <c r="AC239" s="1">
        <v>475088</v>
      </c>
      <c r="AD239" s="1">
        <v>3724894</v>
      </c>
      <c r="AE239" s="1">
        <v>1830190</v>
      </c>
      <c r="AG239" s="1">
        <v>11819844</v>
      </c>
      <c r="AH239" s="1">
        <v>52763763</v>
      </c>
      <c r="AJ239" s="1">
        <v>334900</v>
      </c>
      <c r="AK239" s="1">
        <v>334900</v>
      </c>
      <c r="AL239" s="1">
        <v>141675</v>
      </c>
      <c r="AM239" s="1">
        <v>973588</v>
      </c>
      <c r="AN239" s="1">
        <v>164372</v>
      </c>
      <c r="AO239" s="1">
        <v>1279635</v>
      </c>
      <c r="AP239" s="1">
        <v>1628158</v>
      </c>
      <c r="AQ239" s="1">
        <v>1267648</v>
      </c>
      <c r="AT239" s="1">
        <v>1267648</v>
      </c>
      <c r="AU239" s="1">
        <v>11714</v>
      </c>
      <c r="AV239" s="1">
        <v>1279362</v>
      </c>
      <c r="AW239" s="1">
        <v>1279362</v>
      </c>
      <c r="AY239" s="1">
        <v>179742</v>
      </c>
      <c r="AZ239" s="1">
        <v>72731489</v>
      </c>
      <c r="BE239" s="1">
        <v>177629</v>
      </c>
      <c r="BQ239" s="1">
        <v>15803</v>
      </c>
      <c r="BU239" s="1">
        <v>13623</v>
      </c>
      <c r="BV239" s="1">
        <v>13623</v>
      </c>
      <c r="BY239" s="1">
        <v>5354651</v>
      </c>
      <c r="CG239" s="1">
        <v>17100</v>
      </c>
      <c r="CI239" s="1">
        <v>5174909</v>
      </c>
    </row>
    <row r="240" spans="1:123">
      <c r="A240" s="1">
        <v>13</v>
      </c>
      <c r="B240" s="1">
        <v>3880</v>
      </c>
      <c r="C240" s="1" t="s">
        <v>1186</v>
      </c>
      <c r="D240" s="1" t="s">
        <v>1031</v>
      </c>
      <c r="F240" s="1">
        <v>2225369</v>
      </c>
      <c r="J240" s="1">
        <v>2225369</v>
      </c>
      <c r="K240" s="1">
        <v>-1402772</v>
      </c>
      <c r="L240" s="1">
        <v>3448801</v>
      </c>
      <c r="M240" s="1">
        <v>768129</v>
      </c>
      <c r="O240" s="1">
        <v>2814158</v>
      </c>
      <c r="Q240" s="1">
        <v>8931421</v>
      </c>
      <c r="R240" s="1">
        <v>45000</v>
      </c>
      <c r="S240" s="1">
        <v>45000</v>
      </c>
      <c r="U240" s="1">
        <v>132723</v>
      </c>
      <c r="V240" s="1">
        <v>452852</v>
      </c>
      <c r="W240" s="1">
        <v>9561996</v>
      </c>
      <c r="X240" s="1">
        <v>25811531</v>
      </c>
      <c r="Y240" s="1">
        <v>418859</v>
      </c>
      <c r="Z240" s="1">
        <v>3721223</v>
      </c>
      <c r="AA240" s="1">
        <v>387846</v>
      </c>
      <c r="AB240" s="1">
        <v>637119</v>
      </c>
      <c r="AC240" s="1">
        <v>532252</v>
      </c>
      <c r="AE240" s="1">
        <v>2676441</v>
      </c>
      <c r="AG240" s="1">
        <v>58741510</v>
      </c>
      <c r="AH240" s="1">
        <v>68373489</v>
      </c>
      <c r="AJ240" s="1">
        <v>482905</v>
      </c>
      <c r="AK240" s="1">
        <v>10590040</v>
      </c>
      <c r="AL240" s="1">
        <v>1718949</v>
      </c>
      <c r="AM240" s="1">
        <v>1228080</v>
      </c>
      <c r="AN240" s="1">
        <v>974293</v>
      </c>
      <c r="AO240" s="1">
        <v>3934165</v>
      </c>
      <c r="AP240" s="1">
        <v>14774668</v>
      </c>
      <c r="AZ240" s="1">
        <v>92337774</v>
      </c>
      <c r="BH240" s="1">
        <v>69983</v>
      </c>
      <c r="BI240" s="1">
        <v>7982643</v>
      </c>
      <c r="BJ240" s="1">
        <v>2124492</v>
      </c>
      <c r="BU240" s="1">
        <v>34968</v>
      </c>
      <c r="BV240" s="1">
        <v>34968</v>
      </c>
      <c r="BY240" s="1">
        <v>4150090</v>
      </c>
      <c r="CA240" s="1">
        <v>69983</v>
      </c>
      <c r="CC240" s="1">
        <v>4150090</v>
      </c>
      <c r="CF240" s="1">
        <v>4086817</v>
      </c>
      <c r="CO240" s="1">
        <v>20469422</v>
      </c>
      <c r="CQ240" s="1">
        <v>215495</v>
      </c>
      <c r="DE240" s="1">
        <v>12843</v>
      </c>
    </row>
    <row r="241" spans="1:124">
      <c r="A241" s="1">
        <v>13</v>
      </c>
      <c r="B241" s="1">
        <v>4530</v>
      </c>
      <c r="C241" s="1" t="s">
        <v>1186</v>
      </c>
      <c r="D241" s="1" t="s">
        <v>1032</v>
      </c>
      <c r="F241" s="1">
        <v>338421</v>
      </c>
      <c r="G241" s="1">
        <v>201041</v>
      </c>
      <c r="H241" s="1">
        <v>255325</v>
      </c>
      <c r="I241" s="1">
        <v>370049</v>
      </c>
      <c r="J241" s="1">
        <v>1164836</v>
      </c>
      <c r="K241" s="1">
        <v>165890</v>
      </c>
      <c r="L241" s="1">
        <v>135591</v>
      </c>
      <c r="M241" s="1">
        <v>12934357</v>
      </c>
      <c r="N241" s="1">
        <v>1</v>
      </c>
      <c r="O241" s="1">
        <v>13235839</v>
      </c>
      <c r="P241" s="1">
        <v>502433</v>
      </c>
      <c r="Q241" s="1">
        <v>5648808</v>
      </c>
      <c r="U241" s="1">
        <v>11216</v>
      </c>
      <c r="W241" s="1">
        <v>5723899</v>
      </c>
      <c r="Y241" s="1">
        <v>87272</v>
      </c>
      <c r="Z241" s="1">
        <v>306798</v>
      </c>
      <c r="AA241" s="1">
        <v>1128</v>
      </c>
      <c r="AB241" s="1">
        <v>28664</v>
      </c>
      <c r="AC241" s="1">
        <v>18599</v>
      </c>
      <c r="AD241" s="1">
        <v>407105</v>
      </c>
      <c r="AE241" s="1">
        <v>212596</v>
      </c>
      <c r="AG241" s="1">
        <v>1074576</v>
      </c>
      <c r="AH241" s="1">
        <v>7300908</v>
      </c>
      <c r="AM241" s="1">
        <v>93117</v>
      </c>
      <c r="AN241" s="1">
        <v>10319</v>
      </c>
      <c r="AO241" s="1">
        <v>103436</v>
      </c>
      <c r="AP241" s="1">
        <v>103436</v>
      </c>
      <c r="AQ241" s="1">
        <v>787229</v>
      </c>
      <c r="AT241" s="1">
        <v>787229</v>
      </c>
      <c r="AU241" s="1">
        <v>38217</v>
      </c>
      <c r="AV241" s="1">
        <v>825446</v>
      </c>
      <c r="AW241" s="1">
        <v>825446</v>
      </c>
      <c r="AX241" s="1">
        <v>507808</v>
      </c>
      <c r="AY241" s="1">
        <v>-502433</v>
      </c>
      <c r="AZ241" s="1">
        <v>22635840</v>
      </c>
      <c r="BE241" s="1">
        <v>12414</v>
      </c>
      <c r="BQ241" s="1">
        <v>63875</v>
      </c>
      <c r="BY241" s="1">
        <v>5375</v>
      </c>
    </row>
    <row r="242" spans="1:124">
      <c r="A242" s="1">
        <v>13</v>
      </c>
      <c r="B242" s="1">
        <v>4900</v>
      </c>
      <c r="C242" s="1" t="s">
        <v>1186</v>
      </c>
      <c r="D242" s="1" t="s">
        <v>1033</v>
      </c>
      <c r="F242" s="1">
        <v>2624993</v>
      </c>
      <c r="G242" s="1">
        <v>1250623</v>
      </c>
      <c r="H242" s="1">
        <v>634861</v>
      </c>
      <c r="I242" s="1">
        <v>493901</v>
      </c>
      <c r="J242" s="1">
        <v>10921542</v>
      </c>
      <c r="K242" s="1">
        <v>1666459</v>
      </c>
      <c r="M242" s="1">
        <v>11963646</v>
      </c>
      <c r="N242" s="1">
        <v>58652</v>
      </c>
      <c r="O242" s="1">
        <v>13688757</v>
      </c>
      <c r="Q242" s="1">
        <v>81911476</v>
      </c>
      <c r="U242" s="1">
        <v>10948</v>
      </c>
      <c r="V242" s="1">
        <v>883167</v>
      </c>
      <c r="W242" s="1">
        <v>82834866</v>
      </c>
      <c r="Y242" s="1">
        <v>869323</v>
      </c>
      <c r="Z242" s="1">
        <v>3267559</v>
      </c>
      <c r="AA242" s="1">
        <v>140142</v>
      </c>
      <c r="AC242" s="1">
        <v>282918</v>
      </c>
      <c r="AD242" s="1">
        <v>6184800</v>
      </c>
      <c r="AE242" s="1">
        <v>3118013</v>
      </c>
      <c r="AG242" s="1">
        <v>15363740</v>
      </c>
      <c r="AH242" s="1">
        <v>98370788</v>
      </c>
      <c r="AI242" s="1">
        <v>348339</v>
      </c>
      <c r="AJ242" s="1">
        <v>400730</v>
      </c>
      <c r="AK242" s="1">
        <v>927595</v>
      </c>
      <c r="AL242" s="1">
        <v>223029</v>
      </c>
      <c r="AM242" s="1">
        <v>1305978</v>
      </c>
      <c r="AN242" s="1">
        <v>250119</v>
      </c>
      <c r="AO242" s="1">
        <v>1807432</v>
      </c>
      <c r="AP242" s="1">
        <v>2839524</v>
      </c>
      <c r="AQ242" s="1">
        <v>3436356</v>
      </c>
      <c r="AT242" s="1">
        <v>3436356</v>
      </c>
      <c r="AV242" s="1">
        <v>3436356</v>
      </c>
      <c r="AW242" s="1">
        <v>3436356</v>
      </c>
      <c r="AZ242" s="1">
        <v>129256967</v>
      </c>
      <c r="BE242" s="1">
        <v>160874</v>
      </c>
      <c r="BF242" s="1">
        <v>1057503</v>
      </c>
      <c r="BK242" s="1">
        <v>28306</v>
      </c>
      <c r="BR242" s="1">
        <v>282608</v>
      </c>
      <c r="BU242" s="1">
        <v>104497</v>
      </c>
      <c r="BV242" s="1">
        <v>104497</v>
      </c>
      <c r="CE242" s="1">
        <v>29275</v>
      </c>
      <c r="CL242" s="1">
        <v>5917164</v>
      </c>
      <c r="CU242" s="1">
        <v>171590</v>
      </c>
      <c r="CX242" s="1">
        <v>172182</v>
      </c>
      <c r="DP242" s="1">
        <v>6936</v>
      </c>
    </row>
    <row r="243" spans="1:124">
      <c r="A243" s="1">
        <v>13</v>
      </c>
      <c r="B243" s="1">
        <v>5370</v>
      </c>
      <c r="C243" s="1" t="s">
        <v>1186</v>
      </c>
      <c r="D243" s="1" t="s">
        <v>1034</v>
      </c>
      <c r="G243" s="1">
        <v>30010</v>
      </c>
      <c r="I243" s="1">
        <v>4168</v>
      </c>
      <c r="J243" s="1">
        <v>12738081</v>
      </c>
      <c r="K243" s="1">
        <v>630544</v>
      </c>
      <c r="M243" s="1">
        <v>19597578</v>
      </c>
      <c r="N243" s="1">
        <v>563868</v>
      </c>
      <c r="O243" s="1">
        <v>20791990</v>
      </c>
      <c r="Q243" s="1">
        <v>22389852</v>
      </c>
      <c r="R243" s="1">
        <v>119397</v>
      </c>
      <c r="S243" s="1">
        <v>188935</v>
      </c>
      <c r="U243" s="1">
        <v>57</v>
      </c>
      <c r="V243" s="1">
        <v>263421</v>
      </c>
      <c r="W243" s="1">
        <v>22842265</v>
      </c>
      <c r="Y243" s="1">
        <v>34325</v>
      </c>
      <c r="Z243" s="1">
        <v>1258158</v>
      </c>
      <c r="AA243" s="1">
        <v>6092</v>
      </c>
      <c r="AB243" s="1">
        <v>130511</v>
      </c>
      <c r="AC243" s="1">
        <v>127232</v>
      </c>
      <c r="AD243" s="1">
        <v>2116719</v>
      </c>
      <c r="AE243" s="1">
        <v>949427</v>
      </c>
      <c r="AG243" s="1">
        <v>4665238</v>
      </c>
      <c r="AH243" s="1">
        <v>27507503</v>
      </c>
      <c r="AJ243" s="1">
        <v>85623</v>
      </c>
      <c r="AK243" s="1">
        <v>85623</v>
      </c>
      <c r="AM243" s="1">
        <v>492350</v>
      </c>
      <c r="AN243" s="1">
        <v>33441</v>
      </c>
      <c r="AO243" s="1">
        <v>525791</v>
      </c>
      <c r="AP243" s="1">
        <v>642829</v>
      </c>
      <c r="AQ243" s="1">
        <v>1754896</v>
      </c>
      <c r="AT243" s="1">
        <v>1754896</v>
      </c>
      <c r="AU243" s="1">
        <v>404199</v>
      </c>
      <c r="AV243" s="1">
        <v>3566623</v>
      </c>
      <c r="AW243" s="1">
        <v>3566623</v>
      </c>
      <c r="AX243" s="1">
        <v>1407528</v>
      </c>
      <c r="AY243" s="1">
        <v>-1407528</v>
      </c>
      <c r="AZ243" s="1">
        <v>65247026</v>
      </c>
      <c r="BC243" s="1">
        <v>69538</v>
      </c>
      <c r="BE243" s="1">
        <v>42774</v>
      </c>
      <c r="BM243" s="1">
        <v>1407528</v>
      </c>
      <c r="BU243" s="1">
        <v>31415</v>
      </c>
      <c r="BV243" s="1">
        <v>31415</v>
      </c>
      <c r="CL243" s="1">
        <v>12703903</v>
      </c>
    </row>
    <row r="244" spans="1:124">
      <c r="A244" s="1">
        <v>13</v>
      </c>
      <c r="B244" s="1">
        <v>5630</v>
      </c>
      <c r="C244" s="1" t="s">
        <v>1186</v>
      </c>
      <c r="D244" s="1" t="s">
        <v>1035</v>
      </c>
      <c r="F244" s="1">
        <v>333445</v>
      </c>
      <c r="G244" s="1">
        <v>791341</v>
      </c>
      <c r="H244" s="1">
        <v>318362</v>
      </c>
      <c r="I244" s="1">
        <v>1</v>
      </c>
      <c r="J244" s="1">
        <v>1443149</v>
      </c>
      <c r="K244" s="1">
        <v>531898</v>
      </c>
      <c r="L244" s="1">
        <v>106638</v>
      </c>
      <c r="M244" s="1">
        <v>9885488</v>
      </c>
      <c r="O244" s="1">
        <v>10524024</v>
      </c>
      <c r="Q244" s="1">
        <v>24254219</v>
      </c>
      <c r="R244" s="1">
        <v>116528</v>
      </c>
      <c r="S244" s="1">
        <v>116528</v>
      </c>
      <c r="V244" s="1">
        <v>305804</v>
      </c>
      <c r="W244" s="1">
        <v>24676551</v>
      </c>
      <c r="Y244" s="1">
        <v>578467</v>
      </c>
      <c r="Z244" s="1">
        <v>628699</v>
      </c>
      <c r="AA244" s="1">
        <v>3522</v>
      </c>
      <c r="AB244" s="1">
        <v>77871</v>
      </c>
      <c r="AC244" s="1">
        <v>99284</v>
      </c>
      <c r="AD244" s="1">
        <v>1849297</v>
      </c>
      <c r="AE244" s="1">
        <v>844749</v>
      </c>
      <c r="AG244" s="1">
        <v>4405849</v>
      </c>
      <c r="AH244" s="1">
        <v>29451903</v>
      </c>
      <c r="AL244" s="1">
        <v>42695</v>
      </c>
      <c r="AM244" s="1">
        <v>250895</v>
      </c>
      <c r="AN244" s="1">
        <v>25596</v>
      </c>
      <c r="AO244" s="1">
        <v>319186</v>
      </c>
      <c r="AP244" s="1">
        <v>324186</v>
      </c>
      <c r="AQ244" s="1">
        <v>2322750</v>
      </c>
      <c r="AT244" s="1">
        <v>2322750</v>
      </c>
      <c r="AV244" s="1">
        <v>2322750</v>
      </c>
      <c r="AW244" s="1">
        <v>2322750</v>
      </c>
      <c r="AX244" s="1">
        <v>369503</v>
      </c>
      <c r="AY244" s="1">
        <v>-369503</v>
      </c>
      <c r="AZ244" s="1">
        <v>44066012</v>
      </c>
      <c r="BE244" s="1">
        <v>42848</v>
      </c>
      <c r="BF244" s="1">
        <v>162830</v>
      </c>
      <c r="BR244" s="1">
        <v>118282</v>
      </c>
      <c r="BU244" s="1">
        <v>5000</v>
      </c>
      <c r="BV244" s="1">
        <v>5000</v>
      </c>
      <c r="CX244" s="1">
        <v>369503</v>
      </c>
    </row>
    <row r="245" spans="1:124">
      <c r="A245" s="1">
        <v>13</v>
      </c>
      <c r="B245" s="1">
        <v>5680</v>
      </c>
      <c r="C245" s="1" t="s">
        <v>1186</v>
      </c>
      <c r="D245" s="1" t="s">
        <v>1036</v>
      </c>
      <c r="F245" s="1">
        <v>154629</v>
      </c>
      <c r="G245" s="1">
        <v>204100</v>
      </c>
      <c r="H245" s="1">
        <v>1419281</v>
      </c>
      <c r="I245" s="1">
        <v>1</v>
      </c>
      <c r="J245" s="1">
        <v>1939697</v>
      </c>
      <c r="K245" s="1">
        <v>2035416</v>
      </c>
      <c r="L245" s="1">
        <v>221768</v>
      </c>
      <c r="M245" s="1">
        <v>5399754</v>
      </c>
      <c r="N245" s="1">
        <v>687308</v>
      </c>
      <c r="O245" s="1">
        <v>8344246</v>
      </c>
      <c r="P245" s="1">
        <v>371520</v>
      </c>
      <c r="Q245" s="1">
        <v>95139489</v>
      </c>
      <c r="R245" s="1">
        <v>110572</v>
      </c>
      <c r="S245" s="1">
        <v>125765</v>
      </c>
      <c r="V245" s="1">
        <v>573216</v>
      </c>
      <c r="W245" s="1">
        <v>95838470</v>
      </c>
      <c r="Y245" s="1">
        <v>908551</v>
      </c>
      <c r="Z245" s="1">
        <v>4360212</v>
      </c>
      <c r="AA245" s="1">
        <v>285962</v>
      </c>
      <c r="AB245" s="1">
        <v>257387</v>
      </c>
      <c r="AC245" s="1">
        <v>724371</v>
      </c>
      <c r="AD245" s="1">
        <v>6902852</v>
      </c>
      <c r="AE245" s="1">
        <v>3690606</v>
      </c>
      <c r="AG245" s="1">
        <v>17959075</v>
      </c>
      <c r="AH245" s="1">
        <v>114315035</v>
      </c>
      <c r="AI245" s="1">
        <v>237722</v>
      </c>
      <c r="AJ245" s="1">
        <v>586583</v>
      </c>
      <c r="AK245" s="1">
        <v>1372629</v>
      </c>
      <c r="AL245" s="1">
        <v>460034</v>
      </c>
      <c r="AM245" s="1">
        <v>1552532</v>
      </c>
      <c r="AN245" s="1">
        <v>241092</v>
      </c>
      <c r="AO245" s="1">
        <v>2253658</v>
      </c>
      <c r="AP245" s="1">
        <v>3626287</v>
      </c>
      <c r="AQ245" s="1">
        <v>5024209</v>
      </c>
      <c r="AS245" s="1">
        <v>33200</v>
      </c>
      <c r="AT245" s="1">
        <v>5057409</v>
      </c>
      <c r="AU245" s="1">
        <v>977733</v>
      </c>
      <c r="AV245" s="1">
        <v>6035142</v>
      </c>
      <c r="AW245" s="1">
        <v>6035142</v>
      </c>
      <c r="AX245" s="1">
        <v>402874</v>
      </c>
      <c r="AY245" s="1">
        <v>-371520</v>
      </c>
      <c r="AZ245" s="1">
        <v>138678761</v>
      </c>
      <c r="BC245" s="1">
        <v>15193</v>
      </c>
      <c r="BE245" s="1">
        <v>211198</v>
      </c>
      <c r="BF245" s="1">
        <v>617936</v>
      </c>
      <c r="BJ245" s="1">
        <v>467248</v>
      </c>
      <c r="BX245" s="1">
        <v>4387000</v>
      </c>
      <c r="BY245" s="1">
        <v>4418354</v>
      </c>
      <c r="CG245" s="1">
        <v>145970</v>
      </c>
      <c r="CL245" s="1">
        <v>161686</v>
      </c>
      <c r="CU245" s="1">
        <v>43262</v>
      </c>
      <c r="DC245" s="1">
        <v>33200</v>
      </c>
      <c r="DQ245" s="1">
        <v>37814</v>
      </c>
    </row>
    <row r="246" spans="1:124">
      <c r="A246" s="1">
        <v>15</v>
      </c>
      <c r="B246" s="1">
        <v>860</v>
      </c>
      <c r="C246" s="1" t="s">
        <v>1037</v>
      </c>
      <c r="D246" s="1" t="s">
        <v>1038</v>
      </c>
      <c r="F246" s="1">
        <v>6369</v>
      </c>
      <c r="G246" s="1">
        <v>267036</v>
      </c>
      <c r="H246" s="1">
        <v>150906</v>
      </c>
      <c r="I246" s="1">
        <v>105</v>
      </c>
      <c r="J246" s="1">
        <v>748028</v>
      </c>
      <c r="K246" s="1">
        <v>247477</v>
      </c>
      <c r="M246" s="1">
        <v>251515</v>
      </c>
      <c r="N246" s="1">
        <v>46183</v>
      </c>
      <c r="O246" s="1">
        <v>545175</v>
      </c>
      <c r="P246" s="1">
        <v>1016</v>
      </c>
      <c r="Q246" s="1">
        <v>6081922</v>
      </c>
      <c r="S246" s="1">
        <v>1750</v>
      </c>
      <c r="V246" s="1">
        <v>75373</v>
      </c>
      <c r="W246" s="1">
        <v>6159045</v>
      </c>
      <c r="X246" s="1">
        <v>4547824</v>
      </c>
      <c r="Y246" s="1">
        <v>308048</v>
      </c>
      <c r="Z246" s="1">
        <v>916158</v>
      </c>
      <c r="AA246" s="1">
        <v>9326</v>
      </c>
      <c r="AB246" s="1">
        <v>11359</v>
      </c>
      <c r="AC246" s="1">
        <v>133639</v>
      </c>
      <c r="AD246" s="1">
        <v>883379</v>
      </c>
      <c r="AE246" s="1">
        <v>472296</v>
      </c>
      <c r="AG246" s="1">
        <v>7804801</v>
      </c>
      <c r="AH246" s="1">
        <v>14077388</v>
      </c>
      <c r="AJ246" s="1">
        <v>512802</v>
      </c>
      <c r="AK246" s="1">
        <v>1346375</v>
      </c>
      <c r="AL246" s="1">
        <v>277786</v>
      </c>
      <c r="AM246" s="1">
        <v>279131</v>
      </c>
      <c r="AN246" s="1">
        <v>374069</v>
      </c>
      <c r="AO246" s="1">
        <v>930986</v>
      </c>
      <c r="AP246" s="1">
        <v>2277361</v>
      </c>
      <c r="AQ246" s="1">
        <v>439953</v>
      </c>
      <c r="AT246" s="1">
        <v>439953</v>
      </c>
      <c r="AU246" s="1">
        <v>463786</v>
      </c>
      <c r="AV246" s="1">
        <v>903739</v>
      </c>
      <c r="AW246" s="1">
        <v>903739</v>
      </c>
      <c r="AX246" s="1">
        <v>1016</v>
      </c>
      <c r="AY246" s="1">
        <v>-1016</v>
      </c>
      <c r="AZ246" s="1">
        <v>18551691</v>
      </c>
      <c r="BA246" s="1">
        <v>323612</v>
      </c>
      <c r="BC246" s="1">
        <v>1750</v>
      </c>
      <c r="BE246" s="1">
        <v>212698</v>
      </c>
      <c r="BF246" s="1">
        <v>23452</v>
      </c>
      <c r="BH246" s="1">
        <v>7526</v>
      </c>
      <c r="BI246" s="1">
        <v>551876</v>
      </c>
      <c r="BJ246" s="1">
        <v>281697</v>
      </c>
      <c r="BR246" s="1">
        <v>61474</v>
      </c>
      <c r="CA246" s="1">
        <v>7526</v>
      </c>
      <c r="CF246" s="1">
        <v>225148</v>
      </c>
      <c r="CG246" s="1">
        <v>105000</v>
      </c>
    </row>
    <row r="247" spans="1:124">
      <c r="A247" s="1">
        <v>15</v>
      </c>
      <c r="B247" s="1">
        <v>870</v>
      </c>
      <c r="C247" s="1" t="s">
        <v>1037</v>
      </c>
      <c r="D247" s="1" t="s">
        <v>1039</v>
      </c>
      <c r="F247" s="1">
        <v>67880</v>
      </c>
      <c r="G247" s="1">
        <v>470019</v>
      </c>
      <c r="H247" s="1">
        <v>216963</v>
      </c>
      <c r="I247" s="1">
        <v>126615</v>
      </c>
      <c r="J247" s="1">
        <v>969581</v>
      </c>
      <c r="K247" s="1">
        <v>553987</v>
      </c>
      <c r="L247" s="1">
        <v>344930</v>
      </c>
      <c r="M247" s="1">
        <v>395151</v>
      </c>
      <c r="N247" s="1">
        <v>3</v>
      </c>
      <c r="O247" s="1">
        <v>1294071</v>
      </c>
      <c r="Q247" s="1">
        <v>13321073</v>
      </c>
      <c r="R247" s="1">
        <v>108789</v>
      </c>
      <c r="S247" s="1">
        <v>124389</v>
      </c>
      <c r="T247" s="1">
        <v>10637</v>
      </c>
      <c r="U247" s="1">
        <v>6809</v>
      </c>
      <c r="V247" s="1">
        <v>346002</v>
      </c>
      <c r="W247" s="1">
        <v>13810772</v>
      </c>
      <c r="X247" s="1">
        <v>9025472</v>
      </c>
      <c r="Y247" s="1">
        <v>752254</v>
      </c>
      <c r="Z247" s="1">
        <v>912464</v>
      </c>
      <c r="AA247" s="1">
        <v>2374</v>
      </c>
      <c r="AB247" s="1">
        <v>65144</v>
      </c>
      <c r="AC247" s="1">
        <v>236776</v>
      </c>
      <c r="AD247" s="1">
        <v>1543344</v>
      </c>
      <c r="AE247" s="1">
        <v>885271</v>
      </c>
      <c r="AG247" s="1">
        <v>14016177</v>
      </c>
      <c r="AH247" s="1">
        <v>28147589</v>
      </c>
      <c r="AJ247" s="1">
        <v>90043</v>
      </c>
      <c r="AK247" s="1">
        <v>90043</v>
      </c>
      <c r="AL247" s="1">
        <v>121313</v>
      </c>
      <c r="AM247" s="1">
        <v>308215</v>
      </c>
      <c r="AN247" s="1">
        <v>38183</v>
      </c>
      <c r="AO247" s="1">
        <v>522184</v>
      </c>
      <c r="AP247" s="1">
        <v>612227</v>
      </c>
      <c r="AQ247" s="1">
        <v>1946686</v>
      </c>
      <c r="AT247" s="1">
        <v>1946686</v>
      </c>
      <c r="AU247" s="1">
        <v>587536</v>
      </c>
      <c r="AV247" s="1">
        <v>2534222</v>
      </c>
      <c r="AW247" s="1">
        <v>2534222</v>
      </c>
      <c r="AZ247" s="1">
        <v>33557690</v>
      </c>
      <c r="BB247" s="1">
        <v>200</v>
      </c>
      <c r="BC247" s="1">
        <v>15600</v>
      </c>
      <c r="BE247" s="1">
        <v>329334</v>
      </c>
      <c r="BF247" s="1">
        <v>215289</v>
      </c>
      <c r="BK247" s="1">
        <v>54473</v>
      </c>
      <c r="CE247" s="1">
        <v>1862</v>
      </c>
      <c r="CF247" s="1">
        <v>48455</v>
      </c>
      <c r="CG247" s="1">
        <v>320640</v>
      </c>
      <c r="CL247" s="1">
        <v>87904</v>
      </c>
    </row>
    <row r="248" spans="1:124">
      <c r="A248" s="1">
        <v>15</v>
      </c>
      <c r="B248" s="1">
        <v>1100</v>
      </c>
      <c r="C248" s="1" t="s">
        <v>1037</v>
      </c>
      <c r="D248" s="1" t="s">
        <v>1040</v>
      </c>
      <c r="F248" s="1">
        <v>511489</v>
      </c>
      <c r="G248" s="1">
        <v>1549010</v>
      </c>
      <c r="H248" s="1">
        <v>715333</v>
      </c>
      <c r="I248" s="1">
        <v>1</v>
      </c>
      <c r="J248" s="1">
        <v>2808407</v>
      </c>
      <c r="K248" s="1">
        <v>970525</v>
      </c>
      <c r="L248" s="1">
        <v>577397</v>
      </c>
      <c r="M248" s="1">
        <v>872810</v>
      </c>
      <c r="N248" s="1">
        <v>14344</v>
      </c>
      <c r="O248" s="1">
        <v>2435076</v>
      </c>
      <c r="Q248" s="1">
        <v>30348902</v>
      </c>
      <c r="R248" s="1">
        <v>403295</v>
      </c>
      <c r="S248" s="1">
        <v>403295</v>
      </c>
      <c r="V248" s="1">
        <v>452373</v>
      </c>
      <c r="W248" s="1">
        <v>31204570</v>
      </c>
      <c r="X248" s="1">
        <v>9949941</v>
      </c>
      <c r="Y248" s="1">
        <v>1124474</v>
      </c>
      <c r="Z248" s="1">
        <v>2697066</v>
      </c>
      <c r="AA248" s="1">
        <v>33728</v>
      </c>
      <c r="AB248" s="1">
        <v>73543</v>
      </c>
      <c r="AC248" s="1">
        <v>441404</v>
      </c>
      <c r="AD248" s="1">
        <v>3583707</v>
      </c>
      <c r="AE248" s="1">
        <v>1777073</v>
      </c>
      <c r="AG248" s="1">
        <v>21687177</v>
      </c>
      <c r="AH248" s="1">
        <v>52891747</v>
      </c>
      <c r="AJ248" s="1">
        <v>491141</v>
      </c>
      <c r="AK248" s="1">
        <v>3164081</v>
      </c>
      <c r="AL248" s="1">
        <v>360571</v>
      </c>
      <c r="AM248" s="1">
        <v>1001118</v>
      </c>
      <c r="AN248" s="1">
        <v>220879</v>
      </c>
      <c r="AO248" s="1">
        <v>1582568</v>
      </c>
      <c r="AP248" s="1">
        <v>4750694</v>
      </c>
      <c r="AQ248" s="1">
        <v>1578764</v>
      </c>
      <c r="AT248" s="1">
        <v>1578764</v>
      </c>
      <c r="AU248" s="1">
        <v>95595</v>
      </c>
      <c r="AV248" s="1">
        <v>1674359</v>
      </c>
      <c r="AW248" s="1">
        <v>1674359</v>
      </c>
      <c r="AZ248" s="1">
        <v>64560283</v>
      </c>
      <c r="BE248" s="1">
        <v>550291</v>
      </c>
      <c r="BF248" s="1">
        <v>32483</v>
      </c>
      <c r="BI248" s="1">
        <v>1962878</v>
      </c>
      <c r="BJ248" s="1">
        <v>710062</v>
      </c>
      <c r="BR248" s="1">
        <v>1423467</v>
      </c>
      <c r="BU248" s="1">
        <v>4045</v>
      </c>
      <c r="BV248" s="1">
        <v>4045</v>
      </c>
      <c r="CL248" s="1">
        <v>32574</v>
      </c>
    </row>
    <row r="249" spans="1:124">
      <c r="A249" s="1">
        <v>15</v>
      </c>
      <c r="B249" s="1">
        <v>1180</v>
      </c>
      <c r="C249" s="1" t="s">
        <v>1037</v>
      </c>
      <c r="D249" s="1" t="s">
        <v>1041</v>
      </c>
      <c r="F249" s="1">
        <v>21917</v>
      </c>
      <c r="G249" s="1">
        <v>292617</v>
      </c>
      <c r="H249" s="1">
        <v>386890</v>
      </c>
      <c r="I249" s="1">
        <v>21174</v>
      </c>
      <c r="J249" s="1">
        <v>728713</v>
      </c>
      <c r="K249" s="1">
        <v>151055</v>
      </c>
      <c r="L249" s="1">
        <v>38000</v>
      </c>
      <c r="M249" s="1">
        <v>296987</v>
      </c>
      <c r="N249" s="1">
        <v>170196</v>
      </c>
      <c r="O249" s="1">
        <v>656238</v>
      </c>
      <c r="P249" s="1">
        <v>4041</v>
      </c>
      <c r="Q249" s="1">
        <v>6058909</v>
      </c>
      <c r="U249" s="1">
        <v>184</v>
      </c>
      <c r="V249" s="1">
        <v>63295</v>
      </c>
      <c r="W249" s="1">
        <v>6122388</v>
      </c>
      <c r="X249" s="1">
        <v>1231285</v>
      </c>
      <c r="Y249" s="1">
        <v>103601</v>
      </c>
      <c r="Z249" s="1">
        <v>232583</v>
      </c>
      <c r="AC249" s="1">
        <v>67588</v>
      </c>
      <c r="AD249" s="1">
        <v>477516</v>
      </c>
      <c r="AE249" s="1">
        <v>319913</v>
      </c>
      <c r="AG249" s="1">
        <v>2906301</v>
      </c>
      <c r="AH249" s="1">
        <v>9032730</v>
      </c>
      <c r="AL249" s="1">
        <v>51777</v>
      </c>
      <c r="AM249" s="1">
        <v>124036</v>
      </c>
      <c r="AN249" s="1">
        <v>14793</v>
      </c>
      <c r="AO249" s="1">
        <v>190606</v>
      </c>
      <c r="AP249" s="1">
        <v>190606</v>
      </c>
      <c r="AQ249" s="1">
        <v>885924</v>
      </c>
      <c r="AT249" s="1">
        <v>885924</v>
      </c>
      <c r="AU249" s="1">
        <v>203847</v>
      </c>
      <c r="AV249" s="1">
        <v>1089771</v>
      </c>
      <c r="AW249" s="1">
        <v>1089771</v>
      </c>
      <c r="AX249" s="1">
        <v>4041</v>
      </c>
      <c r="AY249" s="1">
        <v>-4041</v>
      </c>
      <c r="AZ249" s="1">
        <v>11698058</v>
      </c>
      <c r="BE249" s="1">
        <v>59314</v>
      </c>
      <c r="BF249" s="1">
        <v>72418</v>
      </c>
      <c r="BR249" s="1">
        <v>342083</v>
      </c>
      <c r="CL249" s="1">
        <v>6115</v>
      </c>
    </row>
    <row r="250" spans="1:124">
      <c r="A250" s="1">
        <v>15</v>
      </c>
      <c r="B250" s="1">
        <v>1330</v>
      </c>
      <c r="C250" s="1" t="s">
        <v>1037</v>
      </c>
      <c r="D250" s="1" t="s">
        <v>1042</v>
      </c>
      <c r="F250" s="1">
        <v>4046</v>
      </c>
      <c r="G250" s="1">
        <v>164775</v>
      </c>
      <c r="H250" s="1">
        <v>206881</v>
      </c>
      <c r="I250" s="1">
        <v>17637</v>
      </c>
      <c r="J250" s="1">
        <v>393339</v>
      </c>
      <c r="K250" s="1">
        <v>164908</v>
      </c>
      <c r="L250" s="1">
        <v>69831</v>
      </c>
      <c r="M250" s="1">
        <v>29635</v>
      </c>
      <c r="N250" s="1">
        <v>55</v>
      </c>
      <c r="O250" s="1">
        <v>264429</v>
      </c>
      <c r="Q250" s="1">
        <v>1846000</v>
      </c>
      <c r="R250" s="1">
        <v>1621</v>
      </c>
      <c r="S250" s="1">
        <v>1621</v>
      </c>
      <c r="T250" s="1">
        <v>74164</v>
      </c>
      <c r="U250" s="1">
        <v>704</v>
      </c>
      <c r="V250" s="1">
        <v>98051</v>
      </c>
      <c r="W250" s="1">
        <v>2024982</v>
      </c>
      <c r="X250" s="1">
        <v>1026230</v>
      </c>
      <c r="Y250" s="1">
        <v>141848</v>
      </c>
      <c r="Z250" s="1">
        <v>145383</v>
      </c>
      <c r="AB250" s="1">
        <v>26991</v>
      </c>
      <c r="AC250" s="1">
        <v>37016</v>
      </c>
      <c r="AD250" s="1">
        <v>344889</v>
      </c>
      <c r="AE250" s="1">
        <v>161866</v>
      </c>
      <c r="AF250" s="1">
        <v>31279</v>
      </c>
      <c r="AG250" s="1">
        <v>2628616</v>
      </c>
      <c r="AH250" s="1">
        <v>4653598</v>
      </c>
      <c r="AJ250" s="1">
        <v>2533</v>
      </c>
      <c r="AK250" s="1">
        <v>287119</v>
      </c>
      <c r="AL250" s="1">
        <v>126726</v>
      </c>
      <c r="AM250" s="1">
        <v>103514</v>
      </c>
      <c r="AN250" s="1">
        <v>52343</v>
      </c>
      <c r="AO250" s="1">
        <v>282583</v>
      </c>
      <c r="AP250" s="1">
        <v>569702</v>
      </c>
      <c r="AR250" s="1">
        <v>194845</v>
      </c>
      <c r="AS250" s="1">
        <v>194845</v>
      </c>
      <c r="AT250" s="1">
        <v>194845</v>
      </c>
      <c r="AU250" s="1">
        <v>146455</v>
      </c>
      <c r="AV250" s="1">
        <v>341300</v>
      </c>
      <c r="AW250" s="1">
        <v>341300</v>
      </c>
      <c r="AZ250" s="1">
        <v>6413368</v>
      </c>
      <c r="BI250" s="1">
        <v>172674</v>
      </c>
      <c r="BJ250" s="1">
        <v>111912</v>
      </c>
      <c r="BQ250" s="1">
        <v>4442</v>
      </c>
      <c r="BR250" s="1">
        <v>593456</v>
      </c>
      <c r="BX250" s="1">
        <v>191000</v>
      </c>
      <c r="BY250" s="1">
        <v>191000</v>
      </c>
      <c r="CF250" s="1">
        <v>119658</v>
      </c>
    </row>
    <row r="251" spans="1:124">
      <c r="A251" s="1">
        <v>15</v>
      </c>
      <c r="B251" s="1">
        <v>1590</v>
      </c>
      <c r="C251" s="1" t="s">
        <v>1037</v>
      </c>
      <c r="D251" s="1" t="s">
        <v>1043</v>
      </c>
      <c r="F251" s="1">
        <v>93276</v>
      </c>
      <c r="G251" s="1">
        <v>414976</v>
      </c>
      <c r="H251" s="1">
        <v>883</v>
      </c>
      <c r="I251" s="1">
        <v>1826</v>
      </c>
      <c r="J251" s="1">
        <v>653516</v>
      </c>
      <c r="K251" s="1">
        <v>291270</v>
      </c>
      <c r="L251" s="1">
        <v>190091</v>
      </c>
      <c r="M251" s="1">
        <v>146991</v>
      </c>
      <c r="O251" s="1">
        <v>628352</v>
      </c>
      <c r="P251" s="1">
        <v>25619</v>
      </c>
      <c r="Q251" s="1">
        <v>7205864</v>
      </c>
      <c r="R251" s="1">
        <v>184865</v>
      </c>
      <c r="S251" s="1">
        <v>189410</v>
      </c>
      <c r="T251" s="1">
        <v>9734</v>
      </c>
      <c r="U251" s="1">
        <v>55</v>
      </c>
      <c r="V251" s="1">
        <v>72385</v>
      </c>
      <c r="W251" s="1">
        <v>7525948</v>
      </c>
      <c r="X251" s="1">
        <v>4729819</v>
      </c>
      <c r="Y251" s="1">
        <v>636726</v>
      </c>
      <c r="Z251" s="1">
        <v>986373</v>
      </c>
      <c r="AB251" s="1">
        <v>11598</v>
      </c>
      <c r="AC251" s="1">
        <v>152730</v>
      </c>
      <c r="AD251" s="1">
        <v>979001</v>
      </c>
      <c r="AE251" s="1">
        <v>536664</v>
      </c>
      <c r="AG251" s="1">
        <v>8439013</v>
      </c>
      <c r="AH251" s="1">
        <v>16002430</v>
      </c>
      <c r="AI251" s="1">
        <v>81645</v>
      </c>
      <c r="AK251" s="1">
        <v>201982</v>
      </c>
      <c r="AL251" s="1">
        <v>234270</v>
      </c>
      <c r="AM251" s="1">
        <v>334833</v>
      </c>
      <c r="AN251" s="1">
        <v>77728</v>
      </c>
      <c r="AO251" s="1">
        <v>646831</v>
      </c>
      <c r="AP251" s="1">
        <v>848813</v>
      </c>
      <c r="AQ251" s="1">
        <v>187724</v>
      </c>
      <c r="AT251" s="1">
        <v>187724</v>
      </c>
      <c r="AU251" s="1">
        <v>161016</v>
      </c>
      <c r="AV251" s="1">
        <v>348740</v>
      </c>
      <c r="AW251" s="1">
        <v>348740</v>
      </c>
      <c r="AX251" s="1">
        <v>25913</v>
      </c>
      <c r="AY251" s="1">
        <v>-25619</v>
      </c>
      <c r="AZ251" s="1">
        <v>19841380</v>
      </c>
      <c r="BC251" s="1">
        <v>4545</v>
      </c>
      <c r="BE251" s="1">
        <v>206843</v>
      </c>
      <c r="BF251" s="1">
        <v>12125</v>
      </c>
      <c r="BH251" s="1">
        <v>11850</v>
      </c>
      <c r="BJ251" s="1">
        <v>120337</v>
      </c>
      <c r="BX251" s="1">
        <v>1057000</v>
      </c>
      <c r="BY251" s="1">
        <v>1359529</v>
      </c>
      <c r="CA251" s="1">
        <v>11850</v>
      </c>
      <c r="CE251" s="1">
        <v>48500</v>
      </c>
      <c r="CF251" s="1">
        <v>187134</v>
      </c>
      <c r="CI251" s="1">
        <v>301889</v>
      </c>
      <c r="CL251" s="1">
        <v>142555</v>
      </c>
      <c r="DF251" s="1">
        <v>346</v>
      </c>
    </row>
    <row r="252" spans="1:124">
      <c r="A252" s="1">
        <v>15</v>
      </c>
      <c r="B252" s="1">
        <v>1715</v>
      </c>
      <c r="C252" s="1" t="s">
        <v>1037</v>
      </c>
      <c r="D252" s="1" t="s">
        <v>1044</v>
      </c>
      <c r="F252" s="1">
        <v>37724</v>
      </c>
      <c r="G252" s="1">
        <v>522582</v>
      </c>
      <c r="H252" s="1">
        <v>100229</v>
      </c>
      <c r="I252" s="1">
        <v>4</v>
      </c>
      <c r="J252" s="1">
        <v>660539</v>
      </c>
      <c r="K252" s="1">
        <v>318739</v>
      </c>
      <c r="L252" s="1">
        <v>7268</v>
      </c>
      <c r="M252" s="1">
        <v>27240</v>
      </c>
      <c r="N252" s="1">
        <v>973</v>
      </c>
      <c r="O252" s="1">
        <v>354220</v>
      </c>
      <c r="Q252" s="1">
        <v>7601816</v>
      </c>
      <c r="S252" s="1">
        <v>25247</v>
      </c>
      <c r="T252" s="1">
        <v>1019453</v>
      </c>
      <c r="V252" s="1">
        <v>88639</v>
      </c>
      <c r="W252" s="1">
        <v>8735155</v>
      </c>
      <c r="X252" s="1">
        <v>4793570</v>
      </c>
      <c r="Y252" s="1">
        <v>487293</v>
      </c>
      <c r="Z252" s="1">
        <v>720626</v>
      </c>
      <c r="AA252" s="1">
        <v>18</v>
      </c>
      <c r="AB252" s="1">
        <v>12209</v>
      </c>
      <c r="AC252" s="1">
        <v>122009</v>
      </c>
      <c r="AD252" s="1">
        <v>1144070</v>
      </c>
      <c r="AE252" s="1">
        <v>526792</v>
      </c>
      <c r="AG252" s="1">
        <v>8364933</v>
      </c>
      <c r="AH252" s="1">
        <v>17100088</v>
      </c>
      <c r="AI252" s="1">
        <v>25001</v>
      </c>
      <c r="AJ252" s="1">
        <v>72920</v>
      </c>
      <c r="AK252" s="1">
        <v>97921</v>
      </c>
      <c r="AL252" s="1">
        <v>151681</v>
      </c>
      <c r="AM252" s="1">
        <v>224346</v>
      </c>
      <c r="AN252" s="1">
        <v>33824</v>
      </c>
      <c r="AO252" s="1">
        <v>409851</v>
      </c>
      <c r="AP252" s="1">
        <v>507772</v>
      </c>
      <c r="AQ252" s="1">
        <v>568540</v>
      </c>
      <c r="AT252" s="1">
        <v>568540</v>
      </c>
      <c r="AV252" s="1">
        <v>568540</v>
      </c>
      <c r="AW252" s="1">
        <v>568540</v>
      </c>
      <c r="AZ252" s="1">
        <v>19191159</v>
      </c>
      <c r="BE252" s="1">
        <v>195153</v>
      </c>
      <c r="BF252" s="1">
        <v>6623</v>
      </c>
      <c r="CB252" s="1">
        <v>25247</v>
      </c>
      <c r="CF252" s="1">
        <v>356570</v>
      </c>
      <c r="CJ252" s="1">
        <v>107496</v>
      </c>
      <c r="DB252" s="1">
        <v>1</v>
      </c>
    </row>
    <row r="253" spans="1:124">
      <c r="A253" s="1">
        <v>15</v>
      </c>
      <c r="B253" s="1">
        <v>1730</v>
      </c>
      <c r="C253" s="1" t="s">
        <v>1037</v>
      </c>
      <c r="D253" s="1" t="s">
        <v>1045</v>
      </c>
      <c r="F253" s="1">
        <v>23475</v>
      </c>
      <c r="G253" s="1">
        <v>155953</v>
      </c>
      <c r="H253" s="1">
        <v>378734</v>
      </c>
      <c r="I253" s="1">
        <v>80171</v>
      </c>
      <c r="J253" s="1">
        <v>638333</v>
      </c>
      <c r="K253" s="1">
        <v>579575</v>
      </c>
      <c r="L253" s="1">
        <v>236456</v>
      </c>
      <c r="M253" s="1">
        <v>184258</v>
      </c>
      <c r="N253" s="1">
        <v>61375</v>
      </c>
      <c r="O253" s="1">
        <v>1061664</v>
      </c>
      <c r="Q253" s="1">
        <v>15166787</v>
      </c>
      <c r="R253" s="1">
        <v>129997</v>
      </c>
      <c r="S253" s="1">
        <v>338791</v>
      </c>
      <c r="T253" s="1">
        <v>39614</v>
      </c>
      <c r="U253" s="1">
        <v>3659</v>
      </c>
      <c r="V253" s="1">
        <v>190006</v>
      </c>
      <c r="W253" s="1">
        <v>15857943</v>
      </c>
      <c r="X253" s="1">
        <v>7480390</v>
      </c>
      <c r="Y253" s="1">
        <v>779993</v>
      </c>
      <c r="Z253" s="1">
        <v>2687401</v>
      </c>
      <c r="AA253" s="1">
        <v>25714</v>
      </c>
      <c r="AB253" s="1">
        <v>100578</v>
      </c>
      <c r="AC253" s="1">
        <v>265084</v>
      </c>
      <c r="AD253" s="1">
        <v>2148628</v>
      </c>
      <c r="AE253" s="1">
        <v>1034027</v>
      </c>
      <c r="AG253" s="1">
        <v>15595516</v>
      </c>
      <c r="AH253" s="1">
        <v>32871786</v>
      </c>
      <c r="AJ253" s="1">
        <v>257495</v>
      </c>
      <c r="AK253" s="1">
        <v>2348816</v>
      </c>
      <c r="AL253" s="1">
        <v>592861</v>
      </c>
      <c r="AM253" s="1">
        <v>642108</v>
      </c>
      <c r="AN253" s="1">
        <v>514365</v>
      </c>
      <c r="AO253" s="1">
        <v>1749334</v>
      </c>
      <c r="AP253" s="1">
        <v>4111350</v>
      </c>
      <c r="AQ253" s="1">
        <v>1416064</v>
      </c>
      <c r="AS253" s="1">
        <v>6183</v>
      </c>
      <c r="AT253" s="1">
        <v>1422247</v>
      </c>
      <c r="AU253" s="1">
        <v>376757</v>
      </c>
      <c r="AV253" s="1">
        <v>1811690</v>
      </c>
      <c r="AW253" s="1">
        <v>1811690</v>
      </c>
      <c r="AX253" s="1">
        <v>12686</v>
      </c>
      <c r="AY253" s="1">
        <v>-12686</v>
      </c>
      <c r="AZ253" s="1">
        <v>40494823</v>
      </c>
      <c r="BE253" s="1">
        <v>412841</v>
      </c>
      <c r="BF253" s="1">
        <v>222586</v>
      </c>
      <c r="BH253" s="1">
        <v>9809</v>
      </c>
      <c r="BI253" s="1">
        <v>1210402</v>
      </c>
      <c r="BJ253" s="1">
        <v>802962</v>
      </c>
      <c r="BL253" s="1">
        <v>12686</v>
      </c>
      <c r="BU253" s="1">
        <v>13200</v>
      </c>
      <c r="BV253" s="1">
        <v>13200</v>
      </c>
      <c r="CA253" s="1">
        <v>9809</v>
      </c>
      <c r="CB253" s="1">
        <v>58333</v>
      </c>
      <c r="CE253" s="1">
        <v>14769</v>
      </c>
      <c r="CF253" s="1">
        <v>438274</v>
      </c>
      <c r="CG253" s="1">
        <v>1403122</v>
      </c>
      <c r="CU253" s="1">
        <v>6867</v>
      </c>
      <c r="CW253" s="1">
        <v>71090</v>
      </c>
      <c r="CX253" s="1">
        <v>5396</v>
      </c>
      <c r="CY253" s="1">
        <v>101442</v>
      </c>
      <c r="DC253" s="1">
        <v>6183</v>
      </c>
      <c r="DI253" s="1">
        <v>150461</v>
      </c>
      <c r="DT253" s="1">
        <v>2875</v>
      </c>
    </row>
    <row r="254" spans="1:124">
      <c r="A254" s="1">
        <v>15</v>
      </c>
      <c r="B254" s="1">
        <v>1774</v>
      </c>
      <c r="C254" s="1" t="s">
        <v>1037</v>
      </c>
      <c r="D254" s="1" t="s">
        <v>1046</v>
      </c>
      <c r="F254" s="1">
        <v>112977</v>
      </c>
      <c r="I254" s="1">
        <v>55805</v>
      </c>
      <c r="J254" s="1">
        <v>8613118</v>
      </c>
      <c r="K254" s="1">
        <v>200677</v>
      </c>
      <c r="L254" s="1">
        <v>1380000</v>
      </c>
      <c r="M254" s="1">
        <v>2994198</v>
      </c>
      <c r="O254" s="1">
        <v>4574875</v>
      </c>
      <c r="U254" s="1">
        <v>2634</v>
      </c>
      <c r="V254" s="1">
        <v>783451</v>
      </c>
      <c r="W254" s="1">
        <v>20027670</v>
      </c>
      <c r="AD254" s="1">
        <v>1020991</v>
      </c>
      <c r="AE254" s="1">
        <v>841862</v>
      </c>
      <c r="AG254" s="1">
        <v>1862853</v>
      </c>
      <c r="AH254" s="1">
        <v>21930774</v>
      </c>
      <c r="AJ254" s="1">
        <v>4883269</v>
      </c>
      <c r="AK254" s="1">
        <v>4883269</v>
      </c>
      <c r="AL254" s="1">
        <v>40383</v>
      </c>
      <c r="AN254" s="1">
        <v>1927240</v>
      </c>
      <c r="AO254" s="1">
        <v>1967623</v>
      </c>
      <c r="AP254" s="1">
        <v>6853583</v>
      </c>
      <c r="AZ254" s="1">
        <v>41972350</v>
      </c>
      <c r="BH254" s="1">
        <v>40251</v>
      </c>
      <c r="BN254" s="1">
        <v>500500</v>
      </c>
      <c r="BO254" s="1">
        <v>18239468</v>
      </c>
      <c r="BU254" s="1">
        <v>2691</v>
      </c>
      <c r="BV254" s="1">
        <v>2691</v>
      </c>
      <c r="BZ254" s="1">
        <v>501617</v>
      </c>
      <c r="CA254" s="1">
        <v>40251</v>
      </c>
      <c r="CL254" s="1">
        <v>8444336</v>
      </c>
    </row>
    <row r="255" spans="1:124">
      <c r="A255" s="1">
        <v>15</v>
      </c>
      <c r="B255" s="1">
        <v>1775</v>
      </c>
      <c r="C255" s="1" t="s">
        <v>1037</v>
      </c>
      <c r="D255" s="1" t="s">
        <v>1047</v>
      </c>
      <c r="F255" s="1">
        <v>16891</v>
      </c>
      <c r="G255" s="1">
        <v>192966</v>
      </c>
      <c r="H255" s="1">
        <v>143461</v>
      </c>
      <c r="I255" s="1">
        <v>11200</v>
      </c>
      <c r="J255" s="1">
        <v>3159468</v>
      </c>
      <c r="K255" s="1">
        <v>698046</v>
      </c>
      <c r="L255" s="1">
        <v>19454</v>
      </c>
      <c r="M255" s="1">
        <v>1588268</v>
      </c>
      <c r="O255" s="1">
        <v>2305768</v>
      </c>
      <c r="V255" s="1">
        <v>491128</v>
      </c>
      <c r="W255" s="1">
        <v>8452628</v>
      </c>
      <c r="X255" s="1">
        <v>1645799</v>
      </c>
      <c r="Z255" s="1">
        <v>563230</v>
      </c>
      <c r="AC255" s="1">
        <v>753913</v>
      </c>
      <c r="AD255" s="1">
        <v>606907</v>
      </c>
      <c r="AE255" s="1">
        <v>386323</v>
      </c>
      <c r="AG255" s="1">
        <v>5715265</v>
      </c>
      <c r="AH255" s="1">
        <v>14167893</v>
      </c>
      <c r="AI255" s="1">
        <v>14276</v>
      </c>
      <c r="AJ255" s="1">
        <v>319697</v>
      </c>
      <c r="AK255" s="1">
        <v>333973</v>
      </c>
      <c r="AL255" s="1">
        <v>54240</v>
      </c>
      <c r="AM255" s="1">
        <v>78169</v>
      </c>
      <c r="AN255" s="1">
        <v>377833</v>
      </c>
      <c r="AO255" s="1">
        <v>1099544</v>
      </c>
      <c r="AP255" s="1">
        <v>1436138</v>
      </c>
      <c r="AZ255" s="1">
        <v>31709489</v>
      </c>
      <c r="BE255" s="1">
        <v>136472</v>
      </c>
      <c r="BF255" s="1">
        <v>50777</v>
      </c>
      <c r="BK255" s="1">
        <v>502828</v>
      </c>
      <c r="BN255" s="1">
        <v>6892450</v>
      </c>
      <c r="BP255" s="1">
        <v>239550</v>
      </c>
      <c r="BR255" s="1">
        <v>711988</v>
      </c>
      <c r="BS255" s="1">
        <v>802861</v>
      </c>
      <c r="BT255" s="1">
        <v>56995</v>
      </c>
      <c r="BU255" s="1">
        <v>2621</v>
      </c>
      <c r="BV255" s="1">
        <v>2621</v>
      </c>
      <c r="BW255" s="1">
        <v>86474</v>
      </c>
      <c r="BY255" s="1">
        <v>10640222</v>
      </c>
      <c r="BZ255" s="1">
        <v>829500</v>
      </c>
      <c r="CC255" s="1">
        <v>10640222</v>
      </c>
      <c r="CL255" s="1">
        <v>2794950</v>
      </c>
    </row>
    <row r="256" spans="1:124">
      <c r="A256" s="1">
        <v>15</v>
      </c>
      <c r="B256" s="1">
        <v>1830</v>
      </c>
      <c r="C256" s="1" t="s">
        <v>1037</v>
      </c>
      <c r="D256" s="1" t="s">
        <v>1177</v>
      </c>
      <c r="F256" s="1">
        <v>20738</v>
      </c>
      <c r="G256" s="1">
        <v>504217</v>
      </c>
      <c r="H256" s="1">
        <v>348817</v>
      </c>
      <c r="I256" s="1">
        <v>113827</v>
      </c>
      <c r="J256" s="1">
        <v>987599</v>
      </c>
      <c r="K256" s="1">
        <v>201543</v>
      </c>
      <c r="L256" s="1">
        <v>255464</v>
      </c>
      <c r="O256" s="1">
        <v>457007</v>
      </c>
      <c r="Q256" s="1">
        <v>8376849</v>
      </c>
      <c r="R256" s="1">
        <v>54788</v>
      </c>
      <c r="S256" s="1">
        <v>54788</v>
      </c>
      <c r="U256" s="1">
        <v>6426</v>
      </c>
      <c r="V256" s="1">
        <v>87250</v>
      </c>
      <c r="W256" s="1">
        <v>8525313</v>
      </c>
      <c r="Y256" s="1">
        <v>263038</v>
      </c>
      <c r="Z256" s="1">
        <v>539839</v>
      </c>
      <c r="AB256" s="1">
        <v>22346</v>
      </c>
      <c r="AC256" s="1">
        <v>77901</v>
      </c>
      <c r="AD256" s="1">
        <v>716585</v>
      </c>
      <c r="AE256" s="1">
        <v>302498</v>
      </c>
      <c r="AF256" s="1">
        <v>4351</v>
      </c>
      <c r="AG256" s="1">
        <v>2466455</v>
      </c>
      <c r="AH256" s="1">
        <v>11168718</v>
      </c>
      <c r="AI256" s="1">
        <v>18814</v>
      </c>
      <c r="AJ256" s="1">
        <v>110119</v>
      </c>
      <c r="AK256" s="1">
        <v>138976</v>
      </c>
      <c r="AL256" s="1">
        <v>53823</v>
      </c>
      <c r="AM256" s="1">
        <v>170583</v>
      </c>
      <c r="AN256" s="1">
        <v>32636</v>
      </c>
      <c r="AO256" s="1">
        <v>257042</v>
      </c>
      <c r="AP256" s="1">
        <v>396018</v>
      </c>
      <c r="AZ256" s="1">
        <v>13009342</v>
      </c>
      <c r="BE256" s="1">
        <v>42001</v>
      </c>
      <c r="BR256" s="1">
        <v>497896</v>
      </c>
      <c r="CG256" s="1">
        <v>176950</v>
      </c>
      <c r="DQ256" s="1">
        <v>10043</v>
      </c>
    </row>
    <row r="257" spans="1:123">
      <c r="A257" s="1">
        <v>15</v>
      </c>
      <c r="B257" s="1">
        <v>2070</v>
      </c>
      <c r="C257" s="1" t="s">
        <v>1037</v>
      </c>
      <c r="D257" s="1" t="s">
        <v>1048</v>
      </c>
      <c r="F257" s="1">
        <v>15916</v>
      </c>
      <c r="G257" s="1">
        <v>317658</v>
      </c>
      <c r="H257" s="1">
        <v>470420</v>
      </c>
      <c r="I257" s="1">
        <v>2608</v>
      </c>
      <c r="J257" s="1">
        <v>806602</v>
      </c>
      <c r="K257" s="1">
        <v>347115</v>
      </c>
      <c r="N257" s="1">
        <v>1</v>
      </c>
      <c r="O257" s="1">
        <v>347116</v>
      </c>
      <c r="Q257" s="1">
        <v>9067248</v>
      </c>
      <c r="R257" s="1">
        <v>177300</v>
      </c>
      <c r="S257" s="1">
        <v>177300</v>
      </c>
      <c r="T257" s="1">
        <v>35851</v>
      </c>
      <c r="U257" s="1">
        <v>137</v>
      </c>
      <c r="V257" s="1">
        <v>158513</v>
      </c>
      <c r="W257" s="1">
        <v>9439049</v>
      </c>
      <c r="X257" s="1">
        <v>3588562</v>
      </c>
      <c r="Y257" s="1">
        <v>329237</v>
      </c>
      <c r="Z257" s="1">
        <v>505981</v>
      </c>
      <c r="AA257" s="1">
        <v>4672</v>
      </c>
      <c r="AB257" s="1">
        <v>64998</v>
      </c>
      <c r="AC257" s="1">
        <v>145708</v>
      </c>
      <c r="AD257" s="1">
        <v>616512</v>
      </c>
      <c r="AE257" s="1">
        <v>501748</v>
      </c>
      <c r="AG257" s="1">
        <v>6039677</v>
      </c>
      <c r="AH257" s="1">
        <v>15678726</v>
      </c>
      <c r="AJ257" s="1">
        <v>78217</v>
      </c>
      <c r="AK257" s="1">
        <v>78217</v>
      </c>
      <c r="AL257" s="1">
        <v>76467</v>
      </c>
      <c r="AM257" s="1">
        <v>277266</v>
      </c>
      <c r="AN257" s="1">
        <v>69096</v>
      </c>
      <c r="AO257" s="1">
        <v>422829</v>
      </c>
      <c r="AP257" s="1">
        <v>501046</v>
      </c>
      <c r="AQ257" s="1">
        <v>956150</v>
      </c>
      <c r="AS257" s="1">
        <v>18139</v>
      </c>
      <c r="AT257" s="1">
        <v>974289</v>
      </c>
      <c r="AU257" s="1">
        <v>602489</v>
      </c>
      <c r="AV257" s="1">
        <v>1576778</v>
      </c>
      <c r="AW257" s="1">
        <v>1576778</v>
      </c>
      <c r="AZ257" s="1">
        <v>18910268</v>
      </c>
      <c r="BE257" s="1">
        <v>137225</v>
      </c>
      <c r="BF257" s="1">
        <v>145034</v>
      </c>
      <c r="CG257" s="1">
        <v>200000</v>
      </c>
      <c r="DC257" s="1">
        <v>18139</v>
      </c>
    </row>
    <row r="258" spans="1:123">
      <c r="A258" s="1">
        <v>15</v>
      </c>
      <c r="B258" s="1">
        <v>2440</v>
      </c>
      <c r="C258" s="1" t="s">
        <v>1037</v>
      </c>
      <c r="D258" s="1" t="s">
        <v>1049</v>
      </c>
      <c r="F258" s="1">
        <v>167942</v>
      </c>
      <c r="G258" s="1">
        <v>1983793</v>
      </c>
      <c r="H258" s="1">
        <v>1870633</v>
      </c>
      <c r="I258" s="1">
        <v>1</v>
      </c>
      <c r="J258" s="1">
        <v>5586672</v>
      </c>
      <c r="K258" s="1">
        <v>449953</v>
      </c>
      <c r="L258" s="1">
        <v>364028</v>
      </c>
      <c r="M258" s="1">
        <v>150789</v>
      </c>
      <c r="N258" s="1">
        <v>42020</v>
      </c>
      <c r="O258" s="1">
        <v>1006790</v>
      </c>
      <c r="P258" s="1">
        <v>1</v>
      </c>
      <c r="Q258" s="1">
        <v>13402716</v>
      </c>
      <c r="R258" s="1">
        <v>4168924</v>
      </c>
      <c r="S258" s="1">
        <v>4168924</v>
      </c>
      <c r="T258" s="1">
        <v>235697</v>
      </c>
      <c r="V258" s="1">
        <v>386430</v>
      </c>
      <c r="W258" s="1">
        <v>18193767</v>
      </c>
      <c r="X258" s="1">
        <v>4655512</v>
      </c>
      <c r="Y258" s="1">
        <v>469410</v>
      </c>
      <c r="Z258" s="1">
        <v>504039</v>
      </c>
      <c r="AB258" s="1">
        <v>30682</v>
      </c>
      <c r="AC258" s="1">
        <v>156241</v>
      </c>
      <c r="AD258" s="1">
        <v>1100092</v>
      </c>
      <c r="AE258" s="1">
        <v>736424</v>
      </c>
      <c r="AG258" s="1">
        <v>8010002</v>
      </c>
      <c r="AH258" s="1">
        <v>26203770</v>
      </c>
      <c r="AI258" s="1">
        <v>40307</v>
      </c>
      <c r="AK258" s="1">
        <v>40307</v>
      </c>
      <c r="AL258" s="1">
        <v>86515</v>
      </c>
      <c r="AM258" s="1">
        <v>266811</v>
      </c>
      <c r="AN258" s="1">
        <v>33184</v>
      </c>
      <c r="AO258" s="1">
        <v>386510</v>
      </c>
      <c r="AP258" s="1">
        <v>426839</v>
      </c>
      <c r="AQ258" s="1">
        <v>1683659</v>
      </c>
      <c r="AS258" s="1">
        <v>9016</v>
      </c>
      <c r="AT258" s="1">
        <v>1692675</v>
      </c>
      <c r="AU258" s="1">
        <v>644110</v>
      </c>
      <c r="AV258" s="1">
        <v>2336785</v>
      </c>
      <c r="AW258" s="1">
        <v>2336785</v>
      </c>
      <c r="AZ258" s="1">
        <v>35560856</v>
      </c>
      <c r="BE258" s="1">
        <v>174765</v>
      </c>
      <c r="BF258" s="1">
        <v>182837</v>
      </c>
      <c r="BU258" s="1">
        <v>22</v>
      </c>
      <c r="BV258" s="1">
        <v>22</v>
      </c>
      <c r="CL258" s="1">
        <v>1564303</v>
      </c>
      <c r="DC258" s="1">
        <v>9016</v>
      </c>
    </row>
    <row r="259" spans="1:123">
      <c r="A259" s="1">
        <v>15</v>
      </c>
      <c r="B259" s="1">
        <v>2750</v>
      </c>
      <c r="C259" s="1" t="s">
        <v>1037</v>
      </c>
      <c r="D259" s="1" t="s">
        <v>1050</v>
      </c>
      <c r="F259" s="1">
        <v>18830</v>
      </c>
      <c r="G259" s="1">
        <v>623988</v>
      </c>
      <c r="H259" s="1">
        <v>554686</v>
      </c>
      <c r="I259" s="1">
        <v>2738</v>
      </c>
      <c r="J259" s="1">
        <v>1429287</v>
      </c>
      <c r="K259" s="1">
        <v>301254</v>
      </c>
      <c r="L259" s="1">
        <v>184227</v>
      </c>
      <c r="N259" s="1">
        <v>20839</v>
      </c>
      <c r="O259" s="1">
        <v>506320</v>
      </c>
      <c r="Q259" s="1">
        <v>10122574</v>
      </c>
      <c r="S259" s="1">
        <v>160522</v>
      </c>
      <c r="V259" s="1">
        <v>149901</v>
      </c>
      <c r="W259" s="1">
        <v>10432997</v>
      </c>
      <c r="X259" s="1">
        <v>3772759</v>
      </c>
      <c r="Y259" s="1">
        <v>317373</v>
      </c>
      <c r="Z259" s="1">
        <v>812075</v>
      </c>
      <c r="AA259" s="1">
        <v>5935</v>
      </c>
      <c r="AB259" s="1">
        <v>5588</v>
      </c>
      <c r="AC259" s="1">
        <v>145264</v>
      </c>
      <c r="AD259" s="1">
        <v>656133</v>
      </c>
      <c r="AE259" s="1">
        <v>427288</v>
      </c>
      <c r="AG259" s="1">
        <v>6554648</v>
      </c>
      <c r="AH259" s="1">
        <v>17136576</v>
      </c>
      <c r="AJ259" s="1">
        <v>38513</v>
      </c>
      <c r="AK259" s="1">
        <v>38513</v>
      </c>
      <c r="AL259" s="1">
        <v>59305</v>
      </c>
      <c r="AM259" s="1">
        <v>237984</v>
      </c>
      <c r="AN259" s="1">
        <v>53813</v>
      </c>
      <c r="AO259" s="1">
        <v>351102</v>
      </c>
      <c r="AP259" s="1">
        <v>393316</v>
      </c>
      <c r="AQ259" s="1">
        <v>992917</v>
      </c>
      <c r="AS259" s="1">
        <v>897</v>
      </c>
      <c r="AT259" s="1">
        <v>993814</v>
      </c>
      <c r="AU259" s="1">
        <v>594039</v>
      </c>
      <c r="AV259" s="1">
        <v>1587853</v>
      </c>
      <c r="AW259" s="1">
        <v>1587853</v>
      </c>
      <c r="AZ259" s="1">
        <v>21053352</v>
      </c>
      <c r="BC259" s="1">
        <v>160522</v>
      </c>
      <c r="BF259" s="1">
        <v>5221</v>
      </c>
      <c r="BR259" s="1">
        <v>407012</v>
      </c>
      <c r="BU259" s="1">
        <v>3701</v>
      </c>
      <c r="BV259" s="1">
        <v>3701</v>
      </c>
      <c r="CG259" s="1">
        <v>148931</v>
      </c>
      <c r="CL259" s="1">
        <v>229045</v>
      </c>
      <c r="DC259" s="1">
        <v>897</v>
      </c>
    </row>
    <row r="260" spans="1:123">
      <c r="A260" s="1">
        <v>15</v>
      </c>
      <c r="B260" s="1">
        <v>2990</v>
      </c>
      <c r="C260" s="1" t="s">
        <v>1037</v>
      </c>
      <c r="D260" s="1" t="s">
        <v>1051</v>
      </c>
      <c r="F260" s="1">
        <v>277888</v>
      </c>
      <c r="G260" s="1">
        <v>174146</v>
      </c>
      <c r="H260" s="1">
        <v>93060</v>
      </c>
      <c r="I260" s="1">
        <v>46060</v>
      </c>
      <c r="J260" s="1">
        <v>591154</v>
      </c>
      <c r="K260" s="1">
        <v>335646</v>
      </c>
      <c r="L260" s="1">
        <v>15610</v>
      </c>
      <c r="N260" s="1">
        <v>2</v>
      </c>
      <c r="O260" s="1">
        <v>351258</v>
      </c>
      <c r="Q260" s="1">
        <v>9727332</v>
      </c>
      <c r="R260" s="1">
        <v>46511</v>
      </c>
      <c r="S260" s="1">
        <v>228147</v>
      </c>
      <c r="U260" s="1">
        <v>2591</v>
      </c>
      <c r="V260" s="1">
        <v>121482</v>
      </c>
      <c r="W260" s="1">
        <v>10079552</v>
      </c>
      <c r="X260" s="1">
        <v>3612499</v>
      </c>
      <c r="Y260" s="1">
        <v>293227</v>
      </c>
      <c r="Z260" s="1">
        <v>863062</v>
      </c>
      <c r="AB260" s="1">
        <v>29682</v>
      </c>
      <c r="AC260" s="1">
        <v>159533</v>
      </c>
      <c r="AD260" s="1">
        <v>945914</v>
      </c>
      <c r="AE260" s="1">
        <v>587678</v>
      </c>
      <c r="AF260" s="1">
        <v>6727</v>
      </c>
      <c r="AG260" s="1">
        <v>6871520</v>
      </c>
      <c r="AH260" s="1">
        <v>16954745</v>
      </c>
      <c r="AI260" s="1">
        <v>25950</v>
      </c>
      <c r="AJ260" s="1">
        <v>131253</v>
      </c>
      <c r="AK260" s="1">
        <v>157203</v>
      </c>
      <c r="AL260" s="1">
        <v>93075</v>
      </c>
      <c r="AM260" s="1">
        <v>355167</v>
      </c>
      <c r="AN260" s="1">
        <v>83044</v>
      </c>
      <c r="AO260" s="1">
        <v>531286</v>
      </c>
      <c r="AP260" s="1">
        <v>688489</v>
      </c>
      <c r="AQ260" s="1">
        <v>1173270</v>
      </c>
      <c r="AT260" s="1">
        <v>1173270</v>
      </c>
      <c r="AU260" s="1">
        <v>845601</v>
      </c>
      <c r="AV260" s="1">
        <v>2018871</v>
      </c>
      <c r="AW260" s="1">
        <v>2018871</v>
      </c>
      <c r="AZ260" s="1">
        <v>20604517</v>
      </c>
      <c r="BC260" s="1">
        <v>181636</v>
      </c>
      <c r="BE260" s="1">
        <v>155169</v>
      </c>
      <c r="BH260" s="1">
        <v>3673</v>
      </c>
      <c r="BR260" s="1">
        <v>218029</v>
      </c>
      <c r="CA260" s="1">
        <v>3673</v>
      </c>
    </row>
    <row r="261" spans="1:123">
      <c r="A261" s="1">
        <v>15</v>
      </c>
      <c r="B261" s="1">
        <v>3280</v>
      </c>
      <c r="C261" s="1" t="s">
        <v>1037</v>
      </c>
      <c r="D261" s="1" t="s">
        <v>1052</v>
      </c>
      <c r="F261" s="1">
        <v>689389</v>
      </c>
      <c r="G261" s="1">
        <v>925738</v>
      </c>
      <c r="H261" s="1">
        <v>1163644</v>
      </c>
      <c r="I261" s="1">
        <v>20375</v>
      </c>
      <c r="J261" s="1">
        <v>2799146</v>
      </c>
      <c r="K261" s="1">
        <v>1877987</v>
      </c>
      <c r="M261" s="1">
        <v>1373399</v>
      </c>
      <c r="N261" s="1">
        <v>3</v>
      </c>
      <c r="O261" s="1">
        <v>3251389</v>
      </c>
      <c r="Q261" s="1">
        <v>34324581</v>
      </c>
      <c r="R261" s="1">
        <v>63413</v>
      </c>
      <c r="S261" s="1">
        <v>63413</v>
      </c>
      <c r="V261" s="1">
        <v>1160072</v>
      </c>
      <c r="W261" s="1">
        <v>35548066</v>
      </c>
      <c r="X261" s="1">
        <v>18481266</v>
      </c>
      <c r="Y261" s="1">
        <v>1452321</v>
      </c>
      <c r="Z261" s="1">
        <v>3856530</v>
      </c>
      <c r="AA261" s="1">
        <v>23396</v>
      </c>
      <c r="AB261" s="1">
        <v>185542</v>
      </c>
      <c r="AC261" s="1">
        <v>584917</v>
      </c>
      <c r="AD261" s="1">
        <v>3266009</v>
      </c>
      <c r="AE261" s="1">
        <v>2082817</v>
      </c>
      <c r="AG261" s="1">
        <v>31057505</v>
      </c>
      <c r="AH261" s="1">
        <v>66605571</v>
      </c>
      <c r="AI261" s="1">
        <v>271418</v>
      </c>
      <c r="AJ261" s="1">
        <v>597235</v>
      </c>
      <c r="AK261" s="1">
        <v>1119246</v>
      </c>
      <c r="AL261" s="1">
        <v>584628</v>
      </c>
      <c r="AM261" s="1">
        <v>1379693</v>
      </c>
      <c r="AN261" s="1">
        <v>506397</v>
      </c>
      <c r="AO261" s="1">
        <v>2470718</v>
      </c>
      <c r="AP261" s="1">
        <v>3728151</v>
      </c>
      <c r="AQ261" s="1">
        <v>2446343</v>
      </c>
      <c r="AT261" s="1">
        <v>2446343</v>
      </c>
      <c r="AU261" s="1">
        <v>985620</v>
      </c>
      <c r="AV261" s="1">
        <v>3431963</v>
      </c>
      <c r="AW261" s="1">
        <v>3431963</v>
      </c>
      <c r="AZ261" s="1">
        <v>123455220</v>
      </c>
      <c r="BE261" s="1">
        <v>747613</v>
      </c>
      <c r="BF261" s="1">
        <v>377094</v>
      </c>
      <c r="BJ261" s="1">
        <v>250593</v>
      </c>
      <c r="BU261" s="1">
        <v>138187</v>
      </c>
      <c r="BV261" s="1">
        <v>138187</v>
      </c>
      <c r="BX261" s="1">
        <v>43639000</v>
      </c>
      <c r="BY261" s="1">
        <v>43639000</v>
      </c>
    </row>
    <row r="262" spans="1:123">
      <c r="A262" s="1">
        <v>15</v>
      </c>
      <c r="B262" s="1">
        <v>3490</v>
      </c>
      <c r="C262" s="1" t="s">
        <v>1037</v>
      </c>
      <c r="D262" s="1" t="s">
        <v>1053</v>
      </c>
      <c r="F262" s="1">
        <v>34711</v>
      </c>
      <c r="G262" s="1">
        <v>89236</v>
      </c>
      <c r="H262" s="1">
        <v>31891</v>
      </c>
      <c r="I262" s="1">
        <v>751</v>
      </c>
      <c r="J262" s="1">
        <v>156589</v>
      </c>
      <c r="K262" s="1">
        <v>104372</v>
      </c>
      <c r="L262" s="1">
        <v>6999</v>
      </c>
      <c r="O262" s="1">
        <v>111371</v>
      </c>
      <c r="P262" s="1">
        <v>-60</v>
      </c>
      <c r="Q262" s="1">
        <v>1419368</v>
      </c>
      <c r="U262" s="1">
        <v>30</v>
      </c>
      <c r="V262" s="1">
        <v>23962</v>
      </c>
      <c r="W262" s="1">
        <v>1443360</v>
      </c>
      <c r="X262" s="1">
        <v>966930</v>
      </c>
      <c r="Y262" s="1">
        <v>16799</v>
      </c>
      <c r="Z262" s="1">
        <v>210424</v>
      </c>
      <c r="AB262" s="1">
        <v>5299</v>
      </c>
      <c r="AC262" s="1">
        <v>26881</v>
      </c>
      <c r="AD262" s="1">
        <v>279599</v>
      </c>
      <c r="AE262" s="1">
        <v>119108</v>
      </c>
      <c r="AG262" s="1">
        <v>2283612</v>
      </c>
      <c r="AH262" s="1">
        <v>3726912</v>
      </c>
      <c r="AJ262" s="1">
        <v>2722</v>
      </c>
      <c r="AK262" s="1">
        <v>209578</v>
      </c>
      <c r="AL262" s="1">
        <v>60008</v>
      </c>
      <c r="AM262" s="1">
        <v>102825</v>
      </c>
      <c r="AN262" s="1">
        <v>23984</v>
      </c>
      <c r="AO262" s="1">
        <v>186817</v>
      </c>
      <c r="AP262" s="1">
        <v>488016</v>
      </c>
      <c r="AQ262" s="1">
        <v>162388</v>
      </c>
      <c r="AS262" s="1">
        <v>60</v>
      </c>
      <c r="AT262" s="1">
        <v>162448</v>
      </c>
      <c r="AU262" s="1">
        <v>173312</v>
      </c>
      <c r="AV262" s="1">
        <v>335760</v>
      </c>
      <c r="AW262" s="1">
        <v>335760</v>
      </c>
      <c r="AZ262" s="1">
        <v>4818648</v>
      </c>
      <c r="BE262" s="1">
        <v>58156</v>
      </c>
      <c r="BF262" s="1">
        <v>87985</v>
      </c>
      <c r="BI262" s="1">
        <v>125552</v>
      </c>
      <c r="BJ262" s="1">
        <v>79509</v>
      </c>
      <c r="BR262" s="1">
        <v>394901</v>
      </c>
      <c r="CF262" s="1">
        <v>117530</v>
      </c>
      <c r="CQ262" s="1">
        <v>91621</v>
      </c>
      <c r="CW262" s="1">
        <v>1795</v>
      </c>
      <c r="DC262" s="1">
        <v>60</v>
      </c>
    </row>
    <row r="263" spans="1:123">
      <c r="A263" s="1">
        <v>15</v>
      </c>
      <c r="B263" s="1">
        <v>3580</v>
      </c>
      <c r="C263" s="1" t="s">
        <v>1037</v>
      </c>
      <c r="D263" s="1" t="s">
        <v>1054</v>
      </c>
      <c r="E263" s="1">
        <v>15000</v>
      </c>
      <c r="F263" s="1">
        <v>72715</v>
      </c>
      <c r="H263" s="1">
        <v>4832</v>
      </c>
      <c r="I263" s="1">
        <v>19980</v>
      </c>
      <c r="J263" s="1">
        <v>132527</v>
      </c>
      <c r="K263" s="1">
        <v>114866</v>
      </c>
      <c r="L263" s="1">
        <v>151480</v>
      </c>
      <c r="O263" s="1">
        <v>266346</v>
      </c>
      <c r="Q263" s="1">
        <v>1571475</v>
      </c>
      <c r="U263" s="1">
        <v>899</v>
      </c>
      <c r="V263" s="1">
        <v>4381</v>
      </c>
      <c r="W263" s="1">
        <v>1626755</v>
      </c>
      <c r="X263" s="1">
        <v>715740</v>
      </c>
      <c r="Y263" s="1">
        <v>122615</v>
      </c>
      <c r="Z263" s="1">
        <v>192546</v>
      </c>
      <c r="AB263" s="1">
        <v>14131</v>
      </c>
      <c r="AC263" s="1">
        <v>25126</v>
      </c>
      <c r="AD263" s="1">
        <v>15762</v>
      </c>
      <c r="AG263" s="1">
        <v>1132417</v>
      </c>
      <c r="AH263" s="1">
        <v>2759172</v>
      </c>
      <c r="AJ263" s="1">
        <v>129101</v>
      </c>
      <c r="AK263" s="1">
        <v>129101</v>
      </c>
      <c r="AM263" s="1">
        <v>43250</v>
      </c>
      <c r="AO263" s="1">
        <v>43250</v>
      </c>
      <c r="AP263" s="1">
        <v>172351</v>
      </c>
      <c r="AZ263" s="1">
        <v>3330396</v>
      </c>
      <c r="BE263" s="1">
        <v>32082</v>
      </c>
      <c r="BF263" s="1">
        <v>1044</v>
      </c>
      <c r="CD263" s="1">
        <v>20000</v>
      </c>
      <c r="CE263" s="1">
        <v>50000</v>
      </c>
      <c r="CF263" s="1">
        <v>13371</v>
      </c>
    </row>
    <row r="264" spans="1:123">
      <c r="A264" s="1">
        <v>15</v>
      </c>
      <c r="B264" s="1">
        <v>4020</v>
      </c>
      <c r="C264" s="1" t="s">
        <v>1037</v>
      </c>
      <c r="D264" s="1" t="s">
        <v>1055</v>
      </c>
      <c r="F264" s="1">
        <v>325651</v>
      </c>
      <c r="G264" s="1">
        <v>2491737</v>
      </c>
      <c r="H264" s="1">
        <v>2974280</v>
      </c>
      <c r="I264" s="1">
        <v>158810</v>
      </c>
      <c r="J264" s="1">
        <v>5950478</v>
      </c>
      <c r="K264" s="1">
        <v>303734</v>
      </c>
      <c r="L264" s="1">
        <v>39100</v>
      </c>
      <c r="N264" s="1">
        <v>-6782</v>
      </c>
      <c r="O264" s="1">
        <v>336052</v>
      </c>
      <c r="Q264" s="1">
        <v>4491320</v>
      </c>
      <c r="R264" s="1">
        <v>1035186</v>
      </c>
      <c r="S264" s="1">
        <v>1035186</v>
      </c>
      <c r="U264" s="1">
        <v>1200</v>
      </c>
      <c r="V264" s="1">
        <v>398811</v>
      </c>
      <c r="W264" s="1">
        <v>5926517</v>
      </c>
      <c r="X264" s="1">
        <v>6124139</v>
      </c>
      <c r="Y264" s="1">
        <v>93950</v>
      </c>
      <c r="Z264" s="1">
        <v>692901</v>
      </c>
      <c r="AB264" s="1">
        <v>24994</v>
      </c>
      <c r="AC264" s="1">
        <v>138001</v>
      </c>
      <c r="AD264" s="1">
        <v>1262230</v>
      </c>
      <c r="AE264" s="1">
        <v>633303</v>
      </c>
      <c r="AG264" s="1">
        <v>9346880</v>
      </c>
      <c r="AH264" s="1">
        <v>15289551</v>
      </c>
      <c r="AJ264" s="1">
        <v>54535</v>
      </c>
      <c r="AK264" s="1">
        <v>1775573</v>
      </c>
      <c r="AL264" s="1">
        <v>799730</v>
      </c>
      <c r="AM264" s="1">
        <v>335283</v>
      </c>
      <c r="AN264" s="1">
        <v>773986</v>
      </c>
      <c r="AO264" s="1">
        <v>1929697</v>
      </c>
      <c r="AP264" s="1">
        <v>3747096</v>
      </c>
      <c r="AQ264" s="1">
        <v>146580</v>
      </c>
      <c r="AT264" s="1">
        <v>146580</v>
      </c>
      <c r="AU264" s="1">
        <v>216132</v>
      </c>
      <c r="AV264" s="1">
        <v>369494</v>
      </c>
      <c r="AW264" s="1">
        <v>369494</v>
      </c>
      <c r="AZ264" s="1">
        <v>25692671</v>
      </c>
      <c r="BE264" s="1">
        <v>249598</v>
      </c>
      <c r="BF264" s="1">
        <v>99307</v>
      </c>
      <c r="BH264" s="1">
        <v>16154</v>
      </c>
      <c r="BI264" s="1">
        <v>1148781</v>
      </c>
      <c r="BJ264" s="1">
        <v>572257</v>
      </c>
      <c r="BK264" s="1">
        <v>18208</v>
      </c>
      <c r="BL264" s="1">
        <v>6782</v>
      </c>
      <c r="BU264" s="1">
        <v>41826</v>
      </c>
      <c r="BV264" s="1">
        <v>41826</v>
      </c>
      <c r="CA264" s="1">
        <v>16154</v>
      </c>
      <c r="CF264" s="1">
        <v>28457</v>
      </c>
      <c r="DG264" s="1">
        <v>2490</v>
      </c>
    </row>
    <row r="265" spans="1:123">
      <c r="A265" s="1">
        <v>15</v>
      </c>
      <c r="B265" s="1">
        <v>4140</v>
      </c>
      <c r="C265" s="1" t="s">
        <v>1037</v>
      </c>
      <c r="D265" s="1" t="s">
        <v>1056</v>
      </c>
      <c r="F265" s="1">
        <v>34767</v>
      </c>
      <c r="G265" s="1">
        <v>164573</v>
      </c>
      <c r="I265" s="1">
        <v>37731</v>
      </c>
      <c r="J265" s="1">
        <v>237071</v>
      </c>
      <c r="K265" s="1">
        <v>410566</v>
      </c>
      <c r="M265" s="1">
        <v>266502</v>
      </c>
      <c r="N265" s="1">
        <v>83337</v>
      </c>
      <c r="O265" s="1">
        <v>760405</v>
      </c>
      <c r="Q265" s="1">
        <v>10004998</v>
      </c>
      <c r="S265" s="1">
        <v>91133</v>
      </c>
      <c r="U265" s="1">
        <v>1566</v>
      </c>
      <c r="V265" s="1">
        <v>159376</v>
      </c>
      <c r="W265" s="1">
        <v>10257073</v>
      </c>
      <c r="X265" s="1">
        <v>6981319</v>
      </c>
      <c r="Y265" s="1">
        <v>154117</v>
      </c>
      <c r="Z265" s="1">
        <v>1519135</v>
      </c>
      <c r="AA265" s="1">
        <v>4654</v>
      </c>
      <c r="AB265" s="1">
        <v>14281</v>
      </c>
      <c r="AC265" s="1">
        <v>174837</v>
      </c>
      <c r="AD265" s="1">
        <v>1848528</v>
      </c>
      <c r="AE265" s="1">
        <v>778303</v>
      </c>
      <c r="AG265" s="1">
        <v>12195278</v>
      </c>
      <c r="AH265" s="1">
        <v>22585563</v>
      </c>
      <c r="AI265" s="1">
        <v>58938</v>
      </c>
      <c r="AJ265" s="1">
        <v>1449</v>
      </c>
      <c r="AK265" s="1">
        <v>67348</v>
      </c>
      <c r="AL265" s="1">
        <v>110834</v>
      </c>
      <c r="AM265" s="1">
        <v>373105</v>
      </c>
      <c r="AN265" s="1">
        <v>96709</v>
      </c>
      <c r="AO265" s="1">
        <v>580648</v>
      </c>
      <c r="AP265" s="1">
        <v>647996</v>
      </c>
      <c r="AQ265" s="1">
        <v>473014</v>
      </c>
      <c r="AT265" s="1">
        <v>473014</v>
      </c>
      <c r="AU265" s="1">
        <v>443700</v>
      </c>
      <c r="AV265" s="1">
        <v>963789</v>
      </c>
      <c r="AW265" s="1">
        <v>963789</v>
      </c>
      <c r="AZ265" s="1">
        <v>25194824</v>
      </c>
      <c r="BE265" s="1">
        <v>244463</v>
      </c>
      <c r="BH265" s="1">
        <v>4425</v>
      </c>
      <c r="BL265" s="1">
        <v>47075</v>
      </c>
      <c r="CA265" s="1">
        <v>4425</v>
      </c>
      <c r="CB265" s="1">
        <v>91133</v>
      </c>
      <c r="CF265" s="1">
        <v>475641</v>
      </c>
      <c r="CG265" s="1">
        <v>128787</v>
      </c>
      <c r="CT265" s="1">
        <v>6961</v>
      </c>
    </row>
    <row r="266" spans="1:123">
      <c r="A266" s="1">
        <v>15</v>
      </c>
      <c r="B266" s="1">
        <v>4880</v>
      </c>
      <c r="C266" s="1" t="s">
        <v>1037</v>
      </c>
      <c r="D266" s="1" t="s">
        <v>1057</v>
      </c>
      <c r="F266" s="1">
        <v>311260</v>
      </c>
      <c r="G266" s="1">
        <v>282764</v>
      </c>
      <c r="H266" s="1">
        <v>401066</v>
      </c>
      <c r="I266" s="1">
        <v>182521</v>
      </c>
      <c r="J266" s="1">
        <v>1526664</v>
      </c>
      <c r="K266" s="1">
        <v>104330</v>
      </c>
      <c r="L266" s="1">
        <v>82828</v>
      </c>
      <c r="M266" s="1">
        <v>8721352</v>
      </c>
      <c r="N266" s="1">
        <v>195827</v>
      </c>
      <c r="O266" s="1">
        <v>9104337</v>
      </c>
      <c r="P266" s="1">
        <v>179478</v>
      </c>
      <c r="Q266" s="1">
        <v>2065230</v>
      </c>
      <c r="U266" s="1">
        <v>9684</v>
      </c>
      <c r="V266" s="1">
        <v>72719</v>
      </c>
      <c r="W266" s="1">
        <v>2177633</v>
      </c>
      <c r="X266" s="1">
        <v>454535</v>
      </c>
      <c r="Y266" s="1">
        <v>76465</v>
      </c>
      <c r="Z266" s="1">
        <v>82972</v>
      </c>
      <c r="AA266" s="1">
        <v>3486</v>
      </c>
      <c r="AB266" s="1">
        <v>301</v>
      </c>
      <c r="AC266" s="1">
        <v>27759</v>
      </c>
      <c r="AD266" s="1">
        <v>214422</v>
      </c>
      <c r="AE266" s="1">
        <v>114164</v>
      </c>
      <c r="AG266" s="1">
        <v>1258831</v>
      </c>
      <c r="AH266" s="1">
        <v>3615942</v>
      </c>
      <c r="AI266" s="1">
        <v>3030</v>
      </c>
      <c r="AK266" s="1">
        <v>3030</v>
      </c>
      <c r="AL266" s="1">
        <v>17420</v>
      </c>
      <c r="AM266" s="1">
        <v>50804</v>
      </c>
      <c r="AN266" s="1">
        <v>40274</v>
      </c>
      <c r="AO266" s="1">
        <v>108498</v>
      </c>
      <c r="AP266" s="1">
        <v>111528</v>
      </c>
      <c r="AQ266" s="1">
        <v>201320</v>
      </c>
      <c r="AT266" s="1">
        <v>201320</v>
      </c>
      <c r="AU266" s="1">
        <v>159740</v>
      </c>
      <c r="AV266" s="1">
        <v>711060</v>
      </c>
      <c r="AW266" s="1">
        <v>711060</v>
      </c>
      <c r="AX266" s="1">
        <v>529478</v>
      </c>
      <c r="AY266" s="1">
        <v>-529478</v>
      </c>
      <c r="AZ266" s="1">
        <v>17940531</v>
      </c>
      <c r="BB266" s="1">
        <v>65000</v>
      </c>
      <c r="BE266" s="1">
        <v>27170</v>
      </c>
      <c r="BF266" s="1">
        <v>31785</v>
      </c>
      <c r="BL266" s="1">
        <v>350000</v>
      </c>
      <c r="BR266" s="1">
        <v>217859</v>
      </c>
      <c r="BX266" s="1">
        <v>2871000</v>
      </c>
      <c r="BY266" s="1">
        <v>2871000</v>
      </c>
      <c r="CH266" s="1">
        <v>7913</v>
      </c>
      <c r="CL266" s="1">
        <v>284053</v>
      </c>
      <c r="DN266" s="1">
        <v>30000</v>
      </c>
    </row>
    <row r="267" spans="1:123">
      <c r="A267" s="1">
        <v>15</v>
      </c>
      <c r="B267" s="1">
        <v>4940</v>
      </c>
      <c r="C267" s="1" t="s">
        <v>1037</v>
      </c>
      <c r="D267" s="1" t="s">
        <v>1058</v>
      </c>
      <c r="F267" s="1">
        <v>50851</v>
      </c>
      <c r="G267" s="1">
        <v>170254</v>
      </c>
      <c r="H267" s="1">
        <v>372776</v>
      </c>
      <c r="I267" s="1">
        <v>1</v>
      </c>
      <c r="J267" s="1">
        <v>593882</v>
      </c>
      <c r="K267" s="1">
        <v>548312</v>
      </c>
      <c r="L267" s="1">
        <v>306791</v>
      </c>
      <c r="N267" s="1">
        <v>279</v>
      </c>
      <c r="O267" s="1">
        <v>855382</v>
      </c>
      <c r="P267" s="1">
        <v>1529</v>
      </c>
      <c r="Q267" s="1">
        <v>9932194</v>
      </c>
      <c r="R267" s="1">
        <v>86228</v>
      </c>
      <c r="S267" s="1">
        <v>86228</v>
      </c>
      <c r="T267" s="1">
        <v>545467</v>
      </c>
      <c r="V267" s="1">
        <v>159964</v>
      </c>
      <c r="W267" s="1">
        <v>10743296</v>
      </c>
      <c r="X267" s="1">
        <v>9335971</v>
      </c>
      <c r="Y267" s="1">
        <v>847601</v>
      </c>
      <c r="Z267" s="1">
        <v>1404227</v>
      </c>
      <c r="AA267" s="1">
        <v>1168</v>
      </c>
      <c r="AB267" s="1">
        <v>86950</v>
      </c>
      <c r="AC267" s="1">
        <v>213186</v>
      </c>
      <c r="AD267" s="1">
        <v>1445290</v>
      </c>
      <c r="AE267" s="1">
        <v>807867</v>
      </c>
      <c r="AG267" s="1">
        <v>15251571</v>
      </c>
      <c r="AH267" s="1">
        <v>25997931</v>
      </c>
      <c r="AI267" s="1">
        <v>75450</v>
      </c>
      <c r="AJ267" s="1">
        <v>103481</v>
      </c>
      <c r="AK267" s="1">
        <v>178931</v>
      </c>
      <c r="AL267" s="1">
        <v>166489</v>
      </c>
      <c r="AM267" s="1">
        <v>406903</v>
      </c>
      <c r="AN267" s="1">
        <v>358419</v>
      </c>
      <c r="AO267" s="1">
        <v>931811</v>
      </c>
      <c r="AP267" s="1">
        <v>1116492</v>
      </c>
      <c r="AQ267" s="1">
        <v>650279</v>
      </c>
      <c r="AR267" s="1">
        <v>793</v>
      </c>
      <c r="AS267" s="1">
        <v>793</v>
      </c>
      <c r="AT267" s="1">
        <v>651072</v>
      </c>
      <c r="AU267" s="1">
        <v>832476</v>
      </c>
      <c r="AV267" s="1">
        <v>1483548</v>
      </c>
      <c r="AW267" s="1">
        <v>1483548</v>
      </c>
      <c r="AZ267" s="1">
        <v>30047235</v>
      </c>
      <c r="BE267" s="1">
        <v>377661</v>
      </c>
      <c r="BF267" s="1">
        <v>20560</v>
      </c>
      <c r="BH267" s="1">
        <v>1535</v>
      </c>
      <c r="BQ267" s="1">
        <v>14310</v>
      </c>
      <c r="BR267" s="1">
        <v>156531</v>
      </c>
      <c r="BU267" s="1">
        <v>5750</v>
      </c>
      <c r="BV267" s="1">
        <v>5750</v>
      </c>
      <c r="CA267" s="1">
        <v>1535</v>
      </c>
      <c r="CF267" s="1">
        <v>554559</v>
      </c>
      <c r="CZ267" s="1">
        <v>5133</v>
      </c>
    </row>
    <row r="268" spans="1:123">
      <c r="A268" s="1">
        <v>15</v>
      </c>
      <c r="B268" s="1">
        <v>5120</v>
      </c>
      <c r="C268" s="1" t="s">
        <v>1037</v>
      </c>
      <c r="D268" s="1" t="s">
        <v>1059</v>
      </c>
      <c r="F268" s="1">
        <v>156522</v>
      </c>
      <c r="G268" s="1">
        <v>1034560</v>
      </c>
      <c r="H268" s="1">
        <v>1157664</v>
      </c>
      <c r="I268" s="1">
        <v>8213</v>
      </c>
      <c r="J268" s="1">
        <v>2575794</v>
      </c>
      <c r="K268" s="1">
        <v>236482</v>
      </c>
      <c r="L268" s="1">
        <v>177967</v>
      </c>
      <c r="M268" s="1">
        <v>374876</v>
      </c>
      <c r="N268" s="1">
        <v>110126</v>
      </c>
      <c r="O268" s="1">
        <v>899451</v>
      </c>
      <c r="Q268" s="1">
        <v>7807540</v>
      </c>
      <c r="U268" s="1">
        <v>410</v>
      </c>
      <c r="W268" s="1">
        <v>8012769</v>
      </c>
      <c r="X268" s="1">
        <v>2830698</v>
      </c>
      <c r="Y268" s="1">
        <v>142336</v>
      </c>
      <c r="Z268" s="1">
        <v>684156</v>
      </c>
      <c r="AB268" s="1">
        <v>22557</v>
      </c>
      <c r="AC268" s="1">
        <v>98309</v>
      </c>
      <c r="AD268" s="1">
        <v>568939</v>
      </c>
      <c r="AE268" s="1">
        <v>478200</v>
      </c>
      <c r="AG268" s="1">
        <v>5233696</v>
      </c>
      <c r="AH268" s="1">
        <v>13246465</v>
      </c>
      <c r="AI268" s="1">
        <v>34371</v>
      </c>
      <c r="AK268" s="1">
        <v>177147</v>
      </c>
      <c r="AL268" s="1">
        <v>73493</v>
      </c>
      <c r="AM268" s="1">
        <v>211876</v>
      </c>
      <c r="AN268" s="1">
        <v>32579</v>
      </c>
      <c r="AO268" s="1">
        <v>317948</v>
      </c>
      <c r="AP268" s="1">
        <v>509469</v>
      </c>
      <c r="AQ268" s="1">
        <v>556871</v>
      </c>
      <c r="AT268" s="1">
        <v>556871</v>
      </c>
      <c r="AU268" s="1">
        <v>269083</v>
      </c>
      <c r="AV268" s="1">
        <v>1803998</v>
      </c>
      <c r="AW268" s="1">
        <v>1803998</v>
      </c>
      <c r="AX268" s="1">
        <v>463044</v>
      </c>
      <c r="AY268" s="1">
        <v>-978044</v>
      </c>
      <c r="AZ268" s="1">
        <v>28420177</v>
      </c>
      <c r="BE268" s="1">
        <v>117979</v>
      </c>
      <c r="BF268" s="1">
        <v>290522</v>
      </c>
      <c r="BJ268" s="1">
        <v>142776</v>
      </c>
      <c r="BL268" s="1">
        <v>978044</v>
      </c>
      <c r="BQ268" s="1">
        <v>204819</v>
      </c>
      <c r="BU268" s="1">
        <v>14374</v>
      </c>
      <c r="BV268" s="1">
        <v>14374</v>
      </c>
      <c r="BX268" s="1">
        <v>9900000</v>
      </c>
      <c r="BY268" s="1">
        <v>9385000</v>
      </c>
      <c r="CL268" s="1">
        <v>218835</v>
      </c>
    </row>
    <row r="269" spans="1:123">
      <c r="A269" s="1">
        <v>15</v>
      </c>
      <c r="B269" s="1">
        <v>5500</v>
      </c>
      <c r="C269" s="1" t="s">
        <v>1037</v>
      </c>
      <c r="D269" s="1" t="s">
        <v>1270</v>
      </c>
      <c r="F269" s="1">
        <v>655043</v>
      </c>
      <c r="G269" s="1">
        <v>824887</v>
      </c>
      <c r="H269" s="1">
        <v>426719</v>
      </c>
      <c r="I269" s="1">
        <v>1767</v>
      </c>
      <c r="J269" s="1">
        <v>1908416</v>
      </c>
      <c r="K269" s="1">
        <v>2718445</v>
      </c>
      <c r="L269" s="1">
        <v>3089743</v>
      </c>
      <c r="M269" s="1">
        <v>10867893</v>
      </c>
      <c r="N269" s="1">
        <v>47288</v>
      </c>
      <c r="O269" s="1">
        <v>16723369</v>
      </c>
      <c r="P269" s="1">
        <v>132816</v>
      </c>
      <c r="Q269" s="1">
        <v>59324899</v>
      </c>
      <c r="R269" s="1">
        <v>82105</v>
      </c>
      <c r="S269" s="1">
        <v>82105</v>
      </c>
      <c r="V269" s="1">
        <v>965030</v>
      </c>
      <c r="W269" s="1">
        <v>60372034</v>
      </c>
      <c r="X269" s="1">
        <v>37447727</v>
      </c>
      <c r="Y269" s="1">
        <v>2659580</v>
      </c>
      <c r="Z269" s="1">
        <v>6346097</v>
      </c>
      <c r="AA269" s="1">
        <v>43234</v>
      </c>
      <c r="AB269" s="1">
        <v>426764</v>
      </c>
      <c r="AC269" s="1">
        <v>1076394</v>
      </c>
      <c r="AD269" s="1">
        <v>6849934</v>
      </c>
      <c r="AE269" s="1">
        <v>4152177</v>
      </c>
      <c r="AG269" s="1">
        <v>62810279</v>
      </c>
      <c r="AH269" s="1">
        <v>123775068</v>
      </c>
      <c r="AI269" s="1">
        <v>214452</v>
      </c>
      <c r="AJ269" s="1">
        <v>138724</v>
      </c>
      <c r="AK269" s="1">
        <v>353176</v>
      </c>
      <c r="AL269" s="1">
        <v>270917</v>
      </c>
      <c r="AM269" s="1">
        <v>2210709</v>
      </c>
      <c r="AN269" s="1">
        <v>370386</v>
      </c>
      <c r="AO269" s="1">
        <v>2893316</v>
      </c>
      <c r="AP269" s="1">
        <v>3276253</v>
      </c>
      <c r="AQ269" s="1">
        <v>3302043</v>
      </c>
      <c r="AT269" s="1">
        <v>3302043</v>
      </c>
      <c r="AU269" s="1">
        <v>2154224</v>
      </c>
      <c r="AV269" s="1">
        <v>5456267</v>
      </c>
      <c r="AW269" s="1">
        <v>5456267</v>
      </c>
      <c r="AZ269" s="1">
        <v>151139373</v>
      </c>
      <c r="BE269" s="1">
        <v>1396002</v>
      </c>
      <c r="BK269" s="1">
        <v>41304</v>
      </c>
      <c r="BU269" s="1">
        <v>29761</v>
      </c>
      <c r="BV269" s="1">
        <v>29761</v>
      </c>
      <c r="CF269" s="1">
        <v>2412370</v>
      </c>
      <c r="CG269" s="1">
        <v>349961</v>
      </c>
      <c r="CX269" s="1">
        <v>109978</v>
      </c>
    </row>
    <row r="270" spans="1:123">
      <c r="A270" s="1">
        <v>15</v>
      </c>
      <c r="B270" s="1">
        <v>5590</v>
      </c>
      <c r="C270" s="1" t="s">
        <v>1037</v>
      </c>
      <c r="D270" s="1" t="s">
        <v>1060</v>
      </c>
      <c r="F270" s="1">
        <v>5363</v>
      </c>
      <c r="H270" s="1">
        <v>172678</v>
      </c>
      <c r="I270" s="1">
        <v>328</v>
      </c>
      <c r="J270" s="1">
        <v>178369</v>
      </c>
      <c r="K270" s="1">
        <v>90475</v>
      </c>
      <c r="M270" s="1">
        <v>77527</v>
      </c>
      <c r="N270" s="1">
        <v>1</v>
      </c>
      <c r="O270" s="1">
        <v>168003</v>
      </c>
      <c r="Q270" s="1">
        <v>1861111</v>
      </c>
      <c r="S270" s="1">
        <v>3200</v>
      </c>
      <c r="U270" s="1">
        <v>14</v>
      </c>
      <c r="V270" s="1">
        <v>19905</v>
      </c>
      <c r="W270" s="1">
        <v>1884230</v>
      </c>
      <c r="X270" s="1">
        <v>94591</v>
      </c>
      <c r="Y270" s="1">
        <v>18906</v>
      </c>
      <c r="Z270" s="1">
        <v>128639</v>
      </c>
      <c r="AC270" s="1">
        <v>8309</v>
      </c>
      <c r="AD270" s="1">
        <v>165758</v>
      </c>
      <c r="AE270" s="1">
        <v>98838</v>
      </c>
      <c r="AG270" s="1">
        <v>676468</v>
      </c>
      <c r="AH270" s="1">
        <v>2560698</v>
      </c>
      <c r="AK270" s="1">
        <v>3178</v>
      </c>
      <c r="AM270" s="1">
        <v>46396</v>
      </c>
      <c r="AN270" s="1">
        <v>4173</v>
      </c>
      <c r="AO270" s="1">
        <v>50569</v>
      </c>
      <c r="AP270" s="1">
        <v>53747</v>
      </c>
      <c r="AQ270" s="1">
        <v>204917</v>
      </c>
      <c r="AT270" s="1">
        <v>204917</v>
      </c>
      <c r="AV270" s="1">
        <v>204917</v>
      </c>
      <c r="AW270" s="1">
        <v>204917</v>
      </c>
      <c r="AZ270" s="1">
        <v>3165734</v>
      </c>
      <c r="BC270" s="1">
        <v>3200</v>
      </c>
      <c r="BE270" s="1">
        <v>11414</v>
      </c>
      <c r="BF270" s="1">
        <v>20003</v>
      </c>
      <c r="BR270" s="1">
        <v>130010</v>
      </c>
      <c r="DQ270" s="1">
        <v>3178</v>
      </c>
    </row>
    <row r="271" spans="1:123">
      <c r="A271" s="1">
        <v>15</v>
      </c>
      <c r="B271" s="1">
        <v>5620</v>
      </c>
      <c r="C271" s="1" t="s">
        <v>1037</v>
      </c>
      <c r="D271" s="1" t="s">
        <v>1061</v>
      </c>
      <c r="F271" s="1">
        <v>41453</v>
      </c>
      <c r="G271" s="1">
        <v>1240208</v>
      </c>
      <c r="H271" s="1">
        <v>1164128</v>
      </c>
      <c r="I271" s="1">
        <v>435152</v>
      </c>
      <c r="J271" s="1">
        <v>2901063</v>
      </c>
      <c r="K271" s="1">
        <v>690315</v>
      </c>
      <c r="L271" s="1">
        <v>557584</v>
      </c>
      <c r="M271" s="1">
        <v>267270</v>
      </c>
      <c r="N271" s="1">
        <v>733545</v>
      </c>
      <c r="O271" s="1">
        <v>2248714</v>
      </c>
      <c r="P271" s="1">
        <v>13422</v>
      </c>
      <c r="Q271" s="1">
        <v>24738957</v>
      </c>
      <c r="S271" s="1">
        <v>372344</v>
      </c>
      <c r="U271" s="1">
        <v>21863</v>
      </c>
      <c r="V271" s="1">
        <v>52404</v>
      </c>
      <c r="W271" s="1">
        <v>25270851</v>
      </c>
      <c r="X271" s="1">
        <v>3826962</v>
      </c>
      <c r="Y271" s="1">
        <v>957252</v>
      </c>
      <c r="Z271" s="1">
        <v>2756536</v>
      </c>
      <c r="AA271" s="1">
        <v>22048</v>
      </c>
      <c r="AB271" s="1">
        <v>26402</v>
      </c>
      <c r="AC271" s="1">
        <v>341668</v>
      </c>
      <c r="AD271" s="1">
        <v>2627560</v>
      </c>
      <c r="AE271" s="1">
        <v>1242803</v>
      </c>
      <c r="AG271" s="1">
        <v>13802591</v>
      </c>
      <c r="AH271" s="1">
        <v>39086864</v>
      </c>
      <c r="AI271" s="1">
        <v>109188</v>
      </c>
      <c r="AJ271" s="1">
        <v>161865</v>
      </c>
      <c r="AK271" s="1">
        <v>271053</v>
      </c>
      <c r="AL271" s="1">
        <v>247281</v>
      </c>
      <c r="AM271" s="1">
        <v>778506</v>
      </c>
      <c r="AN271" s="1">
        <v>196121</v>
      </c>
      <c r="AO271" s="1">
        <v>1221908</v>
      </c>
      <c r="AP271" s="1">
        <v>1492961</v>
      </c>
      <c r="AQ271" s="1">
        <v>522946</v>
      </c>
      <c r="AT271" s="1">
        <v>522946</v>
      </c>
      <c r="AU271" s="1">
        <v>231347</v>
      </c>
      <c r="AV271" s="1">
        <v>754293</v>
      </c>
      <c r="AW271" s="1">
        <v>754293</v>
      </c>
      <c r="AZ271" s="1">
        <v>46483895</v>
      </c>
      <c r="BE271" s="1">
        <v>291192</v>
      </c>
      <c r="BF271" s="1">
        <v>17407</v>
      </c>
      <c r="BQ271" s="1">
        <v>85283</v>
      </c>
      <c r="BR271" s="1">
        <v>1692761</v>
      </c>
      <c r="CB271" s="1">
        <v>234852</v>
      </c>
      <c r="CL271" s="1">
        <v>20122</v>
      </c>
      <c r="DS271" s="1">
        <v>137492</v>
      </c>
    </row>
    <row r="272" spans="1:123">
      <c r="A272" s="1">
        <v>15</v>
      </c>
      <c r="B272" s="1">
        <v>5740</v>
      </c>
      <c r="C272" s="1" t="s">
        <v>1037</v>
      </c>
      <c r="D272" s="1" t="s">
        <v>1062</v>
      </c>
      <c r="F272" s="1">
        <v>84128</v>
      </c>
      <c r="G272" s="1">
        <v>160713</v>
      </c>
      <c r="H272" s="1">
        <v>22277</v>
      </c>
      <c r="J272" s="1">
        <v>267118</v>
      </c>
      <c r="K272" s="1">
        <v>110665</v>
      </c>
      <c r="M272" s="1">
        <v>1733659</v>
      </c>
      <c r="O272" s="1">
        <v>1844324</v>
      </c>
      <c r="Q272" s="1">
        <v>1633249</v>
      </c>
      <c r="R272" s="1">
        <v>109380</v>
      </c>
      <c r="S272" s="1">
        <v>109380</v>
      </c>
      <c r="V272" s="1">
        <v>66309</v>
      </c>
      <c r="W272" s="1">
        <v>1808938</v>
      </c>
      <c r="X272" s="1">
        <v>1207606</v>
      </c>
      <c r="Y272" s="1">
        <v>44252</v>
      </c>
      <c r="Z272" s="1">
        <v>265441</v>
      </c>
      <c r="AA272" s="1">
        <v>4636</v>
      </c>
      <c r="AB272" s="1">
        <v>9464</v>
      </c>
      <c r="AC272" s="1">
        <v>37085</v>
      </c>
      <c r="AD272" s="1">
        <v>289903</v>
      </c>
      <c r="AE272" s="1">
        <v>175252</v>
      </c>
      <c r="AF272" s="1">
        <v>11173</v>
      </c>
      <c r="AG272" s="1">
        <v>2458244</v>
      </c>
      <c r="AH272" s="1">
        <v>4267182</v>
      </c>
      <c r="AJ272" s="1">
        <v>49556</v>
      </c>
      <c r="AK272" s="1">
        <v>371542</v>
      </c>
      <c r="AL272" s="1">
        <v>95352</v>
      </c>
      <c r="AM272" s="1">
        <v>96411</v>
      </c>
      <c r="AN272" s="1">
        <v>22073</v>
      </c>
      <c r="AO272" s="1">
        <v>213836</v>
      </c>
      <c r="AP272" s="1">
        <v>585378</v>
      </c>
      <c r="AQ272" s="1">
        <v>143305</v>
      </c>
      <c r="AT272" s="1">
        <v>143305</v>
      </c>
      <c r="AU272" s="1">
        <v>71430</v>
      </c>
      <c r="AV272" s="1">
        <v>214735</v>
      </c>
      <c r="AW272" s="1">
        <v>214735</v>
      </c>
      <c r="AZ272" s="1">
        <v>7178737</v>
      </c>
      <c r="BE272" s="1">
        <v>65996</v>
      </c>
      <c r="BF272" s="1">
        <v>28566</v>
      </c>
      <c r="BI272" s="1">
        <v>196970</v>
      </c>
      <c r="BJ272" s="1">
        <v>125016</v>
      </c>
      <c r="BR272" s="1">
        <v>318870</v>
      </c>
      <c r="DR272" s="1">
        <v>581</v>
      </c>
    </row>
    <row r="273" spans="1:127">
      <c r="A273" s="1">
        <v>15</v>
      </c>
      <c r="B273" s="1">
        <v>5860</v>
      </c>
      <c r="C273" s="1" t="s">
        <v>1037</v>
      </c>
      <c r="D273" s="1" t="s">
        <v>1063</v>
      </c>
      <c r="F273" s="1">
        <v>107273</v>
      </c>
      <c r="G273" s="1">
        <v>1753987</v>
      </c>
      <c r="H273" s="1">
        <v>533447</v>
      </c>
      <c r="I273" s="1">
        <v>59602</v>
      </c>
      <c r="J273" s="1">
        <v>11755395</v>
      </c>
      <c r="K273" s="1">
        <v>368563</v>
      </c>
      <c r="L273" s="1">
        <v>495000</v>
      </c>
      <c r="M273" s="1">
        <v>8362496</v>
      </c>
      <c r="N273" s="1">
        <v>249211</v>
      </c>
      <c r="O273" s="1">
        <v>9475270</v>
      </c>
      <c r="Q273" s="1">
        <v>10963512</v>
      </c>
      <c r="R273" s="1">
        <v>159486</v>
      </c>
      <c r="S273" s="1">
        <v>159486</v>
      </c>
      <c r="U273" s="1">
        <v>2747</v>
      </c>
      <c r="V273" s="1">
        <v>401354</v>
      </c>
      <c r="W273" s="1">
        <v>11527099</v>
      </c>
      <c r="X273" s="1">
        <v>5005254</v>
      </c>
      <c r="Y273" s="1">
        <v>208484</v>
      </c>
      <c r="Z273" s="1">
        <v>1152751</v>
      </c>
      <c r="AA273" s="1">
        <v>6990</v>
      </c>
      <c r="AB273" s="1">
        <v>20834</v>
      </c>
      <c r="AC273" s="1">
        <v>159204</v>
      </c>
      <c r="AD273" s="1">
        <v>1603042</v>
      </c>
      <c r="AE273" s="1">
        <v>715999</v>
      </c>
      <c r="AF273" s="1">
        <v>121807</v>
      </c>
      <c r="AG273" s="1">
        <v>10076297</v>
      </c>
      <c r="AH273" s="1">
        <v>21608569</v>
      </c>
      <c r="AJ273" s="1">
        <v>165504</v>
      </c>
      <c r="AK273" s="1">
        <v>1430588</v>
      </c>
      <c r="AL273" s="1">
        <v>549966</v>
      </c>
      <c r="AM273" s="1">
        <v>473651</v>
      </c>
      <c r="AN273" s="1">
        <v>149679</v>
      </c>
      <c r="AO273" s="1">
        <v>1173296</v>
      </c>
      <c r="AP273" s="1">
        <v>2707371</v>
      </c>
      <c r="AQ273" s="1">
        <v>943840</v>
      </c>
      <c r="AR273" s="1">
        <v>255434</v>
      </c>
      <c r="AS273" s="1">
        <v>505434</v>
      </c>
      <c r="AT273" s="1">
        <v>1449274</v>
      </c>
      <c r="AU273" s="1">
        <v>359348</v>
      </c>
      <c r="AV273" s="1">
        <v>1808622</v>
      </c>
      <c r="AW273" s="1">
        <v>1808622</v>
      </c>
      <c r="AY273" s="1">
        <v>495000</v>
      </c>
      <c r="AZ273" s="1">
        <v>47850227</v>
      </c>
      <c r="BE273" s="1">
        <v>258376</v>
      </c>
      <c r="BF273" s="1">
        <v>62346</v>
      </c>
      <c r="BH273" s="1">
        <v>5173</v>
      </c>
      <c r="BI273" s="1">
        <v>750587</v>
      </c>
      <c r="BJ273" s="1">
        <v>506205</v>
      </c>
      <c r="BR273" s="1">
        <v>61945</v>
      </c>
      <c r="BU273" s="1">
        <v>103487</v>
      </c>
      <c r="BV273" s="1">
        <v>103487</v>
      </c>
      <c r="BY273" s="1">
        <v>495000</v>
      </c>
      <c r="CA273" s="1">
        <v>5173</v>
      </c>
      <c r="CF273" s="1">
        <v>699265</v>
      </c>
      <c r="CL273" s="1">
        <v>9301086</v>
      </c>
      <c r="CW273" s="1">
        <v>8279</v>
      </c>
      <c r="DC273" s="1">
        <v>250000</v>
      </c>
      <c r="DP273" s="1">
        <v>13</v>
      </c>
    </row>
    <row r="274" spans="1:127">
      <c r="A274" s="1">
        <v>15</v>
      </c>
      <c r="B274" s="1">
        <v>5870</v>
      </c>
      <c r="C274" s="1" t="s">
        <v>1037</v>
      </c>
      <c r="D274" s="1" t="s">
        <v>1064</v>
      </c>
      <c r="F274" s="1">
        <v>54431</v>
      </c>
      <c r="G274" s="1">
        <v>179978</v>
      </c>
      <c r="H274" s="1">
        <v>148446</v>
      </c>
      <c r="I274" s="1">
        <v>5</v>
      </c>
      <c r="J274" s="1">
        <v>382860</v>
      </c>
      <c r="K274" s="1">
        <v>101266</v>
      </c>
      <c r="L274" s="1">
        <v>61</v>
      </c>
      <c r="O274" s="1">
        <v>101327</v>
      </c>
      <c r="Q274" s="1">
        <v>1740439</v>
      </c>
      <c r="S274" s="1">
        <v>2100</v>
      </c>
      <c r="V274" s="1">
        <v>30295</v>
      </c>
      <c r="W274" s="1">
        <v>1772834</v>
      </c>
      <c r="X274" s="1">
        <v>564443</v>
      </c>
      <c r="Y274" s="1">
        <v>42540</v>
      </c>
      <c r="Z274" s="1">
        <v>288817</v>
      </c>
      <c r="AB274" s="1">
        <v>4316</v>
      </c>
      <c r="AC274" s="1">
        <v>30283</v>
      </c>
      <c r="AD274" s="1">
        <v>266482</v>
      </c>
      <c r="AE274" s="1">
        <v>107604</v>
      </c>
      <c r="AG274" s="1">
        <v>1347303</v>
      </c>
      <c r="AH274" s="1">
        <v>3120137</v>
      </c>
      <c r="AJ274" s="1">
        <v>297493</v>
      </c>
      <c r="AK274" s="1">
        <v>297493</v>
      </c>
      <c r="AL274" s="1">
        <v>18931</v>
      </c>
      <c r="AM274" s="1">
        <v>112848</v>
      </c>
      <c r="AN274" s="1">
        <v>15988</v>
      </c>
      <c r="AO274" s="1">
        <v>147767</v>
      </c>
      <c r="AP274" s="1">
        <v>445260</v>
      </c>
      <c r="AZ274" s="1">
        <v>4049584</v>
      </c>
      <c r="BC274" s="1">
        <v>2100</v>
      </c>
      <c r="BE274" s="1">
        <v>28220</v>
      </c>
      <c r="BR274" s="1">
        <v>14598</v>
      </c>
    </row>
    <row r="275" spans="1:127">
      <c r="A275" s="1">
        <v>17</v>
      </c>
      <c r="B275" s="1">
        <v>220</v>
      </c>
      <c r="C275" s="1" t="s">
        <v>1065</v>
      </c>
      <c r="D275" s="1" t="s">
        <v>1066</v>
      </c>
      <c r="F275" s="1">
        <v>981178</v>
      </c>
      <c r="J275" s="1">
        <v>29346255</v>
      </c>
      <c r="L275" s="1">
        <v>190096</v>
      </c>
      <c r="O275" s="1">
        <v>190096</v>
      </c>
      <c r="Q275" s="1">
        <v>52521354</v>
      </c>
      <c r="S275" s="1">
        <v>159568</v>
      </c>
      <c r="V275" s="1">
        <v>2888032</v>
      </c>
      <c r="W275" s="1">
        <v>55568954</v>
      </c>
      <c r="X275" s="1">
        <v>16791432</v>
      </c>
      <c r="Y275" s="1">
        <v>303986</v>
      </c>
      <c r="Z275" s="1">
        <v>5595255</v>
      </c>
      <c r="AA275" s="1">
        <v>468724</v>
      </c>
      <c r="AB275" s="1">
        <v>62941</v>
      </c>
      <c r="AC275" s="1">
        <v>903654</v>
      </c>
      <c r="AD275" s="1">
        <v>6884136</v>
      </c>
      <c r="AE275" s="1">
        <v>3895536</v>
      </c>
      <c r="AG275" s="1">
        <v>44568833</v>
      </c>
      <c r="AH275" s="1">
        <v>104939134</v>
      </c>
      <c r="AJ275" s="1">
        <v>1142108</v>
      </c>
      <c r="AK275" s="1">
        <v>7715262</v>
      </c>
      <c r="AL275" s="1">
        <v>1567523</v>
      </c>
      <c r="AM275" s="1">
        <v>2266808</v>
      </c>
      <c r="AN275" s="1">
        <v>1470819</v>
      </c>
      <c r="AO275" s="1">
        <v>5305150</v>
      </c>
      <c r="AP275" s="1">
        <v>13129656</v>
      </c>
      <c r="AZ275" s="1">
        <v>147605141</v>
      </c>
      <c r="BA275" s="1">
        <v>99941</v>
      </c>
      <c r="BC275" s="1">
        <v>159568</v>
      </c>
      <c r="BE275" s="1">
        <v>993964</v>
      </c>
      <c r="BF275" s="1">
        <v>6173269</v>
      </c>
      <c r="BH275" s="1">
        <v>54343</v>
      </c>
      <c r="BI275" s="1">
        <v>3999872</v>
      </c>
      <c r="BJ275" s="1">
        <v>2573282</v>
      </c>
      <c r="BR275" s="1">
        <v>124058</v>
      </c>
      <c r="BU275" s="1">
        <v>109244</v>
      </c>
      <c r="BV275" s="1">
        <v>109244</v>
      </c>
      <c r="CA275" s="1">
        <v>54343</v>
      </c>
      <c r="CF275" s="1">
        <v>2371878</v>
      </c>
      <c r="CG275" s="1">
        <v>1795882</v>
      </c>
      <c r="CL275" s="1">
        <v>28265136</v>
      </c>
      <c r="CX275" s="1">
        <v>2951122</v>
      </c>
    </row>
    <row r="276" spans="1:127">
      <c r="A276" s="1">
        <v>17</v>
      </c>
      <c r="B276" s="1">
        <v>1200</v>
      </c>
      <c r="C276" s="1" t="s">
        <v>1065</v>
      </c>
      <c r="D276" s="1" t="s">
        <v>1067</v>
      </c>
      <c r="F276" s="1">
        <v>105900</v>
      </c>
      <c r="G276" s="1">
        <v>165090</v>
      </c>
      <c r="H276" s="1">
        <v>198951</v>
      </c>
      <c r="I276" s="1">
        <v>862538</v>
      </c>
      <c r="J276" s="1">
        <v>1332479</v>
      </c>
      <c r="K276" s="1">
        <v>100000</v>
      </c>
      <c r="L276" s="1">
        <v>187048</v>
      </c>
      <c r="O276" s="1">
        <v>287048</v>
      </c>
      <c r="Q276" s="1">
        <v>994713</v>
      </c>
      <c r="U276" s="1">
        <v>48198</v>
      </c>
      <c r="W276" s="1">
        <v>1100682</v>
      </c>
      <c r="X276" s="1">
        <v>1757203</v>
      </c>
      <c r="Y276" s="1">
        <v>13055</v>
      </c>
      <c r="Z276" s="1">
        <v>243668</v>
      </c>
      <c r="AA276" s="1">
        <v>35022</v>
      </c>
      <c r="AB276" s="1">
        <v>33011</v>
      </c>
      <c r="AC276" s="1">
        <v>41145</v>
      </c>
      <c r="AD276" s="1">
        <v>64475</v>
      </c>
      <c r="AE276" s="1">
        <v>62609</v>
      </c>
      <c r="AG276" s="1">
        <v>2354041</v>
      </c>
      <c r="AH276" s="1">
        <v>3454723</v>
      </c>
      <c r="AK276" s="1">
        <v>378960</v>
      </c>
      <c r="AL276" s="1">
        <v>148413</v>
      </c>
      <c r="AM276" s="1">
        <v>70596</v>
      </c>
      <c r="AN276" s="1">
        <v>5993</v>
      </c>
      <c r="AO276" s="1">
        <v>225002</v>
      </c>
      <c r="AP276" s="1">
        <v>603962</v>
      </c>
      <c r="AZ276" s="1">
        <v>5678212</v>
      </c>
      <c r="BE276" s="1">
        <v>71807</v>
      </c>
      <c r="BF276" s="1">
        <v>32046</v>
      </c>
      <c r="BI276" s="1">
        <v>221560</v>
      </c>
      <c r="BJ276" s="1">
        <v>157400</v>
      </c>
      <c r="BQ276" s="1">
        <v>57771</v>
      </c>
    </row>
    <row r="277" spans="1:127">
      <c r="A277" s="1">
        <v>17</v>
      </c>
      <c r="B277" s="1">
        <v>1850</v>
      </c>
      <c r="C277" s="1" t="s">
        <v>1065</v>
      </c>
      <c r="D277" s="1" t="s">
        <v>1068</v>
      </c>
      <c r="F277" s="1">
        <v>107113</v>
      </c>
      <c r="G277" s="1">
        <v>730598</v>
      </c>
      <c r="I277" s="1">
        <v>1</v>
      </c>
      <c r="J277" s="1">
        <v>1092072</v>
      </c>
      <c r="K277" s="1">
        <v>224555</v>
      </c>
      <c r="L277" s="1">
        <v>26468</v>
      </c>
      <c r="N277" s="1">
        <v>2</v>
      </c>
      <c r="O277" s="1">
        <v>251025</v>
      </c>
      <c r="Q277" s="1">
        <v>8191499</v>
      </c>
      <c r="V277" s="1">
        <v>126479</v>
      </c>
      <c r="W277" s="1">
        <v>8317978</v>
      </c>
      <c r="X277" s="1">
        <v>602479</v>
      </c>
      <c r="Y277" s="1">
        <v>41689</v>
      </c>
      <c r="Z277" s="1">
        <v>492341</v>
      </c>
      <c r="AA277" s="1">
        <v>231982</v>
      </c>
      <c r="AB277" s="1">
        <v>30211</v>
      </c>
      <c r="AC277" s="1">
        <v>138247</v>
      </c>
      <c r="AD277" s="1">
        <v>459269</v>
      </c>
      <c r="AE277" s="1">
        <v>277750</v>
      </c>
      <c r="AG277" s="1">
        <v>3144062</v>
      </c>
      <c r="AH277" s="1">
        <v>11462040</v>
      </c>
      <c r="AJ277" s="1">
        <v>4000</v>
      </c>
      <c r="AK277" s="1">
        <v>1158846</v>
      </c>
      <c r="AL277" s="1">
        <v>592997</v>
      </c>
      <c r="AM277" s="1">
        <v>250397</v>
      </c>
      <c r="AN277" s="1">
        <v>158815</v>
      </c>
      <c r="AO277" s="1">
        <v>1002209</v>
      </c>
      <c r="AP277" s="1">
        <v>2161055</v>
      </c>
      <c r="AQ277" s="1">
        <v>267607</v>
      </c>
      <c r="AT277" s="1">
        <v>267607</v>
      </c>
      <c r="AU277" s="1">
        <v>22023</v>
      </c>
      <c r="AV277" s="1">
        <v>289630</v>
      </c>
      <c r="AW277" s="1">
        <v>289630</v>
      </c>
      <c r="AZ277" s="1">
        <v>15255822</v>
      </c>
      <c r="BB277" s="1">
        <v>1</v>
      </c>
      <c r="BE277" s="1">
        <v>100194</v>
      </c>
      <c r="BF277" s="1">
        <v>101373</v>
      </c>
      <c r="BI277" s="1">
        <v>746172</v>
      </c>
      <c r="BJ277" s="1">
        <v>408674</v>
      </c>
      <c r="BR277" s="1">
        <v>381118</v>
      </c>
      <c r="CD277" s="1">
        <v>254359</v>
      </c>
      <c r="CF277" s="1">
        <v>287409</v>
      </c>
    </row>
    <row r="278" spans="1:127">
      <c r="A278" s="1">
        <v>17</v>
      </c>
      <c r="B278" s="1">
        <v>2060</v>
      </c>
      <c r="C278" s="1" t="s">
        <v>1065</v>
      </c>
      <c r="D278" s="1" t="s">
        <v>1069</v>
      </c>
      <c r="F278" s="1">
        <v>303250</v>
      </c>
      <c r="G278" s="1">
        <v>346914</v>
      </c>
      <c r="H278" s="1">
        <v>1922523</v>
      </c>
      <c r="I278" s="1">
        <v>1</v>
      </c>
      <c r="J278" s="1">
        <v>2572688</v>
      </c>
      <c r="K278" s="1">
        <v>502843</v>
      </c>
      <c r="M278" s="1">
        <v>302615</v>
      </c>
      <c r="O278" s="1">
        <v>805458</v>
      </c>
      <c r="Q278" s="1">
        <v>7884341</v>
      </c>
      <c r="R278" s="1">
        <v>1011291</v>
      </c>
      <c r="S278" s="1">
        <v>1011291</v>
      </c>
      <c r="T278" s="1">
        <v>69141</v>
      </c>
      <c r="V278" s="1">
        <v>273964</v>
      </c>
      <c r="W278" s="1">
        <v>9238737</v>
      </c>
      <c r="X278" s="1">
        <v>5819651</v>
      </c>
      <c r="Y278" s="1">
        <v>124857</v>
      </c>
      <c r="Z278" s="1">
        <v>1097750</v>
      </c>
      <c r="AA278" s="1">
        <v>399742</v>
      </c>
      <c r="AB278" s="1">
        <v>30752</v>
      </c>
      <c r="AC278" s="1">
        <v>202763</v>
      </c>
      <c r="AD278" s="1">
        <v>1593121</v>
      </c>
      <c r="AE278" s="1">
        <v>972425</v>
      </c>
      <c r="AG278" s="1">
        <v>17876385</v>
      </c>
      <c r="AH278" s="1">
        <v>27120218</v>
      </c>
      <c r="AJ278" s="1">
        <v>585006</v>
      </c>
      <c r="AK278" s="1">
        <v>5243782</v>
      </c>
      <c r="AL278" s="1">
        <v>767057</v>
      </c>
      <c r="AM278" s="1">
        <v>416098</v>
      </c>
      <c r="AN278" s="1">
        <v>76543</v>
      </c>
      <c r="AO278" s="1">
        <v>1259698</v>
      </c>
      <c r="AP278" s="1">
        <v>6694611</v>
      </c>
      <c r="AZ278" s="1">
        <v>37192975</v>
      </c>
      <c r="BF278" s="1">
        <v>191131</v>
      </c>
      <c r="BH278" s="1">
        <v>5096</v>
      </c>
      <c r="BI278" s="1">
        <v>834321</v>
      </c>
      <c r="BJ278" s="1">
        <v>493015</v>
      </c>
      <c r="BR278" s="1">
        <v>38081</v>
      </c>
      <c r="CA278" s="1">
        <v>5096</v>
      </c>
      <c r="CO278" s="1">
        <v>7406112</v>
      </c>
      <c r="CP278" s="1">
        <v>3331440</v>
      </c>
      <c r="CQ278" s="1">
        <v>191131</v>
      </c>
    </row>
    <row r="279" spans="1:127">
      <c r="A279" s="1">
        <v>17</v>
      </c>
      <c r="B279" s="1">
        <v>2210</v>
      </c>
      <c r="C279" s="1" t="s">
        <v>1065</v>
      </c>
      <c r="D279" s="1" t="s">
        <v>1070</v>
      </c>
      <c r="F279" s="1">
        <v>711534</v>
      </c>
      <c r="G279" s="1">
        <v>1722520</v>
      </c>
      <c r="H279" s="1">
        <v>837586</v>
      </c>
      <c r="I279" s="1">
        <v>1000</v>
      </c>
      <c r="J279" s="1">
        <v>3468840</v>
      </c>
      <c r="K279" s="1">
        <v>980197</v>
      </c>
      <c r="M279" s="1">
        <v>212415</v>
      </c>
      <c r="N279" s="1">
        <v>41530</v>
      </c>
      <c r="O279" s="1">
        <v>1234142</v>
      </c>
      <c r="Q279" s="1">
        <v>32921770</v>
      </c>
      <c r="R279" s="1">
        <v>358725</v>
      </c>
      <c r="S279" s="1">
        <v>520539</v>
      </c>
      <c r="V279" s="1">
        <v>253391</v>
      </c>
      <c r="W279" s="1">
        <v>33695700</v>
      </c>
      <c r="Y279" s="1">
        <v>163470</v>
      </c>
      <c r="Z279" s="1">
        <v>1419128</v>
      </c>
      <c r="AA279" s="1">
        <v>51734</v>
      </c>
      <c r="AB279" s="1">
        <v>35817</v>
      </c>
      <c r="AC279" s="1">
        <v>271447</v>
      </c>
      <c r="AD279" s="1">
        <v>4127618</v>
      </c>
      <c r="AE279" s="1">
        <v>1492528</v>
      </c>
      <c r="AG279" s="1">
        <v>12141361</v>
      </c>
      <c r="AH279" s="1">
        <v>46097080</v>
      </c>
      <c r="AJ279" s="1">
        <v>961899</v>
      </c>
      <c r="AK279" s="1">
        <v>6610315</v>
      </c>
      <c r="AL279" s="1">
        <v>1426787</v>
      </c>
      <c r="AM279" s="1">
        <v>749639</v>
      </c>
      <c r="AN279" s="1">
        <v>1316377</v>
      </c>
      <c r="AO279" s="1">
        <v>3492803</v>
      </c>
      <c r="AP279" s="1">
        <v>10341544</v>
      </c>
      <c r="AQ279" s="1">
        <v>528230</v>
      </c>
      <c r="AT279" s="1">
        <v>528230</v>
      </c>
      <c r="AV279" s="1">
        <v>528230</v>
      </c>
      <c r="AW279" s="1">
        <v>528230</v>
      </c>
      <c r="AZ279" s="1">
        <v>67035951</v>
      </c>
      <c r="BC279" s="1">
        <v>77697</v>
      </c>
      <c r="BG279" s="1">
        <v>195639</v>
      </c>
      <c r="BH279" s="1">
        <v>260019</v>
      </c>
      <c r="BI279" s="1">
        <v>4697389</v>
      </c>
      <c r="BJ279" s="1">
        <v>951027</v>
      </c>
      <c r="BR279" s="1">
        <v>4278925</v>
      </c>
      <c r="BY279" s="1">
        <v>5366115</v>
      </c>
      <c r="CA279" s="1">
        <v>64380</v>
      </c>
      <c r="CB279" s="1">
        <v>84117</v>
      </c>
      <c r="CH279" s="1">
        <v>300694</v>
      </c>
      <c r="CI279" s="1">
        <v>5366115</v>
      </c>
      <c r="CL279" s="1">
        <v>196200</v>
      </c>
      <c r="CQ279" s="1">
        <v>238426</v>
      </c>
    </row>
    <row r="280" spans="1:127">
      <c r="A280" s="1">
        <v>17</v>
      </c>
      <c r="B280" s="1">
        <v>2295</v>
      </c>
      <c r="C280" s="1" t="s">
        <v>1065</v>
      </c>
      <c r="D280" s="1" t="s">
        <v>1071</v>
      </c>
      <c r="F280" s="1">
        <v>138470</v>
      </c>
      <c r="I280" s="1">
        <v>1012</v>
      </c>
      <c r="J280" s="1">
        <v>680679</v>
      </c>
      <c r="K280" s="1">
        <v>1665629</v>
      </c>
      <c r="M280" s="1">
        <v>14946666</v>
      </c>
      <c r="O280" s="1">
        <v>16612295</v>
      </c>
      <c r="P280" s="1">
        <v>-41446</v>
      </c>
      <c r="V280" s="1">
        <v>324690</v>
      </c>
      <c r="W280" s="1">
        <v>25392943</v>
      </c>
      <c r="X280" s="1">
        <v>5824446</v>
      </c>
      <c r="Y280" s="1">
        <v>347709</v>
      </c>
      <c r="Z280" s="1">
        <v>867272</v>
      </c>
      <c r="AC280" s="1">
        <v>97445</v>
      </c>
      <c r="AD280" s="1">
        <v>1517902</v>
      </c>
      <c r="AE280" s="1">
        <v>1071740</v>
      </c>
      <c r="AG280" s="1">
        <v>17745569</v>
      </c>
      <c r="AH280" s="1">
        <v>43097066</v>
      </c>
      <c r="AJ280" s="1">
        <v>496410</v>
      </c>
      <c r="AK280" s="1">
        <v>1843727</v>
      </c>
      <c r="AL280" s="1">
        <v>599001</v>
      </c>
      <c r="AM280" s="1">
        <v>291487</v>
      </c>
      <c r="AN280" s="1">
        <v>4481037</v>
      </c>
      <c r="AO280" s="1">
        <v>5891561</v>
      </c>
      <c r="AP280" s="1">
        <v>7735288</v>
      </c>
      <c r="AZ280" s="1">
        <v>73125328</v>
      </c>
      <c r="BA280" s="1">
        <v>343190</v>
      </c>
      <c r="BD280" s="1">
        <v>3013646</v>
      </c>
      <c r="BE280" s="1">
        <v>476691</v>
      </c>
      <c r="BF280" s="1">
        <v>142000</v>
      </c>
      <c r="BJ280" s="1">
        <v>1347317</v>
      </c>
      <c r="BK280" s="1">
        <v>520036</v>
      </c>
      <c r="BN280" s="1">
        <v>24314000</v>
      </c>
      <c r="BO280" s="1">
        <v>754253</v>
      </c>
      <c r="BR280" s="1">
        <v>605315</v>
      </c>
      <c r="BS280" s="1">
        <v>3023663</v>
      </c>
      <c r="BT280" s="1">
        <v>757740</v>
      </c>
      <c r="BX280" s="1">
        <v>5000000</v>
      </c>
      <c r="BY280" s="1">
        <v>5000000</v>
      </c>
      <c r="CL280" s="1">
        <v>198007</v>
      </c>
    </row>
    <row r="281" spans="1:127">
      <c r="A281" s="1">
        <v>17</v>
      </c>
      <c r="B281" s="1">
        <v>2390</v>
      </c>
      <c r="C281" s="1" t="s">
        <v>1065</v>
      </c>
      <c r="D281" s="1" t="s">
        <v>1072</v>
      </c>
      <c r="F281" s="1">
        <v>1475495</v>
      </c>
      <c r="G281" s="1">
        <v>271549</v>
      </c>
      <c r="I281" s="1">
        <v>1</v>
      </c>
      <c r="J281" s="1">
        <v>1747045</v>
      </c>
      <c r="K281" s="1">
        <v>9962057</v>
      </c>
      <c r="L281" s="1">
        <v>19000000</v>
      </c>
      <c r="M281" s="1">
        <v>-16437613</v>
      </c>
      <c r="O281" s="1">
        <v>12524444</v>
      </c>
      <c r="P281" s="1">
        <v>933</v>
      </c>
      <c r="Q281" s="1">
        <v>79624878</v>
      </c>
      <c r="S281" s="1">
        <v>9314</v>
      </c>
      <c r="U281" s="1">
        <v>3949383</v>
      </c>
      <c r="V281" s="1">
        <v>1882630</v>
      </c>
      <c r="W281" s="1">
        <v>85466205</v>
      </c>
      <c r="X281" s="1">
        <v>140686297</v>
      </c>
      <c r="Y281" s="1">
        <v>3624557</v>
      </c>
      <c r="Z281" s="1">
        <v>19778459</v>
      </c>
      <c r="AA281" s="1">
        <v>2936604</v>
      </c>
      <c r="AB281" s="1">
        <v>538522</v>
      </c>
      <c r="AC281" s="1">
        <v>3595195</v>
      </c>
      <c r="AD281" s="1">
        <v>31464661</v>
      </c>
      <c r="AE281" s="1">
        <v>17692568</v>
      </c>
      <c r="AG281" s="1">
        <v>434615193</v>
      </c>
      <c r="AH281" s="1">
        <v>520769948</v>
      </c>
      <c r="AJ281" s="1">
        <v>8519742</v>
      </c>
      <c r="AK281" s="1">
        <v>66018653</v>
      </c>
      <c r="AL281" s="1">
        <v>17222213</v>
      </c>
      <c r="AM281" s="1">
        <v>11335901</v>
      </c>
      <c r="AN281" s="1">
        <v>8753130</v>
      </c>
      <c r="AO281" s="1">
        <v>37311244</v>
      </c>
      <c r="AP281" s="1">
        <v>108916412</v>
      </c>
      <c r="AX281" s="1">
        <v>933</v>
      </c>
      <c r="AY281" s="1">
        <v>-933</v>
      </c>
      <c r="AZ281" s="1">
        <v>725973119</v>
      </c>
      <c r="BC281" s="1">
        <v>9314</v>
      </c>
      <c r="BF281" s="1">
        <v>1882930</v>
      </c>
      <c r="BH281" s="1">
        <v>687617</v>
      </c>
      <c r="BI281" s="1">
        <v>43977722</v>
      </c>
      <c r="BJ281" s="1">
        <v>13521189</v>
      </c>
      <c r="BR281" s="1">
        <v>100000</v>
      </c>
      <c r="BU281" s="1">
        <v>28814</v>
      </c>
      <c r="BV281" s="1">
        <v>28814</v>
      </c>
      <c r="BY281" s="1">
        <v>82015270</v>
      </c>
      <c r="CA281" s="1">
        <v>687617</v>
      </c>
      <c r="CF281" s="1">
        <v>37475295</v>
      </c>
      <c r="CI281" s="1">
        <v>64965270</v>
      </c>
      <c r="CO281" s="1">
        <v>174840105</v>
      </c>
      <c r="CQ281" s="1">
        <v>5557701</v>
      </c>
      <c r="DH281" s="1">
        <v>17050000</v>
      </c>
    </row>
    <row r="282" spans="1:127">
      <c r="A282" s="1">
        <v>17</v>
      </c>
      <c r="B282" s="1">
        <v>2410</v>
      </c>
      <c r="C282" s="1" t="s">
        <v>1065</v>
      </c>
      <c r="D282" s="1" t="s">
        <v>1073</v>
      </c>
      <c r="G282" s="1">
        <v>2504959</v>
      </c>
      <c r="H282" s="1">
        <v>1025081</v>
      </c>
      <c r="I282" s="1">
        <v>6116</v>
      </c>
      <c r="J282" s="1">
        <v>5247146</v>
      </c>
      <c r="K282" s="1">
        <v>1364600</v>
      </c>
      <c r="L282" s="1">
        <v>250000</v>
      </c>
      <c r="M282" s="1">
        <v>2870161</v>
      </c>
      <c r="O282" s="1">
        <v>4484761</v>
      </c>
      <c r="P282" s="1">
        <v>139936</v>
      </c>
      <c r="Q282" s="1">
        <v>41855063</v>
      </c>
      <c r="V282" s="1">
        <v>1183794</v>
      </c>
      <c r="W282" s="1">
        <v>43038857</v>
      </c>
      <c r="X282" s="1">
        <v>12854578</v>
      </c>
      <c r="Y282" s="1">
        <v>360210</v>
      </c>
      <c r="Z282" s="1">
        <v>2479897</v>
      </c>
      <c r="AA282" s="1">
        <v>447900</v>
      </c>
      <c r="AB282" s="1">
        <v>178400</v>
      </c>
      <c r="AC282" s="1">
        <v>571861</v>
      </c>
      <c r="AD282" s="1">
        <v>5062875</v>
      </c>
      <c r="AE282" s="1">
        <v>2509811</v>
      </c>
      <c r="AG282" s="1">
        <v>27284437</v>
      </c>
      <c r="AH282" s="1">
        <v>70521230</v>
      </c>
      <c r="AJ282" s="1">
        <v>636415</v>
      </c>
      <c r="AK282" s="1">
        <v>4079474</v>
      </c>
      <c r="AL282" s="1">
        <v>586146</v>
      </c>
      <c r="AM282" s="1">
        <v>1113559</v>
      </c>
      <c r="AN282" s="1">
        <v>840605</v>
      </c>
      <c r="AO282" s="1">
        <v>2540310</v>
      </c>
      <c r="AP282" s="1">
        <v>6619784</v>
      </c>
      <c r="AQ282" s="1">
        <v>572575</v>
      </c>
      <c r="AT282" s="1">
        <v>572575</v>
      </c>
      <c r="AU282" s="1">
        <v>144384</v>
      </c>
      <c r="AV282" s="1">
        <v>716959</v>
      </c>
      <c r="AW282" s="1">
        <v>716959</v>
      </c>
      <c r="AX282" s="1">
        <v>139936</v>
      </c>
      <c r="AY282" s="1">
        <v>-139936</v>
      </c>
      <c r="AZ282" s="1">
        <v>113923167</v>
      </c>
      <c r="BE282" s="1">
        <v>599751</v>
      </c>
      <c r="BF282" s="1">
        <v>7394</v>
      </c>
      <c r="BI282" s="1">
        <v>2677009</v>
      </c>
      <c r="BJ282" s="1">
        <v>766050</v>
      </c>
      <c r="BY282" s="1">
        <v>26333287</v>
      </c>
      <c r="CC282" s="1">
        <v>842782</v>
      </c>
      <c r="CI282" s="1">
        <v>25490505</v>
      </c>
      <c r="CL282" s="1">
        <v>1691002</v>
      </c>
      <c r="CV282" s="1">
        <v>19988</v>
      </c>
      <c r="DU282" s="1">
        <v>58000</v>
      </c>
      <c r="DV282" s="1">
        <v>58000</v>
      </c>
      <c r="DW282" s="1">
        <v>2211760</v>
      </c>
    </row>
    <row r="283" spans="1:127">
      <c r="A283" s="1">
        <v>17</v>
      </c>
      <c r="B283" s="1">
        <v>3610</v>
      </c>
      <c r="C283" s="1" t="s">
        <v>1065</v>
      </c>
      <c r="D283" s="1" t="s">
        <v>1074</v>
      </c>
      <c r="F283" s="1">
        <v>189914</v>
      </c>
      <c r="G283" s="1">
        <v>237246</v>
      </c>
      <c r="I283" s="1">
        <v>1</v>
      </c>
      <c r="J283" s="1">
        <v>767063</v>
      </c>
      <c r="K283" s="1">
        <v>1842298</v>
      </c>
      <c r="L283" s="1">
        <v>3057356</v>
      </c>
      <c r="M283" s="1">
        <v>141005</v>
      </c>
      <c r="N283" s="1">
        <v>33681</v>
      </c>
      <c r="O283" s="1">
        <v>5074340</v>
      </c>
      <c r="P283" s="1">
        <v>29776</v>
      </c>
      <c r="Q283" s="1">
        <v>36770533</v>
      </c>
      <c r="R283" s="1">
        <v>2757906</v>
      </c>
      <c r="S283" s="1">
        <v>2757906</v>
      </c>
      <c r="V283" s="1">
        <v>1073233</v>
      </c>
      <c r="W283" s="1">
        <v>40601672</v>
      </c>
      <c r="X283" s="1">
        <v>18694706</v>
      </c>
      <c r="Y283" s="1">
        <v>688300</v>
      </c>
      <c r="Z283" s="1">
        <v>3865527</v>
      </c>
      <c r="AA283" s="1">
        <v>1041766</v>
      </c>
      <c r="AB283" s="1">
        <v>295282</v>
      </c>
      <c r="AC283" s="1">
        <v>773087</v>
      </c>
      <c r="AD283" s="1">
        <v>5540509</v>
      </c>
      <c r="AE283" s="1">
        <v>3157280</v>
      </c>
      <c r="AG283" s="1">
        <v>43652187</v>
      </c>
      <c r="AH283" s="1">
        <v>84449766</v>
      </c>
      <c r="AJ283" s="1">
        <v>1332154</v>
      </c>
      <c r="AK283" s="1">
        <v>10677811</v>
      </c>
      <c r="AL283" s="1">
        <v>1619505</v>
      </c>
      <c r="AM283" s="1">
        <v>1667151</v>
      </c>
      <c r="AN283" s="1">
        <v>729902</v>
      </c>
      <c r="AO283" s="1">
        <v>4016558</v>
      </c>
      <c r="AP283" s="1">
        <v>14778813</v>
      </c>
      <c r="AQ283" s="1">
        <v>1587116</v>
      </c>
      <c r="AS283" s="1">
        <v>3502</v>
      </c>
      <c r="AT283" s="1">
        <v>1590618</v>
      </c>
      <c r="AU283" s="1">
        <v>532391</v>
      </c>
      <c r="AV283" s="1">
        <v>2132957</v>
      </c>
      <c r="AW283" s="1">
        <v>2132957</v>
      </c>
      <c r="AX283" s="1">
        <v>9948</v>
      </c>
      <c r="AY283" s="1">
        <v>-9948</v>
      </c>
      <c r="AZ283" s="1">
        <v>107216059</v>
      </c>
      <c r="BE283" s="1">
        <v>1043889</v>
      </c>
      <c r="BF283" s="1">
        <v>74293</v>
      </c>
      <c r="BH283" s="1">
        <v>52331</v>
      </c>
      <c r="BI283" s="1">
        <v>6030077</v>
      </c>
      <c r="BJ283" s="1">
        <v>3315580</v>
      </c>
      <c r="BL283" s="1">
        <v>9948</v>
      </c>
      <c r="BR283" s="1">
        <v>463525</v>
      </c>
      <c r="BU283" s="1">
        <v>54668</v>
      </c>
      <c r="BV283" s="1">
        <v>54668</v>
      </c>
      <c r="BY283" s="1">
        <v>13120</v>
      </c>
      <c r="CA283" s="1">
        <v>52331</v>
      </c>
      <c r="CC283" s="1">
        <v>13120</v>
      </c>
      <c r="CG283" s="1">
        <v>113800</v>
      </c>
      <c r="CL283" s="1">
        <v>339902</v>
      </c>
      <c r="CQ283" s="1">
        <v>29776</v>
      </c>
      <c r="DC283" s="1">
        <v>3502</v>
      </c>
      <c r="DW283" s="1">
        <v>8014023</v>
      </c>
    </row>
    <row r="284" spans="1:127">
      <c r="A284" s="1">
        <v>17</v>
      </c>
      <c r="B284" s="1">
        <v>4730</v>
      </c>
      <c r="C284" s="1" t="s">
        <v>1065</v>
      </c>
      <c r="D284" s="1" t="s">
        <v>1075</v>
      </c>
      <c r="F284" s="1">
        <v>5183</v>
      </c>
      <c r="G284" s="1">
        <v>759086</v>
      </c>
      <c r="H284" s="1">
        <v>39335</v>
      </c>
      <c r="I284" s="1">
        <v>1</v>
      </c>
      <c r="J284" s="1">
        <v>803605</v>
      </c>
      <c r="K284" s="1">
        <v>538830</v>
      </c>
      <c r="L284" s="1">
        <v>501714</v>
      </c>
      <c r="M284" s="1">
        <v>5355</v>
      </c>
      <c r="N284" s="1">
        <v>1</v>
      </c>
      <c r="O284" s="1">
        <v>1045900</v>
      </c>
      <c r="P284" s="1">
        <v>67125</v>
      </c>
      <c r="Q284" s="1">
        <v>26696628</v>
      </c>
      <c r="R284" s="1">
        <v>10500</v>
      </c>
      <c r="S284" s="1">
        <v>10500</v>
      </c>
      <c r="V284" s="1">
        <v>378863</v>
      </c>
      <c r="W284" s="1">
        <v>27466201</v>
      </c>
      <c r="Y284" s="1">
        <v>167871</v>
      </c>
      <c r="Z284" s="1">
        <v>917518</v>
      </c>
      <c r="AA284" s="1">
        <v>72218</v>
      </c>
      <c r="AC284" s="1">
        <v>190474</v>
      </c>
      <c r="AD284" s="1">
        <v>1647891</v>
      </c>
      <c r="AE284" s="1">
        <v>959593</v>
      </c>
      <c r="AF284" s="1">
        <v>7936</v>
      </c>
      <c r="AG284" s="1">
        <v>4006574</v>
      </c>
      <c r="AH284" s="1">
        <v>31596068</v>
      </c>
      <c r="AI284" s="1">
        <v>87678</v>
      </c>
      <c r="AJ284" s="1">
        <v>80996</v>
      </c>
      <c r="AK284" s="1">
        <v>168674</v>
      </c>
      <c r="AL284" s="1">
        <v>185208</v>
      </c>
      <c r="AM284" s="1">
        <v>371862</v>
      </c>
      <c r="AN284" s="1">
        <v>66816</v>
      </c>
      <c r="AO284" s="1">
        <v>623886</v>
      </c>
      <c r="AP284" s="1">
        <v>820436</v>
      </c>
      <c r="AQ284" s="1">
        <v>1524168</v>
      </c>
      <c r="AT284" s="1">
        <v>1524168</v>
      </c>
      <c r="AV284" s="1">
        <v>1524168</v>
      </c>
      <c r="AW284" s="1">
        <v>1524168</v>
      </c>
      <c r="AX284" s="1">
        <v>36375</v>
      </c>
      <c r="AY284" s="1">
        <v>613879</v>
      </c>
      <c r="AZ284" s="1">
        <v>37745529</v>
      </c>
      <c r="BE284" s="1">
        <v>43073</v>
      </c>
      <c r="BQ284" s="1">
        <v>306448</v>
      </c>
      <c r="BU284" s="1">
        <v>27876</v>
      </c>
      <c r="BV284" s="1">
        <v>27876</v>
      </c>
      <c r="BY284" s="1">
        <v>1955352</v>
      </c>
      <c r="CC284" s="1">
        <v>643750</v>
      </c>
      <c r="CI284" s="1">
        <v>661348</v>
      </c>
      <c r="CY284" s="1">
        <v>73762</v>
      </c>
      <c r="DU284" s="1">
        <v>56168</v>
      </c>
      <c r="DV284" s="1">
        <v>56168</v>
      </c>
    </row>
    <row r="285" spans="1:127">
      <c r="A285" s="1">
        <v>17</v>
      </c>
      <c r="B285" s="1">
        <v>5240</v>
      </c>
      <c r="C285" s="1" t="s">
        <v>1065</v>
      </c>
      <c r="D285" s="1" t="s">
        <v>1076</v>
      </c>
      <c r="F285" s="1">
        <v>4342848</v>
      </c>
      <c r="G285" s="1">
        <v>21696096</v>
      </c>
      <c r="H285" s="1">
        <v>19658172</v>
      </c>
      <c r="I285" s="1">
        <v>474293</v>
      </c>
      <c r="J285" s="1">
        <v>46367799</v>
      </c>
      <c r="K285" s="1">
        <v>2823769</v>
      </c>
      <c r="M285" s="1">
        <v>225545</v>
      </c>
      <c r="O285" s="1">
        <v>3049314</v>
      </c>
      <c r="Q285" s="1">
        <v>15100496</v>
      </c>
      <c r="V285" s="1">
        <v>3555805</v>
      </c>
      <c r="W285" s="1">
        <v>18656301</v>
      </c>
      <c r="X285" s="1">
        <v>62723853</v>
      </c>
      <c r="Y285" s="1">
        <v>695618</v>
      </c>
      <c r="Z285" s="1">
        <v>5389965</v>
      </c>
      <c r="AA285" s="1">
        <v>5308408</v>
      </c>
      <c r="AB285" s="1">
        <v>242080</v>
      </c>
      <c r="AC285" s="1">
        <v>1148439</v>
      </c>
      <c r="AD285" s="1">
        <v>8371764</v>
      </c>
      <c r="AE285" s="1">
        <v>4373469</v>
      </c>
      <c r="AG285" s="1">
        <v>128402279</v>
      </c>
      <c r="AH285" s="1">
        <v>148291363</v>
      </c>
      <c r="AJ285" s="1">
        <v>2109006</v>
      </c>
      <c r="AK285" s="1">
        <v>23493107</v>
      </c>
      <c r="AL285" s="1">
        <v>4593596</v>
      </c>
      <c r="AM285" s="1">
        <v>2007485</v>
      </c>
      <c r="AN285" s="1">
        <v>3638881</v>
      </c>
      <c r="AO285" s="1">
        <v>10819768</v>
      </c>
      <c r="AP285" s="1">
        <v>34312875</v>
      </c>
      <c r="AZ285" s="1">
        <v>232021351</v>
      </c>
      <c r="BI285" s="1">
        <v>16603341</v>
      </c>
      <c r="BJ285" s="1">
        <v>4780760</v>
      </c>
      <c r="BK285" s="1">
        <v>172331</v>
      </c>
      <c r="BW285" s="1">
        <v>407475</v>
      </c>
      <c r="CF285" s="1">
        <v>7046650</v>
      </c>
      <c r="CG285" s="1">
        <v>367864</v>
      </c>
      <c r="CL285" s="1">
        <v>196390</v>
      </c>
      <c r="CO285" s="1">
        <v>33102033</v>
      </c>
      <c r="CX285" s="1">
        <v>864919</v>
      </c>
    </row>
    <row r="286" spans="1:127">
      <c r="A286" s="1">
        <v>17</v>
      </c>
      <c r="B286" s="1">
        <v>5580</v>
      </c>
      <c r="C286" s="1" t="s">
        <v>1065</v>
      </c>
      <c r="D286" s="1" t="s">
        <v>1077</v>
      </c>
      <c r="F286" s="1">
        <v>211525</v>
      </c>
      <c r="G286" s="1">
        <v>320632</v>
      </c>
      <c r="J286" s="1">
        <v>1047228</v>
      </c>
      <c r="K286" s="1">
        <v>299584</v>
      </c>
      <c r="M286" s="1">
        <v>209467</v>
      </c>
      <c r="N286" s="1">
        <v>42652</v>
      </c>
      <c r="O286" s="1">
        <v>551703</v>
      </c>
      <c r="Q286" s="1">
        <v>13351536</v>
      </c>
      <c r="S286" s="1">
        <v>18100</v>
      </c>
      <c r="V286" s="1">
        <v>614153</v>
      </c>
      <c r="W286" s="1">
        <v>13983789</v>
      </c>
      <c r="Y286" s="1">
        <v>128861</v>
      </c>
      <c r="Z286" s="1">
        <v>789733</v>
      </c>
      <c r="AA286" s="1">
        <v>65479</v>
      </c>
      <c r="AB286" s="1">
        <v>47082</v>
      </c>
      <c r="AC286" s="1">
        <v>132542</v>
      </c>
      <c r="AD286" s="1">
        <v>1272036</v>
      </c>
      <c r="AE286" s="1">
        <v>623875</v>
      </c>
      <c r="AG286" s="1">
        <v>3593821</v>
      </c>
      <c r="AH286" s="1">
        <v>17578050</v>
      </c>
      <c r="AJ286" s="1">
        <v>137155</v>
      </c>
      <c r="AK286" s="1">
        <v>1689471</v>
      </c>
      <c r="AL286" s="1">
        <v>561198</v>
      </c>
      <c r="AM286" s="1">
        <v>300903</v>
      </c>
      <c r="AN286" s="1">
        <v>126081</v>
      </c>
      <c r="AO286" s="1">
        <v>988182</v>
      </c>
      <c r="AP286" s="1">
        <v>2677653</v>
      </c>
      <c r="AQ286" s="1">
        <v>787638</v>
      </c>
      <c r="AR286" s="1">
        <v>4455</v>
      </c>
      <c r="AS286" s="1">
        <v>4455</v>
      </c>
      <c r="AT286" s="1">
        <v>792093</v>
      </c>
      <c r="AV286" s="1">
        <v>792093</v>
      </c>
      <c r="AW286" s="1">
        <v>792093</v>
      </c>
      <c r="AZ286" s="1">
        <v>22646727</v>
      </c>
      <c r="BA286" s="1">
        <v>515071</v>
      </c>
      <c r="BC286" s="1">
        <v>18100</v>
      </c>
      <c r="BE286" s="1">
        <v>79780</v>
      </c>
      <c r="BH286" s="1">
        <v>440</v>
      </c>
      <c r="BI286" s="1">
        <v>987196</v>
      </c>
      <c r="BJ286" s="1">
        <v>565120</v>
      </c>
      <c r="CA286" s="1">
        <v>440</v>
      </c>
      <c r="DW286" s="1">
        <v>454433</v>
      </c>
    </row>
    <row r="287" spans="1:127">
      <c r="A287" s="1">
        <v>17</v>
      </c>
      <c r="B287" s="1">
        <v>5670</v>
      </c>
      <c r="C287" s="1" t="s">
        <v>1065</v>
      </c>
      <c r="D287" s="1" t="s">
        <v>1078</v>
      </c>
      <c r="G287" s="1">
        <v>896473</v>
      </c>
      <c r="J287" s="1">
        <v>5587213</v>
      </c>
      <c r="K287" s="1">
        <v>1695871</v>
      </c>
      <c r="O287" s="1">
        <v>1695871</v>
      </c>
      <c r="P287" s="1">
        <v>224527</v>
      </c>
      <c r="Q287" s="1">
        <v>12607840</v>
      </c>
      <c r="V287" s="1">
        <v>1142696</v>
      </c>
      <c r="W287" s="1">
        <v>13750536</v>
      </c>
      <c r="X287" s="1">
        <v>30834901</v>
      </c>
      <c r="Y287" s="1">
        <v>322761</v>
      </c>
      <c r="Z287" s="1">
        <v>3568336</v>
      </c>
      <c r="AA287" s="1">
        <v>1443536</v>
      </c>
      <c r="AB287" s="1">
        <v>106138</v>
      </c>
      <c r="AC287" s="1">
        <v>711315</v>
      </c>
      <c r="AD287" s="1">
        <v>5871507</v>
      </c>
      <c r="AE287" s="1">
        <v>3531367</v>
      </c>
      <c r="AG287" s="1">
        <v>79608237</v>
      </c>
      <c r="AH287" s="1">
        <v>93752505</v>
      </c>
      <c r="AJ287" s="1">
        <v>459485</v>
      </c>
      <c r="AK287" s="1">
        <v>14953575</v>
      </c>
      <c r="AL287" s="1">
        <v>2554274</v>
      </c>
      <c r="AM287" s="1">
        <v>1651394</v>
      </c>
      <c r="AN287" s="1">
        <v>1094481</v>
      </c>
      <c r="AO287" s="1">
        <v>5392158</v>
      </c>
      <c r="AP287" s="1">
        <v>20746736</v>
      </c>
      <c r="AZ287" s="1">
        <v>121782325</v>
      </c>
      <c r="BA287" s="1">
        <v>4690740</v>
      </c>
      <c r="BF287" s="1">
        <v>8636</v>
      </c>
      <c r="BH287" s="1">
        <v>169205</v>
      </c>
      <c r="BI287" s="1">
        <v>11804035</v>
      </c>
      <c r="BJ287" s="1">
        <v>2690055</v>
      </c>
      <c r="BK287" s="1">
        <v>92009</v>
      </c>
      <c r="CA287" s="1">
        <v>169205</v>
      </c>
      <c r="CF287" s="1">
        <v>5031410</v>
      </c>
      <c r="CO287" s="1">
        <v>28178330</v>
      </c>
      <c r="CQ287" s="1">
        <v>401003</v>
      </c>
    </row>
    <row r="288" spans="1:127">
      <c r="A288" s="1">
        <v>19</v>
      </c>
      <c r="B288" s="1">
        <v>20</v>
      </c>
      <c r="C288" s="1" t="s">
        <v>1079</v>
      </c>
      <c r="D288" s="1" t="s">
        <v>1080</v>
      </c>
      <c r="F288" s="1">
        <v>81581</v>
      </c>
      <c r="G288" s="1">
        <v>35936</v>
      </c>
      <c r="H288" s="1">
        <v>70693</v>
      </c>
      <c r="I288" s="1">
        <v>372819</v>
      </c>
      <c r="J288" s="1">
        <v>561029</v>
      </c>
      <c r="K288" s="1">
        <v>165572</v>
      </c>
      <c r="M288" s="1">
        <v>495104</v>
      </c>
      <c r="N288" s="1">
        <v>22717</v>
      </c>
      <c r="O288" s="1">
        <v>683393</v>
      </c>
      <c r="Q288" s="1">
        <v>6405579</v>
      </c>
      <c r="R288" s="1">
        <v>17744</v>
      </c>
      <c r="S288" s="1">
        <v>17744</v>
      </c>
      <c r="U288" s="1">
        <v>18624</v>
      </c>
      <c r="V288" s="1">
        <v>89171</v>
      </c>
      <c r="W288" s="1">
        <v>6531118</v>
      </c>
      <c r="X288" s="1">
        <v>869779</v>
      </c>
      <c r="Y288" s="1">
        <v>252465</v>
      </c>
      <c r="Z288" s="1">
        <v>341334</v>
      </c>
      <c r="AB288" s="1">
        <v>9930</v>
      </c>
      <c r="AC288" s="1">
        <v>74390</v>
      </c>
      <c r="AD288" s="1">
        <v>496307</v>
      </c>
      <c r="AE288" s="1">
        <v>333121</v>
      </c>
      <c r="AG288" s="1">
        <v>2590898</v>
      </c>
      <c r="AH288" s="1">
        <v>9122016</v>
      </c>
      <c r="AM288" s="1">
        <v>121250</v>
      </c>
      <c r="AN288" s="1">
        <v>24787</v>
      </c>
      <c r="AO288" s="1">
        <v>146037</v>
      </c>
      <c r="AP288" s="1">
        <v>146037</v>
      </c>
      <c r="AQ288" s="1">
        <v>366366</v>
      </c>
      <c r="AT288" s="1">
        <v>366366</v>
      </c>
      <c r="AV288" s="1">
        <v>484103</v>
      </c>
      <c r="AW288" s="1">
        <v>484103</v>
      </c>
      <c r="AX288" s="1">
        <v>17737</v>
      </c>
      <c r="AY288" s="1">
        <v>-117737</v>
      </c>
      <c r="AZ288" s="1">
        <v>10896578</v>
      </c>
      <c r="BE288" s="1">
        <v>50811</v>
      </c>
      <c r="BF288" s="1">
        <v>7042</v>
      </c>
      <c r="BL288" s="1">
        <v>117737</v>
      </c>
      <c r="BR288" s="1">
        <v>155719</v>
      </c>
      <c r="BY288" s="1">
        <v>-100000</v>
      </c>
      <c r="CJ288" s="1">
        <v>70693</v>
      </c>
      <c r="DL288" s="1">
        <v>68900</v>
      </c>
    </row>
    <row r="289" spans="1:128">
      <c r="A289" s="1">
        <v>19</v>
      </c>
      <c r="B289" s="1">
        <v>370</v>
      </c>
      <c r="C289" s="1" t="s">
        <v>1079</v>
      </c>
      <c r="D289" s="1" t="s">
        <v>1081</v>
      </c>
      <c r="F289" s="1">
        <v>123483</v>
      </c>
      <c r="G289" s="1">
        <v>195001</v>
      </c>
      <c r="I289" s="1">
        <v>1</v>
      </c>
      <c r="J289" s="1">
        <v>318485</v>
      </c>
      <c r="K289" s="1">
        <v>160931</v>
      </c>
      <c r="L289" s="1">
        <v>53564</v>
      </c>
      <c r="M289" s="1">
        <v>563002</v>
      </c>
      <c r="N289" s="1">
        <v>244422</v>
      </c>
      <c r="O289" s="1">
        <v>1021919</v>
      </c>
      <c r="Q289" s="1">
        <v>6570438</v>
      </c>
      <c r="W289" s="1">
        <v>6605324</v>
      </c>
      <c r="X289" s="1">
        <v>659180</v>
      </c>
      <c r="Y289" s="1">
        <v>251969</v>
      </c>
      <c r="Z289" s="1">
        <v>521108</v>
      </c>
      <c r="AC289" s="1">
        <v>29397</v>
      </c>
      <c r="AD289" s="1">
        <v>502642</v>
      </c>
      <c r="AE289" s="1">
        <v>276469</v>
      </c>
      <c r="AG289" s="1">
        <v>2291427</v>
      </c>
      <c r="AH289" s="1">
        <v>8896751</v>
      </c>
      <c r="AK289" s="1">
        <v>1351</v>
      </c>
      <c r="AM289" s="1">
        <v>101339</v>
      </c>
      <c r="AN289" s="1">
        <v>44260</v>
      </c>
      <c r="AO289" s="1">
        <v>145599</v>
      </c>
      <c r="AP289" s="1">
        <v>147950</v>
      </c>
      <c r="AQ289" s="1">
        <v>174281</v>
      </c>
      <c r="AT289" s="1">
        <v>174281</v>
      </c>
      <c r="AV289" s="1">
        <v>174281</v>
      </c>
      <c r="AW289" s="1">
        <v>174281</v>
      </c>
      <c r="AZ289" s="1">
        <v>10559386</v>
      </c>
      <c r="BE289" s="1">
        <v>43850</v>
      </c>
      <c r="BF289" s="1">
        <v>6812</v>
      </c>
      <c r="BI289" s="1">
        <v>1351</v>
      </c>
      <c r="BQ289" s="1">
        <v>34886</v>
      </c>
      <c r="BU289" s="1">
        <v>1000</v>
      </c>
      <c r="BV289" s="1">
        <v>1000</v>
      </c>
    </row>
    <row r="290" spans="1:128">
      <c r="A290" s="1">
        <v>19</v>
      </c>
      <c r="B290" s="1">
        <v>430</v>
      </c>
      <c r="C290" s="1" t="s">
        <v>1079</v>
      </c>
      <c r="D290" s="1" t="s">
        <v>1082</v>
      </c>
      <c r="F290" s="1">
        <v>19194</v>
      </c>
      <c r="H290" s="1">
        <v>925</v>
      </c>
      <c r="I290" s="1">
        <v>2341</v>
      </c>
      <c r="J290" s="1">
        <v>22460</v>
      </c>
      <c r="K290" s="1">
        <v>98989</v>
      </c>
      <c r="L290" s="1">
        <v>85000</v>
      </c>
      <c r="M290" s="1">
        <v>40131</v>
      </c>
      <c r="O290" s="1">
        <v>224120</v>
      </c>
      <c r="Q290" s="1">
        <v>1460000</v>
      </c>
      <c r="R290" s="1">
        <v>10420</v>
      </c>
      <c r="S290" s="1">
        <v>10420</v>
      </c>
      <c r="U290" s="1">
        <v>100</v>
      </c>
      <c r="V290" s="1">
        <v>13805</v>
      </c>
      <c r="W290" s="1">
        <v>1484325</v>
      </c>
      <c r="X290" s="1">
        <v>114537</v>
      </c>
      <c r="Y290" s="1">
        <v>22993</v>
      </c>
      <c r="Z290" s="1">
        <v>155084</v>
      </c>
      <c r="AB290" s="1">
        <v>2502</v>
      </c>
      <c r="AC290" s="1">
        <v>32735</v>
      </c>
      <c r="AD290" s="1">
        <v>114974</v>
      </c>
      <c r="AE290" s="1">
        <v>81475</v>
      </c>
      <c r="AG290" s="1">
        <v>933232</v>
      </c>
      <c r="AH290" s="1">
        <v>2417557</v>
      </c>
      <c r="AJ290" s="1">
        <v>5221</v>
      </c>
      <c r="AK290" s="1">
        <v>5221</v>
      </c>
      <c r="AL290" s="1">
        <v>1344</v>
      </c>
      <c r="AM290" s="1">
        <v>39849</v>
      </c>
      <c r="AN290" s="1">
        <v>9297</v>
      </c>
      <c r="AO290" s="1">
        <v>50490</v>
      </c>
      <c r="AP290" s="1">
        <v>55711</v>
      </c>
      <c r="AZ290" s="1">
        <v>2752679</v>
      </c>
      <c r="BE290" s="1">
        <v>19735</v>
      </c>
      <c r="BF290" s="1">
        <v>32987</v>
      </c>
      <c r="BR290" s="1">
        <v>129015</v>
      </c>
      <c r="BY290" s="1">
        <v>32831</v>
      </c>
      <c r="CF290" s="1">
        <v>5631</v>
      </c>
      <c r="CH290" s="1">
        <v>221564</v>
      </c>
      <c r="CI290" s="1">
        <v>32831</v>
      </c>
      <c r="CJ290" s="1">
        <v>87269</v>
      </c>
    </row>
    <row r="291" spans="1:128">
      <c r="A291" s="1">
        <v>19</v>
      </c>
      <c r="B291" s="1">
        <v>670</v>
      </c>
      <c r="C291" s="1" t="s">
        <v>1079</v>
      </c>
      <c r="D291" s="1" t="s">
        <v>1083</v>
      </c>
      <c r="F291" s="1">
        <v>1205</v>
      </c>
      <c r="G291" s="1">
        <v>72663</v>
      </c>
      <c r="I291" s="1">
        <v>103</v>
      </c>
      <c r="J291" s="1">
        <v>73971</v>
      </c>
      <c r="K291" s="1">
        <v>108526</v>
      </c>
      <c r="M291" s="1">
        <v>-209488</v>
      </c>
      <c r="O291" s="1">
        <v>-100962</v>
      </c>
      <c r="Q291" s="1">
        <v>1735044</v>
      </c>
      <c r="S291" s="1">
        <v>7200</v>
      </c>
      <c r="V291" s="1">
        <v>41361</v>
      </c>
      <c r="W291" s="1">
        <v>1783605</v>
      </c>
      <c r="X291" s="1">
        <v>101749</v>
      </c>
      <c r="Y291" s="1">
        <v>13111</v>
      </c>
      <c r="Z291" s="1">
        <v>138670</v>
      </c>
      <c r="AB291" s="1">
        <v>7105</v>
      </c>
      <c r="AC291" s="1">
        <v>9410</v>
      </c>
      <c r="AD291" s="1">
        <v>186068</v>
      </c>
      <c r="AE291" s="1">
        <v>74641</v>
      </c>
      <c r="AG291" s="1">
        <v>541511</v>
      </c>
      <c r="AH291" s="1">
        <v>2325116</v>
      </c>
      <c r="AJ291" s="1">
        <v>1076</v>
      </c>
      <c r="AK291" s="1">
        <v>1076</v>
      </c>
      <c r="AM291" s="1">
        <v>12707</v>
      </c>
      <c r="AN291" s="1">
        <v>13126</v>
      </c>
      <c r="AO291" s="1">
        <v>25833</v>
      </c>
      <c r="AP291" s="1">
        <v>26909</v>
      </c>
      <c r="AQ291" s="1">
        <v>48500</v>
      </c>
      <c r="AT291" s="1">
        <v>48500</v>
      </c>
      <c r="AV291" s="1">
        <v>48500</v>
      </c>
      <c r="AW291" s="1">
        <v>48500</v>
      </c>
      <c r="AX291" s="1">
        <v>4766</v>
      </c>
      <c r="AZ291" s="1">
        <v>4313300</v>
      </c>
      <c r="BC291" s="1">
        <v>7200</v>
      </c>
      <c r="BE291" s="1">
        <v>7972</v>
      </c>
      <c r="BR291" s="1">
        <v>2785</v>
      </c>
      <c r="BX291" s="1">
        <v>1935000</v>
      </c>
      <c r="BY291" s="1">
        <v>1939766</v>
      </c>
    </row>
    <row r="292" spans="1:128">
      <c r="A292" s="1">
        <v>19</v>
      </c>
      <c r="B292" s="1">
        <v>910</v>
      </c>
      <c r="C292" s="1" t="s">
        <v>1079</v>
      </c>
      <c r="D292" s="1" t="s">
        <v>1084</v>
      </c>
      <c r="E292" s="1">
        <v>20000</v>
      </c>
      <c r="F292" s="1">
        <v>6837</v>
      </c>
      <c r="G292" s="1">
        <v>8631</v>
      </c>
      <c r="H292" s="1">
        <v>2204</v>
      </c>
      <c r="I292" s="1">
        <v>139</v>
      </c>
      <c r="J292" s="1">
        <v>37811</v>
      </c>
      <c r="K292" s="1">
        <v>127390</v>
      </c>
      <c r="N292" s="1">
        <v>290</v>
      </c>
      <c r="O292" s="1">
        <v>127680</v>
      </c>
      <c r="Q292" s="1">
        <v>3714408</v>
      </c>
      <c r="R292" s="1">
        <v>2260730</v>
      </c>
      <c r="S292" s="1">
        <v>2296557</v>
      </c>
      <c r="V292" s="1">
        <v>11997</v>
      </c>
      <c r="W292" s="1">
        <v>6022962</v>
      </c>
      <c r="Z292" s="1">
        <v>215653</v>
      </c>
      <c r="AA292" s="1">
        <v>1150</v>
      </c>
      <c r="AB292" s="1">
        <v>4317</v>
      </c>
      <c r="AC292" s="1">
        <v>23952</v>
      </c>
      <c r="AD292" s="1">
        <v>423230</v>
      </c>
      <c r="AE292" s="1">
        <v>246476</v>
      </c>
      <c r="AG292" s="1">
        <v>925463</v>
      </c>
      <c r="AH292" s="1">
        <v>6948425</v>
      </c>
      <c r="AJ292" s="1">
        <v>1488</v>
      </c>
      <c r="AK292" s="1">
        <v>1488</v>
      </c>
      <c r="AL292" s="1">
        <v>16363</v>
      </c>
      <c r="AM292" s="1">
        <v>122376</v>
      </c>
      <c r="AN292" s="1">
        <v>59067</v>
      </c>
      <c r="AO292" s="1">
        <v>197806</v>
      </c>
      <c r="AP292" s="1">
        <v>201794</v>
      </c>
      <c r="AQ292" s="1">
        <v>551123</v>
      </c>
      <c r="AT292" s="1">
        <v>551123</v>
      </c>
      <c r="AU292" s="1">
        <v>1226</v>
      </c>
      <c r="AV292" s="1">
        <v>552349</v>
      </c>
      <c r="AW292" s="1">
        <v>552349</v>
      </c>
      <c r="AZ292" s="1">
        <v>7868059</v>
      </c>
      <c r="BC292" s="1">
        <v>35827</v>
      </c>
      <c r="BE292" s="1">
        <v>7223</v>
      </c>
      <c r="BF292" s="1">
        <v>3462</v>
      </c>
      <c r="BU292" s="1">
        <v>2500</v>
      </c>
      <c r="BV292" s="1">
        <v>2500</v>
      </c>
      <c r="CJ292" s="1">
        <v>8515</v>
      </c>
    </row>
    <row r="293" spans="1:128">
      <c r="A293" s="1">
        <v>19</v>
      </c>
      <c r="B293" s="1">
        <v>920</v>
      </c>
      <c r="C293" s="1" t="s">
        <v>1079</v>
      </c>
      <c r="D293" s="1" t="s">
        <v>1085</v>
      </c>
      <c r="F293" s="1">
        <v>10129</v>
      </c>
      <c r="H293" s="1">
        <v>39809</v>
      </c>
      <c r="I293" s="1">
        <v>75372</v>
      </c>
      <c r="J293" s="1">
        <v>14264457</v>
      </c>
      <c r="K293" s="1">
        <v>288491</v>
      </c>
      <c r="L293" s="1">
        <v>724550</v>
      </c>
      <c r="M293" s="1">
        <v>-614131</v>
      </c>
      <c r="N293" s="1">
        <v>677551</v>
      </c>
      <c r="O293" s="1">
        <v>1076461</v>
      </c>
      <c r="P293" s="1">
        <v>356530</v>
      </c>
      <c r="Q293" s="1">
        <v>18273534</v>
      </c>
      <c r="R293" s="1">
        <v>212811</v>
      </c>
      <c r="S293" s="1">
        <v>235926</v>
      </c>
      <c r="T293" s="1">
        <v>10000</v>
      </c>
      <c r="U293" s="1">
        <v>3873</v>
      </c>
      <c r="V293" s="1">
        <v>196061</v>
      </c>
      <c r="W293" s="1">
        <v>18719394</v>
      </c>
      <c r="Y293" s="1">
        <v>289656</v>
      </c>
      <c r="Z293" s="1">
        <v>1095855</v>
      </c>
      <c r="AA293" s="1">
        <v>13057</v>
      </c>
      <c r="AB293" s="1">
        <v>86230</v>
      </c>
      <c r="AC293" s="1">
        <v>113460</v>
      </c>
      <c r="AD293" s="1">
        <v>1202750</v>
      </c>
      <c r="AE293" s="1">
        <v>737471</v>
      </c>
      <c r="AG293" s="1">
        <v>3603503</v>
      </c>
      <c r="AH293" s="1">
        <v>22679427</v>
      </c>
      <c r="AJ293" s="1">
        <v>203466</v>
      </c>
      <c r="AK293" s="1">
        <v>203466</v>
      </c>
      <c r="AM293" s="1">
        <v>376745</v>
      </c>
      <c r="AN293" s="1">
        <v>21488</v>
      </c>
      <c r="AO293" s="1">
        <v>398233</v>
      </c>
      <c r="AP293" s="1">
        <v>606640</v>
      </c>
      <c r="AQ293" s="1">
        <v>3064645</v>
      </c>
      <c r="AT293" s="1">
        <v>3064645</v>
      </c>
      <c r="AV293" s="1">
        <v>3111699</v>
      </c>
      <c r="AW293" s="1">
        <v>3111699</v>
      </c>
      <c r="AX293" s="1">
        <v>356530</v>
      </c>
      <c r="AY293" s="1">
        <v>-403584</v>
      </c>
      <c r="AZ293" s="1">
        <v>45761067</v>
      </c>
      <c r="BC293" s="1">
        <v>23115</v>
      </c>
      <c r="BE293" s="1">
        <v>45361</v>
      </c>
      <c r="BF293" s="1">
        <v>19663</v>
      </c>
      <c r="BL293" s="1">
        <v>47054</v>
      </c>
      <c r="BU293" s="1">
        <v>4941</v>
      </c>
      <c r="BV293" s="1">
        <v>4941</v>
      </c>
      <c r="BX293" s="1">
        <v>54274</v>
      </c>
      <c r="BY293" s="1">
        <v>4022383</v>
      </c>
      <c r="CI293" s="1">
        <v>3874805</v>
      </c>
      <c r="CJ293" s="1">
        <v>764359</v>
      </c>
      <c r="CL293" s="1">
        <v>14139147</v>
      </c>
      <c r="DF293" s="1">
        <v>140358</v>
      </c>
    </row>
    <row r="294" spans="1:128">
      <c r="A294" s="1">
        <v>19</v>
      </c>
      <c r="B294" s="1">
        <v>1040</v>
      </c>
      <c r="C294" s="1" t="s">
        <v>1079</v>
      </c>
      <c r="D294" s="1" t="s">
        <v>1086</v>
      </c>
      <c r="F294" s="1">
        <v>357544</v>
      </c>
      <c r="H294" s="1">
        <v>318791</v>
      </c>
      <c r="J294" s="1">
        <v>676335</v>
      </c>
      <c r="K294" s="1">
        <v>134231</v>
      </c>
      <c r="L294" s="1">
        <v>752815</v>
      </c>
      <c r="M294" s="1">
        <v>-48862</v>
      </c>
      <c r="N294" s="1">
        <v>3830992</v>
      </c>
      <c r="O294" s="1">
        <v>4669176</v>
      </c>
      <c r="Q294" s="1">
        <v>6035994</v>
      </c>
      <c r="R294" s="1">
        <v>14500</v>
      </c>
      <c r="S294" s="1">
        <v>14500</v>
      </c>
      <c r="V294" s="1">
        <v>72578</v>
      </c>
      <c r="W294" s="1">
        <v>6123072</v>
      </c>
      <c r="Y294" s="1">
        <v>176568</v>
      </c>
      <c r="Z294" s="1">
        <v>249115</v>
      </c>
      <c r="AA294" s="1">
        <v>3504</v>
      </c>
      <c r="AB294" s="1">
        <v>3178</v>
      </c>
      <c r="AC294" s="1">
        <v>58481</v>
      </c>
      <c r="AD294" s="1">
        <v>464130</v>
      </c>
      <c r="AE294" s="1">
        <v>254042</v>
      </c>
      <c r="AG294" s="1">
        <v>1848369</v>
      </c>
      <c r="AH294" s="1">
        <v>7971441</v>
      </c>
      <c r="AJ294" s="1">
        <v>1129</v>
      </c>
      <c r="AK294" s="1">
        <v>1129</v>
      </c>
      <c r="AL294" s="1">
        <v>10631</v>
      </c>
      <c r="AM294" s="1">
        <v>90151</v>
      </c>
      <c r="AN294" s="1">
        <v>139668</v>
      </c>
      <c r="AO294" s="1">
        <v>240450</v>
      </c>
      <c r="AP294" s="1">
        <v>241579</v>
      </c>
      <c r="AQ294" s="1">
        <v>425212</v>
      </c>
      <c r="AR294" s="1">
        <v>139951</v>
      </c>
      <c r="AS294" s="1">
        <v>139951</v>
      </c>
      <c r="AT294" s="1">
        <v>565163</v>
      </c>
      <c r="AV294" s="1">
        <v>565163</v>
      </c>
      <c r="AW294" s="1">
        <v>565163</v>
      </c>
      <c r="AY294" s="1">
        <v>48862</v>
      </c>
      <c r="AZ294" s="1">
        <v>14172556</v>
      </c>
      <c r="BE294" s="1">
        <v>32826</v>
      </c>
      <c r="BR294" s="1">
        <v>606525</v>
      </c>
      <c r="BY294" s="1">
        <v>48862</v>
      </c>
    </row>
    <row r="295" spans="1:128">
      <c r="A295" s="1">
        <v>19</v>
      </c>
      <c r="B295" s="1">
        <v>1050</v>
      </c>
      <c r="C295" s="1" t="s">
        <v>1079</v>
      </c>
      <c r="D295" s="1" t="s">
        <v>1087</v>
      </c>
      <c r="G295" s="1">
        <v>101249</v>
      </c>
      <c r="H295" s="1">
        <v>84290</v>
      </c>
      <c r="I295" s="1">
        <v>174049</v>
      </c>
      <c r="J295" s="1">
        <v>379263</v>
      </c>
      <c r="K295" s="1">
        <v>316942</v>
      </c>
      <c r="M295" s="1">
        <v>295749</v>
      </c>
      <c r="N295" s="1">
        <v>-19</v>
      </c>
      <c r="O295" s="1">
        <v>612672</v>
      </c>
      <c r="P295" s="1">
        <v>5097</v>
      </c>
      <c r="Q295" s="1">
        <v>10974948</v>
      </c>
      <c r="U295" s="1">
        <v>10364</v>
      </c>
      <c r="V295" s="1">
        <v>194610</v>
      </c>
      <c r="W295" s="1">
        <v>11179922</v>
      </c>
      <c r="X295" s="1">
        <v>1750505</v>
      </c>
      <c r="Y295" s="1">
        <v>419852</v>
      </c>
      <c r="Z295" s="1">
        <v>598514</v>
      </c>
      <c r="AB295" s="1">
        <v>38395</v>
      </c>
      <c r="AC295" s="1">
        <v>94579</v>
      </c>
      <c r="AD295" s="1">
        <v>945112</v>
      </c>
      <c r="AE295" s="1">
        <v>458600</v>
      </c>
      <c r="AG295" s="1">
        <v>5299197</v>
      </c>
      <c r="AH295" s="1">
        <v>16484216</v>
      </c>
      <c r="AM295" s="1">
        <v>166721</v>
      </c>
      <c r="AN295" s="1">
        <v>43957</v>
      </c>
      <c r="AO295" s="1">
        <v>210678</v>
      </c>
      <c r="AP295" s="1">
        <v>210678</v>
      </c>
      <c r="AQ295" s="1">
        <v>584115</v>
      </c>
      <c r="AT295" s="1">
        <v>584115</v>
      </c>
      <c r="AV295" s="1">
        <v>584134</v>
      </c>
      <c r="AW295" s="1">
        <v>584134</v>
      </c>
      <c r="AX295" s="1">
        <v>5097</v>
      </c>
      <c r="AY295" s="1">
        <v>-5097</v>
      </c>
      <c r="AZ295" s="1">
        <v>18873454</v>
      </c>
      <c r="BA295" s="1">
        <v>19675</v>
      </c>
      <c r="BE295" s="1">
        <v>110539</v>
      </c>
      <c r="BF295" s="1">
        <v>61926</v>
      </c>
      <c r="BL295" s="1">
        <v>19</v>
      </c>
      <c r="BR295" s="1">
        <v>821175</v>
      </c>
      <c r="BY295" s="1">
        <v>602491</v>
      </c>
      <c r="CC295" s="1">
        <v>602491</v>
      </c>
    </row>
    <row r="296" spans="1:128">
      <c r="A296" s="1">
        <v>19</v>
      </c>
      <c r="B296" s="1">
        <v>1160</v>
      </c>
      <c r="C296" s="1" t="s">
        <v>1079</v>
      </c>
      <c r="D296" s="1" t="s">
        <v>1088</v>
      </c>
      <c r="F296" s="1">
        <v>33210</v>
      </c>
      <c r="G296" s="1">
        <v>108108</v>
      </c>
      <c r="H296" s="1">
        <v>95366</v>
      </c>
      <c r="I296" s="1">
        <v>1</v>
      </c>
      <c r="J296" s="1">
        <v>236685</v>
      </c>
      <c r="K296" s="1">
        <v>121536</v>
      </c>
      <c r="M296" s="1">
        <v>-175967</v>
      </c>
      <c r="O296" s="1">
        <v>-54431</v>
      </c>
      <c r="P296" s="1">
        <v>19327</v>
      </c>
      <c r="Q296" s="1">
        <v>5428320</v>
      </c>
      <c r="R296" s="1">
        <v>34600</v>
      </c>
      <c r="S296" s="1">
        <v>34600</v>
      </c>
      <c r="V296" s="1">
        <v>66491</v>
      </c>
      <c r="W296" s="1">
        <v>5529411</v>
      </c>
      <c r="Y296" s="1">
        <v>177775</v>
      </c>
      <c r="Z296" s="1">
        <v>229935</v>
      </c>
      <c r="AB296" s="1">
        <v>3709</v>
      </c>
      <c r="AC296" s="1">
        <v>31704</v>
      </c>
      <c r="AD296" s="1">
        <v>498123</v>
      </c>
      <c r="AE296" s="1">
        <v>235255</v>
      </c>
      <c r="AG296" s="1">
        <v>1537110</v>
      </c>
      <c r="AH296" s="1">
        <v>7085848</v>
      </c>
      <c r="AJ296" s="1">
        <v>18657</v>
      </c>
      <c r="AK296" s="1">
        <v>18657</v>
      </c>
      <c r="AM296" s="1">
        <v>99360</v>
      </c>
      <c r="AN296" s="1">
        <v>86868</v>
      </c>
      <c r="AO296" s="1">
        <v>186228</v>
      </c>
      <c r="AP296" s="1">
        <v>204885</v>
      </c>
      <c r="AQ296" s="1">
        <v>296679</v>
      </c>
      <c r="AS296" s="1">
        <v>20</v>
      </c>
      <c r="AT296" s="1">
        <v>296699</v>
      </c>
      <c r="AV296" s="1">
        <v>296699</v>
      </c>
      <c r="AW296" s="1">
        <v>296699</v>
      </c>
      <c r="AY296" s="1">
        <v>-19327</v>
      </c>
      <c r="AZ296" s="1">
        <v>7899215</v>
      </c>
      <c r="BE296" s="1">
        <v>23224</v>
      </c>
      <c r="BF296" s="1">
        <v>2668</v>
      </c>
      <c r="BR296" s="1">
        <v>334717</v>
      </c>
      <c r="BX296" s="1">
        <v>7155</v>
      </c>
      <c r="BY296" s="1">
        <v>129529</v>
      </c>
      <c r="CC296" s="1">
        <v>73343</v>
      </c>
      <c r="CI296" s="1">
        <v>16600</v>
      </c>
      <c r="CJ296" s="1">
        <v>95366</v>
      </c>
      <c r="DB296" s="1">
        <v>50000</v>
      </c>
      <c r="DC296" s="1">
        <v>20</v>
      </c>
      <c r="DF296" s="1">
        <v>51758</v>
      </c>
    </row>
    <row r="297" spans="1:128">
      <c r="A297" s="1">
        <v>19</v>
      </c>
      <c r="B297" s="1">
        <v>1510</v>
      </c>
      <c r="C297" s="1" t="s">
        <v>1079</v>
      </c>
      <c r="D297" s="1" t="s">
        <v>1089</v>
      </c>
      <c r="F297" s="1">
        <v>651516</v>
      </c>
      <c r="G297" s="1">
        <v>1213296</v>
      </c>
      <c r="H297" s="1">
        <v>651303</v>
      </c>
      <c r="I297" s="1">
        <v>187568</v>
      </c>
      <c r="J297" s="1">
        <v>3435531</v>
      </c>
      <c r="K297" s="1">
        <v>1040822</v>
      </c>
      <c r="L297" s="1">
        <v>346846</v>
      </c>
      <c r="M297" s="1">
        <v>872974</v>
      </c>
      <c r="N297" s="1">
        <v>230365</v>
      </c>
      <c r="O297" s="1">
        <v>2491007</v>
      </c>
      <c r="Q297" s="1">
        <v>37820501</v>
      </c>
      <c r="U297" s="1">
        <v>8299</v>
      </c>
      <c r="V297" s="1">
        <v>1126695</v>
      </c>
      <c r="W297" s="1">
        <v>38955495</v>
      </c>
      <c r="X297" s="1">
        <v>1486857</v>
      </c>
      <c r="Y297" s="1">
        <v>955413</v>
      </c>
      <c r="Z297" s="1">
        <v>2110642</v>
      </c>
      <c r="AA297" s="1">
        <v>104886</v>
      </c>
      <c r="AB297" s="1">
        <v>154362</v>
      </c>
      <c r="AC297" s="1">
        <v>391591</v>
      </c>
      <c r="AD297" s="1">
        <v>2539549</v>
      </c>
      <c r="AE297" s="1">
        <v>1598272</v>
      </c>
      <c r="AG297" s="1">
        <v>10864517</v>
      </c>
      <c r="AH297" s="1">
        <v>49820012</v>
      </c>
      <c r="AJ297" s="1">
        <v>97301</v>
      </c>
      <c r="AK297" s="1">
        <v>97301</v>
      </c>
      <c r="AL297" s="1">
        <v>137131</v>
      </c>
      <c r="AM297" s="1">
        <v>659529</v>
      </c>
      <c r="AN297" s="1">
        <v>118631</v>
      </c>
      <c r="AO297" s="1">
        <v>915291</v>
      </c>
      <c r="AP297" s="1">
        <v>1027304</v>
      </c>
      <c r="AQ297" s="1">
        <v>4286238</v>
      </c>
      <c r="AR297" s="1">
        <v>54921</v>
      </c>
      <c r="AS297" s="1">
        <v>54921</v>
      </c>
      <c r="AT297" s="1">
        <v>4341159</v>
      </c>
      <c r="AU297" s="1">
        <v>290360</v>
      </c>
      <c r="AV297" s="1">
        <v>4631519</v>
      </c>
      <c r="AW297" s="1">
        <v>4631519</v>
      </c>
      <c r="AZ297" s="1">
        <v>61405373</v>
      </c>
      <c r="BE297" s="1">
        <v>190862</v>
      </c>
      <c r="BF297" s="1">
        <v>19411</v>
      </c>
      <c r="BR297" s="1">
        <v>1312672</v>
      </c>
      <c r="BU297" s="1">
        <v>14712</v>
      </c>
      <c r="BV297" s="1">
        <v>14712</v>
      </c>
      <c r="CJ297" s="1">
        <v>998149</v>
      </c>
      <c r="CL297" s="1">
        <v>731848</v>
      </c>
    </row>
    <row r="298" spans="1:128">
      <c r="A298" s="1">
        <v>19</v>
      </c>
      <c r="B298" s="1">
        <v>1600</v>
      </c>
      <c r="C298" s="1" t="s">
        <v>1079</v>
      </c>
      <c r="D298" s="1" t="s">
        <v>1043</v>
      </c>
      <c r="F298" s="1">
        <v>70143</v>
      </c>
      <c r="G298" s="1">
        <v>30018</v>
      </c>
      <c r="H298" s="1">
        <v>7363</v>
      </c>
      <c r="I298" s="1">
        <v>1</v>
      </c>
      <c r="J298" s="1">
        <v>107525</v>
      </c>
      <c r="K298" s="1">
        <v>115401</v>
      </c>
      <c r="L298" s="1">
        <v>18037</v>
      </c>
      <c r="M298" s="1">
        <v>7660741</v>
      </c>
      <c r="O298" s="1">
        <v>7794179</v>
      </c>
      <c r="Q298" s="1">
        <v>4781071</v>
      </c>
      <c r="V298" s="1">
        <v>36378</v>
      </c>
      <c r="W298" s="1">
        <v>4817449</v>
      </c>
      <c r="Y298" s="1">
        <v>93188</v>
      </c>
      <c r="Z298" s="1">
        <v>201241</v>
      </c>
      <c r="AA298" s="1">
        <v>2318</v>
      </c>
      <c r="AB298" s="1">
        <v>8385</v>
      </c>
      <c r="AC298" s="1">
        <v>44107</v>
      </c>
      <c r="AD298" s="1">
        <v>274352</v>
      </c>
      <c r="AE298" s="1">
        <v>182100</v>
      </c>
      <c r="AG298" s="1">
        <v>820557</v>
      </c>
      <c r="AH298" s="1">
        <v>5638006</v>
      </c>
      <c r="AJ298" s="1">
        <v>45864</v>
      </c>
      <c r="AK298" s="1">
        <v>45864</v>
      </c>
      <c r="AL298" s="1">
        <v>7599</v>
      </c>
      <c r="AM298" s="1">
        <v>88424</v>
      </c>
      <c r="AN298" s="1">
        <v>24616</v>
      </c>
      <c r="AO298" s="1">
        <v>120639</v>
      </c>
      <c r="AP298" s="1">
        <v>166503</v>
      </c>
      <c r="AQ298" s="1">
        <v>417429</v>
      </c>
      <c r="AT298" s="1">
        <v>417429</v>
      </c>
      <c r="AV298" s="1">
        <v>417429</v>
      </c>
      <c r="AW298" s="1">
        <v>417429</v>
      </c>
      <c r="AX298" s="1">
        <v>404241</v>
      </c>
      <c r="AZ298" s="1">
        <v>14811492</v>
      </c>
      <c r="BE298" s="1">
        <v>10226</v>
      </c>
      <c r="BF298" s="1">
        <v>4640</v>
      </c>
      <c r="BY298" s="1">
        <v>687850</v>
      </c>
      <c r="CI298" s="1">
        <v>283609</v>
      </c>
      <c r="CJ298" s="1">
        <v>25400</v>
      </c>
    </row>
    <row r="299" spans="1:128">
      <c r="A299" s="1">
        <v>19</v>
      </c>
      <c r="B299" s="1">
        <v>1680</v>
      </c>
      <c r="C299" s="1" t="s">
        <v>1079</v>
      </c>
      <c r="D299" s="1" t="s">
        <v>1090</v>
      </c>
      <c r="F299" s="1">
        <v>40635</v>
      </c>
      <c r="G299" s="1">
        <v>54440</v>
      </c>
      <c r="H299" s="1">
        <v>98399</v>
      </c>
      <c r="I299" s="1">
        <v>95276</v>
      </c>
      <c r="J299" s="1">
        <v>288750</v>
      </c>
      <c r="K299" s="1">
        <v>100924</v>
      </c>
      <c r="M299" s="1">
        <v>-42245</v>
      </c>
      <c r="N299" s="1">
        <v>5274</v>
      </c>
      <c r="O299" s="1">
        <v>63953</v>
      </c>
      <c r="Q299" s="1">
        <v>1352227</v>
      </c>
      <c r="R299" s="1">
        <v>32000</v>
      </c>
      <c r="S299" s="1">
        <v>60660</v>
      </c>
      <c r="U299" s="1">
        <v>4704</v>
      </c>
      <c r="V299" s="1">
        <v>17559</v>
      </c>
      <c r="W299" s="1">
        <v>1500098</v>
      </c>
      <c r="Y299" s="1">
        <v>1983</v>
      </c>
      <c r="Z299" s="1">
        <v>47935</v>
      </c>
      <c r="AA299" s="1">
        <v>2336</v>
      </c>
      <c r="AC299" s="1">
        <v>12508</v>
      </c>
      <c r="AD299" s="1">
        <v>185850</v>
      </c>
      <c r="AE299" s="1">
        <v>103494</v>
      </c>
      <c r="AG299" s="1">
        <v>904541</v>
      </c>
      <c r="AH299" s="1">
        <v>2404639</v>
      </c>
      <c r="AI299" s="1">
        <v>2232</v>
      </c>
      <c r="AJ299" s="1">
        <v>1600</v>
      </c>
      <c r="AK299" s="1">
        <v>3832</v>
      </c>
      <c r="AL299" s="1">
        <v>11409</v>
      </c>
      <c r="AM299" s="1">
        <v>34016</v>
      </c>
      <c r="AN299" s="1">
        <v>38099</v>
      </c>
      <c r="AO299" s="1">
        <v>83524</v>
      </c>
      <c r="AP299" s="1">
        <v>89347</v>
      </c>
      <c r="AQ299" s="1">
        <v>141523</v>
      </c>
      <c r="AT299" s="1">
        <v>141523</v>
      </c>
      <c r="AV299" s="1">
        <v>142030</v>
      </c>
      <c r="AW299" s="1">
        <v>142030</v>
      </c>
      <c r="AX299" s="1">
        <v>92</v>
      </c>
      <c r="AY299" s="1">
        <v>463</v>
      </c>
      <c r="AZ299" s="1">
        <v>3032473</v>
      </c>
      <c r="BC299" s="1">
        <v>28660</v>
      </c>
      <c r="BE299" s="1">
        <v>17953</v>
      </c>
      <c r="BF299" s="1">
        <v>1044</v>
      </c>
      <c r="BL299" s="1">
        <v>507</v>
      </c>
      <c r="BR299" s="1">
        <v>531438</v>
      </c>
      <c r="BU299" s="1">
        <v>1991</v>
      </c>
      <c r="BV299" s="1">
        <v>1991</v>
      </c>
      <c r="BY299" s="1">
        <v>43754</v>
      </c>
      <c r="CI299" s="1">
        <v>43199</v>
      </c>
      <c r="CJ299" s="1">
        <v>98399</v>
      </c>
      <c r="DN299" s="1">
        <v>64948</v>
      </c>
    </row>
    <row r="300" spans="1:128">
      <c r="A300" s="1">
        <v>19</v>
      </c>
      <c r="B300" s="1">
        <v>1740</v>
      </c>
      <c r="C300" s="1" t="s">
        <v>1079</v>
      </c>
      <c r="D300" s="1" t="s">
        <v>1091</v>
      </c>
      <c r="E300" s="1">
        <v>75000</v>
      </c>
      <c r="J300" s="1">
        <v>200000</v>
      </c>
      <c r="K300" s="1">
        <v>97656</v>
      </c>
      <c r="L300" s="1">
        <v>67000</v>
      </c>
      <c r="O300" s="1">
        <v>164656</v>
      </c>
      <c r="Q300" s="1">
        <v>1451415</v>
      </c>
      <c r="T300" s="1">
        <v>957</v>
      </c>
      <c r="V300" s="1">
        <v>14322</v>
      </c>
      <c r="W300" s="1">
        <v>1466694</v>
      </c>
      <c r="X300" s="1">
        <v>471832</v>
      </c>
      <c r="Y300" s="1">
        <v>200465</v>
      </c>
      <c r="Z300" s="1">
        <v>120923</v>
      </c>
      <c r="AB300" s="1">
        <v>8718</v>
      </c>
      <c r="AC300" s="1">
        <v>23409</v>
      </c>
      <c r="AD300" s="1">
        <v>1346</v>
      </c>
      <c r="AE300" s="1">
        <v>1339</v>
      </c>
      <c r="AG300" s="1">
        <v>1106005</v>
      </c>
      <c r="AH300" s="1">
        <v>2572699</v>
      </c>
      <c r="AZ300" s="1">
        <v>2937355</v>
      </c>
      <c r="BE300" s="1">
        <v>21444</v>
      </c>
      <c r="BF300" s="1">
        <v>696</v>
      </c>
      <c r="BR300" s="1">
        <v>168621</v>
      </c>
      <c r="CD300" s="1">
        <v>30000</v>
      </c>
      <c r="CF300" s="1">
        <v>87212</v>
      </c>
      <c r="CJ300" s="1">
        <v>67000</v>
      </c>
      <c r="DA300" s="1">
        <v>95000</v>
      </c>
      <c r="DX300" s="1">
        <v>95000</v>
      </c>
    </row>
    <row r="301" spans="1:128">
      <c r="A301" s="1">
        <v>19</v>
      </c>
      <c r="B301" s="1">
        <v>1970</v>
      </c>
      <c r="C301" s="1" t="s">
        <v>1079</v>
      </c>
      <c r="D301" s="1" t="s">
        <v>1092</v>
      </c>
      <c r="F301" s="1">
        <v>14371</v>
      </c>
      <c r="G301" s="1">
        <v>35317</v>
      </c>
      <c r="H301" s="1">
        <v>30060</v>
      </c>
      <c r="I301" s="1">
        <v>100</v>
      </c>
      <c r="J301" s="1">
        <v>79848</v>
      </c>
      <c r="K301" s="1">
        <v>102997</v>
      </c>
      <c r="O301" s="1">
        <v>102997</v>
      </c>
      <c r="Q301" s="1">
        <v>1729693</v>
      </c>
      <c r="V301" s="1">
        <v>5412</v>
      </c>
      <c r="W301" s="1">
        <v>1735105</v>
      </c>
      <c r="X301" s="1">
        <v>523247</v>
      </c>
      <c r="Y301" s="1">
        <v>5617</v>
      </c>
      <c r="Z301" s="1">
        <v>211776</v>
      </c>
      <c r="AA301" s="1">
        <v>1168</v>
      </c>
      <c r="AB301" s="1">
        <v>3646</v>
      </c>
      <c r="AC301" s="1">
        <v>19640</v>
      </c>
      <c r="AD301" s="1">
        <v>243491</v>
      </c>
      <c r="AE301" s="1">
        <v>99867</v>
      </c>
      <c r="AG301" s="1">
        <v>1133282</v>
      </c>
      <c r="AH301" s="1">
        <v>2868387</v>
      </c>
      <c r="AI301" s="1">
        <v>7027</v>
      </c>
      <c r="AJ301" s="1">
        <v>21263</v>
      </c>
      <c r="AK301" s="1">
        <v>28290</v>
      </c>
      <c r="AL301" s="1">
        <v>10927</v>
      </c>
      <c r="AM301" s="1">
        <v>48747</v>
      </c>
      <c r="AN301" s="1">
        <v>8004</v>
      </c>
      <c r="AO301" s="1">
        <v>67678</v>
      </c>
      <c r="AP301" s="1">
        <v>96363</v>
      </c>
      <c r="AZ301" s="1">
        <v>3147595</v>
      </c>
      <c r="BE301" s="1">
        <v>23043</v>
      </c>
      <c r="BF301" s="1">
        <v>1787</v>
      </c>
      <c r="BU301" s="1">
        <v>395</v>
      </c>
      <c r="BV301" s="1">
        <v>395</v>
      </c>
    </row>
    <row r="302" spans="1:128">
      <c r="A302" s="1">
        <v>19</v>
      </c>
      <c r="B302" s="1">
        <v>2140</v>
      </c>
      <c r="C302" s="1" t="s">
        <v>1079</v>
      </c>
      <c r="D302" s="1" t="s">
        <v>1093</v>
      </c>
      <c r="F302" s="1">
        <v>91283</v>
      </c>
      <c r="I302" s="1">
        <v>4765</v>
      </c>
      <c r="J302" s="1">
        <v>96049</v>
      </c>
      <c r="K302" s="1">
        <v>37892</v>
      </c>
      <c r="M302" s="1">
        <v>202996</v>
      </c>
      <c r="O302" s="1">
        <v>240888</v>
      </c>
      <c r="Q302" s="1">
        <v>4311838</v>
      </c>
      <c r="R302" s="1">
        <v>117964</v>
      </c>
      <c r="S302" s="1">
        <v>117964</v>
      </c>
      <c r="U302" s="1">
        <v>154</v>
      </c>
      <c r="V302" s="1">
        <v>25444</v>
      </c>
      <c r="W302" s="1">
        <v>4455400</v>
      </c>
      <c r="X302" s="1">
        <v>720874</v>
      </c>
      <c r="Y302" s="1">
        <v>11617</v>
      </c>
      <c r="Z302" s="1">
        <v>428716</v>
      </c>
      <c r="AA302" s="1">
        <v>4672</v>
      </c>
      <c r="AB302" s="1">
        <v>26221</v>
      </c>
      <c r="AC302" s="1">
        <v>48825</v>
      </c>
      <c r="AD302" s="1">
        <v>529411</v>
      </c>
      <c r="AE302" s="1">
        <v>261435</v>
      </c>
      <c r="AG302" s="1">
        <v>2366324</v>
      </c>
      <c r="AH302" s="1">
        <v>6821724</v>
      </c>
      <c r="AJ302" s="1">
        <v>14142</v>
      </c>
      <c r="AK302" s="1">
        <v>14142</v>
      </c>
      <c r="AL302" s="1">
        <v>16862</v>
      </c>
      <c r="AM302" s="1">
        <v>86981</v>
      </c>
      <c r="AN302" s="1">
        <v>18985</v>
      </c>
      <c r="AO302" s="1">
        <v>122828</v>
      </c>
      <c r="AP302" s="1">
        <v>137120</v>
      </c>
      <c r="AQ302" s="1">
        <v>492701</v>
      </c>
      <c r="AT302" s="1">
        <v>492701</v>
      </c>
      <c r="AU302" s="1">
        <v>102432</v>
      </c>
      <c r="AV302" s="1">
        <v>595133</v>
      </c>
      <c r="AW302" s="1">
        <v>595133</v>
      </c>
      <c r="AZ302" s="1">
        <v>7890914</v>
      </c>
      <c r="BB302" s="1">
        <v>1</v>
      </c>
      <c r="BE302" s="1">
        <v>45060</v>
      </c>
      <c r="BF302" s="1">
        <v>2204</v>
      </c>
      <c r="BR302" s="1">
        <v>29686</v>
      </c>
      <c r="BU302" s="1">
        <v>150</v>
      </c>
      <c r="BV302" s="1">
        <v>150</v>
      </c>
      <c r="CF302" s="1">
        <v>257603</v>
      </c>
    </row>
    <row r="303" spans="1:128">
      <c r="A303" s="1">
        <v>19</v>
      </c>
      <c r="B303" s="1">
        <v>2220</v>
      </c>
      <c r="C303" s="1" t="s">
        <v>1079</v>
      </c>
      <c r="D303" s="1" t="s">
        <v>1094</v>
      </c>
      <c r="F303" s="1">
        <v>239901</v>
      </c>
      <c r="G303" s="1">
        <v>108013</v>
      </c>
      <c r="H303" s="1">
        <v>51924</v>
      </c>
      <c r="I303" s="1">
        <v>3016</v>
      </c>
      <c r="J303" s="1">
        <v>420163</v>
      </c>
      <c r="K303" s="1">
        <v>213174</v>
      </c>
      <c r="M303" s="1">
        <v>182619</v>
      </c>
      <c r="O303" s="1">
        <v>395793</v>
      </c>
      <c r="Q303" s="1">
        <v>6990227</v>
      </c>
      <c r="S303" s="1">
        <v>23263</v>
      </c>
      <c r="U303" s="1">
        <v>162</v>
      </c>
      <c r="V303" s="1">
        <v>92576</v>
      </c>
      <c r="W303" s="1">
        <v>7106228</v>
      </c>
      <c r="X303" s="1">
        <v>832842</v>
      </c>
      <c r="Y303" s="1">
        <v>185120</v>
      </c>
      <c r="Z303" s="1">
        <v>386589</v>
      </c>
      <c r="AB303" s="1">
        <v>33523</v>
      </c>
      <c r="AC303" s="1">
        <v>75597</v>
      </c>
      <c r="AD303" s="1">
        <v>678799</v>
      </c>
      <c r="AE303" s="1">
        <v>317972</v>
      </c>
      <c r="AG303" s="1">
        <v>2739086</v>
      </c>
      <c r="AH303" s="1">
        <v>9845314</v>
      </c>
      <c r="AL303" s="1">
        <v>23908</v>
      </c>
      <c r="AM303" s="1">
        <v>145368</v>
      </c>
      <c r="AN303" s="1">
        <v>26875</v>
      </c>
      <c r="AO303" s="1">
        <v>196151</v>
      </c>
      <c r="AP303" s="1">
        <v>197151</v>
      </c>
      <c r="AQ303" s="1">
        <v>332745</v>
      </c>
      <c r="AT303" s="1">
        <v>332745</v>
      </c>
      <c r="AV303" s="1">
        <v>382745</v>
      </c>
      <c r="AW303" s="1">
        <v>382745</v>
      </c>
      <c r="AY303" s="1">
        <v>-50000</v>
      </c>
      <c r="AZ303" s="1">
        <v>11191166</v>
      </c>
      <c r="BC303" s="1">
        <v>23263</v>
      </c>
      <c r="BE303" s="1">
        <v>49638</v>
      </c>
      <c r="BF303" s="1">
        <v>4548</v>
      </c>
      <c r="BL303" s="1">
        <v>50000</v>
      </c>
      <c r="BR303" s="1">
        <v>174458</v>
      </c>
      <c r="BU303" s="1">
        <v>1000</v>
      </c>
      <c r="BV303" s="1">
        <v>1000</v>
      </c>
      <c r="BY303" s="1">
        <v>-50000</v>
      </c>
      <c r="CJ303" s="1">
        <v>102972</v>
      </c>
      <c r="CL303" s="1">
        <v>17309</v>
      </c>
    </row>
    <row r="304" spans="1:128">
      <c r="A304" s="1">
        <v>19</v>
      </c>
      <c r="B304" s="1">
        <v>2300</v>
      </c>
      <c r="C304" s="1" t="s">
        <v>1079</v>
      </c>
      <c r="D304" s="1" t="s">
        <v>1095</v>
      </c>
      <c r="F304" s="1">
        <v>114511</v>
      </c>
      <c r="G304" s="1">
        <v>1304861</v>
      </c>
      <c r="H304" s="1">
        <v>283105</v>
      </c>
      <c r="I304" s="1">
        <v>860994</v>
      </c>
      <c r="J304" s="1">
        <v>8363982</v>
      </c>
      <c r="K304" s="1">
        <v>1236901</v>
      </c>
      <c r="M304" s="1">
        <v>2855223</v>
      </c>
      <c r="N304" s="1">
        <v>1</v>
      </c>
      <c r="O304" s="1">
        <v>4092125</v>
      </c>
      <c r="P304" s="1">
        <v>272301</v>
      </c>
      <c r="Q304" s="1">
        <v>45892717</v>
      </c>
      <c r="R304" s="1">
        <v>77624</v>
      </c>
      <c r="S304" s="1">
        <v>118860</v>
      </c>
      <c r="U304" s="1">
        <v>36033</v>
      </c>
      <c r="V304" s="1">
        <v>855989</v>
      </c>
      <c r="W304" s="1">
        <v>46903599</v>
      </c>
      <c r="X304" s="1">
        <v>1941852</v>
      </c>
      <c r="Y304" s="1">
        <v>1021254</v>
      </c>
      <c r="Z304" s="1">
        <v>1441188</v>
      </c>
      <c r="AA304" s="1">
        <v>2426</v>
      </c>
      <c r="AB304" s="1">
        <v>153802</v>
      </c>
      <c r="AC304" s="1">
        <v>211430</v>
      </c>
      <c r="AD304" s="1">
        <v>2535079</v>
      </c>
      <c r="AE304" s="1">
        <v>1442096</v>
      </c>
      <c r="AG304" s="1">
        <v>10143502</v>
      </c>
      <c r="AH304" s="1">
        <v>57319402</v>
      </c>
      <c r="AJ304" s="1">
        <v>8251</v>
      </c>
      <c r="AK304" s="1">
        <v>8251</v>
      </c>
      <c r="AM304" s="1">
        <v>487726</v>
      </c>
      <c r="AN304" s="1">
        <v>93215</v>
      </c>
      <c r="AO304" s="1">
        <v>580941</v>
      </c>
      <c r="AP304" s="1">
        <v>630940</v>
      </c>
      <c r="AQ304" s="1">
        <v>2593563</v>
      </c>
      <c r="AT304" s="1">
        <v>2593563</v>
      </c>
      <c r="AU304" s="1">
        <v>130461</v>
      </c>
      <c r="AV304" s="1">
        <v>2724024</v>
      </c>
      <c r="AW304" s="1">
        <v>2724024</v>
      </c>
      <c r="AX304" s="1">
        <v>272301</v>
      </c>
      <c r="AY304" s="1">
        <v>-272301</v>
      </c>
      <c r="AZ304" s="1">
        <v>73130473</v>
      </c>
      <c r="BC304" s="1">
        <v>41236</v>
      </c>
      <c r="BE304" s="1">
        <v>168779</v>
      </c>
      <c r="BF304" s="1">
        <v>217787</v>
      </c>
      <c r="BR304" s="1">
        <v>1007809</v>
      </c>
      <c r="BU304" s="1">
        <v>41748</v>
      </c>
      <c r="BV304" s="1">
        <v>41748</v>
      </c>
      <c r="CJ304" s="1">
        <v>283105</v>
      </c>
      <c r="CL304" s="1">
        <v>5800511</v>
      </c>
    </row>
    <row r="305" spans="1:116">
      <c r="A305" s="1">
        <v>19</v>
      </c>
      <c r="B305" s="1">
        <v>2305</v>
      </c>
      <c r="C305" s="1" t="s">
        <v>1079</v>
      </c>
      <c r="D305" s="1" t="s">
        <v>1096</v>
      </c>
      <c r="K305" s="1">
        <v>1169274</v>
      </c>
      <c r="M305" s="1">
        <v>1774216</v>
      </c>
      <c r="O305" s="1">
        <v>2943490</v>
      </c>
      <c r="P305" s="1">
        <v>536707</v>
      </c>
      <c r="S305" s="1">
        <v>5018754</v>
      </c>
      <c r="V305" s="1">
        <v>244242</v>
      </c>
      <c r="W305" s="1">
        <v>5262996</v>
      </c>
      <c r="AD305" s="1">
        <v>307469</v>
      </c>
      <c r="AE305" s="1">
        <v>212160</v>
      </c>
      <c r="AG305" s="1">
        <v>519629</v>
      </c>
      <c r="AH305" s="1">
        <v>6608861</v>
      </c>
      <c r="AJ305" s="1">
        <v>617679</v>
      </c>
      <c r="AK305" s="1">
        <v>617679</v>
      </c>
      <c r="AN305" s="1">
        <v>75701</v>
      </c>
      <c r="AO305" s="1">
        <v>482154</v>
      </c>
      <c r="AP305" s="1">
        <v>1275336</v>
      </c>
      <c r="AY305" s="1">
        <v>474544</v>
      </c>
      <c r="AZ305" s="1">
        <v>11430441</v>
      </c>
      <c r="BC305" s="1">
        <v>5018754</v>
      </c>
      <c r="BU305" s="1">
        <v>175503</v>
      </c>
      <c r="BV305" s="1">
        <v>175503</v>
      </c>
      <c r="BW305" s="1">
        <v>406453</v>
      </c>
      <c r="BY305" s="1">
        <v>602754</v>
      </c>
      <c r="CC305" s="1">
        <v>128210</v>
      </c>
      <c r="CX305" s="1">
        <v>289529</v>
      </c>
    </row>
    <row r="306" spans="1:116">
      <c r="A306" s="1">
        <v>19</v>
      </c>
      <c r="B306" s="1">
        <v>2308</v>
      </c>
      <c r="C306" s="1" t="s">
        <v>1079</v>
      </c>
      <c r="D306" s="1" t="s">
        <v>1097</v>
      </c>
      <c r="F306" s="1">
        <v>376600</v>
      </c>
      <c r="G306" s="1">
        <v>457860</v>
      </c>
      <c r="H306" s="1">
        <v>345293</v>
      </c>
      <c r="I306" s="1">
        <v>212685</v>
      </c>
      <c r="J306" s="1">
        <v>1392538</v>
      </c>
      <c r="K306" s="1">
        <v>248111</v>
      </c>
      <c r="L306" s="1">
        <v>99752</v>
      </c>
      <c r="M306" s="1">
        <v>31</v>
      </c>
      <c r="O306" s="1">
        <v>347894</v>
      </c>
      <c r="P306" s="1">
        <v>28328</v>
      </c>
      <c r="U306" s="1">
        <v>11201</v>
      </c>
      <c r="V306" s="1">
        <v>134571</v>
      </c>
      <c r="W306" s="1">
        <v>3286472</v>
      </c>
      <c r="X306" s="1">
        <v>580</v>
      </c>
      <c r="Z306" s="1">
        <v>255619</v>
      </c>
      <c r="AC306" s="1">
        <v>23919</v>
      </c>
      <c r="AD306" s="1">
        <v>228020</v>
      </c>
      <c r="AE306" s="1">
        <v>142911</v>
      </c>
      <c r="AG306" s="1">
        <v>1361649</v>
      </c>
      <c r="AH306" s="1">
        <v>4676449</v>
      </c>
      <c r="AJ306" s="1">
        <v>23552</v>
      </c>
      <c r="AK306" s="1">
        <v>23552</v>
      </c>
      <c r="AN306" s="1">
        <v>125154</v>
      </c>
      <c r="AO306" s="1">
        <v>330590</v>
      </c>
      <c r="AP306" s="1">
        <v>364937</v>
      </c>
      <c r="AX306" s="1">
        <v>19895</v>
      </c>
      <c r="AY306" s="1">
        <v>-28328</v>
      </c>
      <c r="AZ306" s="1">
        <v>9135723</v>
      </c>
      <c r="BB306" s="1">
        <v>100</v>
      </c>
      <c r="BE306" s="1">
        <v>28856</v>
      </c>
      <c r="BK306" s="1">
        <v>205436</v>
      </c>
      <c r="BN306" s="1">
        <v>1349206</v>
      </c>
      <c r="BO306" s="1">
        <v>1501340</v>
      </c>
      <c r="BP306" s="1">
        <v>290154</v>
      </c>
      <c r="BR306" s="1">
        <v>56931</v>
      </c>
      <c r="BS306" s="1">
        <v>434483</v>
      </c>
      <c r="BT306" s="1">
        <v>190330</v>
      </c>
      <c r="BU306" s="1">
        <v>10795</v>
      </c>
      <c r="BV306" s="1">
        <v>10795</v>
      </c>
      <c r="BY306" s="1">
        <v>2353905</v>
      </c>
      <c r="CI306" s="1">
        <v>2362338</v>
      </c>
      <c r="CJ306" s="1">
        <v>445045</v>
      </c>
    </row>
    <row r="307" spans="1:116">
      <c r="A307" s="1">
        <v>19</v>
      </c>
      <c r="B307" s="1">
        <v>2450</v>
      </c>
      <c r="C307" s="1" t="s">
        <v>1079</v>
      </c>
      <c r="D307" s="1" t="s">
        <v>1098</v>
      </c>
      <c r="F307" s="1">
        <v>141435</v>
      </c>
      <c r="G307" s="1">
        <v>88006</v>
      </c>
      <c r="H307" s="1">
        <v>57815</v>
      </c>
      <c r="I307" s="1">
        <v>26852</v>
      </c>
      <c r="J307" s="1">
        <v>349817</v>
      </c>
      <c r="K307" s="1">
        <v>130276</v>
      </c>
      <c r="L307" s="1">
        <v>14742</v>
      </c>
      <c r="M307" s="1">
        <v>101372</v>
      </c>
      <c r="O307" s="1">
        <v>246390</v>
      </c>
      <c r="Q307" s="1">
        <v>4564642</v>
      </c>
      <c r="R307" s="1">
        <v>2000</v>
      </c>
      <c r="S307" s="1">
        <v>2000</v>
      </c>
      <c r="U307" s="1">
        <v>2835</v>
      </c>
      <c r="V307" s="1">
        <v>87811</v>
      </c>
      <c r="W307" s="1">
        <v>4657288</v>
      </c>
      <c r="X307" s="1">
        <v>853693</v>
      </c>
      <c r="Y307" s="1">
        <v>172785</v>
      </c>
      <c r="Z307" s="1">
        <v>250608</v>
      </c>
      <c r="AB307" s="1">
        <v>8271</v>
      </c>
      <c r="AC307" s="1">
        <v>49813</v>
      </c>
      <c r="AD307" s="1">
        <v>346048</v>
      </c>
      <c r="AE307" s="1">
        <v>229982</v>
      </c>
      <c r="AG307" s="1">
        <v>1979968</v>
      </c>
      <c r="AH307" s="1">
        <v>6637256</v>
      </c>
      <c r="AI307" s="1">
        <v>7410</v>
      </c>
      <c r="AJ307" s="1">
        <v>975</v>
      </c>
      <c r="AK307" s="1">
        <v>8385</v>
      </c>
      <c r="AL307" s="1">
        <v>14548</v>
      </c>
      <c r="AM307" s="1">
        <v>84914</v>
      </c>
      <c r="AN307" s="1">
        <v>59614</v>
      </c>
      <c r="AO307" s="1">
        <v>159076</v>
      </c>
      <c r="AP307" s="1">
        <v>167464</v>
      </c>
      <c r="AQ307" s="1">
        <v>253953</v>
      </c>
      <c r="AT307" s="1">
        <v>253953</v>
      </c>
      <c r="AV307" s="1">
        <v>277167</v>
      </c>
      <c r="AW307" s="1">
        <v>277167</v>
      </c>
      <c r="AX307" s="1">
        <v>2474</v>
      </c>
      <c r="AY307" s="1">
        <v>-23214</v>
      </c>
      <c r="AZ307" s="1">
        <v>7657634</v>
      </c>
      <c r="BA307" s="1">
        <v>35709</v>
      </c>
      <c r="BE307" s="1">
        <v>40029</v>
      </c>
      <c r="BF307" s="1">
        <v>28739</v>
      </c>
      <c r="BL307" s="1">
        <v>23214</v>
      </c>
      <c r="BU307" s="1">
        <v>3</v>
      </c>
      <c r="BV307" s="1">
        <v>3</v>
      </c>
      <c r="BY307" s="1">
        <v>-20460</v>
      </c>
      <c r="CC307" s="1">
        <v>280</v>
      </c>
      <c r="CJ307" s="1">
        <v>89252</v>
      </c>
      <c r="DB307" s="1">
        <v>7371</v>
      </c>
    </row>
    <row r="308" spans="1:116">
      <c r="A308" s="1">
        <v>19</v>
      </c>
      <c r="B308" s="1">
        <v>2530</v>
      </c>
      <c r="C308" s="1" t="s">
        <v>1079</v>
      </c>
      <c r="D308" s="1" t="s">
        <v>1099</v>
      </c>
      <c r="F308" s="1">
        <v>57102</v>
      </c>
      <c r="G308" s="1">
        <v>26121</v>
      </c>
      <c r="H308" s="1">
        <v>39045</v>
      </c>
      <c r="I308" s="1">
        <v>31227</v>
      </c>
      <c r="J308" s="1">
        <v>153495</v>
      </c>
      <c r="K308" s="1">
        <v>100338</v>
      </c>
      <c r="O308" s="1">
        <v>100338</v>
      </c>
      <c r="Q308" s="1">
        <v>2418317</v>
      </c>
      <c r="S308" s="1">
        <v>7423</v>
      </c>
      <c r="U308" s="1">
        <v>1268</v>
      </c>
      <c r="V308" s="1">
        <v>20360</v>
      </c>
      <c r="W308" s="1">
        <v>2447368</v>
      </c>
      <c r="Y308" s="1">
        <v>6679</v>
      </c>
      <c r="Z308" s="1">
        <v>90375</v>
      </c>
      <c r="AA308" s="1">
        <v>9326</v>
      </c>
      <c r="AB308" s="1">
        <v>5872</v>
      </c>
      <c r="AC308" s="1">
        <v>19091</v>
      </c>
      <c r="AD308" s="1">
        <v>214091</v>
      </c>
      <c r="AE308" s="1">
        <v>94681</v>
      </c>
      <c r="AG308" s="1">
        <v>544065</v>
      </c>
      <c r="AH308" s="1">
        <v>2991433</v>
      </c>
      <c r="AI308" s="1">
        <v>6315</v>
      </c>
      <c r="AJ308" s="1">
        <v>6916</v>
      </c>
      <c r="AK308" s="1">
        <v>13231</v>
      </c>
      <c r="AL308" s="1">
        <v>21923</v>
      </c>
      <c r="AM308" s="1">
        <v>49229</v>
      </c>
      <c r="AN308" s="1">
        <v>5283</v>
      </c>
      <c r="AO308" s="1">
        <v>76435</v>
      </c>
      <c r="AP308" s="1">
        <v>89666</v>
      </c>
      <c r="AQ308" s="1">
        <v>21696</v>
      </c>
      <c r="AT308" s="1">
        <v>21696</v>
      </c>
      <c r="AV308" s="1">
        <v>21696</v>
      </c>
      <c r="AW308" s="1">
        <v>21696</v>
      </c>
      <c r="AZ308" s="1">
        <v>3356628</v>
      </c>
      <c r="BC308" s="1">
        <v>7423</v>
      </c>
      <c r="BE308" s="1">
        <v>6856</v>
      </c>
      <c r="BF308" s="1">
        <v>348</v>
      </c>
      <c r="BR308" s="1">
        <v>96746</v>
      </c>
      <c r="CJ308" s="1">
        <v>60045</v>
      </c>
    </row>
    <row r="309" spans="1:116">
      <c r="A309" s="1">
        <v>19</v>
      </c>
      <c r="B309" s="1">
        <v>2590</v>
      </c>
      <c r="C309" s="1" t="s">
        <v>1079</v>
      </c>
      <c r="D309" s="1" t="s">
        <v>1100</v>
      </c>
      <c r="F309" s="1">
        <v>74782</v>
      </c>
      <c r="G309" s="1">
        <v>57352</v>
      </c>
      <c r="H309" s="1">
        <v>47</v>
      </c>
      <c r="I309" s="1">
        <v>1</v>
      </c>
      <c r="J309" s="1">
        <v>132182</v>
      </c>
      <c r="K309" s="1">
        <v>100146</v>
      </c>
      <c r="L309" s="1">
        <v>346</v>
      </c>
      <c r="O309" s="1">
        <v>100492</v>
      </c>
      <c r="Q309" s="1">
        <v>2005741</v>
      </c>
      <c r="V309" s="1">
        <v>13256</v>
      </c>
      <c r="W309" s="1">
        <v>2018997</v>
      </c>
      <c r="Y309" s="1">
        <v>5824</v>
      </c>
      <c r="Z309" s="1">
        <v>71441</v>
      </c>
      <c r="AA309" s="1">
        <v>4636</v>
      </c>
      <c r="AC309" s="1">
        <v>11191</v>
      </c>
      <c r="AD309" s="1">
        <v>100947</v>
      </c>
      <c r="AE309" s="1">
        <v>61517</v>
      </c>
      <c r="AG309" s="1">
        <v>309536</v>
      </c>
      <c r="AH309" s="1">
        <v>2328533</v>
      </c>
      <c r="AJ309" s="1">
        <v>2463</v>
      </c>
      <c r="AK309" s="1">
        <v>2463</v>
      </c>
      <c r="AM309" s="1">
        <v>31227</v>
      </c>
      <c r="AN309" s="1">
        <v>21343</v>
      </c>
      <c r="AO309" s="1">
        <v>52570</v>
      </c>
      <c r="AP309" s="1">
        <v>59454</v>
      </c>
      <c r="AQ309" s="1">
        <v>231992</v>
      </c>
      <c r="AT309" s="1">
        <v>231992</v>
      </c>
      <c r="AV309" s="1">
        <v>231992</v>
      </c>
      <c r="AW309" s="1">
        <v>231992</v>
      </c>
      <c r="AZ309" s="1">
        <v>2852653</v>
      </c>
      <c r="BE309" s="1">
        <v>4250</v>
      </c>
      <c r="BF309" s="1">
        <v>1160</v>
      </c>
      <c r="BR309" s="1">
        <v>48570</v>
      </c>
      <c r="BU309" s="1">
        <v>4421</v>
      </c>
      <c r="BV309" s="1">
        <v>4421</v>
      </c>
      <c r="CJ309" s="1">
        <v>539</v>
      </c>
    </row>
    <row r="310" spans="1:116">
      <c r="A310" s="1">
        <v>19</v>
      </c>
      <c r="B310" s="1">
        <v>2600</v>
      </c>
      <c r="C310" s="1" t="s">
        <v>1079</v>
      </c>
      <c r="D310" s="1" t="s">
        <v>1101</v>
      </c>
      <c r="F310" s="1">
        <v>461173</v>
      </c>
      <c r="G310" s="1">
        <v>44317</v>
      </c>
      <c r="H310" s="1">
        <v>35575</v>
      </c>
      <c r="I310" s="1">
        <v>111362</v>
      </c>
      <c r="J310" s="1">
        <v>652427</v>
      </c>
      <c r="K310" s="1">
        <v>278469</v>
      </c>
      <c r="L310" s="1">
        <v>270960</v>
      </c>
      <c r="O310" s="1">
        <v>549429</v>
      </c>
      <c r="Q310" s="1">
        <v>9178909</v>
      </c>
      <c r="R310" s="1">
        <v>52069</v>
      </c>
      <c r="S310" s="1">
        <v>65809</v>
      </c>
      <c r="U310" s="1">
        <v>5607</v>
      </c>
      <c r="V310" s="1">
        <v>58366</v>
      </c>
      <c r="W310" s="1">
        <v>9308691</v>
      </c>
      <c r="X310" s="1">
        <v>1113543</v>
      </c>
      <c r="Y310" s="1">
        <v>319921</v>
      </c>
      <c r="Z310" s="1">
        <v>627782</v>
      </c>
      <c r="AB310" s="1">
        <v>60235</v>
      </c>
      <c r="AC310" s="1">
        <v>94088</v>
      </c>
      <c r="AD310" s="1">
        <v>854371</v>
      </c>
      <c r="AE310" s="1">
        <v>408873</v>
      </c>
      <c r="AG310" s="1">
        <v>3546493</v>
      </c>
      <c r="AH310" s="1">
        <v>12855778</v>
      </c>
      <c r="AJ310" s="1">
        <v>2813</v>
      </c>
      <c r="AK310" s="1">
        <v>2813</v>
      </c>
      <c r="AM310" s="1">
        <v>157594</v>
      </c>
      <c r="AN310" s="1">
        <v>17520</v>
      </c>
      <c r="AO310" s="1">
        <v>175114</v>
      </c>
      <c r="AP310" s="1">
        <v>192179</v>
      </c>
      <c r="AQ310" s="1">
        <v>256210</v>
      </c>
      <c r="AT310" s="1">
        <v>256210</v>
      </c>
      <c r="AU310" s="1">
        <v>73184</v>
      </c>
      <c r="AV310" s="1">
        <v>329394</v>
      </c>
      <c r="AW310" s="1">
        <v>329394</v>
      </c>
      <c r="AY310" s="1">
        <v>135379</v>
      </c>
      <c r="AZ310" s="1">
        <v>14714586</v>
      </c>
      <c r="BC310" s="1">
        <v>13740</v>
      </c>
      <c r="BE310" s="1">
        <v>56673</v>
      </c>
      <c r="BF310" s="1">
        <v>11007</v>
      </c>
      <c r="BH310" s="1">
        <v>594</v>
      </c>
      <c r="BU310" s="1">
        <v>14252</v>
      </c>
      <c r="BV310" s="1">
        <v>14252</v>
      </c>
      <c r="BY310" s="1">
        <v>135379</v>
      </c>
      <c r="CA310" s="1">
        <v>594</v>
      </c>
      <c r="CJ310" s="1">
        <v>171055</v>
      </c>
      <c r="DB310" s="1">
        <v>135480</v>
      </c>
      <c r="DL310" s="1">
        <v>135379</v>
      </c>
    </row>
    <row r="311" spans="1:116">
      <c r="A311" s="1">
        <v>19</v>
      </c>
      <c r="B311" s="1">
        <v>3180</v>
      </c>
      <c r="C311" s="1" t="s">
        <v>1079</v>
      </c>
      <c r="D311" s="1" t="s">
        <v>1102</v>
      </c>
      <c r="F311" s="1">
        <v>98803</v>
      </c>
      <c r="G311" s="1">
        <v>74435</v>
      </c>
      <c r="H311" s="1">
        <v>63992</v>
      </c>
      <c r="I311" s="1">
        <v>1</v>
      </c>
      <c r="J311" s="1">
        <v>237231</v>
      </c>
      <c r="K311" s="1">
        <v>114064</v>
      </c>
      <c r="N311" s="1">
        <v>-1</v>
      </c>
      <c r="O311" s="1">
        <v>114063</v>
      </c>
      <c r="Q311" s="1">
        <v>1488610</v>
      </c>
      <c r="R311" s="1">
        <v>12455</v>
      </c>
      <c r="S311" s="1">
        <v>12455</v>
      </c>
      <c r="V311" s="1">
        <v>11830</v>
      </c>
      <c r="W311" s="1">
        <v>1512895</v>
      </c>
      <c r="X311" s="1">
        <v>90299</v>
      </c>
      <c r="Y311" s="1">
        <v>10877</v>
      </c>
      <c r="Z311" s="1">
        <v>158086</v>
      </c>
      <c r="AB311" s="1">
        <v>12097</v>
      </c>
      <c r="AC311" s="1">
        <v>13825</v>
      </c>
      <c r="AD311" s="1">
        <v>186691</v>
      </c>
      <c r="AE311" s="1">
        <v>57932</v>
      </c>
      <c r="AG311" s="1">
        <v>538857</v>
      </c>
      <c r="AH311" s="1">
        <v>2051752</v>
      </c>
      <c r="AI311" s="1">
        <v>1512</v>
      </c>
      <c r="AJ311" s="1">
        <v>2125</v>
      </c>
      <c r="AK311" s="1">
        <v>3637</v>
      </c>
      <c r="AM311" s="1">
        <v>30703</v>
      </c>
      <c r="AN311" s="1">
        <v>27054</v>
      </c>
      <c r="AO311" s="1">
        <v>57757</v>
      </c>
      <c r="AP311" s="1">
        <v>61394</v>
      </c>
      <c r="AQ311" s="1">
        <v>182</v>
      </c>
      <c r="AT311" s="1">
        <v>182</v>
      </c>
      <c r="AU311" s="1">
        <v>52</v>
      </c>
      <c r="AV311" s="1">
        <v>234</v>
      </c>
      <c r="AW311" s="1">
        <v>234</v>
      </c>
      <c r="AZ311" s="1">
        <v>2464674</v>
      </c>
      <c r="BE311" s="1">
        <v>8238</v>
      </c>
      <c r="BF311" s="1">
        <v>812</v>
      </c>
    </row>
    <row r="312" spans="1:116">
      <c r="A312" s="1">
        <v>19</v>
      </c>
      <c r="B312" s="1">
        <v>3660</v>
      </c>
      <c r="C312" s="1" t="s">
        <v>1079</v>
      </c>
      <c r="D312" s="1" t="s">
        <v>1103</v>
      </c>
      <c r="F312" s="1">
        <v>553483</v>
      </c>
      <c r="G312" s="1">
        <v>4913948</v>
      </c>
      <c r="H312" s="1">
        <v>1398922</v>
      </c>
      <c r="I312" s="1">
        <v>1</v>
      </c>
      <c r="J312" s="1">
        <v>6866354</v>
      </c>
      <c r="K312" s="1">
        <v>1051942</v>
      </c>
      <c r="L312" s="1">
        <v>700000</v>
      </c>
      <c r="M312" s="1">
        <v>18396</v>
      </c>
      <c r="N312" s="1">
        <v>1</v>
      </c>
      <c r="O312" s="1">
        <v>1770339</v>
      </c>
      <c r="Q312" s="1">
        <v>43789154</v>
      </c>
      <c r="W312" s="1">
        <v>44605089</v>
      </c>
      <c r="X312" s="1">
        <v>2440478</v>
      </c>
      <c r="Y312" s="1">
        <v>986322</v>
      </c>
      <c r="Z312" s="1">
        <v>1510104</v>
      </c>
      <c r="AA312" s="1">
        <v>54</v>
      </c>
      <c r="AB312" s="1">
        <v>91983</v>
      </c>
      <c r="AC312" s="1">
        <v>164417</v>
      </c>
      <c r="AD312" s="1">
        <v>2695902</v>
      </c>
      <c r="AE312" s="1">
        <v>1414414</v>
      </c>
      <c r="AG312" s="1">
        <v>10249829</v>
      </c>
      <c r="AH312" s="1">
        <v>55250017</v>
      </c>
      <c r="AJ312" s="1">
        <v>2175</v>
      </c>
      <c r="AK312" s="1">
        <v>2175</v>
      </c>
      <c r="AM312" s="1">
        <v>449225</v>
      </c>
      <c r="AN312" s="1">
        <v>40092</v>
      </c>
      <c r="AO312" s="1">
        <v>489317</v>
      </c>
      <c r="AP312" s="1">
        <v>551523</v>
      </c>
      <c r="AQ312" s="1">
        <v>795123</v>
      </c>
      <c r="AT312" s="1">
        <v>795123</v>
      </c>
      <c r="AV312" s="1">
        <v>795123</v>
      </c>
      <c r="AW312" s="1">
        <v>795123</v>
      </c>
      <c r="AZ312" s="1">
        <v>65233356</v>
      </c>
      <c r="BE312" s="1">
        <v>167190</v>
      </c>
      <c r="BF312" s="1">
        <v>307352</v>
      </c>
      <c r="BQ312" s="1">
        <v>815935</v>
      </c>
      <c r="BR312" s="1">
        <v>471613</v>
      </c>
      <c r="BU312" s="1">
        <v>60031</v>
      </c>
      <c r="BV312" s="1">
        <v>60031</v>
      </c>
      <c r="CG312" s="1">
        <v>395099</v>
      </c>
      <c r="CJ312" s="1">
        <v>2098922</v>
      </c>
      <c r="DB312" s="1">
        <v>950000</v>
      </c>
    </row>
    <row r="313" spans="1:116">
      <c r="A313" s="1">
        <v>19</v>
      </c>
      <c r="B313" s="1">
        <v>4350</v>
      </c>
      <c r="C313" s="1" t="s">
        <v>1079</v>
      </c>
      <c r="D313" s="1" t="s">
        <v>1104</v>
      </c>
      <c r="F313" s="1">
        <v>1536413</v>
      </c>
      <c r="G313" s="1">
        <v>47764</v>
      </c>
      <c r="I313" s="1">
        <v>147989</v>
      </c>
      <c r="J313" s="1">
        <v>1807166</v>
      </c>
      <c r="K313" s="1">
        <v>651729</v>
      </c>
      <c r="M313" s="1">
        <v>1274698</v>
      </c>
      <c r="N313" s="1">
        <v>27919</v>
      </c>
      <c r="O313" s="1">
        <v>1954346</v>
      </c>
      <c r="P313" s="1">
        <v>13571</v>
      </c>
      <c r="Q313" s="1">
        <v>27923891</v>
      </c>
      <c r="T313" s="1">
        <v>18266</v>
      </c>
      <c r="U313" s="1">
        <v>7769</v>
      </c>
      <c r="V313" s="1">
        <v>322620</v>
      </c>
      <c r="W313" s="1">
        <v>28272546</v>
      </c>
      <c r="Y313" s="1">
        <v>743654</v>
      </c>
      <c r="Z313" s="1">
        <v>1146062</v>
      </c>
      <c r="AA313" s="1">
        <v>11662</v>
      </c>
      <c r="AB313" s="1">
        <v>85434</v>
      </c>
      <c r="AC313" s="1">
        <v>134787</v>
      </c>
      <c r="AD313" s="1">
        <v>1635648</v>
      </c>
      <c r="AE313" s="1">
        <v>1013200</v>
      </c>
      <c r="AG313" s="1">
        <v>4847460</v>
      </c>
      <c r="AH313" s="1">
        <v>33133946</v>
      </c>
      <c r="AJ313" s="1">
        <v>14431</v>
      </c>
      <c r="AK313" s="1">
        <v>14431</v>
      </c>
      <c r="AM313" s="1">
        <v>642623</v>
      </c>
      <c r="AN313" s="1">
        <v>41206</v>
      </c>
      <c r="AO313" s="1">
        <v>683829</v>
      </c>
      <c r="AP313" s="1">
        <v>700933</v>
      </c>
      <c r="AQ313" s="1">
        <v>2112486</v>
      </c>
      <c r="AT313" s="1">
        <v>2112486</v>
      </c>
      <c r="AU313" s="1">
        <v>7130</v>
      </c>
      <c r="AV313" s="1">
        <v>2255084</v>
      </c>
      <c r="AW313" s="1">
        <v>2255084</v>
      </c>
      <c r="AX313" s="1">
        <v>13571</v>
      </c>
      <c r="AY313" s="1">
        <v>610961</v>
      </c>
      <c r="AZ313" s="1">
        <v>40595654</v>
      </c>
      <c r="BB313" s="1">
        <v>75000</v>
      </c>
      <c r="BE313" s="1">
        <v>61085</v>
      </c>
      <c r="BF313" s="1">
        <v>15928</v>
      </c>
      <c r="BH313" s="1">
        <v>369</v>
      </c>
      <c r="BL313" s="1">
        <v>135468</v>
      </c>
      <c r="BU313" s="1">
        <v>2673</v>
      </c>
      <c r="BV313" s="1">
        <v>2673</v>
      </c>
      <c r="BX313" s="1">
        <v>97321</v>
      </c>
      <c r="BY313" s="1">
        <v>744179</v>
      </c>
      <c r="CA313" s="1">
        <v>369</v>
      </c>
      <c r="DF313" s="1">
        <v>22326</v>
      </c>
    </row>
    <row r="314" spans="1:116">
      <c r="A314" s="1">
        <v>19</v>
      </c>
      <c r="B314" s="1">
        <v>4890</v>
      </c>
      <c r="C314" s="1" t="s">
        <v>1079</v>
      </c>
      <c r="D314" s="1" t="s">
        <v>1105</v>
      </c>
      <c r="F314" s="1">
        <v>83029</v>
      </c>
      <c r="G314" s="1">
        <v>157244</v>
      </c>
      <c r="H314" s="1">
        <v>185040</v>
      </c>
      <c r="I314" s="1">
        <v>576883</v>
      </c>
      <c r="J314" s="1">
        <v>1002196</v>
      </c>
      <c r="K314" s="1">
        <v>156922</v>
      </c>
      <c r="M314" s="1">
        <v>14385080</v>
      </c>
      <c r="N314" s="1">
        <v>236638</v>
      </c>
      <c r="O314" s="1">
        <v>14778640</v>
      </c>
      <c r="Q314" s="1">
        <v>6839303</v>
      </c>
      <c r="R314" s="1">
        <v>122179</v>
      </c>
      <c r="S314" s="1">
        <v>145679</v>
      </c>
      <c r="U314" s="1">
        <v>30252</v>
      </c>
      <c r="V314" s="1">
        <v>57439</v>
      </c>
      <c r="W314" s="1">
        <v>7072673</v>
      </c>
      <c r="Y314" s="1">
        <v>176048</v>
      </c>
      <c r="Z314" s="1">
        <v>237626</v>
      </c>
      <c r="AA314" s="1">
        <v>18</v>
      </c>
      <c r="AB314" s="1">
        <v>19052</v>
      </c>
      <c r="AC314" s="1">
        <v>37085</v>
      </c>
      <c r="AD314" s="1">
        <v>551603</v>
      </c>
      <c r="AE314" s="1">
        <v>268882</v>
      </c>
      <c r="AG314" s="1">
        <v>1504263</v>
      </c>
      <c r="AH314" s="1">
        <v>8699158</v>
      </c>
      <c r="AI314" s="1">
        <v>7380</v>
      </c>
      <c r="AJ314" s="1">
        <v>1690</v>
      </c>
      <c r="AK314" s="1">
        <v>9070</v>
      </c>
      <c r="AL314" s="1">
        <v>13031</v>
      </c>
      <c r="AM314" s="1">
        <v>73530</v>
      </c>
      <c r="AN314" s="1">
        <v>30767</v>
      </c>
      <c r="AO314" s="1">
        <v>117328</v>
      </c>
      <c r="AP314" s="1">
        <v>126965</v>
      </c>
      <c r="AQ314" s="1">
        <v>723989</v>
      </c>
      <c r="AT314" s="1">
        <v>723989</v>
      </c>
      <c r="AV314" s="1">
        <v>1023989</v>
      </c>
      <c r="AW314" s="1">
        <v>1023989</v>
      </c>
      <c r="AX314" s="1">
        <v>728868</v>
      </c>
      <c r="AY314" s="1">
        <v>-200000</v>
      </c>
      <c r="AZ314" s="1">
        <v>26159816</v>
      </c>
      <c r="BC314" s="1">
        <v>23500</v>
      </c>
      <c r="BE314" s="1">
        <v>19373</v>
      </c>
      <c r="BF314" s="1">
        <v>6974</v>
      </c>
      <c r="BL314" s="1">
        <v>300000</v>
      </c>
      <c r="BR314" s="1">
        <v>187602</v>
      </c>
      <c r="BU314" s="1">
        <v>567</v>
      </c>
      <c r="BV314" s="1">
        <v>567</v>
      </c>
      <c r="BY314" s="1">
        <v>528868</v>
      </c>
      <c r="CG314" s="1">
        <v>122222</v>
      </c>
      <c r="CJ314" s="1">
        <v>185040</v>
      </c>
      <c r="DL314" s="1">
        <v>100000</v>
      </c>
    </row>
    <row r="315" spans="1:116">
      <c r="A315" s="1">
        <v>19</v>
      </c>
      <c r="B315" s="1">
        <v>5050</v>
      </c>
      <c r="C315" s="1" t="s">
        <v>1079</v>
      </c>
      <c r="D315" s="1" t="s">
        <v>1106</v>
      </c>
      <c r="F315" s="1">
        <v>25954</v>
      </c>
      <c r="I315" s="1">
        <v>1</v>
      </c>
      <c r="J315" s="1">
        <v>25955</v>
      </c>
      <c r="K315" s="1">
        <v>63420</v>
      </c>
      <c r="O315" s="1">
        <v>63420</v>
      </c>
      <c r="Q315" s="1">
        <v>549360</v>
      </c>
      <c r="S315" s="1">
        <v>14292</v>
      </c>
      <c r="V315" s="1">
        <v>5822</v>
      </c>
      <c r="W315" s="1">
        <v>569474</v>
      </c>
      <c r="Y315" s="1">
        <v>933</v>
      </c>
      <c r="Z315" s="1">
        <v>3721</v>
      </c>
      <c r="AC315" s="1">
        <v>5267</v>
      </c>
      <c r="AD315" s="1">
        <v>72091</v>
      </c>
      <c r="AE315" s="1">
        <v>27247</v>
      </c>
      <c r="AG315" s="1">
        <v>111910</v>
      </c>
      <c r="AH315" s="1">
        <v>681384</v>
      </c>
      <c r="AJ315" s="1">
        <v>18284</v>
      </c>
      <c r="AK315" s="1">
        <v>18284</v>
      </c>
      <c r="AM315" s="1">
        <v>8337</v>
      </c>
      <c r="AN315" s="1">
        <v>20749</v>
      </c>
      <c r="AO315" s="1">
        <v>29086</v>
      </c>
      <c r="AP315" s="1">
        <v>47370</v>
      </c>
      <c r="AZ315" s="1">
        <v>818129</v>
      </c>
      <c r="BC315" s="1">
        <v>14292</v>
      </c>
      <c r="BE315" s="1">
        <v>366</v>
      </c>
      <c r="BR315" s="1">
        <v>2285</v>
      </c>
    </row>
    <row r="316" spans="1:116">
      <c r="A316" s="1">
        <v>19</v>
      </c>
      <c r="B316" s="1">
        <v>5180</v>
      </c>
      <c r="C316" s="1" t="s">
        <v>1079</v>
      </c>
      <c r="D316" s="1" t="s">
        <v>1107</v>
      </c>
      <c r="F316" s="1">
        <v>767515</v>
      </c>
      <c r="G316" s="1">
        <v>214812</v>
      </c>
      <c r="H316" s="1">
        <v>104829</v>
      </c>
      <c r="I316" s="1">
        <v>1</v>
      </c>
      <c r="J316" s="1">
        <v>1108951</v>
      </c>
      <c r="K316" s="1">
        <v>230978</v>
      </c>
      <c r="L316" s="1">
        <v>100000</v>
      </c>
      <c r="M316" s="1">
        <v>149323</v>
      </c>
      <c r="N316" s="1">
        <v>2</v>
      </c>
      <c r="O316" s="1">
        <v>480303</v>
      </c>
      <c r="Q316" s="1">
        <v>10176892</v>
      </c>
      <c r="R316" s="1">
        <v>14863</v>
      </c>
      <c r="S316" s="1">
        <v>14863</v>
      </c>
      <c r="V316" s="1">
        <v>148004</v>
      </c>
      <c r="W316" s="1">
        <v>10339759</v>
      </c>
      <c r="Y316" s="1">
        <v>261895</v>
      </c>
      <c r="Z316" s="1">
        <v>370550</v>
      </c>
      <c r="AA316" s="1">
        <v>15094</v>
      </c>
      <c r="AB316" s="1">
        <v>15964</v>
      </c>
      <c r="AC316" s="1">
        <v>47958</v>
      </c>
      <c r="AD316" s="1">
        <v>592195</v>
      </c>
      <c r="AE316" s="1">
        <v>347572</v>
      </c>
      <c r="AG316" s="1">
        <v>1684691</v>
      </c>
      <c r="AH316" s="1">
        <v>12024450</v>
      </c>
      <c r="AJ316" s="1">
        <v>3697</v>
      </c>
      <c r="AK316" s="1">
        <v>3697</v>
      </c>
      <c r="AM316" s="1">
        <v>46219</v>
      </c>
      <c r="AN316" s="1">
        <v>13226</v>
      </c>
      <c r="AO316" s="1">
        <v>59445</v>
      </c>
      <c r="AP316" s="1">
        <v>68762</v>
      </c>
      <c r="AQ316" s="1">
        <v>863116</v>
      </c>
      <c r="AS316" s="1">
        <v>6963</v>
      </c>
      <c r="AT316" s="1">
        <v>870079</v>
      </c>
      <c r="AV316" s="1">
        <v>870079</v>
      </c>
      <c r="AW316" s="1">
        <v>870079</v>
      </c>
      <c r="AX316" s="1">
        <v>2794</v>
      </c>
      <c r="AZ316" s="1">
        <v>14624815</v>
      </c>
      <c r="BE316" s="1">
        <v>20865</v>
      </c>
      <c r="BF316" s="1">
        <v>12598</v>
      </c>
      <c r="BU316" s="1">
        <v>5620</v>
      </c>
      <c r="BV316" s="1">
        <v>5620</v>
      </c>
      <c r="BY316" s="1">
        <v>72270</v>
      </c>
      <c r="CJ316" s="1">
        <v>233222</v>
      </c>
      <c r="CL316" s="1">
        <v>21794</v>
      </c>
      <c r="DC316" s="1">
        <v>6963</v>
      </c>
      <c r="DF316" s="1">
        <v>69476</v>
      </c>
    </row>
    <row r="317" spans="1:116">
      <c r="A317" s="1">
        <v>19</v>
      </c>
      <c r="B317" s="1">
        <v>5270</v>
      </c>
      <c r="C317" s="1" t="s">
        <v>1079</v>
      </c>
      <c r="D317" s="1" t="s">
        <v>1108</v>
      </c>
      <c r="F317" s="1">
        <v>238978</v>
      </c>
      <c r="G317" s="1">
        <v>55437</v>
      </c>
      <c r="I317" s="1">
        <v>1</v>
      </c>
      <c r="J317" s="1">
        <v>294416</v>
      </c>
      <c r="K317" s="1">
        <v>166676</v>
      </c>
      <c r="M317" s="1">
        <v>1846847</v>
      </c>
      <c r="N317" s="1">
        <v>97114</v>
      </c>
      <c r="O317" s="1">
        <v>2110637</v>
      </c>
      <c r="P317" s="1">
        <v>93469</v>
      </c>
      <c r="Q317" s="1">
        <v>7323876</v>
      </c>
      <c r="S317" s="1">
        <v>10300</v>
      </c>
      <c r="V317" s="1">
        <v>68266</v>
      </c>
      <c r="W317" s="1">
        <v>7402442</v>
      </c>
      <c r="X317" s="1">
        <v>3790</v>
      </c>
      <c r="Y317" s="1">
        <v>200058</v>
      </c>
      <c r="Z317" s="1">
        <v>359907</v>
      </c>
      <c r="AA317" s="1">
        <v>8140</v>
      </c>
      <c r="AB317" s="1">
        <v>24767</v>
      </c>
      <c r="AC317" s="1">
        <v>74610</v>
      </c>
      <c r="AD317" s="1">
        <v>497623</v>
      </c>
      <c r="AE317" s="1">
        <v>260874</v>
      </c>
      <c r="AG317" s="1">
        <v>1565889</v>
      </c>
      <c r="AH317" s="1">
        <v>9061800</v>
      </c>
      <c r="AJ317" s="1">
        <v>1036</v>
      </c>
      <c r="AK317" s="1">
        <v>1036</v>
      </c>
      <c r="AL317" s="1">
        <v>212</v>
      </c>
      <c r="AM317" s="1">
        <v>114899</v>
      </c>
      <c r="AN317" s="1">
        <v>14568</v>
      </c>
      <c r="AO317" s="1">
        <v>129679</v>
      </c>
      <c r="AP317" s="1">
        <v>130715</v>
      </c>
      <c r="AQ317" s="1">
        <v>911105</v>
      </c>
      <c r="AT317" s="1">
        <v>911105</v>
      </c>
      <c r="AU317" s="1">
        <v>18650</v>
      </c>
      <c r="AV317" s="1">
        <v>935250</v>
      </c>
      <c r="AW317" s="1">
        <v>935250</v>
      </c>
      <c r="AX317" s="1">
        <v>34629</v>
      </c>
      <c r="AY317" s="1">
        <v>-98964</v>
      </c>
      <c r="AZ317" s="1">
        <v>15738863</v>
      </c>
      <c r="BC317" s="1">
        <v>10300</v>
      </c>
      <c r="BE317" s="1">
        <v>22592</v>
      </c>
      <c r="BF317" s="1">
        <v>6960</v>
      </c>
      <c r="BL317" s="1">
        <v>5495</v>
      </c>
      <c r="BR317" s="1">
        <v>106568</v>
      </c>
      <c r="BX317" s="1">
        <v>132996</v>
      </c>
      <c r="BY317" s="1">
        <v>3206045</v>
      </c>
      <c r="CI317" s="1">
        <v>3137384</v>
      </c>
      <c r="CJ317" s="1">
        <v>21352</v>
      </c>
    </row>
    <row r="318" spans="1:116">
      <c r="A318" s="1">
        <v>19</v>
      </c>
      <c r="B318" s="1">
        <v>5600</v>
      </c>
      <c r="C318" s="1" t="s">
        <v>1079</v>
      </c>
      <c r="D318" s="1" t="s">
        <v>1109</v>
      </c>
      <c r="F318" s="1">
        <v>61812</v>
      </c>
      <c r="G318" s="1">
        <v>50839</v>
      </c>
      <c r="H318" s="1">
        <v>7051</v>
      </c>
      <c r="I318" s="1">
        <v>37017</v>
      </c>
      <c r="J318" s="1">
        <v>199969</v>
      </c>
      <c r="K318" s="1">
        <v>101596</v>
      </c>
      <c r="L318" s="1">
        <v>9483</v>
      </c>
      <c r="M318" s="1">
        <v>24504</v>
      </c>
      <c r="N318" s="1">
        <v>-12621</v>
      </c>
      <c r="O318" s="1">
        <v>122962</v>
      </c>
      <c r="Q318" s="1">
        <v>3075502</v>
      </c>
      <c r="S318" s="1">
        <v>6906</v>
      </c>
      <c r="U318" s="1">
        <v>1448</v>
      </c>
      <c r="V318" s="1">
        <v>38933</v>
      </c>
      <c r="W318" s="1">
        <v>3122789</v>
      </c>
      <c r="Y318" s="1">
        <v>41835</v>
      </c>
      <c r="Z318" s="1">
        <v>237269</v>
      </c>
      <c r="AB318" s="1">
        <v>6493</v>
      </c>
      <c r="AC318" s="1">
        <v>21834</v>
      </c>
      <c r="AD318" s="1">
        <v>252093</v>
      </c>
      <c r="AE318" s="1">
        <v>114838</v>
      </c>
      <c r="AG318" s="1">
        <v>716609</v>
      </c>
      <c r="AH318" s="1">
        <v>3839398</v>
      </c>
      <c r="AJ318" s="1">
        <v>1100</v>
      </c>
      <c r="AK318" s="1">
        <v>1100</v>
      </c>
      <c r="AL318" s="1">
        <v>8900</v>
      </c>
      <c r="AM318" s="1">
        <v>58323</v>
      </c>
      <c r="AN318" s="1">
        <v>22501</v>
      </c>
      <c r="AO318" s="1">
        <v>89724</v>
      </c>
      <c r="AP318" s="1">
        <v>101370</v>
      </c>
      <c r="AQ318" s="1">
        <v>137527</v>
      </c>
      <c r="AT318" s="1">
        <v>137527</v>
      </c>
      <c r="AV318" s="1">
        <v>137527</v>
      </c>
      <c r="AW318" s="1">
        <v>137527</v>
      </c>
      <c r="AZ318" s="1">
        <v>4401226</v>
      </c>
      <c r="BB318" s="1">
        <v>43250</v>
      </c>
      <c r="BC318" s="1">
        <v>6906</v>
      </c>
      <c r="BE318" s="1">
        <v>9028</v>
      </c>
      <c r="BF318" s="1">
        <v>33219</v>
      </c>
      <c r="BU318" s="1">
        <v>10546</v>
      </c>
      <c r="BV318" s="1">
        <v>10546</v>
      </c>
      <c r="CJ318" s="1">
        <v>16534</v>
      </c>
    </row>
    <row r="319" spans="1:116">
      <c r="A319" s="1">
        <v>21</v>
      </c>
      <c r="B319" s="1">
        <v>1245</v>
      </c>
      <c r="C319" s="1" t="s">
        <v>1110</v>
      </c>
      <c r="D319" s="1" t="s">
        <v>1111</v>
      </c>
      <c r="F319" s="1">
        <v>319195</v>
      </c>
      <c r="H319" s="1">
        <v>1372387</v>
      </c>
      <c r="I319" s="1">
        <v>28170</v>
      </c>
      <c r="J319" s="1">
        <v>3859968</v>
      </c>
      <c r="K319" s="1">
        <v>931317</v>
      </c>
      <c r="L319" s="1">
        <v>1127613</v>
      </c>
      <c r="M319" s="1">
        <v>191242</v>
      </c>
      <c r="N319" s="1">
        <v>201063</v>
      </c>
      <c r="O319" s="1">
        <v>2451235</v>
      </c>
      <c r="Q319" s="1">
        <v>52392602</v>
      </c>
      <c r="R319" s="1">
        <v>768993</v>
      </c>
      <c r="S319" s="1">
        <v>768993</v>
      </c>
      <c r="V319" s="1">
        <v>604156</v>
      </c>
      <c r="W319" s="1">
        <v>54031705</v>
      </c>
      <c r="X319" s="1">
        <v>6228143</v>
      </c>
      <c r="Y319" s="1">
        <v>1505578</v>
      </c>
      <c r="Z319" s="1">
        <v>4480900</v>
      </c>
      <c r="AA319" s="1">
        <v>517368</v>
      </c>
      <c r="AB319" s="1">
        <v>181875</v>
      </c>
      <c r="AC319" s="1">
        <v>528631</v>
      </c>
      <c r="AD319" s="1">
        <v>4143994</v>
      </c>
      <c r="AE319" s="1">
        <v>2355294</v>
      </c>
      <c r="AG319" s="1">
        <v>23480121</v>
      </c>
      <c r="AH319" s="1">
        <v>77511826</v>
      </c>
      <c r="AI319" s="1">
        <v>195890</v>
      </c>
      <c r="AJ319" s="1">
        <v>258468</v>
      </c>
      <c r="AK319" s="1">
        <v>454358</v>
      </c>
      <c r="AL319" s="1">
        <v>237969</v>
      </c>
      <c r="AM319" s="1">
        <v>1291435</v>
      </c>
      <c r="AN319" s="1">
        <v>475045</v>
      </c>
      <c r="AO319" s="1">
        <v>2004449</v>
      </c>
      <c r="AP319" s="1">
        <v>2480135</v>
      </c>
      <c r="AQ319" s="1">
        <v>3418785</v>
      </c>
      <c r="AR319" s="1">
        <v>87145</v>
      </c>
      <c r="AS319" s="1">
        <v>87145</v>
      </c>
      <c r="AT319" s="1">
        <v>3505930</v>
      </c>
      <c r="AU319" s="1">
        <v>205862</v>
      </c>
      <c r="AV319" s="1">
        <v>3711792</v>
      </c>
      <c r="AW319" s="1">
        <v>3711792</v>
      </c>
      <c r="AY319" s="1">
        <v>2750000</v>
      </c>
      <c r="AZ319" s="1">
        <v>92764956</v>
      </c>
      <c r="BD319" s="1">
        <v>10972</v>
      </c>
      <c r="BE319" s="1">
        <v>493979</v>
      </c>
      <c r="BF319" s="1">
        <v>34728</v>
      </c>
      <c r="BU319" s="1">
        <v>21328</v>
      </c>
      <c r="BV319" s="1">
        <v>21328</v>
      </c>
      <c r="BY319" s="1">
        <v>2750000</v>
      </c>
      <c r="CE319" s="1">
        <v>241543</v>
      </c>
      <c r="CF319" s="1">
        <v>2998659</v>
      </c>
      <c r="CL319" s="1">
        <v>2140216</v>
      </c>
      <c r="CZ319" s="1">
        <v>24411</v>
      </c>
    </row>
    <row r="320" spans="1:116">
      <c r="A320" s="1">
        <v>21</v>
      </c>
      <c r="B320" s="1">
        <v>1430</v>
      </c>
      <c r="C320" s="1" t="s">
        <v>1110</v>
      </c>
      <c r="D320" s="1" t="s">
        <v>1112</v>
      </c>
      <c r="F320" s="1">
        <v>181093</v>
      </c>
      <c r="G320" s="1">
        <v>1708136</v>
      </c>
      <c r="I320" s="1">
        <v>1</v>
      </c>
      <c r="J320" s="1">
        <v>3089230</v>
      </c>
      <c r="K320" s="1">
        <v>1024715</v>
      </c>
      <c r="L320" s="1">
        <v>1800000</v>
      </c>
      <c r="M320" s="1">
        <v>47225</v>
      </c>
      <c r="N320" s="1">
        <v>55076</v>
      </c>
      <c r="O320" s="1">
        <v>2927016</v>
      </c>
      <c r="P320" s="1">
        <v>35000</v>
      </c>
      <c r="Q320" s="1">
        <v>40896413</v>
      </c>
      <c r="S320" s="1">
        <v>217635</v>
      </c>
      <c r="V320" s="1">
        <v>498309</v>
      </c>
      <c r="W320" s="1">
        <v>41634620</v>
      </c>
      <c r="Y320" s="1">
        <v>1090058</v>
      </c>
      <c r="Z320" s="1">
        <v>2939245</v>
      </c>
      <c r="AA320" s="1">
        <v>122316</v>
      </c>
      <c r="AB320" s="1">
        <v>90270</v>
      </c>
      <c r="AC320" s="1">
        <v>431200</v>
      </c>
      <c r="AD320" s="1">
        <v>4219570</v>
      </c>
      <c r="AE320" s="1">
        <v>1674149</v>
      </c>
      <c r="AG320" s="1">
        <v>13383949</v>
      </c>
      <c r="AH320" s="1">
        <v>56003569</v>
      </c>
      <c r="AI320" s="1">
        <v>162419</v>
      </c>
      <c r="AJ320" s="1">
        <v>228054</v>
      </c>
      <c r="AK320" s="1">
        <v>390473</v>
      </c>
      <c r="AL320" s="1">
        <v>303967</v>
      </c>
      <c r="AM320" s="1">
        <v>982243</v>
      </c>
      <c r="AN320" s="1">
        <v>768001</v>
      </c>
      <c r="AO320" s="1">
        <v>2054211</v>
      </c>
      <c r="AP320" s="1">
        <v>2498457</v>
      </c>
      <c r="AQ320" s="1">
        <v>5815737</v>
      </c>
      <c r="AR320" s="1">
        <v>6758</v>
      </c>
      <c r="AS320" s="1">
        <v>1823326</v>
      </c>
      <c r="AT320" s="1">
        <v>7639063</v>
      </c>
      <c r="AU320" s="1">
        <v>943622</v>
      </c>
      <c r="AV320" s="1">
        <v>8582685</v>
      </c>
      <c r="AW320" s="1">
        <v>8582685</v>
      </c>
      <c r="AZ320" s="1">
        <v>73100957</v>
      </c>
      <c r="BA320" s="1">
        <v>1200000</v>
      </c>
      <c r="BC320" s="1">
        <v>217635</v>
      </c>
      <c r="BE320" s="1">
        <v>210110</v>
      </c>
      <c r="BF320" s="1">
        <v>348608</v>
      </c>
      <c r="BR320" s="1">
        <v>2258423</v>
      </c>
      <c r="BU320" s="1">
        <v>53773</v>
      </c>
      <c r="BV320" s="1">
        <v>53773</v>
      </c>
      <c r="CG320" s="1">
        <v>950000</v>
      </c>
      <c r="CZ320" s="1">
        <v>22263</v>
      </c>
      <c r="DC320" s="1">
        <v>1816568</v>
      </c>
    </row>
    <row r="321" spans="1:130">
      <c r="A321" s="1">
        <v>21</v>
      </c>
      <c r="B321" s="1">
        <v>1950</v>
      </c>
      <c r="C321" s="1" t="s">
        <v>1110</v>
      </c>
      <c r="D321" s="1" t="s">
        <v>1782</v>
      </c>
      <c r="F321" s="1">
        <v>553001</v>
      </c>
      <c r="G321" s="1">
        <v>1900182</v>
      </c>
      <c r="I321" s="1">
        <v>834455</v>
      </c>
      <c r="J321" s="1">
        <v>3644234</v>
      </c>
      <c r="K321" s="1">
        <v>4207366</v>
      </c>
      <c r="L321" s="1">
        <v>2090059</v>
      </c>
      <c r="M321" s="1">
        <v>285197</v>
      </c>
      <c r="N321" s="1">
        <v>5515216</v>
      </c>
      <c r="O321" s="1">
        <v>12097838</v>
      </c>
      <c r="P321" s="1">
        <v>-12500</v>
      </c>
      <c r="Q321" s="1">
        <v>91928223</v>
      </c>
      <c r="S321" s="1">
        <v>68841</v>
      </c>
      <c r="U321" s="1">
        <v>16666</v>
      </c>
      <c r="V321" s="1">
        <v>1507386</v>
      </c>
      <c r="W321" s="1">
        <v>94299433</v>
      </c>
      <c r="X321" s="1">
        <v>31855304</v>
      </c>
      <c r="Y321" s="1">
        <v>3058026</v>
      </c>
      <c r="Z321" s="1">
        <v>12376974</v>
      </c>
      <c r="AA321" s="1">
        <v>249970</v>
      </c>
      <c r="AB321" s="1">
        <v>558710</v>
      </c>
      <c r="AC321" s="1">
        <v>1497459</v>
      </c>
      <c r="AD321" s="1">
        <v>11273134</v>
      </c>
      <c r="AE321" s="1">
        <v>5121517</v>
      </c>
      <c r="AG321" s="1">
        <v>72366214</v>
      </c>
      <c r="AH321" s="1">
        <v>166653147</v>
      </c>
      <c r="AI321" s="1">
        <v>492158</v>
      </c>
      <c r="AJ321" s="1">
        <v>1807924</v>
      </c>
      <c r="AK321" s="1">
        <v>2877842</v>
      </c>
      <c r="AL321" s="1">
        <v>919215</v>
      </c>
      <c r="AM321" s="1">
        <v>3514886</v>
      </c>
      <c r="AN321" s="1">
        <v>1232323</v>
      </c>
      <c r="AO321" s="1">
        <v>5666424</v>
      </c>
      <c r="AP321" s="1">
        <v>8575033</v>
      </c>
      <c r="AQ321" s="1">
        <v>4474401</v>
      </c>
      <c r="AS321" s="1">
        <v>121205</v>
      </c>
      <c r="AT321" s="1">
        <v>4595606</v>
      </c>
      <c r="AU321" s="1">
        <v>967809</v>
      </c>
      <c r="AV321" s="1">
        <v>5563415</v>
      </c>
      <c r="AW321" s="1">
        <v>5563415</v>
      </c>
      <c r="AY321" s="1">
        <v>199690</v>
      </c>
      <c r="AZ321" s="1">
        <v>196755597</v>
      </c>
      <c r="BB321" s="1">
        <v>356596</v>
      </c>
      <c r="BC321" s="1">
        <v>68841</v>
      </c>
      <c r="BE321" s="1">
        <v>1612008</v>
      </c>
      <c r="BF321" s="1">
        <v>27214</v>
      </c>
      <c r="BJ321" s="1">
        <v>577760</v>
      </c>
      <c r="BQ321" s="1">
        <v>778317</v>
      </c>
      <c r="BU321" s="1">
        <v>30767</v>
      </c>
      <c r="BV321" s="1">
        <v>30767</v>
      </c>
      <c r="BY321" s="1">
        <v>221930</v>
      </c>
      <c r="CC321" s="1">
        <v>6077</v>
      </c>
      <c r="CI321" s="1">
        <v>16163</v>
      </c>
      <c r="CM321" s="1">
        <v>1109941</v>
      </c>
      <c r="DC321" s="1">
        <v>121205</v>
      </c>
      <c r="DO321" s="1">
        <v>3625957</v>
      </c>
    </row>
    <row r="322" spans="1:130">
      <c r="A322" s="1">
        <v>21</v>
      </c>
      <c r="B322" s="1">
        <v>2280</v>
      </c>
      <c r="C322" s="1" t="s">
        <v>1110</v>
      </c>
      <c r="D322" s="1" t="s">
        <v>1113</v>
      </c>
      <c r="F322" s="1">
        <v>1833175</v>
      </c>
      <c r="G322" s="1">
        <v>431856</v>
      </c>
      <c r="H322" s="1">
        <v>849703</v>
      </c>
      <c r="I322" s="1">
        <v>486101</v>
      </c>
      <c r="J322" s="1">
        <v>3999694</v>
      </c>
      <c r="K322" s="1">
        <v>1399904</v>
      </c>
      <c r="L322" s="1">
        <v>563125</v>
      </c>
      <c r="M322" s="1">
        <v>9232264</v>
      </c>
      <c r="N322" s="1">
        <v>875964</v>
      </c>
      <c r="O322" s="1">
        <v>12071257</v>
      </c>
      <c r="Q322" s="1">
        <v>55061914</v>
      </c>
      <c r="R322" s="1">
        <v>254427</v>
      </c>
      <c r="S322" s="1">
        <v>254427</v>
      </c>
      <c r="V322" s="1">
        <v>733098</v>
      </c>
      <c r="W322" s="1">
        <v>56049439</v>
      </c>
      <c r="Y322" s="1">
        <v>1290030</v>
      </c>
      <c r="Z322" s="1">
        <v>2502991</v>
      </c>
      <c r="AA322" s="1">
        <v>9344</v>
      </c>
      <c r="AB322" s="1">
        <v>242225</v>
      </c>
      <c r="AC322" s="1">
        <v>213564</v>
      </c>
      <c r="AD322" s="1">
        <v>3300406</v>
      </c>
      <c r="AE322" s="1">
        <v>2009862</v>
      </c>
      <c r="AG322" s="1">
        <v>9721947</v>
      </c>
      <c r="AH322" s="1">
        <v>66058636</v>
      </c>
      <c r="AJ322" s="1">
        <v>52208</v>
      </c>
      <c r="AK322" s="1">
        <v>52208</v>
      </c>
      <c r="AM322" s="1">
        <v>777160</v>
      </c>
      <c r="AN322" s="1">
        <v>81940</v>
      </c>
      <c r="AO322" s="1">
        <v>859100</v>
      </c>
      <c r="AP322" s="1">
        <v>990086</v>
      </c>
      <c r="AQ322" s="1">
        <v>4766504</v>
      </c>
      <c r="AR322" s="1">
        <v>9371</v>
      </c>
      <c r="AS322" s="1">
        <v>9371</v>
      </c>
      <c r="AT322" s="1">
        <v>4775875</v>
      </c>
      <c r="AV322" s="1">
        <v>4922257</v>
      </c>
      <c r="AW322" s="1">
        <v>4922257</v>
      </c>
      <c r="AZ322" s="1">
        <v>88041930</v>
      </c>
      <c r="BB322" s="1">
        <v>398859</v>
      </c>
      <c r="BE322" s="1">
        <v>120478</v>
      </c>
      <c r="BF322" s="1">
        <v>33047</v>
      </c>
      <c r="BL322" s="1">
        <v>146382</v>
      </c>
      <c r="BU322" s="1">
        <v>78778</v>
      </c>
      <c r="BV322" s="1">
        <v>78778</v>
      </c>
      <c r="CG322" s="1">
        <v>287250</v>
      </c>
    </row>
    <row r="323" spans="1:130">
      <c r="A323" s="1">
        <v>21</v>
      </c>
      <c r="B323" s="1">
        <v>2580</v>
      </c>
      <c r="C323" s="1" t="s">
        <v>1110</v>
      </c>
      <c r="D323" s="1" t="s">
        <v>1179</v>
      </c>
      <c r="F323" s="1">
        <v>1102658</v>
      </c>
      <c r="G323" s="1">
        <v>731302</v>
      </c>
      <c r="I323" s="1">
        <v>186499</v>
      </c>
      <c r="J323" s="1">
        <v>2020459</v>
      </c>
      <c r="K323" s="1">
        <v>2068858</v>
      </c>
      <c r="L323" s="1">
        <v>3866398</v>
      </c>
      <c r="M323" s="1">
        <v>1242356</v>
      </c>
      <c r="N323" s="1">
        <v>128064</v>
      </c>
      <c r="O323" s="1">
        <v>7305676</v>
      </c>
      <c r="P323" s="1">
        <v>134156</v>
      </c>
      <c r="Q323" s="1">
        <v>53698356</v>
      </c>
      <c r="R323" s="1">
        <v>108790</v>
      </c>
      <c r="S323" s="1">
        <v>247353</v>
      </c>
      <c r="V323" s="1">
        <v>652135</v>
      </c>
      <c r="W323" s="1">
        <v>54597844</v>
      </c>
      <c r="Y323" s="1">
        <v>967923</v>
      </c>
      <c r="Z323" s="1">
        <v>3062508</v>
      </c>
      <c r="AA323" s="1">
        <v>163520</v>
      </c>
      <c r="AB323" s="1">
        <v>852210</v>
      </c>
      <c r="AC323" s="1">
        <v>164421</v>
      </c>
      <c r="AD323" s="1">
        <v>3715794</v>
      </c>
      <c r="AE323" s="1">
        <v>2074353</v>
      </c>
      <c r="AG323" s="1">
        <v>11173959</v>
      </c>
      <c r="AH323" s="1">
        <v>65905959</v>
      </c>
      <c r="AI323" s="1">
        <v>109611</v>
      </c>
      <c r="AJ323" s="1">
        <v>1082390</v>
      </c>
      <c r="AK323" s="1">
        <v>1192001</v>
      </c>
      <c r="AL323" s="1">
        <v>151843</v>
      </c>
      <c r="AM323" s="1">
        <v>1249652</v>
      </c>
      <c r="AN323" s="1">
        <v>191348</v>
      </c>
      <c r="AO323" s="1">
        <v>1592843</v>
      </c>
      <c r="AP323" s="1">
        <v>2906772</v>
      </c>
      <c r="AQ323" s="1">
        <v>2506478</v>
      </c>
      <c r="AR323" s="1">
        <v>8776</v>
      </c>
      <c r="AS323" s="1">
        <v>8776</v>
      </c>
      <c r="AT323" s="1">
        <v>2515254</v>
      </c>
      <c r="AV323" s="1">
        <v>2645202</v>
      </c>
      <c r="AW323" s="1">
        <v>2645202</v>
      </c>
      <c r="AX323" s="1">
        <v>125833</v>
      </c>
      <c r="AZ323" s="1">
        <v>90715089</v>
      </c>
      <c r="BC323" s="1">
        <v>17644</v>
      </c>
      <c r="BE323" s="1">
        <v>134039</v>
      </c>
      <c r="BF323" s="1">
        <v>39191</v>
      </c>
      <c r="BL323" s="1">
        <v>129948</v>
      </c>
      <c r="BU323" s="1">
        <v>121928</v>
      </c>
      <c r="BV323" s="1">
        <v>121928</v>
      </c>
      <c r="BX323" s="1">
        <v>9800000</v>
      </c>
      <c r="BY323" s="1">
        <v>9931021</v>
      </c>
      <c r="CB323" s="1">
        <v>120919</v>
      </c>
      <c r="CC323" s="1">
        <v>5188</v>
      </c>
    </row>
    <row r="324" spans="1:130">
      <c r="A324" s="1">
        <v>21</v>
      </c>
      <c r="B324" s="1">
        <v>3103</v>
      </c>
      <c r="C324" s="1" t="s">
        <v>1110</v>
      </c>
      <c r="D324" s="1" t="s">
        <v>931</v>
      </c>
      <c r="F324" s="1">
        <v>48275</v>
      </c>
      <c r="I324" s="1">
        <v>600545</v>
      </c>
      <c r="J324" s="1">
        <v>648820</v>
      </c>
      <c r="K324" s="1">
        <v>1073585</v>
      </c>
      <c r="M324" s="1">
        <v>88329</v>
      </c>
      <c r="O324" s="1">
        <v>1161914</v>
      </c>
      <c r="U324" s="1">
        <v>31595</v>
      </c>
      <c r="V324" s="1">
        <v>99541</v>
      </c>
      <c r="W324" s="1">
        <v>36835190</v>
      </c>
      <c r="AD324" s="1">
        <v>1885871</v>
      </c>
      <c r="AE324" s="1">
        <v>1391334</v>
      </c>
      <c r="AG324" s="1">
        <v>3277205</v>
      </c>
      <c r="AH324" s="1">
        <v>40408234</v>
      </c>
      <c r="AJ324" s="1">
        <v>734048</v>
      </c>
      <c r="AK324" s="1">
        <v>734048</v>
      </c>
      <c r="AL324" s="1">
        <v>70857</v>
      </c>
      <c r="AN324" s="1">
        <v>116251</v>
      </c>
      <c r="AO324" s="1">
        <v>187108</v>
      </c>
      <c r="AP324" s="1">
        <v>1819903</v>
      </c>
      <c r="AZ324" s="1">
        <v>44038871</v>
      </c>
      <c r="BH324" s="1">
        <v>295839</v>
      </c>
      <c r="BN324" s="1">
        <v>1826110</v>
      </c>
      <c r="BO324" s="1">
        <v>34064034</v>
      </c>
      <c r="BQ324" s="1">
        <v>245967</v>
      </c>
      <c r="BU324" s="1">
        <v>898747</v>
      </c>
      <c r="BV324" s="1">
        <v>898747</v>
      </c>
      <c r="BZ324" s="1">
        <v>567943</v>
      </c>
      <c r="CA324" s="1">
        <v>295839</v>
      </c>
      <c r="DL324" s="1">
        <v>573000</v>
      </c>
    </row>
    <row r="325" spans="1:130">
      <c r="A325" s="1">
        <v>21</v>
      </c>
      <c r="B325" s="1">
        <v>3105</v>
      </c>
      <c r="C325" s="1" t="s">
        <v>1110</v>
      </c>
      <c r="D325" s="1" t="s">
        <v>932</v>
      </c>
      <c r="G325" s="1">
        <v>924739</v>
      </c>
      <c r="H325" s="1">
        <v>832910</v>
      </c>
      <c r="J325" s="1">
        <v>1757649</v>
      </c>
      <c r="K325" s="1">
        <v>625502</v>
      </c>
      <c r="L325" s="1">
        <v>46448</v>
      </c>
      <c r="O325" s="1">
        <v>671950</v>
      </c>
      <c r="V325" s="1">
        <v>729379</v>
      </c>
      <c r="W325" s="1">
        <v>7400460</v>
      </c>
      <c r="X325" s="1">
        <v>587436</v>
      </c>
      <c r="Z325" s="1">
        <v>765040</v>
      </c>
      <c r="AC325" s="1">
        <v>40158</v>
      </c>
      <c r="AD325" s="1">
        <v>288037</v>
      </c>
      <c r="AE325" s="1">
        <v>207972</v>
      </c>
      <c r="AG325" s="1">
        <v>2935627</v>
      </c>
      <c r="AH325" s="1">
        <v>10336087</v>
      </c>
      <c r="AI325" s="1">
        <v>12987</v>
      </c>
      <c r="AJ325" s="1">
        <v>24499</v>
      </c>
      <c r="AK325" s="1">
        <v>84410</v>
      </c>
      <c r="AN325" s="1">
        <v>299451</v>
      </c>
      <c r="AO325" s="1">
        <v>299451</v>
      </c>
      <c r="AP325" s="1">
        <v>1556241</v>
      </c>
      <c r="AZ325" s="1">
        <v>14321927</v>
      </c>
      <c r="BE325" s="1">
        <v>73154</v>
      </c>
      <c r="BJ325" s="1">
        <v>46924</v>
      </c>
      <c r="BN325" s="1">
        <v>6374479</v>
      </c>
      <c r="BO325" s="1">
        <v>100227</v>
      </c>
      <c r="BP325" s="1">
        <v>164735</v>
      </c>
      <c r="BS325" s="1">
        <v>752310</v>
      </c>
      <c r="BT325" s="1">
        <v>221520</v>
      </c>
      <c r="BU325" s="1">
        <v>1172380</v>
      </c>
      <c r="BV325" s="1">
        <v>1172380</v>
      </c>
      <c r="BZ325" s="1">
        <v>31640</v>
      </c>
    </row>
    <row r="326" spans="1:130">
      <c r="A326" s="1">
        <v>21</v>
      </c>
      <c r="B326" s="1">
        <v>4255</v>
      </c>
      <c r="C326" s="1" t="s">
        <v>1110</v>
      </c>
      <c r="D326" s="1" t="s">
        <v>933</v>
      </c>
      <c r="F326" s="1">
        <v>1535731</v>
      </c>
      <c r="G326" s="1">
        <v>2273287</v>
      </c>
      <c r="H326" s="1">
        <v>702519</v>
      </c>
      <c r="I326" s="1">
        <v>1198928</v>
      </c>
      <c r="J326" s="1">
        <v>11115403</v>
      </c>
      <c r="K326" s="1">
        <v>1456057</v>
      </c>
      <c r="L326" s="1">
        <v>754055</v>
      </c>
      <c r="M326" s="1">
        <v>343143</v>
      </c>
      <c r="N326" s="1">
        <v>1227671</v>
      </c>
      <c r="O326" s="1">
        <v>3780926</v>
      </c>
      <c r="Q326" s="1">
        <v>54925520</v>
      </c>
      <c r="R326" s="1">
        <v>3825942</v>
      </c>
      <c r="S326" s="1">
        <v>3825942</v>
      </c>
      <c r="V326" s="1">
        <v>1004045</v>
      </c>
      <c r="W326" s="1">
        <v>59894234</v>
      </c>
      <c r="Y326" s="1">
        <v>312329</v>
      </c>
      <c r="Z326" s="1">
        <v>2692369</v>
      </c>
      <c r="AA326" s="1">
        <v>154266</v>
      </c>
      <c r="AB326" s="1">
        <v>279580</v>
      </c>
      <c r="AC326" s="1">
        <v>235129</v>
      </c>
      <c r="AD326" s="1">
        <v>3655938</v>
      </c>
      <c r="AE326" s="1">
        <v>1920932</v>
      </c>
      <c r="AG326" s="1">
        <v>9375350</v>
      </c>
      <c r="AH326" s="1">
        <v>69375435</v>
      </c>
      <c r="AI326" s="1">
        <v>75303</v>
      </c>
      <c r="AJ326" s="1">
        <v>747856</v>
      </c>
      <c r="AK326" s="1">
        <v>923919</v>
      </c>
      <c r="AL326" s="1">
        <v>85610</v>
      </c>
      <c r="AM326" s="1">
        <v>927180</v>
      </c>
      <c r="AN326" s="1">
        <v>266671</v>
      </c>
      <c r="AO326" s="1">
        <v>1279461</v>
      </c>
      <c r="AP326" s="1">
        <v>2334795</v>
      </c>
      <c r="AQ326" s="1">
        <v>4863904</v>
      </c>
      <c r="AT326" s="1">
        <v>4863904</v>
      </c>
      <c r="AV326" s="1">
        <v>5413924</v>
      </c>
      <c r="AW326" s="1">
        <v>5413924</v>
      </c>
      <c r="AX326" s="1">
        <v>550020</v>
      </c>
      <c r="AY326" s="1">
        <v>149980</v>
      </c>
      <c r="AZ326" s="1">
        <v>92720483</v>
      </c>
      <c r="BE326" s="1">
        <v>107105</v>
      </c>
      <c r="BF326" s="1">
        <v>17702</v>
      </c>
      <c r="BJ326" s="1">
        <v>100760</v>
      </c>
      <c r="BL326" s="1">
        <v>550020</v>
      </c>
      <c r="BU326" s="1">
        <v>131415</v>
      </c>
      <c r="BV326" s="1">
        <v>131415</v>
      </c>
      <c r="BY326" s="1">
        <v>700000</v>
      </c>
      <c r="CG326" s="1">
        <v>105851</v>
      </c>
      <c r="CL326" s="1">
        <v>5404938</v>
      </c>
      <c r="CZ326" s="1">
        <v>138727</v>
      </c>
    </row>
    <row r="327" spans="1:130">
      <c r="A327" s="1">
        <v>21</v>
      </c>
      <c r="B327" s="1">
        <v>5210</v>
      </c>
      <c r="C327" s="1" t="s">
        <v>1110</v>
      </c>
      <c r="D327" s="1" t="s">
        <v>934</v>
      </c>
      <c r="F327" s="1">
        <v>343162</v>
      </c>
      <c r="J327" s="1">
        <v>694745</v>
      </c>
      <c r="K327" s="1">
        <v>2268638</v>
      </c>
      <c r="O327" s="1">
        <v>2268638</v>
      </c>
      <c r="Q327" s="1">
        <v>21115662</v>
      </c>
      <c r="U327" s="1">
        <v>705309</v>
      </c>
      <c r="V327" s="1">
        <v>1816115</v>
      </c>
      <c r="W327" s="1">
        <v>23637086</v>
      </c>
      <c r="X327" s="1">
        <v>95433719</v>
      </c>
      <c r="Y327" s="1">
        <v>3094948</v>
      </c>
      <c r="Z327" s="1">
        <v>16440772</v>
      </c>
      <c r="AA327" s="1">
        <v>923384</v>
      </c>
      <c r="AB327" s="1">
        <v>498419</v>
      </c>
      <c r="AC327" s="1">
        <v>944010</v>
      </c>
      <c r="AD327" s="1">
        <v>13634742</v>
      </c>
      <c r="AE327" s="1">
        <v>6303847</v>
      </c>
      <c r="AG327" s="1">
        <v>235720680</v>
      </c>
      <c r="AH327" s="1">
        <v>259502924</v>
      </c>
      <c r="AJ327" s="1">
        <v>1991710</v>
      </c>
      <c r="AK327" s="1">
        <v>19729219</v>
      </c>
      <c r="AL327" s="1">
        <v>6739802</v>
      </c>
      <c r="AM327" s="1">
        <v>3661717</v>
      </c>
      <c r="AN327" s="1">
        <v>4532245</v>
      </c>
      <c r="AO327" s="1">
        <v>14933764</v>
      </c>
      <c r="AP327" s="1">
        <v>50821976</v>
      </c>
      <c r="AZ327" s="1">
        <v>342123506</v>
      </c>
      <c r="BD327" s="1">
        <v>753688</v>
      </c>
      <c r="BF327" s="1">
        <v>14081282</v>
      </c>
      <c r="BG327" s="1">
        <v>57391</v>
      </c>
      <c r="BH327" s="1">
        <v>145158</v>
      </c>
      <c r="BI327" s="1">
        <v>12497359</v>
      </c>
      <c r="BJ327" s="1">
        <v>5240150</v>
      </c>
      <c r="BU327" s="1">
        <v>824596</v>
      </c>
      <c r="BV327" s="1">
        <v>824596</v>
      </c>
      <c r="BY327" s="1">
        <v>28835223</v>
      </c>
      <c r="CA327" s="1">
        <v>87767</v>
      </c>
      <c r="CC327" s="1">
        <v>668756</v>
      </c>
      <c r="CF327" s="1">
        <v>9983646</v>
      </c>
      <c r="CI327" s="1">
        <v>28166467</v>
      </c>
      <c r="CL327" s="1">
        <v>351583</v>
      </c>
      <c r="CO327" s="1">
        <v>73628223</v>
      </c>
      <c r="CQ327" s="1">
        <v>15334397</v>
      </c>
      <c r="DR327" s="1">
        <v>70956</v>
      </c>
    </row>
    <row r="328" spans="1:130">
      <c r="A328" s="1">
        <v>21</v>
      </c>
      <c r="B328" s="1">
        <v>5510</v>
      </c>
      <c r="C328" s="1" t="s">
        <v>1110</v>
      </c>
      <c r="D328" s="1" t="s">
        <v>935</v>
      </c>
      <c r="F328" s="1">
        <v>662622</v>
      </c>
      <c r="G328" s="1">
        <v>273031</v>
      </c>
      <c r="I328" s="1">
        <v>80927</v>
      </c>
      <c r="J328" s="1">
        <v>1762142</v>
      </c>
      <c r="K328" s="1">
        <v>587824</v>
      </c>
      <c r="M328" s="1">
        <v>1797774</v>
      </c>
      <c r="N328" s="1">
        <v>-247531</v>
      </c>
      <c r="O328" s="1">
        <v>2138067</v>
      </c>
      <c r="Q328" s="1">
        <v>24833670</v>
      </c>
      <c r="S328" s="1">
        <v>1996</v>
      </c>
      <c r="U328" s="1">
        <v>12107</v>
      </c>
      <c r="V328" s="1">
        <v>200269</v>
      </c>
      <c r="W328" s="1">
        <v>25048042</v>
      </c>
      <c r="Y328" s="1">
        <v>627474</v>
      </c>
      <c r="Z328" s="1">
        <v>1083293</v>
      </c>
      <c r="AA328" s="1">
        <v>15895</v>
      </c>
      <c r="AB328" s="1">
        <v>73104</v>
      </c>
      <c r="AC328" s="1">
        <v>212089</v>
      </c>
      <c r="AD328" s="1">
        <v>791379</v>
      </c>
      <c r="AE328" s="1">
        <v>868875</v>
      </c>
      <c r="AG328" s="1">
        <v>4018012</v>
      </c>
      <c r="AH328" s="1">
        <v>29066054</v>
      </c>
      <c r="AJ328" s="1">
        <v>12065</v>
      </c>
      <c r="AK328" s="1">
        <v>12065</v>
      </c>
      <c r="AM328" s="1">
        <v>321738</v>
      </c>
      <c r="AN328" s="1">
        <v>12412</v>
      </c>
      <c r="AO328" s="1">
        <v>334150</v>
      </c>
      <c r="AP328" s="1">
        <v>346215</v>
      </c>
      <c r="AQ328" s="1">
        <v>3627199</v>
      </c>
      <c r="AT328" s="1">
        <v>3627199</v>
      </c>
      <c r="AU328" s="1">
        <v>172450</v>
      </c>
      <c r="AV328" s="1">
        <v>4325035</v>
      </c>
      <c r="AW328" s="1">
        <v>4325035</v>
      </c>
      <c r="AZ328" s="1">
        <v>37637513</v>
      </c>
      <c r="BC328" s="1">
        <v>1996</v>
      </c>
      <c r="BE328" s="1">
        <v>57967</v>
      </c>
      <c r="BF328" s="1">
        <v>287936</v>
      </c>
      <c r="BL328" s="1">
        <v>525386</v>
      </c>
      <c r="CL328" s="1">
        <v>745562</v>
      </c>
    </row>
    <row r="329" spans="1:130">
      <c r="A329" s="1">
        <v>21</v>
      </c>
      <c r="B329" s="1">
        <v>5715</v>
      </c>
      <c r="C329" s="1" t="s">
        <v>1110</v>
      </c>
      <c r="D329" s="1" t="s">
        <v>936</v>
      </c>
      <c r="F329" s="1">
        <v>2577581</v>
      </c>
      <c r="G329" s="1">
        <v>4552038</v>
      </c>
      <c r="H329" s="1">
        <v>1493019</v>
      </c>
      <c r="I329" s="1">
        <v>1050996</v>
      </c>
      <c r="J329" s="1">
        <v>11370815</v>
      </c>
      <c r="K329" s="1">
        <v>2866793</v>
      </c>
      <c r="L329" s="1">
        <v>960703</v>
      </c>
      <c r="M329" s="1">
        <v>-1292556</v>
      </c>
      <c r="N329" s="1">
        <v>78268</v>
      </c>
      <c r="O329" s="1">
        <v>2613208</v>
      </c>
      <c r="Q329" s="1">
        <v>116252401</v>
      </c>
      <c r="R329" s="1">
        <v>726294</v>
      </c>
      <c r="S329" s="1">
        <v>726294</v>
      </c>
      <c r="U329" s="1">
        <v>46320</v>
      </c>
      <c r="V329" s="1">
        <v>1734102</v>
      </c>
      <c r="W329" s="1">
        <v>118759117</v>
      </c>
      <c r="X329" s="1">
        <v>309051</v>
      </c>
      <c r="Y329" s="1">
        <v>2562507</v>
      </c>
      <c r="Z329" s="1">
        <v>4926422</v>
      </c>
      <c r="AA329" s="1">
        <v>265208</v>
      </c>
      <c r="AB329" s="1">
        <v>463060</v>
      </c>
      <c r="AC329" s="1">
        <v>568119</v>
      </c>
      <c r="AD329" s="1">
        <v>6063392</v>
      </c>
      <c r="AE329" s="1">
        <v>4518427</v>
      </c>
      <c r="AG329" s="1">
        <v>20828880</v>
      </c>
      <c r="AH329" s="1">
        <v>139595192</v>
      </c>
      <c r="AJ329" s="1">
        <v>112204</v>
      </c>
      <c r="AK329" s="1">
        <v>112204</v>
      </c>
      <c r="AL329" s="1">
        <v>139925</v>
      </c>
      <c r="AM329" s="1">
        <v>1417993</v>
      </c>
      <c r="AN329" s="1">
        <v>389545</v>
      </c>
      <c r="AO329" s="1">
        <v>1947463</v>
      </c>
      <c r="AP329" s="1">
        <v>2150046</v>
      </c>
      <c r="AQ329" s="1">
        <v>10202849</v>
      </c>
      <c r="AT329" s="1">
        <v>10202849</v>
      </c>
      <c r="AU329" s="1">
        <v>38744</v>
      </c>
      <c r="AV329" s="1">
        <v>28594672</v>
      </c>
      <c r="AW329" s="1">
        <v>28594672</v>
      </c>
      <c r="AX329" s="1">
        <v>401586</v>
      </c>
      <c r="AY329" s="1">
        <v>-346148</v>
      </c>
      <c r="AZ329" s="1">
        <v>202310861</v>
      </c>
      <c r="BE329" s="1">
        <v>284028</v>
      </c>
      <c r="BF329" s="1">
        <v>32376</v>
      </c>
      <c r="BH329" s="1">
        <v>7195</v>
      </c>
      <c r="BL329" s="1">
        <v>346148</v>
      </c>
      <c r="BM329" s="1">
        <v>18006931</v>
      </c>
      <c r="BR329" s="1">
        <v>836290</v>
      </c>
      <c r="BU329" s="1">
        <v>90379</v>
      </c>
      <c r="BV329" s="1">
        <v>90379</v>
      </c>
      <c r="BX329" s="1">
        <v>17507000</v>
      </c>
      <c r="BY329" s="1">
        <v>17986928</v>
      </c>
      <c r="CA329" s="1">
        <v>7195</v>
      </c>
      <c r="CI329" s="1">
        <v>424490</v>
      </c>
      <c r="CL329" s="1">
        <v>1697181</v>
      </c>
    </row>
    <row r="330" spans="1:130">
      <c r="A330" s="1">
        <v>23</v>
      </c>
      <c r="B330" s="1">
        <v>750</v>
      </c>
      <c r="C330" s="1" t="s">
        <v>937</v>
      </c>
      <c r="D330" s="1" t="s">
        <v>938</v>
      </c>
      <c r="F330" s="1">
        <v>322751</v>
      </c>
      <c r="J330" s="1">
        <v>322751</v>
      </c>
      <c r="K330" s="1">
        <v>776442</v>
      </c>
      <c r="L330" s="1">
        <v>500000</v>
      </c>
      <c r="M330" s="1">
        <v>392898</v>
      </c>
      <c r="N330" s="1">
        <v>39084</v>
      </c>
      <c r="O330" s="1">
        <v>1708424</v>
      </c>
      <c r="Q330" s="1">
        <v>22650864</v>
      </c>
      <c r="V330" s="1">
        <v>449828</v>
      </c>
      <c r="W330" s="1">
        <v>23100692</v>
      </c>
      <c r="X330" s="1">
        <v>11413122</v>
      </c>
      <c r="Y330" s="1">
        <v>284353</v>
      </c>
      <c r="Z330" s="1">
        <v>3245912</v>
      </c>
      <c r="AA330" s="1">
        <v>231066</v>
      </c>
      <c r="AB330" s="1">
        <v>231365</v>
      </c>
      <c r="AC330" s="1">
        <v>416826</v>
      </c>
      <c r="AD330" s="1">
        <v>3141310</v>
      </c>
      <c r="AE330" s="1">
        <v>1602878</v>
      </c>
      <c r="AG330" s="1">
        <v>21748143</v>
      </c>
      <c r="AH330" s="1">
        <v>44848835</v>
      </c>
      <c r="AJ330" s="1">
        <v>598090</v>
      </c>
      <c r="AK330" s="1">
        <v>3544932</v>
      </c>
      <c r="AL330" s="1">
        <v>760933</v>
      </c>
      <c r="AM330" s="1">
        <v>711236</v>
      </c>
      <c r="AN330" s="1">
        <v>621610</v>
      </c>
      <c r="AO330" s="1">
        <v>2093779</v>
      </c>
      <c r="AP330" s="1">
        <v>5638711</v>
      </c>
      <c r="AQ330" s="1">
        <v>1288340</v>
      </c>
      <c r="AT330" s="1">
        <v>1288340</v>
      </c>
      <c r="AU330" s="1">
        <v>788002</v>
      </c>
      <c r="AV330" s="1">
        <v>2076342</v>
      </c>
      <c r="AW330" s="1">
        <v>2076342</v>
      </c>
      <c r="AX330" s="1">
        <v>34110</v>
      </c>
      <c r="AZ330" s="1">
        <v>54629173</v>
      </c>
      <c r="BE330" s="1">
        <v>558832</v>
      </c>
      <c r="BF330" s="1">
        <v>506075</v>
      </c>
      <c r="BI330" s="1">
        <v>1771074</v>
      </c>
      <c r="BJ330" s="1">
        <v>1175768</v>
      </c>
      <c r="BR330" s="1">
        <v>116404</v>
      </c>
      <c r="BY330" s="1">
        <v>34110</v>
      </c>
    </row>
    <row r="331" spans="1:130">
      <c r="A331" s="1">
        <v>23</v>
      </c>
      <c r="B331" s="1">
        <v>970</v>
      </c>
      <c r="C331" s="1" t="s">
        <v>937</v>
      </c>
      <c r="D331" s="1" t="s">
        <v>939</v>
      </c>
      <c r="E331" s="1">
        <v>100000</v>
      </c>
      <c r="G331" s="1">
        <v>154281</v>
      </c>
      <c r="I331" s="1">
        <v>147551</v>
      </c>
      <c r="J331" s="1">
        <v>601832</v>
      </c>
      <c r="K331" s="1">
        <v>279304</v>
      </c>
      <c r="L331" s="1">
        <v>136500</v>
      </c>
      <c r="M331" s="1">
        <v>60443</v>
      </c>
      <c r="N331" s="1">
        <v>41564</v>
      </c>
      <c r="O331" s="1">
        <v>517811</v>
      </c>
      <c r="Q331" s="1">
        <v>13832437</v>
      </c>
      <c r="V331" s="1">
        <v>161506</v>
      </c>
      <c r="W331" s="1">
        <v>13993943</v>
      </c>
      <c r="Y331" s="1">
        <v>114025</v>
      </c>
      <c r="Z331" s="1">
        <v>461991</v>
      </c>
      <c r="AA331" s="1">
        <v>10476</v>
      </c>
      <c r="AB331" s="1">
        <v>34327</v>
      </c>
      <c r="AC331" s="1">
        <v>43345</v>
      </c>
      <c r="AD331" s="1">
        <v>497987</v>
      </c>
      <c r="AE331" s="1">
        <v>349480</v>
      </c>
      <c r="AG331" s="1">
        <v>1596105</v>
      </c>
      <c r="AH331" s="1">
        <v>15590048</v>
      </c>
      <c r="AJ331" s="1">
        <v>7519</v>
      </c>
      <c r="AK331" s="1">
        <v>7519</v>
      </c>
      <c r="AM331" s="1">
        <v>164349</v>
      </c>
      <c r="AN331" s="1">
        <v>10264</v>
      </c>
      <c r="AO331" s="1">
        <v>174613</v>
      </c>
      <c r="AP331" s="1">
        <v>182132</v>
      </c>
      <c r="AQ331" s="1">
        <v>850765</v>
      </c>
      <c r="AT331" s="1">
        <v>850765</v>
      </c>
      <c r="AV331" s="1">
        <v>850765</v>
      </c>
      <c r="AW331" s="1">
        <v>850765</v>
      </c>
      <c r="AY331" s="1">
        <v>136500</v>
      </c>
      <c r="AZ331" s="1">
        <v>17879088</v>
      </c>
      <c r="BE331" s="1">
        <v>18895</v>
      </c>
      <c r="BF331" s="1">
        <v>65579</v>
      </c>
      <c r="BY331" s="1">
        <v>136500</v>
      </c>
      <c r="CD331" s="1">
        <v>100000</v>
      </c>
      <c r="DA331" s="1">
        <v>100000</v>
      </c>
    </row>
    <row r="332" spans="1:130">
      <c r="A332" s="1">
        <v>23</v>
      </c>
      <c r="B332" s="1">
        <v>1140</v>
      </c>
      <c r="C332" s="1" t="s">
        <v>937</v>
      </c>
      <c r="D332" s="1" t="s">
        <v>940</v>
      </c>
      <c r="F332" s="1">
        <v>52326</v>
      </c>
      <c r="I332" s="1">
        <v>1</v>
      </c>
      <c r="J332" s="1">
        <v>52327</v>
      </c>
      <c r="K332" s="1">
        <v>222732</v>
      </c>
      <c r="M332" s="1">
        <v>1217968</v>
      </c>
      <c r="N332" s="1">
        <v>1</v>
      </c>
      <c r="O332" s="1">
        <v>1440701</v>
      </c>
      <c r="P332" s="1">
        <v>21162</v>
      </c>
      <c r="Q332" s="1">
        <v>7668256</v>
      </c>
      <c r="V332" s="1">
        <v>8543</v>
      </c>
      <c r="W332" s="1">
        <v>7687505</v>
      </c>
      <c r="X332" s="1">
        <v>2571466</v>
      </c>
      <c r="Y332" s="1">
        <v>26949</v>
      </c>
      <c r="Z332" s="1">
        <v>575141</v>
      </c>
      <c r="AA332" s="1">
        <v>57250</v>
      </c>
      <c r="AB332" s="1">
        <v>29566</v>
      </c>
      <c r="AC332" s="1">
        <v>124642</v>
      </c>
      <c r="AD332" s="1">
        <v>892519</v>
      </c>
      <c r="AE332" s="1">
        <v>462803</v>
      </c>
      <c r="AF332" s="1">
        <v>3192</v>
      </c>
      <c r="AG332" s="1">
        <v>5204715</v>
      </c>
      <c r="AH332" s="1">
        <v>12913382</v>
      </c>
      <c r="AI332" s="1">
        <v>54957</v>
      </c>
      <c r="AJ332" s="1">
        <v>53317</v>
      </c>
      <c r="AK332" s="1">
        <v>108274</v>
      </c>
      <c r="AL332" s="1">
        <v>259626</v>
      </c>
      <c r="AM332" s="1">
        <v>216192</v>
      </c>
      <c r="AN332" s="1">
        <v>56103</v>
      </c>
      <c r="AO332" s="1">
        <v>531921</v>
      </c>
      <c r="AP332" s="1">
        <v>656419</v>
      </c>
      <c r="AQ332" s="1">
        <v>964690</v>
      </c>
      <c r="AT332" s="1">
        <v>964690</v>
      </c>
      <c r="AU332" s="1">
        <v>264994</v>
      </c>
      <c r="AV332" s="1">
        <v>1229684</v>
      </c>
      <c r="AW332" s="1">
        <v>1229684</v>
      </c>
      <c r="AZ332" s="1">
        <v>16292513</v>
      </c>
      <c r="BE332" s="1">
        <v>110050</v>
      </c>
      <c r="BF332" s="1">
        <v>93197</v>
      </c>
      <c r="BQ332" s="1">
        <v>10706</v>
      </c>
      <c r="BU332" s="1">
        <v>16224</v>
      </c>
      <c r="BV332" s="1">
        <v>16224</v>
      </c>
      <c r="CF332" s="1">
        <v>257940</v>
      </c>
    </row>
    <row r="333" spans="1:130">
      <c r="A333" s="1">
        <v>23</v>
      </c>
      <c r="B333" s="1">
        <v>1170</v>
      </c>
      <c r="C333" s="1" t="s">
        <v>937</v>
      </c>
      <c r="D333" s="1" t="s">
        <v>941</v>
      </c>
      <c r="F333" s="1">
        <v>1713344</v>
      </c>
      <c r="G333" s="1">
        <v>2845494</v>
      </c>
      <c r="H333" s="1">
        <v>2907424</v>
      </c>
      <c r="I333" s="1">
        <v>105488</v>
      </c>
      <c r="J333" s="1">
        <v>95459361</v>
      </c>
      <c r="K333" s="1">
        <v>2827885</v>
      </c>
      <c r="L333" s="1">
        <v>882919</v>
      </c>
      <c r="M333" s="1">
        <v>12581698</v>
      </c>
      <c r="N333" s="1">
        <v>1599488</v>
      </c>
      <c r="O333" s="1">
        <v>17891990</v>
      </c>
      <c r="Q333" s="1">
        <v>98543803</v>
      </c>
      <c r="S333" s="1">
        <v>43640</v>
      </c>
      <c r="V333" s="1">
        <v>1483134</v>
      </c>
      <c r="W333" s="1">
        <v>100070577</v>
      </c>
      <c r="X333" s="1">
        <v>8649678</v>
      </c>
      <c r="Y333" s="1">
        <v>2221120</v>
      </c>
      <c r="Z333" s="1">
        <v>6196136</v>
      </c>
      <c r="AA333" s="1">
        <v>202496</v>
      </c>
      <c r="AB333" s="1">
        <v>531615</v>
      </c>
      <c r="AC333" s="1">
        <v>614613</v>
      </c>
      <c r="AD333" s="1">
        <v>7128654</v>
      </c>
      <c r="AE333" s="1">
        <v>4099525</v>
      </c>
      <c r="AG333" s="1">
        <v>31529918</v>
      </c>
      <c r="AH333" s="1">
        <v>131600495</v>
      </c>
      <c r="AJ333" s="1">
        <v>600902</v>
      </c>
      <c r="AK333" s="1">
        <v>600902</v>
      </c>
      <c r="AL333" s="1">
        <v>266183</v>
      </c>
      <c r="AM333" s="1">
        <v>1841029</v>
      </c>
      <c r="AN333" s="1">
        <v>629079</v>
      </c>
      <c r="AO333" s="1">
        <v>2926891</v>
      </c>
      <c r="AP333" s="1">
        <v>3813330</v>
      </c>
      <c r="AQ333" s="1">
        <v>6386428</v>
      </c>
      <c r="AR333" s="1">
        <v>2330602</v>
      </c>
      <c r="AS333" s="1">
        <v>2330602</v>
      </c>
      <c r="AT333" s="1">
        <v>8717030</v>
      </c>
      <c r="AV333" s="1">
        <v>8717030</v>
      </c>
      <c r="AW333" s="1">
        <v>9211099</v>
      </c>
      <c r="AY333" s="1">
        <v>1357000</v>
      </c>
      <c r="AZ333" s="1">
        <v>262666572</v>
      </c>
      <c r="BC333" s="1">
        <v>43640</v>
      </c>
      <c r="BE333" s="1">
        <v>536521</v>
      </c>
      <c r="BF333" s="1">
        <v>1349560</v>
      </c>
      <c r="BU333" s="1">
        <v>285537</v>
      </c>
      <c r="BV333" s="1">
        <v>285537</v>
      </c>
      <c r="BW333" s="1">
        <v>190600</v>
      </c>
      <c r="BY333" s="1">
        <v>4690297</v>
      </c>
      <c r="CC333" s="1">
        <v>3120500</v>
      </c>
      <c r="CI333" s="1">
        <v>212797</v>
      </c>
      <c r="CL333" s="1">
        <v>87887611</v>
      </c>
      <c r="CS333" s="1">
        <v>494069</v>
      </c>
      <c r="DY333" s="1">
        <v>494069</v>
      </c>
    </row>
    <row r="334" spans="1:130">
      <c r="A334" s="1">
        <v>23</v>
      </c>
      <c r="B334" s="1">
        <v>1290</v>
      </c>
      <c r="C334" s="1" t="s">
        <v>937</v>
      </c>
      <c r="D334" s="1" t="s">
        <v>942</v>
      </c>
      <c r="I334" s="1">
        <v>500</v>
      </c>
      <c r="J334" s="1">
        <v>500</v>
      </c>
      <c r="K334" s="1">
        <v>3642953</v>
      </c>
      <c r="M334" s="1">
        <v>542361</v>
      </c>
      <c r="N334" s="1">
        <v>452</v>
      </c>
      <c r="O334" s="1">
        <v>4185766</v>
      </c>
      <c r="P334" s="1">
        <v>-867168</v>
      </c>
      <c r="Q334" s="1">
        <v>158946183</v>
      </c>
      <c r="S334" s="1">
        <v>295962</v>
      </c>
      <c r="U334" s="1">
        <v>795</v>
      </c>
      <c r="W334" s="1">
        <v>161494861</v>
      </c>
      <c r="Y334" s="1">
        <v>2776102</v>
      </c>
      <c r="Z334" s="1">
        <v>7736807</v>
      </c>
      <c r="AA334" s="1">
        <v>495914</v>
      </c>
      <c r="AB334" s="1">
        <v>872358</v>
      </c>
      <c r="AC334" s="1">
        <v>1459715</v>
      </c>
      <c r="AD334" s="1">
        <v>13480841</v>
      </c>
      <c r="AE334" s="1">
        <v>6829439</v>
      </c>
      <c r="AG334" s="1">
        <v>36587153</v>
      </c>
      <c r="AH334" s="1">
        <v>197681859</v>
      </c>
      <c r="AI334" s="1">
        <v>262641</v>
      </c>
      <c r="AJ334" s="1">
        <v>1149514</v>
      </c>
      <c r="AK334" s="1">
        <v>1412155</v>
      </c>
      <c r="AL334" s="1">
        <v>626203</v>
      </c>
      <c r="AM334" s="1">
        <v>3420227</v>
      </c>
      <c r="AN334" s="1">
        <v>681129</v>
      </c>
      <c r="AO334" s="1">
        <v>4727559</v>
      </c>
      <c r="AP334" s="1">
        <v>6288538</v>
      </c>
      <c r="AQ334" s="1">
        <v>1753245</v>
      </c>
      <c r="AS334" s="1">
        <v>332597</v>
      </c>
      <c r="AT334" s="1">
        <v>2085842</v>
      </c>
      <c r="AV334" s="1">
        <v>2085842</v>
      </c>
      <c r="AW334" s="1">
        <v>2085842</v>
      </c>
      <c r="AY334" s="1">
        <v>-147305</v>
      </c>
      <c r="AZ334" s="1">
        <v>211119931</v>
      </c>
      <c r="BC334" s="1">
        <v>295962</v>
      </c>
      <c r="BE334" s="1">
        <v>418461</v>
      </c>
      <c r="BF334" s="1">
        <v>1300000</v>
      </c>
      <c r="BQ334" s="1">
        <v>1743774</v>
      </c>
      <c r="BR334" s="1">
        <v>184716</v>
      </c>
      <c r="BU334" s="1">
        <v>148824</v>
      </c>
      <c r="BV334" s="1">
        <v>148824</v>
      </c>
      <c r="BX334" s="1">
        <v>1000000</v>
      </c>
      <c r="BY334" s="1">
        <v>877426</v>
      </c>
      <c r="CC334" s="1">
        <v>24731</v>
      </c>
      <c r="CG334" s="1">
        <v>467013</v>
      </c>
      <c r="CJ334" s="1">
        <v>3190047</v>
      </c>
      <c r="CZ334" s="1">
        <v>508147</v>
      </c>
      <c r="DC334" s="1">
        <v>332597</v>
      </c>
      <c r="DO334" s="1">
        <v>1032800</v>
      </c>
    </row>
    <row r="335" spans="1:130">
      <c r="A335" s="1">
        <v>23</v>
      </c>
      <c r="B335" s="1">
        <v>2110</v>
      </c>
      <c r="C335" s="1" t="s">
        <v>937</v>
      </c>
      <c r="D335" s="1" t="s">
        <v>943</v>
      </c>
      <c r="G335" s="1">
        <v>69812</v>
      </c>
      <c r="J335" s="1">
        <v>99925</v>
      </c>
      <c r="K335" s="1">
        <v>100000</v>
      </c>
      <c r="L335" s="1">
        <v>92000</v>
      </c>
      <c r="O335" s="1">
        <v>192000</v>
      </c>
      <c r="Q335" s="1">
        <v>2987666</v>
      </c>
      <c r="V335" s="1">
        <v>21775</v>
      </c>
      <c r="W335" s="1">
        <v>3047064</v>
      </c>
      <c r="X335" s="1">
        <v>256803</v>
      </c>
      <c r="Y335" s="1">
        <v>148950</v>
      </c>
      <c r="Z335" s="1">
        <v>311856</v>
      </c>
      <c r="AA335" s="1">
        <v>45210</v>
      </c>
      <c r="AB335" s="1">
        <v>35950</v>
      </c>
      <c r="AC335" s="1">
        <v>32697</v>
      </c>
      <c r="AD335" s="1">
        <v>1616</v>
      </c>
      <c r="AE335" s="1">
        <v>1749</v>
      </c>
      <c r="AG335" s="1">
        <v>859276</v>
      </c>
      <c r="AH335" s="1">
        <v>3906340</v>
      </c>
      <c r="AJ335" s="1">
        <v>2669</v>
      </c>
      <c r="AK335" s="1">
        <v>2669</v>
      </c>
      <c r="AM335" s="1">
        <v>50655</v>
      </c>
      <c r="AO335" s="1">
        <v>50655</v>
      </c>
      <c r="AP335" s="1">
        <v>53324</v>
      </c>
      <c r="AZ335" s="1">
        <v>4251589</v>
      </c>
      <c r="BA335" s="1">
        <v>30113</v>
      </c>
      <c r="BE335" s="1">
        <v>23865</v>
      </c>
      <c r="BF335" s="1">
        <v>580</v>
      </c>
      <c r="DZ335" s="1">
        <v>37623</v>
      </c>
    </row>
    <row r="336" spans="1:130">
      <c r="A336" s="1">
        <v>23</v>
      </c>
      <c r="B336" s="1">
        <v>2150</v>
      </c>
      <c r="C336" s="1" t="s">
        <v>937</v>
      </c>
      <c r="D336" s="1" t="s">
        <v>944</v>
      </c>
      <c r="F336" s="1">
        <v>741959</v>
      </c>
      <c r="G336" s="1">
        <v>792957</v>
      </c>
      <c r="H336" s="1">
        <v>281574</v>
      </c>
      <c r="I336" s="1">
        <v>6633</v>
      </c>
      <c r="J336" s="1">
        <v>17926726</v>
      </c>
      <c r="K336" s="1">
        <v>410443</v>
      </c>
      <c r="M336" s="1">
        <v>1586774</v>
      </c>
      <c r="N336" s="1">
        <v>11915</v>
      </c>
      <c r="O336" s="1">
        <v>2009132</v>
      </c>
      <c r="P336" s="1">
        <v>347859</v>
      </c>
      <c r="Q336" s="1">
        <v>17580347</v>
      </c>
      <c r="R336" s="1">
        <v>2230</v>
      </c>
      <c r="S336" s="1">
        <v>37314</v>
      </c>
      <c r="U336" s="1">
        <v>331</v>
      </c>
      <c r="V336" s="1">
        <v>204776</v>
      </c>
      <c r="W336" s="1">
        <v>17822768</v>
      </c>
      <c r="Y336" s="1">
        <v>314929</v>
      </c>
      <c r="Z336" s="1">
        <v>839083</v>
      </c>
      <c r="AA336" s="1">
        <v>60970</v>
      </c>
      <c r="AB336" s="1">
        <v>48885</v>
      </c>
      <c r="AC336" s="1">
        <v>165575</v>
      </c>
      <c r="AD336" s="1">
        <v>1794031</v>
      </c>
      <c r="AE336" s="1">
        <v>761313</v>
      </c>
      <c r="AG336" s="1">
        <v>5091547</v>
      </c>
      <c r="AH336" s="1">
        <v>23262174</v>
      </c>
      <c r="AJ336" s="1">
        <v>330436</v>
      </c>
      <c r="AK336" s="1">
        <v>1613192</v>
      </c>
      <c r="AL336" s="1">
        <v>262312</v>
      </c>
      <c r="AM336" s="1">
        <v>357964</v>
      </c>
      <c r="AN336" s="1">
        <v>209397</v>
      </c>
      <c r="AO336" s="1">
        <v>829673</v>
      </c>
      <c r="AP336" s="1">
        <v>2477099</v>
      </c>
      <c r="AQ336" s="1">
        <v>2120213</v>
      </c>
      <c r="AT336" s="1">
        <v>2120213</v>
      </c>
      <c r="AU336" s="1">
        <v>11206</v>
      </c>
      <c r="AV336" s="1">
        <v>2131419</v>
      </c>
      <c r="AW336" s="1">
        <v>2131419</v>
      </c>
      <c r="AX336" s="1">
        <v>326509</v>
      </c>
      <c r="AY336" s="1">
        <v>-347859</v>
      </c>
      <c r="AZ336" s="1">
        <v>62474200</v>
      </c>
      <c r="BC336" s="1">
        <v>35084</v>
      </c>
      <c r="BE336" s="1">
        <v>90975</v>
      </c>
      <c r="BF336" s="1">
        <v>128954</v>
      </c>
      <c r="BI336" s="1">
        <v>754825</v>
      </c>
      <c r="BJ336" s="1">
        <v>492114</v>
      </c>
      <c r="BR336" s="1">
        <v>167186</v>
      </c>
      <c r="BU336" s="1">
        <v>34234</v>
      </c>
      <c r="BV336" s="1">
        <v>34234</v>
      </c>
      <c r="BX336" s="1">
        <v>13985000</v>
      </c>
      <c r="BY336" s="1">
        <v>14667650</v>
      </c>
      <c r="CF336" s="1">
        <v>719646</v>
      </c>
      <c r="CJ336" s="1">
        <v>313648</v>
      </c>
      <c r="CL336" s="1">
        <v>16103603</v>
      </c>
      <c r="CW336" s="1">
        <v>35817</v>
      </c>
      <c r="DF336" s="1">
        <v>704000</v>
      </c>
    </row>
    <row r="337" spans="1:122">
      <c r="A337" s="1">
        <v>23</v>
      </c>
      <c r="B337" s="1">
        <v>2370</v>
      </c>
      <c r="C337" s="1" t="s">
        <v>937</v>
      </c>
      <c r="D337" s="1" t="s">
        <v>945</v>
      </c>
      <c r="F337" s="1">
        <v>131580</v>
      </c>
      <c r="G337" s="1">
        <v>220991</v>
      </c>
      <c r="H337" s="1">
        <v>126724</v>
      </c>
      <c r="J337" s="1">
        <v>479295</v>
      </c>
      <c r="K337" s="1">
        <v>191019</v>
      </c>
      <c r="M337" s="1">
        <v>1702</v>
      </c>
      <c r="N337" s="1">
        <v>22567</v>
      </c>
      <c r="O337" s="1">
        <v>215288</v>
      </c>
      <c r="Q337" s="1">
        <v>6420859</v>
      </c>
      <c r="V337" s="1">
        <v>83024</v>
      </c>
      <c r="W337" s="1">
        <v>6503883</v>
      </c>
      <c r="X337" s="1">
        <v>1984604</v>
      </c>
      <c r="Y337" s="1">
        <v>267810</v>
      </c>
      <c r="Z337" s="1">
        <v>619687</v>
      </c>
      <c r="AA337" s="1">
        <v>27996</v>
      </c>
      <c r="AB337" s="1">
        <v>64386</v>
      </c>
      <c r="AC337" s="1">
        <v>93481</v>
      </c>
      <c r="AD337" s="1">
        <v>410157</v>
      </c>
      <c r="AE337" s="1">
        <v>257591</v>
      </c>
      <c r="AF337" s="1">
        <v>1740</v>
      </c>
      <c r="AG337" s="1">
        <v>4018007</v>
      </c>
      <c r="AH337" s="1">
        <v>10521890</v>
      </c>
      <c r="AJ337" s="1">
        <v>22173</v>
      </c>
      <c r="AK337" s="1">
        <v>455174</v>
      </c>
      <c r="AL337" s="1">
        <v>185822</v>
      </c>
      <c r="AM337" s="1">
        <v>220108</v>
      </c>
      <c r="AN337" s="1">
        <v>45020</v>
      </c>
      <c r="AO337" s="1">
        <v>450950</v>
      </c>
      <c r="AP337" s="1">
        <v>959884</v>
      </c>
      <c r="AQ337" s="1">
        <v>125862</v>
      </c>
      <c r="AT337" s="1">
        <v>125862</v>
      </c>
      <c r="AU337" s="1">
        <v>72087</v>
      </c>
      <c r="AV337" s="1">
        <v>197949</v>
      </c>
      <c r="AW337" s="1">
        <v>197949</v>
      </c>
      <c r="AZ337" s="1">
        <v>12374306</v>
      </c>
      <c r="BE337" s="1">
        <v>106549</v>
      </c>
      <c r="BI337" s="1">
        <v>234083</v>
      </c>
      <c r="BJ337" s="1">
        <v>139956</v>
      </c>
      <c r="BR337" s="1">
        <v>21518</v>
      </c>
      <c r="BU337" s="1">
        <v>53760</v>
      </c>
      <c r="BV337" s="1">
        <v>53760</v>
      </c>
      <c r="CF337" s="1">
        <v>162488</v>
      </c>
      <c r="CU337" s="1">
        <v>23535</v>
      </c>
      <c r="CW337" s="1">
        <v>35427</v>
      </c>
    </row>
    <row r="338" spans="1:122">
      <c r="A338" s="1">
        <v>23</v>
      </c>
      <c r="B338" s="1">
        <v>3120</v>
      </c>
      <c r="C338" s="1" t="s">
        <v>937</v>
      </c>
      <c r="D338" s="1" t="s">
        <v>946</v>
      </c>
      <c r="F338" s="1">
        <v>420439</v>
      </c>
      <c r="G338" s="1">
        <v>425939</v>
      </c>
      <c r="I338" s="1">
        <v>208809</v>
      </c>
      <c r="J338" s="1">
        <v>1058033</v>
      </c>
      <c r="K338" s="1">
        <v>640589</v>
      </c>
      <c r="L338" s="1">
        <v>312374</v>
      </c>
      <c r="M338" s="1">
        <v>25124431</v>
      </c>
      <c r="N338" s="1">
        <v>39828</v>
      </c>
      <c r="O338" s="1">
        <v>26117222</v>
      </c>
      <c r="Q338" s="1">
        <v>25051544</v>
      </c>
      <c r="S338" s="1">
        <v>20650</v>
      </c>
      <c r="V338" s="1">
        <v>230867</v>
      </c>
      <c r="W338" s="1">
        <v>25303061</v>
      </c>
      <c r="Z338" s="1">
        <v>1246058</v>
      </c>
      <c r="AB338" s="1">
        <v>13733</v>
      </c>
      <c r="AC338" s="1">
        <v>202653</v>
      </c>
      <c r="AD338" s="1">
        <v>2031136</v>
      </c>
      <c r="AE338" s="1">
        <v>999629</v>
      </c>
      <c r="AG338" s="1">
        <v>4536670</v>
      </c>
      <c r="AH338" s="1">
        <v>29839731</v>
      </c>
      <c r="AJ338" s="1">
        <v>474053</v>
      </c>
      <c r="AK338" s="1">
        <v>474053</v>
      </c>
      <c r="AL338" s="1">
        <v>61357</v>
      </c>
      <c r="AM338" s="1">
        <v>515266</v>
      </c>
      <c r="AN338" s="1">
        <v>63318</v>
      </c>
      <c r="AO338" s="1">
        <v>639941</v>
      </c>
      <c r="AP338" s="1">
        <v>1113994</v>
      </c>
      <c r="AQ338" s="1">
        <v>2380140</v>
      </c>
      <c r="AT338" s="1">
        <v>2380140</v>
      </c>
      <c r="AU338" s="1">
        <v>316069</v>
      </c>
      <c r="AV338" s="1">
        <v>2696209</v>
      </c>
      <c r="AW338" s="1">
        <v>2696209</v>
      </c>
      <c r="AX338" s="1">
        <v>461901</v>
      </c>
      <c r="AZ338" s="1">
        <v>61287090</v>
      </c>
      <c r="BC338" s="1">
        <v>20650</v>
      </c>
      <c r="BE338" s="1">
        <v>43461</v>
      </c>
      <c r="BY338" s="1">
        <v>461901</v>
      </c>
      <c r="CV338" s="1">
        <v>2846</v>
      </c>
    </row>
    <row r="339" spans="1:122">
      <c r="A339" s="1">
        <v>23</v>
      </c>
      <c r="B339" s="1">
        <v>3140</v>
      </c>
      <c r="C339" s="1" t="s">
        <v>937</v>
      </c>
      <c r="D339" s="1" t="s">
        <v>947</v>
      </c>
      <c r="F339" s="1">
        <v>52917</v>
      </c>
      <c r="H339" s="1">
        <v>40181</v>
      </c>
      <c r="I339" s="1">
        <v>20294</v>
      </c>
      <c r="J339" s="1">
        <v>837413</v>
      </c>
      <c r="K339" s="1">
        <v>551126</v>
      </c>
      <c r="L339" s="1">
        <v>575000</v>
      </c>
      <c r="N339" s="1">
        <v>19198</v>
      </c>
      <c r="O339" s="1">
        <v>1145324</v>
      </c>
      <c r="Q339" s="1">
        <v>18326257</v>
      </c>
      <c r="R339" s="1">
        <v>43110</v>
      </c>
      <c r="S339" s="1">
        <v>51480</v>
      </c>
      <c r="T339" s="1">
        <v>2478</v>
      </c>
      <c r="U339" s="1">
        <v>820</v>
      </c>
      <c r="V339" s="1">
        <v>205656</v>
      </c>
      <c r="W339" s="1">
        <v>18586691</v>
      </c>
      <c r="X339" s="1">
        <v>4636638</v>
      </c>
      <c r="Y339" s="1">
        <v>231325</v>
      </c>
      <c r="Z339" s="1">
        <v>1271237</v>
      </c>
      <c r="AA339" s="1">
        <v>65336</v>
      </c>
      <c r="AB339" s="1">
        <v>46937</v>
      </c>
      <c r="AC339" s="1">
        <v>235240</v>
      </c>
      <c r="AD339" s="1">
        <v>2193938</v>
      </c>
      <c r="AE339" s="1">
        <v>971683</v>
      </c>
      <c r="AG339" s="1">
        <v>10484670</v>
      </c>
      <c r="AH339" s="1">
        <v>29071361</v>
      </c>
      <c r="AI339" s="1">
        <v>51399</v>
      </c>
      <c r="AJ339" s="1">
        <v>141546</v>
      </c>
      <c r="AK339" s="1">
        <v>192945</v>
      </c>
      <c r="AL339" s="1">
        <v>168490</v>
      </c>
      <c r="AM339" s="1">
        <v>475052</v>
      </c>
      <c r="AN339" s="1">
        <v>77998</v>
      </c>
      <c r="AO339" s="1">
        <v>721540</v>
      </c>
      <c r="AP339" s="1">
        <v>945161</v>
      </c>
      <c r="AQ339" s="1">
        <v>452870</v>
      </c>
      <c r="AT339" s="1">
        <v>452870</v>
      </c>
      <c r="AU339" s="1">
        <v>270857</v>
      </c>
      <c r="AV339" s="1">
        <v>723727</v>
      </c>
      <c r="AW339" s="1">
        <v>723727</v>
      </c>
      <c r="AZ339" s="1">
        <v>34118902</v>
      </c>
      <c r="BA339" s="1">
        <v>4707</v>
      </c>
      <c r="BC339" s="1">
        <v>8370</v>
      </c>
      <c r="BE339" s="1">
        <v>212853</v>
      </c>
      <c r="BF339" s="1">
        <v>15544</v>
      </c>
      <c r="BR339" s="1">
        <v>603939</v>
      </c>
      <c r="BU339" s="1">
        <v>30676</v>
      </c>
      <c r="BV339" s="1">
        <v>30676</v>
      </c>
      <c r="BY339" s="1">
        <v>1395916</v>
      </c>
      <c r="CC339" s="1">
        <v>1395916</v>
      </c>
      <c r="CL339" s="1">
        <v>719314</v>
      </c>
    </row>
    <row r="340" spans="1:122">
      <c r="A340" s="1">
        <v>23</v>
      </c>
      <c r="B340" s="1">
        <v>3145</v>
      </c>
      <c r="C340" s="1" t="s">
        <v>937</v>
      </c>
      <c r="D340" s="1" t="s">
        <v>948</v>
      </c>
      <c r="F340" s="1">
        <v>1282784</v>
      </c>
      <c r="I340" s="1">
        <v>216392</v>
      </c>
      <c r="J340" s="1">
        <v>2198404</v>
      </c>
      <c r="K340" s="1">
        <v>4755127</v>
      </c>
      <c r="M340" s="1">
        <v>43343</v>
      </c>
      <c r="N340" s="1">
        <v>2591639</v>
      </c>
      <c r="O340" s="1">
        <v>7390109</v>
      </c>
      <c r="P340" s="1">
        <v>152590</v>
      </c>
      <c r="R340" s="1">
        <v>20478439</v>
      </c>
      <c r="S340" s="1">
        <v>20478439</v>
      </c>
      <c r="T340" s="1">
        <v>21521584</v>
      </c>
      <c r="U340" s="1">
        <v>488423</v>
      </c>
      <c r="V340" s="1">
        <v>200335</v>
      </c>
      <c r="W340" s="1">
        <v>47853696</v>
      </c>
      <c r="AD340" s="1">
        <v>745480</v>
      </c>
      <c r="AE340" s="1">
        <v>892882</v>
      </c>
      <c r="AG340" s="1">
        <v>1638362</v>
      </c>
      <c r="AH340" s="1">
        <v>49644648</v>
      </c>
      <c r="AJ340" s="1">
        <v>6460022</v>
      </c>
      <c r="AK340" s="1">
        <v>6460022</v>
      </c>
      <c r="AL340" s="1">
        <v>97364</v>
      </c>
      <c r="AM340" s="1">
        <v>2479258</v>
      </c>
      <c r="AN340" s="1">
        <v>479025</v>
      </c>
      <c r="AO340" s="1">
        <v>3055647</v>
      </c>
      <c r="AP340" s="1">
        <v>9515669</v>
      </c>
      <c r="AR340" s="1">
        <v>13713</v>
      </c>
      <c r="AS340" s="1">
        <v>13713</v>
      </c>
      <c r="AT340" s="1">
        <v>13713</v>
      </c>
      <c r="AV340" s="1">
        <v>2035243</v>
      </c>
      <c r="AW340" s="1">
        <v>2035243</v>
      </c>
      <c r="AX340" s="1">
        <v>152590</v>
      </c>
      <c r="AY340" s="1">
        <v>500000</v>
      </c>
      <c r="AZ340" s="1">
        <v>81436663</v>
      </c>
      <c r="BA340" s="1">
        <v>699228</v>
      </c>
      <c r="BL340" s="1">
        <v>2021530</v>
      </c>
      <c r="BX340" s="1">
        <v>10000000</v>
      </c>
      <c r="BY340" s="1">
        <v>10652590</v>
      </c>
      <c r="CY340" s="1">
        <v>5164915</v>
      </c>
    </row>
    <row r="341" spans="1:122">
      <c r="A341" s="1">
        <v>23</v>
      </c>
      <c r="B341" s="1">
        <v>3150</v>
      </c>
      <c r="C341" s="1" t="s">
        <v>937</v>
      </c>
      <c r="D341" s="1" t="s">
        <v>949</v>
      </c>
      <c r="F341" s="1">
        <v>2358150</v>
      </c>
      <c r="G341" s="1">
        <v>575512</v>
      </c>
      <c r="I341" s="1">
        <v>100</v>
      </c>
      <c r="J341" s="1">
        <v>3527112</v>
      </c>
      <c r="K341" s="1">
        <v>955001</v>
      </c>
      <c r="L341" s="1">
        <v>3400000</v>
      </c>
      <c r="M341" s="1">
        <v>92271</v>
      </c>
      <c r="O341" s="1">
        <v>4447272</v>
      </c>
      <c r="U341" s="1">
        <v>464981</v>
      </c>
      <c r="V341" s="1">
        <v>2240016</v>
      </c>
      <c r="W341" s="1">
        <v>27916669</v>
      </c>
      <c r="X341" s="1">
        <v>2788463</v>
      </c>
      <c r="Z341" s="1">
        <v>2320167</v>
      </c>
      <c r="AA341" s="1">
        <v>51392</v>
      </c>
      <c r="AC341" s="1">
        <v>651127</v>
      </c>
      <c r="AD341" s="1">
        <v>1127861</v>
      </c>
      <c r="AE341" s="1">
        <v>1206295</v>
      </c>
      <c r="AG341" s="1">
        <v>12547029</v>
      </c>
      <c r="AH341" s="1">
        <v>40463698</v>
      </c>
      <c r="AJ341" s="1">
        <v>40445</v>
      </c>
      <c r="AK341" s="1">
        <v>1366869</v>
      </c>
      <c r="AL341" s="1">
        <v>405870</v>
      </c>
      <c r="AM341" s="1">
        <v>500349</v>
      </c>
      <c r="AN341" s="1">
        <v>476660</v>
      </c>
      <c r="AO341" s="1">
        <v>1962281</v>
      </c>
      <c r="AP341" s="1">
        <v>3501702</v>
      </c>
      <c r="AZ341" s="1">
        <v>51939784</v>
      </c>
      <c r="BJ341" s="1">
        <v>1326424</v>
      </c>
      <c r="BK341" s="1">
        <v>579402</v>
      </c>
      <c r="BN341" s="1">
        <v>24483808</v>
      </c>
      <c r="BO341" s="1">
        <v>727864</v>
      </c>
      <c r="BR341" s="1">
        <v>616902</v>
      </c>
      <c r="BS341" s="1">
        <v>3214207</v>
      </c>
      <c r="BT341" s="1">
        <v>570615</v>
      </c>
      <c r="BU341" s="1">
        <v>172552</v>
      </c>
      <c r="BV341" s="1">
        <v>172552</v>
      </c>
      <c r="CL341" s="1">
        <v>593350</v>
      </c>
    </row>
    <row r="342" spans="1:122">
      <c r="A342" s="1">
        <v>23</v>
      </c>
      <c r="B342" s="1">
        <v>3220</v>
      </c>
      <c r="C342" s="1" t="s">
        <v>937</v>
      </c>
      <c r="D342" s="1" t="s">
        <v>950</v>
      </c>
      <c r="F342" s="1">
        <v>283529</v>
      </c>
      <c r="H342" s="1">
        <v>216000</v>
      </c>
      <c r="I342" s="1">
        <v>59824</v>
      </c>
      <c r="J342" s="1">
        <v>634353</v>
      </c>
      <c r="K342" s="1">
        <v>247178</v>
      </c>
      <c r="M342" s="1">
        <v>202113</v>
      </c>
      <c r="N342" s="1">
        <v>189639</v>
      </c>
      <c r="O342" s="1">
        <v>638930</v>
      </c>
      <c r="P342" s="1">
        <v>63498</v>
      </c>
      <c r="Q342" s="1">
        <v>10758188</v>
      </c>
      <c r="V342" s="1">
        <v>77271</v>
      </c>
      <c r="W342" s="1">
        <v>10835459</v>
      </c>
      <c r="X342" s="1">
        <v>83938</v>
      </c>
      <c r="Y342" s="1">
        <v>164262</v>
      </c>
      <c r="Z342" s="1">
        <v>392950</v>
      </c>
      <c r="AA342" s="1">
        <v>2372</v>
      </c>
      <c r="AB342" s="1">
        <v>36156</v>
      </c>
      <c r="AC342" s="1">
        <v>108513</v>
      </c>
      <c r="AD342" s="1">
        <v>598955</v>
      </c>
      <c r="AE342" s="1">
        <v>293503</v>
      </c>
      <c r="AG342" s="1">
        <v>2176398</v>
      </c>
      <c r="AH342" s="1">
        <v>13075355</v>
      </c>
      <c r="AJ342" s="1">
        <v>53061</v>
      </c>
      <c r="AK342" s="1">
        <v>53061</v>
      </c>
      <c r="AL342" s="1">
        <v>26197</v>
      </c>
      <c r="AM342" s="1">
        <v>226312</v>
      </c>
      <c r="AN342" s="1">
        <v>24385</v>
      </c>
      <c r="AO342" s="1">
        <v>276894</v>
      </c>
      <c r="AP342" s="1">
        <v>329955</v>
      </c>
      <c r="AQ342" s="1">
        <v>602208</v>
      </c>
      <c r="AS342" s="1">
        <v>8064</v>
      </c>
      <c r="AT342" s="1">
        <v>610272</v>
      </c>
      <c r="AU342" s="1">
        <v>27722</v>
      </c>
      <c r="AV342" s="1">
        <v>637994</v>
      </c>
      <c r="AW342" s="1">
        <v>637994</v>
      </c>
      <c r="AX342" s="1">
        <v>2967</v>
      </c>
      <c r="AZ342" s="1">
        <v>15319554</v>
      </c>
      <c r="BE342" s="1">
        <v>36194</v>
      </c>
      <c r="BF342" s="1">
        <v>5126</v>
      </c>
      <c r="BR342" s="1">
        <v>454429</v>
      </c>
      <c r="BY342" s="1">
        <v>2967</v>
      </c>
      <c r="CD342" s="1">
        <v>75000</v>
      </c>
      <c r="DC342" s="1">
        <v>8064</v>
      </c>
    </row>
    <row r="343" spans="1:122">
      <c r="A343" s="1">
        <v>23</v>
      </c>
      <c r="B343" s="1">
        <v>3290</v>
      </c>
      <c r="C343" s="1" t="s">
        <v>937</v>
      </c>
      <c r="D343" s="1" t="s">
        <v>1052</v>
      </c>
      <c r="F343" s="1">
        <v>283449</v>
      </c>
      <c r="G343" s="1">
        <v>3720820</v>
      </c>
      <c r="H343" s="1">
        <v>3127310</v>
      </c>
      <c r="I343" s="1">
        <v>1020</v>
      </c>
      <c r="J343" s="1">
        <v>8978328</v>
      </c>
      <c r="K343" s="1">
        <v>1204371</v>
      </c>
      <c r="M343" s="1">
        <v>103799188</v>
      </c>
      <c r="N343" s="1">
        <v>3748472</v>
      </c>
      <c r="O343" s="1">
        <v>108752031</v>
      </c>
      <c r="P343" s="1">
        <v>5935</v>
      </c>
      <c r="Q343" s="1">
        <v>61844803</v>
      </c>
      <c r="S343" s="1">
        <v>2909595</v>
      </c>
      <c r="U343" s="1">
        <v>5</v>
      </c>
      <c r="V343" s="1">
        <v>1047304</v>
      </c>
      <c r="W343" s="1">
        <v>66020954</v>
      </c>
      <c r="Y343" s="1">
        <v>940868</v>
      </c>
      <c r="Z343" s="1">
        <v>2109258</v>
      </c>
      <c r="AA343" s="1">
        <v>44222</v>
      </c>
      <c r="AB343" s="1">
        <v>137382</v>
      </c>
      <c r="AC343" s="1">
        <v>418692</v>
      </c>
      <c r="AD343" s="1">
        <v>3136028</v>
      </c>
      <c r="AE343" s="1">
        <v>2263770</v>
      </c>
      <c r="AG343" s="1">
        <v>9783793</v>
      </c>
      <c r="AH343" s="1">
        <v>76478791</v>
      </c>
      <c r="AL343" s="1">
        <v>91896</v>
      </c>
      <c r="AM343" s="1">
        <v>774966</v>
      </c>
      <c r="AN343" s="1">
        <v>75734</v>
      </c>
      <c r="AO343" s="1">
        <v>942596</v>
      </c>
      <c r="AP343" s="1">
        <v>943596</v>
      </c>
      <c r="AQ343" s="1">
        <v>6345203</v>
      </c>
      <c r="AT343" s="1">
        <v>6345203</v>
      </c>
      <c r="AU343" s="1">
        <v>560943</v>
      </c>
      <c r="AV343" s="1">
        <v>11394328</v>
      </c>
      <c r="AW343" s="1">
        <v>11394328</v>
      </c>
      <c r="AZ343" s="1">
        <v>206547074</v>
      </c>
      <c r="BC343" s="1">
        <v>2909595</v>
      </c>
      <c r="BE343" s="1">
        <v>105391</v>
      </c>
      <c r="BF343" s="1">
        <v>628182</v>
      </c>
      <c r="BH343" s="1">
        <v>70</v>
      </c>
      <c r="BL343" s="1">
        <v>4488182</v>
      </c>
      <c r="BU343" s="1">
        <v>1000</v>
      </c>
      <c r="BV343" s="1">
        <v>1000</v>
      </c>
      <c r="CA343" s="1">
        <v>70</v>
      </c>
      <c r="CG343" s="1">
        <v>668039</v>
      </c>
      <c r="CL343" s="1">
        <v>1845729</v>
      </c>
      <c r="CZ343" s="1">
        <v>219247</v>
      </c>
    </row>
    <row r="344" spans="1:122">
      <c r="A344" s="1">
        <v>23</v>
      </c>
      <c r="B344" s="1">
        <v>3530</v>
      </c>
      <c r="C344" s="1" t="s">
        <v>937</v>
      </c>
      <c r="D344" s="1" t="s">
        <v>951</v>
      </c>
      <c r="F344" s="1">
        <v>358655</v>
      </c>
      <c r="I344" s="1">
        <v>100</v>
      </c>
      <c r="J344" s="1">
        <v>358755</v>
      </c>
      <c r="K344" s="1">
        <v>2127562</v>
      </c>
      <c r="L344" s="1">
        <v>4663211</v>
      </c>
      <c r="O344" s="1">
        <v>6790773</v>
      </c>
      <c r="Q344" s="1">
        <v>26158022</v>
      </c>
      <c r="V344" s="1">
        <v>1272483</v>
      </c>
      <c r="W344" s="1">
        <v>27430505</v>
      </c>
      <c r="X344" s="1">
        <v>27880488</v>
      </c>
      <c r="Y344" s="1">
        <v>902436</v>
      </c>
      <c r="Z344" s="1">
        <v>5357476</v>
      </c>
      <c r="AA344" s="1">
        <v>1982020</v>
      </c>
      <c r="AB344" s="1">
        <v>292047</v>
      </c>
      <c r="AC344" s="1">
        <v>720312</v>
      </c>
      <c r="AD344" s="1">
        <v>6504438</v>
      </c>
      <c r="AE344" s="1">
        <v>4185955</v>
      </c>
      <c r="AG344" s="1">
        <v>90512794</v>
      </c>
      <c r="AH344" s="1">
        <v>118100103</v>
      </c>
      <c r="AJ344" s="1">
        <v>1260914</v>
      </c>
      <c r="AK344" s="1">
        <v>20586687</v>
      </c>
      <c r="AL344" s="1">
        <v>2482447</v>
      </c>
      <c r="AM344" s="1">
        <v>1672831</v>
      </c>
      <c r="AN344" s="1">
        <v>2870695</v>
      </c>
      <c r="AO344" s="1">
        <v>8233543</v>
      </c>
      <c r="AP344" s="1">
        <v>28820230</v>
      </c>
      <c r="AZ344" s="1">
        <v>154069861</v>
      </c>
      <c r="BF344" s="1">
        <v>19834</v>
      </c>
      <c r="BH344" s="1">
        <v>156804</v>
      </c>
      <c r="BI344" s="1">
        <v>7692009</v>
      </c>
      <c r="BJ344" s="1">
        <v>2471552</v>
      </c>
      <c r="BW344" s="1">
        <v>1207570</v>
      </c>
      <c r="CA344" s="1">
        <v>156804</v>
      </c>
      <c r="CF344" s="1">
        <v>2072614</v>
      </c>
      <c r="CJ344" s="1">
        <v>4313211</v>
      </c>
      <c r="CN344" s="1">
        <v>23235</v>
      </c>
      <c r="CO344" s="1">
        <v>40595174</v>
      </c>
      <c r="CP344" s="1">
        <v>7489236</v>
      </c>
      <c r="CW344" s="1">
        <v>1672976</v>
      </c>
    </row>
    <row r="345" spans="1:122">
      <c r="A345" s="1">
        <v>23</v>
      </c>
      <c r="B345" s="1">
        <v>3620</v>
      </c>
      <c r="C345" s="1" t="s">
        <v>937</v>
      </c>
      <c r="D345" s="1" t="s">
        <v>952</v>
      </c>
      <c r="F345" s="1">
        <v>145605</v>
      </c>
      <c r="G345" s="1">
        <v>206572</v>
      </c>
      <c r="I345" s="1">
        <v>333892</v>
      </c>
      <c r="J345" s="1">
        <v>2664645</v>
      </c>
      <c r="K345" s="1">
        <v>1977181</v>
      </c>
      <c r="L345" s="1">
        <v>150000</v>
      </c>
      <c r="M345" s="1">
        <v>35069813</v>
      </c>
      <c r="N345" s="1">
        <v>76901</v>
      </c>
      <c r="O345" s="1">
        <v>37273895</v>
      </c>
      <c r="P345" s="1">
        <v>1361449</v>
      </c>
      <c r="Q345" s="1">
        <v>60096571</v>
      </c>
      <c r="U345" s="1">
        <v>17620</v>
      </c>
      <c r="V345" s="1">
        <v>987083</v>
      </c>
      <c r="W345" s="1">
        <v>61101274</v>
      </c>
      <c r="X345" s="1">
        <v>345582</v>
      </c>
      <c r="Y345" s="1">
        <v>1712298</v>
      </c>
      <c r="Z345" s="1">
        <v>3369418</v>
      </c>
      <c r="AA345" s="1">
        <v>244058</v>
      </c>
      <c r="AB345" s="1">
        <v>185844</v>
      </c>
      <c r="AC345" s="1">
        <v>609385</v>
      </c>
      <c r="AD345" s="1">
        <v>4133442</v>
      </c>
      <c r="AE345" s="1">
        <v>2397501</v>
      </c>
      <c r="AG345" s="1">
        <v>15479739</v>
      </c>
      <c r="AH345" s="1">
        <v>77943820</v>
      </c>
      <c r="AI345" s="1">
        <v>174141</v>
      </c>
      <c r="AJ345" s="1">
        <v>22595</v>
      </c>
      <c r="AK345" s="1">
        <v>405338</v>
      </c>
      <c r="AL345" s="1">
        <v>383261</v>
      </c>
      <c r="AM345" s="1">
        <v>1135695</v>
      </c>
      <c r="AN345" s="1">
        <v>433570</v>
      </c>
      <c r="AO345" s="1">
        <v>1952526</v>
      </c>
      <c r="AP345" s="1">
        <v>2979548</v>
      </c>
      <c r="AQ345" s="1">
        <v>5831755</v>
      </c>
      <c r="AT345" s="1">
        <v>5831755</v>
      </c>
      <c r="AV345" s="1">
        <v>5848625</v>
      </c>
      <c r="AW345" s="1">
        <v>5848625</v>
      </c>
      <c r="AZ345" s="1">
        <v>135352772</v>
      </c>
      <c r="BE345" s="1">
        <v>252696</v>
      </c>
      <c r="BF345" s="1">
        <v>488321</v>
      </c>
      <c r="BH345" s="1">
        <v>1358</v>
      </c>
      <c r="BJ345" s="1">
        <v>159727</v>
      </c>
      <c r="BM345" s="1">
        <v>16870</v>
      </c>
      <c r="BR345" s="1">
        <v>1741194</v>
      </c>
      <c r="BU345" s="1">
        <v>621684</v>
      </c>
      <c r="BV345" s="1">
        <v>621684</v>
      </c>
      <c r="BY345" s="1">
        <v>8642239</v>
      </c>
      <c r="CA345" s="1">
        <v>1358</v>
      </c>
      <c r="CC345" s="1">
        <v>8642239</v>
      </c>
      <c r="CL345" s="1">
        <v>1978576</v>
      </c>
      <c r="CU345" s="1">
        <v>48875</v>
      </c>
    </row>
    <row r="346" spans="1:122">
      <c r="A346" s="1">
        <v>23</v>
      </c>
      <c r="B346" s="1">
        <v>3845</v>
      </c>
      <c r="C346" s="1" t="s">
        <v>937</v>
      </c>
      <c r="D346" s="1" t="s">
        <v>953</v>
      </c>
      <c r="F346" s="1">
        <v>507895</v>
      </c>
      <c r="I346" s="1">
        <v>100</v>
      </c>
      <c r="J346" s="1">
        <v>507995</v>
      </c>
      <c r="K346" s="1">
        <v>232015</v>
      </c>
      <c r="L346" s="1">
        <v>278000</v>
      </c>
      <c r="M346" s="1">
        <v>1410436</v>
      </c>
      <c r="N346" s="1">
        <v>150504</v>
      </c>
      <c r="O346" s="1">
        <v>2070955</v>
      </c>
      <c r="Q346" s="1">
        <v>81116094</v>
      </c>
      <c r="R346" s="1">
        <v>174014</v>
      </c>
      <c r="S346" s="1">
        <v>174014</v>
      </c>
      <c r="V346" s="1">
        <v>668665</v>
      </c>
      <c r="W346" s="1">
        <v>81958773</v>
      </c>
      <c r="X346" s="1">
        <v>23553857</v>
      </c>
      <c r="Y346" s="1">
        <v>3377484</v>
      </c>
      <c r="Z346" s="1">
        <v>4331799</v>
      </c>
      <c r="AA346" s="1">
        <v>402582</v>
      </c>
      <c r="AB346" s="1">
        <v>375813</v>
      </c>
      <c r="AC346" s="1">
        <v>443342</v>
      </c>
      <c r="AD346" s="1">
        <v>9505316</v>
      </c>
      <c r="AE346" s="1">
        <v>4040391</v>
      </c>
      <c r="AF346" s="1">
        <v>87265</v>
      </c>
      <c r="AG346" s="1">
        <v>50950022</v>
      </c>
      <c r="AH346" s="1">
        <v>132908795</v>
      </c>
      <c r="AI346" s="1">
        <v>274515</v>
      </c>
      <c r="AJ346" s="1">
        <v>536914</v>
      </c>
      <c r="AK346" s="1">
        <v>949732</v>
      </c>
      <c r="AL346" s="1">
        <v>666934</v>
      </c>
      <c r="AM346" s="1">
        <v>2012793</v>
      </c>
      <c r="AN346" s="1">
        <v>667643</v>
      </c>
      <c r="AO346" s="1">
        <v>3347370</v>
      </c>
      <c r="AP346" s="1">
        <v>4322569</v>
      </c>
      <c r="AQ346" s="1">
        <v>3045696</v>
      </c>
      <c r="AT346" s="1">
        <v>3045696</v>
      </c>
      <c r="AV346" s="1">
        <v>3045696</v>
      </c>
      <c r="AW346" s="1">
        <v>3045696</v>
      </c>
      <c r="AZ346" s="1">
        <v>146856010</v>
      </c>
      <c r="BD346" s="1">
        <v>705199</v>
      </c>
      <c r="BE346" s="1">
        <v>1087982</v>
      </c>
      <c r="BJ346" s="1">
        <v>138303</v>
      </c>
      <c r="BR346" s="1">
        <v>70506</v>
      </c>
      <c r="BU346" s="1">
        <v>25467</v>
      </c>
      <c r="BV346" s="1">
        <v>25467</v>
      </c>
      <c r="BY346" s="1">
        <v>4000000</v>
      </c>
      <c r="CC346" s="1">
        <v>4000000</v>
      </c>
      <c r="CF346" s="1">
        <v>2968486</v>
      </c>
    </row>
    <row r="347" spans="1:122">
      <c r="A347" s="1">
        <v>23</v>
      </c>
      <c r="B347" s="1">
        <v>4090</v>
      </c>
      <c r="C347" s="1" t="s">
        <v>937</v>
      </c>
      <c r="D347" s="1" t="s">
        <v>954</v>
      </c>
      <c r="F347" s="1">
        <v>106285</v>
      </c>
      <c r="G347" s="1">
        <v>6315937</v>
      </c>
      <c r="H347" s="1">
        <v>1054503</v>
      </c>
      <c r="I347" s="1">
        <v>1</v>
      </c>
      <c r="J347" s="1">
        <v>7476726</v>
      </c>
      <c r="K347" s="1">
        <v>2581992</v>
      </c>
      <c r="L347" s="1">
        <v>13762315</v>
      </c>
      <c r="N347" s="1">
        <v>30500</v>
      </c>
      <c r="O347" s="1">
        <v>16374807</v>
      </c>
      <c r="Q347" s="1">
        <v>16597840</v>
      </c>
      <c r="V347" s="1">
        <v>1717953</v>
      </c>
      <c r="W347" s="1">
        <v>18315793</v>
      </c>
      <c r="X347" s="1">
        <v>50704531</v>
      </c>
      <c r="Y347" s="1">
        <v>2165146</v>
      </c>
      <c r="Z347" s="1">
        <v>5761172</v>
      </c>
      <c r="AA347" s="1">
        <v>1785120</v>
      </c>
      <c r="AB347" s="1">
        <v>247643</v>
      </c>
      <c r="AC347" s="1">
        <v>476649</v>
      </c>
      <c r="AD347" s="1">
        <v>6965516</v>
      </c>
      <c r="AE347" s="1">
        <v>4296806</v>
      </c>
      <c r="AG347" s="1">
        <v>109291361</v>
      </c>
      <c r="AH347" s="1">
        <v>127869470</v>
      </c>
      <c r="AJ347" s="1">
        <v>1764825</v>
      </c>
      <c r="AK347" s="1">
        <v>20320751</v>
      </c>
      <c r="AL347" s="1">
        <v>4122196</v>
      </c>
      <c r="AM347" s="1">
        <v>2632596</v>
      </c>
      <c r="AN347" s="1">
        <v>2276951</v>
      </c>
      <c r="AO347" s="1">
        <v>9504524</v>
      </c>
      <c r="AP347" s="1">
        <v>29826105</v>
      </c>
      <c r="AQ347" s="1">
        <v>1758958</v>
      </c>
      <c r="AR347" s="1">
        <v>37493</v>
      </c>
      <c r="AS347" s="1">
        <v>37493</v>
      </c>
      <c r="AT347" s="1">
        <v>1796451</v>
      </c>
      <c r="AU347" s="1">
        <v>3688637</v>
      </c>
      <c r="AV347" s="1">
        <v>5485088</v>
      </c>
      <c r="AW347" s="1">
        <v>5485088</v>
      </c>
      <c r="AZ347" s="1">
        <v>224289672</v>
      </c>
      <c r="BD347" s="1">
        <v>506223</v>
      </c>
      <c r="BG347" s="1">
        <v>45398</v>
      </c>
      <c r="BH347" s="1">
        <v>262316</v>
      </c>
      <c r="BI347" s="1">
        <v>5167443</v>
      </c>
      <c r="BJ347" s="1">
        <v>3944848</v>
      </c>
      <c r="BU347" s="1">
        <v>830</v>
      </c>
      <c r="BV347" s="1">
        <v>830</v>
      </c>
      <c r="BW347" s="1">
        <v>472781</v>
      </c>
      <c r="BY347" s="1">
        <v>37257476</v>
      </c>
      <c r="CA347" s="1">
        <v>216918</v>
      </c>
      <c r="CF347" s="1">
        <v>4302598</v>
      </c>
      <c r="CI347" s="1">
        <v>37257476</v>
      </c>
      <c r="CJ347" s="1">
        <v>14816818</v>
      </c>
      <c r="CN347" s="1">
        <v>120273</v>
      </c>
      <c r="CO347" s="1">
        <v>32079957</v>
      </c>
      <c r="CP347" s="1">
        <v>8196527</v>
      </c>
      <c r="CU347" s="1">
        <v>94451</v>
      </c>
      <c r="CW347" s="1">
        <v>1152657</v>
      </c>
      <c r="DR347" s="1">
        <v>6094</v>
      </c>
    </row>
    <row r="348" spans="1:122">
      <c r="A348" s="1">
        <v>23</v>
      </c>
      <c r="B348" s="1">
        <v>4130</v>
      </c>
      <c r="C348" s="1" t="s">
        <v>937</v>
      </c>
      <c r="D348" s="1" t="s">
        <v>955</v>
      </c>
      <c r="F348" s="1">
        <v>404532</v>
      </c>
      <c r="G348" s="1">
        <v>30729</v>
      </c>
      <c r="H348" s="1">
        <v>2174801</v>
      </c>
      <c r="I348" s="1">
        <v>12416</v>
      </c>
      <c r="J348" s="1">
        <v>2622478</v>
      </c>
      <c r="K348" s="1">
        <v>1997482</v>
      </c>
      <c r="L348" s="1">
        <v>3858420</v>
      </c>
      <c r="M348" s="1">
        <v>2491248</v>
      </c>
      <c r="N348" s="1">
        <v>311620</v>
      </c>
      <c r="O348" s="1">
        <v>8658770</v>
      </c>
      <c r="P348" s="1">
        <v>831108</v>
      </c>
      <c r="Q348" s="1">
        <v>69658719</v>
      </c>
      <c r="T348" s="1">
        <v>270250</v>
      </c>
      <c r="V348" s="1">
        <v>1001697</v>
      </c>
      <c r="W348" s="1">
        <v>70930666</v>
      </c>
      <c r="X348" s="1">
        <v>3496151</v>
      </c>
      <c r="Y348" s="1">
        <v>2061186</v>
      </c>
      <c r="Z348" s="1">
        <v>5112052</v>
      </c>
      <c r="AA348" s="1">
        <v>314498</v>
      </c>
      <c r="AB348" s="1">
        <v>275724</v>
      </c>
      <c r="AC348" s="1">
        <v>761896</v>
      </c>
      <c r="AD348" s="1">
        <v>6737667</v>
      </c>
      <c r="AE348" s="1">
        <v>3087136</v>
      </c>
      <c r="AG348" s="1">
        <v>22539550</v>
      </c>
      <c r="AH348" s="1">
        <v>94301324</v>
      </c>
      <c r="AI348" s="1">
        <v>127342</v>
      </c>
      <c r="AJ348" s="1">
        <v>1178638</v>
      </c>
      <c r="AK348" s="1">
        <v>1621461</v>
      </c>
      <c r="AL348" s="1">
        <v>230157</v>
      </c>
      <c r="AM348" s="1">
        <v>1735860</v>
      </c>
      <c r="AN348" s="1">
        <v>319905</v>
      </c>
      <c r="AO348" s="1">
        <v>2315226</v>
      </c>
      <c r="AP348" s="1">
        <v>4025843</v>
      </c>
      <c r="AQ348" s="1">
        <v>3380230</v>
      </c>
      <c r="AR348" s="1">
        <v>3557</v>
      </c>
      <c r="AS348" s="1">
        <v>3557</v>
      </c>
      <c r="AT348" s="1">
        <v>3383787</v>
      </c>
      <c r="AU348" s="1">
        <v>103140</v>
      </c>
      <c r="AV348" s="1">
        <v>3486927</v>
      </c>
      <c r="AW348" s="1">
        <v>3486927</v>
      </c>
      <c r="AY348" s="1">
        <v>1752913</v>
      </c>
      <c r="AZ348" s="1">
        <v>115742766</v>
      </c>
      <c r="BE348" s="1">
        <v>373868</v>
      </c>
      <c r="BF348" s="1">
        <v>45708</v>
      </c>
      <c r="BJ348" s="1">
        <v>181964</v>
      </c>
      <c r="BK348" s="1">
        <v>29304</v>
      </c>
      <c r="BR348" s="1">
        <v>273664</v>
      </c>
      <c r="BU348" s="1">
        <v>89156</v>
      </c>
      <c r="BV348" s="1">
        <v>89156</v>
      </c>
      <c r="BY348" s="1">
        <v>2647424</v>
      </c>
      <c r="CI348" s="1">
        <v>894511</v>
      </c>
      <c r="CU348" s="1">
        <v>132390</v>
      </c>
      <c r="DQ348" s="1">
        <v>1127</v>
      </c>
    </row>
    <row r="349" spans="1:122">
      <c r="A349" s="1">
        <v>23</v>
      </c>
      <c r="B349" s="1">
        <v>4660</v>
      </c>
      <c r="C349" s="1" t="s">
        <v>937</v>
      </c>
      <c r="D349" s="1" t="s">
        <v>956</v>
      </c>
      <c r="F349" s="1">
        <v>648204</v>
      </c>
      <c r="I349" s="1">
        <v>160</v>
      </c>
      <c r="J349" s="1">
        <v>4440271</v>
      </c>
      <c r="K349" s="1">
        <v>1307308</v>
      </c>
      <c r="L349" s="1">
        <v>1540700</v>
      </c>
      <c r="M349" s="1">
        <v>31826308</v>
      </c>
      <c r="N349" s="1">
        <v>919373</v>
      </c>
      <c r="O349" s="1">
        <v>35593689</v>
      </c>
      <c r="P349" s="1">
        <v>601464</v>
      </c>
      <c r="Q349" s="1">
        <v>47713318</v>
      </c>
      <c r="W349" s="1">
        <v>48064475</v>
      </c>
      <c r="X349" s="1">
        <v>7824745</v>
      </c>
      <c r="Y349" s="1">
        <v>1935495</v>
      </c>
      <c r="Z349" s="1">
        <v>4563657</v>
      </c>
      <c r="AA349" s="1">
        <v>102442</v>
      </c>
      <c r="AB349" s="1">
        <v>285430</v>
      </c>
      <c r="AC349" s="1">
        <v>640655</v>
      </c>
      <c r="AD349" s="1">
        <v>4556579</v>
      </c>
      <c r="AE349" s="1">
        <v>2253465</v>
      </c>
      <c r="AG349" s="1">
        <v>22662780</v>
      </c>
      <c r="AH349" s="1">
        <v>71328719</v>
      </c>
      <c r="AI349" s="1">
        <v>195563</v>
      </c>
      <c r="AJ349" s="1">
        <v>251032</v>
      </c>
      <c r="AK349" s="1">
        <v>446595</v>
      </c>
      <c r="AL349" s="1">
        <v>538043</v>
      </c>
      <c r="AM349" s="1">
        <v>1255431</v>
      </c>
      <c r="AN349" s="1">
        <v>297772</v>
      </c>
      <c r="AO349" s="1">
        <v>2091246</v>
      </c>
      <c r="AP349" s="1">
        <v>2543955</v>
      </c>
      <c r="AQ349" s="1">
        <v>1729236</v>
      </c>
      <c r="AT349" s="1">
        <v>1729236</v>
      </c>
      <c r="AU349" s="1">
        <v>163572</v>
      </c>
      <c r="AV349" s="1">
        <v>3357808</v>
      </c>
      <c r="AW349" s="1">
        <v>3357808</v>
      </c>
      <c r="AX349" s="1">
        <v>1601464</v>
      </c>
      <c r="AY349" s="1">
        <v>-2066464</v>
      </c>
      <c r="AZ349" s="1">
        <v>130345271</v>
      </c>
      <c r="BA349" s="1">
        <v>405625</v>
      </c>
      <c r="BB349" s="1">
        <v>180539</v>
      </c>
      <c r="BE349" s="1">
        <v>457848</v>
      </c>
      <c r="BF349" s="1">
        <v>42464</v>
      </c>
      <c r="BL349" s="1">
        <v>1465000</v>
      </c>
      <c r="BU349" s="1">
        <v>6114</v>
      </c>
      <c r="BV349" s="1">
        <v>6114</v>
      </c>
      <c r="BY349" s="1">
        <v>13080829</v>
      </c>
      <c r="CE349" s="1">
        <v>351157</v>
      </c>
      <c r="CI349" s="1">
        <v>13545829</v>
      </c>
      <c r="CL349" s="1">
        <v>3189409</v>
      </c>
      <c r="CV349" s="1">
        <v>16334</v>
      </c>
    </row>
    <row r="350" spans="1:122">
      <c r="A350" s="1">
        <v>23</v>
      </c>
      <c r="B350" s="1">
        <v>4830</v>
      </c>
      <c r="C350" s="1" t="s">
        <v>937</v>
      </c>
      <c r="D350" s="1" t="s">
        <v>957</v>
      </c>
      <c r="F350" s="1">
        <v>182354</v>
      </c>
      <c r="H350" s="1">
        <v>158533</v>
      </c>
      <c r="J350" s="1">
        <v>340887</v>
      </c>
      <c r="K350" s="1">
        <v>235220</v>
      </c>
      <c r="L350" s="1">
        <v>348000</v>
      </c>
      <c r="N350" s="1">
        <v>6919</v>
      </c>
      <c r="O350" s="1">
        <v>590139</v>
      </c>
      <c r="Q350" s="1">
        <v>6768167</v>
      </c>
      <c r="V350" s="1">
        <v>24142</v>
      </c>
      <c r="W350" s="1">
        <v>6792309</v>
      </c>
      <c r="X350" s="1">
        <v>3693574</v>
      </c>
      <c r="Y350" s="1">
        <v>136036</v>
      </c>
      <c r="Z350" s="1">
        <v>905527</v>
      </c>
      <c r="AA350" s="1">
        <v>45444</v>
      </c>
      <c r="AB350" s="1">
        <v>5301</v>
      </c>
      <c r="AC350" s="1">
        <v>129140</v>
      </c>
      <c r="AD350" s="1">
        <v>882158</v>
      </c>
      <c r="AE350" s="1">
        <v>536503</v>
      </c>
      <c r="AG350" s="1">
        <v>6847223</v>
      </c>
      <c r="AH350" s="1">
        <v>13639532</v>
      </c>
      <c r="AJ350" s="1">
        <v>496400</v>
      </c>
      <c r="AK350" s="1">
        <v>1276979</v>
      </c>
      <c r="AL350" s="1">
        <v>342870</v>
      </c>
      <c r="AM350" s="1">
        <v>369150</v>
      </c>
      <c r="AN350" s="1">
        <v>148853</v>
      </c>
      <c r="AO350" s="1">
        <v>860873</v>
      </c>
      <c r="AP350" s="1">
        <v>2137852</v>
      </c>
      <c r="AQ350" s="1">
        <v>736936</v>
      </c>
      <c r="AS350" s="1">
        <v>298</v>
      </c>
      <c r="AT350" s="1">
        <v>737234</v>
      </c>
      <c r="AU350" s="1">
        <v>429471</v>
      </c>
      <c r="AV350" s="1">
        <v>1166705</v>
      </c>
      <c r="AW350" s="1">
        <v>1166705</v>
      </c>
      <c r="AZ350" s="1">
        <v>17875115</v>
      </c>
      <c r="BE350" s="1">
        <v>178586</v>
      </c>
      <c r="BF350" s="1">
        <v>93116</v>
      </c>
      <c r="BI350" s="1">
        <v>578919</v>
      </c>
      <c r="BJ350" s="1">
        <v>194606</v>
      </c>
      <c r="CF350" s="1">
        <v>241838</v>
      </c>
      <c r="CW350" s="1">
        <v>7054</v>
      </c>
      <c r="DC350" s="1">
        <v>298</v>
      </c>
    </row>
    <row r="351" spans="1:122">
      <c r="A351" s="1">
        <v>23</v>
      </c>
      <c r="B351" s="1">
        <v>4860</v>
      </c>
      <c r="C351" s="1" t="s">
        <v>937</v>
      </c>
      <c r="D351" s="1" t="s">
        <v>958</v>
      </c>
      <c r="F351" s="1">
        <v>172466</v>
      </c>
      <c r="H351" s="1">
        <v>1190180</v>
      </c>
      <c r="I351" s="1">
        <v>1307028</v>
      </c>
      <c r="J351" s="1">
        <v>5594399</v>
      </c>
      <c r="K351" s="1">
        <v>2014992</v>
      </c>
      <c r="L351" s="1">
        <v>2528000</v>
      </c>
      <c r="M351" s="1">
        <v>4239181</v>
      </c>
      <c r="N351" s="1">
        <v>1255458</v>
      </c>
      <c r="O351" s="1">
        <v>10037631</v>
      </c>
      <c r="Q351" s="1">
        <v>89910441</v>
      </c>
      <c r="S351" s="1">
        <v>170879</v>
      </c>
      <c r="U351" s="1">
        <v>39559</v>
      </c>
      <c r="V351" s="1">
        <v>1226071</v>
      </c>
      <c r="W351" s="1">
        <v>91346950</v>
      </c>
      <c r="X351" s="1">
        <v>10740992</v>
      </c>
      <c r="Y351" s="1">
        <v>2229237</v>
      </c>
      <c r="Z351" s="1">
        <v>4810367</v>
      </c>
      <c r="AA351" s="1">
        <v>124868</v>
      </c>
      <c r="AB351" s="1">
        <v>245689</v>
      </c>
      <c r="AC351" s="1">
        <v>348223</v>
      </c>
      <c r="AD351" s="1">
        <v>5598811</v>
      </c>
      <c r="AE351" s="1">
        <v>3727428</v>
      </c>
      <c r="AF351" s="1">
        <v>38429</v>
      </c>
      <c r="AG351" s="1">
        <v>28812401</v>
      </c>
      <c r="AH351" s="1">
        <v>120560884</v>
      </c>
      <c r="AJ351" s="1">
        <v>475892</v>
      </c>
      <c r="AK351" s="1">
        <v>475892</v>
      </c>
      <c r="AL351" s="1">
        <v>256108</v>
      </c>
      <c r="AM351" s="1">
        <v>1748583</v>
      </c>
      <c r="AN351" s="1">
        <v>248432</v>
      </c>
      <c r="AO351" s="1">
        <v>2253123</v>
      </c>
      <c r="AP351" s="1">
        <v>2750918</v>
      </c>
      <c r="AQ351" s="1">
        <v>8290872</v>
      </c>
      <c r="AR351" s="1">
        <v>186712</v>
      </c>
      <c r="AS351" s="1">
        <v>186712</v>
      </c>
      <c r="AT351" s="1">
        <v>8477584</v>
      </c>
      <c r="AU351" s="1">
        <v>2012142</v>
      </c>
      <c r="AV351" s="1">
        <v>10489726</v>
      </c>
      <c r="AW351" s="1">
        <v>10489726</v>
      </c>
      <c r="AY351" s="1">
        <v>445000</v>
      </c>
      <c r="AZ351" s="1">
        <v>153080430</v>
      </c>
      <c r="BC351" s="1">
        <v>170879</v>
      </c>
      <c r="BE351" s="1">
        <v>547611</v>
      </c>
      <c r="BF351" s="1">
        <v>400746</v>
      </c>
      <c r="BU351" s="1">
        <v>16662</v>
      </c>
      <c r="BV351" s="1">
        <v>21903</v>
      </c>
      <c r="BY351" s="1">
        <v>3646872</v>
      </c>
      <c r="CC351" s="1">
        <v>3201872</v>
      </c>
      <c r="CG351" s="1">
        <v>401533</v>
      </c>
      <c r="CL351" s="1">
        <v>2924725</v>
      </c>
      <c r="DM351" s="1">
        <v>5241</v>
      </c>
    </row>
    <row r="352" spans="1:122">
      <c r="A352" s="1">
        <v>23</v>
      </c>
      <c r="B352" s="1">
        <v>4910</v>
      </c>
      <c r="C352" s="1" t="s">
        <v>937</v>
      </c>
      <c r="D352" s="1" t="s">
        <v>959</v>
      </c>
      <c r="F352" s="1">
        <v>211612</v>
      </c>
      <c r="H352" s="1">
        <v>78384</v>
      </c>
      <c r="J352" s="1">
        <v>289996</v>
      </c>
      <c r="K352" s="1">
        <v>885322</v>
      </c>
      <c r="L352" s="1">
        <v>587186</v>
      </c>
      <c r="M352" s="1">
        <v>132988</v>
      </c>
      <c r="N352" s="1">
        <v>11639</v>
      </c>
      <c r="O352" s="1">
        <v>1617135</v>
      </c>
      <c r="P352" s="1">
        <v>132988</v>
      </c>
      <c r="Q352" s="1">
        <v>38070174</v>
      </c>
      <c r="S352" s="1">
        <v>5300</v>
      </c>
      <c r="V352" s="1">
        <v>522741</v>
      </c>
      <c r="W352" s="1">
        <v>38598215</v>
      </c>
      <c r="X352" s="1">
        <v>4585704</v>
      </c>
      <c r="Y352" s="1">
        <v>584735</v>
      </c>
      <c r="Z352" s="1">
        <v>1961944</v>
      </c>
      <c r="AA352" s="1">
        <v>90924</v>
      </c>
      <c r="AB352" s="1">
        <v>148502</v>
      </c>
      <c r="AC352" s="1">
        <v>432736</v>
      </c>
      <c r="AD352" s="1">
        <v>3728366</v>
      </c>
      <c r="AE352" s="1">
        <v>1772421</v>
      </c>
      <c r="AG352" s="1">
        <v>13760309</v>
      </c>
      <c r="AH352" s="1">
        <v>52707635</v>
      </c>
      <c r="AI352" s="1">
        <v>97863</v>
      </c>
      <c r="AJ352" s="1">
        <v>304243</v>
      </c>
      <c r="AK352" s="1">
        <v>556495</v>
      </c>
      <c r="AL352" s="1">
        <v>259485</v>
      </c>
      <c r="AM352" s="1">
        <v>803403</v>
      </c>
      <c r="AN352" s="1">
        <v>129717</v>
      </c>
      <c r="AO352" s="1">
        <v>1192605</v>
      </c>
      <c r="AP352" s="1">
        <v>1750851</v>
      </c>
      <c r="AQ352" s="1">
        <v>917169</v>
      </c>
      <c r="AT352" s="1">
        <v>917169</v>
      </c>
      <c r="AU352" s="1">
        <v>59846</v>
      </c>
      <c r="AV352" s="1">
        <v>977015</v>
      </c>
      <c r="AW352" s="1">
        <v>977015</v>
      </c>
      <c r="AY352" s="1">
        <v>-132988</v>
      </c>
      <c r="AZ352" s="1">
        <v>57209644</v>
      </c>
      <c r="BC352" s="1">
        <v>5300</v>
      </c>
      <c r="BE352" s="1">
        <v>237249</v>
      </c>
      <c r="BF352" s="1">
        <v>217728</v>
      </c>
      <c r="BJ352" s="1">
        <v>154389</v>
      </c>
      <c r="BU352" s="1">
        <v>1751</v>
      </c>
      <c r="BV352" s="1">
        <v>1751</v>
      </c>
      <c r="BY352" s="1">
        <v>-132988</v>
      </c>
      <c r="CG352" s="1">
        <v>190000</v>
      </c>
      <c r="CX352" s="1">
        <v>26123</v>
      </c>
    </row>
    <row r="353" spans="1:122">
      <c r="A353" s="1">
        <v>23</v>
      </c>
      <c r="B353" s="1">
        <v>4920</v>
      </c>
      <c r="C353" s="1" t="s">
        <v>937</v>
      </c>
      <c r="D353" s="1" t="s">
        <v>960</v>
      </c>
      <c r="F353" s="1">
        <v>16531</v>
      </c>
      <c r="G353" s="1">
        <v>342986</v>
      </c>
      <c r="H353" s="1">
        <v>371911</v>
      </c>
      <c r="I353" s="1">
        <v>27085</v>
      </c>
      <c r="J353" s="1">
        <v>758513</v>
      </c>
      <c r="K353" s="1">
        <v>416837</v>
      </c>
      <c r="L353" s="1">
        <v>609818</v>
      </c>
      <c r="N353" s="1">
        <v>1</v>
      </c>
      <c r="O353" s="1">
        <v>1026656</v>
      </c>
      <c r="P353" s="1">
        <v>1657</v>
      </c>
      <c r="Q353" s="1">
        <v>11306839</v>
      </c>
      <c r="V353" s="1">
        <v>407520</v>
      </c>
      <c r="W353" s="1">
        <v>11714359</v>
      </c>
      <c r="X353" s="1">
        <v>5472984</v>
      </c>
      <c r="Y353" s="1">
        <v>248820</v>
      </c>
      <c r="Z353" s="1">
        <v>1612805</v>
      </c>
      <c r="AA353" s="1">
        <v>209700</v>
      </c>
      <c r="AB353" s="1">
        <v>48858</v>
      </c>
      <c r="AC353" s="1">
        <v>254213</v>
      </c>
      <c r="AD353" s="1">
        <v>1884155</v>
      </c>
      <c r="AE353" s="1">
        <v>809514</v>
      </c>
      <c r="AG353" s="1">
        <v>10794659</v>
      </c>
      <c r="AH353" s="1">
        <v>22513712</v>
      </c>
      <c r="AI353" s="1">
        <v>155906</v>
      </c>
      <c r="AJ353" s="1">
        <v>284260</v>
      </c>
      <c r="AK353" s="1">
        <v>887980</v>
      </c>
      <c r="AL353" s="1">
        <v>415607</v>
      </c>
      <c r="AM353" s="1">
        <v>511704</v>
      </c>
      <c r="AN353" s="1">
        <v>122123</v>
      </c>
      <c r="AO353" s="1">
        <v>1096845</v>
      </c>
      <c r="AP353" s="1">
        <v>1984825</v>
      </c>
      <c r="AQ353" s="1">
        <v>1528212</v>
      </c>
      <c r="AT353" s="1">
        <v>1528212</v>
      </c>
      <c r="AU353" s="1">
        <v>525978</v>
      </c>
      <c r="AV353" s="1">
        <v>2054190</v>
      </c>
      <c r="AW353" s="1">
        <v>2054190</v>
      </c>
      <c r="AZ353" s="1">
        <v>28337896</v>
      </c>
      <c r="BE353" s="1">
        <v>238398</v>
      </c>
      <c r="BF353" s="1">
        <v>15212</v>
      </c>
      <c r="BH353" s="1">
        <v>3037</v>
      </c>
      <c r="BJ353" s="1">
        <v>435457</v>
      </c>
      <c r="BW353" s="1">
        <v>47411</v>
      </c>
      <c r="CA353" s="1">
        <v>3037</v>
      </c>
      <c r="CU353" s="1">
        <v>12357</v>
      </c>
    </row>
    <row r="354" spans="1:122">
      <c r="A354" s="1">
        <v>23</v>
      </c>
      <c r="B354" s="1">
        <v>4970</v>
      </c>
      <c r="C354" s="1" t="s">
        <v>937</v>
      </c>
      <c r="D354" s="1" t="s">
        <v>961</v>
      </c>
      <c r="E354" s="1">
        <v>200000</v>
      </c>
      <c r="F354" s="1">
        <v>263843</v>
      </c>
      <c r="G354" s="1">
        <v>249281</v>
      </c>
      <c r="H354" s="1">
        <v>280039</v>
      </c>
      <c r="I354" s="1">
        <v>938</v>
      </c>
      <c r="J354" s="1">
        <v>1586656</v>
      </c>
      <c r="K354" s="1">
        <v>427926</v>
      </c>
      <c r="L354" s="1">
        <v>69961</v>
      </c>
      <c r="M354" s="1">
        <v>222108</v>
      </c>
      <c r="N354" s="1">
        <v>18623</v>
      </c>
      <c r="O354" s="1">
        <v>738618</v>
      </c>
      <c r="P354" s="1">
        <v>2614</v>
      </c>
      <c r="Q354" s="1">
        <v>9401560</v>
      </c>
      <c r="R354" s="1">
        <v>7158656</v>
      </c>
      <c r="S354" s="1">
        <v>7158656</v>
      </c>
      <c r="W354" s="1">
        <v>16767070</v>
      </c>
      <c r="X354" s="1">
        <v>2149419</v>
      </c>
      <c r="Y354" s="1">
        <v>113081</v>
      </c>
      <c r="Z354" s="1">
        <v>1330731</v>
      </c>
      <c r="AA354" s="1">
        <v>10512</v>
      </c>
      <c r="AB354" s="1">
        <v>15255</v>
      </c>
      <c r="AC354" s="1">
        <v>124313</v>
      </c>
      <c r="AD354" s="1">
        <v>1332991</v>
      </c>
      <c r="AE354" s="1">
        <v>738339</v>
      </c>
      <c r="AG354" s="1">
        <v>6181913</v>
      </c>
      <c r="AH354" s="1">
        <v>22951597</v>
      </c>
      <c r="AJ354" s="1">
        <v>280360</v>
      </c>
      <c r="AK354" s="1">
        <v>280360</v>
      </c>
      <c r="AL354" s="1">
        <v>79901</v>
      </c>
      <c r="AM354" s="1">
        <v>346286</v>
      </c>
      <c r="AN354" s="1">
        <v>36083</v>
      </c>
      <c r="AO354" s="1">
        <v>567028</v>
      </c>
      <c r="AP354" s="1">
        <v>861299</v>
      </c>
      <c r="AQ354" s="1">
        <v>1251937</v>
      </c>
      <c r="AT354" s="1">
        <v>1251937</v>
      </c>
      <c r="AU354" s="1">
        <v>109334</v>
      </c>
      <c r="AV354" s="1">
        <v>1361271</v>
      </c>
      <c r="AW354" s="1">
        <v>1361271</v>
      </c>
      <c r="AX354" s="1">
        <v>2614</v>
      </c>
      <c r="AY354" s="1">
        <v>-2614</v>
      </c>
      <c r="AZ354" s="1">
        <v>27499441</v>
      </c>
      <c r="BE354" s="1">
        <v>119197</v>
      </c>
      <c r="BF354" s="1">
        <v>2900</v>
      </c>
      <c r="BK354" s="1">
        <v>104758</v>
      </c>
      <c r="BQ354" s="1">
        <v>206854</v>
      </c>
      <c r="BU354" s="1">
        <v>13911</v>
      </c>
      <c r="BV354" s="1">
        <v>13911</v>
      </c>
      <c r="CF354" s="1">
        <v>245175</v>
      </c>
      <c r="CL354" s="1">
        <v>592555</v>
      </c>
    </row>
    <row r="355" spans="1:122">
      <c r="A355" s="1">
        <v>23</v>
      </c>
      <c r="B355" s="1">
        <v>5850</v>
      </c>
      <c r="C355" s="1" t="s">
        <v>937</v>
      </c>
      <c r="D355" s="1" t="s">
        <v>962</v>
      </c>
      <c r="F355" s="1">
        <v>1059767</v>
      </c>
      <c r="G355" s="1">
        <v>1970719</v>
      </c>
      <c r="H355" s="1">
        <v>614531</v>
      </c>
      <c r="I355" s="1">
        <v>1</v>
      </c>
      <c r="J355" s="1">
        <v>3645018</v>
      </c>
      <c r="K355" s="1">
        <v>4834150</v>
      </c>
      <c r="L355" s="1">
        <v>3685469</v>
      </c>
      <c r="M355" s="1">
        <v>60814426</v>
      </c>
      <c r="N355" s="1">
        <v>154028</v>
      </c>
      <c r="O355" s="1">
        <v>69488073</v>
      </c>
      <c r="P355" s="1">
        <v>675203</v>
      </c>
      <c r="Q355" s="1">
        <v>136147485</v>
      </c>
      <c r="V355" s="1">
        <v>1770391</v>
      </c>
      <c r="W355" s="1">
        <v>137917876</v>
      </c>
      <c r="X355" s="1">
        <v>897652</v>
      </c>
      <c r="Y355" s="1">
        <v>3652392</v>
      </c>
      <c r="Z355" s="1">
        <v>10114802</v>
      </c>
      <c r="AA355" s="1">
        <v>320986</v>
      </c>
      <c r="AB355" s="1">
        <v>628611</v>
      </c>
      <c r="AC355" s="1">
        <v>1483634</v>
      </c>
      <c r="AD355" s="1">
        <v>13032485</v>
      </c>
      <c r="AE355" s="1">
        <v>6081779</v>
      </c>
      <c r="AG355" s="1">
        <v>38108179</v>
      </c>
      <c r="AH355" s="1">
        <v>176915058</v>
      </c>
      <c r="AI355" s="1">
        <v>469347</v>
      </c>
      <c r="AJ355" s="1">
        <v>921499</v>
      </c>
      <c r="AK355" s="1">
        <v>1867770</v>
      </c>
      <c r="AL355" s="1">
        <v>586223</v>
      </c>
      <c r="AM355" s="1">
        <v>2992811</v>
      </c>
      <c r="AN355" s="1">
        <v>553250</v>
      </c>
      <c r="AO355" s="1">
        <v>4195247</v>
      </c>
      <c r="AP355" s="1">
        <v>6117088</v>
      </c>
      <c r="AQ355" s="1">
        <v>4225318</v>
      </c>
      <c r="AT355" s="1">
        <v>4225318</v>
      </c>
      <c r="AU355" s="1">
        <v>67014</v>
      </c>
      <c r="AV355" s="1">
        <v>4292332</v>
      </c>
      <c r="AW355" s="1">
        <v>4292332</v>
      </c>
      <c r="AZ355" s="1">
        <v>260457569</v>
      </c>
      <c r="BE355" s="1">
        <v>529309</v>
      </c>
      <c r="BF355" s="1">
        <v>1157211</v>
      </c>
      <c r="BH355" s="1">
        <v>37806</v>
      </c>
      <c r="BJ355" s="1">
        <v>438082</v>
      </c>
      <c r="BK355" s="1">
        <v>62963</v>
      </c>
      <c r="BU355" s="1">
        <v>54071</v>
      </c>
      <c r="BV355" s="1">
        <v>54071</v>
      </c>
      <c r="CA355" s="1">
        <v>37806</v>
      </c>
      <c r="CG355" s="1">
        <v>175994</v>
      </c>
      <c r="CU355" s="1">
        <v>38842</v>
      </c>
      <c r="DO355" s="1">
        <v>209318</v>
      </c>
    </row>
    <row r="356" spans="1:122">
      <c r="A356" s="1">
        <v>25</v>
      </c>
      <c r="B356" s="1">
        <v>50</v>
      </c>
      <c r="C356" s="1" t="s">
        <v>963</v>
      </c>
      <c r="D356" s="1" t="s">
        <v>964</v>
      </c>
      <c r="G356" s="1">
        <v>132736</v>
      </c>
      <c r="J356" s="1">
        <v>132736</v>
      </c>
      <c r="K356" s="1">
        <v>101994</v>
      </c>
      <c r="L356" s="1">
        <v>70067</v>
      </c>
      <c r="O356" s="1">
        <v>172061</v>
      </c>
      <c r="Q356" s="1">
        <v>288200</v>
      </c>
      <c r="S356" s="1">
        <v>4409</v>
      </c>
      <c r="V356" s="1">
        <v>15672</v>
      </c>
      <c r="W356" s="1">
        <v>308281</v>
      </c>
      <c r="Y356" s="1">
        <v>34027</v>
      </c>
      <c r="Z356" s="1">
        <v>14277</v>
      </c>
      <c r="AC356" s="1">
        <v>1317</v>
      </c>
      <c r="AD356" s="1">
        <v>1079</v>
      </c>
      <c r="AE356" s="1">
        <v>1095</v>
      </c>
      <c r="AG356" s="1">
        <v>59047</v>
      </c>
      <c r="AH356" s="1">
        <v>367328</v>
      </c>
      <c r="AZ356" s="1">
        <v>672125</v>
      </c>
      <c r="BC356" s="1">
        <v>4409</v>
      </c>
      <c r="BF356" s="1">
        <v>5742</v>
      </c>
      <c r="BR356" s="1">
        <v>1510</v>
      </c>
    </row>
    <row r="357" spans="1:122">
      <c r="A357" s="1">
        <v>25</v>
      </c>
      <c r="B357" s="1">
        <v>100</v>
      </c>
      <c r="C357" s="1" t="s">
        <v>963</v>
      </c>
      <c r="D357" s="1" t="s">
        <v>965</v>
      </c>
      <c r="F357" s="1">
        <v>258353</v>
      </c>
      <c r="G357" s="1">
        <v>2856815</v>
      </c>
      <c r="J357" s="1">
        <v>3115168</v>
      </c>
      <c r="K357" s="1">
        <v>1310552</v>
      </c>
      <c r="L357" s="1">
        <v>2022885</v>
      </c>
      <c r="M357" s="1">
        <v>47927</v>
      </c>
      <c r="N357" s="1">
        <v>1527</v>
      </c>
      <c r="O357" s="1">
        <v>3382891</v>
      </c>
      <c r="Q357" s="1">
        <v>5449899</v>
      </c>
      <c r="S357" s="1">
        <v>188907</v>
      </c>
      <c r="V357" s="1">
        <v>371620</v>
      </c>
      <c r="W357" s="1">
        <v>6010426</v>
      </c>
      <c r="X357" s="1">
        <v>26194617</v>
      </c>
      <c r="Y357" s="1">
        <v>498157</v>
      </c>
      <c r="Z357" s="1">
        <v>4776450</v>
      </c>
      <c r="AA357" s="1">
        <v>172720</v>
      </c>
      <c r="AB357" s="1">
        <v>127289</v>
      </c>
      <c r="AC357" s="1">
        <v>388848</v>
      </c>
      <c r="AD357" s="1">
        <v>4100182</v>
      </c>
      <c r="AE357" s="1">
        <v>2092231</v>
      </c>
      <c r="AG357" s="1">
        <v>59653598</v>
      </c>
      <c r="AH357" s="1">
        <v>65804128</v>
      </c>
      <c r="AJ357" s="1">
        <v>483214</v>
      </c>
      <c r="AK357" s="1">
        <v>9064855</v>
      </c>
      <c r="AL357" s="1">
        <v>2646298</v>
      </c>
      <c r="AM357" s="1">
        <v>796797</v>
      </c>
      <c r="AN357" s="1">
        <v>913727</v>
      </c>
      <c r="AO357" s="1">
        <v>4420136</v>
      </c>
      <c r="AP357" s="1">
        <v>13490657</v>
      </c>
      <c r="AQ357" s="1">
        <v>266642</v>
      </c>
      <c r="AR357" s="1">
        <v>547</v>
      </c>
      <c r="AS357" s="1">
        <v>547</v>
      </c>
      <c r="AT357" s="1">
        <v>267189</v>
      </c>
      <c r="AU357" s="1">
        <v>1234820</v>
      </c>
      <c r="AV357" s="1">
        <v>1549936</v>
      </c>
      <c r="AW357" s="1">
        <v>1549936</v>
      </c>
      <c r="AZ357" s="1">
        <v>87342780</v>
      </c>
      <c r="BC357" s="1">
        <v>188907</v>
      </c>
      <c r="BF357" s="1">
        <v>10679</v>
      </c>
      <c r="BH357" s="1">
        <v>140104</v>
      </c>
      <c r="BI357" s="1">
        <v>6937573</v>
      </c>
      <c r="BJ357" s="1">
        <v>1644068</v>
      </c>
      <c r="BM357" s="1">
        <v>47927</v>
      </c>
      <c r="BU357" s="1">
        <v>5666</v>
      </c>
      <c r="BV357" s="1">
        <v>5666</v>
      </c>
      <c r="BW357" s="1">
        <v>63314</v>
      </c>
      <c r="CA357" s="1">
        <v>140104</v>
      </c>
      <c r="CF357" s="1">
        <v>1256722</v>
      </c>
      <c r="CO357" s="1">
        <v>20035703</v>
      </c>
      <c r="DR357" s="1">
        <v>1863</v>
      </c>
    </row>
    <row r="358" spans="1:122">
      <c r="A358" s="1">
        <v>25</v>
      </c>
      <c r="B358" s="1">
        <v>130</v>
      </c>
      <c r="C358" s="1" t="s">
        <v>963</v>
      </c>
      <c r="D358" s="1" t="s">
        <v>966</v>
      </c>
      <c r="F358" s="1">
        <v>34153</v>
      </c>
      <c r="G358" s="1">
        <v>294304</v>
      </c>
      <c r="H358" s="1">
        <v>11309</v>
      </c>
      <c r="I358" s="1">
        <v>1001</v>
      </c>
      <c r="J358" s="1">
        <v>400309</v>
      </c>
      <c r="K358" s="1">
        <v>102856</v>
      </c>
      <c r="L358" s="1">
        <v>199095</v>
      </c>
      <c r="M358" s="1">
        <v>8162</v>
      </c>
      <c r="O358" s="1">
        <v>310113</v>
      </c>
      <c r="Q358" s="1">
        <v>3610775</v>
      </c>
      <c r="S358" s="1">
        <v>47250</v>
      </c>
      <c r="V358" s="1">
        <v>11748</v>
      </c>
      <c r="W358" s="1">
        <v>3703803</v>
      </c>
      <c r="Z358" s="1">
        <v>236401</v>
      </c>
      <c r="AB358" s="1">
        <v>17317</v>
      </c>
      <c r="AC358" s="1">
        <v>33026</v>
      </c>
      <c r="AD358" s="1">
        <v>297702</v>
      </c>
      <c r="AE358" s="1">
        <v>185929</v>
      </c>
      <c r="AG358" s="1">
        <v>781782</v>
      </c>
      <c r="AH358" s="1">
        <v>4485585</v>
      </c>
      <c r="AI358" s="1">
        <v>17991</v>
      </c>
      <c r="AJ358" s="1">
        <v>91669</v>
      </c>
      <c r="AK358" s="1">
        <v>109660</v>
      </c>
      <c r="AL358" s="1">
        <v>28187</v>
      </c>
      <c r="AM358" s="1">
        <v>72431</v>
      </c>
      <c r="AN358" s="1">
        <v>13451</v>
      </c>
      <c r="AO358" s="1">
        <v>114069</v>
      </c>
      <c r="AP358" s="1">
        <v>223729</v>
      </c>
      <c r="AQ358" s="1">
        <v>320920</v>
      </c>
      <c r="AT358" s="1">
        <v>320920</v>
      </c>
      <c r="AV358" s="1">
        <v>329024</v>
      </c>
      <c r="AW358" s="1">
        <v>329024</v>
      </c>
      <c r="AZ358" s="1">
        <v>5748760</v>
      </c>
      <c r="BB358" s="1">
        <v>59542</v>
      </c>
      <c r="BE358" s="1">
        <v>8623</v>
      </c>
      <c r="BF358" s="1">
        <v>2784</v>
      </c>
      <c r="BL358" s="1">
        <v>8104</v>
      </c>
      <c r="BQ358" s="1">
        <v>34030</v>
      </c>
      <c r="CB358" s="1">
        <v>47250</v>
      </c>
    </row>
    <row r="359" spans="1:122">
      <c r="A359" s="1">
        <v>25</v>
      </c>
      <c r="B359" s="1">
        <v>180</v>
      </c>
      <c r="C359" s="1" t="s">
        <v>963</v>
      </c>
      <c r="D359" s="1" t="s">
        <v>967</v>
      </c>
      <c r="F359" s="1">
        <v>28666</v>
      </c>
      <c r="G359" s="1">
        <v>25860</v>
      </c>
      <c r="I359" s="1">
        <v>29226</v>
      </c>
      <c r="J359" s="1">
        <v>83752</v>
      </c>
      <c r="K359" s="1">
        <v>133240</v>
      </c>
      <c r="L359" s="1">
        <v>157500</v>
      </c>
      <c r="M359" s="1">
        <v>7107628</v>
      </c>
      <c r="N359" s="1">
        <v>112996</v>
      </c>
      <c r="O359" s="1">
        <v>7511364</v>
      </c>
      <c r="Q359" s="1">
        <v>2627353</v>
      </c>
      <c r="S359" s="1">
        <v>61405</v>
      </c>
      <c r="T359" s="1">
        <v>5475</v>
      </c>
      <c r="U359" s="1">
        <v>390</v>
      </c>
      <c r="V359" s="1">
        <v>11213</v>
      </c>
      <c r="W359" s="1">
        <v>2705836</v>
      </c>
      <c r="Y359" s="1">
        <v>58697</v>
      </c>
      <c r="Z359" s="1">
        <v>92712</v>
      </c>
      <c r="AA359" s="1">
        <v>2318</v>
      </c>
      <c r="AB359" s="1">
        <v>41846</v>
      </c>
      <c r="AC359" s="1">
        <v>14702</v>
      </c>
      <c r="AD359" s="1">
        <v>203071</v>
      </c>
      <c r="AE359" s="1">
        <v>76502</v>
      </c>
      <c r="AG359" s="1">
        <v>565351</v>
      </c>
      <c r="AH359" s="1">
        <v>3271187</v>
      </c>
      <c r="AJ359" s="1">
        <v>617</v>
      </c>
      <c r="AK359" s="1">
        <v>617</v>
      </c>
      <c r="AM359" s="1">
        <v>44153</v>
      </c>
      <c r="AN359" s="1">
        <v>2604</v>
      </c>
      <c r="AO359" s="1">
        <v>46757</v>
      </c>
      <c r="AP359" s="1">
        <v>47374</v>
      </c>
      <c r="AQ359" s="1">
        <v>310955</v>
      </c>
      <c r="AT359" s="1">
        <v>310955</v>
      </c>
      <c r="AV359" s="1">
        <v>669844</v>
      </c>
      <c r="AW359" s="1">
        <v>669844</v>
      </c>
      <c r="AZ359" s="1">
        <v>11583521</v>
      </c>
      <c r="BC359" s="1">
        <v>61405</v>
      </c>
      <c r="BE359" s="1">
        <v>7105</v>
      </c>
      <c r="BL359" s="1">
        <v>358889</v>
      </c>
      <c r="BR359" s="1">
        <v>68398</v>
      </c>
    </row>
    <row r="360" spans="1:122">
      <c r="A360" s="1">
        <v>25</v>
      </c>
      <c r="B360" s="1">
        <v>225</v>
      </c>
      <c r="C360" s="1" t="s">
        <v>963</v>
      </c>
      <c r="D360" s="1" t="s">
        <v>968</v>
      </c>
      <c r="F360" s="1">
        <v>18639</v>
      </c>
      <c r="J360" s="1">
        <v>18639</v>
      </c>
      <c r="K360" s="1">
        <v>308156</v>
      </c>
      <c r="L360" s="1">
        <v>10000</v>
      </c>
      <c r="O360" s="1">
        <v>318156</v>
      </c>
      <c r="R360" s="1">
        <v>1702353</v>
      </c>
      <c r="S360" s="1">
        <v>1702353</v>
      </c>
      <c r="V360" s="1">
        <v>45541</v>
      </c>
      <c r="W360" s="1">
        <v>1747894</v>
      </c>
      <c r="AD360" s="1">
        <v>49359</v>
      </c>
      <c r="AE360" s="1">
        <v>46974</v>
      </c>
      <c r="AG360" s="1">
        <v>96333</v>
      </c>
      <c r="AH360" s="1">
        <v>1844227</v>
      </c>
      <c r="AJ360" s="1">
        <v>4069</v>
      </c>
      <c r="AK360" s="1">
        <v>4069</v>
      </c>
      <c r="AP360" s="1">
        <v>14589</v>
      </c>
      <c r="AZ360" s="1">
        <v>2195611</v>
      </c>
      <c r="BU360" s="1">
        <v>10520</v>
      </c>
      <c r="BV360" s="1">
        <v>10520</v>
      </c>
    </row>
    <row r="361" spans="1:122">
      <c r="A361" s="1">
        <v>25</v>
      </c>
      <c r="B361" s="1">
        <v>270</v>
      </c>
      <c r="C361" s="1" t="s">
        <v>963</v>
      </c>
      <c r="D361" s="1" t="s">
        <v>969</v>
      </c>
      <c r="E361" s="1">
        <v>126000</v>
      </c>
      <c r="F361" s="1">
        <v>198037</v>
      </c>
      <c r="G361" s="1">
        <v>141514</v>
      </c>
      <c r="I361" s="1">
        <v>115806</v>
      </c>
      <c r="J361" s="1">
        <v>731357</v>
      </c>
      <c r="K361" s="1">
        <v>232335</v>
      </c>
      <c r="L361" s="1">
        <v>146441</v>
      </c>
      <c r="M361" s="1">
        <v>127477</v>
      </c>
      <c r="N361" s="1">
        <v>112228</v>
      </c>
      <c r="O361" s="1">
        <v>618481</v>
      </c>
      <c r="Q361" s="1">
        <v>6454116</v>
      </c>
      <c r="R361" s="1">
        <v>1635091</v>
      </c>
      <c r="S361" s="1">
        <v>1635091</v>
      </c>
      <c r="V361" s="1">
        <v>36128</v>
      </c>
      <c r="W361" s="1">
        <v>8160075</v>
      </c>
      <c r="Y361" s="1">
        <v>99347</v>
      </c>
      <c r="Z361" s="1">
        <v>499820</v>
      </c>
      <c r="AA361" s="1">
        <v>32560</v>
      </c>
      <c r="AB361" s="1">
        <v>33377</v>
      </c>
      <c r="AC361" s="1">
        <v>56396</v>
      </c>
      <c r="AD361" s="1">
        <v>549607</v>
      </c>
      <c r="AE361" s="1">
        <v>251384</v>
      </c>
      <c r="AG361" s="1">
        <v>1597417</v>
      </c>
      <c r="AH361" s="1">
        <v>9761493</v>
      </c>
      <c r="AJ361" s="1">
        <v>441329</v>
      </c>
      <c r="AK361" s="1">
        <v>866205</v>
      </c>
      <c r="AL361" s="1">
        <v>187063</v>
      </c>
      <c r="AM361" s="1">
        <v>281178</v>
      </c>
      <c r="AN361" s="1">
        <v>72051</v>
      </c>
      <c r="AO361" s="1">
        <v>540292</v>
      </c>
      <c r="AP361" s="1">
        <v>1407186</v>
      </c>
      <c r="AQ361" s="1">
        <v>356402</v>
      </c>
      <c r="AT361" s="1">
        <v>356402</v>
      </c>
      <c r="AV361" s="1">
        <v>377424</v>
      </c>
      <c r="AW361" s="1">
        <v>377424</v>
      </c>
      <c r="AX361" s="1">
        <v>21022</v>
      </c>
      <c r="AZ361" s="1">
        <v>12916963</v>
      </c>
      <c r="BE361" s="1">
        <v>33390</v>
      </c>
      <c r="BF361" s="1">
        <v>41536</v>
      </c>
      <c r="BH361" s="1">
        <v>4001</v>
      </c>
      <c r="BI361" s="1">
        <v>261826</v>
      </c>
      <c r="BJ361" s="1">
        <v>163050</v>
      </c>
      <c r="BM361" s="1">
        <v>21022</v>
      </c>
      <c r="BQ361" s="1">
        <v>34740</v>
      </c>
      <c r="BU361" s="1">
        <v>689</v>
      </c>
      <c r="BV361" s="1">
        <v>689</v>
      </c>
      <c r="BY361" s="1">
        <v>21022</v>
      </c>
      <c r="CA361" s="1">
        <v>4001</v>
      </c>
      <c r="CD361" s="1">
        <v>75000</v>
      </c>
      <c r="DA361" s="1">
        <v>75000</v>
      </c>
    </row>
    <row r="362" spans="1:122">
      <c r="A362" s="1">
        <v>25</v>
      </c>
      <c r="B362" s="1">
        <v>500</v>
      </c>
      <c r="C362" s="1" t="s">
        <v>963</v>
      </c>
      <c r="D362" s="1" t="s">
        <v>970</v>
      </c>
      <c r="F362" s="1">
        <v>744</v>
      </c>
      <c r="G362" s="1">
        <v>688019</v>
      </c>
      <c r="H362" s="1">
        <v>364429</v>
      </c>
      <c r="I362" s="1">
        <v>173282</v>
      </c>
      <c r="J362" s="1">
        <v>1226474</v>
      </c>
      <c r="K362" s="1">
        <v>103686</v>
      </c>
      <c r="L362" s="1">
        <v>549816</v>
      </c>
      <c r="M362" s="1">
        <v>244811</v>
      </c>
      <c r="N362" s="1">
        <v>46847</v>
      </c>
      <c r="O362" s="1">
        <v>945160</v>
      </c>
      <c r="P362" s="1">
        <v>5967</v>
      </c>
      <c r="Q362" s="1">
        <v>4952662</v>
      </c>
      <c r="U362" s="1">
        <v>1000</v>
      </c>
      <c r="V362" s="1">
        <v>131146</v>
      </c>
      <c r="W362" s="1">
        <v>5084808</v>
      </c>
      <c r="Y362" s="1">
        <v>88213</v>
      </c>
      <c r="Z362" s="1">
        <v>488271</v>
      </c>
      <c r="AA362" s="1">
        <v>58094</v>
      </c>
      <c r="AB362" s="1">
        <v>3618</v>
      </c>
      <c r="AC362" s="1">
        <v>42132</v>
      </c>
      <c r="AD362" s="1">
        <v>428580</v>
      </c>
      <c r="AE362" s="1">
        <v>175717</v>
      </c>
      <c r="AG362" s="1">
        <v>1345823</v>
      </c>
      <c r="AH362" s="1">
        <v>6436598</v>
      </c>
      <c r="AK362" s="1">
        <v>376076</v>
      </c>
      <c r="AL362" s="1">
        <v>144932</v>
      </c>
      <c r="AM362" s="1">
        <v>135623</v>
      </c>
      <c r="AN362" s="1">
        <v>60551</v>
      </c>
      <c r="AO362" s="1">
        <v>341106</v>
      </c>
      <c r="AP362" s="1">
        <v>717182</v>
      </c>
      <c r="AQ362" s="1">
        <v>118935</v>
      </c>
      <c r="AT362" s="1">
        <v>118935</v>
      </c>
      <c r="AV362" s="1">
        <v>118935</v>
      </c>
      <c r="AW362" s="1">
        <v>118935</v>
      </c>
      <c r="AZ362" s="1">
        <v>9444349</v>
      </c>
      <c r="BE362" s="1">
        <v>31707</v>
      </c>
      <c r="BF362" s="1">
        <v>29491</v>
      </c>
      <c r="BI362" s="1">
        <v>265634</v>
      </c>
      <c r="BJ362" s="1">
        <v>110442</v>
      </c>
    </row>
    <row r="363" spans="1:122">
      <c r="A363" s="1">
        <v>25</v>
      </c>
      <c r="B363" s="1">
        <v>560</v>
      </c>
      <c r="C363" s="1" t="s">
        <v>963</v>
      </c>
      <c r="D363" s="1" t="s">
        <v>971</v>
      </c>
      <c r="F363" s="1">
        <v>8260</v>
      </c>
      <c r="G363" s="1">
        <v>6167</v>
      </c>
      <c r="I363" s="1">
        <v>1</v>
      </c>
      <c r="J363" s="1">
        <v>14428</v>
      </c>
      <c r="K363" s="1">
        <v>216840</v>
      </c>
      <c r="L363" s="1">
        <v>18777</v>
      </c>
      <c r="N363" s="1">
        <v>4</v>
      </c>
      <c r="O363" s="1">
        <v>235621</v>
      </c>
      <c r="Q363" s="1">
        <v>8959586</v>
      </c>
      <c r="S363" s="1">
        <v>12375</v>
      </c>
      <c r="V363" s="1">
        <v>76319</v>
      </c>
      <c r="W363" s="1">
        <v>9048280</v>
      </c>
      <c r="Y363" s="1">
        <v>40886</v>
      </c>
      <c r="Z363" s="1">
        <v>348563</v>
      </c>
      <c r="AB363" s="1">
        <v>49327</v>
      </c>
      <c r="AC363" s="1">
        <v>95676</v>
      </c>
      <c r="AD363" s="1">
        <v>468813</v>
      </c>
      <c r="AE363" s="1">
        <v>278812</v>
      </c>
      <c r="AG363" s="1">
        <v>1375807</v>
      </c>
      <c r="AH363" s="1">
        <v>10491821</v>
      </c>
      <c r="AJ363" s="1">
        <v>219</v>
      </c>
      <c r="AK363" s="1">
        <v>219</v>
      </c>
      <c r="AL363" s="1">
        <v>15777</v>
      </c>
      <c r="AM363" s="1">
        <v>154902</v>
      </c>
      <c r="AN363" s="1">
        <v>14741</v>
      </c>
      <c r="AO363" s="1">
        <v>185420</v>
      </c>
      <c r="AP363" s="1">
        <v>185639</v>
      </c>
      <c r="AQ363" s="1">
        <v>648279</v>
      </c>
      <c r="AT363" s="1">
        <v>648279</v>
      </c>
      <c r="AV363" s="1">
        <v>648279</v>
      </c>
      <c r="AW363" s="1">
        <v>648279</v>
      </c>
      <c r="AZ363" s="1">
        <v>11575788</v>
      </c>
      <c r="BC363" s="1">
        <v>12375</v>
      </c>
      <c r="BE363" s="1">
        <v>14554</v>
      </c>
      <c r="BF363" s="1">
        <v>79176</v>
      </c>
      <c r="CG363" s="1">
        <v>66359</v>
      </c>
      <c r="CX363" s="1">
        <v>1375</v>
      </c>
    </row>
    <row r="364" spans="1:122">
      <c r="A364" s="1">
        <v>25</v>
      </c>
      <c r="B364" s="1">
        <v>945</v>
      </c>
      <c r="C364" s="1" t="s">
        <v>963</v>
      </c>
      <c r="D364" s="1" t="s">
        <v>972</v>
      </c>
      <c r="F364" s="1">
        <v>799530</v>
      </c>
      <c r="I364" s="1">
        <v>281957</v>
      </c>
      <c r="J364" s="1">
        <v>1081487</v>
      </c>
      <c r="K364" s="1">
        <v>792510</v>
      </c>
      <c r="L364" s="1">
        <v>525640</v>
      </c>
      <c r="M364" s="1">
        <v>247407</v>
      </c>
      <c r="N364" s="1">
        <v>86341</v>
      </c>
      <c r="O364" s="1">
        <v>1651898</v>
      </c>
      <c r="P364" s="1">
        <v>191678</v>
      </c>
      <c r="Q364" s="1">
        <v>17262282</v>
      </c>
      <c r="U364" s="1">
        <v>139756</v>
      </c>
      <c r="V364" s="1">
        <v>50978</v>
      </c>
      <c r="W364" s="1">
        <v>17453016</v>
      </c>
      <c r="Z364" s="1">
        <v>1283828</v>
      </c>
      <c r="AA364" s="1">
        <v>1150</v>
      </c>
      <c r="AB364" s="1">
        <v>95774</v>
      </c>
      <c r="AC364" s="1">
        <v>107494</v>
      </c>
      <c r="AD364" s="1">
        <v>1212964</v>
      </c>
      <c r="AE364" s="1">
        <v>677783</v>
      </c>
      <c r="AG364" s="1">
        <v>3440176</v>
      </c>
      <c r="AH364" s="1">
        <v>22258549</v>
      </c>
      <c r="AM364" s="1">
        <v>240740</v>
      </c>
      <c r="AN364" s="1">
        <v>34335</v>
      </c>
      <c r="AO364" s="1">
        <v>275075</v>
      </c>
      <c r="AP364" s="1">
        <v>300075</v>
      </c>
      <c r="AQ364" s="1">
        <v>1504018</v>
      </c>
      <c r="AS364" s="1">
        <v>220</v>
      </c>
      <c r="AT364" s="1">
        <v>1504238</v>
      </c>
      <c r="AU364" s="1">
        <v>158868</v>
      </c>
      <c r="AV364" s="1">
        <v>1663106</v>
      </c>
      <c r="AW364" s="1">
        <v>1663106</v>
      </c>
      <c r="AX364" s="1">
        <v>11787</v>
      </c>
      <c r="AZ364" s="1">
        <v>26971552</v>
      </c>
      <c r="BE364" s="1">
        <v>41774</v>
      </c>
      <c r="BF364" s="1">
        <v>19409</v>
      </c>
      <c r="BG364" s="1">
        <v>1173679</v>
      </c>
      <c r="BH364" s="1">
        <v>1173679</v>
      </c>
      <c r="BU364" s="1">
        <v>25000</v>
      </c>
      <c r="BV364" s="1">
        <v>25000</v>
      </c>
      <c r="BY364" s="1">
        <v>16437</v>
      </c>
      <c r="CC364" s="1">
        <v>4650</v>
      </c>
      <c r="DC364" s="1">
        <v>220</v>
      </c>
    </row>
    <row r="365" spans="1:122">
      <c r="A365" s="1">
        <v>25</v>
      </c>
      <c r="B365" s="1">
        <v>1000</v>
      </c>
      <c r="C365" s="1" t="s">
        <v>963</v>
      </c>
      <c r="D365" s="1" t="s">
        <v>973</v>
      </c>
      <c r="G365" s="1">
        <v>213673</v>
      </c>
      <c r="I365" s="1">
        <v>114551</v>
      </c>
      <c r="J365" s="1">
        <v>328224</v>
      </c>
      <c r="K365" s="1">
        <v>102184</v>
      </c>
      <c r="L365" s="1">
        <v>112730</v>
      </c>
      <c r="O365" s="1">
        <v>214914</v>
      </c>
      <c r="P365" s="1">
        <v>2000</v>
      </c>
      <c r="Q365" s="1">
        <v>1657388</v>
      </c>
      <c r="S365" s="1">
        <v>392417</v>
      </c>
      <c r="U365" s="1">
        <v>6025</v>
      </c>
      <c r="V365" s="1">
        <v>142225</v>
      </c>
      <c r="W365" s="1">
        <v>2198055</v>
      </c>
      <c r="Y365" s="1">
        <v>58843</v>
      </c>
      <c r="Z365" s="1">
        <v>21574</v>
      </c>
      <c r="AA365" s="1">
        <v>9272</v>
      </c>
      <c r="AB365" s="1">
        <v>7468</v>
      </c>
      <c r="AC365" s="1">
        <v>3840</v>
      </c>
      <c r="AD365" s="1">
        <v>147526</v>
      </c>
      <c r="AE365" s="1">
        <v>62985</v>
      </c>
      <c r="AG365" s="1">
        <v>362351</v>
      </c>
      <c r="AH365" s="1">
        <v>2562406</v>
      </c>
      <c r="AJ365" s="1">
        <v>2</v>
      </c>
      <c r="AK365" s="1">
        <v>2</v>
      </c>
      <c r="AM365" s="1">
        <v>19897</v>
      </c>
      <c r="AN365" s="1">
        <v>687</v>
      </c>
      <c r="AO365" s="1">
        <v>20584</v>
      </c>
      <c r="AP365" s="1">
        <v>20586</v>
      </c>
      <c r="AZ365" s="1">
        <v>3126130</v>
      </c>
      <c r="BC365" s="1">
        <v>392417</v>
      </c>
      <c r="BE365" s="1">
        <v>3973</v>
      </c>
      <c r="BF365" s="1">
        <v>7980</v>
      </c>
      <c r="BR365" s="1">
        <v>38890</v>
      </c>
    </row>
    <row r="366" spans="1:122">
      <c r="A366" s="1">
        <v>25</v>
      </c>
      <c r="B366" s="1">
        <v>1260</v>
      </c>
      <c r="C366" s="1" t="s">
        <v>963</v>
      </c>
      <c r="D366" s="1" t="s">
        <v>974</v>
      </c>
      <c r="F366" s="1">
        <v>143695</v>
      </c>
      <c r="G366" s="1">
        <v>935095</v>
      </c>
      <c r="H366" s="1">
        <v>130000</v>
      </c>
      <c r="I366" s="1">
        <v>6244</v>
      </c>
      <c r="J366" s="1">
        <v>1215034</v>
      </c>
      <c r="K366" s="1">
        <v>780432</v>
      </c>
      <c r="L366" s="1">
        <v>358457</v>
      </c>
      <c r="O366" s="1">
        <v>1138889</v>
      </c>
      <c r="Q366" s="1">
        <v>12689970</v>
      </c>
      <c r="U366" s="1">
        <v>5857</v>
      </c>
      <c r="V366" s="1">
        <v>547084</v>
      </c>
      <c r="W366" s="1">
        <v>13242911</v>
      </c>
      <c r="Y366" s="1">
        <v>301183</v>
      </c>
      <c r="Z366" s="1">
        <v>972177</v>
      </c>
      <c r="AA366" s="1">
        <v>35058</v>
      </c>
      <c r="AB366" s="1">
        <v>22258</v>
      </c>
      <c r="AC366" s="1">
        <v>126851</v>
      </c>
      <c r="AD366" s="1">
        <v>1633615</v>
      </c>
      <c r="AE366" s="1">
        <v>639705</v>
      </c>
      <c r="AG366" s="1">
        <v>6123724</v>
      </c>
      <c r="AH366" s="1">
        <v>20111939</v>
      </c>
      <c r="AI366" s="1">
        <v>67182</v>
      </c>
      <c r="AJ366" s="1">
        <v>151784</v>
      </c>
      <c r="AK366" s="1">
        <v>283754</v>
      </c>
      <c r="AL366" s="1">
        <v>191550</v>
      </c>
      <c r="AM366" s="1">
        <v>362460</v>
      </c>
      <c r="AN366" s="1">
        <v>72812</v>
      </c>
      <c r="AO366" s="1">
        <v>626822</v>
      </c>
      <c r="AP366" s="1">
        <v>944687</v>
      </c>
      <c r="AV366" s="1">
        <v>400000</v>
      </c>
      <c r="AW366" s="1">
        <v>400000</v>
      </c>
      <c r="AZ366" s="1">
        <v>53604549</v>
      </c>
      <c r="BF366" s="1">
        <v>11097</v>
      </c>
      <c r="BG366" s="1">
        <v>332415</v>
      </c>
      <c r="BH366" s="1">
        <v>332415</v>
      </c>
      <c r="BM366" s="1">
        <v>400000</v>
      </c>
      <c r="BR366" s="1">
        <v>2381780</v>
      </c>
      <c r="BU366" s="1">
        <v>34111</v>
      </c>
      <c r="BV366" s="1">
        <v>34111</v>
      </c>
      <c r="BX366" s="1">
        <v>29794000</v>
      </c>
      <c r="BY366" s="1">
        <v>29794000</v>
      </c>
      <c r="CX366" s="1">
        <v>412889</v>
      </c>
      <c r="DQ366" s="1">
        <v>64788</v>
      </c>
    </row>
    <row r="367" spans="1:122">
      <c r="A367" s="1">
        <v>25</v>
      </c>
      <c r="B367" s="1">
        <v>1440</v>
      </c>
      <c r="C367" s="1" t="s">
        <v>963</v>
      </c>
      <c r="D367" s="1" t="s">
        <v>975</v>
      </c>
      <c r="F367" s="1">
        <v>54826</v>
      </c>
      <c r="G367" s="1">
        <v>12790</v>
      </c>
      <c r="H367" s="1">
        <v>40019</v>
      </c>
      <c r="I367" s="1">
        <v>23707</v>
      </c>
      <c r="J367" s="1">
        <v>131342</v>
      </c>
      <c r="K367" s="1">
        <v>212131</v>
      </c>
      <c r="L367" s="1">
        <v>141600</v>
      </c>
      <c r="M367" s="1">
        <v>8536198</v>
      </c>
      <c r="N367" s="1">
        <v>80154</v>
      </c>
      <c r="O367" s="1">
        <v>8970083</v>
      </c>
      <c r="Q367" s="1">
        <v>9617771</v>
      </c>
      <c r="R367" s="1">
        <v>105421</v>
      </c>
      <c r="S367" s="1">
        <v>105421</v>
      </c>
      <c r="U367" s="1">
        <v>15</v>
      </c>
      <c r="V367" s="1">
        <v>143226</v>
      </c>
      <c r="W367" s="1">
        <v>9866433</v>
      </c>
      <c r="Y367" s="1">
        <v>32936</v>
      </c>
      <c r="Z367" s="1">
        <v>514709</v>
      </c>
      <c r="AB367" s="1">
        <v>12848</v>
      </c>
      <c r="AC367" s="1">
        <v>65013</v>
      </c>
      <c r="AD367" s="1">
        <v>866124</v>
      </c>
      <c r="AE367" s="1">
        <v>391894</v>
      </c>
      <c r="AG367" s="1">
        <v>1923553</v>
      </c>
      <c r="AH367" s="1">
        <v>11815959</v>
      </c>
      <c r="AM367" s="1">
        <v>186799</v>
      </c>
      <c r="AN367" s="1">
        <v>24099</v>
      </c>
      <c r="AO367" s="1">
        <v>210898</v>
      </c>
      <c r="AP367" s="1">
        <v>210898</v>
      </c>
      <c r="AQ367" s="1">
        <v>984445</v>
      </c>
      <c r="AT367" s="1">
        <v>984445</v>
      </c>
      <c r="AU367" s="1">
        <v>2340</v>
      </c>
      <c r="AV367" s="1">
        <v>986785</v>
      </c>
      <c r="AW367" s="1">
        <v>986785</v>
      </c>
      <c r="AX367" s="1">
        <v>25973</v>
      </c>
      <c r="AY367" s="1">
        <v>-25973</v>
      </c>
      <c r="AZ367" s="1">
        <v>22115067</v>
      </c>
      <c r="BE367" s="1">
        <v>18918</v>
      </c>
      <c r="BF367" s="1">
        <v>3171</v>
      </c>
      <c r="BR367" s="1">
        <v>17940</v>
      </c>
      <c r="CJ367" s="1">
        <v>182019</v>
      </c>
      <c r="CX367" s="1">
        <v>25973</v>
      </c>
    </row>
    <row r="368" spans="1:122">
      <c r="A368" s="1">
        <v>25</v>
      </c>
      <c r="B368" s="1">
        <v>1490</v>
      </c>
      <c r="C368" s="1" t="s">
        <v>963</v>
      </c>
      <c r="D368" s="1" t="s">
        <v>976</v>
      </c>
      <c r="F368" s="1">
        <v>17547</v>
      </c>
      <c r="G368" s="1">
        <v>30135</v>
      </c>
      <c r="I368" s="1">
        <v>26868</v>
      </c>
      <c r="J368" s="1">
        <v>74550</v>
      </c>
      <c r="K368" s="1">
        <v>104161</v>
      </c>
      <c r="L368" s="1">
        <v>117130</v>
      </c>
      <c r="O368" s="1">
        <v>221291</v>
      </c>
      <c r="Q368" s="1">
        <v>1347216</v>
      </c>
      <c r="U368" s="1">
        <v>340</v>
      </c>
      <c r="V368" s="1">
        <v>18210</v>
      </c>
      <c r="W368" s="1">
        <v>1365766</v>
      </c>
      <c r="X368" s="1">
        <v>384505</v>
      </c>
      <c r="Y368" s="1">
        <v>4646</v>
      </c>
      <c r="Z368" s="1">
        <v>73768</v>
      </c>
      <c r="AA368" s="1">
        <v>3486</v>
      </c>
      <c r="AB368" s="1">
        <v>7526</v>
      </c>
      <c r="AC368" s="1">
        <v>15269</v>
      </c>
      <c r="AD368" s="1">
        <v>188966</v>
      </c>
      <c r="AE368" s="1">
        <v>94709</v>
      </c>
      <c r="AG368" s="1">
        <v>1080427</v>
      </c>
      <c r="AH368" s="1">
        <v>2446193</v>
      </c>
      <c r="AL368" s="1">
        <v>12359</v>
      </c>
      <c r="AM368" s="1">
        <v>39799</v>
      </c>
      <c r="AN368" s="1">
        <v>8657</v>
      </c>
      <c r="AO368" s="1">
        <v>60815</v>
      </c>
      <c r="AP368" s="1">
        <v>60815</v>
      </c>
      <c r="AQ368" s="1">
        <v>55652</v>
      </c>
      <c r="AT368" s="1">
        <v>55652</v>
      </c>
      <c r="AU368" s="1">
        <v>24785</v>
      </c>
      <c r="AV368" s="1">
        <v>80437</v>
      </c>
      <c r="AW368" s="1">
        <v>80437</v>
      </c>
      <c r="AZ368" s="1">
        <v>2883286</v>
      </c>
      <c r="BE368" s="1">
        <v>15143</v>
      </c>
      <c r="BF368" s="1">
        <v>1210</v>
      </c>
      <c r="BR368" s="1">
        <v>242896</v>
      </c>
      <c r="CF368" s="1">
        <v>48303</v>
      </c>
    </row>
    <row r="369" spans="1:131">
      <c r="A369" s="1">
        <v>25</v>
      </c>
      <c r="B369" s="1">
        <v>1640</v>
      </c>
      <c r="C369" s="1" t="s">
        <v>963</v>
      </c>
      <c r="D369" s="1" t="s">
        <v>977</v>
      </c>
      <c r="F369" s="1">
        <v>9045</v>
      </c>
      <c r="H369" s="1">
        <v>11925</v>
      </c>
      <c r="I369" s="1">
        <v>1</v>
      </c>
      <c r="J369" s="1">
        <v>20971</v>
      </c>
      <c r="K369" s="1">
        <v>225873</v>
      </c>
      <c r="M369" s="1">
        <v>1268470</v>
      </c>
      <c r="O369" s="1">
        <v>1494343</v>
      </c>
      <c r="P369" s="1">
        <v>7508</v>
      </c>
      <c r="Q369" s="1">
        <v>6998482</v>
      </c>
      <c r="R369" s="1">
        <v>68667</v>
      </c>
      <c r="S369" s="1">
        <v>78067</v>
      </c>
      <c r="V369" s="1">
        <v>139576</v>
      </c>
      <c r="W369" s="1">
        <v>7216125</v>
      </c>
      <c r="X369" s="1">
        <v>2616944</v>
      </c>
      <c r="Y369" s="1">
        <v>54850</v>
      </c>
      <c r="Z369" s="1">
        <v>1166048</v>
      </c>
      <c r="AA369" s="1">
        <v>173708</v>
      </c>
      <c r="AB369" s="1">
        <v>50369</v>
      </c>
      <c r="AC369" s="1">
        <v>146586</v>
      </c>
      <c r="AD369" s="1">
        <v>1018954</v>
      </c>
      <c r="AE369" s="1">
        <v>549251</v>
      </c>
      <c r="AF369" s="1">
        <v>2924</v>
      </c>
      <c r="AG369" s="1">
        <v>6501777</v>
      </c>
      <c r="AH369" s="1">
        <v>13746515</v>
      </c>
      <c r="AJ369" s="1">
        <v>192772</v>
      </c>
      <c r="AK369" s="1">
        <v>1707204</v>
      </c>
      <c r="AL369" s="1">
        <v>633867</v>
      </c>
      <c r="AM369" s="1">
        <v>398373</v>
      </c>
      <c r="AN369" s="1">
        <v>1276622</v>
      </c>
      <c r="AO369" s="1">
        <v>2308862</v>
      </c>
      <c r="AP369" s="1">
        <v>4046824</v>
      </c>
      <c r="AQ369" s="1">
        <v>631154</v>
      </c>
      <c r="AT369" s="1">
        <v>631154</v>
      </c>
      <c r="AU369" s="1">
        <v>158923</v>
      </c>
      <c r="AV369" s="1">
        <v>790077</v>
      </c>
      <c r="AW369" s="1">
        <v>790077</v>
      </c>
      <c r="AZ369" s="1">
        <v>20098730</v>
      </c>
      <c r="BC369" s="1">
        <v>3296</v>
      </c>
      <c r="BE369" s="1">
        <v>183156</v>
      </c>
      <c r="BF369" s="1">
        <v>106348</v>
      </c>
      <c r="BH369" s="1">
        <v>21105</v>
      </c>
      <c r="BI369" s="1">
        <v>967856</v>
      </c>
      <c r="BJ369" s="1">
        <v>546576</v>
      </c>
      <c r="BU369" s="1">
        <v>30758</v>
      </c>
      <c r="BV369" s="1">
        <v>30758</v>
      </c>
      <c r="CA369" s="1">
        <v>21105</v>
      </c>
      <c r="CB369" s="1">
        <v>6104</v>
      </c>
      <c r="CF369" s="1">
        <v>432639</v>
      </c>
    </row>
    <row r="370" spans="1:131">
      <c r="A370" s="1">
        <v>25</v>
      </c>
      <c r="B370" s="1">
        <v>1650</v>
      </c>
      <c r="C370" s="1" t="s">
        <v>963</v>
      </c>
      <c r="D370" s="1" t="s">
        <v>978</v>
      </c>
      <c r="F370" s="1">
        <v>161324</v>
      </c>
      <c r="G370" s="1">
        <v>2178875</v>
      </c>
      <c r="H370" s="1">
        <v>3279708</v>
      </c>
      <c r="J370" s="1">
        <v>5619907</v>
      </c>
      <c r="K370" s="1">
        <v>3253425</v>
      </c>
      <c r="L370" s="1">
        <v>2792668</v>
      </c>
      <c r="N370" s="1">
        <v>72</v>
      </c>
      <c r="O370" s="1">
        <v>6046165</v>
      </c>
      <c r="Q370" s="1">
        <v>100847680</v>
      </c>
      <c r="R370" s="1">
        <v>167776</v>
      </c>
      <c r="S370" s="1">
        <v>174415</v>
      </c>
      <c r="V370" s="1">
        <v>997871</v>
      </c>
      <c r="W370" s="1">
        <v>102108976</v>
      </c>
      <c r="X370" s="1">
        <v>29166349</v>
      </c>
      <c r="Y370" s="1">
        <v>3687670</v>
      </c>
      <c r="Z370" s="1">
        <v>4852128</v>
      </c>
      <c r="AA370" s="1">
        <v>24798</v>
      </c>
      <c r="AB370" s="1">
        <v>476410</v>
      </c>
      <c r="AC370" s="1">
        <v>1189804</v>
      </c>
      <c r="AD370" s="1">
        <v>7748336</v>
      </c>
      <c r="AE370" s="1">
        <v>4692215</v>
      </c>
      <c r="AF370" s="1">
        <v>984243</v>
      </c>
      <c r="AG370" s="1">
        <v>54108328</v>
      </c>
      <c r="AH370" s="1">
        <v>156217304</v>
      </c>
      <c r="AJ370" s="1">
        <v>40372</v>
      </c>
      <c r="AK370" s="1">
        <v>40372</v>
      </c>
      <c r="AL370" s="1">
        <v>210028</v>
      </c>
      <c r="AM370" s="1">
        <v>1933336</v>
      </c>
      <c r="AN370" s="1">
        <v>415996</v>
      </c>
      <c r="AO370" s="1">
        <v>2589099</v>
      </c>
      <c r="AP370" s="1">
        <v>2670858</v>
      </c>
      <c r="AQ370" s="1">
        <v>5216532</v>
      </c>
      <c r="AT370" s="1">
        <v>5216532</v>
      </c>
      <c r="AU370" s="1">
        <v>2709004</v>
      </c>
      <c r="AV370" s="1">
        <v>7925536</v>
      </c>
      <c r="AW370" s="1">
        <v>7925536</v>
      </c>
      <c r="AZ370" s="1">
        <v>178479770</v>
      </c>
      <c r="BC370" s="1">
        <v>4839</v>
      </c>
      <c r="BE370" s="1">
        <v>1171081</v>
      </c>
      <c r="BK370" s="1">
        <v>29739</v>
      </c>
      <c r="BR370" s="1">
        <v>115294</v>
      </c>
      <c r="BU370" s="1">
        <v>41387</v>
      </c>
      <c r="BV370" s="1">
        <v>41387</v>
      </c>
      <c r="CE370" s="1">
        <v>89010</v>
      </c>
      <c r="DI370" s="1">
        <v>1800</v>
      </c>
    </row>
    <row r="371" spans="1:131">
      <c r="A371" s="1">
        <v>25</v>
      </c>
      <c r="B371" s="1">
        <v>1660</v>
      </c>
      <c r="C371" s="1" t="s">
        <v>963</v>
      </c>
      <c r="D371" s="1" t="s">
        <v>979</v>
      </c>
      <c r="F371" s="1">
        <v>434453</v>
      </c>
      <c r="G371" s="1">
        <v>1683680</v>
      </c>
      <c r="I371" s="1">
        <v>306921</v>
      </c>
      <c r="J371" s="1">
        <v>2552254</v>
      </c>
      <c r="K371" s="1">
        <v>1308613</v>
      </c>
      <c r="L371" s="1">
        <v>736747</v>
      </c>
      <c r="M371" s="1">
        <v>841961</v>
      </c>
      <c r="O371" s="1">
        <v>2887321</v>
      </c>
      <c r="Q371" s="1">
        <v>49976081</v>
      </c>
      <c r="U371" s="1">
        <v>15271</v>
      </c>
      <c r="V371" s="1">
        <v>49583</v>
      </c>
      <c r="W371" s="1">
        <v>50386893</v>
      </c>
      <c r="X371" s="1">
        <v>895034</v>
      </c>
      <c r="Y371" s="1">
        <v>992207</v>
      </c>
      <c r="Z371" s="1">
        <v>2582833</v>
      </c>
      <c r="AA371" s="1">
        <v>11932</v>
      </c>
      <c r="AB371" s="1">
        <v>273537</v>
      </c>
      <c r="AC371" s="1">
        <v>514477</v>
      </c>
      <c r="AD371" s="1">
        <v>1639400</v>
      </c>
      <c r="AE371" s="1">
        <v>1700857</v>
      </c>
      <c r="AG371" s="1">
        <v>8786613</v>
      </c>
      <c r="AH371" s="1">
        <v>59173506</v>
      </c>
      <c r="AJ371" s="1">
        <v>10223</v>
      </c>
      <c r="AK371" s="1">
        <v>12822</v>
      </c>
      <c r="AL371" s="1">
        <v>136743</v>
      </c>
      <c r="AM371" s="1">
        <v>848381</v>
      </c>
      <c r="AN371" s="1">
        <v>100038</v>
      </c>
      <c r="AO371" s="1">
        <v>1085162</v>
      </c>
      <c r="AP371" s="1">
        <v>1110145</v>
      </c>
      <c r="AQ371" s="1">
        <v>3144916</v>
      </c>
      <c r="AT371" s="1">
        <v>3144916</v>
      </c>
      <c r="AU371" s="1">
        <v>47455</v>
      </c>
      <c r="AV371" s="1">
        <v>3192371</v>
      </c>
      <c r="AW371" s="1">
        <v>3192371</v>
      </c>
      <c r="AZ371" s="1">
        <v>68915597</v>
      </c>
      <c r="BB371" s="1">
        <v>127200</v>
      </c>
      <c r="BE371" s="1">
        <v>149894</v>
      </c>
      <c r="BF371" s="1">
        <v>26442</v>
      </c>
      <c r="BI371" s="1">
        <v>2599</v>
      </c>
      <c r="BQ371" s="1">
        <v>345958</v>
      </c>
      <c r="BU371" s="1">
        <v>12161</v>
      </c>
      <c r="BV371" s="1">
        <v>12161</v>
      </c>
    </row>
    <row r="372" spans="1:131">
      <c r="A372" s="1">
        <v>25</v>
      </c>
      <c r="B372" s="1">
        <v>2105</v>
      </c>
      <c r="C372" s="1" t="s">
        <v>963</v>
      </c>
      <c r="D372" s="1" t="s">
        <v>980</v>
      </c>
      <c r="F372" s="1">
        <v>1020795</v>
      </c>
      <c r="I372" s="1">
        <v>14926</v>
      </c>
      <c r="J372" s="1">
        <v>1460455</v>
      </c>
      <c r="K372" s="1">
        <v>790000</v>
      </c>
      <c r="L372" s="1">
        <v>807760</v>
      </c>
      <c r="M372" s="1">
        <v>60956</v>
      </c>
      <c r="N372" s="1">
        <v>166</v>
      </c>
      <c r="O372" s="1">
        <v>1658882</v>
      </c>
      <c r="Q372" s="1">
        <v>29790041</v>
      </c>
      <c r="T372" s="1">
        <v>15545</v>
      </c>
      <c r="U372" s="1">
        <v>1462</v>
      </c>
      <c r="V372" s="1">
        <v>242666</v>
      </c>
      <c r="W372" s="1">
        <v>30120632</v>
      </c>
      <c r="X372" s="1">
        <v>6871998</v>
      </c>
      <c r="Y372" s="1">
        <v>818126</v>
      </c>
      <c r="Z372" s="1">
        <v>1875647</v>
      </c>
      <c r="AA372" s="1">
        <v>13998</v>
      </c>
      <c r="AB372" s="1">
        <v>96090</v>
      </c>
      <c r="AC372" s="1">
        <v>388628</v>
      </c>
      <c r="AD372" s="1">
        <v>3752783</v>
      </c>
      <c r="AE372" s="1">
        <v>1558023</v>
      </c>
      <c r="AG372" s="1">
        <v>17288648</v>
      </c>
      <c r="AH372" s="1">
        <v>47409280</v>
      </c>
      <c r="AJ372" s="1">
        <v>87145</v>
      </c>
      <c r="AK372" s="1">
        <v>87145</v>
      </c>
      <c r="AL372" s="1">
        <v>111708</v>
      </c>
      <c r="AM372" s="1">
        <v>763544</v>
      </c>
      <c r="AN372" s="1">
        <v>108623</v>
      </c>
      <c r="AO372" s="1">
        <v>983875</v>
      </c>
      <c r="AP372" s="1">
        <v>1104253</v>
      </c>
      <c r="AQ372" s="1">
        <v>417887</v>
      </c>
      <c r="AT372" s="1">
        <v>417887</v>
      </c>
      <c r="AU372" s="1">
        <v>136852</v>
      </c>
      <c r="AV372" s="1">
        <v>554739</v>
      </c>
      <c r="AW372" s="1">
        <v>554739</v>
      </c>
      <c r="AZ372" s="1">
        <v>52187609</v>
      </c>
      <c r="BE372" s="1">
        <v>345613</v>
      </c>
      <c r="BF372" s="1">
        <v>15702</v>
      </c>
      <c r="BQ372" s="1">
        <v>21571</v>
      </c>
      <c r="BR372" s="1">
        <v>1064215</v>
      </c>
      <c r="BU372" s="1">
        <v>33233</v>
      </c>
      <c r="BV372" s="1">
        <v>33233</v>
      </c>
      <c r="CF372" s="1">
        <v>487825</v>
      </c>
      <c r="CL372" s="1">
        <v>424734</v>
      </c>
      <c r="CZ372" s="1">
        <v>49347</v>
      </c>
    </row>
    <row r="373" spans="1:131">
      <c r="A373" s="1">
        <v>25</v>
      </c>
      <c r="B373" s="1">
        <v>2120</v>
      </c>
      <c r="C373" s="1" t="s">
        <v>963</v>
      </c>
      <c r="D373" s="1" t="s">
        <v>981</v>
      </c>
      <c r="G373" s="1">
        <v>314091</v>
      </c>
      <c r="H373" s="1">
        <v>443704</v>
      </c>
      <c r="I373" s="1">
        <v>203955</v>
      </c>
      <c r="J373" s="1">
        <v>961750</v>
      </c>
      <c r="K373" s="1">
        <v>141215</v>
      </c>
      <c r="M373" s="1">
        <v>326535</v>
      </c>
      <c r="N373" s="1">
        <v>112270</v>
      </c>
      <c r="O373" s="1">
        <v>580020</v>
      </c>
      <c r="Q373" s="1">
        <v>6645867</v>
      </c>
      <c r="V373" s="1">
        <v>123030</v>
      </c>
      <c r="W373" s="1">
        <v>6768897</v>
      </c>
      <c r="Y373" s="1">
        <v>133394</v>
      </c>
      <c r="Z373" s="1">
        <v>495736</v>
      </c>
      <c r="AB373" s="1">
        <v>13457</v>
      </c>
      <c r="AC373" s="1">
        <v>52666</v>
      </c>
      <c r="AD373" s="1">
        <v>595133</v>
      </c>
      <c r="AE373" s="1">
        <v>246670</v>
      </c>
      <c r="AG373" s="1">
        <v>1581751</v>
      </c>
      <c r="AH373" s="1">
        <v>8350648</v>
      </c>
      <c r="AJ373" s="1">
        <v>24891</v>
      </c>
      <c r="AK373" s="1">
        <v>386802</v>
      </c>
      <c r="AL373" s="1">
        <v>80741</v>
      </c>
      <c r="AM373" s="1">
        <v>118579</v>
      </c>
      <c r="AN373" s="1">
        <v>31651</v>
      </c>
      <c r="AO373" s="1">
        <v>230971</v>
      </c>
      <c r="AP373" s="1">
        <v>647873</v>
      </c>
      <c r="AQ373" s="1">
        <v>629383</v>
      </c>
      <c r="AT373" s="1">
        <v>629383</v>
      </c>
      <c r="AV373" s="1">
        <v>644547</v>
      </c>
      <c r="AW373" s="1">
        <v>644547</v>
      </c>
      <c r="AZ373" s="1">
        <v>11184838</v>
      </c>
      <c r="BE373" s="1">
        <v>31311</v>
      </c>
      <c r="BF373" s="1">
        <v>13384</v>
      </c>
      <c r="BJ373" s="1">
        <v>361911</v>
      </c>
      <c r="BL373" s="1">
        <v>15164</v>
      </c>
      <c r="BU373" s="1">
        <v>30100</v>
      </c>
      <c r="BV373" s="1">
        <v>30100</v>
      </c>
    </row>
    <row r="374" spans="1:131">
      <c r="A374" s="1">
        <v>25</v>
      </c>
      <c r="B374" s="1">
        <v>2160</v>
      </c>
      <c r="C374" s="1" t="s">
        <v>963</v>
      </c>
      <c r="D374" s="1" t="s">
        <v>982</v>
      </c>
      <c r="G374" s="1">
        <v>104969</v>
      </c>
      <c r="I374" s="1">
        <v>2872</v>
      </c>
      <c r="J374" s="1">
        <v>107841</v>
      </c>
      <c r="K374" s="1">
        <v>103430</v>
      </c>
      <c r="L374" s="1">
        <v>50000</v>
      </c>
      <c r="M374" s="1">
        <v>108470</v>
      </c>
      <c r="N374" s="1">
        <v>4241</v>
      </c>
      <c r="O374" s="1">
        <v>266141</v>
      </c>
      <c r="Q374" s="1">
        <v>2788389</v>
      </c>
      <c r="U374" s="1">
        <v>21</v>
      </c>
      <c r="V374" s="1">
        <v>11362</v>
      </c>
      <c r="W374" s="1">
        <v>2799772</v>
      </c>
      <c r="Y374" s="1">
        <v>37116</v>
      </c>
      <c r="Z374" s="1">
        <v>385757</v>
      </c>
      <c r="AA374" s="1">
        <v>4654</v>
      </c>
      <c r="AC374" s="1">
        <v>24029</v>
      </c>
      <c r="AD374" s="1">
        <v>232423</v>
      </c>
      <c r="AE374" s="1">
        <v>128554</v>
      </c>
      <c r="AG374" s="1">
        <v>838007</v>
      </c>
      <c r="AH374" s="1">
        <v>3687015</v>
      </c>
      <c r="AJ374" s="1">
        <v>743</v>
      </c>
      <c r="AK374" s="1">
        <v>221163</v>
      </c>
      <c r="AL374" s="1">
        <v>78454</v>
      </c>
      <c r="AM374" s="1">
        <v>74745</v>
      </c>
      <c r="AN374" s="1">
        <v>20300</v>
      </c>
      <c r="AO374" s="1">
        <v>173499</v>
      </c>
      <c r="AP374" s="1">
        <v>394662</v>
      </c>
      <c r="AQ374" s="1">
        <v>253770</v>
      </c>
      <c r="AT374" s="1">
        <v>253770</v>
      </c>
      <c r="AV374" s="1">
        <v>253770</v>
      </c>
      <c r="AW374" s="1">
        <v>253770</v>
      </c>
      <c r="AZ374" s="1">
        <v>4734429</v>
      </c>
      <c r="BE374" s="1">
        <v>19790</v>
      </c>
      <c r="BF374" s="1">
        <v>5684</v>
      </c>
      <c r="BI374" s="1">
        <v>139102</v>
      </c>
      <c r="BJ374" s="1">
        <v>81318</v>
      </c>
      <c r="BY374" s="1">
        <v>25000</v>
      </c>
      <c r="CC374" s="1">
        <v>25000</v>
      </c>
      <c r="CG374" s="1">
        <v>49236</v>
      </c>
      <c r="CJ374" s="1">
        <v>50000</v>
      </c>
    </row>
    <row r="375" spans="1:131">
      <c r="A375" s="1">
        <v>25</v>
      </c>
      <c r="B375" s="1">
        <v>2230</v>
      </c>
      <c r="C375" s="1" t="s">
        <v>963</v>
      </c>
      <c r="D375" s="1" t="s">
        <v>983</v>
      </c>
      <c r="F375" s="1">
        <v>501815</v>
      </c>
      <c r="G375" s="1">
        <v>31136</v>
      </c>
      <c r="H375" s="1">
        <v>317633</v>
      </c>
      <c r="J375" s="1">
        <v>850584</v>
      </c>
      <c r="K375" s="1">
        <v>1060380</v>
      </c>
      <c r="L375" s="1">
        <v>100000</v>
      </c>
      <c r="M375" s="1">
        <v>141504</v>
      </c>
      <c r="N375" s="1">
        <v>74728</v>
      </c>
      <c r="O375" s="1">
        <v>1376612</v>
      </c>
      <c r="Q375" s="1">
        <v>42607166</v>
      </c>
      <c r="S375" s="1">
        <v>60887</v>
      </c>
      <c r="V375" s="1">
        <v>132546</v>
      </c>
      <c r="W375" s="1">
        <v>43118492</v>
      </c>
      <c r="Y375" s="1">
        <v>848003</v>
      </c>
      <c r="Z375" s="1">
        <v>1479405</v>
      </c>
      <c r="AA375" s="1">
        <v>15220</v>
      </c>
      <c r="AB375" s="1">
        <v>150485</v>
      </c>
      <c r="AC375" s="1">
        <v>244792</v>
      </c>
      <c r="AD375" s="1">
        <v>2557526</v>
      </c>
      <c r="AE375" s="1">
        <v>1635172</v>
      </c>
      <c r="AG375" s="1">
        <v>7045856</v>
      </c>
      <c r="AH375" s="1">
        <v>50164348</v>
      </c>
      <c r="AJ375" s="1">
        <v>522768</v>
      </c>
      <c r="AK375" s="1">
        <v>522768</v>
      </c>
      <c r="AM375" s="1">
        <v>732525</v>
      </c>
      <c r="AN375" s="1">
        <v>85953</v>
      </c>
      <c r="AO375" s="1">
        <v>818478</v>
      </c>
      <c r="AP375" s="1">
        <v>1470520</v>
      </c>
      <c r="AQ375" s="1">
        <v>3243641</v>
      </c>
      <c r="AT375" s="1">
        <v>3243641</v>
      </c>
      <c r="AV375" s="1">
        <v>3243641</v>
      </c>
      <c r="AW375" s="1">
        <v>3243641</v>
      </c>
      <c r="AZ375" s="1">
        <v>57105705</v>
      </c>
      <c r="BC375" s="1">
        <v>60887</v>
      </c>
      <c r="BE375" s="1">
        <v>77758</v>
      </c>
      <c r="BF375" s="1">
        <v>32993</v>
      </c>
      <c r="BQ375" s="1">
        <v>317893</v>
      </c>
      <c r="BR375" s="1">
        <v>4502</v>
      </c>
      <c r="BU375" s="1">
        <v>129274</v>
      </c>
      <c r="BV375" s="1">
        <v>129274</v>
      </c>
    </row>
    <row r="376" spans="1:131">
      <c r="A376" s="1">
        <v>25</v>
      </c>
      <c r="B376" s="1">
        <v>2290</v>
      </c>
      <c r="C376" s="1" t="s">
        <v>963</v>
      </c>
      <c r="D376" s="1" t="s">
        <v>984</v>
      </c>
      <c r="F376" s="1">
        <v>878092</v>
      </c>
      <c r="G376" s="1">
        <v>160849</v>
      </c>
      <c r="I376" s="1">
        <v>1</v>
      </c>
      <c r="J376" s="1">
        <v>3381745</v>
      </c>
      <c r="K376" s="1">
        <v>4159469</v>
      </c>
      <c r="L376" s="1">
        <v>1144805</v>
      </c>
      <c r="M376" s="1">
        <v>367193</v>
      </c>
      <c r="N376" s="1">
        <v>7559</v>
      </c>
      <c r="O376" s="1">
        <v>5679026</v>
      </c>
      <c r="Q376" s="1">
        <v>58528618</v>
      </c>
      <c r="R376" s="1">
        <v>295236</v>
      </c>
      <c r="S376" s="1">
        <v>295236</v>
      </c>
      <c r="U376" s="1">
        <v>339056</v>
      </c>
      <c r="V376" s="1">
        <v>84886</v>
      </c>
      <c r="W376" s="1">
        <v>59247796</v>
      </c>
      <c r="X376" s="1">
        <v>22621756</v>
      </c>
      <c r="Y376" s="1">
        <v>2122896</v>
      </c>
      <c r="Z376" s="1">
        <v>3911649</v>
      </c>
      <c r="AA376" s="1">
        <v>67654</v>
      </c>
      <c r="AB376" s="1">
        <v>127613</v>
      </c>
      <c r="AC376" s="1">
        <v>816372</v>
      </c>
      <c r="AD376" s="1">
        <v>5824844</v>
      </c>
      <c r="AE376" s="1">
        <v>3272005</v>
      </c>
      <c r="AG376" s="1">
        <v>39836808</v>
      </c>
      <c r="AH376" s="1">
        <v>105284604</v>
      </c>
      <c r="AI376" s="1">
        <v>159498</v>
      </c>
      <c r="AJ376" s="1">
        <v>343632</v>
      </c>
      <c r="AK376" s="1">
        <v>503130</v>
      </c>
      <c r="AL376" s="1">
        <v>318551</v>
      </c>
      <c r="AM376" s="1">
        <v>1355221</v>
      </c>
      <c r="AN376" s="1">
        <v>291465</v>
      </c>
      <c r="AO376" s="1">
        <v>1965237</v>
      </c>
      <c r="AP376" s="1">
        <v>2481529</v>
      </c>
      <c r="AQ376" s="1">
        <v>7761356</v>
      </c>
      <c r="AT376" s="1">
        <v>7761356</v>
      </c>
      <c r="AU376" s="1">
        <v>1976980</v>
      </c>
      <c r="AV376" s="1">
        <v>9738336</v>
      </c>
      <c r="AW376" s="1">
        <v>9738336</v>
      </c>
      <c r="AZ376" s="1">
        <v>126794617</v>
      </c>
      <c r="BA376" s="1">
        <v>2342803</v>
      </c>
      <c r="BE376" s="1">
        <v>833038</v>
      </c>
      <c r="BF376" s="1">
        <v>32694</v>
      </c>
      <c r="BU376" s="1">
        <v>13162</v>
      </c>
      <c r="BV376" s="1">
        <v>13162</v>
      </c>
      <c r="BY376" s="1">
        <v>229377</v>
      </c>
      <c r="CC376" s="1">
        <v>229377</v>
      </c>
      <c r="CF376" s="1">
        <v>206287</v>
      </c>
      <c r="CG376" s="1">
        <v>6200000</v>
      </c>
    </row>
    <row r="377" spans="1:131">
      <c r="A377" s="1">
        <v>25</v>
      </c>
      <c r="B377" s="1">
        <v>2400</v>
      </c>
      <c r="C377" s="1" t="s">
        <v>963</v>
      </c>
      <c r="D377" s="1" t="s">
        <v>985</v>
      </c>
      <c r="F377" s="1">
        <v>2502003</v>
      </c>
      <c r="H377" s="1">
        <v>2557062</v>
      </c>
      <c r="J377" s="1">
        <v>5059065</v>
      </c>
      <c r="K377" s="1">
        <v>697902</v>
      </c>
      <c r="O377" s="1">
        <v>697902</v>
      </c>
      <c r="P377" s="1">
        <v>2551223</v>
      </c>
      <c r="Q377" s="1">
        <v>3921124</v>
      </c>
      <c r="S377" s="1">
        <v>21527</v>
      </c>
      <c r="V377" s="1">
        <v>351012</v>
      </c>
      <c r="W377" s="1">
        <v>4293663</v>
      </c>
      <c r="X377" s="1">
        <v>11199674</v>
      </c>
      <c r="Y377" s="1">
        <v>494941</v>
      </c>
      <c r="Z377" s="1">
        <v>2158565</v>
      </c>
      <c r="AA377" s="1">
        <v>17538</v>
      </c>
      <c r="AB377" s="1">
        <v>123244</v>
      </c>
      <c r="AC377" s="1">
        <v>218343</v>
      </c>
      <c r="AD377" s="1">
        <v>2037147</v>
      </c>
      <c r="AE377" s="1">
        <v>1305143</v>
      </c>
      <c r="AG377" s="1">
        <v>31080159</v>
      </c>
      <c r="AH377" s="1">
        <v>38005609</v>
      </c>
      <c r="AJ377" s="1">
        <v>426343</v>
      </c>
      <c r="AK377" s="1">
        <v>2956642</v>
      </c>
      <c r="AL377" s="1">
        <v>1125660</v>
      </c>
      <c r="AM377" s="1">
        <v>738902</v>
      </c>
      <c r="AN377" s="1">
        <v>411820</v>
      </c>
      <c r="AO377" s="1">
        <v>2289842</v>
      </c>
      <c r="AP377" s="1">
        <v>6965253</v>
      </c>
      <c r="AQ377" s="1">
        <v>398801</v>
      </c>
      <c r="AT377" s="1">
        <v>398801</v>
      </c>
      <c r="AU377" s="1">
        <v>748643</v>
      </c>
      <c r="AV377" s="1">
        <v>1147444</v>
      </c>
      <c r="AW377" s="1">
        <v>1147444</v>
      </c>
      <c r="AZ377" s="1">
        <v>51875273</v>
      </c>
      <c r="BC377" s="1">
        <v>21527</v>
      </c>
      <c r="BH377" s="1">
        <v>80564</v>
      </c>
      <c r="BI377" s="1">
        <v>1412563</v>
      </c>
      <c r="BJ377" s="1">
        <v>817736</v>
      </c>
      <c r="BK377" s="1">
        <v>13460</v>
      </c>
      <c r="BU377" s="1">
        <v>39465</v>
      </c>
      <c r="BV377" s="1">
        <v>39465</v>
      </c>
      <c r="CA377" s="1">
        <v>80564</v>
      </c>
      <c r="CF377" s="1">
        <v>1460671</v>
      </c>
      <c r="CO377" s="1">
        <v>12064893</v>
      </c>
      <c r="CQ377" s="1">
        <v>1679304</v>
      </c>
      <c r="CW377" s="1">
        <v>300000</v>
      </c>
    </row>
    <row r="378" spans="1:131">
      <c r="A378" s="1">
        <v>25</v>
      </c>
      <c r="B378" s="1">
        <v>2430</v>
      </c>
      <c r="C378" s="1" t="s">
        <v>963</v>
      </c>
      <c r="D378" s="1" t="s">
        <v>986</v>
      </c>
      <c r="F378" s="1">
        <v>66000</v>
      </c>
      <c r="J378" s="1">
        <v>66000</v>
      </c>
      <c r="K378" s="1">
        <v>283787</v>
      </c>
      <c r="L378" s="1">
        <v>180000</v>
      </c>
      <c r="M378" s="1">
        <v>169418</v>
      </c>
      <c r="N378" s="1">
        <v>16163</v>
      </c>
      <c r="O378" s="1">
        <v>649368</v>
      </c>
      <c r="Q378" s="1">
        <v>8160176</v>
      </c>
      <c r="R378" s="1">
        <v>2431481</v>
      </c>
      <c r="S378" s="1">
        <v>2431481</v>
      </c>
      <c r="V378" s="1">
        <v>128119</v>
      </c>
      <c r="W378" s="1">
        <v>10832960</v>
      </c>
      <c r="X378" s="1">
        <v>2223322</v>
      </c>
      <c r="Y378" s="1">
        <v>101874</v>
      </c>
      <c r="Z378" s="1">
        <v>910996</v>
      </c>
      <c r="AA378" s="1">
        <v>32794</v>
      </c>
      <c r="AB378" s="1">
        <v>30432</v>
      </c>
      <c r="AC378" s="1">
        <v>101601</v>
      </c>
      <c r="AD378" s="1">
        <v>1175463</v>
      </c>
      <c r="AE378" s="1">
        <v>558412</v>
      </c>
      <c r="AG378" s="1">
        <v>5319785</v>
      </c>
      <c r="AH378" s="1">
        <v>16152745</v>
      </c>
      <c r="AJ378" s="1">
        <v>156712</v>
      </c>
      <c r="AK378" s="1">
        <v>1037593</v>
      </c>
      <c r="AL378" s="1">
        <v>254680</v>
      </c>
      <c r="AM378" s="1">
        <v>239069</v>
      </c>
      <c r="AN378" s="1">
        <v>182381</v>
      </c>
      <c r="AO378" s="1">
        <v>676130</v>
      </c>
      <c r="AP378" s="1">
        <v>1713723</v>
      </c>
      <c r="AQ378" s="1">
        <v>321317</v>
      </c>
      <c r="AT378" s="1">
        <v>321317</v>
      </c>
      <c r="AU378" s="1">
        <v>80083</v>
      </c>
      <c r="AV378" s="1">
        <v>401400</v>
      </c>
      <c r="AW378" s="1">
        <v>401400</v>
      </c>
      <c r="AZ378" s="1">
        <v>18983236</v>
      </c>
      <c r="BE378" s="1">
        <v>129337</v>
      </c>
      <c r="BI378" s="1">
        <v>569545</v>
      </c>
      <c r="BJ378" s="1">
        <v>311336</v>
      </c>
      <c r="BR378" s="1">
        <v>55554</v>
      </c>
      <c r="DN378" s="1">
        <v>113184</v>
      </c>
    </row>
    <row r="379" spans="1:131">
      <c r="A379" s="1">
        <v>25</v>
      </c>
      <c r="B379" s="1">
        <v>2720</v>
      </c>
      <c r="C379" s="1" t="s">
        <v>963</v>
      </c>
      <c r="D379" s="1" t="s">
        <v>987</v>
      </c>
      <c r="F379" s="1">
        <v>327335</v>
      </c>
      <c r="G379" s="1">
        <v>82449</v>
      </c>
      <c r="I379" s="1">
        <v>103218</v>
      </c>
      <c r="J379" s="1">
        <v>513002</v>
      </c>
      <c r="K379" s="1">
        <v>207123</v>
      </c>
      <c r="L379" s="1">
        <v>235375</v>
      </c>
      <c r="M379" s="1">
        <v>80570</v>
      </c>
      <c r="N379" s="1">
        <v>48217</v>
      </c>
      <c r="O379" s="1">
        <v>571285</v>
      </c>
      <c r="Q379" s="1">
        <v>9508342</v>
      </c>
      <c r="S379" s="1">
        <v>31265</v>
      </c>
      <c r="V379" s="1">
        <v>237450</v>
      </c>
      <c r="W379" s="1">
        <v>9777057</v>
      </c>
      <c r="Y379" s="1">
        <v>2762</v>
      </c>
      <c r="Z379" s="1">
        <v>448011</v>
      </c>
      <c r="AB379" s="1">
        <v>14451</v>
      </c>
      <c r="AC379" s="1">
        <v>50680</v>
      </c>
      <c r="AD379" s="1">
        <v>857292</v>
      </c>
      <c r="AE379" s="1">
        <v>398562</v>
      </c>
      <c r="AG379" s="1">
        <v>1787746</v>
      </c>
      <c r="AH379" s="1">
        <v>11568085</v>
      </c>
      <c r="AJ379" s="1">
        <v>14482</v>
      </c>
      <c r="AK379" s="1">
        <v>14482</v>
      </c>
      <c r="AM379" s="1">
        <v>173736</v>
      </c>
      <c r="AN379" s="1">
        <v>25104</v>
      </c>
      <c r="AO379" s="1">
        <v>198840</v>
      </c>
      <c r="AP379" s="1">
        <v>285216</v>
      </c>
      <c r="AQ379" s="1">
        <v>975124</v>
      </c>
      <c r="AT379" s="1">
        <v>975124</v>
      </c>
      <c r="AV379" s="1">
        <v>990699</v>
      </c>
      <c r="AW379" s="1">
        <v>990699</v>
      </c>
      <c r="AZ379" s="1">
        <v>13928287</v>
      </c>
      <c r="BC379" s="1">
        <v>31265</v>
      </c>
      <c r="BE379" s="1">
        <v>13713</v>
      </c>
      <c r="BF379" s="1">
        <v>2275</v>
      </c>
      <c r="BM379" s="1">
        <v>15575</v>
      </c>
      <c r="BU379" s="1">
        <v>71894</v>
      </c>
      <c r="BV379" s="1">
        <v>71894</v>
      </c>
      <c r="CX379" s="1">
        <v>3282</v>
      </c>
    </row>
    <row r="380" spans="1:131">
      <c r="A380" s="1">
        <v>25</v>
      </c>
      <c r="B380" s="1">
        <v>2770</v>
      </c>
      <c r="C380" s="1" t="s">
        <v>963</v>
      </c>
      <c r="D380" s="1" t="s">
        <v>988</v>
      </c>
      <c r="F380" s="1">
        <v>1246520</v>
      </c>
      <c r="G380" s="1">
        <v>346954</v>
      </c>
      <c r="I380" s="1">
        <v>1</v>
      </c>
      <c r="J380" s="1">
        <v>3886808</v>
      </c>
      <c r="K380" s="1">
        <v>1529952</v>
      </c>
      <c r="L380" s="1">
        <v>956750</v>
      </c>
      <c r="O380" s="1">
        <v>2486702</v>
      </c>
      <c r="Q380" s="1">
        <v>29189093</v>
      </c>
      <c r="R380" s="1">
        <v>69903</v>
      </c>
      <c r="S380" s="1">
        <v>69903</v>
      </c>
      <c r="V380" s="1">
        <v>1924525</v>
      </c>
      <c r="W380" s="1">
        <v>31183521</v>
      </c>
      <c r="X380" s="1">
        <v>14200603</v>
      </c>
      <c r="Y380" s="1">
        <v>865524</v>
      </c>
      <c r="Z380" s="1">
        <v>2519487</v>
      </c>
      <c r="AA380" s="1">
        <v>471906</v>
      </c>
      <c r="AB380" s="1">
        <v>123047</v>
      </c>
      <c r="AC380" s="1">
        <v>490668</v>
      </c>
      <c r="AD380" s="1">
        <v>5182216</v>
      </c>
      <c r="AE380" s="1">
        <v>2651629</v>
      </c>
      <c r="AG380" s="1">
        <v>45698733</v>
      </c>
      <c r="AH380" s="1">
        <v>77106577</v>
      </c>
      <c r="AJ380" s="1">
        <v>908272</v>
      </c>
      <c r="AK380" s="1">
        <v>9775946</v>
      </c>
      <c r="AL380" s="1">
        <v>1644453</v>
      </c>
      <c r="AM380" s="1">
        <v>1439427</v>
      </c>
      <c r="AN380" s="1">
        <v>978658</v>
      </c>
      <c r="AO380" s="1">
        <v>4105144</v>
      </c>
      <c r="AP380" s="1">
        <v>14691791</v>
      </c>
      <c r="AZ380" s="1">
        <v>98171878</v>
      </c>
      <c r="BA380" s="1">
        <v>2293333</v>
      </c>
      <c r="BF380" s="1">
        <v>48148</v>
      </c>
      <c r="BG380" s="1">
        <v>28754</v>
      </c>
      <c r="BH380" s="1">
        <v>218023</v>
      </c>
      <c r="BI380" s="1">
        <v>3871128</v>
      </c>
      <c r="BJ380" s="1">
        <v>2147276</v>
      </c>
      <c r="BK380" s="1">
        <v>42606</v>
      </c>
      <c r="BR380" s="1">
        <v>109415</v>
      </c>
      <c r="BU380" s="1">
        <v>1754</v>
      </c>
      <c r="BV380" s="1">
        <v>1754</v>
      </c>
      <c r="CA380" s="1">
        <v>189269</v>
      </c>
      <c r="CF380" s="1">
        <v>3640988</v>
      </c>
      <c r="CO380" s="1">
        <v>15395102</v>
      </c>
      <c r="CP380" s="1">
        <v>2849270</v>
      </c>
      <c r="CQ380" s="1">
        <v>808947</v>
      </c>
      <c r="CX380" s="1">
        <v>6300</v>
      </c>
      <c r="DR380" s="1">
        <v>2561</v>
      </c>
    </row>
    <row r="381" spans="1:131">
      <c r="A381" s="1">
        <v>25</v>
      </c>
      <c r="B381" s="1">
        <v>2920</v>
      </c>
      <c r="C381" s="1" t="s">
        <v>963</v>
      </c>
      <c r="D381" s="1" t="s">
        <v>989</v>
      </c>
      <c r="F381" s="1">
        <v>591627</v>
      </c>
      <c r="G381" s="1">
        <v>804335</v>
      </c>
      <c r="I381" s="1">
        <v>282492</v>
      </c>
      <c r="J381" s="1">
        <v>14805950</v>
      </c>
      <c r="K381" s="1">
        <v>1324202</v>
      </c>
      <c r="L381" s="1">
        <v>979322</v>
      </c>
      <c r="M381" s="1">
        <v>13025933</v>
      </c>
      <c r="N381" s="1">
        <v>138461</v>
      </c>
      <c r="O381" s="1">
        <v>15467918</v>
      </c>
      <c r="Q381" s="1">
        <v>41439169</v>
      </c>
      <c r="S381" s="1">
        <v>16305</v>
      </c>
      <c r="U381" s="1">
        <v>9848</v>
      </c>
      <c r="W381" s="1">
        <v>41984067</v>
      </c>
      <c r="X381" s="1">
        <v>11524776</v>
      </c>
      <c r="Y381" s="1">
        <v>1953019</v>
      </c>
      <c r="Z381" s="1">
        <v>3467187</v>
      </c>
      <c r="AA381" s="1">
        <v>81670</v>
      </c>
      <c r="AB381" s="1">
        <v>122718</v>
      </c>
      <c r="AC381" s="1">
        <v>619918</v>
      </c>
      <c r="AD381" s="1">
        <v>2188982</v>
      </c>
      <c r="AE381" s="1">
        <v>4048361</v>
      </c>
      <c r="AG381" s="1">
        <v>24556506</v>
      </c>
      <c r="AH381" s="1">
        <v>66871973</v>
      </c>
      <c r="AJ381" s="1">
        <v>130040</v>
      </c>
      <c r="AK381" s="1">
        <v>130040</v>
      </c>
      <c r="AL381" s="1">
        <v>196612</v>
      </c>
      <c r="AM381" s="1">
        <v>1008809</v>
      </c>
      <c r="AN381" s="1">
        <v>349268</v>
      </c>
      <c r="AO381" s="1">
        <v>1554689</v>
      </c>
      <c r="AP381" s="1">
        <v>1696856</v>
      </c>
      <c r="AQ381" s="1">
        <v>4432464</v>
      </c>
      <c r="AS381" s="1">
        <v>76471</v>
      </c>
      <c r="AT381" s="1">
        <v>4508935</v>
      </c>
      <c r="AU381" s="1">
        <v>1378328</v>
      </c>
      <c r="AV381" s="1">
        <v>6429897</v>
      </c>
      <c r="AW381" s="1">
        <v>6429897</v>
      </c>
      <c r="AX381" s="1">
        <v>542634</v>
      </c>
      <c r="AY381" s="1">
        <v>-266634</v>
      </c>
      <c r="AZ381" s="1">
        <v>105548594</v>
      </c>
      <c r="BC381" s="1">
        <v>16305</v>
      </c>
      <c r="BE381" s="1">
        <v>529397</v>
      </c>
      <c r="BF381" s="1">
        <v>20478</v>
      </c>
      <c r="BQ381" s="1">
        <v>518745</v>
      </c>
      <c r="BU381" s="1">
        <v>12127</v>
      </c>
      <c r="BV381" s="1">
        <v>12127</v>
      </c>
      <c r="BY381" s="1">
        <v>276000</v>
      </c>
      <c r="CG381" s="1">
        <v>331400</v>
      </c>
      <c r="CL381" s="1">
        <v>13127496</v>
      </c>
      <c r="DC381" s="1">
        <v>76471</v>
      </c>
      <c r="EA381" s="1">
        <v>542634</v>
      </c>
    </row>
    <row r="382" spans="1:131">
      <c r="A382" s="1">
        <v>25</v>
      </c>
      <c r="B382" s="1">
        <v>2930</v>
      </c>
      <c r="C382" s="1" t="s">
        <v>963</v>
      </c>
      <c r="D382" s="1" t="s">
        <v>990</v>
      </c>
      <c r="E382" s="1">
        <v>33910</v>
      </c>
      <c r="G382" s="1">
        <v>309626</v>
      </c>
      <c r="I382" s="1">
        <v>4218</v>
      </c>
      <c r="J382" s="1">
        <v>374021</v>
      </c>
      <c r="K382" s="1">
        <v>406330</v>
      </c>
      <c r="L382" s="1">
        <v>491755</v>
      </c>
      <c r="M382" s="1">
        <v>2696545</v>
      </c>
      <c r="N382" s="1">
        <v>479670</v>
      </c>
      <c r="O382" s="1">
        <v>4074300</v>
      </c>
      <c r="Q382" s="1">
        <v>10737772</v>
      </c>
      <c r="R382" s="1">
        <v>8250082</v>
      </c>
      <c r="S382" s="1">
        <v>8272855</v>
      </c>
      <c r="V382" s="1">
        <v>217201</v>
      </c>
      <c r="W382" s="1">
        <v>19260828</v>
      </c>
      <c r="Y382" s="1">
        <v>67572</v>
      </c>
      <c r="Z382" s="1">
        <v>596752</v>
      </c>
      <c r="AA382" s="1">
        <v>36046</v>
      </c>
      <c r="AB382" s="1">
        <v>19145</v>
      </c>
      <c r="AC382" s="1">
        <v>111476</v>
      </c>
      <c r="AD382" s="1">
        <v>1568033</v>
      </c>
      <c r="AE382" s="1">
        <v>726970</v>
      </c>
      <c r="AG382" s="1">
        <v>3273223</v>
      </c>
      <c r="AH382" s="1">
        <v>22599950</v>
      </c>
      <c r="AJ382" s="1">
        <v>129514</v>
      </c>
      <c r="AK382" s="1">
        <v>129514</v>
      </c>
      <c r="AL382" s="1">
        <v>42342</v>
      </c>
      <c r="AM382" s="1">
        <v>229674</v>
      </c>
      <c r="AN382" s="1">
        <v>44727</v>
      </c>
      <c r="AO382" s="1">
        <v>316743</v>
      </c>
      <c r="AP382" s="1">
        <v>532359</v>
      </c>
      <c r="AQ382" s="1">
        <v>1155296</v>
      </c>
      <c r="AT382" s="1">
        <v>1155296</v>
      </c>
      <c r="AV382" s="1">
        <v>1433519</v>
      </c>
      <c r="AW382" s="1">
        <v>1433519</v>
      </c>
      <c r="AX382" s="1">
        <v>278224</v>
      </c>
      <c r="AZ382" s="1">
        <v>29292373</v>
      </c>
      <c r="BC382" s="1">
        <v>22773</v>
      </c>
      <c r="BE382" s="1">
        <v>27906</v>
      </c>
      <c r="BF382" s="1">
        <v>969</v>
      </c>
      <c r="BL382" s="1">
        <v>278223</v>
      </c>
      <c r="BR382" s="1">
        <v>118354</v>
      </c>
      <c r="BU382" s="1">
        <v>86102</v>
      </c>
      <c r="BV382" s="1">
        <v>86102</v>
      </c>
      <c r="BY382" s="1">
        <v>278224</v>
      </c>
      <c r="CD382" s="1">
        <v>26267</v>
      </c>
      <c r="CG382" s="1">
        <v>65899</v>
      </c>
      <c r="DN382" s="1">
        <v>33000</v>
      </c>
    </row>
    <row r="383" spans="1:131">
      <c r="A383" s="1">
        <v>25</v>
      </c>
      <c r="B383" s="1">
        <v>3030</v>
      </c>
      <c r="C383" s="1" t="s">
        <v>963</v>
      </c>
      <c r="D383" s="1" t="s">
        <v>991</v>
      </c>
      <c r="F383" s="1">
        <v>332005</v>
      </c>
      <c r="G383" s="1">
        <v>543949</v>
      </c>
      <c r="I383" s="1">
        <v>309556</v>
      </c>
      <c r="J383" s="1">
        <v>1203660</v>
      </c>
      <c r="K383" s="1">
        <v>1387732</v>
      </c>
      <c r="L383" s="1">
        <v>187188</v>
      </c>
      <c r="M383" s="1">
        <v>2134708</v>
      </c>
      <c r="N383" s="1">
        <v>67851</v>
      </c>
      <c r="O383" s="1">
        <v>3777479</v>
      </c>
      <c r="P383" s="1">
        <v>111272</v>
      </c>
      <c r="Q383" s="1">
        <v>58113855</v>
      </c>
      <c r="S383" s="1">
        <v>33585</v>
      </c>
      <c r="U383" s="1">
        <v>15163</v>
      </c>
      <c r="V383" s="1">
        <v>654232</v>
      </c>
      <c r="W383" s="1">
        <v>58915284</v>
      </c>
      <c r="X383" s="1">
        <v>3134264</v>
      </c>
      <c r="Y383" s="1">
        <v>1521158</v>
      </c>
      <c r="Z383" s="1">
        <v>2475391</v>
      </c>
      <c r="AA383" s="1">
        <v>83522</v>
      </c>
      <c r="AB383" s="1">
        <v>123665</v>
      </c>
      <c r="AC383" s="1">
        <v>396077</v>
      </c>
      <c r="AD383" s="1">
        <v>3807044</v>
      </c>
      <c r="AE383" s="1">
        <v>2372400</v>
      </c>
      <c r="AG383" s="1">
        <v>16549186</v>
      </c>
      <c r="AH383" s="1">
        <v>76004574</v>
      </c>
      <c r="AJ383" s="1">
        <v>270108</v>
      </c>
      <c r="AK383" s="1">
        <v>270108</v>
      </c>
      <c r="AL383" s="1">
        <v>163015</v>
      </c>
      <c r="AM383" s="1">
        <v>1086421</v>
      </c>
      <c r="AN383" s="1">
        <v>154932</v>
      </c>
      <c r="AO383" s="1">
        <v>1404368</v>
      </c>
      <c r="AP383" s="1">
        <v>1685143</v>
      </c>
      <c r="AQ383" s="1">
        <v>3907125</v>
      </c>
      <c r="AT383" s="1">
        <v>3907125</v>
      </c>
      <c r="AU383" s="1">
        <v>787179</v>
      </c>
      <c r="AV383" s="1">
        <v>4694304</v>
      </c>
      <c r="AW383" s="1">
        <v>4694304</v>
      </c>
      <c r="AX383" s="1">
        <v>111272</v>
      </c>
      <c r="AY383" s="1">
        <v>-111272</v>
      </c>
      <c r="AZ383" s="1">
        <v>87365160</v>
      </c>
      <c r="BC383" s="1">
        <v>33585</v>
      </c>
      <c r="BE383" s="1">
        <v>296683</v>
      </c>
      <c r="BF383" s="1">
        <v>59956</v>
      </c>
      <c r="BR383" s="1">
        <v>2279026</v>
      </c>
      <c r="BU383" s="1">
        <v>10667</v>
      </c>
      <c r="BV383" s="1">
        <v>10667</v>
      </c>
      <c r="CG383" s="1">
        <v>428832</v>
      </c>
      <c r="CL383" s="1">
        <v>18150</v>
      </c>
      <c r="DZ383" s="1">
        <v>98449</v>
      </c>
    </row>
    <row r="384" spans="1:131">
      <c r="A384" s="1">
        <v>25</v>
      </c>
      <c r="B384" s="1">
        <v>3040</v>
      </c>
      <c r="C384" s="1" t="s">
        <v>963</v>
      </c>
      <c r="D384" s="1" t="s">
        <v>992</v>
      </c>
      <c r="F384" s="1">
        <v>1058178</v>
      </c>
      <c r="G384" s="1">
        <v>835164</v>
      </c>
      <c r="H384" s="1">
        <v>186116</v>
      </c>
      <c r="I384" s="1">
        <v>21753</v>
      </c>
      <c r="J384" s="1">
        <v>2101211</v>
      </c>
      <c r="K384" s="1">
        <v>1185724</v>
      </c>
      <c r="L384" s="1">
        <v>650000</v>
      </c>
      <c r="M384" s="1">
        <v>540729</v>
      </c>
      <c r="O384" s="1">
        <v>2376453</v>
      </c>
      <c r="Q384" s="1">
        <v>42394422</v>
      </c>
      <c r="T384" s="1">
        <v>45501</v>
      </c>
      <c r="U384" s="1">
        <v>608</v>
      </c>
      <c r="V384" s="1">
        <v>488574</v>
      </c>
      <c r="W384" s="1">
        <v>43005930</v>
      </c>
      <c r="X384" s="1">
        <v>3281663</v>
      </c>
      <c r="Y384" s="1">
        <v>855252</v>
      </c>
      <c r="Z384" s="1">
        <v>2123146</v>
      </c>
      <c r="AA384" s="1">
        <v>80592</v>
      </c>
      <c r="AB384" s="1">
        <v>226568</v>
      </c>
      <c r="AC384" s="1">
        <v>435698</v>
      </c>
      <c r="AD384" s="1">
        <v>4488879</v>
      </c>
      <c r="AE384" s="1">
        <v>1839308</v>
      </c>
      <c r="AG384" s="1">
        <v>17559553</v>
      </c>
      <c r="AH384" s="1">
        <v>62312973</v>
      </c>
      <c r="AI384" s="1">
        <v>184095</v>
      </c>
      <c r="AJ384" s="1">
        <v>58279</v>
      </c>
      <c r="AK384" s="1">
        <v>386092</v>
      </c>
      <c r="AL384" s="1">
        <v>274366</v>
      </c>
      <c r="AM384" s="1">
        <v>789810</v>
      </c>
      <c r="AN384" s="1">
        <v>96856</v>
      </c>
      <c r="AO384" s="1">
        <v>1161032</v>
      </c>
      <c r="AP384" s="1">
        <v>1555376</v>
      </c>
      <c r="AQ384" s="1">
        <v>2426945</v>
      </c>
      <c r="AS384" s="1">
        <v>1</v>
      </c>
      <c r="AT384" s="1">
        <v>2426946</v>
      </c>
      <c r="AU384" s="1">
        <v>69412</v>
      </c>
      <c r="AV384" s="1">
        <v>2496358</v>
      </c>
      <c r="AW384" s="1">
        <v>2496358</v>
      </c>
      <c r="AZ384" s="1">
        <v>70842371</v>
      </c>
      <c r="BE384" s="1">
        <v>329495</v>
      </c>
      <c r="BF384" s="1">
        <v>18565</v>
      </c>
      <c r="BJ384" s="1">
        <v>141005</v>
      </c>
      <c r="BU384" s="1">
        <v>8252</v>
      </c>
      <c r="BV384" s="1">
        <v>8252</v>
      </c>
      <c r="CF384" s="1">
        <v>3880387</v>
      </c>
      <c r="CG384" s="1">
        <v>1747490</v>
      </c>
      <c r="CU384" s="1">
        <v>2713</v>
      </c>
      <c r="CZ384" s="1">
        <v>76825</v>
      </c>
      <c r="DC384" s="1">
        <v>1</v>
      </c>
    </row>
    <row r="385" spans="1:121">
      <c r="A385" s="1">
        <v>25</v>
      </c>
      <c r="B385" s="1">
        <v>3160</v>
      </c>
      <c r="C385" s="1" t="s">
        <v>963</v>
      </c>
      <c r="D385" s="1" t="s">
        <v>993</v>
      </c>
      <c r="F385" s="1">
        <v>3018449</v>
      </c>
      <c r="G385" s="1">
        <v>2091125</v>
      </c>
      <c r="H385" s="1">
        <v>1329181</v>
      </c>
      <c r="J385" s="1">
        <v>7134717</v>
      </c>
      <c r="K385" s="1">
        <v>2738063</v>
      </c>
      <c r="L385" s="1">
        <v>234823</v>
      </c>
      <c r="M385" s="1">
        <v>357615</v>
      </c>
      <c r="N385" s="1">
        <v>178882</v>
      </c>
      <c r="O385" s="1">
        <v>3509383</v>
      </c>
      <c r="Q385" s="1">
        <v>107070009</v>
      </c>
      <c r="R385" s="1">
        <v>25536</v>
      </c>
      <c r="S385" s="1">
        <v>25536</v>
      </c>
      <c r="V385" s="1">
        <v>2299552</v>
      </c>
      <c r="W385" s="1">
        <v>109395097</v>
      </c>
      <c r="Y385" s="1">
        <v>3127720</v>
      </c>
      <c r="Z385" s="1">
        <v>6481044</v>
      </c>
      <c r="AA385" s="1">
        <v>65192</v>
      </c>
      <c r="AB385" s="1">
        <v>256111</v>
      </c>
      <c r="AC385" s="1">
        <v>1144380</v>
      </c>
      <c r="AD385" s="1">
        <v>9884803</v>
      </c>
      <c r="AE385" s="1">
        <v>4672236</v>
      </c>
      <c r="AG385" s="1">
        <v>34990068</v>
      </c>
      <c r="AH385" s="1">
        <v>152789185</v>
      </c>
      <c r="AJ385" s="1">
        <v>996361</v>
      </c>
      <c r="AK385" s="1">
        <v>996361</v>
      </c>
      <c r="AL385" s="1">
        <v>366330</v>
      </c>
      <c r="AM385" s="1">
        <v>2289152</v>
      </c>
      <c r="AN385" s="1">
        <v>469153</v>
      </c>
      <c r="AO385" s="1">
        <v>3124635</v>
      </c>
      <c r="AP385" s="1">
        <v>4226883</v>
      </c>
      <c r="AQ385" s="1">
        <v>4061960</v>
      </c>
      <c r="AT385" s="1">
        <v>4061960</v>
      </c>
      <c r="AU385" s="1">
        <v>1792829</v>
      </c>
      <c r="AV385" s="1">
        <v>5903501</v>
      </c>
      <c r="AW385" s="1">
        <v>5903501</v>
      </c>
      <c r="AZ385" s="1">
        <v>173563669</v>
      </c>
      <c r="BE385" s="1">
        <v>563346</v>
      </c>
      <c r="BF385" s="1">
        <v>835371</v>
      </c>
      <c r="BH385" s="1">
        <v>4020</v>
      </c>
      <c r="BL385" s="1">
        <v>48712</v>
      </c>
      <c r="BR385" s="1">
        <v>6709865</v>
      </c>
      <c r="BU385" s="1">
        <v>105887</v>
      </c>
      <c r="BV385" s="1">
        <v>105887</v>
      </c>
      <c r="CA385" s="1">
        <v>4020</v>
      </c>
      <c r="CG385" s="1">
        <v>8400000</v>
      </c>
      <c r="CL385" s="1">
        <v>695962</v>
      </c>
      <c r="DO385" s="1">
        <v>1250000</v>
      </c>
    </row>
    <row r="386" spans="1:121">
      <c r="A386" s="1">
        <v>25</v>
      </c>
      <c r="B386" s="1">
        <v>3200</v>
      </c>
      <c r="C386" s="1" t="s">
        <v>963</v>
      </c>
      <c r="D386" s="1" t="s">
        <v>994</v>
      </c>
      <c r="F386" s="1">
        <v>155950</v>
      </c>
      <c r="I386" s="1">
        <v>468089</v>
      </c>
      <c r="J386" s="1">
        <v>624039</v>
      </c>
      <c r="K386" s="1">
        <v>-155968</v>
      </c>
      <c r="L386" s="1">
        <v>782889</v>
      </c>
      <c r="M386" s="1">
        <v>18019330</v>
      </c>
      <c r="N386" s="1">
        <v>1161273</v>
      </c>
      <c r="O386" s="1">
        <v>19807524</v>
      </c>
      <c r="Q386" s="1">
        <v>21988746</v>
      </c>
      <c r="T386" s="1">
        <v>57492</v>
      </c>
      <c r="U386" s="1">
        <v>4127</v>
      </c>
      <c r="V386" s="1">
        <v>413061</v>
      </c>
      <c r="W386" s="1">
        <v>22573846</v>
      </c>
      <c r="X386" s="1">
        <v>2183603</v>
      </c>
      <c r="Y386" s="1">
        <v>929247</v>
      </c>
      <c r="Z386" s="1">
        <v>1061889</v>
      </c>
      <c r="AA386" s="1">
        <v>26738</v>
      </c>
      <c r="AB386" s="1">
        <v>57716</v>
      </c>
      <c r="AC386" s="1">
        <v>246541</v>
      </c>
      <c r="AD386" s="1">
        <v>868763</v>
      </c>
      <c r="AE386" s="1">
        <v>612398</v>
      </c>
      <c r="AG386" s="1">
        <v>6309244</v>
      </c>
      <c r="AH386" s="1">
        <v>28977301</v>
      </c>
      <c r="AJ386" s="1">
        <v>1625</v>
      </c>
      <c r="AK386" s="1">
        <v>1625</v>
      </c>
      <c r="AM386" s="1">
        <v>379392</v>
      </c>
      <c r="AN386" s="1">
        <v>64436</v>
      </c>
      <c r="AO386" s="1">
        <v>443828</v>
      </c>
      <c r="AP386" s="1">
        <v>574284</v>
      </c>
      <c r="AQ386" s="1">
        <v>2196773</v>
      </c>
      <c r="AR386" s="1">
        <v>42056</v>
      </c>
      <c r="AS386" s="1">
        <v>64213</v>
      </c>
      <c r="AT386" s="1">
        <v>2260986</v>
      </c>
      <c r="AU386" s="1">
        <v>180104</v>
      </c>
      <c r="AV386" s="1">
        <v>2917743</v>
      </c>
      <c r="AW386" s="1">
        <v>2917743</v>
      </c>
      <c r="AZ386" s="1">
        <v>52900891</v>
      </c>
      <c r="BE386" s="1">
        <v>133441</v>
      </c>
      <c r="BF386" s="1">
        <v>188908</v>
      </c>
      <c r="BL386" s="1">
        <v>476653</v>
      </c>
      <c r="BQ386" s="1">
        <v>68624</v>
      </c>
      <c r="BU386" s="1">
        <v>128831</v>
      </c>
      <c r="BV386" s="1">
        <v>128831</v>
      </c>
      <c r="CG386" s="1">
        <v>94211</v>
      </c>
      <c r="CK386" s="1">
        <v>450000</v>
      </c>
      <c r="CY386" s="1">
        <v>33536</v>
      </c>
      <c r="CZ386" s="1">
        <v>8260</v>
      </c>
      <c r="DC386" s="1">
        <v>22157</v>
      </c>
    </row>
    <row r="387" spans="1:121">
      <c r="A387" s="1">
        <v>25</v>
      </c>
      <c r="B387" s="1">
        <v>3250</v>
      </c>
      <c r="C387" s="1" t="s">
        <v>963</v>
      </c>
      <c r="D387" s="1" t="s">
        <v>995</v>
      </c>
      <c r="F387" s="1">
        <v>164660</v>
      </c>
      <c r="G387" s="1">
        <v>148440</v>
      </c>
      <c r="H387" s="1">
        <v>92852</v>
      </c>
      <c r="I387" s="1">
        <v>175308</v>
      </c>
      <c r="J387" s="1">
        <v>588061</v>
      </c>
      <c r="K387" s="1">
        <v>115697</v>
      </c>
      <c r="L387" s="1">
        <v>250000</v>
      </c>
      <c r="M387" s="1">
        <v>2616</v>
      </c>
      <c r="N387" s="1">
        <v>2064</v>
      </c>
      <c r="O387" s="1">
        <v>370377</v>
      </c>
      <c r="Q387" s="1">
        <v>3525524</v>
      </c>
      <c r="U387" s="1">
        <v>8923</v>
      </c>
      <c r="V387" s="1">
        <v>50089</v>
      </c>
      <c r="W387" s="1">
        <v>3584536</v>
      </c>
      <c r="Y387" s="1">
        <v>14165</v>
      </c>
      <c r="Z387" s="1">
        <v>193268</v>
      </c>
      <c r="AB387" s="1">
        <v>16186</v>
      </c>
      <c r="AC387" s="1">
        <v>13338</v>
      </c>
      <c r="AD387" s="1">
        <v>246745</v>
      </c>
      <c r="AE387" s="1">
        <v>140476</v>
      </c>
      <c r="AG387" s="1">
        <v>653339</v>
      </c>
      <c r="AH387" s="1">
        <v>4238223</v>
      </c>
      <c r="AJ387" s="1">
        <v>871</v>
      </c>
      <c r="AK387" s="1">
        <v>871</v>
      </c>
      <c r="AM387" s="1">
        <v>68290</v>
      </c>
      <c r="AN387" s="1">
        <v>10133</v>
      </c>
      <c r="AO387" s="1">
        <v>78423</v>
      </c>
      <c r="AP387" s="1">
        <v>79294</v>
      </c>
      <c r="AQ387" s="1">
        <v>239728</v>
      </c>
      <c r="AT387" s="1">
        <v>239728</v>
      </c>
      <c r="AV387" s="1">
        <v>239728</v>
      </c>
      <c r="AW387" s="1">
        <v>239728</v>
      </c>
      <c r="AZ387" s="1">
        <v>5515683</v>
      </c>
      <c r="BB387" s="1">
        <v>6801</v>
      </c>
      <c r="BE387" s="1">
        <v>7192</v>
      </c>
      <c r="BF387" s="1">
        <v>3009</v>
      </c>
      <c r="BR387" s="1">
        <v>18960</v>
      </c>
      <c r="CX387" s="1">
        <v>348</v>
      </c>
    </row>
    <row r="388" spans="1:121">
      <c r="A388" s="1">
        <v>25</v>
      </c>
      <c r="B388" s="1">
        <v>3255</v>
      </c>
      <c r="C388" s="1" t="s">
        <v>963</v>
      </c>
      <c r="D388" s="1" t="s">
        <v>996</v>
      </c>
      <c r="K388" s="1">
        <v>8863272</v>
      </c>
      <c r="M388" s="1">
        <v>53852</v>
      </c>
      <c r="O388" s="1">
        <v>8917124</v>
      </c>
      <c r="P388" s="1">
        <v>-166642</v>
      </c>
      <c r="R388" s="1">
        <v>4591255</v>
      </c>
      <c r="S388" s="1">
        <v>4591255</v>
      </c>
      <c r="T388" s="1">
        <v>30071664</v>
      </c>
      <c r="V388" s="1">
        <v>467191</v>
      </c>
      <c r="W388" s="1">
        <v>35130110</v>
      </c>
      <c r="AD388" s="1">
        <v>625887</v>
      </c>
      <c r="AE388" s="1">
        <v>455935</v>
      </c>
      <c r="AG388" s="1">
        <v>1081822</v>
      </c>
      <c r="AH388" s="1">
        <v>36045290</v>
      </c>
      <c r="AJ388" s="1">
        <v>102754</v>
      </c>
      <c r="AK388" s="1">
        <v>102754</v>
      </c>
      <c r="AP388" s="1">
        <v>8007659</v>
      </c>
      <c r="AY388" s="1">
        <v>166642</v>
      </c>
      <c r="AZ388" s="1">
        <v>53136715</v>
      </c>
      <c r="BU388" s="1">
        <v>7904905</v>
      </c>
      <c r="BV388" s="1">
        <v>7904905</v>
      </c>
      <c r="BY388" s="1">
        <v>166642</v>
      </c>
    </row>
    <row r="389" spans="1:121">
      <c r="A389" s="1">
        <v>25</v>
      </c>
      <c r="B389" s="1">
        <v>3260</v>
      </c>
      <c r="C389" s="1" t="s">
        <v>963</v>
      </c>
      <c r="D389" s="1" t="s">
        <v>997</v>
      </c>
      <c r="F389" s="1">
        <v>141991</v>
      </c>
      <c r="H389" s="1">
        <v>393542</v>
      </c>
      <c r="I389" s="1">
        <v>1234859</v>
      </c>
      <c r="J389" s="1">
        <v>1770392</v>
      </c>
      <c r="K389" s="1">
        <v>1875672</v>
      </c>
      <c r="L389" s="1">
        <v>2339808</v>
      </c>
      <c r="O389" s="1">
        <v>4215480</v>
      </c>
      <c r="U389" s="1">
        <v>9636</v>
      </c>
      <c r="V389" s="1">
        <v>1743870</v>
      </c>
      <c r="W389" s="1">
        <v>25862991</v>
      </c>
      <c r="X389" s="1">
        <v>660026</v>
      </c>
      <c r="Z389" s="1">
        <v>1489770</v>
      </c>
      <c r="AC389" s="1">
        <v>854840</v>
      </c>
      <c r="AD389" s="1">
        <v>2003876</v>
      </c>
      <c r="AE389" s="1">
        <v>1363907</v>
      </c>
      <c r="AG389" s="1">
        <v>11300761</v>
      </c>
      <c r="AH389" s="1">
        <v>37163752</v>
      </c>
      <c r="AI389" s="1">
        <v>8523</v>
      </c>
      <c r="AJ389" s="1">
        <v>189340</v>
      </c>
      <c r="AK389" s="1">
        <v>314220</v>
      </c>
      <c r="AL389" s="1">
        <v>123508</v>
      </c>
      <c r="AN389" s="1">
        <v>46977</v>
      </c>
      <c r="AO389" s="1">
        <v>962522</v>
      </c>
      <c r="AP389" s="1">
        <v>1289626</v>
      </c>
      <c r="AZ389" s="1">
        <v>44731171</v>
      </c>
      <c r="BE389" s="1">
        <v>230945</v>
      </c>
      <c r="BF389" s="1">
        <v>132451</v>
      </c>
      <c r="BJ389" s="1">
        <v>116357</v>
      </c>
      <c r="BK389" s="1">
        <v>750942</v>
      </c>
      <c r="BN389" s="1">
        <v>13605120</v>
      </c>
      <c r="BO389" s="1">
        <v>10397570</v>
      </c>
      <c r="BR389" s="1">
        <v>684332</v>
      </c>
      <c r="BS389" s="1">
        <v>3116464</v>
      </c>
      <c r="BT389" s="1">
        <v>764150</v>
      </c>
      <c r="BU389" s="1">
        <v>12884</v>
      </c>
      <c r="BV389" s="1">
        <v>12884</v>
      </c>
      <c r="BW389" s="1">
        <v>41095</v>
      </c>
      <c r="BY389" s="1">
        <v>291921</v>
      </c>
      <c r="BZ389" s="1">
        <v>106795</v>
      </c>
      <c r="CC389" s="1">
        <v>175153</v>
      </c>
      <c r="CI389" s="1">
        <v>116768</v>
      </c>
      <c r="CJ389" s="1">
        <v>2733350</v>
      </c>
    </row>
    <row r="390" spans="1:121">
      <c r="A390" s="1">
        <v>25</v>
      </c>
      <c r="B390" s="1">
        <v>3270</v>
      </c>
      <c r="C390" s="1" t="s">
        <v>963</v>
      </c>
      <c r="D390" s="1" t="s">
        <v>998</v>
      </c>
      <c r="F390" s="1">
        <v>742912</v>
      </c>
      <c r="G390" s="1">
        <v>1424640</v>
      </c>
      <c r="H390" s="1">
        <v>2018756</v>
      </c>
      <c r="I390" s="1">
        <v>15645</v>
      </c>
      <c r="J390" s="1">
        <v>4201953</v>
      </c>
      <c r="K390" s="1">
        <v>838384</v>
      </c>
      <c r="L390" s="1">
        <v>118697</v>
      </c>
      <c r="N390" s="1">
        <v>2</v>
      </c>
      <c r="O390" s="1">
        <v>957083</v>
      </c>
      <c r="Q390" s="1">
        <v>17719047</v>
      </c>
      <c r="R390" s="1">
        <v>37048</v>
      </c>
      <c r="S390" s="1">
        <v>37048</v>
      </c>
      <c r="T390" s="1">
        <v>368493</v>
      </c>
      <c r="U390" s="1">
        <v>2785</v>
      </c>
      <c r="V390" s="1">
        <v>371790</v>
      </c>
      <c r="W390" s="1">
        <v>18520245</v>
      </c>
      <c r="X390" s="1">
        <v>914959</v>
      </c>
      <c r="Y390" s="1">
        <v>558167</v>
      </c>
      <c r="Z390" s="1">
        <v>674233</v>
      </c>
      <c r="AA390" s="1">
        <v>9380</v>
      </c>
      <c r="AB390" s="1">
        <v>40890</v>
      </c>
      <c r="AC390" s="1">
        <v>128263</v>
      </c>
      <c r="AD390" s="1">
        <v>1497944</v>
      </c>
      <c r="AE390" s="1">
        <v>703887</v>
      </c>
      <c r="AG390" s="1">
        <v>6438093</v>
      </c>
      <c r="AH390" s="1">
        <v>25161247</v>
      </c>
      <c r="AI390" s="1">
        <v>53579</v>
      </c>
      <c r="AJ390" s="1">
        <v>33016</v>
      </c>
      <c r="AK390" s="1">
        <v>86595</v>
      </c>
      <c r="AL390" s="1">
        <v>54813</v>
      </c>
      <c r="AM390" s="1">
        <v>315909</v>
      </c>
      <c r="AN390" s="1">
        <v>42271</v>
      </c>
      <c r="AO390" s="1">
        <v>412993</v>
      </c>
      <c r="AP390" s="1">
        <v>501114</v>
      </c>
      <c r="AQ390" s="1">
        <v>595259</v>
      </c>
      <c r="AT390" s="1">
        <v>595259</v>
      </c>
      <c r="AU390" s="1">
        <v>71703</v>
      </c>
      <c r="AV390" s="1">
        <v>666962</v>
      </c>
      <c r="AW390" s="1">
        <v>666962</v>
      </c>
      <c r="AZ390" s="1">
        <v>31488359</v>
      </c>
      <c r="BE390" s="1">
        <v>120960</v>
      </c>
      <c r="BF390" s="1">
        <v>69250</v>
      </c>
      <c r="BG390" s="1">
        <v>160908</v>
      </c>
      <c r="BH390" s="1">
        <v>160908</v>
      </c>
      <c r="BR390" s="1">
        <v>1720160</v>
      </c>
      <c r="BU390" s="1">
        <v>1526</v>
      </c>
      <c r="BV390" s="1">
        <v>1526</v>
      </c>
      <c r="CG390" s="1">
        <v>42001</v>
      </c>
      <c r="CJ390" s="1">
        <v>2078104</v>
      </c>
      <c r="CZ390" s="1">
        <v>21082</v>
      </c>
      <c r="DB390" s="1">
        <v>59349</v>
      </c>
    </row>
    <row r="391" spans="1:121">
      <c r="A391" s="1">
        <v>25</v>
      </c>
      <c r="B391" s="1">
        <v>3500</v>
      </c>
      <c r="C391" s="1" t="s">
        <v>963</v>
      </c>
      <c r="D391" s="1" t="s">
        <v>999</v>
      </c>
      <c r="F391" s="1">
        <v>367491</v>
      </c>
      <c r="G391" s="1">
        <v>1097279</v>
      </c>
      <c r="H391" s="1">
        <v>845631</v>
      </c>
      <c r="I391" s="1">
        <v>10681</v>
      </c>
      <c r="J391" s="1">
        <v>2868795</v>
      </c>
      <c r="K391" s="1">
        <v>139486</v>
      </c>
      <c r="L391" s="1">
        <v>75369</v>
      </c>
      <c r="M391" s="1">
        <v>9287047</v>
      </c>
      <c r="N391" s="1">
        <v>37498</v>
      </c>
      <c r="O391" s="1">
        <v>9539400</v>
      </c>
      <c r="Q391" s="1">
        <v>4406498</v>
      </c>
      <c r="U391" s="1">
        <v>161</v>
      </c>
      <c r="V391" s="1">
        <v>69957</v>
      </c>
      <c r="W391" s="1">
        <v>4476616</v>
      </c>
      <c r="X391" s="1">
        <v>941448</v>
      </c>
      <c r="Y391" s="1">
        <v>108445</v>
      </c>
      <c r="Z391" s="1">
        <v>376540</v>
      </c>
      <c r="AB391" s="1">
        <v>69673</v>
      </c>
      <c r="AC391" s="1">
        <v>65613</v>
      </c>
      <c r="AD391" s="1">
        <v>351259</v>
      </c>
      <c r="AE391" s="1">
        <v>160792</v>
      </c>
      <c r="AG391" s="1">
        <v>2119547</v>
      </c>
      <c r="AH391" s="1">
        <v>6596181</v>
      </c>
      <c r="AI391" s="1">
        <v>33840</v>
      </c>
      <c r="AJ391" s="1">
        <v>500</v>
      </c>
      <c r="AK391" s="1">
        <v>34340</v>
      </c>
      <c r="AL391" s="1">
        <v>83320</v>
      </c>
      <c r="AM391" s="1">
        <v>151197</v>
      </c>
      <c r="AN391" s="1">
        <v>32356</v>
      </c>
      <c r="AO391" s="1">
        <v>266873</v>
      </c>
      <c r="AP391" s="1">
        <v>301213</v>
      </c>
      <c r="AQ391" s="1">
        <v>250000</v>
      </c>
      <c r="AT391" s="1">
        <v>250000</v>
      </c>
      <c r="AV391" s="1">
        <v>754860</v>
      </c>
      <c r="AW391" s="1">
        <v>754860</v>
      </c>
      <c r="AZ391" s="1">
        <v>20060449</v>
      </c>
      <c r="BE391" s="1">
        <v>45777</v>
      </c>
      <c r="BH391" s="1">
        <v>18</v>
      </c>
      <c r="BL391" s="1">
        <v>504860</v>
      </c>
      <c r="CA391" s="1">
        <v>18</v>
      </c>
      <c r="CL391" s="1">
        <v>547713</v>
      </c>
    </row>
    <row r="392" spans="1:121">
      <c r="A392" s="1">
        <v>25</v>
      </c>
      <c r="B392" s="1">
        <v>3510</v>
      </c>
      <c r="C392" s="1" t="s">
        <v>963</v>
      </c>
      <c r="D392" s="1" t="s">
        <v>1000</v>
      </c>
      <c r="F392" s="1">
        <v>2963215</v>
      </c>
      <c r="J392" s="1">
        <v>2963215</v>
      </c>
      <c r="K392" s="1">
        <v>1412217</v>
      </c>
      <c r="L392" s="1">
        <v>347291</v>
      </c>
      <c r="N392" s="1">
        <v>66003</v>
      </c>
      <c r="O392" s="1">
        <v>1825511</v>
      </c>
      <c r="Q392" s="1">
        <v>29049868</v>
      </c>
      <c r="R392" s="1">
        <v>2698238</v>
      </c>
      <c r="S392" s="1">
        <v>2698238</v>
      </c>
      <c r="T392" s="1">
        <v>325000</v>
      </c>
      <c r="V392" s="1">
        <v>806519</v>
      </c>
      <c r="W392" s="1">
        <v>32879625</v>
      </c>
      <c r="X392" s="1">
        <v>8004527</v>
      </c>
      <c r="Y392" s="1">
        <v>1672439</v>
      </c>
      <c r="Z392" s="1">
        <v>4064848</v>
      </c>
      <c r="AA392" s="1">
        <v>39676</v>
      </c>
      <c r="AB392" s="1">
        <v>317177</v>
      </c>
      <c r="AC392" s="1">
        <v>443379</v>
      </c>
      <c r="AD392" s="1">
        <v>4486114</v>
      </c>
      <c r="AE392" s="1">
        <v>2016992</v>
      </c>
      <c r="AF392" s="1">
        <v>22920</v>
      </c>
      <c r="AG392" s="1">
        <v>40733281</v>
      </c>
      <c r="AH392" s="1">
        <v>73667697</v>
      </c>
      <c r="AJ392" s="1">
        <v>428096</v>
      </c>
      <c r="AK392" s="1">
        <v>3914156</v>
      </c>
      <c r="AL392" s="1">
        <v>955100</v>
      </c>
      <c r="AM392" s="1">
        <v>1203552</v>
      </c>
      <c r="AN392" s="1">
        <v>460509</v>
      </c>
      <c r="AO392" s="1">
        <v>2700595</v>
      </c>
      <c r="AP392" s="1">
        <v>10826807</v>
      </c>
      <c r="AQ392" s="1">
        <v>557927</v>
      </c>
      <c r="AT392" s="1">
        <v>557927</v>
      </c>
      <c r="AU392" s="1">
        <v>204143</v>
      </c>
      <c r="AV392" s="1">
        <v>762070</v>
      </c>
      <c r="AW392" s="1">
        <v>762070</v>
      </c>
      <c r="AZ392" s="1">
        <v>138107842</v>
      </c>
      <c r="BH392" s="1">
        <v>54791</v>
      </c>
      <c r="BI392" s="1">
        <v>1924493</v>
      </c>
      <c r="BJ392" s="1">
        <v>1401351</v>
      </c>
      <c r="BK392" s="1">
        <v>37009</v>
      </c>
      <c r="BR392" s="1">
        <v>509342</v>
      </c>
      <c r="BU392" s="1">
        <v>99965</v>
      </c>
      <c r="BV392" s="1">
        <v>99965</v>
      </c>
      <c r="BY392" s="1">
        <v>48062542</v>
      </c>
      <c r="CA392" s="1">
        <v>54791</v>
      </c>
      <c r="CI392" s="1">
        <v>48062542</v>
      </c>
      <c r="CN392" s="1">
        <v>221436</v>
      </c>
      <c r="CO392" s="1">
        <v>19155867</v>
      </c>
      <c r="CQ392" s="1">
        <v>4112091</v>
      </c>
      <c r="CW392" s="1">
        <v>160216</v>
      </c>
      <c r="DG392" s="1">
        <v>44425</v>
      </c>
    </row>
    <row r="393" spans="1:121">
      <c r="A393" s="1">
        <v>25</v>
      </c>
      <c r="B393" s="1">
        <v>3810</v>
      </c>
      <c r="C393" s="1" t="s">
        <v>963</v>
      </c>
      <c r="D393" s="1" t="s">
        <v>1001</v>
      </c>
      <c r="F393" s="1">
        <v>267609</v>
      </c>
      <c r="G393" s="1">
        <v>1178356</v>
      </c>
      <c r="H393" s="1">
        <v>1187417</v>
      </c>
      <c r="I393" s="1">
        <v>2250</v>
      </c>
      <c r="J393" s="1">
        <v>2664269</v>
      </c>
      <c r="K393" s="1">
        <v>1192839</v>
      </c>
      <c r="L393" s="1">
        <v>100000</v>
      </c>
      <c r="M393" s="1">
        <v>1812461</v>
      </c>
      <c r="N393" s="1">
        <v>1</v>
      </c>
      <c r="O393" s="1">
        <v>3105301</v>
      </c>
      <c r="P393" s="1">
        <v>84531</v>
      </c>
      <c r="Q393" s="1">
        <v>47642573</v>
      </c>
      <c r="R393" s="1">
        <v>2343</v>
      </c>
      <c r="S393" s="1">
        <v>36343</v>
      </c>
      <c r="U393" s="1">
        <v>118</v>
      </c>
      <c r="V393" s="1">
        <v>488382</v>
      </c>
      <c r="W393" s="1">
        <v>48410807</v>
      </c>
      <c r="X393" s="1">
        <v>81662</v>
      </c>
      <c r="Y393" s="1">
        <v>1023583</v>
      </c>
      <c r="Z393" s="1">
        <v>2219325</v>
      </c>
      <c r="AA393" s="1">
        <v>261704</v>
      </c>
      <c r="AB393" s="1">
        <v>91612</v>
      </c>
      <c r="AC393" s="1">
        <v>500213</v>
      </c>
      <c r="AD393" s="1">
        <v>4171854</v>
      </c>
      <c r="AE393" s="1">
        <v>2054185</v>
      </c>
      <c r="AG393" s="1">
        <v>15569931</v>
      </c>
      <c r="AH393" s="1">
        <v>64065269</v>
      </c>
      <c r="AI393" s="1">
        <v>110439</v>
      </c>
      <c r="AJ393" s="1">
        <v>701703</v>
      </c>
      <c r="AK393" s="1">
        <v>812142</v>
      </c>
      <c r="AL393" s="1">
        <v>180812</v>
      </c>
      <c r="AM393" s="1">
        <v>987222</v>
      </c>
      <c r="AN393" s="1">
        <v>193635</v>
      </c>
      <c r="AO393" s="1">
        <v>1361669</v>
      </c>
      <c r="AP393" s="1">
        <v>2173811</v>
      </c>
      <c r="AQ393" s="1">
        <v>2844064</v>
      </c>
      <c r="AT393" s="1">
        <v>2844064</v>
      </c>
      <c r="AV393" s="1">
        <v>2844064</v>
      </c>
      <c r="AW393" s="1">
        <v>2844064</v>
      </c>
      <c r="AZ393" s="1">
        <v>74852714</v>
      </c>
      <c r="BE393" s="1">
        <v>271854</v>
      </c>
      <c r="BF393" s="1">
        <v>29072</v>
      </c>
      <c r="BR393" s="1">
        <v>4864867</v>
      </c>
      <c r="CE393" s="1">
        <v>241444</v>
      </c>
      <c r="CL393" s="1">
        <v>28637</v>
      </c>
      <c r="CZ393" s="1">
        <v>1947</v>
      </c>
      <c r="DI393" s="1">
        <v>34000</v>
      </c>
    </row>
    <row r="394" spans="1:121">
      <c r="A394" s="1">
        <v>25</v>
      </c>
      <c r="B394" s="1">
        <v>3830</v>
      </c>
      <c r="C394" s="1" t="s">
        <v>963</v>
      </c>
      <c r="D394" s="1" t="s">
        <v>1002</v>
      </c>
      <c r="I394" s="1">
        <v>14501</v>
      </c>
      <c r="J394" s="1">
        <v>14501</v>
      </c>
      <c r="K394" s="1">
        <v>37294</v>
      </c>
      <c r="N394" s="1">
        <v>35553</v>
      </c>
      <c r="O394" s="1">
        <v>72847</v>
      </c>
      <c r="P394" s="1">
        <v>24291</v>
      </c>
      <c r="Q394" s="1">
        <v>6632658</v>
      </c>
      <c r="S394" s="1">
        <v>634626</v>
      </c>
      <c r="V394" s="1">
        <v>59138</v>
      </c>
      <c r="W394" s="1">
        <v>7334346</v>
      </c>
      <c r="Z394" s="1">
        <v>460246</v>
      </c>
      <c r="AA394" s="1">
        <v>1150</v>
      </c>
      <c r="AB394" s="1">
        <v>23513</v>
      </c>
      <c r="AC394" s="1">
        <v>78659</v>
      </c>
      <c r="AD394" s="1">
        <v>699500</v>
      </c>
      <c r="AE394" s="1">
        <v>303811</v>
      </c>
      <c r="AF394" s="1">
        <v>3591</v>
      </c>
      <c r="AG394" s="1">
        <v>1583842</v>
      </c>
      <c r="AH394" s="1">
        <v>8965144</v>
      </c>
      <c r="AJ394" s="1">
        <v>436</v>
      </c>
      <c r="AK394" s="1">
        <v>436</v>
      </c>
      <c r="AL394" s="1">
        <v>19421</v>
      </c>
      <c r="AM394" s="1">
        <v>162280</v>
      </c>
      <c r="AN394" s="1">
        <v>16542</v>
      </c>
      <c r="AO394" s="1">
        <v>198243</v>
      </c>
      <c r="AP394" s="1">
        <v>224102</v>
      </c>
      <c r="AQ394" s="1">
        <v>125499</v>
      </c>
      <c r="AT394" s="1">
        <v>125499</v>
      </c>
      <c r="AV394" s="1">
        <v>125499</v>
      </c>
      <c r="AW394" s="1">
        <v>125499</v>
      </c>
      <c r="AY394" s="1">
        <v>14500</v>
      </c>
      <c r="AZ394" s="1">
        <v>9416593</v>
      </c>
      <c r="BC394" s="1">
        <v>634626</v>
      </c>
      <c r="BE394" s="1">
        <v>13372</v>
      </c>
      <c r="BH394" s="1">
        <v>108</v>
      </c>
      <c r="BU394" s="1">
        <v>25423</v>
      </c>
      <c r="BV394" s="1">
        <v>25423</v>
      </c>
      <c r="BY394" s="1">
        <v>14500</v>
      </c>
      <c r="CA394" s="1">
        <v>108</v>
      </c>
      <c r="CG394" s="1">
        <v>22557</v>
      </c>
      <c r="CZ394" s="1">
        <v>7924</v>
      </c>
    </row>
    <row r="395" spans="1:121">
      <c r="A395" s="1">
        <v>25</v>
      </c>
      <c r="B395" s="1">
        <v>4360</v>
      </c>
      <c r="C395" s="1" t="s">
        <v>963</v>
      </c>
      <c r="D395" s="1" t="s">
        <v>1003</v>
      </c>
      <c r="F395" s="1">
        <v>97002</v>
      </c>
      <c r="G395" s="1">
        <v>752946</v>
      </c>
      <c r="H395" s="1">
        <v>163875</v>
      </c>
      <c r="I395" s="1">
        <v>52846</v>
      </c>
      <c r="J395" s="1">
        <v>1067669</v>
      </c>
      <c r="K395" s="1">
        <v>249422</v>
      </c>
      <c r="L395" s="1">
        <v>377000</v>
      </c>
      <c r="M395" s="1">
        <v>60181</v>
      </c>
      <c r="N395" s="1">
        <v>30622</v>
      </c>
      <c r="O395" s="1">
        <v>717225</v>
      </c>
      <c r="Q395" s="1">
        <v>11076997</v>
      </c>
      <c r="R395" s="1">
        <v>35881</v>
      </c>
      <c r="S395" s="1">
        <v>35881</v>
      </c>
      <c r="U395" s="1">
        <v>2259</v>
      </c>
      <c r="V395" s="1">
        <v>147649</v>
      </c>
      <c r="W395" s="1">
        <v>11262786</v>
      </c>
      <c r="Y395" s="1">
        <v>116455</v>
      </c>
      <c r="Z395" s="1">
        <v>602979</v>
      </c>
      <c r="AA395" s="1">
        <v>105272</v>
      </c>
      <c r="AB395" s="1">
        <v>21827</v>
      </c>
      <c r="AC395" s="1">
        <v>90738</v>
      </c>
      <c r="AD395" s="1">
        <v>984352</v>
      </c>
      <c r="AE395" s="1">
        <v>378237</v>
      </c>
      <c r="AG395" s="1">
        <v>2359340</v>
      </c>
      <c r="AH395" s="1">
        <v>13626598</v>
      </c>
      <c r="AJ395" s="1">
        <v>569869</v>
      </c>
      <c r="AK395" s="1">
        <v>1624547</v>
      </c>
      <c r="AL395" s="1">
        <v>531341</v>
      </c>
      <c r="AM395" s="1">
        <v>288752</v>
      </c>
      <c r="AN395" s="1">
        <v>113947</v>
      </c>
      <c r="AO395" s="1">
        <v>934040</v>
      </c>
      <c r="AP395" s="1">
        <v>2578635</v>
      </c>
      <c r="AQ395" s="1">
        <v>603891</v>
      </c>
      <c r="AT395" s="1">
        <v>603891</v>
      </c>
      <c r="AV395" s="1">
        <v>603891</v>
      </c>
      <c r="AW395" s="1">
        <v>603891</v>
      </c>
      <c r="AZ395" s="1">
        <v>18594018</v>
      </c>
      <c r="BB395" s="1">
        <v>1000</v>
      </c>
      <c r="BE395" s="1">
        <v>57642</v>
      </c>
      <c r="BF395" s="1">
        <v>1838</v>
      </c>
      <c r="BH395" s="1">
        <v>4472</v>
      </c>
      <c r="BI395" s="1">
        <v>665734</v>
      </c>
      <c r="BJ395" s="1">
        <v>303987</v>
      </c>
      <c r="BU395" s="1">
        <v>20048</v>
      </c>
      <c r="BV395" s="1">
        <v>20048</v>
      </c>
      <c r="CA395" s="1">
        <v>4472</v>
      </c>
      <c r="CW395" s="1">
        <v>84957</v>
      </c>
    </row>
    <row r="396" spans="1:121">
      <c r="A396" s="1">
        <v>25</v>
      </c>
      <c r="B396" s="1">
        <v>4365</v>
      </c>
      <c r="C396" s="1" t="s">
        <v>963</v>
      </c>
      <c r="D396" s="1" t="s">
        <v>1004</v>
      </c>
      <c r="F396" s="1">
        <v>556441</v>
      </c>
      <c r="G396" s="1">
        <v>929817</v>
      </c>
      <c r="H396" s="1">
        <v>156201</v>
      </c>
      <c r="J396" s="1">
        <v>1642459</v>
      </c>
      <c r="K396" s="1">
        <v>376864</v>
      </c>
      <c r="L396" s="1">
        <v>191682</v>
      </c>
      <c r="M396" s="1">
        <v>1059491</v>
      </c>
      <c r="N396" s="1">
        <v>1</v>
      </c>
      <c r="O396" s="1">
        <v>1628038</v>
      </c>
      <c r="P396" s="1">
        <v>5146</v>
      </c>
      <c r="Q396" s="1">
        <v>15953619</v>
      </c>
      <c r="R396" s="1">
        <v>2348371</v>
      </c>
      <c r="S396" s="1">
        <v>2676496</v>
      </c>
      <c r="T396" s="1">
        <v>246784</v>
      </c>
      <c r="V396" s="1">
        <v>217056</v>
      </c>
      <c r="W396" s="1">
        <v>19094735</v>
      </c>
      <c r="Y396" s="1">
        <v>128684</v>
      </c>
      <c r="Z396" s="1">
        <v>672332</v>
      </c>
      <c r="AA396" s="1">
        <v>33782</v>
      </c>
      <c r="AB396" s="1">
        <v>19902</v>
      </c>
      <c r="AC396" s="1">
        <v>94688</v>
      </c>
      <c r="AD396" s="1">
        <v>1263833</v>
      </c>
      <c r="AE396" s="1">
        <v>605447</v>
      </c>
      <c r="AG396" s="1">
        <v>3299644</v>
      </c>
      <c r="AH396" s="1">
        <v>22399525</v>
      </c>
      <c r="AI396" s="1">
        <v>49308</v>
      </c>
      <c r="AJ396" s="1">
        <v>708816</v>
      </c>
      <c r="AK396" s="1">
        <v>807432</v>
      </c>
      <c r="AL396" s="1">
        <v>74305</v>
      </c>
      <c r="AM396" s="1">
        <v>317313</v>
      </c>
      <c r="AN396" s="1">
        <v>62862</v>
      </c>
      <c r="AO396" s="1">
        <v>454480</v>
      </c>
      <c r="AP396" s="1">
        <v>1284397</v>
      </c>
      <c r="AQ396" s="1">
        <v>769396</v>
      </c>
      <c r="AT396" s="1">
        <v>769396</v>
      </c>
      <c r="AV396" s="1">
        <v>769396</v>
      </c>
      <c r="AW396" s="1">
        <v>769396</v>
      </c>
      <c r="AZ396" s="1">
        <v>27742515</v>
      </c>
      <c r="BC396" s="1">
        <v>268055</v>
      </c>
      <c r="BE396" s="1">
        <v>42265</v>
      </c>
      <c r="BF396" s="1">
        <v>8665</v>
      </c>
      <c r="BQ396" s="1">
        <v>780</v>
      </c>
      <c r="BR396" s="1">
        <v>430046</v>
      </c>
      <c r="BU396" s="1">
        <v>22485</v>
      </c>
      <c r="BV396" s="1">
        <v>22485</v>
      </c>
      <c r="BY396" s="1">
        <v>18700</v>
      </c>
      <c r="CB396" s="1">
        <v>24686</v>
      </c>
      <c r="CI396" s="1">
        <v>18700</v>
      </c>
      <c r="DI396" s="1">
        <v>35384</v>
      </c>
      <c r="DQ396" s="1">
        <v>49308</v>
      </c>
    </row>
    <row r="397" spans="1:121">
      <c r="A397" s="1">
        <v>25</v>
      </c>
      <c r="B397" s="1">
        <v>4520</v>
      </c>
      <c r="C397" s="1" t="s">
        <v>963</v>
      </c>
      <c r="D397" s="1" t="s">
        <v>1005</v>
      </c>
      <c r="G397" s="1">
        <v>512307</v>
      </c>
      <c r="H397" s="1">
        <v>420044</v>
      </c>
      <c r="I397" s="1">
        <v>30400</v>
      </c>
      <c r="J397" s="1">
        <v>962751</v>
      </c>
      <c r="K397" s="1">
        <v>100000</v>
      </c>
      <c r="O397" s="1">
        <v>100000</v>
      </c>
      <c r="Q397" s="1">
        <v>1170752</v>
      </c>
      <c r="S397" s="1">
        <v>31500</v>
      </c>
      <c r="U397" s="1">
        <v>200</v>
      </c>
      <c r="V397" s="1">
        <v>2267</v>
      </c>
      <c r="W397" s="1">
        <v>1253396</v>
      </c>
      <c r="X397" s="1">
        <v>417561</v>
      </c>
      <c r="Y397" s="1">
        <v>74189</v>
      </c>
      <c r="Z397" s="1">
        <v>27055</v>
      </c>
      <c r="AC397" s="1">
        <v>5092</v>
      </c>
      <c r="AD397" s="1">
        <v>92135</v>
      </c>
      <c r="AE397" s="1">
        <v>52031</v>
      </c>
      <c r="AG397" s="1">
        <v>908273</v>
      </c>
      <c r="AH397" s="1">
        <v>2161669</v>
      </c>
      <c r="AJ397" s="1">
        <v>10000</v>
      </c>
      <c r="AK397" s="1">
        <v>10000</v>
      </c>
      <c r="AM397" s="1">
        <v>30803</v>
      </c>
      <c r="AN397" s="1">
        <v>25270</v>
      </c>
      <c r="AO397" s="1">
        <v>56073</v>
      </c>
      <c r="AP397" s="1">
        <v>66073</v>
      </c>
      <c r="AQ397" s="1">
        <v>55983</v>
      </c>
      <c r="AT397" s="1">
        <v>55983</v>
      </c>
      <c r="AU397" s="1">
        <v>27261</v>
      </c>
      <c r="AV397" s="1">
        <v>83244</v>
      </c>
      <c r="AW397" s="1">
        <v>83244</v>
      </c>
      <c r="AZ397" s="1">
        <v>3427243</v>
      </c>
      <c r="BC397" s="1">
        <v>31500</v>
      </c>
      <c r="BF397" s="1">
        <v>1516</v>
      </c>
      <c r="BQ397" s="1">
        <v>48677</v>
      </c>
      <c r="BR397" s="1">
        <v>33611</v>
      </c>
      <c r="BY397" s="1">
        <v>53506</v>
      </c>
      <c r="CC397" s="1">
        <v>53506</v>
      </c>
      <c r="CF397" s="1">
        <v>205083</v>
      </c>
    </row>
    <row r="398" spans="1:121">
      <c r="A398" s="1">
        <v>25</v>
      </c>
      <c r="B398" s="1">
        <v>4570</v>
      </c>
      <c r="C398" s="1" t="s">
        <v>963</v>
      </c>
      <c r="D398" s="1" t="s">
        <v>1006</v>
      </c>
      <c r="F398" s="1">
        <v>30000</v>
      </c>
      <c r="G398" s="1">
        <v>43654</v>
      </c>
      <c r="I398" s="1">
        <v>3236</v>
      </c>
      <c r="J398" s="1">
        <v>76890</v>
      </c>
      <c r="K398" s="1">
        <v>221429</v>
      </c>
      <c r="L398" s="1">
        <v>53109</v>
      </c>
      <c r="M398" s="1">
        <v>1190679</v>
      </c>
      <c r="N398" s="1">
        <v>166425</v>
      </c>
      <c r="O398" s="1">
        <v>1631642</v>
      </c>
      <c r="Q398" s="1">
        <v>10695140</v>
      </c>
      <c r="S398" s="1">
        <v>10771</v>
      </c>
      <c r="U398" s="1">
        <v>114</v>
      </c>
      <c r="V398" s="1">
        <v>189405</v>
      </c>
      <c r="W398" s="1">
        <v>10895430</v>
      </c>
      <c r="Y398" s="1">
        <v>70229</v>
      </c>
      <c r="Z398" s="1">
        <v>501030</v>
      </c>
      <c r="AC398" s="1">
        <v>71733</v>
      </c>
      <c r="AD398" s="1">
        <v>834422</v>
      </c>
      <c r="AE398" s="1">
        <v>439827</v>
      </c>
      <c r="AG398" s="1">
        <v>1946706</v>
      </c>
      <c r="AH398" s="1">
        <v>12842136</v>
      </c>
      <c r="AJ398" s="1">
        <v>149040</v>
      </c>
      <c r="AK398" s="1">
        <v>149040</v>
      </c>
      <c r="AM398" s="1">
        <v>252641</v>
      </c>
      <c r="AN398" s="1">
        <v>32179</v>
      </c>
      <c r="AO398" s="1">
        <v>284820</v>
      </c>
      <c r="AP398" s="1">
        <v>433860</v>
      </c>
      <c r="AQ398" s="1">
        <v>647001</v>
      </c>
      <c r="AT398" s="1">
        <v>647001</v>
      </c>
      <c r="AU398" s="1">
        <v>112118</v>
      </c>
      <c r="AV398" s="1">
        <v>769379</v>
      </c>
      <c r="AW398" s="1">
        <v>769379</v>
      </c>
      <c r="AZ398" s="1">
        <v>15764167</v>
      </c>
      <c r="BC398" s="1">
        <v>10771</v>
      </c>
      <c r="BE398" s="1">
        <v>19290</v>
      </c>
      <c r="BF398" s="1">
        <v>10175</v>
      </c>
      <c r="BL398" s="1">
        <v>10260</v>
      </c>
      <c r="BY398" s="1">
        <v>10260</v>
      </c>
      <c r="CC398" s="1">
        <v>10260</v>
      </c>
    </row>
    <row r="399" spans="1:121">
      <c r="A399" s="1">
        <v>25</v>
      </c>
      <c r="B399" s="1">
        <v>4580</v>
      </c>
      <c r="C399" s="1" t="s">
        <v>963</v>
      </c>
      <c r="D399" s="1" t="s">
        <v>1007</v>
      </c>
      <c r="F399" s="1">
        <v>145937</v>
      </c>
      <c r="G399" s="1">
        <v>365054</v>
      </c>
      <c r="H399" s="1">
        <v>196213</v>
      </c>
      <c r="I399" s="1">
        <v>506603</v>
      </c>
      <c r="J399" s="1">
        <v>1413807</v>
      </c>
      <c r="K399" s="1">
        <v>300642</v>
      </c>
      <c r="L399" s="1">
        <v>1146000</v>
      </c>
      <c r="M399" s="1">
        <v>1870045</v>
      </c>
      <c r="N399" s="1">
        <v>103385</v>
      </c>
      <c r="O399" s="1">
        <v>3420072</v>
      </c>
      <c r="Q399" s="1">
        <v>12753309</v>
      </c>
      <c r="S399" s="1">
        <v>283154</v>
      </c>
      <c r="U399" s="1">
        <v>25881</v>
      </c>
      <c r="V399" s="1">
        <v>196159</v>
      </c>
      <c r="W399" s="1">
        <v>13466773</v>
      </c>
      <c r="Y399" s="1">
        <v>129135</v>
      </c>
      <c r="Z399" s="1">
        <v>337531</v>
      </c>
      <c r="AA399" s="1">
        <v>1168</v>
      </c>
      <c r="AB399" s="1">
        <v>14295</v>
      </c>
      <c r="AC399" s="1">
        <v>62233</v>
      </c>
      <c r="AD399" s="1">
        <v>1031361</v>
      </c>
      <c r="AE399" s="1">
        <v>486237</v>
      </c>
      <c r="AG399" s="1">
        <v>2183203</v>
      </c>
      <c r="AH399" s="1">
        <v>15649976</v>
      </c>
      <c r="AM399" s="1">
        <v>137258</v>
      </c>
      <c r="AN399" s="1">
        <v>24580</v>
      </c>
      <c r="AO399" s="1">
        <v>161838</v>
      </c>
      <c r="AP399" s="1">
        <v>209489</v>
      </c>
      <c r="AQ399" s="1">
        <v>646051</v>
      </c>
      <c r="AS399" s="1">
        <v>34091</v>
      </c>
      <c r="AT399" s="1">
        <v>680142</v>
      </c>
      <c r="AV399" s="1">
        <v>680142</v>
      </c>
      <c r="AW399" s="1">
        <v>680142</v>
      </c>
      <c r="AZ399" s="1">
        <v>21373486</v>
      </c>
      <c r="BB399" s="1">
        <v>200000</v>
      </c>
      <c r="BC399" s="1">
        <v>283154</v>
      </c>
      <c r="BE399" s="1">
        <v>15902</v>
      </c>
      <c r="BF399" s="1">
        <v>105341</v>
      </c>
      <c r="BU399" s="1">
        <v>47651</v>
      </c>
      <c r="BV399" s="1">
        <v>47651</v>
      </c>
      <c r="CZ399" s="1">
        <v>208270</v>
      </c>
      <c r="DC399" s="1">
        <v>34091</v>
      </c>
    </row>
    <row r="400" spans="1:121">
      <c r="A400" s="1">
        <v>25</v>
      </c>
      <c r="B400" s="1">
        <v>4690</v>
      </c>
      <c r="C400" s="1" t="s">
        <v>963</v>
      </c>
      <c r="D400" s="1" t="s">
        <v>1008</v>
      </c>
      <c r="F400" s="1">
        <v>17353</v>
      </c>
      <c r="I400" s="1">
        <v>64287</v>
      </c>
      <c r="J400" s="1">
        <v>135959</v>
      </c>
      <c r="K400" s="1">
        <v>97201</v>
      </c>
      <c r="L400" s="1">
        <v>81740</v>
      </c>
      <c r="N400" s="1">
        <v>-3274</v>
      </c>
      <c r="O400" s="1">
        <v>175667</v>
      </c>
      <c r="Q400" s="1">
        <v>3473180</v>
      </c>
      <c r="U400" s="1">
        <v>3163</v>
      </c>
      <c r="V400" s="1">
        <v>28729</v>
      </c>
      <c r="W400" s="1">
        <v>3505072</v>
      </c>
      <c r="Y400" s="1">
        <v>954</v>
      </c>
      <c r="Z400" s="1">
        <v>166698</v>
      </c>
      <c r="AB400" s="1">
        <v>6417</v>
      </c>
      <c r="AD400" s="1">
        <v>131743</v>
      </c>
      <c r="AE400" s="1">
        <v>98713</v>
      </c>
      <c r="AG400" s="1">
        <v>427179</v>
      </c>
      <c r="AH400" s="1">
        <v>3932251</v>
      </c>
      <c r="AJ400" s="1">
        <v>501</v>
      </c>
      <c r="AK400" s="1">
        <v>501</v>
      </c>
      <c r="AM400" s="1">
        <v>47656</v>
      </c>
      <c r="AN400" s="1">
        <v>11302</v>
      </c>
      <c r="AO400" s="1">
        <v>58958</v>
      </c>
      <c r="AP400" s="1">
        <v>59459</v>
      </c>
      <c r="AQ400" s="1">
        <v>148603</v>
      </c>
      <c r="AS400" s="1">
        <v>3274</v>
      </c>
      <c r="AT400" s="1">
        <v>151877</v>
      </c>
      <c r="AV400" s="1">
        <v>151877</v>
      </c>
      <c r="AW400" s="1">
        <v>151877</v>
      </c>
      <c r="AZ400" s="1">
        <v>4660213</v>
      </c>
      <c r="BF400" s="1">
        <v>22654</v>
      </c>
      <c r="BY400" s="1">
        <v>205000</v>
      </c>
      <c r="CC400" s="1">
        <v>205000</v>
      </c>
      <c r="CL400" s="1">
        <v>54319</v>
      </c>
      <c r="DC400" s="1">
        <v>3274</v>
      </c>
    </row>
    <row r="401" spans="1:121">
      <c r="A401" s="1">
        <v>25</v>
      </c>
      <c r="B401" s="1">
        <v>4760</v>
      </c>
      <c r="C401" s="1" t="s">
        <v>963</v>
      </c>
      <c r="D401" s="1" t="s">
        <v>1009</v>
      </c>
      <c r="F401" s="1">
        <v>248029</v>
      </c>
      <c r="G401" s="1">
        <v>66264</v>
      </c>
      <c r="H401" s="1">
        <v>14740</v>
      </c>
      <c r="I401" s="1">
        <v>66851</v>
      </c>
      <c r="J401" s="1">
        <v>576893</v>
      </c>
      <c r="K401" s="1">
        <v>248003</v>
      </c>
      <c r="L401" s="1">
        <v>5424</v>
      </c>
      <c r="M401" s="1">
        <v>4832</v>
      </c>
      <c r="O401" s="1">
        <v>258259</v>
      </c>
      <c r="Q401" s="1">
        <v>12051366</v>
      </c>
      <c r="S401" s="1">
        <v>64888</v>
      </c>
      <c r="T401" s="1">
        <v>52056</v>
      </c>
      <c r="U401" s="1">
        <v>293</v>
      </c>
      <c r="V401" s="1">
        <v>155609</v>
      </c>
      <c r="W401" s="1">
        <v>12324212</v>
      </c>
      <c r="Y401" s="1">
        <v>249966</v>
      </c>
      <c r="Z401" s="1">
        <v>362233</v>
      </c>
      <c r="AA401" s="1">
        <v>1168</v>
      </c>
      <c r="AB401" s="1">
        <v>29771</v>
      </c>
      <c r="AC401" s="1">
        <v>78889</v>
      </c>
      <c r="AD401" s="1">
        <v>907939</v>
      </c>
      <c r="AE401" s="1">
        <v>358018</v>
      </c>
      <c r="AG401" s="1">
        <v>2054458</v>
      </c>
      <c r="AH401" s="1">
        <v>14784748</v>
      </c>
      <c r="AJ401" s="1">
        <v>26210</v>
      </c>
      <c r="AK401" s="1">
        <v>26210</v>
      </c>
      <c r="AL401" s="1">
        <v>97406</v>
      </c>
      <c r="AM401" s="1">
        <v>137096</v>
      </c>
      <c r="AN401" s="1">
        <v>39849</v>
      </c>
      <c r="AO401" s="1">
        <v>274351</v>
      </c>
      <c r="AP401" s="1">
        <v>300561</v>
      </c>
      <c r="AZ401" s="1">
        <v>15920461</v>
      </c>
      <c r="BA401" s="1">
        <v>181009</v>
      </c>
      <c r="BC401" s="1">
        <v>64888</v>
      </c>
      <c r="BE401" s="1">
        <v>20768</v>
      </c>
      <c r="BF401" s="1">
        <v>45706</v>
      </c>
      <c r="CG401" s="1">
        <v>180975</v>
      </c>
      <c r="CX401" s="1">
        <v>225103</v>
      </c>
    </row>
    <row r="402" spans="1:121">
      <c r="A402" s="1">
        <v>25</v>
      </c>
      <c r="B402" s="1">
        <v>4770</v>
      </c>
      <c r="C402" s="1" t="s">
        <v>963</v>
      </c>
      <c r="D402" s="1" t="s">
        <v>1010</v>
      </c>
      <c r="F402" s="1">
        <v>8073</v>
      </c>
      <c r="G402" s="1">
        <v>103928</v>
      </c>
      <c r="I402" s="1">
        <v>9507</v>
      </c>
      <c r="J402" s="1">
        <v>121508</v>
      </c>
      <c r="K402" s="1">
        <v>120287</v>
      </c>
      <c r="L402" s="1">
        <v>74982</v>
      </c>
      <c r="N402" s="1">
        <v>1929</v>
      </c>
      <c r="O402" s="1">
        <v>197198</v>
      </c>
      <c r="Q402" s="1">
        <v>5731281</v>
      </c>
      <c r="V402" s="1">
        <v>38141</v>
      </c>
      <c r="W402" s="1">
        <v>5769422</v>
      </c>
      <c r="Y402" s="1">
        <v>30721</v>
      </c>
      <c r="Z402" s="1">
        <v>250127</v>
      </c>
      <c r="AB402" s="1">
        <v>3370</v>
      </c>
      <c r="AC402" s="1">
        <v>36406</v>
      </c>
      <c r="AD402" s="1">
        <v>415401</v>
      </c>
      <c r="AE402" s="1">
        <v>230215</v>
      </c>
      <c r="AG402" s="1">
        <v>1014142</v>
      </c>
      <c r="AH402" s="1">
        <v>6783564</v>
      </c>
      <c r="AJ402" s="1">
        <v>8639</v>
      </c>
      <c r="AK402" s="1">
        <v>8639</v>
      </c>
      <c r="AM402" s="1">
        <v>116707</v>
      </c>
      <c r="AN402" s="1">
        <v>9778</v>
      </c>
      <c r="AO402" s="1">
        <v>126485</v>
      </c>
      <c r="AP402" s="1">
        <v>136124</v>
      </c>
      <c r="AQ402" s="1">
        <v>578638</v>
      </c>
      <c r="AT402" s="1">
        <v>578638</v>
      </c>
      <c r="AV402" s="1">
        <v>578638</v>
      </c>
      <c r="AW402" s="1">
        <v>578638</v>
      </c>
      <c r="AZ402" s="1">
        <v>7817032</v>
      </c>
      <c r="BE402" s="1">
        <v>10540</v>
      </c>
      <c r="BF402" s="1">
        <v>3278</v>
      </c>
      <c r="BR402" s="1">
        <v>34084</v>
      </c>
      <c r="BU402" s="1">
        <v>1000</v>
      </c>
      <c r="BV402" s="1">
        <v>1000</v>
      </c>
    </row>
    <row r="403" spans="1:121">
      <c r="A403" s="1">
        <v>25</v>
      </c>
      <c r="B403" s="1">
        <v>4840</v>
      </c>
      <c r="C403" s="1" t="s">
        <v>963</v>
      </c>
      <c r="D403" s="1" t="s">
        <v>1011</v>
      </c>
      <c r="I403" s="1">
        <v>9565</v>
      </c>
      <c r="J403" s="1">
        <v>9565</v>
      </c>
      <c r="K403" s="1">
        <v>67218</v>
      </c>
      <c r="O403" s="1">
        <v>67218</v>
      </c>
      <c r="Q403" s="1">
        <v>2447693</v>
      </c>
      <c r="V403" s="1">
        <v>21468</v>
      </c>
      <c r="W403" s="1">
        <v>2469161</v>
      </c>
      <c r="Y403" s="1">
        <v>53700</v>
      </c>
      <c r="Z403" s="1">
        <v>198318</v>
      </c>
      <c r="AB403" s="1">
        <v>18910</v>
      </c>
      <c r="AC403" s="1">
        <v>26443</v>
      </c>
      <c r="AD403" s="1">
        <v>1469</v>
      </c>
      <c r="AG403" s="1">
        <v>633847</v>
      </c>
      <c r="AH403" s="1">
        <v>3103008</v>
      </c>
      <c r="AZ403" s="1">
        <v>3179791</v>
      </c>
      <c r="BE403" s="1">
        <v>17858</v>
      </c>
      <c r="BF403" s="1">
        <v>336</v>
      </c>
      <c r="BR403" s="1">
        <v>316813</v>
      </c>
    </row>
    <row r="404" spans="1:121">
      <c r="A404" s="1">
        <v>25</v>
      </c>
      <c r="B404" s="1">
        <v>4980</v>
      </c>
      <c r="C404" s="1" t="s">
        <v>963</v>
      </c>
      <c r="D404" s="1" t="s">
        <v>1012</v>
      </c>
      <c r="E404" s="1">
        <v>104000</v>
      </c>
      <c r="F404" s="1">
        <v>194795</v>
      </c>
      <c r="G404" s="1">
        <v>337102</v>
      </c>
      <c r="H404" s="1">
        <v>127451</v>
      </c>
      <c r="I404" s="1">
        <v>177260</v>
      </c>
      <c r="J404" s="1">
        <v>1040608</v>
      </c>
      <c r="K404" s="1">
        <v>265793</v>
      </c>
      <c r="M404" s="1">
        <v>49133</v>
      </c>
      <c r="N404" s="1">
        <v>1801</v>
      </c>
      <c r="O404" s="1">
        <v>316727</v>
      </c>
      <c r="Q404" s="1">
        <v>6137862</v>
      </c>
      <c r="S404" s="1">
        <v>28729</v>
      </c>
      <c r="U404" s="1">
        <v>15294</v>
      </c>
      <c r="W404" s="1">
        <v>6310664</v>
      </c>
      <c r="Y404" s="1">
        <v>89883</v>
      </c>
      <c r="Z404" s="1">
        <v>189241</v>
      </c>
      <c r="AB404" s="1">
        <v>76494</v>
      </c>
      <c r="AC404" s="1">
        <v>21767</v>
      </c>
      <c r="AD404" s="1">
        <v>300352</v>
      </c>
      <c r="AE404" s="1">
        <v>135717</v>
      </c>
      <c r="AG404" s="1">
        <v>899098</v>
      </c>
      <c r="AH404" s="1">
        <v>7209762</v>
      </c>
      <c r="AJ404" s="1">
        <v>188722</v>
      </c>
      <c r="AK404" s="1">
        <v>188722</v>
      </c>
      <c r="AM404" s="1">
        <v>139381</v>
      </c>
      <c r="AN404" s="1">
        <v>9857</v>
      </c>
      <c r="AO404" s="1">
        <v>149238</v>
      </c>
      <c r="AP404" s="1">
        <v>354339</v>
      </c>
      <c r="AQ404" s="1">
        <v>135729</v>
      </c>
      <c r="AS404" s="1">
        <v>1596</v>
      </c>
      <c r="AT404" s="1">
        <v>137325</v>
      </c>
      <c r="AU404" s="1">
        <v>77527</v>
      </c>
      <c r="AV404" s="1">
        <v>214852</v>
      </c>
      <c r="AW404" s="1">
        <v>214852</v>
      </c>
      <c r="AZ404" s="1">
        <v>9136288</v>
      </c>
      <c r="BC404" s="1">
        <v>28729</v>
      </c>
      <c r="BE404" s="1">
        <v>9485</v>
      </c>
      <c r="BF404" s="1">
        <v>4845</v>
      </c>
      <c r="BQ404" s="1">
        <v>128779</v>
      </c>
      <c r="BR404" s="1">
        <v>71314</v>
      </c>
      <c r="BU404" s="1">
        <v>16379</v>
      </c>
      <c r="BV404" s="1">
        <v>16379</v>
      </c>
      <c r="CD404" s="1">
        <v>100000</v>
      </c>
      <c r="CJ404" s="1">
        <v>127451</v>
      </c>
      <c r="DC404" s="1">
        <v>1596</v>
      </c>
    </row>
    <row r="405" spans="1:121">
      <c r="A405" s="1">
        <v>25</v>
      </c>
      <c r="B405" s="1">
        <v>4990</v>
      </c>
      <c r="C405" s="1" t="s">
        <v>963</v>
      </c>
      <c r="D405" s="1" t="s">
        <v>1013</v>
      </c>
      <c r="F405" s="1">
        <v>597</v>
      </c>
      <c r="H405" s="1">
        <v>3335</v>
      </c>
      <c r="I405" s="1">
        <v>1</v>
      </c>
      <c r="J405" s="1">
        <v>3933</v>
      </c>
      <c r="K405" s="1">
        <v>107068</v>
      </c>
      <c r="L405" s="1">
        <v>1016</v>
      </c>
      <c r="M405" s="1">
        <v>529776</v>
      </c>
      <c r="N405" s="1">
        <v>1</v>
      </c>
      <c r="O405" s="1">
        <v>637861</v>
      </c>
      <c r="Q405" s="1">
        <v>5856354</v>
      </c>
      <c r="S405" s="1">
        <v>300</v>
      </c>
      <c r="V405" s="1">
        <v>32670</v>
      </c>
      <c r="W405" s="1">
        <v>5889324</v>
      </c>
      <c r="Y405" s="1">
        <v>75452</v>
      </c>
      <c r="Z405" s="1">
        <v>276996</v>
      </c>
      <c r="AA405" s="1">
        <v>3504</v>
      </c>
      <c r="AB405" s="1">
        <v>5689</v>
      </c>
      <c r="AC405" s="1">
        <v>62102</v>
      </c>
      <c r="AD405" s="1">
        <v>362994</v>
      </c>
      <c r="AE405" s="1">
        <v>160942</v>
      </c>
      <c r="AG405" s="1">
        <v>985827</v>
      </c>
      <c r="AH405" s="1">
        <v>6876894</v>
      </c>
      <c r="AI405" s="1">
        <v>16063</v>
      </c>
      <c r="AK405" s="1">
        <v>17227</v>
      </c>
      <c r="AL405" s="1">
        <v>24358</v>
      </c>
      <c r="AM405" s="1">
        <v>111652</v>
      </c>
      <c r="AN405" s="1">
        <v>28573</v>
      </c>
      <c r="AO405" s="1">
        <v>164583</v>
      </c>
      <c r="AP405" s="1">
        <v>181810</v>
      </c>
      <c r="AQ405" s="1">
        <v>546678</v>
      </c>
      <c r="AT405" s="1">
        <v>546678</v>
      </c>
      <c r="AV405" s="1">
        <v>546678</v>
      </c>
      <c r="AW405" s="1">
        <v>546678</v>
      </c>
      <c r="AZ405" s="1">
        <v>8247176</v>
      </c>
      <c r="BC405" s="1">
        <v>300</v>
      </c>
      <c r="BE405" s="1">
        <v>13385</v>
      </c>
      <c r="BF405" s="1">
        <v>3698</v>
      </c>
      <c r="BR405" s="1">
        <v>21065</v>
      </c>
      <c r="CX405" s="1">
        <v>1743</v>
      </c>
      <c r="DP405" s="1">
        <v>1164</v>
      </c>
    </row>
    <row r="406" spans="1:121">
      <c r="A406" s="1">
        <v>25</v>
      </c>
      <c r="B406" s="1">
        <v>5185</v>
      </c>
      <c r="C406" s="1" t="s">
        <v>963</v>
      </c>
      <c r="D406" s="1" t="s">
        <v>1014</v>
      </c>
      <c r="F406" s="1">
        <v>995811</v>
      </c>
      <c r="G406" s="1">
        <v>2994485</v>
      </c>
      <c r="H406" s="1">
        <v>2278040</v>
      </c>
      <c r="I406" s="1">
        <v>392874</v>
      </c>
      <c r="J406" s="1">
        <v>6727809</v>
      </c>
      <c r="K406" s="1">
        <v>734829</v>
      </c>
      <c r="L406" s="1">
        <v>326730</v>
      </c>
      <c r="M406" s="1">
        <v>1642936</v>
      </c>
      <c r="N406" s="1">
        <v>164294</v>
      </c>
      <c r="O406" s="1">
        <v>2868789</v>
      </c>
      <c r="P406" s="1">
        <v>-3795</v>
      </c>
      <c r="Q406" s="1">
        <v>16576450</v>
      </c>
      <c r="S406" s="1">
        <v>167380</v>
      </c>
      <c r="U406" s="1">
        <v>26006</v>
      </c>
      <c r="W406" s="1">
        <v>17309802</v>
      </c>
      <c r="X406" s="1">
        <v>495755</v>
      </c>
      <c r="Y406" s="1">
        <v>880171</v>
      </c>
      <c r="Z406" s="1">
        <v>1809370</v>
      </c>
      <c r="AA406" s="1">
        <v>1456</v>
      </c>
      <c r="AB406" s="1">
        <v>52983</v>
      </c>
      <c r="AC406" s="1">
        <v>177069</v>
      </c>
      <c r="AD406" s="1">
        <v>1253755</v>
      </c>
      <c r="AE406" s="1">
        <v>711404</v>
      </c>
      <c r="AG406" s="1">
        <v>6012942</v>
      </c>
      <c r="AH406" s="1">
        <v>23479428</v>
      </c>
      <c r="AJ406" s="1">
        <v>129087</v>
      </c>
      <c r="AK406" s="1">
        <v>223043</v>
      </c>
      <c r="AL406" s="1">
        <v>104376</v>
      </c>
      <c r="AM406" s="1">
        <v>424711</v>
      </c>
      <c r="AN406" s="1">
        <v>54597</v>
      </c>
      <c r="AO406" s="1">
        <v>583684</v>
      </c>
      <c r="AP406" s="1">
        <v>806727</v>
      </c>
      <c r="AQ406" s="1">
        <v>1745469</v>
      </c>
      <c r="AT406" s="1">
        <v>1745469</v>
      </c>
      <c r="AU406" s="1">
        <v>64526</v>
      </c>
      <c r="AV406" s="1">
        <v>1866784</v>
      </c>
      <c r="AW406" s="1">
        <v>1866784</v>
      </c>
      <c r="AX406" s="1">
        <v>56789</v>
      </c>
      <c r="AY406" s="1">
        <v>-56789</v>
      </c>
      <c r="AZ406" s="1">
        <v>35791459</v>
      </c>
      <c r="BB406" s="1">
        <v>66599</v>
      </c>
      <c r="BC406" s="1">
        <v>167380</v>
      </c>
      <c r="BE406" s="1">
        <v>79177</v>
      </c>
      <c r="BF406" s="1">
        <v>18455</v>
      </c>
      <c r="BG406" s="1">
        <v>160479</v>
      </c>
      <c r="BH406" s="1">
        <v>160479</v>
      </c>
      <c r="BL406" s="1">
        <v>56789</v>
      </c>
      <c r="BQ406" s="1">
        <v>539966</v>
      </c>
      <c r="BR406" s="1">
        <v>533347</v>
      </c>
      <c r="BY406" s="1">
        <v>41922</v>
      </c>
      <c r="CI406" s="1">
        <v>41922</v>
      </c>
      <c r="CJ406" s="1">
        <v>2495860</v>
      </c>
      <c r="CT406" s="1">
        <v>21</v>
      </c>
      <c r="DB406" s="1">
        <v>108910</v>
      </c>
      <c r="DQ406" s="1">
        <v>93935</v>
      </c>
    </row>
    <row r="407" spans="1:121">
      <c r="A407" s="1">
        <v>25</v>
      </c>
      <c r="B407" s="1">
        <v>5230</v>
      </c>
      <c r="C407" s="1" t="s">
        <v>963</v>
      </c>
      <c r="D407" s="1" t="s">
        <v>1015</v>
      </c>
      <c r="E407" s="1">
        <v>131200</v>
      </c>
      <c r="F407" s="1">
        <v>247483</v>
      </c>
      <c r="G407" s="1">
        <v>184745</v>
      </c>
      <c r="H407" s="1">
        <v>533998</v>
      </c>
      <c r="I407" s="1">
        <v>212435</v>
      </c>
      <c r="J407" s="1">
        <v>1459861</v>
      </c>
      <c r="K407" s="1">
        <v>297812</v>
      </c>
      <c r="L407" s="1">
        <v>407243</v>
      </c>
      <c r="M407" s="1">
        <v>176723</v>
      </c>
      <c r="O407" s="1">
        <v>881778</v>
      </c>
      <c r="P407" s="1">
        <v>100182</v>
      </c>
      <c r="Q407" s="1">
        <v>6153919</v>
      </c>
      <c r="U407" s="1">
        <v>30949</v>
      </c>
      <c r="V407" s="1">
        <v>99980</v>
      </c>
      <c r="W407" s="1">
        <v>6284848</v>
      </c>
      <c r="X407" s="1">
        <v>5011768</v>
      </c>
      <c r="Y407" s="1">
        <v>313956</v>
      </c>
      <c r="Z407" s="1">
        <v>1078708</v>
      </c>
      <c r="AB407" s="1">
        <v>54799</v>
      </c>
      <c r="AC407" s="1">
        <v>57936</v>
      </c>
      <c r="AD407" s="1">
        <v>890672</v>
      </c>
      <c r="AE407" s="1">
        <v>346956</v>
      </c>
      <c r="AG407" s="1">
        <v>8548109</v>
      </c>
      <c r="AH407" s="1">
        <v>14933139</v>
      </c>
      <c r="AJ407" s="1">
        <v>7953</v>
      </c>
      <c r="AK407" s="1">
        <v>383973</v>
      </c>
      <c r="AL407" s="1">
        <v>140505</v>
      </c>
      <c r="AM407" s="1">
        <v>311509</v>
      </c>
      <c r="AN407" s="1">
        <v>186010</v>
      </c>
      <c r="AO407" s="1">
        <v>638024</v>
      </c>
      <c r="AP407" s="1">
        <v>1021997</v>
      </c>
      <c r="AY407" s="1">
        <v>-100182</v>
      </c>
      <c r="AZ407" s="1">
        <v>18196593</v>
      </c>
      <c r="BD407" s="1">
        <v>437114</v>
      </c>
      <c r="BE407" s="1">
        <v>180368</v>
      </c>
      <c r="BF407" s="1">
        <v>3958</v>
      </c>
      <c r="BI407" s="1">
        <v>376020</v>
      </c>
      <c r="BR407" s="1">
        <v>171874</v>
      </c>
      <c r="BY407" s="1">
        <v>-100182</v>
      </c>
      <c r="CD407" s="1">
        <v>150000</v>
      </c>
      <c r="CJ407" s="1">
        <v>741241</v>
      </c>
      <c r="DB407" s="1">
        <v>200000</v>
      </c>
    </row>
    <row r="408" spans="1:121">
      <c r="A408" s="1">
        <v>25</v>
      </c>
      <c r="B408" s="1">
        <v>5310</v>
      </c>
      <c r="C408" s="1" t="s">
        <v>963</v>
      </c>
      <c r="D408" s="1" t="s">
        <v>1016</v>
      </c>
      <c r="F408" s="1">
        <v>278319</v>
      </c>
      <c r="G408" s="1">
        <v>276173</v>
      </c>
      <c r="I408" s="1">
        <v>104942</v>
      </c>
      <c r="J408" s="1">
        <v>2128454</v>
      </c>
      <c r="K408" s="1">
        <v>576783</v>
      </c>
      <c r="L408" s="1">
        <v>100000</v>
      </c>
      <c r="M408" s="1">
        <v>34317511</v>
      </c>
      <c r="N408" s="1">
        <v>850840</v>
      </c>
      <c r="O408" s="1">
        <v>35845134</v>
      </c>
      <c r="P408" s="1">
        <v>1309</v>
      </c>
      <c r="Q408" s="1">
        <v>15597479</v>
      </c>
      <c r="R408" s="1">
        <v>7355866</v>
      </c>
      <c r="S408" s="1">
        <v>7365501</v>
      </c>
      <c r="T408" s="1">
        <v>62967</v>
      </c>
      <c r="U408" s="1">
        <v>4561</v>
      </c>
      <c r="V408" s="1">
        <v>125704</v>
      </c>
      <c r="W408" s="1">
        <v>23275733</v>
      </c>
      <c r="X408" s="1">
        <v>2189520</v>
      </c>
      <c r="Y408" s="1">
        <v>376700</v>
      </c>
      <c r="Z408" s="1">
        <v>762563</v>
      </c>
      <c r="AA408" s="1">
        <v>9290</v>
      </c>
      <c r="AB408" s="1">
        <v>70377</v>
      </c>
      <c r="AC408" s="1">
        <v>163922</v>
      </c>
      <c r="AD408" s="1">
        <v>1362453</v>
      </c>
      <c r="AE408" s="1">
        <v>938497</v>
      </c>
      <c r="AG408" s="1">
        <v>6623033</v>
      </c>
      <c r="AH408" s="1">
        <v>29902919</v>
      </c>
      <c r="AJ408" s="1">
        <v>27967</v>
      </c>
      <c r="AK408" s="1">
        <v>27967</v>
      </c>
      <c r="AM408" s="1">
        <v>288762</v>
      </c>
      <c r="AN408" s="1">
        <v>45292</v>
      </c>
      <c r="AO408" s="1">
        <v>350815</v>
      </c>
      <c r="AP408" s="1">
        <v>394687</v>
      </c>
      <c r="AQ408" s="1">
        <v>2310737</v>
      </c>
      <c r="AT408" s="1">
        <v>2310737</v>
      </c>
      <c r="AU408" s="1">
        <v>166501</v>
      </c>
      <c r="AV408" s="1">
        <v>3033516</v>
      </c>
      <c r="AW408" s="1">
        <v>3033516</v>
      </c>
      <c r="AX408" s="1">
        <v>1553317</v>
      </c>
      <c r="AY408" s="1">
        <v>-556278</v>
      </c>
      <c r="AZ408" s="1">
        <v>72301749</v>
      </c>
      <c r="BC408" s="1">
        <v>9635</v>
      </c>
      <c r="BE408" s="1">
        <v>121202</v>
      </c>
      <c r="BF408" s="1">
        <v>217033</v>
      </c>
      <c r="BH408" s="1">
        <v>2844</v>
      </c>
      <c r="BK408" s="1">
        <v>16761</v>
      </c>
      <c r="BL408" s="1">
        <v>556278</v>
      </c>
      <c r="BQ408" s="1">
        <v>43501</v>
      </c>
      <c r="BU408" s="1">
        <v>15905</v>
      </c>
      <c r="BV408" s="1">
        <v>15905</v>
      </c>
      <c r="BY408" s="1">
        <v>997039</v>
      </c>
      <c r="CA408" s="1">
        <v>2844</v>
      </c>
      <c r="CH408" s="1">
        <v>411476</v>
      </c>
      <c r="CL408" s="1">
        <v>1469020</v>
      </c>
      <c r="DN408" s="1">
        <v>76020</v>
      </c>
    </row>
    <row r="409" spans="1:121">
      <c r="A409" s="1">
        <v>25</v>
      </c>
      <c r="B409" s="1">
        <v>5420</v>
      </c>
      <c r="C409" s="1" t="s">
        <v>963</v>
      </c>
      <c r="D409" s="1" t="s">
        <v>1017</v>
      </c>
      <c r="F409" s="1">
        <v>382426</v>
      </c>
      <c r="G409" s="1">
        <v>1691575</v>
      </c>
      <c r="H409" s="1">
        <v>2110142</v>
      </c>
      <c r="I409" s="1">
        <v>1</v>
      </c>
      <c r="J409" s="1">
        <v>4184144</v>
      </c>
      <c r="K409" s="1">
        <v>1180901</v>
      </c>
      <c r="L409" s="1">
        <v>389858</v>
      </c>
      <c r="N409" s="1">
        <v>145076</v>
      </c>
      <c r="O409" s="1">
        <v>1715835</v>
      </c>
      <c r="Q409" s="1">
        <v>48971356</v>
      </c>
      <c r="R409" s="1">
        <v>143093</v>
      </c>
      <c r="S409" s="1">
        <v>143093</v>
      </c>
      <c r="T409" s="1">
        <v>12942</v>
      </c>
      <c r="V409" s="1">
        <v>317772</v>
      </c>
      <c r="W409" s="1">
        <v>49465996</v>
      </c>
      <c r="Y409" s="1">
        <v>1031063</v>
      </c>
      <c r="Z409" s="1">
        <v>2084044</v>
      </c>
      <c r="AA409" s="1">
        <v>45390</v>
      </c>
      <c r="AB409" s="1">
        <v>118994</v>
      </c>
      <c r="AC409" s="1">
        <v>483426</v>
      </c>
      <c r="AD409" s="1">
        <v>3696821</v>
      </c>
      <c r="AE409" s="1">
        <v>1908520</v>
      </c>
      <c r="AG409" s="1">
        <v>10555095</v>
      </c>
      <c r="AH409" s="1">
        <v>60021091</v>
      </c>
      <c r="AJ409" s="1">
        <v>153853</v>
      </c>
      <c r="AK409" s="1">
        <v>153853</v>
      </c>
      <c r="AM409" s="1">
        <v>956456</v>
      </c>
      <c r="AN409" s="1">
        <v>80230</v>
      </c>
      <c r="AO409" s="1">
        <v>1036686</v>
      </c>
      <c r="AP409" s="1">
        <v>1201677</v>
      </c>
      <c r="AQ409" s="1">
        <v>2262837</v>
      </c>
      <c r="AT409" s="1">
        <v>2262837</v>
      </c>
      <c r="AU409" s="1">
        <v>925649</v>
      </c>
      <c r="AV409" s="1">
        <v>3413272</v>
      </c>
      <c r="AW409" s="1">
        <v>3413272</v>
      </c>
      <c r="AZ409" s="1">
        <v>70536019</v>
      </c>
      <c r="BE409" s="1">
        <v>130182</v>
      </c>
      <c r="BF409" s="1">
        <v>361169</v>
      </c>
      <c r="BM409" s="1">
        <v>224786</v>
      </c>
      <c r="BR409" s="1">
        <v>695486</v>
      </c>
      <c r="BU409" s="1">
        <v>11138</v>
      </c>
      <c r="BV409" s="1">
        <v>11138</v>
      </c>
      <c r="CE409" s="1">
        <v>20833</v>
      </c>
    </row>
    <row r="410" spans="1:121">
      <c r="A410" s="1">
        <v>25</v>
      </c>
      <c r="B410" s="1">
        <v>5640</v>
      </c>
      <c r="C410" s="1" t="s">
        <v>963</v>
      </c>
      <c r="D410" s="1" t="s">
        <v>1018</v>
      </c>
      <c r="F410" s="1">
        <v>1953</v>
      </c>
      <c r="G410" s="1">
        <v>223769</v>
      </c>
      <c r="H410" s="1">
        <v>231625</v>
      </c>
      <c r="I410" s="1">
        <v>995</v>
      </c>
      <c r="J410" s="1">
        <v>687792</v>
      </c>
      <c r="K410" s="1">
        <v>228446</v>
      </c>
      <c r="L410" s="1">
        <v>37965</v>
      </c>
      <c r="M410" s="1">
        <v>53192</v>
      </c>
      <c r="N410" s="1">
        <v>1</v>
      </c>
      <c r="O410" s="1">
        <v>319604</v>
      </c>
      <c r="P410" s="1">
        <v>3211</v>
      </c>
      <c r="Q410" s="1">
        <v>8201959</v>
      </c>
      <c r="S410" s="1">
        <v>775</v>
      </c>
      <c r="U410" s="1">
        <v>55</v>
      </c>
      <c r="V410" s="1">
        <v>142615</v>
      </c>
      <c r="W410" s="1">
        <v>8345404</v>
      </c>
      <c r="Y410" s="1">
        <v>10912</v>
      </c>
      <c r="Z410" s="1">
        <v>386625</v>
      </c>
      <c r="AB410" s="1">
        <v>43265</v>
      </c>
      <c r="AC410" s="1">
        <v>84385</v>
      </c>
      <c r="AD410" s="1">
        <v>539146</v>
      </c>
      <c r="AE410" s="1">
        <v>285148</v>
      </c>
      <c r="AG410" s="1">
        <v>1360545</v>
      </c>
      <c r="AH410" s="1">
        <v>9709160</v>
      </c>
      <c r="AJ410" s="1">
        <v>247944</v>
      </c>
      <c r="AK410" s="1">
        <v>247944</v>
      </c>
      <c r="AL410" s="1">
        <v>19866</v>
      </c>
      <c r="AM410" s="1">
        <v>195319</v>
      </c>
      <c r="AN410" s="1">
        <v>24807</v>
      </c>
      <c r="AO410" s="1">
        <v>239992</v>
      </c>
      <c r="AP410" s="1">
        <v>487936</v>
      </c>
      <c r="AQ410" s="1">
        <v>1037688</v>
      </c>
      <c r="AT410" s="1">
        <v>1037688</v>
      </c>
      <c r="AV410" s="1">
        <v>1037688</v>
      </c>
      <c r="AW410" s="1">
        <v>1037688</v>
      </c>
      <c r="AZ410" s="1">
        <v>12242180</v>
      </c>
      <c r="BC410" s="1">
        <v>775</v>
      </c>
      <c r="BE410" s="1">
        <v>11064</v>
      </c>
      <c r="CL410" s="1">
        <v>229450</v>
      </c>
    </row>
    <row r="411" spans="1:121">
      <c r="A411" s="1">
        <v>27</v>
      </c>
      <c r="B411" s="1">
        <v>450</v>
      </c>
      <c r="C411" s="1" t="s">
        <v>1019</v>
      </c>
      <c r="D411" s="1" t="s">
        <v>1020</v>
      </c>
      <c r="F411" s="1">
        <v>18919</v>
      </c>
      <c r="I411" s="1">
        <v>34516</v>
      </c>
      <c r="J411" s="1">
        <v>53435</v>
      </c>
      <c r="K411" s="1">
        <v>46021</v>
      </c>
      <c r="M411" s="1">
        <v>13172</v>
      </c>
      <c r="O411" s="1">
        <v>59193</v>
      </c>
      <c r="P411" s="1">
        <v>93621</v>
      </c>
      <c r="Q411" s="1">
        <v>13755266</v>
      </c>
      <c r="R411" s="1">
        <v>3716535</v>
      </c>
      <c r="S411" s="1">
        <v>3716535</v>
      </c>
      <c r="U411" s="1">
        <v>1006</v>
      </c>
      <c r="V411" s="1">
        <v>103959</v>
      </c>
      <c r="W411" s="1">
        <v>17709648</v>
      </c>
      <c r="Y411" s="1">
        <v>66620</v>
      </c>
      <c r="Z411" s="1">
        <v>646070</v>
      </c>
      <c r="AA411" s="1">
        <v>90960</v>
      </c>
      <c r="AB411" s="1">
        <v>70531</v>
      </c>
      <c r="AC411" s="1">
        <v>108513</v>
      </c>
      <c r="AD411" s="1">
        <v>1692139</v>
      </c>
      <c r="AE411" s="1">
        <v>677734</v>
      </c>
      <c r="AG411" s="1">
        <v>3638755</v>
      </c>
      <c r="AH411" s="1">
        <v>21742024</v>
      </c>
      <c r="AI411" s="1">
        <v>46263</v>
      </c>
      <c r="AJ411" s="1">
        <v>69575</v>
      </c>
      <c r="AK411" s="1">
        <v>241021</v>
      </c>
      <c r="AL411" s="1">
        <v>122157</v>
      </c>
      <c r="AM411" s="1">
        <v>256701</v>
      </c>
      <c r="AN411" s="1">
        <v>37799</v>
      </c>
      <c r="AO411" s="1">
        <v>416657</v>
      </c>
      <c r="AP411" s="1">
        <v>664244</v>
      </c>
      <c r="AZ411" s="1">
        <v>22533726</v>
      </c>
      <c r="BE411" s="1">
        <v>40222</v>
      </c>
      <c r="BF411" s="1">
        <v>3517</v>
      </c>
      <c r="BJ411" s="1">
        <v>125183</v>
      </c>
      <c r="BQ411" s="1">
        <v>132882</v>
      </c>
      <c r="BR411" s="1">
        <v>242449</v>
      </c>
      <c r="BU411" s="1">
        <v>6566</v>
      </c>
      <c r="BV411" s="1">
        <v>6566</v>
      </c>
      <c r="BY411" s="1">
        <v>14830</v>
      </c>
      <c r="CC411" s="1">
        <v>14830</v>
      </c>
      <c r="CG411" s="1">
        <v>300000</v>
      </c>
    </row>
    <row r="412" spans="1:121">
      <c r="A412" s="1">
        <v>27</v>
      </c>
      <c r="B412" s="1">
        <v>460</v>
      </c>
      <c r="C412" s="1" t="s">
        <v>1019</v>
      </c>
      <c r="D412" s="1" t="s">
        <v>1021</v>
      </c>
      <c r="F412" s="1">
        <v>133748</v>
      </c>
      <c r="G412" s="1">
        <v>34435</v>
      </c>
      <c r="H412" s="1">
        <v>46261</v>
      </c>
      <c r="J412" s="1">
        <v>214444</v>
      </c>
      <c r="K412" s="1">
        <v>251605</v>
      </c>
      <c r="L412" s="1">
        <v>94229</v>
      </c>
      <c r="N412" s="1">
        <v>5770</v>
      </c>
      <c r="O412" s="1">
        <v>351604</v>
      </c>
      <c r="Q412" s="1">
        <v>9732135</v>
      </c>
      <c r="R412" s="1">
        <v>96059</v>
      </c>
      <c r="S412" s="1">
        <v>96059</v>
      </c>
      <c r="U412" s="1">
        <v>2518</v>
      </c>
      <c r="V412" s="1">
        <v>97856</v>
      </c>
      <c r="W412" s="1">
        <v>9928568</v>
      </c>
      <c r="Y412" s="1">
        <v>179081</v>
      </c>
      <c r="Z412" s="1">
        <v>420375</v>
      </c>
      <c r="AA412" s="1">
        <v>16244</v>
      </c>
      <c r="AB412" s="1">
        <v>37497</v>
      </c>
      <c r="AC412" s="1">
        <v>41222</v>
      </c>
      <c r="AD412" s="1">
        <v>420602</v>
      </c>
      <c r="AE412" s="1">
        <v>226273</v>
      </c>
      <c r="AG412" s="1">
        <v>1362244</v>
      </c>
      <c r="AH412" s="1">
        <v>11290812</v>
      </c>
      <c r="AM412" s="1">
        <v>149238</v>
      </c>
      <c r="AN412" s="1">
        <v>12413</v>
      </c>
      <c r="AO412" s="1">
        <v>161651</v>
      </c>
      <c r="AP412" s="1">
        <v>161651</v>
      </c>
      <c r="AQ412" s="1">
        <v>300989</v>
      </c>
      <c r="AT412" s="1">
        <v>300989</v>
      </c>
      <c r="AU412" s="1">
        <v>72018</v>
      </c>
      <c r="AV412" s="1">
        <v>373007</v>
      </c>
      <c r="AW412" s="1">
        <v>373007</v>
      </c>
      <c r="AZ412" s="1">
        <v>12391518</v>
      </c>
      <c r="BE412" s="1">
        <v>19708</v>
      </c>
      <c r="BF412" s="1">
        <v>1242</v>
      </c>
    </row>
    <row r="413" spans="1:121">
      <c r="A413" s="1">
        <v>27</v>
      </c>
      <c r="B413" s="1">
        <v>630</v>
      </c>
      <c r="C413" s="1" t="s">
        <v>1019</v>
      </c>
      <c r="D413" s="1" t="s">
        <v>840</v>
      </c>
      <c r="F413" s="1">
        <v>144579</v>
      </c>
      <c r="G413" s="1">
        <v>213059</v>
      </c>
      <c r="H413" s="1">
        <v>126532</v>
      </c>
      <c r="I413" s="1">
        <v>90246</v>
      </c>
      <c r="J413" s="1">
        <v>574416</v>
      </c>
      <c r="K413" s="1">
        <v>406601</v>
      </c>
      <c r="L413" s="1">
        <v>149140</v>
      </c>
      <c r="M413" s="1">
        <v>178650</v>
      </c>
      <c r="N413" s="1">
        <v>91959</v>
      </c>
      <c r="O413" s="1">
        <v>826350</v>
      </c>
      <c r="Q413" s="1">
        <v>10845708</v>
      </c>
      <c r="R413" s="1">
        <v>4499197</v>
      </c>
      <c r="S413" s="1">
        <v>4513919</v>
      </c>
      <c r="U413" s="1">
        <v>3875</v>
      </c>
      <c r="V413" s="1">
        <v>316976</v>
      </c>
      <c r="W413" s="1">
        <v>15680478</v>
      </c>
      <c r="Y413" s="1">
        <v>106400</v>
      </c>
      <c r="Z413" s="1">
        <v>706231</v>
      </c>
      <c r="AB413" s="1">
        <v>55492</v>
      </c>
      <c r="AC413" s="1">
        <v>101381</v>
      </c>
      <c r="AD413" s="1">
        <v>1510977</v>
      </c>
      <c r="AE413" s="1">
        <v>634626</v>
      </c>
      <c r="AG413" s="1">
        <v>4356925</v>
      </c>
      <c r="AH413" s="1">
        <v>20055757</v>
      </c>
      <c r="AI413" s="1">
        <v>22067</v>
      </c>
      <c r="AJ413" s="1">
        <v>84998</v>
      </c>
      <c r="AK413" s="1">
        <v>107065</v>
      </c>
      <c r="AL413" s="1">
        <v>88391</v>
      </c>
      <c r="AM413" s="1">
        <v>240702</v>
      </c>
      <c r="AN413" s="1">
        <v>39778</v>
      </c>
      <c r="AO413" s="1">
        <v>368871</v>
      </c>
      <c r="AP413" s="1">
        <v>476556</v>
      </c>
      <c r="AQ413" s="1">
        <v>250262</v>
      </c>
      <c r="AT413" s="1">
        <v>250262</v>
      </c>
      <c r="AV413" s="1">
        <v>254769</v>
      </c>
      <c r="AW413" s="1">
        <v>254769</v>
      </c>
      <c r="AZ413" s="1">
        <v>22192355</v>
      </c>
      <c r="BC413" s="1">
        <v>14722</v>
      </c>
      <c r="BE413" s="1">
        <v>63164</v>
      </c>
      <c r="BF413" s="1">
        <v>9280</v>
      </c>
      <c r="BH413" s="1">
        <v>18354</v>
      </c>
      <c r="BL413" s="1">
        <v>4507</v>
      </c>
      <c r="BR413" s="1">
        <v>1169374</v>
      </c>
      <c r="BU413" s="1">
        <v>620</v>
      </c>
      <c r="BV413" s="1">
        <v>620</v>
      </c>
      <c r="BY413" s="1">
        <v>4507</v>
      </c>
      <c r="CA413" s="1">
        <v>18354</v>
      </c>
      <c r="CC413" s="1">
        <v>4507</v>
      </c>
    </row>
    <row r="414" spans="1:121">
      <c r="A414" s="1">
        <v>27</v>
      </c>
      <c r="B414" s="1">
        <v>785</v>
      </c>
      <c r="C414" s="1" t="s">
        <v>1019</v>
      </c>
      <c r="D414" s="1" t="s">
        <v>841</v>
      </c>
      <c r="F414" s="1">
        <v>484244</v>
      </c>
      <c r="G414" s="1">
        <v>335676</v>
      </c>
      <c r="I414" s="1">
        <v>1625</v>
      </c>
      <c r="J414" s="1">
        <v>12323839</v>
      </c>
      <c r="K414" s="1">
        <v>842940</v>
      </c>
      <c r="L414" s="1">
        <v>500000</v>
      </c>
      <c r="M414" s="1">
        <v>7820115</v>
      </c>
      <c r="N414" s="1">
        <v>4729</v>
      </c>
      <c r="O414" s="1">
        <v>9167784</v>
      </c>
      <c r="Q414" s="1">
        <v>40389273</v>
      </c>
      <c r="R414" s="1">
        <v>21754</v>
      </c>
      <c r="S414" s="1">
        <v>21754</v>
      </c>
      <c r="U414" s="1">
        <v>7500</v>
      </c>
      <c r="W414" s="1">
        <v>40846965</v>
      </c>
      <c r="Z414" s="1">
        <v>2288291</v>
      </c>
      <c r="AB414" s="1">
        <v>175369</v>
      </c>
      <c r="AC414" s="1">
        <v>196857</v>
      </c>
      <c r="AD414" s="1">
        <v>3126647</v>
      </c>
      <c r="AE414" s="1">
        <v>1669343</v>
      </c>
      <c r="AF414" s="1">
        <v>22843</v>
      </c>
      <c r="AG414" s="1">
        <v>7738263</v>
      </c>
      <c r="AH414" s="1">
        <v>50425821</v>
      </c>
      <c r="AJ414" s="1">
        <v>231951</v>
      </c>
      <c r="AK414" s="1">
        <v>231951</v>
      </c>
      <c r="AM414" s="1">
        <v>674571</v>
      </c>
      <c r="AN414" s="1">
        <v>85323</v>
      </c>
      <c r="AO414" s="1">
        <v>759894</v>
      </c>
      <c r="AP414" s="1">
        <v>1159521</v>
      </c>
      <c r="AQ414" s="1">
        <v>3216025</v>
      </c>
      <c r="AT414" s="1">
        <v>3216025</v>
      </c>
      <c r="AV414" s="1">
        <v>3216025</v>
      </c>
      <c r="AW414" s="1">
        <v>3216025</v>
      </c>
      <c r="AX414" s="1">
        <v>559612</v>
      </c>
      <c r="AY414" s="1">
        <v>-559612</v>
      </c>
      <c r="AZ414" s="1">
        <v>81148815</v>
      </c>
      <c r="BE414" s="1">
        <v>74554</v>
      </c>
      <c r="BF414" s="1">
        <v>184359</v>
      </c>
      <c r="BQ414" s="1">
        <v>382668</v>
      </c>
      <c r="BU414" s="1">
        <v>167676</v>
      </c>
      <c r="BV414" s="1">
        <v>167676</v>
      </c>
      <c r="BY414" s="1">
        <v>4855825</v>
      </c>
      <c r="CG414" s="1">
        <v>1280981</v>
      </c>
      <c r="CI414" s="1">
        <v>4855825</v>
      </c>
      <c r="CL414" s="1">
        <v>11502294</v>
      </c>
      <c r="CX414" s="1">
        <v>559612</v>
      </c>
      <c r="CZ414" s="1">
        <v>45770</v>
      </c>
    </row>
    <row r="415" spans="1:121">
      <c r="A415" s="1">
        <v>27</v>
      </c>
      <c r="B415" s="1">
        <v>820</v>
      </c>
      <c r="C415" s="1" t="s">
        <v>1019</v>
      </c>
      <c r="D415" s="1" t="s">
        <v>842</v>
      </c>
      <c r="F415" s="1">
        <v>72323</v>
      </c>
      <c r="G415" s="1">
        <v>520765</v>
      </c>
      <c r="I415" s="1">
        <v>406222</v>
      </c>
      <c r="J415" s="1">
        <v>999310</v>
      </c>
      <c r="K415" s="1">
        <v>426884</v>
      </c>
      <c r="L415" s="1">
        <v>600000</v>
      </c>
      <c r="M415" s="1">
        <v>23109600</v>
      </c>
      <c r="N415" s="1">
        <v>42816</v>
      </c>
      <c r="O415" s="1">
        <v>24179300</v>
      </c>
      <c r="Q415" s="1">
        <v>16543289</v>
      </c>
      <c r="R415" s="1">
        <v>67084</v>
      </c>
      <c r="S415" s="1">
        <v>67084</v>
      </c>
      <c r="U415" s="1">
        <v>33261</v>
      </c>
      <c r="W415" s="1">
        <v>17552485</v>
      </c>
      <c r="Y415" s="1">
        <v>387451</v>
      </c>
      <c r="Z415" s="1">
        <v>718350</v>
      </c>
      <c r="AA415" s="1">
        <v>11644</v>
      </c>
      <c r="AB415" s="1">
        <v>79673</v>
      </c>
      <c r="AC415" s="1">
        <v>83594</v>
      </c>
      <c r="AD415" s="1">
        <v>1060852</v>
      </c>
      <c r="AE415" s="1">
        <v>629861</v>
      </c>
      <c r="AG415" s="1">
        <v>3074487</v>
      </c>
      <c r="AH415" s="1">
        <v>20901972</v>
      </c>
      <c r="AJ415" s="1">
        <v>117051</v>
      </c>
      <c r="AK415" s="1">
        <v>117051</v>
      </c>
      <c r="AM415" s="1">
        <v>310371</v>
      </c>
      <c r="AN415" s="1">
        <v>16197</v>
      </c>
      <c r="AO415" s="1">
        <v>326568</v>
      </c>
      <c r="AP415" s="1">
        <v>443619</v>
      </c>
      <c r="AQ415" s="1">
        <v>1526957</v>
      </c>
      <c r="AT415" s="1">
        <v>1526957</v>
      </c>
      <c r="AV415" s="1">
        <v>1526957</v>
      </c>
      <c r="AW415" s="1">
        <v>1526957</v>
      </c>
      <c r="AZ415" s="1">
        <v>48051158</v>
      </c>
      <c r="BE415" s="1">
        <v>36031</v>
      </c>
      <c r="BF415" s="1">
        <v>67031</v>
      </c>
      <c r="BQ415" s="1">
        <v>908851</v>
      </c>
      <c r="CG415" s="1">
        <v>275000</v>
      </c>
      <c r="CJ415" s="1">
        <v>600000</v>
      </c>
      <c r="DB415" s="1">
        <v>259000</v>
      </c>
    </row>
    <row r="416" spans="1:121">
      <c r="A416" s="1">
        <v>27</v>
      </c>
      <c r="B416" s="1">
        <v>1090</v>
      </c>
      <c r="C416" s="1" t="s">
        <v>1019</v>
      </c>
      <c r="D416" s="1" t="s">
        <v>843</v>
      </c>
      <c r="I416" s="1">
        <v>50210</v>
      </c>
      <c r="J416" s="1">
        <v>50210</v>
      </c>
      <c r="K416" s="1">
        <v>254918</v>
      </c>
      <c r="L416" s="1">
        <v>360800</v>
      </c>
      <c r="N416" s="1">
        <v>76</v>
      </c>
      <c r="O416" s="1">
        <v>615794</v>
      </c>
      <c r="Q416" s="1">
        <v>21516202</v>
      </c>
      <c r="R416" s="1">
        <v>108649</v>
      </c>
      <c r="S416" s="1">
        <v>108649</v>
      </c>
      <c r="U416" s="1">
        <v>2759</v>
      </c>
      <c r="V416" s="1">
        <v>62910</v>
      </c>
      <c r="W416" s="1">
        <v>21690520</v>
      </c>
      <c r="Z416" s="1">
        <v>1464016</v>
      </c>
      <c r="AB416" s="1">
        <v>114720</v>
      </c>
      <c r="AC416" s="1">
        <v>77171</v>
      </c>
      <c r="AD416" s="1">
        <v>1458006</v>
      </c>
      <c r="AE416" s="1">
        <v>771140</v>
      </c>
      <c r="AF416" s="1">
        <v>96315</v>
      </c>
      <c r="AG416" s="1">
        <v>4027604</v>
      </c>
      <c r="AH416" s="1">
        <v>25718124</v>
      </c>
      <c r="AJ416" s="1">
        <v>54777</v>
      </c>
      <c r="AK416" s="1">
        <v>54777</v>
      </c>
      <c r="AL416" s="1">
        <v>36319</v>
      </c>
      <c r="AN416" s="1">
        <v>471824</v>
      </c>
      <c r="AO416" s="1">
        <v>508143</v>
      </c>
      <c r="AP416" s="1">
        <v>564617</v>
      </c>
      <c r="AQ416" s="1">
        <v>968186</v>
      </c>
      <c r="AT416" s="1">
        <v>968186</v>
      </c>
      <c r="AU416" s="1">
        <v>191042</v>
      </c>
      <c r="AV416" s="1">
        <v>1159228</v>
      </c>
      <c r="AW416" s="1">
        <v>1159228</v>
      </c>
      <c r="AZ416" s="1">
        <v>28107973</v>
      </c>
      <c r="BE416" s="1">
        <v>46236</v>
      </c>
      <c r="BU416" s="1">
        <v>1697</v>
      </c>
      <c r="BV416" s="1">
        <v>1697</v>
      </c>
    </row>
    <row r="417" spans="1:118">
      <c r="A417" s="1">
        <v>27</v>
      </c>
      <c r="B417" s="1">
        <v>1110</v>
      </c>
      <c r="C417" s="1" t="s">
        <v>1019</v>
      </c>
      <c r="D417" s="1" t="s">
        <v>844</v>
      </c>
      <c r="F417" s="1">
        <v>1789139</v>
      </c>
      <c r="G417" s="1">
        <v>1708057</v>
      </c>
      <c r="H417" s="1">
        <v>1687177</v>
      </c>
      <c r="I417" s="1">
        <v>195445</v>
      </c>
      <c r="J417" s="1">
        <v>6775377</v>
      </c>
      <c r="K417" s="1">
        <v>649579</v>
      </c>
      <c r="L417" s="1">
        <v>25980</v>
      </c>
      <c r="M417" s="1">
        <v>3221543</v>
      </c>
      <c r="O417" s="1">
        <v>3897102</v>
      </c>
      <c r="P417" s="1">
        <v>-67564</v>
      </c>
      <c r="Q417" s="1">
        <v>11882100</v>
      </c>
      <c r="S417" s="1">
        <v>4513399</v>
      </c>
      <c r="U417" s="1">
        <v>13741</v>
      </c>
      <c r="V417" s="1">
        <v>334374</v>
      </c>
      <c r="W417" s="1">
        <v>16743614</v>
      </c>
      <c r="X417" s="1">
        <v>9221519</v>
      </c>
      <c r="Y417" s="1">
        <v>182464</v>
      </c>
      <c r="Z417" s="1">
        <v>1813866</v>
      </c>
      <c r="AA417" s="1">
        <v>735658</v>
      </c>
      <c r="AB417" s="1">
        <v>69335</v>
      </c>
      <c r="AC417" s="1">
        <v>279128</v>
      </c>
      <c r="AD417" s="1">
        <v>2678093</v>
      </c>
      <c r="AE417" s="1">
        <v>1238149</v>
      </c>
      <c r="AG417" s="1">
        <v>16865865</v>
      </c>
      <c r="AH417" s="1">
        <v>33541915</v>
      </c>
      <c r="AJ417" s="1">
        <v>492411</v>
      </c>
      <c r="AK417" s="1">
        <v>3014839</v>
      </c>
      <c r="AL417" s="1">
        <v>1624839</v>
      </c>
      <c r="AM417" s="1">
        <v>683190</v>
      </c>
      <c r="AN417" s="1">
        <v>213782</v>
      </c>
      <c r="AO417" s="1">
        <v>2521811</v>
      </c>
      <c r="AP417" s="1">
        <v>5536650</v>
      </c>
      <c r="AQ417" s="1">
        <v>1263278</v>
      </c>
      <c r="AT417" s="1">
        <v>1263278</v>
      </c>
      <c r="AU417" s="1">
        <v>333766</v>
      </c>
      <c r="AV417" s="1">
        <v>1597044</v>
      </c>
      <c r="AW417" s="1">
        <v>1597044</v>
      </c>
      <c r="AZ417" s="1">
        <v>51348088</v>
      </c>
      <c r="BC417" s="1">
        <v>4513399</v>
      </c>
      <c r="BE417" s="1">
        <v>442647</v>
      </c>
      <c r="BF417" s="1">
        <v>205006</v>
      </c>
      <c r="BI417" s="1">
        <v>1532457</v>
      </c>
      <c r="BJ417" s="1">
        <v>989971</v>
      </c>
      <c r="CL417" s="1">
        <v>1395559</v>
      </c>
    </row>
    <row r="418" spans="1:118">
      <c r="A418" s="1">
        <v>27</v>
      </c>
      <c r="B418" s="1">
        <v>1190</v>
      </c>
      <c r="C418" s="1" t="s">
        <v>1019</v>
      </c>
      <c r="D418" s="1" t="s">
        <v>845</v>
      </c>
      <c r="F418" s="1">
        <v>28993</v>
      </c>
      <c r="G418" s="1">
        <v>31574</v>
      </c>
      <c r="H418" s="1">
        <v>285263</v>
      </c>
      <c r="I418" s="1">
        <v>251656</v>
      </c>
      <c r="J418" s="1">
        <v>1260404</v>
      </c>
      <c r="K418" s="1">
        <v>442805</v>
      </c>
      <c r="L418" s="1">
        <v>95495</v>
      </c>
      <c r="M418" s="1">
        <v>5261558</v>
      </c>
      <c r="O418" s="1">
        <v>5799858</v>
      </c>
      <c r="P418" s="1">
        <v>138289</v>
      </c>
      <c r="Q418" s="1">
        <v>14218199</v>
      </c>
      <c r="U418" s="1">
        <v>9477</v>
      </c>
      <c r="W418" s="1">
        <v>14388361</v>
      </c>
      <c r="Z418" s="1">
        <v>953927</v>
      </c>
      <c r="AA418" s="1">
        <v>2300</v>
      </c>
      <c r="AB418" s="1">
        <v>136121</v>
      </c>
      <c r="AC418" s="1">
        <v>123216</v>
      </c>
      <c r="AD418" s="1">
        <v>1245767</v>
      </c>
      <c r="AE418" s="1">
        <v>567262</v>
      </c>
      <c r="AG418" s="1">
        <v>3070176</v>
      </c>
      <c r="AH418" s="1">
        <v>17639682</v>
      </c>
      <c r="AJ418" s="1">
        <v>82240</v>
      </c>
      <c r="AK418" s="1">
        <v>82240</v>
      </c>
      <c r="AM418" s="1">
        <v>277321</v>
      </c>
      <c r="AN418" s="1">
        <v>11193</v>
      </c>
      <c r="AO418" s="1">
        <v>288514</v>
      </c>
      <c r="AP418" s="1">
        <v>370754</v>
      </c>
      <c r="AQ418" s="1">
        <v>649486</v>
      </c>
      <c r="AS418" s="1">
        <v>69</v>
      </c>
      <c r="AT418" s="1">
        <v>649555</v>
      </c>
      <c r="AV418" s="1">
        <v>649555</v>
      </c>
      <c r="AW418" s="1">
        <v>649555</v>
      </c>
      <c r="AX418" s="1">
        <v>138247</v>
      </c>
      <c r="AY418" s="1">
        <v>-138247</v>
      </c>
      <c r="AZ418" s="1">
        <v>26673253</v>
      </c>
      <c r="BB418" s="1">
        <v>100000</v>
      </c>
      <c r="BE418" s="1">
        <v>32383</v>
      </c>
      <c r="BF418" s="1">
        <v>9200</v>
      </c>
      <c r="BQ418" s="1">
        <v>160685</v>
      </c>
      <c r="BX418" s="1">
        <v>953000</v>
      </c>
      <c r="BY418" s="1">
        <v>953000</v>
      </c>
      <c r="CG418" s="1">
        <v>42856</v>
      </c>
      <c r="CL418" s="1">
        <v>562918</v>
      </c>
      <c r="DC418" s="1">
        <v>69</v>
      </c>
    </row>
    <row r="419" spans="1:118">
      <c r="A419" s="1">
        <v>27</v>
      </c>
      <c r="B419" s="1">
        <v>1530</v>
      </c>
      <c r="C419" s="1" t="s">
        <v>1019</v>
      </c>
      <c r="D419" s="1" t="s">
        <v>846</v>
      </c>
      <c r="F419" s="1">
        <v>71553</v>
      </c>
      <c r="I419" s="1">
        <v>202147</v>
      </c>
      <c r="J419" s="1">
        <v>273700</v>
      </c>
      <c r="K419" s="1">
        <v>187530</v>
      </c>
      <c r="L419" s="1">
        <v>100000</v>
      </c>
      <c r="M419" s="1">
        <v>6919</v>
      </c>
      <c r="N419" s="1">
        <v>2</v>
      </c>
      <c r="O419" s="1">
        <v>294451</v>
      </c>
      <c r="P419" s="1">
        <v>12753</v>
      </c>
      <c r="Q419" s="1">
        <v>12813493</v>
      </c>
      <c r="T419" s="1">
        <v>26948</v>
      </c>
      <c r="U419" s="1">
        <v>21127</v>
      </c>
      <c r="W419" s="1">
        <v>13075841</v>
      </c>
      <c r="Y419" s="1">
        <v>62536</v>
      </c>
      <c r="Z419" s="1">
        <v>627845</v>
      </c>
      <c r="AA419" s="1">
        <v>3428</v>
      </c>
      <c r="AB419" s="1">
        <v>101044</v>
      </c>
      <c r="AC419" s="1">
        <v>47307</v>
      </c>
      <c r="AD419" s="1">
        <v>1003836</v>
      </c>
      <c r="AE419" s="1">
        <v>493614</v>
      </c>
      <c r="AG419" s="1">
        <v>2455693</v>
      </c>
      <c r="AH419" s="1">
        <v>15544287</v>
      </c>
      <c r="AJ419" s="1">
        <v>79781</v>
      </c>
      <c r="AK419" s="1">
        <v>79781</v>
      </c>
      <c r="AM419" s="1">
        <v>240389</v>
      </c>
      <c r="AN419" s="1">
        <v>38531</v>
      </c>
      <c r="AO419" s="1">
        <v>278920</v>
      </c>
      <c r="AP419" s="1">
        <v>367953</v>
      </c>
      <c r="AQ419" s="1">
        <v>1053365</v>
      </c>
      <c r="AT419" s="1">
        <v>1053365</v>
      </c>
      <c r="AV419" s="1">
        <v>1053365</v>
      </c>
      <c r="AW419" s="1">
        <v>1053365</v>
      </c>
      <c r="AX419" s="1">
        <v>12753</v>
      </c>
      <c r="AY419" s="1">
        <v>-12753</v>
      </c>
      <c r="AZ419" s="1">
        <v>17533756</v>
      </c>
      <c r="BE419" s="1">
        <v>22233</v>
      </c>
      <c r="BF419" s="1">
        <v>93850</v>
      </c>
      <c r="BQ419" s="1">
        <v>166513</v>
      </c>
      <c r="BU419" s="1">
        <v>9252</v>
      </c>
      <c r="BV419" s="1">
        <v>9252</v>
      </c>
      <c r="CZ419" s="1">
        <v>47760</v>
      </c>
    </row>
    <row r="420" spans="1:118">
      <c r="A420" s="1">
        <v>27</v>
      </c>
      <c r="B420" s="1">
        <v>1990</v>
      </c>
      <c r="C420" s="1" t="s">
        <v>1019</v>
      </c>
      <c r="D420" s="1" t="s">
        <v>847</v>
      </c>
      <c r="F420" s="1">
        <v>490039</v>
      </c>
      <c r="G420" s="1">
        <v>3041757</v>
      </c>
      <c r="H420" s="1">
        <v>1596812</v>
      </c>
      <c r="I420" s="1">
        <v>777381</v>
      </c>
      <c r="J420" s="1">
        <v>7659537</v>
      </c>
      <c r="K420" s="1">
        <v>519696</v>
      </c>
      <c r="L420" s="1">
        <v>5799</v>
      </c>
      <c r="M420" s="1">
        <v>41216602</v>
      </c>
      <c r="N420" s="1">
        <v>3063</v>
      </c>
      <c r="O420" s="1">
        <v>41745160</v>
      </c>
      <c r="P420" s="1">
        <v>1244320</v>
      </c>
      <c r="Q420" s="1">
        <v>21772560</v>
      </c>
      <c r="U420" s="1">
        <v>10566</v>
      </c>
      <c r="V420" s="1">
        <v>324338</v>
      </c>
      <c r="W420" s="1">
        <v>22107464</v>
      </c>
      <c r="Y420" s="1">
        <v>425716</v>
      </c>
      <c r="Z420" s="1">
        <v>713035</v>
      </c>
      <c r="AA420" s="1">
        <v>6990</v>
      </c>
      <c r="AB420" s="1">
        <v>47483</v>
      </c>
      <c r="AC420" s="1">
        <v>77819</v>
      </c>
      <c r="AD420" s="1">
        <v>1815947</v>
      </c>
      <c r="AE420" s="1">
        <v>880312</v>
      </c>
      <c r="AG420" s="1">
        <v>4115876</v>
      </c>
      <c r="AH420" s="1">
        <v>27467660</v>
      </c>
      <c r="AM420" s="1">
        <v>247963</v>
      </c>
      <c r="AN420" s="1">
        <v>18111</v>
      </c>
      <c r="AO420" s="1">
        <v>266074</v>
      </c>
      <c r="AP420" s="1">
        <v>266074</v>
      </c>
      <c r="AQ420" s="1">
        <v>2220783</v>
      </c>
      <c r="AT420" s="1">
        <v>2220783</v>
      </c>
      <c r="AV420" s="1">
        <v>2220783</v>
      </c>
      <c r="AW420" s="1">
        <v>2220783</v>
      </c>
      <c r="AX420" s="1">
        <v>1244320</v>
      </c>
      <c r="AY420" s="1">
        <v>-1244320</v>
      </c>
      <c r="AZ420" s="1">
        <v>79359214</v>
      </c>
      <c r="BE420" s="1">
        <v>36707</v>
      </c>
      <c r="BF420" s="1">
        <v>111867</v>
      </c>
      <c r="CL420" s="1">
        <v>1753548</v>
      </c>
    </row>
    <row r="421" spans="1:118">
      <c r="A421" s="1">
        <v>27</v>
      </c>
      <c r="B421" s="1">
        <v>2000</v>
      </c>
      <c r="C421" s="1" t="s">
        <v>1019</v>
      </c>
      <c r="D421" s="1" t="s">
        <v>848</v>
      </c>
      <c r="F421" s="1">
        <v>137587</v>
      </c>
      <c r="G421" s="1">
        <v>81765</v>
      </c>
      <c r="H421" s="1">
        <v>638982</v>
      </c>
      <c r="I421" s="1">
        <v>619778</v>
      </c>
      <c r="J421" s="1">
        <v>1478112</v>
      </c>
      <c r="K421" s="1">
        <v>399017</v>
      </c>
      <c r="L421" s="1">
        <v>1111018</v>
      </c>
      <c r="M421" s="1">
        <v>570296</v>
      </c>
      <c r="N421" s="1">
        <v>11535</v>
      </c>
      <c r="O421" s="1">
        <v>2091866</v>
      </c>
      <c r="P421" s="1">
        <v>82519</v>
      </c>
      <c r="Q421" s="1">
        <v>18146999</v>
      </c>
      <c r="R421" s="1">
        <v>45847</v>
      </c>
      <c r="S421" s="1">
        <v>45847</v>
      </c>
      <c r="U421" s="1">
        <v>30967</v>
      </c>
      <c r="V421" s="1">
        <v>314608</v>
      </c>
      <c r="W421" s="1">
        <v>18538421</v>
      </c>
      <c r="Y421" s="1">
        <v>194304</v>
      </c>
      <c r="Z421" s="1">
        <v>807535</v>
      </c>
      <c r="AA421" s="1">
        <v>40826</v>
      </c>
      <c r="AB421" s="1">
        <v>27076</v>
      </c>
      <c r="AC421" s="1">
        <v>154157</v>
      </c>
      <c r="AD421" s="1">
        <v>1751183</v>
      </c>
      <c r="AE421" s="1">
        <v>742121</v>
      </c>
      <c r="AG421" s="1">
        <v>3843158</v>
      </c>
      <c r="AH421" s="1">
        <v>22464098</v>
      </c>
      <c r="AJ421" s="1">
        <v>42926</v>
      </c>
      <c r="AK421" s="1">
        <v>42926</v>
      </c>
      <c r="AM421" s="1">
        <v>277644</v>
      </c>
      <c r="AN421" s="1">
        <v>33930</v>
      </c>
      <c r="AO421" s="1">
        <v>311574</v>
      </c>
      <c r="AP421" s="1">
        <v>354500</v>
      </c>
      <c r="AQ421" s="1">
        <v>788740</v>
      </c>
      <c r="AT421" s="1">
        <v>788740</v>
      </c>
      <c r="AV421" s="1">
        <v>798341</v>
      </c>
      <c r="AW421" s="1">
        <v>798341</v>
      </c>
      <c r="AX421" s="1">
        <v>9601</v>
      </c>
      <c r="AY421" s="1">
        <v>86880</v>
      </c>
      <c r="AZ421" s="1">
        <v>27283398</v>
      </c>
      <c r="BE421" s="1">
        <v>35905</v>
      </c>
      <c r="BF421" s="1">
        <v>90051</v>
      </c>
      <c r="BL421" s="1">
        <v>9601</v>
      </c>
      <c r="BY421" s="1">
        <v>96481</v>
      </c>
    </row>
    <row r="422" spans="1:118">
      <c r="A422" s="1">
        <v>27</v>
      </c>
      <c r="B422" s="1">
        <v>2010</v>
      </c>
      <c r="C422" s="1" t="s">
        <v>1019</v>
      </c>
      <c r="D422" s="1" t="s">
        <v>849</v>
      </c>
      <c r="F422" s="1">
        <v>68000</v>
      </c>
      <c r="G422" s="1">
        <v>48251</v>
      </c>
      <c r="H422" s="1">
        <v>56765</v>
      </c>
      <c r="I422" s="1">
        <v>305788</v>
      </c>
      <c r="J422" s="1">
        <v>478804</v>
      </c>
      <c r="K422" s="1">
        <v>158896</v>
      </c>
      <c r="L422" s="1">
        <v>11</v>
      </c>
      <c r="M422" s="1">
        <v>77133</v>
      </c>
      <c r="N422" s="1">
        <v>34284</v>
      </c>
      <c r="O422" s="1">
        <v>270324</v>
      </c>
      <c r="P422" s="1">
        <v>176</v>
      </c>
      <c r="Q422" s="1">
        <v>7433536</v>
      </c>
      <c r="S422" s="1">
        <v>21450</v>
      </c>
      <c r="U422" s="1">
        <v>13095</v>
      </c>
      <c r="W422" s="1">
        <v>7671734</v>
      </c>
      <c r="Y422" s="1">
        <v>234744</v>
      </c>
      <c r="Z422" s="1">
        <v>187893</v>
      </c>
      <c r="AA422" s="1">
        <v>2354</v>
      </c>
      <c r="AB422" s="1">
        <v>60736</v>
      </c>
      <c r="AC422" s="1">
        <v>21258</v>
      </c>
      <c r="AD422" s="1">
        <v>337347</v>
      </c>
      <c r="AE422" s="1">
        <v>174769</v>
      </c>
      <c r="AG422" s="1">
        <v>1055816</v>
      </c>
      <c r="AH422" s="1">
        <v>8727726</v>
      </c>
      <c r="AJ422" s="1">
        <v>1062</v>
      </c>
      <c r="AK422" s="1">
        <v>1062</v>
      </c>
      <c r="AM422" s="1">
        <v>80181</v>
      </c>
      <c r="AN422" s="1">
        <v>28257</v>
      </c>
      <c r="AO422" s="1">
        <v>108438</v>
      </c>
      <c r="AP422" s="1">
        <v>144823</v>
      </c>
      <c r="AQ422" s="1">
        <v>465589</v>
      </c>
      <c r="AT422" s="1">
        <v>465589</v>
      </c>
      <c r="AV422" s="1">
        <v>509742</v>
      </c>
      <c r="AW422" s="1">
        <v>509742</v>
      </c>
      <c r="AY422" s="1">
        <v>2643</v>
      </c>
      <c r="AZ422" s="1">
        <v>10134062</v>
      </c>
      <c r="BC422" s="1">
        <v>21450</v>
      </c>
      <c r="BE422" s="1">
        <v>13387</v>
      </c>
      <c r="BF422" s="1">
        <v>23328</v>
      </c>
      <c r="BM422" s="1">
        <v>44153</v>
      </c>
      <c r="BQ422" s="1">
        <v>191665</v>
      </c>
      <c r="BU422" s="1">
        <v>35323</v>
      </c>
      <c r="BV422" s="1">
        <v>35323</v>
      </c>
      <c r="BY422" s="1">
        <v>2643</v>
      </c>
      <c r="CZ422" s="1">
        <v>11988</v>
      </c>
    </row>
    <row r="423" spans="1:118">
      <c r="A423" s="1">
        <v>27</v>
      </c>
      <c r="B423" s="1">
        <v>2380</v>
      </c>
      <c r="C423" s="1" t="s">
        <v>1019</v>
      </c>
      <c r="D423" s="1" t="s">
        <v>850</v>
      </c>
      <c r="F423" s="1">
        <v>348445</v>
      </c>
      <c r="G423" s="1">
        <v>436063</v>
      </c>
      <c r="H423" s="1">
        <v>214304</v>
      </c>
      <c r="I423" s="1">
        <v>110809</v>
      </c>
      <c r="J423" s="1">
        <v>1218385</v>
      </c>
      <c r="K423" s="1">
        <v>1078768</v>
      </c>
      <c r="L423" s="1">
        <v>502049</v>
      </c>
      <c r="M423" s="1">
        <v>775086</v>
      </c>
      <c r="N423" s="1">
        <v>66156</v>
      </c>
      <c r="O423" s="1">
        <v>2422059</v>
      </c>
      <c r="Q423" s="1">
        <v>31568517</v>
      </c>
      <c r="S423" s="1">
        <v>62847</v>
      </c>
      <c r="U423" s="1">
        <v>2992</v>
      </c>
      <c r="V423" s="1">
        <v>179910</v>
      </c>
      <c r="W423" s="1">
        <v>32055549</v>
      </c>
      <c r="X423" s="1">
        <v>9626956</v>
      </c>
      <c r="Y423" s="1">
        <v>1331639</v>
      </c>
      <c r="Z423" s="1">
        <v>1791165</v>
      </c>
      <c r="AA423" s="1">
        <v>24402</v>
      </c>
      <c r="AB423" s="1">
        <v>182724</v>
      </c>
      <c r="AC423" s="1">
        <v>398174</v>
      </c>
      <c r="AD423" s="1">
        <v>3442325</v>
      </c>
      <c r="AE423" s="1">
        <v>1533986</v>
      </c>
      <c r="AG423" s="1">
        <v>18746918</v>
      </c>
      <c r="AH423" s="1">
        <v>50802467</v>
      </c>
      <c r="AJ423" s="1">
        <v>4977</v>
      </c>
      <c r="AK423" s="1">
        <v>4977</v>
      </c>
      <c r="AM423" s="1">
        <v>702197</v>
      </c>
      <c r="AN423" s="1">
        <v>77148</v>
      </c>
      <c r="AO423" s="1">
        <v>779345</v>
      </c>
      <c r="AP423" s="1">
        <v>784322</v>
      </c>
      <c r="AQ423" s="1">
        <v>2084677</v>
      </c>
      <c r="AS423" s="1">
        <v>24</v>
      </c>
      <c r="AT423" s="1">
        <v>2084701</v>
      </c>
      <c r="AU423" s="1">
        <v>134850</v>
      </c>
      <c r="AV423" s="1">
        <v>2247215</v>
      </c>
      <c r="AW423" s="1">
        <v>2247215</v>
      </c>
      <c r="AX423" s="1">
        <v>27664</v>
      </c>
      <c r="AY423" s="1">
        <v>85960</v>
      </c>
      <c r="AZ423" s="1">
        <v>57773906</v>
      </c>
      <c r="BB423" s="1">
        <v>108764</v>
      </c>
      <c r="BC423" s="1">
        <v>62847</v>
      </c>
      <c r="BE423" s="1">
        <v>395170</v>
      </c>
      <c r="BF423" s="1">
        <v>20377</v>
      </c>
      <c r="BL423" s="1">
        <v>27664</v>
      </c>
      <c r="BQ423" s="1">
        <v>241283</v>
      </c>
      <c r="BY423" s="1">
        <v>299458</v>
      </c>
      <c r="DC423" s="1">
        <v>24</v>
      </c>
      <c r="DH423" s="1">
        <v>185834</v>
      </c>
    </row>
    <row r="424" spans="1:118">
      <c r="A424" s="1">
        <v>27</v>
      </c>
      <c r="B424" s="1">
        <v>2460</v>
      </c>
      <c r="C424" s="1" t="s">
        <v>1019</v>
      </c>
      <c r="D424" s="1" t="s">
        <v>851</v>
      </c>
      <c r="F424" s="1">
        <v>236125</v>
      </c>
      <c r="H424" s="1">
        <v>147523</v>
      </c>
      <c r="I424" s="1">
        <v>100</v>
      </c>
      <c r="J424" s="1">
        <v>383748</v>
      </c>
      <c r="K424" s="1">
        <v>592391</v>
      </c>
      <c r="L424" s="1">
        <v>229477</v>
      </c>
      <c r="M424" s="1">
        <v>852723</v>
      </c>
      <c r="N424" s="1">
        <v>41711</v>
      </c>
      <c r="O424" s="1">
        <v>1716302</v>
      </c>
      <c r="P424" s="1">
        <v>7433</v>
      </c>
      <c r="Q424" s="1">
        <v>26031655</v>
      </c>
      <c r="S424" s="1">
        <v>100681</v>
      </c>
      <c r="U424" s="1">
        <v>209555</v>
      </c>
      <c r="W424" s="1">
        <v>26522188</v>
      </c>
      <c r="Y424" s="1">
        <v>634936</v>
      </c>
      <c r="Z424" s="1">
        <v>999434</v>
      </c>
      <c r="AB424" s="1">
        <v>105783</v>
      </c>
      <c r="AC424" s="1">
        <v>144634</v>
      </c>
      <c r="AD424" s="1">
        <v>2157800</v>
      </c>
      <c r="AE424" s="1">
        <v>1171500</v>
      </c>
      <c r="AG424" s="1">
        <v>5289605</v>
      </c>
      <c r="AH424" s="1">
        <v>31819226</v>
      </c>
      <c r="AJ424" s="1">
        <v>88278</v>
      </c>
      <c r="AK424" s="1">
        <v>88278</v>
      </c>
      <c r="AM424" s="1">
        <v>422488</v>
      </c>
      <c r="AN424" s="1">
        <v>50669</v>
      </c>
      <c r="AO424" s="1">
        <v>473157</v>
      </c>
      <c r="AP424" s="1">
        <v>564702</v>
      </c>
      <c r="AQ424" s="1">
        <v>2211617</v>
      </c>
      <c r="AT424" s="1">
        <v>2211617</v>
      </c>
      <c r="AV424" s="1">
        <v>2211617</v>
      </c>
      <c r="AW424" s="1">
        <v>2211617</v>
      </c>
      <c r="AX424" s="1">
        <v>1045</v>
      </c>
      <c r="AY424" s="1">
        <v>-1045</v>
      </c>
      <c r="AZ424" s="1">
        <v>49915716</v>
      </c>
      <c r="BC424" s="1">
        <v>100681</v>
      </c>
      <c r="BE424" s="1">
        <v>53370</v>
      </c>
      <c r="BF424" s="1">
        <v>22148</v>
      </c>
      <c r="BQ424" s="1">
        <v>180297</v>
      </c>
      <c r="BU424" s="1">
        <v>3267</v>
      </c>
      <c r="BV424" s="1">
        <v>3267</v>
      </c>
      <c r="BX424" s="1">
        <v>12654000</v>
      </c>
      <c r="BY424" s="1">
        <v>13220121</v>
      </c>
      <c r="CI424" s="1">
        <v>566121</v>
      </c>
    </row>
    <row r="425" spans="1:118">
      <c r="A425" s="1">
        <v>27</v>
      </c>
      <c r="B425" s="1">
        <v>2650</v>
      </c>
      <c r="C425" s="1" t="s">
        <v>1019</v>
      </c>
      <c r="D425" s="1" t="s">
        <v>852</v>
      </c>
      <c r="G425" s="1">
        <v>378410</v>
      </c>
      <c r="H425" s="1">
        <v>811818</v>
      </c>
      <c r="I425" s="1">
        <v>93802</v>
      </c>
      <c r="J425" s="1">
        <v>1284030</v>
      </c>
      <c r="K425" s="1">
        <v>354859</v>
      </c>
      <c r="M425" s="1">
        <v>81</v>
      </c>
      <c r="O425" s="1">
        <v>354940</v>
      </c>
      <c r="P425" s="1">
        <v>81</v>
      </c>
      <c r="Q425" s="1">
        <v>14142445</v>
      </c>
      <c r="S425" s="1">
        <v>74092</v>
      </c>
      <c r="U425" s="1">
        <v>6833</v>
      </c>
      <c r="V425" s="1">
        <v>135843</v>
      </c>
      <c r="W425" s="1">
        <v>14556177</v>
      </c>
      <c r="Y425" s="1">
        <v>534008</v>
      </c>
      <c r="Z425" s="1">
        <v>1049325</v>
      </c>
      <c r="AA425" s="1">
        <v>43396</v>
      </c>
      <c r="AB425" s="1">
        <v>28601</v>
      </c>
      <c r="AC425" s="1">
        <v>142746</v>
      </c>
      <c r="AD425" s="1">
        <v>928212</v>
      </c>
      <c r="AE425" s="1">
        <v>430409</v>
      </c>
      <c r="AG425" s="1">
        <v>3325489</v>
      </c>
      <c r="AH425" s="1">
        <v>17881747</v>
      </c>
      <c r="AI425" s="1">
        <v>28890</v>
      </c>
      <c r="AJ425" s="1">
        <v>10916</v>
      </c>
      <c r="AK425" s="1">
        <v>39806</v>
      </c>
      <c r="AL425" s="1">
        <v>83874</v>
      </c>
      <c r="AM425" s="1">
        <v>288427</v>
      </c>
      <c r="AN425" s="1">
        <v>51179</v>
      </c>
      <c r="AO425" s="1">
        <v>423480</v>
      </c>
      <c r="AP425" s="1">
        <v>463286</v>
      </c>
      <c r="AQ425" s="1">
        <v>649038</v>
      </c>
      <c r="AT425" s="1">
        <v>649038</v>
      </c>
      <c r="AV425" s="1">
        <v>649038</v>
      </c>
      <c r="AW425" s="1">
        <v>649038</v>
      </c>
      <c r="AY425" s="1">
        <v>-81</v>
      </c>
      <c r="AZ425" s="1">
        <v>20632960</v>
      </c>
      <c r="BC425" s="1">
        <v>74092</v>
      </c>
      <c r="BE425" s="1">
        <v>56321</v>
      </c>
      <c r="BF425" s="1">
        <v>33464</v>
      </c>
      <c r="BR425" s="1">
        <v>79007</v>
      </c>
      <c r="BY425" s="1">
        <v>-81</v>
      </c>
      <c r="CE425" s="1">
        <v>196964</v>
      </c>
    </row>
    <row r="426" spans="1:118">
      <c r="A426" s="1">
        <v>27</v>
      </c>
      <c r="B426" s="1">
        <v>2870</v>
      </c>
      <c r="C426" s="1" t="s">
        <v>1019</v>
      </c>
      <c r="D426" s="1" t="s">
        <v>853</v>
      </c>
      <c r="F426" s="1">
        <v>7929</v>
      </c>
      <c r="G426" s="1">
        <v>877400</v>
      </c>
      <c r="H426" s="1">
        <v>464737</v>
      </c>
      <c r="I426" s="1">
        <v>306626</v>
      </c>
      <c r="J426" s="1">
        <v>1656692</v>
      </c>
      <c r="K426" s="1">
        <v>658554</v>
      </c>
      <c r="M426" s="1">
        <v>45133726</v>
      </c>
      <c r="N426" s="1">
        <v>37663</v>
      </c>
      <c r="O426" s="1">
        <v>45829943</v>
      </c>
      <c r="P426" s="1">
        <v>1455392</v>
      </c>
      <c r="Q426" s="1">
        <v>27114621</v>
      </c>
      <c r="R426" s="1">
        <v>1300000</v>
      </c>
      <c r="S426" s="1">
        <v>1347200</v>
      </c>
      <c r="U426" s="1">
        <v>28304</v>
      </c>
      <c r="V426" s="1">
        <v>363945</v>
      </c>
      <c r="W426" s="1">
        <v>28854070</v>
      </c>
      <c r="Y426" s="1">
        <v>171015</v>
      </c>
      <c r="Z426" s="1">
        <v>1026152</v>
      </c>
      <c r="AA426" s="1">
        <v>60916</v>
      </c>
      <c r="AB426" s="1">
        <v>57607</v>
      </c>
      <c r="AC426" s="1">
        <v>131624</v>
      </c>
      <c r="AD426" s="1">
        <v>2539421</v>
      </c>
      <c r="AE426" s="1">
        <v>1268742</v>
      </c>
      <c r="AG426" s="1">
        <v>5313061</v>
      </c>
      <c r="AH426" s="1">
        <v>35622523</v>
      </c>
      <c r="AJ426" s="1">
        <v>106398</v>
      </c>
      <c r="AK426" s="1">
        <v>106398</v>
      </c>
      <c r="AL426" s="1">
        <v>90078</v>
      </c>
      <c r="AM426" s="1">
        <v>488065</v>
      </c>
      <c r="AN426" s="1">
        <v>63326</v>
      </c>
      <c r="AO426" s="1">
        <v>641469</v>
      </c>
      <c r="AP426" s="1">
        <v>750575</v>
      </c>
      <c r="AQ426" s="1">
        <v>2503861</v>
      </c>
      <c r="AT426" s="1">
        <v>2503861</v>
      </c>
      <c r="AV426" s="1">
        <v>3180812</v>
      </c>
      <c r="AW426" s="1">
        <v>3180812</v>
      </c>
      <c r="AX426" s="1">
        <v>2011064</v>
      </c>
      <c r="AY426" s="1">
        <v>-1882343</v>
      </c>
      <c r="AZ426" s="1">
        <v>87290545</v>
      </c>
      <c r="BC426" s="1">
        <v>47200</v>
      </c>
      <c r="BE426" s="1">
        <v>41691</v>
      </c>
      <c r="BF426" s="1">
        <v>15893</v>
      </c>
      <c r="BL426" s="1">
        <v>676951</v>
      </c>
      <c r="BU426" s="1">
        <v>2708</v>
      </c>
      <c r="BV426" s="1">
        <v>2708</v>
      </c>
      <c r="BY426" s="1">
        <v>250000</v>
      </c>
      <c r="CC426" s="1">
        <v>59612</v>
      </c>
      <c r="CI426" s="1">
        <v>61667</v>
      </c>
    </row>
    <row r="427" spans="1:118">
      <c r="A427" s="1">
        <v>27</v>
      </c>
      <c r="B427" s="1">
        <v>3090</v>
      </c>
      <c r="C427" s="1" t="s">
        <v>1019</v>
      </c>
      <c r="D427" s="1" t="s">
        <v>854</v>
      </c>
      <c r="F427" s="1">
        <v>269856</v>
      </c>
      <c r="G427" s="1">
        <v>96266</v>
      </c>
      <c r="H427" s="1">
        <v>47816</v>
      </c>
      <c r="I427" s="1">
        <v>257913</v>
      </c>
      <c r="J427" s="1">
        <v>671851</v>
      </c>
      <c r="K427" s="1">
        <v>149223</v>
      </c>
      <c r="L427" s="1">
        <v>52184</v>
      </c>
      <c r="M427" s="1">
        <v>122494</v>
      </c>
      <c r="N427" s="1">
        <v>22056</v>
      </c>
      <c r="O427" s="1">
        <v>345957</v>
      </c>
      <c r="P427" s="1">
        <v>5591</v>
      </c>
      <c r="Q427" s="1">
        <v>7528966</v>
      </c>
      <c r="S427" s="1">
        <v>3971</v>
      </c>
      <c r="U427" s="1">
        <v>13419</v>
      </c>
      <c r="V427" s="1">
        <v>58526</v>
      </c>
      <c r="W427" s="1">
        <v>7672529</v>
      </c>
      <c r="Y427" s="1">
        <v>63067</v>
      </c>
      <c r="Z427" s="1">
        <v>187474</v>
      </c>
      <c r="AB427" s="1">
        <v>3650</v>
      </c>
      <c r="AC427" s="1">
        <v>41134</v>
      </c>
      <c r="AD427" s="1">
        <v>645053</v>
      </c>
      <c r="AE427" s="1">
        <v>301363</v>
      </c>
      <c r="AF427" s="1">
        <v>2101</v>
      </c>
      <c r="AG427" s="1">
        <v>1286635</v>
      </c>
      <c r="AH427" s="1">
        <v>8964755</v>
      </c>
      <c r="AJ427" s="1">
        <v>83846</v>
      </c>
      <c r="AK427" s="1">
        <v>83846</v>
      </c>
      <c r="AM427" s="1">
        <v>142073</v>
      </c>
      <c r="AN427" s="1">
        <v>26267</v>
      </c>
      <c r="AO427" s="1">
        <v>168340</v>
      </c>
      <c r="AP427" s="1">
        <v>252186</v>
      </c>
      <c r="AQ427" s="1">
        <v>870738</v>
      </c>
      <c r="AT427" s="1">
        <v>870738</v>
      </c>
      <c r="AV427" s="1">
        <v>870738</v>
      </c>
      <c r="AW427" s="1">
        <v>870738</v>
      </c>
      <c r="AX427" s="1">
        <v>5591</v>
      </c>
      <c r="AY427" s="1">
        <v>66409</v>
      </c>
      <c r="AZ427" s="1">
        <v>11177487</v>
      </c>
      <c r="BC427" s="1">
        <v>3971</v>
      </c>
      <c r="BE427" s="1">
        <v>8812</v>
      </c>
      <c r="BF427" s="1">
        <v>31909</v>
      </c>
      <c r="BQ427" s="1">
        <v>67647</v>
      </c>
      <c r="BR427" s="1">
        <v>2072</v>
      </c>
      <c r="BY427" s="1">
        <v>72000</v>
      </c>
    </row>
    <row r="428" spans="1:118">
      <c r="A428" s="1">
        <v>27</v>
      </c>
      <c r="B428" s="1">
        <v>3100</v>
      </c>
      <c r="C428" s="1" t="s">
        <v>1019</v>
      </c>
      <c r="D428" s="1" t="s">
        <v>855</v>
      </c>
      <c r="F428" s="1">
        <v>413339</v>
      </c>
      <c r="G428" s="1">
        <v>98637</v>
      </c>
      <c r="H428" s="1">
        <v>35474</v>
      </c>
      <c r="I428" s="1">
        <v>312651</v>
      </c>
      <c r="J428" s="1">
        <v>1141374</v>
      </c>
      <c r="K428" s="1">
        <v>342478</v>
      </c>
      <c r="L428" s="1">
        <v>120000</v>
      </c>
      <c r="M428" s="1">
        <v>19999</v>
      </c>
      <c r="N428" s="1">
        <v>56112</v>
      </c>
      <c r="O428" s="1">
        <v>538589</v>
      </c>
      <c r="P428" s="1">
        <v>21096</v>
      </c>
      <c r="Q428" s="1">
        <v>11887760</v>
      </c>
      <c r="R428" s="1">
        <v>103875</v>
      </c>
      <c r="S428" s="1">
        <v>103875</v>
      </c>
      <c r="T428" s="1">
        <v>870024</v>
      </c>
      <c r="U428" s="1">
        <v>13468</v>
      </c>
      <c r="V428" s="1">
        <v>99802</v>
      </c>
      <c r="W428" s="1">
        <v>12974929</v>
      </c>
      <c r="Y428" s="1">
        <v>308666</v>
      </c>
      <c r="Z428" s="1">
        <v>336559</v>
      </c>
      <c r="AA428" s="1">
        <v>3504</v>
      </c>
      <c r="AB428" s="1">
        <v>56548</v>
      </c>
      <c r="AC428" s="1">
        <v>52899</v>
      </c>
      <c r="AD428" s="1">
        <v>701380</v>
      </c>
      <c r="AE428" s="1">
        <v>449485</v>
      </c>
      <c r="AG428" s="1">
        <v>1955329</v>
      </c>
      <c r="AH428" s="1">
        <v>15451750</v>
      </c>
      <c r="AJ428" s="1">
        <v>4000</v>
      </c>
      <c r="AK428" s="1">
        <v>4000</v>
      </c>
      <c r="AM428" s="1">
        <v>164196</v>
      </c>
      <c r="AN428" s="1">
        <v>20625</v>
      </c>
      <c r="AO428" s="1">
        <v>184821</v>
      </c>
      <c r="AP428" s="1">
        <v>188821</v>
      </c>
      <c r="AQ428" s="1">
        <v>1159099</v>
      </c>
      <c r="AT428" s="1">
        <v>1159099</v>
      </c>
      <c r="AV428" s="1">
        <v>1159099</v>
      </c>
      <c r="AW428" s="1">
        <v>1159099</v>
      </c>
      <c r="AX428" s="1">
        <v>21096</v>
      </c>
      <c r="AY428" s="1">
        <v>-21096</v>
      </c>
      <c r="AZ428" s="1">
        <v>18479633</v>
      </c>
      <c r="BE428" s="1">
        <v>21442</v>
      </c>
      <c r="BF428" s="1">
        <v>11748</v>
      </c>
      <c r="BR428" s="1">
        <v>13098</v>
      </c>
      <c r="CG428" s="1">
        <v>468766</v>
      </c>
      <c r="CL428" s="1">
        <v>281273</v>
      </c>
      <c r="CX428" s="1">
        <v>31630</v>
      </c>
    </row>
    <row r="429" spans="1:118">
      <c r="A429" s="1">
        <v>27</v>
      </c>
      <c r="B429" s="1">
        <v>3240</v>
      </c>
      <c r="C429" s="1" t="s">
        <v>1019</v>
      </c>
      <c r="D429" s="1" t="s">
        <v>856</v>
      </c>
      <c r="F429" s="1">
        <v>129054</v>
      </c>
      <c r="G429" s="1">
        <v>225906</v>
      </c>
      <c r="H429" s="1">
        <v>67773</v>
      </c>
      <c r="I429" s="1">
        <v>1</v>
      </c>
      <c r="J429" s="1">
        <v>422734</v>
      </c>
      <c r="K429" s="1">
        <v>199904</v>
      </c>
      <c r="L429" s="1">
        <v>52227</v>
      </c>
      <c r="N429" s="1">
        <v>30909</v>
      </c>
      <c r="O429" s="1">
        <v>283040</v>
      </c>
      <c r="Q429" s="1">
        <v>5728000</v>
      </c>
      <c r="R429" s="1">
        <v>24127</v>
      </c>
      <c r="S429" s="1">
        <v>24127</v>
      </c>
      <c r="V429" s="1">
        <v>97013</v>
      </c>
      <c r="W429" s="1">
        <v>5849140</v>
      </c>
      <c r="X429" s="1">
        <v>357461</v>
      </c>
      <c r="Y429" s="1">
        <v>105533</v>
      </c>
      <c r="Z429" s="1">
        <v>227174</v>
      </c>
      <c r="AA429" s="1">
        <v>11644</v>
      </c>
      <c r="AB429" s="1">
        <v>36815</v>
      </c>
      <c r="AC429" s="1">
        <v>70001</v>
      </c>
      <c r="AD429" s="1">
        <v>315628</v>
      </c>
      <c r="AE429" s="1">
        <v>130580</v>
      </c>
      <c r="AG429" s="1">
        <v>1877624</v>
      </c>
      <c r="AH429" s="1">
        <v>7726764</v>
      </c>
      <c r="AQ429" s="1">
        <v>171716</v>
      </c>
      <c r="AT429" s="1">
        <v>171716</v>
      </c>
      <c r="AV429" s="1">
        <v>171716</v>
      </c>
      <c r="AW429" s="1">
        <v>171716</v>
      </c>
      <c r="AZ429" s="1">
        <v>8604254</v>
      </c>
      <c r="BE429" s="1">
        <v>40490</v>
      </c>
      <c r="BF429" s="1">
        <v>44021</v>
      </c>
      <c r="BR429" s="1">
        <v>110975</v>
      </c>
      <c r="CH429" s="1">
        <v>427302</v>
      </c>
    </row>
    <row r="430" spans="1:118">
      <c r="A430" s="1">
        <v>27</v>
      </c>
      <c r="B430" s="1">
        <v>3340</v>
      </c>
      <c r="C430" s="1" t="s">
        <v>1019</v>
      </c>
      <c r="D430" s="1" t="s">
        <v>857</v>
      </c>
      <c r="F430" s="1">
        <v>100196</v>
      </c>
      <c r="G430" s="1">
        <v>969925</v>
      </c>
      <c r="H430" s="1">
        <v>251702</v>
      </c>
      <c r="I430" s="1">
        <v>191901</v>
      </c>
      <c r="J430" s="1">
        <v>1974091</v>
      </c>
      <c r="K430" s="1">
        <v>1215059</v>
      </c>
      <c r="L430" s="1">
        <v>642566</v>
      </c>
      <c r="M430" s="1">
        <v>1178496</v>
      </c>
      <c r="N430" s="1">
        <v>187956</v>
      </c>
      <c r="O430" s="1">
        <v>3224077</v>
      </c>
      <c r="P430" s="1">
        <v>99397</v>
      </c>
      <c r="Q430" s="1">
        <v>52779206</v>
      </c>
      <c r="R430" s="1">
        <v>40450</v>
      </c>
      <c r="S430" s="1">
        <v>40450</v>
      </c>
      <c r="U430" s="1">
        <v>7332</v>
      </c>
      <c r="V430" s="1">
        <v>638887</v>
      </c>
      <c r="W430" s="1">
        <v>53978591</v>
      </c>
      <c r="Y430" s="1">
        <v>730674</v>
      </c>
      <c r="Z430" s="1">
        <v>1316817</v>
      </c>
      <c r="AA430" s="1">
        <v>42174</v>
      </c>
      <c r="AB430" s="1">
        <v>172677</v>
      </c>
      <c r="AC430" s="1">
        <v>246606</v>
      </c>
      <c r="AD430" s="1">
        <v>3277222</v>
      </c>
      <c r="AE430" s="1">
        <v>2064356</v>
      </c>
      <c r="AG430" s="1">
        <v>8263594</v>
      </c>
      <c r="AH430" s="1">
        <v>62341582</v>
      </c>
      <c r="AJ430" s="1">
        <v>132796</v>
      </c>
      <c r="AK430" s="1">
        <v>132796</v>
      </c>
      <c r="AL430" s="1">
        <v>279071</v>
      </c>
      <c r="AM430" s="1">
        <v>641336</v>
      </c>
      <c r="AN430" s="1">
        <v>231611</v>
      </c>
      <c r="AO430" s="1">
        <v>1152018</v>
      </c>
      <c r="AP430" s="1">
        <v>1302107</v>
      </c>
      <c r="AQ430" s="1">
        <v>2119454</v>
      </c>
      <c r="AT430" s="1">
        <v>2119454</v>
      </c>
      <c r="AU430" s="1">
        <v>265843</v>
      </c>
      <c r="AV430" s="1">
        <v>2385297</v>
      </c>
      <c r="AW430" s="1">
        <v>2385297</v>
      </c>
      <c r="AX430" s="1">
        <v>65616</v>
      </c>
      <c r="AY430" s="1">
        <v>-99397</v>
      </c>
      <c r="AZ430" s="1">
        <v>71945870</v>
      </c>
      <c r="BE430" s="1">
        <v>73285</v>
      </c>
      <c r="BF430" s="1">
        <v>233216</v>
      </c>
      <c r="BR430" s="1">
        <v>106567</v>
      </c>
      <c r="BU430" s="1">
        <v>17293</v>
      </c>
      <c r="BV430" s="1">
        <v>17293</v>
      </c>
      <c r="BY430" s="1">
        <v>718716</v>
      </c>
      <c r="CI430" s="1">
        <v>752497</v>
      </c>
      <c r="CL430" s="1">
        <v>460367</v>
      </c>
      <c r="CY430" s="1">
        <v>200000</v>
      </c>
      <c r="CZ430" s="1">
        <v>312716</v>
      </c>
    </row>
    <row r="431" spans="1:118">
      <c r="A431" s="1">
        <v>27</v>
      </c>
      <c r="B431" s="1">
        <v>3364</v>
      </c>
      <c r="C431" s="1" t="s">
        <v>1019</v>
      </c>
      <c r="D431" s="1" t="s">
        <v>858</v>
      </c>
      <c r="F431" s="1">
        <v>1796</v>
      </c>
      <c r="J431" s="1">
        <v>1796</v>
      </c>
      <c r="K431" s="1">
        <v>2698708</v>
      </c>
      <c r="M431" s="1">
        <v>784738</v>
      </c>
      <c r="O431" s="1">
        <v>3483446</v>
      </c>
      <c r="P431" s="1">
        <v>11359</v>
      </c>
      <c r="R431" s="1">
        <v>4074371</v>
      </c>
      <c r="S431" s="1">
        <v>4074371</v>
      </c>
      <c r="T431" s="1">
        <v>15678527</v>
      </c>
      <c r="V431" s="1">
        <v>127776</v>
      </c>
      <c r="W431" s="1">
        <v>20915150</v>
      </c>
      <c r="AD431" s="1">
        <v>382085</v>
      </c>
      <c r="AE431" s="1">
        <v>326882</v>
      </c>
      <c r="AG431" s="1">
        <v>708967</v>
      </c>
      <c r="AH431" s="1">
        <v>21635476</v>
      </c>
      <c r="AJ431" s="1">
        <v>1880322</v>
      </c>
      <c r="AK431" s="1">
        <v>1880322</v>
      </c>
      <c r="AM431" s="1">
        <v>97744</v>
      </c>
      <c r="AO431" s="1">
        <v>97744</v>
      </c>
      <c r="AP431" s="1">
        <v>1978066</v>
      </c>
      <c r="AX431" s="1">
        <v>25592</v>
      </c>
      <c r="AZ431" s="1">
        <v>27124376</v>
      </c>
      <c r="BY431" s="1">
        <v>25592</v>
      </c>
      <c r="DN431" s="1">
        <v>1034476</v>
      </c>
    </row>
    <row r="432" spans="1:118">
      <c r="A432" s="1">
        <v>27</v>
      </c>
      <c r="B432" s="1">
        <v>3365</v>
      </c>
      <c r="C432" s="1" t="s">
        <v>1019</v>
      </c>
      <c r="D432" s="1" t="s">
        <v>859</v>
      </c>
      <c r="F432" s="1">
        <v>63591</v>
      </c>
      <c r="G432" s="1">
        <v>768673</v>
      </c>
      <c r="H432" s="1">
        <v>748914</v>
      </c>
      <c r="I432" s="1">
        <v>868888</v>
      </c>
      <c r="J432" s="1">
        <v>5383380</v>
      </c>
      <c r="K432" s="1">
        <v>772505</v>
      </c>
      <c r="L432" s="1">
        <v>312574</v>
      </c>
      <c r="M432" s="1">
        <v>606024</v>
      </c>
      <c r="O432" s="1">
        <v>1691103</v>
      </c>
      <c r="P432" s="1">
        <v>363471</v>
      </c>
      <c r="U432" s="1">
        <v>37362</v>
      </c>
      <c r="V432" s="1">
        <v>713530</v>
      </c>
      <c r="W432" s="1">
        <v>11778700</v>
      </c>
      <c r="Z432" s="1">
        <v>484349</v>
      </c>
      <c r="AC432" s="1">
        <v>61159</v>
      </c>
      <c r="AD432" s="1">
        <v>559276</v>
      </c>
      <c r="AE432" s="1">
        <v>395419</v>
      </c>
      <c r="AG432" s="1">
        <v>2433233</v>
      </c>
      <c r="AH432" s="1">
        <v>14575404</v>
      </c>
      <c r="AJ432" s="1">
        <v>49761</v>
      </c>
      <c r="AK432" s="1">
        <v>49761</v>
      </c>
      <c r="AL432" s="1">
        <v>35786</v>
      </c>
      <c r="AM432" s="1">
        <v>105021</v>
      </c>
      <c r="AN432" s="1">
        <v>40907</v>
      </c>
      <c r="AO432" s="1">
        <v>1280001</v>
      </c>
      <c r="AP432" s="1">
        <v>1329762</v>
      </c>
      <c r="AY432" s="1">
        <v>-356404</v>
      </c>
      <c r="AZ432" s="1">
        <v>22623245</v>
      </c>
      <c r="BE432" s="1">
        <v>40121</v>
      </c>
      <c r="BF432" s="1">
        <v>101044</v>
      </c>
      <c r="BK432" s="1">
        <v>545220</v>
      </c>
      <c r="BN432" s="1">
        <v>6086061</v>
      </c>
      <c r="BO432" s="1">
        <v>4670005</v>
      </c>
      <c r="BP432" s="1">
        <v>271742</v>
      </c>
      <c r="BR432" s="1">
        <v>134657</v>
      </c>
      <c r="BS432" s="1">
        <v>645963</v>
      </c>
      <c r="BT432" s="1">
        <v>11245</v>
      </c>
      <c r="BW432" s="1">
        <v>553067</v>
      </c>
      <c r="BY432" s="1">
        <v>-356404</v>
      </c>
      <c r="CL432" s="1">
        <v>2933314</v>
      </c>
    </row>
    <row r="433" spans="1:132">
      <c r="A433" s="1">
        <v>27</v>
      </c>
      <c r="B433" s="1">
        <v>3370</v>
      </c>
      <c r="C433" s="1" t="s">
        <v>1019</v>
      </c>
      <c r="D433" s="1" t="s">
        <v>860</v>
      </c>
      <c r="F433" s="1">
        <v>2503302</v>
      </c>
      <c r="G433" s="1">
        <v>1032009</v>
      </c>
      <c r="H433" s="1">
        <v>455394</v>
      </c>
      <c r="I433" s="1">
        <v>462333</v>
      </c>
      <c r="J433" s="1">
        <v>23466668</v>
      </c>
      <c r="K433" s="1">
        <v>912523</v>
      </c>
      <c r="L433" s="1">
        <v>190606</v>
      </c>
      <c r="M433" s="1">
        <v>4274991</v>
      </c>
      <c r="N433" s="1">
        <v>1138369</v>
      </c>
      <c r="O433" s="1">
        <v>6516489</v>
      </c>
      <c r="Q433" s="1">
        <v>40260382</v>
      </c>
      <c r="S433" s="1">
        <v>67232</v>
      </c>
      <c r="V433" s="1">
        <v>484130</v>
      </c>
      <c r="W433" s="1">
        <v>40811744</v>
      </c>
      <c r="X433" s="1">
        <v>909385</v>
      </c>
      <c r="Y433" s="1">
        <v>1011059</v>
      </c>
      <c r="Z433" s="1">
        <v>1799909</v>
      </c>
      <c r="AA433" s="1">
        <v>15274</v>
      </c>
      <c r="AB433" s="1">
        <v>89852</v>
      </c>
      <c r="AC433" s="1">
        <v>534250</v>
      </c>
      <c r="AD433" s="1">
        <v>3345328</v>
      </c>
      <c r="AE433" s="1">
        <v>1599908</v>
      </c>
      <c r="AG433" s="1">
        <v>11008967</v>
      </c>
      <c r="AH433" s="1">
        <v>51820711</v>
      </c>
      <c r="AJ433" s="1">
        <v>267058</v>
      </c>
      <c r="AK433" s="1">
        <v>267058</v>
      </c>
      <c r="AM433" s="1">
        <v>546127</v>
      </c>
      <c r="AN433" s="1">
        <v>58906</v>
      </c>
      <c r="AO433" s="1">
        <v>605033</v>
      </c>
      <c r="AP433" s="1">
        <v>872091</v>
      </c>
      <c r="AQ433" s="1">
        <v>1754175</v>
      </c>
      <c r="AT433" s="1">
        <v>1754175</v>
      </c>
      <c r="AV433" s="1">
        <v>1970868</v>
      </c>
      <c r="AW433" s="1">
        <v>1970868</v>
      </c>
      <c r="AX433" s="1">
        <v>142059</v>
      </c>
      <c r="AY433" s="1">
        <v>-216693</v>
      </c>
      <c r="AZ433" s="1">
        <v>84646827</v>
      </c>
      <c r="BE433" s="1">
        <v>166848</v>
      </c>
      <c r="BF433" s="1">
        <v>245420</v>
      </c>
      <c r="BL433" s="1">
        <v>216693</v>
      </c>
      <c r="BR433" s="1">
        <v>1291734</v>
      </c>
      <c r="CB433" s="1">
        <v>67232</v>
      </c>
      <c r="CC433" s="1">
        <v>74634</v>
      </c>
      <c r="CL433" s="1">
        <v>19013630</v>
      </c>
    </row>
    <row r="434" spans="1:132">
      <c r="A434" s="1">
        <v>27</v>
      </c>
      <c r="B434" s="1">
        <v>3380</v>
      </c>
      <c r="C434" s="1" t="s">
        <v>1019</v>
      </c>
      <c r="D434" s="1" t="s">
        <v>861</v>
      </c>
      <c r="E434" s="1">
        <v>276320</v>
      </c>
      <c r="F434" s="1">
        <v>51086</v>
      </c>
      <c r="H434" s="1">
        <v>236492</v>
      </c>
      <c r="I434" s="1">
        <v>140417</v>
      </c>
      <c r="J434" s="1">
        <v>2803016</v>
      </c>
      <c r="K434" s="1">
        <v>261310</v>
      </c>
      <c r="L434" s="1">
        <v>349047</v>
      </c>
      <c r="M434" s="1">
        <v>836092</v>
      </c>
      <c r="O434" s="1">
        <v>1446449</v>
      </c>
      <c r="P434" s="1">
        <v>35035</v>
      </c>
      <c r="Q434" s="1">
        <v>11199448</v>
      </c>
      <c r="R434" s="1">
        <v>32141</v>
      </c>
      <c r="S434" s="1">
        <v>32141</v>
      </c>
      <c r="U434" s="1">
        <v>6175</v>
      </c>
      <c r="V434" s="1">
        <v>104340</v>
      </c>
      <c r="W434" s="1">
        <v>11432104</v>
      </c>
      <c r="Y434" s="1">
        <v>147896</v>
      </c>
      <c r="Z434" s="1">
        <v>501860</v>
      </c>
      <c r="AA434" s="1">
        <v>7044</v>
      </c>
      <c r="AB434" s="1">
        <v>48829</v>
      </c>
      <c r="AC434" s="1">
        <v>41092</v>
      </c>
      <c r="AD434" s="1">
        <v>631317</v>
      </c>
      <c r="AE434" s="1">
        <v>267111</v>
      </c>
      <c r="AG434" s="1">
        <v>1856786</v>
      </c>
      <c r="AH434" s="1">
        <v>13323925</v>
      </c>
      <c r="AM434" s="1">
        <v>151519</v>
      </c>
      <c r="AN434" s="1">
        <v>27990</v>
      </c>
      <c r="AO434" s="1">
        <v>179509</v>
      </c>
      <c r="AP434" s="1">
        <v>179509</v>
      </c>
      <c r="AQ434" s="1">
        <v>560994</v>
      </c>
      <c r="AT434" s="1">
        <v>560994</v>
      </c>
      <c r="AV434" s="1">
        <v>560994</v>
      </c>
      <c r="AW434" s="1">
        <v>560994</v>
      </c>
      <c r="AZ434" s="1">
        <v>18313893</v>
      </c>
      <c r="BE434" s="1">
        <v>26226</v>
      </c>
      <c r="BF434" s="1">
        <v>9090</v>
      </c>
      <c r="BR434" s="1">
        <v>176321</v>
      </c>
      <c r="CD434" s="1">
        <v>200000</v>
      </c>
      <c r="CJ434" s="1">
        <v>315539</v>
      </c>
      <c r="CL434" s="1">
        <v>1678468</v>
      </c>
      <c r="DA434" s="1">
        <v>220233</v>
      </c>
      <c r="DB434" s="1">
        <v>50000</v>
      </c>
      <c r="DT434" s="1">
        <v>90000</v>
      </c>
      <c r="DX434" s="1">
        <v>220000</v>
      </c>
    </row>
    <row r="435" spans="1:132">
      <c r="A435" s="1">
        <v>27</v>
      </c>
      <c r="B435" s="1">
        <v>3385</v>
      </c>
      <c r="C435" s="1" t="s">
        <v>1019</v>
      </c>
      <c r="D435" s="1" t="s">
        <v>862</v>
      </c>
      <c r="F435" s="1">
        <v>649398</v>
      </c>
      <c r="G435" s="1">
        <v>2600866</v>
      </c>
      <c r="H435" s="1">
        <v>3620026</v>
      </c>
      <c r="I435" s="1">
        <v>1627043</v>
      </c>
      <c r="J435" s="1">
        <v>9456586</v>
      </c>
      <c r="K435" s="1">
        <v>1602120</v>
      </c>
      <c r="L435" s="1">
        <v>697250</v>
      </c>
      <c r="M435" s="1">
        <v>60606</v>
      </c>
      <c r="N435" s="1">
        <v>22679</v>
      </c>
      <c r="O435" s="1">
        <v>2382655</v>
      </c>
      <c r="Q435" s="1">
        <v>71829348</v>
      </c>
      <c r="R435" s="1">
        <v>3235339</v>
      </c>
      <c r="S435" s="1">
        <v>3235339</v>
      </c>
      <c r="U435" s="1">
        <v>83151</v>
      </c>
      <c r="V435" s="1">
        <v>747602</v>
      </c>
      <c r="W435" s="1">
        <v>75895440</v>
      </c>
      <c r="Y435" s="1">
        <v>1309155</v>
      </c>
      <c r="Z435" s="1">
        <v>3972315</v>
      </c>
      <c r="AA435" s="1">
        <v>505546</v>
      </c>
      <c r="AB435" s="1">
        <v>216505</v>
      </c>
      <c r="AC435" s="1">
        <v>517878</v>
      </c>
      <c r="AD435" s="1">
        <v>5836411</v>
      </c>
      <c r="AE435" s="1">
        <v>2675470</v>
      </c>
      <c r="AG435" s="1">
        <v>15309827</v>
      </c>
      <c r="AH435" s="1">
        <v>91736726</v>
      </c>
      <c r="AI435" s="1">
        <v>275492</v>
      </c>
      <c r="AJ435" s="1">
        <v>787792</v>
      </c>
      <c r="AK435" s="1">
        <v>1841475</v>
      </c>
      <c r="AL435" s="1">
        <v>495044</v>
      </c>
      <c r="AM435" s="1">
        <v>1292002</v>
      </c>
      <c r="AN435" s="1">
        <v>472577</v>
      </c>
      <c r="AO435" s="1">
        <v>2259623</v>
      </c>
      <c r="AP435" s="1">
        <v>4191574</v>
      </c>
      <c r="AQ435" s="1">
        <v>1005812</v>
      </c>
      <c r="AR435" s="1">
        <v>225</v>
      </c>
      <c r="AS435" s="1">
        <v>225</v>
      </c>
      <c r="AT435" s="1">
        <v>1006037</v>
      </c>
      <c r="AU435" s="1">
        <v>235854</v>
      </c>
      <c r="AV435" s="1">
        <v>1241891</v>
      </c>
      <c r="AW435" s="1">
        <v>1241891</v>
      </c>
      <c r="AY435" s="1">
        <v>260280</v>
      </c>
      <c r="AZ435" s="1">
        <v>109269712</v>
      </c>
      <c r="BB435" s="1">
        <v>303197</v>
      </c>
      <c r="BE435" s="1">
        <v>220009</v>
      </c>
      <c r="BF435" s="1">
        <v>56538</v>
      </c>
      <c r="BG435" s="1">
        <v>7830</v>
      </c>
      <c r="BH435" s="1">
        <v>7830</v>
      </c>
      <c r="BJ435" s="1">
        <v>751695</v>
      </c>
      <c r="BU435" s="1">
        <v>90476</v>
      </c>
      <c r="BV435" s="1">
        <v>90476</v>
      </c>
      <c r="BY435" s="1">
        <v>260280</v>
      </c>
      <c r="CG435" s="1">
        <v>523629</v>
      </c>
      <c r="CK435" s="1">
        <v>200000</v>
      </c>
      <c r="CL435" s="1">
        <v>656056</v>
      </c>
      <c r="CU435" s="1">
        <v>13710</v>
      </c>
      <c r="DL435" s="1">
        <v>1337860</v>
      </c>
      <c r="DQ435" s="1">
        <v>12786</v>
      </c>
      <c r="EB435" s="1">
        <v>3298116</v>
      </c>
    </row>
    <row r="436" spans="1:132">
      <c r="A436" s="1">
        <v>27</v>
      </c>
      <c r="B436" s="1">
        <v>3410</v>
      </c>
      <c r="C436" s="1" t="s">
        <v>1019</v>
      </c>
      <c r="D436" s="1" t="s">
        <v>863</v>
      </c>
      <c r="G436" s="1">
        <v>29077</v>
      </c>
      <c r="H436" s="1">
        <v>106896</v>
      </c>
      <c r="I436" s="1">
        <v>5318</v>
      </c>
      <c r="J436" s="1">
        <v>141291</v>
      </c>
      <c r="K436" s="1">
        <v>180912</v>
      </c>
      <c r="L436" s="1">
        <v>16142</v>
      </c>
      <c r="M436" s="1">
        <v>9102</v>
      </c>
      <c r="N436" s="1">
        <v>12021</v>
      </c>
      <c r="O436" s="1">
        <v>218177</v>
      </c>
      <c r="Q436" s="1">
        <v>7976039</v>
      </c>
      <c r="R436" s="1">
        <v>21470</v>
      </c>
      <c r="S436" s="1">
        <v>21470</v>
      </c>
      <c r="U436" s="1">
        <v>100</v>
      </c>
      <c r="V436" s="1">
        <v>86824</v>
      </c>
      <c r="W436" s="1">
        <v>8084433</v>
      </c>
      <c r="Y436" s="1">
        <v>165680</v>
      </c>
      <c r="Z436" s="1">
        <v>431695</v>
      </c>
      <c r="AB436" s="1">
        <v>30493</v>
      </c>
      <c r="AC436" s="1">
        <v>71757</v>
      </c>
      <c r="AD436" s="1">
        <v>416679</v>
      </c>
      <c r="AE436" s="1">
        <v>187656</v>
      </c>
      <c r="AG436" s="1">
        <v>1442542</v>
      </c>
      <c r="AH436" s="1">
        <v>9542609</v>
      </c>
      <c r="AI436" s="1">
        <v>12546</v>
      </c>
      <c r="AJ436" s="1">
        <v>3231</v>
      </c>
      <c r="AK436" s="1">
        <v>15777</v>
      </c>
      <c r="AL436" s="1">
        <v>32389</v>
      </c>
      <c r="AM436" s="1">
        <v>136193</v>
      </c>
      <c r="AN436" s="1">
        <v>25622</v>
      </c>
      <c r="AO436" s="1">
        <v>194204</v>
      </c>
      <c r="AP436" s="1">
        <v>213306</v>
      </c>
      <c r="AQ436" s="1">
        <v>232149</v>
      </c>
      <c r="AT436" s="1">
        <v>232149</v>
      </c>
      <c r="AV436" s="1">
        <v>241251</v>
      </c>
      <c r="AW436" s="1">
        <v>241251</v>
      </c>
      <c r="AY436" s="1">
        <v>-9102</v>
      </c>
      <c r="AZ436" s="1">
        <v>10347532</v>
      </c>
      <c r="BE436" s="1">
        <v>23796</v>
      </c>
      <c r="BF436" s="1">
        <v>3263</v>
      </c>
      <c r="BG436" s="1">
        <v>15634</v>
      </c>
      <c r="BH436" s="1">
        <v>15634</v>
      </c>
      <c r="BL436" s="1">
        <v>9102</v>
      </c>
      <c r="BR436" s="1">
        <v>111523</v>
      </c>
      <c r="BU436" s="1">
        <v>3325</v>
      </c>
      <c r="BV436" s="1">
        <v>3325</v>
      </c>
      <c r="BY436" s="1">
        <v>-9102</v>
      </c>
    </row>
    <row r="437" spans="1:132">
      <c r="A437" s="1">
        <v>27</v>
      </c>
      <c r="B437" s="1">
        <v>3450</v>
      </c>
      <c r="C437" s="1" t="s">
        <v>1019</v>
      </c>
      <c r="D437" s="1" t="s">
        <v>864</v>
      </c>
      <c r="F437" s="1">
        <v>176582</v>
      </c>
      <c r="H437" s="1">
        <v>103715</v>
      </c>
      <c r="I437" s="1">
        <v>14333</v>
      </c>
      <c r="J437" s="1">
        <v>16855340</v>
      </c>
      <c r="K437" s="1">
        <v>1475169</v>
      </c>
      <c r="L437" s="1">
        <v>2381943</v>
      </c>
      <c r="M437" s="1">
        <v>-7080102</v>
      </c>
      <c r="N437" s="1">
        <v>50923</v>
      </c>
      <c r="O437" s="1">
        <v>-3172067</v>
      </c>
      <c r="P437" s="1">
        <v>42000</v>
      </c>
      <c r="Q437" s="1">
        <v>49278445</v>
      </c>
      <c r="R437" s="1">
        <v>126618</v>
      </c>
      <c r="S437" s="1">
        <v>126618</v>
      </c>
      <c r="T437" s="1">
        <v>93601</v>
      </c>
      <c r="U437" s="1">
        <v>503</v>
      </c>
      <c r="V437" s="1">
        <v>462726</v>
      </c>
      <c r="W437" s="1">
        <v>49961893</v>
      </c>
      <c r="X437" s="1">
        <v>8054305</v>
      </c>
      <c r="Y437" s="1">
        <v>1451521</v>
      </c>
      <c r="Z437" s="1">
        <v>3391241</v>
      </c>
      <c r="AA437" s="1">
        <v>150348</v>
      </c>
      <c r="AB437" s="1">
        <v>230141</v>
      </c>
      <c r="AC437" s="1">
        <v>524462</v>
      </c>
      <c r="AD437" s="1">
        <v>3821664</v>
      </c>
      <c r="AE437" s="1">
        <v>2147359</v>
      </c>
      <c r="AG437" s="1">
        <v>21031367</v>
      </c>
      <c r="AH437" s="1">
        <v>71891082</v>
      </c>
      <c r="AJ437" s="1">
        <v>11001</v>
      </c>
      <c r="AK437" s="1">
        <v>11001</v>
      </c>
      <c r="AL437" s="1">
        <v>132669</v>
      </c>
      <c r="AM437" s="1">
        <v>943543</v>
      </c>
      <c r="AN437" s="1">
        <v>153692</v>
      </c>
      <c r="AO437" s="1">
        <v>1246831</v>
      </c>
      <c r="AP437" s="1">
        <v>1257832</v>
      </c>
      <c r="AQ437" s="1">
        <v>4239536</v>
      </c>
      <c r="AR437" s="1">
        <v>1712539</v>
      </c>
      <c r="AS437" s="1">
        <v>1755009</v>
      </c>
      <c r="AT437" s="1">
        <v>5994545</v>
      </c>
      <c r="AU437" s="1">
        <v>604471</v>
      </c>
      <c r="AV437" s="1">
        <v>6777148</v>
      </c>
      <c r="AW437" s="1">
        <v>6777148</v>
      </c>
      <c r="AX437" s="1">
        <v>151441</v>
      </c>
      <c r="AY437" s="1">
        <v>-151441</v>
      </c>
      <c r="AZ437" s="1">
        <v>102309717</v>
      </c>
      <c r="BE437" s="1">
        <v>423529</v>
      </c>
      <c r="BF437" s="1">
        <v>291051</v>
      </c>
      <c r="BK437" s="1">
        <v>16927</v>
      </c>
      <c r="BL437" s="1">
        <v>151441</v>
      </c>
      <c r="BM437" s="1">
        <v>26691</v>
      </c>
      <c r="BR437" s="1">
        <v>545746</v>
      </c>
      <c r="BY437" s="1">
        <v>8700382</v>
      </c>
      <c r="CG437" s="1">
        <v>855822</v>
      </c>
      <c r="CI437" s="1">
        <v>8700382</v>
      </c>
      <c r="CL437" s="1">
        <v>16560710</v>
      </c>
      <c r="DC437" s="1">
        <v>42470</v>
      </c>
    </row>
    <row r="438" spans="1:132">
      <c r="A438" s="1">
        <v>27</v>
      </c>
      <c r="B438" s="1">
        <v>3460</v>
      </c>
      <c r="C438" s="1" t="s">
        <v>1019</v>
      </c>
      <c r="D438" s="1" t="s">
        <v>865</v>
      </c>
      <c r="E438" s="1">
        <v>330000</v>
      </c>
      <c r="F438" s="1">
        <v>615880</v>
      </c>
      <c r="I438" s="1">
        <v>38258</v>
      </c>
      <c r="J438" s="1">
        <v>2055108</v>
      </c>
      <c r="K438" s="1">
        <v>482152</v>
      </c>
      <c r="L438" s="1">
        <v>600000</v>
      </c>
      <c r="M438" s="1">
        <v>1691200</v>
      </c>
      <c r="N438" s="1">
        <v>21903</v>
      </c>
      <c r="O438" s="1">
        <v>2795255</v>
      </c>
      <c r="Q438" s="1">
        <v>16059217</v>
      </c>
      <c r="R438" s="1">
        <v>12462409</v>
      </c>
      <c r="S438" s="1">
        <v>12898718</v>
      </c>
      <c r="U438" s="1">
        <v>1913</v>
      </c>
      <c r="W438" s="1">
        <v>29179013</v>
      </c>
      <c r="Y438" s="1">
        <v>5800</v>
      </c>
      <c r="Z438" s="1">
        <v>717381</v>
      </c>
      <c r="AB438" s="1">
        <v>24280</v>
      </c>
      <c r="AC438" s="1">
        <v>86769</v>
      </c>
      <c r="AD438" s="1">
        <v>2094045</v>
      </c>
      <c r="AE438" s="1">
        <v>1177265</v>
      </c>
      <c r="AG438" s="1">
        <v>4131020</v>
      </c>
      <c r="AH438" s="1">
        <v>33310033</v>
      </c>
      <c r="AJ438" s="1">
        <v>339245</v>
      </c>
      <c r="AK438" s="1">
        <v>410858</v>
      </c>
      <c r="AL438" s="1">
        <v>13701</v>
      </c>
      <c r="AM438" s="1">
        <v>238250</v>
      </c>
      <c r="AN438" s="1">
        <v>29379</v>
      </c>
      <c r="AO438" s="1">
        <v>281330</v>
      </c>
      <c r="AP438" s="1">
        <v>831900</v>
      </c>
      <c r="AQ438" s="1">
        <v>1104948</v>
      </c>
      <c r="AT438" s="1">
        <v>1104948</v>
      </c>
      <c r="AU438" s="1">
        <v>124723</v>
      </c>
      <c r="AV438" s="1">
        <v>1229671</v>
      </c>
      <c r="AW438" s="1">
        <v>1229671</v>
      </c>
      <c r="AY438" s="1">
        <v>-40</v>
      </c>
      <c r="AZ438" s="1">
        <v>40221927</v>
      </c>
      <c r="BC438" s="1">
        <v>14394</v>
      </c>
      <c r="BE438" s="1">
        <v>22021</v>
      </c>
      <c r="BF438" s="1">
        <v>3459</v>
      </c>
      <c r="BJ438" s="1">
        <v>71613</v>
      </c>
      <c r="BQ438" s="1">
        <v>219165</v>
      </c>
      <c r="BU438" s="1">
        <v>139712</v>
      </c>
      <c r="BV438" s="1">
        <v>139712</v>
      </c>
      <c r="BY438" s="1">
        <v>-40</v>
      </c>
      <c r="DA438" s="1">
        <v>1070970</v>
      </c>
      <c r="DI438" s="1">
        <v>421915</v>
      </c>
    </row>
    <row r="439" spans="1:132">
      <c r="A439" s="1">
        <v>27</v>
      </c>
      <c r="B439" s="1">
        <v>3520</v>
      </c>
      <c r="C439" s="1" t="s">
        <v>1019</v>
      </c>
      <c r="D439" s="1" t="s">
        <v>866</v>
      </c>
      <c r="F439" s="1">
        <v>87748</v>
      </c>
      <c r="G439" s="1">
        <v>41225</v>
      </c>
      <c r="H439" s="1">
        <v>27607</v>
      </c>
      <c r="I439" s="1">
        <v>30869</v>
      </c>
      <c r="J439" s="1">
        <v>189004</v>
      </c>
      <c r="K439" s="1">
        <v>108795</v>
      </c>
      <c r="L439" s="1">
        <v>9813</v>
      </c>
      <c r="M439" s="1">
        <v>63419</v>
      </c>
      <c r="O439" s="1">
        <v>182027</v>
      </c>
      <c r="P439" s="1">
        <v>-3656</v>
      </c>
      <c r="Q439" s="1">
        <v>2713134</v>
      </c>
      <c r="U439" s="1">
        <v>1894</v>
      </c>
      <c r="V439" s="1">
        <v>35124</v>
      </c>
      <c r="W439" s="1">
        <v>2750152</v>
      </c>
      <c r="X439" s="1">
        <v>309916</v>
      </c>
      <c r="Y439" s="1">
        <v>11907</v>
      </c>
      <c r="Z439" s="1">
        <v>204752</v>
      </c>
      <c r="AA439" s="1">
        <v>8212</v>
      </c>
      <c r="AB439" s="1">
        <v>8475</v>
      </c>
      <c r="AC439" s="1">
        <v>30063</v>
      </c>
      <c r="AD439" s="1">
        <v>287959</v>
      </c>
      <c r="AE439" s="1">
        <v>158256</v>
      </c>
      <c r="AG439" s="1">
        <v>1279317</v>
      </c>
      <c r="AH439" s="1">
        <v>4025813</v>
      </c>
      <c r="AI439" s="1">
        <v>7500</v>
      </c>
      <c r="AJ439" s="1">
        <v>163038</v>
      </c>
      <c r="AK439" s="1">
        <v>170538</v>
      </c>
      <c r="AL439" s="1">
        <v>24921</v>
      </c>
      <c r="AM439" s="1">
        <v>92569</v>
      </c>
      <c r="AN439" s="1">
        <v>7307</v>
      </c>
      <c r="AO439" s="1">
        <v>124797</v>
      </c>
      <c r="AP439" s="1">
        <v>298809</v>
      </c>
      <c r="AY439" s="1">
        <v>87565</v>
      </c>
      <c r="AZ439" s="1">
        <v>4783218</v>
      </c>
      <c r="BE439" s="1">
        <v>24231</v>
      </c>
      <c r="BF439" s="1">
        <v>441</v>
      </c>
      <c r="BR439" s="1">
        <v>235105</v>
      </c>
      <c r="BU439" s="1">
        <v>3474</v>
      </c>
      <c r="BV439" s="1">
        <v>3474</v>
      </c>
      <c r="BY439" s="1">
        <v>87565</v>
      </c>
      <c r="CL439" s="1">
        <v>1555</v>
      </c>
    </row>
    <row r="440" spans="1:132">
      <c r="A440" s="1">
        <v>27</v>
      </c>
      <c r="B440" s="1">
        <v>3950</v>
      </c>
      <c r="C440" s="1" t="s">
        <v>1019</v>
      </c>
      <c r="D440" s="1" t="s">
        <v>867</v>
      </c>
      <c r="F440" s="1">
        <v>1949760</v>
      </c>
      <c r="G440" s="1">
        <v>277</v>
      </c>
      <c r="H440" s="1">
        <v>139130</v>
      </c>
      <c r="I440" s="1">
        <v>672914</v>
      </c>
      <c r="J440" s="1">
        <v>5076998</v>
      </c>
      <c r="K440" s="1">
        <v>2500093</v>
      </c>
      <c r="L440" s="1">
        <v>728916</v>
      </c>
      <c r="M440" s="1">
        <v>-188251</v>
      </c>
      <c r="N440" s="1">
        <v>107912</v>
      </c>
      <c r="O440" s="1">
        <v>3148670</v>
      </c>
      <c r="P440" s="1">
        <v>263851</v>
      </c>
      <c r="Q440" s="1">
        <v>100210723</v>
      </c>
      <c r="S440" s="1">
        <v>53427</v>
      </c>
      <c r="U440" s="1">
        <v>17368</v>
      </c>
      <c r="V440" s="1">
        <v>2241285</v>
      </c>
      <c r="W440" s="1">
        <v>102522803</v>
      </c>
      <c r="Y440" s="1">
        <v>1055320</v>
      </c>
      <c r="Z440" s="1">
        <v>3973184</v>
      </c>
      <c r="AA440" s="1">
        <v>570252</v>
      </c>
      <c r="AB440" s="1">
        <v>377667</v>
      </c>
      <c r="AC440" s="1">
        <v>768259</v>
      </c>
      <c r="AD440" s="1">
        <v>8590955</v>
      </c>
      <c r="AE440" s="1">
        <v>3784969</v>
      </c>
      <c r="AG440" s="1">
        <v>19361960</v>
      </c>
      <c r="AH440" s="1">
        <v>122940554</v>
      </c>
      <c r="AJ440" s="1">
        <v>236729</v>
      </c>
      <c r="AK440" s="1">
        <v>236729</v>
      </c>
      <c r="AL440" s="1">
        <v>212462</v>
      </c>
      <c r="AM440" s="1">
        <v>1432427</v>
      </c>
      <c r="AN440" s="1">
        <v>404359</v>
      </c>
      <c r="AO440" s="1">
        <v>2049248</v>
      </c>
      <c r="AP440" s="1">
        <v>2334640</v>
      </c>
      <c r="AQ440" s="1">
        <v>1081825</v>
      </c>
      <c r="AT440" s="1">
        <v>1081825</v>
      </c>
      <c r="AV440" s="1">
        <v>2124646</v>
      </c>
      <c r="AW440" s="1">
        <v>2124646</v>
      </c>
      <c r="AY440" s="1">
        <v>141149</v>
      </c>
      <c r="AZ440" s="1">
        <v>183399657</v>
      </c>
      <c r="BC440" s="1">
        <v>53427</v>
      </c>
      <c r="BE440" s="1">
        <v>191010</v>
      </c>
      <c r="BF440" s="1">
        <v>50344</v>
      </c>
      <c r="BL440" s="1">
        <v>1042821</v>
      </c>
      <c r="BU440" s="1">
        <v>48663</v>
      </c>
      <c r="BV440" s="1">
        <v>48663</v>
      </c>
      <c r="BX440" s="1">
        <v>47633000</v>
      </c>
      <c r="BY440" s="1">
        <v>47774149</v>
      </c>
      <c r="CG440" s="1">
        <v>791940</v>
      </c>
      <c r="CL440" s="1">
        <v>1575580</v>
      </c>
      <c r="CV440" s="1">
        <v>739337</v>
      </c>
    </row>
    <row r="441" spans="1:132">
      <c r="A441" s="1">
        <v>27</v>
      </c>
      <c r="B441" s="1">
        <v>4000</v>
      </c>
      <c r="C441" s="1" t="s">
        <v>1019</v>
      </c>
      <c r="D441" s="1" t="s">
        <v>868</v>
      </c>
      <c r="F441" s="1">
        <v>179109</v>
      </c>
      <c r="G441" s="1">
        <v>75132</v>
      </c>
      <c r="I441" s="1">
        <v>66178</v>
      </c>
      <c r="J441" s="1">
        <v>320419</v>
      </c>
      <c r="K441" s="1">
        <v>271162</v>
      </c>
      <c r="L441" s="1">
        <v>263141</v>
      </c>
      <c r="M441" s="1">
        <v>2110660</v>
      </c>
      <c r="O441" s="1">
        <v>2644963</v>
      </c>
      <c r="Q441" s="1">
        <v>11433923</v>
      </c>
      <c r="R441" s="1">
        <v>15712</v>
      </c>
      <c r="S441" s="1">
        <v>15712</v>
      </c>
      <c r="U441" s="1">
        <v>220</v>
      </c>
      <c r="V441" s="1">
        <v>185679</v>
      </c>
      <c r="W441" s="1">
        <v>11635534</v>
      </c>
      <c r="Y441" s="1">
        <v>300776</v>
      </c>
      <c r="Z441" s="1">
        <v>513026</v>
      </c>
      <c r="AA441" s="1">
        <v>12920</v>
      </c>
      <c r="AB441" s="1">
        <v>21141</v>
      </c>
      <c r="AC441" s="1">
        <v>57495</v>
      </c>
      <c r="AD441" s="1">
        <v>833301</v>
      </c>
      <c r="AE441" s="1">
        <v>455259</v>
      </c>
      <c r="AG441" s="1">
        <v>2230267</v>
      </c>
      <c r="AH441" s="1">
        <v>13865801</v>
      </c>
      <c r="AJ441" s="1">
        <v>107338</v>
      </c>
      <c r="AK441" s="1">
        <v>107338</v>
      </c>
      <c r="AM441" s="1">
        <v>262295</v>
      </c>
      <c r="AN441" s="1">
        <v>26972</v>
      </c>
      <c r="AO441" s="1">
        <v>289267</v>
      </c>
      <c r="AP441" s="1">
        <v>396605</v>
      </c>
      <c r="AQ441" s="1">
        <v>1523279</v>
      </c>
      <c r="AT441" s="1">
        <v>1523279</v>
      </c>
      <c r="AV441" s="1">
        <v>1523279</v>
      </c>
      <c r="AW441" s="1">
        <v>1523279</v>
      </c>
      <c r="AZ441" s="1">
        <v>18751067</v>
      </c>
      <c r="BE441" s="1">
        <v>26636</v>
      </c>
      <c r="BF441" s="1">
        <v>6079</v>
      </c>
      <c r="BR441" s="1">
        <v>3634</v>
      </c>
      <c r="CJ441" s="1">
        <v>401982</v>
      </c>
      <c r="DB441" s="1">
        <v>7784</v>
      </c>
    </row>
    <row r="442" spans="1:132">
      <c r="A442" s="1">
        <v>27</v>
      </c>
      <c r="B442" s="1">
        <v>4080</v>
      </c>
      <c r="C442" s="1" t="s">
        <v>1019</v>
      </c>
      <c r="D442" s="1" t="s">
        <v>869</v>
      </c>
      <c r="F442" s="1">
        <v>474142</v>
      </c>
      <c r="G442" s="1">
        <v>846175</v>
      </c>
      <c r="H442" s="1">
        <v>558044</v>
      </c>
      <c r="I442" s="1">
        <v>225953</v>
      </c>
      <c r="J442" s="1">
        <v>2315270</v>
      </c>
      <c r="K442" s="1">
        <v>707731</v>
      </c>
      <c r="M442" s="1">
        <v>30133</v>
      </c>
      <c r="N442" s="1">
        <v>3509</v>
      </c>
      <c r="O442" s="1">
        <v>741373</v>
      </c>
      <c r="P442" s="1">
        <v>9765</v>
      </c>
      <c r="Q442" s="1">
        <v>27271858</v>
      </c>
      <c r="S442" s="1">
        <v>268650</v>
      </c>
      <c r="U442" s="1">
        <v>6802</v>
      </c>
      <c r="V442" s="1">
        <v>340242</v>
      </c>
      <c r="W442" s="1">
        <v>27928288</v>
      </c>
      <c r="Y442" s="1">
        <v>221558</v>
      </c>
      <c r="Z442" s="1">
        <v>1513421</v>
      </c>
      <c r="AA442" s="1">
        <v>19784</v>
      </c>
      <c r="AB442" s="1">
        <v>105405</v>
      </c>
      <c r="AC442" s="1">
        <v>278908</v>
      </c>
      <c r="AD442" s="1">
        <v>2485028</v>
      </c>
      <c r="AE442" s="1">
        <v>1147329</v>
      </c>
      <c r="AG442" s="1">
        <v>6440789</v>
      </c>
      <c r="AH442" s="1">
        <v>34378842</v>
      </c>
      <c r="AJ442" s="1">
        <v>151294</v>
      </c>
      <c r="AK442" s="1">
        <v>151294</v>
      </c>
      <c r="AM442" s="1">
        <v>497308</v>
      </c>
      <c r="AN442" s="1">
        <v>112677</v>
      </c>
      <c r="AO442" s="1">
        <v>609985</v>
      </c>
      <c r="AP442" s="1">
        <v>761279</v>
      </c>
      <c r="AQ442" s="1">
        <v>979346</v>
      </c>
      <c r="AR442" s="1">
        <v>2698</v>
      </c>
      <c r="AS442" s="1">
        <v>2698</v>
      </c>
      <c r="AT442" s="1">
        <v>982044</v>
      </c>
      <c r="AU442" s="1">
        <v>186387</v>
      </c>
      <c r="AV442" s="1">
        <v>1188799</v>
      </c>
      <c r="AW442" s="1">
        <v>1188799</v>
      </c>
      <c r="AY442" s="1">
        <v>-30133</v>
      </c>
      <c r="AZ442" s="1">
        <v>39355430</v>
      </c>
      <c r="BA442" s="1">
        <v>210956</v>
      </c>
      <c r="BC442" s="1">
        <v>268650</v>
      </c>
      <c r="BE442" s="1">
        <v>77981</v>
      </c>
      <c r="BF442" s="1">
        <v>25664</v>
      </c>
      <c r="BL442" s="1">
        <v>20368</v>
      </c>
      <c r="BR442" s="1">
        <v>565711</v>
      </c>
      <c r="BY442" s="1">
        <v>-30133</v>
      </c>
      <c r="CZ442" s="1">
        <v>40736</v>
      </c>
    </row>
    <row r="443" spans="1:132">
      <c r="A443" s="1">
        <v>27</v>
      </c>
      <c r="B443" s="1">
        <v>4330</v>
      </c>
      <c r="C443" s="1" t="s">
        <v>1019</v>
      </c>
      <c r="D443" s="1" t="s">
        <v>870</v>
      </c>
      <c r="F443" s="1">
        <v>753298</v>
      </c>
      <c r="G443" s="1">
        <v>646915</v>
      </c>
      <c r="H443" s="1">
        <v>24029</v>
      </c>
      <c r="I443" s="1">
        <v>826</v>
      </c>
      <c r="J443" s="1">
        <v>18646910</v>
      </c>
      <c r="K443" s="1">
        <v>1304346</v>
      </c>
      <c r="L443" s="1">
        <v>63</v>
      </c>
      <c r="M443" s="1">
        <v>2539534</v>
      </c>
      <c r="N443" s="1">
        <v>165005</v>
      </c>
      <c r="O443" s="1">
        <v>4008948</v>
      </c>
      <c r="P443" s="1">
        <v>378984</v>
      </c>
      <c r="Q443" s="1">
        <v>52784496</v>
      </c>
      <c r="S443" s="1">
        <v>15829</v>
      </c>
      <c r="U443" s="1">
        <v>25</v>
      </c>
      <c r="V443" s="1">
        <v>56315</v>
      </c>
      <c r="W443" s="1">
        <v>53076616</v>
      </c>
      <c r="X443" s="1">
        <v>1036148</v>
      </c>
      <c r="Y443" s="1">
        <v>1345161</v>
      </c>
      <c r="Z443" s="1">
        <v>3140819</v>
      </c>
      <c r="AA443" s="1">
        <v>107060</v>
      </c>
      <c r="AB443" s="1">
        <v>101721</v>
      </c>
      <c r="AC443" s="1">
        <v>300327</v>
      </c>
      <c r="AD443" s="1">
        <v>4407808</v>
      </c>
      <c r="AE443" s="1">
        <v>2551470</v>
      </c>
      <c r="AG443" s="1">
        <v>17971784</v>
      </c>
      <c r="AH443" s="1">
        <v>72525982</v>
      </c>
      <c r="AJ443" s="1">
        <v>76823</v>
      </c>
      <c r="AK443" s="1">
        <v>76823</v>
      </c>
      <c r="AM443" s="1">
        <v>1062527</v>
      </c>
      <c r="AN443" s="1">
        <v>173765</v>
      </c>
      <c r="AO443" s="1">
        <v>1236292</v>
      </c>
      <c r="AP443" s="1">
        <v>1335961</v>
      </c>
      <c r="AQ443" s="1">
        <v>3622250</v>
      </c>
      <c r="AS443" s="1">
        <v>993</v>
      </c>
      <c r="AT443" s="1">
        <v>3623243</v>
      </c>
      <c r="AU443" s="1">
        <v>279518</v>
      </c>
      <c r="AV443" s="1">
        <v>3902761</v>
      </c>
      <c r="AW443" s="1">
        <v>3902761</v>
      </c>
      <c r="AX443" s="1">
        <v>378984</v>
      </c>
      <c r="AY443" s="1">
        <v>-378984</v>
      </c>
      <c r="AZ443" s="1">
        <v>100420562</v>
      </c>
      <c r="BC443" s="1">
        <v>15829</v>
      </c>
      <c r="BE443" s="1">
        <v>316638</v>
      </c>
      <c r="BF443" s="1">
        <v>39549</v>
      </c>
      <c r="BQ443" s="1">
        <v>219951</v>
      </c>
      <c r="BR443" s="1">
        <v>4625083</v>
      </c>
      <c r="BU443" s="1">
        <v>22846</v>
      </c>
      <c r="BV443" s="1">
        <v>22846</v>
      </c>
      <c r="CG443" s="1">
        <v>1098598</v>
      </c>
      <c r="CL443" s="1">
        <v>17221842</v>
      </c>
      <c r="DC443" s="1">
        <v>993</v>
      </c>
    </row>
    <row r="444" spans="1:132">
      <c r="A444" s="1">
        <v>27</v>
      </c>
      <c r="B444" s="1">
        <v>4440</v>
      </c>
      <c r="C444" s="1" t="s">
        <v>1019</v>
      </c>
      <c r="D444" s="1" t="s">
        <v>871</v>
      </c>
      <c r="G444" s="1">
        <v>64065</v>
      </c>
      <c r="H444" s="1">
        <v>138419</v>
      </c>
      <c r="I444" s="1">
        <v>76000</v>
      </c>
      <c r="J444" s="1">
        <v>278484</v>
      </c>
      <c r="K444" s="1">
        <v>101698</v>
      </c>
      <c r="L444" s="1">
        <v>180000</v>
      </c>
      <c r="M444" s="1">
        <v>-23488</v>
      </c>
      <c r="N444" s="1">
        <v>-58880</v>
      </c>
      <c r="O444" s="1">
        <v>199330</v>
      </c>
      <c r="P444" s="1">
        <v>24087</v>
      </c>
      <c r="Q444" s="1">
        <v>4764615</v>
      </c>
      <c r="W444" s="1">
        <v>4854648</v>
      </c>
      <c r="Z444" s="1">
        <v>342625</v>
      </c>
      <c r="AB444" s="1">
        <v>12580</v>
      </c>
      <c r="AC444" s="1">
        <v>41803</v>
      </c>
      <c r="AD444" s="1">
        <v>263730</v>
      </c>
      <c r="AE444" s="1">
        <v>130851</v>
      </c>
      <c r="AG444" s="1">
        <v>806022</v>
      </c>
      <c r="AH444" s="1">
        <v>5684757</v>
      </c>
      <c r="AL444" s="1">
        <v>14281</v>
      </c>
      <c r="AM444" s="1">
        <v>72163</v>
      </c>
      <c r="AN444" s="1">
        <v>8213</v>
      </c>
      <c r="AO444" s="1">
        <v>94657</v>
      </c>
      <c r="AP444" s="1">
        <v>97657</v>
      </c>
      <c r="AQ444" s="1">
        <v>374300</v>
      </c>
      <c r="AS444" s="1">
        <v>20520</v>
      </c>
      <c r="AT444" s="1">
        <v>394820</v>
      </c>
      <c r="AV444" s="1">
        <v>394820</v>
      </c>
      <c r="AW444" s="1">
        <v>394820</v>
      </c>
      <c r="AX444" s="1">
        <v>24087</v>
      </c>
      <c r="AY444" s="1">
        <v>-24087</v>
      </c>
      <c r="AZ444" s="1">
        <v>6721689</v>
      </c>
      <c r="BE444" s="1">
        <v>11533</v>
      </c>
      <c r="BF444" s="1">
        <v>2900</v>
      </c>
      <c r="BQ444" s="1">
        <v>90033</v>
      </c>
      <c r="BU444" s="1">
        <v>3000</v>
      </c>
      <c r="BV444" s="1">
        <v>3000</v>
      </c>
      <c r="BY444" s="1">
        <v>66641</v>
      </c>
      <c r="CI444" s="1">
        <v>66641</v>
      </c>
      <c r="DC444" s="1">
        <v>20520</v>
      </c>
    </row>
    <row r="445" spans="1:132">
      <c r="A445" s="1">
        <v>27</v>
      </c>
      <c r="B445" s="1">
        <v>4480</v>
      </c>
      <c r="C445" s="1" t="s">
        <v>1019</v>
      </c>
      <c r="D445" s="1" t="s">
        <v>872</v>
      </c>
      <c r="F445" s="1">
        <v>19784</v>
      </c>
      <c r="G445" s="1">
        <v>39695</v>
      </c>
      <c r="I445" s="1">
        <v>1126</v>
      </c>
      <c r="J445" s="1">
        <v>60605</v>
      </c>
      <c r="K445" s="1">
        <v>128520</v>
      </c>
      <c r="L445" s="1">
        <v>18072</v>
      </c>
      <c r="O445" s="1">
        <v>146592</v>
      </c>
      <c r="Q445" s="1">
        <v>6020071</v>
      </c>
      <c r="U445" s="1">
        <v>9</v>
      </c>
      <c r="V445" s="1">
        <v>54915</v>
      </c>
      <c r="W445" s="1">
        <v>6074995</v>
      </c>
      <c r="Z445" s="1">
        <v>411067</v>
      </c>
      <c r="AB445" s="1">
        <v>25828</v>
      </c>
      <c r="AC445" s="1">
        <v>65943</v>
      </c>
      <c r="AD445" s="1">
        <v>586970</v>
      </c>
      <c r="AE445" s="1">
        <v>258464</v>
      </c>
      <c r="AG445" s="1">
        <v>1366278</v>
      </c>
      <c r="AH445" s="1">
        <v>7441273</v>
      </c>
      <c r="AI445" s="1">
        <v>18057</v>
      </c>
      <c r="AJ445" s="1">
        <v>268166</v>
      </c>
      <c r="AK445" s="1">
        <v>286223</v>
      </c>
      <c r="AL445" s="1">
        <v>56062</v>
      </c>
      <c r="AM445" s="1">
        <v>195392</v>
      </c>
      <c r="AN445" s="1">
        <v>30957</v>
      </c>
      <c r="AO445" s="1">
        <v>282411</v>
      </c>
      <c r="AP445" s="1">
        <v>575914</v>
      </c>
      <c r="AZ445" s="1">
        <v>8224384</v>
      </c>
      <c r="BE445" s="1">
        <v>14852</v>
      </c>
      <c r="BF445" s="1">
        <v>3154</v>
      </c>
      <c r="BU445" s="1">
        <v>7280</v>
      </c>
      <c r="BV445" s="1">
        <v>7280</v>
      </c>
    </row>
    <row r="446" spans="1:132">
      <c r="A446" s="1">
        <v>27</v>
      </c>
      <c r="B446" s="1">
        <v>4490</v>
      </c>
      <c r="C446" s="1" t="s">
        <v>1019</v>
      </c>
      <c r="D446" s="1" t="s">
        <v>873</v>
      </c>
      <c r="F446" s="1">
        <v>1152921</v>
      </c>
      <c r="G446" s="1">
        <v>422955</v>
      </c>
      <c r="H446" s="1">
        <v>786041</v>
      </c>
      <c r="I446" s="1">
        <v>615767</v>
      </c>
      <c r="J446" s="1">
        <v>2977684</v>
      </c>
      <c r="K446" s="1">
        <v>1221226</v>
      </c>
      <c r="L446" s="1">
        <v>100000</v>
      </c>
      <c r="N446" s="1">
        <v>20456</v>
      </c>
      <c r="O446" s="1">
        <v>1341682</v>
      </c>
      <c r="Q446" s="1">
        <v>36816712</v>
      </c>
      <c r="R446" s="1">
        <v>217969</v>
      </c>
      <c r="S446" s="1">
        <v>217969</v>
      </c>
      <c r="T446" s="1">
        <v>10931</v>
      </c>
      <c r="U446" s="1">
        <v>32766</v>
      </c>
      <c r="V446" s="1">
        <v>499495</v>
      </c>
      <c r="W446" s="1">
        <v>37577873</v>
      </c>
      <c r="Y446" s="1">
        <v>434397</v>
      </c>
      <c r="Z446" s="1">
        <v>2424789</v>
      </c>
      <c r="AA446" s="1">
        <v>28122</v>
      </c>
      <c r="AB446" s="1">
        <v>144429</v>
      </c>
      <c r="AC446" s="1">
        <v>172315</v>
      </c>
      <c r="AD446" s="1">
        <v>2836446</v>
      </c>
      <c r="AE446" s="1">
        <v>1476559</v>
      </c>
      <c r="AG446" s="1">
        <v>7845198</v>
      </c>
      <c r="AH446" s="1">
        <v>46674071</v>
      </c>
      <c r="AJ446" s="1">
        <v>3303</v>
      </c>
      <c r="AK446" s="1">
        <v>3303</v>
      </c>
      <c r="AL446" s="1">
        <v>89372</v>
      </c>
      <c r="AM446" s="1">
        <v>592121</v>
      </c>
      <c r="AN446" s="1">
        <v>96202</v>
      </c>
      <c r="AO446" s="1">
        <v>777695</v>
      </c>
      <c r="AP446" s="1">
        <v>785998</v>
      </c>
      <c r="AQ446" s="1">
        <v>513346</v>
      </c>
      <c r="AT446" s="1">
        <v>513346</v>
      </c>
      <c r="AU446" s="1">
        <v>200173</v>
      </c>
      <c r="AV446" s="1">
        <v>713519</v>
      </c>
      <c r="AW446" s="1">
        <v>713519</v>
      </c>
      <c r="AZ446" s="1">
        <v>52492954</v>
      </c>
      <c r="BE446" s="1">
        <v>98294</v>
      </c>
      <c r="BF446" s="1">
        <v>12992</v>
      </c>
      <c r="BG446" s="1">
        <v>674500</v>
      </c>
      <c r="BH446" s="1">
        <v>674500</v>
      </c>
      <c r="BR446" s="1">
        <v>216855</v>
      </c>
      <c r="BU446" s="1">
        <v>5000</v>
      </c>
      <c r="BV446" s="1">
        <v>5000</v>
      </c>
      <c r="CG446" s="1">
        <v>576500</v>
      </c>
    </row>
    <row r="447" spans="1:132">
      <c r="A447" s="1">
        <v>27</v>
      </c>
      <c r="B447" s="1">
        <v>4560</v>
      </c>
      <c r="C447" s="1" t="s">
        <v>1019</v>
      </c>
      <c r="D447" s="1" t="s">
        <v>874</v>
      </c>
      <c r="F447" s="1">
        <v>387805</v>
      </c>
      <c r="G447" s="1">
        <v>699220</v>
      </c>
      <c r="H447" s="1">
        <v>867093</v>
      </c>
      <c r="I447" s="1">
        <v>238924</v>
      </c>
      <c r="J447" s="1">
        <v>3055624</v>
      </c>
      <c r="K447" s="1">
        <v>1400930</v>
      </c>
      <c r="L447" s="1">
        <v>218395</v>
      </c>
      <c r="M447" s="1">
        <v>692603</v>
      </c>
      <c r="N447" s="1">
        <v>406508</v>
      </c>
      <c r="O447" s="1">
        <v>2718436</v>
      </c>
      <c r="P447" s="1">
        <v>28447</v>
      </c>
      <c r="Q447" s="1">
        <v>41553971</v>
      </c>
      <c r="R447" s="1">
        <v>2973938</v>
      </c>
      <c r="S447" s="1">
        <v>2973938</v>
      </c>
      <c r="U447" s="1">
        <v>4606</v>
      </c>
      <c r="V447" s="1">
        <v>1076754</v>
      </c>
      <c r="W447" s="1">
        <v>46019951</v>
      </c>
      <c r="X447" s="1">
        <v>5187272</v>
      </c>
      <c r="Y447" s="1">
        <v>1144700</v>
      </c>
      <c r="Z447" s="1">
        <v>1885525</v>
      </c>
      <c r="AA447" s="1">
        <v>98938</v>
      </c>
      <c r="AB447" s="1">
        <v>273272</v>
      </c>
      <c r="AC447" s="1">
        <v>491107</v>
      </c>
      <c r="AD447" s="1">
        <v>4439629</v>
      </c>
      <c r="AE447" s="1">
        <v>2011950</v>
      </c>
      <c r="AG447" s="1">
        <v>19879820</v>
      </c>
      <c r="AH447" s="1">
        <v>66505443</v>
      </c>
      <c r="AJ447" s="1">
        <v>155783</v>
      </c>
      <c r="AK447" s="1">
        <v>155783</v>
      </c>
      <c r="AL447" s="1">
        <v>82592</v>
      </c>
      <c r="AM447" s="1">
        <v>1033195</v>
      </c>
      <c r="AN447" s="1">
        <v>145252</v>
      </c>
      <c r="AO447" s="1">
        <v>1261039</v>
      </c>
      <c r="AP447" s="1">
        <v>1423571</v>
      </c>
      <c r="AQ447" s="1">
        <v>1952834</v>
      </c>
      <c r="AT447" s="1">
        <v>1952834</v>
      </c>
      <c r="AU447" s="1">
        <v>37743</v>
      </c>
      <c r="AV447" s="1">
        <v>2081297</v>
      </c>
      <c r="AW447" s="1">
        <v>2081297</v>
      </c>
      <c r="AX447" s="1">
        <v>81581</v>
      </c>
      <c r="AY447" s="1">
        <v>-119167</v>
      </c>
      <c r="AZ447" s="1">
        <v>75788599</v>
      </c>
      <c r="BE447" s="1">
        <v>382539</v>
      </c>
      <c r="BF447" s="1">
        <v>21136</v>
      </c>
      <c r="BL447" s="1">
        <v>90720</v>
      </c>
      <c r="BQ447" s="1">
        <v>358642</v>
      </c>
      <c r="BR447" s="1">
        <v>3943752</v>
      </c>
      <c r="BU447" s="1">
        <v>6749</v>
      </c>
      <c r="BV447" s="1">
        <v>6749</v>
      </c>
      <c r="BY447" s="1">
        <v>4228</v>
      </c>
      <c r="CC447" s="1">
        <v>41814</v>
      </c>
      <c r="CG447" s="1">
        <v>577225</v>
      </c>
      <c r="CL447" s="1">
        <v>862582</v>
      </c>
      <c r="CZ447" s="1">
        <v>52040</v>
      </c>
    </row>
    <row r="448" spans="1:132">
      <c r="A448" s="1">
        <v>27</v>
      </c>
      <c r="B448" s="1">
        <v>5380</v>
      </c>
      <c r="C448" s="1" t="s">
        <v>1019</v>
      </c>
      <c r="D448" s="1" t="s">
        <v>875</v>
      </c>
      <c r="G448" s="1">
        <v>172696</v>
      </c>
      <c r="J448" s="1">
        <v>172696</v>
      </c>
      <c r="K448" s="1">
        <v>101672</v>
      </c>
      <c r="L448" s="1">
        <v>111401</v>
      </c>
      <c r="O448" s="1">
        <v>213073</v>
      </c>
      <c r="Q448" s="1">
        <v>922230</v>
      </c>
      <c r="V448" s="1">
        <v>49575</v>
      </c>
      <c r="W448" s="1">
        <v>971805</v>
      </c>
      <c r="X448" s="1">
        <v>1298841</v>
      </c>
      <c r="Y448" s="1">
        <v>203031</v>
      </c>
      <c r="Z448" s="1">
        <v>217335</v>
      </c>
      <c r="AA448" s="1">
        <v>2318</v>
      </c>
      <c r="AB448" s="1">
        <v>47</v>
      </c>
      <c r="AC448" s="1">
        <v>30502</v>
      </c>
      <c r="AF448" s="1">
        <v>116</v>
      </c>
      <c r="AG448" s="1">
        <v>2048633</v>
      </c>
      <c r="AH448" s="1">
        <v>3020438</v>
      </c>
      <c r="AM448" s="1">
        <v>49787</v>
      </c>
      <c r="AO448" s="1">
        <v>49787</v>
      </c>
      <c r="AP448" s="1">
        <v>49787</v>
      </c>
      <c r="AZ448" s="1">
        <v>3455994</v>
      </c>
      <c r="BE448" s="1">
        <v>59664</v>
      </c>
      <c r="BR448" s="1">
        <v>236779</v>
      </c>
      <c r="CJ448" s="1">
        <v>111401</v>
      </c>
    </row>
    <row r="449" spans="1:121">
      <c r="A449" s="1">
        <v>27</v>
      </c>
      <c r="B449" s="1">
        <v>5520</v>
      </c>
      <c r="C449" s="1" t="s">
        <v>1019</v>
      </c>
      <c r="D449" s="1" t="s">
        <v>1270</v>
      </c>
      <c r="F449" s="1">
        <v>329473</v>
      </c>
      <c r="H449" s="1">
        <v>267585</v>
      </c>
      <c r="I449" s="1">
        <v>237117</v>
      </c>
      <c r="J449" s="1">
        <v>834175</v>
      </c>
      <c r="K449" s="1">
        <v>960487</v>
      </c>
      <c r="L449" s="1">
        <v>1729654</v>
      </c>
      <c r="M449" s="1">
        <v>501000</v>
      </c>
      <c r="N449" s="1">
        <v>2</v>
      </c>
      <c r="O449" s="1">
        <v>3191143</v>
      </c>
      <c r="P449" s="1">
        <v>1046493</v>
      </c>
      <c r="Q449" s="1">
        <v>26744883</v>
      </c>
      <c r="U449" s="1">
        <v>3800</v>
      </c>
      <c r="V449" s="1">
        <v>327135</v>
      </c>
      <c r="W449" s="1">
        <v>27075818</v>
      </c>
      <c r="X449" s="1">
        <v>2179110</v>
      </c>
      <c r="Y449" s="1">
        <v>948923</v>
      </c>
      <c r="Z449" s="1">
        <v>2079540</v>
      </c>
      <c r="AA449" s="1">
        <v>13962</v>
      </c>
      <c r="AB449" s="1">
        <v>123663</v>
      </c>
      <c r="AC449" s="1">
        <v>185295</v>
      </c>
      <c r="AD449" s="1">
        <v>2338337</v>
      </c>
      <c r="AE449" s="1">
        <v>1292652</v>
      </c>
      <c r="AG449" s="1">
        <v>11606933</v>
      </c>
      <c r="AH449" s="1">
        <v>39729244</v>
      </c>
      <c r="AM449" s="1">
        <v>553026</v>
      </c>
      <c r="AN449" s="1">
        <v>33729</v>
      </c>
      <c r="AO449" s="1">
        <v>586755</v>
      </c>
      <c r="AP449" s="1">
        <v>758482</v>
      </c>
      <c r="AQ449" s="1">
        <v>1505937</v>
      </c>
      <c r="AT449" s="1">
        <v>1505937</v>
      </c>
      <c r="AV449" s="1">
        <v>1505937</v>
      </c>
      <c r="AW449" s="1">
        <v>1505937</v>
      </c>
      <c r="AX449" s="1">
        <v>11176</v>
      </c>
      <c r="AY449" s="1">
        <v>-11176</v>
      </c>
      <c r="AZ449" s="1">
        <v>46018981</v>
      </c>
      <c r="BE449" s="1">
        <v>228345</v>
      </c>
      <c r="BF449" s="1">
        <v>12443</v>
      </c>
      <c r="BR449" s="1">
        <v>2204663</v>
      </c>
      <c r="BU449" s="1">
        <v>171727</v>
      </c>
      <c r="BV449" s="1">
        <v>171727</v>
      </c>
    </row>
    <row r="450" spans="1:121">
      <c r="A450" s="1">
        <v>27</v>
      </c>
      <c r="B450" s="1">
        <v>5660</v>
      </c>
      <c r="C450" s="1" t="s">
        <v>1019</v>
      </c>
      <c r="D450" s="1" t="s">
        <v>876</v>
      </c>
      <c r="F450" s="1">
        <v>926072</v>
      </c>
      <c r="G450" s="1">
        <v>234755</v>
      </c>
      <c r="I450" s="1">
        <v>1059337</v>
      </c>
      <c r="J450" s="1">
        <v>10738617</v>
      </c>
      <c r="K450" s="1">
        <v>1018823</v>
      </c>
      <c r="L450" s="1">
        <v>2100467</v>
      </c>
      <c r="M450" s="1">
        <v>28550810</v>
      </c>
      <c r="N450" s="1">
        <v>736667</v>
      </c>
      <c r="O450" s="1">
        <v>32406767</v>
      </c>
      <c r="P450" s="1">
        <v>1095100</v>
      </c>
      <c r="Q450" s="1">
        <v>33202895</v>
      </c>
      <c r="S450" s="1">
        <v>4062</v>
      </c>
      <c r="U450" s="1">
        <v>111485</v>
      </c>
      <c r="V450" s="1">
        <v>735120</v>
      </c>
      <c r="W450" s="1">
        <v>34053562</v>
      </c>
      <c r="Y450" s="1">
        <v>916407</v>
      </c>
      <c r="Z450" s="1">
        <v>1088768</v>
      </c>
      <c r="AA450" s="1">
        <v>18544</v>
      </c>
      <c r="AB450" s="1">
        <v>140240</v>
      </c>
      <c r="AC450" s="1">
        <v>137438</v>
      </c>
      <c r="AD450" s="1">
        <v>2614822</v>
      </c>
      <c r="AE450" s="1">
        <v>1388025</v>
      </c>
      <c r="AG450" s="1">
        <v>9479334</v>
      </c>
      <c r="AH450" s="1">
        <v>44627996</v>
      </c>
      <c r="AJ450" s="1">
        <v>51703</v>
      </c>
      <c r="AK450" s="1">
        <v>51703</v>
      </c>
      <c r="AM450" s="1">
        <v>468477</v>
      </c>
      <c r="AN450" s="1">
        <v>232512</v>
      </c>
      <c r="AO450" s="1">
        <v>700989</v>
      </c>
      <c r="AP450" s="1">
        <v>770447</v>
      </c>
      <c r="AQ450" s="1">
        <v>1748062</v>
      </c>
      <c r="AT450" s="1">
        <v>1748062</v>
      </c>
      <c r="AV450" s="1">
        <v>1897458</v>
      </c>
      <c r="AW450" s="1">
        <v>1897458</v>
      </c>
      <c r="AX450" s="1">
        <v>1244496</v>
      </c>
      <c r="AY450" s="1">
        <v>-1244496</v>
      </c>
      <c r="AZ450" s="1">
        <v>90441285</v>
      </c>
      <c r="BA450" s="1">
        <v>66205</v>
      </c>
      <c r="BC450" s="1">
        <v>4062</v>
      </c>
      <c r="BE450" s="1">
        <v>150402</v>
      </c>
      <c r="BF450" s="1">
        <v>172435</v>
      </c>
      <c r="BL450" s="1">
        <v>149396</v>
      </c>
      <c r="BR450" s="1">
        <v>2852253</v>
      </c>
      <c r="BU450" s="1">
        <v>17755</v>
      </c>
      <c r="BV450" s="1">
        <v>17755</v>
      </c>
      <c r="CL450" s="1">
        <v>8452248</v>
      </c>
    </row>
    <row r="451" spans="1:121">
      <c r="A451" s="1">
        <v>27</v>
      </c>
      <c r="B451" s="1">
        <v>5770</v>
      </c>
      <c r="C451" s="1" t="s">
        <v>1019</v>
      </c>
      <c r="D451" s="1" t="s">
        <v>877</v>
      </c>
      <c r="F451" s="1">
        <v>348</v>
      </c>
      <c r="I451" s="1">
        <v>156991</v>
      </c>
      <c r="J451" s="1">
        <v>157339</v>
      </c>
      <c r="K451" s="1">
        <v>157390</v>
      </c>
      <c r="M451" s="1">
        <v>5858</v>
      </c>
      <c r="N451" s="1">
        <v>88202</v>
      </c>
      <c r="O451" s="1">
        <v>251450</v>
      </c>
      <c r="P451" s="1">
        <v>-9583</v>
      </c>
      <c r="Q451" s="1">
        <v>6703455</v>
      </c>
      <c r="U451" s="1">
        <v>12382</v>
      </c>
      <c r="V451" s="1">
        <v>22144</v>
      </c>
      <c r="W451" s="1">
        <v>6737981</v>
      </c>
      <c r="X451" s="1">
        <v>1196806</v>
      </c>
      <c r="Y451" s="1">
        <v>37337</v>
      </c>
      <c r="Z451" s="1">
        <v>701139</v>
      </c>
      <c r="AA451" s="1">
        <v>63090</v>
      </c>
      <c r="AB451" s="1">
        <v>32234</v>
      </c>
      <c r="AC451" s="1">
        <v>88558</v>
      </c>
      <c r="AD451" s="1">
        <v>699777</v>
      </c>
      <c r="AE451" s="1">
        <v>387038</v>
      </c>
      <c r="AG451" s="1">
        <v>3274362</v>
      </c>
      <c r="AH451" s="1">
        <v>10003914</v>
      </c>
      <c r="AJ451" s="1">
        <v>121269</v>
      </c>
      <c r="AK451" s="1">
        <v>599415</v>
      </c>
      <c r="AL451" s="1">
        <v>221317</v>
      </c>
      <c r="AM451" s="1">
        <v>191226</v>
      </c>
      <c r="AN451" s="1">
        <v>181034</v>
      </c>
      <c r="AO451" s="1">
        <v>593577</v>
      </c>
      <c r="AP451" s="1">
        <v>1197693</v>
      </c>
      <c r="AQ451" s="1">
        <v>313014</v>
      </c>
      <c r="AT451" s="1">
        <v>313014</v>
      </c>
      <c r="AU451" s="1">
        <v>176910</v>
      </c>
      <c r="AV451" s="1">
        <v>489924</v>
      </c>
      <c r="AW451" s="1">
        <v>489924</v>
      </c>
      <c r="AY451" s="1">
        <v>-2684</v>
      </c>
      <c r="AZ451" s="1">
        <v>12100320</v>
      </c>
      <c r="BE451" s="1">
        <v>66063</v>
      </c>
      <c r="BF451" s="1">
        <v>2320</v>
      </c>
      <c r="BH451" s="1">
        <v>1154</v>
      </c>
      <c r="BI451" s="1">
        <v>385386</v>
      </c>
      <c r="BJ451" s="1">
        <v>92760</v>
      </c>
      <c r="BU451" s="1">
        <v>4701</v>
      </c>
      <c r="BV451" s="1">
        <v>4701</v>
      </c>
      <c r="CA451" s="1">
        <v>1154</v>
      </c>
      <c r="CC451" s="1">
        <v>2684</v>
      </c>
    </row>
    <row r="452" spans="1:121">
      <c r="A452" s="1">
        <v>29</v>
      </c>
      <c r="B452" s="1">
        <v>185</v>
      </c>
      <c r="C452" s="1" t="s">
        <v>878</v>
      </c>
      <c r="D452" s="1" t="s">
        <v>879</v>
      </c>
      <c r="F452" s="1">
        <v>299536</v>
      </c>
      <c r="I452" s="1">
        <v>18000</v>
      </c>
      <c r="J452" s="1">
        <v>317536</v>
      </c>
      <c r="K452" s="1">
        <v>664577</v>
      </c>
      <c r="L452" s="1">
        <v>1646668</v>
      </c>
      <c r="M452" s="1">
        <v>-855382</v>
      </c>
      <c r="N452" s="1">
        <v>836344</v>
      </c>
      <c r="O452" s="1">
        <v>2292207</v>
      </c>
      <c r="Q452" s="1">
        <v>19755300</v>
      </c>
      <c r="V452" s="1">
        <v>164427</v>
      </c>
      <c r="W452" s="1">
        <v>19919727</v>
      </c>
      <c r="X452" s="1">
        <v>14044416</v>
      </c>
      <c r="Y452" s="1">
        <v>885792</v>
      </c>
      <c r="Z452" s="1">
        <v>3461717</v>
      </c>
      <c r="AA452" s="1">
        <v>4636</v>
      </c>
      <c r="AB452" s="1">
        <v>125463</v>
      </c>
      <c r="AC452" s="1">
        <v>364600</v>
      </c>
      <c r="AD452" s="1">
        <v>1454499</v>
      </c>
      <c r="AE452" s="1">
        <v>1208192</v>
      </c>
      <c r="AF452" s="1">
        <v>12398</v>
      </c>
      <c r="AG452" s="1">
        <v>22133565</v>
      </c>
      <c r="AH452" s="1">
        <v>42053292</v>
      </c>
      <c r="AI452" s="1">
        <v>124947</v>
      </c>
      <c r="AK452" s="1">
        <v>300564</v>
      </c>
      <c r="AL452" s="1">
        <v>335328</v>
      </c>
      <c r="AM452" s="1">
        <v>712154</v>
      </c>
      <c r="AN452" s="1">
        <v>123567</v>
      </c>
      <c r="AO452" s="1">
        <v>1171049</v>
      </c>
      <c r="AP452" s="1">
        <v>1471613</v>
      </c>
      <c r="AQ452" s="1">
        <v>781800</v>
      </c>
      <c r="AT452" s="1">
        <v>781800</v>
      </c>
      <c r="AU452" s="1">
        <v>730640</v>
      </c>
      <c r="AV452" s="1">
        <v>1852662</v>
      </c>
      <c r="AW452" s="1">
        <v>1852662</v>
      </c>
      <c r="AY452" s="1">
        <v>-340222</v>
      </c>
      <c r="AZ452" s="1">
        <v>59590186</v>
      </c>
      <c r="BE452" s="1">
        <v>571852</v>
      </c>
      <c r="BJ452" s="1">
        <v>175617</v>
      </c>
      <c r="BL452" s="1">
        <v>340222</v>
      </c>
      <c r="BY452" s="1">
        <v>11602876</v>
      </c>
      <c r="CC452" s="1">
        <v>11943098</v>
      </c>
    </row>
    <row r="453" spans="1:121">
      <c r="A453" s="1">
        <v>29</v>
      </c>
      <c r="B453" s="1">
        <v>210</v>
      </c>
      <c r="C453" s="1" t="s">
        <v>878</v>
      </c>
      <c r="D453" s="1" t="s">
        <v>880</v>
      </c>
      <c r="J453" s="1">
        <v>6309</v>
      </c>
      <c r="K453" s="1">
        <v>90773</v>
      </c>
      <c r="O453" s="1">
        <v>90773</v>
      </c>
      <c r="Q453" s="1">
        <v>2121394</v>
      </c>
      <c r="S453" s="1">
        <v>101593</v>
      </c>
      <c r="V453" s="1">
        <v>2991</v>
      </c>
      <c r="W453" s="1">
        <v>2225978</v>
      </c>
      <c r="Y453" s="1">
        <v>3812</v>
      </c>
      <c r="Z453" s="1">
        <v>31440</v>
      </c>
      <c r="AA453" s="1">
        <v>16226</v>
      </c>
      <c r="AB453" s="1">
        <v>9529</v>
      </c>
      <c r="AC453" s="1">
        <v>6173</v>
      </c>
      <c r="AD453" s="1">
        <v>137263</v>
      </c>
      <c r="AE453" s="1">
        <v>53415</v>
      </c>
      <c r="AG453" s="1">
        <v>285492</v>
      </c>
      <c r="AH453" s="1">
        <v>2576766</v>
      </c>
      <c r="AM453" s="1">
        <v>23034</v>
      </c>
      <c r="AN453" s="1">
        <v>7846</v>
      </c>
      <c r="AO453" s="1">
        <v>30880</v>
      </c>
      <c r="AP453" s="1">
        <v>30880</v>
      </c>
      <c r="AZ453" s="1">
        <v>4926728</v>
      </c>
      <c r="BB453" s="1">
        <v>6309</v>
      </c>
      <c r="BC453" s="1">
        <v>101593</v>
      </c>
      <c r="BE453" s="1">
        <v>2484</v>
      </c>
      <c r="BR453" s="1">
        <v>25150</v>
      </c>
      <c r="BY453" s="1">
        <v>2222000</v>
      </c>
      <c r="CX453" s="1">
        <v>65296</v>
      </c>
      <c r="DF453" s="1">
        <v>2222000</v>
      </c>
    </row>
    <row r="454" spans="1:121">
      <c r="A454" s="1">
        <v>29</v>
      </c>
      <c r="B454" s="1">
        <v>230</v>
      </c>
      <c r="C454" s="1" t="s">
        <v>878</v>
      </c>
      <c r="D454" s="1" t="s">
        <v>881</v>
      </c>
      <c r="F454" s="1">
        <v>78797</v>
      </c>
      <c r="G454" s="1">
        <v>85950</v>
      </c>
      <c r="I454" s="1">
        <v>18079</v>
      </c>
      <c r="J454" s="1">
        <v>182826</v>
      </c>
      <c r="K454" s="1">
        <v>100000</v>
      </c>
      <c r="L454" s="1">
        <v>77852</v>
      </c>
      <c r="O454" s="1">
        <v>177852</v>
      </c>
      <c r="Q454" s="1">
        <v>1198525</v>
      </c>
      <c r="U454" s="1">
        <v>36</v>
      </c>
      <c r="V454" s="1">
        <v>10323</v>
      </c>
      <c r="W454" s="1">
        <v>1208884</v>
      </c>
      <c r="Z454" s="1">
        <v>5976</v>
      </c>
      <c r="AA454" s="1">
        <v>1168</v>
      </c>
      <c r="AC454" s="1">
        <v>9107</v>
      </c>
      <c r="AD454" s="1">
        <v>108013</v>
      </c>
      <c r="AE454" s="1">
        <v>50427</v>
      </c>
      <c r="AG454" s="1">
        <v>231830</v>
      </c>
      <c r="AH454" s="1">
        <v>1440714</v>
      </c>
      <c r="AM454" s="1">
        <v>15960</v>
      </c>
      <c r="AO454" s="1">
        <v>15960</v>
      </c>
      <c r="AP454" s="1">
        <v>15960</v>
      </c>
      <c r="AZ454" s="1">
        <v>1817352</v>
      </c>
      <c r="BE454" s="1">
        <v>2022</v>
      </c>
      <c r="BF454" s="1">
        <v>3970</v>
      </c>
      <c r="BR454" s="1">
        <v>51147</v>
      </c>
    </row>
    <row r="455" spans="1:121">
      <c r="A455" s="1">
        <v>29</v>
      </c>
      <c r="B455" s="1">
        <v>320</v>
      </c>
      <c r="C455" s="1" t="s">
        <v>878</v>
      </c>
      <c r="D455" s="1" t="s">
        <v>882</v>
      </c>
      <c r="F455" s="1">
        <v>233815</v>
      </c>
      <c r="G455" s="1">
        <v>135833</v>
      </c>
      <c r="H455" s="1">
        <v>165499</v>
      </c>
      <c r="I455" s="1">
        <v>1000</v>
      </c>
      <c r="J455" s="1">
        <v>940570</v>
      </c>
      <c r="K455" s="1">
        <v>476362</v>
      </c>
      <c r="L455" s="1">
        <v>500000</v>
      </c>
      <c r="M455" s="1">
        <v>157370</v>
      </c>
      <c r="N455" s="1">
        <v>2</v>
      </c>
      <c r="O455" s="1">
        <v>1133734</v>
      </c>
      <c r="P455" s="1">
        <v>57</v>
      </c>
      <c r="Q455" s="1">
        <v>21843362</v>
      </c>
      <c r="V455" s="1">
        <v>96311</v>
      </c>
      <c r="W455" s="1">
        <v>21939673</v>
      </c>
      <c r="Y455" s="1">
        <v>221822</v>
      </c>
      <c r="Z455" s="1">
        <v>1616593</v>
      </c>
      <c r="AA455" s="1">
        <v>33764</v>
      </c>
      <c r="AB455" s="1">
        <v>49105</v>
      </c>
      <c r="AC455" s="1">
        <v>293541</v>
      </c>
      <c r="AD455" s="1">
        <v>1730902</v>
      </c>
      <c r="AE455" s="1">
        <v>861966</v>
      </c>
      <c r="AG455" s="1">
        <v>5178385</v>
      </c>
      <c r="AH455" s="1">
        <v>27118115</v>
      </c>
      <c r="AI455" s="1">
        <v>97941</v>
      </c>
      <c r="AJ455" s="1">
        <v>675</v>
      </c>
      <c r="AK455" s="1">
        <v>252633</v>
      </c>
      <c r="AL455" s="1">
        <v>203282</v>
      </c>
      <c r="AM455" s="1">
        <v>406775</v>
      </c>
      <c r="AN455" s="1">
        <v>84400</v>
      </c>
      <c r="AO455" s="1">
        <v>694457</v>
      </c>
      <c r="AP455" s="1">
        <v>1002563</v>
      </c>
      <c r="AQ455" s="1">
        <v>1886374</v>
      </c>
      <c r="AT455" s="1">
        <v>1886374</v>
      </c>
      <c r="AV455" s="1">
        <v>1886374</v>
      </c>
      <c r="AW455" s="1">
        <v>1886374</v>
      </c>
      <c r="AZ455" s="1">
        <v>32081356</v>
      </c>
      <c r="BF455" s="1">
        <v>10672</v>
      </c>
      <c r="BJ455" s="1">
        <v>154017</v>
      </c>
      <c r="BU455" s="1">
        <v>55473</v>
      </c>
      <c r="BV455" s="1">
        <v>55473</v>
      </c>
      <c r="CL455" s="1">
        <v>404423</v>
      </c>
      <c r="DO455" s="1">
        <v>360020</v>
      </c>
    </row>
    <row r="456" spans="1:121">
      <c r="A456" s="1">
        <v>29</v>
      </c>
      <c r="B456" s="1">
        <v>530</v>
      </c>
      <c r="C456" s="1" t="s">
        <v>878</v>
      </c>
      <c r="D456" s="1" t="s">
        <v>883</v>
      </c>
      <c r="F456" s="1">
        <v>357133</v>
      </c>
      <c r="G456" s="1">
        <v>161997</v>
      </c>
      <c r="H456" s="1">
        <v>1651970</v>
      </c>
      <c r="I456" s="1">
        <v>334052</v>
      </c>
      <c r="J456" s="1">
        <v>2505152</v>
      </c>
      <c r="K456" s="1">
        <v>2321927</v>
      </c>
      <c r="L456" s="1">
        <v>745619</v>
      </c>
      <c r="M456" s="1">
        <v>1474104</v>
      </c>
      <c r="N456" s="1">
        <v>1</v>
      </c>
      <c r="O456" s="1">
        <v>4541651</v>
      </c>
      <c r="Q456" s="1">
        <v>79614807</v>
      </c>
      <c r="R456" s="1">
        <v>195074</v>
      </c>
      <c r="S456" s="1">
        <v>195074</v>
      </c>
      <c r="U456" s="1">
        <v>15772</v>
      </c>
      <c r="V456" s="1">
        <v>1055509</v>
      </c>
      <c r="W456" s="1">
        <v>80881162</v>
      </c>
      <c r="X456" s="1">
        <v>19226620</v>
      </c>
      <c r="Y456" s="1">
        <v>4434511</v>
      </c>
      <c r="Z456" s="1">
        <v>8090782</v>
      </c>
      <c r="AA456" s="1">
        <v>94482</v>
      </c>
      <c r="AB456" s="1">
        <v>496378</v>
      </c>
      <c r="AC456" s="1">
        <v>1240756</v>
      </c>
      <c r="AD456" s="1">
        <v>8528237</v>
      </c>
      <c r="AE456" s="1">
        <v>4176081</v>
      </c>
      <c r="AG456" s="1">
        <v>50377036</v>
      </c>
      <c r="AH456" s="1">
        <v>133016915</v>
      </c>
      <c r="AI456" s="1">
        <v>311423</v>
      </c>
      <c r="AJ456" s="1">
        <v>690329</v>
      </c>
      <c r="AK456" s="1">
        <v>1001752</v>
      </c>
      <c r="AL456" s="1">
        <v>1030539</v>
      </c>
      <c r="AM456" s="1">
        <v>2394919</v>
      </c>
      <c r="AN456" s="1">
        <v>401589</v>
      </c>
      <c r="AO456" s="1">
        <v>3827047</v>
      </c>
      <c r="AP456" s="1">
        <v>4896442</v>
      </c>
      <c r="AQ456" s="1">
        <v>3052550</v>
      </c>
      <c r="AT456" s="1">
        <v>3052550</v>
      </c>
      <c r="AU456" s="1">
        <v>387685</v>
      </c>
      <c r="AV456" s="1">
        <v>3440235</v>
      </c>
      <c r="AW456" s="1">
        <v>3440235</v>
      </c>
      <c r="AZ456" s="1">
        <v>148400395</v>
      </c>
      <c r="BE456" s="1">
        <v>1006348</v>
      </c>
      <c r="BF456" s="1">
        <v>56472</v>
      </c>
      <c r="BH456" s="1">
        <v>55225</v>
      </c>
      <c r="BU456" s="1">
        <v>67643</v>
      </c>
      <c r="BV456" s="1">
        <v>67643</v>
      </c>
      <c r="CA456" s="1">
        <v>55225</v>
      </c>
      <c r="CG456" s="1">
        <v>1703492</v>
      </c>
      <c r="CJ456" s="1">
        <v>2397589</v>
      </c>
      <c r="DL456" s="1">
        <v>176900</v>
      </c>
      <c r="DO456" s="1">
        <v>3026369</v>
      </c>
    </row>
    <row r="457" spans="1:121">
      <c r="A457" s="1">
        <v>29</v>
      </c>
      <c r="B457" s="1">
        <v>770</v>
      </c>
      <c r="C457" s="1" t="s">
        <v>878</v>
      </c>
      <c r="D457" s="1" t="s">
        <v>884</v>
      </c>
      <c r="F457" s="1">
        <v>636973</v>
      </c>
      <c r="G457" s="1">
        <v>790980</v>
      </c>
      <c r="H457" s="1">
        <v>1570490</v>
      </c>
      <c r="J457" s="1">
        <v>3019164</v>
      </c>
      <c r="K457" s="1">
        <v>589209</v>
      </c>
      <c r="L457" s="1">
        <v>1601597</v>
      </c>
      <c r="M457" s="1">
        <v>873528</v>
      </c>
      <c r="N457" s="1">
        <v>8037</v>
      </c>
      <c r="O457" s="1">
        <v>3072371</v>
      </c>
      <c r="Q457" s="1">
        <v>23052945</v>
      </c>
      <c r="R457" s="1">
        <v>82951</v>
      </c>
      <c r="S457" s="1">
        <v>82951</v>
      </c>
      <c r="V457" s="1">
        <v>544017</v>
      </c>
      <c r="W457" s="1">
        <v>23679913</v>
      </c>
      <c r="X457" s="1">
        <v>171643</v>
      </c>
      <c r="Y457" s="1">
        <v>1005304</v>
      </c>
      <c r="Z457" s="1">
        <v>1609103</v>
      </c>
      <c r="AA457" s="1">
        <v>12866</v>
      </c>
      <c r="AB457" s="1">
        <v>58333</v>
      </c>
      <c r="AC457" s="1">
        <v>257623</v>
      </c>
      <c r="AD457" s="1">
        <v>2124631</v>
      </c>
      <c r="AE457" s="1">
        <v>927331</v>
      </c>
      <c r="AG457" s="1">
        <v>6585404</v>
      </c>
      <c r="AH457" s="1">
        <v>30265317</v>
      </c>
      <c r="AI457" s="1">
        <v>32914</v>
      </c>
      <c r="AJ457" s="1">
        <v>2040</v>
      </c>
      <c r="AK457" s="1">
        <v>55517</v>
      </c>
      <c r="AL457" s="1">
        <v>197631</v>
      </c>
      <c r="AM457" s="1">
        <v>515912</v>
      </c>
      <c r="AN457" s="1">
        <v>84001</v>
      </c>
      <c r="AO457" s="1">
        <v>797544</v>
      </c>
      <c r="AP457" s="1">
        <v>877783</v>
      </c>
      <c r="AQ457" s="1">
        <v>1124267</v>
      </c>
      <c r="AS457" s="1">
        <v>8281</v>
      </c>
      <c r="AT457" s="1">
        <v>1132548</v>
      </c>
      <c r="AV457" s="1">
        <v>1132548</v>
      </c>
      <c r="AW457" s="1">
        <v>1132548</v>
      </c>
      <c r="AZ457" s="1">
        <v>38395196</v>
      </c>
      <c r="BB457" s="1">
        <v>20721</v>
      </c>
      <c r="BE457" s="1">
        <v>103560</v>
      </c>
      <c r="BF457" s="1">
        <v>5410</v>
      </c>
      <c r="BU457" s="1">
        <v>24722</v>
      </c>
      <c r="BV457" s="1">
        <v>24722</v>
      </c>
      <c r="BY457" s="1">
        <v>28013</v>
      </c>
      <c r="CC457" s="1">
        <v>28013</v>
      </c>
      <c r="CJ457" s="1">
        <v>3172087</v>
      </c>
      <c r="DC457" s="1">
        <v>8281</v>
      </c>
      <c r="DO457" s="1">
        <v>309600</v>
      </c>
      <c r="DQ457" s="1">
        <v>20563</v>
      </c>
    </row>
    <row r="458" spans="1:121">
      <c r="A458" s="1">
        <v>29</v>
      </c>
      <c r="B458" s="1">
        <v>1150</v>
      </c>
      <c r="C458" s="1" t="s">
        <v>878</v>
      </c>
      <c r="D458" s="1" t="s">
        <v>885</v>
      </c>
      <c r="K458" s="1">
        <v>14022</v>
      </c>
      <c r="M458" s="1">
        <v>22410</v>
      </c>
      <c r="O458" s="1">
        <v>36432</v>
      </c>
      <c r="Q458" s="1">
        <v>1380676</v>
      </c>
      <c r="V458" s="1">
        <v>16294</v>
      </c>
      <c r="W458" s="1">
        <v>1396970</v>
      </c>
      <c r="X458" s="1">
        <v>299075</v>
      </c>
      <c r="Y458" s="1">
        <v>38894</v>
      </c>
      <c r="Z458" s="1">
        <v>168009</v>
      </c>
      <c r="AB458" s="1">
        <v>6995</v>
      </c>
      <c r="AC458" s="1">
        <v>16239</v>
      </c>
      <c r="AD458" s="1">
        <v>105428</v>
      </c>
      <c r="AE458" s="1">
        <v>76482</v>
      </c>
      <c r="AG458" s="1">
        <v>794459</v>
      </c>
      <c r="AH458" s="1">
        <v>2191429</v>
      </c>
      <c r="AK458" s="1">
        <v>119751</v>
      </c>
      <c r="AL458" s="1">
        <v>26102</v>
      </c>
      <c r="AM458" s="1">
        <v>42485</v>
      </c>
      <c r="AN458" s="1">
        <v>28977</v>
      </c>
      <c r="AO458" s="1">
        <v>97564</v>
      </c>
      <c r="AP458" s="1">
        <v>217315</v>
      </c>
      <c r="AQ458" s="1">
        <v>43412</v>
      </c>
      <c r="AS458" s="1">
        <v>55645</v>
      </c>
      <c r="AT458" s="1">
        <v>99057</v>
      </c>
      <c r="AU458" s="1">
        <v>23113</v>
      </c>
      <c r="AV458" s="1">
        <v>122170</v>
      </c>
      <c r="AW458" s="1">
        <v>122170</v>
      </c>
      <c r="AZ458" s="1">
        <v>4212531</v>
      </c>
      <c r="BE458" s="1">
        <v>21088</v>
      </c>
      <c r="BF458" s="1">
        <v>1276</v>
      </c>
      <c r="BI458" s="1">
        <v>72936</v>
      </c>
      <c r="BJ458" s="1">
        <v>46815</v>
      </c>
      <c r="BR458" s="1">
        <v>60973</v>
      </c>
      <c r="BX458" s="1">
        <v>1645000</v>
      </c>
      <c r="BY458" s="1">
        <v>1645185</v>
      </c>
      <c r="CC458" s="1">
        <v>185</v>
      </c>
      <c r="DC458" s="1">
        <v>55645</v>
      </c>
    </row>
    <row r="459" spans="1:121">
      <c r="A459" s="1">
        <v>29</v>
      </c>
      <c r="B459" s="1">
        <v>2350</v>
      </c>
      <c r="C459" s="1" t="s">
        <v>878</v>
      </c>
      <c r="D459" s="1" t="s">
        <v>886</v>
      </c>
      <c r="F459" s="1">
        <v>96343</v>
      </c>
      <c r="G459" s="1">
        <v>143350</v>
      </c>
      <c r="I459" s="1">
        <v>30986</v>
      </c>
      <c r="J459" s="1">
        <v>293022</v>
      </c>
      <c r="K459" s="1">
        <v>101292</v>
      </c>
      <c r="L459" s="1">
        <v>91811</v>
      </c>
      <c r="N459" s="1">
        <v>20749</v>
      </c>
      <c r="O459" s="1">
        <v>213852</v>
      </c>
      <c r="Q459" s="1">
        <v>1519823</v>
      </c>
      <c r="V459" s="1">
        <v>38731</v>
      </c>
      <c r="W459" s="1">
        <v>1558554</v>
      </c>
      <c r="Y459" s="1">
        <v>16943</v>
      </c>
      <c r="Z459" s="1">
        <v>102120</v>
      </c>
      <c r="AC459" s="1">
        <v>10661</v>
      </c>
      <c r="AD459" s="1">
        <v>151200</v>
      </c>
      <c r="AE459" s="1">
        <v>61354</v>
      </c>
      <c r="AG459" s="1">
        <v>380261</v>
      </c>
      <c r="AH459" s="1">
        <v>1938852</v>
      </c>
      <c r="AI459" s="1">
        <v>7725</v>
      </c>
      <c r="AK459" s="1">
        <v>7725</v>
      </c>
      <c r="AM459" s="1">
        <v>28956</v>
      </c>
      <c r="AN459" s="1">
        <v>7619</v>
      </c>
      <c r="AO459" s="1">
        <v>36575</v>
      </c>
      <c r="AP459" s="1">
        <v>45300</v>
      </c>
      <c r="AQ459" s="1">
        <v>76097</v>
      </c>
      <c r="AS459" s="1">
        <v>320</v>
      </c>
      <c r="AT459" s="1">
        <v>76417</v>
      </c>
      <c r="AV459" s="1">
        <v>76417</v>
      </c>
      <c r="AW459" s="1">
        <v>76417</v>
      </c>
      <c r="AX459" s="1">
        <v>37</v>
      </c>
      <c r="AZ459" s="1">
        <v>2567480</v>
      </c>
      <c r="BB459" s="1">
        <v>22343</v>
      </c>
      <c r="BE459" s="1">
        <v>2763</v>
      </c>
      <c r="BF459" s="1">
        <v>1392</v>
      </c>
      <c r="BR459" s="1">
        <v>33828</v>
      </c>
      <c r="BU459" s="1">
        <v>1000</v>
      </c>
      <c r="BV459" s="1">
        <v>1000</v>
      </c>
      <c r="BY459" s="1">
        <v>37</v>
      </c>
      <c r="CX459" s="1">
        <v>37</v>
      </c>
      <c r="DC459" s="1">
        <v>320</v>
      </c>
    </row>
    <row r="460" spans="1:121">
      <c r="A460" s="1">
        <v>29</v>
      </c>
      <c r="B460" s="1">
        <v>2360</v>
      </c>
      <c r="C460" s="1" t="s">
        <v>878</v>
      </c>
      <c r="D460" s="1" t="s">
        <v>887</v>
      </c>
      <c r="F460" s="1">
        <v>2314567</v>
      </c>
      <c r="G460" s="1">
        <v>1074911</v>
      </c>
      <c r="H460" s="1">
        <v>2143321</v>
      </c>
      <c r="I460" s="1">
        <v>1</v>
      </c>
      <c r="J460" s="1">
        <v>19027088</v>
      </c>
      <c r="K460" s="1">
        <v>2334033</v>
      </c>
      <c r="L460" s="1">
        <v>3456679</v>
      </c>
      <c r="M460" s="1">
        <v>-2774034</v>
      </c>
      <c r="N460" s="1">
        <v>1310510</v>
      </c>
      <c r="O460" s="1">
        <v>4327188</v>
      </c>
      <c r="Q460" s="1">
        <v>60020934</v>
      </c>
      <c r="S460" s="1">
        <v>114335</v>
      </c>
      <c r="V460" s="1">
        <v>1079633</v>
      </c>
      <c r="W460" s="1">
        <v>61214902</v>
      </c>
      <c r="X460" s="1">
        <v>30752632</v>
      </c>
      <c r="Y460" s="1">
        <v>3371231</v>
      </c>
      <c r="Z460" s="1">
        <v>11631811</v>
      </c>
      <c r="AA460" s="1">
        <v>80376</v>
      </c>
      <c r="AB460" s="1">
        <v>245257</v>
      </c>
      <c r="AC460" s="1">
        <v>1058579</v>
      </c>
      <c r="AD460" s="1">
        <v>6180862</v>
      </c>
      <c r="AE460" s="1">
        <v>3539651</v>
      </c>
      <c r="AF460" s="1">
        <v>50035</v>
      </c>
      <c r="AG460" s="1">
        <v>58842283</v>
      </c>
      <c r="AH460" s="1">
        <v>122691375</v>
      </c>
      <c r="AI460" s="1">
        <v>184179</v>
      </c>
      <c r="AJ460" s="1">
        <v>223233</v>
      </c>
      <c r="AK460" s="1">
        <v>407412</v>
      </c>
      <c r="AL460" s="1">
        <v>286521</v>
      </c>
      <c r="AM460" s="1">
        <v>1848304</v>
      </c>
      <c r="AN460" s="1">
        <v>915758</v>
      </c>
      <c r="AO460" s="1">
        <v>3127535</v>
      </c>
      <c r="AP460" s="1">
        <v>3652482</v>
      </c>
      <c r="AQ460" s="1">
        <v>6135149</v>
      </c>
      <c r="AR460" s="1">
        <v>12148</v>
      </c>
      <c r="AS460" s="1">
        <v>12148</v>
      </c>
      <c r="AT460" s="1">
        <v>6147297</v>
      </c>
      <c r="AU460" s="1">
        <v>1911943</v>
      </c>
      <c r="AV460" s="1">
        <v>8649525</v>
      </c>
      <c r="AW460" s="1">
        <v>8649525</v>
      </c>
      <c r="AZ460" s="1">
        <v>170068658</v>
      </c>
      <c r="BC460" s="1">
        <v>114335</v>
      </c>
      <c r="BE460" s="1">
        <v>1412364</v>
      </c>
      <c r="BF460" s="1">
        <v>519485</v>
      </c>
      <c r="BK460" s="1">
        <v>32703</v>
      </c>
      <c r="BM460" s="1">
        <v>590285</v>
      </c>
      <c r="BU460" s="1">
        <v>117535</v>
      </c>
      <c r="BV460" s="1">
        <v>117535</v>
      </c>
      <c r="BX460" s="1">
        <v>11721000</v>
      </c>
      <c r="BY460" s="1">
        <v>11721000</v>
      </c>
      <c r="CG460" s="1">
        <v>1089975</v>
      </c>
      <c r="CL460" s="1">
        <v>13494288</v>
      </c>
      <c r="CX460" s="1">
        <v>1544215</v>
      </c>
      <c r="DE460" s="1">
        <v>24587</v>
      </c>
      <c r="DG460" s="1">
        <v>19662</v>
      </c>
    </row>
    <row r="461" spans="1:121">
      <c r="A461" s="1">
        <v>29</v>
      </c>
      <c r="B461" s="1">
        <v>2480</v>
      </c>
      <c r="C461" s="1" t="s">
        <v>878</v>
      </c>
      <c r="D461" s="1" t="s">
        <v>888</v>
      </c>
      <c r="F461" s="1">
        <v>311667</v>
      </c>
      <c r="J461" s="1">
        <v>329951</v>
      </c>
      <c r="K461" s="1">
        <v>883373</v>
      </c>
      <c r="L461" s="1">
        <v>500000</v>
      </c>
      <c r="M461" s="1">
        <v>118449</v>
      </c>
      <c r="N461" s="1">
        <v>638625</v>
      </c>
      <c r="O461" s="1">
        <v>2140447</v>
      </c>
      <c r="Q461" s="1">
        <v>34814214</v>
      </c>
      <c r="R461" s="1">
        <v>193321</v>
      </c>
      <c r="S461" s="1">
        <v>193321</v>
      </c>
      <c r="V461" s="1">
        <v>221791</v>
      </c>
      <c r="W461" s="1">
        <v>35229326</v>
      </c>
      <c r="X461" s="1">
        <v>12646728</v>
      </c>
      <c r="Y461" s="1">
        <v>1033432</v>
      </c>
      <c r="Z461" s="1">
        <v>4079112</v>
      </c>
      <c r="AA461" s="1">
        <v>17466</v>
      </c>
      <c r="AB461" s="1">
        <v>61909</v>
      </c>
      <c r="AC461" s="1">
        <v>564619</v>
      </c>
      <c r="AD461" s="1">
        <v>2969379</v>
      </c>
      <c r="AE461" s="1">
        <v>1832879</v>
      </c>
      <c r="AG461" s="1">
        <v>23763081</v>
      </c>
      <c r="AH461" s="1">
        <v>58992407</v>
      </c>
      <c r="AI461" s="1">
        <v>161285</v>
      </c>
      <c r="AJ461" s="1">
        <v>3771</v>
      </c>
      <c r="AK461" s="1">
        <v>165056</v>
      </c>
      <c r="AL461" s="1">
        <v>433889</v>
      </c>
      <c r="AM461" s="1">
        <v>1009743</v>
      </c>
      <c r="AN461" s="1">
        <v>211665</v>
      </c>
      <c r="AO461" s="1">
        <v>1655297</v>
      </c>
      <c r="AP461" s="1">
        <v>1944028</v>
      </c>
      <c r="AQ461" s="1">
        <v>2143562</v>
      </c>
      <c r="AT461" s="1">
        <v>2143562</v>
      </c>
      <c r="AU461" s="1">
        <v>819615</v>
      </c>
      <c r="AV461" s="1">
        <v>2963177</v>
      </c>
      <c r="AW461" s="1">
        <v>2963177</v>
      </c>
      <c r="AZ461" s="1">
        <v>66370010</v>
      </c>
      <c r="BE461" s="1">
        <v>555201</v>
      </c>
      <c r="BF461" s="1">
        <v>2356</v>
      </c>
      <c r="BU461" s="1">
        <v>123675</v>
      </c>
      <c r="BV461" s="1">
        <v>123675</v>
      </c>
      <c r="CL461" s="1">
        <v>18284</v>
      </c>
    </row>
    <row r="462" spans="1:121">
      <c r="A462" s="1">
        <v>29</v>
      </c>
      <c r="B462" s="1">
        <v>2500</v>
      </c>
      <c r="C462" s="1" t="s">
        <v>878</v>
      </c>
      <c r="D462" s="1" t="s">
        <v>889</v>
      </c>
      <c r="G462" s="1">
        <v>120770</v>
      </c>
      <c r="H462" s="1">
        <v>422328</v>
      </c>
      <c r="J462" s="1">
        <v>543098</v>
      </c>
      <c r="K462" s="1">
        <v>485540</v>
      </c>
      <c r="L462" s="1">
        <v>518912</v>
      </c>
      <c r="O462" s="1">
        <v>1004452</v>
      </c>
      <c r="Q462" s="1">
        <v>1018796</v>
      </c>
      <c r="S462" s="1">
        <v>44656</v>
      </c>
      <c r="V462" s="1">
        <v>50566</v>
      </c>
      <c r="W462" s="1">
        <v>1114018</v>
      </c>
      <c r="X462" s="1">
        <v>3509383</v>
      </c>
      <c r="Y462" s="1">
        <v>143997</v>
      </c>
      <c r="Z462" s="1">
        <v>708531</v>
      </c>
      <c r="AB462" s="1">
        <v>5532</v>
      </c>
      <c r="AC462" s="1">
        <v>61443</v>
      </c>
      <c r="AD462" s="1">
        <v>521876</v>
      </c>
      <c r="AE462" s="1">
        <v>205748</v>
      </c>
      <c r="AG462" s="1">
        <v>5563243</v>
      </c>
      <c r="AH462" s="1">
        <v>7086000</v>
      </c>
      <c r="AJ462" s="1">
        <v>5210</v>
      </c>
      <c r="AK462" s="1">
        <v>430370</v>
      </c>
      <c r="AL462" s="1">
        <v>136406</v>
      </c>
      <c r="AM462" s="1">
        <v>171693</v>
      </c>
      <c r="AN462" s="1">
        <v>25435</v>
      </c>
      <c r="AO462" s="1">
        <v>333534</v>
      </c>
      <c r="AP462" s="1">
        <v>763904</v>
      </c>
      <c r="AZ462" s="1">
        <v>9397454</v>
      </c>
      <c r="BC462" s="1">
        <v>44656</v>
      </c>
      <c r="BE462" s="1">
        <v>151324</v>
      </c>
      <c r="BF462" s="1">
        <v>50625</v>
      </c>
      <c r="BG462" s="1">
        <v>408739</v>
      </c>
      <c r="BH462" s="1">
        <v>408739</v>
      </c>
      <c r="BI462" s="1">
        <v>252904</v>
      </c>
      <c r="BJ462" s="1">
        <v>172256</v>
      </c>
      <c r="BR462" s="1">
        <v>150180</v>
      </c>
      <c r="CF462" s="1">
        <v>54604</v>
      </c>
    </row>
    <row r="463" spans="1:121">
      <c r="A463" s="1">
        <v>29</v>
      </c>
      <c r="B463" s="1">
        <v>2520</v>
      </c>
      <c r="C463" s="1" t="s">
        <v>878</v>
      </c>
      <c r="D463" s="1" t="s">
        <v>890</v>
      </c>
      <c r="F463" s="1">
        <v>293988</v>
      </c>
      <c r="J463" s="1">
        <v>293988</v>
      </c>
      <c r="K463" s="1">
        <v>-1222625</v>
      </c>
      <c r="O463" s="1">
        <v>-1222625</v>
      </c>
      <c r="P463" s="1">
        <v>439442</v>
      </c>
      <c r="Q463" s="1">
        <v>62254745</v>
      </c>
      <c r="R463" s="1">
        <v>20913</v>
      </c>
      <c r="S463" s="1">
        <v>20913</v>
      </c>
      <c r="V463" s="1">
        <v>664294</v>
      </c>
      <c r="W463" s="1">
        <v>64616572</v>
      </c>
      <c r="X463" s="1">
        <v>4358760</v>
      </c>
      <c r="Y463" s="1">
        <v>2130046</v>
      </c>
      <c r="Z463" s="1">
        <v>4562209</v>
      </c>
      <c r="AA463" s="1">
        <v>500064</v>
      </c>
      <c r="AB463" s="1">
        <v>552203</v>
      </c>
      <c r="AC463" s="1">
        <v>575591</v>
      </c>
      <c r="AD463" s="1">
        <v>4898917</v>
      </c>
      <c r="AE463" s="1">
        <v>2418613</v>
      </c>
      <c r="AF463" s="1">
        <v>281350</v>
      </c>
      <c r="AG463" s="1">
        <v>23742506</v>
      </c>
      <c r="AH463" s="1">
        <v>88910333</v>
      </c>
      <c r="AJ463" s="1">
        <v>10648926</v>
      </c>
      <c r="AK463" s="1">
        <v>17024236</v>
      </c>
      <c r="AL463" s="1">
        <v>5125488</v>
      </c>
      <c r="AM463" s="1">
        <v>3183348</v>
      </c>
      <c r="AN463" s="1">
        <v>2745023</v>
      </c>
      <c r="AO463" s="1">
        <v>11212869</v>
      </c>
      <c r="AP463" s="1">
        <v>28237105</v>
      </c>
      <c r="AQ463" s="1">
        <v>1277357</v>
      </c>
      <c r="AT463" s="1">
        <v>1277357</v>
      </c>
      <c r="AU463" s="1">
        <v>106547</v>
      </c>
      <c r="AV463" s="1">
        <v>1383904</v>
      </c>
      <c r="AW463" s="1">
        <v>1383904</v>
      </c>
      <c r="AZ463" s="1">
        <v>121202705</v>
      </c>
      <c r="BE463" s="1">
        <v>1610682</v>
      </c>
      <c r="BH463" s="1">
        <v>106791</v>
      </c>
      <c r="BI463" s="1">
        <v>4232532</v>
      </c>
      <c r="BJ463" s="1">
        <v>2142778</v>
      </c>
      <c r="BK463" s="1">
        <v>159010</v>
      </c>
      <c r="BR463" s="1">
        <v>1854071</v>
      </c>
      <c r="BY463" s="1">
        <v>3600000</v>
      </c>
      <c r="CA463" s="1">
        <v>106791</v>
      </c>
      <c r="CC463" s="1">
        <v>3600000</v>
      </c>
      <c r="CX463" s="1">
        <v>5022</v>
      </c>
      <c r="DK463" s="1">
        <v>1676620</v>
      </c>
    </row>
    <row r="464" spans="1:121">
      <c r="A464" s="1">
        <v>29</v>
      </c>
      <c r="B464" s="1">
        <v>2550</v>
      </c>
      <c r="C464" s="1" t="s">
        <v>878</v>
      </c>
      <c r="D464" s="1" t="s">
        <v>891</v>
      </c>
      <c r="F464" s="1">
        <v>93552</v>
      </c>
      <c r="G464" s="1">
        <v>196013</v>
      </c>
      <c r="I464" s="1">
        <v>138059</v>
      </c>
      <c r="J464" s="1">
        <v>464383</v>
      </c>
      <c r="K464" s="1">
        <v>111802</v>
      </c>
      <c r="L464" s="1">
        <v>33881</v>
      </c>
      <c r="M464" s="1">
        <v>661683</v>
      </c>
      <c r="N464" s="1">
        <v>-4257</v>
      </c>
      <c r="O464" s="1">
        <v>803109</v>
      </c>
      <c r="Q464" s="1">
        <v>2807809</v>
      </c>
      <c r="S464" s="1">
        <v>73710</v>
      </c>
      <c r="U464" s="1">
        <v>8899</v>
      </c>
      <c r="V464" s="1">
        <v>20988</v>
      </c>
      <c r="W464" s="1">
        <v>2912764</v>
      </c>
      <c r="Y464" s="1">
        <v>75410</v>
      </c>
      <c r="Z464" s="1">
        <v>134075</v>
      </c>
      <c r="AB464" s="1">
        <v>9502</v>
      </c>
      <c r="AC464" s="1">
        <v>24399</v>
      </c>
      <c r="AD464" s="1">
        <v>176033</v>
      </c>
      <c r="AE464" s="1">
        <v>95577</v>
      </c>
      <c r="AF464" s="1">
        <v>1624</v>
      </c>
      <c r="AG464" s="1">
        <v>545607</v>
      </c>
      <c r="AH464" s="1">
        <v>3458371</v>
      </c>
      <c r="AJ464" s="1">
        <v>7798</v>
      </c>
      <c r="AK464" s="1">
        <v>7798</v>
      </c>
      <c r="AL464" s="1">
        <v>9983</v>
      </c>
      <c r="AM464" s="1">
        <v>46236</v>
      </c>
      <c r="AN464" s="1">
        <v>13591</v>
      </c>
      <c r="AO464" s="1">
        <v>69810</v>
      </c>
      <c r="AP464" s="1">
        <v>78108</v>
      </c>
      <c r="AQ464" s="1">
        <v>138594</v>
      </c>
      <c r="AT464" s="1">
        <v>138594</v>
      </c>
      <c r="AU464" s="1">
        <v>20291</v>
      </c>
      <c r="AV464" s="1">
        <v>158885</v>
      </c>
      <c r="AW464" s="1">
        <v>158885</v>
      </c>
      <c r="AZ464" s="1">
        <v>4962856</v>
      </c>
      <c r="BB464" s="1">
        <v>36759</v>
      </c>
      <c r="BC464" s="1">
        <v>73710</v>
      </c>
      <c r="BE464" s="1">
        <v>6568</v>
      </c>
      <c r="BQ464" s="1">
        <v>1358</v>
      </c>
      <c r="BR464" s="1">
        <v>22419</v>
      </c>
      <c r="BU464" s="1">
        <v>500</v>
      </c>
      <c r="BV464" s="1">
        <v>500</v>
      </c>
    </row>
    <row r="465" spans="1:133">
      <c r="A465" s="1">
        <v>29</v>
      </c>
      <c r="B465" s="1">
        <v>2690</v>
      </c>
      <c r="C465" s="1" t="s">
        <v>878</v>
      </c>
      <c r="D465" s="1" t="s">
        <v>892</v>
      </c>
      <c r="F465" s="1">
        <v>157610</v>
      </c>
      <c r="G465" s="1">
        <v>830118</v>
      </c>
      <c r="H465" s="1">
        <v>1326897</v>
      </c>
      <c r="I465" s="1">
        <v>293015</v>
      </c>
      <c r="J465" s="1">
        <v>2707640</v>
      </c>
      <c r="K465" s="1">
        <v>475554</v>
      </c>
      <c r="L465" s="1">
        <v>138617</v>
      </c>
      <c r="M465" s="1">
        <v>48830</v>
      </c>
      <c r="N465" s="1">
        <v>3261</v>
      </c>
      <c r="O465" s="1">
        <v>666262</v>
      </c>
      <c r="P465" s="1">
        <v>139743</v>
      </c>
      <c r="Q465" s="1">
        <v>9298508</v>
      </c>
      <c r="R465" s="1">
        <v>17154</v>
      </c>
      <c r="S465" s="1">
        <v>17154</v>
      </c>
      <c r="U465" s="1">
        <v>11544</v>
      </c>
      <c r="W465" s="1">
        <v>10043349</v>
      </c>
      <c r="X465" s="1">
        <v>3871332</v>
      </c>
      <c r="Y465" s="1">
        <v>844838</v>
      </c>
      <c r="Z465" s="1">
        <v>3326104</v>
      </c>
      <c r="AA465" s="1">
        <v>42967</v>
      </c>
      <c r="AB465" s="1">
        <v>90583</v>
      </c>
      <c r="AC465" s="1">
        <v>166296</v>
      </c>
      <c r="AD465" s="1">
        <v>1001255</v>
      </c>
      <c r="AE465" s="1">
        <v>665340</v>
      </c>
      <c r="AF465" s="1">
        <v>2867</v>
      </c>
      <c r="AG465" s="1">
        <v>10011582</v>
      </c>
      <c r="AH465" s="1">
        <v>20195900</v>
      </c>
      <c r="AJ465" s="1">
        <v>929</v>
      </c>
      <c r="AK465" s="1">
        <v>1388121</v>
      </c>
      <c r="AL465" s="1">
        <v>400436</v>
      </c>
      <c r="AM465" s="1">
        <v>342005</v>
      </c>
      <c r="AN465" s="1">
        <v>124110</v>
      </c>
      <c r="AO465" s="1">
        <v>866551</v>
      </c>
      <c r="AP465" s="1">
        <v>2289313</v>
      </c>
      <c r="AQ465" s="1">
        <v>391217</v>
      </c>
      <c r="AR465" s="1">
        <v>2590</v>
      </c>
      <c r="AS465" s="1">
        <v>2590</v>
      </c>
      <c r="AT465" s="1">
        <v>393807</v>
      </c>
      <c r="AU465" s="1">
        <v>329797</v>
      </c>
      <c r="AV465" s="1">
        <v>772434</v>
      </c>
      <c r="AW465" s="1">
        <v>772434</v>
      </c>
      <c r="AX465" s="1">
        <v>139743</v>
      </c>
      <c r="AY465" s="1">
        <v>-188198</v>
      </c>
      <c r="AZ465" s="1">
        <v>44347094</v>
      </c>
      <c r="BB465" s="1">
        <v>100000</v>
      </c>
      <c r="BH465" s="1">
        <v>1226</v>
      </c>
      <c r="BI465" s="1">
        <v>851768</v>
      </c>
      <c r="BJ465" s="1">
        <v>535424</v>
      </c>
      <c r="BL465" s="1">
        <v>48830</v>
      </c>
      <c r="BQ465" s="1">
        <v>716143</v>
      </c>
      <c r="BU465" s="1">
        <v>34641</v>
      </c>
      <c r="BV465" s="1">
        <v>34641</v>
      </c>
      <c r="BX465" s="1">
        <v>17764000</v>
      </c>
      <c r="BY465" s="1">
        <v>17715545</v>
      </c>
      <c r="CA465" s="1">
        <v>1226</v>
      </c>
    </row>
    <row r="466" spans="1:133">
      <c r="A466" s="1">
        <v>29</v>
      </c>
      <c r="B466" s="1">
        <v>2760</v>
      </c>
      <c r="C466" s="1" t="s">
        <v>878</v>
      </c>
      <c r="D466" s="1" t="s">
        <v>893</v>
      </c>
      <c r="F466" s="1">
        <v>46378</v>
      </c>
      <c r="G466" s="1">
        <v>139004</v>
      </c>
      <c r="H466" s="1">
        <v>75728</v>
      </c>
      <c r="I466" s="1">
        <v>515486</v>
      </c>
      <c r="J466" s="1">
        <v>1392581</v>
      </c>
      <c r="K466" s="1">
        <v>124216</v>
      </c>
      <c r="O466" s="1">
        <v>124216</v>
      </c>
      <c r="Q466" s="1">
        <v>5172983</v>
      </c>
      <c r="U466" s="1">
        <v>23440</v>
      </c>
      <c r="V466" s="1">
        <v>16106</v>
      </c>
      <c r="W466" s="1">
        <v>5307772</v>
      </c>
      <c r="Y466" s="1">
        <v>26421</v>
      </c>
      <c r="Z466" s="1">
        <v>407576</v>
      </c>
      <c r="AA466" s="1">
        <v>17412</v>
      </c>
      <c r="AB466" s="1">
        <v>5729</v>
      </c>
      <c r="AC466" s="1">
        <v>29719</v>
      </c>
      <c r="AD466" s="1">
        <v>256964</v>
      </c>
      <c r="AE466" s="1">
        <v>199793</v>
      </c>
      <c r="AG466" s="1">
        <v>943614</v>
      </c>
      <c r="AH466" s="1">
        <v>6251386</v>
      </c>
      <c r="AI466" s="1">
        <v>14433</v>
      </c>
      <c r="AJ466" s="1">
        <v>325</v>
      </c>
      <c r="AK466" s="1">
        <v>14758</v>
      </c>
      <c r="AL466" s="1">
        <v>28767</v>
      </c>
      <c r="AM466" s="1">
        <v>71169</v>
      </c>
      <c r="AN466" s="1">
        <v>25600</v>
      </c>
      <c r="AO466" s="1">
        <v>125536</v>
      </c>
      <c r="AP466" s="1">
        <v>140294</v>
      </c>
      <c r="AZ466" s="1">
        <v>7908477</v>
      </c>
      <c r="BA466" s="1">
        <v>615985</v>
      </c>
      <c r="BQ466" s="1">
        <v>95243</v>
      </c>
    </row>
    <row r="467" spans="1:133">
      <c r="A467" s="1">
        <v>29</v>
      </c>
      <c r="B467" s="1">
        <v>2940</v>
      </c>
      <c r="C467" s="1" t="s">
        <v>878</v>
      </c>
      <c r="D467" s="1" t="s">
        <v>894</v>
      </c>
      <c r="F467" s="1">
        <v>146949</v>
      </c>
      <c r="G467" s="1">
        <v>181800</v>
      </c>
      <c r="H467" s="1">
        <v>149998</v>
      </c>
      <c r="J467" s="1">
        <v>478747</v>
      </c>
      <c r="K467" s="1">
        <v>761125</v>
      </c>
      <c r="L467" s="1">
        <v>100002</v>
      </c>
      <c r="M467" s="1">
        <v>340072</v>
      </c>
      <c r="N467" s="1">
        <v>345050</v>
      </c>
      <c r="O467" s="1">
        <v>1546249</v>
      </c>
      <c r="Q467" s="1">
        <v>31200923</v>
      </c>
      <c r="R467" s="1">
        <v>1910990</v>
      </c>
      <c r="S467" s="1">
        <v>1910990</v>
      </c>
      <c r="V467" s="1">
        <v>315780</v>
      </c>
      <c r="W467" s="1">
        <v>33427693</v>
      </c>
      <c r="X467" s="1">
        <v>739324</v>
      </c>
      <c r="Y467" s="1">
        <v>1376992</v>
      </c>
      <c r="Z467" s="1">
        <v>3042069</v>
      </c>
      <c r="AA467" s="1">
        <v>14124</v>
      </c>
      <c r="AB467" s="1">
        <v>41543</v>
      </c>
      <c r="AC467" s="1">
        <v>346825</v>
      </c>
      <c r="AD467" s="1">
        <v>2348196</v>
      </c>
      <c r="AE467" s="1">
        <v>1386153</v>
      </c>
      <c r="AG467" s="1">
        <v>9822723</v>
      </c>
      <c r="AH467" s="1">
        <v>43522388</v>
      </c>
      <c r="AI467" s="1">
        <v>115092</v>
      </c>
      <c r="AJ467" s="1">
        <v>6651</v>
      </c>
      <c r="AK467" s="1">
        <v>121743</v>
      </c>
      <c r="AL467" s="1">
        <v>253432</v>
      </c>
      <c r="AM467" s="1">
        <v>648271</v>
      </c>
      <c r="AN467" s="1">
        <v>163860</v>
      </c>
      <c r="AO467" s="1">
        <v>1065563</v>
      </c>
      <c r="AP467" s="1">
        <v>1189706</v>
      </c>
      <c r="AQ467" s="1">
        <v>1744069</v>
      </c>
      <c r="AT467" s="1">
        <v>1744069</v>
      </c>
      <c r="AU467" s="1">
        <v>95562</v>
      </c>
      <c r="AV467" s="1">
        <v>1841570</v>
      </c>
      <c r="AW467" s="1">
        <v>1841570</v>
      </c>
      <c r="AX467" s="1">
        <v>35261</v>
      </c>
      <c r="AY467" s="1">
        <v>212378</v>
      </c>
      <c r="AZ467" s="1">
        <v>49654807</v>
      </c>
      <c r="BE467" s="1">
        <v>178295</v>
      </c>
      <c r="BF467" s="1">
        <v>40466</v>
      </c>
      <c r="BH467" s="1">
        <v>16449</v>
      </c>
      <c r="BL467" s="1">
        <v>1939</v>
      </c>
      <c r="BU467" s="1">
        <v>2400</v>
      </c>
      <c r="BV467" s="1">
        <v>2400</v>
      </c>
      <c r="BY467" s="1">
        <v>1076147</v>
      </c>
      <c r="CA467" s="1">
        <v>16449</v>
      </c>
      <c r="CG467" s="1">
        <v>255523</v>
      </c>
      <c r="CI467" s="1">
        <v>828508</v>
      </c>
      <c r="DO467" s="1">
        <v>308736</v>
      </c>
    </row>
    <row r="468" spans="1:133">
      <c r="A468" s="1">
        <v>29</v>
      </c>
      <c r="B468" s="1">
        <v>2980</v>
      </c>
      <c r="C468" s="1" t="s">
        <v>878</v>
      </c>
      <c r="D468" s="1" t="s">
        <v>895</v>
      </c>
      <c r="F468" s="1">
        <v>64833</v>
      </c>
      <c r="G468" s="1">
        <v>139129</v>
      </c>
      <c r="H468" s="1">
        <v>164305</v>
      </c>
      <c r="J468" s="1">
        <v>368267</v>
      </c>
      <c r="K468" s="1">
        <v>100000</v>
      </c>
      <c r="L468" s="1">
        <v>15808</v>
      </c>
      <c r="O468" s="1">
        <v>115808</v>
      </c>
      <c r="Q468" s="1">
        <v>107821</v>
      </c>
      <c r="V468" s="1">
        <v>24794</v>
      </c>
      <c r="W468" s="1">
        <v>132615</v>
      </c>
      <c r="Y468" s="1">
        <v>2880</v>
      </c>
      <c r="Z468" s="1">
        <v>2955</v>
      </c>
      <c r="AD468" s="1">
        <v>882</v>
      </c>
      <c r="AE468" s="1">
        <v>904</v>
      </c>
      <c r="AG468" s="1">
        <v>10070</v>
      </c>
      <c r="AH468" s="1">
        <v>142685</v>
      </c>
      <c r="AZ468" s="1">
        <v>626760</v>
      </c>
      <c r="BR468" s="1">
        <v>2449</v>
      </c>
    </row>
    <row r="469" spans="1:133">
      <c r="A469" s="1">
        <v>29</v>
      </c>
      <c r="B469" s="1">
        <v>3790</v>
      </c>
      <c r="C469" s="1" t="s">
        <v>878</v>
      </c>
      <c r="D469" s="1" t="s">
        <v>896</v>
      </c>
      <c r="F469" s="1">
        <v>769055</v>
      </c>
      <c r="G469" s="1">
        <v>130781</v>
      </c>
      <c r="H469" s="1">
        <v>93988</v>
      </c>
      <c r="I469" s="1">
        <v>573202</v>
      </c>
      <c r="J469" s="1">
        <v>1653636</v>
      </c>
      <c r="K469" s="1">
        <v>1214163</v>
      </c>
      <c r="M469" s="1">
        <v>2980667</v>
      </c>
      <c r="O469" s="1">
        <v>4194830</v>
      </c>
      <c r="U469" s="1">
        <v>29395</v>
      </c>
      <c r="V469" s="1">
        <v>520296</v>
      </c>
      <c r="W469" s="1">
        <v>15872293</v>
      </c>
      <c r="X469" s="1">
        <v>1278726</v>
      </c>
      <c r="Z469" s="1">
        <v>1199588</v>
      </c>
      <c r="AD469" s="1">
        <v>1321965</v>
      </c>
      <c r="AE469" s="1">
        <v>708012</v>
      </c>
      <c r="AG469" s="1">
        <v>7853948</v>
      </c>
      <c r="AH469" s="1">
        <v>23726241</v>
      </c>
      <c r="AI469" s="1">
        <v>32520</v>
      </c>
      <c r="AJ469" s="1">
        <v>26563</v>
      </c>
      <c r="AK469" s="1">
        <v>59083</v>
      </c>
      <c r="AL469" s="1">
        <v>169562</v>
      </c>
      <c r="AN469" s="1">
        <v>508890</v>
      </c>
      <c r="AO469" s="1">
        <v>678452</v>
      </c>
      <c r="AP469" s="1">
        <v>1202408</v>
      </c>
      <c r="AZ469" s="1">
        <v>30777115</v>
      </c>
      <c r="BB469" s="1">
        <v>86610</v>
      </c>
      <c r="BF469" s="1">
        <v>362165</v>
      </c>
      <c r="BN469" s="1">
        <v>14228528</v>
      </c>
      <c r="BO469" s="1">
        <v>1094074</v>
      </c>
      <c r="BR469" s="1">
        <v>9220</v>
      </c>
      <c r="BS469" s="1">
        <v>1944382</v>
      </c>
      <c r="BT469" s="1">
        <v>1029890</v>
      </c>
      <c r="BU469" s="1">
        <v>464873</v>
      </c>
      <c r="BV469" s="1">
        <v>464873</v>
      </c>
    </row>
    <row r="470" spans="1:133">
      <c r="A470" s="1">
        <v>29</v>
      </c>
      <c r="B470" s="1">
        <v>3800</v>
      </c>
      <c r="C470" s="1" t="s">
        <v>878</v>
      </c>
      <c r="D470" s="1" t="s">
        <v>897</v>
      </c>
      <c r="F470" s="1">
        <v>30563</v>
      </c>
      <c r="G470" s="1">
        <v>51341</v>
      </c>
      <c r="H470" s="1">
        <v>24103</v>
      </c>
      <c r="J470" s="1">
        <v>106007</v>
      </c>
      <c r="K470" s="1">
        <v>100084</v>
      </c>
      <c r="N470" s="1">
        <v>1</v>
      </c>
      <c r="O470" s="1">
        <v>100085</v>
      </c>
      <c r="Q470" s="1">
        <v>1387828</v>
      </c>
      <c r="V470" s="1">
        <v>19177</v>
      </c>
      <c r="W470" s="1">
        <v>1407005</v>
      </c>
      <c r="X470" s="1">
        <v>546906</v>
      </c>
      <c r="Y470" s="1">
        <v>21707</v>
      </c>
      <c r="Z470" s="1">
        <v>196718</v>
      </c>
      <c r="AB470" s="1">
        <v>9246</v>
      </c>
      <c r="AC470" s="1">
        <v>18251</v>
      </c>
      <c r="AD470" s="1">
        <v>125951</v>
      </c>
      <c r="AE470" s="1">
        <v>67060</v>
      </c>
      <c r="AG470" s="1">
        <v>1011208</v>
      </c>
      <c r="AH470" s="1">
        <v>2418213</v>
      </c>
      <c r="AJ470" s="1">
        <v>27676</v>
      </c>
      <c r="AK470" s="1">
        <v>197310</v>
      </c>
      <c r="AL470" s="1">
        <v>47262</v>
      </c>
      <c r="AM470" s="1">
        <v>48096</v>
      </c>
      <c r="AN470" s="1">
        <v>15332</v>
      </c>
      <c r="AO470" s="1">
        <v>110690</v>
      </c>
      <c r="AP470" s="1">
        <v>308000</v>
      </c>
      <c r="AQ470" s="1">
        <v>80869</v>
      </c>
      <c r="AT470" s="1">
        <v>80869</v>
      </c>
      <c r="AU470" s="1">
        <v>77575</v>
      </c>
      <c r="AV470" s="1">
        <v>169684</v>
      </c>
      <c r="AW470" s="1">
        <v>169684</v>
      </c>
      <c r="AZ470" s="1">
        <v>4287993</v>
      </c>
      <c r="BE470" s="1">
        <v>14404</v>
      </c>
      <c r="BF470" s="1">
        <v>10965</v>
      </c>
      <c r="BI470" s="1">
        <v>104228</v>
      </c>
      <c r="BJ470" s="1">
        <v>65406</v>
      </c>
      <c r="BM470" s="1">
        <v>11240</v>
      </c>
      <c r="BX470" s="1">
        <v>1186000</v>
      </c>
      <c r="BY470" s="1">
        <v>1186004</v>
      </c>
      <c r="DF470" s="1">
        <v>4</v>
      </c>
    </row>
    <row r="471" spans="1:133">
      <c r="A471" s="1">
        <v>29</v>
      </c>
      <c r="B471" s="1">
        <v>3820</v>
      </c>
      <c r="C471" s="1" t="s">
        <v>878</v>
      </c>
      <c r="D471" s="1" t="s">
        <v>1001</v>
      </c>
      <c r="F471" s="1">
        <v>392809</v>
      </c>
      <c r="G471" s="1">
        <v>1013844</v>
      </c>
      <c r="H471" s="1">
        <v>761638</v>
      </c>
      <c r="I471" s="1">
        <v>342935</v>
      </c>
      <c r="J471" s="1">
        <v>2716726</v>
      </c>
      <c r="K471" s="1">
        <v>300195</v>
      </c>
      <c r="L471" s="1">
        <v>114682</v>
      </c>
      <c r="N471" s="1">
        <v>1</v>
      </c>
      <c r="O471" s="1">
        <v>414878</v>
      </c>
      <c r="Q471" s="1">
        <v>8215031</v>
      </c>
      <c r="V471" s="1">
        <v>263017</v>
      </c>
      <c r="W471" s="1">
        <v>8480448</v>
      </c>
      <c r="X471" s="1">
        <v>3746670</v>
      </c>
      <c r="Y471" s="1">
        <v>535777</v>
      </c>
      <c r="Z471" s="1">
        <v>1431570</v>
      </c>
      <c r="AB471" s="1">
        <v>10541</v>
      </c>
      <c r="AC471" s="1">
        <v>127481</v>
      </c>
      <c r="AD471" s="1">
        <v>455201</v>
      </c>
      <c r="AE471" s="1">
        <v>292462</v>
      </c>
      <c r="AG471" s="1">
        <v>7748332</v>
      </c>
      <c r="AH471" s="1">
        <v>16232942</v>
      </c>
      <c r="AI471" s="1">
        <v>24879</v>
      </c>
      <c r="AK471" s="1">
        <v>24879</v>
      </c>
      <c r="AL471" s="1">
        <v>95753</v>
      </c>
      <c r="AM471" s="1">
        <v>254790</v>
      </c>
      <c r="AN471" s="1">
        <v>62610</v>
      </c>
      <c r="AO471" s="1">
        <v>413153</v>
      </c>
      <c r="AP471" s="1">
        <v>441032</v>
      </c>
      <c r="AQ471" s="1">
        <v>220883</v>
      </c>
      <c r="AT471" s="1">
        <v>220883</v>
      </c>
      <c r="AU471" s="1">
        <v>168166</v>
      </c>
      <c r="AV471" s="1">
        <v>526651</v>
      </c>
      <c r="AW471" s="1">
        <v>526651</v>
      </c>
      <c r="AX471" s="1">
        <v>136834</v>
      </c>
      <c r="AZ471" s="1">
        <v>28432732</v>
      </c>
      <c r="BB471" s="1">
        <v>205500</v>
      </c>
      <c r="BE471" s="1">
        <v>176404</v>
      </c>
      <c r="BF471" s="1">
        <v>2501</v>
      </c>
      <c r="BH471" s="1">
        <v>4162</v>
      </c>
      <c r="BM471" s="1">
        <v>137602</v>
      </c>
      <c r="BR471" s="1">
        <v>969725</v>
      </c>
      <c r="BU471" s="1">
        <v>3000</v>
      </c>
      <c r="BV471" s="1">
        <v>3000</v>
      </c>
      <c r="BY471" s="1">
        <v>8100503</v>
      </c>
      <c r="CA471" s="1">
        <v>4162</v>
      </c>
      <c r="CC471" s="1">
        <v>7963669</v>
      </c>
      <c r="CE471" s="1">
        <v>2400</v>
      </c>
    </row>
    <row r="472" spans="1:133">
      <c r="A472" s="1">
        <v>29</v>
      </c>
      <c r="B472" s="1">
        <v>4105</v>
      </c>
      <c r="C472" s="1" t="s">
        <v>878</v>
      </c>
      <c r="D472" s="1" t="s">
        <v>898</v>
      </c>
      <c r="F472" s="1">
        <v>411325</v>
      </c>
      <c r="G472" s="1">
        <v>429482</v>
      </c>
      <c r="H472" s="1">
        <v>613659</v>
      </c>
      <c r="I472" s="1">
        <v>2080</v>
      </c>
      <c r="J472" s="1">
        <v>1456546</v>
      </c>
      <c r="K472" s="1">
        <v>528095</v>
      </c>
      <c r="L472" s="1">
        <v>105255</v>
      </c>
      <c r="M472" s="1">
        <v>383624</v>
      </c>
      <c r="N472" s="1">
        <v>36331</v>
      </c>
      <c r="O472" s="1">
        <v>1053305</v>
      </c>
      <c r="P472" s="1">
        <v>33331</v>
      </c>
      <c r="Q472" s="1">
        <v>14766460</v>
      </c>
      <c r="U472" s="1">
        <v>100</v>
      </c>
      <c r="V472" s="1">
        <v>213999</v>
      </c>
      <c r="W472" s="1">
        <v>14980559</v>
      </c>
      <c r="X472" s="1">
        <v>7976631</v>
      </c>
      <c r="Y472" s="1">
        <v>703410</v>
      </c>
      <c r="Z472" s="1">
        <v>1679040</v>
      </c>
      <c r="AA472" s="1">
        <v>12758</v>
      </c>
      <c r="AB472" s="1">
        <v>39814</v>
      </c>
      <c r="AC472" s="1">
        <v>213296</v>
      </c>
      <c r="AD472" s="1">
        <v>1447784</v>
      </c>
      <c r="AE472" s="1">
        <v>916537</v>
      </c>
      <c r="AF472" s="1">
        <v>5654</v>
      </c>
      <c r="AG472" s="1">
        <v>13640258</v>
      </c>
      <c r="AH472" s="1">
        <v>28654148</v>
      </c>
      <c r="AI472" s="1">
        <v>98891</v>
      </c>
      <c r="AJ472" s="1">
        <v>657722</v>
      </c>
      <c r="AK472" s="1">
        <v>976048</v>
      </c>
      <c r="AL472" s="1">
        <v>175195</v>
      </c>
      <c r="AM472" s="1">
        <v>436024</v>
      </c>
      <c r="AN472" s="1">
        <v>149486</v>
      </c>
      <c r="AO472" s="1">
        <v>760705</v>
      </c>
      <c r="AP472" s="1">
        <v>1736753</v>
      </c>
      <c r="AQ472" s="1">
        <v>267252</v>
      </c>
      <c r="AT472" s="1">
        <v>267252</v>
      </c>
      <c r="AU472" s="1">
        <v>287735</v>
      </c>
      <c r="AV472" s="1">
        <v>554987</v>
      </c>
      <c r="AW472" s="1">
        <v>554987</v>
      </c>
      <c r="AX472" s="1">
        <v>33331</v>
      </c>
      <c r="AY472" s="1">
        <v>-33331</v>
      </c>
      <c r="AZ472" s="1">
        <v>33455739</v>
      </c>
      <c r="BE472" s="1">
        <v>336373</v>
      </c>
      <c r="BJ472" s="1">
        <v>219435</v>
      </c>
      <c r="BR472" s="1">
        <v>308961</v>
      </c>
    </row>
    <row r="473" spans="1:133">
      <c r="A473" s="1">
        <v>29</v>
      </c>
      <c r="B473" s="1">
        <v>4190</v>
      </c>
      <c r="C473" s="1" t="s">
        <v>878</v>
      </c>
      <c r="D473" s="1" t="s">
        <v>899</v>
      </c>
      <c r="F473" s="1">
        <v>70890</v>
      </c>
      <c r="I473" s="1">
        <v>78410</v>
      </c>
      <c r="J473" s="1">
        <v>990707</v>
      </c>
      <c r="K473" s="1">
        <v>355713</v>
      </c>
      <c r="L473" s="1">
        <v>2438048</v>
      </c>
      <c r="M473" s="1">
        <v>754614</v>
      </c>
      <c r="N473" s="1">
        <v>14471894</v>
      </c>
      <c r="O473" s="1">
        <v>18020269</v>
      </c>
      <c r="Q473" s="1">
        <v>8065539</v>
      </c>
      <c r="S473" s="1">
        <v>77953</v>
      </c>
      <c r="U473" s="1">
        <v>1364</v>
      </c>
      <c r="V473" s="1">
        <v>278985</v>
      </c>
      <c r="W473" s="1">
        <v>8534159</v>
      </c>
      <c r="X473" s="1">
        <v>6327312</v>
      </c>
      <c r="Y473" s="1">
        <v>548724</v>
      </c>
      <c r="Z473" s="1">
        <v>1318190</v>
      </c>
      <c r="AA473" s="1">
        <v>8176</v>
      </c>
      <c r="AB473" s="1">
        <v>6702</v>
      </c>
      <c r="AC473" s="1">
        <v>190913</v>
      </c>
      <c r="AD473" s="1">
        <v>303975</v>
      </c>
      <c r="AE473" s="1">
        <v>705202</v>
      </c>
      <c r="AG473" s="1">
        <v>9771551</v>
      </c>
      <c r="AH473" s="1">
        <v>19701339</v>
      </c>
      <c r="AI473" s="1">
        <v>41843</v>
      </c>
      <c r="AJ473" s="1">
        <v>8666</v>
      </c>
      <c r="AK473" s="1">
        <v>50509</v>
      </c>
      <c r="AL473" s="1">
        <v>105367</v>
      </c>
      <c r="AM473" s="1">
        <v>347446</v>
      </c>
      <c r="AN473" s="1">
        <v>95253</v>
      </c>
      <c r="AO473" s="1">
        <v>548066</v>
      </c>
      <c r="AP473" s="1">
        <v>612702</v>
      </c>
      <c r="AQ473" s="1">
        <v>1367955</v>
      </c>
      <c r="AS473" s="1">
        <v>256480</v>
      </c>
      <c r="AT473" s="1">
        <v>1624435</v>
      </c>
      <c r="AV473" s="1">
        <v>1696922</v>
      </c>
      <c r="AW473" s="1">
        <v>2763247</v>
      </c>
      <c r="AZ473" s="1">
        <v>42107395</v>
      </c>
      <c r="BA473" s="1">
        <v>841407</v>
      </c>
      <c r="BC473" s="1">
        <v>77953</v>
      </c>
      <c r="BE473" s="1">
        <v>252992</v>
      </c>
      <c r="BF473" s="1">
        <v>109365</v>
      </c>
      <c r="BG473" s="1">
        <v>1389318</v>
      </c>
      <c r="BH473" s="1">
        <v>1395629</v>
      </c>
      <c r="BL473" s="1">
        <v>72487</v>
      </c>
      <c r="BQ473" s="1">
        <v>110318</v>
      </c>
      <c r="BU473" s="1">
        <v>14127</v>
      </c>
      <c r="BV473" s="1">
        <v>14127</v>
      </c>
      <c r="BY473" s="1">
        <v>19131</v>
      </c>
      <c r="CA473" s="1">
        <v>6311</v>
      </c>
      <c r="CC473" s="1">
        <v>19131</v>
      </c>
      <c r="CS473" s="1">
        <v>1066325</v>
      </c>
      <c r="DC473" s="1">
        <v>256480</v>
      </c>
      <c r="EC473" s="1">
        <v>1066325</v>
      </c>
    </row>
    <row r="474" spans="1:133">
      <c r="A474" s="1">
        <v>29</v>
      </c>
      <c r="B474" s="1">
        <v>4210</v>
      </c>
      <c r="C474" s="1" t="s">
        <v>878</v>
      </c>
      <c r="D474" s="1" t="s">
        <v>900</v>
      </c>
      <c r="F474" s="1">
        <v>655807</v>
      </c>
      <c r="I474" s="1">
        <v>630527</v>
      </c>
      <c r="J474" s="1">
        <v>1421035</v>
      </c>
      <c r="K474" s="1">
        <v>622244</v>
      </c>
      <c r="L474" s="1">
        <v>1645000</v>
      </c>
      <c r="M474" s="1">
        <v>813914</v>
      </c>
      <c r="N474" s="1">
        <v>4919</v>
      </c>
      <c r="O474" s="1">
        <v>3086077</v>
      </c>
      <c r="Q474" s="1">
        <v>23810271</v>
      </c>
      <c r="R474" s="1">
        <v>7207</v>
      </c>
      <c r="S474" s="1">
        <v>94067</v>
      </c>
      <c r="T474" s="1">
        <v>31819</v>
      </c>
      <c r="U474" s="1">
        <v>35512</v>
      </c>
      <c r="V474" s="1">
        <v>452540</v>
      </c>
      <c r="W474" s="1">
        <v>24445430</v>
      </c>
      <c r="X474" s="1">
        <v>2873337</v>
      </c>
      <c r="Y474" s="1">
        <v>350240</v>
      </c>
      <c r="Z474" s="1">
        <v>2163888</v>
      </c>
      <c r="AA474" s="1">
        <v>18670</v>
      </c>
      <c r="AB474" s="1">
        <v>56674</v>
      </c>
      <c r="AC474" s="1">
        <v>354505</v>
      </c>
      <c r="AD474" s="1">
        <v>1479980</v>
      </c>
      <c r="AE474" s="1">
        <v>1220085</v>
      </c>
      <c r="AG474" s="1">
        <v>8924924</v>
      </c>
      <c r="AH474" s="1">
        <v>33371932</v>
      </c>
      <c r="AJ474" s="1">
        <v>12011</v>
      </c>
      <c r="AK474" s="1">
        <v>12011</v>
      </c>
      <c r="AL474" s="1">
        <v>104392</v>
      </c>
      <c r="AM474" s="1">
        <v>620344</v>
      </c>
      <c r="AN474" s="1">
        <v>283857</v>
      </c>
      <c r="AO474" s="1">
        <v>1008593</v>
      </c>
      <c r="AP474" s="1">
        <v>1050876</v>
      </c>
      <c r="AQ474" s="1">
        <v>2091623</v>
      </c>
      <c r="AT474" s="1">
        <v>2091623</v>
      </c>
      <c r="AU474" s="1">
        <v>219659</v>
      </c>
      <c r="AV474" s="1">
        <v>2311282</v>
      </c>
      <c r="AW474" s="1">
        <v>2311282</v>
      </c>
      <c r="AZ474" s="1">
        <v>41241202</v>
      </c>
      <c r="BB474" s="1">
        <v>134701</v>
      </c>
      <c r="BC474" s="1">
        <v>86860</v>
      </c>
      <c r="BE474" s="1">
        <v>179447</v>
      </c>
      <c r="BF474" s="1">
        <v>7200</v>
      </c>
      <c r="BH474" s="1">
        <v>1578</v>
      </c>
      <c r="BR474" s="1">
        <v>220898</v>
      </c>
      <c r="BU474" s="1">
        <v>30272</v>
      </c>
      <c r="BV474" s="1">
        <v>30272</v>
      </c>
      <c r="CA474" s="1">
        <v>1578</v>
      </c>
      <c r="CE474" s="1">
        <v>21221</v>
      </c>
    </row>
    <row r="475" spans="1:133">
      <c r="A475" s="1">
        <v>29</v>
      </c>
      <c r="B475" s="1">
        <v>4220</v>
      </c>
      <c r="C475" s="1" t="s">
        <v>878</v>
      </c>
      <c r="D475" s="1" t="s">
        <v>901</v>
      </c>
      <c r="G475" s="1">
        <v>178068</v>
      </c>
      <c r="H475" s="1">
        <v>248632</v>
      </c>
      <c r="J475" s="1">
        <v>8510905</v>
      </c>
      <c r="K475" s="1">
        <v>228145</v>
      </c>
      <c r="O475" s="1">
        <v>228145</v>
      </c>
      <c r="P475" s="1">
        <v>141465</v>
      </c>
      <c r="Q475" s="1">
        <v>8689532</v>
      </c>
      <c r="S475" s="1">
        <v>1426296</v>
      </c>
      <c r="W475" s="1">
        <v>10328750</v>
      </c>
      <c r="Y475" s="1">
        <v>22479</v>
      </c>
      <c r="Z475" s="1">
        <v>601418</v>
      </c>
      <c r="AA475" s="1">
        <v>32452</v>
      </c>
      <c r="AB475" s="1">
        <v>9166</v>
      </c>
      <c r="AC475" s="1">
        <v>79828</v>
      </c>
      <c r="AD475" s="1">
        <v>559916</v>
      </c>
      <c r="AE475" s="1">
        <v>579742</v>
      </c>
      <c r="AG475" s="1">
        <v>1905562</v>
      </c>
      <c r="AH475" s="1">
        <v>12375777</v>
      </c>
      <c r="AI475" s="1">
        <v>1026</v>
      </c>
      <c r="AJ475" s="1">
        <v>111373</v>
      </c>
      <c r="AK475" s="1">
        <v>112399</v>
      </c>
      <c r="AL475" s="1">
        <v>46226</v>
      </c>
      <c r="AM475" s="1">
        <v>160374</v>
      </c>
      <c r="AN475" s="1">
        <v>34176</v>
      </c>
      <c r="AO475" s="1">
        <v>240776</v>
      </c>
      <c r="AP475" s="1">
        <v>355089</v>
      </c>
      <c r="AQ475" s="1">
        <v>970614</v>
      </c>
      <c r="AT475" s="1">
        <v>970614</v>
      </c>
      <c r="AV475" s="1">
        <v>970614</v>
      </c>
      <c r="AW475" s="1">
        <v>970614</v>
      </c>
      <c r="AX475" s="1">
        <v>141460</v>
      </c>
      <c r="AZ475" s="1">
        <v>22581990</v>
      </c>
      <c r="BE475" s="1">
        <v>20561</v>
      </c>
      <c r="BQ475" s="1">
        <v>212922</v>
      </c>
      <c r="BU475" s="1">
        <v>1914</v>
      </c>
      <c r="BV475" s="1">
        <v>1914</v>
      </c>
      <c r="BY475" s="1">
        <v>141460</v>
      </c>
      <c r="CB475" s="1">
        <v>1426296</v>
      </c>
      <c r="CL475" s="1">
        <v>8084205</v>
      </c>
    </row>
    <row r="476" spans="1:133">
      <c r="A476" s="1">
        <v>29</v>
      </c>
      <c r="B476" s="1">
        <v>4710</v>
      </c>
      <c r="C476" s="1" t="s">
        <v>878</v>
      </c>
      <c r="D476" s="1" t="s">
        <v>902</v>
      </c>
      <c r="F476" s="1">
        <v>40714</v>
      </c>
      <c r="G476" s="1">
        <v>254835</v>
      </c>
      <c r="H476" s="1">
        <v>279173</v>
      </c>
      <c r="I476" s="1">
        <v>85974</v>
      </c>
      <c r="J476" s="1">
        <v>678696</v>
      </c>
      <c r="K476" s="1">
        <v>104893</v>
      </c>
      <c r="L476" s="1">
        <v>5058</v>
      </c>
      <c r="M476" s="1">
        <v>21155</v>
      </c>
      <c r="N476" s="1">
        <v>44691</v>
      </c>
      <c r="O476" s="1">
        <v>175797</v>
      </c>
      <c r="Q476" s="1">
        <v>2207141</v>
      </c>
      <c r="S476" s="1">
        <v>7448</v>
      </c>
      <c r="U476" s="1">
        <v>4408</v>
      </c>
      <c r="V476" s="1">
        <v>75590</v>
      </c>
      <c r="W476" s="1">
        <v>2294587</v>
      </c>
      <c r="X476" s="1">
        <v>308186</v>
      </c>
      <c r="Y476" s="1">
        <v>5048</v>
      </c>
      <c r="Z476" s="1">
        <v>169872</v>
      </c>
      <c r="AA476" s="1">
        <v>10440</v>
      </c>
      <c r="AB476" s="1">
        <v>1294</v>
      </c>
      <c r="AC476" s="1">
        <v>31599</v>
      </c>
      <c r="AD476" s="1">
        <v>163213</v>
      </c>
      <c r="AE476" s="1">
        <v>94965</v>
      </c>
      <c r="AG476" s="1">
        <v>830708</v>
      </c>
      <c r="AH476" s="1">
        <v>3134123</v>
      </c>
      <c r="AJ476" s="1">
        <v>177</v>
      </c>
      <c r="AK476" s="1">
        <v>370823</v>
      </c>
      <c r="AL476" s="1">
        <v>251176</v>
      </c>
      <c r="AM476" s="1">
        <v>45825</v>
      </c>
      <c r="AN476" s="1">
        <v>121336</v>
      </c>
      <c r="AO476" s="1">
        <v>418337</v>
      </c>
      <c r="AP476" s="1">
        <v>798090</v>
      </c>
      <c r="AQ476" s="1">
        <v>68982</v>
      </c>
      <c r="AT476" s="1">
        <v>68982</v>
      </c>
      <c r="AU476" s="1">
        <v>33183</v>
      </c>
      <c r="AV476" s="1">
        <v>102165</v>
      </c>
      <c r="AW476" s="1">
        <v>102165</v>
      </c>
      <c r="AZ476" s="1">
        <v>4888871</v>
      </c>
      <c r="BB476" s="1">
        <v>18000</v>
      </c>
      <c r="BC476" s="1">
        <v>7448</v>
      </c>
      <c r="BE476" s="1">
        <v>24881</v>
      </c>
      <c r="BF476" s="1">
        <v>21210</v>
      </c>
      <c r="BH476" s="1">
        <v>8828</v>
      </c>
      <c r="BI476" s="1">
        <v>203899</v>
      </c>
      <c r="BJ476" s="1">
        <v>166747</v>
      </c>
      <c r="BU476" s="1">
        <v>8930</v>
      </c>
      <c r="BV476" s="1">
        <v>8930</v>
      </c>
      <c r="CA476" s="1">
        <v>8828</v>
      </c>
    </row>
    <row r="477" spans="1:133">
      <c r="A477" s="1">
        <v>29</v>
      </c>
      <c r="B477" s="1">
        <v>4720</v>
      </c>
      <c r="C477" s="1" t="s">
        <v>878</v>
      </c>
      <c r="D477" s="1" t="s">
        <v>903</v>
      </c>
      <c r="G477" s="1">
        <v>141691</v>
      </c>
      <c r="H477" s="1">
        <v>55861</v>
      </c>
      <c r="J477" s="1">
        <v>197552</v>
      </c>
      <c r="K477" s="1">
        <v>100084</v>
      </c>
      <c r="L477" s="1">
        <v>45348</v>
      </c>
      <c r="O477" s="1">
        <v>145432</v>
      </c>
      <c r="Q477" s="1">
        <v>1283650</v>
      </c>
      <c r="S477" s="1">
        <v>16600</v>
      </c>
      <c r="V477" s="1">
        <v>52624</v>
      </c>
      <c r="W477" s="1">
        <v>1352874</v>
      </c>
      <c r="Z477" s="1">
        <v>86905</v>
      </c>
      <c r="AC477" s="1">
        <v>11013</v>
      </c>
      <c r="AD477" s="1">
        <v>150844</v>
      </c>
      <c r="AE477" s="1">
        <v>63192</v>
      </c>
      <c r="AF477" s="1">
        <v>122</v>
      </c>
      <c r="AG477" s="1">
        <v>316207</v>
      </c>
      <c r="AH477" s="1">
        <v>1669081</v>
      </c>
      <c r="AK477" s="1">
        <v>125716</v>
      </c>
      <c r="AL477" s="1">
        <v>30963</v>
      </c>
      <c r="AM477" s="1">
        <v>28420</v>
      </c>
      <c r="AN477" s="1">
        <v>6113</v>
      </c>
      <c r="AO477" s="1">
        <v>65496</v>
      </c>
      <c r="AP477" s="1">
        <v>191212</v>
      </c>
      <c r="AZ477" s="1">
        <v>2203277</v>
      </c>
      <c r="BC477" s="1">
        <v>16600</v>
      </c>
      <c r="BE477" s="1">
        <v>4131</v>
      </c>
      <c r="BI477" s="1">
        <v>76768</v>
      </c>
      <c r="BJ477" s="1">
        <v>48948</v>
      </c>
    </row>
    <row r="478" spans="1:133">
      <c r="A478" s="1">
        <v>29</v>
      </c>
      <c r="B478" s="1">
        <v>4950</v>
      </c>
      <c r="C478" s="1" t="s">
        <v>878</v>
      </c>
      <c r="D478" s="1" t="s">
        <v>904</v>
      </c>
      <c r="F478" s="1">
        <v>1826653</v>
      </c>
      <c r="H478" s="1">
        <v>1203085</v>
      </c>
      <c r="I478" s="1">
        <v>374956</v>
      </c>
      <c r="J478" s="1">
        <v>3762998</v>
      </c>
      <c r="K478" s="1">
        <v>4212115</v>
      </c>
      <c r="L478" s="1">
        <v>800010</v>
      </c>
      <c r="M478" s="1">
        <v>226612</v>
      </c>
      <c r="N478" s="1">
        <v>166079</v>
      </c>
      <c r="O478" s="1">
        <v>5404816</v>
      </c>
      <c r="Q478" s="1">
        <v>34866771</v>
      </c>
      <c r="S478" s="1">
        <v>9459071</v>
      </c>
      <c r="T478" s="1">
        <v>698431</v>
      </c>
      <c r="U478" s="1">
        <v>5807</v>
      </c>
      <c r="V478" s="1">
        <v>926584</v>
      </c>
      <c r="W478" s="1">
        <v>45956664</v>
      </c>
      <c r="Y478" s="1">
        <v>149313</v>
      </c>
      <c r="Z478" s="1">
        <v>2143520</v>
      </c>
      <c r="AA478" s="1">
        <v>13082</v>
      </c>
      <c r="AB478" s="1">
        <v>82591</v>
      </c>
      <c r="AC478" s="1">
        <v>263657</v>
      </c>
      <c r="AD478" s="1">
        <v>3296273</v>
      </c>
      <c r="AE478" s="1">
        <v>1521477</v>
      </c>
      <c r="AG478" s="1">
        <v>7745303</v>
      </c>
      <c r="AH478" s="1">
        <v>53701967</v>
      </c>
      <c r="AI478" s="1">
        <v>97173</v>
      </c>
      <c r="AJ478" s="1">
        <v>52351</v>
      </c>
      <c r="AK478" s="1">
        <v>149524</v>
      </c>
      <c r="AL478" s="1">
        <v>156679</v>
      </c>
      <c r="AM478" s="1">
        <v>468910</v>
      </c>
      <c r="AN478" s="1">
        <v>105998</v>
      </c>
      <c r="AO478" s="1">
        <v>731587</v>
      </c>
      <c r="AP478" s="1">
        <v>881111</v>
      </c>
      <c r="AQ478" s="1">
        <v>2321479</v>
      </c>
      <c r="AS478" s="1">
        <v>201</v>
      </c>
      <c r="AT478" s="1">
        <v>2321680</v>
      </c>
      <c r="AV478" s="1">
        <v>2321680</v>
      </c>
      <c r="AW478" s="1">
        <v>2321680</v>
      </c>
      <c r="AY478" s="1">
        <v>374956</v>
      </c>
      <c r="AZ478" s="1">
        <v>66447528</v>
      </c>
      <c r="BC478" s="1">
        <v>9459071</v>
      </c>
      <c r="BE478" s="1">
        <v>80002</v>
      </c>
      <c r="BF478" s="1">
        <v>195388</v>
      </c>
      <c r="BY478" s="1">
        <v>374956</v>
      </c>
      <c r="CL478" s="1">
        <v>358304</v>
      </c>
      <c r="DC478" s="1">
        <v>201</v>
      </c>
    </row>
    <row r="479" spans="1:133">
      <c r="A479" s="1">
        <v>29</v>
      </c>
      <c r="B479" s="1">
        <v>5020</v>
      </c>
      <c r="C479" s="1" t="s">
        <v>878</v>
      </c>
      <c r="D479" s="1" t="s">
        <v>905</v>
      </c>
      <c r="F479" s="1">
        <v>1985525</v>
      </c>
      <c r="I479" s="1">
        <v>3000</v>
      </c>
      <c r="J479" s="1">
        <v>1988525</v>
      </c>
      <c r="K479" s="1">
        <v>532146</v>
      </c>
      <c r="N479" s="1">
        <v>99021</v>
      </c>
      <c r="O479" s="1">
        <v>631167</v>
      </c>
      <c r="Q479" s="1">
        <v>21740992</v>
      </c>
      <c r="R479" s="1">
        <v>239608</v>
      </c>
      <c r="S479" s="1">
        <v>239608</v>
      </c>
      <c r="V479" s="1">
        <v>553277</v>
      </c>
      <c r="W479" s="1">
        <v>22533877</v>
      </c>
      <c r="X479" s="1">
        <v>4049894</v>
      </c>
      <c r="Y479" s="1">
        <v>960739</v>
      </c>
      <c r="Z479" s="1">
        <v>2468856</v>
      </c>
      <c r="AA479" s="1">
        <v>3504</v>
      </c>
      <c r="AB479" s="1">
        <v>62253</v>
      </c>
      <c r="AC479" s="1">
        <v>271667</v>
      </c>
      <c r="AD479" s="1">
        <v>1258325</v>
      </c>
      <c r="AE479" s="1">
        <v>980309</v>
      </c>
      <c r="AF479" s="1">
        <v>143945</v>
      </c>
      <c r="AG479" s="1">
        <v>10835422</v>
      </c>
      <c r="AH479" s="1">
        <v>33383007</v>
      </c>
      <c r="AI479" s="1">
        <v>81681</v>
      </c>
      <c r="AJ479" s="1">
        <v>582231</v>
      </c>
      <c r="AK479" s="1">
        <v>663912</v>
      </c>
      <c r="AL479" s="1">
        <v>171848</v>
      </c>
      <c r="AM479" s="1">
        <v>587365</v>
      </c>
      <c r="AN479" s="1">
        <v>132572</v>
      </c>
      <c r="AO479" s="1">
        <v>891785</v>
      </c>
      <c r="AP479" s="1">
        <v>1555697</v>
      </c>
      <c r="AQ479" s="1">
        <v>1989017</v>
      </c>
      <c r="AT479" s="1">
        <v>1989017</v>
      </c>
      <c r="AU479" s="1">
        <v>581549</v>
      </c>
      <c r="AV479" s="1">
        <v>2638605</v>
      </c>
      <c r="AW479" s="1">
        <v>2638605</v>
      </c>
      <c r="AX479" s="1">
        <v>68039</v>
      </c>
      <c r="AY479" s="1">
        <v>-68039</v>
      </c>
      <c r="AZ479" s="1">
        <v>40197001</v>
      </c>
      <c r="BE479" s="1">
        <v>248010</v>
      </c>
      <c r="BH479" s="1">
        <v>13708</v>
      </c>
      <c r="BL479" s="1">
        <v>68039</v>
      </c>
      <c r="BR479" s="1">
        <v>364181</v>
      </c>
      <c r="CA479" s="1">
        <v>13708</v>
      </c>
      <c r="CH479" s="1">
        <v>23739</v>
      </c>
    </row>
    <row r="480" spans="1:133">
      <c r="A480" s="1">
        <v>29</v>
      </c>
      <c r="B480" s="1">
        <v>5190</v>
      </c>
      <c r="C480" s="1" t="s">
        <v>878</v>
      </c>
      <c r="D480" s="1" t="s">
        <v>906</v>
      </c>
      <c r="F480" s="1">
        <v>9870464</v>
      </c>
      <c r="G480" s="1">
        <v>1290148</v>
      </c>
      <c r="H480" s="1">
        <v>942462</v>
      </c>
      <c r="I480" s="1">
        <v>2528766</v>
      </c>
      <c r="J480" s="1">
        <v>18899749</v>
      </c>
      <c r="K480" s="1">
        <v>3340107</v>
      </c>
      <c r="L480" s="1">
        <v>3857538</v>
      </c>
      <c r="M480" s="1">
        <v>11036545</v>
      </c>
      <c r="N480" s="1">
        <v>3534968</v>
      </c>
      <c r="O480" s="1">
        <v>21769158</v>
      </c>
      <c r="P480" s="1">
        <v>315000</v>
      </c>
      <c r="Q480" s="1">
        <v>104580126</v>
      </c>
      <c r="R480" s="1">
        <v>255598</v>
      </c>
      <c r="S480" s="1">
        <v>255598</v>
      </c>
      <c r="T480" s="1">
        <v>235126</v>
      </c>
      <c r="U480" s="1">
        <v>1211781</v>
      </c>
      <c r="V480" s="1">
        <v>134021</v>
      </c>
      <c r="W480" s="1">
        <v>106676424</v>
      </c>
      <c r="X480" s="1">
        <v>39379179</v>
      </c>
      <c r="Y480" s="1">
        <v>3865887</v>
      </c>
      <c r="Z480" s="1">
        <v>10521401</v>
      </c>
      <c r="AA480" s="1">
        <v>115398</v>
      </c>
      <c r="AB480" s="1">
        <v>210588</v>
      </c>
      <c r="AC480" s="1">
        <v>1825296</v>
      </c>
      <c r="AD480" s="1">
        <v>6225773</v>
      </c>
      <c r="AE480" s="1">
        <v>15290837</v>
      </c>
      <c r="AG480" s="1">
        <v>89654855</v>
      </c>
      <c r="AH480" s="1">
        <v>196705765</v>
      </c>
      <c r="AI480" s="1">
        <v>479660</v>
      </c>
      <c r="AJ480" s="1">
        <v>1007338</v>
      </c>
      <c r="AK480" s="1">
        <v>1636176</v>
      </c>
      <c r="AL480" s="1">
        <v>2077554</v>
      </c>
      <c r="AM480" s="1">
        <v>3758480</v>
      </c>
      <c r="AN480" s="1">
        <v>1039454</v>
      </c>
      <c r="AO480" s="1">
        <v>6878822</v>
      </c>
      <c r="AP480" s="1">
        <v>8514998</v>
      </c>
      <c r="AQ480" s="1">
        <v>5696185</v>
      </c>
      <c r="AT480" s="1">
        <v>5696185</v>
      </c>
      <c r="AU480" s="1">
        <v>455627</v>
      </c>
      <c r="AV480" s="1">
        <v>8475187</v>
      </c>
      <c r="AW480" s="1">
        <v>8475187</v>
      </c>
      <c r="AX480" s="1">
        <v>112869</v>
      </c>
      <c r="AY480" s="1">
        <v>76625</v>
      </c>
      <c r="AZ480" s="1">
        <v>261454694</v>
      </c>
      <c r="BB480" s="1">
        <v>3733829</v>
      </c>
      <c r="BD480" s="1">
        <v>194210</v>
      </c>
      <c r="BE480" s="1">
        <v>1994584</v>
      </c>
      <c r="BF480" s="1">
        <v>75783</v>
      </c>
      <c r="BH480" s="1">
        <v>42021</v>
      </c>
      <c r="BJ480" s="1">
        <v>149178</v>
      </c>
      <c r="BX480" s="1">
        <v>6000000</v>
      </c>
      <c r="BY480" s="1">
        <v>7089837</v>
      </c>
      <c r="CA480" s="1">
        <v>42021</v>
      </c>
      <c r="CC480" s="1">
        <v>900343</v>
      </c>
      <c r="CE480" s="1">
        <v>50549</v>
      </c>
      <c r="CJ480" s="1">
        <v>1290148</v>
      </c>
      <c r="CL480" s="1">
        <v>534080</v>
      </c>
      <c r="DE480" s="1">
        <v>3334</v>
      </c>
      <c r="DO480" s="1">
        <v>9955919</v>
      </c>
      <c r="DU480" s="1">
        <v>17465</v>
      </c>
      <c r="DV480" s="1">
        <v>17465</v>
      </c>
      <c r="DZ480" s="1">
        <v>209223</v>
      </c>
      <c r="EA480" s="1">
        <v>2323375</v>
      </c>
    </row>
    <row r="481" spans="1:131">
      <c r="A481" s="1">
        <v>29</v>
      </c>
      <c r="B481" s="1">
        <v>5220</v>
      </c>
      <c r="C481" s="1" t="s">
        <v>878</v>
      </c>
      <c r="D481" s="1" t="s">
        <v>907</v>
      </c>
      <c r="F481" s="1">
        <v>160048</v>
      </c>
      <c r="G481" s="1">
        <v>108959</v>
      </c>
      <c r="H481" s="1">
        <v>90318</v>
      </c>
      <c r="J481" s="1">
        <v>359325</v>
      </c>
      <c r="K481" s="1">
        <v>105127</v>
      </c>
      <c r="L481" s="1">
        <v>793</v>
      </c>
      <c r="M481" s="1">
        <v>1440288</v>
      </c>
      <c r="N481" s="1">
        <v>52456</v>
      </c>
      <c r="O481" s="1">
        <v>1598664</v>
      </c>
      <c r="Q481" s="1">
        <v>1908256</v>
      </c>
      <c r="S481" s="1">
        <v>3748</v>
      </c>
      <c r="V481" s="1">
        <v>68324</v>
      </c>
      <c r="W481" s="1">
        <v>1980328</v>
      </c>
      <c r="X481" s="1">
        <v>682594</v>
      </c>
      <c r="Y481" s="1">
        <v>19563</v>
      </c>
      <c r="Z481" s="1">
        <v>324179</v>
      </c>
      <c r="AB481" s="1">
        <v>2766</v>
      </c>
      <c r="AC481" s="1">
        <v>30847</v>
      </c>
      <c r="AD481" s="1">
        <v>275826</v>
      </c>
      <c r="AE481" s="1">
        <v>126351</v>
      </c>
      <c r="AG481" s="1">
        <v>1566807</v>
      </c>
      <c r="AH481" s="1">
        <v>3547135</v>
      </c>
      <c r="AJ481" s="1">
        <v>25000</v>
      </c>
      <c r="AK481" s="1">
        <v>277943</v>
      </c>
      <c r="AL481" s="1">
        <v>68060</v>
      </c>
      <c r="AM481" s="1">
        <v>57638</v>
      </c>
      <c r="AN481" s="1">
        <v>16496</v>
      </c>
      <c r="AO481" s="1">
        <v>142194</v>
      </c>
      <c r="AP481" s="1">
        <v>420137</v>
      </c>
      <c r="AQ481" s="1">
        <v>278489</v>
      </c>
      <c r="AT481" s="1">
        <v>278489</v>
      </c>
      <c r="AU481" s="1">
        <v>58933</v>
      </c>
      <c r="AV481" s="1">
        <v>357756</v>
      </c>
      <c r="AW481" s="1">
        <v>357756</v>
      </c>
      <c r="AX481" s="1">
        <v>20334</v>
      </c>
      <c r="AZ481" s="1">
        <v>6303351</v>
      </c>
      <c r="BC481" s="1">
        <v>3748</v>
      </c>
      <c r="BE481" s="1">
        <v>28730</v>
      </c>
      <c r="BF481" s="1">
        <v>2815</v>
      </c>
      <c r="BI481" s="1">
        <v>154557</v>
      </c>
      <c r="BJ481" s="1">
        <v>98386</v>
      </c>
      <c r="BL481" s="1">
        <v>20334</v>
      </c>
      <c r="BR481" s="1">
        <v>73136</v>
      </c>
      <c r="BY481" s="1">
        <v>20334</v>
      </c>
    </row>
    <row r="482" spans="1:131">
      <c r="A482" s="1">
        <v>31</v>
      </c>
      <c r="B482" s="1">
        <v>420</v>
      </c>
      <c r="C482" s="1" t="s">
        <v>908</v>
      </c>
      <c r="D482" s="1" t="s">
        <v>909</v>
      </c>
      <c r="F482" s="1">
        <v>20635</v>
      </c>
      <c r="G482" s="1">
        <v>47364</v>
      </c>
      <c r="I482" s="1">
        <v>261696</v>
      </c>
      <c r="J482" s="1">
        <v>329695</v>
      </c>
      <c r="K482" s="1">
        <v>136853</v>
      </c>
      <c r="L482" s="1">
        <v>544512</v>
      </c>
      <c r="O482" s="1">
        <v>681365</v>
      </c>
      <c r="Q482" s="1">
        <v>11674554</v>
      </c>
      <c r="U482" s="1">
        <v>7329</v>
      </c>
      <c r="V482" s="1">
        <v>99840</v>
      </c>
      <c r="W482" s="1">
        <v>11781723</v>
      </c>
      <c r="Y482" s="1">
        <v>181354</v>
      </c>
      <c r="Z482" s="1">
        <v>804336</v>
      </c>
      <c r="AA482" s="1">
        <v>34824</v>
      </c>
      <c r="AB482" s="1">
        <v>58606</v>
      </c>
      <c r="AC482" s="1">
        <v>104673</v>
      </c>
      <c r="AD482" s="1">
        <v>784022</v>
      </c>
      <c r="AE482" s="1">
        <v>320692</v>
      </c>
      <c r="AG482" s="1">
        <v>3409722</v>
      </c>
      <c r="AH482" s="1">
        <v>15191445</v>
      </c>
      <c r="AI482" s="1">
        <v>14760</v>
      </c>
      <c r="AK482" s="1">
        <v>14760</v>
      </c>
      <c r="AL482" s="1">
        <v>34655</v>
      </c>
      <c r="AM482" s="1">
        <v>224854</v>
      </c>
      <c r="AN482" s="1">
        <v>26205</v>
      </c>
      <c r="AO482" s="1">
        <v>285714</v>
      </c>
      <c r="AP482" s="1">
        <v>300474</v>
      </c>
      <c r="AY482" s="1">
        <v>163965</v>
      </c>
      <c r="AZ482" s="1">
        <v>16666944</v>
      </c>
      <c r="BE482" s="1">
        <v>65364</v>
      </c>
      <c r="BR482" s="1">
        <v>1055851</v>
      </c>
      <c r="BY482" s="1">
        <v>163965</v>
      </c>
    </row>
    <row r="483" spans="1:131">
      <c r="A483" s="1">
        <v>31</v>
      </c>
      <c r="B483" s="1">
        <v>900</v>
      </c>
      <c r="C483" s="1" t="s">
        <v>908</v>
      </c>
      <c r="D483" s="1" t="s">
        <v>910</v>
      </c>
      <c r="F483" s="1">
        <v>1108750</v>
      </c>
      <c r="G483" s="1">
        <v>1380307</v>
      </c>
      <c r="I483" s="1">
        <v>146489</v>
      </c>
      <c r="J483" s="1">
        <v>9783814</v>
      </c>
      <c r="K483" s="1">
        <v>2676378</v>
      </c>
      <c r="L483" s="1">
        <v>4017311</v>
      </c>
      <c r="M483" s="1">
        <v>863177</v>
      </c>
      <c r="N483" s="1">
        <v>351137</v>
      </c>
      <c r="O483" s="1">
        <v>7908003</v>
      </c>
      <c r="Q483" s="1">
        <v>101312881</v>
      </c>
      <c r="S483" s="1">
        <v>118770</v>
      </c>
      <c r="W483" s="1">
        <v>103156652</v>
      </c>
      <c r="X483" s="1">
        <v>4314755</v>
      </c>
      <c r="Y483" s="1">
        <v>1897782</v>
      </c>
      <c r="Z483" s="1">
        <v>7083867</v>
      </c>
      <c r="AA483" s="1">
        <v>748722</v>
      </c>
      <c r="AB483" s="1">
        <v>486403</v>
      </c>
      <c r="AC483" s="1">
        <v>1189804</v>
      </c>
      <c r="AD483" s="1">
        <v>7967114</v>
      </c>
      <c r="AE483" s="1">
        <v>4610023</v>
      </c>
      <c r="AG483" s="1">
        <v>32232740</v>
      </c>
      <c r="AH483" s="1">
        <v>135638106</v>
      </c>
      <c r="AI483" s="1">
        <v>528116</v>
      </c>
      <c r="AJ483" s="1">
        <v>1786145</v>
      </c>
      <c r="AK483" s="1">
        <v>3230826</v>
      </c>
      <c r="AL483" s="1">
        <v>1248926</v>
      </c>
      <c r="AM483" s="1">
        <v>2201385</v>
      </c>
      <c r="AN483" s="1">
        <v>742656</v>
      </c>
      <c r="AO483" s="1">
        <v>4192967</v>
      </c>
      <c r="AP483" s="1">
        <v>7439429</v>
      </c>
      <c r="AQ483" s="1">
        <v>4588773</v>
      </c>
      <c r="AT483" s="1">
        <v>4588773</v>
      </c>
      <c r="AU483" s="1">
        <v>205227</v>
      </c>
      <c r="AV483" s="1">
        <v>5045676</v>
      </c>
      <c r="AW483" s="1">
        <v>5045676</v>
      </c>
      <c r="AX483" s="1">
        <v>248137</v>
      </c>
      <c r="AY483" s="1">
        <v>-251676</v>
      </c>
      <c r="AZ483" s="1">
        <v>168232028</v>
      </c>
      <c r="BC483" s="1">
        <v>118770</v>
      </c>
      <c r="BE483" s="1">
        <v>500125</v>
      </c>
      <c r="BF483" s="1">
        <v>3434145</v>
      </c>
      <c r="BH483" s="1">
        <v>51486</v>
      </c>
      <c r="BJ483" s="1">
        <v>916565</v>
      </c>
      <c r="BL483" s="1">
        <v>251676</v>
      </c>
      <c r="BQ483" s="1">
        <v>1725001</v>
      </c>
      <c r="BU483" s="1">
        <v>15636</v>
      </c>
      <c r="BV483" s="1">
        <v>15636</v>
      </c>
      <c r="BX483" s="1">
        <v>2420539</v>
      </c>
      <c r="BY483" s="1">
        <v>2417000</v>
      </c>
      <c r="CA483" s="1">
        <v>51486</v>
      </c>
      <c r="CG483" s="1">
        <v>197228</v>
      </c>
      <c r="CL483" s="1">
        <v>7148268</v>
      </c>
    </row>
    <row r="484" spans="1:131">
      <c r="A484" s="1">
        <v>31</v>
      </c>
      <c r="B484" s="1">
        <v>1920</v>
      </c>
      <c r="C484" s="1" t="s">
        <v>908</v>
      </c>
      <c r="D484" s="1" t="s">
        <v>911</v>
      </c>
      <c r="F484" s="1">
        <v>807816</v>
      </c>
      <c r="G484" s="1">
        <v>486513</v>
      </c>
      <c r="H484" s="1">
        <v>515894</v>
      </c>
      <c r="I484" s="1">
        <v>79094</v>
      </c>
      <c r="J484" s="1">
        <v>1889317</v>
      </c>
      <c r="K484" s="1">
        <v>212548</v>
      </c>
      <c r="M484" s="1">
        <v>44872</v>
      </c>
      <c r="N484" s="1">
        <v>7719</v>
      </c>
      <c r="O484" s="1">
        <v>265139</v>
      </c>
      <c r="P484" s="1">
        <v>20701</v>
      </c>
      <c r="Q484" s="1">
        <v>4808738</v>
      </c>
      <c r="R484" s="1">
        <v>1696</v>
      </c>
      <c r="S484" s="1">
        <v>1696</v>
      </c>
      <c r="U484" s="1">
        <v>962</v>
      </c>
      <c r="V484" s="1">
        <v>122686</v>
      </c>
      <c r="W484" s="1">
        <v>4961418</v>
      </c>
      <c r="X484" s="1">
        <v>2929828</v>
      </c>
      <c r="Y484" s="1">
        <v>85509</v>
      </c>
      <c r="Z484" s="1">
        <v>782937</v>
      </c>
      <c r="AA484" s="1">
        <v>60754</v>
      </c>
      <c r="AB484" s="1">
        <v>24026</v>
      </c>
      <c r="AC484" s="1">
        <v>107087</v>
      </c>
      <c r="AD484" s="1">
        <v>683670</v>
      </c>
      <c r="AE484" s="1">
        <v>386935</v>
      </c>
      <c r="AG484" s="1">
        <v>5290180</v>
      </c>
      <c r="AH484" s="1">
        <v>10274471</v>
      </c>
      <c r="AJ484" s="1">
        <v>5000</v>
      </c>
      <c r="AK484" s="1">
        <v>702799</v>
      </c>
      <c r="AL484" s="1">
        <v>460804</v>
      </c>
      <c r="AM484" s="1">
        <v>206906</v>
      </c>
      <c r="AN484" s="1">
        <v>72380</v>
      </c>
      <c r="AO484" s="1">
        <v>740090</v>
      </c>
      <c r="AP484" s="1">
        <v>1443907</v>
      </c>
      <c r="AQ484" s="1">
        <v>305682</v>
      </c>
      <c r="AT484" s="1">
        <v>305682</v>
      </c>
      <c r="AU484" s="1">
        <v>274811</v>
      </c>
      <c r="AV484" s="1">
        <v>580493</v>
      </c>
      <c r="AW484" s="1">
        <v>580493</v>
      </c>
      <c r="AY484" s="1">
        <v>-20701</v>
      </c>
      <c r="AZ484" s="1">
        <v>14432626</v>
      </c>
      <c r="BE484" s="1">
        <v>143230</v>
      </c>
      <c r="BF484" s="1">
        <v>86204</v>
      </c>
      <c r="BH484" s="1">
        <v>2172</v>
      </c>
      <c r="BI484" s="1">
        <v>459173</v>
      </c>
      <c r="BJ484" s="1">
        <v>238626</v>
      </c>
      <c r="BQ484" s="1">
        <v>27336</v>
      </c>
      <c r="BU484" s="1">
        <v>1018</v>
      </c>
      <c r="BV484" s="1">
        <v>1018</v>
      </c>
      <c r="BY484" s="1">
        <v>-20701</v>
      </c>
      <c r="CA484" s="1">
        <v>2172</v>
      </c>
    </row>
    <row r="485" spans="1:131">
      <c r="A485" s="1">
        <v>31</v>
      </c>
      <c r="B485" s="1">
        <v>2100</v>
      </c>
      <c r="C485" s="1" t="s">
        <v>908</v>
      </c>
      <c r="D485" s="1" t="s">
        <v>912</v>
      </c>
      <c r="F485" s="1">
        <v>31182</v>
      </c>
      <c r="H485" s="1">
        <v>364525</v>
      </c>
      <c r="I485" s="1">
        <v>285081</v>
      </c>
      <c r="J485" s="1">
        <v>680788</v>
      </c>
      <c r="K485" s="1">
        <v>559029</v>
      </c>
      <c r="L485" s="1">
        <v>204377</v>
      </c>
      <c r="M485" s="1">
        <v>137442</v>
      </c>
      <c r="O485" s="1">
        <v>900848</v>
      </c>
      <c r="Q485" s="1">
        <v>26377804</v>
      </c>
      <c r="W485" s="1">
        <v>26598955</v>
      </c>
      <c r="Y485" s="1">
        <v>204545</v>
      </c>
      <c r="Z485" s="1">
        <v>1563362</v>
      </c>
      <c r="AA485" s="1">
        <v>47798</v>
      </c>
      <c r="AB485" s="1">
        <v>157757</v>
      </c>
      <c r="AC485" s="1">
        <v>258610</v>
      </c>
      <c r="AD485" s="1">
        <v>2253506</v>
      </c>
      <c r="AE485" s="1">
        <v>1065391</v>
      </c>
      <c r="AF485" s="1">
        <v>165012</v>
      </c>
      <c r="AG485" s="1">
        <v>5779638</v>
      </c>
      <c r="AH485" s="1">
        <v>32535311</v>
      </c>
      <c r="AI485" s="1">
        <v>47583</v>
      </c>
      <c r="AJ485" s="1">
        <v>219616</v>
      </c>
      <c r="AK485" s="1">
        <v>267199</v>
      </c>
      <c r="AL485" s="1">
        <v>164788</v>
      </c>
      <c r="AM485" s="1">
        <v>530463</v>
      </c>
      <c r="AN485" s="1">
        <v>50255</v>
      </c>
      <c r="AO485" s="1">
        <v>745506</v>
      </c>
      <c r="AP485" s="1">
        <v>1018376</v>
      </c>
      <c r="AQ485" s="1">
        <v>669217</v>
      </c>
      <c r="AT485" s="1">
        <v>669217</v>
      </c>
      <c r="AU485" s="1">
        <v>204127</v>
      </c>
      <c r="AV485" s="1">
        <v>891375</v>
      </c>
      <c r="AW485" s="1">
        <v>891375</v>
      </c>
      <c r="AZ485" s="1">
        <v>36026698</v>
      </c>
      <c r="BE485" s="1">
        <v>63657</v>
      </c>
      <c r="BQ485" s="1">
        <v>221151</v>
      </c>
      <c r="BU485" s="1">
        <v>5671</v>
      </c>
      <c r="BV485" s="1">
        <v>5671</v>
      </c>
      <c r="CG485" s="1">
        <v>156718</v>
      </c>
      <c r="EA485" s="1">
        <v>18031</v>
      </c>
    </row>
    <row r="486" spans="1:131">
      <c r="A486" s="1">
        <v>31</v>
      </c>
      <c r="B486" s="1">
        <v>2510</v>
      </c>
      <c r="C486" s="1" t="s">
        <v>908</v>
      </c>
      <c r="D486" s="1" t="s">
        <v>913</v>
      </c>
      <c r="F486" s="1">
        <v>938873</v>
      </c>
      <c r="I486" s="1">
        <v>1</v>
      </c>
      <c r="J486" s="1">
        <v>1939176</v>
      </c>
      <c r="K486" s="1">
        <v>393285</v>
      </c>
      <c r="L486" s="1">
        <v>20000</v>
      </c>
      <c r="M486" s="1">
        <v>472078</v>
      </c>
      <c r="O486" s="1">
        <v>885363</v>
      </c>
      <c r="Q486" s="1">
        <v>14274393</v>
      </c>
      <c r="V486" s="1">
        <v>212750</v>
      </c>
      <c r="W486" s="1">
        <v>14487143</v>
      </c>
      <c r="X486" s="1">
        <v>1299622</v>
      </c>
      <c r="Y486" s="1">
        <v>364060</v>
      </c>
      <c r="Z486" s="1">
        <v>735750</v>
      </c>
      <c r="AA486" s="1">
        <v>2336</v>
      </c>
      <c r="AB486" s="1">
        <v>81965</v>
      </c>
      <c r="AC486" s="1">
        <v>118278</v>
      </c>
      <c r="AD486" s="1">
        <v>1205447</v>
      </c>
      <c r="AE486" s="1">
        <v>644261</v>
      </c>
      <c r="AG486" s="1">
        <v>6631033</v>
      </c>
      <c r="AH486" s="1">
        <v>21118176</v>
      </c>
      <c r="AJ486" s="1">
        <v>1230</v>
      </c>
      <c r="AK486" s="1">
        <v>1230</v>
      </c>
      <c r="AL486" s="1">
        <v>26601</v>
      </c>
      <c r="AM486" s="1">
        <v>243388</v>
      </c>
      <c r="AN486" s="1">
        <v>23544</v>
      </c>
      <c r="AO486" s="1">
        <v>308095</v>
      </c>
      <c r="AP486" s="1">
        <v>309325</v>
      </c>
      <c r="AQ486" s="1">
        <v>339397</v>
      </c>
      <c r="AT486" s="1">
        <v>339397</v>
      </c>
      <c r="AV486" s="1">
        <v>339397</v>
      </c>
      <c r="AW486" s="1">
        <v>339397</v>
      </c>
      <c r="AZ486" s="1">
        <v>24591437</v>
      </c>
      <c r="BE486" s="1">
        <v>136743</v>
      </c>
      <c r="BF486" s="1">
        <v>4502</v>
      </c>
      <c r="BK486" s="1">
        <v>14562</v>
      </c>
      <c r="BR486" s="1">
        <v>1714039</v>
      </c>
      <c r="CF486" s="1">
        <v>324030</v>
      </c>
      <c r="CL486" s="1">
        <v>1000302</v>
      </c>
    </row>
    <row r="487" spans="1:131">
      <c r="A487" s="1">
        <v>31</v>
      </c>
      <c r="B487" s="1">
        <v>2700</v>
      </c>
      <c r="C487" s="1" t="s">
        <v>908</v>
      </c>
      <c r="D487" s="1" t="s">
        <v>914</v>
      </c>
      <c r="F487" s="1">
        <v>98112</v>
      </c>
      <c r="G487" s="1">
        <v>697564</v>
      </c>
      <c r="H487" s="1">
        <v>103233</v>
      </c>
      <c r="I487" s="1">
        <v>71633</v>
      </c>
      <c r="J487" s="1">
        <v>1024796</v>
      </c>
      <c r="K487" s="1">
        <v>207283</v>
      </c>
      <c r="L487" s="1">
        <v>8188</v>
      </c>
      <c r="M487" s="1">
        <v>289673</v>
      </c>
      <c r="O487" s="1">
        <v>505144</v>
      </c>
      <c r="P487" s="1">
        <v>275386</v>
      </c>
      <c r="Q487" s="1">
        <v>9812794</v>
      </c>
      <c r="R487" s="1">
        <v>276405</v>
      </c>
      <c r="S487" s="1">
        <v>276405</v>
      </c>
      <c r="U487" s="1">
        <v>100</v>
      </c>
      <c r="V487" s="1">
        <v>100081</v>
      </c>
      <c r="W487" s="1">
        <v>10189380</v>
      </c>
      <c r="Y487" s="1">
        <v>51219</v>
      </c>
      <c r="Z487" s="1">
        <v>508978</v>
      </c>
      <c r="AA487" s="1">
        <v>47744</v>
      </c>
      <c r="AB487" s="1">
        <v>3764</v>
      </c>
      <c r="AC487" s="1">
        <v>98090</v>
      </c>
      <c r="AD487" s="1">
        <v>833867</v>
      </c>
      <c r="AE487" s="1">
        <v>403517</v>
      </c>
      <c r="AG487" s="1">
        <v>1977618</v>
      </c>
      <c r="AH487" s="1">
        <v>12512814</v>
      </c>
      <c r="AI487" s="1">
        <v>23187</v>
      </c>
      <c r="AJ487" s="1">
        <v>5000</v>
      </c>
      <c r="AK487" s="1">
        <v>28187</v>
      </c>
      <c r="AL487" s="1">
        <v>35401</v>
      </c>
      <c r="AM487" s="1">
        <v>170659</v>
      </c>
      <c r="AN487" s="1">
        <v>35368</v>
      </c>
      <c r="AO487" s="1">
        <v>241428</v>
      </c>
      <c r="AP487" s="1">
        <v>269615</v>
      </c>
      <c r="AQ487" s="1">
        <v>231198</v>
      </c>
      <c r="AT487" s="1">
        <v>231198</v>
      </c>
      <c r="AV487" s="1">
        <v>231198</v>
      </c>
      <c r="AW487" s="1">
        <v>231198</v>
      </c>
      <c r="AX487" s="1">
        <v>5915</v>
      </c>
      <c r="AY487" s="1">
        <v>-275386</v>
      </c>
      <c r="AZ487" s="1">
        <v>14274602</v>
      </c>
      <c r="BE487" s="1">
        <v>21877</v>
      </c>
      <c r="BF487" s="1">
        <v>8562</v>
      </c>
      <c r="BY487" s="1">
        <v>-268965</v>
      </c>
      <c r="CG487" s="1">
        <v>70430</v>
      </c>
      <c r="CI487" s="1">
        <v>506</v>
      </c>
      <c r="CL487" s="1">
        <v>54254</v>
      </c>
    </row>
    <row r="488" spans="1:131">
      <c r="A488" s="1">
        <v>31</v>
      </c>
      <c r="B488" s="1">
        <v>3640</v>
      </c>
      <c r="C488" s="1" t="s">
        <v>908</v>
      </c>
      <c r="D488" s="1" t="s">
        <v>915</v>
      </c>
      <c r="F488" s="1">
        <v>115687</v>
      </c>
      <c r="G488" s="1">
        <v>237378</v>
      </c>
      <c r="H488" s="1">
        <v>234744</v>
      </c>
      <c r="I488" s="1">
        <v>103</v>
      </c>
      <c r="J488" s="1">
        <v>1634351</v>
      </c>
      <c r="K488" s="1">
        <v>139754</v>
      </c>
      <c r="L488" s="1">
        <v>25387</v>
      </c>
      <c r="M488" s="1">
        <v>21240678</v>
      </c>
      <c r="N488" s="1">
        <v>486534</v>
      </c>
      <c r="O488" s="1">
        <v>21892353</v>
      </c>
      <c r="Q488" s="1">
        <v>6302416</v>
      </c>
      <c r="R488" s="1">
        <v>20500</v>
      </c>
      <c r="S488" s="1">
        <v>20500</v>
      </c>
      <c r="U488" s="1">
        <v>42475</v>
      </c>
      <c r="W488" s="1">
        <v>6371887</v>
      </c>
      <c r="Y488" s="1">
        <v>73803</v>
      </c>
      <c r="Z488" s="1">
        <v>277430</v>
      </c>
      <c r="AA488" s="1">
        <v>2336</v>
      </c>
      <c r="AB488" s="1">
        <v>35983</v>
      </c>
      <c r="AC488" s="1">
        <v>63418</v>
      </c>
      <c r="AD488" s="1">
        <v>557915</v>
      </c>
      <c r="AE488" s="1">
        <v>284695</v>
      </c>
      <c r="AG488" s="1">
        <v>1366086</v>
      </c>
      <c r="AH488" s="1">
        <v>7739150</v>
      </c>
      <c r="AI488" s="1">
        <v>12546</v>
      </c>
      <c r="AJ488" s="1">
        <v>1300</v>
      </c>
      <c r="AK488" s="1">
        <v>13846</v>
      </c>
      <c r="AL488" s="1">
        <v>21843</v>
      </c>
      <c r="AM488" s="1">
        <v>199767</v>
      </c>
      <c r="AN488" s="1">
        <v>24788</v>
      </c>
      <c r="AO488" s="1">
        <v>246398</v>
      </c>
      <c r="AP488" s="1">
        <v>260244</v>
      </c>
      <c r="AQ488" s="1">
        <v>1175045</v>
      </c>
      <c r="AT488" s="1">
        <v>1175045</v>
      </c>
      <c r="AV488" s="1">
        <v>2165227</v>
      </c>
      <c r="AW488" s="1">
        <v>2165227</v>
      </c>
      <c r="AX488" s="1">
        <v>990182</v>
      </c>
      <c r="AY488" s="1">
        <v>-990182</v>
      </c>
      <c r="AZ488" s="1">
        <v>40166064</v>
      </c>
      <c r="BE488" s="1">
        <v>12886</v>
      </c>
      <c r="BF488" s="1">
        <v>57620</v>
      </c>
      <c r="BH488" s="1">
        <v>1177</v>
      </c>
      <c r="BM488" s="1">
        <v>990182</v>
      </c>
      <c r="BQ488" s="1">
        <v>6496</v>
      </c>
      <c r="BY488" s="1">
        <v>6474739</v>
      </c>
      <c r="CA488" s="1">
        <v>1177</v>
      </c>
      <c r="CI488" s="1">
        <v>6474739</v>
      </c>
      <c r="CL488" s="1">
        <v>1046439</v>
      </c>
    </row>
    <row r="489" spans="1:131">
      <c r="A489" s="1">
        <v>31</v>
      </c>
      <c r="B489" s="1">
        <v>3970</v>
      </c>
      <c r="C489" s="1" t="s">
        <v>908</v>
      </c>
      <c r="D489" s="1" t="s">
        <v>916</v>
      </c>
      <c r="F489" s="1">
        <v>67407</v>
      </c>
      <c r="I489" s="1">
        <v>1</v>
      </c>
      <c r="J489" s="1">
        <v>367408</v>
      </c>
      <c r="K489" s="1">
        <v>-1719886</v>
      </c>
      <c r="L489" s="1">
        <v>5595089</v>
      </c>
      <c r="M489" s="1">
        <v>4535</v>
      </c>
      <c r="N489" s="1">
        <v>111089</v>
      </c>
      <c r="O489" s="1">
        <v>3990827</v>
      </c>
      <c r="P489" s="1">
        <v>-17770</v>
      </c>
      <c r="Q489" s="1">
        <v>13869390</v>
      </c>
      <c r="S489" s="1">
        <v>55444</v>
      </c>
      <c r="V489" s="1">
        <v>2281958</v>
      </c>
      <c r="W489" s="1">
        <v>16206792</v>
      </c>
      <c r="X489" s="1">
        <v>65783761</v>
      </c>
      <c r="Y489" s="1">
        <v>2354719</v>
      </c>
      <c r="Z489" s="1">
        <v>9848217</v>
      </c>
      <c r="AA489" s="1">
        <v>3948286</v>
      </c>
      <c r="AB489" s="1">
        <v>835955</v>
      </c>
      <c r="AC489" s="1">
        <v>1289759</v>
      </c>
      <c r="AD489" s="1">
        <v>10388229</v>
      </c>
      <c r="AE489" s="1">
        <v>6746714</v>
      </c>
      <c r="AG489" s="1">
        <v>168339141</v>
      </c>
      <c r="AH489" s="1">
        <v>185096813</v>
      </c>
      <c r="AJ489" s="1">
        <v>2598158</v>
      </c>
      <c r="AK489" s="1">
        <v>30909416</v>
      </c>
      <c r="AL489" s="1">
        <v>5855153</v>
      </c>
      <c r="AM489" s="1">
        <v>3531986</v>
      </c>
      <c r="AN489" s="1">
        <v>6010294</v>
      </c>
      <c r="AO489" s="1">
        <v>15638480</v>
      </c>
      <c r="AP489" s="1">
        <v>47252274</v>
      </c>
      <c r="AQ489" s="1">
        <v>137157</v>
      </c>
      <c r="AT489" s="1">
        <v>137157</v>
      </c>
      <c r="AU489" s="1">
        <v>596305</v>
      </c>
      <c r="AV489" s="1">
        <v>733462</v>
      </c>
      <c r="AW489" s="1">
        <v>733462</v>
      </c>
      <c r="AX489" s="1">
        <v>1009</v>
      </c>
      <c r="AY489" s="1">
        <v>17770</v>
      </c>
      <c r="AZ489" s="1">
        <v>244722259</v>
      </c>
      <c r="BA489" s="1">
        <v>300000</v>
      </c>
      <c r="BC489" s="1">
        <v>55444</v>
      </c>
      <c r="BH489" s="1">
        <v>568650</v>
      </c>
      <c r="BI489" s="1">
        <v>23308045</v>
      </c>
      <c r="BJ489" s="1">
        <v>5003213</v>
      </c>
      <c r="BU489" s="1">
        <v>4253</v>
      </c>
      <c r="BV489" s="1">
        <v>4253</v>
      </c>
      <c r="BW489" s="1">
        <v>241047</v>
      </c>
      <c r="BY489" s="1">
        <v>7281475</v>
      </c>
      <c r="CA489" s="1">
        <v>568650</v>
      </c>
      <c r="CF489" s="1">
        <v>7842417</v>
      </c>
      <c r="CI489" s="1">
        <v>7262696</v>
      </c>
      <c r="CO489" s="1">
        <v>56414734</v>
      </c>
      <c r="CQ489" s="1">
        <v>700125</v>
      </c>
      <c r="DD489" s="1">
        <v>2886350</v>
      </c>
    </row>
    <row r="490" spans="1:131">
      <c r="A490" s="1">
        <v>31</v>
      </c>
      <c r="B490" s="1">
        <v>3975</v>
      </c>
      <c r="C490" s="1" t="s">
        <v>908</v>
      </c>
      <c r="D490" s="1" t="s">
        <v>917</v>
      </c>
      <c r="K490" s="1">
        <v>1223545</v>
      </c>
      <c r="O490" s="1">
        <v>1223545</v>
      </c>
      <c r="Q490" s="1">
        <v>5828738</v>
      </c>
      <c r="T490" s="1">
        <v>8792953</v>
      </c>
      <c r="W490" s="1">
        <v>16642822</v>
      </c>
      <c r="AD490" s="1">
        <v>308449</v>
      </c>
      <c r="AE490" s="1">
        <v>272023</v>
      </c>
      <c r="AG490" s="1">
        <v>580472</v>
      </c>
      <c r="AH490" s="1">
        <v>17223294</v>
      </c>
      <c r="AZ490" s="1">
        <v>18446839</v>
      </c>
      <c r="BQ490" s="1">
        <v>2021131</v>
      </c>
    </row>
    <row r="491" spans="1:131">
      <c r="A491" s="1">
        <v>31</v>
      </c>
      <c r="B491" s="1">
        <v>3980</v>
      </c>
      <c r="C491" s="1" t="s">
        <v>908</v>
      </c>
      <c r="D491" s="1" t="s">
        <v>918</v>
      </c>
      <c r="F491" s="1">
        <v>443971</v>
      </c>
      <c r="G491" s="1">
        <v>180093</v>
      </c>
      <c r="H491" s="1">
        <v>171836</v>
      </c>
      <c r="I491" s="1">
        <v>78556</v>
      </c>
      <c r="J491" s="1">
        <v>874456</v>
      </c>
      <c r="K491" s="1">
        <v>296787</v>
      </c>
      <c r="L491" s="1">
        <v>66485</v>
      </c>
      <c r="M491" s="1">
        <v>4081</v>
      </c>
      <c r="O491" s="1">
        <v>367353</v>
      </c>
      <c r="P491" s="1">
        <v>6635</v>
      </c>
      <c r="Q491" s="1">
        <v>8986178</v>
      </c>
      <c r="T491" s="1">
        <v>240437</v>
      </c>
      <c r="U491" s="1">
        <v>872</v>
      </c>
      <c r="V491" s="1">
        <v>135448</v>
      </c>
      <c r="W491" s="1">
        <v>9824907</v>
      </c>
      <c r="X491" s="1">
        <v>2276281</v>
      </c>
      <c r="Y491" s="1">
        <v>185425</v>
      </c>
      <c r="Z491" s="1">
        <v>400661</v>
      </c>
      <c r="AA491" s="1">
        <v>44294</v>
      </c>
      <c r="AB491" s="1">
        <v>39148</v>
      </c>
      <c r="AC491" s="1">
        <v>90300</v>
      </c>
      <c r="AD491" s="1">
        <v>787742</v>
      </c>
      <c r="AE491" s="1">
        <v>366089</v>
      </c>
      <c r="AG491" s="1">
        <v>4580358</v>
      </c>
      <c r="AH491" s="1">
        <v>14411900</v>
      </c>
      <c r="AJ491" s="1">
        <v>518403</v>
      </c>
      <c r="AK491" s="1">
        <v>1130061</v>
      </c>
      <c r="AL491" s="1">
        <v>89586</v>
      </c>
      <c r="AM491" s="1">
        <v>143923</v>
      </c>
      <c r="AN491" s="1">
        <v>45013</v>
      </c>
      <c r="AO491" s="1">
        <v>278522</v>
      </c>
      <c r="AP491" s="1">
        <v>1434657</v>
      </c>
      <c r="AY491" s="1">
        <v>-6635</v>
      </c>
      <c r="AZ491" s="1">
        <v>17084285</v>
      </c>
      <c r="BE491" s="1">
        <v>112062</v>
      </c>
      <c r="BF491" s="1">
        <v>74516</v>
      </c>
      <c r="BJ491" s="1">
        <v>611658</v>
      </c>
      <c r="BU491" s="1">
        <v>26074</v>
      </c>
      <c r="BV491" s="1">
        <v>26074</v>
      </c>
      <c r="BY491" s="1">
        <v>-4081</v>
      </c>
      <c r="CC491" s="1">
        <v>2554</v>
      </c>
      <c r="CF491" s="1">
        <v>104132</v>
      </c>
      <c r="CH491" s="1">
        <v>99708</v>
      </c>
      <c r="CK491" s="1">
        <v>78555</v>
      </c>
      <c r="CY491" s="1">
        <v>461972</v>
      </c>
    </row>
    <row r="492" spans="1:131">
      <c r="A492" s="1">
        <v>31</v>
      </c>
      <c r="B492" s="1">
        <v>3990</v>
      </c>
      <c r="C492" s="1" t="s">
        <v>908</v>
      </c>
      <c r="D492" s="1" t="s">
        <v>919</v>
      </c>
      <c r="F492" s="1">
        <v>11401</v>
      </c>
      <c r="H492" s="1">
        <v>198868</v>
      </c>
      <c r="I492" s="1">
        <v>1</v>
      </c>
      <c r="J492" s="1">
        <v>234676</v>
      </c>
      <c r="K492" s="1">
        <v>384218</v>
      </c>
      <c r="L492" s="1">
        <v>2292</v>
      </c>
      <c r="M492" s="1">
        <v>87292</v>
      </c>
      <c r="N492" s="1">
        <v>9731</v>
      </c>
      <c r="O492" s="1">
        <v>483533</v>
      </c>
      <c r="Q492" s="1">
        <v>17262984</v>
      </c>
      <c r="T492" s="1">
        <v>189256</v>
      </c>
      <c r="V492" s="1">
        <v>125144</v>
      </c>
      <c r="W492" s="1">
        <v>17577384</v>
      </c>
      <c r="Y492" s="1">
        <v>409861</v>
      </c>
      <c r="Z492" s="1">
        <v>650102</v>
      </c>
      <c r="AA492" s="1">
        <v>11698</v>
      </c>
      <c r="AB492" s="1">
        <v>20733</v>
      </c>
      <c r="AC492" s="1">
        <v>123325</v>
      </c>
      <c r="AD492" s="1">
        <v>1319309</v>
      </c>
      <c r="AE492" s="1">
        <v>622183</v>
      </c>
      <c r="AG492" s="1">
        <v>3381083</v>
      </c>
      <c r="AH492" s="1">
        <v>20958467</v>
      </c>
      <c r="AL492" s="1">
        <v>31204</v>
      </c>
      <c r="AM492" s="1">
        <v>236459</v>
      </c>
      <c r="AN492" s="1">
        <v>49312</v>
      </c>
      <c r="AO492" s="1">
        <v>316975</v>
      </c>
      <c r="AP492" s="1">
        <v>316975</v>
      </c>
      <c r="AQ492" s="1">
        <v>311883</v>
      </c>
      <c r="AT492" s="1">
        <v>311883</v>
      </c>
      <c r="AV492" s="1">
        <v>311892</v>
      </c>
      <c r="AW492" s="1">
        <v>311892</v>
      </c>
      <c r="AX492" s="1">
        <v>9</v>
      </c>
      <c r="AY492" s="1">
        <v>-9</v>
      </c>
      <c r="AZ492" s="1">
        <v>22339774</v>
      </c>
      <c r="BE492" s="1">
        <v>37695</v>
      </c>
      <c r="BF492" s="1">
        <v>124665</v>
      </c>
      <c r="BL492" s="1">
        <v>9</v>
      </c>
      <c r="BR492" s="1">
        <v>61512</v>
      </c>
      <c r="BY492" s="1">
        <v>34231</v>
      </c>
      <c r="CI492" s="1">
        <v>34231</v>
      </c>
      <c r="CL492" s="1">
        <v>24406</v>
      </c>
    </row>
    <row r="493" spans="1:131">
      <c r="A493" s="1">
        <v>31</v>
      </c>
      <c r="B493" s="1">
        <v>3995</v>
      </c>
      <c r="C493" s="1" t="s">
        <v>908</v>
      </c>
      <c r="D493" s="1" t="s">
        <v>920</v>
      </c>
      <c r="F493" s="1">
        <v>603741</v>
      </c>
      <c r="I493" s="1">
        <v>1</v>
      </c>
      <c r="J493" s="1">
        <v>640664</v>
      </c>
      <c r="K493" s="1">
        <v>1139456</v>
      </c>
      <c r="M493" s="1">
        <v>2424093</v>
      </c>
      <c r="O493" s="1">
        <v>3563549</v>
      </c>
      <c r="V493" s="1">
        <v>237881</v>
      </c>
      <c r="W493" s="1">
        <v>37137040</v>
      </c>
      <c r="X493" s="1">
        <v>5752321</v>
      </c>
      <c r="Z493" s="1">
        <v>1294471</v>
      </c>
      <c r="AA493" s="1">
        <v>109468</v>
      </c>
      <c r="AC493" s="1">
        <v>546647</v>
      </c>
      <c r="AD493" s="1">
        <v>2713916</v>
      </c>
      <c r="AE493" s="1">
        <v>1763329</v>
      </c>
      <c r="AG493" s="1">
        <v>16645801</v>
      </c>
      <c r="AH493" s="1">
        <v>53815698</v>
      </c>
      <c r="AJ493" s="1">
        <v>124263</v>
      </c>
      <c r="AK493" s="1">
        <v>2755779</v>
      </c>
      <c r="AL493" s="1">
        <v>1522311</v>
      </c>
      <c r="AM493" s="1">
        <v>564758</v>
      </c>
      <c r="AN493" s="1">
        <v>949886</v>
      </c>
      <c r="AO493" s="1">
        <v>3250275</v>
      </c>
      <c r="AP493" s="1">
        <v>6010224</v>
      </c>
      <c r="AZ493" s="1">
        <v>64030135</v>
      </c>
      <c r="BA493" s="1">
        <v>36922</v>
      </c>
      <c r="BE493" s="1">
        <v>424516</v>
      </c>
      <c r="BF493" s="1">
        <v>188546</v>
      </c>
      <c r="BH493" s="1">
        <v>32857</v>
      </c>
      <c r="BJ493" s="1">
        <v>2631516</v>
      </c>
      <c r="BN493" s="1">
        <v>7144585</v>
      </c>
      <c r="BO493" s="1">
        <v>29453569</v>
      </c>
      <c r="BP493" s="1">
        <v>301005</v>
      </c>
      <c r="BS493" s="1">
        <v>3812047</v>
      </c>
      <c r="BT493" s="1">
        <v>40540</v>
      </c>
      <c r="BU493" s="1">
        <v>4170</v>
      </c>
      <c r="BV493" s="1">
        <v>4170</v>
      </c>
      <c r="BW493" s="1">
        <v>213320</v>
      </c>
      <c r="CA493" s="1">
        <v>32857</v>
      </c>
    </row>
    <row r="494" spans="1:131">
      <c r="A494" s="1">
        <v>31</v>
      </c>
      <c r="B494" s="1">
        <v>4010</v>
      </c>
      <c r="C494" s="1" t="s">
        <v>908</v>
      </c>
      <c r="D494" s="1" t="s">
        <v>921</v>
      </c>
      <c r="F494" s="1">
        <v>305402</v>
      </c>
      <c r="I494" s="1">
        <v>1000</v>
      </c>
      <c r="J494" s="1">
        <v>306402</v>
      </c>
      <c r="K494" s="1">
        <v>4635215</v>
      </c>
      <c r="L494" s="1">
        <v>20680548</v>
      </c>
      <c r="M494" s="1">
        <v>705200</v>
      </c>
      <c r="N494" s="1">
        <v>67</v>
      </c>
      <c r="O494" s="1">
        <v>26021030</v>
      </c>
      <c r="Q494" s="1">
        <v>36016971</v>
      </c>
      <c r="S494" s="1">
        <v>2400</v>
      </c>
      <c r="V494" s="1">
        <v>4589844</v>
      </c>
      <c r="W494" s="1">
        <v>40609215</v>
      </c>
      <c r="X494" s="1">
        <v>155240299</v>
      </c>
      <c r="Y494" s="1">
        <v>5339317</v>
      </c>
      <c r="Z494" s="1">
        <v>18027166</v>
      </c>
      <c r="AA494" s="1">
        <v>4004664</v>
      </c>
      <c r="AB494" s="1">
        <v>982706</v>
      </c>
      <c r="AC494" s="1">
        <v>3014228</v>
      </c>
      <c r="AD494" s="1">
        <v>26178426</v>
      </c>
      <c r="AE494" s="1">
        <v>15239434</v>
      </c>
      <c r="AG494" s="1">
        <v>398503928</v>
      </c>
      <c r="AH494" s="1">
        <v>439814534</v>
      </c>
      <c r="AJ494" s="1">
        <v>3106953</v>
      </c>
      <c r="AK494" s="1">
        <v>57925269</v>
      </c>
      <c r="AL494" s="1">
        <v>15369593</v>
      </c>
      <c r="AM494" s="1">
        <v>7070642</v>
      </c>
      <c r="AN494" s="1">
        <v>5594990</v>
      </c>
      <c r="AO494" s="1">
        <v>28790131</v>
      </c>
      <c r="AP494" s="1">
        <v>86832200</v>
      </c>
      <c r="AQ494" s="1">
        <v>371965</v>
      </c>
      <c r="AT494" s="1">
        <v>371965</v>
      </c>
      <c r="AU494" s="1">
        <v>960779</v>
      </c>
      <c r="AV494" s="1">
        <v>1332744</v>
      </c>
      <c r="AW494" s="1">
        <v>1332744</v>
      </c>
      <c r="AX494" s="1">
        <v>35108</v>
      </c>
      <c r="AZ494" s="1">
        <v>579843270</v>
      </c>
      <c r="BC494" s="1">
        <v>2400</v>
      </c>
      <c r="BF494" s="1">
        <v>234017</v>
      </c>
      <c r="BH494" s="1">
        <v>701391</v>
      </c>
      <c r="BI494" s="1">
        <v>43192987</v>
      </c>
      <c r="BJ494" s="1">
        <v>11625329</v>
      </c>
      <c r="BK494" s="1">
        <v>164594</v>
      </c>
      <c r="BU494" s="1">
        <v>116800</v>
      </c>
      <c r="BV494" s="1">
        <v>116800</v>
      </c>
      <c r="BW494" s="1">
        <v>590312</v>
      </c>
      <c r="BY494" s="1">
        <v>25536360</v>
      </c>
      <c r="CA494" s="1">
        <v>701391</v>
      </c>
      <c r="CF494" s="1">
        <v>16980835</v>
      </c>
      <c r="CI494" s="1">
        <v>25501252</v>
      </c>
      <c r="CO494" s="1">
        <v>153262836</v>
      </c>
    </row>
    <row r="495" spans="1:131">
      <c r="A495" s="1">
        <v>31</v>
      </c>
      <c r="B495" s="1">
        <v>4230</v>
      </c>
      <c r="C495" s="1" t="s">
        <v>908</v>
      </c>
      <c r="D495" s="1" t="s">
        <v>922</v>
      </c>
      <c r="F495" s="1">
        <v>531805</v>
      </c>
      <c r="G495" s="1">
        <v>407492</v>
      </c>
      <c r="H495" s="1">
        <v>478996</v>
      </c>
      <c r="I495" s="1">
        <v>1</v>
      </c>
      <c r="J495" s="1">
        <v>1418294</v>
      </c>
      <c r="K495" s="1">
        <v>661863</v>
      </c>
      <c r="L495" s="1">
        <v>87556</v>
      </c>
      <c r="O495" s="1">
        <v>749419</v>
      </c>
      <c r="Q495" s="1">
        <v>18612007</v>
      </c>
      <c r="S495" s="1">
        <v>1716210</v>
      </c>
      <c r="U495" s="1">
        <v>1822</v>
      </c>
      <c r="W495" s="1">
        <v>20487846</v>
      </c>
      <c r="X495" s="1">
        <v>2485685</v>
      </c>
      <c r="Y495" s="1">
        <v>30999</v>
      </c>
      <c r="Z495" s="1">
        <v>985552</v>
      </c>
      <c r="AA495" s="1">
        <v>44294</v>
      </c>
      <c r="AB495" s="1">
        <v>188538</v>
      </c>
      <c r="AC495" s="1">
        <v>197311</v>
      </c>
      <c r="AD495" s="1">
        <v>1865621</v>
      </c>
      <c r="AE495" s="1">
        <v>852233</v>
      </c>
      <c r="AG495" s="1">
        <v>7026131</v>
      </c>
      <c r="AH495" s="1">
        <v>27513977</v>
      </c>
      <c r="AJ495" s="1">
        <v>99639</v>
      </c>
      <c r="AK495" s="1">
        <v>99639</v>
      </c>
      <c r="AL495" s="1">
        <v>102262</v>
      </c>
      <c r="AM495" s="1">
        <v>371934</v>
      </c>
      <c r="AN495" s="1">
        <v>60831</v>
      </c>
      <c r="AO495" s="1">
        <v>535027</v>
      </c>
      <c r="AP495" s="1">
        <v>637666</v>
      </c>
      <c r="AQ495" s="1">
        <v>136507</v>
      </c>
      <c r="AT495" s="1">
        <v>136507</v>
      </c>
      <c r="AU495" s="1">
        <v>29051</v>
      </c>
      <c r="AV495" s="1">
        <v>165558</v>
      </c>
      <c r="AW495" s="1">
        <v>165558</v>
      </c>
      <c r="AZ495" s="1">
        <v>30484914</v>
      </c>
      <c r="BC495" s="1">
        <v>1716210</v>
      </c>
      <c r="BE495" s="1">
        <v>111232</v>
      </c>
      <c r="BQ495" s="1">
        <v>157807</v>
      </c>
      <c r="BU495" s="1">
        <v>3000</v>
      </c>
      <c r="BV495" s="1">
        <v>3000</v>
      </c>
      <c r="CF495" s="1">
        <v>264666</v>
      </c>
    </row>
    <row r="496" spans="1:131">
      <c r="A496" s="1">
        <v>31</v>
      </c>
      <c r="B496" s="1">
        <v>4270</v>
      </c>
      <c r="C496" s="1" t="s">
        <v>908</v>
      </c>
      <c r="D496" s="1" t="s">
        <v>923</v>
      </c>
      <c r="F496" s="1">
        <v>18354</v>
      </c>
      <c r="G496" s="1">
        <v>585851</v>
      </c>
      <c r="H496" s="1">
        <v>279909</v>
      </c>
      <c r="I496" s="1">
        <v>19821</v>
      </c>
      <c r="J496" s="1">
        <v>903935</v>
      </c>
      <c r="K496" s="1">
        <v>151686</v>
      </c>
      <c r="L496" s="1">
        <v>245717</v>
      </c>
      <c r="N496" s="1">
        <v>1</v>
      </c>
      <c r="O496" s="1">
        <v>397404</v>
      </c>
      <c r="Q496" s="1">
        <v>2389174</v>
      </c>
      <c r="U496" s="1">
        <v>269</v>
      </c>
      <c r="W496" s="1">
        <v>2463370</v>
      </c>
      <c r="X496" s="1">
        <v>3671951</v>
      </c>
      <c r="Y496" s="1">
        <v>81611</v>
      </c>
      <c r="Z496" s="1">
        <v>408215</v>
      </c>
      <c r="AA496" s="1">
        <v>80394</v>
      </c>
      <c r="AB496" s="1">
        <v>18800</v>
      </c>
      <c r="AC496" s="1">
        <v>84594</v>
      </c>
      <c r="AD496" s="1">
        <v>523929</v>
      </c>
      <c r="AE496" s="1">
        <v>330681</v>
      </c>
      <c r="AG496" s="1">
        <v>5491651</v>
      </c>
      <c r="AH496" s="1">
        <v>7955021</v>
      </c>
      <c r="AJ496" s="1">
        <v>87487</v>
      </c>
      <c r="AK496" s="1">
        <v>1015028</v>
      </c>
      <c r="AL496" s="1">
        <v>479340</v>
      </c>
      <c r="AM496" s="1">
        <v>197424</v>
      </c>
      <c r="AN496" s="1">
        <v>77422</v>
      </c>
      <c r="AO496" s="1">
        <v>754186</v>
      </c>
      <c r="AP496" s="1">
        <v>1769214</v>
      </c>
      <c r="AQ496" s="1">
        <v>197079</v>
      </c>
      <c r="AT496" s="1">
        <v>197079</v>
      </c>
      <c r="AV496" s="1">
        <v>197079</v>
      </c>
      <c r="AW496" s="1">
        <v>197079</v>
      </c>
      <c r="AZ496" s="1">
        <v>11222653</v>
      </c>
      <c r="BE496" s="1">
        <v>161094</v>
      </c>
      <c r="BF496" s="1">
        <v>78840</v>
      </c>
      <c r="BI496" s="1">
        <v>576482</v>
      </c>
      <c r="BJ496" s="1">
        <v>351059</v>
      </c>
      <c r="BQ496" s="1">
        <v>73927</v>
      </c>
      <c r="CF496" s="1">
        <v>51542</v>
      </c>
    </row>
    <row r="497" spans="1:113">
      <c r="A497" s="1">
        <v>31</v>
      </c>
      <c r="B497" s="1">
        <v>4400</v>
      </c>
      <c r="C497" s="1" t="s">
        <v>908</v>
      </c>
      <c r="D497" s="1" t="s">
        <v>924</v>
      </c>
      <c r="F497" s="1">
        <v>196269</v>
      </c>
      <c r="G497" s="1">
        <v>256277</v>
      </c>
      <c r="H497" s="1">
        <v>603016</v>
      </c>
      <c r="I497" s="1">
        <v>389035</v>
      </c>
      <c r="J497" s="1">
        <v>1444597</v>
      </c>
      <c r="K497" s="1">
        <v>425513</v>
      </c>
      <c r="L497" s="1">
        <v>169737</v>
      </c>
      <c r="O497" s="1">
        <v>595250</v>
      </c>
      <c r="Q497" s="1">
        <v>13567275</v>
      </c>
      <c r="S497" s="1">
        <v>610794</v>
      </c>
      <c r="U497" s="1">
        <v>17701</v>
      </c>
      <c r="V497" s="1">
        <v>225972</v>
      </c>
      <c r="W497" s="1">
        <v>14767537</v>
      </c>
      <c r="X497" s="1">
        <v>237625</v>
      </c>
      <c r="Y497" s="1">
        <v>487419</v>
      </c>
      <c r="Z497" s="1">
        <v>736496</v>
      </c>
      <c r="AA497" s="1">
        <v>12794</v>
      </c>
      <c r="AB497" s="1">
        <v>65419</v>
      </c>
      <c r="AC497" s="1">
        <v>165129</v>
      </c>
      <c r="AD497" s="1">
        <v>1486509</v>
      </c>
      <c r="AE497" s="1">
        <v>660635</v>
      </c>
      <c r="AG497" s="1">
        <v>5606495</v>
      </c>
      <c r="AH497" s="1">
        <v>20577954</v>
      </c>
      <c r="AJ497" s="1">
        <v>257721</v>
      </c>
      <c r="AK497" s="1">
        <v>257721</v>
      </c>
      <c r="AL497" s="1">
        <v>53275</v>
      </c>
      <c r="AM497" s="1">
        <v>333318</v>
      </c>
      <c r="AN497" s="1">
        <v>38654</v>
      </c>
      <c r="AO497" s="1">
        <v>425247</v>
      </c>
      <c r="AP497" s="1">
        <v>682968</v>
      </c>
      <c r="AZ497" s="1">
        <v>23300769</v>
      </c>
      <c r="BC497" s="1">
        <v>610794</v>
      </c>
      <c r="BE497" s="1">
        <v>98714</v>
      </c>
      <c r="BF497" s="1">
        <v>4748</v>
      </c>
      <c r="BR497" s="1">
        <v>1651007</v>
      </c>
      <c r="CG497" s="1">
        <v>203922</v>
      </c>
      <c r="CZ497" s="1">
        <v>345795</v>
      </c>
    </row>
    <row r="498" spans="1:113">
      <c r="A498" s="1">
        <v>31</v>
      </c>
      <c r="B498" s="1">
        <v>5200</v>
      </c>
      <c r="C498" s="1" t="s">
        <v>908</v>
      </c>
      <c r="D498" s="1" t="s">
        <v>925</v>
      </c>
      <c r="F498" s="1">
        <v>73587</v>
      </c>
      <c r="G498" s="1">
        <v>1928370</v>
      </c>
      <c r="H498" s="1">
        <v>1506264</v>
      </c>
      <c r="I498" s="1">
        <v>11295</v>
      </c>
      <c r="J498" s="1">
        <v>3801779</v>
      </c>
      <c r="K498" s="1">
        <v>289060</v>
      </c>
      <c r="L498" s="1">
        <v>44978</v>
      </c>
      <c r="N498" s="1">
        <v>10213</v>
      </c>
      <c r="O498" s="1">
        <v>344251</v>
      </c>
      <c r="P498" s="1">
        <v>62938</v>
      </c>
      <c r="Q498" s="1">
        <v>10863652</v>
      </c>
      <c r="R498" s="1">
        <v>55203</v>
      </c>
      <c r="S498" s="1">
        <v>55203</v>
      </c>
      <c r="U498" s="1">
        <v>3801</v>
      </c>
      <c r="V498" s="1">
        <v>8891</v>
      </c>
      <c r="W498" s="1">
        <v>11146327</v>
      </c>
      <c r="Z498" s="1">
        <v>572259</v>
      </c>
      <c r="AB498" s="1">
        <v>48291</v>
      </c>
      <c r="AC498" s="1">
        <v>105441</v>
      </c>
      <c r="AD498" s="1">
        <v>847949</v>
      </c>
      <c r="AE498" s="1">
        <v>448056</v>
      </c>
      <c r="AG498" s="1">
        <v>2047547</v>
      </c>
      <c r="AH498" s="1">
        <v>13257706</v>
      </c>
      <c r="AJ498" s="1">
        <v>112334</v>
      </c>
      <c r="AK498" s="1">
        <v>112334</v>
      </c>
      <c r="AL498" s="1">
        <v>33034</v>
      </c>
      <c r="AM498" s="1">
        <v>209320</v>
      </c>
      <c r="AN498" s="1">
        <v>19984</v>
      </c>
      <c r="AO498" s="1">
        <v>262338</v>
      </c>
      <c r="AP498" s="1">
        <v>389672</v>
      </c>
      <c r="AQ498" s="1">
        <v>781018</v>
      </c>
      <c r="AT498" s="1">
        <v>781018</v>
      </c>
      <c r="AV498" s="1">
        <v>781018</v>
      </c>
      <c r="AW498" s="1">
        <v>781018</v>
      </c>
      <c r="AX498" s="1">
        <v>62938</v>
      </c>
      <c r="AY498" s="1">
        <v>-62938</v>
      </c>
      <c r="AZ498" s="1">
        <v>21033570</v>
      </c>
      <c r="BE498" s="1">
        <v>20331</v>
      </c>
      <c r="BF498" s="1">
        <v>5220</v>
      </c>
      <c r="BH498" s="1">
        <v>894</v>
      </c>
      <c r="BQ498" s="1">
        <v>214780</v>
      </c>
      <c r="BU498" s="1">
        <v>15000</v>
      </c>
      <c r="BV498" s="1">
        <v>15000</v>
      </c>
      <c r="BY498" s="1">
        <v>2459144</v>
      </c>
      <c r="CA498" s="1">
        <v>894</v>
      </c>
      <c r="CC498" s="1">
        <v>805515</v>
      </c>
      <c r="CI498" s="1">
        <v>1653629</v>
      </c>
      <c r="CL498" s="1">
        <v>282263</v>
      </c>
    </row>
    <row r="499" spans="1:113">
      <c r="A499" s="1">
        <v>31</v>
      </c>
      <c r="B499" s="1">
        <v>5440</v>
      </c>
      <c r="C499" s="1" t="s">
        <v>908</v>
      </c>
      <c r="D499" s="1" t="s">
        <v>926</v>
      </c>
      <c r="F499" s="1">
        <v>229535</v>
      </c>
      <c r="G499" s="1">
        <v>102373</v>
      </c>
      <c r="H499" s="1">
        <v>188554</v>
      </c>
      <c r="I499" s="1">
        <v>3646</v>
      </c>
      <c r="J499" s="1">
        <v>524108</v>
      </c>
      <c r="K499" s="1">
        <v>293395</v>
      </c>
      <c r="L499" s="1">
        <v>26000</v>
      </c>
      <c r="M499" s="1">
        <v>16256349</v>
      </c>
      <c r="N499" s="1">
        <v>21221</v>
      </c>
      <c r="O499" s="1">
        <v>16596965</v>
      </c>
      <c r="Q499" s="1">
        <v>9975454</v>
      </c>
      <c r="U499" s="1">
        <v>64</v>
      </c>
      <c r="V499" s="1">
        <v>205679</v>
      </c>
      <c r="W499" s="1">
        <v>10181197</v>
      </c>
      <c r="X499" s="1">
        <v>508337</v>
      </c>
      <c r="Y499" s="1">
        <v>104480</v>
      </c>
      <c r="Z499" s="1">
        <v>488061</v>
      </c>
      <c r="AA499" s="1">
        <v>9290</v>
      </c>
      <c r="AB499" s="1">
        <v>64042</v>
      </c>
      <c r="AC499" s="1">
        <v>115096</v>
      </c>
      <c r="AD499" s="1">
        <v>861723</v>
      </c>
      <c r="AE499" s="1">
        <v>486902</v>
      </c>
      <c r="AG499" s="1">
        <v>3824129</v>
      </c>
      <c r="AH499" s="1">
        <v>14043179</v>
      </c>
      <c r="AI499" s="1">
        <v>32907</v>
      </c>
      <c r="AJ499" s="1">
        <v>85523</v>
      </c>
      <c r="AK499" s="1">
        <v>118430</v>
      </c>
      <c r="AL499" s="1">
        <v>124898</v>
      </c>
      <c r="AM499" s="1">
        <v>251758</v>
      </c>
      <c r="AN499" s="1">
        <v>21308</v>
      </c>
      <c r="AO499" s="1">
        <v>397964</v>
      </c>
      <c r="AP499" s="1">
        <v>516394</v>
      </c>
      <c r="AQ499" s="1">
        <v>669142</v>
      </c>
      <c r="AT499" s="1">
        <v>669142</v>
      </c>
      <c r="AU499" s="1">
        <v>4788</v>
      </c>
      <c r="AV499" s="1">
        <v>1441606</v>
      </c>
      <c r="AW499" s="1">
        <v>1441606</v>
      </c>
      <c r="AX499" s="1">
        <v>767676</v>
      </c>
      <c r="AZ499" s="1">
        <v>33889928</v>
      </c>
      <c r="BE499" s="1">
        <v>71006</v>
      </c>
      <c r="BF499" s="1">
        <v>6493</v>
      </c>
      <c r="BL499" s="1">
        <v>767676</v>
      </c>
      <c r="BR499" s="1">
        <v>1108699</v>
      </c>
      <c r="BY499" s="1">
        <v>767676</v>
      </c>
      <c r="CG499" s="1">
        <v>37853</v>
      </c>
    </row>
    <row r="500" spans="1:113">
      <c r="A500" s="1">
        <v>31</v>
      </c>
      <c r="B500" s="1">
        <v>5570</v>
      </c>
      <c r="C500" s="1" t="s">
        <v>908</v>
      </c>
      <c r="D500" s="1" t="s">
        <v>927</v>
      </c>
      <c r="F500" s="1">
        <v>1319652</v>
      </c>
      <c r="G500" s="1">
        <v>3631802</v>
      </c>
      <c r="H500" s="1">
        <v>2105423</v>
      </c>
      <c r="I500" s="1">
        <v>2598577</v>
      </c>
      <c r="J500" s="1">
        <v>11097884</v>
      </c>
      <c r="K500" s="1">
        <v>2523372</v>
      </c>
      <c r="L500" s="1">
        <v>30715</v>
      </c>
      <c r="M500" s="1">
        <v>2195106</v>
      </c>
      <c r="N500" s="1">
        <v>698870</v>
      </c>
      <c r="O500" s="1">
        <v>5448063</v>
      </c>
      <c r="P500" s="1">
        <v>393114</v>
      </c>
      <c r="Q500" s="1">
        <v>105832575</v>
      </c>
      <c r="S500" s="1">
        <v>793782</v>
      </c>
      <c r="U500" s="1">
        <v>71751</v>
      </c>
      <c r="V500" s="1">
        <v>1420579</v>
      </c>
      <c r="W500" s="1">
        <v>108118687</v>
      </c>
      <c r="Y500" s="1">
        <v>1039747</v>
      </c>
      <c r="Z500" s="1">
        <v>4142026</v>
      </c>
      <c r="AA500" s="1">
        <v>195684</v>
      </c>
      <c r="AB500" s="1">
        <v>234495</v>
      </c>
      <c r="AC500" s="1">
        <v>984956</v>
      </c>
      <c r="AD500" s="1">
        <v>8493014</v>
      </c>
      <c r="AE500" s="1">
        <v>4142368</v>
      </c>
      <c r="AF500" s="1">
        <v>67684</v>
      </c>
      <c r="AG500" s="1">
        <v>19492816</v>
      </c>
      <c r="AH500" s="1">
        <v>128027762</v>
      </c>
      <c r="AJ500" s="1">
        <v>653863</v>
      </c>
      <c r="AK500" s="1">
        <v>719515</v>
      </c>
      <c r="AL500" s="1">
        <v>176350</v>
      </c>
      <c r="AM500" s="1">
        <v>1784692</v>
      </c>
      <c r="AN500" s="1">
        <v>224593</v>
      </c>
      <c r="AO500" s="1">
        <v>2185635</v>
      </c>
      <c r="AP500" s="1">
        <v>2953863</v>
      </c>
      <c r="AQ500" s="1">
        <v>3596051</v>
      </c>
      <c r="AT500" s="1">
        <v>3596051</v>
      </c>
      <c r="AV500" s="1">
        <v>3596051</v>
      </c>
      <c r="AW500" s="1">
        <v>3596051</v>
      </c>
      <c r="AX500" s="1">
        <v>225691</v>
      </c>
      <c r="AY500" s="1">
        <v>-393114</v>
      </c>
      <c r="AZ500" s="1">
        <v>154074003</v>
      </c>
      <c r="BC500" s="1">
        <v>594305</v>
      </c>
      <c r="BE500" s="1">
        <v>192842</v>
      </c>
      <c r="BJ500" s="1">
        <v>65652</v>
      </c>
      <c r="BU500" s="1">
        <v>48713</v>
      </c>
      <c r="BV500" s="1">
        <v>48713</v>
      </c>
      <c r="BY500" s="1">
        <v>2950380</v>
      </c>
      <c r="CC500" s="1">
        <v>1815617</v>
      </c>
      <c r="CG500" s="1">
        <v>23145</v>
      </c>
      <c r="CI500" s="1">
        <v>1302186</v>
      </c>
      <c r="CL500" s="1">
        <v>1442430</v>
      </c>
      <c r="DI500" s="1">
        <v>199477</v>
      </c>
    </row>
    <row r="501" spans="1:113">
      <c r="A501" s="1">
        <v>31</v>
      </c>
      <c r="B501" s="1">
        <v>5650</v>
      </c>
      <c r="C501" s="1" t="s">
        <v>908</v>
      </c>
      <c r="D501" s="1" t="s">
        <v>928</v>
      </c>
      <c r="F501" s="1">
        <v>104855</v>
      </c>
      <c r="G501" s="1">
        <v>38120</v>
      </c>
      <c r="H501" s="1">
        <v>672219</v>
      </c>
      <c r="I501" s="1">
        <v>170529</v>
      </c>
      <c r="J501" s="1">
        <v>985723</v>
      </c>
      <c r="K501" s="1">
        <v>1466842</v>
      </c>
      <c r="L501" s="1">
        <v>150000</v>
      </c>
      <c r="M501" s="1">
        <v>29222</v>
      </c>
      <c r="N501" s="1">
        <v>177012</v>
      </c>
      <c r="O501" s="1">
        <v>1823076</v>
      </c>
      <c r="Q501" s="1">
        <v>42868997</v>
      </c>
      <c r="R501" s="1">
        <v>261506</v>
      </c>
      <c r="S501" s="1">
        <v>261506</v>
      </c>
      <c r="T501" s="1">
        <v>74253</v>
      </c>
      <c r="U501" s="1">
        <v>4736</v>
      </c>
      <c r="V501" s="1">
        <v>309639</v>
      </c>
      <c r="W501" s="1">
        <v>43519131</v>
      </c>
      <c r="X501" s="1">
        <v>8722850</v>
      </c>
      <c r="Y501" s="1">
        <v>1553416</v>
      </c>
      <c r="Z501" s="1">
        <v>2442597</v>
      </c>
      <c r="AA501" s="1">
        <v>7116</v>
      </c>
      <c r="AB501" s="1">
        <v>252512</v>
      </c>
      <c r="AC501" s="1">
        <v>521828</v>
      </c>
      <c r="AD501" s="1">
        <v>4934251</v>
      </c>
      <c r="AE501" s="1">
        <v>2173327</v>
      </c>
      <c r="AG501" s="1">
        <v>21887366</v>
      </c>
      <c r="AH501" s="1">
        <v>66039757</v>
      </c>
      <c r="AJ501" s="1">
        <v>108256</v>
      </c>
      <c r="AK501" s="1">
        <v>108256</v>
      </c>
      <c r="AL501" s="1">
        <v>342943</v>
      </c>
      <c r="AM501" s="1">
        <v>984403</v>
      </c>
      <c r="AN501" s="1">
        <v>165331</v>
      </c>
      <c r="AO501" s="1">
        <v>1492677</v>
      </c>
      <c r="AP501" s="1">
        <v>1600933</v>
      </c>
      <c r="AQ501" s="1">
        <v>476080</v>
      </c>
      <c r="AT501" s="1">
        <v>476080</v>
      </c>
      <c r="AU501" s="1">
        <v>83076</v>
      </c>
      <c r="AV501" s="1">
        <v>559156</v>
      </c>
      <c r="AW501" s="1">
        <v>559156</v>
      </c>
      <c r="AZ501" s="1">
        <v>71008645</v>
      </c>
      <c r="BE501" s="1">
        <v>421407</v>
      </c>
      <c r="BF501" s="1">
        <v>58964</v>
      </c>
      <c r="BH501" s="1">
        <v>3260</v>
      </c>
      <c r="BR501" s="1">
        <v>799098</v>
      </c>
      <c r="CA501" s="1">
        <v>3260</v>
      </c>
      <c r="CG501" s="1">
        <v>630000</v>
      </c>
    </row>
    <row r="502" spans="1:113">
      <c r="A502" s="1">
        <v>31</v>
      </c>
      <c r="B502" s="1">
        <v>5690</v>
      </c>
      <c r="C502" s="1" t="s">
        <v>908</v>
      </c>
      <c r="D502" s="1" t="s">
        <v>929</v>
      </c>
      <c r="F502" s="1">
        <v>50000</v>
      </c>
      <c r="G502" s="1">
        <v>107662</v>
      </c>
      <c r="H502" s="1">
        <v>167529</v>
      </c>
      <c r="I502" s="1">
        <v>1</v>
      </c>
      <c r="J502" s="1">
        <v>325192</v>
      </c>
      <c r="K502" s="1">
        <v>260381</v>
      </c>
      <c r="L502" s="1">
        <v>260129</v>
      </c>
      <c r="N502" s="1">
        <v>2</v>
      </c>
      <c r="O502" s="1">
        <v>520512</v>
      </c>
      <c r="Q502" s="1">
        <v>10427322</v>
      </c>
      <c r="V502" s="1">
        <v>217264</v>
      </c>
      <c r="W502" s="1">
        <v>10644586</v>
      </c>
      <c r="Z502" s="1">
        <v>606415</v>
      </c>
      <c r="AB502" s="1">
        <v>60211</v>
      </c>
      <c r="AC502" s="1">
        <v>101052</v>
      </c>
      <c r="AD502" s="1">
        <v>851095</v>
      </c>
      <c r="AE502" s="1">
        <v>492199</v>
      </c>
      <c r="AG502" s="1">
        <v>2215798</v>
      </c>
      <c r="AH502" s="1">
        <v>12860384</v>
      </c>
      <c r="AI502" s="1">
        <v>19278</v>
      </c>
      <c r="AJ502" s="1">
        <v>9462</v>
      </c>
      <c r="AK502" s="1">
        <v>28740</v>
      </c>
      <c r="AL502" s="1">
        <v>97227</v>
      </c>
      <c r="AM502" s="1">
        <v>214640</v>
      </c>
      <c r="AN502" s="1">
        <v>24977</v>
      </c>
      <c r="AO502" s="1">
        <v>336844</v>
      </c>
      <c r="AP502" s="1">
        <v>365584</v>
      </c>
      <c r="AQ502" s="1">
        <v>210326</v>
      </c>
      <c r="AT502" s="1">
        <v>210326</v>
      </c>
      <c r="AV502" s="1">
        <v>210326</v>
      </c>
      <c r="AW502" s="1">
        <v>210326</v>
      </c>
      <c r="AZ502" s="1">
        <v>14281998</v>
      </c>
      <c r="BE502" s="1">
        <v>21802</v>
      </c>
      <c r="BF502" s="1">
        <v>83024</v>
      </c>
    </row>
    <row r="503" spans="1:113">
      <c r="A503" s="1">
        <v>33</v>
      </c>
      <c r="B503" s="1">
        <v>60</v>
      </c>
      <c r="C503" s="1" t="s">
        <v>930</v>
      </c>
      <c r="D503" s="1" t="s">
        <v>750</v>
      </c>
      <c r="F503" s="1">
        <v>9172</v>
      </c>
      <c r="G503" s="1">
        <v>501113</v>
      </c>
      <c r="H503" s="1">
        <v>375083</v>
      </c>
      <c r="I503" s="1">
        <v>382170</v>
      </c>
      <c r="J503" s="1">
        <v>5342477</v>
      </c>
      <c r="K503" s="1">
        <v>116576</v>
      </c>
      <c r="L503" s="1">
        <v>42567</v>
      </c>
      <c r="M503" s="1">
        <v>503475</v>
      </c>
      <c r="N503" s="1">
        <v>1</v>
      </c>
      <c r="O503" s="1">
        <v>662619</v>
      </c>
      <c r="P503" s="1">
        <v>34891</v>
      </c>
      <c r="Q503" s="1">
        <v>3064000</v>
      </c>
      <c r="R503" s="1">
        <v>5143</v>
      </c>
      <c r="S503" s="1">
        <v>9043</v>
      </c>
      <c r="U503" s="1">
        <v>19541</v>
      </c>
      <c r="V503" s="1">
        <v>91528</v>
      </c>
      <c r="W503" s="1">
        <v>3184112</v>
      </c>
      <c r="X503" s="1">
        <v>1956888</v>
      </c>
      <c r="Y503" s="1">
        <v>251041</v>
      </c>
      <c r="Z503" s="1">
        <v>272774</v>
      </c>
      <c r="AC503" s="1">
        <v>65283</v>
      </c>
      <c r="AD503" s="1">
        <v>332475</v>
      </c>
      <c r="AE503" s="1">
        <v>183450</v>
      </c>
      <c r="AG503" s="1">
        <v>3561466</v>
      </c>
      <c r="AH503" s="1">
        <v>6780469</v>
      </c>
      <c r="AI503" s="1">
        <v>11415</v>
      </c>
      <c r="AJ503" s="1">
        <v>9135</v>
      </c>
      <c r="AK503" s="1">
        <v>20550</v>
      </c>
      <c r="AL503" s="1">
        <v>31668</v>
      </c>
      <c r="AM503" s="1">
        <v>121038</v>
      </c>
      <c r="AN503" s="1">
        <v>64893</v>
      </c>
      <c r="AO503" s="1">
        <v>217599</v>
      </c>
      <c r="AP503" s="1">
        <v>238149</v>
      </c>
      <c r="AQ503" s="1">
        <v>235639</v>
      </c>
      <c r="AT503" s="1">
        <v>235639</v>
      </c>
      <c r="AV503" s="1">
        <v>235639</v>
      </c>
      <c r="AW503" s="1">
        <v>235639</v>
      </c>
      <c r="AX503" s="1">
        <v>34891</v>
      </c>
      <c r="AY503" s="1">
        <v>-34891</v>
      </c>
      <c r="AZ503" s="1">
        <v>13259353</v>
      </c>
      <c r="BC503" s="1">
        <v>3900</v>
      </c>
      <c r="BE503" s="1">
        <v>88927</v>
      </c>
      <c r="BF503" s="1">
        <v>3810</v>
      </c>
      <c r="BR503" s="1">
        <v>406818</v>
      </c>
      <c r="CL503" s="1">
        <v>4074939</v>
      </c>
    </row>
    <row r="504" spans="1:113">
      <c r="A504" s="1">
        <v>33</v>
      </c>
      <c r="B504" s="1">
        <v>1340</v>
      </c>
      <c r="C504" s="1" t="s">
        <v>930</v>
      </c>
      <c r="D504" s="1" t="s">
        <v>751</v>
      </c>
      <c r="E504" s="1">
        <v>15000</v>
      </c>
      <c r="F504" s="1">
        <v>10760</v>
      </c>
      <c r="G504" s="1">
        <v>83786</v>
      </c>
      <c r="H504" s="1">
        <v>51790</v>
      </c>
      <c r="I504" s="1">
        <v>29547</v>
      </c>
      <c r="J504" s="1">
        <v>429570</v>
      </c>
      <c r="K504" s="1">
        <v>105125</v>
      </c>
      <c r="L504" s="1">
        <v>203879</v>
      </c>
      <c r="M504" s="1">
        <v>367</v>
      </c>
      <c r="O504" s="1">
        <v>309371</v>
      </c>
      <c r="Q504" s="1">
        <v>1087722</v>
      </c>
      <c r="R504" s="1">
        <v>21275</v>
      </c>
      <c r="S504" s="1">
        <v>21275</v>
      </c>
      <c r="U504" s="1">
        <v>9628</v>
      </c>
      <c r="V504" s="1">
        <v>24530</v>
      </c>
      <c r="W504" s="1">
        <v>1143155</v>
      </c>
      <c r="X504" s="1">
        <v>1100785</v>
      </c>
      <c r="Y504" s="1">
        <v>108599</v>
      </c>
      <c r="Z504" s="1">
        <v>131856</v>
      </c>
      <c r="AC504" s="1">
        <v>28198</v>
      </c>
      <c r="AD504" s="1">
        <v>115919</v>
      </c>
      <c r="AE504" s="1">
        <v>25851</v>
      </c>
      <c r="AF504" s="1">
        <v>696</v>
      </c>
      <c r="AG504" s="1">
        <v>1602677</v>
      </c>
      <c r="AH504" s="1">
        <v>2745832</v>
      </c>
      <c r="AI504" s="1">
        <v>9189</v>
      </c>
      <c r="AK504" s="1">
        <v>9189</v>
      </c>
      <c r="AL504" s="1">
        <v>21647</v>
      </c>
      <c r="AM504" s="1">
        <v>50711</v>
      </c>
      <c r="AN504" s="1">
        <v>25586</v>
      </c>
      <c r="AO504" s="1">
        <v>97944</v>
      </c>
      <c r="AP504" s="1">
        <v>111939</v>
      </c>
      <c r="AZ504" s="1">
        <v>3596712</v>
      </c>
      <c r="BB504" s="1">
        <v>110287</v>
      </c>
      <c r="BE504" s="1">
        <v>42798</v>
      </c>
      <c r="BR504" s="1">
        <v>47975</v>
      </c>
      <c r="BU504" s="1">
        <v>4806</v>
      </c>
      <c r="BV504" s="1">
        <v>4806</v>
      </c>
      <c r="CD504" s="1">
        <v>117400</v>
      </c>
      <c r="DA504" s="1">
        <v>11000</v>
      </c>
    </row>
    <row r="505" spans="1:113">
      <c r="A505" s="1">
        <v>33</v>
      </c>
      <c r="B505" s="1">
        <v>1350</v>
      </c>
      <c r="C505" s="1" t="s">
        <v>930</v>
      </c>
      <c r="D505" s="1" t="s">
        <v>752</v>
      </c>
      <c r="F505" s="1">
        <v>32931</v>
      </c>
      <c r="G505" s="1">
        <v>108643</v>
      </c>
      <c r="H505" s="1">
        <v>64104</v>
      </c>
      <c r="J505" s="1">
        <v>205678</v>
      </c>
      <c r="K505" s="1">
        <v>120363</v>
      </c>
      <c r="L505" s="1">
        <v>103096</v>
      </c>
      <c r="N505" s="1">
        <v>1</v>
      </c>
      <c r="O505" s="1">
        <v>223460</v>
      </c>
      <c r="Q505" s="1">
        <v>1190351</v>
      </c>
      <c r="S505" s="1">
        <v>26247</v>
      </c>
      <c r="V505" s="1">
        <v>22792</v>
      </c>
      <c r="W505" s="1">
        <v>1239390</v>
      </c>
      <c r="X505" s="1">
        <v>346209</v>
      </c>
      <c r="Y505" s="1">
        <v>65395</v>
      </c>
      <c r="Z505" s="1">
        <v>73358</v>
      </c>
      <c r="AB505" s="1">
        <v>14403</v>
      </c>
      <c r="AC505" s="1">
        <v>16019</v>
      </c>
      <c r="AD505" s="1">
        <v>105761</v>
      </c>
      <c r="AE505" s="1">
        <v>45902</v>
      </c>
      <c r="AG505" s="1">
        <v>683109</v>
      </c>
      <c r="AH505" s="1">
        <v>1922499</v>
      </c>
      <c r="AI505" s="1">
        <v>1143</v>
      </c>
      <c r="AJ505" s="1">
        <v>119</v>
      </c>
      <c r="AK505" s="1">
        <v>1262</v>
      </c>
      <c r="AL505" s="1">
        <v>13593</v>
      </c>
      <c r="AM505" s="1">
        <v>39029</v>
      </c>
      <c r="AN505" s="1">
        <v>2241</v>
      </c>
      <c r="AO505" s="1">
        <v>54863</v>
      </c>
      <c r="AP505" s="1">
        <v>59125</v>
      </c>
      <c r="AQ505" s="1">
        <v>11496</v>
      </c>
      <c r="AT505" s="1">
        <v>11496</v>
      </c>
      <c r="AU505" s="1">
        <v>7336</v>
      </c>
      <c r="AV505" s="1">
        <v>18832</v>
      </c>
      <c r="AW505" s="1">
        <v>18832</v>
      </c>
      <c r="AZ505" s="1">
        <v>2429594</v>
      </c>
      <c r="BC505" s="1">
        <v>26247</v>
      </c>
      <c r="BE505" s="1">
        <v>15064</v>
      </c>
      <c r="BF505" s="1">
        <v>998</v>
      </c>
      <c r="BU505" s="1">
        <v>3000</v>
      </c>
      <c r="BV505" s="1">
        <v>3000</v>
      </c>
    </row>
    <row r="506" spans="1:113">
      <c r="A506" s="1">
        <v>33</v>
      </c>
      <c r="B506" s="1">
        <v>2800</v>
      </c>
      <c r="C506" s="1" t="s">
        <v>930</v>
      </c>
      <c r="D506" s="1" t="s">
        <v>753</v>
      </c>
      <c r="F506" s="1">
        <v>34084</v>
      </c>
      <c r="G506" s="1">
        <v>186710</v>
      </c>
      <c r="H506" s="1">
        <v>154354</v>
      </c>
      <c r="I506" s="1">
        <v>249959</v>
      </c>
      <c r="J506" s="1">
        <v>625107</v>
      </c>
      <c r="K506" s="1">
        <v>108464</v>
      </c>
      <c r="L506" s="1">
        <v>8314</v>
      </c>
      <c r="O506" s="1">
        <v>116778</v>
      </c>
      <c r="Q506" s="1">
        <v>3000000</v>
      </c>
      <c r="R506" s="1">
        <v>7650</v>
      </c>
      <c r="S506" s="1">
        <v>12750</v>
      </c>
      <c r="T506" s="1">
        <v>43027</v>
      </c>
      <c r="U506" s="1">
        <v>12763</v>
      </c>
      <c r="V506" s="1">
        <v>31289</v>
      </c>
      <c r="W506" s="1">
        <v>3099829</v>
      </c>
      <c r="Y506" s="1">
        <v>108033</v>
      </c>
      <c r="Z506" s="1">
        <v>86859</v>
      </c>
      <c r="AB506" s="1">
        <v>5701</v>
      </c>
      <c r="AC506" s="1">
        <v>29734</v>
      </c>
      <c r="AD506" s="1">
        <v>260259</v>
      </c>
      <c r="AE506" s="1">
        <v>121498</v>
      </c>
      <c r="AG506" s="1">
        <v>1387450</v>
      </c>
      <c r="AH506" s="1">
        <v>4488651</v>
      </c>
      <c r="AI506" s="1">
        <v>7023</v>
      </c>
      <c r="AK506" s="1">
        <v>7023</v>
      </c>
      <c r="AL506" s="1">
        <v>19013</v>
      </c>
      <c r="AM506" s="1">
        <v>56483</v>
      </c>
      <c r="AN506" s="1">
        <v>37210</v>
      </c>
      <c r="AO506" s="1">
        <v>112706</v>
      </c>
      <c r="AP506" s="1">
        <v>122729</v>
      </c>
      <c r="AZ506" s="1">
        <v>5353265</v>
      </c>
      <c r="BC506" s="1">
        <v>5100</v>
      </c>
      <c r="BE506" s="1">
        <v>29280</v>
      </c>
      <c r="BF506" s="1">
        <v>1743</v>
      </c>
      <c r="BH506" s="1">
        <v>1372</v>
      </c>
      <c r="BR506" s="1">
        <v>744343</v>
      </c>
      <c r="BU506" s="1">
        <v>3000</v>
      </c>
      <c r="BV506" s="1">
        <v>3000</v>
      </c>
      <c r="CA506" s="1">
        <v>1372</v>
      </c>
    </row>
    <row r="507" spans="1:113">
      <c r="A507" s="1">
        <v>33</v>
      </c>
      <c r="B507" s="1">
        <v>2950</v>
      </c>
      <c r="C507" s="1" t="s">
        <v>930</v>
      </c>
      <c r="D507" s="1" t="s">
        <v>754</v>
      </c>
      <c r="G507" s="1">
        <v>199703</v>
      </c>
      <c r="H507" s="1">
        <v>175342</v>
      </c>
      <c r="I507" s="1">
        <v>16675</v>
      </c>
      <c r="J507" s="1">
        <v>1682539</v>
      </c>
      <c r="K507" s="1">
        <v>101092</v>
      </c>
      <c r="L507" s="1">
        <v>610</v>
      </c>
      <c r="M507" s="1">
        <v>107519</v>
      </c>
      <c r="O507" s="1">
        <v>209221</v>
      </c>
      <c r="P507" s="1">
        <v>9832</v>
      </c>
      <c r="Q507" s="1">
        <v>2052703</v>
      </c>
      <c r="R507" s="1">
        <v>9296</v>
      </c>
      <c r="S507" s="1">
        <v>35460</v>
      </c>
      <c r="U507" s="1">
        <v>76</v>
      </c>
      <c r="V507" s="1">
        <v>54165</v>
      </c>
      <c r="W507" s="1">
        <v>2142404</v>
      </c>
      <c r="X507" s="1">
        <v>93795</v>
      </c>
      <c r="Y507" s="1">
        <v>110375</v>
      </c>
      <c r="Z507" s="1">
        <v>102192</v>
      </c>
      <c r="AC507" s="1">
        <v>22163</v>
      </c>
      <c r="AD507" s="1">
        <v>225781</v>
      </c>
      <c r="AE507" s="1">
        <v>71719</v>
      </c>
      <c r="AG507" s="1">
        <v>823485</v>
      </c>
      <c r="AH507" s="1">
        <v>2975721</v>
      </c>
      <c r="AI507" s="1">
        <v>1815</v>
      </c>
      <c r="AJ507" s="1">
        <v>11576</v>
      </c>
      <c r="AK507" s="1">
        <v>164997</v>
      </c>
      <c r="AL507" s="1">
        <v>38701</v>
      </c>
      <c r="AM507" s="1">
        <v>51674</v>
      </c>
      <c r="AN507" s="1">
        <v>33953</v>
      </c>
      <c r="AO507" s="1">
        <v>124328</v>
      </c>
      <c r="AP507" s="1">
        <v>297825</v>
      </c>
      <c r="AQ507" s="1">
        <v>123574</v>
      </c>
      <c r="AT507" s="1">
        <v>123574</v>
      </c>
      <c r="AU507" s="1">
        <v>82382</v>
      </c>
      <c r="AV507" s="1">
        <v>205956</v>
      </c>
      <c r="AW507" s="1">
        <v>205956</v>
      </c>
      <c r="AX507" s="1">
        <v>9832</v>
      </c>
      <c r="AY507" s="1">
        <v>-9832</v>
      </c>
      <c r="AZ507" s="1">
        <v>5371262</v>
      </c>
      <c r="BC507" s="1">
        <v>26164</v>
      </c>
      <c r="BE507" s="1">
        <v>19334</v>
      </c>
      <c r="BF507" s="1">
        <v>15599</v>
      </c>
      <c r="BI507" s="1">
        <v>92092</v>
      </c>
      <c r="BJ507" s="1">
        <v>59514</v>
      </c>
      <c r="BR507" s="1">
        <v>162527</v>
      </c>
      <c r="BU507" s="1">
        <v>8500</v>
      </c>
      <c r="BV507" s="1">
        <v>8500</v>
      </c>
      <c r="CL507" s="1">
        <v>1290819</v>
      </c>
    </row>
    <row r="508" spans="1:113">
      <c r="A508" s="1">
        <v>33</v>
      </c>
      <c r="B508" s="1">
        <v>3860</v>
      </c>
      <c r="C508" s="1" t="s">
        <v>930</v>
      </c>
      <c r="D508" s="1" t="s">
        <v>755</v>
      </c>
      <c r="F508" s="1">
        <v>42521</v>
      </c>
      <c r="G508" s="1">
        <v>125500</v>
      </c>
      <c r="H508" s="1">
        <v>56203</v>
      </c>
      <c r="J508" s="1">
        <v>224224</v>
      </c>
      <c r="K508" s="1">
        <v>100000</v>
      </c>
      <c r="L508" s="1">
        <v>12081</v>
      </c>
      <c r="M508" s="1">
        <v>88127</v>
      </c>
      <c r="N508" s="1">
        <v>6556</v>
      </c>
      <c r="O508" s="1">
        <v>206764</v>
      </c>
      <c r="Q508" s="1">
        <v>2569891</v>
      </c>
      <c r="T508" s="1">
        <v>19156</v>
      </c>
      <c r="V508" s="1">
        <v>47244</v>
      </c>
      <c r="W508" s="1">
        <v>2636291</v>
      </c>
      <c r="X508" s="1">
        <v>874147</v>
      </c>
      <c r="Y508" s="1">
        <v>129819</v>
      </c>
      <c r="Z508" s="1">
        <v>147170</v>
      </c>
      <c r="AB508" s="1">
        <v>2577</v>
      </c>
      <c r="AC508" s="1">
        <v>32697</v>
      </c>
      <c r="AD508" s="1">
        <v>234791</v>
      </c>
      <c r="AE508" s="1">
        <v>119588</v>
      </c>
      <c r="AG508" s="1">
        <v>1935137</v>
      </c>
      <c r="AH508" s="1">
        <v>4571428</v>
      </c>
      <c r="AI508" s="1">
        <v>3000</v>
      </c>
      <c r="AJ508" s="1">
        <v>1725</v>
      </c>
      <c r="AK508" s="1">
        <v>4725</v>
      </c>
      <c r="AL508" s="1">
        <v>40473</v>
      </c>
      <c r="AM508" s="1">
        <v>81200</v>
      </c>
      <c r="AN508" s="1">
        <v>45693</v>
      </c>
      <c r="AO508" s="1">
        <v>167366</v>
      </c>
      <c r="AP508" s="1">
        <v>172091</v>
      </c>
      <c r="AQ508" s="1">
        <v>174541</v>
      </c>
      <c r="AT508" s="1">
        <v>174541</v>
      </c>
      <c r="AU508" s="1">
        <v>80249</v>
      </c>
      <c r="AV508" s="1">
        <v>259367</v>
      </c>
      <c r="AW508" s="1">
        <v>259367</v>
      </c>
      <c r="AZ508" s="1">
        <v>5433874</v>
      </c>
      <c r="BE508" s="1">
        <v>46042</v>
      </c>
      <c r="BF508" s="1">
        <v>400</v>
      </c>
      <c r="BL508" s="1">
        <v>4577</v>
      </c>
      <c r="BR508" s="1">
        <v>347906</v>
      </c>
    </row>
    <row r="509" spans="1:113">
      <c r="A509" s="1">
        <v>33</v>
      </c>
      <c r="B509" s="1">
        <v>4070</v>
      </c>
      <c r="C509" s="1" t="s">
        <v>930</v>
      </c>
      <c r="D509" s="1" t="s">
        <v>756</v>
      </c>
      <c r="F509" s="1">
        <v>201920</v>
      </c>
      <c r="G509" s="1">
        <v>479986</v>
      </c>
      <c r="H509" s="1">
        <v>430649</v>
      </c>
      <c r="I509" s="1">
        <v>150</v>
      </c>
      <c r="J509" s="1">
        <v>1112705</v>
      </c>
      <c r="K509" s="1">
        <v>488418</v>
      </c>
      <c r="L509" s="1">
        <v>640000</v>
      </c>
      <c r="M509" s="1">
        <v>138592</v>
      </c>
      <c r="N509" s="1">
        <v>31897</v>
      </c>
      <c r="O509" s="1">
        <v>1298907</v>
      </c>
      <c r="Q509" s="1">
        <v>9120821</v>
      </c>
      <c r="R509" s="1">
        <v>1528493</v>
      </c>
      <c r="S509" s="1">
        <v>1529493</v>
      </c>
      <c r="V509" s="1">
        <v>258939</v>
      </c>
      <c r="W509" s="1">
        <v>10909253</v>
      </c>
      <c r="X509" s="1">
        <v>9959352</v>
      </c>
      <c r="Y509" s="1">
        <v>415657</v>
      </c>
      <c r="Z509" s="1">
        <v>1475617</v>
      </c>
      <c r="AA509" s="1">
        <v>52578</v>
      </c>
      <c r="AB509" s="1">
        <v>23971</v>
      </c>
      <c r="AC509" s="1">
        <v>228437</v>
      </c>
      <c r="AD509" s="1">
        <v>2251529</v>
      </c>
      <c r="AE509" s="1">
        <v>1008437</v>
      </c>
      <c r="AG509" s="1">
        <v>16847202</v>
      </c>
      <c r="AH509" s="1">
        <v>27756455</v>
      </c>
      <c r="AJ509" s="1">
        <v>287320</v>
      </c>
      <c r="AK509" s="1">
        <v>3045912</v>
      </c>
      <c r="AL509" s="1">
        <v>1022626</v>
      </c>
      <c r="AM509" s="1">
        <v>578217</v>
      </c>
      <c r="AN509" s="1">
        <v>408650</v>
      </c>
      <c r="AO509" s="1">
        <v>2031483</v>
      </c>
      <c r="AP509" s="1">
        <v>5077395</v>
      </c>
      <c r="AQ509" s="1">
        <v>693288</v>
      </c>
      <c r="AT509" s="1">
        <v>693288</v>
      </c>
      <c r="AU509" s="1">
        <v>853886</v>
      </c>
      <c r="AV509" s="1">
        <v>1547174</v>
      </c>
      <c r="AW509" s="1">
        <v>1547174</v>
      </c>
      <c r="AZ509" s="1">
        <v>36792636</v>
      </c>
      <c r="BC509" s="1">
        <v>1000</v>
      </c>
      <c r="BE509" s="1">
        <v>470273</v>
      </c>
      <c r="BF509" s="1">
        <v>175831</v>
      </c>
      <c r="BI509" s="1">
        <v>1852653</v>
      </c>
      <c r="BJ509" s="1">
        <v>905939</v>
      </c>
      <c r="BK509" s="1">
        <v>21990</v>
      </c>
      <c r="BR509" s="1">
        <v>36279</v>
      </c>
      <c r="CF509" s="1">
        <v>749241</v>
      </c>
    </row>
    <row r="510" spans="1:113">
      <c r="A510" s="1">
        <v>33</v>
      </c>
      <c r="B510" s="1">
        <v>4075</v>
      </c>
      <c r="C510" s="1" t="s">
        <v>930</v>
      </c>
      <c r="D510" s="1" t="s">
        <v>757</v>
      </c>
      <c r="F510" s="1">
        <v>111681</v>
      </c>
      <c r="G510" s="1">
        <v>4855</v>
      </c>
      <c r="H510" s="1">
        <v>74880</v>
      </c>
      <c r="I510" s="1">
        <v>997</v>
      </c>
      <c r="J510" s="1">
        <v>192413</v>
      </c>
      <c r="K510" s="1">
        <v>553204</v>
      </c>
      <c r="L510" s="1">
        <v>592401</v>
      </c>
      <c r="O510" s="1">
        <v>1145605</v>
      </c>
      <c r="Q510" s="1">
        <v>16884103</v>
      </c>
      <c r="R510" s="1">
        <v>16949</v>
      </c>
      <c r="S510" s="1">
        <v>16949</v>
      </c>
      <c r="V510" s="1">
        <v>191205</v>
      </c>
      <c r="W510" s="1">
        <v>17164776</v>
      </c>
      <c r="X510" s="1">
        <v>5080151</v>
      </c>
      <c r="Y510" s="1">
        <v>411691</v>
      </c>
      <c r="Z510" s="1">
        <v>1364249</v>
      </c>
      <c r="AA510" s="1">
        <v>8212</v>
      </c>
      <c r="AB510" s="1">
        <v>80489</v>
      </c>
      <c r="AC510" s="1">
        <v>251884</v>
      </c>
      <c r="AD510" s="1">
        <v>2326758</v>
      </c>
      <c r="AE510" s="1">
        <v>879158</v>
      </c>
      <c r="AG510" s="1">
        <v>11257899</v>
      </c>
      <c r="AH510" s="1">
        <v>28422675</v>
      </c>
      <c r="AI510" s="1">
        <v>48290</v>
      </c>
      <c r="AJ510" s="1">
        <v>234224</v>
      </c>
      <c r="AK510" s="1">
        <v>282514</v>
      </c>
      <c r="AL510" s="1">
        <v>131796</v>
      </c>
      <c r="AM510" s="1">
        <v>504188</v>
      </c>
      <c r="AN510" s="1">
        <v>227176</v>
      </c>
      <c r="AO510" s="1">
        <v>863160</v>
      </c>
      <c r="AP510" s="1">
        <v>1182342</v>
      </c>
      <c r="AQ510" s="1">
        <v>207278</v>
      </c>
      <c r="AT510" s="1">
        <v>207278</v>
      </c>
      <c r="AU510" s="1">
        <v>87951</v>
      </c>
      <c r="AV510" s="1">
        <v>295229</v>
      </c>
      <c r="AW510" s="1">
        <v>295229</v>
      </c>
      <c r="AZ510" s="1">
        <v>31238264</v>
      </c>
      <c r="BE510" s="1">
        <v>233339</v>
      </c>
      <c r="BF510" s="1">
        <v>8472</v>
      </c>
      <c r="BR510" s="1">
        <v>613496</v>
      </c>
      <c r="BU510" s="1">
        <v>36668</v>
      </c>
      <c r="BV510" s="1">
        <v>36668</v>
      </c>
      <c r="CZ510" s="1">
        <v>72519</v>
      </c>
    </row>
    <row r="511" spans="1:113">
      <c r="A511" s="1">
        <v>33</v>
      </c>
      <c r="B511" s="1">
        <v>4150</v>
      </c>
      <c r="C511" s="1" t="s">
        <v>930</v>
      </c>
      <c r="D511" s="1" t="s">
        <v>758</v>
      </c>
      <c r="F511" s="1">
        <v>206560</v>
      </c>
      <c r="G511" s="1">
        <v>397209</v>
      </c>
      <c r="H511" s="1">
        <v>320458</v>
      </c>
      <c r="I511" s="1">
        <v>87002</v>
      </c>
      <c r="J511" s="1">
        <v>1215564</v>
      </c>
      <c r="K511" s="1">
        <v>411649</v>
      </c>
      <c r="L511" s="1">
        <v>147496</v>
      </c>
      <c r="M511" s="1">
        <v>60584</v>
      </c>
      <c r="N511" s="1">
        <v>31005</v>
      </c>
      <c r="O511" s="1">
        <v>650734</v>
      </c>
      <c r="P511" s="1">
        <v>20638</v>
      </c>
      <c r="Q511" s="1">
        <v>8164880</v>
      </c>
      <c r="R511" s="1">
        <v>1200736</v>
      </c>
      <c r="S511" s="1">
        <v>1336190</v>
      </c>
      <c r="U511" s="1">
        <v>2537</v>
      </c>
      <c r="V511" s="1">
        <v>402441</v>
      </c>
      <c r="W511" s="1">
        <v>9906048</v>
      </c>
      <c r="X511" s="1">
        <v>6433077</v>
      </c>
      <c r="Y511" s="1">
        <v>717276</v>
      </c>
      <c r="Z511" s="1">
        <v>867508</v>
      </c>
      <c r="AA511" s="1">
        <v>1168</v>
      </c>
      <c r="AB511" s="1">
        <v>12671</v>
      </c>
      <c r="AC511" s="1">
        <v>191681</v>
      </c>
      <c r="AD511" s="1">
        <v>1437374</v>
      </c>
      <c r="AE511" s="1">
        <v>766770</v>
      </c>
      <c r="AG511" s="1">
        <v>12245380</v>
      </c>
      <c r="AH511" s="1">
        <v>22390766</v>
      </c>
      <c r="AI511" s="1">
        <v>130192</v>
      </c>
      <c r="AJ511" s="1">
        <v>105248</v>
      </c>
      <c r="AK511" s="1">
        <v>428811</v>
      </c>
      <c r="AL511" s="1">
        <v>437848</v>
      </c>
      <c r="AM511" s="1">
        <v>404263</v>
      </c>
      <c r="AN511" s="1">
        <v>73490</v>
      </c>
      <c r="AO511" s="1">
        <v>915601</v>
      </c>
      <c r="AP511" s="1">
        <v>1350412</v>
      </c>
      <c r="AQ511" s="1">
        <v>399688</v>
      </c>
      <c r="AT511" s="1">
        <v>399688</v>
      </c>
      <c r="AU511" s="1">
        <v>486529</v>
      </c>
      <c r="AV511" s="1">
        <v>933378</v>
      </c>
      <c r="AW511" s="1">
        <v>933378</v>
      </c>
      <c r="AX511" s="1">
        <v>20638</v>
      </c>
      <c r="AY511" s="1">
        <v>-20638</v>
      </c>
      <c r="AZ511" s="1">
        <v>26540854</v>
      </c>
      <c r="BB511" s="1">
        <v>115000</v>
      </c>
      <c r="BC511" s="1">
        <v>135454</v>
      </c>
      <c r="BE511" s="1">
        <v>297200</v>
      </c>
      <c r="BF511" s="1">
        <v>152467</v>
      </c>
      <c r="BJ511" s="1">
        <v>193371</v>
      </c>
      <c r="BL511" s="1">
        <v>47161</v>
      </c>
      <c r="BR511" s="1">
        <v>1368188</v>
      </c>
      <c r="BU511" s="1">
        <v>6000</v>
      </c>
      <c r="BV511" s="1">
        <v>6000</v>
      </c>
      <c r="CG511" s="1">
        <v>218700</v>
      </c>
      <c r="CL511" s="1">
        <v>89335</v>
      </c>
    </row>
    <row r="512" spans="1:113">
      <c r="A512" s="1">
        <v>33</v>
      </c>
      <c r="B512" s="1">
        <v>4280</v>
      </c>
      <c r="C512" s="1" t="s">
        <v>930</v>
      </c>
      <c r="D512" s="1" t="s">
        <v>759</v>
      </c>
      <c r="F512" s="1">
        <v>33231</v>
      </c>
      <c r="G512" s="1">
        <v>328971</v>
      </c>
      <c r="H512" s="1">
        <v>209329</v>
      </c>
      <c r="I512" s="1">
        <v>36873</v>
      </c>
      <c r="J512" s="1">
        <v>608404</v>
      </c>
      <c r="K512" s="1">
        <v>101592</v>
      </c>
      <c r="L512" s="1">
        <v>123856</v>
      </c>
      <c r="O512" s="1">
        <v>225448</v>
      </c>
      <c r="Q512" s="1">
        <v>2214913</v>
      </c>
      <c r="R512" s="1">
        <v>73159</v>
      </c>
      <c r="S512" s="1">
        <v>124031</v>
      </c>
      <c r="U512" s="1">
        <v>1656</v>
      </c>
      <c r="V512" s="1">
        <v>45072</v>
      </c>
      <c r="W512" s="1">
        <v>2385672</v>
      </c>
      <c r="X512" s="1">
        <v>1477124</v>
      </c>
      <c r="Y512" s="1">
        <v>196714</v>
      </c>
      <c r="Z512" s="1">
        <v>299512</v>
      </c>
      <c r="AC512" s="1">
        <v>44546</v>
      </c>
      <c r="AD512" s="1">
        <v>274051</v>
      </c>
      <c r="AE512" s="1">
        <v>155375</v>
      </c>
      <c r="AG512" s="1">
        <v>2737783</v>
      </c>
      <c r="AH512" s="1">
        <v>5123455</v>
      </c>
      <c r="AJ512" s="1">
        <v>5109</v>
      </c>
      <c r="AK512" s="1">
        <v>279633</v>
      </c>
      <c r="AL512" s="1">
        <v>91934</v>
      </c>
      <c r="AN512" s="1">
        <v>142059</v>
      </c>
      <c r="AO512" s="1">
        <v>233993</v>
      </c>
      <c r="AP512" s="1">
        <v>513626</v>
      </c>
      <c r="AQ512" s="1">
        <v>106341</v>
      </c>
      <c r="AT512" s="1">
        <v>106341</v>
      </c>
      <c r="AU512" s="1">
        <v>96389</v>
      </c>
      <c r="AV512" s="1">
        <v>202730</v>
      </c>
      <c r="AW512" s="1">
        <v>202730</v>
      </c>
      <c r="AZ512" s="1">
        <v>6673663</v>
      </c>
      <c r="BC512" s="1">
        <v>50872</v>
      </c>
      <c r="BE512" s="1">
        <v>74434</v>
      </c>
      <c r="BF512" s="1">
        <v>35929</v>
      </c>
      <c r="BI512" s="1">
        <v>173004</v>
      </c>
      <c r="BJ512" s="1">
        <v>95633</v>
      </c>
      <c r="BR512" s="1">
        <v>180098</v>
      </c>
      <c r="CU512" s="1">
        <v>5887</v>
      </c>
    </row>
    <row r="513" spans="1:109">
      <c r="A513" s="1">
        <v>33</v>
      </c>
      <c r="B513" s="1">
        <v>4630</v>
      </c>
      <c r="C513" s="1" t="s">
        <v>930</v>
      </c>
      <c r="D513" s="1" t="s">
        <v>760</v>
      </c>
      <c r="F513" s="1">
        <v>580430</v>
      </c>
      <c r="G513" s="1">
        <v>492362</v>
      </c>
      <c r="I513" s="1">
        <v>26080</v>
      </c>
      <c r="J513" s="1">
        <v>1098872</v>
      </c>
      <c r="K513" s="1">
        <v>412578</v>
      </c>
      <c r="L513" s="1">
        <v>1082000</v>
      </c>
      <c r="M513" s="1">
        <v>3731059</v>
      </c>
      <c r="O513" s="1">
        <v>5225637</v>
      </c>
      <c r="P513" s="1">
        <v>8633</v>
      </c>
      <c r="Q513" s="1">
        <v>2366655</v>
      </c>
      <c r="R513" s="1">
        <v>2581883</v>
      </c>
      <c r="S513" s="1">
        <v>2581883</v>
      </c>
      <c r="V513" s="1">
        <v>217226</v>
      </c>
      <c r="W513" s="1">
        <v>5165764</v>
      </c>
      <c r="X513" s="1">
        <v>6738659</v>
      </c>
      <c r="Y513" s="1">
        <v>143204</v>
      </c>
      <c r="Z513" s="1">
        <v>1320781</v>
      </c>
      <c r="AA513" s="1">
        <v>108</v>
      </c>
      <c r="AB513" s="1">
        <v>44321</v>
      </c>
      <c r="AC513" s="1">
        <v>131774</v>
      </c>
      <c r="AD513" s="1">
        <v>1701632</v>
      </c>
      <c r="AE513" s="1">
        <v>855408</v>
      </c>
      <c r="AF513" s="1">
        <v>4701</v>
      </c>
      <c r="AG513" s="1">
        <v>16866715</v>
      </c>
      <c r="AH513" s="1">
        <v>22075358</v>
      </c>
      <c r="AJ513" s="1">
        <v>317215</v>
      </c>
      <c r="AK513" s="1">
        <v>2141640</v>
      </c>
      <c r="AL513" s="1">
        <v>1640777</v>
      </c>
      <c r="AM513" s="1">
        <v>351723</v>
      </c>
      <c r="AN513" s="1">
        <v>326642</v>
      </c>
      <c r="AO513" s="1">
        <v>2343826</v>
      </c>
      <c r="AP513" s="1">
        <v>4700906</v>
      </c>
      <c r="AQ513" s="1">
        <v>80006</v>
      </c>
      <c r="AT513" s="1">
        <v>80006</v>
      </c>
      <c r="AU513" s="1">
        <v>269947</v>
      </c>
      <c r="AV513" s="1">
        <v>355159</v>
      </c>
      <c r="AW513" s="1">
        <v>355159</v>
      </c>
      <c r="AY513" s="1">
        <v>-5206</v>
      </c>
      <c r="AZ513" s="1">
        <v>34052774</v>
      </c>
      <c r="BG513" s="1">
        <v>4081</v>
      </c>
      <c r="BH513" s="1">
        <v>34246</v>
      </c>
      <c r="BI513" s="1">
        <v>1134354</v>
      </c>
      <c r="BJ513" s="1">
        <v>559719</v>
      </c>
      <c r="BK513" s="1">
        <v>24684</v>
      </c>
      <c r="BL513" s="1">
        <v>5206</v>
      </c>
      <c r="BR513" s="1">
        <v>20639</v>
      </c>
      <c r="BY513" s="1">
        <v>596842</v>
      </c>
      <c r="CA513" s="1">
        <v>30165</v>
      </c>
      <c r="CC513" s="1">
        <v>602048</v>
      </c>
      <c r="CF513" s="1">
        <v>482496</v>
      </c>
      <c r="CH513" s="1">
        <v>99708</v>
      </c>
      <c r="CO513" s="1">
        <v>5323284</v>
      </c>
      <c r="CP513" s="1">
        <v>88467</v>
      </c>
      <c r="CQ513" s="1">
        <v>215440</v>
      </c>
      <c r="CW513" s="1">
        <v>41885</v>
      </c>
    </row>
    <row r="514" spans="1:109">
      <c r="A514" s="1">
        <v>33</v>
      </c>
      <c r="B514" s="1">
        <v>4635</v>
      </c>
      <c r="C514" s="1" t="s">
        <v>930</v>
      </c>
      <c r="D514" s="1" t="s">
        <v>761</v>
      </c>
      <c r="F514" s="1">
        <v>1472</v>
      </c>
      <c r="J514" s="1">
        <v>101472</v>
      </c>
      <c r="K514" s="1">
        <v>245097</v>
      </c>
      <c r="O514" s="1">
        <v>245097</v>
      </c>
      <c r="V514" s="1">
        <v>4033</v>
      </c>
      <c r="W514" s="1">
        <v>2691324</v>
      </c>
      <c r="AD514" s="1">
        <v>241409</v>
      </c>
      <c r="AE514" s="1">
        <v>189004</v>
      </c>
      <c r="AF514" s="1">
        <v>325</v>
      </c>
      <c r="AG514" s="1">
        <v>430738</v>
      </c>
      <c r="AH514" s="1">
        <v>3127090</v>
      </c>
      <c r="AJ514" s="1">
        <v>775</v>
      </c>
      <c r="AK514" s="1">
        <v>775</v>
      </c>
      <c r="AN514" s="1">
        <v>49245</v>
      </c>
      <c r="AO514" s="1">
        <v>49245</v>
      </c>
      <c r="AP514" s="1">
        <v>50020</v>
      </c>
      <c r="AZ514" s="1">
        <v>3523679</v>
      </c>
      <c r="BB514" s="1">
        <v>100000</v>
      </c>
      <c r="BH514" s="1">
        <v>5028</v>
      </c>
      <c r="BN514" s="1">
        <v>291459</v>
      </c>
      <c r="BO514" s="1">
        <v>2395832</v>
      </c>
      <c r="CA514" s="1">
        <v>5028</v>
      </c>
    </row>
    <row r="515" spans="1:109">
      <c r="A515" s="1">
        <v>33</v>
      </c>
      <c r="B515" s="1">
        <v>4640</v>
      </c>
      <c r="C515" s="1" t="s">
        <v>930</v>
      </c>
      <c r="D515" s="1" t="s">
        <v>762</v>
      </c>
      <c r="F515" s="1">
        <v>410463</v>
      </c>
      <c r="G515" s="1">
        <v>1414315</v>
      </c>
      <c r="H515" s="1">
        <v>1072705</v>
      </c>
      <c r="I515" s="1">
        <v>855806</v>
      </c>
      <c r="J515" s="1">
        <v>3753289</v>
      </c>
      <c r="K515" s="1">
        <v>317113</v>
      </c>
      <c r="O515" s="1">
        <v>317113</v>
      </c>
      <c r="U515" s="1">
        <v>41944</v>
      </c>
      <c r="V515" s="1">
        <v>287021</v>
      </c>
      <c r="W515" s="1">
        <v>2109163</v>
      </c>
      <c r="X515" s="1">
        <v>2007292</v>
      </c>
      <c r="Z515" s="1">
        <v>405498</v>
      </c>
      <c r="AC515" s="1">
        <v>53982</v>
      </c>
      <c r="AD515" s="1">
        <v>275639</v>
      </c>
      <c r="AE515" s="1">
        <v>217668</v>
      </c>
      <c r="AG515" s="1">
        <v>3999170</v>
      </c>
      <c r="AH515" s="1">
        <v>6108333</v>
      </c>
      <c r="AI515" s="1">
        <v>13314</v>
      </c>
      <c r="AJ515" s="1">
        <v>530619</v>
      </c>
      <c r="AK515" s="1">
        <v>561633</v>
      </c>
      <c r="AL515" s="1">
        <v>76221</v>
      </c>
      <c r="AM515" s="1">
        <v>74280</v>
      </c>
      <c r="AN515" s="1">
        <v>1047177</v>
      </c>
      <c r="AO515" s="1">
        <v>1545145</v>
      </c>
      <c r="AP515" s="1">
        <v>2114153</v>
      </c>
      <c r="AZ515" s="1">
        <v>12292888</v>
      </c>
      <c r="BE515" s="1">
        <v>101969</v>
      </c>
      <c r="BF515" s="1">
        <v>35934</v>
      </c>
      <c r="BJ515" s="1">
        <v>17700</v>
      </c>
      <c r="BN515" s="1">
        <v>1530000</v>
      </c>
      <c r="BO515" s="1">
        <v>250198</v>
      </c>
      <c r="BS515" s="1">
        <v>901188</v>
      </c>
      <c r="BU515" s="1">
        <v>7375</v>
      </c>
      <c r="BV515" s="1">
        <v>7375</v>
      </c>
      <c r="BW515" s="1">
        <v>345615</v>
      </c>
      <c r="DE515" s="1">
        <v>1852</v>
      </c>
    </row>
    <row r="516" spans="1:109">
      <c r="A516" s="1">
        <v>33</v>
      </c>
      <c r="B516" s="1">
        <v>5320</v>
      </c>
      <c r="C516" s="1" t="s">
        <v>930</v>
      </c>
      <c r="D516" s="1" t="s">
        <v>763</v>
      </c>
      <c r="F516" s="1">
        <v>44615</v>
      </c>
      <c r="G516" s="1">
        <v>97421</v>
      </c>
      <c r="H516" s="1">
        <v>232587</v>
      </c>
      <c r="I516" s="1">
        <v>25184</v>
      </c>
      <c r="J516" s="1">
        <v>451980</v>
      </c>
      <c r="K516" s="1">
        <v>123044</v>
      </c>
      <c r="L516" s="1">
        <v>58371</v>
      </c>
      <c r="M516" s="1">
        <v>10206</v>
      </c>
      <c r="N516" s="1">
        <v>1062</v>
      </c>
      <c r="O516" s="1">
        <v>192683</v>
      </c>
      <c r="P516" s="1">
        <v>20000</v>
      </c>
      <c r="Q516" s="1">
        <v>2863480</v>
      </c>
      <c r="S516" s="1">
        <v>53807</v>
      </c>
      <c r="T516" s="1">
        <v>38393</v>
      </c>
      <c r="U516" s="1">
        <v>1133</v>
      </c>
      <c r="W516" s="1">
        <v>2998049</v>
      </c>
      <c r="X516" s="1">
        <v>2019326</v>
      </c>
      <c r="Y516" s="1">
        <v>363264</v>
      </c>
      <c r="Z516" s="1">
        <v>428059</v>
      </c>
      <c r="AA516" s="1">
        <v>12794</v>
      </c>
      <c r="AC516" s="1">
        <v>64845</v>
      </c>
      <c r="AD516" s="1">
        <v>336993</v>
      </c>
      <c r="AE516" s="1">
        <v>145244</v>
      </c>
      <c r="AG516" s="1">
        <v>3538185</v>
      </c>
      <c r="AH516" s="1">
        <v>6734634</v>
      </c>
      <c r="AI516" s="1">
        <v>15873</v>
      </c>
      <c r="AJ516" s="1">
        <v>12696</v>
      </c>
      <c r="AK516" s="1">
        <v>28569</v>
      </c>
      <c r="AL516" s="1">
        <v>57534</v>
      </c>
      <c r="AM516" s="1">
        <v>125167</v>
      </c>
      <c r="AN516" s="1">
        <v>94538</v>
      </c>
      <c r="AO516" s="1">
        <v>277239</v>
      </c>
      <c r="AP516" s="1">
        <v>305808</v>
      </c>
      <c r="AQ516" s="1">
        <v>301076</v>
      </c>
      <c r="AT516" s="1">
        <v>301076</v>
      </c>
      <c r="AU516" s="1">
        <v>193543</v>
      </c>
      <c r="AV516" s="1">
        <v>494619</v>
      </c>
      <c r="AW516" s="1">
        <v>494619</v>
      </c>
      <c r="AZ516" s="1">
        <v>8179724</v>
      </c>
      <c r="BC516" s="1">
        <v>53807</v>
      </c>
      <c r="BE516" s="1">
        <v>89292</v>
      </c>
      <c r="BF516" s="1">
        <v>6122</v>
      </c>
      <c r="BQ516" s="1">
        <v>28236</v>
      </c>
      <c r="BR516" s="1">
        <v>72246</v>
      </c>
      <c r="CE516" s="1">
        <v>13000</v>
      </c>
      <c r="CG516" s="1">
        <v>178400</v>
      </c>
      <c r="CL516" s="1">
        <v>52173</v>
      </c>
    </row>
    <row r="517" spans="1:109">
      <c r="A517" s="1">
        <v>33</v>
      </c>
      <c r="B517" s="1">
        <v>5910</v>
      </c>
      <c r="C517" s="1" t="s">
        <v>930</v>
      </c>
      <c r="D517" s="1" t="s">
        <v>764</v>
      </c>
      <c r="F517" s="1">
        <v>14235</v>
      </c>
      <c r="G517" s="1">
        <v>265559</v>
      </c>
      <c r="H517" s="1">
        <v>427326</v>
      </c>
      <c r="I517" s="1">
        <v>1</v>
      </c>
      <c r="J517" s="1">
        <v>707121</v>
      </c>
      <c r="K517" s="1">
        <v>361712</v>
      </c>
      <c r="L517" s="1">
        <v>325000</v>
      </c>
      <c r="M517" s="1">
        <v>17577</v>
      </c>
      <c r="N517" s="1">
        <v>924</v>
      </c>
      <c r="O517" s="1">
        <v>705213</v>
      </c>
      <c r="Q517" s="1">
        <v>8521913</v>
      </c>
      <c r="R517" s="1">
        <v>3716153</v>
      </c>
      <c r="S517" s="1">
        <v>3716153</v>
      </c>
      <c r="U517" s="1">
        <v>85095</v>
      </c>
      <c r="V517" s="1">
        <v>37032</v>
      </c>
      <c r="W517" s="1">
        <v>12360193</v>
      </c>
      <c r="X517" s="1">
        <v>4194191</v>
      </c>
      <c r="Y517" s="1">
        <v>323639</v>
      </c>
      <c r="Z517" s="1">
        <v>728174</v>
      </c>
      <c r="AA517" s="1">
        <v>2354</v>
      </c>
      <c r="AB517" s="1">
        <v>2549</v>
      </c>
      <c r="AC517" s="1">
        <v>135614</v>
      </c>
      <c r="AD517" s="1">
        <v>1421774</v>
      </c>
      <c r="AE517" s="1">
        <v>720452</v>
      </c>
      <c r="AF517" s="1">
        <v>13664</v>
      </c>
      <c r="AG517" s="1">
        <v>8225882</v>
      </c>
      <c r="AH517" s="1">
        <v>20790920</v>
      </c>
      <c r="AI517" s="1">
        <v>36119</v>
      </c>
      <c r="AJ517" s="1">
        <v>53617</v>
      </c>
      <c r="AK517" s="1">
        <v>89736</v>
      </c>
      <c r="AL517" s="1">
        <v>163185</v>
      </c>
      <c r="AM517" s="1">
        <v>42571</v>
      </c>
      <c r="AN517" s="1">
        <v>353985</v>
      </c>
      <c r="AO517" s="1">
        <v>559741</v>
      </c>
      <c r="AP517" s="1">
        <v>649477</v>
      </c>
      <c r="AR517" s="1">
        <v>761</v>
      </c>
      <c r="AS517" s="1">
        <v>761</v>
      </c>
      <c r="AT517" s="1">
        <v>761</v>
      </c>
      <c r="AV517" s="1">
        <v>761</v>
      </c>
      <c r="AW517" s="1">
        <v>761</v>
      </c>
      <c r="AZ517" s="1">
        <v>22853492</v>
      </c>
      <c r="BE517" s="1">
        <v>177774</v>
      </c>
      <c r="BR517" s="1">
        <v>505697</v>
      </c>
      <c r="CG517" s="1">
        <v>204845</v>
      </c>
    </row>
    <row r="518" spans="1:109">
      <c r="A518" s="1">
        <v>35</v>
      </c>
      <c r="B518" s="1">
        <v>240</v>
      </c>
      <c r="C518" s="1" t="s">
        <v>765</v>
      </c>
      <c r="D518" s="1" t="s">
        <v>766</v>
      </c>
      <c r="E518" s="1">
        <v>100000</v>
      </c>
      <c r="F518" s="1">
        <v>730</v>
      </c>
      <c r="H518" s="1">
        <v>196899</v>
      </c>
      <c r="I518" s="1">
        <v>31625</v>
      </c>
      <c r="J518" s="1">
        <v>529254</v>
      </c>
      <c r="K518" s="1">
        <v>170821</v>
      </c>
      <c r="L518" s="1">
        <v>4229</v>
      </c>
      <c r="N518" s="1">
        <v>29878</v>
      </c>
      <c r="O518" s="1">
        <v>204928</v>
      </c>
      <c r="Q518" s="1">
        <v>12123393</v>
      </c>
      <c r="R518" s="1">
        <v>34551</v>
      </c>
      <c r="S518" s="1">
        <v>34551</v>
      </c>
      <c r="U518" s="1">
        <v>5</v>
      </c>
      <c r="V518" s="1">
        <v>90259</v>
      </c>
      <c r="W518" s="1">
        <v>12248208</v>
      </c>
      <c r="Y518" s="1">
        <v>152303</v>
      </c>
      <c r="Z518" s="1">
        <v>665365</v>
      </c>
      <c r="AA518" s="1">
        <v>39568</v>
      </c>
      <c r="AB518" s="1">
        <v>17279</v>
      </c>
      <c r="AC518" s="1">
        <v>45819</v>
      </c>
      <c r="AD518" s="1">
        <v>582125</v>
      </c>
      <c r="AE518" s="1">
        <v>326393</v>
      </c>
      <c r="AG518" s="1">
        <v>1855944</v>
      </c>
      <c r="AH518" s="1">
        <v>14104152</v>
      </c>
      <c r="AJ518" s="1">
        <v>36825</v>
      </c>
      <c r="AK518" s="1">
        <v>36825</v>
      </c>
      <c r="AL518" s="1">
        <v>13686</v>
      </c>
      <c r="AM518" s="1">
        <v>183717</v>
      </c>
      <c r="AN518" s="1">
        <v>18636</v>
      </c>
      <c r="AO518" s="1">
        <v>216039</v>
      </c>
      <c r="AP518" s="1">
        <v>261900</v>
      </c>
      <c r="AQ518" s="1">
        <v>1271713</v>
      </c>
      <c r="AT518" s="1">
        <v>1271713</v>
      </c>
      <c r="AV518" s="1">
        <v>1271713</v>
      </c>
      <c r="AW518" s="1">
        <v>1271713</v>
      </c>
      <c r="AZ518" s="1">
        <v>16371947</v>
      </c>
      <c r="BE518" s="1">
        <v>27092</v>
      </c>
      <c r="BU518" s="1">
        <v>9036</v>
      </c>
      <c r="BV518" s="1">
        <v>9036</v>
      </c>
      <c r="CD518" s="1">
        <v>200000</v>
      </c>
    </row>
    <row r="519" spans="1:109">
      <c r="A519" s="1">
        <v>35</v>
      </c>
      <c r="B519" s="1">
        <v>350</v>
      </c>
      <c r="C519" s="1" t="s">
        <v>765</v>
      </c>
      <c r="D519" s="1" t="s">
        <v>767</v>
      </c>
      <c r="G519" s="1">
        <v>912734</v>
      </c>
      <c r="H519" s="1">
        <v>574817</v>
      </c>
      <c r="I519" s="1">
        <v>55567</v>
      </c>
      <c r="J519" s="1">
        <v>1543118</v>
      </c>
      <c r="K519" s="1">
        <v>1296910</v>
      </c>
      <c r="L519" s="1">
        <v>400000</v>
      </c>
      <c r="M519" s="1">
        <v>41475362</v>
      </c>
      <c r="N519" s="1">
        <v>1</v>
      </c>
      <c r="O519" s="1">
        <v>43172273</v>
      </c>
      <c r="P519" s="1">
        <v>2607177</v>
      </c>
      <c r="Q519" s="1">
        <v>61313765</v>
      </c>
      <c r="R519" s="1">
        <v>860467</v>
      </c>
      <c r="S519" s="1">
        <v>860467</v>
      </c>
      <c r="V519" s="1">
        <v>486911</v>
      </c>
      <c r="W519" s="1">
        <v>62867117</v>
      </c>
      <c r="Y519" s="1">
        <v>967125</v>
      </c>
      <c r="Z519" s="1">
        <v>2022369</v>
      </c>
      <c r="AA519" s="1">
        <v>52596</v>
      </c>
      <c r="AB519" s="1">
        <v>169829</v>
      </c>
      <c r="AC519" s="1">
        <v>298533</v>
      </c>
      <c r="AD519" s="1">
        <v>3754805</v>
      </c>
      <c r="AE519" s="1">
        <v>2666513</v>
      </c>
      <c r="AG519" s="1">
        <v>10488172</v>
      </c>
      <c r="AH519" s="1">
        <v>75962466</v>
      </c>
      <c r="AJ519" s="1">
        <v>238068</v>
      </c>
      <c r="AK519" s="1">
        <v>238068</v>
      </c>
      <c r="AM519" s="1">
        <v>1093720</v>
      </c>
      <c r="AN519" s="1">
        <v>102008</v>
      </c>
      <c r="AO519" s="1">
        <v>1195728</v>
      </c>
      <c r="AP519" s="1">
        <v>1554509</v>
      </c>
      <c r="AQ519" s="1">
        <v>5661267</v>
      </c>
      <c r="AT519" s="1">
        <v>5661267</v>
      </c>
      <c r="AV519" s="1">
        <v>15725740</v>
      </c>
      <c r="AW519" s="1">
        <v>15725740</v>
      </c>
      <c r="AX519" s="1">
        <v>2607177</v>
      </c>
      <c r="AY519" s="1">
        <v>-2607177</v>
      </c>
      <c r="AZ519" s="1">
        <v>137958106</v>
      </c>
      <c r="BE519" s="1">
        <v>100219</v>
      </c>
      <c r="BF519" s="1">
        <v>456183</v>
      </c>
      <c r="BM519" s="1">
        <v>10064473</v>
      </c>
      <c r="BU519" s="1">
        <v>120713</v>
      </c>
      <c r="BV519" s="1">
        <v>120713</v>
      </c>
      <c r="CZ519" s="1">
        <v>205974</v>
      </c>
    </row>
    <row r="520" spans="1:109">
      <c r="A520" s="1">
        <v>35</v>
      </c>
      <c r="B520" s="1">
        <v>490</v>
      </c>
      <c r="C520" s="1" t="s">
        <v>765</v>
      </c>
      <c r="D520" s="1" t="s">
        <v>768</v>
      </c>
      <c r="F520" s="1">
        <v>1392739</v>
      </c>
      <c r="G520" s="1">
        <v>316249</v>
      </c>
      <c r="H520" s="1">
        <v>185187</v>
      </c>
      <c r="I520" s="1">
        <v>1</v>
      </c>
      <c r="J520" s="1">
        <v>1894176</v>
      </c>
      <c r="K520" s="1">
        <v>399511</v>
      </c>
      <c r="L520" s="1">
        <v>145994</v>
      </c>
      <c r="M520" s="1">
        <v>55402</v>
      </c>
      <c r="N520" s="1">
        <v>37986</v>
      </c>
      <c r="O520" s="1">
        <v>638893</v>
      </c>
      <c r="Q520" s="1">
        <v>12385567</v>
      </c>
      <c r="R520" s="1">
        <v>1576467</v>
      </c>
      <c r="S520" s="1">
        <v>1576467</v>
      </c>
      <c r="T520" s="1">
        <v>25120</v>
      </c>
      <c r="V520" s="1">
        <v>221573</v>
      </c>
      <c r="W520" s="1">
        <v>14208727</v>
      </c>
      <c r="X520" s="1">
        <v>2337066</v>
      </c>
      <c r="Y520" s="1">
        <v>60404</v>
      </c>
      <c r="Z520" s="1">
        <v>876763</v>
      </c>
      <c r="AA520" s="1">
        <v>400352</v>
      </c>
      <c r="AB520" s="1">
        <v>56842</v>
      </c>
      <c r="AC520" s="1">
        <v>197245</v>
      </c>
      <c r="AD520" s="1">
        <v>1426692</v>
      </c>
      <c r="AE520" s="1">
        <v>662196</v>
      </c>
      <c r="AG520" s="1">
        <v>6334911</v>
      </c>
      <c r="AH520" s="1">
        <v>20543638</v>
      </c>
      <c r="AJ520" s="1">
        <v>146357</v>
      </c>
      <c r="AK520" s="1">
        <v>1492828</v>
      </c>
      <c r="AL520" s="1">
        <v>444323</v>
      </c>
      <c r="AM520" s="1">
        <v>345045</v>
      </c>
      <c r="AN520" s="1">
        <v>197163</v>
      </c>
      <c r="AO520" s="1">
        <v>986531</v>
      </c>
      <c r="AP520" s="1">
        <v>2614154</v>
      </c>
      <c r="AQ520" s="1">
        <v>321250</v>
      </c>
      <c r="AT520" s="1">
        <v>321250</v>
      </c>
      <c r="AU520" s="1">
        <v>177334</v>
      </c>
      <c r="AV520" s="1">
        <v>498584</v>
      </c>
      <c r="AW520" s="1">
        <v>498584</v>
      </c>
      <c r="AZ520" s="1">
        <v>26189445</v>
      </c>
      <c r="BE520" s="1">
        <v>159924</v>
      </c>
      <c r="BF520" s="1">
        <v>114419</v>
      </c>
      <c r="BI520" s="1">
        <v>798782</v>
      </c>
      <c r="BJ520" s="1">
        <v>547689</v>
      </c>
      <c r="BU520" s="1">
        <v>134795</v>
      </c>
      <c r="BV520" s="1">
        <v>134795</v>
      </c>
      <c r="CF520" s="1">
        <v>43008</v>
      </c>
    </row>
    <row r="521" spans="1:109">
      <c r="A521" s="1">
        <v>35</v>
      </c>
      <c r="B521" s="1">
        <v>510</v>
      </c>
      <c r="C521" s="1" t="s">
        <v>765</v>
      </c>
      <c r="D521" s="1" t="s">
        <v>769</v>
      </c>
      <c r="E521" s="1">
        <v>375000</v>
      </c>
      <c r="F521" s="1">
        <v>498736</v>
      </c>
      <c r="I521" s="1">
        <v>33925</v>
      </c>
      <c r="J521" s="1">
        <v>1863430</v>
      </c>
      <c r="K521" s="1">
        <v>814249</v>
      </c>
      <c r="M521" s="1">
        <v>161658</v>
      </c>
      <c r="N521" s="1">
        <v>2</v>
      </c>
      <c r="O521" s="1">
        <v>975909</v>
      </c>
      <c r="Q521" s="1">
        <v>34778141</v>
      </c>
      <c r="U521" s="1">
        <v>1696</v>
      </c>
      <c r="V521" s="1">
        <v>315974</v>
      </c>
      <c r="W521" s="1">
        <v>35095811</v>
      </c>
      <c r="Y521" s="1">
        <v>695658</v>
      </c>
      <c r="Z521" s="1">
        <v>1615967</v>
      </c>
      <c r="AA521" s="1">
        <v>12938</v>
      </c>
      <c r="AB521" s="1">
        <v>121047</v>
      </c>
      <c r="AC521" s="1">
        <v>137162</v>
      </c>
      <c r="AD521" s="1">
        <v>1842803</v>
      </c>
      <c r="AE521" s="1">
        <v>994280</v>
      </c>
      <c r="AG521" s="1">
        <v>5617110</v>
      </c>
      <c r="AH521" s="1">
        <v>40849595</v>
      </c>
      <c r="AJ521" s="1">
        <v>42156</v>
      </c>
      <c r="AK521" s="1">
        <v>42156</v>
      </c>
      <c r="AM521" s="1">
        <v>504588</v>
      </c>
      <c r="AN521" s="1">
        <v>49468</v>
      </c>
      <c r="AO521" s="1">
        <v>554056</v>
      </c>
      <c r="AP521" s="1">
        <v>640325</v>
      </c>
      <c r="AQ521" s="1">
        <v>1869596</v>
      </c>
      <c r="AT521" s="1">
        <v>1869596</v>
      </c>
      <c r="AV521" s="1">
        <v>1869596</v>
      </c>
      <c r="AW521" s="1">
        <v>1869596</v>
      </c>
      <c r="AX521" s="1">
        <v>3298812</v>
      </c>
      <c r="AY521" s="1">
        <v>100600</v>
      </c>
      <c r="AZ521" s="1">
        <v>49598267</v>
      </c>
      <c r="BE521" s="1">
        <v>73852</v>
      </c>
      <c r="BF521" s="1">
        <v>123403</v>
      </c>
      <c r="BU521" s="1">
        <v>44113</v>
      </c>
      <c r="BV521" s="1">
        <v>44113</v>
      </c>
      <c r="BY521" s="1">
        <v>3399412</v>
      </c>
      <c r="CD521" s="1">
        <v>400000</v>
      </c>
      <c r="CG521" s="1">
        <v>136674</v>
      </c>
      <c r="CL521" s="1">
        <v>55769</v>
      </c>
      <c r="DA521" s="1">
        <v>500000</v>
      </c>
    </row>
    <row r="522" spans="1:109">
      <c r="A522" s="1">
        <v>35</v>
      </c>
      <c r="B522" s="1">
        <v>555</v>
      </c>
      <c r="C522" s="1" t="s">
        <v>765</v>
      </c>
      <c r="D522" s="1" t="s">
        <v>770</v>
      </c>
      <c r="F522" s="1">
        <v>619545</v>
      </c>
      <c r="G522" s="1">
        <v>5408869</v>
      </c>
      <c r="H522" s="1">
        <v>3588867</v>
      </c>
      <c r="I522" s="1">
        <v>769943</v>
      </c>
      <c r="J522" s="1">
        <v>10387224</v>
      </c>
      <c r="K522" s="1">
        <v>2575335</v>
      </c>
      <c r="L522" s="1">
        <v>349030</v>
      </c>
      <c r="M522" s="1">
        <v>4274437</v>
      </c>
      <c r="N522" s="1">
        <v>166964</v>
      </c>
      <c r="O522" s="1">
        <v>7365766</v>
      </c>
      <c r="P522" s="1">
        <v>91353</v>
      </c>
      <c r="Q522" s="1">
        <v>105178496</v>
      </c>
      <c r="R522" s="1">
        <v>37275</v>
      </c>
      <c r="S522" s="1">
        <v>37275</v>
      </c>
      <c r="T522" s="1">
        <v>62653</v>
      </c>
      <c r="U522" s="1">
        <v>58889</v>
      </c>
      <c r="V522" s="1">
        <v>1217439</v>
      </c>
      <c r="W522" s="1">
        <v>107000838</v>
      </c>
      <c r="Y522" s="1">
        <v>2678632</v>
      </c>
      <c r="Z522" s="1">
        <v>4887068</v>
      </c>
      <c r="AA522" s="1">
        <v>216026</v>
      </c>
      <c r="AB522" s="1">
        <v>313376</v>
      </c>
      <c r="AC522" s="1">
        <v>976508</v>
      </c>
      <c r="AD522" s="1">
        <v>8242685</v>
      </c>
      <c r="AE522" s="1">
        <v>4375854</v>
      </c>
      <c r="AG522" s="1">
        <v>22384444</v>
      </c>
      <c r="AH522" s="1">
        <v>130376635</v>
      </c>
      <c r="AJ522" s="1">
        <v>260867</v>
      </c>
      <c r="AK522" s="1">
        <v>260867</v>
      </c>
      <c r="AL522" s="1">
        <v>238734</v>
      </c>
      <c r="AM522" s="1">
        <v>1957035</v>
      </c>
      <c r="AN522" s="1">
        <v>372347</v>
      </c>
      <c r="AO522" s="1">
        <v>2568116</v>
      </c>
      <c r="AP522" s="1">
        <v>2875271</v>
      </c>
      <c r="AQ522" s="1">
        <v>5421866</v>
      </c>
      <c r="AT522" s="1">
        <v>5421866</v>
      </c>
      <c r="AV522" s="1">
        <v>5421866</v>
      </c>
      <c r="AW522" s="1">
        <v>5421866</v>
      </c>
      <c r="AZ522" s="1">
        <v>156426762</v>
      </c>
      <c r="BE522" s="1">
        <v>262747</v>
      </c>
      <c r="BF522" s="1">
        <v>431548</v>
      </c>
      <c r="BU522" s="1">
        <v>46288</v>
      </c>
      <c r="BV522" s="1">
        <v>46288</v>
      </c>
      <c r="CE522" s="1">
        <v>181790</v>
      </c>
      <c r="CG522" s="1">
        <v>900000</v>
      </c>
      <c r="CY522" s="1">
        <v>264296</v>
      </c>
    </row>
    <row r="523" spans="1:109">
      <c r="A523" s="1">
        <v>35</v>
      </c>
      <c r="B523" s="1">
        <v>1610</v>
      </c>
      <c r="C523" s="1" t="s">
        <v>765</v>
      </c>
      <c r="D523" s="1" t="s">
        <v>1043</v>
      </c>
      <c r="F523" s="1">
        <v>854478</v>
      </c>
      <c r="G523" s="1">
        <v>2661021</v>
      </c>
      <c r="H523" s="1">
        <v>3989637</v>
      </c>
      <c r="I523" s="1">
        <v>987610</v>
      </c>
      <c r="J523" s="1">
        <v>9490709</v>
      </c>
      <c r="K523" s="1">
        <v>2141808</v>
      </c>
      <c r="L523" s="1">
        <v>506889</v>
      </c>
      <c r="M523" s="1">
        <v>-397421</v>
      </c>
      <c r="O523" s="1">
        <v>2251276</v>
      </c>
      <c r="P523" s="1">
        <v>42582</v>
      </c>
      <c r="Q523" s="1">
        <v>96893929</v>
      </c>
      <c r="T523" s="1">
        <v>1652</v>
      </c>
      <c r="U523" s="1">
        <v>96206</v>
      </c>
      <c r="V523" s="1">
        <v>1035793</v>
      </c>
      <c r="W523" s="1">
        <v>98027580</v>
      </c>
      <c r="Y523" s="1">
        <v>2315523</v>
      </c>
      <c r="Z523" s="1">
        <v>4750821</v>
      </c>
      <c r="AA523" s="1">
        <v>342798</v>
      </c>
      <c r="AB523" s="1">
        <v>491710</v>
      </c>
      <c r="AC523" s="1">
        <v>760689</v>
      </c>
      <c r="AD523" s="1">
        <v>5753487</v>
      </c>
      <c r="AE523" s="1">
        <v>3306575</v>
      </c>
      <c r="AG523" s="1">
        <v>19102076</v>
      </c>
      <c r="AH523" s="1">
        <v>117172238</v>
      </c>
      <c r="AJ523" s="1">
        <v>511473</v>
      </c>
      <c r="AK523" s="1">
        <v>4832409</v>
      </c>
      <c r="AL523" s="1">
        <v>1041444</v>
      </c>
      <c r="AM523" s="1">
        <v>1720578</v>
      </c>
      <c r="AN523" s="1">
        <v>371108</v>
      </c>
      <c r="AO523" s="1">
        <v>3133130</v>
      </c>
      <c r="AP523" s="1">
        <v>8025636</v>
      </c>
      <c r="AQ523" s="1">
        <v>5591169</v>
      </c>
      <c r="AS523" s="1">
        <v>249140</v>
      </c>
      <c r="AT523" s="1">
        <v>5840309</v>
      </c>
      <c r="AV523" s="1">
        <v>5840309</v>
      </c>
      <c r="AW523" s="1">
        <v>5840309</v>
      </c>
      <c r="AX523" s="1">
        <v>42582</v>
      </c>
      <c r="AY523" s="1">
        <v>-42582</v>
      </c>
      <c r="AZ523" s="1">
        <v>144028526</v>
      </c>
      <c r="BE523" s="1">
        <v>372762</v>
      </c>
      <c r="BF523" s="1">
        <v>1007711</v>
      </c>
      <c r="BI523" s="1">
        <v>3206716</v>
      </c>
      <c r="BJ523" s="1">
        <v>951266</v>
      </c>
      <c r="BU523" s="1">
        <v>60097</v>
      </c>
      <c r="BV523" s="1">
        <v>60097</v>
      </c>
      <c r="BY523" s="1">
        <v>1248358</v>
      </c>
      <c r="CI523" s="1">
        <v>1248358</v>
      </c>
      <c r="CL523" s="1">
        <v>997963</v>
      </c>
      <c r="CU523" s="1">
        <v>7927</v>
      </c>
      <c r="CW523" s="1">
        <v>155027</v>
      </c>
      <c r="DC523" s="1">
        <v>249140</v>
      </c>
    </row>
    <row r="524" spans="1:109">
      <c r="A524" s="1">
        <v>35</v>
      </c>
      <c r="B524" s="1">
        <v>1810</v>
      </c>
      <c r="C524" s="1" t="s">
        <v>765</v>
      </c>
      <c r="D524" s="1" t="s">
        <v>771</v>
      </c>
      <c r="F524" s="1">
        <v>368457</v>
      </c>
      <c r="I524" s="1">
        <v>263059</v>
      </c>
      <c r="J524" s="1">
        <v>1248690</v>
      </c>
      <c r="K524" s="1">
        <v>348888</v>
      </c>
      <c r="M524" s="1">
        <v>626624</v>
      </c>
      <c r="N524" s="1">
        <v>1</v>
      </c>
      <c r="O524" s="1">
        <v>975513</v>
      </c>
      <c r="Q524" s="1">
        <v>17005537</v>
      </c>
      <c r="S524" s="1">
        <v>19560</v>
      </c>
      <c r="T524" s="1">
        <v>71578</v>
      </c>
      <c r="U524" s="1">
        <v>14233</v>
      </c>
      <c r="V524" s="1">
        <v>300144</v>
      </c>
      <c r="W524" s="1">
        <v>17411052</v>
      </c>
      <c r="Y524" s="1">
        <v>294108</v>
      </c>
      <c r="Z524" s="1">
        <v>443389</v>
      </c>
      <c r="AA524" s="1">
        <v>19802</v>
      </c>
      <c r="AB524" s="1">
        <v>32620</v>
      </c>
      <c r="AC524" s="1">
        <v>134188</v>
      </c>
      <c r="AD524" s="1">
        <v>587859</v>
      </c>
      <c r="AE524" s="1">
        <v>381725</v>
      </c>
      <c r="AG524" s="1">
        <v>2120093</v>
      </c>
      <c r="AH524" s="1">
        <v>19618138</v>
      </c>
      <c r="AM524" s="1">
        <v>209133</v>
      </c>
      <c r="AN524" s="1">
        <v>30335</v>
      </c>
      <c r="AO524" s="1">
        <v>239468</v>
      </c>
      <c r="AP524" s="1">
        <v>265709</v>
      </c>
      <c r="AQ524" s="1">
        <v>1482933</v>
      </c>
      <c r="AT524" s="1">
        <v>1482933</v>
      </c>
      <c r="AU524" s="1">
        <v>71533</v>
      </c>
      <c r="AV524" s="1">
        <v>1554466</v>
      </c>
      <c r="AW524" s="1">
        <v>1554466</v>
      </c>
      <c r="AZ524" s="1">
        <v>24612516</v>
      </c>
      <c r="BC524" s="1">
        <v>19560</v>
      </c>
      <c r="BE524" s="1">
        <v>28541</v>
      </c>
      <c r="BF524" s="1">
        <v>137974</v>
      </c>
      <c r="BR524" s="1">
        <v>59887</v>
      </c>
      <c r="BU524" s="1">
        <v>26241</v>
      </c>
      <c r="BV524" s="1">
        <v>26241</v>
      </c>
      <c r="BY524" s="1">
        <v>950000</v>
      </c>
      <c r="CC524" s="1">
        <v>950000</v>
      </c>
      <c r="CL524" s="1">
        <v>617174</v>
      </c>
      <c r="CX524" s="1">
        <v>86993</v>
      </c>
    </row>
    <row r="525" spans="1:109">
      <c r="A525" s="1">
        <v>35</v>
      </c>
      <c r="B525" s="1">
        <v>2170</v>
      </c>
      <c r="C525" s="1" t="s">
        <v>765</v>
      </c>
      <c r="D525" s="1" t="s">
        <v>772</v>
      </c>
      <c r="G525" s="1">
        <v>1489587</v>
      </c>
      <c r="H525" s="1">
        <v>1020611</v>
      </c>
      <c r="I525" s="1">
        <v>1</v>
      </c>
      <c r="J525" s="1">
        <v>2574829</v>
      </c>
      <c r="K525" s="1">
        <v>1800162</v>
      </c>
      <c r="L525" s="1">
        <v>970399</v>
      </c>
      <c r="M525" s="1">
        <v>204521</v>
      </c>
      <c r="N525" s="1">
        <v>53710</v>
      </c>
      <c r="O525" s="1">
        <v>3028792</v>
      </c>
      <c r="P525" s="1">
        <v>19584</v>
      </c>
      <c r="Q525" s="1">
        <v>66203109</v>
      </c>
      <c r="R525" s="1">
        <v>496900</v>
      </c>
      <c r="S525" s="1">
        <v>496900</v>
      </c>
      <c r="T525" s="1">
        <v>51783</v>
      </c>
      <c r="W525" s="1">
        <v>67610172</v>
      </c>
      <c r="X525" s="1">
        <v>11655115</v>
      </c>
      <c r="Y525" s="1">
        <v>2011960</v>
      </c>
      <c r="Z525" s="1">
        <v>5336655</v>
      </c>
      <c r="AA525" s="1">
        <v>160896</v>
      </c>
      <c r="AB525" s="1">
        <v>114324</v>
      </c>
      <c r="AC525" s="1">
        <v>545560</v>
      </c>
      <c r="AD525" s="1">
        <v>5561534</v>
      </c>
      <c r="AE525" s="1">
        <v>3482445</v>
      </c>
      <c r="AG525" s="1">
        <v>29508737</v>
      </c>
      <c r="AH525" s="1">
        <v>97138493</v>
      </c>
      <c r="AJ525" s="1">
        <v>51024</v>
      </c>
      <c r="AK525" s="1">
        <v>51287</v>
      </c>
      <c r="AL525" s="1">
        <v>383806</v>
      </c>
      <c r="AM525" s="1">
        <v>1520477</v>
      </c>
      <c r="AN525" s="1">
        <v>237214</v>
      </c>
      <c r="AO525" s="1">
        <v>2141497</v>
      </c>
      <c r="AP525" s="1">
        <v>2250045</v>
      </c>
      <c r="AQ525" s="1">
        <v>5139371</v>
      </c>
      <c r="AT525" s="1">
        <v>5139371</v>
      </c>
      <c r="AU525" s="1">
        <v>1456033</v>
      </c>
      <c r="AV525" s="1">
        <v>6619231</v>
      </c>
      <c r="AW525" s="1">
        <v>6619231</v>
      </c>
      <c r="AY525" s="1">
        <v>-152204</v>
      </c>
      <c r="AZ525" s="1">
        <v>111459186</v>
      </c>
      <c r="BA525" s="1">
        <v>45830</v>
      </c>
      <c r="BE525" s="1">
        <v>591306</v>
      </c>
      <c r="BF525" s="1">
        <v>48942</v>
      </c>
      <c r="BL525" s="1">
        <v>23827</v>
      </c>
      <c r="BQ525" s="1">
        <v>858380</v>
      </c>
      <c r="BU525" s="1">
        <v>57261</v>
      </c>
      <c r="BV525" s="1">
        <v>57261</v>
      </c>
      <c r="BY525" s="1">
        <v>-152204</v>
      </c>
      <c r="CL525" s="1">
        <v>18800</v>
      </c>
      <c r="CT525" s="1">
        <v>263</v>
      </c>
    </row>
    <row r="526" spans="1:109">
      <c r="A526" s="1">
        <v>35</v>
      </c>
      <c r="B526" s="1">
        <v>3000</v>
      </c>
      <c r="C526" s="1" t="s">
        <v>765</v>
      </c>
      <c r="D526" s="1" t="s">
        <v>773</v>
      </c>
      <c r="F526" s="1">
        <v>40663</v>
      </c>
      <c r="G526" s="1">
        <v>210486</v>
      </c>
      <c r="I526" s="1">
        <v>179140</v>
      </c>
      <c r="J526" s="1">
        <v>430289</v>
      </c>
      <c r="K526" s="1">
        <v>328030</v>
      </c>
      <c r="M526" s="1">
        <v>188795</v>
      </c>
      <c r="N526" s="1">
        <v>757</v>
      </c>
      <c r="O526" s="1">
        <v>517582</v>
      </c>
      <c r="Q526" s="1">
        <v>11330109</v>
      </c>
      <c r="U526" s="1">
        <v>15096</v>
      </c>
      <c r="V526" s="1">
        <v>195556</v>
      </c>
      <c r="W526" s="1">
        <v>11540761</v>
      </c>
      <c r="X526" s="1">
        <v>2334773</v>
      </c>
      <c r="Y526" s="1">
        <v>104775</v>
      </c>
      <c r="Z526" s="1">
        <v>1035013</v>
      </c>
      <c r="AA526" s="1">
        <v>103520</v>
      </c>
      <c r="AB526" s="1">
        <v>20856</v>
      </c>
      <c r="AC526" s="1">
        <v>146586</v>
      </c>
      <c r="AD526" s="1">
        <v>1351448</v>
      </c>
      <c r="AE526" s="1">
        <v>575586</v>
      </c>
      <c r="AG526" s="1">
        <v>5785869</v>
      </c>
      <c r="AH526" s="1">
        <v>17326630</v>
      </c>
      <c r="AI526" s="1">
        <v>52404</v>
      </c>
      <c r="AJ526" s="1">
        <v>86363</v>
      </c>
      <c r="AK526" s="1">
        <v>138767</v>
      </c>
      <c r="AL526" s="1">
        <v>241464</v>
      </c>
      <c r="AM526" s="1">
        <v>325058</v>
      </c>
      <c r="AN526" s="1">
        <v>118367</v>
      </c>
      <c r="AO526" s="1">
        <v>684889</v>
      </c>
      <c r="AP526" s="1">
        <v>841337</v>
      </c>
      <c r="AQ526" s="1">
        <v>203422</v>
      </c>
      <c r="AT526" s="1">
        <v>203422</v>
      </c>
      <c r="AU526" s="1">
        <v>20320</v>
      </c>
      <c r="AV526" s="1">
        <v>224325</v>
      </c>
      <c r="AW526" s="1">
        <v>224325</v>
      </c>
      <c r="AY526" s="1">
        <v>76693</v>
      </c>
      <c r="AZ526" s="1">
        <v>19416856</v>
      </c>
      <c r="BE526" s="1">
        <v>113312</v>
      </c>
      <c r="BL526" s="1">
        <v>583</v>
      </c>
      <c r="BU526" s="1">
        <v>17681</v>
      </c>
      <c r="BV526" s="1">
        <v>17681</v>
      </c>
      <c r="BY526" s="1">
        <v>76693</v>
      </c>
    </row>
    <row r="527" spans="1:109">
      <c r="A527" s="1">
        <v>35</v>
      </c>
      <c r="B527" s="1">
        <v>3210</v>
      </c>
      <c r="C527" s="1" t="s">
        <v>765</v>
      </c>
      <c r="D527" s="1" t="s">
        <v>774</v>
      </c>
      <c r="F527" s="1">
        <v>190</v>
      </c>
      <c r="G527" s="1">
        <v>167951</v>
      </c>
      <c r="H527" s="1">
        <v>45948</v>
      </c>
      <c r="J527" s="1">
        <v>214089</v>
      </c>
      <c r="K527" s="1">
        <v>100000</v>
      </c>
      <c r="O527" s="1">
        <v>100000</v>
      </c>
      <c r="Q527" s="1">
        <v>468130</v>
      </c>
      <c r="W527" s="1">
        <v>472123</v>
      </c>
      <c r="Y527" s="1">
        <v>41815</v>
      </c>
      <c r="Z527" s="1">
        <v>34036</v>
      </c>
      <c r="AC527" s="1">
        <v>6035</v>
      </c>
      <c r="AG527" s="1">
        <v>84511</v>
      </c>
      <c r="AH527" s="1">
        <v>556634</v>
      </c>
      <c r="AZ527" s="1">
        <v>870723</v>
      </c>
      <c r="BE527" s="1">
        <v>2457</v>
      </c>
      <c r="BF527" s="1">
        <v>168</v>
      </c>
      <c r="BQ527" s="1">
        <v>3993</v>
      </c>
    </row>
    <row r="528" spans="1:109">
      <c r="A528" s="1">
        <v>35</v>
      </c>
      <c r="B528" s="1">
        <v>3320</v>
      </c>
      <c r="C528" s="1" t="s">
        <v>765</v>
      </c>
      <c r="D528" s="1" t="s">
        <v>775</v>
      </c>
      <c r="F528" s="1">
        <v>142465</v>
      </c>
      <c r="G528" s="1">
        <v>2222862</v>
      </c>
      <c r="H528" s="1">
        <v>1355759</v>
      </c>
      <c r="I528" s="1">
        <v>117171</v>
      </c>
      <c r="J528" s="1">
        <v>3930836</v>
      </c>
      <c r="K528" s="1">
        <v>1333952</v>
      </c>
      <c r="L528" s="1">
        <v>151539</v>
      </c>
      <c r="M528" s="1">
        <v>1515653</v>
      </c>
      <c r="N528" s="1">
        <v>14003</v>
      </c>
      <c r="O528" s="1">
        <v>3015147</v>
      </c>
      <c r="P528" s="1">
        <v>58858</v>
      </c>
      <c r="Q528" s="1">
        <v>54602102</v>
      </c>
      <c r="R528" s="1">
        <v>825318</v>
      </c>
      <c r="S528" s="1">
        <v>825318</v>
      </c>
      <c r="T528" s="1">
        <v>113254</v>
      </c>
      <c r="U528" s="1">
        <v>4933</v>
      </c>
      <c r="V528" s="1">
        <v>1452441</v>
      </c>
      <c r="W528" s="1">
        <v>56998048</v>
      </c>
      <c r="Y528" s="1">
        <v>1030495</v>
      </c>
      <c r="Z528" s="1">
        <v>2145097</v>
      </c>
      <c r="AA528" s="1">
        <v>9758</v>
      </c>
      <c r="AB528" s="1">
        <v>156033</v>
      </c>
      <c r="AC528" s="1">
        <v>333299</v>
      </c>
      <c r="AD528" s="1">
        <v>2699185</v>
      </c>
      <c r="AE528" s="1">
        <v>2050112</v>
      </c>
      <c r="AG528" s="1">
        <v>9127325</v>
      </c>
      <c r="AH528" s="1">
        <v>67037199</v>
      </c>
      <c r="AJ528" s="1">
        <v>82010</v>
      </c>
      <c r="AK528" s="1">
        <v>82010</v>
      </c>
      <c r="AM528" s="1">
        <v>817265</v>
      </c>
      <c r="AN528" s="1">
        <v>72792</v>
      </c>
      <c r="AO528" s="1">
        <v>890057</v>
      </c>
      <c r="AP528" s="1">
        <v>1105330</v>
      </c>
      <c r="AQ528" s="1">
        <v>6702938</v>
      </c>
      <c r="AR528" s="1">
        <v>1790</v>
      </c>
      <c r="AS528" s="1">
        <v>1790</v>
      </c>
      <c r="AT528" s="1">
        <v>6704728</v>
      </c>
      <c r="AU528" s="1">
        <v>314370</v>
      </c>
      <c r="AV528" s="1">
        <v>7163908</v>
      </c>
      <c r="AW528" s="1">
        <v>7163908</v>
      </c>
      <c r="AX528" s="1">
        <v>58858</v>
      </c>
      <c r="AY528" s="1">
        <v>151539</v>
      </c>
      <c r="AZ528" s="1">
        <v>83069172</v>
      </c>
      <c r="BE528" s="1">
        <v>106525</v>
      </c>
      <c r="BF528" s="1">
        <v>564650</v>
      </c>
      <c r="BL528" s="1">
        <v>144810</v>
      </c>
      <c r="BR528" s="1">
        <v>32171</v>
      </c>
      <c r="BU528" s="1">
        <v>133263</v>
      </c>
      <c r="BV528" s="1">
        <v>133263</v>
      </c>
      <c r="BY528" s="1">
        <v>816752</v>
      </c>
      <c r="CC528" s="1">
        <v>606355</v>
      </c>
      <c r="CG528" s="1">
        <v>852968</v>
      </c>
      <c r="CJ528" s="1">
        <v>1507298</v>
      </c>
      <c r="CL528" s="1">
        <v>92579</v>
      </c>
    </row>
    <row r="529" spans="1:106">
      <c r="A529" s="1">
        <v>35</v>
      </c>
      <c r="B529" s="1">
        <v>3670</v>
      </c>
      <c r="C529" s="1" t="s">
        <v>765</v>
      </c>
      <c r="D529" s="1" t="s">
        <v>776</v>
      </c>
      <c r="F529" s="1">
        <v>277468</v>
      </c>
      <c r="G529" s="1">
        <v>1403044</v>
      </c>
      <c r="H529" s="1">
        <v>760221</v>
      </c>
      <c r="I529" s="1">
        <v>87737</v>
      </c>
      <c r="J529" s="1">
        <v>3852697</v>
      </c>
      <c r="K529" s="1">
        <v>776887</v>
      </c>
      <c r="M529" s="1">
        <v>434647</v>
      </c>
      <c r="N529" s="1">
        <v>-135539</v>
      </c>
      <c r="O529" s="1">
        <v>1075995</v>
      </c>
      <c r="Q529" s="1">
        <v>25591705</v>
      </c>
      <c r="U529" s="1">
        <v>4584</v>
      </c>
      <c r="V529" s="1">
        <v>350692</v>
      </c>
      <c r="W529" s="1">
        <v>25946981</v>
      </c>
      <c r="X529" s="1">
        <v>9916092</v>
      </c>
      <c r="Y529" s="1">
        <v>263026</v>
      </c>
      <c r="Z529" s="1">
        <v>1705359</v>
      </c>
      <c r="AA529" s="1">
        <v>246808</v>
      </c>
      <c r="AB529" s="1">
        <v>107874</v>
      </c>
      <c r="AC529" s="1">
        <v>267085</v>
      </c>
      <c r="AD529" s="1">
        <v>3056368</v>
      </c>
      <c r="AE529" s="1">
        <v>1579177</v>
      </c>
      <c r="AG529" s="1">
        <v>20499549</v>
      </c>
      <c r="AH529" s="1">
        <v>46446530</v>
      </c>
      <c r="AJ529" s="1">
        <v>161028</v>
      </c>
      <c r="AK529" s="1">
        <v>2205925</v>
      </c>
      <c r="AL529" s="1">
        <v>365882</v>
      </c>
      <c r="AM529" s="1">
        <v>1152074</v>
      </c>
      <c r="AN529" s="1">
        <v>386568</v>
      </c>
      <c r="AO529" s="1">
        <v>1904524</v>
      </c>
      <c r="AP529" s="1">
        <v>4118443</v>
      </c>
      <c r="AQ529" s="1">
        <v>1585261</v>
      </c>
      <c r="AR529" s="1">
        <v>16519</v>
      </c>
      <c r="AS529" s="1">
        <v>16519</v>
      </c>
      <c r="AT529" s="1">
        <v>1601780</v>
      </c>
      <c r="AV529" s="1">
        <v>1601780</v>
      </c>
      <c r="AW529" s="1">
        <v>1601780</v>
      </c>
      <c r="AZ529" s="1">
        <v>57095445</v>
      </c>
      <c r="BD529" s="1">
        <v>1092295</v>
      </c>
      <c r="BE529" s="1">
        <v>495392</v>
      </c>
      <c r="BI529" s="1">
        <v>1456166</v>
      </c>
      <c r="BJ529" s="1">
        <v>457421</v>
      </c>
      <c r="BU529" s="1">
        <v>7994</v>
      </c>
      <c r="BV529" s="1">
        <v>7994</v>
      </c>
      <c r="CF529" s="1">
        <v>1770073</v>
      </c>
      <c r="CL529" s="1">
        <v>1324227</v>
      </c>
      <c r="CW529" s="1">
        <v>131310</v>
      </c>
    </row>
    <row r="530" spans="1:106">
      <c r="A530" s="1">
        <v>35</v>
      </c>
      <c r="B530" s="1">
        <v>4510</v>
      </c>
      <c r="C530" s="1" t="s">
        <v>765</v>
      </c>
      <c r="D530" s="1" t="s">
        <v>777</v>
      </c>
      <c r="F530" s="1">
        <v>11524</v>
      </c>
      <c r="H530" s="1">
        <v>24064</v>
      </c>
      <c r="J530" s="1">
        <v>35588</v>
      </c>
      <c r="K530" s="1">
        <v>65311</v>
      </c>
      <c r="L530" s="1">
        <v>50702</v>
      </c>
      <c r="O530" s="1">
        <v>116013</v>
      </c>
      <c r="Q530" s="1">
        <v>929009</v>
      </c>
      <c r="V530" s="1">
        <v>9863</v>
      </c>
      <c r="W530" s="1">
        <v>938872</v>
      </c>
      <c r="Y530" s="1">
        <v>11592</v>
      </c>
      <c r="Z530" s="1">
        <v>59966</v>
      </c>
      <c r="AC530" s="1">
        <v>2557</v>
      </c>
      <c r="AG530" s="1">
        <v>76926</v>
      </c>
      <c r="AH530" s="1">
        <v>1015798</v>
      </c>
      <c r="AZ530" s="1">
        <v>1167399</v>
      </c>
      <c r="BE530" s="1">
        <v>2223</v>
      </c>
      <c r="BF530" s="1">
        <v>588</v>
      </c>
    </row>
    <row r="531" spans="1:106">
      <c r="A531" s="1">
        <v>35</v>
      </c>
      <c r="B531" s="1">
        <v>4805</v>
      </c>
      <c r="C531" s="1" t="s">
        <v>765</v>
      </c>
      <c r="D531" s="1" t="s">
        <v>778</v>
      </c>
      <c r="F531" s="1">
        <v>38561</v>
      </c>
      <c r="J531" s="1">
        <v>38561</v>
      </c>
      <c r="K531" s="1">
        <v>7591396</v>
      </c>
      <c r="O531" s="1">
        <v>7591396</v>
      </c>
      <c r="S531" s="1">
        <v>6351572</v>
      </c>
      <c r="T531" s="1">
        <v>15781795</v>
      </c>
      <c r="V531" s="1">
        <v>341358</v>
      </c>
      <c r="W531" s="1">
        <v>22474725</v>
      </c>
      <c r="AD531" s="1">
        <v>284534</v>
      </c>
      <c r="AE531" s="1">
        <v>224044</v>
      </c>
      <c r="AG531" s="1">
        <v>508578</v>
      </c>
      <c r="AH531" s="1">
        <v>26435223</v>
      </c>
      <c r="AJ531" s="1">
        <v>4199</v>
      </c>
      <c r="AK531" s="1">
        <v>4199</v>
      </c>
      <c r="AP531" s="1">
        <v>2395478</v>
      </c>
      <c r="AZ531" s="1">
        <v>46460658</v>
      </c>
      <c r="BC531" s="1">
        <v>6351572</v>
      </c>
      <c r="BU531" s="1">
        <v>2391279</v>
      </c>
      <c r="BV531" s="1">
        <v>2391279</v>
      </c>
      <c r="BY531" s="1">
        <v>10000000</v>
      </c>
      <c r="CC531" s="1">
        <v>10000000</v>
      </c>
      <c r="CG531" s="1">
        <v>3309195</v>
      </c>
      <c r="CX531" s="1">
        <v>142725</v>
      </c>
    </row>
    <row r="532" spans="1:106">
      <c r="A532" s="1">
        <v>35</v>
      </c>
      <c r="B532" s="1">
        <v>4810</v>
      </c>
      <c r="C532" s="1" t="s">
        <v>765</v>
      </c>
      <c r="D532" s="1" t="s">
        <v>779</v>
      </c>
      <c r="F532" s="1">
        <v>159550</v>
      </c>
      <c r="G532" s="1">
        <v>105226</v>
      </c>
      <c r="I532" s="1">
        <v>2223</v>
      </c>
      <c r="J532" s="1">
        <v>2111515</v>
      </c>
      <c r="K532" s="1">
        <v>853799</v>
      </c>
      <c r="L532" s="1">
        <v>100000</v>
      </c>
      <c r="M532" s="1">
        <v>802644</v>
      </c>
      <c r="O532" s="1">
        <v>1756443</v>
      </c>
      <c r="V532" s="1">
        <v>1273727</v>
      </c>
      <c r="W532" s="1">
        <v>13475452</v>
      </c>
      <c r="Z532" s="1">
        <v>459279</v>
      </c>
      <c r="AC532" s="1">
        <v>42462</v>
      </c>
      <c r="AD532" s="1">
        <v>883483</v>
      </c>
      <c r="AE532" s="1">
        <v>400689</v>
      </c>
      <c r="AG532" s="1">
        <v>3046294</v>
      </c>
      <c r="AH532" s="1">
        <v>16521746</v>
      </c>
      <c r="AI532" s="1">
        <v>15861</v>
      </c>
      <c r="AJ532" s="1">
        <v>732919</v>
      </c>
      <c r="AK532" s="1">
        <v>748780</v>
      </c>
      <c r="AL532" s="1">
        <v>52091</v>
      </c>
      <c r="AM532" s="1">
        <v>87313</v>
      </c>
      <c r="AN532" s="1">
        <v>322849</v>
      </c>
      <c r="AO532" s="1">
        <v>462253</v>
      </c>
      <c r="AP532" s="1">
        <v>1353395</v>
      </c>
      <c r="AZ532" s="1">
        <v>23555414</v>
      </c>
      <c r="BE532" s="1">
        <v>51188</v>
      </c>
      <c r="BF532" s="1">
        <v>20524</v>
      </c>
      <c r="BN532" s="1">
        <v>11557550</v>
      </c>
      <c r="BO532" s="1">
        <v>644175</v>
      </c>
      <c r="BS532" s="1">
        <v>592643</v>
      </c>
      <c r="BT532" s="1">
        <v>596026</v>
      </c>
      <c r="BU532" s="1">
        <v>142362</v>
      </c>
      <c r="BV532" s="1">
        <v>142362</v>
      </c>
      <c r="BY532" s="1">
        <v>1812315</v>
      </c>
      <c r="CC532" s="1">
        <v>1812315</v>
      </c>
      <c r="CL532" s="1">
        <v>1844516</v>
      </c>
    </row>
    <row r="533" spans="1:106">
      <c r="A533" s="1">
        <v>35</v>
      </c>
      <c r="B533" s="1">
        <v>4815</v>
      </c>
      <c r="C533" s="1" t="s">
        <v>765</v>
      </c>
      <c r="D533" s="1" t="s">
        <v>780</v>
      </c>
      <c r="F533" s="1">
        <v>961660</v>
      </c>
      <c r="G533" s="1">
        <v>2142465</v>
      </c>
      <c r="H533" s="1">
        <v>1886098</v>
      </c>
      <c r="I533" s="1">
        <v>144425</v>
      </c>
      <c r="J533" s="1">
        <v>34744271</v>
      </c>
      <c r="K533" s="1">
        <v>765510</v>
      </c>
      <c r="M533" s="1">
        <v>394210</v>
      </c>
      <c r="N533" s="1">
        <v>500004</v>
      </c>
      <c r="O533" s="1">
        <v>1659724</v>
      </c>
      <c r="Q533" s="1">
        <v>24951946</v>
      </c>
      <c r="R533" s="1">
        <v>3538969</v>
      </c>
      <c r="S533" s="1">
        <v>3538969</v>
      </c>
      <c r="U533" s="1">
        <v>7221</v>
      </c>
      <c r="V533" s="1">
        <v>1234830</v>
      </c>
      <c r="W533" s="1">
        <v>29805705</v>
      </c>
      <c r="Y533" s="1">
        <v>442294</v>
      </c>
      <c r="Z533" s="1">
        <v>613060</v>
      </c>
      <c r="AA533" s="1">
        <v>44384</v>
      </c>
      <c r="AB533" s="1">
        <v>155892</v>
      </c>
      <c r="AC533" s="1">
        <v>86092</v>
      </c>
      <c r="AD533" s="1">
        <v>1679497</v>
      </c>
      <c r="AE533" s="1">
        <v>1033505</v>
      </c>
      <c r="AG533" s="1">
        <v>4298810</v>
      </c>
      <c r="AH533" s="1">
        <v>34104515</v>
      </c>
      <c r="AJ533" s="1">
        <v>185068</v>
      </c>
      <c r="AK533" s="1">
        <v>185068</v>
      </c>
      <c r="AM533" s="1">
        <v>381624</v>
      </c>
      <c r="AN533" s="1">
        <v>46475</v>
      </c>
      <c r="AO533" s="1">
        <v>428099</v>
      </c>
      <c r="AP533" s="1">
        <v>739760</v>
      </c>
      <c r="AQ533" s="1">
        <v>3327764</v>
      </c>
      <c r="AT533" s="1">
        <v>3327764</v>
      </c>
      <c r="AU533" s="1">
        <v>91704</v>
      </c>
      <c r="AV533" s="1">
        <v>3419468</v>
      </c>
      <c r="AW533" s="1">
        <v>3419468</v>
      </c>
      <c r="AY533" s="1">
        <v>600000</v>
      </c>
      <c r="AZ533" s="1">
        <v>75267738</v>
      </c>
      <c r="BB533" s="1">
        <v>45000</v>
      </c>
      <c r="BE533" s="1">
        <v>36872</v>
      </c>
      <c r="BF533" s="1">
        <v>163981</v>
      </c>
      <c r="BR533" s="1">
        <v>43233</v>
      </c>
      <c r="BU533" s="1">
        <v>126593</v>
      </c>
      <c r="BV533" s="1">
        <v>126593</v>
      </c>
      <c r="BY533" s="1">
        <v>600000</v>
      </c>
      <c r="CJ533" s="1">
        <v>1886098</v>
      </c>
      <c r="CL533" s="1">
        <v>29564623</v>
      </c>
      <c r="CZ533" s="1">
        <v>72739</v>
      </c>
      <c r="DB533" s="1">
        <v>600000</v>
      </c>
    </row>
    <row r="534" spans="1:106">
      <c r="A534" s="1">
        <v>35</v>
      </c>
      <c r="B534" s="1">
        <v>4820</v>
      </c>
      <c r="C534" s="1" t="s">
        <v>765</v>
      </c>
      <c r="D534" s="1" t="s">
        <v>781</v>
      </c>
      <c r="F534" s="1">
        <v>327047</v>
      </c>
      <c r="G534" s="1">
        <v>1058141</v>
      </c>
      <c r="H534" s="1">
        <v>537161</v>
      </c>
      <c r="I534" s="1">
        <v>584195</v>
      </c>
      <c r="J534" s="1">
        <v>7775557</v>
      </c>
      <c r="K534" s="1">
        <v>609051</v>
      </c>
      <c r="L534" s="1">
        <v>300000</v>
      </c>
      <c r="M534" s="1">
        <v>20024437</v>
      </c>
      <c r="N534" s="1">
        <v>762185</v>
      </c>
      <c r="O534" s="1">
        <v>21695673</v>
      </c>
      <c r="Q534" s="1">
        <v>17153021</v>
      </c>
      <c r="R534" s="1">
        <v>9288525</v>
      </c>
      <c r="S534" s="1">
        <v>9288525</v>
      </c>
      <c r="U534" s="1">
        <v>32354</v>
      </c>
      <c r="V534" s="1">
        <v>733607</v>
      </c>
      <c r="W534" s="1">
        <v>27207507</v>
      </c>
      <c r="X534" s="1">
        <v>1591268</v>
      </c>
      <c r="Y534" s="1">
        <v>140843</v>
      </c>
      <c r="Z534" s="1">
        <v>892565</v>
      </c>
      <c r="AA534" s="1">
        <v>55256</v>
      </c>
      <c r="AB534" s="1">
        <v>52264</v>
      </c>
      <c r="AC534" s="1">
        <v>180599</v>
      </c>
      <c r="AD534" s="1">
        <v>1078058</v>
      </c>
      <c r="AE534" s="1">
        <v>2265647</v>
      </c>
      <c r="AG534" s="1">
        <v>6724291</v>
      </c>
      <c r="AH534" s="1">
        <v>33938344</v>
      </c>
      <c r="AJ534" s="1">
        <v>566871</v>
      </c>
      <c r="AK534" s="1">
        <v>2042094</v>
      </c>
      <c r="AL534" s="1">
        <v>444887</v>
      </c>
      <c r="AM534" s="1">
        <v>511156</v>
      </c>
      <c r="AN534" s="1">
        <v>309347</v>
      </c>
      <c r="AO534" s="1">
        <v>1265390</v>
      </c>
      <c r="AP534" s="1">
        <v>3338274</v>
      </c>
      <c r="AQ534" s="1">
        <v>1240876</v>
      </c>
      <c r="AT534" s="1">
        <v>1240876</v>
      </c>
      <c r="AU534" s="1">
        <v>284359</v>
      </c>
      <c r="AV534" s="1">
        <v>2241762</v>
      </c>
      <c r="AW534" s="1">
        <v>2241762</v>
      </c>
      <c r="AX534" s="1">
        <v>716527</v>
      </c>
      <c r="AY534" s="1">
        <v>-716527</v>
      </c>
      <c r="AZ534" s="1">
        <v>68989610</v>
      </c>
      <c r="BE534" s="1">
        <v>138395</v>
      </c>
      <c r="BF534" s="1">
        <v>6067</v>
      </c>
      <c r="BH534" s="1">
        <v>6546</v>
      </c>
      <c r="BI534" s="1">
        <v>1088223</v>
      </c>
      <c r="BJ534" s="1">
        <v>387000</v>
      </c>
      <c r="BL534" s="1">
        <v>716527</v>
      </c>
      <c r="BU534" s="1">
        <v>30790</v>
      </c>
      <c r="BV534" s="1">
        <v>30790</v>
      </c>
      <c r="CA534" s="1">
        <v>6546</v>
      </c>
      <c r="CD534" s="1">
        <v>160000</v>
      </c>
      <c r="CF534" s="1">
        <v>323329</v>
      </c>
      <c r="CL534" s="1">
        <v>5109013</v>
      </c>
    </row>
    <row r="535" spans="1:106">
      <c r="A535" s="1">
        <v>35</v>
      </c>
      <c r="B535" s="1">
        <v>4850</v>
      </c>
      <c r="C535" s="1" t="s">
        <v>765</v>
      </c>
      <c r="D535" s="1" t="s">
        <v>782</v>
      </c>
      <c r="F535" s="1">
        <v>111201</v>
      </c>
      <c r="G535" s="1">
        <v>362641</v>
      </c>
      <c r="H535" s="1">
        <v>175661</v>
      </c>
      <c r="I535" s="1">
        <v>134979</v>
      </c>
      <c r="J535" s="1">
        <v>784482</v>
      </c>
      <c r="K535" s="1">
        <v>163513</v>
      </c>
      <c r="L535" s="1">
        <v>11017</v>
      </c>
      <c r="N535" s="1">
        <v>36205</v>
      </c>
      <c r="O535" s="1">
        <v>210735</v>
      </c>
      <c r="Q535" s="1">
        <v>4788682</v>
      </c>
      <c r="U535" s="1">
        <v>7808</v>
      </c>
      <c r="V535" s="1">
        <v>53790</v>
      </c>
      <c r="W535" s="1">
        <v>4850280</v>
      </c>
      <c r="X535" s="1">
        <v>1828727</v>
      </c>
      <c r="Y535" s="1">
        <v>75396</v>
      </c>
      <c r="Z535" s="1">
        <v>516146</v>
      </c>
      <c r="AA535" s="1">
        <v>47816</v>
      </c>
      <c r="AB535" s="1">
        <v>30963</v>
      </c>
      <c r="AC535" s="1">
        <v>70769</v>
      </c>
      <c r="AD535" s="1">
        <v>491615</v>
      </c>
      <c r="AE535" s="1">
        <v>240772</v>
      </c>
      <c r="AG535" s="1">
        <v>3665941</v>
      </c>
      <c r="AH535" s="1">
        <v>8553519</v>
      </c>
      <c r="AI535" s="1">
        <v>23688</v>
      </c>
      <c r="AJ535" s="1">
        <v>7186</v>
      </c>
      <c r="AK535" s="1">
        <v>84742</v>
      </c>
      <c r="AL535" s="1">
        <v>93261</v>
      </c>
      <c r="AM535" s="1">
        <v>137779</v>
      </c>
      <c r="AN535" s="1">
        <v>37430</v>
      </c>
      <c r="AO535" s="1">
        <v>268470</v>
      </c>
      <c r="AP535" s="1">
        <v>370170</v>
      </c>
      <c r="AQ535" s="1">
        <v>348963</v>
      </c>
      <c r="AT535" s="1">
        <v>348963</v>
      </c>
      <c r="AV535" s="1">
        <v>348963</v>
      </c>
      <c r="AW535" s="1">
        <v>348963</v>
      </c>
      <c r="AZ535" s="1">
        <v>10267869</v>
      </c>
      <c r="BE535" s="1">
        <v>86800</v>
      </c>
      <c r="BJ535" s="1">
        <v>53868</v>
      </c>
      <c r="BU535" s="1">
        <v>16958</v>
      </c>
      <c r="BV535" s="1">
        <v>16958</v>
      </c>
      <c r="CF535" s="1">
        <v>276937</v>
      </c>
      <c r="CG535" s="1">
        <v>37298</v>
      </c>
    </row>
    <row r="536" spans="1:106">
      <c r="A536" s="1">
        <v>35</v>
      </c>
      <c r="B536" s="1">
        <v>5470</v>
      </c>
      <c r="C536" s="1" t="s">
        <v>765</v>
      </c>
      <c r="D536" s="1" t="s">
        <v>783</v>
      </c>
      <c r="F536" s="1">
        <v>116142</v>
      </c>
      <c r="G536" s="1">
        <v>376809</v>
      </c>
      <c r="H536" s="1">
        <v>7492</v>
      </c>
      <c r="I536" s="1">
        <v>630913</v>
      </c>
      <c r="J536" s="1">
        <v>1131356</v>
      </c>
      <c r="K536" s="1">
        <v>663744</v>
      </c>
      <c r="M536" s="1">
        <v>778935</v>
      </c>
      <c r="N536" s="1">
        <v>15212</v>
      </c>
      <c r="O536" s="1">
        <v>1457891</v>
      </c>
      <c r="P536" s="1">
        <v>12064</v>
      </c>
      <c r="Q536" s="1">
        <v>31010603</v>
      </c>
      <c r="R536" s="1">
        <v>60081</v>
      </c>
      <c r="S536" s="1">
        <v>80081</v>
      </c>
      <c r="T536" s="1">
        <v>19865</v>
      </c>
      <c r="U536" s="1">
        <v>6145</v>
      </c>
      <c r="V536" s="1">
        <v>234769</v>
      </c>
      <c r="W536" s="1">
        <v>31351463</v>
      </c>
      <c r="Y536" s="1">
        <v>540712</v>
      </c>
      <c r="Z536" s="1">
        <v>1302949</v>
      </c>
      <c r="AA536" s="1">
        <v>2444</v>
      </c>
      <c r="AB536" s="1">
        <v>77988</v>
      </c>
      <c r="AC536" s="1">
        <v>122396</v>
      </c>
      <c r="AD536" s="1">
        <v>1954406</v>
      </c>
      <c r="AE536" s="1">
        <v>1226820</v>
      </c>
      <c r="AG536" s="1">
        <v>5416730</v>
      </c>
      <c r="AH536" s="1">
        <v>36780257</v>
      </c>
      <c r="AJ536" s="1">
        <v>10035</v>
      </c>
      <c r="AK536" s="1">
        <v>10035</v>
      </c>
      <c r="AM536" s="1">
        <v>460182</v>
      </c>
      <c r="AN536" s="1">
        <v>43453</v>
      </c>
      <c r="AO536" s="1">
        <v>503635</v>
      </c>
      <c r="AP536" s="1">
        <v>539363</v>
      </c>
      <c r="AQ536" s="1">
        <v>1333958</v>
      </c>
      <c r="AT536" s="1">
        <v>1333958</v>
      </c>
      <c r="AU536" s="1">
        <v>364455</v>
      </c>
      <c r="AV536" s="1">
        <v>1698413</v>
      </c>
      <c r="AW536" s="1">
        <v>1698413</v>
      </c>
      <c r="AZ536" s="1">
        <v>41607280</v>
      </c>
      <c r="BC536" s="1">
        <v>20000</v>
      </c>
      <c r="BE536" s="1">
        <v>59055</v>
      </c>
      <c r="BF536" s="1">
        <v>129960</v>
      </c>
      <c r="BU536" s="1">
        <v>25693</v>
      </c>
      <c r="BV536" s="1">
        <v>25693</v>
      </c>
    </row>
    <row r="537" spans="1:106">
      <c r="A537" s="1">
        <v>35</v>
      </c>
      <c r="B537" s="1">
        <v>5540</v>
      </c>
      <c r="C537" s="1" t="s">
        <v>765</v>
      </c>
      <c r="D537" s="1" t="s">
        <v>784</v>
      </c>
      <c r="F537" s="1">
        <v>100463</v>
      </c>
      <c r="G537" s="1">
        <v>587031</v>
      </c>
      <c r="H537" s="1">
        <v>285800</v>
      </c>
      <c r="I537" s="1">
        <v>619721</v>
      </c>
      <c r="J537" s="1">
        <v>2423515</v>
      </c>
      <c r="K537" s="1">
        <v>255884</v>
      </c>
      <c r="L537" s="1">
        <v>105525</v>
      </c>
      <c r="M537" s="1">
        <v>157004</v>
      </c>
      <c r="N537" s="1">
        <v>1</v>
      </c>
      <c r="O537" s="1">
        <v>518414</v>
      </c>
      <c r="P537" s="1">
        <v>16568</v>
      </c>
      <c r="Q537" s="1">
        <v>8548938</v>
      </c>
      <c r="S537" s="1">
        <v>6450</v>
      </c>
      <c r="U537" s="1">
        <v>31876</v>
      </c>
      <c r="V537" s="1">
        <v>189746</v>
      </c>
      <c r="W537" s="1">
        <v>8777010</v>
      </c>
      <c r="Y537" s="1">
        <v>172065</v>
      </c>
      <c r="Z537" s="1">
        <v>317353</v>
      </c>
      <c r="AB537" s="1">
        <v>51197</v>
      </c>
      <c r="AC537" s="1">
        <v>35268</v>
      </c>
      <c r="AD537" s="1">
        <v>637609</v>
      </c>
      <c r="AE537" s="1">
        <v>350047</v>
      </c>
      <c r="AG537" s="1">
        <v>1659777</v>
      </c>
      <c r="AH537" s="1">
        <v>10453355</v>
      </c>
      <c r="AJ537" s="1">
        <v>4300</v>
      </c>
      <c r="AK537" s="1">
        <v>4300</v>
      </c>
      <c r="AM537" s="1">
        <v>158618</v>
      </c>
      <c r="AN537" s="1">
        <v>23093</v>
      </c>
      <c r="AO537" s="1">
        <v>181711</v>
      </c>
      <c r="AP537" s="1">
        <v>223917</v>
      </c>
      <c r="AQ537" s="1">
        <v>1492949</v>
      </c>
      <c r="AT537" s="1">
        <v>1492949</v>
      </c>
      <c r="AV537" s="1">
        <v>1492949</v>
      </c>
      <c r="AW537" s="1">
        <v>1492949</v>
      </c>
      <c r="AY537" s="1">
        <v>-17790</v>
      </c>
      <c r="AZ537" s="1">
        <v>15094360</v>
      </c>
      <c r="BC537" s="1">
        <v>6450</v>
      </c>
      <c r="BE537" s="1">
        <v>16395</v>
      </c>
      <c r="BF537" s="1">
        <v>58015</v>
      </c>
      <c r="BR537" s="1">
        <v>21828</v>
      </c>
      <c r="BU537" s="1">
        <v>37906</v>
      </c>
      <c r="BV537" s="1">
        <v>37906</v>
      </c>
      <c r="BY537" s="1">
        <v>-17790</v>
      </c>
      <c r="CL537" s="1">
        <v>830500</v>
      </c>
    </row>
    <row r="538" spans="1:106">
      <c r="A538" s="1">
        <v>35</v>
      </c>
      <c r="B538" s="1">
        <v>5550</v>
      </c>
      <c r="C538" s="1" t="s">
        <v>765</v>
      </c>
      <c r="D538" s="1" t="s">
        <v>785</v>
      </c>
      <c r="F538" s="1">
        <v>527171</v>
      </c>
      <c r="G538" s="1">
        <v>333354</v>
      </c>
      <c r="H538" s="1">
        <v>6312</v>
      </c>
      <c r="I538" s="1">
        <v>10100</v>
      </c>
      <c r="J538" s="1">
        <v>876937</v>
      </c>
      <c r="K538" s="1">
        <v>654131</v>
      </c>
      <c r="M538" s="1">
        <v>1261565</v>
      </c>
      <c r="N538" s="1">
        <v>89349</v>
      </c>
      <c r="O538" s="1">
        <v>2005045</v>
      </c>
      <c r="Q538" s="1">
        <v>22976388</v>
      </c>
      <c r="R538" s="1">
        <v>5213275</v>
      </c>
      <c r="S538" s="1">
        <v>5213275</v>
      </c>
      <c r="T538" s="1">
        <v>422645</v>
      </c>
      <c r="V538" s="1">
        <v>285837</v>
      </c>
      <c r="W538" s="1">
        <v>28898145</v>
      </c>
      <c r="Y538" s="1">
        <v>421931</v>
      </c>
      <c r="Z538" s="1">
        <v>690941</v>
      </c>
      <c r="AA538" s="1">
        <v>15166</v>
      </c>
      <c r="AB538" s="1">
        <v>67136</v>
      </c>
      <c r="AC538" s="1">
        <v>116057</v>
      </c>
      <c r="AD538" s="1">
        <v>1848383</v>
      </c>
      <c r="AE538" s="1">
        <v>1035469</v>
      </c>
      <c r="AF538" s="1">
        <v>211518</v>
      </c>
      <c r="AG538" s="1">
        <v>4443924</v>
      </c>
      <c r="AH538" s="1">
        <v>33590857</v>
      </c>
      <c r="AJ538" s="1">
        <v>71530</v>
      </c>
      <c r="AK538" s="1">
        <v>71530</v>
      </c>
      <c r="AM538" s="1">
        <v>208080</v>
      </c>
      <c r="AN538" s="1">
        <v>19875</v>
      </c>
      <c r="AO538" s="1">
        <v>227955</v>
      </c>
      <c r="AP538" s="1">
        <v>304377</v>
      </c>
      <c r="AQ538" s="1">
        <v>1703398</v>
      </c>
      <c r="AT538" s="1">
        <v>1703398</v>
      </c>
      <c r="AV538" s="1">
        <v>1952962</v>
      </c>
      <c r="AW538" s="1">
        <v>1952962</v>
      </c>
      <c r="AX538" s="1">
        <v>249564</v>
      </c>
      <c r="AY538" s="1">
        <v>-249564</v>
      </c>
      <c r="AZ538" s="1">
        <v>42371911</v>
      </c>
      <c r="BE538" s="1">
        <v>37323</v>
      </c>
      <c r="BL538" s="1">
        <v>249564</v>
      </c>
      <c r="BU538" s="1">
        <v>4892</v>
      </c>
      <c r="BV538" s="1">
        <v>4892</v>
      </c>
      <c r="BX538" s="1">
        <v>3000000</v>
      </c>
      <c r="BY538" s="1">
        <v>3641733</v>
      </c>
      <c r="CG538" s="1">
        <v>248788</v>
      </c>
      <c r="CI538" s="1">
        <v>641733</v>
      </c>
    </row>
    <row r="539" spans="1:106">
      <c r="A539" s="1">
        <v>37</v>
      </c>
      <c r="B539" s="1">
        <v>90</v>
      </c>
      <c r="C539" s="1" t="s">
        <v>786</v>
      </c>
      <c r="D539" s="1" t="s">
        <v>787</v>
      </c>
      <c r="F539" s="1">
        <v>48164</v>
      </c>
      <c r="G539" s="1">
        <v>166866</v>
      </c>
      <c r="H539" s="1">
        <v>269345</v>
      </c>
      <c r="I539" s="1">
        <v>1</v>
      </c>
      <c r="J539" s="1">
        <v>3239664</v>
      </c>
      <c r="K539" s="1">
        <v>277176</v>
      </c>
      <c r="M539" s="1">
        <v>79020</v>
      </c>
      <c r="N539" s="1">
        <v>189801</v>
      </c>
      <c r="O539" s="1">
        <v>545997</v>
      </c>
      <c r="Q539" s="1">
        <v>9854369</v>
      </c>
      <c r="V539" s="1">
        <v>70957</v>
      </c>
      <c r="W539" s="1">
        <v>9925326</v>
      </c>
      <c r="X539" s="1">
        <v>1357614</v>
      </c>
      <c r="Y539" s="1">
        <v>478741</v>
      </c>
      <c r="Z539" s="1">
        <v>635984</v>
      </c>
      <c r="AA539" s="1">
        <v>3486</v>
      </c>
      <c r="AB539" s="1">
        <v>20209</v>
      </c>
      <c r="AC539" s="1">
        <v>116303</v>
      </c>
      <c r="AD539" s="1">
        <v>688369</v>
      </c>
      <c r="AE539" s="1">
        <v>359417</v>
      </c>
      <c r="AG539" s="1">
        <v>3741557</v>
      </c>
      <c r="AH539" s="1">
        <v>13666883</v>
      </c>
      <c r="AL539" s="1">
        <v>35500</v>
      </c>
      <c r="AM539" s="1">
        <v>208092</v>
      </c>
      <c r="AN539" s="1">
        <v>19455</v>
      </c>
      <c r="AO539" s="1">
        <v>263047</v>
      </c>
      <c r="AP539" s="1">
        <v>263047</v>
      </c>
      <c r="AQ539" s="1">
        <v>688964</v>
      </c>
      <c r="AR539" s="1">
        <v>46058</v>
      </c>
      <c r="AS539" s="1">
        <v>46058</v>
      </c>
      <c r="AT539" s="1">
        <v>735022</v>
      </c>
      <c r="AU539" s="1">
        <v>223504</v>
      </c>
      <c r="AV539" s="1">
        <v>958526</v>
      </c>
      <c r="AW539" s="1">
        <v>958526</v>
      </c>
      <c r="AZ539" s="1">
        <v>18674117</v>
      </c>
      <c r="BE539" s="1">
        <v>77764</v>
      </c>
      <c r="BF539" s="1">
        <v>3670</v>
      </c>
      <c r="CL539" s="1">
        <v>2755288</v>
      </c>
    </row>
    <row r="540" spans="1:106">
      <c r="A540" s="1">
        <v>37</v>
      </c>
      <c r="B540" s="1">
        <v>520</v>
      </c>
      <c r="C540" s="1" t="s">
        <v>786</v>
      </c>
      <c r="D540" s="1" t="s">
        <v>788</v>
      </c>
      <c r="G540" s="1">
        <v>13988</v>
      </c>
      <c r="H540" s="1">
        <v>22628</v>
      </c>
      <c r="J540" s="1">
        <v>36616</v>
      </c>
      <c r="K540" s="1">
        <v>100000</v>
      </c>
      <c r="L540" s="1">
        <v>68486</v>
      </c>
      <c r="O540" s="1">
        <v>168486</v>
      </c>
      <c r="Q540" s="1">
        <v>798920</v>
      </c>
      <c r="U540" s="1">
        <v>8152</v>
      </c>
      <c r="W540" s="1">
        <v>814892</v>
      </c>
      <c r="X540" s="1">
        <v>33722</v>
      </c>
      <c r="Y540" s="1">
        <v>7885</v>
      </c>
      <c r="Z540" s="1">
        <v>37506</v>
      </c>
      <c r="AC540" s="1">
        <v>8668</v>
      </c>
      <c r="AE540" s="1">
        <v>842</v>
      </c>
      <c r="AG540" s="1">
        <v>143876</v>
      </c>
      <c r="AH540" s="1">
        <v>958768</v>
      </c>
      <c r="AZ540" s="1">
        <v>1163870</v>
      </c>
      <c r="BE540" s="1">
        <v>4166</v>
      </c>
      <c r="BQ540" s="1">
        <v>7820</v>
      </c>
      <c r="BR540" s="1">
        <v>51087</v>
      </c>
      <c r="CJ540" s="1">
        <v>126314</v>
      </c>
    </row>
    <row r="541" spans="1:106">
      <c r="A541" s="1">
        <v>37</v>
      </c>
      <c r="B541" s="1">
        <v>640</v>
      </c>
      <c r="C541" s="1" t="s">
        <v>786</v>
      </c>
      <c r="D541" s="1" t="s">
        <v>789</v>
      </c>
      <c r="F541" s="1">
        <v>30875</v>
      </c>
      <c r="G541" s="1">
        <v>200481</v>
      </c>
      <c r="H541" s="1">
        <v>150965</v>
      </c>
      <c r="I541" s="1">
        <v>114877</v>
      </c>
      <c r="J541" s="1">
        <v>497198</v>
      </c>
      <c r="K541" s="1">
        <v>276322</v>
      </c>
      <c r="L541" s="1">
        <v>149035</v>
      </c>
      <c r="M541" s="1">
        <v>65358</v>
      </c>
      <c r="N541" s="1">
        <v>253</v>
      </c>
      <c r="O541" s="1">
        <v>490968</v>
      </c>
      <c r="Q541" s="1">
        <v>8291386</v>
      </c>
      <c r="R541" s="1">
        <v>30230</v>
      </c>
      <c r="S541" s="1">
        <v>30230</v>
      </c>
      <c r="U541" s="1">
        <v>2049</v>
      </c>
      <c r="V541" s="1">
        <v>95190</v>
      </c>
      <c r="W541" s="1">
        <v>8418855</v>
      </c>
      <c r="X541" s="1">
        <v>1880963</v>
      </c>
      <c r="Y541" s="1">
        <v>347025</v>
      </c>
      <c r="Z541" s="1">
        <v>429240</v>
      </c>
      <c r="AB541" s="1">
        <v>24223</v>
      </c>
      <c r="AC541" s="1">
        <v>79108</v>
      </c>
      <c r="AD541" s="1">
        <v>847438</v>
      </c>
      <c r="AE541" s="1">
        <v>471190</v>
      </c>
      <c r="AG541" s="1">
        <v>4628423</v>
      </c>
      <c r="AH541" s="1">
        <v>13047278</v>
      </c>
      <c r="AM541" s="1">
        <v>182823</v>
      </c>
      <c r="AN541" s="1">
        <v>18132</v>
      </c>
      <c r="AO541" s="1">
        <v>200955</v>
      </c>
      <c r="AP541" s="1">
        <v>200955</v>
      </c>
      <c r="AQ541" s="1">
        <v>832566</v>
      </c>
      <c r="AT541" s="1">
        <v>832566</v>
      </c>
      <c r="AU541" s="1">
        <v>13735</v>
      </c>
      <c r="AV541" s="1">
        <v>846399</v>
      </c>
      <c r="AW541" s="1">
        <v>846399</v>
      </c>
      <c r="AX541" s="1">
        <v>98</v>
      </c>
      <c r="AY541" s="1">
        <v>-98</v>
      </c>
      <c r="AZ541" s="1">
        <v>15082798</v>
      </c>
      <c r="BE541" s="1">
        <v>95555</v>
      </c>
      <c r="BF541" s="1">
        <v>4839</v>
      </c>
      <c r="BL541" s="1">
        <v>98</v>
      </c>
      <c r="BR541" s="1">
        <v>448842</v>
      </c>
    </row>
    <row r="542" spans="1:106">
      <c r="A542" s="1">
        <v>37</v>
      </c>
      <c r="B542" s="1">
        <v>1560</v>
      </c>
      <c r="C542" s="1" t="s">
        <v>786</v>
      </c>
      <c r="D542" s="1" t="s">
        <v>790</v>
      </c>
      <c r="F542" s="1">
        <v>86831</v>
      </c>
      <c r="G542" s="1">
        <v>10987</v>
      </c>
      <c r="H542" s="1">
        <v>101870</v>
      </c>
      <c r="I542" s="1">
        <v>224770</v>
      </c>
      <c r="J542" s="1">
        <v>424458</v>
      </c>
      <c r="K542" s="1">
        <v>192563</v>
      </c>
      <c r="O542" s="1">
        <v>192563</v>
      </c>
      <c r="Q542" s="1">
        <v>5932244</v>
      </c>
      <c r="R542" s="1">
        <v>989522</v>
      </c>
      <c r="S542" s="1">
        <v>989522</v>
      </c>
      <c r="U542" s="1">
        <v>6743</v>
      </c>
      <c r="V542" s="1">
        <v>21923</v>
      </c>
      <c r="W542" s="1">
        <v>7025419</v>
      </c>
      <c r="X542" s="1">
        <v>458008</v>
      </c>
      <c r="Y542" s="1">
        <v>287631</v>
      </c>
      <c r="Z542" s="1">
        <v>479535</v>
      </c>
      <c r="AA542" s="1">
        <v>2318</v>
      </c>
      <c r="AB542" s="1">
        <v>9323</v>
      </c>
      <c r="AC542" s="1">
        <v>71867</v>
      </c>
      <c r="AD542" s="1">
        <v>705803</v>
      </c>
      <c r="AE542" s="1">
        <v>359216</v>
      </c>
      <c r="AG542" s="1">
        <v>3345173</v>
      </c>
      <c r="AH542" s="1">
        <v>10370592</v>
      </c>
      <c r="AM542" s="1">
        <v>166452</v>
      </c>
      <c r="AN542" s="1">
        <v>26311</v>
      </c>
      <c r="AO542" s="1">
        <v>192763</v>
      </c>
      <c r="AP542" s="1">
        <v>193784</v>
      </c>
      <c r="AQ542" s="1">
        <v>148723</v>
      </c>
      <c r="AT542" s="1">
        <v>148723</v>
      </c>
      <c r="AU542" s="1">
        <v>9711</v>
      </c>
      <c r="AV542" s="1">
        <v>158434</v>
      </c>
      <c r="AW542" s="1">
        <v>158434</v>
      </c>
      <c r="AZ542" s="1">
        <v>11339831</v>
      </c>
      <c r="BE542" s="1">
        <v>66085</v>
      </c>
      <c r="BF542" s="1">
        <v>1926</v>
      </c>
      <c r="BR542" s="1">
        <v>903461</v>
      </c>
      <c r="BU542" s="1">
        <v>1021</v>
      </c>
      <c r="BV542" s="1">
        <v>1021</v>
      </c>
      <c r="CZ542" s="1">
        <v>74987</v>
      </c>
    </row>
    <row r="543" spans="1:106">
      <c r="A543" s="1">
        <v>37</v>
      </c>
      <c r="B543" s="1">
        <v>1570</v>
      </c>
      <c r="C543" s="1" t="s">
        <v>786</v>
      </c>
      <c r="D543" s="1" t="s">
        <v>791</v>
      </c>
      <c r="G543" s="1">
        <v>165168</v>
      </c>
      <c r="H543" s="1">
        <v>27744</v>
      </c>
      <c r="I543" s="1">
        <v>217419</v>
      </c>
      <c r="J543" s="1">
        <v>410331</v>
      </c>
      <c r="K543" s="1">
        <v>146030</v>
      </c>
      <c r="L543" s="1">
        <v>150000</v>
      </c>
      <c r="O543" s="1">
        <v>296030</v>
      </c>
      <c r="Q543" s="1">
        <v>3852608</v>
      </c>
      <c r="R543" s="1">
        <v>23537</v>
      </c>
      <c r="S543" s="1">
        <v>28081</v>
      </c>
      <c r="U543" s="1">
        <v>11473</v>
      </c>
      <c r="V543" s="1">
        <v>54999</v>
      </c>
      <c r="W543" s="1">
        <v>3947161</v>
      </c>
      <c r="X543" s="1">
        <v>1701980</v>
      </c>
      <c r="Y543" s="1">
        <v>61531</v>
      </c>
      <c r="Z543" s="1">
        <v>369538</v>
      </c>
      <c r="AA543" s="1">
        <v>2372</v>
      </c>
      <c r="AB543" s="1">
        <v>3092</v>
      </c>
      <c r="AC543" s="1">
        <v>57681</v>
      </c>
      <c r="AD543" s="1">
        <v>631325</v>
      </c>
      <c r="AE543" s="1">
        <v>295793</v>
      </c>
      <c r="AG543" s="1">
        <v>4037220</v>
      </c>
      <c r="AH543" s="1">
        <v>7984381</v>
      </c>
      <c r="AI543" s="1">
        <v>22581</v>
      </c>
      <c r="AJ543" s="1">
        <v>107803</v>
      </c>
      <c r="AK543" s="1">
        <v>130384</v>
      </c>
      <c r="AL543" s="1">
        <v>66025</v>
      </c>
      <c r="AM543" s="1">
        <v>266709</v>
      </c>
      <c r="AN543" s="1">
        <v>44683</v>
      </c>
      <c r="AO543" s="1">
        <v>377417</v>
      </c>
      <c r="AP543" s="1">
        <v>507801</v>
      </c>
      <c r="AZ543" s="1">
        <v>9198543</v>
      </c>
      <c r="BC543" s="1">
        <v>4544</v>
      </c>
      <c r="BE543" s="1">
        <v>67734</v>
      </c>
      <c r="BF543" s="1">
        <v>2566</v>
      </c>
      <c r="BR543" s="1">
        <v>843608</v>
      </c>
    </row>
    <row r="544" spans="1:106">
      <c r="A544" s="1">
        <v>37</v>
      </c>
      <c r="B544" s="1">
        <v>1630</v>
      </c>
      <c r="C544" s="1" t="s">
        <v>786</v>
      </c>
      <c r="D544" s="1" t="s">
        <v>792</v>
      </c>
      <c r="F544" s="1">
        <v>25762</v>
      </c>
      <c r="G544" s="1">
        <v>73057</v>
      </c>
      <c r="H544" s="1">
        <v>39308</v>
      </c>
      <c r="I544" s="1">
        <v>14433</v>
      </c>
      <c r="J544" s="1">
        <v>152560</v>
      </c>
      <c r="K544" s="1">
        <v>115740</v>
      </c>
      <c r="L544" s="1">
        <v>921</v>
      </c>
      <c r="M544" s="1">
        <v>42380</v>
      </c>
      <c r="O544" s="1">
        <v>159041</v>
      </c>
      <c r="P544" s="1">
        <v>26068</v>
      </c>
      <c r="Q544" s="1">
        <v>3438700</v>
      </c>
      <c r="R544" s="1">
        <v>10138</v>
      </c>
      <c r="S544" s="1">
        <v>10138</v>
      </c>
      <c r="U544" s="1">
        <v>393</v>
      </c>
      <c r="V544" s="1">
        <v>36538</v>
      </c>
      <c r="W544" s="1">
        <v>3485769</v>
      </c>
      <c r="Y544" s="1">
        <v>82985</v>
      </c>
      <c r="Z544" s="1">
        <v>149350</v>
      </c>
      <c r="AA544" s="1">
        <v>4636</v>
      </c>
      <c r="AB544" s="1">
        <v>15320</v>
      </c>
      <c r="AC544" s="1">
        <v>30722</v>
      </c>
      <c r="AD544" s="1">
        <v>293391</v>
      </c>
      <c r="AE544" s="1">
        <v>135149</v>
      </c>
      <c r="AG544" s="1">
        <v>1027191</v>
      </c>
      <c r="AH544" s="1">
        <v>4539028</v>
      </c>
      <c r="AJ544" s="1">
        <v>2221</v>
      </c>
      <c r="AK544" s="1">
        <v>2221</v>
      </c>
      <c r="AL544" s="1">
        <v>10519</v>
      </c>
      <c r="AM544" s="1">
        <v>63225</v>
      </c>
      <c r="AN544" s="1">
        <v>48067</v>
      </c>
      <c r="AO544" s="1">
        <v>121811</v>
      </c>
      <c r="AP544" s="1">
        <v>124032</v>
      </c>
      <c r="AY544" s="1">
        <v>-26068</v>
      </c>
      <c r="AZ544" s="1">
        <v>4948593</v>
      </c>
      <c r="BE544" s="1">
        <v>15886</v>
      </c>
      <c r="BF544" s="1">
        <v>37902</v>
      </c>
      <c r="BR544" s="1">
        <v>261850</v>
      </c>
      <c r="BY544" s="1">
        <v>-26068</v>
      </c>
    </row>
    <row r="545" spans="1:121">
      <c r="A545" s="1">
        <v>37</v>
      </c>
      <c r="B545" s="1">
        <v>1800</v>
      </c>
      <c r="C545" s="1" t="s">
        <v>786</v>
      </c>
      <c r="D545" s="1" t="s">
        <v>793</v>
      </c>
      <c r="F545" s="1">
        <v>179619</v>
      </c>
      <c r="G545" s="1">
        <v>282391</v>
      </c>
      <c r="H545" s="1">
        <v>164317</v>
      </c>
      <c r="I545" s="1">
        <v>100</v>
      </c>
      <c r="J545" s="1">
        <v>814448</v>
      </c>
      <c r="K545" s="1">
        <v>166198</v>
      </c>
      <c r="L545" s="1">
        <v>47269</v>
      </c>
      <c r="M545" s="1">
        <v>24587</v>
      </c>
      <c r="N545" s="1">
        <v>17317</v>
      </c>
      <c r="O545" s="1">
        <v>255371</v>
      </c>
      <c r="P545" s="1">
        <v>15377</v>
      </c>
      <c r="Q545" s="1">
        <v>6070009</v>
      </c>
      <c r="U545" s="1">
        <v>64909</v>
      </c>
      <c r="V545" s="1">
        <v>27853</v>
      </c>
      <c r="W545" s="1">
        <v>6162771</v>
      </c>
      <c r="X545" s="1">
        <v>1342840</v>
      </c>
      <c r="Y545" s="1">
        <v>305226</v>
      </c>
      <c r="Z545" s="1">
        <v>331476</v>
      </c>
      <c r="AB545" s="1">
        <v>17064</v>
      </c>
      <c r="AC545" s="1">
        <v>39408</v>
      </c>
      <c r="AD545" s="1">
        <v>496226</v>
      </c>
      <c r="AE545" s="1">
        <v>221039</v>
      </c>
      <c r="AG545" s="1">
        <v>2907150</v>
      </c>
      <c r="AH545" s="1">
        <v>9085298</v>
      </c>
      <c r="AJ545" s="1">
        <v>26031</v>
      </c>
      <c r="AK545" s="1">
        <v>26031</v>
      </c>
      <c r="AL545" s="1">
        <v>14655</v>
      </c>
      <c r="AM545" s="1">
        <v>6842</v>
      </c>
      <c r="AN545" s="1">
        <v>214842</v>
      </c>
      <c r="AO545" s="1">
        <v>236339</v>
      </c>
      <c r="AP545" s="1">
        <v>262370</v>
      </c>
      <c r="AQ545" s="1">
        <v>530621</v>
      </c>
      <c r="AT545" s="1">
        <v>530621</v>
      </c>
      <c r="AV545" s="1">
        <v>530621</v>
      </c>
      <c r="AW545" s="1">
        <v>530621</v>
      </c>
      <c r="AX545" s="1">
        <v>15377</v>
      </c>
      <c r="AY545" s="1">
        <v>-15377</v>
      </c>
      <c r="AZ545" s="1">
        <v>10948108</v>
      </c>
      <c r="BE545" s="1">
        <v>63248</v>
      </c>
      <c r="BF545" s="1">
        <v>1300</v>
      </c>
      <c r="BR545" s="1">
        <v>89323</v>
      </c>
      <c r="CL545" s="1">
        <v>188021</v>
      </c>
    </row>
    <row r="546" spans="1:121">
      <c r="A546" s="1">
        <v>37</v>
      </c>
      <c r="B546" s="1">
        <v>1930</v>
      </c>
      <c r="C546" s="1" t="s">
        <v>786</v>
      </c>
      <c r="D546" s="1" t="s">
        <v>794</v>
      </c>
      <c r="G546" s="1">
        <v>26012</v>
      </c>
      <c r="H546" s="1">
        <v>57685</v>
      </c>
      <c r="I546" s="1">
        <v>42859</v>
      </c>
      <c r="J546" s="1">
        <v>126556</v>
      </c>
      <c r="K546" s="1">
        <v>120719</v>
      </c>
      <c r="M546" s="1">
        <v>-38935</v>
      </c>
      <c r="N546" s="1">
        <v>12852</v>
      </c>
      <c r="O546" s="1">
        <v>94636</v>
      </c>
      <c r="P546" s="1">
        <v>9125</v>
      </c>
      <c r="Q546" s="1">
        <v>2983833</v>
      </c>
      <c r="U546" s="1">
        <v>2466</v>
      </c>
      <c r="V546" s="1">
        <v>19144</v>
      </c>
      <c r="W546" s="1">
        <v>3005443</v>
      </c>
      <c r="X546" s="1">
        <v>1025119</v>
      </c>
      <c r="Y546" s="1">
        <v>32395</v>
      </c>
      <c r="Z546" s="1">
        <v>251846</v>
      </c>
      <c r="AB546" s="1">
        <v>24812</v>
      </c>
      <c r="AC546" s="1">
        <v>38084</v>
      </c>
      <c r="AD546" s="1">
        <v>287852</v>
      </c>
      <c r="AE546" s="1">
        <v>166646</v>
      </c>
      <c r="AG546" s="1">
        <v>2217813</v>
      </c>
      <c r="AH546" s="1">
        <v>5232381</v>
      </c>
      <c r="AI546" s="1">
        <v>10973</v>
      </c>
      <c r="AJ546" s="1">
        <v>8</v>
      </c>
      <c r="AK546" s="1">
        <v>11416</v>
      </c>
      <c r="AL546" s="1">
        <v>35127</v>
      </c>
      <c r="AM546" s="1">
        <v>81671</v>
      </c>
      <c r="AN546" s="1">
        <v>14517</v>
      </c>
      <c r="AO546" s="1">
        <v>131315</v>
      </c>
      <c r="AP546" s="1">
        <v>142731</v>
      </c>
      <c r="AQ546" s="1">
        <v>231924</v>
      </c>
      <c r="AT546" s="1">
        <v>231924</v>
      </c>
      <c r="AV546" s="1">
        <v>231924</v>
      </c>
      <c r="AW546" s="1">
        <v>231924</v>
      </c>
      <c r="AX546" s="1">
        <v>9125</v>
      </c>
      <c r="AY546" s="1">
        <v>-9125</v>
      </c>
      <c r="AZ546" s="1">
        <v>5828228</v>
      </c>
      <c r="BE546" s="1">
        <v>30807</v>
      </c>
      <c r="BF546" s="1">
        <v>706</v>
      </c>
      <c r="BR546" s="1">
        <v>359546</v>
      </c>
      <c r="DQ546" s="1">
        <v>435</v>
      </c>
    </row>
    <row r="547" spans="1:121">
      <c r="A547" s="1">
        <v>37</v>
      </c>
      <c r="B547" s="1">
        <v>1980</v>
      </c>
      <c r="C547" s="1" t="s">
        <v>786</v>
      </c>
      <c r="D547" s="1" t="s">
        <v>795</v>
      </c>
      <c r="F547" s="1">
        <v>209925</v>
      </c>
      <c r="G547" s="1">
        <v>5749</v>
      </c>
      <c r="I547" s="1">
        <v>50240</v>
      </c>
      <c r="J547" s="1">
        <v>265914</v>
      </c>
      <c r="K547" s="1">
        <v>142336</v>
      </c>
      <c r="L547" s="1">
        <v>57835</v>
      </c>
      <c r="O547" s="1">
        <v>200171</v>
      </c>
      <c r="Q547" s="1">
        <v>4391661</v>
      </c>
      <c r="U547" s="1">
        <v>757</v>
      </c>
      <c r="V547" s="1">
        <v>43117</v>
      </c>
      <c r="W547" s="1">
        <v>4435535</v>
      </c>
      <c r="X547" s="1">
        <v>685152</v>
      </c>
      <c r="Y547" s="1">
        <v>179860</v>
      </c>
      <c r="Z547" s="1">
        <v>286778</v>
      </c>
      <c r="AB547" s="1">
        <v>26743</v>
      </c>
      <c r="AC547" s="1">
        <v>49106</v>
      </c>
      <c r="AD547" s="1">
        <v>468283</v>
      </c>
      <c r="AE547" s="1">
        <v>230025</v>
      </c>
      <c r="AG547" s="1">
        <v>2111897</v>
      </c>
      <c r="AH547" s="1">
        <v>6547432</v>
      </c>
      <c r="AJ547" s="1">
        <v>102895</v>
      </c>
      <c r="AK547" s="1">
        <v>102895</v>
      </c>
      <c r="AL547" s="1">
        <v>21645</v>
      </c>
      <c r="AM547" s="1">
        <v>109539</v>
      </c>
      <c r="AN547" s="1">
        <v>53682</v>
      </c>
      <c r="AO547" s="1">
        <v>184866</v>
      </c>
      <c r="AP547" s="1">
        <v>288761</v>
      </c>
      <c r="AQ547" s="1">
        <v>125688</v>
      </c>
      <c r="AT547" s="1">
        <v>125688</v>
      </c>
      <c r="AU547" s="1">
        <v>33537</v>
      </c>
      <c r="AV547" s="1">
        <v>159225</v>
      </c>
      <c r="AW547" s="1">
        <v>159225</v>
      </c>
      <c r="AZ547" s="1">
        <v>7461503</v>
      </c>
      <c r="BE547" s="1">
        <v>33688</v>
      </c>
      <c r="BF547" s="1">
        <v>3082</v>
      </c>
      <c r="BR547" s="1">
        <v>149180</v>
      </c>
      <c r="BU547" s="1">
        <v>1000</v>
      </c>
      <c r="BV547" s="1">
        <v>1000</v>
      </c>
    </row>
    <row r="548" spans="1:121">
      <c r="A548" s="1">
        <v>37</v>
      </c>
      <c r="B548" s="1">
        <v>2030</v>
      </c>
      <c r="C548" s="1" t="s">
        <v>786</v>
      </c>
      <c r="D548" s="1" t="s">
        <v>796</v>
      </c>
      <c r="F548" s="1">
        <v>49487</v>
      </c>
      <c r="G548" s="1">
        <v>16984</v>
      </c>
      <c r="I548" s="1">
        <v>1</v>
      </c>
      <c r="J548" s="1">
        <v>66472</v>
      </c>
      <c r="K548" s="1">
        <v>177168</v>
      </c>
      <c r="M548" s="1">
        <v>49369</v>
      </c>
      <c r="N548" s="1">
        <v>12986</v>
      </c>
      <c r="O548" s="1">
        <v>239523</v>
      </c>
      <c r="Q548" s="1">
        <v>7012747</v>
      </c>
      <c r="V548" s="1">
        <v>55057</v>
      </c>
      <c r="W548" s="1">
        <v>7067804</v>
      </c>
      <c r="X548" s="1">
        <v>1027771</v>
      </c>
      <c r="Y548" s="1">
        <v>355984</v>
      </c>
      <c r="Z548" s="1">
        <v>332739</v>
      </c>
      <c r="AB548" s="1">
        <v>24254</v>
      </c>
      <c r="AC548" s="1">
        <v>87557</v>
      </c>
      <c r="AD548" s="1">
        <v>580369</v>
      </c>
      <c r="AE548" s="1">
        <v>329325</v>
      </c>
      <c r="AG548" s="1">
        <v>3185851</v>
      </c>
      <c r="AH548" s="1">
        <v>10253655</v>
      </c>
      <c r="AJ548" s="1">
        <v>9147</v>
      </c>
      <c r="AK548" s="1">
        <v>9147</v>
      </c>
      <c r="AL548" s="1">
        <v>38789</v>
      </c>
      <c r="AM548" s="1">
        <v>173259</v>
      </c>
      <c r="AN548" s="1">
        <v>28796</v>
      </c>
      <c r="AO548" s="1">
        <v>240844</v>
      </c>
      <c r="AP548" s="1">
        <v>249991</v>
      </c>
      <c r="AQ548" s="1">
        <v>836212</v>
      </c>
      <c r="AT548" s="1">
        <v>836212</v>
      </c>
      <c r="AV548" s="1">
        <v>837267</v>
      </c>
      <c r="AW548" s="1">
        <v>837267</v>
      </c>
      <c r="AZ548" s="1">
        <v>11646908</v>
      </c>
      <c r="BE548" s="1">
        <v>65408</v>
      </c>
      <c r="BF548" s="1">
        <v>6234</v>
      </c>
      <c r="BM548" s="1">
        <v>1055</v>
      </c>
      <c r="BR548" s="1">
        <v>376210</v>
      </c>
    </row>
    <row r="549" spans="1:121">
      <c r="A549" s="1">
        <v>37</v>
      </c>
      <c r="B549" s="1">
        <v>2165</v>
      </c>
      <c r="C549" s="1" t="s">
        <v>786</v>
      </c>
      <c r="D549" s="1" t="s">
        <v>797</v>
      </c>
      <c r="F549" s="1">
        <v>647474</v>
      </c>
      <c r="G549" s="1">
        <v>148845</v>
      </c>
      <c r="H549" s="1">
        <v>282896</v>
      </c>
      <c r="I549" s="1">
        <v>206917</v>
      </c>
      <c r="J549" s="1">
        <v>1326871</v>
      </c>
      <c r="K549" s="1">
        <v>390309</v>
      </c>
      <c r="L549" s="1">
        <v>164326</v>
      </c>
      <c r="N549" s="1">
        <v>1</v>
      </c>
      <c r="O549" s="1">
        <v>554636</v>
      </c>
      <c r="Q549" s="1">
        <v>13554595</v>
      </c>
      <c r="R549" s="1">
        <v>106952</v>
      </c>
      <c r="S549" s="1">
        <v>106952</v>
      </c>
      <c r="T549" s="1">
        <v>7847</v>
      </c>
      <c r="U549" s="1">
        <v>12141</v>
      </c>
      <c r="V549" s="1">
        <v>166073</v>
      </c>
      <c r="W549" s="1">
        <v>13847608</v>
      </c>
      <c r="X549" s="1">
        <v>4765724</v>
      </c>
      <c r="Y549" s="1">
        <v>582159</v>
      </c>
      <c r="Z549" s="1">
        <v>792710</v>
      </c>
      <c r="AA549" s="1">
        <v>4692</v>
      </c>
      <c r="AB549" s="1">
        <v>33480</v>
      </c>
      <c r="AC549" s="1">
        <v>141978</v>
      </c>
      <c r="AD549" s="1">
        <v>1379711</v>
      </c>
      <c r="AE549" s="1">
        <v>686293</v>
      </c>
      <c r="AG549" s="1">
        <v>8684409</v>
      </c>
      <c r="AH549" s="1">
        <v>22532392</v>
      </c>
      <c r="AJ549" s="1">
        <v>1400</v>
      </c>
      <c r="AK549" s="1">
        <v>1400</v>
      </c>
      <c r="AL549" s="1">
        <v>41349</v>
      </c>
      <c r="AM549" s="1">
        <v>316995</v>
      </c>
      <c r="AN549" s="1">
        <v>35686</v>
      </c>
      <c r="AO549" s="1">
        <v>394030</v>
      </c>
      <c r="AP549" s="1">
        <v>395430</v>
      </c>
      <c r="AQ549" s="1">
        <v>811728</v>
      </c>
      <c r="AT549" s="1">
        <v>811728</v>
      </c>
      <c r="AU549" s="1">
        <v>420448</v>
      </c>
      <c r="AV549" s="1">
        <v>1232176</v>
      </c>
      <c r="AW549" s="1">
        <v>1232176</v>
      </c>
      <c r="AZ549" s="1">
        <v>26041505</v>
      </c>
      <c r="BE549" s="1">
        <v>188618</v>
      </c>
      <c r="BF549" s="1">
        <v>109044</v>
      </c>
      <c r="CL549" s="1">
        <v>40739</v>
      </c>
      <c r="CX549" s="1">
        <v>375</v>
      </c>
    </row>
    <row r="550" spans="1:121">
      <c r="A550" s="1">
        <v>37</v>
      </c>
      <c r="B550" s="1">
        <v>2240</v>
      </c>
      <c r="C550" s="1" t="s">
        <v>786</v>
      </c>
      <c r="D550" s="1" t="s">
        <v>798</v>
      </c>
      <c r="F550" s="1">
        <v>22454</v>
      </c>
      <c r="G550" s="1">
        <v>233503</v>
      </c>
      <c r="H550" s="1">
        <v>94695</v>
      </c>
      <c r="I550" s="1">
        <v>2396</v>
      </c>
      <c r="J550" s="1">
        <v>353048</v>
      </c>
      <c r="K550" s="1">
        <v>764050</v>
      </c>
      <c r="L550" s="1">
        <v>116089</v>
      </c>
      <c r="O550" s="1">
        <v>880139</v>
      </c>
      <c r="Q550" s="1">
        <v>18891056</v>
      </c>
      <c r="R550" s="1">
        <v>92321</v>
      </c>
      <c r="S550" s="1">
        <v>92321</v>
      </c>
      <c r="U550" s="1">
        <v>2418</v>
      </c>
      <c r="V550" s="1">
        <v>371772</v>
      </c>
      <c r="W550" s="1">
        <v>19357567</v>
      </c>
      <c r="X550" s="1">
        <v>7491747</v>
      </c>
      <c r="Y550" s="1">
        <v>548557</v>
      </c>
      <c r="Z550" s="1">
        <v>2087931</v>
      </c>
      <c r="AA550" s="1">
        <v>39550</v>
      </c>
      <c r="AC550" s="1">
        <v>298441</v>
      </c>
      <c r="AD550" s="1">
        <v>2735491</v>
      </c>
      <c r="AE550" s="1">
        <v>1212600</v>
      </c>
      <c r="AG550" s="1">
        <v>16277913</v>
      </c>
      <c r="AH550" s="1">
        <v>36894017</v>
      </c>
      <c r="AI550" s="1">
        <v>50599</v>
      </c>
      <c r="AJ550" s="1">
        <v>12818</v>
      </c>
      <c r="AK550" s="1">
        <v>63526</v>
      </c>
      <c r="AL550" s="1">
        <v>197783</v>
      </c>
      <c r="AM550" s="1">
        <v>670416</v>
      </c>
      <c r="AN550" s="1">
        <v>72808</v>
      </c>
      <c r="AO550" s="1">
        <v>941007</v>
      </c>
      <c r="AP550" s="1">
        <v>1004533</v>
      </c>
      <c r="AQ550" s="1">
        <v>131949</v>
      </c>
      <c r="AT550" s="1">
        <v>131949</v>
      </c>
      <c r="AU550" s="1">
        <v>69111</v>
      </c>
      <c r="AV550" s="1">
        <v>201060</v>
      </c>
      <c r="AW550" s="1">
        <v>201060</v>
      </c>
      <c r="AY550" s="1">
        <v>163000</v>
      </c>
      <c r="AZ550" s="1">
        <v>39537923</v>
      </c>
      <c r="BE550" s="1">
        <v>319063</v>
      </c>
      <c r="BF550" s="1">
        <v>118428</v>
      </c>
      <c r="BR550" s="1">
        <v>1252454</v>
      </c>
      <c r="BY550" s="1">
        <v>205126</v>
      </c>
      <c r="CF550" s="1">
        <v>173651</v>
      </c>
      <c r="CG550" s="1">
        <v>1258537</v>
      </c>
      <c r="CI550" s="1">
        <v>42126</v>
      </c>
      <c r="DQ550" s="1">
        <v>109</v>
      </c>
    </row>
    <row r="551" spans="1:121">
      <c r="A551" s="1">
        <v>37</v>
      </c>
      <c r="B551" s="1">
        <v>2465</v>
      </c>
      <c r="C551" s="1" t="s">
        <v>786</v>
      </c>
      <c r="D551" s="1" t="s">
        <v>799</v>
      </c>
      <c r="F551" s="1">
        <v>454453</v>
      </c>
      <c r="H551" s="1">
        <v>124006</v>
      </c>
      <c r="I551" s="1">
        <v>121453</v>
      </c>
      <c r="J551" s="1">
        <v>699912</v>
      </c>
      <c r="K551" s="1">
        <v>750064</v>
      </c>
      <c r="L551" s="1">
        <v>255994</v>
      </c>
      <c r="M551" s="1">
        <v>82116</v>
      </c>
      <c r="N551" s="1">
        <v>8103</v>
      </c>
      <c r="O551" s="1">
        <v>1096277</v>
      </c>
      <c r="P551" s="1">
        <v>2776</v>
      </c>
      <c r="Q551" s="1">
        <v>10666693</v>
      </c>
      <c r="T551" s="1">
        <v>249663</v>
      </c>
      <c r="U551" s="1">
        <v>5740</v>
      </c>
      <c r="W551" s="1">
        <v>11152112</v>
      </c>
      <c r="X551" s="1">
        <v>3948673</v>
      </c>
      <c r="Y551" s="1">
        <v>640262</v>
      </c>
      <c r="Z551" s="1">
        <v>702505</v>
      </c>
      <c r="AA551" s="1">
        <v>2318</v>
      </c>
      <c r="AB551" s="1">
        <v>37427</v>
      </c>
      <c r="AC551" s="1">
        <v>148561</v>
      </c>
      <c r="AD551" s="1">
        <v>1201999</v>
      </c>
      <c r="AE551" s="1">
        <v>646793</v>
      </c>
      <c r="AG551" s="1">
        <v>8045069</v>
      </c>
      <c r="AH551" s="1">
        <v>19661115</v>
      </c>
      <c r="AJ551" s="1">
        <v>10197</v>
      </c>
      <c r="AK551" s="1">
        <v>10197</v>
      </c>
      <c r="AM551" s="1">
        <v>211640</v>
      </c>
      <c r="AN551" s="1">
        <v>24069</v>
      </c>
      <c r="AO551" s="1">
        <v>235709</v>
      </c>
      <c r="AP551" s="1">
        <v>253156</v>
      </c>
      <c r="AV551" s="1">
        <v>263758</v>
      </c>
      <c r="AW551" s="1">
        <v>263758</v>
      </c>
      <c r="AZ551" s="1">
        <v>21974218</v>
      </c>
      <c r="BE551" s="1">
        <v>178963</v>
      </c>
      <c r="BF551" s="1">
        <v>14455</v>
      </c>
      <c r="BG551" s="1">
        <v>461158</v>
      </c>
      <c r="BH551" s="1">
        <v>461158</v>
      </c>
      <c r="BL551" s="1">
        <v>43865</v>
      </c>
      <c r="BM551" s="1">
        <v>219893</v>
      </c>
      <c r="BQ551" s="1">
        <v>230016</v>
      </c>
      <c r="BR551" s="1">
        <v>523113</v>
      </c>
      <c r="BU551" s="1">
        <v>7250</v>
      </c>
      <c r="BV551" s="1">
        <v>7250</v>
      </c>
    </row>
    <row r="552" spans="1:121">
      <c r="A552" s="1">
        <v>37</v>
      </c>
      <c r="B552" s="1">
        <v>2490</v>
      </c>
      <c r="C552" s="1" t="s">
        <v>786</v>
      </c>
      <c r="D552" s="1" t="s">
        <v>800</v>
      </c>
      <c r="F552" s="1">
        <v>22861</v>
      </c>
      <c r="G552" s="1">
        <v>8645</v>
      </c>
      <c r="H552" s="1">
        <v>2903</v>
      </c>
      <c r="I552" s="1">
        <v>36308</v>
      </c>
      <c r="J552" s="1">
        <v>70717</v>
      </c>
      <c r="K552" s="1">
        <v>100084</v>
      </c>
      <c r="L552" s="1">
        <v>38183</v>
      </c>
      <c r="M552" s="1">
        <v>201199</v>
      </c>
      <c r="N552" s="1">
        <v>1</v>
      </c>
      <c r="O552" s="1">
        <v>339467</v>
      </c>
      <c r="Q552" s="1">
        <v>3246725</v>
      </c>
      <c r="S552" s="1">
        <v>14319</v>
      </c>
      <c r="U552" s="1">
        <v>1399</v>
      </c>
      <c r="V552" s="1">
        <v>20961</v>
      </c>
      <c r="W552" s="1">
        <v>3283404</v>
      </c>
      <c r="X552" s="1">
        <v>276708</v>
      </c>
      <c r="Y552" s="1">
        <v>119145</v>
      </c>
      <c r="Z552" s="1">
        <v>205455</v>
      </c>
      <c r="AA552" s="1">
        <v>1168</v>
      </c>
      <c r="AB552" s="1">
        <v>5094</v>
      </c>
      <c r="AC552" s="1">
        <v>41974</v>
      </c>
      <c r="AD552" s="1">
        <v>281516</v>
      </c>
      <c r="AE552" s="1">
        <v>155707</v>
      </c>
      <c r="AG552" s="1">
        <v>1118738</v>
      </c>
      <c r="AH552" s="1">
        <v>4402142</v>
      </c>
      <c r="AL552" s="1">
        <v>8893</v>
      </c>
      <c r="AM552" s="1">
        <v>71911</v>
      </c>
      <c r="AN552" s="1">
        <v>42941</v>
      </c>
      <c r="AO552" s="1">
        <v>123745</v>
      </c>
      <c r="AP552" s="1">
        <v>125078</v>
      </c>
      <c r="AQ552" s="1">
        <v>290920</v>
      </c>
      <c r="AT552" s="1">
        <v>290920</v>
      </c>
      <c r="AU552" s="1">
        <v>16573</v>
      </c>
      <c r="AV552" s="1">
        <v>437493</v>
      </c>
      <c r="AW552" s="1">
        <v>437493</v>
      </c>
      <c r="AZ552" s="1">
        <v>5374897</v>
      </c>
      <c r="BC552" s="1">
        <v>14319</v>
      </c>
      <c r="BE552" s="1">
        <v>15967</v>
      </c>
      <c r="BF552" s="1">
        <v>673</v>
      </c>
      <c r="BL552" s="1">
        <v>130000</v>
      </c>
      <c r="BR552" s="1">
        <v>15331</v>
      </c>
      <c r="BU552" s="1">
        <v>1333</v>
      </c>
      <c r="BV552" s="1">
        <v>1333</v>
      </c>
    </row>
    <row r="553" spans="1:121">
      <c r="A553" s="1">
        <v>37</v>
      </c>
      <c r="B553" s="1">
        <v>2615</v>
      </c>
      <c r="C553" s="1" t="s">
        <v>786</v>
      </c>
      <c r="D553" s="1" t="s">
        <v>801</v>
      </c>
      <c r="G553" s="1">
        <v>139230</v>
      </c>
      <c r="H553" s="1">
        <v>60224</v>
      </c>
      <c r="I553" s="1">
        <v>245821</v>
      </c>
      <c r="J553" s="1">
        <v>445275</v>
      </c>
      <c r="K553" s="1">
        <v>238394</v>
      </c>
      <c r="L553" s="1">
        <v>39776</v>
      </c>
      <c r="M553" s="1">
        <v>107357</v>
      </c>
      <c r="O553" s="1">
        <v>385527</v>
      </c>
      <c r="Q553" s="1">
        <v>8271550</v>
      </c>
      <c r="U553" s="1">
        <v>10900</v>
      </c>
      <c r="W553" s="1">
        <v>8340189</v>
      </c>
      <c r="X553" s="1">
        <v>2137291</v>
      </c>
      <c r="Y553" s="1">
        <v>306058</v>
      </c>
      <c r="Z553" s="1">
        <v>501103</v>
      </c>
      <c r="AA553" s="1">
        <v>27834</v>
      </c>
      <c r="AB553" s="1">
        <v>4185</v>
      </c>
      <c r="AC553" s="1">
        <v>94688</v>
      </c>
      <c r="AD553" s="1">
        <v>821857</v>
      </c>
      <c r="AE553" s="1">
        <v>457627</v>
      </c>
      <c r="AG553" s="1">
        <v>5082920</v>
      </c>
      <c r="AH553" s="1">
        <v>13652612</v>
      </c>
      <c r="AL553" s="1">
        <v>21304</v>
      </c>
      <c r="AM553" s="1">
        <v>152402</v>
      </c>
      <c r="AN553" s="1">
        <v>11160</v>
      </c>
      <c r="AO553" s="1">
        <v>184866</v>
      </c>
      <c r="AP553" s="1">
        <v>184866</v>
      </c>
      <c r="AZ553" s="1">
        <v>14668280</v>
      </c>
      <c r="BE553" s="1">
        <v>109475</v>
      </c>
      <c r="BF553" s="1">
        <v>40621</v>
      </c>
      <c r="BQ553" s="1">
        <v>57739</v>
      </c>
      <c r="BR553" s="1">
        <v>389834</v>
      </c>
      <c r="CF553" s="1">
        <v>192347</v>
      </c>
      <c r="CG553" s="1">
        <v>229503</v>
      </c>
    </row>
    <row r="554" spans="1:121">
      <c r="A554" s="1">
        <v>37</v>
      </c>
      <c r="B554" s="1">
        <v>3300</v>
      </c>
      <c r="C554" s="1" t="s">
        <v>786</v>
      </c>
      <c r="D554" s="1" t="s">
        <v>802</v>
      </c>
      <c r="F554" s="1">
        <v>399732</v>
      </c>
      <c r="I554" s="1">
        <v>13929</v>
      </c>
      <c r="J554" s="1">
        <v>413661</v>
      </c>
      <c r="K554" s="1">
        <v>225838</v>
      </c>
      <c r="L554" s="1">
        <v>19115</v>
      </c>
      <c r="M554" s="1">
        <v>3</v>
      </c>
      <c r="N554" s="1">
        <v>6264</v>
      </c>
      <c r="O554" s="1">
        <v>251220</v>
      </c>
      <c r="P554" s="1">
        <v>101</v>
      </c>
      <c r="Q554" s="1">
        <v>4870330</v>
      </c>
      <c r="W554" s="1">
        <v>4976464</v>
      </c>
      <c r="X554" s="1">
        <v>709001</v>
      </c>
      <c r="Y554" s="1">
        <v>355134</v>
      </c>
      <c r="Z554" s="1">
        <v>478319</v>
      </c>
      <c r="AA554" s="1">
        <v>1168</v>
      </c>
      <c r="AB554" s="1">
        <v>33451</v>
      </c>
      <c r="AC554" s="1">
        <v>60785</v>
      </c>
      <c r="AD554" s="1">
        <v>258501</v>
      </c>
      <c r="AE554" s="1">
        <v>176079</v>
      </c>
      <c r="AG554" s="1">
        <v>3015427</v>
      </c>
      <c r="AH554" s="1">
        <v>8170408</v>
      </c>
      <c r="AI554" s="1">
        <v>20707</v>
      </c>
      <c r="AK554" s="1">
        <v>20707</v>
      </c>
      <c r="AL554" s="1">
        <v>80757</v>
      </c>
      <c r="AM554" s="1">
        <v>126741</v>
      </c>
      <c r="AN554" s="1">
        <v>41225</v>
      </c>
      <c r="AO554" s="1">
        <v>248723</v>
      </c>
      <c r="AP554" s="1">
        <v>269430</v>
      </c>
      <c r="AQ554" s="1">
        <v>70694</v>
      </c>
      <c r="AT554" s="1">
        <v>70694</v>
      </c>
      <c r="AU554" s="1">
        <v>20790</v>
      </c>
      <c r="AV554" s="1">
        <v>91484</v>
      </c>
      <c r="AW554" s="1">
        <v>91484</v>
      </c>
      <c r="AZ554" s="1">
        <v>9196203</v>
      </c>
      <c r="BE554" s="1">
        <v>74398</v>
      </c>
      <c r="BF554" s="1">
        <v>14869</v>
      </c>
      <c r="BG554" s="1">
        <v>178416</v>
      </c>
      <c r="BH554" s="1">
        <v>178416</v>
      </c>
      <c r="BQ554" s="1">
        <v>106134</v>
      </c>
      <c r="BR554" s="1">
        <v>853722</v>
      </c>
    </row>
    <row r="555" spans="1:121">
      <c r="A555" s="1">
        <v>37</v>
      </c>
      <c r="B555" s="1">
        <v>3590</v>
      </c>
      <c r="C555" s="1" t="s">
        <v>786</v>
      </c>
      <c r="D555" s="1" t="s">
        <v>803</v>
      </c>
      <c r="E555" s="1">
        <v>160000</v>
      </c>
      <c r="F555" s="1">
        <v>20142</v>
      </c>
      <c r="G555" s="1">
        <v>184926</v>
      </c>
      <c r="H555" s="1">
        <v>120827</v>
      </c>
      <c r="I555" s="1">
        <v>116</v>
      </c>
      <c r="J555" s="1">
        <v>992163</v>
      </c>
      <c r="K555" s="1">
        <v>393703</v>
      </c>
      <c r="L555" s="1">
        <v>49881</v>
      </c>
      <c r="M555" s="1">
        <v>29416</v>
      </c>
      <c r="N555" s="1">
        <v>1</v>
      </c>
      <c r="O555" s="1">
        <v>473001</v>
      </c>
      <c r="Q555" s="1">
        <v>9529621</v>
      </c>
      <c r="R555" s="1">
        <v>5316942</v>
      </c>
      <c r="S555" s="1">
        <v>5316942</v>
      </c>
      <c r="V555" s="1">
        <v>173514</v>
      </c>
      <c r="W555" s="1">
        <v>15020077</v>
      </c>
      <c r="X555" s="1">
        <v>3252193</v>
      </c>
      <c r="Y555" s="1">
        <v>167732</v>
      </c>
      <c r="Z555" s="1">
        <v>1161011</v>
      </c>
      <c r="AA555" s="1">
        <v>17556</v>
      </c>
      <c r="AB555" s="1">
        <v>12588</v>
      </c>
      <c r="AC555" s="1">
        <v>140332</v>
      </c>
      <c r="AD555" s="1">
        <v>1840772</v>
      </c>
      <c r="AE555" s="1">
        <v>824352</v>
      </c>
      <c r="AG555" s="1">
        <v>7571158</v>
      </c>
      <c r="AH555" s="1">
        <v>22601238</v>
      </c>
      <c r="AI555" s="1">
        <v>104006</v>
      </c>
      <c r="AJ555" s="1">
        <v>100506</v>
      </c>
      <c r="AK555" s="1">
        <v>486231</v>
      </c>
      <c r="AL555" s="1">
        <v>237065</v>
      </c>
      <c r="AM555" s="1">
        <v>304283</v>
      </c>
      <c r="AN555" s="1">
        <v>407982</v>
      </c>
      <c r="AO555" s="1">
        <v>1005887</v>
      </c>
      <c r="AP555" s="1">
        <v>1495118</v>
      </c>
      <c r="AQ555" s="1">
        <v>560558</v>
      </c>
      <c r="AT555" s="1">
        <v>560558</v>
      </c>
      <c r="AU555" s="1">
        <v>29297</v>
      </c>
      <c r="AV555" s="1">
        <v>589855</v>
      </c>
      <c r="AW555" s="1">
        <v>589855</v>
      </c>
      <c r="AZ555" s="1">
        <v>26151375</v>
      </c>
      <c r="BE555" s="1">
        <v>153694</v>
      </c>
      <c r="BF555" s="1">
        <v>928</v>
      </c>
      <c r="BH555" s="1">
        <v>10003</v>
      </c>
      <c r="BJ555" s="1">
        <v>280293</v>
      </c>
      <c r="BK555" s="1">
        <v>56557</v>
      </c>
      <c r="BU555" s="1">
        <v>3000</v>
      </c>
      <c r="BV555" s="1">
        <v>3000</v>
      </c>
      <c r="CA555" s="1">
        <v>10003</v>
      </c>
      <c r="CD555" s="1">
        <v>100000</v>
      </c>
      <c r="CL555" s="1">
        <v>231152</v>
      </c>
      <c r="CU555" s="1">
        <v>1426</v>
      </c>
      <c r="DA555" s="1">
        <v>175000</v>
      </c>
    </row>
    <row r="556" spans="1:121">
      <c r="A556" s="1">
        <v>37</v>
      </c>
      <c r="B556" s="1">
        <v>3840</v>
      </c>
      <c r="C556" s="1" t="s">
        <v>786</v>
      </c>
      <c r="D556" s="1" t="s">
        <v>804</v>
      </c>
      <c r="F556" s="1">
        <v>53013</v>
      </c>
      <c r="G556" s="1">
        <v>246397</v>
      </c>
      <c r="H556" s="1">
        <v>164374</v>
      </c>
      <c r="I556" s="1">
        <v>3167</v>
      </c>
      <c r="J556" s="1">
        <v>466951</v>
      </c>
      <c r="K556" s="1">
        <v>100000</v>
      </c>
      <c r="L556" s="1">
        <v>10000</v>
      </c>
      <c r="M556" s="1">
        <v>-305275</v>
      </c>
      <c r="N556" s="1">
        <v>23827</v>
      </c>
      <c r="O556" s="1">
        <v>-171448</v>
      </c>
      <c r="P556" s="1">
        <v>11617</v>
      </c>
      <c r="Q556" s="1">
        <v>1966856</v>
      </c>
      <c r="R556" s="1">
        <v>12421</v>
      </c>
      <c r="S556" s="1">
        <v>12421</v>
      </c>
      <c r="U556" s="1">
        <v>29</v>
      </c>
      <c r="V556" s="1">
        <v>36530</v>
      </c>
      <c r="W556" s="1">
        <v>2015836</v>
      </c>
      <c r="X556" s="1">
        <v>1351953</v>
      </c>
      <c r="Y556" s="1">
        <v>10730</v>
      </c>
      <c r="Z556" s="1">
        <v>449628</v>
      </c>
      <c r="AC556" s="1">
        <v>41338</v>
      </c>
      <c r="AD556" s="1">
        <v>377575</v>
      </c>
      <c r="AE556" s="1">
        <v>167432</v>
      </c>
      <c r="AG556" s="1">
        <v>2573845</v>
      </c>
      <c r="AH556" s="1">
        <v>4601298</v>
      </c>
      <c r="AL556" s="1">
        <v>47897</v>
      </c>
      <c r="AM556" s="1">
        <v>87901</v>
      </c>
      <c r="AN556" s="1">
        <v>16117</v>
      </c>
      <c r="AO556" s="1">
        <v>151915</v>
      </c>
      <c r="AP556" s="1">
        <v>156605</v>
      </c>
      <c r="AQ556" s="1">
        <v>41561</v>
      </c>
      <c r="AT556" s="1">
        <v>41561</v>
      </c>
      <c r="AU556" s="1">
        <v>29602</v>
      </c>
      <c r="AV556" s="1">
        <v>73698</v>
      </c>
      <c r="AW556" s="1">
        <v>73698</v>
      </c>
      <c r="AY556" s="1">
        <v>-14152</v>
      </c>
      <c r="AZ556" s="1">
        <v>5121652</v>
      </c>
      <c r="BE556" s="1">
        <v>50239</v>
      </c>
      <c r="BF556" s="1">
        <v>915</v>
      </c>
      <c r="BL556" s="1">
        <v>2535</v>
      </c>
      <c r="BU556" s="1">
        <v>4690</v>
      </c>
      <c r="BV556" s="1">
        <v>4690</v>
      </c>
      <c r="BY556" s="1">
        <v>-5452</v>
      </c>
      <c r="CC556" s="1">
        <v>8700</v>
      </c>
      <c r="CF556" s="1">
        <v>124035</v>
      </c>
    </row>
    <row r="557" spans="1:121">
      <c r="A557" s="1">
        <v>37</v>
      </c>
      <c r="B557" s="1">
        <v>4650</v>
      </c>
      <c r="C557" s="1" t="s">
        <v>786</v>
      </c>
      <c r="D557" s="1" t="s">
        <v>805</v>
      </c>
      <c r="F557" s="1">
        <v>99193</v>
      </c>
      <c r="H557" s="1">
        <v>106703</v>
      </c>
      <c r="I557" s="1">
        <v>138058</v>
      </c>
      <c r="J557" s="1">
        <v>343954</v>
      </c>
      <c r="K557" s="1">
        <v>563399</v>
      </c>
      <c r="L557" s="1">
        <v>362377</v>
      </c>
      <c r="O557" s="1">
        <v>925776</v>
      </c>
      <c r="Q557" s="1">
        <v>1497522</v>
      </c>
      <c r="U557" s="1">
        <v>12013</v>
      </c>
      <c r="V557" s="1">
        <v>20470</v>
      </c>
      <c r="W557" s="1">
        <v>1530005</v>
      </c>
      <c r="X557" s="1">
        <v>370874</v>
      </c>
      <c r="Y557" s="1">
        <v>56284</v>
      </c>
      <c r="Z557" s="1">
        <v>79537</v>
      </c>
      <c r="AC557" s="1">
        <v>19530</v>
      </c>
      <c r="AD557" s="1">
        <v>179365</v>
      </c>
      <c r="AE557" s="1">
        <v>90990</v>
      </c>
      <c r="AG557" s="1">
        <v>813221</v>
      </c>
      <c r="AH557" s="1">
        <v>2795129</v>
      </c>
      <c r="AM557" s="1">
        <v>31818</v>
      </c>
      <c r="AN557" s="1">
        <v>33528</v>
      </c>
      <c r="AO557" s="1">
        <v>65346</v>
      </c>
      <c r="AP557" s="1">
        <v>65346</v>
      </c>
      <c r="AZ557" s="1">
        <v>4130205</v>
      </c>
      <c r="BE557" s="1">
        <v>15787</v>
      </c>
      <c r="BF557" s="1">
        <v>854</v>
      </c>
      <c r="BG557" s="1">
        <v>451903</v>
      </c>
      <c r="BH557" s="1">
        <v>451903</v>
      </c>
    </row>
    <row r="558" spans="1:121">
      <c r="A558" s="1">
        <v>37</v>
      </c>
      <c r="B558" s="1">
        <v>4960</v>
      </c>
      <c r="C558" s="1" t="s">
        <v>786</v>
      </c>
      <c r="D558" s="1" t="s">
        <v>806</v>
      </c>
      <c r="F558" s="1">
        <v>949836</v>
      </c>
      <c r="G558" s="1">
        <v>1609555</v>
      </c>
      <c r="H558" s="1">
        <v>954598</v>
      </c>
      <c r="I558" s="1">
        <v>483782</v>
      </c>
      <c r="J558" s="1">
        <v>3997771</v>
      </c>
      <c r="K558" s="1">
        <v>1007073</v>
      </c>
      <c r="L558" s="1">
        <v>56364</v>
      </c>
      <c r="M558" s="1">
        <v>495342</v>
      </c>
      <c r="N558" s="1">
        <v>1622</v>
      </c>
      <c r="O558" s="1">
        <v>1560401</v>
      </c>
      <c r="P558" s="1">
        <v>41852</v>
      </c>
      <c r="Q558" s="1">
        <v>39354680</v>
      </c>
      <c r="T558" s="1">
        <v>14603</v>
      </c>
      <c r="U558" s="1">
        <v>21595</v>
      </c>
      <c r="V558" s="1">
        <v>334474</v>
      </c>
      <c r="W558" s="1">
        <v>39761534</v>
      </c>
      <c r="X558" s="1">
        <v>2416398</v>
      </c>
      <c r="Y558" s="1">
        <v>1333591</v>
      </c>
      <c r="Z558" s="1">
        <v>1947621</v>
      </c>
      <c r="AA558" s="1">
        <v>24474</v>
      </c>
      <c r="AB558" s="1">
        <v>130715</v>
      </c>
      <c r="AC558" s="1">
        <v>209457</v>
      </c>
      <c r="AD558" s="1">
        <v>1804454</v>
      </c>
      <c r="AE558" s="1">
        <v>3427758</v>
      </c>
      <c r="AG558" s="1">
        <v>12148419</v>
      </c>
      <c r="AH558" s="1">
        <v>51951805</v>
      </c>
      <c r="AJ558" s="1">
        <v>628447</v>
      </c>
      <c r="AK558" s="1">
        <v>628447</v>
      </c>
      <c r="AM558" s="1">
        <v>891896</v>
      </c>
      <c r="AN558" s="1">
        <v>80622</v>
      </c>
      <c r="AO558" s="1">
        <v>972518</v>
      </c>
      <c r="AP558" s="1">
        <v>1600965</v>
      </c>
      <c r="AQ558" s="1">
        <v>1813398</v>
      </c>
      <c r="AT558" s="1">
        <v>1813398</v>
      </c>
      <c r="AU558" s="1">
        <v>169743</v>
      </c>
      <c r="AV558" s="1">
        <v>3980014</v>
      </c>
      <c r="AW558" s="1">
        <v>3980014</v>
      </c>
      <c r="AX558" s="1">
        <v>1996873</v>
      </c>
      <c r="AY558" s="1">
        <v>-2038725</v>
      </c>
      <c r="AZ558" s="1">
        <v>134603956</v>
      </c>
      <c r="BE558" s="1">
        <v>192602</v>
      </c>
      <c r="BF558" s="1">
        <v>172827</v>
      </c>
      <c r="BL558" s="1">
        <v>1996873</v>
      </c>
      <c r="BR558" s="1">
        <v>488522</v>
      </c>
      <c r="BX558" s="1">
        <v>71513000</v>
      </c>
      <c r="BY558" s="1">
        <v>71513000</v>
      </c>
      <c r="CI558" s="1">
        <v>41852</v>
      </c>
      <c r="CY558" s="1">
        <v>36182</v>
      </c>
    </row>
    <row r="559" spans="1:121">
      <c r="A559" s="1">
        <v>37</v>
      </c>
      <c r="B559" s="1">
        <v>5030</v>
      </c>
      <c r="C559" s="1" t="s">
        <v>786</v>
      </c>
      <c r="D559" s="1" t="s">
        <v>807</v>
      </c>
      <c r="F559" s="1">
        <v>212779</v>
      </c>
      <c r="G559" s="1">
        <v>329940</v>
      </c>
      <c r="H559" s="1">
        <v>162433</v>
      </c>
      <c r="I559" s="1">
        <v>1</v>
      </c>
      <c r="J559" s="1">
        <v>705153</v>
      </c>
      <c r="K559" s="1">
        <v>119893</v>
      </c>
      <c r="L559" s="1">
        <v>11326</v>
      </c>
      <c r="M559" s="1">
        <v>867477</v>
      </c>
      <c r="O559" s="1">
        <v>998696</v>
      </c>
      <c r="P559" s="1">
        <v>17304</v>
      </c>
      <c r="Q559" s="1">
        <v>3097786</v>
      </c>
      <c r="V559" s="1">
        <v>66130</v>
      </c>
      <c r="W559" s="1">
        <v>3222916</v>
      </c>
      <c r="X559" s="1">
        <v>727380</v>
      </c>
      <c r="Y559" s="1">
        <v>36990</v>
      </c>
      <c r="Z559" s="1">
        <v>343750</v>
      </c>
      <c r="AA559" s="1">
        <v>72</v>
      </c>
      <c r="AB559" s="1">
        <v>16986</v>
      </c>
      <c r="AC559" s="1">
        <v>48167</v>
      </c>
      <c r="AD559" s="1">
        <v>381489</v>
      </c>
      <c r="AE559" s="1">
        <v>174649</v>
      </c>
      <c r="AG559" s="1">
        <v>2066129</v>
      </c>
      <c r="AH559" s="1">
        <v>5306349</v>
      </c>
      <c r="AI559" s="1">
        <v>3423</v>
      </c>
      <c r="AJ559" s="1">
        <v>1836</v>
      </c>
      <c r="AK559" s="1">
        <v>5259</v>
      </c>
      <c r="AL559" s="1">
        <v>1745</v>
      </c>
      <c r="AM559" s="1">
        <v>81398</v>
      </c>
      <c r="AN559" s="1">
        <v>390</v>
      </c>
      <c r="AO559" s="1">
        <v>83533</v>
      </c>
      <c r="AP559" s="1">
        <v>88792</v>
      </c>
      <c r="AQ559" s="1">
        <v>350479</v>
      </c>
      <c r="AT559" s="1">
        <v>350479</v>
      </c>
      <c r="AV559" s="1">
        <v>350479</v>
      </c>
      <c r="AW559" s="1">
        <v>350479</v>
      </c>
      <c r="AZ559" s="1">
        <v>7449469</v>
      </c>
      <c r="BE559" s="1">
        <v>43542</v>
      </c>
      <c r="BF559" s="1">
        <v>1497</v>
      </c>
      <c r="CE559" s="1">
        <v>59000</v>
      </c>
      <c r="CF559" s="1">
        <v>291607</v>
      </c>
    </row>
    <row r="560" spans="1:121">
      <c r="A560" s="1">
        <v>37</v>
      </c>
      <c r="B560" s="1">
        <v>5040</v>
      </c>
      <c r="C560" s="1" t="s">
        <v>786</v>
      </c>
      <c r="D560" s="1" t="s">
        <v>808</v>
      </c>
      <c r="F560" s="1">
        <v>15013</v>
      </c>
      <c r="G560" s="1">
        <v>130977</v>
      </c>
      <c r="H560" s="1">
        <v>139222</v>
      </c>
      <c r="I560" s="1">
        <v>87246</v>
      </c>
      <c r="J560" s="1">
        <v>372458</v>
      </c>
      <c r="K560" s="1">
        <v>103950</v>
      </c>
      <c r="M560" s="1">
        <v>17973</v>
      </c>
      <c r="O560" s="1">
        <v>121923</v>
      </c>
      <c r="Q560" s="1">
        <v>3256387</v>
      </c>
      <c r="R560" s="1">
        <v>72686</v>
      </c>
      <c r="S560" s="1">
        <v>72686</v>
      </c>
      <c r="U560" s="1">
        <v>1935</v>
      </c>
      <c r="W560" s="1">
        <v>3368502</v>
      </c>
      <c r="X560" s="1">
        <v>869876</v>
      </c>
      <c r="Y560" s="1">
        <v>163398</v>
      </c>
      <c r="Z560" s="1">
        <v>214883</v>
      </c>
      <c r="AC560" s="1">
        <v>46412</v>
      </c>
      <c r="AD560" s="1">
        <v>469447</v>
      </c>
      <c r="AE560" s="1">
        <v>225735</v>
      </c>
      <c r="AG560" s="1">
        <v>2584371</v>
      </c>
      <c r="AH560" s="1">
        <v>5952873</v>
      </c>
      <c r="AJ560" s="1">
        <v>2067</v>
      </c>
      <c r="AK560" s="1">
        <v>2067</v>
      </c>
      <c r="AL560" s="1">
        <v>13206</v>
      </c>
      <c r="AM560" s="1">
        <v>72288</v>
      </c>
      <c r="AN560" s="1">
        <v>50986</v>
      </c>
      <c r="AO560" s="1">
        <v>136480</v>
      </c>
      <c r="AP560" s="1">
        <v>138547</v>
      </c>
      <c r="AZ560" s="1">
        <v>6585801</v>
      </c>
      <c r="BE560" s="1">
        <v>55018</v>
      </c>
      <c r="BF560" s="1">
        <v>222</v>
      </c>
      <c r="BQ560" s="1">
        <v>37494</v>
      </c>
      <c r="BR560" s="1">
        <v>539380</v>
      </c>
    </row>
    <row r="561" spans="1:127">
      <c r="A561" s="1">
        <v>37</v>
      </c>
      <c r="B561" s="1">
        <v>5100</v>
      </c>
      <c r="C561" s="1" t="s">
        <v>786</v>
      </c>
      <c r="D561" s="1" t="s">
        <v>809</v>
      </c>
      <c r="F561" s="1">
        <v>129107</v>
      </c>
      <c r="G561" s="1">
        <v>66972</v>
      </c>
      <c r="J561" s="1">
        <v>196079</v>
      </c>
      <c r="K561" s="1">
        <v>429720</v>
      </c>
      <c r="L561" s="1">
        <v>50000</v>
      </c>
      <c r="N561" s="1">
        <v>39453</v>
      </c>
      <c r="O561" s="1">
        <v>519173</v>
      </c>
      <c r="Q561" s="1">
        <v>13169324</v>
      </c>
      <c r="R561" s="1">
        <v>225094</v>
      </c>
      <c r="S561" s="1">
        <v>225094</v>
      </c>
      <c r="V561" s="1">
        <v>109504</v>
      </c>
      <c r="W561" s="1">
        <v>13503922</v>
      </c>
      <c r="X561" s="1">
        <v>5274124</v>
      </c>
      <c r="Y561" s="1">
        <v>682206</v>
      </c>
      <c r="Z561" s="1">
        <v>1403615</v>
      </c>
      <c r="AA561" s="1">
        <v>54</v>
      </c>
      <c r="AB561" s="1">
        <v>14438</v>
      </c>
      <c r="AC561" s="1">
        <v>194534</v>
      </c>
      <c r="AD561" s="1">
        <v>1480571</v>
      </c>
      <c r="AE561" s="1">
        <v>775032</v>
      </c>
      <c r="AG561" s="1">
        <v>10065825</v>
      </c>
      <c r="AH561" s="1">
        <v>23701019</v>
      </c>
      <c r="AI561" s="1">
        <v>64509</v>
      </c>
      <c r="AJ561" s="1">
        <v>118465</v>
      </c>
      <c r="AK561" s="1">
        <v>182974</v>
      </c>
      <c r="AL561" s="1">
        <v>148653</v>
      </c>
      <c r="AM561" s="1">
        <v>447576</v>
      </c>
      <c r="AN561" s="1">
        <v>69676</v>
      </c>
      <c r="AO561" s="1">
        <v>665905</v>
      </c>
      <c r="AP561" s="1">
        <v>848879</v>
      </c>
      <c r="AQ561" s="1">
        <v>95332</v>
      </c>
      <c r="AT561" s="1">
        <v>95332</v>
      </c>
      <c r="AU561" s="1">
        <v>83820</v>
      </c>
      <c r="AV561" s="1">
        <v>179152</v>
      </c>
      <c r="AW561" s="1">
        <v>179152</v>
      </c>
      <c r="AZ561" s="1">
        <v>25444302</v>
      </c>
      <c r="BE561" s="1">
        <v>228571</v>
      </c>
      <c r="BF561" s="1">
        <v>12680</v>
      </c>
      <c r="CG561" s="1">
        <v>67282</v>
      </c>
      <c r="CX561" s="1">
        <v>63990</v>
      </c>
    </row>
    <row r="562" spans="1:127">
      <c r="A562" s="1">
        <v>37</v>
      </c>
      <c r="B562" s="1">
        <v>5105</v>
      </c>
      <c r="C562" s="1" t="s">
        <v>786</v>
      </c>
      <c r="D562" s="1" t="s">
        <v>810</v>
      </c>
      <c r="F562" s="1">
        <v>12355</v>
      </c>
      <c r="J562" s="1">
        <v>105855</v>
      </c>
      <c r="K562" s="1">
        <v>1348961</v>
      </c>
      <c r="O562" s="1">
        <v>1348961</v>
      </c>
      <c r="R562" s="1">
        <v>1827850</v>
      </c>
      <c r="S562" s="1">
        <v>2830998</v>
      </c>
      <c r="W562" s="1">
        <v>2830998</v>
      </c>
      <c r="AD562" s="1">
        <v>74738</v>
      </c>
      <c r="AE562" s="1">
        <v>66415</v>
      </c>
      <c r="AG562" s="1">
        <v>141153</v>
      </c>
      <c r="AH562" s="1">
        <v>2972151</v>
      </c>
      <c r="AJ562" s="1">
        <v>684</v>
      </c>
      <c r="AK562" s="1">
        <v>684</v>
      </c>
      <c r="AN562" s="1">
        <v>5414</v>
      </c>
      <c r="AO562" s="1">
        <v>5414</v>
      </c>
      <c r="AP562" s="1">
        <v>6098</v>
      </c>
      <c r="AZ562" s="1">
        <v>4433065</v>
      </c>
      <c r="BA562" s="1">
        <v>93500</v>
      </c>
      <c r="BC562" s="1">
        <v>976325</v>
      </c>
      <c r="CB562" s="1">
        <v>26823</v>
      </c>
    </row>
    <row r="563" spans="1:127">
      <c r="A563" s="1">
        <v>37</v>
      </c>
      <c r="B563" s="1">
        <v>5110</v>
      </c>
      <c r="C563" s="1" t="s">
        <v>786</v>
      </c>
      <c r="D563" s="1" t="s">
        <v>811</v>
      </c>
      <c r="F563" s="1">
        <v>68776</v>
      </c>
      <c r="I563" s="1">
        <v>1</v>
      </c>
      <c r="J563" s="1">
        <v>84990</v>
      </c>
      <c r="K563" s="1">
        <v>523417</v>
      </c>
      <c r="M563" s="1">
        <v>97990</v>
      </c>
      <c r="O563" s="1">
        <v>621407</v>
      </c>
      <c r="T563" s="1">
        <v>469505</v>
      </c>
      <c r="V563" s="1">
        <v>101206</v>
      </c>
      <c r="W563" s="1">
        <v>8138041</v>
      </c>
      <c r="X563" s="1">
        <v>1780660</v>
      </c>
      <c r="Z563" s="1">
        <v>585159</v>
      </c>
      <c r="AC563" s="1">
        <v>62211</v>
      </c>
      <c r="AD563" s="1">
        <v>910273</v>
      </c>
      <c r="AE563" s="1">
        <v>420383</v>
      </c>
      <c r="AG563" s="1">
        <v>5558912</v>
      </c>
      <c r="AH563" s="1">
        <v>13696953</v>
      </c>
      <c r="AI563" s="1">
        <v>15504</v>
      </c>
      <c r="AJ563" s="1">
        <v>379190</v>
      </c>
      <c r="AK563" s="1">
        <v>394694</v>
      </c>
      <c r="AL563" s="1">
        <v>65715</v>
      </c>
      <c r="AM563" s="1">
        <v>161892</v>
      </c>
      <c r="AN563" s="1">
        <v>266539</v>
      </c>
      <c r="AO563" s="1">
        <v>494146</v>
      </c>
      <c r="AP563" s="1">
        <v>891255</v>
      </c>
      <c r="AZ563" s="1">
        <v>15732508</v>
      </c>
      <c r="BE563" s="1">
        <v>123536</v>
      </c>
      <c r="BF563" s="1">
        <v>2368</v>
      </c>
      <c r="BN563" s="1">
        <v>7047646</v>
      </c>
      <c r="BO563" s="1">
        <v>14247</v>
      </c>
      <c r="BP563" s="1">
        <v>8040</v>
      </c>
      <c r="BQ563" s="1">
        <v>497397</v>
      </c>
      <c r="BR563" s="1">
        <v>551618</v>
      </c>
      <c r="BS563" s="1">
        <v>1122704</v>
      </c>
      <c r="BU563" s="1">
        <v>2415</v>
      </c>
      <c r="BV563" s="1">
        <v>2415</v>
      </c>
      <c r="BY563" s="1">
        <v>437903</v>
      </c>
      <c r="CC563" s="1">
        <v>437903</v>
      </c>
      <c r="CL563" s="1">
        <v>16213</v>
      </c>
    </row>
    <row r="564" spans="1:127">
      <c r="A564" s="1">
        <v>37</v>
      </c>
      <c r="B564" s="1">
        <v>5360</v>
      </c>
      <c r="C564" s="1" t="s">
        <v>786</v>
      </c>
      <c r="D564" s="1" t="s">
        <v>812</v>
      </c>
      <c r="F564" s="1">
        <v>772111</v>
      </c>
      <c r="G564" s="1">
        <v>1054593</v>
      </c>
      <c r="H564" s="1">
        <v>72250</v>
      </c>
      <c r="I564" s="1">
        <v>259676</v>
      </c>
      <c r="J564" s="1">
        <v>2252630</v>
      </c>
      <c r="K564" s="1">
        <v>1469639</v>
      </c>
      <c r="L564" s="1">
        <v>362396</v>
      </c>
      <c r="N564" s="1">
        <v>11026</v>
      </c>
      <c r="O564" s="1">
        <v>1843061</v>
      </c>
      <c r="P564" s="1">
        <v>128747</v>
      </c>
      <c r="Q564" s="1">
        <v>36216741</v>
      </c>
      <c r="R564" s="1">
        <v>200218</v>
      </c>
      <c r="S564" s="1">
        <v>200218</v>
      </c>
      <c r="U564" s="1">
        <v>10257</v>
      </c>
      <c r="V564" s="1">
        <v>457944</v>
      </c>
      <c r="W564" s="1">
        <v>36885160</v>
      </c>
      <c r="X564" s="1">
        <v>20170076</v>
      </c>
      <c r="Y564" s="1">
        <v>2512401</v>
      </c>
      <c r="Z564" s="1">
        <v>2833735</v>
      </c>
      <c r="AA564" s="1">
        <v>11716</v>
      </c>
      <c r="AB564" s="1">
        <v>222118</v>
      </c>
      <c r="AC564" s="1">
        <v>579300</v>
      </c>
      <c r="AD564" s="1">
        <v>3999191</v>
      </c>
      <c r="AE564" s="1">
        <v>2399034</v>
      </c>
      <c r="AG564" s="1">
        <v>33434745</v>
      </c>
      <c r="AH564" s="1">
        <v>70453750</v>
      </c>
      <c r="AJ564" s="1">
        <v>3016</v>
      </c>
      <c r="AK564" s="1">
        <v>3016</v>
      </c>
      <c r="AL564" s="1">
        <v>237871</v>
      </c>
      <c r="AM564" s="1">
        <v>975897</v>
      </c>
      <c r="AN564" s="1">
        <v>194042</v>
      </c>
      <c r="AO564" s="1">
        <v>1407810</v>
      </c>
      <c r="AP564" s="1">
        <v>1410826</v>
      </c>
      <c r="AQ564" s="1">
        <v>1105054</v>
      </c>
      <c r="AT564" s="1">
        <v>1105054</v>
      </c>
      <c r="AU564" s="1">
        <v>907825</v>
      </c>
      <c r="AV564" s="1">
        <v>2017001</v>
      </c>
      <c r="AW564" s="1">
        <v>2017001</v>
      </c>
      <c r="AX564" s="1">
        <v>132869</v>
      </c>
      <c r="AY564" s="1">
        <v>-132869</v>
      </c>
      <c r="AZ564" s="1">
        <v>84199268</v>
      </c>
      <c r="BE564" s="1">
        <v>695543</v>
      </c>
      <c r="BF564" s="1">
        <v>11631</v>
      </c>
      <c r="BH564" s="1">
        <v>5098</v>
      </c>
      <c r="BL564" s="1">
        <v>4122</v>
      </c>
      <c r="BX564" s="1">
        <v>6222000</v>
      </c>
      <c r="BY564" s="1">
        <v>6222000</v>
      </c>
      <c r="CA564" s="1">
        <v>5098</v>
      </c>
      <c r="CL564" s="1">
        <v>94000</v>
      </c>
    </row>
    <row r="565" spans="1:127">
      <c r="A565" s="1">
        <v>37</v>
      </c>
      <c r="B565" s="1">
        <v>5435</v>
      </c>
      <c r="C565" s="1" t="s">
        <v>786</v>
      </c>
      <c r="D565" s="1" t="s">
        <v>813</v>
      </c>
      <c r="F565" s="1">
        <v>142528</v>
      </c>
      <c r="G565" s="1">
        <v>747025</v>
      </c>
      <c r="H565" s="1">
        <v>739033</v>
      </c>
      <c r="I565" s="1">
        <v>53499</v>
      </c>
      <c r="J565" s="1">
        <v>1682085</v>
      </c>
      <c r="K565" s="1">
        <v>271897</v>
      </c>
      <c r="L565" s="1">
        <v>472671</v>
      </c>
      <c r="M565" s="1">
        <v>2271572</v>
      </c>
      <c r="N565" s="1">
        <v>76165</v>
      </c>
      <c r="O565" s="1">
        <v>3092305</v>
      </c>
      <c r="Q565" s="1">
        <v>7544809</v>
      </c>
      <c r="R565" s="1">
        <v>28670</v>
      </c>
      <c r="S565" s="1">
        <v>33420</v>
      </c>
      <c r="U565" s="1">
        <v>8575</v>
      </c>
      <c r="V565" s="1">
        <v>178718</v>
      </c>
      <c r="W565" s="1">
        <v>7765522</v>
      </c>
      <c r="X565" s="1">
        <v>3737004</v>
      </c>
      <c r="Y565" s="1">
        <v>374213</v>
      </c>
      <c r="Z565" s="1">
        <v>467255</v>
      </c>
      <c r="AA565" s="1">
        <v>4672</v>
      </c>
      <c r="AB565" s="1">
        <v>43949</v>
      </c>
      <c r="AC565" s="1">
        <v>99955</v>
      </c>
      <c r="AD565" s="1">
        <v>782405</v>
      </c>
      <c r="AE565" s="1">
        <v>467325</v>
      </c>
      <c r="AG565" s="1">
        <v>6121915</v>
      </c>
      <c r="AH565" s="1">
        <v>13887437</v>
      </c>
      <c r="AJ565" s="1">
        <v>800</v>
      </c>
      <c r="AK565" s="1">
        <v>800</v>
      </c>
      <c r="AL565" s="1">
        <v>27994</v>
      </c>
      <c r="AM565" s="1">
        <v>144188</v>
      </c>
      <c r="AN565" s="1">
        <v>18738</v>
      </c>
      <c r="AO565" s="1">
        <v>190920</v>
      </c>
      <c r="AP565" s="1">
        <v>191720</v>
      </c>
      <c r="AQ565" s="1">
        <v>682671</v>
      </c>
      <c r="AT565" s="1">
        <v>682671</v>
      </c>
      <c r="AU565" s="1">
        <v>266803</v>
      </c>
      <c r="AV565" s="1">
        <v>1055592</v>
      </c>
      <c r="AW565" s="1">
        <v>1055592</v>
      </c>
      <c r="AX565" s="1">
        <v>106118</v>
      </c>
      <c r="AY565" s="1">
        <v>-106118</v>
      </c>
      <c r="AZ565" s="1">
        <v>19909139</v>
      </c>
      <c r="BC565" s="1">
        <v>4750</v>
      </c>
      <c r="BE565" s="1">
        <v>140493</v>
      </c>
      <c r="BF565" s="1">
        <v>4644</v>
      </c>
      <c r="BL565" s="1">
        <v>106118</v>
      </c>
    </row>
    <row r="566" spans="1:127">
      <c r="A566" s="1">
        <v>39</v>
      </c>
      <c r="B566" s="1">
        <v>310</v>
      </c>
      <c r="C566" s="1" t="s">
        <v>814</v>
      </c>
      <c r="D566" s="1" t="s">
        <v>815</v>
      </c>
      <c r="F566" s="1">
        <v>221369</v>
      </c>
      <c r="G566" s="1">
        <v>966186</v>
      </c>
      <c r="H566" s="1">
        <v>308758</v>
      </c>
      <c r="I566" s="1">
        <v>66198</v>
      </c>
      <c r="J566" s="1">
        <v>4001315</v>
      </c>
      <c r="K566" s="1">
        <v>850320</v>
      </c>
      <c r="L566" s="1">
        <v>97097</v>
      </c>
      <c r="M566" s="1">
        <v>19713820</v>
      </c>
      <c r="N566" s="1">
        <v>205418</v>
      </c>
      <c r="O566" s="1">
        <v>20866655</v>
      </c>
      <c r="P566" s="1">
        <v>981600</v>
      </c>
      <c r="Q566" s="1">
        <v>31930028</v>
      </c>
      <c r="R566" s="1">
        <v>3545189</v>
      </c>
      <c r="S566" s="1">
        <v>3645036</v>
      </c>
      <c r="U566" s="1">
        <v>1568</v>
      </c>
      <c r="V566" s="1">
        <v>373821</v>
      </c>
      <c r="W566" s="1">
        <v>35976816</v>
      </c>
      <c r="Y566" s="1">
        <v>468278</v>
      </c>
      <c r="Z566" s="1">
        <v>1089281</v>
      </c>
      <c r="AA566" s="1">
        <v>48858</v>
      </c>
      <c r="AC566" s="1">
        <v>135454</v>
      </c>
      <c r="AD566" s="1">
        <v>2890437</v>
      </c>
      <c r="AE566" s="1">
        <v>1302646</v>
      </c>
      <c r="AG566" s="1">
        <v>6007189</v>
      </c>
      <c r="AH566" s="1">
        <v>44040605</v>
      </c>
      <c r="AJ566" s="1">
        <v>6709</v>
      </c>
      <c r="AK566" s="1">
        <v>6709</v>
      </c>
      <c r="AM566" s="1">
        <v>453246</v>
      </c>
      <c r="AN566" s="1">
        <v>347758</v>
      </c>
      <c r="AO566" s="1">
        <v>806784</v>
      </c>
      <c r="AP566" s="1">
        <v>813493</v>
      </c>
      <c r="AQ566" s="1">
        <v>1600134</v>
      </c>
      <c r="AT566" s="1">
        <v>1600134</v>
      </c>
      <c r="AU566" s="1">
        <v>703894</v>
      </c>
      <c r="AV566" s="1">
        <v>2509028</v>
      </c>
      <c r="AW566" s="1">
        <v>2509028</v>
      </c>
      <c r="AZ566" s="1">
        <v>72231096</v>
      </c>
      <c r="BC566" s="1">
        <v>40580</v>
      </c>
      <c r="BE566" s="1">
        <v>52256</v>
      </c>
      <c r="BF566" s="1">
        <v>19979</v>
      </c>
      <c r="BL566" s="1">
        <v>205000</v>
      </c>
      <c r="CE566" s="1">
        <v>26363</v>
      </c>
      <c r="CG566" s="1">
        <v>1075000</v>
      </c>
      <c r="CL566" s="1">
        <v>2438804</v>
      </c>
      <c r="DE566" s="1">
        <v>5780</v>
      </c>
      <c r="DI566" s="1">
        <v>59267</v>
      </c>
    </row>
    <row r="567" spans="1:127">
      <c r="A567" s="1">
        <v>39</v>
      </c>
      <c r="B567" s="1">
        <v>850</v>
      </c>
      <c r="C567" s="1" t="s">
        <v>814</v>
      </c>
      <c r="D567" s="1" t="s">
        <v>816</v>
      </c>
      <c r="F567" s="1">
        <v>53796</v>
      </c>
      <c r="G567" s="1">
        <v>1057391</v>
      </c>
      <c r="H567" s="1">
        <v>570067</v>
      </c>
      <c r="J567" s="1">
        <v>1681254</v>
      </c>
      <c r="K567" s="1">
        <v>596995</v>
      </c>
      <c r="L567" s="1">
        <v>129933</v>
      </c>
      <c r="M567" s="1">
        <v>13195457</v>
      </c>
      <c r="N567" s="1">
        <v>1111798</v>
      </c>
      <c r="O567" s="1">
        <v>15034183</v>
      </c>
      <c r="Q567" s="1">
        <v>25981824</v>
      </c>
      <c r="R567" s="1">
        <v>1485749</v>
      </c>
      <c r="S567" s="1">
        <v>1485749</v>
      </c>
      <c r="V567" s="1">
        <v>407074</v>
      </c>
      <c r="W567" s="1">
        <v>27874647</v>
      </c>
      <c r="Y567" s="1">
        <v>216430</v>
      </c>
      <c r="Z567" s="1">
        <v>992178</v>
      </c>
      <c r="AA567" s="1">
        <v>28014</v>
      </c>
      <c r="AB567" s="1">
        <v>97102</v>
      </c>
      <c r="AC567" s="1">
        <v>249832</v>
      </c>
      <c r="AD567" s="1">
        <v>2548190</v>
      </c>
      <c r="AE567" s="1">
        <v>1030890</v>
      </c>
      <c r="AG567" s="1">
        <v>5237786</v>
      </c>
      <c r="AH567" s="1">
        <v>33112433</v>
      </c>
      <c r="AJ567" s="1">
        <v>512307</v>
      </c>
      <c r="AK567" s="1">
        <v>512307</v>
      </c>
      <c r="AM567" s="1">
        <v>523064</v>
      </c>
      <c r="AN567" s="1">
        <v>43895</v>
      </c>
      <c r="AO567" s="1">
        <v>566959</v>
      </c>
      <c r="AP567" s="1">
        <v>1099711</v>
      </c>
      <c r="AQ567" s="1">
        <v>889712</v>
      </c>
      <c r="AT567" s="1">
        <v>889712</v>
      </c>
      <c r="AV567" s="1">
        <v>1428144</v>
      </c>
      <c r="AW567" s="1">
        <v>1428144</v>
      </c>
      <c r="AX567" s="1">
        <v>538432</v>
      </c>
      <c r="AY567" s="1">
        <v>-538432</v>
      </c>
      <c r="AZ567" s="1">
        <v>58128317</v>
      </c>
      <c r="BE567" s="1">
        <v>45156</v>
      </c>
      <c r="BF567" s="1">
        <v>11252</v>
      </c>
      <c r="BL567" s="1">
        <v>538432</v>
      </c>
      <c r="BR567" s="1">
        <v>18742</v>
      </c>
      <c r="BU567" s="1">
        <v>20445</v>
      </c>
      <c r="BV567" s="1">
        <v>20445</v>
      </c>
      <c r="BX567" s="1">
        <v>684000</v>
      </c>
      <c r="BY567" s="1">
        <v>5772592</v>
      </c>
      <c r="CI567" s="1">
        <v>5088592</v>
      </c>
    </row>
    <row r="568" spans="1:127">
      <c r="A568" s="1">
        <v>39</v>
      </c>
      <c r="B568" s="1">
        <v>980</v>
      </c>
      <c r="C568" s="1" t="s">
        <v>814</v>
      </c>
      <c r="D568" s="1" t="s">
        <v>817</v>
      </c>
      <c r="F568" s="1">
        <v>793892</v>
      </c>
      <c r="G568" s="1">
        <v>218647</v>
      </c>
      <c r="I568" s="1">
        <v>1</v>
      </c>
      <c r="J568" s="1">
        <v>1012540</v>
      </c>
      <c r="K568" s="1">
        <v>892352</v>
      </c>
      <c r="L568" s="1">
        <v>385000</v>
      </c>
      <c r="M568" s="1">
        <v>109375</v>
      </c>
      <c r="N568" s="1">
        <v>2</v>
      </c>
      <c r="O568" s="1">
        <v>1386729</v>
      </c>
      <c r="Q568" s="1">
        <v>39872851</v>
      </c>
      <c r="R568" s="1">
        <v>2642718</v>
      </c>
      <c r="S568" s="1">
        <v>2690009</v>
      </c>
      <c r="V568" s="1">
        <v>375215</v>
      </c>
      <c r="W568" s="1">
        <v>42977167</v>
      </c>
      <c r="Z568" s="1">
        <v>2287806</v>
      </c>
      <c r="AB568" s="1">
        <v>185866</v>
      </c>
      <c r="AC568" s="1">
        <v>374035</v>
      </c>
      <c r="AD568" s="1">
        <v>3677280</v>
      </c>
      <c r="AE568" s="1">
        <v>1787468</v>
      </c>
      <c r="AG568" s="1">
        <v>8418091</v>
      </c>
      <c r="AH568" s="1">
        <v>51750918</v>
      </c>
      <c r="AJ568" s="1">
        <v>192771</v>
      </c>
      <c r="AK568" s="1">
        <v>192771</v>
      </c>
      <c r="AM568" s="1">
        <v>773132</v>
      </c>
      <c r="AN568" s="1">
        <v>137105</v>
      </c>
      <c r="AO568" s="1">
        <v>910237</v>
      </c>
      <c r="AP568" s="1">
        <v>1160052</v>
      </c>
      <c r="AQ568" s="1">
        <v>348627</v>
      </c>
      <c r="AT568" s="1">
        <v>348627</v>
      </c>
      <c r="AV568" s="1">
        <v>348627</v>
      </c>
      <c r="AW568" s="1">
        <v>348627</v>
      </c>
      <c r="AZ568" s="1">
        <v>55665761</v>
      </c>
      <c r="BC568" s="1">
        <v>33555</v>
      </c>
      <c r="BE568" s="1">
        <v>79855</v>
      </c>
      <c r="BF568" s="1">
        <v>25781</v>
      </c>
      <c r="BQ568" s="1">
        <v>39092</v>
      </c>
      <c r="BU568" s="1">
        <v>57044</v>
      </c>
      <c r="BV568" s="1">
        <v>57044</v>
      </c>
      <c r="BY568" s="1">
        <v>6895</v>
      </c>
      <c r="CG568" s="1">
        <v>355660</v>
      </c>
      <c r="CI568" s="1">
        <v>6895</v>
      </c>
      <c r="DI568" s="1">
        <v>13736</v>
      </c>
    </row>
    <row r="569" spans="1:127">
      <c r="A569" s="1">
        <v>39</v>
      </c>
      <c r="B569" s="1">
        <v>1320</v>
      </c>
      <c r="C569" s="1" t="s">
        <v>814</v>
      </c>
      <c r="D569" s="1" t="s">
        <v>818</v>
      </c>
      <c r="F569" s="1">
        <v>5001251</v>
      </c>
      <c r="G569" s="1">
        <v>4444472</v>
      </c>
      <c r="J569" s="1">
        <v>9445723</v>
      </c>
      <c r="K569" s="1">
        <v>6407997</v>
      </c>
      <c r="L569" s="1">
        <v>11875000</v>
      </c>
      <c r="O569" s="1">
        <v>18282997</v>
      </c>
      <c r="Q569" s="1">
        <v>37165104</v>
      </c>
      <c r="S569" s="1">
        <v>1252</v>
      </c>
      <c r="V569" s="1">
        <v>4184358</v>
      </c>
      <c r="W569" s="1">
        <v>41350714</v>
      </c>
      <c r="X569" s="1">
        <v>107387646</v>
      </c>
      <c r="Y569" s="1">
        <v>1986412</v>
      </c>
      <c r="Z569" s="1">
        <v>11424363</v>
      </c>
      <c r="AA569" s="1">
        <v>4554454</v>
      </c>
      <c r="AB569" s="1">
        <v>810881</v>
      </c>
      <c r="AC569" s="1">
        <v>2281957</v>
      </c>
      <c r="AD569" s="1">
        <v>16958023</v>
      </c>
      <c r="AE569" s="1">
        <v>11398234</v>
      </c>
      <c r="AG569" s="1">
        <v>262480491</v>
      </c>
      <c r="AH569" s="1">
        <v>352219181</v>
      </c>
      <c r="AJ569" s="1">
        <v>11492345</v>
      </c>
      <c r="AK569" s="1">
        <v>55254601</v>
      </c>
      <c r="AL569" s="1">
        <v>8079663</v>
      </c>
      <c r="AM569" s="1">
        <v>5253255</v>
      </c>
      <c r="AN569" s="1">
        <v>6156293</v>
      </c>
      <c r="AO569" s="1">
        <v>19732987</v>
      </c>
      <c r="AP569" s="1">
        <v>78208684</v>
      </c>
      <c r="AZ569" s="1">
        <v>458156585</v>
      </c>
      <c r="BC569" s="1">
        <v>1252</v>
      </c>
      <c r="BG569" s="1">
        <v>1790</v>
      </c>
      <c r="BH569" s="1">
        <v>523555</v>
      </c>
      <c r="BI569" s="1">
        <v>34564237</v>
      </c>
      <c r="BJ569" s="1">
        <v>9198019</v>
      </c>
      <c r="BU569" s="1">
        <v>200306</v>
      </c>
      <c r="BV569" s="1">
        <v>200306</v>
      </c>
      <c r="BW569" s="1">
        <v>221674</v>
      </c>
      <c r="CA569" s="1">
        <v>521765</v>
      </c>
      <c r="CF569" s="1">
        <v>13017568</v>
      </c>
      <c r="CG569" s="1">
        <v>47864421</v>
      </c>
      <c r="CO569" s="1">
        <v>92660953</v>
      </c>
      <c r="CQ569" s="1">
        <v>3020790</v>
      </c>
      <c r="DG569" s="1">
        <v>22102</v>
      </c>
    </row>
    <row r="570" spans="1:127">
      <c r="A570" s="1">
        <v>39</v>
      </c>
      <c r="B570" s="1">
        <v>1710</v>
      </c>
      <c r="C570" s="1" t="s">
        <v>814</v>
      </c>
      <c r="D570" s="1" t="s">
        <v>819</v>
      </c>
      <c r="F570" s="1">
        <v>69338</v>
      </c>
      <c r="G570" s="1">
        <v>498756</v>
      </c>
      <c r="I570" s="1">
        <v>208576</v>
      </c>
      <c r="J570" s="1">
        <v>945716</v>
      </c>
      <c r="K570" s="1">
        <v>123528</v>
      </c>
      <c r="L570" s="1">
        <v>593345</v>
      </c>
      <c r="M570" s="1">
        <v>1089619</v>
      </c>
      <c r="N570" s="1">
        <v>33024</v>
      </c>
      <c r="O570" s="1">
        <v>1839516</v>
      </c>
      <c r="Q570" s="1">
        <v>5240944</v>
      </c>
      <c r="U570" s="1">
        <v>11007</v>
      </c>
      <c r="V570" s="1">
        <v>459295</v>
      </c>
      <c r="W570" s="1">
        <v>5711246</v>
      </c>
      <c r="Y570" s="1">
        <v>127216</v>
      </c>
      <c r="Z570" s="1">
        <v>328683</v>
      </c>
      <c r="AB570" s="1">
        <v>44730</v>
      </c>
      <c r="AD570" s="1">
        <v>319692</v>
      </c>
      <c r="AE570" s="1">
        <v>161808</v>
      </c>
      <c r="AG570" s="1">
        <v>1060247</v>
      </c>
      <c r="AH570" s="1">
        <v>6771493</v>
      </c>
      <c r="AL570" s="1">
        <v>28419</v>
      </c>
      <c r="AM570" s="1">
        <v>115132</v>
      </c>
      <c r="AN570" s="1">
        <v>7173</v>
      </c>
      <c r="AO570" s="1">
        <v>150724</v>
      </c>
      <c r="AP570" s="1">
        <v>153006</v>
      </c>
      <c r="AQ570" s="1">
        <v>505580</v>
      </c>
      <c r="AR570" s="1">
        <v>99041</v>
      </c>
      <c r="AS570" s="1">
        <v>99041</v>
      </c>
      <c r="AT570" s="1">
        <v>604621</v>
      </c>
      <c r="AV570" s="1">
        <v>604621</v>
      </c>
      <c r="AW570" s="1">
        <v>604621</v>
      </c>
      <c r="AZ570" s="1">
        <v>10314352</v>
      </c>
      <c r="BF570" s="1">
        <v>78118</v>
      </c>
      <c r="BU570" s="1">
        <v>2282</v>
      </c>
      <c r="BV570" s="1">
        <v>2282</v>
      </c>
      <c r="CL570" s="1">
        <v>169046</v>
      </c>
    </row>
    <row r="571" spans="1:127">
      <c r="A571" s="1">
        <v>39</v>
      </c>
      <c r="B571" s="1">
        <v>2190</v>
      </c>
      <c r="C571" s="1" t="s">
        <v>814</v>
      </c>
      <c r="D571" s="1" t="s">
        <v>820</v>
      </c>
      <c r="F571" s="1">
        <v>2468882</v>
      </c>
      <c r="I571" s="1">
        <v>41890</v>
      </c>
      <c r="J571" s="1">
        <v>2862208</v>
      </c>
      <c r="K571" s="1">
        <v>1117874</v>
      </c>
      <c r="L571" s="1">
        <v>1645706</v>
      </c>
      <c r="M571" s="1">
        <v>30830</v>
      </c>
      <c r="O571" s="1">
        <v>2794410</v>
      </c>
      <c r="P571" s="1">
        <v>30830</v>
      </c>
      <c r="Q571" s="1">
        <v>23742459</v>
      </c>
      <c r="R571" s="1">
        <v>1599344</v>
      </c>
      <c r="S571" s="1">
        <v>1599344</v>
      </c>
      <c r="W571" s="1">
        <v>25774508</v>
      </c>
      <c r="X571" s="1">
        <v>6751939</v>
      </c>
      <c r="Y571" s="1">
        <v>329576</v>
      </c>
      <c r="Z571" s="1">
        <v>1943669</v>
      </c>
      <c r="AA571" s="1">
        <v>145820</v>
      </c>
      <c r="AB571" s="1">
        <v>318529</v>
      </c>
      <c r="AC571" s="1">
        <v>366355</v>
      </c>
      <c r="AD571" s="1">
        <v>2533917</v>
      </c>
      <c r="AE571" s="1">
        <v>1433892</v>
      </c>
      <c r="AG571" s="1">
        <v>17701073</v>
      </c>
      <c r="AH571" s="1">
        <v>43542857</v>
      </c>
      <c r="AJ571" s="1">
        <v>364027</v>
      </c>
      <c r="AK571" s="1">
        <v>3268045</v>
      </c>
      <c r="AL571" s="1">
        <v>239672</v>
      </c>
      <c r="AM571" s="1">
        <v>857356</v>
      </c>
      <c r="AN571" s="1">
        <v>771685</v>
      </c>
      <c r="AO571" s="1">
        <v>1868713</v>
      </c>
      <c r="AP571" s="1">
        <v>5229984</v>
      </c>
      <c r="AY571" s="1">
        <v>-30830</v>
      </c>
      <c r="AZ571" s="1">
        <v>54661565</v>
      </c>
      <c r="BE571" s="1">
        <v>426722</v>
      </c>
      <c r="BF571" s="1">
        <v>9669</v>
      </c>
      <c r="BH571" s="1">
        <v>36446</v>
      </c>
      <c r="BI571" s="1">
        <v>1606053</v>
      </c>
      <c r="BJ571" s="1">
        <v>1297965</v>
      </c>
      <c r="BQ571" s="1">
        <v>432705</v>
      </c>
      <c r="BU571" s="1">
        <v>93226</v>
      </c>
      <c r="BV571" s="1">
        <v>93226</v>
      </c>
      <c r="BY571" s="1">
        <v>232106</v>
      </c>
      <c r="CA571" s="1">
        <v>36446</v>
      </c>
      <c r="CF571" s="1">
        <v>1691712</v>
      </c>
      <c r="CI571" s="1">
        <v>262936</v>
      </c>
      <c r="CL571" s="1">
        <v>351436</v>
      </c>
      <c r="DW571" s="1">
        <v>1749273</v>
      </c>
    </row>
    <row r="572" spans="1:127">
      <c r="A572" s="1">
        <v>39</v>
      </c>
      <c r="B572" s="1">
        <v>2420</v>
      </c>
      <c r="C572" s="1" t="s">
        <v>814</v>
      </c>
      <c r="D572" s="1" t="s">
        <v>821</v>
      </c>
      <c r="F572" s="1">
        <v>15521</v>
      </c>
      <c r="G572" s="1">
        <v>61523</v>
      </c>
      <c r="I572" s="1">
        <v>1</v>
      </c>
      <c r="J572" s="1">
        <v>77045</v>
      </c>
      <c r="K572" s="1">
        <v>398698</v>
      </c>
      <c r="L572" s="1">
        <v>222643</v>
      </c>
      <c r="N572" s="1">
        <v>2</v>
      </c>
      <c r="O572" s="1">
        <v>621343</v>
      </c>
      <c r="Q572" s="1">
        <v>14133275</v>
      </c>
      <c r="S572" s="1">
        <v>383712</v>
      </c>
      <c r="V572" s="1">
        <v>521603</v>
      </c>
      <c r="W572" s="1">
        <v>15038590</v>
      </c>
      <c r="Y572" s="1">
        <v>91893</v>
      </c>
      <c r="Z572" s="1">
        <v>551086</v>
      </c>
      <c r="AA572" s="1">
        <v>15202</v>
      </c>
      <c r="AB572" s="1">
        <v>68513</v>
      </c>
      <c r="AC572" s="1">
        <v>145598</v>
      </c>
      <c r="AD572" s="1">
        <v>964993</v>
      </c>
      <c r="AE572" s="1">
        <v>601342</v>
      </c>
      <c r="AG572" s="1">
        <v>3575904</v>
      </c>
      <c r="AH572" s="1">
        <v>18614494</v>
      </c>
      <c r="AI572" s="1">
        <v>23616</v>
      </c>
      <c r="AJ572" s="1">
        <v>216891</v>
      </c>
      <c r="AK572" s="1">
        <v>240507</v>
      </c>
      <c r="AL572" s="1">
        <v>132332</v>
      </c>
      <c r="AM572" s="1">
        <v>288029</v>
      </c>
      <c r="AN572" s="1">
        <v>41766</v>
      </c>
      <c r="AO572" s="1">
        <v>462127</v>
      </c>
      <c r="AP572" s="1">
        <v>761963</v>
      </c>
      <c r="AQ572" s="1">
        <v>294667</v>
      </c>
      <c r="AT572" s="1">
        <v>294667</v>
      </c>
      <c r="AU572" s="1">
        <v>123675</v>
      </c>
      <c r="AV572" s="1">
        <v>418342</v>
      </c>
      <c r="AW572" s="1">
        <v>418342</v>
      </c>
      <c r="AZ572" s="1">
        <v>20493187</v>
      </c>
      <c r="BC572" s="1">
        <v>383712</v>
      </c>
      <c r="BE572" s="1">
        <v>53207</v>
      </c>
      <c r="BF572" s="1">
        <v>106241</v>
      </c>
      <c r="BR572" s="1">
        <v>91573</v>
      </c>
      <c r="BU572" s="1">
        <v>59329</v>
      </c>
      <c r="BV572" s="1">
        <v>59329</v>
      </c>
      <c r="CH572" s="1">
        <v>886256</v>
      </c>
    </row>
    <row r="573" spans="1:127">
      <c r="A573" s="1">
        <v>39</v>
      </c>
      <c r="B573" s="1">
        <v>2660</v>
      </c>
      <c r="C573" s="1" t="s">
        <v>814</v>
      </c>
      <c r="D573" s="1" t="s">
        <v>822</v>
      </c>
      <c r="F573" s="1">
        <v>480186</v>
      </c>
      <c r="G573" s="1">
        <v>1290616</v>
      </c>
      <c r="I573" s="1">
        <v>2666714</v>
      </c>
      <c r="J573" s="1">
        <v>4460556</v>
      </c>
      <c r="K573" s="1">
        <v>1460553</v>
      </c>
      <c r="L573" s="1">
        <v>2500000</v>
      </c>
      <c r="M573" s="1">
        <v>1330455</v>
      </c>
      <c r="O573" s="1">
        <v>5291008</v>
      </c>
      <c r="Q573" s="1">
        <v>68458631</v>
      </c>
      <c r="S573" s="1">
        <v>40048</v>
      </c>
      <c r="U573" s="1">
        <v>98545</v>
      </c>
      <c r="V573" s="1">
        <v>1310574</v>
      </c>
      <c r="W573" s="1">
        <v>69908964</v>
      </c>
      <c r="X573" s="1">
        <v>4626218</v>
      </c>
      <c r="Y573" s="1">
        <v>951769</v>
      </c>
      <c r="Z573" s="1">
        <v>4613942</v>
      </c>
      <c r="AA573" s="1">
        <v>402708</v>
      </c>
      <c r="AB573" s="1">
        <v>309873</v>
      </c>
      <c r="AC573" s="1">
        <v>673880</v>
      </c>
      <c r="AD573" s="1">
        <v>5447323</v>
      </c>
      <c r="AE573" s="1">
        <v>2911519</v>
      </c>
      <c r="AG573" s="1">
        <v>20961354</v>
      </c>
      <c r="AH573" s="1">
        <v>90870318</v>
      </c>
      <c r="AJ573" s="1">
        <v>384871</v>
      </c>
      <c r="AK573" s="1">
        <v>5745434</v>
      </c>
      <c r="AL573" s="1">
        <v>827175</v>
      </c>
      <c r="AM573" s="1">
        <v>1508270</v>
      </c>
      <c r="AN573" s="1">
        <v>2383138</v>
      </c>
      <c r="AO573" s="1">
        <v>4856958</v>
      </c>
      <c r="AP573" s="1">
        <v>10889280</v>
      </c>
      <c r="AZ573" s="1">
        <v>112282157</v>
      </c>
      <c r="BB573" s="1">
        <v>23040</v>
      </c>
      <c r="BC573" s="1">
        <v>40048</v>
      </c>
      <c r="BD573" s="1">
        <v>5726</v>
      </c>
      <c r="BE573" s="1">
        <v>492147</v>
      </c>
      <c r="BF573" s="1">
        <v>526249</v>
      </c>
      <c r="BI573" s="1">
        <v>3047743</v>
      </c>
      <c r="BJ573" s="1">
        <v>1871015</v>
      </c>
      <c r="BK573" s="1">
        <v>37485</v>
      </c>
      <c r="BQ573" s="1">
        <v>1166</v>
      </c>
      <c r="BU573" s="1">
        <v>286888</v>
      </c>
      <c r="BV573" s="1">
        <v>286888</v>
      </c>
      <c r="BW573" s="1">
        <v>100890</v>
      </c>
      <c r="BY573" s="1">
        <v>770995</v>
      </c>
      <c r="CC573" s="1">
        <v>770995</v>
      </c>
      <c r="CU573" s="1">
        <v>252687</v>
      </c>
      <c r="CW573" s="1">
        <v>189118</v>
      </c>
    </row>
    <row r="574" spans="1:127">
      <c r="A574" s="1">
        <v>39</v>
      </c>
      <c r="B574" s="1">
        <v>3395</v>
      </c>
      <c r="C574" s="1" t="s">
        <v>814</v>
      </c>
      <c r="D574" s="1" t="s">
        <v>823</v>
      </c>
      <c r="F574" s="1">
        <v>60615</v>
      </c>
      <c r="J574" s="1">
        <v>15053581</v>
      </c>
      <c r="K574" s="1">
        <v>10675777</v>
      </c>
      <c r="M574" s="1">
        <v>6450102</v>
      </c>
      <c r="O574" s="1">
        <v>17125879</v>
      </c>
      <c r="P574" s="1">
        <v>5890</v>
      </c>
      <c r="R574" s="1">
        <v>23541286</v>
      </c>
      <c r="S574" s="1">
        <v>23541286</v>
      </c>
      <c r="V574" s="1">
        <v>1957864</v>
      </c>
      <c r="W574" s="1">
        <v>25499150</v>
      </c>
      <c r="AD574" s="1">
        <v>664430</v>
      </c>
      <c r="AE574" s="1">
        <v>628732</v>
      </c>
      <c r="AG574" s="1">
        <v>1293162</v>
      </c>
      <c r="AH574" s="1">
        <v>27348202</v>
      </c>
      <c r="AJ574" s="1">
        <v>5197</v>
      </c>
      <c r="AK574" s="1">
        <v>5197</v>
      </c>
      <c r="AN574" s="1">
        <v>44080</v>
      </c>
      <c r="AO574" s="1">
        <v>44080</v>
      </c>
      <c r="AP574" s="1">
        <v>57555</v>
      </c>
      <c r="AX574" s="1">
        <v>469655</v>
      </c>
      <c r="AY574" s="1">
        <v>-5890</v>
      </c>
      <c r="AZ574" s="1">
        <v>60048982</v>
      </c>
      <c r="BU574" s="1">
        <v>8278</v>
      </c>
      <c r="BV574" s="1">
        <v>8278</v>
      </c>
      <c r="BY574" s="1">
        <v>463765</v>
      </c>
      <c r="CG574" s="1">
        <v>550000</v>
      </c>
      <c r="CL574" s="1">
        <v>14992966</v>
      </c>
    </row>
    <row r="575" spans="1:127">
      <c r="A575" s="1">
        <v>39</v>
      </c>
      <c r="B575" s="1">
        <v>3470</v>
      </c>
      <c r="C575" s="1" t="s">
        <v>814</v>
      </c>
      <c r="D575" s="1" t="s">
        <v>824</v>
      </c>
      <c r="F575" s="1">
        <v>36519</v>
      </c>
      <c r="G575" s="1">
        <v>431156</v>
      </c>
      <c r="H575" s="1">
        <v>509858</v>
      </c>
      <c r="I575" s="1">
        <v>651472</v>
      </c>
      <c r="J575" s="1">
        <v>1629005</v>
      </c>
      <c r="K575" s="1">
        <v>333320</v>
      </c>
      <c r="L575" s="1">
        <v>147369</v>
      </c>
      <c r="M575" s="1">
        <v>330196</v>
      </c>
      <c r="O575" s="1">
        <v>810885</v>
      </c>
      <c r="P575" s="1">
        <v>9860</v>
      </c>
      <c r="Q575" s="1">
        <v>10884860</v>
      </c>
      <c r="S575" s="1">
        <v>26950</v>
      </c>
      <c r="V575" s="1">
        <v>1267709</v>
      </c>
      <c r="W575" s="1">
        <v>12179519</v>
      </c>
      <c r="Y575" s="1">
        <v>126001</v>
      </c>
      <c r="Z575" s="1">
        <v>384122</v>
      </c>
      <c r="AA575" s="1">
        <v>2354</v>
      </c>
      <c r="AB575" s="1">
        <v>65335</v>
      </c>
      <c r="AC575" s="1">
        <v>57332</v>
      </c>
      <c r="AD575" s="1">
        <v>616671</v>
      </c>
      <c r="AE575" s="1">
        <v>353521</v>
      </c>
      <c r="AG575" s="1">
        <v>1688751</v>
      </c>
      <c r="AH575" s="1">
        <v>13878130</v>
      </c>
      <c r="AJ575" s="1">
        <v>452</v>
      </c>
      <c r="AK575" s="1">
        <v>452</v>
      </c>
      <c r="AM575" s="1">
        <v>147164</v>
      </c>
      <c r="AN575" s="1">
        <v>27682</v>
      </c>
      <c r="AO575" s="1">
        <v>174846</v>
      </c>
      <c r="AP575" s="1">
        <v>185026</v>
      </c>
      <c r="AQ575" s="1">
        <v>391573</v>
      </c>
      <c r="AT575" s="1">
        <v>391573</v>
      </c>
      <c r="AV575" s="1">
        <v>391573</v>
      </c>
      <c r="AW575" s="1">
        <v>391573</v>
      </c>
      <c r="AX575" s="1">
        <v>9860</v>
      </c>
      <c r="AY575" s="1">
        <v>-9860</v>
      </c>
      <c r="AZ575" s="1">
        <v>16894619</v>
      </c>
      <c r="BE575" s="1">
        <v>17094</v>
      </c>
      <c r="BF575" s="1">
        <v>66321</v>
      </c>
      <c r="BU575" s="1">
        <v>9728</v>
      </c>
      <c r="BV575" s="1">
        <v>9728</v>
      </c>
      <c r="CB575" s="1">
        <v>26950</v>
      </c>
      <c r="CJ575" s="1">
        <v>657227</v>
      </c>
    </row>
    <row r="576" spans="1:127">
      <c r="A576" s="1">
        <v>39</v>
      </c>
      <c r="B576" s="1">
        <v>3560</v>
      </c>
      <c r="C576" s="1" t="s">
        <v>814</v>
      </c>
      <c r="D576" s="1" t="s">
        <v>826</v>
      </c>
      <c r="F576" s="1">
        <v>1061889</v>
      </c>
      <c r="G576" s="1">
        <v>870052</v>
      </c>
      <c r="H576" s="1">
        <v>67372</v>
      </c>
      <c r="I576" s="1">
        <v>93</v>
      </c>
      <c r="J576" s="1">
        <v>4811882</v>
      </c>
      <c r="K576" s="1">
        <v>530547</v>
      </c>
      <c r="M576" s="1">
        <v>10626367</v>
      </c>
      <c r="O576" s="1">
        <v>11156914</v>
      </c>
      <c r="Q576" s="1">
        <v>26562548</v>
      </c>
      <c r="R576" s="1">
        <v>12283</v>
      </c>
      <c r="S576" s="1">
        <v>42730</v>
      </c>
      <c r="V576" s="1">
        <v>311706</v>
      </c>
      <c r="W576" s="1">
        <v>26916984</v>
      </c>
      <c r="Y576" s="1">
        <v>94042</v>
      </c>
      <c r="Z576" s="1">
        <v>993490</v>
      </c>
      <c r="AA576" s="1">
        <v>25660</v>
      </c>
      <c r="AB576" s="1">
        <v>120402</v>
      </c>
      <c r="AC576" s="1">
        <v>142866</v>
      </c>
      <c r="AD576" s="1">
        <v>2141254</v>
      </c>
      <c r="AE576" s="1">
        <v>1038340</v>
      </c>
      <c r="AG576" s="1">
        <v>4685726</v>
      </c>
      <c r="AH576" s="1">
        <v>31602710</v>
      </c>
      <c r="AJ576" s="1">
        <v>167169</v>
      </c>
      <c r="AK576" s="1">
        <v>167169</v>
      </c>
      <c r="AM576" s="1">
        <v>417418</v>
      </c>
      <c r="AN576" s="1">
        <v>48381</v>
      </c>
      <c r="AO576" s="1">
        <v>465799</v>
      </c>
      <c r="AP576" s="1">
        <v>632968</v>
      </c>
      <c r="AQ576" s="1">
        <v>790769</v>
      </c>
      <c r="AT576" s="1">
        <v>790769</v>
      </c>
      <c r="AU576" s="1">
        <v>100604</v>
      </c>
      <c r="AV576" s="1">
        <v>891373</v>
      </c>
      <c r="AW576" s="1">
        <v>891373</v>
      </c>
      <c r="AX576" s="1">
        <v>493147</v>
      </c>
      <c r="AZ576" s="1">
        <v>49588994</v>
      </c>
      <c r="BA576" s="1">
        <v>214628</v>
      </c>
      <c r="BC576" s="1">
        <v>30447</v>
      </c>
      <c r="BE576" s="1">
        <v>40361</v>
      </c>
      <c r="BR576" s="1">
        <v>89311</v>
      </c>
      <c r="BY576" s="1">
        <v>493147</v>
      </c>
      <c r="CL576" s="1">
        <v>2597848</v>
      </c>
    </row>
    <row r="577" spans="1:116">
      <c r="A577" s="1">
        <v>39</v>
      </c>
      <c r="B577" s="1">
        <v>4160</v>
      </c>
      <c r="C577" s="1" t="s">
        <v>814</v>
      </c>
      <c r="D577" s="1" t="s">
        <v>827</v>
      </c>
      <c r="F577" s="1">
        <v>815757</v>
      </c>
      <c r="J577" s="1">
        <v>843538</v>
      </c>
      <c r="K577" s="1">
        <v>2304856</v>
      </c>
      <c r="L577" s="1">
        <v>4623478</v>
      </c>
      <c r="M577" s="1">
        <v>279418</v>
      </c>
      <c r="O577" s="1">
        <v>7207752</v>
      </c>
      <c r="Q577" s="1">
        <v>17683906</v>
      </c>
      <c r="R577" s="1">
        <v>239006</v>
      </c>
      <c r="S577" s="1">
        <v>239006</v>
      </c>
      <c r="W577" s="1">
        <v>21225235</v>
      </c>
      <c r="X577" s="1">
        <v>37971450</v>
      </c>
      <c r="Y577" s="1">
        <v>1384339</v>
      </c>
      <c r="Z577" s="1">
        <v>4391601</v>
      </c>
      <c r="AA577" s="1">
        <v>1421984</v>
      </c>
      <c r="AB577" s="1">
        <v>152820</v>
      </c>
      <c r="AC577" s="1">
        <v>959797</v>
      </c>
      <c r="AD577" s="1">
        <v>7392522</v>
      </c>
      <c r="AE577" s="1">
        <v>3822051</v>
      </c>
      <c r="AG577" s="1">
        <v>101685774</v>
      </c>
      <c r="AH577" s="1">
        <v>122943006</v>
      </c>
      <c r="AJ577" s="1">
        <v>1524404</v>
      </c>
      <c r="AK577" s="1">
        <v>18604727</v>
      </c>
      <c r="AL577" s="1">
        <v>2802401</v>
      </c>
      <c r="AM577" s="1">
        <v>1636422</v>
      </c>
      <c r="AN577" s="1">
        <v>1568937</v>
      </c>
      <c r="AO577" s="1">
        <v>6007760</v>
      </c>
      <c r="AP577" s="1">
        <v>24629797</v>
      </c>
      <c r="AQ577" s="1">
        <v>1053201</v>
      </c>
      <c r="AT577" s="1">
        <v>1053201</v>
      </c>
      <c r="AU577" s="1">
        <v>1387634</v>
      </c>
      <c r="AV577" s="1">
        <v>2795616</v>
      </c>
      <c r="AW577" s="1">
        <v>2795616</v>
      </c>
      <c r="AX577" s="1">
        <v>47582</v>
      </c>
      <c r="AY577" s="1">
        <v>-354781</v>
      </c>
      <c r="AZ577" s="1">
        <v>171882333</v>
      </c>
      <c r="BG577" s="1">
        <v>1721</v>
      </c>
      <c r="BH577" s="1">
        <v>31997</v>
      </c>
      <c r="BI577" s="1">
        <v>6170896</v>
      </c>
      <c r="BJ577" s="1">
        <v>3204577</v>
      </c>
      <c r="BL577" s="1">
        <v>354781</v>
      </c>
      <c r="BQ577" s="1">
        <v>3302323</v>
      </c>
      <c r="BU577" s="1">
        <v>17310</v>
      </c>
      <c r="BV577" s="1">
        <v>17310</v>
      </c>
      <c r="BY577" s="1">
        <v>13462624</v>
      </c>
      <c r="CA577" s="1">
        <v>30276</v>
      </c>
      <c r="CF577" s="1">
        <v>7068424</v>
      </c>
      <c r="CI577" s="1">
        <v>13769823</v>
      </c>
      <c r="CL577" s="1">
        <v>27781</v>
      </c>
      <c r="CO577" s="1">
        <v>37120786</v>
      </c>
      <c r="CP577" s="1">
        <v>7404850</v>
      </c>
      <c r="CW577" s="1">
        <v>300000</v>
      </c>
    </row>
    <row r="578" spans="1:116">
      <c r="A578" s="1">
        <v>39</v>
      </c>
      <c r="B578" s="1">
        <v>4290</v>
      </c>
      <c r="C578" s="1" t="s">
        <v>814</v>
      </c>
      <c r="D578" s="1" t="s">
        <v>828</v>
      </c>
      <c r="F578" s="1">
        <v>6235</v>
      </c>
      <c r="H578" s="1">
        <v>626428</v>
      </c>
      <c r="I578" s="1">
        <v>346456</v>
      </c>
      <c r="J578" s="1">
        <v>1090725</v>
      </c>
      <c r="K578" s="1">
        <v>125088</v>
      </c>
      <c r="L578" s="1">
        <v>400000</v>
      </c>
      <c r="M578" s="1">
        <v>839318</v>
      </c>
      <c r="N578" s="1">
        <v>1</v>
      </c>
      <c r="O578" s="1">
        <v>1364407</v>
      </c>
      <c r="Q578" s="1">
        <v>31181917</v>
      </c>
      <c r="S578" s="1">
        <v>37654</v>
      </c>
      <c r="U578" s="1">
        <v>13858</v>
      </c>
      <c r="V578" s="1">
        <v>231531</v>
      </c>
      <c r="W578" s="1">
        <v>31464960</v>
      </c>
      <c r="X578" s="1">
        <v>7409197</v>
      </c>
      <c r="Y578" s="1">
        <v>709149</v>
      </c>
      <c r="Z578" s="1">
        <v>3053951</v>
      </c>
      <c r="AA578" s="1">
        <v>167670</v>
      </c>
      <c r="AB578" s="1">
        <v>119559</v>
      </c>
      <c r="AC578" s="1">
        <v>432955</v>
      </c>
      <c r="AD578" s="1">
        <v>3595223</v>
      </c>
      <c r="AE578" s="1">
        <v>1753910</v>
      </c>
      <c r="AG578" s="1">
        <v>18030288</v>
      </c>
      <c r="AH578" s="1">
        <v>49929406</v>
      </c>
      <c r="AJ578" s="1">
        <v>123514</v>
      </c>
      <c r="AK578" s="1">
        <v>3189110</v>
      </c>
      <c r="AL578" s="1">
        <v>553395</v>
      </c>
      <c r="AM578" s="1">
        <v>973845</v>
      </c>
      <c r="AN578" s="1">
        <v>360096</v>
      </c>
      <c r="AO578" s="1">
        <v>1887336</v>
      </c>
      <c r="AP578" s="1">
        <v>5201133</v>
      </c>
      <c r="AQ578" s="1">
        <v>1424930</v>
      </c>
      <c r="AT578" s="1">
        <v>1424930</v>
      </c>
      <c r="AU578" s="1">
        <v>406224</v>
      </c>
      <c r="AV578" s="1">
        <v>2611239</v>
      </c>
      <c r="AW578" s="1">
        <v>2611239</v>
      </c>
      <c r="AX578" s="1">
        <v>24161</v>
      </c>
      <c r="AY578" s="1">
        <v>-605258</v>
      </c>
      <c r="AZ578" s="1">
        <v>59656982</v>
      </c>
      <c r="BC578" s="1">
        <v>37654</v>
      </c>
      <c r="BE578" s="1">
        <v>445066</v>
      </c>
      <c r="BF578" s="1">
        <v>343608</v>
      </c>
      <c r="BH578" s="1">
        <v>80917</v>
      </c>
      <c r="BI578" s="1">
        <v>1874684</v>
      </c>
      <c r="BJ578" s="1">
        <v>1190912</v>
      </c>
      <c r="BL578" s="1">
        <v>768192</v>
      </c>
      <c r="BM578" s="1">
        <v>11893</v>
      </c>
      <c r="BU578" s="1">
        <v>124687</v>
      </c>
      <c r="BV578" s="1">
        <v>124687</v>
      </c>
      <c r="BY578" s="1">
        <v>-539928</v>
      </c>
      <c r="CA578" s="1">
        <v>80917</v>
      </c>
      <c r="CG578" s="1">
        <v>353241</v>
      </c>
      <c r="CI578" s="1">
        <v>41169</v>
      </c>
      <c r="CL578" s="1">
        <v>111606</v>
      </c>
    </row>
    <row r="579" spans="1:116">
      <c r="A579" s="1">
        <v>39</v>
      </c>
      <c r="B579" s="1">
        <v>4540</v>
      </c>
      <c r="C579" s="1" t="s">
        <v>814</v>
      </c>
      <c r="D579" s="1" t="s">
        <v>829</v>
      </c>
      <c r="F579" s="1">
        <v>62865</v>
      </c>
      <c r="G579" s="1">
        <v>1957503</v>
      </c>
      <c r="H579" s="1">
        <v>4187089</v>
      </c>
      <c r="J579" s="1">
        <v>6308533</v>
      </c>
      <c r="K579" s="1">
        <v>1518217</v>
      </c>
      <c r="O579" s="1">
        <v>1518217</v>
      </c>
      <c r="Q579" s="1">
        <v>22171532</v>
      </c>
      <c r="W579" s="1">
        <v>22806444</v>
      </c>
      <c r="X579" s="1">
        <v>7839844</v>
      </c>
      <c r="Y579" s="1">
        <v>689456</v>
      </c>
      <c r="Z579" s="1">
        <v>2768471</v>
      </c>
      <c r="AA579" s="1">
        <v>238254</v>
      </c>
      <c r="AB579" s="1">
        <v>196508</v>
      </c>
      <c r="AC579" s="1">
        <v>339254</v>
      </c>
      <c r="AD579" s="1">
        <v>2263068</v>
      </c>
      <c r="AE579" s="1">
        <v>1274000</v>
      </c>
      <c r="AG579" s="1">
        <v>19443980</v>
      </c>
      <c r="AH579" s="1">
        <v>42472098</v>
      </c>
      <c r="AJ579" s="1">
        <v>441824</v>
      </c>
      <c r="AK579" s="1">
        <v>2484564</v>
      </c>
      <c r="AL579" s="1">
        <v>429255</v>
      </c>
      <c r="AM579" s="1">
        <v>812817</v>
      </c>
      <c r="AN579" s="1">
        <v>533569</v>
      </c>
      <c r="AO579" s="1">
        <v>1775641</v>
      </c>
      <c r="AP579" s="1">
        <v>4260205</v>
      </c>
      <c r="AZ579" s="1">
        <v>54559053</v>
      </c>
      <c r="BE579" s="1">
        <v>506793</v>
      </c>
      <c r="BF579" s="1">
        <v>242198</v>
      </c>
      <c r="BH579" s="1">
        <v>43076</v>
      </c>
      <c r="BI579" s="1">
        <v>1459613</v>
      </c>
      <c r="BJ579" s="1">
        <v>583127</v>
      </c>
      <c r="BQ579" s="1">
        <v>634912</v>
      </c>
      <c r="BR579" s="1">
        <v>2687030</v>
      </c>
      <c r="CA579" s="1">
        <v>43076</v>
      </c>
      <c r="CF579" s="1">
        <v>399104</v>
      </c>
      <c r="CG579" s="1">
        <v>178598</v>
      </c>
      <c r="CL579" s="1">
        <v>101076</v>
      </c>
    </row>
    <row r="580" spans="1:116">
      <c r="A580" s="1">
        <v>39</v>
      </c>
      <c r="B580" s="1">
        <v>4550</v>
      </c>
      <c r="C580" s="1" t="s">
        <v>814</v>
      </c>
      <c r="D580" s="1" t="s">
        <v>830</v>
      </c>
      <c r="F580" s="1">
        <v>588962</v>
      </c>
      <c r="H580" s="1">
        <v>34958</v>
      </c>
      <c r="I580" s="1">
        <v>100</v>
      </c>
      <c r="J580" s="1">
        <v>624020</v>
      </c>
      <c r="K580" s="1">
        <v>402960</v>
      </c>
      <c r="M580" s="1">
        <v>1631860</v>
      </c>
      <c r="N580" s="1">
        <v>20415</v>
      </c>
      <c r="O580" s="1">
        <v>2055235</v>
      </c>
      <c r="P580" s="1">
        <v>12818</v>
      </c>
      <c r="Q580" s="1">
        <v>15686219</v>
      </c>
      <c r="R580" s="1">
        <v>88113</v>
      </c>
      <c r="S580" s="1">
        <v>110276</v>
      </c>
      <c r="V580" s="1">
        <v>145205</v>
      </c>
      <c r="W580" s="1">
        <v>15941700</v>
      </c>
      <c r="X580" s="1">
        <v>5303358</v>
      </c>
      <c r="Y580" s="1">
        <v>116770</v>
      </c>
      <c r="Z580" s="1">
        <v>1065763</v>
      </c>
      <c r="AA580" s="1">
        <v>148120</v>
      </c>
      <c r="AB580" s="1">
        <v>33623</v>
      </c>
      <c r="AC580" s="1">
        <v>223500</v>
      </c>
      <c r="AD580" s="1">
        <v>2027791</v>
      </c>
      <c r="AE580" s="1">
        <v>853704</v>
      </c>
      <c r="AG580" s="1">
        <v>10780039</v>
      </c>
      <c r="AH580" s="1">
        <v>26734557</v>
      </c>
      <c r="AI580" s="1">
        <v>85299</v>
      </c>
      <c r="AJ580" s="1">
        <v>335147</v>
      </c>
      <c r="AK580" s="1">
        <v>420446</v>
      </c>
      <c r="AL580" s="1">
        <v>317910</v>
      </c>
      <c r="AM580" s="1">
        <v>457414</v>
      </c>
      <c r="AN580" s="1">
        <v>130796</v>
      </c>
      <c r="AO580" s="1">
        <v>906120</v>
      </c>
      <c r="AP580" s="1">
        <v>1333180</v>
      </c>
      <c r="AQ580" s="1">
        <v>644837</v>
      </c>
      <c r="AT580" s="1">
        <v>644837</v>
      </c>
      <c r="AU580" s="1">
        <v>845</v>
      </c>
      <c r="AV580" s="1">
        <v>645682</v>
      </c>
      <c r="AW580" s="1">
        <v>645682</v>
      </c>
      <c r="AZ580" s="1">
        <v>31392674</v>
      </c>
      <c r="BC580" s="1">
        <v>22163</v>
      </c>
      <c r="BE580" s="1">
        <v>231560</v>
      </c>
      <c r="BU580" s="1">
        <v>6614</v>
      </c>
      <c r="BV580" s="1">
        <v>6614</v>
      </c>
      <c r="CF580" s="1">
        <v>775850</v>
      </c>
    </row>
    <row r="581" spans="1:116">
      <c r="A581" s="1">
        <v>39</v>
      </c>
      <c r="B581" s="1">
        <v>4670</v>
      </c>
      <c r="C581" s="1" t="s">
        <v>814</v>
      </c>
      <c r="D581" s="1" t="s">
        <v>831</v>
      </c>
      <c r="F581" s="1">
        <v>1519251</v>
      </c>
      <c r="I581" s="1">
        <v>15896</v>
      </c>
      <c r="J581" s="1">
        <v>1535147</v>
      </c>
      <c r="K581" s="1">
        <v>1499995</v>
      </c>
      <c r="L581" s="1">
        <v>826832</v>
      </c>
      <c r="M581" s="1">
        <v>2667263</v>
      </c>
      <c r="N581" s="1">
        <v>10961</v>
      </c>
      <c r="O581" s="1">
        <v>5005051</v>
      </c>
      <c r="Q581" s="1">
        <v>62140004</v>
      </c>
      <c r="S581" s="1">
        <v>46197</v>
      </c>
      <c r="V581" s="1">
        <v>501762</v>
      </c>
      <c r="W581" s="1">
        <v>62687963</v>
      </c>
      <c r="Y581" s="1">
        <v>715918</v>
      </c>
      <c r="Z581" s="1">
        <v>2936944</v>
      </c>
      <c r="AA581" s="1">
        <v>28086</v>
      </c>
      <c r="AB581" s="1">
        <v>272743</v>
      </c>
      <c r="AC581" s="1">
        <v>315939</v>
      </c>
      <c r="AD581" s="1">
        <v>4832359</v>
      </c>
      <c r="AE581" s="1">
        <v>2341080</v>
      </c>
      <c r="AG581" s="1">
        <v>11576127</v>
      </c>
      <c r="AH581" s="1">
        <v>74264090</v>
      </c>
      <c r="AJ581" s="1">
        <v>493391</v>
      </c>
      <c r="AK581" s="1">
        <v>493391</v>
      </c>
      <c r="AL581" s="1">
        <v>73308</v>
      </c>
      <c r="AM581" s="1">
        <v>1065608</v>
      </c>
      <c r="AN581" s="1">
        <v>355675</v>
      </c>
      <c r="AO581" s="1">
        <v>1494591</v>
      </c>
      <c r="AP581" s="1">
        <v>2054421</v>
      </c>
      <c r="AQ581" s="1">
        <v>2487477</v>
      </c>
      <c r="AT581" s="1">
        <v>2487477</v>
      </c>
      <c r="AV581" s="1">
        <v>2487477</v>
      </c>
      <c r="AW581" s="1">
        <v>2487477</v>
      </c>
      <c r="AX581" s="1">
        <v>50225</v>
      </c>
      <c r="AZ581" s="1">
        <v>85611218</v>
      </c>
      <c r="BC581" s="1">
        <v>46197</v>
      </c>
      <c r="BE581" s="1">
        <v>119907</v>
      </c>
      <c r="BF581" s="1">
        <v>13151</v>
      </c>
      <c r="BU581" s="1">
        <v>66439</v>
      </c>
      <c r="BV581" s="1">
        <v>66439</v>
      </c>
      <c r="BY581" s="1">
        <v>265032</v>
      </c>
      <c r="CC581" s="1">
        <v>214807</v>
      </c>
    </row>
    <row r="582" spans="1:116">
      <c r="A582" s="1">
        <v>39</v>
      </c>
      <c r="B582" s="1">
        <v>5000</v>
      </c>
      <c r="C582" s="1" t="s">
        <v>814</v>
      </c>
      <c r="D582" s="1" t="s">
        <v>1268</v>
      </c>
      <c r="F582" s="1">
        <v>147753</v>
      </c>
      <c r="H582" s="1">
        <v>703001</v>
      </c>
      <c r="I582" s="1">
        <v>68675</v>
      </c>
      <c r="J582" s="1">
        <v>919429</v>
      </c>
      <c r="K582" s="1">
        <v>552648</v>
      </c>
      <c r="M582" s="1">
        <v>1802626</v>
      </c>
      <c r="N582" s="1">
        <v>171069</v>
      </c>
      <c r="O582" s="1">
        <v>2526343</v>
      </c>
      <c r="Q582" s="1">
        <v>27761228</v>
      </c>
      <c r="S582" s="1">
        <v>80800</v>
      </c>
      <c r="W582" s="1">
        <v>28403962</v>
      </c>
      <c r="Y582" s="1">
        <v>124579</v>
      </c>
      <c r="Z582" s="1">
        <v>975919</v>
      </c>
      <c r="AA582" s="1">
        <v>60538</v>
      </c>
      <c r="AB582" s="1">
        <v>144734</v>
      </c>
      <c r="AC582" s="1">
        <v>211430</v>
      </c>
      <c r="AD582" s="1">
        <v>1929332</v>
      </c>
      <c r="AE582" s="1">
        <v>958135</v>
      </c>
      <c r="AG582" s="1">
        <v>4566445</v>
      </c>
      <c r="AH582" s="1">
        <v>32970407</v>
      </c>
      <c r="AJ582" s="1">
        <v>105699</v>
      </c>
      <c r="AK582" s="1">
        <v>105699</v>
      </c>
      <c r="AL582" s="1">
        <v>52198</v>
      </c>
      <c r="AM582" s="1">
        <v>398017</v>
      </c>
      <c r="AN582" s="1">
        <v>44876</v>
      </c>
      <c r="AO582" s="1">
        <v>495091</v>
      </c>
      <c r="AP582" s="1">
        <v>631847</v>
      </c>
      <c r="AQ582" s="1">
        <v>1253100</v>
      </c>
      <c r="AT582" s="1">
        <v>1253100</v>
      </c>
      <c r="AV582" s="1">
        <v>1253100</v>
      </c>
      <c r="AW582" s="1">
        <v>1253100</v>
      </c>
      <c r="AZ582" s="1">
        <v>38301126</v>
      </c>
      <c r="BC582" s="1">
        <v>80800</v>
      </c>
      <c r="BE582" s="1">
        <v>41174</v>
      </c>
      <c r="BF582" s="1">
        <v>120604</v>
      </c>
      <c r="BQ582" s="1">
        <v>511065</v>
      </c>
      <c r="BU582" s="1">
        <v>31057</v>
      </c>
      <c r="BV582" s="1">
        <v>31057</v>
      </c>
      <c r="CE582" s="1">
        <v>38529</v>
      </c>
      <c r="CZ582" s="1">
        <v>12340</v>
      </c>
    </row>
    <row r="583" spans="1:116">
      <c r="A583" s="1">
        <v>39</v>
      </c>
      <c r="B583" s="1">
        <v>5090</v>
      </c>
      <c r="C583" s="1" t="s">
        <v>814</v>
      </c>
      <c r="D583" s="1" t="s">
        <v>832</v>
      </c>
      <c r="F583" s="1">
        <v>190085</v>
      </c>
      <c r="G583" s="1">
        <v>304266</v>
      </c>
      <c r="I583" s="1">
        <v>1</v>
      </c>
      <c r="J583" s="1">
        <v>494352</v>
      </c>
      <c r="K583" s="1">
        <v>955987</v>
      </c>
      <c r="M583" s="1">
        <v>560454</v>
      </c>
      <c r="O583" s="1">
        <v>1516441</v>
      </c>
      <c r="Q583" s="1">
        <v>49248088</v>
      </c>
      <c r="S583" s="1">
        <v>99942</v>
      </c>
      <c r="W583" s="1">
        <v>49588229</v>
      </c>
      <c r="Y583" s="1">
        <v>71741</v>
      </c>
      <c r="Z583" s="1">
        <v>1643500</v>
      </c>
      <c r="AA583" s="1">
        <v>189862</v>
      </c>
      <c r="AB583" s="1">
        <v>95732</v>
      </c>
      <c r="AC583" s="1">
        <v>216511</v>
      </c>
      <c r="AD583" s="1">
        <v>3499762</v>
      </c>
      <c r="AE583" s="1">
        <v>1970809</v>
      </c>
      <c r="AG583" s="1">
        <v>7956329</v>
      </c>
      <c r="AH583" s="1">
        <v>58296558</v>
      </c>
      <c r="AI583" s="1">
        <v>83763</v>
      </c>
      <c r="AJ583" s="1">
        <v>234206</v>
      </c>
      <c r="AK583" s="1">
        <v>317969</v>
      </c>
      <c r="AL583" s="1">
        <v>123763</v>
      </c>
      <c r="AM583" s="1">
        <v>712171</v>
      </c>
      <c r="AN583" s="1">
        <v>6341</v>
      </c>
      <c r="AO583" s="1">
        <v>910900</v>
      </c>
      <c r="AP583" s="1">
        <v>1580242</v>
      </c>
      <c r="AY583" s="1">
        <v>200000</v>
      </c>
      <c r="AZ583" s="1">
        <v>69072303</v>
      </c>
      <c r="BC583" s="1">
        <v>99942</v>
      </c>
      <c r="BE583" s="1">
        <v>66161</v>
      </c>
      <c r="BF583" s="1">
        <v>202251</v>
      </c>
      <c r="BK583" s="1">
        <v>28842</v>
      </c>
      <c r="BQ583" s="1">
        <v>240199</v>
      </c>
      <c r="BU583" s="1">
        <v>351373</v>
      </c>
      <c r="BV583" s="1">
        <v>351373</v>
      </c>
      <c r="BW583" s="1">
        <v>34744</v>
      </c>
      <c r="BY583" s="1">
        <v>7184710</v>
      </c>
      <c r="CC583" s="1">
        <v>6984710</v>
      </c>
      <c r="CG583" s="1">
        <v>752000</v>
      </c>
      <c r="DG583" s="1">
        <v>5039</v>
      </c>
    </row>
    <row r="584" spans="1:116">
      <c r="A584" s="1">
        <v>39</v>
      </c>
      <c r="B584" s="1">
        <v>5245</v>
      </c>
      <c r="C584" s="1" t="s">
        <v>814</v>
      </c>
      <c r="D584" s="1" t="s">
        <v>833</v>
      </c>
      <c r="K584" s="1">
        <v>12263935</v>
      </c>
      <c r="M584" s="1">
        <v>759725</v>
      </c>
      <c r="O584" s="1">
        <v>13023660</v>
      </c>
      <c r="R584" s="1">
        <v>13331693</v>
      </c>
      <c r="S584" s="1">
        <v>13331693</v>
      </c>
      <c r="T584" s="1">
        <v>22493392</v>
      </c>
      <c r="V584" s="1">
        <v>789201</v>
      </c>
      <c r="W584" s="1">
        <v>36614286</v>
      </c>
      <c r="AD584" s="1">
        <v>907835</v>
      </c>
      <c r="AE584" s="1">
        <v>620662</v>
      </c>
      <c r="AG584" s="1">
        <v>1528497</v>
      </c>
      <c r="AH584" s="1">
        <v>38142783</v>
      </c>
      <c r="AJ584" s="1">
        <v>217604</v>
      </c>
      <c r="AK584" s="1">
        <v>217604</v>
      </c>
      <c r="AP584" s="1">
        <v>6797198</v>
      </c>
      <c r="AX584" s="1">
        <v>41559</v>
      </c>
      <c r="AZ584" s="1">
        <v>58005200</v>
      </c>
      <c r="BU584" s="1">
        <v>6579594</v>
      </c>
      <c r="BV584" s="1">
        <v>6579594</v>
      </c>
      <c r="BY584" s="1">
        <v>41559</v>
      </c>
      <c r="CJ584" s="1">
        <v>502280</v>
      </c>
    </row>
    <row r="585" spans="1:116">
      <c r="A585" s="1">
        <v>39</v>
      </c>
      <c r="B585" s="1">
        <v>5260</v>
      </c>
      <c r="C585" s="1" t="s">
        <v>814</v>
      </c>
      <c r="D585" s="1" t="s">
        <v>834</v>
      </c>
      <c r="F585" s="1">
        <v>442</v>
      </c>
      <c r="I585" s="1">
        <v>26358</v>
      </c>
      <c r="J585" s="1">
        <v>12755304</v>
      </c>
      <c r="K585" s="1">
        <v>467976</v>
      </c>
      <c r="L585" s="1">
        <v>349000</v>
      </c>
      <c r="M585" s="1">
        <v>3703330</v>
      </c>
      <c r="O585" s="1">
        <v>4520306</v>
      </c>
      <c r="U585" s="1">
        <v>170</v>
      </c>
      <c r="V585" s="1">
        <v>436853</v>
      </c>
      <c r="W585" s="1">
        <v>11760138</v>
      </c>
      <c r="X585" s="1">
        <v>617598</v>
      </c>
      <c r="Z585" s="1">
        <v>500640</v>
      </c>
      <c r="AC585" s="1">
        <v>441049</v>
      </c>
      <c r="AD585" s="1">
        <v>739632</v>
      </c>
      <c r="AE585" s="1">
        <v>545492</v>
      </c>
      <c r="AG585" s="1">
        <v>4542435</v>
      </c>
      <c r="AH585" s="1">
        <v>16302573</v>
      </c>
      <c r="AJ585" s="1">
        <v>1571864</v>
      </c>
      <c r="AK585" s="1">
        <v>1571864</v>
      </c>
      <c r="AL585" s="1">
        <v>109106</v>
      </c>
      <c r="AN585" s="1">
        <v>534972</v>
      </c>
      <c r="AO585" s="1">
        <v>644078</v>
      </c>
      <c r="AP585" s="1">
        <v>2377399</v>
      </c>
      <c r="AZ585" s="1">
        <v>37255582</v>
      </c>
      <c r="BE585" s="1">
        <v>88847</v>
      </c>
      <c r="BN585" s="1">
        <v>3879087</v>
      </c>
      <c r="BO585" s="1">
        <v>6789050</v>
      </c>
      <c r="BP585" s="1">
        <v>654978</v>
      </c>
      <c r="BR585" s="1">
        <v>65213</v>
      </c>
      <c r="BS585" s="1">
        <v>1197494</v>
      </c>
      <c r="BT585" s="1">
        <v>121490</v>
      </c>
      <c r="BU585" s="1">
        <v>161457</v>
      </c>
      <c r="BV585" s="1">
        <v>161457</v>
      </c>
      <c r="BY585" s="1">
        <v>1300000</v>
      </c>
      <c r="CC585" s="1">
        <v>1300000</v>
      </c>
      <c r="CL585" s="1">
        <v>12728504</v>
      </c>
      <c r="CM585" s="1">
        <v>224980</v>
      </c>
    </row>
    <row r="586" spans="1:116">
      <c r="A586" s="1">
        <v>39</v>
      </c>
      <c r="B586" s="1">
        <v>5290</v>
      </c>
      <c r="C586" s="1" t="s">
        <v>814</v>
      </c>
      <c r="D586" s="1" t="s">
        <v>1108</v>
      </c>
      <c r="F586" s="1">
        <v>1249725</v>
      </c>
      <c r="G586" s="1">
        <v>6246364</v>
      </c>
      <c r="I586" s="1">
        <v>470081</v>
      </c>
      <c r="J586" s="1">
        <v>9155044</v>
      </c>
      <c r="K586" s="1">
        <v>2988743</v>
      </c>
      <c r="L586" s="1">
        <v>5118203</v>
      </c>
      <c r="M586" s="1">
        <v>3832408</v>
      </c>
      <c r="N586" s="1">
        <v>522145</v>
      </c>
      <c r="O586" s="1">
        <v>12461499</v>
      </c>
      <c r="Q586" s="1">
        <v>68832048</v>
      </c>
      <c r="R586" s="1">
        <v>73289</v>
      </c>
      <c r="S586" s="1">
        <v>104989</v>
      </c>
      <c r="U586" s="1">
        <v>71783</v>
      </c>
      <c r="V586" s="1">
        <v>1558617</v>
      </c>
      <c r="W586" s="1">
        <v>70583090</v>
      </c>
      <c r="X586" s="1">
        <v>13552736</v>
      </c>
      <c r="Y586" s="1">
        <v>1246989</v>
      </c>
      <c r="Z586" s="1">
        <v>5120464</v>
      </c>
      <c r="AA586" s="1">
        <v>287112</v>
      </c>
      <c r="AB586" s="1">
        <v>573658</v>
      </c>
      <c r="AC586" s="1">
        <v>878199</v>
      </c>
      <c r="AD586" s="1">
        <v>6271842</v>
      </c>
      <c r="AE586" s="1">
        <v>3318470</v>
      </c>
      <c r="AG586" s="1">
        <v>33057213</v>
      </c>
      <c r="AH586" s="1">
        <v>103640303</v>
      </c>
      <c r="AI586" s="1">
        <v>422042</v>
      </c>
      <c r="AJ586" s="1">
        <v>333965</v>
      </c>
      <c r="AK586" s="1">
        <v>1238383</v>
      </c>
      <c r="AL586" s="1">
        <v>410480</v>
      </c>
      <c r="AM586" s="1">
        <v>1864556</v>
      </c>
      <c r="AN586" s="1">
        <v>576881</v>
      </c>
      <c r="AO586" s="1">
        <v>2880582</v>
      </c>
      <c r="AP586" s="1">
        <v>4128950</v>
      </c>
      <c r="AQ586" s="1">
        <v>2546935</v>
      </c>
      <c r="AT586" s="1">
        <v>2546935</v>
      </c>
      <c r="AU586" s="1">
        <v>207270</v>
      </c>
      <c r="AV586" s="1">
        <v>2983948</v>
      </c>
      <c r="AW586" s="1">
        <v>2983948</v>
      </c>
      <c r="AZ586" s="1">
        <v>132369744</v>
      </c>
      <c r="BC586" s="1">
        <v>31700</v>
      </c>
      <c r="BE586" s="1">
        <v>672834</v>
      </c>
      <c r="BF586" s="1">
        <v>688008</v>
      </c>
      <c r="BJ586" s="1">
        <v>393905</v>
      </c>
      <c r="BK586" s="1">
        <v>28665</v>
      </c>
      <c r="BL586" s="1">
        <v>229743</v>
      </c>
      <c r="BR586" s="1">
        <v>446901</v>
      </c>
      <c r="BU586" s="1">
        <v>9985</v>
      </c>
      <c r="BV586" s="1">
        <v>9985</v>
      </c>
      <c r="CJ586" s="1">
        <v>5118203</v>
      </c>
      <c r="CL586" s="1">
        <v>1188874</v>
      </c>
      <c r="CU586" s="1">
        <v>88471</v>
      </c>
      <c r="CZ586" s="1">
        <v>15653</v>
      </c>
      <c r="DB586" s="1">
        <v>673573</v>
      </c>
      <c r="DL586" s="1">
        <v>1000000</v>
      </c>
    </row>
    <row r="587" spans="1:116">
      <c r="A587" s="1">
        <v>39</v>
      </c>
      <c r="B587" s="1">
        <v>5730</v>
      </c>
      <c r="C587" s="1" t="s">
        <v>814</v>
      </c>
      <c r="D587" s="1" t="s">
        <v>835</v>
      </c>
      <c r="F587" s="1">
        <v>837560</v>
      </c>
      <c r="G587" s="1">
        <v>1396071</v>
      </c>
      <c r="I587" s="1">
        <v>869</v>
      </c>
      <c r="J587" s="1">
        <v>2234500</v>
      </c>
      <c r="K587" s="1">
        <v>1665868</v>
      </c>
      <c r="L587" s="1">
        <v>1829354</v>
      </c>
      <c r="M587" s="1">
        <v>2360374</v>
      </c>
      <c r="N587" s="1">
        <v>156127</v>
      </c>
      <c r="O587" s="1">
        <v>6011723</v>
      </c>
      <c r="P587" s="1">
        <v>-31222</v>
      </c>
      <c r="Q587" s="1">
        <v>68227778</v>
      </c>
      <c r="S587" s="1">
        <v>46970</v>
      </c>
      <c r="V587" s="1">
        <v>887975</v>
      </c>
      <c r="W587" s="1">
        <v>69175293</v>
      </c>
      <c r="Z587" s="1">
        <v>4083349</v>
      </c>
      <c r="AB587" s="1">
        <v>230288</v>
      </c>
      <c r="AC587" s="1">
        <v>347405</v>
      </c>
      <c r="AD587" s="1">
        <v>5799808</v>
      </c>
      <c r="AE587" s="1">
        <v>2811878</v>
      </c>
      <c r="AG587" s="1">
        <v>13413451</v>
      </c>
      <c r="AH587" s="1">
        <v>82557522</v>
      </c>
      <c r="AJ587" s="1">
        <v>272510</v>
      </c>
      <c r="AK587" s="1">
        <v>272510</v>
      </c>
      <c r="AL587" s="1">
        <v>200661</v>
      </c>
      <c r="AM587" s="1">
        <v>1330225</v>
      </c>
      <c r="AN587" s="1">
        <v>197953</v>
      </c>
      <c r="AO587" s="1">
        <v>1728839</v>
      </c>
      <c r="AP587" s="1">
        <v>2101764</v>
      </c>
      <c r="AQ587" s="1">
        <v>1992911</v>
      </c>
      <c r="AR587" s="1">
        <v>62133</v>
      </c>
      <c r="AS587" s="1">
        <v>139665</v>
      </c>
      <c r="AT587" s="1">
        <v>2132576</v>
      </c>
      <c r="AU587" s="1">
        <v>256997</v>
      </c>
      <c r="AV587" s="1">
        <v>2389573</v>
      </c>
      <c r="AW587" s="1">
        <v>2389573</v>
      </c>
      <c r="AZ587" s="1">
        <v>95401661</v>
      </c>
      <c r="BC587" s="1">
        <v>46970</v>
      </c>
      <c r="BE587" s="1">
        <v>132923</v>
      </c>
      <c r="BF587" s="1">
        <v>7800</v>
      </c>
      <c r="BU587" s="1">
        <v>100415</v>
      </c>
      <c r="BV587" s="1">
        <v>100415</v>
      </c>
      <c r="BY587" s="1">
        <v>106579</v>
      </c>
      <c r="CI587" s="1">
        <v>106579</v>
      </c>
      <c r="CZ587" s="1">
        <v>12570</v>
      </c>
      <c r="DC587" s="1">
        <v>77532</v>
      </c>
    </row>
    <row r="588" spans="1:116">
      <c r="A588" s="1">
        <v>39</v>
      </c>
      <c r="B588" s="1">
        <v>5810</v>
      </c>
      <c r="C588" s="1" t="s">
        <v>814</v>
      </c>
      <c r="D588" s="1" t="s">
        <v>836</v>
      </c>
      <c r="F588" s="1">
        <v>15304</v>
      </c>
      <c r="I588" s="1">
        <v>901</v>
      </c>
      <c r="J588" s="1">
        <v>16205</v>
      </c>
      <c r="K588" s="1">
        <v>59405</v>
      </c>
      <c r="O588" s="1">
        <v>59405</v>
      </c>
      <c r="Q588" s="1">
        <v>1430010</v>
      </c>
      <c r="S588" s="1">
        <v>9676</v>
      </c>
      <c r="V588" s="1">
        <v>34531</v>
      </c>
      <c r="W588" s="1">
        <v>1474217</v>
      </c>
      <c r="X588" s="1">
        <v>685276</v>
      </c>
      <c r="Y588" s="1">
        <v>35178</v>
      </c>
      <c r="Z588" s="1">
        <v>139759</v>
      </c>
      <c r="AB588" s="1">
        <v>9223</v>
      </c>
      <c r="AC588" s="1">
        <v>20957</v>
      </c>
      <c r="AD588" s="1">
        <v>197116</v>
      </c>
      <c r="AE588" s="1">
        <v>83101</v>
      </c>
      <c r="AG588" s="1">
        <v>1804122</v>
      </c>
      <c r="AH588" s="1">
        <v>3278339</v>
      </c>
      <c r="AI588" s="1">
        <v>3012</v>
      </c>
      <c r="AJ588" s="1">
        <v>330</v>
      </c>
      <c r="AK588" s="1">
        <v>3342</v>
      </c>
      <c r="AL588" s="1">
        <v>25357</v>
      </c>
      <c r="AM588" s="1">
        <v>38562</v>
      </c>
      <c r="AN588" s="1">
        <v>18146</v>
      </c>
      <c r="AO588" s="1">
        <v>82065</v>
      </c>
      <c r="AP588" s="1">
        <v>85407</v>
      </c>
      <c r="AZ588" s="1">
        <v>3439356</v>
      </c>
      <c r="BC588" s="1">
        <v>9676</v>
      </c>
      <c r="BE588" s="1">
        <v>43823</v>
      </c>
      <c r="BF588" s="1">
        <v>13111</v>
      </c>
      <c r="BR588" s="1">
        <v>102949</v>
      </c>
      <c r="CF588" s="1">
        <v>473629</v>
      </c>
    </row>
    <row r="589" spans="1:116">
      <c r="A589" s="1">
        <v>41</v>
      </c>
      <c r="B589" s="1">
        <v>30</v>
      </c>
      <c r="C589" s="1" t="s">
        <v>837</v>
      </c>
      <c r="D589" s="1" t="s">
        <v>838</v>
      </c>
      <c r="F589" s="1">
        <v>93562</v>
      </c>
      <c r="G589" s="1">
        <v>60940</v>
      </c>
      <c r="H589" s="1">
        <v>142675</v>
      </c>
      <c r="I589" s="1">
        <v>1</v>
      </c>
      <c r="J589" s="1">
        <v>297178</v>
      </c>
      <c r="K589" s="1">
        <v>126797</v>
      </c>
      <c r="M589" s="1">
        <v>320409</v>
      </c>
      <c r="N589" s="1">
        <v>2403</v>
      </c>
      <c r="O589" s="1">
        <v>449609</v>
      </c>
      <c r="Q589" s="1">
        <v>5460391</v>
      </c>
      <c r="R589" s="1">
        <v>36604</v>
      </c>
      <c r="S589" s="1">
        <v>36604</v>
      </c>
      <c r="V589" s="1">
        <v>262119</v>
      </c>
      <c r="W589" s="1">
        <v>5759114</v>
      </c>
      <c r="Y589" s="1">
        <v>243073</v>
      </c>
      <c r="Z589" s="1">
        <v>401470</v>
      </c>
      <c r="AA589" s="1">
        <v>4636</v>
      </c>
      <c r="AB589" s="1">
        <v>17281</v>
      </c>
      <c r="AC589" s="1">
        <v>51788</v>
      </c>
      <c r="AD589" s="1">
        <v>305116</v>
      </c>
      <c r="AE589" s="1">
        <v>142536</v>
      </c>
      <c r="AG589" s="1">
        <v>1195257</v>
      </c>
      <c r="AH589" s="1">
        <v>7527408</v>
      </c>
      <c r="AJ589" s="1">
        <v>1553</v>
      </c>
      <c r="AK589" s="1">
        <v>1553</v>
      </c>
      <c r="AL589" s="1">
        <v>30353</v>
      </c>
      <c r="AM589" s="1">
        <v>92290</v>
      </c>
      <c r="AN589" s="1">
        <v>58968</v>
      </c>
      <c r="AO589" s="1">
        <v>181611</v>
      </c>
      <c r="AP589" s="1">
        <v>183164</v>
      </c>
      <c r="AQ589" s="1">
        <v>384627</v>
      </c>
      <c r="AT589" s="1">
        <v>384627</v>
      </c>
      <c r="AV589" s="1">
        <v>384627</v>
      </c>
      <c r="AW589" s="1">
        <v>384627</v>
      </c>
      <c r="AZ589" s="1">
        <v>8841986</v>
      </c>
      <c r="BE589" s="1">
        <v>21029</v>
      </c>
      <c r="BF589" s="1">
        <v>8328</v>
      </c>
      <c r="CG589" s="1">
        <v>573037</v>
      </c>
    </row>
    <row r="590" spans="1:116">
      <c r="A590" s="1">
        <v>41</v>
      </c>
      <c r="B590" s="1">
        <v>70</v>
      </c>
      <c r="C590" s="1" t="s">
        <v>837</v>
      </c>
      <c r="D590" s="1" t="s">
        <v>839</v>
      </c>
      <c r="F590" s="1">
        <v>115713</v>
      </c>
      <c r="G590" s="1">
        <v>120603</v>
      </c>
      <c r="H590" s="1">
        <v>28413</v>
      </c>
      <c r="I590" s="1">
        <v>24540</v>
      </c>
      <c r="J590" s="1">
        <v>289269</v>
      </c>
      <c r="K590" s="1">
        <v>101021</v>
      </c>
      <c r="M590" s="1">
        <v>3000</v>
      </c>
      <c r="O590" s="1">
        <v>104021</v>
      </c>
      <c r="Q590" s="1">
        <v>2630152</v>
      </c>
      <c r="U590" s="1">
        <v>1185</v>
      </c>
      <c r="V590" s="1">
        <v>34187</v>
      </c>
      <c r="W590" s="1">
        <v>2665524</v>
      </c>
      <c r="X590" s="1">
        <v>1054999</v>
      </c>
      <c r="Y590" s="1">
        <v>77979</v>
      </c>
      <c r="Z590" s="1">
        <v>405744</v>
      </c>
      <c r="AA590" s="1">
        <v>2336</v>
      </c>
      <c r="AB590" s="1">
        <v>8898</v>
      </c>
      <c r="AC590" s="1">
        <v>42571</v>
      </c>
      <c r="AD590" s="1">
        <v>268126</v>
      </c>
      <c r="AE590" s="1">
        <v>139759</v>
      </c>
      <c r="AG590" s="1">
        <v>2067546</v>
      </c>
      <c r="AH590" s="1">
        <v>4733352</v>
      </c>
      <c r="AI590" s="1">
        <v>18045</v>
      </c>
      <c r="AJ590" s="1">
        <v>87</v>
      </c>
      <c r="AK590" s="1">
        <v>18132</v>
      </c>
      <c r="AL590" s="1">
        <v>26222</v>
      </c>
      <c r="AM590" s="1">
        <v>67813</v>
      </c>
      <c r="AN590" s="1">
        <v>20030</v>
      </c>
      <c r="AO590" s="1">
        <v>114065</v>
      </c>
      <c r="AP590" s="1">
        <v>135197</v>
      </c>
      <c r="AZ590" s="1">
        <v>5261839</v>
      </c>
      <c r="BE590" s="1">
        <v>48529</v>
      </c>
      <c r="BF590" s="1">
        <v>2658</v>
      </c>
      <c r="BR590" s="1">
        <v>15947</v>
      </c>
      <c r="BU590" s="1">
        <v>3000</v>
      </c>
      <c r="BV590" s="1">
        <v>3000</v>
      </c>
      <c r="CJ590" s="1">
        <v>28413</v>
      </c>
      <c r="CX590" s="1">
        <v>282</v>
      </c>
    </row>
    <row r="591" spans="1:116">
      <c r="A591" s="1">
        <v>41</v>
      </c>
      <c r="B591" s="1">
        <v>280</v>
      </c>
      <c r="C591" s="1" t="s">
        <v>837</v>
      </c>
      <c r="D591" s="1" t="s">
        <v>676</v>
      </c>
      <c r="F591" s="1">
        <v>113827</v>
      </c>
      <c r="J591" s="1">
        <v>113827</v>
      </c>
      <c r="K591" s="1">
        <v>183936</v>
      </c>
      <c r="O591" s="1">
        <v>183936</v>
      </c>
      <c r="Q591" s="1">
        <v>3238000</v>
      </c>
      <c r="R591" s="1">
        <v>3591834</v>
      </c>
      <c r="S591" s="1">
        <v>3591834</v>
      </c>
      <c r="W591" s="1">
        <v>6897110</v>
      </c>
      <c r="X591" s="1">
        <v>2136918</v>
      </c>
      <c r="Y591" s="1">
        <v>17627</v>
      </c>
      <c r="Z591" s="1">
        <v>438546</v>
      </c>
      <c r="AC591" s="1">
        <v>70159</v>
      </c>
      <c r="AD591" s="1">
        <v>920640</v>
      </c>
      <c r="AE591" s="1">
        <v>397717</v>
      </c>
      <c r="AG591" s="1">
        <v>4068650</v>
      </c>
      <c r="AH591" s="1">
        <v>10965760</v>
      </c>
      <c r="AI591" s="1">
        <v>16847</v>
      </c>
      <c r="AJ591" s="1">
        <v>2500</v>
      </c>
      <c r="AK591" s="1">
        <v>19347</v>
      </c>
      <c r="AL591" s="1">
        <v>62063</v>
      </c>
      <c r="AM591" s="1">
        <v>132410</v>
      </c>
      <c r="AN591" s="1">
        <v>22742</v>
      </c>
      <c r="AO591" s="1">
        <v>217215</v>
      </c>
      <c r="AP591" s="1">
        <v>236562</v>
      </c>
      <c r="AY591" s="1">
        <v>24877</v>
      </c>
      <c r="AZ591" s="1">
        <v>11559801</v>
      </c>
      <c r="BQ591" s="1">
        <v>67276</v>
      </c>
      <c r="BY591" s="1">
        <v>59716</v>
      </c>
      <c r="CH591" s="1">
        <v>87043</v>
      </c>
      <c r="CI591" s="1">
        <v>34839</v>
      </c>
    </row>
    <row r="592" spans="1:116">
      <c r="A592" s="1">
        <v>41</v>
      </c>
      <c r="B592" s="1">
        <v>400</v>
      </c>
      <c r="C592" s="1" t="s">
        <v>837</v>
      </c>
      <c r="D592" s="1" t="s">
        <v>677</v>
      </c>
      <c r="F592" s="1">
        <v>10779</v>
      </c>
      <c r="J592" s="1">
        <v>10779</v>
      </c>
      <c r="K592" s="1">
        <v>30036</v>
      </c>
      <c r="L592" s="1">
        <v>336524</v>
      </c>
      <c r="O592" s="1">
        <v>366560</v>
      </c>
      <c r="Q592" s="1">
        <v>4302865</v>
      </c>
      <c r="R592" s="1">
        <v>1569633</v>
      </c>
      <c r="S592" s="1">
        <v>1569633</v>
      </c>
      <c r="V592" s="1">
        <v>92312</v>
      </c>
      <c r="W592" s="1">
        <v>5964810</v>
      </c>
      <c r="X592" s="1">
        <v>510461</v>
      </c>
      <c r="Y592" s="1">
        <v>211239</v>
      </c>
      <c r="Z592" s="1">
        <v>419982</v>
      </c>
      <c r="AA592" s="1">
        <v>4672</v>
      </c>
      <c r="AB592" s="1">
        <v>5134</v>
      </c>
      <c r="AC592" s="1">
        <v>66381</v>
      </c>
      <c r="AD592" s="1">
        <v>585297</v>
      </c>
      <c r="AE592" s="1">
        <v>310804</v>
      </c>
      <c r="AG592" s="1">
        <v>2176532</v>
      </c>
      <c r="AH592" s="1">
        <v>8142751</v>
      </c>
      <c r="AJ592" s="1">
        <v>31211</v>
      </c>
      <c r="AK592" s="1">
        <v>31211</v>
      </c>
      <c r="AL592" s="1">
        <v>63707</v>
      </c>
      <c r="AM592" s="1">
        <v>206269</v>
      </c>
      <c r="AN592" s="1">
        <v>73132</v>
      </c>
      <c r="AO592" s="1">
        <v>343108</v>
      </c>
      <c r="AP592" s="1">
        <v>377777</v>
      </c>
      <c r="AZ592" s="1">
        <v>8897867</v>
      </c>
      <c r="BE592" s="1">
        <v>37099</v>
      </c>
      <c r="BF592" s="1">
        <v>1562</v>
      </c>
      <c r="BH592" s="1">
        <v>1409</v>
      </c>
      <c r="BR592" s="1">
        <v>23901</v>
      </c>
      <c r="BU592" s="1">
        <v>3458</v>
      </c>
      <c r="BV592" s="1">
        <v>3458</v>
      </c>
      <c r="CA592" s="1">
        <v>1409</v>
      </c>
    </row>
    <row r="593" spans="1:118">
      <c r="A593" s="1">
        <v>41</v>
      </c>
      <c r="B593" s="1">
        <v>1620</v>
      </c>
      <c r="C593" s="1" t="s">
        <v>837</v>
      </c>
      <c r="D593" s="1" t="s">
        <v>1043</v>
      </c>
      <c r="F593" s="1">
        <v>113920</v>
      </c>
      <c r="G593" s="1">
        <v>61229</v>
      </c>
      <c r="H593" s="1">
        <v>30313</v>
      </c>
      <c r="I593" s="1">
        <v>1410</v>
      </c>
      <c r="J593" s="1">
        <v>206872</v>
      </c>
      <c r="K593" s="1">
        <v>111425</v>
      </c>
      <c r="M593" s="1">
        <v>94094</v>
      </c>
      <c r="N593" s="1">
        <v>262</v>
      </c>
      <c r="O593" s="1">
        <v>205781</v>
      </c>
      <c r="Q593" s="1">
        <v>3229209</v>
      </c>
      <c r="R593" s="1">
        <v>29363</v>
      </c>
      <c r="S593" s="1">
        <v>114525</v>
      </c>
      <c r="U593" s="1">
        <v>2</v>
      </c>
      <c r="V593" s="1">
        <v>35598</v>
      </c>
      <c r="W593" s="1">
        <v>3379334</v>
      </c>
      <c r="X593" s="1">
        <v>410875</v>
      </c>
      <c r="Y593" s="1">
        <v>91624</v>
      </c>
      <c r="Z593" s="1">
        <v>224770</v>
      </c>
      <c r="AA593" s="1">
        <v>4636</v>
      </c>
      <c r="AB593" s="1">
        <v>23060</v>
      </c>
      <c r="AC593" s="1">
        <v>40377</v>
      </c>
      <c r="AD593" s="1">
        <v>261275</v>
      </c>
      <c r="AE593" s="1">
        <v>154811</v>
      </c>
      <c r="AG593" s="1">
        <v>1235524</v>
      </c>
      <c r="AH593" s="1">
        <v>4622058</v>
      </c>
      <c r="AJ593" s="1">
        <v>2000</v>
      </c>
      <c r="AK593" s="1">
        <v>2000</v>
      </c>
      <c r="AL593" s="1">
        <v>37328</v>
      </c>
      <c r="AM593" s="1">
        <v>68941</v>
      </c>
      <c r="AN593" s="1">
        <v>55460</v>
      </c>
      <c r="AO593" s="1">
        <v>161729</v>
      </c>
      <c r="AP593" s="1">
        <v>163729</v>
      </c>
      <c r="AQ593" s="1">
        <v>241754</v>
      </c>
      <c r="AT593" s="1">
        <v>241754</v>
      </c>
      <c r="AV593" s="1">
        <v>241754</v>
      </c>
      <c r="AW593" s="1">
        <v>241754</v>
      </c>
      <c r="AZ593" s="1">
        <v>5440194</v>
      </c>
      <c r="BC593" s="1">
        <v>85162</v>
      </c>
      <c r="BE593" s="1">
        <v>23168</v>
      </c>
      <c r="BF593" s="1">
        <v>928</v>
      </c>
      <c r="CJ593" s="1">
        <v>41738</v>
      </c>
      <c r="CX593" s="1">
        <v>7200</v>
      </c>
    </row>
    <row r="594" spans="1:118">
      <c r="A594" s="1">
        <v>41</v>
      </c>
      <c r="B594" s="1">
        <v>1670</v>
      </c>
      <c r="C594" s="1" t="s">
        <v>837</v>
      </c>
      <c r="D594" s="1" t="s">
        <v>678</v>
      </c>
      <c r="F594" s="1">
        <v>81781</v>
      </c>
      <c r="G594" s="1">
        <v>9052</v>
      </c>
      <c r="H594" s="1">
        <v>56880</v>
      </c>
      <c r="I594" s="1">
        <v>33858</v>
      </c>
      <c r="J594" s="1">
        <v>181571</v>
      </c>
      <c r="K594" s="1">
        <v>102660</v>
      </c>
      <c r="L594" s="1">
        <v>31000</v>
      </c>
      <c r="N594" s="1">
        <v>1</v>
      </c>
      <c r="O594" s="1">
        <v>133661</v>
      </c>
      <c r="Q594" s="1">
        <v>1788289</v>
      </c>
      <c r="S594" s="1">
        <v>14870</v>
      </c>
      <c r="U594" s="1">
        <v>306</v>
      </c>
      <c r="V594" s="1">
        <v>26211</v>
      </c>
      <c r="W594" s="1">
        <v>1829676</v>
      </c>
      <c r="X594" s="1">
        <v>337342</v>
      </c>
      <c r="Y594" s="1">
        <v>90950</v>
      </c>
      <c r="Z594" s="1">
        <v>125072</v>
      </c>
      <c r="AC594" s="1">
        <v>23370</v>
      </c>
      <c r="AD594" s="1">
        <v>184860</v>
      </c>
      <c r="AE594" s="1">
        <v>91047</v>
      </c>
      <c r="AG594" s="1">
        <v>869943</v>
      </c>
      <c r="AH594" s="1">
        <v>2699619</v>
      </c>
      <c r="AM594" s="1">
        <v>40380</v>
      </c>
      <c r="AN594" s="1">
        <v>35017</v>
      </c>
      <c r="AO594" s="1">
        <v>75397</v>
      </c>
      <c r="AP594" s="1">
        <v>75397</v>
      </c>
      <c r="AZ594" s="1">
        <v>3090248</v>
      </c>
      <c r="BC594" s="1">
        <v>14870</v>
      </c>
      <c r="BE594" s="1">
        <v>17302</v>
      </c>
    </row>
    <row r="595" spans="1:118">
      <c r="A595" s="1">
        <v>41</v>
      </c>
      <c r="B595" s="1">
        <v>1785</v>
      </c>
      <c r="C595" s="1" t="s">
        <v>837</v>
      </c>
      <c r="D595" s="1" t="s">
        <v>679</v>
      </c>
      <c r="F595" s="1">
        <v>60278</v>
      </c>
      <c r="G595" s="1">
        <v>170279</v>
      </c>
      <c r="I595" s="1">
        <v>228462</v>
      </c>
      <c r="J595" s="1">
        <v>459019</v>
      </c>
      <c r="K595" s="1">
        <v>351559</v>
      </c>
      <c r="L595" s="1">
        <v>275000</v>
      </c>
      <c r="O595" s="1">
        <v>626559</v>
      </c>
      <c r="Q595" s="1">
        <v>10893399</v>
      </c>
      <c r="U595" s="1">
        <v>11411</v>
      </c>
      <c r="V595" s="1">
        <v>124125</v>
      </c>
      <c r="W595" s="1">
        <v>11028935</v>
      </c>
      <c r="X595" s="1">
        <v>3271549</v>
      </c>
      <c r="Y595" s="1">
        <v>695211</v>
      </c>
      <c r="Z595" s="1">
        <v>638779</v>
      </c>
      <c r="AA595" s="1">
        <v>16316</v>
      </c>
      <c r="AB595" s="1">
        <v>19771</v>
      </c>
      <c r="AC595" s="1">
        <v>165019</v>
      </c>
      <c r="AD595" s="1">
        <v>637616</v>
      </c>
      <c r="AE595" s="1">
        <v>447563</v>
      </c>
      <c r="AG595" s="1">
        <v>7211425</v>
      </c>
      <c r="AH595" s="1">
        <v>18240360</v>
      </c>
      <c r="AJ595" s="1">
        <v>2643</v>
      </c>
      <c r="AK595" s="1">
        <v>2643</v>
      </c>
      <c r="AL595" s="1">
        <v>37105</v>
      </c>
      <c r="AM595" s="1">
        <v>270687</v>
      </c>
      <c r="AN595" s="1">
        <v>37723</v>
      </c>
      <c r="AO595" s="1">
        <v>345515</v>
      </c>
      <c r="AP595" s="1">
        <v>365145</v>
      </c>
      <c r="AQ595" s="1">
        <v>536217</v>
      </c>
      <c r="AT595" s="1">
        <v>536217</v>
      </c>
      <c r="AU595" s="1">
        <v>230432</v>
      </c>
      <c r="AV595" s="1">
        <v>766649</v>
      </c>
      <c r="AW595" s="1">
        <v>766649</v>
      </c>
      <c r="AZ595" s="1">
        <v>20457732</v>
      </c>
      <c r="BE595" s="1">
        <v>177625</v>
      </c>
      <c r="BF595" s="1">
        <v>8025</v>
      </c>
      <c r="BR595" s="1">
        <v>1133951</v>
      </c>
      <c r="BU595" s="1">
        <v>16987</v>
      </c>
      <c r="BV595" s="1">
        <v>16987</v>
      </c>
    </row>
    <row r="596" spans="1:118">
      <c r="A596" s="1">
        <v>41</v>
      </c>
      <c r="B596" s="1">
        <v>1840</v>
      </c>
      <c r="C596" s="1" t="s">
        <v>837</v>
      </c>
      <c r="D596" s="1" t="s">
        <v>1177</v>
      </c>
      <c r="G596" s="1">
        <v>1838011</v>
      </c>
      <c r="H596" s="1">
        <v>763336</v>
      </c>
      <c r="I596" s="1">
        <v>1</v>
      </c>
      <c r="J596" s="1">
        <v>2601348</v>
      </c>
      <c r="K596" s="1">
        <v>233319</v>
      </c>
      <c r="L596" s="1">
        <v>290293</v>
      </c>
      <c r="N596" s="1">
        <v>167482</v>
      </c>
      <c r="O596" s="1">
        <v>691094</v>
      </c>
      <c r="Q596" s="1">
        <v>6508815</v>
      </c>
      <c r="R596" s="1">
        <v>35451</v>
      </c>
      <c r="S596" s="1">
        <v>35451</v>
      </c>
      <c r="V596" s="1">
        <v>259233</v>
      </c>
      <c r="W596" s="1">
        <v>6803499</v>
      </c>
      <c r="X596" s="1">
        <v>3240425</v>
      </c>
      <c r="Y596" s="1">
        <v>382548</v>
      </c>
      <c r="Z596" s="1">
        <v>534021</v>
      </c>
      <c r="AB596" s="1">
        <v>15478</v>
      </c>
      <c r="AC596" s="1">
        <v>143294</v>
      </c>
      <c r="AD596" s="1">
        <v>435606</v>
      </c>
      <c r="AE596" s="1">
        <v>347852</v>
      </c>
      <c r="AG596" s="1">
        <v>5330393</v>
      </c>
      <c r="AH596" s="1">
        <v>12133892</v>
      </c>
      <c r="AJ596" s="1">
        <v>2217</v>
      </c>
      <c r="AK596" s="1">
        <v>2217</v>
      </c>
      <c r="AL596" s="1">
        <v>16746</v>
      </c>
      <c r="AM596" s="1">
        <v>182891</v>
      </c>
      <c r="AN596" s="1">
        <v>21156</v>
      </c>
      <c r="AO596" s="1">
        <v>220793</v>
      </c>
      <c r="AP596" s="1">
        <v>223010</v>
      </c>
      <c r="AQ596" s="1">
        <v>857472</v>
      </c>
      <c r="AT596" s="1">
        <v>857472</v>
      </c>
      <c r="AU596" s="1">
        <v>740221</v>
      </c>
      <c r="AV596" s="1">
        <v>1597693</v>
      </c>
      <c r="AW596" s="1">
        <v>1597693</v>
      </c>
      <c r="AZ596" s="1">
        <v>17247037</v>
      </c>
      <c r="BE596" s="1">
        <v>129009</v>
      </c>
      <c r="BF596" s="1">
        <v>102160</v>
      </c>
    </row>
    <row r="597" spans="1:118">
      <c r="A597" s="1">
        <v>41</v>
      </c>
      <c r="B597" s="1">
        <v>1870</v>
      </c>
      <c r="C597" s="1" t="s">
        <v>837</v>
      </c>
      <c r="D597" s="1" t="s">
        <v>680</v>
      </c>
      <c r="F597" s="1">
        <v>1813734</v>
      </c>
      <c r="G597" s="1">
        <v>612143</v>
      </c>
      <c r="H597" s="1">
        <v>1</v>
      </c>
      <c r="I597" s="1">
        <v>5000</v>
      </c>
      <c r="J597" s="1">
        <v>2430878</v>
      </c>
      <c r="K597" s="1">
        <v>452685</v>
      </c>
      <c r="L597" s="1">
        <v>509403</v>
      </c>
      <c r="M597" s="1">
        <v>87470</v>
      </c>
      <c r="N597" s="1">
        <v>46897</v>
      </c>
      <c r="O597" s="1">
        <v>1096455</v>
      </c>
      <c r="Q597" s="1">
        <v>13121539</v>
      </c>
      <c r="R597" s="1">
        <v>6402575</v>
      </c>
      <c r="S597" s="1">
        <v>6402575</v>
      </c>
      <c r="V597" s="1">
        <v>131320</v>
      </c>
      <c r="W597" s="1">
        <v>19655509</v>
      </c>
      <c r="X597" s="1">
        <v>3591875</v>
      </c>
      <c r="Y597" s="1">
        <v>54508</v>
      </c>
      <c r="Z597" s="1">
        <v>565100</v>
      </c>
      <c r="AA597" s="1">
        <v>200966</v>
      </c>
      <c r="AB597" s="1">
        <v>35705</v>
      </c>
      <c r="AC597" s="1">
        <v>155802</v>
      </c>
      <c r="AD597" s="1">
        <v>1947176</v>
      </c>
      <c r="AE597" s="1">
        <v>918653</v>
      </c>
      <c r="AG597" s="1">
        <v>7608579</v>
      </c>
      <c r="AH597" s="1">
        <v>27264088</v>
      </c>
      <c r="AI597" s="1">
        <v>58230</v>
      </c>
      <c r="AJ597" s="1">
        <v>176999</v>
      </c>
      <c r="AK597" s="1">
        <v>235229</v>
      </c>
      <c r="AL597" s="1">
        <v>134593</v>
      </c>
      <c r="AM597" s="1">
        <v>406179</v>
      </c>
      <c r="AN597" s="1">
        <v>93633</v>
      </c>
      <c r="AO597" s="1">
        <v>634405</v>
      </c>
      <c r="AP597" s="1">
        <v>880498</v>
      </c>
      <c r="AQ597" s="1">
        <v>273621</v>
      </c>
      <c r="AS597" s="1">
        <v>13618</v>
      </c>
      <c r="AT597" s="1">
        <v>287239</v>
      </c>
      <c r="AV597" s="1">
        <v>287239</v>
      </c>
      <c r="AW597" s="1">
        <v>287239</v>
      </c>
      <c r="AZ597" s="1">
        <v>31959158</v>
      </c>
      <c r="BE597" s="1">
        <v>138794</v>
      </c>
      <c r="BU597" s="1">
        <v>10864</v>
      </c>
      <c r="BV597" s="1">
        <v>10864</v>
      </c>
      <c r="DC597" s="1">
        <v>13618</v>
      </c>
      <c r="DN597" s="1">
        <v>75</v>
      </c>
    </row>
    <row r="598" spans="1:118">
      <c r="A598" s="1">
        <v>41</v>
      </c>
      <c r="B598" s="1">
        <v>2020</v>
      </c>
      <c r="C598" s="1" t="s">
        <v>837</v>
      </c>
      <c r="D598" s="1" t="s">
        <v>681</v>
      </c>
      <c r="G598" s="1">
        <v>108800</v>
      </c>
      <c r="H598" s="1">
        <v>10255</v>
      </c>
      <c r="I598" s="1">
        <v>2</v>
      </c>
      <c r="J598" s="1">
        <v>119057</v>
      </c>
      <c r="K598" s="1">
        <v>112415</v>
      </c>
      <c r="L598" s="1">
        <v>121672</v>
      </c>
      <c r="O598" s="1">
        <v>234087</v>
      </c>
      <c r="Q598" s="1">
        <v>1452000</v>
      </c>
      <c r="V598" s="1">
        <v>25196</v>
      </c>
      <c r="W598" s="1">
        <v>1477196</v>
      </c>
      <c r="X598" s="1">
        <v>221691</v>
      </c>
      <c r="Y598" s="1">
        <v>79345</v>
      </c>
      <c r="Z598" s="1">
        <v>113308</v>
      </c>
      <c r="AB598" s="1">
        <v>3507</v>
      </c>
      <c r="AC598" s="1">
        <v>17004</v>
      </c>
      <c r="AE598" s="1">
        <v>878</v>
      </c>
      <c r="AG598" s="1">
        <v>447726</v>
      </c>
      <c r="AH598" s="1">
        <v>2066813</v>
      </c>
      <c r="AM598" s="1">
        <v>34363</v>
      </c>
      <c r="AO598" s="1">
        <v>34363</v>
      </c>
      <c r="AP598" s="1">
        <v>34363</v>
      </c>
      <c r="AZ598" s="1">
        <v>2454320</v>
      </c>
      <c r="BE598" s="1">
        <v>9320</v>
      </c>
      <c r="BF598" s="1">
        <v>2673</v>
      </c>
      <c r="BG598" s="1">
        <v>141891</v>
      </c>
      <c r="BH598" s="1">
        <v>141891</v>
      </c>
    </row>
    <row r="599" spans="1:118">
      <c r="A599" s="1">
        <v>41</v>
      </c>
      <c r="B599" s="1">
        <v>2040</v>
      </c>
      <c r="C599" s="1" t="s">
        <v>837</v>
      </c>
      <c r="D599" s="1" t="s">
        <v>682</v>
      </c>
      <c r="F599" s="1">
        <v>48390</v>
      </c>
      <c r="H599" s="1">
        <v>136966</v>
      </c>
      <c r="I599" s="1">
        <v>567950</v>
      </c>
      <c r="J599" s="1">
        <v>798306</v>
      </c>
      <c r="K599" s="1">
        <v>112417</v>
      </c>
      <c r="L599" s="1">
        <v>311289</v>
      </c>
      <c r="M599" s="1">
        <v>404838</v>
      </c>
      <c r="O599" s="1">
        <v>828544</v>
      </c>
      <c r="P599" s="1">
        <v>500</v>
      </c>
      <c r="Q599" s="1">
        <v>4928250</v>
      </c>
      <c r="R599" s="1">
        <v>21600</v>
      </c>
      <c r="S599" s="1">
        <v>21600</v>
      </c>
      <c r="U599" s="1">
        <v>29971</v>
      </c>
      <c r="V599" s="1">
        <v>67599</v>
      </c>
      <c r="W599" s="1">
        <v>5047420</v>
      </c>
      <c r="Y599" s="1">
        <v>197114</v>
      </c>
      <c r="Z599" s="1">
        <v>236907</v>
      </c>
      <c r="AA599" s="1">
        <v>4636</v>
      </c>
      <c r="AB599" s="1">
        <v>13105</v>
      </c>
      <c r="AC599" s="1">
        <v>48825</v>
      </c>
      <c r="AD599" s="1">
        <v>314988</v>
      </c>
      <c r="AE599" s="1">
        <v>157347</v>
      </c>
      <c r="AG599" s="1">
        <v>1019552</v>
      </c>
      <c r="AH599" s="1">
        <v>6067472</v>
      </c>
      <c r="AJ599" s="1">
        <v>1601</v>
      </c>
      <c r="AK599" s="1">
        <v>1601</v>
      </c>
      <c r="AL599" s="1">
        <v>10519</v>
      </c>
      <c r="AM599" s="1">
        <v>91140</v>
      </c>
      <c r="AN599" s="1">
        <v>46244</v>
      </c>
      <c r="AO599" s="1">
        <v>147903</v>
      </c>
      <c r="AP599" s="1">
        <v>149504</v>
      </c>
      <c r="AQ599" s="1">
        <v>308198</v>
      </c>
      <c r="AT599" s="1">
        <v>308198</v>
      </c>
      <c r="AV599" s="1">
        <v>308198</v>
      </c>
      <c r="AW599" s="1">
        <v>308198</v>
      </c>
      <c r="AY599" s="1">
        <v>-500</v>
      </c>
      <c r="AZ599" s="1">
        <v>8151524</v>
      </c>
      <c r="BE599" s="1">
        <v>15496</v>
      </c>
      <c r="BF599" s="1">
        <v>2088</v>
      </c>
      <c r="BR599" s="1">
        <v>29046</v>
      </c>
      <c r="BY599" s="1">
        <v>-500</v>
      </c>
      <c r="CD599" s="1">
        <v>45000</v>
      </c>
    </row>
    <row r="600" spans="1:118">
      <c r="A600" s="1">
        <v>41</v>
      </c>
      <c r="B600" s="1">
        <v>2250</v>
      </c>
      <c r="C600" s="1" t="s">
        <v>837</v>
      </c>
      <c r="D600" s="1" t="s">
        <v>683</v>
      </c>
      <c r="I600" s="1">
        <v>43980</v>
      </c>
      <c r="J600" s="1">
        <v>43980</v>
      </c>
      <c r="K600" s="1">
        <v>102071</v>
      </c>
      <c r="L600" s="1">
        <v>112751</v>
      </c>
      <c r="M600" s="1">
        <v>2954</v>
      </c>
      <c r="O600" s="1">
        <v>217776</v>
      </c>
      <c r="Q600" s="1">
        <v>2763268</v>
      </c>
      <c r="R600" s="1">
        <v>29208</v>
      </c>
      <c r="S600" s="1">
        <v>29208</v>
      </c>
      <c r="U600" s="1">
        <v>1882</v>
      </c>
      <c r="V600" s="1">
        <v>27024</v>
      </c>
      <c r="W600" s="1">
        <v>2821382</v>
      </c>
      <c r="X600" s="1">
        <v>100138</v>
      </c>
      <c r="Y600" s="1">
        <v>152310</v>
      </c>
      <c r="Z600" s="1">
        <v>175905</v>
      </c>
      <c r="AB600" s="1">
        <v>22301</v>
      </c>
      <c r="AC600" s="1">
        <v>31490</v>
      </c>
      <c r="AD600" s="1">
        <v>180007</v>
      </c>
      <c r="AE600" s="1">
        <v>99844</v>
      </c>
      <c r="AG600" s="1">
        <v>1369318</v>
      </c>
      <c r="AH600" s="1">
        <v>4190700</v>
      </c>
      <c r="AJ600" s="1">
        <v>3000</v>
      </c>
      <c r="AK600" s="1">
        <v>3000</v>
      </c>
      <c r="AM600" s="1">
        <v>69046</v>
      </c>
      <c r="AN600" s="1">
        <v>37622</v>
      </c>
      <c r="AO600" s="1">
        <v>106668</v>
      </c>
      <c r="AP600" s="1">
        <v>109668</v>
      </c>
      <c r="AQ600" s="1">
        <v>183175</v>
      </c>
      <c r="AT600" s="1">
        <v>183175</v>
      </c>
      <c r="AU600" s="1">
        <v>2733</v>
      </c>
      <c r="AV600" s="1">
        <v>185908</v>
      </c>
      <c r="AW600" s="1">
        <v>185908</v>
      </c>
      <c r="AZ600" s="1">
        <v>4926468</v>
      </c>
      <c r="BE600" s="1">
        <v>30910</v>
      </c>
      <c r="BF600" s="1">
        <v>5913</v>
      </c>
      <c r="BR600" s="1">
        <v>570500</v>
      </c>
      <c r="BY600" s="1">
        <v>178436</v>
      </c>
      <c r="CC600" s="1">
        <v>117046</v>
      </c>
      <c r="CI600" s="1">
        <v>61390</v>
      </c>
    </row>
    <row r="601" spans="1:118">
      <c r="A601" s="1">
        <v>41</v>
      </c>
      <c r="B601" s="1">
        <v>2470</v>
      </c>
      <c r="C601" s="1" t="s">
        <v>837</v>
      </c>
      <c r="D601" s="1" t="s">
        <v>684</v>
      </c>
      <c r="F601" s="1">
        <v>30846</v>
      </c>
      <c r="G601" s="1">
        <v>8818</v>
      </c>
      <c r="H601" s="1">
        <v>1318</v>
      </c>
      <c r="I601" s="1">
        <v>36433</v>
      </c>
      <c r="J601" s="1">
        <v>77415</v>
      </c>
      <c r="K601" s="1">
        <v>120381</v>
      </c>
      <c r="L601" s="1">
        <v>155082</v>
      </c>
      <c r="O601" s="1">
        <v>275463</v>
      </c>
      <c r="Q601" s="1">
        <v>2366564</v>
      </c>
      <c r="R601" s="1">
        <v>13012</v>
      </c>
      <c r="S601" s="1">
        <v>13012</v>
      </c>
      <c r="U601" s="1">
        <v>3890</v>
      </c>
      <c r="V601" s="1">
        <v>60401</v>
      </c>
      <c r="W601" s="1">
        <v>2443867</v>
      </c>
      <c r="X601" s="1">
        <v>696181</v>
      </c>
      <c r="Y601" s="1">
        <v>147273</v>
      </c>
      <c r="Z601" s="1">
        <v>153189</v>
      </c>
      <c r="AA601" s="1">
        <v>4636</v>
      </c>
      <c r="AB601" s="1">
        <v>17996</v>
      </c>
      <c r="AC601" s="1">
        <v>41035</v>
      </c>
      <c r="AD601" s="1">
        <v>264504</v>
      </c>
      <c r="AE601" s="1">
        <v>159825</v>
      </c>
      <c r="AG601" s="1">
        <v>1751392</v>
      </c>
      <c r="AH601" s="1">
        <v>4195259</v>
      </c>
      <c r="AL601" s="1">
        <v>19821</v>
      </c>
      <c r="AM601" s="1">
        <v>68916</v>
      </c>
      <c r="AN601" s="1">
        <v>48460</v>
      </c>
      <c r="AO601" s="1">
        <v>137197</v>
      </c>
      <c r="AP601" s="1">
        <v>137197</v>
      </c>
      <c r="AQ601" s="1">
        <v>155377</v>
      </c>
      <c r="AT601" s="1">
        <v>155377</v>
      </c>
      <c r="AU601" s="1">
        <v>76267</v>
      </c>
      <c r="AV601" s="1">
        <v>231644</v>
      </c>
      <c r="AW601" s="1">
        <v>231644</v>
      </c>
      <c r="AZ601" s="1">
        <v>4916978</v>
      </c>
      <c r="BE601" s="1">
        <v>38077</v>
      </c>
      <c r="BF601" s="1">
        <v>1764</v>
      </c>
      <c r="BR601" s="1">
        <v>226912</v>
      </c>
    </row>
    <row r="602" spans="1:118">
      <c r="A602" s="1">
        <v>41</v>
      </c>
      <c r="B602" s="1">
        <v>2790</v>
      </c>
      <c r="C602" s="1" t="s">
        <v>837</v>
      </c>
      <c r="D602" s="1" t="s">
        <v>685</v>
      </c>
      <c r="F602" s="1">
        <v>338264</v>
      </c>
      <c r="G602" s="1">
        <v>4969</v>
      </c>
      <c r="H602" s="1">
        <v>6442</v>
      </c>
      <c r="I602" s="1">
        <v>76046</v>
      </c>
      <c r="J602" s="1">
        <v>425721</v>
      </c>
      <c r="K602" s="1">
        <v>244151</v>
      </c>
      <c r="L602" s="1">
        <v>223002</v>
      </c>
      <c r="M602" s="1">
        <v>170470</v>
      </c>
      <c r="O602" s="1">
        <v>637623</v>
      </c>
      <c r="Q602" s="1">
        <v>10693264</v>
      </c>
      <c r="S602" s="1">
        <v>10350</v>
      </c>
      <c r="U602" s="1">
        <v>3054</v>
      </c>
      <c r="V602" s="1">
        <v>81087</v>
      </c>
      <c r="W602" s="1">
        <v>10787755</v>
      </c>
      <c r="X602" s="1">
        <v>1849722</v>
      </c>
      <c r="Y602" s="1">
        <v>112735</v>
      </c>
      <c r="Z602" s="1">
        <v>474283</v>
      </c>
      <c r="AA602" s="1">
        <v>4636</v>
      </c>
      <c r="AB602" s="1">
        <v>8695</v>
      </c>
      <c r="AC602" s="1">
        <v>126946</v>
      </c>
      <c r="AD602" s="1">
        <v>612859</v>
      </c>
      <c r="AE602" s="1">
        <v>379296</v>
      </c>
      <c r="AG602" s="1">
        <v>3758433</v>
      </c>
      <c r="AH602" s="1">
        <v>14546188</v>
      </c>
      <c r="AJ602" s="1">
        <v>29031</v>
      </c>
      <c r="AK602" s="1">
        <v>29031</v>
      </c>
      <c r="AL602" s="1">
        <v>27007</v>
      </c>
      <c r="AM602" s="1">
        <v>205095</v>
      </c>
      <c r="AN602" s="1">
        <v>9321</v>
      </c>
      <c r="AO602" s="1">
        <v>241423</v>
      </c>
      <c r="AP602" s="1">
        <v>279204</v>
      </c>
      <c r="AQ602" s="1">
        <v>808051</v>
      </c>
      <c r="AT602" s="1">
        <v>808051</v>
      </c>
      <c r="AU602" s="1">
        <v>302276</v>
      </c>
      <c r="AV602" s="1">
        <v>1110327</v>
      </c>
      <c r="AW602" s="1">
        <v>1110327</v>
      </c>
      <c r="AY602" s="1">
        <v>36940</v>
      </c>
      <c r="AZ602" s="1">
        <v>17084914</v>
      </c>
      <c r="BC602" s="1">
        <v>10350</v>
      </c>
      <c r="BE602" s="1">
        <v>77050</v>
      </c>
      <c r="BF602" s="1">
        <v>112211</v>
      </c>
      <c r="BU602" s="1">
        <v>8750</v>
      </c>
      <c r="BV602" s="1">
        <v>8750</v>
      </c>
      <c r="BY602" s="1">
        <v>85851</v>
      </c>
      <c r="CC602" s="1">
        <v>48911</v>
      </c>
    </row>
    <row r="603" spans="1:118">
      <c r="A603" s="1">
        <v>41</v>
      </c>
      <c r="B603" s="1">
        <v>2970</v>
      </c>
      <c r="C603" s="1" t="s">
        <v>837</v>
      </c>
      <c r="D603" s="1" t="s">
        <v>1468</v>
      </c>
      <c r="F603" s="1">
        <v>151599</v>
      </c>
      <c r="G603" s="1">
        <v>49810</v>
      </c>
      <c r="H603" s="1">
        <v>119038</v>
      </c>
      <c r="I603" s="1">
        <v>261545</v>
      </c>
      <c r="J603" s="1">
        <v>581992</v>
      </c>
      <c r="K603" s="1">
        <v>151513</v>
      </c>
      <c r="L603" s="1">
        <v>175968</v>
      </c>
      <c r="M603" s="1">
        <v>228287</v>
      </c>
      <c r="N603" s="1">
        <v>1578</v>
      </c>
      <c r="O603" s="1">
        <v>557346</v>
      </c>
      <c r="Q603" s="1">
        <v>4469733</v>
      </c>
      <c r="R603" s="1">
        <v>19410</v>
      </c>
      <c r="S603" s="1">
        <v>31410</v>
      </c>
      <c r="U603" s="1">
        <v>10984</v>
      </c>
      <c r="V603" s="1">
        <v>58225</v>
      </c>
      <c r="W603" s="1">
        <v>4570352</v>
      </c>
      <c r="X603" s="1">
        <v>1197974</v>
      </c>
      <c r="Y603" s="1">
        <v>343253</v>
      </c>
      <c r="Z603" s="1">
        <v>275349</v>
      </c>
      <c r="AA603" s="1">
        <v>12974</v>
      </c>
      <c r="AB603" s="1">
        <v>7619</v>
      </c>
      <c r="AC603" s="1">
        <v>81522</v>
      </c>
      <c r="AD603" s="1">
        <v>564573</v>
      </c>
      <c r="AE603" s="1">
        <v>319772</v>
      </c>
      <c r="AG603" s="1">
        <v>3730002</v>
      </c>
      <c r="AH603" s="1">
        <v>8308456</v>
      </c>
      <c r="AI603" s="1">
        <v>19980</v>
      </c>
      <c r="AJ603" s="1">
        <v>135</v>
      </c>
      <c r="AK603" s="1">
        <v>20115</v>
      </c>
      <c r="AL603" s="1">
        <v>109031</v>
      </c>
      <c r="AM603" s="1">
        <v>167130</v>
      </c>
      <c r="AN603" s="1">
        <v>57436</v>
      </c>
      <c r="AO603" s="1">
        <v>333597</v>
      </c>
      <c r="AP603" s="1">
        <v>355553</v>
      </c>
      <c r="AQ603" s="1">
        <v>333504</v>
      </c>
      <c r="AT603" s="1">
        <v>333504</v>
      </c>
      <c r="AU603" s="1">
        <v>103800</v>
      </c>
      <c r="AV603" s="1">
        <v>437304</v>
      </c>
      <c r="AW603" s="1">
        <v>437304</v>
      </c>
      <c r="AX603" s="1">
        <v>10586</v>
      </c>
      <c r="AZ603" s="1">
        <v>10251237</v>
      </c>
      <c r="BC603" s="1">
        <v>12000</v>
      </c>
      <c r="BE603" s="1">
        <v>83115</v>
      </c>
      <c r="BF603" s="1">
        <v>4402</v>
      </c>
      <c r="BH603" s="1">
        <v>8102</v>
      </c>
      <c r="BR603" s="1">
        <v>461172</v>
      </c>
      <c r="BU603" s="1">
        <v>1841</v>
      </c>
      <c r="BV603" s="1">
        <v>1841</v>
      </c>
      <c r="BY603" s="1">
        <v>10586</v>
      </c>
      <c r="CA603" s="1">
        <v>8102</v>
      </c>
      <c r="CF603" s="1">
        <v>378277</v>
      </c>
      <c r="CJ603" s="1">
        <v>304954</v>
      </c>
    </row>
    <row r="604" spans="1:118">
      <c r="A604" s="1">
        <v>41</v>
      </c>
      <c r="B604" s="1">
        <v>3675</v>
      </c>
      <c r="C604" s="1" t="s">
        <v>837</v>
      </c>
      <c r="D604" s="1" t="s">
        <v>686</v>
      </c>
      <c r="F604" s="1">
        <v>30450</v>
      </c>
      <c r="G604" s="1">
        <v>515687</v>
      </c>
      <c r="H604" s="1">
        <v>498180</v>
      </c>
      <c r="I604" s="1">
        <v>101925</v>
      </c>
      <c r="J604" s="1">
        <v>1146242</v>
      </c>
      <c r="K604" s="1">
        <v>337386</v>
      </c>
      <c r="M604" s="1">
        <v>19415</v>
      </c>
      <c r="N604" s="1">
        <v>1004</v>
      </c>
      <c r="O604" s="1">
        <v>357805</v>
      </c>
      <c r="Q604" s="1">
        <v>9322313</v>
      </c>
      <c r="R604" s="1">
        <v>23385</v>
      </c>
      <c r="S604" s="1">
        <v>23385</v>
      </c>
      <c r="T604" s="1">
        <v>41122</v>
      </c>
      <c r="U604" s="1">
        <v>372</v>
      </c>
      <c r="V604" s="1">
        <v>157824</v>
      </c>
      <c r="W604" s="1">
        <v>9545016</v>
      </c>
      <c r="X604" s="1">
        <v>3033417</v>
      </c>
      <c r="Y604" s="1">
        <v>448471</v>
      </c>
      <c r="Z604" s="1">
        <v>668416</v>
      </c>
      <c r="AA604" s="1">
        <v>1186</v>
      </c>
      <c r="AB604" s="1">
        <v>68323</v>
      </c>
      <c r="AC604" s="1">
        <v>112573</v>
      </c>
      <c r="AD604" s="1">
        <v>890275</v>
      </c>
      <c r="AE604" s="1">
        <v>456167</v>
      </c>
      <c r="AG604" s="1">
        <v>5875689</v>
      </c>
      <c r="AH604" s="1">
        <v>15420705</v>
      </c>
      <c r="AJ604" s="1">
        <v>17777</v>
      </c>
      <c r="AK604" s="1">
        <v>17777</v>
      </c>
      <c r="AL604" s="1">
        <v>22807</v>
      </c>
      <c r="AM604" s="1">
        <v>186792</v>
      </c>
      <c r="AN604" s="1">
        <v>66633</v>
      </c>
      <c r="AO604" s="1">
        <v>276232</v>
      </c>
      <c r="AP604" s="1">
        <v>294009</v>
      </c>
      <c r="AQ604" s="1">
        <v>325185</v>
      </c>
      <c r="AT604" s="1">
        <v>325185</v>
      </c>
      <c r="AU604" s="1">
        <v>101333</v>
      </c>
      <c r="AV604" s="1">
        <v>426518</v>
      </c>
      <c r="AW604" s="1">
        <v>426518</v>
      </c>
      <c r="AY604" s="1">
        <v>253000</v>
      </c>
      <c r="AZ604" s="1">
        <v>17898286</v>
      </c>
      <c r="BE604" s="1">
        <v>127922</v>
      </c>
      <c r="BF604" s="1">
        <v>11132</v>
      </c>
      <c r="BY604" s="1">
        <v>253007</v>
      </c>
      <c r="CC604" s="1">
        <v>7</v>
      </c>
      <c r="CM604" s="1">
        <v>57807</v>
      </c>
    </row>
    <row r="605" spans="1:118">
      <c r="A605" s="1">
        <v>41</v>
      </c>
      <c r="B605" s="1">
        <v>3890</v>
      </c>
      <c r="C605" s="1" t="s">
        <v>837</v>
      </c>
      <c r="D605" s="1" t="s">
        <v>687</v>
      </c>
      <c r="E605" s="1">
        <v>90000</v>
      </c>
      <c r="F605" s="1">
        <v>10007</v>
      </c>
      <c r="G605" s="1">
        <v>38780</v>
      </c>
      <c r="H605" s="1">
        <v>122757</v>
      </c>
      <c r="J605" s="1">
        <v>261544</v>
      </c>
      <c r="K605" s="1">
        <v>121595</v>
      </c>
      <c r="L605" s="1">
        <v>40000</v>
      </c>
      <c r="M605" s="1">
        <v>3028</v>
      </c>
      <c r="O605" s="1">
        <v>164623</v>
      </c>
      <c r="Q605" s="1">
        <v>2721704</v>
      </c>
      <c r="U605" s="1">
        <v>50</v>
      </c>
      <c r="V605" s="1">
        <v>30156</v>
      </c>
      <c r="W605" s="1">
        <v>2751910</v>
      </c>
      <c r="X605" s="1">
        <v>1859663</v>
      </c>
      <c r="Y605" s="1">
        <v>87045</v>
      </c>
      <c r="Z605" s="1">
        <v>162031</v>
      </c>
      <c r="AB605" s="1">
        <v>20707</v>
      </c>
      <c r="AC605" s="1">
        <v>52775</v>
      </c>
      <c r="AD605" s="1">
        <v>295584</v>
      </c>
      <c r="AE605" s="1">
        <v>120287</v>
      </c>
      <c r="AG605" s="1">
        <v>2666499</v>
      </c>
      <c r="AH605" s="1">
        <v>5418409</v>
      </c>
      <c r="AI605" s="1">
        <v>15146</v>
      </c>
      <c r="AJ605" s="1">
        <v>4</v>
      </c>
      <c r="AK605" s="1">
        <v>15150</v>
      </c>
      <c r="AL605" s="1">
        <v>34436</v>
      </c>
      <c r="AM605" s="1">
        <v>75356</v>
      </c>
      <c r="AN605" s="1">
        <v>202851</v>
      </c>
      <c r="AO605" s="1">
        <v>312643</v>
      </c>
      <c r="AP605" s="1">
        <v>327793</v>
      </c>
      <c r="AQ605" s="1">
        <v>306188</v>
      </c>
      <c r="AT605" s="1">
        <v>306188</v>
      </c>
      <c r="AV605" s="1">
        <v>306188</v>
      </c>
      <c r="AW605" s="1">
        <v>306188</v>
      </c>
      <c r="AZ605" s="1">
        <v>6478812</v>
      </c>
      <c r="BE605" s="1">
        <v>65298</v>
      </c>
      <c r="BF605" s="1">
        <v>3109</v>
      </c>
      <c r="BY605" s="1">
        <v>255</v>
      </c>
      <c r="CC605" s="1">
        <v>255</v>
      </c>
    </row>
    <row r="606" spans="1:118">
      <c r="A606" s="1">
        <v>41</v>
      </c>
      <c r="B606" s="1">
        <v>4100</v>
      </c>
      <c r="C606" s="1" t="s">
        <v>837</v>
      </c>
      <c r="D606" s="1" t="s">
        <v>688</v>
      </c>
      <c r="F606" s="1">
        <v>193262</v>
      </c>
      <c r="J606" s="1">
        <v>193262</v>
      </c>
      <c r="K606" s="1">
        <v>449429</v>
      </c>
      <c r="L606" s="1">
        <v>2233000</v>
      </c>
      <c r="N606" s="1">
        <v>45438</v>
      </c>
      <c r="O606" s="1">
        <v>2727867</v>
      </c>
      <c r="P606" s="1">
        <v>-388009</v>
      </c>
      <c r="Q606" s="1">
        <v>6241166</v>
      </c>
      <c r="R606" s="1">
        <v>7315747</v>
      </c>
      <c r="S606" s="1">
        <v>7315747</v>
      </c>
      <c r="V606" s="1">
        <v>424244</v>
      </c>
      <c r="W606" s="1">
        <v>13981157</v>
      </c>
      <c r="X606" s="1">
        <v>12984654</v>
      </c>
      <c r="Y606" s="1">
        <v>343874</v>
      </c>
      <c r="Z606" s="1">
        <v>2299401</v>
      </c>
      <c r="AA606" s="1">
        <v>70996</v>
      </c>
      <c r="AB606" s="1">
        <v>24799</v>
      </c>
      <c r="AC606" s="1">
        <v>292733</v>
      </c>
      <c r="AD606" s="1">
        <v>3481360</v>
      </c>
      <c r="AE606" s="1">
        <v>2100458</v>
      </c>
      <c r="AG606" s="1">
        <v>41724471</v>
      </c>
      <c r="AH606" s="1">
        <v>55506944</v>
      </c>
      <c r="AJ606" s="1">
        <v>679476</v>
      </c>
      <c r="AK606" s="1">
        <v>5105948</v>
      </c>
      <c r="AL606" s="1">
        <v>1220759</v>
      </c>
      <c r="AM606" s="1">
        <v>779016</v>
      </c>
      <c r="AN606" s="1">
        <v>659271</v>
      </c>
      <c r="AO606" s="1">
        <v>2750221</v>
      </c>
      <c r="AP606" s="1">
        <v>7893478</v>
      </c>
      <c r="AQ606" s="1">
        <v>91488</v>
      </c>
      <c r="AS606" s="1">
        <v>5130</v>
      </c>
      <c r="AT606" s="1">
        <v>96618</v>
      </c>
      <c r="AU606" s="1">
        <v>126575</v>
      </c>
      <c r="AV606" s="1">
        <v>223193</v>
      </c>
      <c r="AW606" s="1">
        <v>223193</v>
      </c>
      <c r="AZ606" s="1">
        <v>66544744</v>
      </c>
      <c r="BF606" s="1">
        <v>3444</v>
      </c>
      <c r="BG606" s="1">
        <v>27912</v>
      </c>
      <c r="BH606" s="1">
        <v>189325</v>
      </c>
      <c r="BI606" s="1">
        <v>3319524</v>
      </c>
      <c r="BJ606" s="1">
        <v>718939</v>
      </c>
      <c r="BK606" s="1">
        <v>40010</v>
      </c>
      <c r="BU606" s="1">
        <v>37309</v>
      </c>
      <c r="BV606" s="1">
        <v>37309</v>
      </c>
      <c r="CA606" s="1">
        <v>161413</v>
      </c>
      <c r="CF606" s="1">
        <v>333641</v>
      </c>
      <c r="CO606" s="1">
        <v>19122021</v>
      </c>
      <c r="CW606" s="1">
        <v>388009</v>
      </c>
      <c r="DC606" s="1">
        <v>5130</v>
      </c>
      <c r="DD606" s="1">
        <v>667090</v>
      </c>
      <c r="DG606" s="1">
        <v>51165</v>
      </c>
    </row>
    <row r="607" spans="1:118">
      <c r="A607" s="1">
        <v>41</v>
      </c>
      <c r="B607" s="1">
        <v>4200</v>
      </c>
      <c r="C607" s="1" t="s">
        <v>837</v>
      </c>
      <c r="D607" s="1" t="s">
        <v>689</v>
      </c>
      <c r="F607" s="1">
        <v>190878</v>
      </c>
      <c r="G607" s="1">
        <v>228983</v>
      </c>
      <c r="H607" s="1">
        <v>147041</v>
      </c>
      <c r="I607" s="1">
        <v>154398</v>
      </c>
      <c r="J607" s="1">
        <v>721300</v>
      </c>
      <c r="K607" s="1">
        <v>121013</v>
      </c>
      <c r="N607" s="1">
        <v>1216</v>
      </c>
      <c r="O607" s="1">
        <v>122229</v>
      </c>
      <c r="Q607" s="1">
        <v>4489308</v>
      </c>
      <c r="T607" s="1">
        <v>30867</v>
      </c>
      <c r="U607" s="1">
        <v>7722</v>
      </c>
      <c r="V607" s="1">
        <v>67054</v>
      </c>
      <c r="W607" s="1">
        <v>4594951</v>
      </c>
      <c r="X607" s="1">
        <v>881330</v>
      </c>
      <c r="Y607" s="1">
        <v>195239</v>
      </c>
      <c r="Z607" s="1">
        <v>245024</v>
      </c>
      <c r="AC607" s="1">
        <v>59907</v>
      </c>
      <c r="AD607" s="1">
        <v>452183</v>
      </c>
      <c r="AE607" s="1">
        <v>150584</v>
      </c>
      <c r="AG607" s="1">
        <v>2289277</v>
      </c>
      <c r="AH607" s="1">
        <v>6884228</v>
      </c>
      <c r="AI607" s="1">
        <v>8118</v>
      </c>
      <c r="AK607" s="1">
        <v>8118</v>
      </c>
      <c r="AL607" s="1">
        <v>23767</v>
      </c>
      <c r="AM607" s="1">
        <v>107713</v>
      </c>
      <c r="AN607" s="1">
        <v>18113</v>
      </c>
      <c r="AO607" s="1">
        <v>149593</v>
      </c>
      <c r="AP607" s="1">
        <v>157711</v>
      </c>
      <c r="AQ607" s="1">
        <v>732648</v>
      </c>
      <c r="AS607" s="1">
        <v>55000</v>
      </c>
      <c r="AT607" s="1">
        <v>787648</v>
      </c>
      <c r="AU607" s="1">
        <v>190100</v>
      </c>
      <c r="AV607" s="1">
        <v>977748</v>
      </c>
      <c r="AW607" s="1">
        <v>977748</v>
      </c>
      <c r="AZ607" s="1">
        <v>8863216</v>
      </c>
      <c r="BE607" s="1">
        <v>49269</v>
      </c>
      <c r="BF607" s="1">
        <v>3043</v>
      </c>
      <c r="BR607" s="1">
        <v>252698</v>
      </c>
      <c r="DC607" s="1">
        <v>55000</v>
      </c>
    </row>
    <row r="608" spans="1:118">
      <c r="A608" s="1">
        <v>41</v>
      </c>
      <c r="B608" s="1">
        <v>5450</v>
      </c>
      <c r="C608" s="1" t="s">
        <v>837</v>
      </c>
      <c r="D608" s="1" t="s">
        <v>690</v>
      </c>
      <c r="K608" s="1">
        <v>656008</v>
      </c>
      <c r="L608" s="1">
        <v>816501</v>
      </c>
      <c r="O608" s="1">
        <v>1472509</v>
      </c>
      <c r="V608" s="1">
        <v>199812</v>
      </c>
      <c r="W608" s="1">
        <v>2532251</v>
      </c>
      <c r="AD608" s="1">
        <v>150651</v>
      </c>
      <c r="AE608" s="1">
        <v>111321</v>
      </c>
      <c r="AG608" s="1">
        <v>261972</v>
      </c>
      <c r="AH608" s="1">
        <v>2794223</v>
      </c>
      <c r="AJ608" s="1">
        <v>5154</v>
      </c>
      <c r="AK608" s="1">
        <v>5154</v>
      </c>
      <c r="AP608" s="1">
        <v>5154</v>
      </c>
      <c r="AZ608" s="1">
        <v>4271886</v>
      </c>
      <c r="BN608" s="1">
        <v>184821</v>
      </c>
      <c r="BO608" s="1">
        <v>2147618</v>
      </c>
    </row>
    <row r="609" spans="1:134">
      <c r="A609" s="1">
        <v>41</v>
      </c>
      <c r="B609" s="1">
        <v>5460</v>
      </c>
      <c r="C609" s="1" t="s">
        <v>837</v>
      </c>
      <c r="D609" s="1" t="s">
        <v>691</v>
      </c>
      <c r="F609" s="1">
        <v>22987</v>
      </c>
      <c r="G609" s="1">
        <v>269194</v>
      </c>
      <c r="I609" s="1">
        <v>19822</v>
      </c>
      <c r="J609" s="1">
        <v>312003</v>
      </c>
      <c r="K609" s="1">
        <v>393186</v>
      </c>
      <c r="M609" s="1">
        <v>4431</v>
      </c>
      <c r="O609" s="1">
        <v>397617</v>
      </c>
      <c r="P609" s="1">
        <v>20864</v>
      </c>
      <c r="U609" s="1">
        <v>756</v>
      </c>
      <c r="V609" s="1">
        <v>214808</v>
      </c>
      <c r="W609" s="1">
        <v>5402543</v>
      </c>
      <c r="X609" s="1">
        <v>960964</v>
      </c>
      <c r="Y609" s="1">
        <v>114851</v>
      </c>
      <c r="Z609" s="1">
        <v>362281</v>
      </c>
      <c r="AC609" s="1">
        <v>123865</v>
      </c>
      <c r="AD609" s="1">
        <v>450080</v>
      </c>
      <c r="AE609" s="1">
        <v>210146</v>
      </c>
      <c r="AG609" s="1">
        <v>3088788</v>
      </c>
      <c r="AH609" s="1">
        <v>8512195</v>
      </c>
      <c r="AI609" s="1">
        <v>20429</v>
      </c>
      <c r="AJ609" s="1">
        <v>26052</v>
      </c>
      <c r="AK609" s="1">
        <v>46481</v>
      </c>
      <c r="AL609" s="1">
        <v>27417</v>
      </c>
      <c r="AM609" s="1">
        <v>76753</v>
      </c>
      <c r="AN609" s="1">
        <v>1191</v>
      </c>
      <c r="AO609" s="1">
        <v>502551</v>
      </c>
      <c r="AP609" s="1">
        <v>549032</v>
      </c>
      <c r="AX609" s="1">
        <v>130</v>
      </c>
      <c r="AY609" s="1">
        <v>241987</v>
      </c>
      <c r="AZ609" s="1">
        <v>10137964</v>
      </c>
      <c r="BE609" s="1">
        <v>70522</v>
      </c>
      <c r="BF609" s="1">
        <v>27749</v>
      </c>
      <c r="BK609" s="1">
        <v>256679</v>
      </c>
      <c r="BN609" s="1">
        <v>4012290</v>
      </c>
      <c r="BO609" s="1">
        <v>1045075</v>
      </c>
      <c r="BP609" s="1">
        <v>129614</v>
      </c>
      <c r="BR609" s="1">
        <v>67799</v>
      </c>
      <c r="BS609" s="1">
        <v>556886</v>
      </c>
      <c r="BT609" s="1">
        <v>143645</v>
      </c>
      <c r="BW609" s="1">
        <v>140511</v>
      </c>
      <c r="BY609" s="1">
        <v>367117</v>
      </c>
      <c r="CC609" s="1">
        <v>125000</v>
      </c>
    </row>
    <row r="610" spans="1:134">
      <c r="A610" s="1">
        <v>41</v>
      </c>
      <c r="B610" s="1">
        <v>5465</v>
      </c>
      <c r="C610" s="1" t="s">
        <v>837</v>
      </c>
      <c r="D610" s="1" t="s">
        <v>692</v>
      </c>
      <c r="F610" s="1">
        <v>1890428</v>
      </c>
      <c r="G610" s="1">
        <v>1391944</v>
      </c>
      <c r="H610" s="1">
        <v>671127</v>
      </c>
      <c r="I610" s="1">
        <v>1423649</v>
      </c>
      <c r="J610" s="1">
        <v>7945492</v>
      </c>
      <c r="K610" s="1">
        <v>644307</v>
      </c>
      <c r="L610" s="1">
        <v>342976</v>
      </c>
      <c r="M610" s="1">
        <v>30819479</v>
      </c>
      <c r="N610" s="1">
        <v>178388</v>
      </c>
      <c r="O610" s="1">
        <v>31985150</v>
      </c>
      <c r="Q610" s="1">
        <v>16916300</v>
      </c>
      <c r="R610" s="1">
        <v>1316884</v>
      </c>
      <c r="S610" s="1">
        <v>1316884</v>
      </c>
      <c r="T610" s="1">
        <v>304198</v>
      </c>
      <c r="U610" s="1">
        <v>56946</v>
      </c>
      <c r="V610" s="1">
        <v>254116</v>
      </c>
      <c r="W610" s="1">
        <v>18862124</v>
      </c>
      <c r="X610" s="1">
        <v>7385112</v>
      </c>
      <c r="Y610" s="1">
        <v>536929</v>
      </c>
      <c r="Z610" s="1">
        <v>1372469</v>
      </c>
      <c r="AA610" s="1">
        <v>26810</v>
      </c>
      <c r="AB610" s="1">
        <v>88190</v>
      </c>
      <c r="AC610" s="1">
        <v>228218</v>
      </c>
      <c r="AD610" s="1">
        <v>2078994</v>
      </c>
      <c r="AE610" s="1">
        <v>952275</v>
      </c>
      <c r="AG610" s="1">
        <v>12976714</v>
      </c>
      <c r="AH610" s="1">
        <v>31838838</v>
      </c>
      <c r="AI610" s="1">
        <v>49910</v>
      </c>
      <c r="AJ610" s="1">
        <v>2721</v>
      </c>
      <c r="AK610" s="1">
        <v>52631</v>
      </c>
      <c r="AL610" s="1">
        <v>104440</v>
      </c>
      <c r="AM610" s="1">
        <v>400442</v>
      </c>
      <c r="AN610" s="1">
        <v>86876</v>
      </c>
      <c r="AO610" s="1">
        <v>591758</v>
      </c>
      <c r="AP610" s="1">
        <v>644389</v>
      </c>
      <c r="AQ610" s="1">
        <v>1466725</v>
      </c>
      <c r="AR610" s="1">
        <v>129</v>
      </c>
      <c r="AS610" s="1">
        <v>129</v>
      </c>
      <c r="AT610" s="1">
        <v>1466854</v>
      </c>
      <c r="AU610" s="1">
        <v>414993</v>
      </c>
      <c r="AV610" s="1">
        <v>2781950</v>
      </c>
      <c r="AW610" s="1">
        <v>2781950</v>
      </c>
      <c r="AX610" s="1">
        <v>900103</v>
      </c>
      <c r="AY610" s="1">
        <v>-900103</v>
      </c>
      <c r="AZ610" s="1">
        <v>75195819</v>
      </c>
      <c r="BE610" s="1">
        <v>287984</v>
      </c>
      <c r="BF610" s="1">
        <v>19733</v>
      </c>
      <c r="BM610" s="1">
        <v>900103</v>
      </c>
      <c r="BQ610" s="1">
        <v>13680</v>
      </c>
      <c r="CL610" s="1">
        <v>2568344</v>
      </c>
    </row>
    <row r="611" spans="1:134">
      <c r="A611" s="1">
        <v>41</v>
      </c>
      <c r="B611" s="1">
        <v>5480</v>
      </c>
      <c r="C611" s="1" t="s">
        <v>837</v>
      </c>
      <c r="D611" s="1" t="s">
        <v>693</v>
      </c>
      <c r="F611" s="1">
        <v>62882</v>
      </c>
      <c r="G611" s="1">
        <v>576738</v>
      </c>
      <c r="H611" s="1">
        <v>766697</v>
      </c>
      <c r="I611" s="1">
        <v>1</v>
      </c>
      <c r="J611" s="1">
        <v>1440957</v>
      </c>
      <c r="K611" s="1">
        <v>118155</v>
      </c>
      <c r="L611" s="1">
        <v>40360</v>
      </c>
      <c r="M611" s="1">
        <v>7151</v>
      </c>
      <c r="N611" s="1">
        <v>3</v>
      </c>
      <c r="O611" s="1">
        <v>165669</v>
      </c>
      <c r="Q611" s="1">
        <v>3313716</v>
      </c>
      <c r="V611" s="1">
        <v>87062</v>
      </c>
      <c r="W611" s="1">
        <v>3400778</v>
      </c>
      <c r="X611" s="1">
        <v>1765208</v>
      </c>
      <c r="Y611" s="1">
        <v>48885</v>
      </c>
      <c r="Z611" s="1">
        <v>577140</v>
      </c>
      <c r="AA611" s="1">
        <v>20898</v>
      </c>
      <c r="AB611" s="1">
        <v>5582</v>
      </c>
      <c r="AC611" s="1">
        <v>61430</v>
      </c>
      <c r="AD611" s="1">
        <v>511069</v>
      </c>
      <c r="AE611" s="1">
        <v>256484</v>
      </c>
      <c r="AG611" s="1">
        <v>3361455</v>
      </c>
      <c r="AH611" s="1">
        <v>6762233</v>
      </c>
      <c r="AI611" s="1">
        <v>38787</v>
      </c>
      <c r="AJ611" s="1">
        <v>738</v>
      </c>
      <c r="AK611" s="1">
        <v>39525</v>
      </c>
      <c r="AL611" s="1">
        <v>106694</v>
      </c>
      <c r="AM611" s="1">
        <v>153943</v>
      </c>
      <c r="AN611" s="1">
        <v>29290</v>
      </c>
      <c r="AO611" s="1">
        <v>289927</v>
      </c>
      <c r="AP611" s="1">
        <v>331664</v>
      </c>
      <c r="AQ611" s="1">
        <v>204373</v>
      </c>
      <c r="AT611" s="1">
        <v>204373</v>
      </c>
      <c r="AV611" s="1">
        <v>204373</v>
      </c>
      <c r="AW611" s="1">
        <v>204373</v>
      </c>
      <c r="AZ611" s="1">
        <v>8904896</v>
      </c>
      <c r="BE611" s="1">
        <v>48119</v>
      </c>
      <c r="BF611" s="1">
        <v>2389</v>
      </c>
      <c r="BU611" s="1">
        <v>2212</v>
      </c>
      <c r="BV611" s="1">
        <v>2212</v>
      </c>
      <c r="CF611" s="1">
        <v>64251</v>
      </c>
      <c r="CL611" s="1">
        <v>34639</v>
      </c>
    </row>
    <row r="612" spans="1:134">
      <c r="A612" s="1">
        <v>41</v>
      </c>
      <c r="B612" s="1">
        <v>5530</v>
      </c>
      <c r="C612" s="1" t="s">
        <v>837</v>
      </c>
      <c r="D612" s="1" t="s">
        <v>1270</v>
      </c>
      <c r="F612" s="1">
        <v>347331</v>
      </c>
      <c r="I612" s="1">
        <v>61685</v>
      </c>
      <c r="J612" s="1">
        <v>409016</v>
      </c>
      <c r="K612" s="1">
        <v>149000</v>
      </c>
      <c r="L612" s="1">
        <v>336000</v>
      </c>
      <c r="O612" s="1">
        <v>485000</v>
      </c>
      <c r="Q612" s="1">
        <v>4628909</v>
      </c>
      <c r="U612" s="1">
        <v>11484</v>
      </c>
      <c r="V612" s="1">
        <v>120195</v>
      </c>
      <c r="W612" s="1">
        <v>4805588</v>
      </c>
      <c r="X612" s="1">
        <v>1470772</v>
      </c>
      <c r="Y612" s="1">
        <v>259617</v>
      </c>
      <c r="Z612" s="1">
        <v>617865</v>
      </c>
      <c r="AB612" s="1">
        <v>27745</v>
      </c>
      <c r="AC612" s="1">
        <v>69014</v>
      </c>
      <c r="AD612" s="1">
        <v>495132</v>
      </c>
      <c r="AE612" s="1">
        <v>274318</v>
      </c>
      <c r="AG612" s="1">
        <v>3602470</v>
      </c>
      <c r="AH612" s="1">
        <v>8408058</v>
      </c>
      <c r="AJ612" s="1">
        <v>107693</v>
      </c>
      <c r="AK612" s="1">
        <v>107693</v>
      </c>
      <c r="AL612" s="1">
        <v>16631</v>
      </c>
      <c r="AM612" s="1">
        <v>182208</v>
      </c>
      <c r="AN612" s="1">
        <v>16961</v>
      </c>
      <c r="AO612" s="1">
        <v>215800</v>
      </c>
      <c r="AP612" s="1">
        <v>323493</v>
      </c>
      <c r="AZ612" s="1">
        <v>9899367</v>
      </c>
      <c r="BE612" s="1">
        <v>81610</v>
      </c>
      <c r="BF612" s="1">
        <v>3334</v>
      </c>
      <c r="BR612" s="1">
        <v>303063</v>
      </c>
      <c r="BY612" s="1">
        <v>273800</v>
      </c>
      <c r="DH612" s="1">
        <v>273800</v>
      </c>
      <c r="DN612" s="1">
        <v>45000</v>
      </c>
    </row>
    <row r="613" spans="1:134">
      <c r="A613" s="1">
        <v>41</v>
      </c>
      <c r="B613" s="1">
        <v>5780</v>
      </c>
      <c r="C613" s="1" t="s">
        <v>837</v>
      </c>
      <c r="D613" s="1" t="s">
        <v>694</v>
      </c>
      <c r="F613" s="1">
        <v>42185</v>
      </c>
      <c r="G613" s="1">
        <v>55689</v>
      </c>
      <c r="I613" s="1">
        <v>1</v>
      </c>
      <c r="J613" s="1">
        <v>97875</v>
      </c>
      <c r="K613" s="1">
        <v>208051</v>
      </c>
      <c r="M613" s="1">
        <v>-163089</v>
      </c>
      <c r="N613" s="1">
        <v>63423</v>
      </c>
      <c r="O613" s="1">
        <v>108385</v>
      </c>
      <c r="Q613" s="1">
        <v>5682676</v>
      </c>
      <c r="V613" s="1">
        <v>22907</v>
      </c>
      <c r="W613" s="1">
        <v>5705583</v>
      </c>
      <c r="X613" s="1">
        <v>197926</v>
      </c>
      <c r="Y613" s="1">
        <v>284951</v>
      </c>
      <c r="Z613" s="1">
        <v>318904</v>
      </c>
      <c r="AB613" s="1">
        <v>22972</v>
      </c>
      <c r="AC613" s="1">
        <v>68356</v>
      </c>
      <c r="AD613" s="1">
        <v>322054</v>
      </c>
      <c r="AE613" s="1">
        <v>182092</v>
      </c>
      <c r="AG613" s="1">
        <v>2540931</v>
      </c>
      <c r="AH613" s="1">
        <v>8246514</v>
      </c>
      <c r="AJ613" s="1">
        <v>138125</v>
      </c>
      <c r="AK613" s="1">
        <v>138125</v>
      </c>
      <c r="AL613" s="1">
        <v>29866</v>
      </c>
      <c r="AM613" s="1">
        <v>133686</v>
      </c>
      <c r="AN613" s="1">
        <v>56087</v>
      </c>
      <c r="AO613" s="1">
        <v>219639</v>
      </c>
      <c r="AP613" s="1">
        <v>357764</v>
      </c>
      <c r="AQ613" s="1">
        <v>345857</v>
      </c>
      <c r="AT613" s="1">
        <v>345857</v>
      </c>
      <c r="AU613" s="1">
        <v>56439</v>
      </c>
      <c r="AV613" s="1">
        <v>402296</v>
      </c>
      <c r="AW613" s="1">
        <v>402296</v>
      </c>
      <c r="AZ613" s="1">
        <v>9295394</v>
      </c>
      <c r="BE613" s="1">
        <v>57139</v>
      </c>
      <c r="BF613" s="1">
        <v>52044</v>
      </c>
      <c r="BR613" s="1">
        <v>1034493</v>
      </c>
      <c r="BY613" s="1">
        <v>82560</v>
      </c>
      <c r="CC613" s="1">
        <v>82560</v>
      </c>
      <c r="CJ613" s="1">
        <v>68227</v>
      </c>
    </row>
    <row r="614" spans="1:134">
      <c r="A614" s="1">
        <v>80</v>
      </c>
      <c r="B614" s="1">
        <v>6010</v>
      </c>
      <c r="K614" s="1">
        <v>48055</v>
      </c>
      <c r="O614" s="1">
        <v>48055</v>
      </c>
      <c r="Q614" s="1">
        <v>2264122</v>
      </c>
      <c r="V614" s="1">
        <v>66011</v>
      </c>
      <c r="W614" s="1">
        <v>2330133</v>
      </c>
      <c r="Z614" s="1">
        <v>112833</v>
      </c>
      <c r="AA614" s="1">
        <v>1400</v>
      </c>
      <c r="AE614" s="1">
        <v>82076</v>
      </c>
      <c r="AG614" s="1">
        <v>251426</v>
      </c>
      <c r="AH614" s="1">
        <v>2581559</v>
      </c>
      <c r="AL614" s="1">
        <v>97563</v>
      </c>
      <c r="AO614" s="1">
        <v>138318</v>
      </c>
      <c r="AP614" s="1">
        <v>138318</v>
      </c>
      <c r="AZ614" s="1">
        <v>2767932</v>
      </c>
      <c r="CF614" s="1">
        <v>55117</v>
      </c>
      <c r="DE614" s="1">
        <v>40755</v>
      </c>
    </row>
    <row r="615" spans="1:134">
      <c r="A615" s="1">
        <v>80</v>
      </c>
      <c r="B615" s="1">
        <v>6018</v>
      </c>
      <c r="Q615" s="1">
        <v>925472</v>
      </c>
      <c r="V615" s="1">
        <v>29002</v>
      </c>
      <c r="W615" s="1">
        <v>1015519</v>
      </c>
      <c r="Z615" s="1">
        <v>78081</v>
      </c>
      <c r="AE615" s="1">
        <v>52147</v>
      </c>
      <c r="AG615" s="1">
        <v>814972</v>
      </c>
      <c r="AH615" s="1">
        <v>1830491</v>
      </c>
      <c r="AJ615" s="1">
        <v>3000</v>
      </c>
      <c r="AK615" s="1">
        <v>3000</v>
      </c>
      <c r="AL615" s="1">
        <v>27840</v>
      </c>
      <c r="AN615" s="1">
        <v>319041</v>
      </c>
      <c r="AO615" s="1">
        <v>346881</v>
      </c>
      <c r="AP615" s="1">
        <v>349881</v>
      </c>
      <c r="AZ615" s="1">
        <v>2180372</v>
      </c>
      <c r="BF615" s="1">
        <v>684744</v>
      </c>
      <c r="DZ615" s="1">
        <v>61045</v>
      </c>
    </row>
    <row r="616" spans="1:134">
      <c r="A616" s="1">
        <v>80</v>
      </c>
      <c r="B616" s="1">
        <v>6212</v>
      </c>
      <c r="F616" s="1">
        <v>65946</v>
      </c>
      <c r="J616" s="1">
        <v>65946</v>
      </c>
      <c r="K616" s="1">
        <v>395202</v>
      </c>
      <c r="O616" s="1">
        <v>395202</v>
      </c>
      <c r="Q616" s="1">
        <v>602515</v>
      </c>
      <c r="V616" s="1">
        <v>13413</v>
      </c>
      <c r="W616" s="1">
        <v>615928</v>
      </c>
      <c r="X616" s="1">
        <v>3079797</v>
      </c>
      <c r="Z616" s="1">
        <v>173091</v>
      </c>
      <c r="AD616" s="1">
        <v>127894</v>
      </c>
      <c r="AE616" s="1">
        <v>144787</v>
      </c>
      <c r="AF616" s="1">
        <v>353634</v>
      </c>
      <c r="AG616" s="1">
        <v>4062669</v>
      </c>
      <c r="AH616" s="1">
        <v>4678597</v>
      </c>
      <c r="AJ616" s="1">
        <v>251</v>
      </c>
      <c r="AK616" s="1">
        <v>251</v>
      </c>
      <c r="AL616" s="1">
        <v>414688</v>
      </c>
      <c r="AM616" s="1">
        <v>92081</v>
      </c>
      <c r="AN616" s="1">
        <v>42244</v>
      </c>
      <c r="AO616" s="1">
        <v>549013</v>
      </c>
      <c r="AP616" s="1">
        <v>549264</v>
      </c>
      <c r="AZ616" s="1">
        <v>5689009</v>
      </c>
      <c r="CH616" s="1">
        <v>183466</v>
      </c>
    </row>
    <row r="617" spans="1:134">
      <c r="A617" s="1">
        <v>80</v>
      </c>
      <c r="B617" s="1">
        <v>6215</v>
      </c>
      <c r="F617" s="1">
        <v>552250</v>
      </c>
      <c r="J617" s="1">
        <v>552250</v>
      </c>
      <c r="K617" s="1">
        <v>301175</v>
      </c>
      <c r="M617" s="1">
        <v>198931</v>
      </c>
      <c r="O617" s="1">
        <v>500106</v>
      </c>
      <c r="Q617" s="1">
        <v>521025</v>
      </c>
      <c r="V617" s="1">
        <v>1184907</v>
      </c>
      <c r="W617" s="1">
        <v>1705932</v>
      </c>
      <c r="X617" s="1">
        <v>2793192</v>
      </c>
      <c r="Z617" s="1">
        <v>225245</v>
      </c>
      <c r="AD617" s="1">
        <v>115668</v>
      </c>
      <c r="AE617" s="1">
        <v>157364</v>
      </c>
      <c r="AG617" s="1">
        <v>3291469</v>
      </c>
      <c r="AH617" s="1">
        <v>5169745</v>
      </c>
      <c r="AL617" s="1">
        <v>361407</v>
      </c>
      <c r="AM617" s="1">
        <v>82539</v>
      </c>
      <c r="AN617" s="1">
        <v>616263</v>
      </c>
      <c r="AO617" s="1">
        <v>1060209</v>
      </c>
      <c r="AP617" s="1">
        <v>1060209</v>
      </c>
      <c r="AZ617" s="1">
        <v>7282310</v>
      </c>
      <c r="DV617" s="1">
        <v>172344</v>
      </c>
      <c r="ED617" s="1">
        <v>172344</v>
      </c>
    </row>
    <row r="618" spans="1:134">
      <c r="A618" s="1">
        <v>80</v>
      </c>
      <c r="B618" s="1">
        <v>6217</v>
      </c>
      <c r="Q618" s="1">
        <v>417241</v>
      </c>
      <c r="V618" s="1">
        <v>20498</v>
      </c>
      <c r="W618" s="1">
        <v>437739</v>
      </c>
      <c r="Z618" s="1">
        <v>34375</v>
      </c>
      <c r="AE618" s="1">
        <v>58427</v>
      </c>
      <c r="AF618" s="1">
        <v>1728752</v>
      </c>
      <c r="AG618" s="1">
        <v>1821554</v>
      </c>
      <c r="AH618" s="1">
        <v>2259293</v>
      </c>
      <c r="AJ618" s="1">
        <v>565634</v>
      </c>
      <c r="AK618" s="1">
        <v>565634</v>
      </c>
      <c r="AL618" s="1">
        <v>22427</v>
      </c>
      <c r="AN618" s="1">
        <v>650</v>
      </c>
      <c r="AO618" s="1">
        <v>23077</v>
      </c>
      <c r="AP618" s="1">
        <v>588711</v>
      </c>
      <c r="AZ618" s="1">
        <v>2848004</v>
      </c>
    </row>
    <row r="619" spans="1:134">
      <c r="A619" s="1">
        <v>80</v>
      </c>
      <c r="B619" s="1">
        <v>6220</v>
      </c>
      <c r="K619" s="1">
        <v>-408746</v>
      </c>
      <c r="O619" s="1">
        <v>-408746</v>
      </c>
      <c r="Q619" s="1">
        <v>1073162</v>
      </c>
      <c r="V619" s="1">
        <v>42671</v>
      </c>
      <c r="W619" s="1">
        <v>3516616</v>
      </c>
      <c r="Z619" s="1">
        <v>401004</v>
      </c>
      <c r="AE619" s="1">
        <v>136909</v>
      </c>
      <c r="AG619" s="1">
        <v>537913</v>
      </c>
      <c r="AH619" s="1">
        <v>4054529</v>
      </c>
      <c r="AJ619" s="1">
        <v>359020</v>
      </c>
      <c r="AK619" s="1">
        <v>602149</v>
      </c>
      <c r="AL619" s="1">
        <v>264127</v>
      </c>
      <c r="AM619" s="1">
        <v>89487</v>
      </c>
      <c r="AN619" s="1">
        <v>175429</v>
      </c>
      <c r="AO619" s="1">
        <v>529043</v>
      </c>
      <c r="AP619" s="1">
        <v>1131192</v>
      </c>
      <c r="AZ619" s="1">
        <v>4776975</v>
      </c>
      <c r="BJ619" s="1">
        <v>130654</v>
      </c>
      <c r="CE619" s="1">
        <v>101343</v>
      </c>
      <c r="CT619" s="1">
        <v>112475</v>
      </c>
      <c r="DN619" s="1">
        <v>2299440</v>
      </c>
    </row>
    <row r="620" spans="1:134">
      <c r="A620" s="1">
        <v>80</v>
      </c>
      <c r="B620" s="1">
        <v>6230</v>
      </c>
      <c r="K620" s="1">
        <v>211716</v>
      </c>
      <c r="O620" s="1">
        <v>211716</v>
      </c>
      <c r="Q620" s="1">
        <v>884961</v>
      </c>
      <c r="V620" s="1">
        <v>582</v>
      </c>
      <c r="W620" s="1">
        <v>885543</v>
      </c>
      <c r="AE620" s="1">
        <v>29116</v>
      </c>
      <c r="AG620" s="1">
        <v>95430</v>
      </c>
      <c r="AH620" s="1">
        <v>980973</v>
      </c>
      <c r="AJ620" s="1">
        <v>4000</v>
      </c>
      <c r="AK620" s="1">
        <v>4000</v>
      </c>
      <c r="AL620" s="1">
        <v>2418</v>
      </c>
      <c r="AM620" s="1">
        <v>2025</v>
      </c>
      <c r="AN620" s="1">
        <v>3859</v>
      </c>
      <c r="AO620" s="1">
        <v>8302</v>
      </c>
      <c r="AP620" s="1">
        <v>18355</v>
      </c>
      <c r="AZ620" s="1">
        <v>1211044</v>
      </c>
      <c r="BF620" s="1">
        <v>66314</v>
      </c>
      <c r="BU620" s="1">
        <v>6053</v>
      </c>
      <c r="BV620" s="1">
        <v>6053</v>
      </c>
    </row>
    <row r="621" spans="1:134">
      <c r="A621" s="1">
        <v>80</v>
      </c>
      <c r="B621" s="1">
        <v>6232</v>
      </c>
      <c r="F621" s="1">
        <v>103284</v>
      </c>
      <c r="J621" s="1">
        <v>103284</v>
      </c>
      <c r="K621" s="1">
        <v>329378</v>
      </c>
      <c r="O621" s="1">
        <v>329378</v>
      </c>
      <c r="Q621" s="1">
        <v>235045</v>
      </c>
      <c r="V621" s="1">
        <v>63339</v>
      </c>
      <c r="W621" s="1">
        <v>298384</v>
      </c>
      <c r="X621" s="1">
        <v>1157758</v>
      </c>
      <c r="Z621" s="1">
        <v>21623</v>
      </c>
      <c r="AE621" s="1">
        <v>52275</v>
      </c>
      <c r="AG621" s="1">
        <v>1491057</v>
      </c>
      <c r="AH621" s="1">
        <v>1789441</v>
      </c>
      <c r="AK621" s="1">
        <v>221323</v>
      </c>
      <c r="AL621" s="1">
        <v>200514</v>
      </c>
      <c r="AM621" s="1">
        <v>10593</v>
      </c>
      <c r="AN621" s="1">
        <v>206552</v>
      </c>
      <c r="AO621" s="1">
        <v>422043</v>
      </c>
      <c r="AP621" s="1">
        <v>643366</v>
      </c>
      <c r="AZ621" s="1">
        <v>2865469</v>
      </c>
      <c r="BF621" s="1">
        <v>259401</v>
      </c>
      <c r="BI621" s="1">
        <v>141128</v>
      </c>
      <c r="BJ621" s="1">
        <v>80195</v>
      </c>
      <c r="DE621" s="1">
        <v>4384</v>
      </c>
    </row>
    <row r="622" spans="1:134">
      <c r="A622" s="1">
        <v>80</v>
      </c>
      <c r="B622" s="1">
        <v>6235</v>
      </c>
      <c r="K622" s="1">
        <v>918010</v>
      </c>
      <c r="O622" s="1">
        <v>918010</v>
      </c>
      <c r="Q622" s="1">
        <v>808494</v>
      </c>
      <c r="V622" s="1">
        <v>49678</v>
      </c>
      <c r="W622" s="1">
        <v>858172</v>
      </c>
      <c r="Z622" s="1">
        <v>153008</v>
      </c>
      <c r="AA622" s="1">
        <v>5840</v>
      </c>
      <c r="AE622" s="1">
        <v>76818</v>
      </c>
      <c r="AG622" s="1">
        <v>2720485</v>
      </c>
      <c r="AH622" s="1">
        <v>3578657</v>
      </c>
      <c r="AL622" s="1">
        <v>297746</v>
      </c>
      <c r="AM622" s="1">
        <v>49919</v>
      </c>
      <c r="AN622" s="1">
        <v>53825</v>
      </c>
      <c r="AO622" s="1">
        <v>401490</v>
      </c>
      <c r="AP622" s="1">
        <v>401490</v>
      </c>
      <c r="AZ622" s="1">
        <v>4898157</v>
      </c>
      <c r="BF622" s="1">
        <v>2484819</v>
      </c>
    </row>
    <row r="623" spans="1:134">
      <c r="A623" s="1">
        <v>80</v>
      </c>
      <c r="B623" s="1">
        <v>6240</v>
      </c>
      <c r="K623" s="1">
        <v>163821</v>
      </c>
      <c r="O623" s="1">
        <v>163821</v>
      </c>
      <c r="Q623" s="1">
        <v>312016</v>
      </c>
      <c r="W623" s="1">
        <v>340949</v>
      </c>
      <c r="X623" s="1">
        <v>1595913</v>
      </c>
      <c r="Z623" s="1">
        <v>160308</v>
      </c>
      <c r="AE623" s="1">
        <v>34566</v>
      </c>
      <c r="AG623" s="1">
        <v>2026174</v>
      </c>
      <c r="AH623" s="1">
        <v>2367123</v>
      </c>
      <c r="AL623" s="1">
        <v>198674</v>
      </c>
      <c r="AN623" s="1">
        <v>43101</v>
      </c>
      <c r="AO623" s="1">
        <v>241775</v>
      </c>
      <c r="AP623" s="1">
        <v>374525</v>
      </c>
      <c r="AZ623" s="1">
        <v>2905469</v>
      </c>
      <c r="BF623" s="1">
        <v>235387</v>
      </c>
      <c r="BU623" s="1">
        <v>132750</v>
      </c>
      <c r="BV623" s="1">
        <v>132750</v>
      </c>
      <c r="DZ623" s="1">
        <v>28933</v>
      </c>
    </row>
    <row r="624" spans="1:134">
      <c r="A624" s="1">
        <v>80</v>
      </c>
      <c r="B624" s="1">
        <v>6320</v>
      </c>
      <c r="F624" s="1">
        <v>5276</v>
      </c>
      <c r="J624" s="1">
        <v>5276</v>
      </c>
      <c r="K624" s="1">
        <v>54450</v>
      </c>
      <c r="O624" s="1">
        <v>54450</v>
      </c>
      <c r="Q624" s="1">
        <v>135258</v>
      </c>
      <c r="V624" s="1">
        <v>2544</v>
      </c>
      <c r="W624" s="1">
        <v>137802</v>
      </c>
      <c r="Z624" s="1">
        <v>53080</v>
      </c>
      <c r="AE624" s="1">
        <v>21326</v>
      </c>
      <c r="AG624" s="1">
        <v>638211</v>
      </c>
      <c r="AH624" s="1">
        <v>776013</v>
      </c>
      <c r="AL624" s="1">
        <v>43088</v>
      </c>
      <c r="AM624" s="1">
        <v>10660</v>
      </c>
      <c r="AN624" s="1">
        <v>287792</v>
      </c>
      <c r="AO624" s="1">
        <v>341540</v>
      </c>
      <c r="AP624" s="1">
        <v>394540</v>
      </c>
      <c r="AZ624" s="1">
        <v>1230279</v>
      </c>
      <c r="BF624" s="1">
        <v>563805</v>
      </c>
      <c r="BU624" s="1">
        <v>53000</v>
      </c>
      <c r="BV624" s="1">
        <v>53000</v>
      </c>
    </row>
    <row r="625" spans="1:135">
      <c r="A625" s="1">
        <v>80</v>
      </c>
      <c r="B625" s="1">
        <v>6325</v>
      </c>
      <c r="C625" t="s">
        <v>673</v>
      </c>
      <c r="D625" t="s">
        <v>1161</v>
      </c>
      <c r="K625" s="1">
        <v>51359</v>
      </c>
      <c r="O625" s="1">
        <v>51359</v>
      </c>
      <c r="Q625" s="1">
        <v>435618</v>
      </c>
      <c r="V625" s="1">
        <v>36047</v>
      </c>
      <c r="W625" s="1">
        <v>471665</v>
      </c>
      <c r="Z625" s="1">
        <v>78128</v>
      </c>
      <c r="AE625" s="1">
        <v>82597</v>
      </c>
      <c r="AG625" s="1">
        <v>3061621</v>
      </c>
      <c r="AH625" s="1">
        <v>3533286</v>
      </c>
      <c r="AJ625" s="1">
        <v>223254</v>
      </c>
      <c r="AK625" s="1">
        <v>223254</v>
      </c>
      <c r="AL625" s="1">
        <v>166396</v>
      </c>
      <c r="AM625" s="1">
        <v>34813</v>
      </c>
      <c r="AN625" s="1">
        <v>6736</v>
      </c>
      <c r="AO625" s="1">
        <v>207945</v>
      </c>
      <c r="AP625" s="1">
        <v>431199</v>
      </c>
      <c r="AZ625" s="1">
        <v>4015844</v>
      </c>
      <c r="BF625" s="1">
        <v>2900896</v>
      </c>
    </row>
    <row r="626" spans="1:135">
      <c r="A626" s="1">
        <v>80</v>
      </c>
      <c r="B626" s="1">
        <v>6410</v>
      </c>
      <c r="K626" s="1">
        <v>176543</v>
      </c>
      <c r="O626" s="1">
        <v>176543</v>
      </c>
      <c r="Q626" s="1">
        <v>877153</v>
      </c>
      <c r="V626" s="1">
        <v>31956</v>
      </c>
      <c r="W626" s="1">
        <v>909109</v>
      </c>
      <c r="X626" s="1">
        <v>2787424</v>
      </c>
      <c r="Z626" s="1">
        <v>103880</v>
      </c>
      <c r="AE626" s="1">
        <v>118791</v>
      </c>
      <c r="AG626" s="1">
        <v>4265196</v>
      </c>
      <c r="AH626" s="1">
        <v>5174305</v>
      </c>
      <c r="AL626" s="1">
        <v>425588</v>
      </c>
      <c r="AM626" s="1">
        <v>105509</v>
      </c>
      <c r="AN626" s="1">
        <v>256157</v>
      </c>
      <c r="AO626" s="1">
        <v>787254</v>
      </c>
      <c r="AP626" s="1">
        <v>787254</v>
      </c>
      <c r="AZ626" s="1">
        <v>6138102</v>
      </c>
      <c r="BF626" s="1">
        <v>1255101</v>
      </c>
    </row>
    <row r="627" spans="1:135">
      <c r="A627" s="1">
        <v>80</v>
      </c>
      <c r="B627" s="1">
        <v>6420</v>
      </c>
      <c r="K627" s="1">
        <v>567219</v>
      </c>
      <c r="O627" s="1">
        <v>567219</v>
      </c>
      <c r="Q627" s="1">
        <v>988806</v>
      </c>
      <c r="V627" s="1">
        <v>41774</v>
      </c>
      <c r="W627" s="1">
        <v>3278777</v>
      </c>
      <c r="Z627" s="1">
        <v>189487</v>
      </c>
      <c r="AD627" s="1">
        <v>111623</v>
      </c>
      <c r="AG627" s="1">
        <v>461879</v>
      </c>
      <c r="AH627" s="1">
        <v>3740656</v>
      </c>
      <c r="AL627" s="1">
        <v>64068</v>
      </c>
      <c r="AM627" s="1">
        <v>39671</v>
      </c>
      <c r="AN627" s="1">
        <v>13350</v>
      </c>
      <c r="AO627" s="1">
        <v>117089</v>
      </c>
      <c r="AP627" s="1">
        <v>117089</v>
      </c>
      <c r="AZ627" s="1">
        <v>4424964</v>
      </c>
      <c r="BF627" s="1">
        <v>160769</v>
      </c>
      <c r="DN627" s="1">
        <v>2248197</v>
      </c>
    </row>
    <row r="628" spans="1:135">
      <c r="A628" s="1">
        <v>80</v>
      </c>
      <c r="B628" s="1">
        <v>6425</v>
      </c>
      <c r="K628" s="1">
        <v>188092</v>
      </c>
      <c r="M628" s="1">
        <v>2</v>
      </c>
      <c r="O628" s="1">
        <v>188094</v>
      </c>
      <c r="Q628" s="1">
        <v>586800</v>
      </c>
      <c r="V628" s="1">
        <v>37255</v>
      </c>
      <c r="W628" s="1">
        <v>624055</v>
      </c>
      <c r="Z628" s="1">
        <v>1462240</v>
      </c>
      <c r="AA628" s="1">
        <v>7290</v>
      </c>
      <c r="AE628" s="1">
        <v>99491</v>
      </c>
      <c r="AG628" s="1">
        <v>4442024</v>
      </c>
      <c r="AH628" s="1">
        <v>5066079</v>
      </c>
      <c r="AL628" s="1">
        <v>321978</v>
      </c>
      <c r="AM628" s="1">
        <v>63559</v>
      </c>
      <c r="AN628" s="1">
        <v>48003</v>
      </c>
      <c r="AO628" s="1">
        <v>433540</v>
      </c>
      <c r="AP628" s="1">
        <v>433540</v>
      </c>
      <c r="AZ628" s="1">
        <v>5687713</v>
      </c>
      <c r="BF628" s="1">
        <v>2873003</v>
      </c>
    </row>
    <row r="629" spans="1:135">
      <c r="A629" s="1">
        <v>80</v>
      </c>
      <c r="B629" s="1">
        <v>6430</v>
      </c>
      <c r="K629" s="1">
        <v>1035920</v>
      </c>
      <c r="O629" s="1">
        <v>1035920</v>
      </c>
      <c r="Q629" s="1">
        <v>1404661</v>
      </c>
      <c r="V629" s="1">
        <v>35912</v>
      </c>
      <c r="W629" s="1">
        <v>1440573</v>
      </c>
      <c r="X629" s="1">
        <v>722193</v>
      </c>
      <c r="Z629" s="1">
        <v>55463</v>
      </c>
      <c r="AA629" s="1">
        <v>294</v>
      </c>
      <c r="AE629" s="1">
        <v>70378</v>
      </c>
      <c r="AG629" s="1">
        <v>848653</v>
      </c>
      <c r="AH629" s="1">
        <v>2289701</v>
      </c>
      <c r="AI629" s="1">
        <v>1297</v>
      </c>
      <c r="AK629" s="1">
        <v>187706</v>
      </c>
      <c r="AL629" s="1">
        <v>121191</v>
      </c>
      <c r="AM629" s="1">
        <v>27351</v>
      </c>
      <c r="AN629" s="1">
        <v>2900</v>
      </c>
      <c r="AO629" s="1">
        <v>165925</v>
      </c>
      <c r="AP629" s="1">
        <v>353631</v>
      </c>
      <c r="AZ629" s="1">
        <v>3679252</v>
      </c>
      <c r="BF629" s="1">
        <v>325</v>
      </c>
      <c r="BG629" s="1">
        <v>475</v>
      </c>
      <c r="BH629" s="1">
        <v>475</v>
      </c>
      <c r="BI629" s="1">
        <v>118130</v>
      </c>
      <c r="BJ629" s="1">
        <v>68279</v>
      </c>
      <c r="DE629" s="1">
        <v>14483</v>
      </c>
    </row>
    <row r="630" spans="1:135">
      <c r="A630" s="1">
        <v>80</v>
      </c>
      <c r="B630" s="1">
        <v>6612</v>
      </c>
      <c r="F630" s="1">
        <v>4848</v>
      </c>
      <c r="J630" s="1">
        <v>4848</v>
      </c>
      <c r="K630" s="1">
        <v>223953</v>
      </c>
      <c r="O630" s="1">
        <v>223953</v>
      </c>
      <c r="Q630" s="1">
        <v>2071435</v>
      </c>
      <c r="V630" s="1">
        <v>37850</v>
      </c>
      <c r="W630" s="1">
        <v>2109285</v>
      </c>
      <c r="Z630" s="1">
        <v>44841</v>
      </c>
      <c r="AE630" s="1">
        <v>104580</v>
      </c>
      <c r="AG630" s="1">
        <v>369189</v>
      </c>
      <c r="AH630" s="1">
        <v>2478474</v>
      </c>
      <c r="AJ630" s="1">
        <v>191677</v>
      </c>
      <c r="AK630" s="1">
        <v>191677</v>
      </c>
      <c r="AL630" s="1">
        <v>103503</v>
      </c>
      <c r="AM630" s="1">
        <v>56606</v>
      </c>
      <c r="AN630" s="1">
        <v>7843</v>
      </c>
      <c r="AO630" s="1">
        <v>167952</v>
      </c>
      <c r="AP630" s="1">
        <v>359629</v>
      </c>
      <c r="AV630" s="1">
        <v>237370</v>
      </c>
      <c r="AW630" s="1">
        <v>237370</v>
      </c>
      <c r="AZ630" s="1">
        <v>3304274</v>
      </c>
      <c r="BF630" s="1">
        <v>219768</v>
      </c>
      <c r="BM630" s="1">
        <v>237370</v>
      </c>
    </row>
    <row r="631" spans="1:135">
      <c r="A631" s="1">
        <v>80</v>
      </c>
      <c r="B631" s="1">
        <v>6635</v>
      </c>
      <c r="F631" s="1">
        <v>2401</v>
      </c>
      <c r="J631" s="1">
        <v>2401</v>
      </c>
      <c r="K631" s="1">
        <v>-73580</v>
      </c>
      <c r="M631" s="1">
        <v>6865</v>
      </c>
      <c r="O631" s="1">
        <v>-66715</v>
      </c>
      <c r="P631" s="1">
        <v>-221885</v>
      </c>
      <c r="V631" s="1">
        <v>135328</v>
      </c>
      <c r="W631" s="1">
        <v>955441</v>
      </c>
      <c r="X631" s="1">
        <v>587519</v>
      </c>
      <c r="Z631" s="1">
        <v>92829</v>
      </c>
      <c r="AA631" s="1">
        <v>32704</v>
      </c>
      <c r="AD631" s="1">
        <v>13925</v>
      </c>
      <c r="AE631" s="1">
        <v>69545</v>
      </c>
      <c r="AG631" s="1">
        <v>1234423</v>
      </c>
      <c r="AH631" s="1">
        <v>1967979</v>
      </c>
      <c r="AJ631" s="1">
        <v>132180</v>
      </c>
      <c r="AK631" s="1">
        <v>132180</v>
      </c>
      <c r="AL631" s="1">
        <v>90866</v>
      </c>
      <c r="AN631" s="1">
        <v>1575</v>
      </c>
      <c r="AO631" s="1">
        <v>124627</v>
      </c>
      <c r="AP631" s="1">
        <v>256807</v>
      </c>
      <c r="AV631" s="1">
        <v>221885</v>
      </c>
      <c r="AW631" s="1">
        <v>221885</v>
      </c>
      <c r="AZ631" s="1">
        <v>2382357</v>
      </c>
      <c r="BF631" s="1">
        <v>437901</v>
      </c>
      <c r="BL631" s="1">
        <v>221885</v>
      </c>
      <c r="DN631" s="1">
        <v>820113</v>
      </c>
      <c r="EE631" s="1">
        <v>32186</v>
      </c>
    </row>
    <row r="632" spans="1:135">
      <c r="A632" s="1">
        <v>80</v>
      </c>
      <c r="B632" s="1">
        <v>6665</v>
      </c>
      <c r="K632" s="1">
        <v>37125</v>
      </c>
      <c r="O632" s="1">
        <v>37125</v>
      </c>
      <c r="Q632" s="1">
        <v>511896</v>
      </c>
      <c r="V632" s="1">
        <v>68266</v>
      </c>
      <c r="W632" s="1">
        <v>580162</v>
      </c>
      <c r="AE632" s="1">
        <v>74931</v>
      </c>
      <c r="AG632" s="1">
        <v>2518293</v>
      </c>
      <c r="AH632" s="1">
        <v>3098455</v>
      </c>
      <c r="AJ632" s="1">
        <v>4000</v>
      </c>
      <c r="AK632" s="1">
        <v>4000</v>
      </c>
      <c r="AL632" s="1">
        <v>234750</v>
      </c>
      <c r="AN632" s="1">
        <v>30398</v>
      </c>
      <c r="AO632" s="1">
        <v>265148</v>
      </c>
      <c r="AP632" s="1">
        <v>269148</v>
      </c>
      <c r="AZ632" s="1">
        <v>3404728</v>
      </c>
      <c r="BF632" s="1">
        <v>2443362</v>
      </c>
    </row>
    <row r="633" spans="1:135">
      <c r="A633" s="1">
        <v>80</v>
      </c>
      <c r="B633" s="1">
        <v>6720</v>
      </c>
      <c r="K633" s="1">
        <v>413305</v>
      </c>
      <c r="L633" s="1">
        <v>46664</v>
      </c>
      <c r="O633" s="1">
        <v>459969</v>
      </c>
      <c r="Q633" s="1">
        <v>2057278</v>
      </c>
      <c r="V633" s="1">
        <v>42555</v>
      </c>
      <c r="W633" s="1">
        <v>2099833</v>
      </c>
      <c r="X633" s="1">
        <v>1401520</v>
      </c>
      <c r="Z633" s="1">
        <v>228146</v>
      </c>
      <c r="AE633" s="1">
        <v>115239</v>
      </c>
      <c r="AG633" s="1">
        <v>1949424</v>
      </c>
      <c r="AH633" s="1">
        <v>4049257</v>
      </c>
      <c r="AL633" s="1">
        <v>64795</v>
      </c>
      <c r="AM633" s="1">
        <v>42401</v>
      </c>
      <c r="AN633" s="1">
        <v>18238</v>
      </c>
      <c r="AO633" s="1">
        <v>125434</v>
      </c>
      <c r="AP633" s="1">
        <v>165725</v>
      </c>
      <c r="AZ633" s="1">
        <v>4674951</v>
      </c>
      <c r="BF633" s="1">
        <v>204519</v>
      </c>
      <c r="BU633" s="1">
        <v>40291</v>
      </c>
      <c r="BV633" s="1">
        <v>40291</v>
      </c>
    </row>
    <row r="634" spans="1:135">
      <c r="A634" s="1">
        <v>80</v>
      </c>
      <c r="B634" s="1">
        <v>6740</v>
      </c>
      <c r="F634" s="1">
        <v>8100</v>
      </c>
      <c r="J634" s="1">
        <v>8100</v>
      </c>
      <c r="K634" s="1">
        <v>196816</v>
      </c>
      <c r="O634" s="1">
        <v>196816</v>
      </c>
      <c r="Q634" s="1">
        <v>311099</v>
      </c>
      <c r="V634" s="1">
        <v>5042</v>
      </c>
      <c r="W634" s="1">
        <v>316141</v>
      </c>
      <c r="AE634" s="1">
        <v>69043</v>
      </c>
      <c r="AG634" s="1">
        <v>1365609</v>
      </c>
      <c r="AH634" s="1">
        <v>1681750</v>
      </c>
      <c r="AL634" s="1">
        <v>110972</v>
      </c>
      <c r="AM634" s="1">
        <v>34603</v>
      </c>
      <c r="AN634" s="1">
        <v>11178</v>
      </c>
      <c r="AO634" s="1">
        <v>156753</v>
      </c>
      <c r="AP634" s="1">
        <v>156753</v>
      </c>
      <c r="AZ634" s="1">
        <v>2043419</v>
      </c>
      <c r="BF634" s="1">
        <v>1296566</v>
      </c>
    </row>
    <row r="635" spans="1:135">
      <c r="A635" s="1">
        <v>80</v>
      </c>
      <c r="B635" s="1">
        <v>6810</v>
      </c>
      <c r="C635" t="s">
        <v>673</v>
      </c>
      <c r="D635" t="s">
        <v>1163</v>
      </c>
      <c r="F635" s="1">
        <v>8100</v>
      </c>
      <c r="J635" s="1">
        <v>8100</v>
      </c>
      <c r="K635" s="1">
        <v>162113</v>
      </c>
      <c r="O635" s="1">
        <v>162113</v>
      </c>
      <c r="V635" s="1">
        <v>33197</v>
      </c>
      <c r="W635" s="1">
        <v>164045</v>
      </c>
      <c r="Z635" s="1">
        <v>50525</v>
      </c>
      <c r="AE635" s="1">
        <v>35679</v>
      </c>
      <c r="AG635" s="1">
        <v>839685</v>
      </c>
      <c r="AH635" s="1">
        <v>1003730</v>
      </c>
      <c r="AJ635" s="1">
        <v>1638</v>
      </c>
      <c r="AK635" s="1">
        <v>1638</v>
      </c>
      <c r="AL635" s="1">
        <v>72658</v>
      </c>
      <c r="AM635" s="1">
        <v>26141</v>
      </c>
      <c r="AN635" s="1">
        <v>26029</v>
      </c>
      <c r="AO635" s="1">
        <v>124828</v>
      </c>
      <c r="AP635" s="1">
        <v>126466</v>
      </c>
      <c r="AZ635" s="1">
        <v>1300409</v>
      </c>
      <c r="BF635" s="1">
        <v>753481</v>
      </c>
      <c r="DN635" s="1">
        <v>130848</v>
      </c>
    </row>
    <row r="636" spans="1:135">
      <c r="A636" s="1">
        <v>80</v>
      </c>
      <c r="B636" s="1">
        <v>6910</v>
      </c>
      <c r="K636" s="1">
        <v>1225783</v>
      </c>
      <c r="O636" s="1">
        <v>1225783</v>
      </c>
      <c r="Q636" s="1">
        <v>1092558</v>
      </c>
      <c r="U636" s="1">
        <v>65022</v>
      </c>
      <c r="W636" s="1">
        <v>1222264</v>
      </c>
      <c r="X636" s="1">
        <v>2276775</v>
      </c>
      <c r="Z636" s="1">
        <v>60091</v>
      </c>
      <c r="AE636" s="1">
        <v>132000</v>
      </c>
      <c r="AG636" s="1">
        <v>3774115</v>
      </c>
      <c r="AH636" s="1">
        <v>4996379</v>
      </c>
      <c r="AL636" s="1">
        <v>670116</v>
      </c>
      <c r="AM636" s="1">
        <v>85170</v>
      </c>
      <c r="AN636" s="1">
        <v>48289</v>
      </c>
      <c r="AO636" s="1">
        <v>803575</v>
      </c>
      <c r="AP636" s="1">
        <v>803575</v>
      </c>
      <c r="AZ636" s="1">
        <v>7025737</v>
      </c>
      <c r="BF636" s="1">
        <v>1305249</v>
      </c>
      <c r="BQ636" s="1">
        <v>64684</v>
      </c>
    </row>
    <row r="637" spans="1:135">
      <c r="A637" s="1">
        <v>80</v>
      </c>
      <c r="B637" s="1">
        <v>6915</v>
      </c>
      <c r="K637" s="1">
        <v>662987</v>
      </c>
      <c r="O637" s="1">
        <v>662987</v>
      </c>
      <c r="Q637" s="1">
        <v>1137076</v>
      </c>
      <c r="V637" s="1">
        <v>37641</v>
      </c>
      <c r="W637" s="1">
        <v>1174717</v>
      </c>
      <c r="Z637" s="1">
        <v>132810</v>
      </c>
      <c r="AE637" s="1">
        <v>161209</v>
      </c>
      <c r="AG637" s="1">
        <v>4047889</v>
      </c>
      <c r="AH637" s="1">
        <v>5222606</v>
      </c>
      <c r="AJ637" s="1">
        <v>1892</v>
      </c>
      <c r="AK637" s="1">
        <v>1892</v>
      </c>
      <c r="AL637" s="1">
        <v>300676</v>
      </c>
      <c r="AM637" s="1">
        <v>96131</v>
      </c>
      <c r="AN637" s="1">
        <v>70581</v>
      </c>
      <c r="AO637" s="1">
        <v>467388</v>
      </c>
      <c r="AP637" s="1">
        <v>469280</v>
      </c>
      <c r="AZ637" s="1">
        <v>6354873</v>
      </c>
      <c r="BF637" s="1">
        <v>3753870</v>
      </c>
    </row>
    <row r="638" spans="1:135">
      <c r="A638" s="1">
        <v>80</v>
      </c>
      <c r="B638" s="1">
        <v>7100</v>
      </c>
      <c r="K638" s="1">
        <v>29594</v>
      </c>
      <c r="O638" s="1">
        <v>29594</v>
      </c>
      <c r="Q638" s="1">
        <v>763208</v>
      </c>
      <c r="W638" s="1">
        <v>763208</v>
      </c>
      <c r="AE638" s="1">
        <v>161510</v>
      </c>
      <c r="AG638" s="1">
        <v>3781702</v>
      </c>
      <c r="AH638" s="1">
        <v>4544910</v>
      </c>
      <c r="AL638" s="1">
        <v>325286</v>
      </c>
      <c r="AM638" s="1">
        <v>96705</v>
      </c>
      <c r="AN638" s="1">
        <v>44518</v>
      </c>
      <c r="AO638" s="1">
        <v>466509</v>
      </c>
      <c r="AP638" s="1">
        <v>466509</v>
      </c>
      <c r="AZ638" s="1">
        <v>5041013</v>
      </c>
      <c r="BF638" s="1">
        <v>3620192</v>
      </c>
    </row>
    <row r="639" spans="1:135">
      <c r="A639" s="1">
        <v>80</v>
      </c>
      <c r="B639" s="1">
        <v>7109</v>
      </c>
      <c r="F639" s="1">
        <v>169118</v>
      </c>
      <c r="J639" s="1">
        <v>169118</v>
      </c>
      <c r="K639" s="1">
        <v>11026</v>
      </c>
      <c r="O639" s="1">
        <v>11026</v>
      </c>
      <c r="Q639" s="1">
        <v>1485204</v>
      </c>
      <c r="V639" s="1">
        <v>319555</v>
      </c>
      <c r="W639" s="1">
        <v>1804759</v>
      </c>
      <c r="X639" s="1">
        <v>5075202</v>
      </c>
      <c r="Z639" s="1">
        <v>167020</v>
      </c>
      <c r="AA639" s="1">
        <v>20907</v>
      </c>
      <c r="AD639" s="1">
        <v>215266</v>
      </c>
      <c r="AE639" s="1">
        <v>260176</v>
      </c>
      <c r="AG639" s="1">
        <v>6292728</v>
      </c>
      <c r="AH639" s="1">
        <v>8459900</v>
      </c>
      <c r="AK639" s="1">
        <v>909685</v>
      </c>
      <c r="AL639" s="1">
        <v>577652</v>
      </c>
      <c r="AM639" s="1">
        <v>151589</v>
      </c>
      <c r="AN639" s="1">
        <v>496172</v>
      </c>
      <c r="AO639" s="1">
        <v>1225413</v>
      </c>
      <c r="AP639" s="1">
        <v>2135098</v>
      </c>
      <c r="AZ639" s="1">
        <v>10775142</v>
      </c>
      <c r="BF639" s="1">
        <v>554157</v>
      </c>
      <c r="BI639" s="1">
        <v>582624</v>
      </c>
      <c r="BJ639" s="1">
        <v>327061</v>
      </c>
      <c r="CX639" s="1">
        <v>362413</v>
      </c>
    </row>
    <row r="640" spans="1:135">
      <c r="A640" s="1">
        <v>80</v>
      </c>
      <c r="B640" s="1">
        <v>7115</v>
      </c>
      <c r="K640" s="1">
        <v>330268</v>
      </c>
      <c r="O640" s="1">
        <v>330268</v>
      </c>
      <c r="Q640" s="1">
        <v>753227</v>
      </c>
      <c r="V640" s="1">
        <v>95803</v>
      </c>
      <c r="W640" s="1">
        <v>2462953</v>
      </c>
      <c r="Z640" s="1">
        <v>150221</v>
      </c>
      <c r="AA640" s="1">
        <v>2336</v>
      </c>
      <c r="AD640" s="1">
        <v>118066</v>
      </c>
      <c r="AG640" s="1">
        <v>955575</v>
      </c>
      <c r="AH640" s="1">
        <v>3418528</v>
      </c>
      <c r="AL640" s="1">
        <v>125760</v>
      </c>
      <c r="AM640" s="1">
        <v>48427</v>
      </c>
      <c r="AO640" s="1">
        <v>174187</v>
      </c>
      <c r="AP640" s="1">
        <v>262824</v>
      </c>
      <c r="AZ640" s="1">
        <v>4011620</v>
      </c>
      <c r="BF640" s="1">
        <v>562084</v>
      </c>
      <c r="BU640" s="1">
        <v>88637</v>
      </c>
      <c r="BV640" s="1">
        <v>88637</v>
      </c>
      <c r="DN640" s="1">
        <v>1613923</v>
      </c>
      <c r="DW640" s="1">
        <v>122868</v>
      </c>
    </row>
    <row r="641" spans="1:130">
      <c r="A641" s="1">
        <v>80</v>
      </c>
      <c r="B641" s="1">
        <v>7210</v>
      </c>
      <c r="K641" s="1">
        <v>31822</v>
      </c>
      <c r="O641" s="1">
        <v>31822</v>
      </c>
      <c r="Q641" s="1">
        <v>632331</v>
      </c>
      <c r="W641" s="1">
        <v>660224</v>
      </c>
      <c r="AE641" s="1">
        <v>20004</v>
      </c>
      <c r="AG641" s="1">
        <v>2959453</v>
      </c>
      <c r="AH641" s="1">
        <v>3619677</v>
      </c>
      <c r="AL641" s="1">
        <v>350177</v>
      </c>
      <c r="AN641" s="1">
        <v>100700</v>
      </c>
      <c r="AO641" s="1">
        <v>450877</v>
      </c>
      <c r="AP641" s="1">
        <v>450877</v>
      </c>
      <c r="AZ641" s="1">
        <v>4102376</v>
      </c>
      <c r="BF641" s="1">
        <v>2939449</v>
      </c>
      <c r="DZ641" s="1">
        <v>27893</v>
      </c>
    </row>
    <row r="642" spans="1:130">
      <c r="A642" s="1">
        <v>80</v>
      </c>
      <c r="B642" s="1">
        <v>7280</v>
      </c>
      <c r="K642" s="1">
        <v>147064</v>
      </c>
      <c r="O642" s="1">
        <v>147064</v>
      </c>
      <c r="Q642" s="1">
        <v>303507</v>
      </c>
      <c r="V642" s="1">
        <v>40734</v>
      </c>
      <c r="W642" s="1">
        <v>355417</v>
      </c>
      <c r="X642" s="1">
        <v>1056725</v>
      </c>
      <c r="Z642" s="1">
        <v>49386</v>
      </c>
      <c r="AC642" s="1">
        <v>162776</v>
      </c>
      <c r="AE642" s="1">
        <v>61517</v>
      </c>
      <c r="AG642" s="1">
        <v>1409716</v>
      </c>
      <c r="AH642" s="1">
        <v>1765133</v>
      </c>
      <c r="AL642" s="1">
        <v>139803</v>
      </c>
      <c r="AM642" s="1">
        <v>29249</v>
      </c>
      <c r="AO642" s="1">
        <v>180715</v>
      </c>
      <c r="AP642" s="1">
        <v>190715</v>
      </c>
      <c r="AZ642" s="1">
        <v>2102912</v>
      </c>
      <c r="BF642" s="1">
        <v>79312</v>
      </c>
      <c r="BU642" s="1">
        <v>10000</v>
      </c>
      <c r="BV642" s="1">
        <v>10000</v>
      </c>
      <c r="DG642" s="1">
        <v>11663</v>
      </c>
      <c r="DZ642" s="1">
        <v>11176</v>
      </c>
    </row>
    <row r="643" spans="1:130">
      <c r="A643" s="1">
        <v>80</v>
      </c>
      <c r="B643" s="1">
        <v>7290</v>
      </c>
      <c r="K643" s="1">
        <v>59298</v>
      </c>
      <c r="O643" s="1">
        <v>59298</v>
      </c>
      <c r="Q643" s="1">
        <v>747120</v>
      </c>
      <c r="W643" s="1">
        <v>747120</v>
      </c>
      <c r="AE643" s="1">
        <v>144177</v>
      </c>
      <c r="AG643" s="1">
        <v>3919671</v>
      </c>
      <c r="AH643" s="1">
        <v>4670965</v>
      </c>
      <c r="AL643" s="1">
        <v>540738</v>
      </c>
      <c r="AM643" s="1">
        <v>80906</v>
      </c>
      <c r="AN643" s="1">
        <v>103550</v>
      </c>
      <c r="AO643" s="1">
        <v>725194</v>
      </c>
      <c r="AP643" s="1">
        <v>725194</v>
      </c>
      <c r="AZ643" s="1">
        <v>5455457</v>
      </c>
      <c r="BF643" s="1">
        <v>3775494</v>
      </c>
      <c r="CX643" s="1">
        <v>4174</v>
      </c>
    </row>
    <row r="644" spans="1:130">
      <c r="A644" s="1">
        <v>80</v>
      </c>
      <c r="B644" s="1">
        <v>7320</v>
      </c>
      <c r="K644" s="1">
        <v>284676</v>
      </c>
      <c r="O644" s="1">
        <v>284676</v>
      </c>
      <c r="Q644" s="1">
        <v>825039</v>
      </c>
      <c r="V644" s="1">
        <v>275662</v>
      </c>
      <c r="W644" s="1">
        <v>1100701</v>
      </c>
      <c r="AE644" s="1">
        <v>212193</v>
      </c>
      <c r="AG644" s="1">
        <v>3974132</v>
      </c>
      <c r="AH644" s="1">
        <v>5074833</v>
      </c>
      <c r="AJ644" s="1">
        <v>90688</v>
      </c>
      <c r="AK644" s="1">
        <v>90688</v>
      </c>
      <c r="AL644" s="1">
        <v>402521</v>
      </c>
      <c r="AM644" s="1">
        <v>65204</v>
      </c>
      <c r="AN644" s="1">
        <v>239596</v>
      </c>
      <c r="AO644" s="1">
        <v>707321</v>
      </c>
      <c r="AP644" s="1">
        <v>798009</v>
      </c>
      <c r="AZ644" s="1">
        <v>6157518</v>
      </c>
      <c r="BF644" s="1">
        <v>3761939</v>
      </c>
    </row>
    <row r="645" spans="1:130">
      <c r="A645" s="1">
        <v>80</v>
      </c>
      <c r="B645" s="1">
        <v>7325</v>
      </c>
      <c r="K645" s="1">
        <v>168515</v>
      </c>
      <c r="O645" s="1">
        <v>168515</v>
      </c>
      <c r="Q645" s="1">
        <v>857301</v>
      </c>
      <c r="V645" s="1">
        <v>277948</v>
      </c>
      <c r="W645" s="1">
        <v>3834459</v>
      </c>
      <c r="Z645" s="1">
        <v>129781</v>
      </c>
      <c r="AE645" s="1">
        <v>124814</v>
      </c>
      <c r="AG645" s="1">
        <v>888598</v>
      </c>
      <c r="AH645" s="1">
        <v>4723057</v>
      </c>
      <c r="AL645" s="1">
        <v>317673</v>
      </c>
      <c r="AM645" s="1">
        <v>70308</v>
      </c>
      <c r="AN645" s="1">
        <v>22954</v>
      </c>
      <c r="AO645" s="1">
        <v>410935</v>
      </c>
      <c r="AP645" s="1">
        <v>603685</v>
      </c>
      <c r="AZ645" s="1">
        <v>5495257</v>
      </c>
      <c r="BF645" s="1">
        <v>634003</v>
      </c>
      <c r="BU645" s="1">
        <v>192750</v>
      </c>
      <c r="BV645" s="1">
        <v>192750</v>
      </c>
      <c r="DN645" s="1">
        <v>2699210</v>
      </c>
    </row>
    <row r="646" spans="1:130">
      <c r="A646" s="1">
        <v>80</v>
      </c>
      <c r="B646" s="1">
        <v>7410</v>
      </c>
      <c r="I646" s="1">
        <v>46000</v>
      </c>
      <c r="J646" s="1">
        <v>46000</v>
      </c>
      <c r="K646" s="1">
        <v>264546</v>
      </c>
      <c r="O646" s="1">
        <v>264546</v>
      </c>
      <c r="Q646" s="1">
        <v>1635745</v>
      </c>
      <c r="V646" s="1">
        <v>42615</v>
      </c>
      <c r="W646" s="1">
        <v>1678360</v>
      </c>
      <c r="X646" s="1">
        <v>701118</v>
      </c>
      <c r="Z646" s="1">
        <v>159612</v>
      </c>
      <c r="AE646" s="1">
        <v>92893</v>
      </c>
      <c r="AG646" s="1">
        <v>1147716</v>
      </c>
      <c r="AH646" s="1">
        <v>2826076</v>
      </c>
      <c r="AK646" s="1">
        <v>46794</v>
      </c>
      <c r="AL646" s="1">
        <v>82902</v>
      </c>
      <c r="AM646" s="1">
        <v>34529</v>
      </c>
      <c r="AN646" s="1">
        <v>2585</v>
      </c>
      <c r="AO646" s="1">
        <v>157068</v>
      </c>
      <c r="AP646" s="1">
        <v>203862</v>
      </c>
      <c r="AZ646" s="1">
        <v>3340484</v>
      </c>
      <c r="BF646" s="1">
        <v>194093</v>
      </c>
      <c r="BJ646" s="1">
        <v>46794</v>
      </c>
      <c r="BK646" s="1">
        <v>36052</v>
      </c>
      <c r="DE646" s="1">
        <v>1000</v>
      </c>
    </row>
    <row r="647" spans="1:130">
      <c r="A647" s="1">
        <v>80</v>
      </c>
      <c r="B647" s="1">
        <v>7420</v>
      </c>
      <c r="F647" s="1">
        <v>17841</v>
      </c>
      <c r="J647" s="1">
        <v>17841</v>
      </c>
      <c r="K647" s="1">
        <v>182226</v>
      </c>
      <c r="O647" s="1">
        <v>182226</v>
      </c>
      <c r="Q647" s="1">
        <v>2697950</v>
      </c>
      <c r="V647" s="1">
        <v>35825</v>
      </c>
      <c r="W647" s="1">
        <v>2733775</v>
      </c>
      <c r="Z647" s="1">
        <v>195844</v>
      </c>
      <c r="AD647" s="1">
        <v>153924</v>
      </c>
      <c r="AE647" s="1">
        <v>146793</v>
      </c>
      <c r="AG647" s="1">
        <v>1863989</v>
      </c>
      <c r="AH647" s="1">
        <v>4597764</v>
      </c>
      <c r="AL647" s="1">
        <v>282375</v>
      </c>
      <c r="AM647" s="1">
        <v>76095</v>
      </c>
      <c r="AN647" s="1">
        <v>43969</v>
      </c>
      <c r="AO647" s="1">
        <v>402439</v>
      </c>
      <c r="AP647" s="1">
        <v>402439</v>
      </c>
      <c r="AZ647" s="1">
        <v>5200270</v>
      </c>
      <c r="BF647" s="1">
        <v>1367428</v>
      </c>
    </row>
    <row r="648" spans="1:130">
      <c r="A648" s="1">
        <v>80</v>
      </c>
      <c r="B648" s="1">
        <v>7500</v>
      </c>
      <c r="K648" s="1">
        <v>171047</v>
      </c>
      <c r="O648" s="1">
        <v>171047</v>
      </c>
      <c r="Q648" s="1">
        <v>222518</v>
      </c>
      <c r="V648" s="1">
        <v>9794</v>
      </c>
      <c r="W648" s="1">
        <v>232312</v>
      </c>
      <c r="AE648" s="1">
        <v>30272</v>
      </c>
      <c r="AG648" s="1">
        <v>789546</v>
      </c>
      <c r="AH648" s="1">
        <v>1021858</v>
      </c>
      <c r="AZ648" s="1">
        <v>1192905</v>
      </c>
      <c r="BF648" s="1">
        <v>759274</v>
      </c>
    </row>
    <row r="649" spans="1:130">
      <c r="A649" s="1">
        <v>80</v>
      </c>
      <c r="B649" s="1">
        <v>7503</v>
      </c>
      <c r="F649" s="1">
        <v>1855</v>
      </c>
      <c r="J649" s="1">
        <v>1855</v>
      </c>
      <c r="K649" s="1">
        <v>273538</v>
      </c>
      <c r="O649" s="1">
        <v>273538</v>
      </c>
      <c r="Q649" s="1">
        <v>799123</v>
      </c>
      <c r="V649" s="1">
        <v>15914</v>
      </c>
      <c r="W649" s="1">
        <v>815037</v>
      </c>
      <c r="AA649" s="1">
        <v>21258</v>
      </c>
      <c r="AE649" s="1">
        <v>109658</v>
      </c>
      <c r="AF649" s="1">
        <v>3238838</v>
      </c>
      <c r="AG649" s="1">
        <v>3369754</v>
      </c>
      <c r="AH649" s="1">
        <v>4184791</v>
      </c>
      <c r="AJ649" s="1">
        <v>2125</v>
      </c>
      <c r="AK649" s="1">
        <v>2125</v>
      </c>
      <c r="AL649" s="1">
        <v>171638</v>
      </c>
      <c r="AM649" s="1">
        <v>51728</v>
      </c>
      <c r="AN649" s="1">
        <v>80825</v>
      </c>
      <c r="AO649" s="1">
        <v>304191</v>
      </c>
      <c r="AP649" s="1">
        <v>306316</v>
      </c>
      <c r="AZ649" s="1">
        <v>4766500</v>
      </c>
    </row>
    <row r="650" spans="1:130">
      <c r="A650" s="1">
        <v>80</v>
      </c>
      <c r="B650" s="1">
        <v>7520</v>
      </c>
      <c r="K650" s="1">
        <v>866525</v>
      </c>
      <c r="O650" s="1">
        <v>866525</v>
      </c>
      <c r="Q650" s="1">
        <v>1649922</v>
      </c>
      <c r="V650" s="1">
        <v>49669</v>
      </c>
      <c r="W650" s="1">
        <v>1699591</v>
      </c>
      <c r="Z650" s="1">
        <v>171189</v>
      </c>
      <c r="AE650" s="1">
        <v>173391</v>
      </c>
      <c r="AG650" s="1">
        <v>4222278</v>
      </c>
      <c r="AH650" s="1">
        <v>5921869</v>
      </c>
      <c r="AJ650" s="1">
        <v>3993</v>
      </c>
      <c r="AK650" s="1">
        <v>3993</v>
      </c>
      <c r="AL650" s="1">
        <v>274711</v>
      </c>
      <c r="AM650" s="1">
        <v>156027</v>
      </c>
      <c r="AN650" s="1">
        <v>154934</v>
      </c>
      <c r="AO650" s="1">
        <v>585672</v>
      </c>
      <c r="AP650" s="1">
        <v>589665</v>
      </c>
      <c r="AZ650" s="1">
        <v>7378059</v>
      </c>
      <c r="BF650" s="1">
        <v>3877698</v>
      </c>
    </row>
    <row r="651" spans="1:130">
      <c r="A651" s="1">
        <v>80</v>
      </c>
      <c r="B651" s="1">
        <v>7540</v>
      </c>
      <c r="F651" s="1">
        <v>25000</v>
      </c>
      <c r="J651" s="1">
        <v>25000</v>
      </c>
      <c r="K651" s="1">
        <v>187126</v>
      </c>
      <c r="O651" s="1">
        <v>187126</v>
      </c>
      <c r="Q651" s="1">
        <v>2397684</v>
      </c>
      <c r="U651" s="1">
        <v>26739</v>
      </c>
      <c r="V651" s="1">
        <v>13753</v>
      </c>
      <c r="W651" s="1">
        <v>2438176</v>
      </c>
      <c r="Z651" s="1">
        <v>38575</v>
      </c>
      <c r="AE651" s="1">
        <v>105722</v>
      </c>
      <c r="AG651" s="1">
        <v>1763451</v>
      </c>
      <c r="AH651" s="1">
        <v>4201627</v>
      </c>
      <c r="AJ651" s="1">
        <v>768</v>
      </c>
      <c r="AK651" s="1">
        <v>768</v>
      </c>
      <c r="AL651" s="1">
        <v>10816</v>
      </c>
      <c r="AM651" s="1">
        <v>35746</v>
      </c>
      <c r="AN651" s="1">
        <v>6331</v>
      </c>
      <c r="AO651" s="1">
        <v>52893</v>
      </c>
      <c r="AP651" s="1">
        <v>53661</v>
      </c>
      <c r="AZ651" s="1">
        <v>4467414</v>
      </c>
      <c r="BF651" s="1">
        <v>1619154</v>
      </c>
    </row>
    <row r="652" spans="1:130">
      <c r="A652" s="1">
        <v>80</v>
      </c>
      <c r="B652" s="1">
        <v>7600</v>
      </c>
      <c r="F652" s="1">
        <v>25016</v>
      </c>
      <c r="J652" s="1">
        <v>25016</v>
      </c>
      <c r="K652" s="1">
        <v>144297</v>
      </c>
      <c r="O652" s="1">
        <v>144297</v>
      </c>
      <c r="Q652" s="1">
        <v>504808</v>
      </c>
      <c r="V652" s="1">
        <v>39170</v>
      </c>
      <c r="W652" s="1">
        <v>543978</v>
      </c>
      <c r="Z652" s="1">
        <v>34535</v>
      </c>
      <c r="AE652" s="1">
        <v>68339</v>
      </c>
      <c r="AG652" s="1">
        <v>1987051</v>
      </c>
      <c r="AH652" s="1">
        <v>2531029</v>
      </c>
      <c r="AJ652" s="1">
        <v>13235</v>
      </c>
      <c r="AK652" s="1">
        <v>13235</v>
      </c>
      <c r="AL652" s="1">
        <v>115184</v>
      </c>
      <c r="AM652" s="1">
        <v>63799</v>
      </c>
      <c r="AN652" s="1">
        <v>606768</v>
      </c>
      <c r="AO652" s="1">
        <v>785751</v>
      </c>
      <c r="AP652" s="1">
        <v>798986</v>
      </c>
      <c r="AZ652" s="1">
        <v>3499328</v>
      </c>
      <c r="BF652" s="1">
        <v>1884177</v>
      </c>
    </row>
    <row r="653" spans="1:130">
      <c r="A653" s="1">
        <v>80</v>
      </c>
      <c r="B653" s="1">
        <v>7720</v>
      </c>
      <c r="K653" s="1">
        <v>212598</v>
      </c>
      <c r="O653" s="1">
        <v>212598</v>
      </c>
      <c r="Q653" s="1">
        <v>1288310</v>
      </c>
      <c r="V653" s="1">
        <v>27642</v>
      </c>
      <c r="W653" s="1">
        <v>1315952</v>
      </c>
      <c r="Z653" s="1">
        <v>272488</v>
      </c>
      <c r="AA653" s="1">
        <v>30602</v>
      </c>
      <c r="AD653" s="1">
        <v>60459</v>
      </c>
      <c r="AE653" s="1">
        <v>70045</v>
      </c>
      <c r="AG653" s="1">
        <v>1081126</v>
      </c>
      <c r="AH653" s="1">
        <v>2397078</v>
      </c>
      <c r="AJ653" s="1">
        <v>25000</v>
      </c>
      <c r="AK653" s="1">
        <v>155365</v>
      </c>
      <c r="AL653" s="1">
        <v>91820</v>
      </c>
      <c r="AM653" s="1">
        <v>27583</v>
      </c>
      <c r="AN653" s="1">
        <v>8795</v>
      </c>
      <c r="AO653" s="1">
        <v>128198</v>
      </c>
      <c r="AP653" s="1">
        <v>341920</v>
      </c>
      <c r="AZ653" s="1">
        <v>2951596</v>
      </c>
      <c r="BF653" s="1">
        <v>647532</v>
      </c>
      <c r="BI653" s="1">
        <v>79189</v>
      </c>
      <c r="BJ653" s="1">
        <v>51176</v>
      </c>
      <c r="BU653" s="1">
        <v>58357</v>
      </c>
      <c r="BV653" s="1">
        <v>58357</v>
      </c>
    </row>
    <row r="654" spans="1:130">
      <c r="A654" s="1">
        <v>80</v>
      </c>
      <c r="B654" s="1">
        <v>7727</v>
      </c>
      <c r="F654" s="1">
        <v>14400</v>
      </c>
      <c r="J654" s="1">
        <v>14400</v>
      </c>
      <c r="K654" s="1">
        <v>69051</v>
      </c>
      <c r="M654" s="1">
        <v>48</v>
      </c>
      <c r="O654" s="1">
        <v>69099</v>
      </c>
      <c r="Q654" s="1">
        <v>815095</v>
      </c>
      <c r="V654" s="1">
        <v>16658</v>
      </c>
      <c r="W654" s="1">
        <v>831753</v>
      </c>
      <c r="AE654" s="1">
        <v>30350</v>
      </c>
      <c r="AF654" s="1">
        <v>153002</v>
      </c>
      <c r="AG654" s="1">
        <v>183352</v>
      </c>
      <c r="AH654" s="1">
        <v>1015105</v>
      </c>
      <c r="AJ654" s="1">
        <v>1645</v>
      </c>
      <c r="AK654" s="1">
        <v>1645</v>
      </c>
      <c r="AM654" s="1">
        <v>18973</v>
      </c>
      <c r="AN654" s="1">
        <v>2390</v>
      </c>
      <c r="AO654" s="1">
        <v>21363</v>
      </c>
      <c r="AP654" s="1">
        <v>39503</v>
      </c>
      <c r="AZ654" s="1">
        <v>1138107</v>
      </c>
      <c r="BU654" s="1">
        <v>16495</v>
      </c>
      <c r="BV654" s="1">
        <v>16495</v>
      </c>
    </row>
    <row r="655" spans="1:130">
      <c r="A655" s="1">
        <v>80</v>
      </c>
      <c r="B655" s="1">
        <v>7730</v>
      </c>
      <c r="F655" s="1">
        <v>89368</v>
      </c>
      <c r="J655" s="1">
        <v>89368</v>
      </c>
      <c r="K655" s="1">
        <v>329385</v>
      </c>
      <c r="O655" s="1">
        <v>329385</v>
      </c>
      <c r="Q655" s="1">
        <v>796237</v>
      </c>
      <c r="V655" s="1">
        <v>85426</v>
      </c>
      <c r="W655" s="1">
        <v>881663</v>
      </c>
      <c r="X655" s="1">
        <v>2505594</v>
      </c>
      <c r="Z655" s="1">
        <v>86079</v>
      </c>
      <c r="AA655" s="1">
        <v>4672</v>
      </c>
      <c r="AD655" s="1">
        <v>160867</v>
      </c>
      <c r="AE655" s="1">
        <v>141191</v>
      </c>
      <c r="AG655" s="1">
        <v>3478927</v>
      </c>
      <c r="AH655" s="1">
        <v>4360590</v>
      </c>
      <c r="AK655" s="1">
        <v>571904</v>
      </c>
      <c r="AL655" s="1">
        <v>237658</v>
      </c>
      <c r="AM655" s="1">
        <v>80521</v>
      </c>
      <c r="AN655" s="1">
        <v>136716</v>
      </c>
      <c r="AO655" s="1">
        <v>454895</v>
      </c>
      <c r="AP655" s="1">
        <v>1051799</v>
      </c>
      <c r="AZ655" s="1">
        <v>5831142</v>
      </c>
      <c r="BF655" s="1">
        <v>580524</v>
      </c>
      <c r="BI655" s="1">
        <v>365036</v>
      </c>
      <c r="BJ655" s="1">
        <v>206868</v>
      </c>
      <c r="BU655" s="1">
        <v>25000</v>
      </c>
      <c r="BV655" s="1">
        <v>25000</v>
      </c>
    </row>
    <row r="656" spans="1:130">
      <c r="A656" s="1">
        <v>80</v>
      </c>
      <c r="B656" s="1">
        <v>7735</v>
      </c>
      <c r="K656" s="1">
        <v>56700</v>
      </c>
      <c r="O656" s="1">
        <v>56700</v>
      </c>
      <c r="Q656" s="1">
        <v>211828</v>
      </c>
      <c r="V656" s="1">
        <v>6789</v>
      </c>
      <c r="W656" s="1">
        <v>218617</v>
      </c>
      <c r="AE656" s="1">
        <v>24171</v>
      </c>
      <c r="AG656" s="1">
        <v>896636</v>
      </c>
      <c r="AH656" s="1">
        <v>1115253</v>
      </c>
      <c r="AI656" s="1">
        <v>32507</v>
      </c>
      <c r="AK656" s="1">
        <v>83391</v>
      </c>
      <c r="AO656" s="1">
        <v>163911</v>
      </c>
      <c r="AP656" s="1">
        <v>247302</v>
      </c>
      <c r="AY656" s="1">
        <v>1794</v>
      </c>
      <c r="AZ656" s="1">
        <v>1421049</v>
      </c>
      <c r="BF656" s="1">
        <v>205885</v>
      </c>
      <c r="BJ656" s="1">
        <v>50884</v>
      </c>
      <c r="BY656" s="1">
        <v>1794</v>
      </c>
      <c r="CF656" s="1">
        <v>666580</v>
      </c>
      <c r="DE656" s="1">
        <v>163911</v>
      </c>
    </row>
    <row r="657" spans="1:118">
      <c r="A657" s="1">
        <v>80</v>
      </c>
      <c r="B657" s="1">
        <v>7820</v>
      </c>
      <c r="K657" s="1">
        <v>216922</v>
      </c>
      <c r="O657" s="1">
        <v>216922</v>
      </c>
      <c r="V657" s="1">
        <v>40353</v>
      </c>
      <c r="W657" s="1">
        <v>40353</v>
      </c>
      <c r="X657" s="1">
        <v>2267098</v>
      </c>
      <c r="Z657" s="1">
        <v>119103</v>
      </c>
      <c r="AE657" s="1">
        <v>25762</v>
      </c>
      <c r="AG657" s="1">
        <v>3242027</v>
      </c>
      <c r="AH657" s="1">
        <v>3282380</v>
      </c>
      <c r="AL657" s="1">
        <v>451349</v>
      </c>
      <c r="AM657" s="1">
        <v>110363</v>
      </c>
      <c r="AN657" s="1">
        <v>60496</v>
      </c>
      <c r="AO657" s="1">
        <v>622208</v>
      </c>
      <c r="AP657" s="1">
        <v>622208</v>
      </c>
      <c r="AZ657" s="1">
        <v>4121510</v>
      </c>
      <c r="BF657" s="1">
        <v>830064</v>
      </c>
    </row>
    <row r="658" spans="1:118">
      <c r="A658" s="1">
        <v>80</v>
      </c>
      <c r="B658" s="1">
        <v>7830</v>
      </c>
      <c r="K658" s="1">
        <v>489150</v>
      </c>
      <c r="O658" s="1">
        <v>489150</v>
      </c>
      <c r="Q658" s="1">
        <v>478366</v>
      </c>
      <c r="V658" s="1">
        <v>23573</v>
      </c>
      <c r="W658" s="1">
        <v>501939</v>
      </c>
      <c r="Z658" s="1">
        <v>65649</v>
      </c>
      <c r="AE658" s="1">
        <v>63139</v>
      </c>
      <c r="AF658" s="1">
        <v>917</v>
      </c>
      <c r="AG658" s="1">
        <v>1640883</v>
      </c>
      <c r="AH658" s="1">
        <v>2142822</v>
      </c>
      <c r="AL658" s="1">
        <v>147039</v>
      </c>
      <c r="AM658" s="1">
        <v>48074</v>
      </c>
      <c r="AN658" s="1">
        <v>20875</v>
      </c>
      <c r="AO658" s="1">
        <v>215988</v>
      </c>
      <c r="AP658" s="1">
        <v>215988</v>
      </c>
      <c r="AZ658" s="1">
        <v>2847960</v>
      </c>
      <c r="BF658" s="1">
        <v>1511178</v>
      </c>
      <c r="CJ658" s="1">
        <v>366031</v>
      </c>
    </row>
    <row r="659" spans="1:118">
      <c r="A659" s="1">
        <v>80</v>
      </c>
      <c r="B659" s="1">
        <v>7850</v>
      </c>
      <c r="F659" s="1">
        <v>4250</v>
      </c>
      <c r="J659" s="1">
        <v>4250</v>
      </c>
      <c r="K659" s="1">
        <v>301432</v>
      </c>
      <c r="O659" s="1">
        <v>301432</v>
      </c>
      <c r="Q659" s="1">
        <v>649812</v>
      </c>
      <c r="V659" s="1">
        <v>1417</v>
      </c>
      <c r="W659" s="1">
        <v>656785</v>
      </c>
      <c r="Z659" s="1">
        <v>99957</v>
      </c>
      <c r="AD659" s="1">
        <v>36283</v>
      </c>
      <c r="AE659" s="1">
        <v>43372</v>
      </c>
      <c r="AG659" s="1">
        <v>491633</v>
      </c>
      <c r="AH659" s="1">
        <v>1148418</v>
      </c>
      <c r="AL659" s="1">
        <v>16745</v>
      </c>
      <c r="AM659" s="1">
        <v>18549</v>
      </c>
      <c r="AN659" s="1">
        <v>26437</v>
      </c>
      <c r="AO659" s="1">
        <v>61731</v>
      </c>
      <c r="AP659" s="1">
        <v>61731</v>
      </c>
      <c r="AZ659" s="1">
        <v>1515831</v>
      </c>
      <c r="BF659" s="1">
        <v>312021</v>
      </c>
      <c r="BQ659" s="1">
        <v>5556</v>
      </c>
    </row>
    <row r="660" spans="1:118">
      <c r="A660" s="1">
        <v>80</v>
      </c>
      <c r="B660" s="1">
        <v>7890</v>
      </c>
      <c r="K660" s="1">
        <v>28014</v>
      </c>
      <c r="O660" s="1">
        <v>28014</v>
      </c>
      <c r="Q660" s="1">
        <v>1926615</v>
      </c>
      <c r="V660" s="1">
        <v>85237</v>
      </c>
      <c r="W660" s="1">
        <v>2011852</v>
      </c>
      <c r="Z660" s="1">
        <v>134863</v>
      </c>
      <c r="AE660" s="1">
        <v>112791</v>
      </c>
      <c r="AG660" s="1">
        <v>1547547</v>
      </c>
      <c r="AH660" s="1">
        <v>3559399</v>
      </c>
      <c r="AL660" s="1">
        <v>35124</v>
      </c>
      <c r="AM660" s="1">
        <v>33405</v>
      </c>
      <c r="AN660" s="1">
        <v>8312</v>
      </c>
      <c r="AO660" s="1">
        <v>76841</v>
      </c>
      <c r="AP660" s="1">
        <v>77341</v>
      </c>
      <c r="AZ660" s="1">
        <v>3664754</v>
      </c>
      <c r="BF660" s="1">
        <v>1299893</v>
      </c>
      <c r="BU660" s="1">
        <v>500</v>
      </c>
      <c r="BV660" s="1">
        <v>500</v>
      </c>
    </row>
    <row r="661" spans="1:118">
      <c r="A661" s="1">
        <v>80</v>
      </c>
      <c r="B661" s="1">
        <v>7901</v>
      </c>
      <c r="C661" t="s">
        <v>673</v>
      </c>
      <c r="D661" t="s">
        <v>1162</v>
      </c>
      <c r="K661" s="1">
        <v>38172</v>
      </c>
      <c r="O661" s="1">
        <v>38172</v>
      </c>
      <c r="Q661" s="1">
        <v>867053</v>
      </c>
      <c r="V661" s="1">
        <v>62147</v>
      </c>
      <c r="W661" s="1">
        <v>929200</v>
      </c>
      <c r="Z661" s="1">
        <v>206107</v>
      </c>
      <c r="AA661" s="1">
        <v>2336</v>
      </c>
      <c r="AE661" s="1">
        <v>201848</v>
      </c>
      <c r="AG661" s="1">
        <v>5416265</v>
      </c>
      <c r="AH661" s="1">
        <v>6345465</v>
      </c>
      <c r="AJ661" s="1">
        <v>847</v>
      </c>
      <c r="AK661" s="1">
        <v>847</v>
      </c>
      <c r="AL661" s="1">
        <v>566517</v>
      </c>
      <c r="AM661" s="1">
        <v>153456</v>
      </c>
      <c r="AN661" s="1">
        <v>103731</v>
      </c>
      <c r="AO661" s="1">
        <v>823704</v>
      </c>
      <c r="AP661" s="1">
        <v>824551</v>
      </c>
      <c r="AZ661" s="1">
        <v>7208188</v>
      </c>
      <c r="BF661" s="1">
        <v>5005974</v>
      </c>
    </row>
    <row r="662" spans="1:118">
      <c r="A662" s="1">
        <v>80</v>
      </c>
      <c r="B662" s="1">
        <v>8010</v>
      </c>
      <c r="K662" s="1">
        <v>69112</v>
      </c>
      <c r="O662" s="1">
        <v>69112</v>
      </c>
      <c r="Q662" s="1">
        <v>366174</v>
      </c>
      <c r="V662" s="1">
        <v>92489</v>
      </c>
      <c r="W662" s="1">
        <v>458663</v>
      </c>
      <c r="Z662" s="1">
        <v>51318</v>
      </c>
      <c r="AE662" s="1">
        <v>48620</v>
      </c>
      <c r="AG662" s="1">
        <v>1496526</v>
      </c>
      <c r="AH662" s="1">
        <v>1955189</v>
      </c>
      <c r="AJ662" s="1">
        <v>252002</v>
      </c>
      <c r="AK662" s="1">
        <v>252002</v>
      </c>
      <c r="AL662" s="1">
        <v>133422</v>
      </c>
      <c r="AM662" s="1">
        <v>22860</v>
      </c>
      <c r="AN662" s="1">
        <v>3680</v>
      </c>
      <c r="AO662" s="1">
        <v>161311</v>
      </c>
      <c r="AP662" s="1">
        <v>413313</v>
      </c>
      <c r="AZ662" s="1">
        <v>2437614</v>
      </c>
      <c r="BF662" s="1">
        <v>1396588</v>
      </c>
      <c r="DE662" s="1">
        <v>1349</v>
      </c>
    </row>
    <row r="663" spans="1:118">
      <c r="A663" s="1">
        <v>80</v>
      </c>
      <c r="B663" s="1">
        <v>8050</v>
      </c>
      <c r="F663" s="1">
        <v>2297</v>
      </c>
      <c r="J663" s="1">
        <v>2297</v>
      </c>
      <c r="K663" s="1">
        <v>82556</v>
      </c>
      <c r="O663" s="1">
        <v>82556</v>
      </c>
      <c r="Q663" s="1">
        <v>756099</v>
      </c>
      <c r="V663" s="1">
        <v>12099</v>
      </c>
      <c r="W663" s="1">
        <v>768198</v>
      </c>
      <c r="Z663" s="1">
        <v>98441</v>
      </c>
      <c r="AE663" s="1">
        <v>49971</v>
      </c>
      <c r="AG663" s="1">
        <v>534968</v>
      </c>
      <c r="AH663" s="1">
        <v>1303166</v>
      </c>
      <c r="AJ663" s="1">
        <v>526</v>
      </c>
      <c r="AK663" s="1">
        <v>526</v>
      </c>
      <c r="AM663" s="1">
        <v>18853</v>
      </c>
      <c r="AO663" s="1">
        <v>18853</v>
      </c>
      <c r="AP663" s="1">
        <v>60021</v>
      </c>
      <c r="AZ663" s="1">
        <v>1448040</v>
      </c>
      <c r="BF663" s="1">
        <v>386556</v>
      </c>
      <c r="BU663" s="1">
        <v>40642</v>
      </c>
      <c r="BV663" s="1">
        <v>40642</v>
      </c>
    </row>
    <row r="664" spans="1:118">
      <c r="A664" s="1">
        <v>80</v>
      </c>
      <c r="B664" s="1">
        <v>8060</v>
      </c>
      <c r="K664" s="1">
        <v>1233807</v>
      </c>
      <c r="O664" s="1">
        <v>1233807</v>
      </c>
      <c r="Q664" s="1">
        <v>1075653</v>
      </c>
      <c r="V664" s="1">
        <v>54107</v>
      </c>
      <c r="W664" s="1">
        <v>1129760</v>
      </c>
      <c r="Z664" s="1">
        <v>135570</v>
      </c>
      <c r="AE664" s="1">
        <v>158898</v>
      </c>
      <c r="AG664" s="1">
        <v>3142317</v>
      </c>
      <c r="AH664" s="1">
        <v>4272077</v>
      </c>
      <c r="AJ664" s="1">
        <v>4851</v>
      </c>
      <c r="AK664" s="1">
        <v>4851</v>
      </c>
      <c r="AL664" s="1">
        <v>81743</v>
      </c>
      <c r="AM664" s="1">
        <v>54552</v>
      </c>
      <c r="AN664" s="1">
        <v>7370</v>
      </c>
      <c r="AO664" s="1">
        <v>143665</v>
      </c>
      <c r="AP664" s="1">
        <v>153683</v>
      </c>
      <c r="AZ664" s="1">
        <v>5659567</v>
      </c>
      <c r="BF664" s="1">
        <v>2847849</v>
      </c>
      <c r="BU664" s="1">
        <v>5167</v>
      </c>
      <c r="BV664" s="1">
        <v>5167</v>
      </c>
    </row>
    <row r="665" spans="1:118">
      <c r="A665" s="1">
        <v>80</v>
      </c>
      <c r="B665" s="1">
        <v>8065</v>
      </c>
      <c r="Q665" s="1">
        <v>154971</v>
      </c>
      <c r="V665" s="1">
        <v>7333</v>
      </c>
      <c r="W665" s="1">
        <v>162304</v>
      </c>
      <c r="Z665" s="1">
        <v>10043</v>
      </c>
      <c r="AA665" s="1">
        <v>1051</v>
      </c>
      <c r="AE665" s="1">
        <v>21150</v>
      </c>
      <c r="AG665" s="1">
        <v>994630</v>
      </c>
      <c r="AH665" s="1">
        <v>1156934</v>
      </c>
      <c r="AJ665" s="1">
        <v>579216</v>
      </c>
      <c r="AK665" s="1">
        <v>579216</v>
      </c>
      <c r="AN665" s="1">
        <v>42522</v>
      </c>
      <c r="AO665" s="1">
        <v>42522</v>
      </c>
      <c r="AP665" s="1">
        <v>621738</v>
      </c>
      <c r="AZ665" s="1">
        <v>1778672</v>
      </c>
      <c r="BF665" s="1">
        <v>962386</v>
      </c>
    </row>
    <row r="666" spans="1:118">
      <c r="A666" s="1">
        <v>80</v>
      </c>
      <c r="B666" s="1">
        <v>8140</v>
      </c>
      <c r="C666" t="s">
        <v>673</v>
      </c>
      <c r="D666" t="s">
        <v>1243</v>
      </c>
      <c r="K666" s="1">
        <v>314973</v>
      </c>
      <c r="O666" s="1">
        <v>314973</v>
      </c>
      <c r="Q666" s="1">
        <v>522148</v>
      </c>
      <c r="V666" s="1">
        <v>105218</v>
      </c>
      <c r="W666" s="1">
        <v>2925498</v>
      </c>
      <c r="Z666" s="1">
        <v>42549</v>
      </c>
      <c r="AE666" s="1">
        <v>143801</v>
      </c>
      <c r="AF666" s="1">
        <v>687421</v>
      </c>
      <c r="AG666" s="1">
        <v>873771</v>
      </c>
      <c r="AH666" s="1">
        <v>3799269</v>
      </c>
      <c r="AJ666" s="1">
        <v>2829</v>
      </c>
      <c r="AK666" s="1">
        <v>2829</v>
      </c>
      <c r="AL666" s="1">
        <v>245837</v>
      </c>
      <c r="AM666" s="1">
        <v>73568</v>
      </c>
      <c r="AN666" s="1">
        <v>61123</v>
      </c>
      <c r="AO666" s="1">
        <v>380528</v>
      </c>
      <c r="AP666" s="1">
        <v>393830</v>
      </c>
      <c r="AZ666" s="1">
        <v>4508072</v>
      </c>
      <c r="BU666" s="1">
        <v>10473</v>
      </c>
      <c r="BV666" s="1">
        <v>10473</v>
      </c>
      <c r="DN666" s="1">
        <v>2298132</v>
      </c>
    </row>
  </sheetData>
  <phoneticPr fontId="2" type="noConversion"/>
  <pageMargins left="0.75" right="0.75" top="1" bottom="1" header="0.5" footer="0.5"/>
  <headerFooter alignWithMargins="0">
    <oddHeader>&amp;A</oddHeader>
    <oddFooter>Page &amp;P</oddFooter>
  </headerFooter>
  <extLst>
    <ext xmlns:mx="http://schemas.microsoft.com/office/mac/excel/2008/main" uri="http://schemas.microsoft.com/office/mac/excel/2008/main">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CV701"/>
  <sheetViews>
    <sheetView topLeftCell="B1" workbookViewId="0">
      <pane ySplit="3" topLeftCell="A4" activePane="bottomLeft" state="frozen"/>
      <selection activeCell="B1" sqref="B1"/>
      <selection pane="bottomLeft" activeCell="CV2" sqref="CV2"/>
    </sheetView>
  </sheetViews>
  <sheetFormatPr baseColWidth="10" defaultColWidth="8.7109375" defaultRowHeight="13"/>
  <cols>
    <col min="1" max="1" width="3.5703125" hidden="1" customWidth="1"/>
    <col min="2" max="3" width="4.7109375" customWidth="1"/>
    <col min="4" max="4" width="28.5703125" style="4" customWidth="1"/>
    <col min="5" max="6" width="10.28515625" style="4" customWidth="1"/>
    <col min="7" max="7" width="10.28515625" style="13" hidden="1" customWidth="1"/>
    <col min="8" max="8" width="0" style="13" hidden="1" customWidth="1"/>
    <col min="9" max="11" width="0" hidden="1" customWidth="1"/>
    <col min="12" max="13" width="9.140625" hidden="1" customWidth="1"/>
    <col min="14" max="14" width="0" hidden="1" customWidth="1"/>
    <col min="15" max="15" width="17.28515625" style="117" customWidth="1"/>
    <col min="16" max="16" width="14.140625" style="13" hidden="1" customWidth="1"/>
    <col min="17" max="17" width="0" style="13" hidden="1" customWidth="1"/>
    <col min="18" max="18" width="0" hidden="1" customWidth="1"/>
    <col min="19" max="19" width="11" style="2" hidden="1" customWidth="1"/>
    <col min="20" max="24" width="0" hidden="1" customWidth="1"/>
    <col min="25" max="25" width="0" style="13" hidden="1" customWidth="1"/>
    <col min="26" max="45" width="0" hidden="1" customWidth="1"/>
    <col min="46" max="46" width="9.140625" hidden="1" customWidth="1"/>
    <col min="47" max="47" width="0" hidden="1" customWidth="1"/>
    <col min="48" max="48" width="17.85546875" style="115" customWidth="1"/>
    <col min="49" max="55" width="0" hidden="1" customWidth="1"/>
    <col min="56" max="56" width="9.140625" hidden="1" customWidth="1"/>
    <col min="57" max="57" width="0" hidden="1" customWidth="1"/>
    <col min="58" max="58" width="18.28515625" style="120" customWidth="1"/>
    <col min="59" max="78" width="0" hidden="1" customWidth="1"/>
    <col min="79" max="79" width="9.140625" hidden="1" customWidth="1"/>
    <col min="80" max="80" width="0" hidden="1" customWidth="1"/>
    <col min="81" max="81" width="18.140625" style="125" customWidth="1"/>
    <col min="82" max="86" width="0" hidden="1" customWidth="1"/>
    <col min="87" max="87" width="9.140625" hidden="1" customWidth="1"/>
    <col min="88" max="88" width="0" hidden="1" customWidth="1"/>
    <col min="89" max="89" width="18.28515625" style="124" customWidth="1"/>
    <col min="90" max="90" width="17.42578125" customWidth="1"/>
    <col min="91" max="99" width="8.7109375" style="20"/>
    <col min="100" max="100" width="8.7109375" style="131"/>
  </cols>
  <sheetData>
    <row r="1" spans="1:100">
      <c r="G1" s="13" t="s">
        <v>723</v>
      </c>
      <c r="H1" s="3" t="s">
        <v>723</v>
      </c>
      <c r="I1" s="3" t="s">
        <v>723</v>
      </c>
      <c r="J1" t="s">
        <v>723</v>
      </c>
      <c r="K1" t="s">
        <v>723</v>
      </c>
      <c r="L1" t="s">
        <v>723</v>
      </c>
      <c r="M1" s="3" t="s">
        <v>723</v>
      </c>
      <c r="N1" t="s">
        <v>723</v>
      </c>
      <c r="P1" s="13" t="s">
        <v>725</v>
      </c>
      <c r="Q1" s="13" t="s">
        <v>725</v>
      </c>
      <c r="R1" t="s">
        <v>725</v>
      </c>
      <c r="S1" s="2" t="s">
        <v>725</v>
      </c>
      <c r="T1" t="s">
        <v>725</v>
      </c>
      <c r="U1" t="s">
        <v>725</v>
      </c>
      <c r="V1" t="s">
        <v>725</v>
      </c>
      <c r="W1" t="s">
        <v>725</v>
      </c>
      <c r="X1" t="s">
        <v>725</v>
      </c>
      <c r="Y1" t="s">
        <v>725</v>
      </c>
      <c r="Z1" t="s">
        <v>725</v>
      </c>
      <c r="AA1" s="3" t="s">
        <v>725</v>
      </c>
      <c r="AB1" t="s">
        <v>725</v>
      </c>
      <c r="AC1" t="s">
        <v>725</v>
      </c>
      <c r="AD1" t="s">
        <v>725</v>
      </c>
      <c r="AE1" s="3" t="s">
        <v>725</v>
      </c>
      <c r="AF1" s="3" t="s">
        <v>725</v>
      </c>
      <c r="AG1" t="s">
        <v>725</v>
      </c>
      <c r="AH1" t="s">
        <v>725</v>
      </c>
      <c r="AI1" t="s">
        <v>725</v>
      </c>
      <c r="AJ1" t="s">
        <v>725</v>
      </c>
      <c r="AK1" t="s">
        <v>725</v>
      </c>
      <c r="AL1" t="s">
        <v>725</v>
      </c>
      <c r="AM1" t="s">
        <v>725</v>
      </c>
      <c r="AN1" t="s">
        <v>725</v>
      </c>
      <c r="AO1" t="s">
        <v>725</v>
      </c>
      <c r="AP1" s="3" t="s">
        <v>725</v>
      </c>
      <c r="AQ1" t="s">
        <v>725</v>
      </c>
      <c r="AR1" t="s">
        <v>725</v>
      </c>
      <c r="AS1" t="s">
        <v>725</v>
      </c>
      <c r="AT1" t="s">
        <v>725</v>
      </c>
      <c r="AU1" t="s">
        <v>713</v>
      </c>
      <c r="AW1" t="s">
        <v>743</v>
      </c>
      <c r="AX1" t="s">
        <v>743</v>
      </c>
      <c r="AY1" t="s">
        <v>743</v>
      </c>
      <c r="AZ1" t="s">
        <v>743</v>
      </c>
      <c r="BA1" s="3" t="s">
        <v>728</v>
      </c>
      <c r="BB1" s="3" t="s">
        <v>728</v>
      </c>
      <c r="BC1" t="s">
        <v>714</v>
      </c>
      <c r="BD1" t="s">
        <v>714</v>
      </c>
      <c r="BE1" t="s">
        <v>714</v>
      </c>
      <c r="BG1" t="s">
        <v>614</v>
      </c>
      <c r="BH1" t="s">
        <v>614</v>
      </c>
      <c r="BI1" s="3" t="s">
        <v>614</v>
      </c>
      <c r="BJ1" t="s">
        <v>614</v>
      </c>
      <c r="BK1" t="s">
        <v>614</v>
      </c>
      <c r="BL1" t="s">
        <v>614</v>
      </c>
      <c r="BM1" t="s">
        <v>614</v>
      </c>
      <c r="BN1" s="3" t="s">
        <v>614</v>
      </c>
      <c r="BO1" s="3" t="s">
        <v>614</v>
      </c>
      <c r="BP1" s="3" t="s">
        <v>614</v>
      </c>
      <c r="BR1" s="3" t="s">
        <v>614</v>
      </c>
      <c r="BS1" t="s">
        <v>614</v>
      </c>
      <c r="BT1" t="s">
        <v>614</v>
      </c>
      <c r="BU1" t="s">
        <v>614</v>
      </c>
      <c r="BV1" t="s">
        <v>614</v>
      </c>
      <c r="BW1" t="s">
        <v>614</v>
      </c>
      <c r="BX1" s="3" t="s">
        <v>614</v>
      </c>
      <c r="BY1" s="3" t="s">
        <v>614</v>
      </c>
      <c r="BZ1" t="s">
        <v>614</v>
      </c>
      <c r="CA1" s="3" t="s">
        <v>614</v>
      </c>
      <c r="CB1" t="s">
        <v>614</v>
      </c>
      <c r="CD1" s="3" t="s">
        <v>1196</v>
      </c>
      <c r="CE1" t="s">
        <v>1196</v>
      </c>
      <c r="CF1" s="3" t="s">
        <v>1196</v>
      </c>
      <c r="CG1" s="3" t="s">
        <v>1196</v>
      </c>
      <c r="CI1" t="s">
        <v>643</v>
      </c>
      <c r="CJ1" t="s">
        <v>643</v>
      </c>
      <c r="CM1" s="20" t="s">
        <v>720</v>
      </c>
      <c r="CN1" s="20" t="s">
        <v>630</v>
      </c>
      <c r="CO1" s="12" t="s">
        <v>725</v>
      </c>
      <c r="CP1" s="20" t="s">
        <v>725</v>
      </c>
      <c r="CQ1" s="20" t="s">
        <v>725</v>
      </c>
      <c r="CR1" s="20" t="s">
        <v>743</v>
      </c>
      <c r="CS1" s="20" t="s">
        <v>743</v>
      </c>
      <c r="CT1" s="20" t="s">
        <v>725</v>
      </c>
      <c r="CU1" s="20" t="s">
        <v>725</v>
      </c>
      <c r="CV1" s="128" t="s">
        <v>1196</v>
      </c>
    </row>
    <row r="2" spans="1:100">
      <c r="A2" s="1" t="s">
        <v>1628</v>
      </c>
      <c r="B2" s="1" t="s">
        <v>1629</v>
      </c>
      <c r="C2" s="1" t="s">
        <v>1761</v>
      </c>
      <c r="D2" s="5" t="s">
        <v>1762</v>
      </c>
      <c r="F2" s="6" t="s">
        <v>505</v>
      </c>
      <c r="G2" s="11" t="s">
        <v>695</v>
      </c>
      <c r="H2" s="11" t="s">
        <v>699</v>
      </c>
      <c r="I2" s="3" t="s">
        <v>734</v>
      </c>
      <c r="J2" s="3" t="s">
        <v>636</v>
      </c>
      <c r="K2" s="3" t="s">
        <v>624</v>
      </c>
      <c r="L2" s="3" t="s">
        <v>741</v>
      </c>
      <c r="M2" s="3" t="s">
        <v>695</v>
      </c>
      <c r="N2" s="3" t="s">
        <v>632</v>
      </c>
      <c r="O2" s="117" t="s">
        <v>1198</v>
      </c>
      <c r="P2" s="11" t="s">
        <v>702</v>
      </c>
      <c r="Q2" s="11" t="s">
        <v>749</v>
      </c>
      <c r="R2" s="3" t="s">
        <v>615</v>
      </c>
      <c r="S2" s="24" t="s">
        <v>618</v>
      </c>
      <c r="T2" s="3" t="s">
        <v>627</v>
      </c>
      <c r="U2" s="3" t="s">
        <v>644</v>
      </c>
      <c r="V2" s="3" t="s">
        <v>703</v>
      </c>
      <c r="W2" s="3" t="s">
        <v>704</v>
      </c>
      <c r="X2" s="3" t="s">
        <v>705</v>
      </c>
      <c r="Y2" s="11" t="s">
        <v>738</v>
      </c>
      <c r="Z2" s="3" t="s">
        <v>637</v>
      </c>
      <c r="AA2" s="3" t="s">
        <v>739</v>
      </c>
      <c r="AB2" s="3" t="s">
        <v>617</v>
      </c>
      <c r="AC2" s="3" t="s">
        <v>706</v>
      </c>
      <c r="AD2" s="3" t="s">
        <v>707</v>
      </c>
      <c r="AE2" s="3" t="s">
        <v>726</v>
      </c>
      <c r="AF2" s="3" t="s">
        <v>727</v>
      </c>
      <c r="AG2" s="3" t="s">
        <v>708</v>
      </c>
      <c r="AH2" s="3" t="s">
        <v>709</v>
      </c>
      <c r="AI2" s="3" t="s">
        <v>710</v>
      </c>
      <c r="AJ2" s="3" t="s">
        <v>622</v>
      </c>
      <c r="AK2" t="s">
        <v>638</v>
      </c>
      <c r="AL2" t="s">
        <v>639</v>
      </c>
      <c r="AM2" s="3" t="s">
        <v>731</v>
      </c>
      <c r="AN2" s="3" t="s">
        <v>621</v>
      </c>
      <c r="AO2" s="3" t="s">
        <v>711</v>
      </c>
      <c r="AP2" s="3" t="s">
        <v>719</v>
      </c>
      <c r="AQ2" s="3" t="s">
        <v>647</v>
      </c>
      <c r="AR2" s="3" t="s">
        <v>645</v>
      </c>
      <c r="AS2" s="3" t="s">
        <v>620</v>
      </c>
      <c r="AT2" s="3" t="s">
        <v>616</v>
      </c>
      <c r="AU2" s="3" t="s">
        <v>712</v>
      </c>
      <c r="AW2" s="3" t="s">
        <v>746</v>
      </c>
      <c r="AX2" s="3" t="s">
        <v>628</v>
      </c>
      <c r="AY2" s="3" t="s">
        <v>649</v>
      </c>
      <c r="AZ2" s="3" t="s">
        <v>631</v>
      </c>
      <c r="BA2" s="3" t="s">
        <v>729</v>
      </c>
      <c r="BB2" s="3" t="s">
        <v>732</v>
      </c>
      <c r="BC2" s="3" t="s">
        <v>1197</v>
      </c>
      <c r="BD2" s="3" t="s">
        <v>715</v>
      </c>
      <c r="BE2" s="3" t="s">
        <v>716</v>
      </c>
      <c r="BG2" s="3" t="s">
        <v>613</v>
      </c>
      <c r="BH2" s="3" t="s">
        <v>733</v>
      </c>
      <c r="BI2" s="3" t="s">
        <v>722</v>
      </c>
      <c r="BJ2" s="3" t="s">
        <v>747</v>
      </c>
      <c r="BK2" s="3" t="s">
        <v>633</v>
      </c>
      <c r="BL2" s="3" t="s">
        <v>745</v>
      </c>
      <c r="BM2" s="3" t="s">
        <v>625</v>
      </c>
      <c r="BN2" s="3" t="s">
        <v>697</v>
      </c>
      <c r="BO2" s="3" t="s">
        <v>698</v>
      </c>
      <c r="BP2" s="3" t="s">
        <v>737</v>
      </c>
      <c r="BR2" s="3" t="s">
        <v>748</v>
      </c>
      <c r="BS2" s="3" t="s">
        <v>641</v>
      </c>
      <c r="BT2" s="3" t="s">
        <v>634</v>
      </c>
      <c r="BU2" s="3" t="s">
        <v>646</v>
      </c>
      <c r="BV2" s="3" t="s">
        <v>635</v>
      </c>
      <c r="BW2" s="3" t="s">
        <v>718</v>
      </c>
      <c r="BX2" s="3" t="s">
        <v>733</v>
      </c>
      <c r="BY2" s="3" t="s">
        <v>718</v>
      </c>
      <c r="BZ2" s="3" t="s">
        <v>626</v>
      </c>
      <c r="CA2" s="3" t="s">
        <v>721</v>
      </c>
      <c r="CB2" s="3" t="s">
        <v>733</v>
      </c>
      <c r="CD2" s="3" t="s">
        <v>696</v>
      </c>
      <c r="CE2" s="3" t="s">
        <v>640</v>
      </c>
      <c r="CF2" s="3" t="s">
        <v>735</v>
      </c>
      <c r="CG2" s="3" t="s">
        <v>736</v>
      </c>
      <c r="CI2" s="3" t="s">
        <v>642</v>
      </c>
      <c r="CJ2" s="3" t="s">
        <v>648</v>
      </c>
      <c r="CM2" s="12" t="s">
        <v>744</v>
      </c>
      <c r="CN2" s="12" t="s">
        <v>629</v>
      </c>
      <c r="CO2" s="12" t="s">
        <v>724</v>
      </c>
      <c r="CP2" s="12" t="s">
        <v>740</v>
      </c>
      <c r="CQ2" s="12" t="s">
        <v>623</v>
      </c>
      <c r="CR2" s="12" t="s">
        <v>742</v>
      </c>
      <c r="CS2" s="12" t="s">
        <v>650</v>
      </c>
      <c r="CT2" s="12" t="s">
        <v>730</v>
      </c>
      <c r="CU2" s="12" t="s">
        <v>619</v>
      </c>
      <c r="CV2" s="128" t="s">
        <v>717</v>
      </c>
    </row>
    <row r="3" spans="1:100">
      <c r="A3" s="1"/>
      <c r="B3" s="1"/>
      <c r="C3" s="1"/>
      <c r="D3" s="5"/>
      <c r="F3" s="6"/>
      <c r="G3" s="78" t="s">
        <v>1642</v>
      </c>
      <c r="H3" s="78" t="s">
        <v>1647</v>
      </c>
      <c r="I3" s="1" t="s">
        <v>1691</v>
      </c>
      <c r="J3" s="1" t="s">
        <v>1743</v>
      </c>
      <c r="K3" s="1" t="s">
        <v>1728</v>
      </c>
      <c r="L3" s="1" t="s">
        <v>1698</v>
      </c>
      <c r="M3" s="1" t="s">
        <v>1668</v>
      </c>
      <c r="N3" s="1" t="s">
        <v>1737</v>
      </c>
      <c r="O3" s="118"/>
      <c r="P3" s="78" t="s">
        <v>1649</v>
      </c>
      <c r="Q3" s="78" t="s">
        <v>1709</v>
      </c>
      <c r="R3" s="1" t="s">
        <v>1711</v>
      </c>
      <c r="S3" s="25" t="s">
        <v>1718</v>
      </c>
      <c r="T3" s="1" t="s">
        <v>1733</v>
      </c>
      <c r="U3" s="1" t="s">
        <v>1752</v>
      </c>
      <c r="V3" s="1" t="s">
        <v>1650</v>
      </c>
      <c r="W3" s="1" t="s">
        <v>1651</v>
      </c>
      <c r="X3" s="1" t="s">
        <v>1652</v>
      </c>
      <c r="Y3" s="78" t="s">
        <v>1695</v>
      </c>
      <c r="Z3" s="1" t="s">
        <v>1744</v>
      </c>
      <c r="AA3" s="1" t="s">
        <v>1696</v>
      </c>
      <c r="AB3" s="1" t="s">
        <v>1716</v>
      </c>
      <c r="AC3" s="1" t="s">
        <v>1653</v>
      </c>
      <c r="AD3" s="1" t="s">
        <v>1654</v>
      </c>
      <c r="AE3" s="1" t="s">
        <v>1682</v>
      </c>
      <c r="AF3" s="1" t="s">
        <v>1683</v>
      </c>
      <c r="AG3" s="1" t="s">
        <v>1655</v>
      </c>
      <c r="AH3" s="1" t="s">
        <v>1656</v>
      </c>
      <c r="AI3" s="1" t="s">
        <v>1657</v>
      </c>
      <c r="AJ3" s="1" t="s">
        <v>1724</v>
      </c>
      <c r="AK3" s="1" t="s">
        <v>1745</v>
      </c>
      <c r="AL3" s="1" t="s">
        <v>1746</v>
      </c>
      <c r="AM3" s="1" t="s">
        <v>1687</v>
      </c>
      <c r="AN3" s="1" t="s">
        <v>1723</v>
      </c>
      <c r="AO3" s="1" t="s">
        <v>1660</v>
      </c>
      <c r="AP3" s="1" t="s">
        <v>1672</v>
      </c>
      <c r="AQ3" s="1" t="s">
        <v>1758</v>
      </c>
      <c r="AR3" s="1" t="s">
        <v>1754</v>
      </c>
      <c r="AS3" s="1" t="s">
        <v>1721</v>
      </c>
      <c r="AT3" s="1" t="s">
        <v>1712</v>
      </c>
      <c r="AU3" s="1" t="s">
        <v>1661</v>
      </c>
      <c r="AV3" s="115" t="s">
        <v>1199</v>
      </c>
      <c r="AW3" s="1" t="s">
        <v>1704</v>
      </c>
      <c r="AX3" s="1" t="s">
        <v>1734</v>
      </c>
      <c r="AY3" s="1" t="s">
        <v>1760</v>
      </c>
      <c r="AZ3" s="1" t="s">
        <v>1736</v>
      </c>
      <c r="BA3" s="1" t="s">
        <v>1684</v>
      </c>
      <c r="BB3" s="1" t="s">
        <v>1688</v>
      </c>
      <c r="BC3" s="1" t="s">
        <v>1663</v>
      </c>
      <c r="BD3" s="1" t="s">
        <v>1664</v>
      </c>
      <c r="BE3" s="1" t="s">
        <v>1665</v>
      </c>
      <c r="BF3" s="120" t="s">
        <v>1200</v>
      </c>
      <c r="BG3" s="1" t="s">
        <v>1710</v>
      </c>
      <c r="BH3" s="1" t="s">
        <v>1727</v>
      </c>
      <c r="BI3" s="1" t="s">
        <v>1680</v>
      </c>
      <c r="BJ3" s="1" t="s">
        <v>1705</v>
      </c>
      <c r="BK3" s="1" t="s">
        <v>1738</v>
      </c>
      <c r="BL3" s="1" t="s">
        <v>1703</v>
      </c>
      <c r="BM3" s="1" t="s">
        <v>1729</v>
      </c>
      <c r="BN3" s="1" t="s">
        <v>1645</v>
      </c>
      <c r="BO3" s="1" t="s">
        <v>1646</v>
      </c>
      <c r="BP3" s="1" t="s">
        <v>1694</v>
      </c>
      <c r="BR3" s="1" t="s">
        <v>1708</v>
      </c>
      <c r="BS3" s="1" t="s">
        <v>1749</v>
      </c>
      <c r="BT3" s="1" t="s">
        <v>1739</v>
      </c>
      <c r="BU3" s="1" t="s">
        <v>1755</v>
      </c>
      <c r="BV3" s="1" t="s">
        <v>1740</v>
      </c>
      <c r="BW3" s="1" t="s">
        <v>1742</v>
      </c>
      <c r="BX3" s="1" t="s">
        <v>1690</v>
      </c>
      <c r="BY3" s="1" t="s">
        <v>1669</v>
      </c>
      <c r="BZ3" s="1" t="s">
        <v>1732</v>
      </c>
      <c r="CA3" s="1" t="s">
        <v>1675</v>
      </c>
      <c r="CB3" s="1" t="s">
        <v>1706</v>
      </c>
      <c r="CC3" s="126" t="s">
        <v>1201</v>
      </c>
      <c r="CD3" s="1" t="s">
        <v>1643</v>
      </c>
      <c r="CE3" s="1" t="s">
        <v>1748</v>
      </c>
      <c r="CF3" s="1" t="s">
        <v>1692</v>
      </c>
      <c r="CG3" s="1" t="s">
        <v>1693</v>
      </c>
      <c r="CI3" s="1" t="s">
        <v>1750</v>
      </c>
      <c r="CJ3" s="1" t="s">
        <v>1759</v>
      </c>
      <c r="CK3" s="124" t="s">
        <v>1202</v>
      </c>
      <c r="CM3" s="23" t="s">
        <v>1701</v>
      </c>
      <c r="CN3" s="23" t="s">
        <v>1735</v>
      </c>
      <c r="CO3" s="23" t="s">
        <v>1681</v>
      </c>
      <c r="CP3" s="23" t="s">
        <v>1697</v>
      </c>
      <c r="CQ3" s="23" t="s">
        <v>1726</v>
      </c>
      <c r="CR3" s="23" t="s">
        <v>1700</v>
      </c>
      <c r="CS3" s="23" t="s">
        <v>1766</v>
      </c>
      <c r="CT3" s="23" t="s">
        <v>1686</v>
      </c>
      <c r="CU3" s="23" t="s">
        <v>1719</v>
      </c>
      <c r="CV3" s="129" t="s">
        <v>1667</v>
      </c>
    </row>
    <row r="4" spans="1:100" ht="12.75" customHeight="1">
      <c r="A4" s="1">
        <v>1</v>
      </c>
      <c r="B4" s="1">
        <v>10</v>
      </c>
      <c r="C4" s="1" t="s">
        <v>1768</v>
      </c>
      <c r="D4" s="5" t="s">
        <v>1769</v>
      </c>
      <c r="E4" t="s">
        <v>506</v>
      </c>
      <c r="F4" s="26">
        <v>847</v>
      </c>
      <c r="G4" s="78">
        <v>8172525</v>
      </c>
      <c r="H4" s="78">
        <v>71494</v>
      </c>
      <c r="M4" s="1">
        <v>1134135</v>
      </c>
      <c r="O4" s="117">
        <f>SUM(G4:N4)</f>
        <v>9378154</v>
      </c>
      <c r="P4" s="78">
        <v>344397</v>
      </c>
      <c r="V4" s="1">
        <v>139638</v>
      </c>
      <c r="W4" s="1">
        <v>656131</v>
      </c>
      <c r="X4" s="1">
        <v>54842</v>
      </c>
      <c r="AC4" s="1">
        <v>9607</v>
      </c>
      <c r="AD4" s="1">
        <v>147092</v>
      </c>
      <c r="AG4" s="1">
        <v>860745</v>
      </c>
      <c r="AH4" s="1">
        <v>371687</v>
      </c>
      <c r="AI4" s="1">
        <v>5397</v>
      </c>
      <c r="AO4" s="1">
        <v>35811</v>
      </c>
      <c r="AP4" s="1">
        <v>91394</v>
      </c>
      <c r="AU4" s="1">
        <v>406322</v>
      </c>
      <c r="AV4" s="116">
        <f>SUM(P4:AU4)</f>
        <v>3123063</v>
      </c>
      <c r="BC4" s="1">
        <v>144655</v>
      </c>
      <c r="BD4" s="1">
        <v>244547</v>
      </c>
      <c r="BE4" s="1">
        <v>59446</v>
      </c>
      <c r="BF4" s="121">
        <f>SUM(AW4:BE4)</f>
        <v>448648</v>
      </c>
      <c r="BN4" s="1">
        <v>5834</v>
      </c>
      <c r="BO4" s="1">
        <v>25895</v>
      </c>
      <c r="BY4" s="1">
        <v>1817</v>
      </c>
      <c r="CA4" s="1">
        <v>341</v>
      </c>
      <c r="CC4" s="125">
        <f>SUM(BG4:CB4)</f>
        <v>33887</v>
      </c>
      <c r="CD4" s="1">
        <v>52188</v>
      </c>
      <c r="CK4" s="124">
        <f>SUM(CD4:CJ4)</f>
        <v>52188</v>
      </c>
      <c r="CV4" s="130">
        <v>890781</v>
      </c>
    </row>
    <row r="5" spans="1:100" ht="12.75" customHeight="1">
      <c r="A5" s="1">
        <v>1</v>
      </c>
      <c r="B5" s="1">
        <v>110</v>
      </c>
      <c r="C5" s="1" t="s">
        <v>1768</v>
      </c>
      <c r="D5" s="5" t="s">
        <v>1770</v>
      </c>
      <c r="E5" t="s">
        <v>507</v>
      </c>
      <c r="F5" s="26">
        <v>6974</v>
      </c>
      <c r="G5" s="78">
        <v>93056124</v>
      </c>
      <c r="H5" s="78">
        <v>2460789</v>
      </c>
      <c r="M5" s="1">
        <v>11534220</v>
      </c>
      <c r="O5" s="117">
        <f t="shared" ref="O5:O68" si="0">SUM(G5:N5)</f>
        <v>107051133</v>
      </c>
      <c r="V5" s="1">
        <v>1042992</v>
      </c>
      <c r="W5" s="1">
        <v>5304073</v>
      </c>
      <c r="X5" s="1">
        <v>910558</v>
      </c>
      <c r="AC5" s="1">
        <v>202806</v>
      </c>
      <c r="AD5" s="1">
        <v>749710</v>
      </c>
      <c r="AE5" s="1">
        <v>525813</v>
      </c>
      <c r="AF5" s="1">
        <v>510039</v>
      </c>
      <c r="AG5" s="1">
        <v>6726159</v>
      </c>
      <c r="AH5" s="1">
        <v>3691269</v>
      </c>
      <c r="AM5" s="1">
        <v>3279889</v>
      </c>
      <c r="AP5" s="1">
        <v>1034431</v>
      </c>
      <c r="AU5" s="1">
        <v>229570</v>
      </c>
      <c r="AV5" s="116">
        <f t="shared" ref="AV5:AV68" si="1">SUM(P5:AU5)</f>
        <v>24207309</v>
      </c>
      <c r="BA5" s="1">
        <v>28633</v>
      </c>
      <c r="BB5" s="1">
        <v>97729</v>
      </c>
      <c r="BC5" s="1">
        <v>3730927</v>
      </c>
      <c r="BD5" s="1">
        <v>2312622</v>
      </c>
      <c r="BE5" s="1">
        <v>3125142</v>
      </c>
      <c r="BF5" s="121">
        <f t="shared" ref="BF5:BF68" si="2">SUM(AW5:BE5)</f>
        <v>9295053</v>
      </c>
      <c r="BI5" s="1">
        <v>11635011</v>
      </c>
      <c r="BX5" s="1">
        <v>9772</v>
      </c>
      <c r="CC5" s="125">
        <f t="shared" ref="CC5:CC68" si="3">SUM(BG5:CB5)</f>
        <v>11644783</v>
      </c>
      <c r="CK5" s="124">
        <f t="shared" ref="CK5:CK68" si="4">SUM(CD5:CJ5)</f>
        <v>0</v>
      </c>
      <c r="CO5" s="23">
        <v>34678</v>
      </c>
      <c r="CT5" s="23">
        <v>5952147</v>
      </c>
      <c r="CV5" s="129">
        <v>18728026</v>
      </c>
    </row>
    <row r="6" spans="1:100" ht="12.75" customHeight="1">
      <c r="A6" s="1">
        <v>1</v>
      </c>
      <c r="B6" s="1">
        <v>120</v>
      </c>
      <c r="C6" s="1" t="s">
        <v>1768</v>
      </c>
      <c r="D6" s="5" t="s">
        <v>1771</v>
      </c>
      <c r="E6" t="s">
        <v>508</v>
      </c>
      <c r="F6" s="26">
        <v>532.5</v>
      </c>
      <c r="H6" s="78">
        <v>339613</v>
      </c>
      <c r="I6" s="1">
        <v>3624000</v>
      </c>
      <c r="L6" s="1">
        <v>223710</v>
      </c>
      <c r="O6" s="117">
        <f t="shared" si="0"/>
        <v>4187323</v>
      </c>
      <c r="P6" s="78">
        <v>1094318</v>
      </c>
      <c r="W6" s="1">
        <v>469855</v>
      </c>
      <c r="Y6" s="78">
        <v>1928</v>
      </c>
      <c r="AA6" s="1">
        <v>878471</v>
      </c>
      <c r="AD6" s="1">
        <v>20527</v>
      </c>
      <c r="AE6" s="1">
        <v>97652</v>
      </c>
      <c r="AG6" s="1">
        <v>513045</v>
      </c>
      <c r="AH6" s="1">
        <v>280300</v>
      </c>
      <c r="AM6" s="1">
        <v>395210</v>
      </c>
      <c r="AU6" s="1">
        <v>99216</v>
      </c>
      <c r="AV6" s="116">
        <f t="shared" si="1"/>
        <v>3850522</v>
      </c>
      <c r="BB6" s="1">
        <v>260628</v>
      </c>
      <c r="BC6" s="1">
        <v>123727</v>
      </c>
      <c r="BE6" s="1">
        <v>104821</v>
      </c>
      <c r="BF6" s="121">
        <f t="shared" si="2"/>
        <v>489176</v>
      </c>
      <c r="BP6" s="1">
        <v>145837</v>
      </c>
      <c r="CC6" s="125">
        <f t="shared" si="3"/>
        <v>145837</v>
      </c>
      <c r="CF6" s="1">
        <v>1907500</v>
      </c>
      <c r="CG6" s="1">
        <v>497926</v>
      </c>
      <c r="CK6" s="124">
        <f t="shared" si="4"/>
        <v>2405426</v>
      </c>
      <c r="CM6" s="23">
        <v>1560258</v>
      </c>
      <c r="CO6" s="23">
        <v>208499</v>
      </c>
      <c r="CP6" s="23">
        <v>186250</v>
      </c>
      <c r="CR6" s="23">
        <v>75141</v>
      </c>
      <c r="CV6" s="129">
        <v>1282453</v>
      </c>
    </row>
    <row r="7" spans="1:100" ht="12.75" customHeight="1">
      <c r="A7" s="1">
        <v>1</v>
      </c>
      <c r="B7" s="1">
        <v>125</v>
      </c>
      <c r="C7" s="1" t="s">
        <v>1768</v>
      </c>
      <c r="D7" s="5" t="s">
        <v>1772</v>
      </c>
      <c r="E7" t="s">
        <v>509</v>
      </c>
      <c r="F7" s="26">
        <v>464</v>
      </c>
      <c r="H7" s="78">
        <v>217626</v>
      </c>
      <c r="I7" s="1">
        <v>1854000</v>
      </c>
      <c r="L7" s="1">
        <v>38655</v>
      </c>
      <c r="O7" s="117">
        <f t="shared" si="0"/>
        <v>2110281</v>
      </c>
      <c r="AG7" s="1">
        <v>776303</v>
      </c>
      <c r="AH7" s="1">
        <v>559221</v>
      </c>
      <c r="AU7" s="1">
        <v>201282</v>
      </c>
      <c r="AV7" s="116">
        <f t="shared" si="1"/>
        <v>1536806</v>
      </c>
      <c r="AW7" s="1">
        <v>136669</v>
      </c>
      <c r="BD7" s="1">
        <v>27450</v>
      </c>
      <c r="BF7" s="121">
        <f t="shared" si="2"/>
        <v>164119</v>
      </c>
      <c r="BL7" s="1">
        <v>152147</v>
      </c>
      <c r="CC7" s="125">
        <f t="shared" si="3"/>
        <v>152147</v>
      </c>
      <c r="CF7" s="1">
        <v>15458793</v>
      </c>
      <c r="CG7" s="1">
        <v>861740</v>
      </c>
      <c r="CK7" s="124">
        <f t="shared" si="4"/>
        <v>16320533</v>
      </c>
      <c r="CV7" s="129">
        <v>267387</v>
      </c>
    </row>
    <row r="8" spans="1:100" ht="12.75" customHeight="1">
      <c r="A8" s="1">
        <v>1</v>
      </c>
      <c r="B8" s="1">
        <v>570</v>
      </c>
      <c r="C8" s="1" t="s">
        <v>1768</v>
      </c>
      <c r="D8" s="5" t="s">
        <v>1773</v>
      </c>
      <c r="E8" t="s">
        <v>510</v>
      </c>
      <c r="F8" s="26">
        <v>885</v>
      </c>
      <c r="G8" s="78">
        <v>13665336</v>
      </c>
      <c r="H8" s="78">
        <v>189857</v>
      </c>
      <c r="L8" s="1">
        <v>13029</v>
      </c>
      <c r="O8" s="117">
        <f t="shared" si="0"/>
        <v>13868222</v>
      </c>
      <c r="V8" s="1">
        <v>570923</v>
      </c>
      <c r="W8" s="1">
        <v>1168580</v>
      </c>
      <c r="X8" s="1">
        <v>39048</v>
      </c>
      <c r="AD8" s="1">
        <v>152382</v>
      </c>
      <c r="AE8" s="1">
        <v>56826</v>
      </c>
      <c r="AG8" s="1">
        <v>808384</v>
      </c>
      <c r="AH8" s="1">
        <v>455929</v>
      </c>
      <c r="AI8" s="1">
        <v>928</v>
      </c>
      <c r="AM8" s="1">
        <v>447045</v>
      </c>
      <c r="AU8" s="1">
        <v>2440</v>
      </c>
      <c r="AV8" s="116">
        <f t="shared" si="1"/>
        <v>3702485</v>
      </c>
      <c r="BC8" s="1">
        <v>264884</v>
      </c>
      <c r="BD8" s="1">
        <v>289968</v>
      </c>
      <c r="BE8" s="1">
        <v>81077</v>
      </c>
      <c r="BF8" s="121">
        <f t="shared" si="2"/>
        <v>635929</v>
      </c>
      <c r="CC8" s="125">
        <f t="shared" si="3"/>
        <v>0</v>
      </c>
      <c r="CK8" s="124">
        <f t="shared" si="4"/>
        <v>0</v>
      </c>
      <c r="CM8" s="23">
        <v>11200</v>
      </c>
      <c r="CT8" s="23">
        <v>605498</v>
      </c>
      <c r="CV8" s="129">
        <v>1703941</v>
      </c>
    </row>
    <row r="9" spans="1:100" ht="12.75" customHeight="1">
      <c r="A9" s="1">
        <v>1</v>
      </c>
      <c r="B9" s="1">
        <v>590</v>
      </c>
      <c r="C9" s="1" t="s">
        <v>1768</v>
      </c>
      <c r="D9" s="5" t="s">
        <v>1774</v>
      </c>
      <c r="E9" t="s">
        <v>511</v>
      </c>
      <c r="F9" s="26">
        <v>2594</v>
      </c>
      <c r="G9" s="78">
        <v>11204236</v>
      </c>
      <c r="H9" s="78">
        <v>241073</v>
      </c>
      <c r="L9" s="1">
        <v>679</v>
      </c>
      <c r="M9" s="1">
        <v>816593</v>
      </c>
      <c r="O9" s="117">
        <f t="shared" si="0"/>
        <v>12262581</v>
      </c>
      <c r="P9" s="78">
        <v>9091917</v>
      </c>
      <c r="V9" s="1">
        <v>964459</v>
      </c>
      <c r="W9" s="1">
        <v>1451707</v>
      </c>
      <c r="X9" s="1">
        <v>66540</v>
      </c>
      <c r="Y9" s="78">
        <v>299425</v>
      </c>
      <c r="AC9" s="1">
        <v>31772</v>
      </c>
      <c r="AD9" s="1">
        <v>230631</v>
      </c>
      <c r="AE9" s="1">
        <v>426427</v>
      </c>
      <c r="AG9" s="1">
        <v>2272723</v>
      </c>
      <c r="AH9" s="1">
        <v>1101103</v>
      </c>
      <c r="AI9" s="1">
        <v>176033</v>
      </c>
      <c r="AM9" s="1">
        <v>939234</v>
      </c>
      <c r="AP9" s="1">
        <v>378926</v>
      </c>
      <c r="AU9" s="1">
        <v>359797</v>
      </c>
      <c r="AV9" s="116">
        <f t="shared" si="1"/>
        <v>17790694</v>
      </c>
      <c r="AW9" s="1">
        <v>58499</v>
      </c>
      <c r="BC9" s="1">
        <v>899513</v>
      </c>
      <c r="BD9" s="1">
        <v>930500</v>
      </c>
      <c r="BE9" s="1">
        <v>1201979</v>
      </c>
      <c r="BF9" s="121">
        <f t="shared" si="2"/>
        <v>3090491</v>
      </c>
      <c r="BJ9" s="1">
        <v>59381</v>
      </c>
      <c r="BN9" s="1">
        <v>371163</v>
      </c>
      <c r="BO9" s="1">
        <v>1000</v>
      </c>
      <c r="CB9" s="1">
        <v>4244</v>
      </c>
      <c r="CC9" s="125">
        <f t="shared" si="3"/>
        <v>435788</v>
      </c>
      <c r="CD9" s="1">
        <v>4026996</v>
      </c>
      <c r="CK9" s="124">
        <f t="shared" si="4"/>
        <v>4026996</v>
      </c>
      <c r="CT9" s="23">
        <v>1292661</v>
      </c>
      <c r="CV9" s="129">
        <v>5624363</v>
      </c>
    </row>
    <row r="10" spans="1:100" ht="12.75" customHeight="1">
      <c r="A10" s="1">
        <v>1</v>
      </c>
      <c r="B10" s="1">
        <v>960</v>
      </c>
      <c r="C10" s="1" t="s">
        <v>1768</v>
      </c>
      <c r="D10" s="5" t="s">
        <v>1775</v>
      </c>
      <c r="E10"/>
      <c r="F10" s="26"/>
      <c r="G10" s="78">
        <v>763006</v>
      </c>
      <c r="H10" s="78">
        <v>5382</v>
      </c>
      <c r="O10" s="117">
        <f t="shared" si="0"/>
        <v>768388</v>
      </c>
      <c r="P10" s="78">
        <v>418411</v>
      </c>
      <c r="V10" s="1">
        <v>99415</v>
      </c>
      <c r="W10" s="1">
        <v>159276</v>
      </c>
      <c r="AD10" s="1">
        <v>14483</v>
      </c>
      <c r="AE10" s="1">
        <v>20748</v>
      </c>
      <c r="AG10" s="1">
        <v>24067</v>
      </c>
      <c r="AV10" s="116">
        <f t="shared" si="1"/>
        <v>736400</v>
      </c>
      <c r="BF10" s="121">
        <f t="shared" si="2"/>
        <v>0</v>
      </c>
      <c r="BR10" s="1">
        <v>90000</v>
      </c>
      <c r="CC10" s="125">
        <f t="shared" si="3"/>
        <v>90000</v>
      </c>
      <c r="CK10" s="124">
        <f t="shared" si="4"/>
        <v>0</v>
      </c>
    </row>
    <row r="11" spans="1:100" ht="12.75" customHeight="1">
      <c r="A11" s="1">
        <v>1</v>
      </c>
      <c r="B11" s="1">
        <v>1300</v>
      </c>
      <c r="C11" s="1" t="s">
        <v>1768</v>
      </c>
      <c r="D11" s="5" t="s">
        <v>1776</v>
      </c>
      <c r="E11" t="s">
        <v>512</v>
      </c>
      <c r="F11" s="26">
        <v>520</v>
      </c>
      <c r="G11" s="78">
        <v>1810936</v>
      </c>
      <c r="H11" s="78">
        <v>72013</v>
      </c>
      <c r="O11" s="117">
        <f t="shared" si="0"/>
        <v>1882949</v>
      </c>
      <c r="P11" s="78">
        <v>2389741</v>
      </c>
      <c r="Q11" s="78">
        <v>394444</v>
      </c>
      <c r="V11" s="1">
        <v>62692</v>
      </c>
      <c r="W11" s="1">
        <v>471258</v>
      </c>
      <c r="X11" s="1">
        <v>14052</v>
      </c>
      <c r="Y11" s="78">
        <v>161942</v>
      </c>
      <c r="AC11" s="1">
        <v>5724</v>
      </c>
      <c r="AD11" s="1">
        <v>59249</v>
      </c>
      <c r="AE11" s="1">
        <v>127797</v>
      </c>
      <c r="AF11" s="1">
        <v>46477</v>
      </c>
      <c r="AG11" s="1">
        <v>525270</v>
      </c>
      <c r="AH11" s="1">
        <v>268265</v>
      </c>
      <c r="AM11" s="1">
        <v>264477</v>
      </c>
      <c r="AU11" s="1">
        <v>210171</v>
      </c>
      <c r="AV11" s="116">
        <f t="shared" si="1"/>
        <v>5001559</v>
      </c>
      <c r="AW11" s="1">
        <v>2049</v>
      </c>
      <c r="BC11" s="1">
        <v>362190</v>
      </c>
      <c r="BD11" s="1">
        <v>173141</v>
      </c>
      <c r="BE11" s="1">
        <v>877377</v>
      </c>
      <c r="BF11" s="121">
        <f t="shared" si="2"/>
        <v>1414757</v>
      </c>
      <c r="BO11" s="1">
        <v>3902</v>
      </c>
      <c r="CC11" s="125">
        <f t="shared" si="3"/>
        <v>3902</v>
      </c>
      <c r="CD11" s="1">
        <v>35345</v>
      </c>
      <c r="CK11" s="124">
        <f t="shared" si="4"/>
        <v>35345</v>
      </c>
      <c r="CT11" s="23">
        <v>498381</v>
      </c>
      <c r="CV11" s="129">
        <v>2385737</v>
      </c>
    </row>
    <row r="12" spans="1:100" ht="12.75" customHeight="1">
      <c r="A12" s="1">
        <v>1</v>
      </c>
      <c r="B12" s="1">
        <v>1310</v>
      </c>
      <c r="C12" s="1" t="s">
        <v>1768</v>
      </c>
      <c r="D12" s="5" t="s">
        <v>1777</v>
      </c>
      <c r="E12" t="s">
        <v>513</v>
      </c>
      <c r="F12" s="26">
        <v>7484</v>
      </c>
      <c r="G12" s="78">
        <v>50843214</v>
      </c>
      <c r="H12" s="78">
        <v>1217010</v>
      </c>
      <c r="L12" s="1">
        <v>9847</v>
      </c>
      <c r="M12" s="1">
        <v>4222368</v>
      </c>
      <c r="O12" s="117">
        <f t="shared" si="0"/>
        <v>56292439</v>
      </c>
      <c r="P12" s="78">
        <v>20341417</v>
      </c>
      <c r="V12" s="1">
        <v>2516475</v>
      </c>
      <c r="W12" s="1">
        <v>4028682</v>
      </c>
      <c r="X12" s="1">
        <v>105426</v>
      </c>
      <c r="AD12" s="1">
        <v>749168</v>
      </c>
      <c r="AE12" s="1">
        <v>849381</v>
      </c>
      <c r="AF12" s="1">
        <v>1327077</v>
      </c>
      <c r="AG12" s="1">
        <v>4426169</v>
      </c>
      <c r="AH12" s="1">
        <v>2890602</v>
      </c>
      <c r="AM12" s="1">
        <v>237639</v>
      </c>
      <c r="AO12" s="1">
        <v>333900</v>
      </c>
      <c r="AP12" s="1">
        <v>3143213</v>
      </c>
      <c r="AU12" s="1">
        <v>352277</v>
      </c>
      <c r="AV12" s="116">
        <f t="shared" si="1"/>
        <v>41301426</v>
      </c>
      <c r="AW12" s="1">
        <v>9037</v>
      </c>
      <c r="BB12" s="1">
        <v>23942</v>
      </c>
      <c r="BC12" s="1">
        <v>596828</v>
      </c>
      <c r="BD12" s="1">
        <v>1547033</v>
      </c>
      <c r="BE12" s="1">
        <v>274331</v>
      </c>
      <c r="BF12" s="121">
        <f t="shared" si="2"/>
        <v>2451171</v>
      </c>
      <c r="BG12" s="1">
        <v>1645382</v>
      </c>
      <c r="BI12" s="1">
        <v>54619</v>
      </c>
      <c r="CB12" s="1">
        <v>786000</v>
      </c>
      <c r="CC12" s="125">
        <f t="shared" si="3"/>
        <v>2486001</v>
      </c>
      <c r="CK12" s="124">
        <f t="shared" si="4"/>
        <v>0</v>
      </c>
      <c r="CV12" s="129">
        <v>3375797</v>
      </c>
    </row>
    <row r="13" spans="1:100" ht="12.75" customHeight="1">
      <c r="A13" s="1">
        <v>1</v>
      </c>
      <c r="B13" s="1">
        <v>1410</v>
      </c>
      <c r="C13" s="1" t="s">
        <v>1768</v>
      </c>
      <c r="D13" s="5" t="s">
        <v>1778</v>
      </c>
      <c r="E13" t="s">
        <v>514</v>
      </c>
      <c r="F13" s="26">
        <v>218</v>
      </c>
      <c r="G13" s="78">
        <v>1934320</v>
      </c>
      <c r="H13" s="78">
        <v>22739</v>
      </c>
      <c r="M13" s="1">
        <v>152371</v>
      </c>
      <c r="O13" s="117">
        <f t="shared" si="0"/>
        <v>2109430</v>
      </c>
      <c r="P13" s="78">
        <v>1486698</v>
      </c>
      <c r="V13" s="1">
        <v>142144</v>
      </c>
      <c r="W13" s="1">
        <v>214603</v>
      </c>
      <c r="AD13" s="1">
        <v>35549</v>
      </c>
      <c r="AE13" s="1">
        <v>56878</v>
      </c>
      <c r="AG13" s="1">
        <v>199475</v>
      </c>
      <c r="AH13" s="1">
        <v>107599</v>
      </c>
      <c r="AO13" s="1">
        <v>19128</v>
      </c>
      <c r="AP13" s="1">
        <v>97530</v>
      </c>
      <c r="AV13" s="116">
        <f t="shared" si="1"/>
        <v>2359604</v>
      </c>
      <c r="BC13" s="1">
        <v>20070</v>
      </c>
      <c r="BD13" s="1">
        <v>73136</v>
      </c>
      <c r="BE13" s="1">
        <v>35431</v>
      </c>
      <c r="BF13" s="121">
        <f t="shared" si="2"/>
        <v>128637</v>
      </c>
      <c r="BO13" s="1">
        <v>4696</v>
      </c>
      <c r="CC13" s="125">
        <f t="shared" si="3"/>
        <v>4696</v>
      </c>
      <c r="CK13" s="124">
        <f t="shared" si="4"/>
        <v>0</v>
      </c>
      <c r="CV13" s="129">
        <v>147765</v>
      </c>
    </row>
    <row r="14" spans="1:100" ht="12.75" customHeight="1">
      <c r="A14" s="1">
        <v>1</v>
      </c>
      <c r="B14" s="1">
        <v>1540</v>
      </c>
      <c r="C14" s="1" t="s">
        <v>1768</v>
      </c>
      <c r="D14" s="5" t="s">
        <v>1779</v>
      </c>
      <c r="E14" t="s">
        <v>515</v>
      </c>
      <c r="F14" s="26">
        <v>392</v>
      </c>
      <c r="G14" s="78">
        <v>1258908</v>
      </c>
      <c r="H14" s="78">
        <v>109391</v>
      </c>
      <c r="M14" s="1">
        <v>228216</v>
      </c>
      <c r="O14" s="117">
        <f t="shared" si="0"/>
        <v>1596515</v>
      </c>
      <c r="P14" s="78">
        <v>1033381</v>
      </c>
      <c r="R14" s="1">
        <v>1202776</v>
      </c>
      <c r="V14" s="1">
        <v>205587</v>
      </c>
      <c r="W14" s="1">
        <v>237486</v>
      </c>
      <c r="Y14" s="78">
        <v>396365</v>
      </c>
      <c r="AC14" s="1">
        <v>2689</v>
      </c>
      <c r="AD14" s="1">
        <v>52446</v>
      </c>
      <c r="AE14" s="1">
        <v>95963</v>
      </c>
      <c r="AF14" s="1">
        <v>103116</v>
      </c>
      <c r="AG14" s="1">
        <v>290001</v>
      </c>
      <c r="AH14" s="1">
        <v>153302</v>
      </c>
      <c r="AM14" s="1">
        <v>74883</v>
      </c>
      <c r="AO14" s="1">
        <v>3993</v>
      </c>
      <c r="AT14" s="1">
        <v>474205</v>
      </c>
      <c r="AU14" s="1">
        <v>1237</v>
      </c>
      <c r="AV14" s="116">
        <f t="shared" si="1"/>
        <v>4327430</v>
      </c>
      <c r="BC14" s="1">
        <v>74182</v>
      </c>
      <c r="BD14" s="1">
        <v>106314</v>
      </c>
      <c r="BE14" s="1">
        <v>33297</v>
      </c>
      <c r="BF14" s="121">
        <f t="shared" si="2"/>
        <v>213793</v>
      </c>
      <c r="CC14" s="125">
        <f t="shared" si="3"/>
        <v>0</v>
      </c>
      <c r="CK14" s="124">
        <f t="shared" si="4"/>
        <v>0</v>
      </c>
      <c r="CT14" s="23">
        <v>128018</v>
      </c>
      <c r="CV14" s="129">
        <v>421924</v>
      </c>
    </row>
    <row r="15" spans="1:100" ht="12.75" customHeight="1">
      <c r="A15" s="1">
        <v>1</v>
      </c>
      <c r="B15" s="1">
        <v>1690</v>
      </c>
      <c r="C15" s="1" t="s">
        <v>1768</v>
      </c>
      <c r="D15" s="5" t="s">
        <v>1780</v>
      </c>
      <c r="E15" t="s">
        <v>516</v>
      </c>
      <c r="F15" s="26">
        <v>3791</v>
      </c>
      <c r="G15" s="78">
        <v>26335007</v>
      </c>
      <c r="H15" s="78">
        <v>354991</v>
      </c>
      <c r="L15" s="1">
        <v>17239</v>
      </c>
      <c r="M15" s="1">
        <v>1644990</v>
      </c>
      <c r="O15" s="117">
        <f t="shared" si="0"/>
        <v>28352227</v>
      </c>
      <c r="P15" s="78">
        <v>13410623</v>
      </c>
      <c r="V15" s="1">
        <v>1107364</v>
      </c>
      <c r="W15" s="1">
        <v>2223740</v>
      </c>
      <c r="X15" s="1">
        <v>233940</v>
      </c>
      <c r="Y15" s="78">
        <v>446658</v>
      </c>
      <c r="AC15" s="1">
        <v>70191</v>
      </c>
      <c r="AD15" s="1">
        <v>456764</v>
      </c>
      <c r="AE15" s="1">
        <v>543140</v>
      </c>
      <c r="AG15" s="1">
        <v>2446616</v>
      </c>
      <c r="AH15" s="1">
        <v>1625712</v>
      </c>
      <c r="AI15" s="1">
        <v>41187</v>
      </c>
      <c r="AM15" s="1">
        <v>18069</v>
      </c>
      <c r="AO15" s="1">
        <v>207522</v>
      </c>
      <c r="AP15" s="1">
        <v>1400447</v>
      </c>
      <c r="AU15" s="1">
        <v>434300</v>
      </c>
      <c r="AV15" s="116">
        <f t="shared" si="1"/>
        <v>24666273</v>
      </c>
      <c r="AW15" s="1">
        <v>4667</v>
      </c>
      <c r="BC15" s="1">
        <v>430365</v>
      </c>
      <c r="BD15" s="1">
        <v>790131</v>
      </c>
      <c r="BE15" s="1">
        <v>179128</v>
      </c>
      <c r="BF15" s="121">
        <f t="shared" si="2"/>
        <v>1404291</v>
      </c>
      <c r="BO15" s="1">
        <v>10876</v>
      </c>
      <c r="CB15" s="1">
        <v>2325</v>
      </c>
      <c r="CC15" s="125">
        <f t="shared" si="3"/>
        <v>13201</v>
      </c>
      <c r="CD15" s="1">
        <v>67647</v>
      </c>
      <c r="CK15" s="124">
        <f t="shared" si="4"/>
        <v>67647</v>
      </c>
      <c r="CV15" s="129">
        <v>2076754</v>
      </c>
    </row>
    <row r="16" spans="1:100" ht="12.75" customHeight="1">
      <c r="A16" s="1">
        <v>1</v>
      </c>
      <c r="B16" s="1">
        <v>1790</v>
      </c>
      <c r="C16" s="1" t="s">
        <v>1768</v>
      </c>
      <c r="D16" s="5" t="s">
        <v>1781</v>
      </c>
      <c r="E16" t="s">
        <v>517</v>
      </c>
      <c r="F16" s="26">
        <v>3913.5</v>
      </c>
      <c r="G16" s="78">
        <v>25657864</v>
      </c>
      <c r="H16" s="78">
        <v>711737</v>
      </c>
      <c r="L16" s="1">
        <v>16094</v>
      </c>
      <c r="M16" s="1">
        <v>550208</v>
      </c>
      <c r="O16" s="117">
        <f t="shared" si="0"/>
        <v>26935903</v>
      </c>
      <c r="P16" s="78">
        <v>17921675</v>
      </c>
      <c r="V16" s="1">
        <v>1381334</v>
      </c>
      <c r="W16" s="1">
        <v>3012677</v>
      </c>
      <c r="X16" s="1">
        <v>68552</v>
      </c>
      <c r="AC16" s="1">
        <v>132882</v>
      </c>
      <c r="AD16" s="1">
        <v>408378</v>
      </c>
      <c r="AG16" s="1">
        <v>2964023</v>
      </c>
      <c r="AH16" s="1">
        <v>1509445</v>
      </c>
      <c r="AI16" s="1">
        <v>1019919</v>
      </c>
      <c r="AO16" s="1">
        <v>163980</v>
      </c>
      <c r="AP16" s="1">
        <v>768616</v>
      </c>
      <c r="AU16" s="1">
        <v>50882</v>
      </c>
      <c r="AV16" s="116">
        <f t="shared" si="1"/>
        <v>29402363</v>
      </c>
      <c r="BB16" s="1">
        <v>12324</v>
      </c>
      <c r="BC16" s="1">
        <v>213644</v>
      </c>
      <c r="BD16" s="1">
        <v>754208</v>
      </c>
      <c r="BE16" s="1">
        <v>94838</v>
      </c>
      <c r="BF16" s="121">
        <f t="shared" si="2"/>
        <v>1075014</v>
      </c>
      <c r="BO16" s="1">
        <v>746</v>
      </c>
      <c r="CA16" s="1">
        <v>54993</v>
      </c>
      <c r="CC16" s="125">
        <f t="shared" si="3"/>
        <v>55739</v>
      </c>
      <c r="CD16" s="1">
        <v>768171</v>
      </c>
      <c r="CK16" s="124">
        <f t="shared" si="4"/>
        <v>768171</v>
      </c>
      <c r="CV16" s="129">
        <v>1305970</v>
      </c>
    </row>
    <row r="17" spans="1:100" ht="12.75" customHeight="1">
      <c r="A17" s="1">
        <v>1</v>
      </c>
      <c r="B17" s="1">
        <v>1940</v>
      </c>
      <c r="C17" s="1" t="s">
        <v>1768</v>
      </c>
      <c r="D17" s="5" t="s">
        <v>1782</v>
      </c>
      <c r="E17" t="s">
        <v>518</v>
      </c>
      <c r="F17" s="26">
        <v>3225</v>
      </c>
      <c r="G17" s="78">
        <v>15007035</v>
      </c>
      <c r="H17" s="78">
        <v>431583</v>
      </c>
      <c r="M17" s="1">
        <v>2800921</v>
      </c>
      <c r="O17" s="117">
        <f t="shared" si="0"/>
        <v>18239539</v>
      </c>
      <c r="P17" s="78">
        <v>9647111</v>
      </c>
      <c r="V17" s="1">
        <v>1195764</v>
      </c>
      <c r="W17" s="1">
        <v>2588474</v>
      </c>
      <c r="X17" s="1">
        <v>85102</v>
      </c>
      <c r="AC17" s="1">
        <v>58163</v>
      </c>
      <c r="AD17" s="1">
        <v>318846</v>
      </c>
      <c r="AE17" s="1">
        <v>483731</v>
      </c>
      <c r="AG17" s="1">
        <v>1645769</v>
      </c>
      <c r="AH17" s="1">
        <v>1191425</v>
      </c>
      <c r="AI17" s="1">
        <v>13911</v>
      </c>
      <c r="AM17" s="1">
        <v>866918</v>
      </c>
      <c r="AP17" s="1">
        <v>1672760</v>
      </c>
      <c r="AU17" s="1">
        <v>167856</v>
      </c>
      <c r="AV17" s="116">
        <f t="shared" si="1"/>
        <v>19935830</v>
      </c>
      <c r="AW17" s="1">
        <v>37787</v>
      </c>
      <c r="BC17" s="1">
        <v>634548</v>
      </c>
      <c r="BD17" s="1">
        <v>711678</v>
      </c>
      <c r="BE17" s="1">
        <v>213655</v>
      </c>
      <c r="BF17" s="121">
        <f t="shared" si="2"/>
        <v>1597668</v>
      </c>
      <c r="BG17" s="1">
        <v>111538</v>
      </c>
      <c r="BO17" s="1">
        <v>19539</v>
      </c>
      <c r="CC17" s="125">
        <f t="shared" si="3"/>
        <v>131077</v>
      </c>
      <c r="CD17" s="1">
        <v>37551</v>
      </c>
      <c r="CK17" s="124">
        <f t="shared" si="4"/>
        <v>37551</v>
      </c>
      <c r="CT17" s="23">
        <v>1427282</v>
      </c>
      <c r="CV17" s="129">
        <v>4021937</v>
      </c>
    </row>
    <row r="18" spans="1:100" ht="12.75" customHeight="1">
      <c r="A18" s="1">
        <v>1</v>
      </c>
      <c r="B18" s="1">
        <v>1960</v>
      </c>
      <c r="C18" s="1" t="s">
        <v>1768</v>
      </c>
      <c r="D18" s="5" t="s">
        <v>1783</v>
      </c>
      <c r="E18" t="s">
        <v>519</v>
      </c>
      <c r="F18" s="26">
        <v>3325.5</v>
      </c>
      <c r="G18" s="78">
        <v>14521766</v>
      </c>
      <c r="M18" s="1">
        <v>1531726</v>
      </c>
      <c r="O18" s="117">
        <f t="shared" si="0"/>
        <v>16053492</v>
      </c>
      <c r="P18" s="78">
        <v>4337255</v>
      </c>
      <c r="V18" s="1">
        <v>359182</v>
      </c>
      <c r="W18" s="1">
        <v>1793188</v>
      </c>
      <c r="X18" s="1">
        <v>102820</v>
      </c>
      <c r="AB18" s="1">
        <v>131238</v>
      </c>
      <c r="AC18" s="1">
        <v>36942</v>
      </c>
      <c r="AD18" s="1">
        <v>249064</v>
      </c>
      <c r="AE18" s="1">
        <v>258745</v>
      </c>
      <c r="AF18" s="1">
        <v>5104</v>
      </c>
      <c r="AG18" s="1">
        <v>2238589</v>
      </c>
      <c r="AH18" s="1">
        <v>1265095</v>
      </c>
      <c r="AM18" s="1">
        <v>518195</v>
      </c>
      <c r="AP18" s="1">
        <v>5597</v>
      </c>
      <c r="AU18" s="1">
        <v>427475</v>
      </c>
      <c r="AV18" s="116">
        <f t="shared" si="1"/>
        <v>11728489</v>
      </c>
      <c r="BB18" s="1">
        <v>19429</v>
      </c>
      <c r="BC18" s="1">
        <v>679112</v>
      </c>
      <c r="BD18" s="1">
        <v>625973</v>
      </c>
      <c r="BE18" s="1">
        <v>150046</v>
      </c>
      <c r="BF18" s="121">
        <f t="shared" si="2"/>
        <v>1474560</v>
      </c>
      <c r="BG18" s="1">
        <v>28500</v>
      </c>
      <c r="BO18" s="1">
        <v>77</v>
      </c>
      <c r="BP18" s="1">
        <v>1660145</v>
      </c>
      <c r="CA18" s="1">
        <v>84287</v>
      </c>
      <c r="CC18" s="125">
        <f t="shared" si="3"/>
        <v>1773009</v>
      </c>
      <c r="CD18" s="1">
        <v>6734504</v>
      </c>
      <c r="CK18" s="124">
        <f t="shared" si="4"/>
        <v>6734504</v>
      </c>
      <c r="CT18" s="23">
        <v>1265056</v>
      </c>
      <c r="CV18" s="129">
        <v>3685286</v>
      </c>
    </row>
    <row r="19" spans="1:100" ht="12.75" customHeight="1">
      <c r="A19" s="1">
        <v>1</v>
      </c>
      <c r="B19" s="1">
        <v>2680</v>
      </c>
      <c r="C19" s="1" t="s">
        <v>1768</v>
      </c>
      <c r="D19" s="5" t="s">
        <v>1533</v>
      </c>
      <c r="E19" t="s">
        <v>520</v>
      </c>
      <c r="F19" s="26">
        <v>998</v>
      </c>
      <c r="G19" s="78">
        <v>9157885</v>
      </c>
      <c r="H19" s="78">
        <v>143739</v>
      </c>
      <c r="L19" s="1">
        <v>56647</v>
      </c>
      <c r="O19" s="117">
        <f t="shared" si="0"/>
        <v>9358271</v>
      </c>
      <c r="P19" s="78">
        <v>969200</v>
      </c>
      <c r="V19" s="1">
        <v>89582</v>
      </c>
      <c r="W19" s="1">
        <v>719219</v>
      </c>
      <c r="X19" s="1">
        <v>6990</v>
      </c>
      <c r="AC19" s="1">
        <v>11010</v>
      </c>
      <c r="AD19" s="1">
        <v>111914</v>
      </c>
      <c r="AE19" s="1">
        <v>56907</v>
      </c>
      <c r="AF19" s="1">
        <v>1667</v>
      </c>
      <c r="AG19" s="1">
        <v>866075</v>
      </c>
      <c r="AH19" s="1">
        <v>433211</v>
      </c>
      <c r="AV19" s="116">
        <f t="shared" si="1"/>
        <v>3265775</v>
      </c>
      <c r="BC19" s="1">
        <v>18339</v>
      </c>
      <c r="BD19" s="1">
        <v>196563</v>
      </c>
      <c r="BE19" s="1">
        <v>25114</v>
      </c>
      <c r="BF19" s="121">
        <f t="shared" si="2"/>
        <v>240016</v>
      </c>
      <c r="CC19" s="125">
        <f t="shared" si="3"/>
        <v>0</v>
      </c>
      <c r="CK19" s="124">
        <f t="shared" si="4"/>
        <v>0</v>
      </c>
      <c r="CV19" s="129">
        <v>296663</v>
      </c>
    </row>
    <row r="20" spans="1:100" ht="12.75" customHeight="1">
      <c r="A20" s="1">
        <v>1</v>
      </c>
      <c r="B20" s="1">
        <v>2780</v>
      </c>
      <c r="C20" s="1" t="s">
        <v>1768</v>
      </c>
      <c r="D20" s="5" t="s">
        <v>1534</v>
      </c>
      <c r="E20"/>
      <c r="F20" s="26"/>
      <c r="G20" s="78">
        <v>968994</v>
      </c>
      <c r="O20" s="117">
        <f t="shared" si="0"/>
        <v>968994</v>
      </c>
      <c r="V20" s="1">
        <v>10048</v>
      </c>
      <c r="W20" s="1">
        <v>10922</v>
      </c>
      <c r="Y20" s="78">
        <v>71301</v>
      </c>
      <c r="AD20" s="1">
        <v>5267</v>
      </c>
      <c r="AE20" s="1">
        <v>2926</v>
      </c>
      <c r="AF20" s="1">
        <v>7624</v>
      </c>
      <c r="AH20" s="1">
        <v>319</v>
      </c>
      <c r="AV20" s="116">
        <f t="shared" si="1"/>
        <v>108407</v>
      </c>
      <c r="BF20" s="121">
        <f t="shared" si="2"/>
        <v>0</v>
      </c>
      <c r="BP20" s="1">
        <v>13344</v>
      </c>
      <c r="CC20" s="125">
        <f t="shared" si="3"/>
        <v>13344</v>
      </c>
      <c r="CK20" s="124">
        <f t="shared" si="4"/>
        <v>0</v>
      </c>
    </row>
    <row r="21" spans="1:100" ht="12.75" customHeight="1">
      <c r="A21" s="1">
        <v>1</v>
      </c>
      <c r="B21" s="1">
        <v>2910</v>
      </c>
      <c r="C21" s="1" t="s">
        <v>1768</v>
      </c>
      <c r="D21" s="5" t="s">
        <v>1535</v>
      </c>
      <c r="E21" t="s">
        <v>521</v>
      </c>
      <c r="F21" s="26">
        <v>1621.5</v>
      </c>
      <c r="G21" s="78">
        <v>13953238</v>
      </c>
      <c r="H21" s="78">
        <v>351148</v>
      </c>
      <c r="M21" s="1">
        <v>785123</v>
      </c>
      <c r="O21" s="117">
        <f t="shared" si="0"/>
        <v>15089509</v>
      </c>
      <c r="P21" s="78">
        <v>4640595</v>
      </c>
      <c r="V21" s="1">
        <v>267605</v>
      </c>
      <c r="W21" s="1">
        <v>759228</v>
      </c>
      <c r="X21" s="1">
        <v>22254</v>
      </c>
      <c r="AC21" s="1">
        <v>33727</v>
      </c>
      <c r="AD21" s="1">
        <v>187841</v>
      </c>
      <c r="AE21" s="1">
        <v>177449</v>
      </c>
      <c r="AG21" s="1">
        <v>1346139</v>
      </c>
      <c r="AH21" s="1">
        <v>781598</v>
      </c>
      <c r="AI21" s="1">
        <v>88865</v>
      </c>
      <c r="AO21" s="1">
        <v>37457</v>
      </c>
      <c r="AP21" s="1">
        <v>275591</v>
      </c>
      <c r="AU21" s="1">
        <v>3000</v>
      </c>
      <c r="AV21" s="116">
        <f t="shared" si="1"/>
        <v>8621349</v>
      </c>
      <c r="BB21" s="1">
        <v>8098</v>
      </c>
      <c r="BC21" s="1">
        <v>49629</v>
      </c>
      <c r="BD21" s="1">
        <v>277679</v>
      </c>
      <c r="BE21" s="1">
        <v>20393</v>
      </c>
      <c r="BF21" s="121">
        <f t="shared" si="2"/>
        <v>355799</v>
      </c>
      <c r="BG21" s="1">
        <v>321012</v>
      </c>
      <c r="BN21" s="1">
        <v>109989</v>
      </c>
      <c r="CB21" s="1">
        <v>3563</v>
      </c>
      <c r="CC21" s="125">
        <f t="shared" si="3"/>
        <v>434564</v>
      </c>
      <c r="CK21" s="124">
        <f t="shared" si="4"/>
        <v>0</v>
      </c>
      <c r="CV21" s="129">
        <v>396256</v>
      </c>
    </row>
    <row r="22" spans="1:100" ht="12.75" customHeight="1">
      <c r="A22" s="1">
        <v>1</v>
      </c>
      <c r="B22" s="1">
        <v>3020</v>
      </c>
      <c r="C22" s="1" t="s">
        <v>1768</v>
      </c>
      <c r="D22" s="5" t="s">
        <v>1536</v>
      </c>
      <c r="E22" t="s">
        <v>522</v>
      </c>
      <c r="F22" s="26">
        <v>593</v>
      </c>
      <c r="G22" s="78">
        <v>10173118</v>
      </c>
      <c r="H22" s="78">
        <v>242872</v>
      </c>
      <c r="L22" s="1">
        <v>55643</v>
      </c>
      <c r="O22" s="117">
        <f t="shared" si="0"/>
        <v>10471633</v>
      </c>
      <c r="V22" s="1">
        <v>112437</v>
      </c>
      <c r="W22" s="1">
        <v>643606</v>
      </c>
      <c r="X22" s="1">
        <v>10530</v>
      </c>
      <c r="AC22" s="1">
        <v>7656</v>
      </c>
      <c r="AD22" s="1">
        <v>79108</v>
      </c>
      <c r="AE22" s="1">
        <v>26036</v>
      </c>
      <c r="AF22" s="1">
        <v>5234</v>
      </c>
      <c r="AG22" s="1">
        <v>686231</v>
      </c>
      <c r="AH22" s="1">
        <v>331567</v>
      </c>
      <c r="AO22" s="1">
        <v>22170</v>
      </c>
      <c r="AU22" s="1">
        <v>69505</v>
      </c>
      <c r="AV22" s="116">
        <f t="shared" si="1"/>
        <v>1994080</v>
      </c>
      <c r="BC22" s="1">
        <v>53328</v>
      </c>
      <c r="BD22" s="1">
        <v>196003</v>
      </c>
      <c r="BE22" s="1">
        <v>22880</v>
      </c>
      <c r="BF22" s="121">
        <f t="shared" si="2"/>
        <v>272211</v>
      </c>
      <c r="BI22" s="1">
        <v>56660</v>
      </c>
      <c r="CC22" s="125">
        <f t="shared" si="3"/>
        <v>56660</v>
      </c>
      <c r="CD22" s="1">
        <v>734759</v>
      </c>
      <c r="CK22" s="124">
        <f t="shared" si="4"/>
        <v>734759</v>
      </c>
      <c r="CV22" s="129">
        <v>419529</v>
      </c>
    </row>
    <row r="23" spans="1:100" ht="12.75" customHeight="1">
      <c r="A23" s="1">
        <v>1</v>
      </c>
      <c r="B23" s="1">
        <v>3480</v>
      </c>
      <c r="C23" s="1" t="s">
        <v>1768</v>
      </c>
      <c r="D23" s="5" t="s">
        <v>1537</v>
      </c>
      <c r="E23" t="s">
        <v>531</v>
      </c>
      <c r="F23" s="26">
        <v>744</v>
      </c>
      <c r="G23" s="78">
        <v>3085814</v>
      </c>
      <c r="H23" s="78">
        <v>34891</v>
      </c>
      <c r="M23" s="1">
        <v>428248</v>
      </c>
      <c r="O23" s="117">
        <f t="shared" si="0"/>
        <v>3548953</v>
      </c>
      <c r="P23" s="78">
        <v>3250225</v>
      </c>
      <c r="V23" s="1">
        <v>288968</v>
      </c>
      <c r="W23" s="1">
        <v>713718</v>
      </c>
      <c r="X23" s="1">
        <v>24510</v>
      </c>
      <c r="AD23" s="1">
        <v>81114</v>
      </c>
      <c r="AE23" s="1">
        <v>115947</v>
      </c>
      <c r="AF23" s="1">
        <v>61050</v>
      </c>
      <c r="AG23" s="1">
        <v>644108</v>
      </c>
      <c r="AH23" s="1">
        <v>348414</v>
      </c>
      <c r="AM23" s="1">
        <v>269925</v>
      </c>
      <c r="AP23" s="1">
        <v>173482</v>
      </c>
      <c r="AU23" s="1">
        <v>27228</v>
      </c>
      <c r="AV23" s="116">
        <f t="shared" si="1"/>
        <v>5998689</v>
      </c>
      <c r="AW23" s="1">
        <v>6267</v>
      </c>
      <c r="BC23" s="1">
        <v>207484</v>
      </c>
      <c r="BD23" s="1">
        <v>171601</v>
      </c>
      <c r="BE23" s="1">
        <v>209147</v>
      </c>
      <c r="BF23" s="121">
        <f t="shared" si="2"/>
        <v>594499</v>
      </c>
      <c r="CC23" s="125">
        <f t="shared" si="3"/>
        <v>0</v>
      </c>
      <c r="CD23" s="1">
        <v>1861</v>
      </c>
      <c r="CK23" s="124">
        <f t="shared" si="4"/>
        <v>1861</v>
      </c>
      <c r="CT23" s="23">
        <v>418670</v>
      </c>
      <c r="CV23" s="129">
        <v>1304055</v>
      </c>
    </row>
    <row r="24" spans="1:100" ht="12.75" customHeight="1">
      <c r="A24" s="1">
        <v>1</v>
      </c>
      <c r="B24" s="1">
        <v>3720</v>
      </c>
      <c r="C24" s="1" t="s">
        <v>1768</v>
      </c>
      <c r="D24" s="5" t="s">
        <v>1538</v>
      </c>
      <c r="E24" t="s">
        <v>532</v>
      </c>
      <c r="F24" s="26">
        <v>1078</v>
      </c>
      <c r="G24" s="78">
        <v>7194807</v>
      </c>
      <c r="H24" s="78">
        <v>89378</v>
      </c>
      <c r="L24" s="1">
        <v>921</v>
      </c>
      <c r="M24" s="1">
        <v>1093305</v>
      </c>
      <c r="O24" s="117">
        <f t="shared" si="0"/>
        <v>8378411</v>
      </c>
      <c r="P24" s="78">
        <v>1852131</v>
      </c>
      <c r="V24" s="1">
        <v>77066</v>
      </c>
      <c r="W24" s="1">
        <v>774067</v>
      </c>
      <c r="X24" s="1">
        <v>15220</v>
      </c>
      <c r="AC24" s="1">
        <v>2732</v>
      </c>
      <c r="AD24" s="1">
        <v>125520</v>
      </c>
      <c r="AE24" s="1">
        <v>85833</v>
      </c>
      <c r="AF24" s="1">
        <v>5782</v>
      </c>
      <c r="AG24" s="1">
        <v>868975</v>
      </c>
      <c r="AH24" s="1">
        <v>415642</v>
      </c>
      <c r="AO24" s="1">
        <v>17088</v>
      </c>
      <c r="AP24" s="1">
        <v>504684</v>
      </c>
      <c r="AU24" s="1">
        <v>16291</v>
      </c>
      <c r="AV24" s="116">
        <f t="shared" si="1"/>
        <v>4761031</v>
      </c>
      <c r="BC24" s="1">
        <v>83672</v>
      </c>
      <c r="BD24" s="1">
        <v>208359</v>
      </c>
      <c r="BE24" s="1">
        <v>41523</v>
      </c>
      <c r="BF24" s="121">
        <f t="shared" si="2"/>
        <v>333554</v>
      </c>
      <c r="BI24" s="1">
        <v>7820</v>
      </c>
      <c r="CC24" s="125">
        <f t="shared" si="3"/>
        <v>7820</v>
      </c>
      <c r="CK24" s="124">
        <f t="shared" si="4"/>
        <v>0</v>
      </c>
      <c r="CV24" s="129">
        <v>367854</v>
      </c>
    </row>
    <row r="25" spans="1:100" ht="12.75" customHeight="1">
      <c r="A25" s="1">
        <v>1</v>
      </c>
      <c r="B25" s="1">
        <v>4180</v>
      </c>
      <c r="C25" s="1" t="s">
        <v>1768</v>
      </c>
      <c r="D25" s="5" t="s">
        <v>1539</v>
      </c>
      <c r="E25" t="s">
        <v>533</v>
      </c>
      <c r="F25" s="26">
        <v>3423</v>
      </c>
      <c r="G25" s="78">
        <v>6220639</v>
      </c>
      <c r="H25" s="78">
        <v>367173</v>
      </c>
      <c r="L25" s="1">
        <v>2800</v>
      </c>
      <c r="M25" s="1">
        <v>973100</v>
      </c>
      <c r="O25" s="117">
        <f t="shared" si="0"/>
        <v>7563712</v>
      </c>
      <c r="P25" s="78">
        <v>25501280</v>
      </c>
      <c r="Q25" s="78">
        <v>2062146</v>
      </c>
      <c r="S25" s="25">
        <v>27845231</v>
      </c>
      <c r="V25" s="1">
        <v>623617</v>
      </c>
      <c r="W25" s="1">
        <v>3575208</v>
      </c>
      <c r="X25" s="1">
        <v>205140</v>
      </c>
      <c r="AC25" s="1">
        <v>17354</v>
      </c>
      <c r="AD25" s="1">
        <v>447987</v>
      </c>
      <c r="AF25" s="1">
        <v>12562</v>
      </c>
      <c r="AG25" s="1">
        <v>3461190</v>
      </c>
      <c r="AH25" s="1">
        <v>2071333</v>
      </c>
      <c r="AM25" s="1">
        <v>1644468</v>
      </c>
      <c r="AP25" s="1">
        <v>2825822</v>
      </c>
      <c r="AS25" s="1">
        <v>45518</v>
      </c>
      <c r="AU25" s="1">
        <v>110506</v>
      </c>
      <c r="AV25" s="116">
        <f t="shared" si="1"/>
        <v>70449362</v>
      </c>
      <c r="AW25" s="1">
        <v>37426</v>
      </c>
      <c r="BB25" s="1">
        <v>17900</v>
      </c>
      <c r="BC25" s="1">
        <v>2395104</v>
      </c>
      <c r="BD25" s="1">
        <v>756929</v>
      </c>
      <c r="BE25" s="1">
        <v>1241904</v>
      </c>
      <c r="BF25" s="121">
        <f t="shared" si="2"/>
        <v>4449263</v>
      </c>
      <c r="BI25" s="1">
        <v>212378</v>
      </c>
      <c r="CA25" s="1">
        <v>12034</v>
      </c>
      <c r="CC25" s="125">
        <f t="shared" si="3"/>
        <v>224412</v>
      </c>
      <c r="CK25" s="124">
        <f t="shared" si="4"/>
        <v>0</v>
      </c>
      <c r="CR25" s="23">
        <v>84533</v>
      </c>
      <c r="CT25" s="23">
        <v>3469509</v>
      </c>
      <c r="CU25" s="23">
        <v>1856644</v>
      </c>
      <c r="CV25" s="129">
        <v>12011586</v>
      </c>
    </row>
    <row r="26" spans="1:100" ht="12.75" customHeight="1">
      <c r="A26" s="1">
        <v>1</v>
      </c>
      <c r="B26" s="1">
        <v>4240</v>
      </c>
      <c r="C26" s="1" t="s">
        <v>1768</v>
      </c>
      <c r="D26" s="5" t="s">
        <v>1540</v>
      </c>
      <c r="E26" t="s">
        <v>534</v>
      </c>
      <c r="F26" s="26">
        <v>134</v>
      </c>
      <c r="G26" s="78">
        <v>1229445</v>
      </c>
      <c r="O26" s="117">
        <f t="shared" si="0"/>
        <v>1229445</v>
      </c>
      <c r="V26" s="1">
        <v>40319</v>
      </c>
      <c r="W26" s="1">
        <v>94368</v>
      </c>
      <c r="Y26" s="78">
        <v>771685</v>
      </c>
      <c r="AD26" s="1">
        <v>16568</v>
      </c>
      <c r="AE26" s="1">
        <v>27754</v>
      </c>
      <c r="AG26" s="1">
        <v>138067</v>
      </c>
      <c r="AH26" s="1">
        <v>61914</v>
      </c>
      <c r="AO26" s="1">
        <v>5904</v>
      </c>
      <c r="AU26" s="1">
        <v>4000</v>
      </c>
      <c r="AV26" s="116">
        <f t="shared" si="1"/>
        <v>1160579</v>
      </c>
      <c r="BD26" s="1">
        <v>35301</v>
      </c>
      <c r="BE26" s="1">
        <v>20344</v>
      </c>
      <c r="BF26" s="121">
        <f t="shared" si="2"/>
        <v>55645</v>
      </c>
      <c r="BI26" s="1">
        <v>4010</v>
      </c>
      <c r="BO26" s="1">
        <v>13</v>
      </c>
      <c r="BP26" s="1">
        <v>25217</v>
      </c>
      <c r="CC26" s="125">
        <f t="shared" si="3"/>
        <v>29240</v>
      </c>
      <c r="CK26" s="124">
        <f t="shared" si="4"/>
        <v>0</v>
      </c>
      <c r="CV26" s="129">
        <v>65549</v>
      </c>
    </row>
    <row r="27" spans="1:100" ht="12.75" customHeight="1">
      <c r="A27" s="1">
        <v>1</v>
      </c>
      <c r="B27" s="1">
        <v>4800</v>
      </c>
      <c r="C27" s="1" t="s">
        <v>1768</v>
      </c>
      <c r="D27" s="5" t="s">
        <v>1541</v>
      </c>
      <c r="E27" t="s">
        <v>535</v>
      </c>
      <c r="F27" s="26">
        <v>1124</v>
      </c>
      <c r="G27" s="78">
        <v>7861264</v>
      </c>
      <c r="H27" s="78">
        <v>126375</v>
      </c>
      <c r="M27" s="1">
        <v>813791</v>
      </c>
      <c r="O27" s="117">
        <f t="shared" si="0"/>
        <v>8801430</v>
      </c>
      <c r="P27" s="78">
        <v>1865875</v>
      </c>
      <c r="V27" s="1">
        <v>104766</v>
      </c>
      <c r="W27" s="1">
        <v>995247</v>
      </c>
      <c r="X27" s="1">
        <v>10602</v>
      </c>
      <c r="Y27" s="78">
        <v>495568</v>
      </c>
      <c r="AD27" s="1">
        <v>130554</v>
      </c>
      <c r="AF27" s="1">
        <v>1246</v>
      </c>
      <c r="AG27" s="1">
        <v>661108</v>
      </c>
      <c r="AH27" s="1">
        <v>478014</v>
      </c>
      <c r="AM27" s="1">
        <v>146580</v>
      </c>
      <c r="AP27" s="1">
        <v>228558</v>
      </c>
      <c r="AU27" s="1">
        <v>280061</v>
      </c>
      <c r="AV27" s="116">
        <f t="shared" si="1"/>
        <v>5398179</v>
      </c>
      <c r="AW27" s="1">
        <v>29173</v>
      </c>
      <c r="BC27" s="1">
        <v>373936</v>
      </c>
      <c r="BD27" s="1">
        <v>332863</v>
      </c>
      <c r="BE27" s="1">
        <v>91519</v>
      </c>
      <c r="BF27" s="121">
        <f t="shared" si="2"/>
        <v>827491</v>
      </c>
      <c r="CA27" s="1">
        <v>351</v>
      </c>
      <c r="CC27" s="125">
        <f t="shared" si="3"/>
        <v>351</v>
      </c>
      <c r="CD27" s="1">
        <v>9163</v>
      </c>
      <c r="CK27" s="124">
        <f t="shared" si="4"/>
        <v>9163</v>
      </c>
      <c r="CT27" s="23">
        <v>588316</v>
      </c>
      <c r="CV27" s="129">
        <v>1813275</v>
      </c>
    </row>
    <row r="28" spans="1:100" ht="12.75" customHeight="1">
      <c r="A28" s="1">
        <v>1</v>
      </c>
      <c r="B28" s="1">
        <v>5350</v>
      </c>
      <c r="C28" s="1" t="s">
        <v>1768</v>
      </c>
      <c r="D28" s="5" t="s">
        <v>1542</v>
      </c>
      <c r="E28" t="s">
        <v>536</v>
      </c>
      <c r="F28" s="26">
        <v>947</v>
      </c>
      <c r="G28" s="78">
        <v>15597115</v>
      </c>
      <c r="H28" s="78">
        <v>104111</v>
      </c>
      <c r="O28" s="117">
        <f t="shared" si="0"/>
        <v>15701226</v>
      </c>
      <c r="V28" s="1">
        <v>364427</v>
      </c>
      <c r="W28" s="1">
        <v>608896</v>
      </c>
      <c r="X28" s="1">
        <v>92670</v>
      </c>
      <c r="Y28" s="78">
        <v>100000</v>
      </c>
      <c r="AC28" s="1">
        <v>7724</v>
      </c>
      <c r="AD28" s="1">
        <v>160233</v>
      </c>
      <c r="AE28" s="1">
        <v>51228</v>
      </c>
      <c r="AF28" s="1">
        <v>122147</v>
      </c>
      <c r="AG28" s="1">
        <v>860391</v>
      </c>
      <c r="AH28" s="1">
        <v>487513</v>
      </c>
      <c r="AM28" s="1">
        <v>351801</v>
      </c>
      <c r="AN28" s="1">
        <v>441</v>
      </c>
      <c r="AU28" s="1">
        <v>87075</v>
      </c>
      <c r="AV28" s="116">
        <f t="shared" si="1"/>
        <v>3294546</v>
      </c>
      <c r="AW28" s="1">
        <v>6327</v>
      </c>
      <c r="BC28" s="1">
        <v>439488</v>
      </c>
      <c r="BD28" s="1">
        <v>307288</v>
      </c>
      <c r="BE28" s="1">
        <v>674368</v>
      </c>
      <c r="BF28" s="121">
        <f t="shared" si="2"/>
        <v>1427471</v>
      </c>
      <c r="BG28" s="1">
        <v>144593</v>
      </c>
      <c r="BN28" s="1">
        <v>202611</v>
      </c>
      <c r="CC28" s="125">
        <f t="shared" si="3"/>
        <v>347204</v>
      </c>
      <c r="CK28" s="124">
        <f t="shared" si="4"/>
        <v>0</v>
      </c>
      <c r="CT28" s="23">
        <v>553471</v>
      </c>
      <c r="CV28" s="129">
        <v>2413932</v>
      </c>
    </row>
    <row r="29" spans="1:100" ht="12.75" customHeight="1">
      <c r="A29" s="1">
        <v>1</v>
      </c>
      <c r="B29" s="1">
        <v>5760</v>
      </c>
      <c r="C29" s="1" t="s">
        <v>1768</v>
      </c>
      <c r="D29" s="5" t="s">
        <v>1543</v>
      </c>
      <c r="E29" t="s">
        <v>537</v>
      </c>
      <c r="F29" s="26">
        <v>258</v>
      </c>
      <c r="G29" s="78">
        <v>1631399</v>
      </c>
      <c r="M29" s="1">
        <v>63946</v>
      </c>
      <c r="O29" s="117">
        <f t="shared" si="0"/>
        <v>1695345</v>
      </c>
      <c r="P29" s="78">
        <v>1422519</v>
      </c>
      <c r="V29" s="1">
        <v>189150</v>
      </c>
      <c r="W29" s="1">
        <v>204252</v>
      </c>
      <c r="X29" s="1">
        <v>2336</v>
      </c>
      <c r="Y29" s="78">
        <v>149066</v>
      </c>
      <c r="AD29" s="1">
        <v>39389</v>
      </c>
      <c r="AE29" s="1">
        <v>65023</v>
      </c>
      <c r="AF29" s="1">
        <v>29379</v>
      </c>
      <c r="AG29" s="1">
        <v>183426</v>
      </c>
      <c r="AH29" s="1">
        <v>104043</v>
      </c>
      <c r="AM29" s="1">
        <v>65676</v>
      </c>
      <c r="AP29" s="1">
        <v>70360</v>
      </c>
      <c r="AV29" s="116">
        <f t="shared" si="1"/>
        <v>2524619</v>
      </c>
      <c r="BC29" s="1">
        <v>46174</v>
      </c>
      <c r="BD29" s="1">
        <v>86518</v>
      </c>
      <c r="BE29" s="1">
        <v>52849</v>
      </c>
      <c r="BF29" s="121">
        <f t="shared" si="2"/>
        <v>185541</v>
      </c>
      <c r="BO29" s="1">
        <v>2358</v>
      </c>
      <c r="BP29" s="1">
        <v>38269</v>
      </c>
      <c r="CC29" s="125">
        <f t="shared" si="3"/>
        <v>40627</v>
      </c>
      <c r="CK29" s="124">
        <f t="shared" si="4"/>
        <v>0</v>
      </c>
      <c r="CT29" s="23">
        <v>106502</v>
      </c>
      <c r="CV29" s="129">
        <v>357719</v>
      </c>
    </row>
    <row r="30" spans="1:100" ht="12.75" customHeight="1">
      <c r="A30" s="1">
        <v>3</v>
      </c>
      <c r="B30" s="1">
        <v>40</v>
      </c>
      <c r="C30" s="1" t="s">
        <v>1544</v>
      </c>
      <c r="D30" s="5" t="s">
        <v>1545</v>
      </c>
      <c r="E30" t="s">
        <v>538</v>
      </c>
      <c r="F30" s="26">
        <v>1032</v>
      </c>
      <c r="G30" s="78">
        <v>12025265</v>
      </c>
      <c r="M30" s="1">
        <v>847316</v>
      </c>
      <c r="O30" s="117">
        <f t="shared" si="0"/>
        <v>12872581</v>
      </c>
      <c r="W30" s="1">
        <v>526449</v>
      </c>
      <c r="AC30" s="1">
        <v>162846</v>
      </c>
      <c r="AD30" s="1">
        <v>72221</v>
      </c>
      <c r="AE30" s="1">
        <v>17960</v>
      </c>
      <c r="AG30" s="1">
        <v>939402</v>
      </c>
      <c r="AH30" s="1">
        <v>455185</v>
      </c>
      <c r="AP30" s="1">
        <v>142845</v>
      </c>
      <c r="AV30" s="116">
        <f t="shared" si="1"/>
        <v>2316908</v>
      </c>
      <c r="BD30" s="1">
        <v>166055</v>
      </c>
      <c r="BE30" s="1">
        <v>39362</v>
      </c>
      <c r="BF30" s="121">
        <f t="shared" si="2"/>
        <v>205417</v>
      </c>
      <c r="BI30" s="1">
        <v>203476</v>
      </c>
      <c r="BO30" s="1">
        <v>96334</v>
      </c>
      <c r="BP30" s="1">
        <v>42804</v>
      </c>
      <c r="CA30" s="1">
        <v>184096</v>
      </c>
      <c r="CC30" s="125">
        <f t="shared" si="3"/>
        <v>526710</v>
      </c>
      <c r="CK30" s="124">
        <f t="shared" si="4"/>
        <v>0</v>
      </c>
      <c r="CV30" s="129">
        <v>205417</v>
      </c>
    </row>
    <row r="31" spans="1:100" ht="12.75" customHeight="1">
      <c r="A31" s="1">
        <v>3</v>
      </c>
      <c r="B31" s="1">
        <v>80</v>
      </c>
      <c r="C31" s="1" t="s">
        <v>1544</v>
      </c>
      <c r="D31" s="5" t="s">
        <v>1546</v>
      </c>
      <c r="E31" t="s">
        <v>539</v>
      </c>
      <c r="F31" s="26">
        <v>136</v>
      </c>
      <c r="G31" s="78">
        <v>4660644</v>
      </c>
      <c r="H31" s="78">
        <v>155383</v>
      </c>
      <c r="O31" s="117">
        <f t="shared" si="0"/>
        <v>4816027</v>
      </c>
      <c r="V31" s="1">
        <v>96713</v>
      </c>
      <c r="W31" s="1">
        <v>123868</v>
      </c>
      <c r="X31" s="1">
        <v>5822</v>
      </c>
      <c r="AC31" s="1">
        <v>45117</v>
      </c>
      <c r="AD31" s="1">
        <v>10419</v>
      </c>
      <c r="AE31" s="1">
        <v>7105</v>
      </c>
      <c r="AG31" s="1">
        <v>118188</v>
      </c>
      <c r="AH31" s="1">
        <v>261834</v>
      </c>
      <c r="AI31" s="1">
        <v>4654</v>
      </c>
      <c r="AV31" s="116">
        <f t="shared" si="1"/>
        <v>673720</v>
      </c>
      <c r="BD31" s="1">
        <v>49553</v>
      </c>
      <c r="BE31" s="1">
        <v>6462</v>
      </c>
      <c r="BF31" s="121">
        <f t="shared" si="2"/>
        <v>56015</v>
      </c>
      <c r="BI31" s="1">
        <v>65000</v>
      </c>
      <c r="BO31" s="1">
        <v>8791</v>
      </c>
      <c r="CC31" s="125">
        <f t="shared" si="3"/>
        <v>73791</v>
      </c>
      <c r="CK31" s="124">
        <f t="shared" si="4"/>
        <v>0</v>
      </c>
      <c r="CV31" s="129">
        <v>56015</v>
      </c>
    </row>
    <row r="32" spans="1:100" ht="12.75" customHeight="1">
      <c r="A32" s="1">
        <v>3</v>
      </c>
      <c r="B32" s="1">
        <v>285</v>
      </c>
      <c r="C32" s="1" t="s">
        <v>1544</v>
      </c>
      <c r="D32" s="5" t="s">
        <v>1547</v>
      </c>
      <c r="E32" t="s">
        <v>540</v>
      </c>
      <c r="F32" s="26">
        <v>1025</v>
      </c>
      <c r="H32" s="78">
        <v>928679</v>
      </c>
      <c r="I32" s="1">
        <v>5766582</v>
      </c>
      <c r="O32" s="117">
        <f t="shared" si="0"/>
        <v>6695261</v>
      </c>
      <c r="AG32" s="1">
        <v>2430667</v>
      </c>
      <c r="AH32" s="1">
        <v>1996751</v>
      </c>
      <c r="AT32" s="1">
        <v>712658</v>
      </c>
      <c r="AU32" s="1">
        <v>8621435</v>
      </c>
      <c r="AV32" s="116">
        <f t="shared" si="1"/>
        <v>13761511</v>
      </c>
      <c r="AW32" s="1">
        <v>289131</v>
      </c>
      <c r="BE32" s="1">
        <v>149901</v>
      </c>
      <c r="BF32" s="121">
        <f t="shared" si="2"/>
        <v>439032</v>
      </c>
      <c r="BL32" s="1">
        <v>1117160</v>
      </c>
      <c r="CB32" s="1">
        <v>2421390</v>
      </c>
      <c r="CC32" s="125">
        <f t="shared" si="3"/>
        <v>3538550</v>
      </c>
      <c r="CF32" s="1">
        <v>37970599</v>
      </c>
      <c r="CK32" s="124">
        <f t="shared" si="4"/>
        <v>37970599</v>
      </c>
      <c r="CV32" s="129">
        <v>8771336</v>
      </c>
    </row>
    <row r="33" spans="1:100" ht="12.75" customHeight="1">
      <c r="A33" s="1">
        <v>3</v>
      </c>
      <c r="B33" s="1">
        <v>290</v>
      </c>
      <c r="C33" s="1" t="s">
        <v>1544</v>
      </c>
      <c r="D33" s="5" t="s">
        <v>1548</v>
      </c>
      <c r="E33" t="s">
        <v>541</v>
      </c>
      <c r="F33" s="26">
        <v>2089</v>
      </c>
      <c r="H33" s="78">
        <v>658561</v>
      </c>
      <c r="I33" s="1">
        <v>22567423</v>
      </c>
      <c r="L33" s="1">
        <v>33387</v>
      </c>
      <c r="O33" s="117">
        <f t="shared" si="0"/>
        <v>23259371</v>
      </c>
      <c r="W33" s="1">
        <v>1994976</v>
      </c>
      <c r="AA33" s="1">
        <v>3987002</v>
      </c>
      <c r="AD33" s="1">
        <v>254112</v>
      </c>
      <c r="AE33" s="1">
        <v>191334</v>
      </c>
      <c r="AF33" s="1">
        <v>114052</v>
      </c>
      <c r="AG33" s="1">
        <v>2839675</v>
      </c>
      <c r="AH33" s="1">
        <v>1538392</v>
      </c>
      <c r="AJ33" s="1">
        <v>12588</v>
      </c>
      <c r="AM33" s="1">
        <v>65024</v>
      </c>
      <c r="AO33" s="1">
        <v>50546</v>
      </c>
      <c r="AT33" s="1">
        <v>1267093</v>
      </c>
      <c r="AU33" s="1">
        <v>2296065</v>
      </c>
      <c r="AV33" s="116">
        <f t="shared" si="1"/>
        <v>14610859</v>
      </c>
      <c r="AW33" s="1">
        <v>1564</v>
      </c>
      <c r="BC33" s="1">
        <v>109066</v>
      </c>
      <c r="BD33" s="1">
        <v>449358</v>
      </c>
      <c r="BE33" s="1">
        <v>6400215</v>
      </c>
      <c r="BF33" s="121">
        <f t="shared" si="2"/>
        <v>6960203</v>
      </c>
      <c r="CB33" s="1">
        <v>6349545</v>
      </c>
      <c r="CC33" s="125">
        <f t="shared" si="3"/>
        <v>6349545</v>
      </c>
      <c r="CF33" s="1">
        <v>19420463</v>
      </c>
      <c r="CK33" s="124">
        <f t="shared" si="4"/>
        <v>19420463</v>
      </c>
      <c r="CR33" s="23">
        <v>705960</v>
      </c>
      <c r="CV33" s="129">
        <v>10122209</v>
      </c>
    </row>
    <row r="34" spans="1:100" ht="12.75" customHeight="1">
      <c r="A34" s="1">
        <v>3</v>
      </c>
      <c r="B34" s="1">
        <v>300</v>
      </c>
      <c r="C34" s="1" t="s">
        <v>1544</v>
      </c>
      <c r="D34" s="5" t="s">
        <v>1549</v>
      </c>
      <c r="E34" t="s">
        <v>542</v>
      </c>
      <c r="F34" s="26">
        <v>3619</v>
      </c>
      <c r="G34" s="78">
        <v>39876425</v>
      </c>
      <c r="H34" s="78">
        <v>160847</v>
      </c>
      <c r="L34" s="1">
        <v>15827</v>
      </c>
      <c r="O34" s="117">
        <f t="shared" si="0"/>
        <v>40053099</v>
      </c>
      <c r="P34" s="78">
        <v>4868281</v>
      </c>
      <c r="V34" s="1">
        <v>536398</v>
      </c>
      <c r="W34" s="1">
        <v>4311809</v>
      </c>
      <c r="X34" s="1">
        <v>256852</v>
      </c>
      <c r="AC34" s="1">
        <v>546454</v>
      </c>
      <c r="AD34" s="1">
        <v>443255</v>
      </c>
      <c r="AF34" s="1">
        <v>4550</v>
      </c>
      <c r="AG34" s="1">
        <v>3890150</v>
      </c>
      <c r="AH34" s="1">
        <v>1703206</v>
      </c>
      <c r="AM34" s="1">
        <v>107327</v>
      </c>
      <c r="AO34" s="1">
        <v>16999</v>
      </c>
      <c r="AU34" s="1">
        <v>207490</v>
      </c>
      <c r="AV34" s="116">
        <f t="shared" si="1"/>
        <v>16892771</v>
      </c>
      <c r="BC34" s="1">
        <v>157200</v>
      </c>
      <c r="BD34" s="1">
        <v>840891</v>
      </c>
      <c r="BE34" s="1">
        <v>591920</v>
      </c>
      <c r="BF34" s="121">
        <f t="shared" si="2"/>
        <v>1590011</v>
      </c>
      <c r="BN34" s="1">
        <v>37909</v>
      </c>
      <c r="CC34" s="125">
        <f t="shared" si="3"/>
        <v>37909</v>
      </c>
      <c r="CD34" s="1">
        <v>446821</v>
      </c>
      <c r="CK34" s="124">
        <f t="shared" si="4"/>
        <v>446821</v>
      </c>
      <c r="CV34" s="129">
        <v>1937654</v>
      </c>
    </row>
    <row r="35" spans="1:100" ht="12.75" customHeight="1">
      <c r="A35" s="1">
        <v>3</v>
      </c>
      <c r="B35" s="1">
        <v>440</v>
      </c>
      <c r="C35" s="1" t="s">
        <v>1544</v>
      </c>
      <c r="D35" s="5" t="s">
        <v>1550</v>
      </c>
      <c r="E35" t="s">
        <v>543</v>
      </c>
      <c r="F35" s="26">
        <v>1182</v>
      </c>
      <c r="G35" s="78">
        <v>10238743</v>
      </c>
      <c r="H35" s="78">
        <v>15478</v>
      </c>
      <c r="M35" s="1">
        <v>576161</v>
      </c>
      <c r="O35" s="117">
        <f t="shared" si="0"/>
        <v>10830382</v>
      </c>
      <c r="P35" s="78">
        <v>2138184</v>
      </c>
      <c r="V35" s="1">
        <v>93884</v>
      </c>
      <c r="W35" s="1">
        <v>746584</v>
      </c>
      <c r="X35" s="1">
        <v>64168</v>
      </c>
      <c r="Y35" s="78">
        <v>848968</v>
      </c>
      <c r="AC35" s="1">
        <v>81967</v>
      </c>
      <c r="AD35" s="1">
        <v>120692</v>
      </c>
      <c r="AE35" s="1">
        <v>121658</v>
      </c>
      <c r="AF35" s="1">
        <v>1300</v>
      </c>
      <c r="AG35" s="1">
        <v>1001031</v>
      </c>
      <c r="AH35" s="1">
        <v>493396</v>
      </c>
      <c r="AO35" s="1">
        <v>42780</v>
      </c>
      <c r="AP35" s="1">
        <v>13229</v>
      </c>
      <c r="AT35" s="1">
        <v>48258</v>
      </c>
      <c r="AU35" s="1">
        <v>136148</v>
      </c>
      <c r="AV35" s="116">
        <f t="shared" si="1"/>
        <v>5952247</v>
      </c>
      <c r="BC35" s="1">
        <v>204753</v>
      </c>
      <c r="BD35" s="1">
        <v>273462</v>
      </c>
      <c r="BE35" s="1">
        <v>52104</v>
      </c>
      <c r="BF35" s="121">
        <f t="shared" si="2"/>
        <v>530319</v>
      </c>
      <c r="BO35" s="1">
        <v>3288</v>
      </c>
      <c r="BP35" s="1">
        <v>76664</v>
      </c>
      <c r="CC35" s="125">
        <f t="shared" si="3"/>
        <v>79952</v>
      </c>
      <c r="CD35" s="1">
        <v>153063</v>
      </c>
      <c r="CK35" s="124">
        <f t="shared" si="4"/>
        <v>153063</v>
      </c>
      <c r="CV35" s="129">
        <v>709247</v>
      </c>
    </row>
    <row r="36" spans="1:100" ht="12.75" customHeight="1">
      <c r="A36" s="1">
        <v>3</v>
      </c>
      <c r="B36" s="1">
        <v>740</v>
      </c>
      <c r="C36" s="1" t="s">
        <v>1544</v>
      </c>
      <c r="D36" s="5" t="s">
        <v>1551</v>
      </c>
      <c r="E36" t="s">
        <v>544</v>
      </c>
      <c r="F36" s="26">
        <v>549.5</v>
      </c>
      <c r="G36" s="78">
        <v>7349150</v>
      </c>
      <c r="H36" s="78">
        <v>51799</v>
      </c>
      <c r="L36" s="1">
        <v>5912</v>
      </c>
      <c r="M36" s="1">
        <v>1533835</v>
      </c>
      <c r="O36" s="117">
        <f t="shared" si="0"/>
        <v>8940696</v>
      </c>
      <c r="V36" s="1">
        <v>42654</v>
      </c>
      <c r="W36" s="1">
        <v>277899</v>
      </c>
      <c r="X36" s="1">
        <v>34896</v>
      </c>
      <c r="AC36" s="1">
        <v>15795</v>
      </c>
      <c r="AD36" s="1">
        <v>53873</v>
      </c>
      <c r="AE36" s="1">
        <v>12280</v>
      </c>
      <c r="AG36" s="1">
        <v>570464</v>
      </c>
      <c r="AH36" s="1">
        <v>301675</v>
      </c>
      <c r="AT36" s="1">
        <v>4161716</v>
      </c>
      <c r="AU36" s="1">
        <v>2162</v>
      </c>
      <c r="AV36" s="116">
        <f t="shared" si="1"/>
        <v>5473414</v>
      </c>
      <c r="BC36" s="1">
        <v>25722</v>
      </c>
      <c r="BD36" s="1">
        <v>126210</v>
      </c>
      <c r="BE36" s="1">
        <v>18893</v>
      </c>
      <c r="BF36" s="121">
        <f t="shared" si="2"/>
        <v>170825</v>
      </c>
      <c r="BG36" s="1">
        <v>72132</v>
      </c>
      <c r="CA36" s="1">
        <v>192846</v>
      </c>
      <c r="CC36" s="125">
        <f t="shared" si="3"/>
        <v>264978</v>
      </c>
      <c r="CK36" s="124">
        <f t="shared" si="4"/>
        <v>0</v>
      </c>
      <c r="CV36" s="129">
        <v>178899</v>
      </c>
    </row>
    <row r="37" spans="1:100" ht="12.75" customHeight="1">
      <c r="A37" s="1">
        <v>3</v>
      </c>
      <c r="B37" s="1">
        <v>745</v>
      </c>
      <c r="C37" s="1" t="s">
        <v>1544</v>
      </c>
      <c r="D37" s="5" t="s">
        <v>1552</v>
      </c>
      <c r="E37" t="s">
        <v>545</v>
      </c>
      <c r="F37" s="26">
        <v>522.5</v>
      </c>
      <c r="G37" s="78">
        <v>9850324</v>
      </c>
      <c r="H37" s="78">
        <v>208302</v>
      </c>
      <c r="O37" s="117">
        <f t="shared" si="0"/>
        <v>10058626</v>
      </c>
      <c r="V37" s="1">
        <v>79978</v>
      </c>
      <c r="W37" s="1">
        <v>155683</v>
      </c>
      <c r="X37" s="1">
        <v>43144</v>
      </c>
      <c r="Y37" s="78">
        <v>130865</v>
      </c>
      <c r="AC37" s="1">
        <v>38250</v>
      </c>
      <c r="AD37" s="1">
        <v>60127</v>
      </c>
      <c r="AE37" s="1">
        <v>14180</v>
      </c>
      <c r="AF37" s="1">
        <v>36584</v>
      </c>
      <c r="AG37" s="1">
        <v>635576</v>
      </c>
      <c r="AH37" s="1">
        <v>300644</v>
      </c>
      <c r="AO37" s="1">
        <v>5355</v>
      </c>
      <c r="AV37" s="116">
        <f t="shared" si="1"/>
        <v>1500386</v>
      </c>
      <c r="BC37" s="1">
        <v>63360</v>
      </c>
      <c r="BD37" s="1">
        <v>109403</v>
      </c>
      <c r="BE37" s="1">
        <v>28203</v>
      </c>
      <c r="BF37" s="121">
        <f t="shared" si="2"/>
        <v>200966</v>
      </c>
      <c r="BO37" s="1">
        <v>1819</v>
      </c>
      <c r="BP37" s="1">
        <v>5287</v>
      </c>
      <c r="CA37" s="1">
        <v>44396</v>
      </c>
      <c r="CC37" s="125">
        <f t="shared" si="3"/>
        <v>51502</v>
      </c>
      <c r="CK37" s="124">
        <f t="shared" si="4"/>
        <v>0</v>
      </c>
      <c r="CV37" s="129">
        <v>206321</v>
      </c>
    </row>
    <row r="38" spans="1:100" ht="12.75" customHeight="1">
      <c r="A38" s="1">
        <v>3</v>
      </c>
      <c r="B38" s="1">
        <v>890</v>
      </c>
      <c r="C38" s="1" t="s">
        <v>1544</v>
      </c>
      <c r="D38" s="5" t="s">
        <v>1553</v>
      </c>
      <c r="E38" t="s">
        <v>546</v>
      </c>
      <c r="F38" s="26">
        <v>2617</v>
      </c>
      <c r="G38" s="78">
        <v>23525325</v>
      </c>
      <c r="M38" s="1">
        <v>441357</v>
      </c>
      <c r="O38" s="117">
        <f t="shared" si="0"/>
        <v>23966682</v>
      </c>
      <c r="V38" s="1">
        <v>137025</v>
      </c>
      <c r="W38" s="1">
        <v>1172210</v>
      </c>
      <c r="X38" s="1">
        <v>405044</v>
      </c>
      <c r="AC38" s="1">
        <v>89578</v>
      </c>
      <c r="AD38" s="1">
        <v>237544</v>
      </c>
      <c r="AE38" s="1">
        <v>110346</v>
      </c>
      <c r="AF38" s="1">
        <v>317247</v>
      </c>
      <c r="AG38" s="1">
        <v>2136593</v>
      </c>
      <c r="AH38" s="1">
        <v>1148715</v>
      </c>
      <c r="AJ38" s="1">
        <v>88195</v>
      </c>
      <c r="AM38" s="1">
        <v>499388</v>
      </c>
      <c r="AP38" s="1">
        <v>5667</v>
      </c>
      <c r="AU38" s="1">
        <v>151704</v>
      </c>
      <c r="AV38" s="116">
        <f t="shared" si="1"/>
        <v>6499256</v>
      </c>
      <c r="BC38" s="1">
        <v>412083</v>
      </c>
      <c r="BD38" s="1">
        <v>524366</v>
      </c>
      <c r="BE38" s="1">
        <v>709642</v>
      </c>
      <c r="BF38" s="121">
        <f t="shared" si="2"/>
        <v>1646091</v>
      </c>
      <c r="BG38" s="1">
        <v>166673</v>
      </c>
      <c r="BI38" s="1">
        <v>4993919</v>
      </c>
      <c r="BN38" s="1">
        <v>16200</v>
      </c>
      <c r="BO38" s="1">
        <v>188266</v>
      </c>
      <c r="BP38" s="1">
        <v>393027</v>
      </c>
      <c r="BX38" s="1">
        <v>95860</v>
      </c>
      <c r="CC38" s="125">
        <f t="shared" si="3"/>
        <v>5853945</v>
      </c>
      <c r="CK38" s="124">
        <f t="shared" si="4"/>
        <v>0</v>
      </c>
      <c r="CQ38" s="23">
        <v>10552</v>
      </c>
      <c r="CT38" s="23">
        <v>1226989</v>
      </c>
      <c r="CV38" s="129">
        <v>3622919</v>
      </c>
    </row>
    <row r="39" spans="1:100" ht="12.75" customHeight="1">
      <c r="A39" s="1">
        <v>3</v>
      </c>
      <c r="B39" s="1">
        <v>930</v>
      </c>
      <c r="C39" s="1" t="s">
        <v>1544</v>
      </c>
      <c r="D39" s="5" t="s">
        <v>1554</v>
      </c>
      <c r="E39" t="s">
        <v>547</v>
      </c>
      <c r="F39" s="26">
        <v>1183</v>
      </c>
      <c r="G39" s="78">
        <v>13720585</v>
      </c>
      <c r="H39" s="78">
        <v>99983</v>
      </c>
      <c r="L39" s="1">
        <v>2488</v>
      </c>
      <c r="M39" s="1">
        <v>1022877</v>
      </c>
      <c r="O39" s="117">
        <f t="shared" si="0"/>
        <v>14845933</v>
      </c>
      <c r="W39" s="1">
        <v>560979</v>
      </c>
      <c r="AC39" s="1">
        <v>64189</v>
      </c>
      <c r="AD39" s="1">
        <v>75446</v>
      </c>
      <c r="AE39" s="1">
        <v>19093</v>
      </c>
      <c r="AF39" s="1">
        <v>9407</v>
      </c>
      <c r="AG39" s="1">
        <v>1100971</v>
      </c>
      <c r="AH39" s="1">
        <v>612178</v>
      </c>
      <c r="AT39" s="1">
        <v>16777</v>
      </c>
      <c r="AU39" s="1">
        <v>31530</v>
      </c>
      <c r="AV39" s="116">
        <f t="shared" si="1"/>
        <v>2490570</v>
      </c>
      <c r="BD39" s="1">
        <v>232295</v>
      </c>
      <c r="BF39" s="121">
        <f t="shared" si="2"/>
        <v>232295</v>
      </c>
      <c r="BO39" s="1">
        <v>4463</v>
      </c>
      <c r="CA39" s="1">
        <v>2226</v>
      </c>
      <c r="CC39" s="125">
        <f t="shared" si="3"/>
        <v>6689</v>
      </c>
      <c r="CD39" s="1">
        <v>75673</v>
      </c>
      <c r="CK39" s="124">
        <f t="shared" si="4"/>
        <v>75673</v>
      </c>
      <c r="CV39" s="129">
        <v>266313</v>
      </c>
    </row>
    <row r="40" spans="1:100" ht="12.75" customHeight="1">
      <c r="A40" s="1">
        <v>3</v>
      </c>
      <c r="B40" s="1">
        <v>990</v>
      </c>
      <c r="C40" s="1" t="s">
        <v>1544</v>
      </c>
      <c r="D40" s="5" t="s">
        <v>1555</v>
      </c>
      <c r="E40" t="s">
        <v>549</v>
      </c>
      <c r="F40" s="26">
        <v>1741</v>
      </c>
      <c r="G40" s="78">
        <v>18521666</v>
      </c>
      <c r="H40" s="78">
        <v>127890</v>
      </c>
      <c r="L40" s="1">
        <v>186879</v>
      </c>
      <c r="M40" s="1">
        <v>1623773</v>
      </c>
      <c r="O40" s="117">
        <f t="shared" si="0"/>
        <v>20460208</v>
      </c>
      <c r="W40" s="1">
        <v>803849</v>
      </c>
      <c r="AC40" s="1">
        <v>78920</v>
      </c>
      <c r="AD40" s="1">
        <v>97137</v>
      </c>
      <c r="AE40" s="1">
        <v>27030</v>
      </c>
      <c r="AF40" s="1">
        <v>116977</v>
      </c>
      <c r="AG40" s="1">
        <v>1424359</v>
      </c>
      <c r="AH40" s="1">
        <v>811488</v>
      </c>
      <c r="AP40" s="1">
        <v>43946</v>
      </c>
      <c r="AT40" s="1">
        <v>9435543</v>
      </c>
      <c r="AU40" s="1">
        <v>81572</v>
      </c>
      <c r="AV40" s="116">
        <f t="shared" si="1"/>
        <v>12920821</v>
      </c>
      <c r="BD40" s="1">
        <v>289457</v>
      </c>
      <c r="BE40" s="1">
        <v>51222</v>
      </c>
      <c r="BF40" s="121">
        <f t="shared" si="2"/>
        <v>340679</v>
      </c>
      <c r="BG40" s="1">
        <v>280023</v>
      </c>
      <c r="BI40" s="1">
        <v>206500</v>
      </c>
      <c r="BO40" s="1">
        <v>7000</v>
      </c>
      <c r="BR40" s="1">
        <v>4308</v>
      </c>
      <c r="CA40" s="1">
        <v>544349</v>
      </c>
      <c r="CC40" s="125">
        <f t="shared" si="3"/>
        <v>1042180</v>
      </c>
      <c r="CD40" s="1">
        <v>85949</v>
      </c>
      <c r="CK40" s="124">
        <f t="shared" si="4"/>
        <v>85949</v>
      </c>
      <c r="CV40" s="129">
        <v>609130</v>
      </c>
    </row>
    <row r="41" spans="1:100" ht="12.75" customHeight="1">
      <c r="A41" s="1">
        <v>3</v>
      </c>
      <c r="B41" s="1">
        <v>1070</v>
      </c>
      <c r="C41" s="1" t="s">
        <v>1544</v>
      </c>
      <c r="D41" s="5" t="s">
        <v>1556</v>
      </c>
      <c r="E41" t="s">
        <v>550</v>
      </c>
      <c r="F41" s="26">
        <v>708</v>
      </c>
      <c r="G41" s="78">
        <v>9893854</v>
      </c>
      <c r="H41" s="78">
        <v>167411</v>
      </c>
      <c r="M41" s="1">
        <v>649950</v>
      </c>
      <c r="O41" s="117">
        <f t="shared" si="0"/>
        <v>10711215</v>
      </c>
      <c r="W41" s="1">
        <v>463656</v>
      </c>
      <c r="AC41" s="1">
        <v>47131</v>
      </c>
      <c r="AD41" s="1">
        <v>48318</v>
      </c>
      <c r="AE41" s="1">
        <v>15359</v>
      </c>
      <c r="AF41" s="1">
        <v>3931</v>
      </c>
      <c r="AG41" s="1">
        <v>582754</v>
      </c>
      <c r="AH41" s="1">
        <v>338624</v>
      </c>
      <c r="AU41" s="1">
        <v>95513</v>
      </c>
      <c r="AV41" s="116">
        <f t="shared" si="1"/>
        <v>1595286</v>
      </c>
      <c r="BD41" s="1">
        <v>233493</v>
      </c>
      <c r="BF41" s="121">
        <f t="shared" si="2"/>
        <v>233493</v>
      </c>
      <c r="CC41" s="125">
        <f t="shared" si="3"/>
        <v>0</v>
      </c>
      <c r="CD41" s="1">
        <v>56662</v>
      </c>
      <c r="CK41" s="124">
        <f t="shared" si="4"/>
        <v>56662</v>
      </c>
      <c r="CV41" s="129">
        <v>329006</v>
      </c>
    </row>
    <row r="42" spans="1:100" ht="12.75" customHeight="1">
      <c r="A42" s="1">
        <v>3</v>
      </c>
      <c r="B42" s="1">
        <v>1130</v>
      </c>
      <c r="C42" s="1" t="s">
        <v>1544</v>
      </c>
      <c r="D42" s="5" t="s">
        <v>1557</v>
      </c>
      <c r="E42" t="s">
        <v>551</v>
      </c>
      <c r="F42" s="26">
        <v>2678.5</v>
      </c>
      <c r="G42" s="78">
        <v>27173953</v>
      </c>
      <c r="H42" s="78">
        <v>322978</v>
      </c>
      <c r="M42" s="1">
        <v>1397488</v>
      </c>
      <c r="O42" s="117">
        <f t="shared" si="0"/>
        <v>28894419</v>
      </c>
      <c r="P42" s="78">
        <v>4728390</v>
      </c>
      <c r="V42" s="1">
        <v>246326</v>
      </c>
      <c r="W42" s="1">
        <v>1467804</v>
      </c>
      <c r="X42" s="1">
        <v>134176</v>
      </c>
      <c r="AC42" s="1">
        <v>173399</v>
      </c>
      <c r="AD42" s="1">
        <v>304583</v>
      </c>
      <c r="AE42" s="1">
        <v>206438</v>
      </c>
      <c r="AF42" s="1">
        <v>4225</v>
      </c>
      <c r="AG42" s="1">
        <v>2764116</v>
      </c>
      <c r="AH42" s="1">
        <v>1381865</v>
      </c>
      <c r="AV42" s="116">
        <f t="shared" si="1"/>
        <v>11411322</v>
      </c>
      <c r="BC42" s="1">
        <v>75238</v>
      </c>
      <c r="BD42" s="1">
        <v>521027</v>
      </c>
      <c r="BE42" s="1">
        <v>109524</v>
      </c>
      <c r="BF42" s="121">
        <f t="shared" si="2"/>
        <v>705789</v>
      </c>
      <c r="BG42" s="1">
        <v>120747</v>
      </c>
      <c r="BI42" s="1">
        <v>18433</v>
      </c>
      <c r="CC42" s="125">
        <f t="shared" si="3"/>
        <v>139180</v>
      </c>
      <c r="CK42" s="124">
        <f t="shared" si="4"/>
        <v>0</v>
      </c>
      <c r="CV42" s="129">
        <v>705789</v>
      </c>
    </row>
    <row r="43" spans="1:100" ht="12.75" customHeight="1">
      <c r="A43" s="1">
        <v>3</v>
      </c>
      <c r="B43" s="1">
        <v>1230</v>
      </c>
      <c r="C43" s="1" t="s">
        <v>1544</v>
      </c>
      <c r="D43" s="5" t="s">
        <v>1558</v>
      </c>
      <c r="E43" t="s">
        <v>552</v>
      </c>
      <c r="F43" s="26">
        <v>730</v>
      </c>
      <c r="G43" s="78">
        <v>10337154</v>
      </c>
      <c r="H43" s="78">
        <v>120348</v>
      </c>
      <c r="L43" s="1">
        <v>1743</v>
      </c>
      <c r="M43" s="1">
        <v>661590</v>
      </c>
      <c r="O43" s="117">
        <f t="shared" si="0"/>
        <v>11120835</v>
      </c>
      <c r="V43" s="1">
        <v>53200</v>
      </c>
      <c r="W43" s="1">
        <v>473935</v>
      </c>
      <c r="X43" s="1">
        <v>70873</v>
      </c>
      <c r="AC43" s="1">
        <v>14583</v>
      </c>
      <c r="AD43" s="1">
        <v>78779</v>
      </c>
      <c r="AE43" s="1">
        <v>22928</v>
      </c>
      <c r="AG43" s="1">
        <v>757665</v>
      </c>
      <c r="AH43" s="1">
        <v>483932</v>
      </c>
      <c r="AM43" s="1">
        <v>63372</v>
      </c>
      <c r="AO43" s="1">
        <v>24117</v>
      </c>
      <c r="AU43" s="1">
        <v>125477</v>
      </c>
      <c r="AV43" s="116">
        <f t="shared" si="1"/>
        <v>2168861</v>
      </c>
      <c r="BC43" s="1">
        <v>136359</v>
      </c>
      <c r="BD43" s="1">
        <v>192525</v>
      </c>
      <c r="BE43" s="1">
        <v>77847</v>
      </c>
      <c r="BF43" s="121">
        <f t="shared" si="2"/>
        <v>406731</v>
      </c>
      <c r="CA43" s="1">
        <v>12204</v>
      </c>
      <c r="CB43" s="1">
        <v>48264</v>
      </c>
      <c r="CC43" s="125">
        <f t="shared" si="3"/>
        <v>60468</v>
      </c>
      <c r="CK43" s="124">
        <f t="shared" si="4"/>
        <v>0</v>
      </c>
      <c r="CV43" s="129">
        <v>621440</v>
      </c>
    </row>
    <row r="44" spans="1:100" ht="12.75" customHeight="1">
      <c r="A44" s="1">
        <v>3</v>
      </c>
      <c r="B44" s="1">
        <v>1270</v>
      </c>
      <c r="C44" s="1" t="s">
        <v>1544</v>
      </c>
      <c r="D44" s="5" t="s">
        <v>1559</v>
      </c>
      <c r="E44" t="s">
        <v>553</v>
      </c>
      <c r="F44" s="26">
        <v>424</v>
      </c>
      <c r="G44" s="78">
        <v>10863869</v>
      </c>
      <c r="H44" s="78">
        <v>71497</v>
      </c>
      <c r="M44" s="1">
        <v>695876</v>
      </c>
      <c r="O44" s="117">
        <f t="shared" si="0"/>
        <v>11631242</v>
      </c>
      <c r="V44" s="1">
        <v>156041</v>
      </c>
      <c r="W44" s="1">
        <v>426795</v>
      </c>
      <c r="X44" s="1">
        <v>96584</v>
      </c>
      <c r="AC44" s="1">
        <v>102244</v>
      </c>
      <c r="AD44" s="1">
        <v>69782</v>
      </c>
      <c r="AE44" s="1">
        <v>30853</v>
      </c>
      <c r="AF44" s="1">
        <v>51464</v>
      </c>
      <c r="AG44" s="1">
        <v>382102</v>
      </c>
      <c r="AH44" s="1">
        <v>218033</v>
      </c>
      <c r="AM44" s="1">
        <v>112399</v>
      </c>
      <c r="AU44" s="1">
        <v>20583</v>
      </c>
      <c r="AV44" s="116">
        <f t="shared" si="1"/>
        <v>1666880</v>
      </c>
      <c r="BC44" s="1">
        <v>95651</v>
      </c>
      <c r="BD44" s="1">
        <v>104604</v>
      </c>
      <c r="BE44" s="1">
        <v>36206</v>
      </c>
      <c r="BF44" s="121">
        <f t="shared" si="2"/>
        <v>236461</v>
      </c>
      <c r="BH44" s="1">
        <v>32040</v>
      </c>
      <c r="BO44" s="1">
        <v>22829</v>
      </c>
      <c r="CA44" s="1">
        <v>60875</v>
      </c>
      <c r="CC44" s="125">
        <f t="shared" si="3"/>
        <v>115744</v>
      </c>
      <c r="CK44" s="124">
        <f t="shared" si="4"/>
        <v>0</v>
      </c>
      <c r="CT44" s="23">
        <v>158498</v>
      </c>
      <c r="CV44" s="129">
        <v>527941</v>
      </c>
    </row>
    <row r="45" spans="1:100" ht="12.75" customHeight="1">
      <c r="A45" s="1">
        <v>3</v>
      </c>
      <c r="B45" s="1">
        <v>1345</v>
      </c>
      <c r="C45" s="1" t="s">
        <v>1544</v>
      </c>
      <c r="D45" s="5" t="s">
        <v>1560</v>
      </c>
      <c r="E45" t="s">
        <v>554</v>
      </c>
      <c r="F45" s="26">
        <v>2142</v>
      </c>
      <c r="G45" s="78">
        <v>23573986</v>
      </c>
      <c r="H45" s="78">
        <v>250916</v>
      </c>
      <c r="L45" s="1">
        <v>442</v>
      </c>
      <c r="M45" s="1">
        <v>1462374</v>
      </c>
      <c r="O45" s="117">
        <f t="shared" si="0"/>
        <v>25287718</v>
      </c>
      <c r="W45" s="1">
        <v>1670708</v>
      </c>
      <c r="X45" s="1">
        <v>44742</v>
      </c>
      <c r="AC45" s="1">
        <v>164008</v>
      </c>
      <c r="AD45" s="1">
        <v>233813</v>
      </c>
      <c r="AE45" s="1">
        <v>61470</v>
      </c>
      <c r="AF45" s="1">
        <v>25411</v>
      </c>
      <c r="AG45" s="1">
        <v>1790711</v>
      </c>
      <c r="AH45" s="1">
        <v>704203</v>
      </c>
      <c r="AO45" s="1">
        <v>99740</v>
      </c>
      <c r="AU45" s="1">
        <v>317417</v>
      </c>
      <c r="AV45" s="116">
        <f t="shared" si="1"/>
        <v>5112223</v>
      </c>
      <c r="BC45" s="1">
        <v>281717</v>
      </c>
      <c r="BD45" s="1">
        <v>538274</v>
      </c>
      <c r="BE45" s="1">
        <v>103195</v>
      </c>
      <c r="BF45" s="121">
        <f t="shared" si="2"/>
        <v>923186</v>
      </c>
      <c r="CA45" s="1">
        <v>96976</v>
      </c>
      <c r="CC45" s="125">
        <f t="shared" si="3"/>
        <v>96976</v>
      </c>
      <c r="CK45" s="124">
        <f t="shared" si="4"/>
        <v>0</v>
      </c>
      <c r="CV45" s="129">
        <v>1340785</v>
      </c>
    </row>
    <row r="46" spans="1:100" ht="12.75" customHeight="1">
      <c r="A46" s="1">
        <v>3</v>
      </c>
      <c r="B46" s="1">
        <v>1360</v>
      </c>
      <c r="C46" s="1" t="s">
        <v>1544</v>
      </c>
      <c r="D46" s="5" t="s">
        <v>1561</v>
      </c>
      <c r="E46" t="s">
        <v>555</v>
      </c>
      <c r="F46" s="26">
        <v>1168</v>
      </c>
      <c r="G46" s="78">
        <v>13943163</v>
      </c>
      <c r="H46" s="78">
        <v>430504</v>
      </c>
      <c r="K46" s="1">
        <v>315852</v>
      </c>
      <c r="M46" s="1">
        <v>541898</v>
      </c>
      <c r="O46" s="117">
        <f t="shared" si="0"/>
        <v>15231417</v>
      </c>
      <c r="W46" s="1">
        <v>678512</v>
      </c>
      <c r="X46" s="1">
        <v>9200</v>
      </c>
      <c r="AC46" s="1">
        <v>134187</v>
      </c>
      <c r="AG46" s="1">
        <v>1204110</v>
      </c>
      <c r="AH46" s="1">
        <v>486497</v>
      </c>
      <c r="AU46" s="1">
        <v>63269</v>
      </c>
      <c r="AV46" s="116">
        <f t="shared" si="1"/>
        <v>2575775</v>
      </c>
      <c r="BD46" s="1">
        <v>222247</v>
      </c>
      <c r="BE46" s="1">
        <v>43417</v>
      </c>
      <c r="BF46" s="121">
        <f t="shared" si="2"/>
        <v>265664</v>
      </c>
      <c r="CC46" s="125">
        <f t="shared" si="3"/>
        <v>0</v>
      </c>
      <c r="CD46" s="1">
        <v>206773</v>
      </c>
      <c r="CK46" s="124">
        <f t="shared" si="4"/>
        <v>206773</v>
      </c>
      <c r="CV46" s="129">
        <v>328933</v>
      </c>
    </row>
    <row r="47" spans="1:100" ht="12.75" customHeight="1">
      <c r="A47" s="1">
        <v>3</v>
      </c>
      <c r="B47" s="1">
        <v>1370</v>
      </c>
      <c r="C47" s="1" t="s">
        <v>1544</v>
      </c>
      <c r="D47" s="5" t="s">
        <v>1562</v>
      </c>
      <c r="E47" t="s">
        <v>556</v>
      </c>
      <c r="F47" s="26">
        <v>2693.5</v>
      </c>
      <c r="G47" s="78">
        <v>40600443</v>
      </c>
      <c r="H47" s="78">
        <v>2691799</v>
      </c>
      <c r="L47" s="1">
        <v>14073</v>
      </c>
      <c r="M47" s="1">
        <v>2358026</v>
      </c>
      <c r="O47" s="117">
        <f t="shared" si="0"/>
        <v>45664341</v>
      </c>
      <c r="R47" s="1">
        <v>2373900</v>
      </c>
      <c r="V47" s="1">
        <v>736241</v>
      </c>
      <c r="W47" s="1">
        <v>2503994</v>
      </c>
      <c r="X47" s="1">
        <v>295918</v>
      </c>
      <c r="Y47" s="78">
        <v>103107</v>
      </c>
      <c r="AC47" s="1">
        <v>261295</v>
      </c>
      <c r="AD47" s="1">
        <v>314787</v>
      </c>
      <c r="AE47" s="1">
        <v>249444</v>
      </c>
      <c r="AF47" s="1">
        <v>4264290</v>
      </c>
      <c r="AG47" s="1">
        <v>3158978</v>
      </c>
      <c r="AH47" s="1">
        <v>1590886</v>
      </c>
      <c r="AJ47" s="1">
        <v>2102</v>
      </c>
      <c r="AM47" s="1">
        <v>1057576</v>
      </c>
      <c r="AT47" s="1">
        <v>1338844</v>
      </c>
      <c r="AU47" s="1">
        <v>676697</v>
      </c>
      <c r="AV47" s="116">
        <f t="shared" si="1"/>
        <v>18928059</v>
      </c>
      <c r="BC47" s="1">
        <v>686694</v>
      </c>
      <c r="BD47" s="1">
        <v>973034</v>
      </c>
      <c r="BE47" s="1">
        <v>2169893</v>
      </c>
      <c r="BF47" s="121">
        <f t="shared" si="2"/>
        <v>3829621</v>
      </c>
      <c r="BR47" s="1">
        <v>113888</v>
      </c>
      <c r="CA47" s="1">
        <v>803945</v>
      </c>
      <c r="CC47" s="125">
        <f t="shared" si="3"/>
        <v>917833</v>
      </c>
      <c r="CD47" s="1">
        <v>82692</v>
      </c>
      <c r="CK47" s="124">
        <f t="shared" si="4"/>
        <v>82692</v>
      </c>
      <c r="CQ47" s="23">
        <v>5499</v>
      </c>
      <c r="CT47" s="23">
        <v>2167999</v>
      </c>
      <c r="CV47" s="129">
        <v>7753567</v>
      </c>
    </row>
    <row r="48" spans="1:100" ht="12.75" customHeight="1">
      <c r="A48" s="1">
        <v>3</v>
      </c>
      <c r="B48" s="1">
        <v>1380</v>
      </c>
      <c r="C48" s="1" t="s">
        <v>1544</v>
      </c>
      <c r="D48" s="5" t="s">
        <v>1563</v>
      </c>
      <c r="E48" t="s">
        <v>557</v>
      </c>
      <c r="F48" s="26">
        <v>421</v>
      </c>
      <c r="G48" s="78">
        <v>8376177</v>
      </c>
      <c r="H48" s="78">
        <v>88602</v>
      </c>
      <c r="M48" s="1">
        <v>99000</v>
      </c>
      <c r="O48" s="117">
        <f t="shared" si="0"/>
        <v>8563779</v>
      </c>
      <c r="V48" s="1">
        <v>156312</v>
      </c>
      <c r="W48" s="1">
        <v>334186</v>
      </c>
      <c r="X48" s="1">
        <v>35058</v>
      </c>
      <c r="Y48" s="78">
        <v>10497</v>
      </c>
      <c r="AC48" s="1">
        <v>50691</v>
      </c>
      <c r="AD48" s="1">
        <v>25428</v>
      </c>
      <c r="AE48" s="1">
        <v>16844</v>
      </c>
      <c r="AF48" s="1">
        <v>9364</v>
      </c>
      <c r="AG48" s="1">
        <v>688094</v>
      </c>
      <c r="AH48" s="1">
        <v>248129</v>
      </c>
      <c r="AV48" s="116">
        <f t="shared" si="1"/>
        <v>1574603</v>
      </c>
      <c r="BD48" s="1">
        <v>88457</v>
      </c>
      <c r="BE48" s="1">
        <v>34972</v>
      </c>
      <c r="BF48" s="121">
        <f t="shared" si="2"/>
        <v>123429</v>
      </c>
      <c r="CA48" s="1">
        <v>111386</v>
      </c>
      <c r="CC48" s="125">
        <f t="shared" si="3"/>
        <v>111386</v>
      </c>
      <c r="CD48" s="1">
        <v>82100</v>
      </c>
      <c r="CK48" s="124">
        <f t="shared" si="4"/>
        <v>82100</v>
      </c>
      <c r="CM48" s="23">
        <v>3956000</v>
      </c>
      <c r="CV48" s="129">
        <v>123429</v>
      </c>
    </row>
    <row r="49" spans="1:100" ht="12.75" customHeight="1">
      <c r="A49" s="1">
        <v>3</v>
      </c>
      <c r="B49" s="1">
        <v>1450</v>
      </c>
      <c r="C49" s="1" t="s">
        <v>1544</v>
      </c>
      <c r="D49" s="5" t="s">
        <v>1564</v>
      </c>
      <c r="E49" t="s">
        <v>558</v>
      </c>
      <c r="F49" s="26">
        <v>4732.5</v>
      </c>
      <c r="G49" s="78">
        <v>61516737</v>
      </c>
      <c r="L49" s="1">
        <v>17384</v>
      </c>
      <c r="M49" s="1">
        <v>1758531</v>
      </c>
      <c r="O49" s="117">
        <f t="shared" si="0"/>
        <v>63292652</v>
      </c>
      <c r="V49" s="1">
        <v>379972</v>
      </c>
      <c r="W49" s="1">
        <v>3777675</v>
      </c>
      <c r="X49" s="1">
        <v>305260</v>
      </c>
      <c r="AC49" s="1">
        <v>548191</v>
      </c>
      <c r="AD49" s="1">
        <v>531374</v>
      </c>
      <c r="AE49" s="1">
        <v>149828</v>
      </c>
      <c r="AF49" s="1">
        <v>48496</v>
      </c>
      <c r="AG49" s="1">
        <v>5011570</v>
      </c>
      <c r="AH49" s="1">
        <v>2305500</v>
      </c>
      <c r="AU49" s="1">
        <v>695894</v>
      </c>
      <c r="AV49" s="116">
        <f t="shared" si="1"/>
        <v>13753760</v>
      </c>
      <c r="BC49" s="1">
        <v>167043</v>
      </c>
      <c r="BD49" s="1">
        <v>1029380</v>
      </c>
      <c r="BE49" s="1">
        <v>173212</v>
      </c>
      <c r="BF49" s="121">
        <f t="shared" si="2"/>
        <v>1369635</v>
      </c>
      <c r="BI49" s="1">
        <v>490375</v>
      </c>
      <c r="BM49" s="1">
        <v>36677</v>
      </c>
      <c r="BO49" s="1">
        <v>5939</v>
      </c>
      <c r="BP49" s="1">
        <v>2652157</v>
      </c>
      <c r="CC49" s="125">
        <f t="shared" si="3"/>
        <v>3185148</v>
      </c>
      <c r="CK49" s="124">
        <f t="shared" si="4"/>
        <v>0</v>
      </c>
      <c r="CV49" s="129">
        <v>2082913</v>
      </c>
    </row>
    <row r="50" spans="1:100" ht="12.75" customHeight="1">
      <c r="A50" s="1">
        <v>3</v>
      </c>
      <c r="B50" s="1">
        <v>1470</v>
      </c>
      <c r="C50" s="1" t="s">
        <v>1544</v>
      </c>
      <c r="D50" s="5" t="s">
        <v>1565</v>
      </c>
      <c r="E50" t="s">
        <v>448</v>
      </c>
      <c r="F50" s="26">
        <v>1028</v>
      </c>
      <c r="G50" s="78">
        <v>11056569</v>
      </c>
      <c r="H50" s="78">
        <v>218588</v>
      </c>
      <c r="M50" s="1">
        <v>276896</v>
      </c>
      <c r="O50" s="117">
        <f t="shared" si="0"/>
        <v>11552053</v>
      </c>
      <c r="P50" s="78">
        <v>2026323</v>
      </c>
      <c r="V50" s="1">
        <v>151808</v>
      </c>
      <c r="W50" s="1">
        <v>802397</v>
      </c>
      <c r="X50" s="1">
        <v>189162</v>
      </c>
      <c r="Y50" s="78">
        <v>918394</v>
      </c>
      <c r="AC50" s="1">
        <v>54407</v>
      </c>
      <c r="AD50" s="1">
        <v>142737</v>
      </c>
      <c r="AE50" s="1">
        <v>97174</v>
      </c>
      <c r="AF50" s="1">
        <v>114512</v>
      </c>
      <c r="AG50" s="1">
        <v>628606</v>
      </c>
      <c r="AH50" s="1">
        <v>421071</v>
      </c>
      <c r="AM50" s="1">
        <v>394267</v>
      </c>
      <c r="AP50" s="1">
        <v>58155</v>
      </c>
      <c r="AU50" s="1">
        <v>121104</v>
      </c>
      <c r="AV50" s="116">
        <f t="shared" si="1"/>
        <v>6120117</v>
      </c>
      <c r="BC50" s="1">
        <v>587765</v>
      </c>
      <c r="BD50" s="1">
        <v>367113</v>
      </c>
      <c r="BE50" s="1">
        <v>113195</v>
      </c>
      <c r="BF50" s="121">
        <f t="shared" si="2"/>
        <v>1068073</v>
      </c>
      <c r="BG50" s="1">
        <v>43332</v>
      </c>
      <c r="CC50" s="125">
        <f t="shared" si="3"/>
        <v>43332</v>
      </c>
      <c r="CK50" s="124">
        <f t="shared" si="4"/>
        <v>0</v>
      </c>
      <c r="CT50" s="23">
        <v>476213</v>
      </c>
      <c r="CV50" s="129">
        <v>2059657</v>
      </c>
    </row>
    <row r="51" spans="1:100" ht="12.75" customHeight="1">
      <c r="A51" s="1">
        <v>3</v>
      </c>
      <c r="B51" s="1">
        <v>1550</v>
      </c>
      <c r="C51" s="1" t="s">
        <v>1544</v>
      </c>
      <c r="D51" s="5" t="s">
        <v>1566</v>
      </c>
      <c r="E51" t="s">
        <v>449</v>
      </c>
      <c r="F51" s="26">
        <v>3454</v>
      </c>
      <c r="G51" s="78">
        <v>42581845</v>
      </c>
      <c r="H51" s="78">
        <v>451452</v>
      </c>
      <c r="L51" s="1">
        <v>1828780</v>
      </c>
      <c r="O51" s="117">
        <f t="shared" si="0"/>
        <v>44862077</v>
      </c>
      <c r="V51" s="1">
        <v>234506</v>
      </c>
      <c r="W51" s="1">
        <v>1892463</v>
      </c>
      <c r="X51" s="1">
        <v>483210</v>
      </c>
      <c r="AC51" s="1">
        <v>184414</v>
      </c>
      <c r="AD51" s="1">
        <v>388189</v>
      </c>
      <c r="AE51" s="1">
        <v>89951</v>
      </c>
      <c r="AF51" s="1">
        <v>29723</v>
      </c>
      <c r="AG51" s="1">
        <v>3203089</v>
      </c>
      <c r="AH51" s="1">
        <v>1659219</v>
      </c>
      <c r="AT51" s="1">
        <v>13651</v>
      </c>
      <c r="AU51" s="1">
        <v>147760</v>
      </c>
      <c r="AV51" s="116">
        <f t="shared" si="1"/>
        <v>8326175</v>
      </c>
      <c r="BC51" s="1">
        <v>665539</v>
      </c>
      <c r="BD51" s="1">
        <v>739555</v>
      </c>
      <c r="BE51" s="1">
        <v>494676</v>
      </c>
      <c r="BF51" s="121">
        <f t="shared" si="2"/>
        <v>1899770</v>
      </c>
      <c r="BO51" s="1">
        <v>53422</v>
      </c>
      <c r="BP51" s="1">
        <v>50810</v>
      </c>
      <c r="CC51" s="125">
        <f t="shared" si="3"/>
        <v>104232</v>
      </c>
      <c r="CK51" s="124">
        <f t="shared" si="4"/>
        <v>0</v>
      </c>
      <c r="CV51" s="129">
        <v>3876310</v>
      </c>
    </row>
    <row r="52" spans="1:100" ht="12.75" customHeight="1">
      <c r="A52" s="1">
        <v>3</v>
      </c>
      <c r="B52" s="1">
        <v>1580</v>
      </c>
      <c r="C52" s="1" t="s">
        <v>1544</v>
      </c>
      <c r="D52" s="5" t="s">
        <v>1567</v>
      </c>
      <c r="E52" t="s">
        <v>450</v>
      </c>
      <c r="F52" s="26">
        <v>1501</v>
      </c>
      <c r="G52" s="78">
        <v>20267099</v>
      </c>
      <c r="H52" s="78">
        <v>131258</v>
      </c>
      <c r="L52" s="1">
        <v>63273</v>
      </c>
      <c r="M52" s="1">
        <v>2287311</v>
      </c>
      <c r="O52" s="117">
        <f t="shared" si="0"/>
        <v>22748941</v>
      </c>
      <c r="V52" s="1">
        <v>353045</v>
      </c>
      <c r="W52" s="1">
        <v>739427</v>
      </c>
      <c r="AC52" s="1">
        <v>44431</v>
      </c>
      <c r="AD52" s="1">
        <v>89911</v>
      </c>
      <c r="AE52" s="1">
        <v>35471</v>
      </c>
      <c r="AF52" s="1">
        <v>83222</v>
      </c>
      <c r="AG52" s="1">
        <v>1506439</v>
      </c>
      <c r="AH52" s="1">
        <v>885247</v>
      </c>
      <c r="AT52" s="1">
        <v>259004</v>
      </c>
      <c r="AU52" s="1">
        <v>127437</v>
      </c>
      <c r="AV52" s="116">
        <f t="shared" si="1"/>
        <v>4123634</v>
      </c>
      <c r="BD52" s="1">
        <v>312026</v>
      </c>
      <c r="BE52" s="1">
        <v>42296</v>
      </c>
      <c r="BF52" s="121">
        <f t="shared" si="2"/>
        <v>354322</v>
      </c>
      <c r="BM52" s="1">
        <v>163800</v>
      </c>
      <c r="BZ52" s="1">
        <v>20961</v>
      </c>
      <c r="CA52" s="1">
        <v>1319</v>
      </c>
      <c r="CB52" s="1">
        <v>2979</v>
      </c>
      <c r="CC52" s="125">
        <f t="shared" si="3"/>
        <v>189059</v>
      </c>
      <c r="CD52" s="1">
        <v>1392942</v>
      </c>
      <c r="CK52" s="124">
        <f t="shared" si="4"/>
        <v>1392942</v>
      </c>
      <c r="CV52" s="129">
        <v>545032</v>
      </c>
    </row>
    <row r="53" spans="1:100" ht="12.75" customHeight="1">
      <c r="A53" s="1">
        <v>3</v>
      </c>
      <c r="B53" s="1">
        <v>1700</v>
      </c>
      <c r="C53" s="1" t="s">
        <v>1544</v>
      </c>
      <c r="D53" s="5" t="s">
        <v>1568</v>
      </c>
      <c r="E53" t="s">
        <v>451</v>
      </c>
      <c r="F53" s="26">
        <v>4591</v>
      </c>
      <c r="G53" s="78">
        <v>20348191</v>
      </c>
      <c r="H53" s="78">
        <v>856229</v>
      </c>
      <c r="L53" s="1">
        <v>9942</v>
      </c>
      <c r="M53" s="1">
        <v>507892</v>
      </c>
      <c r="O53" s="117">
        <f t="shared" si="0"/>
        <v>21722254</v>
      </c>
      <c r="P53" s="78">
        <v>13587511</v>
      </c>
      <c r="S53" s="25">
        <v>16327786</v>
      </c>
      <c r="T53" s="1">
        <v>1251610</v>
      </c>
      <c r="V53" s="1">
        <v>664602</v>
      </c>
      <c r="W53" s="1">
        <v>2879851</v>
      </c>
      <c r="X53" s="1">
        <v>618754</v>
      </c>
      <c r="AC53" s="1">
        <v>171284</v>
      </c>
      <c r="AD53" s="1">
        <v>453802</v>
      </c>
      <c r="AG53" s="1">
        <v>3331260</v>
      </c>
      <c r="AH53" s="1">
        <v>2125415</v>
      </c>
      <c r="AM53" s="1">
        <v>1330142</v>
      </c>
      <c r="AP53" s="1">
        <v>395103</v>
      </c>
      <c r="AT53" s="1">
        <v>13507467</v>
      </c>
      <c r="AU53" s="1">
        <v>347577</v>
      </c>
      <c r="AV53" s="116">
        <f t="shared" si="1"/>
        <v>56992164</v>
      </c>
      <c r="AW53" s="1">
        <v>15359</v>
      </c>
      <c r="BC53" s="1">
        <v>794521</v>
      </c>
      <c r="BD53" s="1">
        <v>1170835</v>
      </c>
      <c r="BE53" s="1">
        <v>384841</v>
      </c>
      <c r="BF53" s="121">
        <f t="shared" si="2"/>
        <v>2365556</v>
      </c>
      <c r="BG53" s="1">
        <v>324479</v>
      </c>
      <c r="CA53" s="1">
        <v>25283</v>
      </c>
      <c r="CC53" s="125">
        <f t="shared" si="3"/>
        <v>349762</v>
      </c>
      <c r="CK53" s="124">
        <f t="shared" si="4"/>
        <v>0</v>
      </c>
      <c r="CT53" s="23">
        <v>2095651</v>
      </c>
      <c r="CU53" s="23">
        <v>2905294</v>
      </c>
      <c r="CV53" s="129">
        <v>9985888</v>
      </c>
    </row>
    <row r="54" spans="1:100" ht="12.75" customHeight="1">
      <c r="A54" s="1">
        <v>3</v>
      </c>
      <c r="B54" s="1">
        <v>1760</v>
      </c>
      <c r="C54" s="1" t="s">
        <v>1544</v>
      </c>
      <c r="D54" s="5" t="s">
        <v>1569</v>
      </c>
      <c r="E54" t="s">
        <v>452</v>
      </c>
      <c r="F54" s="26">
        <v>2473</v>
      </c>
      <c r="G54" s="78">
        <v>33730381</v>
      </c>
      <c r="H54" s="78">
        <v>318594</v>
      </c>
      <c r="M54" s="1">
        <v>1131604</v>
      </c>
      <c r="O54" s="117">
        <f t="shared" si="0"/>
        <v>35180579</v>
      </c>
      <c r="V54" s="1">
        <v>76355</v>
      </c>
      <c r="W54" s="1">
        <v>1209911</v>
      </c>
      <c r="X54" s="1">
        <v>110582</v>
      </c>
      <c r="Y54" s="78">
        <v>162279</v>
      </c>
      <c r="AC54" s="1">
        <v>152077</v>
      </c>
      <c r="AD54" s="1">
        <v>150896</v>
      </c>
      <c r="AE54" s="1">
        <v>51301</v>
      </c>
      <c r="AG54" s="1">
        <v>2308442</v>
      </c>
      <c r="AH54" s="1">
        <v>1224144</v>
      </c>
      <c r="AU54" s="1">
        <v>207768</v>
      </c>
      <c r="AV54" s="116">
        <f t="shared" si="1"/>
        <v>5653755</v>
      </c>
      <c r="AX54" s="1">
        <v>5307</v>
      </c>
      <c r="BD54" s="1">
        <v>502797</v>
      </c>
      <c r="BE54" s="1">
        <v>72843</v>
      </c>
      <c r="BF54" s="121">
        <f t="shared" si="2"/>
        <v>580947</v>
      </c>
      <c r="BI54" s="1">
        <v>269546</v>
      </c>
      <c r="CC54" s="125">
        <f t="shared" si="3"/>
        <v>269546</v>
      </c>
      <c r="CK54" s="124">
        <f t="shared" si="4"/>
        <v>0</v>
      </c>
      <c r="CV54" s="129">
        <v>788715</v>
      </c>
    </row>
    <row r="55" spans="1:100" ht="12.75" customHeight="1">
      <c r="A55" s="1">
        <v>3</v>
      </c>
      <c r="B55" s="1">
        <v>1860</v>
      </c>
      <c r="C55" s="1" t="s">
        <v>1544</v>
      </c>
      <c r="D55" s="5" t="s">
        <v>1570</v>
      </c>
      <c r="E55" t="s">
        <v>453</v>
      </c>
      <c r="F55" s="26">
        <v>4881</v>
      </c>
      <c r="G55" s="78">
        <v>53452727</v>
      </c>
      <c r="H55" s="78">
        <v>874143</v>
      </c>
      <c r="L55" s="1">
        <v>33527</v>
      </c>
      <c r="M55" s="1">
        <v>1053774</v>
      </c>
      <c r="O55" s="117">
        <f t="shared" si="0"/>
        <v>55414171</v>
      </c>
      <c r="V55" s="1">
        <v>580033</v>
      </c>
      <c r="W55" s="1">
        <v>4004188</v>
      </c>
      <c r="X55" s="1">
        <v>472986</v>
      </c>
      <c r="Y55" s="78">
        <v>1689</v>
      </c>
      <c r="AC55" s="1">
        <v>275791</v>
      </c>
      <c r="AD55" s="1">
        <v>514697</v>
      </c>
      <c r="AE55" s="1">
        <v>298852</v>
      </c>
      <c r="AF55" s="1">
        <v>367812</v>
      </c>
      <c r="AG55" s="1">
        <v>2687426</v>
      </c>
      <c r="AH55" s="1">
        <v>5445973</v>
      </c>
      <c r="AM55" s="1">
        <v>2098721</v>
      </c>
      <c r="AU55" s="1">
        <v>580007</v>
      </c>
      <c r="AV55" s="116">
        <f t="shared" si="1"/>
        <v>17328175</v>
      </c>
      <c r="AW55" s="1">
        <v>761</v>
      </c>
      <c r="BB55" s="1">
        <v>235</v>
      </c>
      <c r="BC55" s="1">
        <v>1020766</v>
      </c>
      <c r="BD55" s="1">
        <v>1170013</v>
      </c>
      <c r="BE55" s="1">
        <v>3117083</v>
      </c>
      <c r="BF55" s="121">
        <f t="shared" si="2"/>
        <v>5308858</v>
      </c>
      <c r="BO55" s="1">
        <v>110654</v>
      </c>
      <c r="BX55" s="1">
        <v>97811</v>
      </c>
      <c r="CC55" s="125">
        <f t="shared" si="3"/>
        <v>208465</v>
      </c>
      <c r="CD55" s="1">
        <v>5273917</v>
      </c>
      <c r="CK55" s="124">
        <f t="shared" si="4"/>
        <v>5273917</v>
      </c>
      <c r="CT55" s="23">
        <v>2435922</v>
      </c>
      <c r="CV55" s="129">
        <v>10456274</v>
      </c>
    </row>
    <row r="56" spans="1:100" ht="12.75" customHeight="1">
      <c r="A56" s="1">
        <v>3</v>
      </c>
      <c r="B56" s="1">
        <v>2050</v>
      </c>
      <c r="C56" s="1" t="s">
        <v>1544</v>
      </c>
      <c r="D56" s="5" t="s">
        <v>1571</v>
      </c>
      <c r="E56" t="s">
        <v>454</v>
      </c>
      <c r="F56" s="26">
        <v>704</v>
      </c>
      <c r="G56" s="78">
        <v>8245695</v>
      </c>
      <c r="H56" s="78">
        <v>60122</v>
      </c>
      <c r="L56" s="1">
        <v>682</v>
      </c>
      <c r="M56" s="1">
        <v>327097</v>
      </c>
      <c r="O56" s="117">
        <f t="shared" si="0"/>
        <v>8633596</v>
      </c>
      <c r="V56" s="1">
        <v>26681</v>
      </c>
      <c r="W56" s="1">
        <v>301878</v>
      </c>
      <c r="X56" s="1">
        <v>20862</v>
      </c>
      <c r="AC56" s="1">
        <v>36778</v>
      </c>
      <c r="AD56" s="1">
        <v>39485</v>
      </c>
      <c r="AE56" s="1">
        <v>11667</v>
      </c>
      <c r="AF56" s="1">
        <v>43746</v>
      </c>
      <c r="AG56" s="1">
        <v>592275</v>
      </c>
      <c r="AH56" s="1">
        <v>296128</v>
      </c>
      <c r="AU56" s="1">
        <v>3000</v>
      </c>
      <c r="AV56" s="116">
        <f t="shared" si="1"/>
        <v>1372500</v>
      </c>
      <c r="BD56" s="1">
        <v>100000</v>
      </c>
      <c r="BE56" s="1">
        <v>8829</v>
      </c>
      <c r="BF56" s="121">
        <f t="shared" si="2"/>
        <v>108829</v>
      </c>
      <c r="CC56" s="125">
        <f t="shared" si="3"/>
        <v>0</v>
      </c>
      <c r="CK56" s="124">
        <f t="shared" si="4"/>
        <v>0</v>
      </c>
      <c r="CV56" s="129">
        <v>112511</v>
      </c>
    </row>
    <row r="57" spans="1:100" ht="12.75" customHeight="1">
      <c r="A57" s="1">
        <v>3</v>
      </c>
      <c r="B57" s="1">
        <v>2080</v>
      </c>
      <c r="C57" s="1" t="s">
        <v>1544</v>
      </c>
      <c r="D57" s="5" t="s">
        <v>1572</v>
      </c>
      <c r="E57" t="s">
        <v>455</v>
      </c>
      <c r="F57" s="26">
        <v>1556</v>
      </c>
      <c r="G57" s="78">
        <v>18764451</v>
      </c>
      <c r="H57" s="78">
        <v>114387</v>
      </c>
      <c r="L57" s="1">
        <v>8000</v>
      </c>
      <c r="M57" s="1">
        <v>550690</v>
      </c>
      <c r="O57" s="117">
        <f t="shared" si="0"/>
        <v>19437528</v>
      </c>
      <c r="V57" s="1">
        <v>132137</v>
      </c>
      <c r="W57" s="1">
        <v>1121956</v>
      </c>
      <c r="X57" s="1">
        <v>36172</v>
      </c>
      <c r="AC57" s="1">
        <v>111593</v>
      </c>
      <c r="AD57" s="1">
        <v>177308</v>
      </c>
      <c r="AE57" s="1">
        <v>44027</v>
      </c>
      <c r="AF57" s="1">
        <v>1660</v>
      </c>
      <c r="AG57" s="1">
        <v>1296758</v>
      </c>
      <c r="AH57" s="1">
        <v>755362</v>
      </c>
      <c r="AP57" s="1">
        <v>210587</v>
      </c>
      <c r="AU57" s="1">
        <v>218157</v>
      </c>
      <c r="AV57" s="116">
        <f t="shared" si="1"/>
        <v>4105717</v>
      </c>
      <c r="BD57" s="1">
        <v>358687</v>
      </c>
      <c r="BE57" s="1">
        <v>98098</v>
      </c>
      <c r="BF57" s="121">
        <f t="shared" si="2"/>
        <v>456785</v>
      </c>
      <c r="BG57" s="1">
        <v>102120</v>
      </c>
      <c r="BI57" s="1">
        <v>250115</v>
      </c>
      <c r="CC57" s="125">
        <f t="shared" si="3"/>
        <v>352235</v>
      </c>
      <c r="CK57" s="124">
        <f t="shared" si="4"/>
        <v>0</v>
      </c>
      <c r="CV57" s="129">
        <v>682942</v>
      </c>
    </row>
    <row r="58" spans="1:100" ht="12.75" customHeight="1">
      <c r="A58" s="1">
        <v>3</v>
      </c>
      <c r="B58" s="1">
        <v>2090</v>
      </c>
      <c r="C58" s="1" t="s">
        <v>1544</v>
      </c>
      <c r="D58" s="5" t="s">
        <v>1573</v>
      </c>
      <c r="E58" t="s">
        <v>456</v>
      </c>
      <c r="F58" s="26">
        <v>528</v>
      </c>
      <c r="G58" s="78">
        <v>6249910</v>
      </c>
      <c r="H58" s="78">
        <v>42429</v>
      </c>
      <c r="L58" s="1">
        <v>2387</v>
      </c>
      <c r="M58" s="1">
        <v>489050</v>
      </c>
      <c r="O58" s="117">
        <f t="shared" si="0"/>
        <v>6783776</v>
      </c>
      <c r="V58" s="1">
        <v>55451</v>
      </c>
      <c r="W58" s="1">
        <v>165993</v>
      </c>
      <c r="X58" s="1">
        <v>8248</v>
      </c>
      <c r="Y58" s="78">
        <v>63041</v>
      </c>
      <c r="AD58" s="1">
        <v>29815</v>
      </c>
      <c r="AE58" s="1">
        <v>9676</v>
      </c>
      <c r="AF58" s="1">
        <v>35008</v>
      </c>
      <c r="AG58" s="1">
        <v>414183</v>
      </c>
      <c r="AH58" s="1">
        <v>237047</v>
      </c>
      <c r="AP58" s="1">
        <v>101874</v>
      </c>
      <c r="AV58" s="116">
        <f t="shared" si="1"/>
        <v>1120336</v>
      </c>
      <c r="AW58" s="1">
        <v>1366</v>
      </c>
      <c r="BD58" s="1">
        <v>92849</v>
      </c>
      <c r="BE58" s="1">
        <v>5446</v>
      </c>
      <c r="BF58" s="121">
        <f t="shared" si="2"/>
        <v>99661</v>
      </c>
      <c r="BI58" s="1">
        <v>115637</v>
      </c>
      <c r="CC58" s="125">
        <f t="shared" si="3"/>
        <v>115637</v>
      </c>
      <c r="CK58" s="124">
        <f t="shared" si="4"/>
        <v>0</v>
      </c>
      <c r="CV58" s="129">
        <v>100682</v>
      </c>
    </row>
    <row r="59" spans="1:100" ht="12.75" customHeight="1">
      <c r="A59" s="1">
        <v>3</v>
      </c>
      <c r="B59" s="1">
        <v>2180</v>
      </c>
      <c r="C59" s="1" t="s">
        <v>1544</v>
      </c>
      <c r="D59" s="5" t="s">
        <v>1574</v>
      </c>
      <c r="E59" t="s">
        <v>457</v>
      </c>
      <c r="F59" s="26">
        <v>1455</v>
      </c>
      <c r="G59" s="78">
        <v>14542646</v>
      </c>
      <c r="H59" s="78">
        <v>71542</v>
      </c>
      <c r="L59" s="1">
        <v>3156</v>
      </c>
      <c r="M59" s="1">
        <v>810828</v>
      </c>
      <c r="O59" s="117">
        <f t="shared" si="0"/>
        <v>15428172</v>
      </c>
      <c r="W59" s="1">
        <v>710226</v>
      </c>
      <c r="AC59" s="1">
        <v>41502</v>
      </c>
      <c r="AD59" s="1">
        <v>148122</v>
      </c>
      <c r="AE59" s="1">
        <v>25750</v>
      </c>
      <c r="AF59" s="1">
        <v>89805</v>
      </c>
      <c r="AG59" s="1">
        <v>1266343</v>
      </c>
      <c r="AH59" s="1">
        <v>606178</v>
      </c>
      <c r="AP59" s="1">
        <v>6899</v>
      </c>
      <c r="AU59" s="1">
        <v>232989</v>
      </c>
      <c r="AV59" s="116">
        <f t="shared" si="1"/>
        <v>3127814</v>
      </c>
      <c r="BC59" s="1">
        <v>28153</v>
      </c>
      <c r="BD59" s="1">
        <v>339368</v>
      </c>
      <c r="BE59" s="1">
        <v>96048</v>
      </c>
      <c r="BF59" s="121">
        <f t="shared" si="2"/>
        <v>463569</v>
      </c>
      <c r="BI59" s="1">
        <v>90001</v>
      </c>
      <c r="CA59" s="1">
        <v>7968</v>
      </c>
      <c r="CC59" s="125">
        <f t="shared" si="3"/>
        <v>97969</v>
      </c>
      <c r="CK59" s="124">
        <f t="shared" si="4"/>
        <v>0</v>
      </c>
      <c r="CV59" s="129">
        <v>699714</v>
      </c>
    </row>
    <row r="60" spans="1:100" ht="12.75" customHeight="1">
      <c r="A60" s="1">
        <v>3</v>
      </c>
      <c r="B60" s="1">
        <v>2200</v>
      </c>
      <c r="C60" s="1" t="s">
        <v>1544</v>
      </c>
      <c r="D60" s="5" t="s">
        <v>1575</v>
      </c>
      <c r="E60" t="s">
        <v>458</v>
      </c>
      <c r="F60" s="26">
        <v>670</v>
      </c>
      <c r="G60" s="78">
        <v>9458497</v>
      </c>
      <c r="H60" s="78">
        <v>124762</v>
      </c>
      <c r="L60" s="1">
        <v>14581</v>
      </c>
      <c r="M60" s="1">
        <v>781411</v>
      </c>
      <c r="O60" s="117">
        <f t="shared" si="0"/>
        <v>10379251</v>
      </c>
      <c r="W60" s="1">
        <v>578839</v>
      </c>
      <c r="AC60" s="1">
        <v>11903</v>
      </c>
      <c r="AD60" s="1">
        <v>44046</v>
      </c>
      <c r="AE60" s="1">
        <v>18687</v>
      </c>
      <c r="AG60" s="1">
        <v>591611</v>
      </c>
      <c r="AH60" s="1">
        <v>315960</v>
      </c>
      <c r="AI60" s="1">
        <v>4993</v>
      </c>
      <c r="AP60" s="1">
        <v>86513</v>
      </c>
      <c r="AU60" s="1">
        <v>1156</v>
      </c>
      <c r="AV60" s="116">
        <f t="shared" si="1"/>
        <v>1653708</v>
      </c>
      <c r="BD60" s="1">
        <v>149256</v>
      </c>
      <c r="BE60" s="1">
        <v>10986</v>
      </c>
      <c r="BF60" s="121">
        <f t="shared" si="2"/>
        <v>160242</v>
      </c>
      <c r="BI60" s="1">
        <v>36827</v>
      </c>
      <c r="BO60" s="1">
        <v>2200</v>
      </c>
      <c r="CC60" s="125">
        <f t="shared" si="3"/>
        <v>39027</v>
      </c>
      <c r="CD60" s="1">
        <v>418495</v>
      </c>
      <c r="CK60" s="124">
        <f t="shared" si="4"/>
        <v>418495</v>
      </c>
      <c r="CV60" s="129">
        <v>175979</v>
      </c>
    </row>
    <row r="61" spans="1:100" ht="12.75" customHeight="1">
      <c r="A61" s="1">
        <v>3</v>
      </c>
      <c r="B61" s="1">
        <v>2620</v>
      </c>
      <c r="C61" s="1" t="s">
        <v>1544</v>
      </c>
      <c r="D61" s="5" t="s">
        <v>1576</v>
      </c>
      <c r="E61" t="s">
        <v>459</v>
      </c>
      <c r="F61" s="26">
        <v>1731.5</v>
      </c>
      <c r="G61" s="78">
        <v>14333093</v>
      </c>
      <c r="H61" s="78">
        <v>51765</v>
      </c>
      <c r="M61" s="1">
        <v>1260323</v>
      </c>
      <c r="O61" s="117">
        <f t="shared" si="0"/>
        <v>15645181</v>
      </c>
      <c r="P61" s="78">
        <v>1395172</v>
      </c>
      <c r="V61" s="1">
        <v>97614</v>
      </c>
      <c r="W61" s="1">
        <v>1105766</v>
      </c>
      <c r="X61" s="1">
        <v>253886</v>
      </c>
      <c r="AC61" s="1">
        <v>21167</v>
      </c>
      <c r="AD61" s="1">
        <v>96686</v>
      </c>
      <c r="AE61" s="1">
        <v>88797</v>
      </c>
      <c r="AF61" s="1">
        <v>38234</v>
      </c>
      <c r="AG61" s="1">
        <v>1642096</v>
      </c>
      <c r="AH61" s="1">
        <v>889386</v>
      </c>
      <c r="AP61" s="1">
        <v>48812</v>
      </c>
      <c r="AU61" s="1">
        <v>103336</v>
      </c>
      <c r="AV61" s="116">
        <f t="shared" si="1"/>
        <v>5780952</v>
      </c>
      <c r="AX61" s="1">
        <v>340</v>
      </c>
      <c r="BC61" s="1">
        <v>84006</v>
      </c>
      <c r="BD61" s="1">
        <v>252659</v>
      </c>
      <c r="BE61" s="1">
        <v>95104</v>
      </c>
      <c r="BF61" s="121">
        <f t="shared" si="2"/>
        <v>432109</v>
      </c>
      <c r="BY61" s="1">
        <v>116827</v>
      </c>
      <c r="CC61" s="125">
        <f t="shared" si="3"/>
        <v>116827</v>
      </c>
      <c r="CD61" s="1">
        <v>4975907</v>
      </c>
      <c r="CK61" s="124">
        <f t="shared" si="4"/>
        <v>4975907</v>
      </c>
      <c r="CV61" s="129">
        <v>535445</v>
      </c>
    </row>
    <row r="62" spans="1:100" ht="12.75" customHeight="1">
      <c r="A62" s="1">
        <v>3</v>
      </c>
      <c r="B62" s="1">
        <v>2710</v>
      </c>
      <c r="C62" s="1" t="s">
        <v>1544</v>
      </c>
      <c r="D62" s="5" t="s">
        <v>1577</v>
      </c>
      <c r="E62" t="s">
        <v>460</v>
      </c>
      <c r="F62" s="26">
        <v>975</v>
      </c>
      <c r="G62" s="78">
        <v>13285276</v>
      </c>
      <c r="H62" s="78">
        <v>179812</v>
      </c>
      <c r="O62" s="117">
        <f t="shared" si="0"/>
        <v>13465088</v>
      </c>
      <c r="V62" s="1">
        <v>279789</v>
      </c>
      <c r="W62" s="1">
        <v>790392</v>
      </c>
      <c r="X62" s="1">
        <v>167706</v>
      </c>
      <c r="AC62" s="1">
        <v>45936</v>
      </c>
      <c r="AD62" s="1">
        <v>127824</v>
      </c>
      <c r="AE62" s="1">
        <v>40971</v>
      </c>
      <c r="AF62" s="1">
        <v>9628</v>
      </c>
      <c r="AG62" s="1">
        <v>557239</v>
      </c>
      <c r="AH62" s="1">
        <v>76249</v>
      </c>
      <c r="AP62" s="1">
        <v>478400</v>
      </c>
      <c r="AV62" s="116">
        <f t="shared" si="1"/>
        <v>2574134</v>
      </c>
      <c r="AX62" s="1">
        <v>3102</v>
      </c>
      <c r="BC62" s="1">
        <v>100061</v>
      </c>
      <c r="BD62" s="1">
        <v>245808</v>
      </c>
      <c r="BE62" s="1">
        <v>81237</v>
      </c>
      <c r="BF62" s="121">
        <f t="shared" si="2"/>
        <v>430208</v>
      </c>
      <c r="BI62" s="1">
        <v>58273</v>
      </c>
      <c r="BO62" s="1">
        <v>5079</v>
      </c>
      <c r="CC62" s="125">
        <f t="shared" si="3"/>
        <v>63352</v>
      </c>
      <c r="CK62" s="124">
        <f t="shared" si="4"/>
        <v>0</v>
      </c>
      <c r="CT62" s="23">
        <v>90000</v>
      </c>
      <c r="CV62" s="129">
        <v>520208</v>
      </c>
    </row>
    <row r="63" spans="1:100" ht="12.75" customHeight="1">
      <c r="A63" s="1">
        <v>3</v>
      </c>
      <c r="B63" s="1">
        <v>2740</v>
      </c>
      <c r="C63" s="1" t="s">
        <v>1544</v>
      </c>
      <c r="D63" s="5" t="s">
        <v>1578</v>
      </c>
      <c r="E63" t="s">
        <v>461</v>
      </c>
      <c r="F63" s="26">
        <v>3168.5</v>
      </c>
      <c r="G63" s="78">
        <v>30866646</v>
      </c>
      <c r="H63" s="78">
        <v>485896</v>
      </c>
      <c r="M63" s="1">
        <v>812481</v>
      </c>
      <c r="O63" s="117">
        <f t="shared" si="0"/>
        <v>32165023</v>
      </c>
      <c r="P63" s="78">
        <v>5210513</v>
      </c>
      <c r="V63" s="1">
        <v>416900</v>
      </c>
      <c r="W63" s="1">
        <v>1999480</v>
      </c>
      <c r="X63" s="1">
        <v>331208</v>
      </c>
      <c r="AC63" s="1">
        <v>137767</v>
      </c>
      <c r="AD63" s="1">
        <v>343533</v>
      </c>
      <c r="AE63" s="1">
        <v>313655</v>
      </c>
      <c r="AF63" s="1">
        <v>6442</v>
      </c>
      <c r="AG63" s="1">
        <v>2740444</v>
      </c>
      <c r="AH63" s="1">
        <v>1362966</v>
      </c>
      <c r="AM63" s="1">
        <v>609166</v>
      </c>
      <c r="AP63" s="1">
        <v>112708</v>
      </c>
      <c r="AU63" s="1">
        <v>84484</v>
      </c>
      <c r="AV63" s="116">
        <f t="shared" si="1"/>
        <v>13669266</v>
      </c>
      <c r="AW63" s="1">
        <v>10302</v>
      </c>
      <c r="BC63" s="1">
        <v>404860</v>
      </c>
      <c r="BD63" s="1">
        <v>722228</v>
      </c>
      <c r="BE63" s="1">
        <v>193036</v>
      </c>
      <c r="BF63" s="121">
        <f t="shared" si="2"/>
        <v>1330426</v>
      </c>
      <c r="BO63" s="1">
        <v>104</v>
      </c>
      <c r="CA63" s="1">
        <v>331</v>
      </c>
      <c r="CC63" s="125">
        <f t="shared" si="3"/>
        <v>435</v>
      </c>
      <c r="CD63" s="1">
        <v>15170</v>
      </c>
      <c r="CK63" s="124">
        <f t="shared" si="4"/>
        <v>15170</v>
      </c>
      <c r="CT63" s="23">
        <v>1490447</v>
      </c>
      <c r="CV63" s="129">
        <v>3504221</v>
      </c>
    </row>
    <row r="64" spans="1:100" ht="12.75" customHeight="1">
      <c r="A64" s="1">
        <v>3</v>
      </c>
      <c r="B64" s="1">
        <v>2860</v>
      </c>
      <c r="C64" s="1" t="s">
        <v>1544</v>
      </c>
      <c r="D64" s="5" t="s">
        <v>1579</v>
      </c>
      <c r="E64" t="s">
        <v>462</v>
      </c>
      <c r="F64" s="26">
        <v>2205.5</v>
      </c>
      <c r="G64" s="78">
        <v>25756895</v>
      </c>
      <c r="H64" s="78">
        <v>218770</v>
      </c>
      <c r="M64" s="1">
        <v>769000</v>
      </c>
      <c r="O64" s="117">
        <f t="shared" si="0"/>
        <v>26744665</v>
      </c>
      <c r="V64" s="1">
        <v>272818</v>
      </c>
      <c r="W64" s="1">
        <v>1300792</v>
      </c>
      <c r="X64" s="1">
        <v>31824</v>
      </c>
      <c r="Y64" s="78">
        <v>69889</v>
      </c>
      <c r="AC64" s="1">
        <v>86139</v>
      </c>
      <c r="AD64" s="1">
        <v>230631</v>
      </c>
      <c r="AE64" s="1">
        <v>59306</v>
      </c>
      <c r="AF64" s="1">
        <v>2867</v>
      </c>
      <c r="AG64" s="1">
        <v>2052735</v>
      </c>
      <c r="AH64" s="1">
        <v>1029913</v>
      </c>
      <c r="AO64" s="1">
        <v>70928</v>
      </c>
      <c r="AU64" s="1">
        <v>133985</v>
      </c>
      <c r="AV64" s="116">
        <f t="shared" si="1"/>
        <v>5341827</v>
      </c>
      <c r="AW64" s="1">
        <v>2933</v>
      </c>
      <c r="BC64" s="1">
        <v>184872</v>
      </c>
      <c r="BD64" s="1">
        <v>569830</v>
      </c>
      <c r="BE64" s="1">
        <v>88046</v>
      </c>
      <c r="BF64" s="121">
        <f t="shared" si="2"/>
        <v>845681</v>
      </c>
      <c r="CC64" s="125">
        <f t="shared" si="3"/>
        <v>0</v>
      </c>
      <c r="CD64" s="1">
        <v>12006</v>
      </c>
      <c r="CK64" s="124">
        <f t="shared" si="4"/>
        <v>12006</v>
      </c>
      <c r="CV64" s="129">
        <v>1047661</v>
      </c>
    </row>
    <row r="65" spans="1:100" ht="12.75" customHeight="1">
      <c r="A65" s="1">
        <v>3</v>
      </c>
      <c r="B65" s="1">
        <v>2900</v>
      </c>
      <c r="C65" s="1" t="s">
        <v>1544</v>
      </c>
      <c r="D65" s="5" t="s">
        <v>1580</v>
      </c>
      <c r="E65" t="s">
        <v>463</v>
      </c>
      <c r="F65" s="26">
        <v>3394.5</v>
      </c>
      <c r="G65" s="78">
        <v>45107181</v>
      </c>
      <c r="H65" s="78">
        <v>572439</v>
      </c>
      <c r="M65" s="1">
        <v>2844069</v>
      </c>
      <c r="O65" s="117">
        <f t="shared" si="0"/>
        <v>48523689</v>
      </c>
      <c r="V65" s="1">
        <v>756729</v>
      </c>
      <c r="W65" s="1">
        <v>2519918</v>
      </c>
      <c r="X65" s="1">
        <v>49128</v>
      </c>
      <c r="AC65" s="1">
        <v>203801</v>
      </c>
      <c r="AD65" s="1">
        <v>135321</v>
      </c>
      <c r="AE65" s="1">
        <v>103833</v>
      </c>
      <c r="AF65" s="1">
        <v>39607</v>
      </c>
      <c r="AG65" s="1">
        <v>2916813</v>
      </c>
      <c r="AH65" s="1">
        <v>1664800</v>
      </c>
      <c r="AU65" s="1">
        <v>58642</v>
      </c>
      <c r="AV65" s="116">
        <f t="shared" si="1"/>
        <v>8448592</v>
      </c>
      <c r="BC65" s="1">
        <v>132248</v>
      </c>
      <c r="BD65" s="1">
        <v>639808</v>
      </c>
      <c r="BE65" s="1">
        <v>164346</v>
      </c>
      <c r="BF65" s="121">
        <f t="shared" si="2"/>
        <v>936402</v>
      </c>
      <c r="BI65" s="1">
        <v>6950</v>
      </c>
      <c r="BN65" s="1">
        <v>34258</v>
      </c>
      <c r="BO65" s="1">
        <v>60145</v>
      </c>
      <c r="CC65" s="125">
        <f t="shared" si="3"/>
        <v>101353</v>
      </c>
      <c r="CK65" s="124">
        <f t="shared" si="4"/>
        <v>0</v>
      </c>
      <c r="CV65" s="129">
        <v>995044</v>
      </c>
    </row>
    <row r="66" spans="1:100" ht="12.75" customHeight="1">
      <c r="A66" s="1">
        <v>3</v>
      </c>
      <c r="B66" s="1">
        <v>3060</v>
      </c>
      <c r="C66" s="1" t="s">
        <v>1544</v>
      </c>
      <c r="D66" s="5" t="s">
        <v>1581</v>
      </c>
      <c r="E66" t="s">
        <v>464</v>
      </c>
      <c r="F66" s="26">
        <v>860</v>
      </c>
      <c r="G66" s="78">
        <v>13037857</v>
      </c>
      <c r="L66" s="1">
        <v>1000</v>
      </c>
      <c r="M66" s="1">
        <v>642041</v>
      </c>
      <c r="O66" s="117">
        <f t="shared" si="0"/>
        <v>13680898</v>
      </c>
      <c r="W66" s="1">
        <v>972595</v>
      </c>
      <c r="X66" s="1">
        <v>4874</v>
      </c>
      <c r="AC66" s="1">
        <v>69167</v>
      </c>
      <c r="AD66" s="1">
        <v>123106</v>
      </c>
      <c r="AE66" s="1">
        <v>33298</v>
      </c>
      <c r="AF66" s="1">
        <v>9739</v>
      </c>
      <c r="AG66" s="1">
        <v>734197</v>
      </c>
      <c r="AH66" s="1">
        <v>372924</v>
      </c>
      <c r="AO66" s="1">
        <v>9357</v>
      </c>
      <c r="AT66" s="1">
        <v>5018140</v>
      </c>
      <c r="AU66" s="1">
        <v>16326</v>
      </c>
      <c r="AV66" s="116">
        <f t="shared" si="1"/>
        <v>7363723</v>
      </c>
      <c r="BC66" s="1">
        <v>67732</v>
      </c>
      <c r="BD66" s="1">
        <v>239985</v>
      </c>
      <c r="BE66" s="1">
        <v>37358</v>
      </c>
      <c r="BF66" s="121">
        <f t="shared" si="2"/>
        <v>345075</v>
      </c>
      <c r="BO66" s="1">
        <v>274395</v>
      </c>
      <c r="BP66" s="1">
        <v>92992</v>
      </c>
      <c r="CA66" s="1">
        <v>302344</v>
      </c>
      <c r="CC66" s="125">
        <f t="shared" si="3"/>
        <v>669731</v>
      </c>
      <c r="CK66" s="124">
        <f t="shared" si="4"/>
        <v>0</v>
      </c>
      <c r="CM66" s="23">
        <v>2249</v>
      </c>
      <c r="CN66" s="23">
        <v>2042000</v>
      </c>
      <c r="CV66" s="129">
        <v>371758</v>
      </c>
    </row>
    <row r="67" spans="1:100" ht="12.75" customHeight="1">
      <c r="A67" s="1">
        <v>3</v>
      </c>
      <c r="B67" s="1">
        <v>3170</v>
      </c>
      <c r="C67" s="1" t="s">
        <v>1544</v>
      </c>
      <c r="D67" s="5" t="s">
        <v>1582</v>
      </c>
      <c r="E67" t="s">
        <v>465</v>
      </c>
      <c r="F67" s="26">
        <v>1131</v>
      </c>
      <c r="G67" s="78">
        <v>14448910</v>
      </c>
      <c r="H67" s="78">
        <v>164665</v>
      </c>
      <c r="M67" s="1">
        <v>450590</v>
      </c>
      <c r="O67" s="117">
        <f t="shared" si="0"/>
        <v>15064165</v>
      </c>
      <c r="W67" s="1">
        <v>857702</v>
      </c>
      <c r="AC67" s="1">
        <v>86138</v>
      </c>
      <c r="AD67" s="1">
        <v>124203</v>
      </c>
      <c r="AE67" s="1">
        <v>29457</v>
      </c>
      <c r="AF67" s="1">
        <v>2217</v>
      </c>
      <c r="AG67" s="1">
        <v>1075650</v>
      </c>
      <c r="AH67" s="1">
        <v>604059</v>
      </c>
      <c r="AT67" s="1">
        <v>978</v>
      </c>
      <c r="AU67" s="1">
        <v>165493</v>
      </c>
      <c r="AV67" s="116">
        <f t="shared" si="1"/>
        <v>2945897</v>
      </c>
      <c r="BC67" s="1">
        <v>30940</v>
      </c>
      <c r="BD67" s="1">
        <v>285512</v>
      </c>
      <c r="BE67" s="1">
        <v>50870</v>
      </c>
      <c r="BF67" s="121">
        <f t="shared" si="2"/>
        <v>367322</v>
      </c>
      <c r="BO67" s="1">
        <v>4637</v>
      </c>
      <c r="BP67" s="1">
        <v>1351171</v>
      </c>
      <c r="CA67" s="1">
        <v>51</v>
      </c>
      <c r="CC67" s="125">
        <f t="shared" si="3"/>
        <v>1355859</v>
      </c>
      <c r="CD67" s="1">
        <v>63395</v>
      </c>
      <c r="CK67" s="124">
        <f t="shared" si="4"/>
        <v>63395</v>
      </c>
      <c r="CV67" s="129">
        <v>532815</v>
      </c>
    </row>
    <row r="68" spans="1:100" ht="12.75" customHeight="1">
      <c r="A68" s="1">
        <v>3</v>
      </c>
      <c r="B68" s="1">
        <v>3330</v>
      </c>
      <c r="C68" s="1" t="s">
        <v>1544</v>
      </c>
      <c r="D68" s="5" t="s">
        <v>1583</v>
      </c>
      <c r="E68" t="s">
        <v>466</v>
      </c>
      <c r="F68" s="26">
        <v>1007</v>
      </c>
      <c r="G68" s="78">
        <v>11418991</v>
      </c>
      <c r="H68" s="78">
        <v>133721</v>
      </c>
      <c r="L68" s="1">
        <v>3826</v>
      </c>
      <c r="M68" s="1">
        <v>547552</v>
      </c>
      <c r="O68" s="117">
        <f t="shared" si="0"/>
        <v>12104090</v>
      </c>
      <c r="W68" s="1">
        <v>610682</v>
      </c>
      <c r="AC68" s="1">
        <v>37875</v>
      </c>
      <c r="AD68" s="1">
        <v>60967</v>
      </c>
      <c r="AE68" s="1">
        <v>20149</v>
      </c>
      <c r="AF68" s="1">
        <v>53910</v>
      </c>
      <c r="AG68" s="1">
        <v>991490</v>
      </c>
      <c r="AH68" s="1">
        <v>510958</v>
      </c>
      <c r="AV68" s="116">
        <f t="shared" si="1"/>
        <v>2286031</v>
      </c>
      <c r="BD68" s="1">
        <v>183529</v>
      </c>
      <c r="BE68" s="1">
        <v>26298</v>
      </c>
      <c r="BF68" s="121">
        <f t="shared" si="2"/>
        <v>209827</v>
      </c>
      <c r="BH68" s="1">
        <v>844</v>
      </c>
      <c r="BI68" s="1">
        <v>56</v>
      </c>
      <c r="BM68" s="1">
        <v>37967</v>
      </c>
      <c r="BO68" s="1">
        <v>4035</v>
      </c>
      <c r="CB68" s="1">
        <v>2371000</v>
      </c>
      <c r="CC68" s="125">
        <f t="shared" si="3"/>
        <v>2413902</v>
      </c>
      <c r="CK68" s="124">
        <f t="shared" si="4"/>
        <v>0</v>
      </c>
      <c r="CT68" s="23">
        <v>1892</v>
      </c>
      <c r="CV68" s="129">
        <v>215545</v>
      </c>
    </row>
    <row r="69" spans="1:100" ht="12.75" customHeight="1">
      <c r="A69" s="1">
        <v>3</v>
      </c>
      <c r="B69" s="1">
        <v>3350</v>
      </c>
      <c r="C69" s="1" t="s">
        <v>1544</v>
      </c>
      <c r="D69" s="5" t="s">
        <v>1584</v>
      </c>
      <c r="E69" t="s">
        <v>467</v>
      </c>
      <c r="F69" s="26">
        <v>264</v>
      </c>
      <c r="G69" s="78">
        <v>5527255</v>
      </c>
      <c r="M69" s="1">
        <v>362116</v>
      </c>
      <c r="O69" s="117">
        <f t="shared" ref="O69:O132" si="5">SUM(G69:N69)</f>
        <v>5889371</v>
      </c>
      <c r="V69" s="1">
        <v>107383</v>
      </c>
      <c r="W69" s="1">
        <v>362968</v>
      </c>
      <c r="X69" s="1">
        <v>14016</v>
      </c>
      <c r="AC69" s="1">
        <v>12931</v>
      </c>
      <c r="AD69" s="1">
        <v>40158</v>
      </c>
      <c r="AE69" s="1">
        <v>16122</v>
      </c>
      <c r="AF69" s="1">
        <v>2320</v>
      </c>
      <c r="AG69" s="1">
        <v>136369</v>
      </c>
      <c r="AH69" s="1">
        <v>171797</v>
      </c>
      <c r="AO69" s="1">
        <v>12891</v>
      </c>
      <c r="AU69" s="1">
        <v>4500</v>
      </c>
      <c r="AV69" s="116">
        <f t="shared" ref="AV69:AV132" si="6">SUM(P69:AU69)</f>
        <v>881455</v>
      </c>
      <c r="BC69" s="1">
        <v>50558</v>
      </c>
      <c r="BD69" s="1">
        <v>92421</v>
      </c>
      <c r="BE69" s="1">
        <v>13538</v>
      </c>
      <c r="BF69" s="121">
        <f t="shared" ref="BF69:BF132" si="7">SUM(AW69:BE69)</f>
        <v>156517</v>
      </c>
      <c r="BH69" s="1">
        <v>345</v>
      </c>
      <c r="BO69" s="1">
        <v>41074</v>
      </c>
      <c r="BP69" s="1">
        <v>107211</v>
      </c>
      <c r="CC69" s="125">
        <f t="shared" ref="CC69:CC132" si="8">SUM(BG69:CB69)</f>
        <v>148630</v>
      </c>
      <c r="CD69" s="1">
        <v>243997</v>
      </c>
      <c r="CK69" s="124">
        <f t="shared" ref="CK69:CK132" si="9">SUM(CD69:CJ69)</f>
        <v>243997</v>
      </c>
      <c r="CV69" s="129">
        <v>173908</v>
      </c>
    </row>
    <row r="70" spans="1:100" ht="12.75" customHeight="1">
      <c r="A70" s="1">
        <v>3</v>
      </c>
      <c r="B70" s="1">
        <v>3550</v>
      </c>
      <c r="C70" s="1" t="s">
        <v>1544</v>
      </c>
      <c r="D70" s="5" t="s">
        <v>1585</v>
      </c>
      <c r="E70" t="s">
        <v>468</v>
      </c>
      <c r="F70" s="26">
        <v>1989.5</v>
      </c>
      <c r="G70" s="78">
        <v>22156722</v>
      </c>
      <c r="H70" s="78">
        <v>195304</v>
      </c>
      <c r="M70" s="1">
        <v>539088</v>
      </c>
      <c r="O70" s="117">
        <f t="shared" si="5"/>
        <v>22891114</v>
      </c>
      <c r="V70" s="1">
        <v>126397</v>
      </c>
      <c r="W70" s="1">
        <v>1387088</v>
      </c>
      <c r="X70" s="1">
        <v>69074</v>
      </c>
      <c r="AC70" s="1">
        <v>127019</v>
      </c>
      <c r="AD70" s="1">
        <v>215271</v>
      </c>
      <c r="AE70" s="1">
        <v>54677</v>
      </c>
      <c r="AG70" s="1">
        <v>1955709</v>
      </c>
      <c r="AH70" s="1">
        <v>789590</v>
      </c>
      <c r="AI70" s="1">
        <v>13548</v>
      </c>
      <c r="AO70" s="1">
        <v>24734</v>
      </c>
      <c r="AT70" s="1">
        <v>9150</v>
      </c>
      <c r="AU70" s="1">
        <v>500445</v>
      </c>
      <c r="AV70" s="116">
        <f t="shared" si="6"/>
        <v>5272702</v>
      </c>
      <c r="BC70" s="1">
        <v>87309</v>
      </c>
      <c r="BD70" s="1">
        <v>741940</v>
      </c>
      <c r="BE70" s="1">
        <v>65800</v>
      </c>
      <c r="BF70" s="121">
        <f t="shared" si="7"/>
        <v>895049</v>
      </c>
      <c r="BG70" s="1">
        <v>163000</v>
      </c>
      <c r="BI70" s="1">
        <v>7549</v>
      </c>
      <c r="BM70" s="1">
        <v>4503</v>
      </c>
      <c r="BO70" s="1">
        <v>23321</v>
      </c>
      <c r="BP70" s="1">
        <v>3887</v>
      </c>
      <c r="CA70" s="1">
        <v>3809</v>
      </c>
      <c r="CC70" s="125">
        <f t="shared" si="8"/>
        <v>206069</v>
      </c>
      <c r="CK70" s="124">
        <f t="shared" si="9"/>
        <v>0</v>
      </c>
      <c r="CV70" s="129">
        <v>1420228</v>
      </c>
    </row>
    <row r="71" spans="1:100" ht="12.75" customHeight="1">
      <c r="A71" s="1">
        <v>3</v>
      </c>
      <c r="B71" s="1">
        <v>3600</v>
      </c>
      <c r="C71" s="1" t="s">
        <v>1544</v>
      </c>
      <c r="D71" s="5" t="s">
        <v>1586</v>
      </c>
      <c r="E71" t="s">
        <v>469</v>
      </c>
      <c r="F71" s="26">
        <v>1577</v>
      </c>
      <c r="G71" s="78">
        <v>17526121</v>
      </c>
      <c r="H71" s="78">
        <v>213745</v>
      </c>
      <c r="L71" s="1">
        <v>11170</v>
      </c>
      <c r="M71" s="1">
        <v>1009797</v>
      </c>
      <c r="O71" s="117">
        <f t="shared" si="5"/>
        <v>18760833</v>
      </c>
      <c r="V71" s="1">
        <v>134920</v>
      </c>
      <c r="W71" s="1">
        <v>1194232</v>
      </c>
      <c r="X71" s="1">
        <v>120304</v>
      </c>
      <c r="AC71" s="1">
        <v>60581</v>
      </c>
      <c r="AD71" s="1">
        <v>160411</v>
      </c>
      <c r="AE71" s="1">
        <v>49524</v>
      </c>
      <c r="AF71" s="1">
        <v>4109</v>
      </c>
      <c r="AG71" s="1">
        <v>1351412</v>
      </c>
      <c r="AH71" s="1">
        <v>617441</v>
      </c>
      <c r="AO71" s="1">
        <v>40929</v>
      </c>
      <c r="AT71" s="1">
        <v>234561</v>
      </c>
      <c r="AU71" s="1">
        <v>389948</v>
      </c>
      <c r="AV71" s="116">
        <f t="shared" si="6"/>
        <v>4358372</v>
      </c>
      <c r="AZ71" s="1">
        <v>69902</v>
      </c>
      <c r="BC71" s="1">
        <v>92771</v>
      </c>
      <c r="BD71" s="1">
        <v>467136</v>
      </c>
      <c r="BE71" s="1">
        <v>93682</v>
      </c>
      <c r="BF71" s="121">
        <f t="shared" si="7"/>
        <v>723491</v>
      </c>
      <c r="BG71" s="1">
        <v>115333</v>
      </c>
      <c r="BO71" s="1">
        <v>100963</v>
      </c>
      <c r="CC71" s="125">
        <f t="shared" si="8"/>
        <v>216296</v>
      </c>
      <c r="CK71" s="124">
        <f t="shared" si="9"/>
        <v>0</v>
      </c>
      <c r="CV71" s="129">
        <v>1165538</v>
      </c>
    </row>
    <row r="72" spans="1:100" ht="12.75" customHeight="1">
      <c r="A72" s="1">
        <v>3</v>
      </c>
      <c r="B72" s="1">
        <v>3700</v>
      </c>
      <c r="C72" s="1" t="s">
        <v>1544</v>
      </c>
      <c r="D72" s="5" t="s">
        <v>1587</v>
      </c>
      <c r="E72" t="s">
        <v>470</v>
      </c>
      <c r="F72" s="26">
        <v>1268.5</v>
      </c>
      <c r="G72" s="78">
        <v>16298379</v>
      </c>
      <c r="H72" s="78">
        <v>251891</v>
      </c>
      <c r="M72" s="1">
        <v>1441219</v>
      </c>
      <c r="O72" s="117">
        <f t="shared" si="5"/>
        <v>17991489</v>
      </c>
      <c r="V72" s="1">
        <v>260888</v>
      </c>
      <c r="W72" s="1">
        <v>318012</v>
      </c>
      <c r="X72" s="1">
        <v>13962</v>
      </c>
      <c r="AC72" s="1">
        <v>69274</v>
      </c>
      <c r="AD72" s="1">
        <v>74019</v>
      </c>
      <c r="AE72" s="1">
        <v>20006</v>
      </c>
      <c r="AF72" s="1">
        <v>125770</v>
      </c>
      <c r="AG72" s="1">
        <v>1452064</v>
      </c>
      <c r="AH72" s="1">
        <v>745206</v>
      </c>
      <c r="AI72" s="1">
        <v>7322</v>
      </c>
      <c r="AV72" s="116">
        <f t="shared" si="6"/>
        <v>3086523</v>
      </c>
      <c r="BD72" s="1">
        <v>159173</v>
      </c>
      <c r="BE72" s="1">
        <v>20195</v>
      </c>
      <c r="BF72" s="121">
        <f t="shared" si="7"/>
        <v>179368</v>
      </c>
      <c r="BO72" s="1">
        <v>4883</v>
      </c>
      <c r="CC72" s="125">
        <f t="shared" si="8"/>
        <v>4883</v>
      </c>
      <c r="CD72" s="1">
        <v>3288700</v>
      </c>
      <c r="CK72" s="124">
        <f t="shared" si="9"/>
        <v>3288700</v>
      </c>
      <c r="CV72" s="129">
        <v>179368</v>
      </c>
    </row>
    <row r="73" spans="1:100" ht="12.75" customHeight="1">
      <c r="A73" s="1">
        <v>3</v>
      </c>
      <c r="B73" s="1">
        <v>3710</v>
      </c>
      <c r="C73" s="1" t="s">
        <v>1544</v>
      </c>
      <c r="D73" s="5" t="s">
        <v>1588</v>
      </c>
      <c r="E73" t="s">
        <v>471</v>
      </c>
      <c r="F73" s="26">
        <v>2453</v>
      </c>
      <c r="G73" s="78">
        <v>37517322</v>
      </c>
      <c r="H73" s="78">
        <v>953541</v>
      </c>
      <c r="M73" s="1">
        <v>1117715</v>
      </c>
      <c r="O73" s="117">
        <f t="shared" si="5"/>
        <v>39588578</v>
      </c>
      <c r="V73" s="1">
        <v>273847</v>
      </c>
      <c r="W73" s="1">
        <v>1232560</v>
      </c>
      <c r="X73" s="1">
        <v>25984</v>
      </c>
      <c r="Y73" s="78">
        <v>35026</v>
      </c>
      <c r="AC73" s="1">
        <v>171728</v>
      </c>
      <c r="AD73" s="1">
        <v>183891</v>
      </c>
      <c r="AE73" s="1">
        <v>52539</v>
      </c>
      <c r="AF73" s="1">
        <v>143358</v>
      </c>
      <c r="AG73" s="1">
        <v>3247706</v>
      </c>
      <c r="AH73" s="1">
        <v>1744936</v>
      </c>
      <c r="AU73" s="1">
        <v>120116</v>
      </c>
      <c r="AV73" s="116">
        <f t="shared" si="6"/>
        <v>7231691</v>
      </c>
      <c r="BC73" s="1">
        <v>68545</v>
      </c>
      <c r="BD73" s="1">
        <v>269284</v>
      </c>
      <c r="BE73" s="1">
        <v>340018</v>
      </c>
      <c r="BF73" s="121">
        <f t="shared" si="7"/>
        <v>677847</v>
      </c>
      <c r="BI73" s="1">
        <v>423047</v>
      </c>
      <c r="BO73" s="1">
        <v>34578</v>
      </c>
      <c r="CA73" s="1">
        <v>2051374</v>
      </c>
      <c r="CC73" s="125">
        <f t="shared" si="8"/>
        <v>2508999</v>
      </c>
      <c r="CK73" s="124">
        <f t="shared" si="9"/>
        <v>0</v>
      </c>
      <c r="CV73" s="129">
        <v>797963</v>
      </c>
    </row>
    <row r="74" spans="1:100" ht="12.75" customHeight="1">
      <c r="A74" s="1">
        <v>3</v>
      </c>
      <c r="B74" s="1">
        <v>3730</v>
      </c>
      <c r="C74" s="1" t="s">
        <v>1544</v>
      </c>
      <c r="D74" s="5" t="s">
        <v>1589</v>
      </c>
      <c r="E74" t="s">
        <v>472</v>
      </c>
      <c r="F74" s="26">
        <v>577</v>
      </c>
      <c r="G74" s="78">
        <v>6362000</v>
      </c>
      <c r="H74" s="78">
        <v>30478</v>
      </c>
      <c r="L74" s="1">
        <v>37375</v>
      </c>
      <c r="M74" s="1">
        <v>445807</v>
      </c>
      <c r="N74" s="1">
        <v>2861</v>
      </c>
      <c r="O74" s="117">
        <f t="shared" si="5"/>
        <v>6878521</v>
      </c>
      <c r="V74" s="1">
        <v>7781</v>
      </c>
      <c r="W74" s="1">
        <v>204920</v>
      </c>
      <c r="X74" s="1">
        <v>22210</v>
      </c>
      <c r="Y74" s="78">
        <v>47315</v>
      </c>
      <c r="AC74" s="1">
        <v>57800</v>
      </c>
      <c r="AD74" s="1">
        <v>61882</v>
      </c>
      <c r="AE74" s="1">
        <v>10323</v>
      </c>
      <c r="AF74" s="1">
        <v>26861</v>
      </c>
      <c r="AG74" s="1">
        <v>581317</v>
      </c>
      <c r="AH74" s="1">
        <v>255326</v>
      </c>
      <c r="AV74" s="116">
        <f t="shared" si="6"/>
        <v>1275735</v>
      </c>
      <c r="BD74" s="1">
        <v>110156</v>
      </c>
      <c r="BE74" s="1">
        <v>33072</v>
      </c>
      <c r="BF74" s="121">
        <f t="shared" si="7"/>
        <v>143228</v>
      </c>
      <c r="CA74" s="1">
        <v>14143</v>
      </c>
      <c r="CC74" s="125">
        <f t="shared" si="8"/>
        <v>14143</v>
      </c>
      <c r="CD74" s="1">
        <v>186288</v>
      </c>
      <c r="CK74" s="124">
        <f t="shared" si="9"/>
        <v>186288</v>
      </c>
      <c r="CV74" s="129">
        <v>180603</v>
      </c>
    </row>
    <row r="75" spans="1:100" ht="12.75" customHeight="1">
      <c r="A75" s="1">
        <v>3</v>
      </c>
      <c r="B75" s="1">
        <v>3740</v>
      </c>
      <c r="C75" s="1" t="s">
        <v>1544</v>
      </c>
      <c r="D75" s="5" t="s">
        <v>1590</v>
      </c>
      <c r="E75" t="s">
        <v>473</v>
      </c>
      <c r="F75" s="26">
        <v>641</v>
      </c>
      <c r="G75" s="78">
        <v>7119914</v>
      </c>
      <c r="H75" s="78">
        <v>36675</v>
      </c>
      <c r="M75" s="1">
        <v>428632</v>
      </c>
      <c r="O75" s="117">
        <f t="shared" si="5"/>
        <v>7585221</v>
      </c>
      <c r="V75" s="1">
        <v>55490</v>
      </c>
      <c r="W75" s="1">
        <v>457301</v>
      </c>
      <c r="Y75" s="78">
        <v>61099</v>
      </c>
      <c r="AC75" s="1">
        <v>59974</v>
      </c>
      <c r="AD75" s="1">
        <v>42770</v>
      </c>
      <c r="AE75" s="1">
        <v>18500</v>
      </c>
      <c r="AF75" s="1">
        <v>5202</v>
      </c>
      <c r="AG75" s="1">
        <v>541711</v>
      </c>
      <c r="AH75" s="1">
        <v>264601</v>
      </c>
      <c r="AT75" s="1">
        <v>1076249</v>
      </c>
      <c r="AU75" s="1">
        <v>125052</v>
      </c>
      <c r="AV75" s="116">
        <f t="shared" si="6"/>
        <v>2707949</v>
      </c>
      <c r="BD75" s="1">
        <v>172344</v>
      </c>
      <c r="BF75" s="121">
        <f t="shared" si="7"/>
        <v>172344</v>
      </c>
      <c r="BO75" s="1">
        <v>3730</v>
      </c>
      <c r="CA75" s="1">
        <v>238414</v>
      </c>
      <c r="CC75" s="125">
        <f t="shared" si="8"/>
        <v>242144</v>
      </c>
      <c r="CD75" s="1">
        <v>14550</v>
      </c>
      <c r="CK75" s="124">
        <f t="shared" si="9"/>
        <v>14550</v>
      </c>
      <c r="CV75" s="129">
        <v>297396</v>
      </c>
    </row>
    <row r="76" spans="1:100" ht="12.75" customHeight="1">
      <c r="A76" s="1">
        <v>3</v>
      </c>
      <c r="B76" s="1">
        <v>3760</v>
      </c>
      <c r="C76" s="1" t="s">
        <v>1544</v>
      </c>
      <c r="D76" s="5" t="s">
        <v>1591</v>
      </c>
      <c r="E76" t="s">
        <v>474</v>
      </c>
      <c r="F76" s="26">
        <v>1722</v>
      </c>
      <c r="G76" s="78">
        <v>21459443</v>
      </c>
      <c r="O76" s="117">
        <f t="shared" si="5"/>
        <v>21459443</v>
      </c>
      <c r="W76" s="1">
        <v>892731</v>
      </c>
      <c r="AC76" s="1">
        <v>87224</v>
      </c>
      <c r="AD76" s="1">
        <v>98574</v>
      </c>
      <c r="AE76" s="1">
        <v>29739</v>
      </c>
      <c r="AF76" s="1">
        <v>9282</v>
      </c>
      <c r="AG76" s="1">
        <v>1945335</v>
      </c>
      <c r="AH76" s="1">
        <v>787246</v>
      </c>
      <c r="AU76" s="1">
        <v>143804</v>
      </c>
      <c r="AV76" s="116">
        <f t="shared" si="6"/>
        <v>3993935</v>
      </c>
      <c r="BD76" s="1">
        <v>371324</v>
      </c>
      <c r="BE76" s="1">
        <v>36339</v>
      </c>
      <c r="BF76" s="121">
        <f t="shared" si="7"/>
        <v>407663</v>
      </c>
      <c r="BN76" s="1">
        <v>84313</v>
      </c>
      <c r="BP76" s="1">
        <v>180725</v>
      </c>
      <c r="CA76" s="1">
        <v>64131</v>
      </c>
      <c r="CC76" s="125">
        <f t="shared" si="8"/>
        <v>329169</v>
      </c>
      <c r="CK76" s="124">
        <f t="shared" si="9"/>
        <v>0</v>
      </c>
      <c r="CM76" s="23">
        <v>2733000</v>
      </c>
      <c r="CV76" s="129">
        <v>551467</v>
      </c>
    </row>
    <row r="77" spans="1:100" ht="12.75" customHeight="1">
      <c r="A77" s="1">
        <v>3</v>
      </c>
      <c r="B77" s="1">
        <v>3850</v>
      </c>
      <c r="C77" s="1" t="s">
        <v>1544</v>
      </c>
      <c r="D77" s="5" t="s">
        <v>1592</v>
      </c>
      <c r="E77" t="s">
        <v>475</v>
      </c>
      <c r="F77" s="26">
        <v>869</v>
      </c>
      <c r="G77" s="78">
        <v>10284928</v>
      </c>
      <c r="H77" s="78">
        <v>190333</v>
      </c>
      <c r="L77" s="1">
        <v>27525</v>
      </c>
      <c r="M77" s="1">
        <v>702834</v>
      </c>
      <c r="O77" s="117">
        <f t="shared" si="5"/>
        <v>11205620</v>
      </c>
      <c r="V77" s="1">
        <v>88321</v>
      </c>
      <c r="W77" s="1">
        <v>82197</v>
      </c>
      <c r="X77" s="1">
        <v>72</v>
      </c>
      <c r="Y77" s="78">
        <v>360438</v>
      </c>
      <c r="AC77" s="1">
        <v>42523</v>
      </c>
      <c r="AD77" s="1">
        <v>49055</v>
      </c>
      <c r="AE77" s="1">
        <v>17402</v>
      </c>
      <c r="AF77" s="1">
        <v>14352</v>
      </c>
      <c r="AG77" s="1">
        <v>684152</v>
      </c>
      <c r="AH77" s="1">
        <v>354270</v>
      </c>
      <c r="AP77" s="1">
        <v>210789</v>
      </c>
      <c r="AT77" s="1">
        <v>151652</v>
      </c>
      <c r="AU77" s="1">
        <v>5000</v>
      </c>
      <c r="AV77" s="116">
        <f t="shared" si="6"/>
        <v>2060223</v>
      </c>
      <c r="BD77" s="1">
        <v>147568</v>
      </c>
      <c r="BE77" s="1">
        <v>4556</v>
      </c>
      <c r="BF77" s="121">
        <f t="shared" si="7"/>
        <v>152124</v>
      </c>
      <c r="CA77" s="1">
        <v>17</v>
      </c>
      <c r="CC77" s="125">
        <f t="shared" si="8"/>
        <v>17</v>
      </c>
      <c r="CD77" s="1">
        <v>22529</v>
      </c>
      <c r="CK77" s="124">
        <f t="shared" si="9"/>
        <v>22529</v>
      </c>
      <c r="CV77" s="129">
        <v>184649</v>
      </c>
    </row>
    <row r="78" spans="1:100" ht="12.75" customHeight="1">
      <c r="A78" s="1">
        <v>3</v>
      </c>
      <c r="B78" s="1">
        <v>3870</v>
      </c>
      <c r="C78" s="1" t="s">
        <v>1544</v>
      </c>
      <c r="D78" s="5" t="s">
        <v>1593</v>
      </c>
      <c r="E78" t="s">
        <v>476</v>
      </c>
      <c r="F78" s="26">
        <v>791</v>
      </c>
      <c r="G78" s="78">
        <v>7681644</v>
      </c>
      <c r="H78" s="78">
        <v>45889</v>
      </c>
      <c r="M78" s="1">
        <v>1331741</v>
      </c>
      <c r="O78" s="117">
        <f t="shared" si="5"/>
        <v>9059274</v>
      </c>
      <c r="V78" s="1">
        <v>19263</v>
      </c>
      <c r="W78" s="1">
        <v>404414</v>
      </c>
      <c r="X78" s="1">
        <v>19856</v>
      </c>
      <c r="AC78" s="1">
        <v>32894</v>
      </c>
      <c r="AD78" s="1">
        <v>29289</v>
      </c>
      <c r="AE78" s="1">
        <v>14185</v>
      </c>
      <c r="AF78" s="1">
        <v>37620</v>
      </c>
      <c r="AG78" s="1">
        <v>521165</v>
      </c>
      <c r="AH78" s="1">
        <v>306076</v>
      </c>
      <c r="AT78" s="1">
        <v>2197568</v>
      </c>
      <c r="AU78" s="1">
        <v>126385</v>
      </c>
      <c r="AV78" s="116">
        <f t="shared" si="6"/>
        <v>3708715</v>
      </c>
      <c r="BD78" s="1">
        <v>194029</v>
      </c>
      <c r="BE78" s="1">
        <v>26494</v>
      </c>
      <c r="BF78" s="121">
        <f t="shared" si="7"/>
        <v>220523</v>
      </c>
      <c r="BO78" s="1">
        <v>3</v>
      </c>
      <c r="CA78" s="1">
        <v>117418</v>
      </c>
      <c r="CC78" s="125">
        <f t="shared" si="8"/>
        <v>117421</v>
      </c>
      <c r="CD78" s="1">
        <v>36942</v>
      </c>
      <c r="CK78" s="124">
        <f t="shared" si="9"/>
        <v>36942</v>
      </c>
      <c r="CV78" s="129">
        <v>346908</v>
      </c>
    </row>
    <row r="79" spans="1:100" ht="12.75" customHeight="1">
      <c r="A79" s="1">
        <v>3</v>
      </c>
      <c r="B79" s="1">
        <v>3910</v>
      </c>
      <c r="C79" s="1" t="s">
        <v>1544</v>
      </c>
      <c r="D79" s="5" t="s">
        <v>1594</v>
      </c>
      <c r="E79" t="s">
        <v>477</v>
      </c>
      <c r="F79" s="26">
        <v>1518</v>
      </c>
      <c r="G79" s="78">
        <v>16269671</v>
      </c>
      <c r="H79" s="78">
        <v>225358</v>
      </c>
      <c r="M79" s="1">
        <v>551878</v>
      </c>
      <c r="O79" s="117">
        <f t="shared" si="5"/>
        <v>17046907</v>
      </c>
      <c r="V79" s="1">
        <v>60899</v>
      </c>
      <c r="W79" s="1">
        <v>830472</v>
      </c>
      <c r="X79" s="1">
        <v>287436</v>
      </c>
      <c r="Y79" s="78">
        <v>176935</v>
      </c>
      <c r="AC79" s="1">
        <v>74646</v>
      </c>
      <c r="AD79" s="1">
        <v>158050</v>
      </c>
      <c r="AE79" s="1">
        <v>44713</v>
      </c>
      <c r="AF79" s="1">
        <v>7568</v>
      </c>
      <c r="AG79" s="1">
        <v>1350234</v>
      </c>
      <c r="AH79" s="1">
        <v>668646</v>
      </c>
      <c r="AM79" s="1">
        <v>136310</v>
      </c>
      <c r="AO79" s="1">
        <v>11034</v>
      </c>
      <c r="AU79" s="1">
        <v>102515</v>
      </c>
      <c r="AV79" s="116">
        <f t="shared" si="6"/>
        <v>3909458</v>
      </c>
      <c r="BC79" s="1">
        <v>228197</v>
      </c>
      <c r="BD79" s="1">
        <v>311841</v>
      </c>
      <c r="BE79" s="1">
        <v>159995</v>
      </c>
      <c r="BF79" s="121">
        <f t="shared" si="7"/>
        <v>700033</v>
      </c>
      <c r="BI79" s="1">
        <v>18000</v>
      </c>
      <c r="BO79" s="1">
        <v>4946</v>
      </c>
      <c r="CA79" s="1">
        <v>44005</v>
      </c>
      <c r="CC79" s="125">
        <f t="shared" si="8"/>
        <v>66951</v>
      </c>
      <c r="CK79" s="124">
        <f t="shared" si="9"/>
        <v>0</v>
      </c>
      <c r="CV79" s="129">
        <v>949892</v>
      </c>
    </row>
    <row r="80" spans="1:100" ht="12.75" customHeight="1">
      <c r="A80" s="1">
        <v>3</v>
      </c>
      <c r="B80" s="1">
        <v>3930</v>
      </c>
      <c r="C80" s="1" t="s">
        <v>1544</v>
      </c>
      <c r="D80" s="5" t="s">
        <v>1595</v>
      </c>
      <c r="E80" t="s">
        <v>478</v>
      </c>
      <c r="F80" s="26">
        <v>4292.5</v>
      </c>
      <c r="G80" s="78">
        <v>57512840</v>
      </c>
      <c r="H80" s="78">
        <v>1221599</v>
      </c>
      <c r="L80" s="1">
        <v>52234</v>
      </c>
      <c r="M80" s="1">
        <v>3331654</v>
      </c>
      <c r="O80" s="117">
        <f t="shared" si="5"/>
        <v>62118327</v>
      </c>
      <c r="V80" s="1">
        <v>14258</v>
      </c>
      <c r="W80" s="1">
        <v>2612975</v>
      </c>
      <c r="X80" s="1">
        <v>249718</v>
      </c>
      <c r="AC80" s="1">
        <v>128462</v>
      </c>
      <c r="AD80" s="1">
        <v>477611</v>
      </c>
      <c r="AE80" s="1">
        <v>100637</v>
      </c>
      <c r="AF80" s="1">
        <v>32523</v>
      </c>
      <c r="AG80" s="1">
        <v>4684736</v>
      </c>
      <c r="AH80" s="1">
        <v>2051862</v>
      </c>
      <c r="AP80" s="1">
        <v>230235</v>
      </c>
      <c r="AT80" s="1">
        <v>10077266</v>
      </c>
      <c r="AU80" s="1">
        <v>1213276</v>
      </c>
      <c r="AV80" s="116">
        <f t="shared" si="6"/>
        <v>21873559</v>
      </c>
      <c r="BC80" s="1">
        <v>293118</v>
      </c>
      <c r="BD80" s="1">
        <v>1304399</v>
      </c>
      <c r="BE80" s="1">
        <v>262337</v>
      </c>
      <c r="BF80" s="121">
        <f t="shared" si="7"/>
        <v>1859854</v>
      </c>
      <c r="BI80" s="1">
        <v>19097</v>
      </c>
      <c r="BP80" s="1">
        <v>253784</v>
      </c>
      <c r="CA80" s="1">
        <v>491391</v>
      </c>
      <c r="CB80" s="1">
        <v>3149861</v>
      </c>
      <c r="CC80" s="125">
        <f t="shared" si="8"/>
        <v>3914133</v>
      </c>
      <c r="CD80" s="1">
        <v>134744</v>
      </c>
      <c r="CK80" s="124">
        <f t="shared" si="9"/>
        <v>134744</v>
      </c>
      <c r="CV80" s="129">
        <v>3125364</v>
      </c>
    </row>
    <row r="81" spans="1:100" ht="12.75" customHeight="1">
      <c r="A81" s="1">
        <v>3</v>
      </c>
      <c r="B81" s="1">
        <v>3940</v>
      </c>
      <c r="C81" s="1" t="s">
        <v>1544</v>
      </c>
      <c r="D81" s="5" t="s">
        <v>1596</v>
      </c>
      <c r="E81" t="s">
        <v>479</v>
      </c>
      <c r="F81" s="26">
        <v>1352.5</v>
      </c>
      <c r="G81" s="78">
        <v>18869664</v>
      </c>
      <c r="H81" s="78">
        <v>214915</v>
      </c>
      <c r="L81" s="1">
        <v>13784</v>
      </c>
      <c r="M81" s="1">
        <v>244215</v>
      </c>
      <c r="O81" s="117">
        <f t="shared" si="5"/>
        <v>19342578</v>
      </c>
      <c r="W81" s="1">
        <v>671137</v>
      </c>
      <c r="AC81" s="1">
        <v>112567</v>
      </c>
      <c r="AD81" s="1">
        <v>78444</v>
      </c>
      <c r="AE81" s="1">
        <v>22487</v>
      </c>
      <c r="AG81" s="1">
        <v>1531491</v>
      </c>
      <c r="AH81" s="1">
        <v>638601</v>
      </c>
      <c r="AU81" s="1">
        <v>92891</v>
      </c>
      <c r="AV81" s="116">
        <f t="shared" si="6"/>
        <v>3147618</v>
      </c>
      <c r="BD81" s="1">
        <v>312311</v>
      </c>
      <c r="BE81" s="1">
        <v>35596</v>
      </c>
      <c r="BF81" s="121">
        <f t="shared" si="7"/>
        <v>347907</v>
      </c>
      <c r="CA81" s="1">
        <v>10186</v>
      </c>
      <c r="CC81" s="125">
        <f t="shared" si="8"/>
        <v>10186</v>
      </c>
      <c r="CD81" s="1">
        <v>55079</v>
      </c>
      <c r="CK81" s="124">
        <f t="shared" si="9"/>
        <v>55079</v>
      </c>
      <c r="CV81" s="129">
        <v>454582</v>
      </c>
    </row>
    <row r="82" spans="1:100" ht="12.75" customHeight="1">
      <c r="A82" s="1">
        <v>3</v>
      </c>
      <c r="B82" s="1">
        <v>3960</v>
      </c>
      <c r="C82" s="1" t="s">
        <v>1544</v>
      </c>
      <c r="D82" s="5" t="s">
        <v>1597</v>
      </c>
      <c r="E82" t="s">
        <v>480</v>
      </c>
      <c r="F82" s="26">
        <v>1831.5</v>
      </c>
      <c r="G82" s="78">
        <v>31336279</v>
      </c>
      <c r="H82" s="78">
        <v>276587</v>
      </c>
      <c r="M82" s="1">
        <v>1793563</v>
      </c>
      <c r="O82" s="117">
        <f t="shared" si="5"/>
        <v>33406429</v>
      </c>
      <c r="V82" s="1">
        <v>386632</v>
      </c>
      <c r="W82" s="1">
        <v>968056</v>
      </c>
      <c r="X82" s="1">
        <v>2336</v>
      </c>
      <c r="AC82" s="1">
        <v>60594</v>
      </c>
      <c r="AD82" s="1">
        <v>123610</v>
      </c>
      <c r="AE82" s="1">
        <v>44419</v>
      </c>
      <c r="AF82" s="1">
        <v>127903</v>
      </c>
      <c r="AG82" s="1">
        <v>2610879</v>
      </c>
      <c r="AH82" s="1">
        <v>1103378</v>
      </c>
      <c r="AU82" s="1">
        <v>233530</v>
      </c>
      <c r="AV82" s="116">
        <f t="shared" si="6"/>
        <v>5661337</v>
      </c>
      <c r="BC82" s="1">
        <v>39504</v>
      </c>
      <c r="BE82" s="1">
        <v>409304</v>
      </c>
      <c r="BF82" s="121">
        <f t="shared" si="7"/>
        <v>448808</v>
      </c>
      <c r="CA82" s="1">
        <v>355120</v>
      </c>
      <c r="CC82" s="125">
        <f t="shared" si="8"/>
        <v>355120</v>
      </c>
      <c r="CD82" s="1">
        <v>124758</v>
      </c>
      <c r="CK82" s="124">
        <f t="shared" si="9"/>
        <v>124758</v>
      </c>
      <c r="CV82" s="129">
        <v>682338</v>
      </c>
    </row>
    <row r="83" spans="1:100" ht="12.75" customHeight="1">
      <c r="A83" s="1">
        <v>3</v>
      </c>
      <c r="B83" s="1">
        <v>4300</v>
      </c>
      <c r="C83" s="1" t="s">
        <v>1544</v>
      </c>
      <c r="D83" s="5" t="s">
        <v>1598</v>
      </c>
      <c r="E83" t="s">
        <v>481</v>
      </c>
      <c r="F83" s="26">
        <v>2282</v>
      </c>
      <c r="G83" s="78">
        <v>38678558</v>
      </c>
      <c r="H83" s="78">
        <v>374824</v>
      </c>
      <c r="L83" s="1">
        <v>47220</v>
      </c>
      <c r="M83" s="1">
        <v>1667375</v>
      </c>
      <c r="O83" s="117">
        <f t="shared" si="5"/>
        <v>40767977</v>
      </c>
      <c r="V83" s="1">
        <v>366335</v>
      </c>
      <c r="W83" s="1">
        <v>1250247</v>
      </c>
      <c r="X83" s="1">
        <v>7044</v>
      </c>
      <c r="AC83" s="1">
        <v>125592</v>
      </c>
      <c r="AD83" s="1">
        <v>133385</v>
      </c>
      <c r="AE83" s="1">
        <v>52710</v>
      </c>
      <c r="AF83" s="1">
        <v>144499</v>
      </c>
      <c r="AG83" s="1">
        <v>2926732</v>
      </c>
      <c r="AH83" s="1">
        <v>1170571</v>
      </c>
      <c r="AT83" s="1">
        <v>214679</v>
      </c>
      <c r="AU83" s="1">
        <v>47080</v>
      </c>
      <c r="AV83" s="116">
        <f t="shared" si="6"/>
        <v>6438874</v>
      </c>
      <c r="BC83" s="1">
        <v>66721</v>
      </c>
      <c r="BD83" s="1">
        <v>398846</v>
      </c>
      <c r="BE83" s="1">
        <v>21516</v>
      </c>
      <c r="BF83" s="121">
        <f t="shared" si="7"/>
        <v>487083</v>
      </c>
      <c r="BM83" s="1">
        <v>21548</v>
      </c>
      <c r="BO83" s="1">
        <v>73329</v>
      </c>
      <c r="BP83" s="1">
        <v>274983</v>
      </c>
      <c r="CC83" s="125">
        <f t="shared" si="8"/>
        <v>369860</v>
      </c>
      <c r="CD83" s="1">
        <v>70905</v>
      </c>
      <c r="CK83" s="124">
        <f t="shared" si="9"/>
        <v>70905</v>
      </c>
      <c r="CV83" s="129">
        <v>581383</v>
      </c>
    </row>
    <row r="84" spans="1:100" ht="12.75" customHeight="1">
      <c r="A84" s="1">
        <v>3</v>
      </c>
      <c r="B84" s="1">
        <v>4310</v>
      </c>
      <c r="C84" s="1" t="s">
        <v>1544</v>
      </c>
      <c r="D84" s="5" t="s">
        <v>1599</v>
      </c>
      <c r="E84" t="s">
        <v>482</v>
      </c>
      <c r="F84" s="26">
        <v>3097</v>
      </c>
      <c r="G84" s="78">
        <v>39011486</v>
      </c>
      <c r="H84" s="78">
        <v>270321</v>
      </c>
      <c r="M84" s="1">
        <v>2190293</v>
      </c>
      <c r="O84" s="117">
        <f t="shared" si="5"/>
        <v>41472100</v>
      </c>
      <c r="V84" s="1">
        <v>113807</v>
      </c>
      <c r="W84" s="1">
        <v>1602397</v>
      </c>
      <c r="X84" s="1">
        <v>49020</v>
      </c>
      <c r="AC84" s="1">
        <v>222166</v>
      </c>
      <c r="AD84" s="1">
        <v>186957</v>
      </c>
      <c r="AE84" s="1">
        <v>58565</v>
      </c>
      <c r="AF84" s="1">
        <v>140918</v>
      </c>
      <c r="AG84" s="1">
        <v>3304358</v>
      </c>
      <c r="AH84" s="1">
        <v>1561093</v>
      </c>
      <c r="AU84" s="1">
        <v>314685</v>
      </c>
      <c r="AV84" s="116">
        <f t="shared" si="6"/>
        <v>7553966</v>
      </c>
      <c r="AW84" s="1">
        <v>2136</v>
      </c>
      <c r="BD84" s="1">
        <v>683223</v>
      </c>
      <c r="BE84" s="1">
        <v>71396</v>
      </c>
      <c r="BF84" s="121">
        <f t="shared" si="7"/>
        <v>756755</v>
      </c>
      <c r="BM84" s="1">
        <v>13301</v>
      </c>
      <c r="BP84" s="1">
        <v>14728</v>
      </c>
      <c r="CA84" s="1">
        <v>285159</v>
      </c>
      <c r="CB84" s="1">
        <v>98116</v>
      </c>
      <c r="CC84" s="125">
        <f t="shared" si="8"/>
        <v>411304</v>
      </c>
      <c r="CD84" s="1">
        <v>1667528</v>
      </c>
      <c r="CK84" s="124">
        <f t="shared" si="9"/>
        <v>1667528</v>
      </c>
      <c r="CV84" s="129">
        <v>1069304</v>
      </c>
    </row>
    <row r="85" spans="1:100" ht="12.75" customHeight="1">
      <c r="A85" s="1">
        <v>3</v>
      </c>
      <c r="B85" s="1">
        <v>4370</v>
      </c>
      <c r="C85" s="1" t="s">
        <v>1544</v>
      </c>
      <c r="D85" s="5" t="s">
        <v>1600</v>
      </c>
      <c r="E85" t="s">
        <v>483</v>
      </c>
      <c r="F85" s="26">
        <v>2045</v>
      </c>
      <c r="G85" s="78">
        <v>12826957</v>
      </c>
      <c r="H85" s="78">
        <v>330695</v>
      </c>
      <c r="L85" s="1">
        <v>21796</v>
      </c>
      <c r="O85" s="117">
        <f t="shared" si="5"/>
        <v>13179448</v>
      </c>
      <c r="P85" s="78">
        <v>911179</v>
      </c>
      <c r="V85" s="1">
        <v>37368</v>
      </c>
      <c r="W85" s="1">
        <v>795291</v>
      </c>
      <c r="X85" s="1">
        <v>143502</v>
      </c>
      <c r="AC85" s="1">
        <v>5052</v>
      </c>
      <c r="AD85" s="1">
        <v>203311</v>
      </c>
      <c r="AE85" s="1">
        <v>67496</v>
      </c>
      <c r="AF85" s="1">
        <v>76556</v>
      </c>
      <c r="AG85" s="1">
        <v>1751049</v>
      </c>
      <c r="AH85" s="1">
        <v>1067114</v>
      </c>
      <c r="AM85" s="1">
        <v>88254</v>
      </c>
      <c r="AO85" s="1">
        <v>70950</v>
      </c>
      <c r="AU85" s="1">
        <v>99267</v>
      </c>
      <c r="AV85" s="116">
        <f t="shared" si="6"/>
        <v>5316389</v>
      </c>
      <c r="BC85" s="1">
        <v>210750</v>
      </c>
      <c r="BD85" s="1">
        <v>239412</v>
      </c>
      <c r="BE85" s="1">
        <v>117560</v>
      </c>
      <c r="BF85" s="121">
        <f t="shared" si="7"/>
        <v>567722</v>
      </c>
      <c r="BP85" s="1">
        <v>1311169</v>
      </c>
      <c r="CA85" s="1">
        <v>32702</v>
      </c>
      <c r="CC85" s="125">
        <f t="shared" si="8"/>
        <v>1343871</v>
      </c>
      <c r="CD85" s="1">
        <v>13711452</v>
      </c>
      <c r="CK85" s="124">
        <f t="shared" si="9"/>
        <v>13711452</v>
      </c>
      <c r="CM85" s="23">
        <v>8408000</v>
      </c>
      <c r="CV85" s="129">
        <v>847989</v>
      </c>
    </row>
    <row r="86" spans="1:100" ht="12.75" customHeight="1">
      <c r="A86" s="1">
        <v>3</v>
      </c>
      <c r="B86" s="1">
        <v>4380</v>
      </c>
      <c r="C86" s="1" t="s">
        <v>1544</v>
      </c>
      <c r="D86" s="5" t="s">
        <v>1601</v>
      </c>
      <c r="E86" t="s">
        <v>484</v>
      </c>
      <c r="F86" s="26">
        <v>2078</v>
      </c>
      <c r="G86" s="78">
        <v>19431797</v>
      </c>
      <c r="H86" s="78">
        <v>287944</v>
      </c>
      <c r="M86" s="1">
        <v>416161</v>
      </c>
      <c r="O86" s="117">
        <f t="shared" si="5"/>
        <v>20135902</v>
      </c>
      <c r="P86" s="78">
        <v>328787</v>
      </c>
      <c r="V86" s="1">
        <v>261054</v>
      </c>
      <c r="W86" s="1">
        <v>1203765</v>
      </c>
      <c r="X86" s="1">
        <v>108696</v>
      </c>
      <c r="Y86" s="78">
        <v>1357673</v>
      </c>
      <c r="AC86" s="1">
        <v>77739</v>
      </c>
      <c r="AD86" s="1">
        <v>191242</v>
      </c>
      <c r="AE86" s="1">
        <v>107618</v>
      </c>
      <c r="AF86" s="1">
        <v>137104</v>
      </c>
      <c r="AG86" s="1">
        <v>1878888</v>
      </c>
      <c r="AH86" s="1">
        <v>1000977</v>
      </c>
      <c r="AM86" s="1">
        <v>54175</v>
      </c>
      <c r="AO86" s="1">
        <v>81879</v>
      </c>
      <c r="AP86" s="1">
        <v>217200</v>
      </c>
      <c r="AU86" s="1">
        <v>182685</v>
      </c>
      <c r="AV86" s="116">
        <f t="shared" si="6"/>
        <v>7189482</v>
      </c>
      <c r="BC86" s="1">
        <v>347920</v>
      </c>
      <c r="BD86" s="1">
        <v>537985</v>
      </c>
      <c r="BE86" s="1">
        <v>181569</v>
      </c>
      <c r="BF86" s="121">
        <f t="shared" si="7"/>
        <v>1067474</v>
      </c>
      <c r="BO86" s="1">
        <v>2</v>
      </c>
      <c r="CC86" s="125">
        <f t="shared" si="8"/>
        <v>2</v>
      </c>
      <c r="CD86" s="1">
        <v>3619159</v>
      </c>
      <c r="CK86" s="124">
        <f t="shared" si="9"/>
        <v>3619159</v>
      </c>
      <c r="CV86" s="129">
        <v>1386213</v>
      </c>
    </row>
    <row r="87" spans="1:100" ht="12.75" customHeight="1">
      <c r="A87" s="1">
        <v>3</v>
      </c>
      <c r="B87" s="1">
        <v>4390</v>
      </c>
      <c r="C87" s="1" t="s">
        <v>1544</v>
      </c>
      <c r="D87" s="5" t="s">
        <v>1602</v>
      </c>
      <c r="E87" t="s">
        <v>485</v>
      </c>
      <c r="F87" s="26">
        <v>5625.5</v>
      </c>
      <c r="G87" s="78">
        <v>67994062</v>
      </c>
      <c r="H87" s="78">
        <v>956061</v>
      </c>
      <c r="K87" s="1">
        <v>15417</v>
      </c>
      <c r="L87" s="1">
        <v>416132</v>
      </c>
      <c r="M87" s="1">
        <v>1381771</v>
      </c>
      <c r="O87" s="117">
        <f t="shared" si="5"/>
        <v>70763443</v>
      </c>
      <c r="W87" s="1">
        <v>2551192</v>
      </c>
      <c r="X87" s="1">
        <v>137922</v>
      </c>
      <c r="AC87" s="1">
        <v>393046</v>
      </c>
      <c r="AD87" s="1">
        <v>366139</v>
      </c>
      <c r="AE87" s="1">
        <v>91658</v>
      </c>
      <c r="AF87" s="1">
        <v>89421</v>
      </c>
      <c r="AG87" s="1">
        <v>5812214</v>
      </c>
      <c r="AH87" s="1">
        <v>2805090</v>
      </c>
      <c r="AP87" s="1">
        <v>517670</v>
      </c>
      <c r="AU87" s="1">
        <v>2025</v>
      </c>
      <c r="AV87" s="116">
        <f t="shared" si="6"/>
        <v>12766377</v>
      </c>
      <c r="BC87" s="1">
        <v>177746</v>
      </c>
      <c r="BD87" s="1">
        <v>876476</v>
      </c>
      <c r="BE87" s="1">
        <v>176173</v>
      </c>
      <c r="BF87" s="121">
        <f t="shared" si="7"/>
        <v>1230395</v>
      </c>
      <c r="BG87" s="1">
        <v>618605</v>
      </c>
      <c r="BI87" s="1">
        <v>142580</v>
      </c>
      <c r="BK87" s="1">
        <v>105689</v>
      </c>
      <c r="BM87" s="1">
        <v>1066</v>
      </c>
      <c r="BO87" s="1">
        <v>13709</v>
      </c>
      <c r="BP87" s="1">
        <v>1114975</v>
      </c>
      <c r="BR87" s="1">
        <v>440324</v>
      </c>
      <c r="BT87" s="1">
        <v>35720</v>
      </c>
      <c r="BV87" s="1">
        <v>9702</v>
      </c>
      <c r="CC87" s="125">
        <f t="shared" si="8"/>
        <v>2482370</v>
      </c>
      <c r="CD87" s="1">
        <v>322482</v>
      </c>
      <c r="CK87" s="124">
        <f t="shared" si="9"/>
        <v>322482</v>
      </c>
      <c r="CV87" s="129">
        <v>1648552</v>
      </c>
    </row>
    <row r="88" spans="1:100" ht="12.75" customHeight="1">
      <c r="A88" s="1">
        <v>3</v>
      </c>
      <c r="B88" s="1">
        <v>4405</v>
      </c>
      <c r="C88" s="1" t="s">
        <v>1544</v>
      </c>
      <c r="D88" s="5" t="s">
        <v>1603</v>
      </c>
      <c r="E88" t="s">
        <v>486</v>
      </c>
      <c r="F88" s="26">
        <v>1493</v>
      </c>
      <c r="G88" s="78">
        <v>20393526</v>
      </c>
      <c r="H88" s="78">
        <v>339696</v>
      </c>
      <c r="L88" s="1">
        <v>8500</v>
      </c>
      <c r="M88" s="1">
        <v>2198091</v>
      </c>
      <c r="O88" s="117">
        <f t="shared" si="5"/>
        <v>22939813</v>
      </c>
      <c r="V88" s="1">
        <v>125173</v>
      </c>
      <c r="W88" s="1">
        <v>615366</v>
      </c>
      <c r="X88" s="1">
        <v>53674</v>
      </c>
      <c r="Y88" s="78">
        <v>81024</v>
      </c>
      <c r="AC88" s="1">
        <v>101578</v>
      </c>
      <c r="AD88" s="1">
        <v>101699</v>
      </c>
      <c r="AF88" s="1">
        <v>43602</v>
      </c>
      <c r="AG88" s="1">
        <v>1886917</v>
      </c>
      <c r="AH88" s="1">
        <v>833617</v>
      </c>
      <c r="AU88" s="1">
        <v>266911</v>
      </c>
      <c r="AV88" s="116">
        <f t="shared" si="6"/>
        <v>4109561</v>
      </c>
      <c r="BD88" s="1">
        <v>341753</v>
      </c>
      <c r="BE88" s="1">
        <v>83654</v>
      </c>
      <c r="BF88" s="121">
        <f t="shared" si="7"/>
        <v>425407</v>
      </c>
      <c r="BG88" s="1">
        <v>818034</v>
      </c>
      <c r="BO88" s="1">
        <v>1346</v>
      </c>
      <c r="BP88" s="1">
        <v>57018</v>
      </c>
      <c r="CA88" s="1">
        <v>26548</v>
      </c>
      <c r="CC88" s="125">
        <f t="shared" si="8"/>
        <v>902946</v>
      </c>
      <c r="CD88" s="1">
        <v>269577</v>
      </c>
      <c r="CK88" s="124">
        <f t="shared" si="9"/>
        <v>269577</v>
      </c>
      <c r="CV88" s="129">
        <v>700818</v>
      </c>
    </row>
    <row r="89" spans="1:100" ht="12.75" customHeight="1">
      <c r="A89" s="1">
        <v>3</v>
      </c>
      <c r="B89" s="1">
        <v>4410</v>
      </c>
      <c r="C89" s="1" t="s">
        <v>1544</v>
      </c>
      <c r="D89" s="5" t="s">
        <v>1604</v>
      </c>
      <c r="E89" t="s">
        <v>487</v>
      </c>
      <c r="F89" s="26">
        <v>1126</v>
      </c>
      <c r="G89" s="78">
        <v>10462823</v>
      </c>
      <c r="H89" s="78">
        <v>161604</v>
      </c>
      <c r="M89" s="1">
        <v>996710</v>
      </c>
      <c r="N89" s="1">
        <v>7773</v>
      </c>
      <c r="O89" s="117">
        <f t="shared" si="5"/>
        <v>11628910</v>
      </c>
      <c r="V89" s="1">
        <v>35444</v>
      </c>
      <c r="W89" s="1">
        <v>335553</v>
      </c>
      <c r="X89" s="1">
        <v>72254</v>
      </c>
      <c r="AC89" s="1">
        <v>48050</v>
      </c>
      <c r="AD89" s="1">
        <v>112573</v>
      </c>
      <c r="AE89" s="1">
        <v>16675</v>
      </c>
      <c r="AF89" s="1">
        <v>82232</v>
      </c>
      <c r="AG89" s="1">
        <v>860910</v>
      </c>
      <c r="AH89" s="1">
        <v>435598</v>
      </c>
      <c r="AU89" s="1">
        <v>384617</v>
      </c>
      <c r="AV89" s="116">
        <f t="shared" si="6"/>
        <v>2383906</v>
      </c>
      <c r="BD89" s="1">
        <v>319219</v>
      </c>
      <c r="BE89" s="1">
        <v>60960</v>
      </c>
      <c r="BF89" s="121">
        <f t="shared" si="7"/>
        <v>380179</v>
      </c>
      <c r="BI89" s="1">
        <v>8000</v>
      </c>
      <c r="BP89" s="1">
        <v>49775</v>
      </c>
      <c r="CA89" s="1">
        <v>530503</v>
      </c>
      <c r="CB89" s="1">
        <v>8865781</v>
      </c>
      <c r="CC89" s="125">
        <f t="shared" si="8"/>
        <v>9454059</v>
      </c>
      <c r="CK89" s="124">
        <f t="shared" si="9"/>
        <v>0</v>
      </c>
      <c r="CV89" s="129">
        <v>764796</v>
      </c>
    </row>
    <row r="90" spans="1:100" ht="12.75" customHeight="1">
      <c r="A90" s="1">
        <v>3</v>
      </c>
      <c r="B90" s="1">
        <v>4430</v>
      </c>
      <c r="C90" s="1" t="s">
        <v>1544</v>
      </c>
      <c r="D90" s="5" t="s">
        <v>1605</v>
      </c>
      <c r="E90" t="s">
        <v>488</v>
      </c>
      <c r="F90" s="26">
        <v>1357</v>
      </c>
      <c r="G90" s="78">
        <v>15429737</v>
      </c>
      <c r="M90" s="1">
        <v>984356</v>
      </c>
      <c r="O90" s="117">
        <f t="shared" si="5"/>
        <v>16414093</v>
      </c>
      <c r="V90" s="1">
        <v>101086</v>
      </c>
      <c r="W90" s="1">
        <v>440480</v>
      </c>
      <c r="X90" s="1">
        <v>23324</v>
      </c>
      <c r="AC90" s="1">
        <v>58666</v>
      </c>
      <c r="AD90" s="1">
        <v>74496</v>
      </c>
      <c r="AE90" s="1">
        <v>19182</v>
      </c>
      <c r="AF90" s="1">
        <v>5423</v>
      </c>
      <c r="AG90" s="1">
        <v>1323409</v>
      </c>
      <c r="AH90" s="1">
        <v>630492</v>
      </c>
      <c r="AU90" s="1">
        <v>4000</v>
      </c>
      <c r="AV90" s="116">
        <f t="shared" si="6"/>
        <v>2680558</v>
      </c>
      <c r="BD90" s="1">
        <v>230762</v>
      </c>
      <c r="BE90" s="1">
        <v>29326</v>
      </c>
      <c r="BF90" s="121">
        <f t="shared" si="7"/>
        <v>260088</v>
      </c>
      <c r="BI90" s="1">
        <v>15087</v>
      </c>
      <c r="BO90" s="1">
        <v>101171</v>
      </c>
      <c r="BP90" s="1">
        <v>36016</v>
      </c>
      <c r="BW90" s="1">
        <v>1153</v>
      </c>
      <c r="CA90" s="1">
        <v>30149</v>
      </c>
      <c r="CC90" s="125">
        <f t="shared" si="8"/>
        <v>183576</v>
      </c>
      <c r="CK90" s="124">
        <f t="shared" si="9"/>
        <v>0</v>
      </c>
      <c r="CV90" s="129">
        <v>265241</v>
      </c>
    </row>
    <row r="91" spans="1:100" ht="12.75" customHeight="1">
      <c r="A91" s="1">
        <v>3</v>
      </c>
      <c r="B91" s="1">
        <v>4470</v>
      </c>
      <c r="C91" s="1" t="s">
        <v>1544</v>
      </c>
      <c r="D91" s="5" t="s">
        <v>1606</v>
      </c>
      <c r="E91" t="s">
        <v>489</v>
      </c>
      <c r="F91" s="26">
        <v>480</v>
      </c>
      <c r="G91" s="78">
        <v>8441799</v>
      </c>
      <c r="H91" s="78">
        <v>68848</v>
      </c>
      <c r="L91" s="1">
        <v>40500</v>
      </c>
      <c r="M91" s="1">
        <v>277229</v>
      </c>
      <c r="O91" s="117">
        <f t="shared" si="5"/>
        <v>8828376</v>
      </c>
      <c r="V91" s="1">
        <v>220066</v>
      </c>
      <c r="W91" s="1">
        <v>297023</v>
      </c>
      <c r="X91" s="1">
        <v>12866</v>
      </c>
      <c r="AC91" s="1">
        <v>37559</v>
      </c>
      <c r="AD91" s="1">
        <v>70550</v>
      </c>
      <c r="AE91" s="1">
        <v>18611</v>
      </c>
      <c r="AG91" s="1">
        <v>534683</v>
      </c>
      <c r="AH91" s="1">
        <v>260936</v>
      </c>
      <c r="AO91" s="1">
        <v>19454</v>
      </c>
      <c r="AV91" s="116">
        <f t="shared" si="6"/>
        <v>1471748</v>
      </c>
      <c r="BC91" s="1">
        <v>23520</v>
      </c>
      <c r="BD91" s="1">
        <v>120093</v>
      </c>
      <c r="BE91" s="1">
        <v>7121</v>
      </c>
      <c r="BF91" s="121">
        <f t="shared" si="7"/>
        <v>150734</v>
      </c>
      <c r="BO91" s="1">
        <v>2011</v>
      </c>
      <c r="BZ91" s="1">
        <v>3708</v>
      </c>
      <c r="CC91" s="125">
        <f t="shared" si="8"/>
        <v>5719</v>
      </c>
      <c r="CD91" s="1">
        <v>12810</v>
      </c>
      <c r="CK91" s="124">
        <f t="shared" si="9"/>
        <v>12810</v>
      </c>
      <c r="CV91" s="129">
        <v>210688</v>
      </c>
    </row>
    <row r="92" spans="1:100" ht="12.75" customHeight="1">
      <c r="A92" s="1">
        <v>3</v>
      </c>
      <c r="B92" s="1">
        <v>4500</v>
      </c>
      <c r="C92" s="1" t="s">
        <v>1544</v>
      </c>
      <c r="D92" s="5" t="s">
        <v>1607</v>
      </c>
      <c r="E92"/>
      <c r="F92" s="26"/>
      <c r="G92" s="78">
        <v>391267</v>
      </c>
      <c r="O92" s="117">
        <f t="shared" si="5"/>
        <v>391267</v>
      </c>
      <c r="V92" s="1">
        <v>12961</v>
      </c>
      <c r="W92" s="1">
        <v>10251</v>
      </c>
      <c r="AC92" s="1">
        <v>8916</v>
      </c>
      <c r="AD92" s="1">
        <v>1975</v>
      </c>
      <c r="AE92" s="1">
        <v>756</v>
      </c>
      <c r="AF92" s="1">
        <v>1740</v>
      </c>
      <c r="AH92" s="1">
        <v>1102</v>
      </c>
      <c r="AV92" s="116">
        <f t="shared" si="6"/>
        <v>37701</v>
      </c>
      <c r="BF92" s="121">
        <f t="shared" si="7"/>
        <v>0</v>
      </c>
      <c r="BP92" s="1">
        <v>11118</v>
      </c>
      <c r="CC92" s="125">
        <f t="shared" si="8"/>
        <v>11118</v>
      </c>
      <c r="CK92" s="124">
        <f t="shared" si="9"/>
        <v>0</v>
      </c>
    </row>
    <row r="93" spans="1:100" ht="12.75" customHeight="1">
      <c r="A93" s="1">
        <v>3</v>
      </c>
      <c r="B93" s="1">
        <v>4600</v>
      </c>
      <c r="C93" s="1" t="s">
        <v>1544</v>
      </c>
      <c r="D93" s="5" t="s">
        <v>1608</v>
      </c>
      <c r="E93" t="s">
        <v>490</v>
      </c>
      <c r="F93" s="26">
        <v>2456</v>
      </c>
      <c r="G93" s="78">
        <v>30302192</v>
      </c>
      <c r="H93" s="78">
        <v>163295</v>
      </c>
      <c r="M93" s="1">
        <v>1855225</v>
      </c>
      <c r="O93" s="117">
        <f t="shared" si="5"/>
        <v>32320712</v>
      </c>
      <c r="V93" s="1">
        <v>160785</v>
      </c>
      <c r="W93" s="1">
        <v>1463029</v>
      </c>
      <c r="X93" s="1">
        <v>38778</v>
      </c>
      <c r="Y93" s="78">
        <v>812880</v>
      </c>
      <c r="AC93" s="1">
        <v>86411</v>
      </c>
      <c r="AD93" s="1">
        <v>261792</v>
      </c>
      <c r="AE93" s="1">
        <v>82118</v>
      </c>
      <c r="AG93" s="1">
        <v>2336320</v>
      </c>
      <c r="AH93" s="1">
        <v>1243641</v>
      </c>
      <c r="AU93" s="1">
        <v>192754</v>
      </c>
      <c r="AV93" s="116">
        <f t="shared" si="6"/>
        <v>6678508</v>
      </c>
      <c r="BD93" s="1">
        <v>472709</v>
      </c>
      <c r="BE93" s="1">
        <v>82294</v>
      </c>
      <c r="BF93" s="121">
        <f t="shared" si="7"/>
        <v>555003</v>
      </c>
      <c r="BG93" s="1">
        <v>219380</v>
      </c>
      <c r="BO93" s="1">
        <v>7579</v>
      </c>
      <c r="CA93" s="1">
        <v>165063</v>
      </c>
      <c r="CC93" s="125">
        <f t="shared" si="8"/>
        <v>392022</v>
      </c>
      <c r="CD93" s="1">
        <v>9462</v>
      </c>
      <c r="CK93" s="124">
        <f t="shared" si="9"/>
        <v>9462</v>
      </c>
      <c r="CV93" s="129">
        <v>747757</v>
      </c>
    </row>
    <row r="94" spans="1:100" ht="12.75" customHeight="1">
      <c r="A94" s="1">
        <v>3</v>
      </c>
      <c r="B94" s="1">
        <v>4610</v>
      </c>
      <c r="C94" s="1" t="s">
        <v>1544</v>
      </c>
      <c r="D94" s="5" t="s">
        <v>1609</v>
      </c>
      <c r="E94" t="s">
        <v>491</v>
      </c>
      <c r="F94" s="26">
        <v>1593</v>
      </c>
      <c r="G94" s="78">
        <v>20753135</v>
      </c>
      <c r="L94" s="1">
        <v>3656</v>
      </c>
      <c r="M94" s="1">
        <v>1766865</v>
      </c>
      <c r="O94" s="117">
        <f t="shared" si="5"/>
        <v>22523656</v>
      </c>
      <c r="V94" s="1">
        <v>170310</v>
      </c>
      <c r="W94" s="1">
        <v>1256342</v>
      </c>
      <c r="X94" s="1">
        <v>37412</v>
      </c>
      <c r="AC94" s="1">
        <v>183772</v>
      </c>
      <c r="AD94" s="1">
        <v>190035</v>
      </c>
      <c r="AE94" s="1">
        <v>49623</v>
      </c>
      <c r="AF94" s="1">
        <v>19290</v>
      </c>
      <c r="AG94" s="1">
        <v>1685832</v>
      </c>
      <c r="AH94" s="1">
        <v>752488</v>
      </c>
      <c r="AT94" s="1">
        <v>133556</v>
      </c>
      <c r="AU94" s="1">
        <v>18626</v>
      </c>
      <c r="AV94" s="116">
        <f t="shared" si="6"/>
        <v>4497286</v>
      </c>
      <c r="BC94" s="1">
        <v>91535</v>
      </c>
      <c r="BD94" s="1">
        <v>349857</v>
      </c>
      <c r="BE94" s="1">
        <v>70659</v>
      </c>
      <c r="BF94" s="121">
        <f t="shared" si="7"/>
        <v>512051</v>
      </c>
      <c r="BP94" s="1">
        <v>114423</v>
      </c>
      <c r="CA94" s="1">
        <v>40118</v>
      </c>
      <c r="CC94" s="125">
        <f t="shared" si="8"/>
        <v>154541</v>
      </c>
      <c r="CD94" s="1">
        <v>428179</v>
      </c>
      <c r="CK94" s="124">
        <f t="shared" si="9"/>
        <v>428179</v>
      </c>
      <c r="CV94" s="129">
        <v>534333</v>
      </c>
    </row>
    <row r="95" spans="1:100" ht="12.75" customHeight="1">
      <c r="A95" s="1">
        <v>3</v>
      </c>
      <c r="B95" s="1">
        <v>4620</v>
      </c>
      <c r="C95" s="1" t="s">
        <v>1544</v>
      </c>
      <c r="D95" s="5" t="s">
        <v>1610</v>
      </c>
      <c r="E95" t="s">
        <v>492</v>
      </c>
      <c r="F95" s="26">
        <v>224</v>
      </c>
      <c r="G95" s="78">
        <v>6289800</v>
      </c>
      <c r="H95" s="78">
        <v>6391</v>
      </c>
      <c r="L95" s="1">
        <v>36804</v>
      </c>
      <c r="M95" s="1">
        <v>127170</v>
      </c>
      <c r="O95" s="117">
        <f t="shared" si="5"/>
        <v>6460165</v>
      </c>
      <c r="V95" s="1">
        <v>83420</v>
      </c>
      <c r="W95" s="1">
        <v>226624</v>
      </c>
      <c r="X95" s="1">
        <v>4654</v>
      </c>
      <c r="AC95" s="1">
        <v>42696</v>
      </c>
      <c r="AD95" s="1">
        <v>17341</v>
      </c>
      <c r="AE95" s="1">
        <v>9961</v>
      </c>
      <c r="AF95" s="1">
        <v>8970</v>
      </c>
      <c r="AG95" s="1">
        <v>275902</v>
      </c>
      <c r="AH95" s="1">
        <v>145403</v>
      </c>
      <c r="AT95" s="1">
        <v>217309</v>
      </c>
      <c r="AU95" s="1">
        <v>38728</v>
      </c>
      <c r="AV95" s="116">
        <f t="shared" si="6"/>
        <v>1071008</v>
      </c>
      <c r="BD95" s="1">
        <v>110050</v>
      </c>
      <c r="BE95" s="1">
        <v>10877</v>
      </c>
      <c r="BF95" s="121">
        <f t="shared" si="7"/>
        <v>120927</v>
      </c>
      <c r="BO95" s="1">
        <v>17190</v>
      </c>
      <c r="BP95" s="1">
        <v>102562</v>
      </c>
      <c r="CA95" s="1">
        <v>16460</v>
      </c>
      <c r="CC95" s="125">
        <f t="shared" si="8"/>
        <v>136212</v>
      </c>
      <c r="CD95" s="1">
        <v>75188</v>
      </c>
      <c r="CK95" s="124">
        <f t="shared" si="9"/>
        <v>75188</v>
      </c>
      <c r="CV95" s="129">
        <v>196459</v>
      </c>
    </row>
    <row r="96" spans="1:100" ht="12.75" customHeight="1">
      <c r="A96" s="1">
        <v>3</v>
      </c>
      <c r="B96" s="1">
        <v>4845</v>
      </c>
      <c r="C96" s="1" t="s">
        <v>1544</v>
      </c>
      <c r="D96" s="5" t="s">
        <v>1611</v>
      </c>
      <c r="E96" t="s">
        <v>493</v>
      </c>
      <c r="F96" s="26">
        <v>321</v>
      </c>
      <c r="H96" s="78">
        <v>2809514</v>
      </c>
      <c r="O96" s="117">
        <f t="shared" si="5"/>
        <v>2809514</v>
      </c>
      <c r="AG96" s="1">
        <v>509239</v>
      </c>
      <c r="AH96" s="1">
        <v>550383</v>
      </c>
      <c r="AV96" s="116">
        <f t="shared" si="6"/>
        <v>1059622</v>
      </c>
      <c r="BF96" s="121">
        <f t="shared" si="7"/>
        <v>0</v>
      </c>
      <c r="BI96" s="1">
        <v>12294442</v>
      </c>
      <c r="BN96" s="1">
        <v>19331492</v>
      </c>
      <c r="BP96" s="1">
        <v>176701</v>
      </c>
      <c r="CC96" s="125">
        <f t="shared" si="8"/>
        <v>31802635</v>
      </c>
      <c r="CK96" s="124">
        <f t="shared" si="9"/>
        <v>0</v>
      </c>
    </row>
    <row r="97" spans="1:100" ht="12.75" customHeight="1">
      <c r="A97" s="1">
        <v>3</v>
      </c>
      <c r="B97" s="1">
        <v>4870</v>
      </c>
      <c r="C97" s="1" t="s">
        <v>1544</v>
      </c>
      <c r="D97" s="5" t="s">
        <v>1612</v>
      </c>
      <c r="E97" t="s">
        <v>494</v>
      </c>
      <c r="F97" s="26">
        <v>233</v>
      </c>
      <c r="G97" s="78">
        <v>5091935</v>
      </c>
      <c r="H97" s="78">
        <v>160118</v>
      </c>
      <c r="M97" s="1">
        <v>527830</v>
      </c>
      <c r="O97" s="117">
        <f t="shared" si="5"/>
        <v>5779883</v>
      </c>
      <c r="V97" s="1">
        <v>14640</v>
      </c>
      <c r="W97" s="1">
        <v>324441</v>
      </c>
      <c r="X97" s="1">
        <v>26720</v>
      </c>
      <c r="AC97" s="1">
        <v>35117</v>
      </c>
      <c r="AD97" s="1">
        <v>32038</v>
      </c>
      <c r="AE97" s="1">
        <v>12288</v>
      </c>
      <c r="AG97" s="1">
        <v>242865</v>
      </c>
      <c r="AH97" s="1">
        <v>107802</v>
      </c>
      <c r="AO97" s="1">
        <v>11760</v>
      </c>
      <c r="AV97" s="116">
        <f t="shared" si="6"/>
        <v>807671</v>
      </c>
      <c r="AW97" s="1">
        <v>210</v>
      </c>
      <c r="BC97" s="1">
        <v>22656</v>
      </c>
      <c r="BD97" s="1">
        <v>62770</v>
      </c>
      <c r="BE97" s="1">
        <v>114062</v>
      </c>
      <c r="BF97" s="121">
        <f t="shared" si="7"/>
        <v>199698</v>
      </c>
      <c r="BZ97" s="1">
        <v>240588</v>
      </c>
      <c r="CC97" s="125">
        <f t="shared" si="8"/>
        <v>240588</v>
      </c>
      <c r="CD97" s="1">
        <v>73470</v>
      </c>
      <c r="CK97" s="124">
        <f t="shared" si="9"/>
        <v>73470</v>
      </c>
      <c r="CV97" s="129">
        <v>211248</v>
      </c>
    </row>
    <row r="98" spans="1:100" ht="12.75" customHeight="1">
      <c r="A98" s="1">
        <v>3</v>
      </c>
      <c r="B98" s="1">
        <v>5150</v>
      </c>
      <c r="C98" s="1" t="s">
        <v>1544</v>
      </c>
      <c r="D98" s="5" t="s">
        <v>1613</v>
      </c>
      <c r="E98" t="s">
        <v>495</v>
      </c>
      <c r="F98" s="26">
        <v>4148</v>
      </c>
      <c r="G98" s="78">
        <v>71386061</v>
      </c>
      <c r="H98" s="78">
        <v>450724</v>
      </c>
      <c r="L98" s="1">
        <v>231246</v>
      </c>
      <c r="M98" s="1">
        <v>1770877</v>
      </c>
      <c r="O98" s="117">
        <f t="shared" si="5"/>
        <v>73838908</v>
      </c>
      <c r="V98" s="1">
        <v>1351777</v>
      </c>
      <c r="W98" s="1">
        <v>3431277</v>
      </c>
      <c r="X98" s="1">
        <v>111104</v>
      </c>
      <c r="AC98" s="1">
        <v>356965</v>
      </c>
      <c r="AD98" s="1">
        <v>506682</v>
      </c>
      <c r="AE98" s="1">
        <v>150527</v>
      </c>
      <c r="AF98" s="1">
        <v>126819</v>
      </c>
      <c r="AG98" s="1">
        <v>5308816</v>
      </c>
      <c r="AH98" s="1">
        <v>2371489</v>
      </c>
      <c r="AO98" s="1">
        <v>174894</v>
      </c>
      <c r="AT98" s="1">
        <v>468190</v>
      </c>
      <c r="AU98" s="1">
        <v>516864</v>
      </c>
      <c r="AV98" s="116">
        <f t="shared" si="6"/>
        <v>14875404</v>
      </c>
      <c r="BC98" s="1">
        <v>278537</v>
      </c>
      <c r="BD98" s="1">
        <v>962509</v>
      </c>
      <c r="BE98" s="1">
        <v>188410</v>
      </c>
      <c r="BF98" s="121">
        <f t="shared" si="7"/>
        <v>1429456</v>
      </c>
      <c r="BI98" s="1">
        <v>12465</v>
      </c>
      <c r="BN98" s="1">
        <v>30231</v>
      </c>
      <c r="BO98" s="1">
        <v>53060</v>
      </c>
      <c r="CA98" s="1">
        <v>2078</v>
      </c>
      <c r="CB98" s="1">
        <v>450000</v>
      </c>
      <c r="CC98" s="125">
        <f t="shared" si="8"/>
        <v>547834</v>
      </c>
      <c r="CD98" s="1">
        <v>192172</v>
      </c>
      <c r="CK98" s="124">
        <f t="shared" si="9"/>
        <v>192172</v>
      </c>
      <c r="CV98" s="129">
        <v>2352460</v>
      </c>
    </row>
    <row r="99" spans="1:100" ht="12.75" customHeight="1">
      <c r="A99" s="1">
        <v>3</v>
      </c>
      <c r="B99" s="1">
        <v>5160</v>
      </c>
      <c r="C99" s="1" t="s">
        <v>1544</v>
      </c>
      <c r="D99" s="5" t="s">
        <v>1614</v>
      </c>
      <c r="E99" t="s">
        <v>496</v>
      </c>
      <c r="F99" s="26">
        <v>3394</v>
      </c>
      <c r="G99" s="78">
        <v>43105141</v>
      </c>
      <c r="H99" s="78">
        <v>655011</v>
      </c>
      <c r="L99" s="1">
        <v>266554</v>
      </c>
      <c r="M99" s="1">
        <v>1836220</v>
      </c>
      <c r="O99" s="117">
        <f t="shared" si="5"/>
        <v>45862926</v>
      </c>
      <c r="V99" s="1">
        <v>176208</v>
      </c>
      <c r="W99" s="1">
        <v>1415475</v>
      </c>
      <c r="X99" s="1">
        <v>223196</v>
      </c>
      <c r="AC99" s="1">
        <v>355434</v>
      </c>
      <c r="AD99" s="1">
        <v>215130</v>
      </c>
      <c r="AE99" s="1">
        <v>60900</v>
      </c>
      <c r="AF99" s="1">
        <v>186753</v>
      </c>
      <c r="AG99" s="1">
        <v>3238229</v>
      </c>
      <c r="AH99" s="1">
        <v>1739574</v>
      </c>
      <c r="AU99" s="1">
        <v>117786</v>
      </c>
      <c r="AV99" s="116">
        <f t="shared" si="6"/>
        <v>7728685</v>
      </c>
      <c r="BD99" s="1">
        <v>739768</v>
      </c>
      <c r="BE99" s="1">
        <v>191726</v>
      </c>
      <c r="BF99" s="121">
        <f t="shared" si="7"/>
        <v>931494</v>
      </c>
      <c r="BI99" s="1">
        <v>89564</v>
      </c>
      <c r="BO99" s="1">
        <v>18177</v>
      </c>
      <c r="CA99" s="1">
        <v>1169418</v>
      </c>
      <c r="CC99" s="125">
        <f t="shared" si="8"/>
        <v>1277159</v>
      </c>
      <c r="CD99" s="1">
        <v>967893</v>
      </c>
      <c r="CK99" s="124">
        <f t="shared" si="9"/>
        <v>967893</v>
      </c>
      <c r="CM99" s="23">
        <v>7511000</v>
      </c>
      <c r="CN99" s="23">
        <v>54</v>
      </c>
      <c r="CV99" s="129">
        <v>1315834</v>
      </c>
    </row>
    <row r="100" spans="1:100" ht="12.75" customHeight="1">
      <c r="A100" s="1">
        <v>3</v>
      </c>
      <c r="B100" s="1">
        <v>5170</v>
      </c>
      <c r="C100" s="1" t="s">
        <v>1544</v>
      </c>
      <c r="D100" s="5" t="s">
        <v>1615</v>
      </c>
      <c r="E100"/>
      <c r="F100" s="26"/>
      <c r="G100" s="78">
        <v>95316</v>
      </c>
      <c r="O100" s="117">
        <f t="shared" si="5"/>
        <v>95316</v>
      </c>
      <c r="Y100" s="78">
        <v>580</v>
      </c>
      <c r="AD100" s="1">
        <v>2085</v>
      </c>
      <c r="AE100" s="1">
        <v>80</v>
      </c>
      <c r="AV100" s="116">
        <f t="shared" si="6"/>
        <v>2745</v>
      </c>
      <c r="BF100" s="121">
        <f t="shared" si="7"/>
        <v>0</v>
      </c>
      <c r="BP100" s="1">
        <v>15809</v>
      </c>
      <c r="CC100" s="125">
        <f t="shared" si="8"/>
        <v>15809</v>
      </c>
      <c r="CK100" s="124">
        <f t="shared" si="9"/>
        <v>0</v>
      </c>
    </row>
    <row r="101" spans="1:100" ht="12.75" customHeight="1">
      <c r="A101" s="1">
        <v>3</v>
      </c>
      <c r="B101" s="1">
        <v>5330</v>
      </c>
      <c r="C101" s="1" t="s">
        <v>1544</v>
      </c>
      <c r="D101" s="5" t="s">
        <v>1616</v>
      </c>
      <c r="E101" t="s">
        <v>497</v>
      </c>
      <c r="F101" s="26">
        <v>1347</v>
      </c>
      <c r="G101" s="78">
        <v>16723037</v>
      </c>
      <c r="H101" s="78">
        <v>144004</v>
      </c>
      <c r="M101" s="1">
        <v>737134</v>
      </c>
      <c r="O101" s="117">
        <f t="shared" si="5"/>
        <v>17604175</v>
      </c>
      <c r="V101" s="1">
        <v>71715</v>
      </c>
      <c r="W101" s="1">
        <v>645244</v>
      </c>
      <c r="X101" s="1">
        <v>24456</v>
      </c>
      <c r="AC101" s="1">
        <v>92820</v>
      </c>
      <c r="AD101" s="1">
        <v>77418</v>
      </c>
      <c r="AE101" s="1">
        <v>24565</v>
      </c>
      <c r="AF101" s="1">
        <v>8627</v>
      </c>
      <c r="AG101" s="1">
        <v>1211759</v>
      </c>
      <c r="AH101" s="1">
        <v>641135</v>
      </c>
      <c r="AP101" s="1">
        <v>293149</v>
      </c>
      <c r="AU101" s="1">
        <v>1988</v>
      </c>
      <c r="AV101" s="116">
        <f t="shared" si="6"/>
        <v>3092876</v>
      </c>
      <c r="BD101" s="1">
        <v>239522</v>
      </c>
      <c r="BE101" s="1">
        <v>22577</v>
      </c>
      <c r="BF101" s="121">
        <f t="shared" si="7"/>
        <v>262099</v>
      </c>
      <c r="BG101" s="1">
        <v>75241</v>
      </c>
      <c r="BO101" s="1">
        <v>13691</v>
      </c>
      <c r="CA101" s="1">
        <v>328</v>
      </c>
      <c r="CC101" s="125">
        <f t="shared" si="8"/>
        <v>89260</v>
      </c>
      <c r="CD101" s="1">
        <v>112785</v>
      </c>
      <c r="CK101" s="124">
        <f t="shared" si="9"/>
        <v>112785</v>
      </c>
      <c r="CV101" s="129">
        <v>264087</v>
      </c>
    </row>
    <row r="102" spans="1:100" ht="12.75" customHeight="1">
      <c r="A102" s="1">
        <v>3</v>
      </c>
      <c r="B102" s="1">
        <v>5410</v>
      </c>
      <c r="C102" s="1" t="s">
        <v>1544</v>
      </c>
      <c r="D102" s="5" t="s">
        <v>1617</v>
      </c>
      <c r="E102" t="s">
        <v>498</v>
      </c>
      <c r="F102" s="26">
        <v>1584.5</v>
      </c>
      <c r="G102" s="78">
        <v>20796714</v>
      </c>
      <c r="H102" s="78">
        <v>230477</v>
      </c>
      <c r="M102" s="1">
        <v>674742</v>
      </c>
      <c r="O102" s="117">
        <f t="shared" si="5"/>
        <v>21701933</v>
      </c>
      <c r="V102" s="1">
        <v>148593</v>
      </c>
      <c r="W102" s="1">
        <v>918126</v>
      </c>
      <c r="X102" s="1">
        <v>81436</v>
      </c>
      <c r="AC102" s="1">
        <v>105163</v>
      </c>
      <c r="AD102" s="1">
        <v>172370</v>
      </c>
      <c r="AE102" s="1">
        <v>39616</v>
      </c>
      <c r="AF102" s="1">
        <v>6337</v>
      </c>
      <c r="AG102" s="1">
        <v>1823248</v>
      </c>
      <c r="AH102" s="1">
        <v>749773</v>
      </c>
      <c r="AU102" s="1">
        <v>140986</v>
      </c>
      <c r="AV102" s="116">
        <f t="shared" si="6"/>
        <v>4185648</v>
      </c>
      <c r="BD102" s="1">
        <v>336360</v>
      </c>
      <c r="BE102" s="1">
        <v>86549</v>
      </c>
      <c r="BF102" s="121">
        <f t="shared" si="7"/>
        <v>422909</v>
      </c>
      <c r="BG102" s="1">
        <v>65527</v>
      </c>
      <c r="BI102" s="1">
        <v>17000</v>
      </c>
      <c r="CA102" s="1">
        <v>28344</v>
      </c>
      <c r="CC102" s="125">
        <f t="shared" si="8"/>
        <v>110871</v>
      </c>
      <c r="CK102" s="124">
        <f t="shared" si="9"/>
        <v>0</v>
      </c>
      <c r="CV102" s="129">
        <v>563895</v>
      </c>
    </row>
    <row r="103" spans="1:100" ht="12.75" customHeight="1">
      <c r="A103" s="1">
        <v>3</v>
      </c>
      <c r="B103" s="1">
        <v>5430</v>
      </c>
      <c r="C103" s="1" t="s">
        <v>1544</v>
      </c>
      <c r="D103" s="5" t="s">
        <v>1618</v>
      </c>
      <c r="E103" t="s">
        <v>499</v>
      </c>
      <c r="F103" s="26">
        <v>1160</v>
      </c>
      <c r="G103" s="78">
        <v>10278587</v>
      </c>
      <c r="H103" s="78">
        <v>339989</v>
      </c>
      <c r="L103" s="1">
        <v>6899</v>
      </c>
      <c r="M103" s="1">
        <v>310991</v>
      </c>
      <c r="O103" s="117">
        <f t="shared" si="5"/>
        <v>10936466</v>
      </c>
      <c r="P103" s="78">
        <v>1012067</v>
      </c>
      <c r="V103" s="1">
        <v>54324</v>
      </c>
      <c r="W103" s="1">
        <v>399297</v>
      </c>
      <c r="X103" s="1">
        <v>177338</v>
      </c>
      <c r="Y103" s="78">
        <v>500156</v>
      </c>
      <c r="AC103" s="1">
        <v>40644</v>
      </c>
      <c r="AD103" s="1">
        <v>126288</v>
      </c>
      <c r="AE103" s="1">
        <v>68338</v>
      </c>
      <c r="AF103" s="1">
        <v>2159</v>
      </c>
      <c r="AG103" s="1">
        <v>856173</v>
      </c>
      <c r="AH103" s="1">
        <v>515924</v>
      </c>
      <c r="AO103" s="1">
        <v>8460</v>
      </c>
      <c r="AP103" s="1">
        <v>4343</v>
      </c>
      <c r="AT103" s="1">
        <v>372411</v>
      </c>
      <c r="AU103" s="1">
        <v>77591</v>
      </c>
      <c r="AV103" s="116">
        <f t="shared" si="6"/>
        <v>4215513</v>
      </c>
      <c r="BC103" s="1">
        <v>130354</v>
      </c>
      <c r="BD103" s="1">
        <v>237330</v>
      </c>
      <c r="BE103" s="1">
        <v>125636</v>
      </c>
      <c r="BF103" s="121">
        <f t="shared" si="7"/>
        <v>493320</v>
      </c>
      <c r="BO103" s="1">
        <v>4162</v>
      </c>
      <c r="CC103" s="125">
        <f t="shared" si="8"/>
        <v>4162</v>
      </c>
      <c r="CK103" s="124">
        <f t="shared" si="9"/>
        <v>0</v>
      </c>
      <c r="CV103" s="129">
        <v>586270</v>
      </c>
    </row>
    <row r="104" spans="1:100" ht="12.75" customHeight="1">
      <c r="A104" s="1">
        <v>3</v>
      </c>
      <c r="B104" s="1">
        <v>5755</v>
      </c>
      <c r="C104" s="1" t="s">
        <v>1544</v>
      </c>
      <c r="D104" s="5" t="s">
        <v>1619</v>
      </c>
      <c r="E104" t="s">
        <v>500</v>
      </c>
      <c r="F104" s="26">
        <v>2646</v>
      </c>
      <c r="G104" s="78">
        <v>36722248</v>
      </c>
      <c r="H104" s="78">
        <v>329272</v>
      </c>
      <c r="L104" s="1">
        <v>23613</v>
      </c>
      <c r="M104" s="1">
        <v>642002</v>
      </c>
      <c r="O104" s="117">
        <f t="shared" si="5"/>
        <v>37717135</v>
      </c>
      <c r="V104" s="1">
        <v>530222</v>
      </c>
      <c r="W104" s="1">
        <v>1534883</v>
      </c>
      <c r="X104" s="1">
        <v>113798</v>
      </c>
      <c r="AC104" s="1">
        <v>201347</v>
      </c>
      <c r="AD104" s="1">
        <v>280773</v>
      </c>
      <c r="AE104" s="1">
        <v>73790</v>
      </c>
      <c r="AF104" s="1">
        <v>179019</v>
      </c>
      <c r="AG104" s="1">
        <v>2690545</v>
      </c>
      <c r="AH104" s="1">
        <v>1291384</v>
      </c>
      <c r="AP104" s="1">
        <v>15904</v>
      </c>
      <c r="AT104" s="1">
        <v>18198</v>
      </c>
      <c r="AU104" s="1">
        <v>181743</v>
      </c>
      <c r="AV104" s="116">
        <f t="shared" si="6"/>
        <v>7111606</v>
      </c>
      <c r="BC104" s="1">
        <v>83118</v>
      </c>
      <c r="BD104" s="1">
        <v>715816</v>
      </c>
      <c r="BE104" s="1">
        <v>77003</v>
      </c>
      <c r="BF104" s="121">
        <f t="shared" si="7"/>
        <v>875937</v>
      </c>
      <c r="BG104" s="1">
        <v>155561</v>
      </c>
      <c r="BO104" s="1">
        <v>8481</v>
      </c>
      <c r="CC104" s="125">
        <f t="shared" si="8"/>
        <v>164042</v>
      </c>
      <c r="CK104" s="124">
        <f t="shared" si="9"/>
        <v>0</v>
      </c>
      <c r="CV104" s="129">
        <v>1081293</v>
      </c>
    </row>
    <row r="105" spans="1:100" ht="12.75" customHeight="1">
      <c r="A105" s="1">
        <v>3</v>
      </c>
      <c r="B105" s="1">
        <v>5830</v>
      </c>
      <c r="C105" s="1" t="s">
        <v>1544</v>
      </c>
      <c r="D105" s="5" t="s">
        <v>1620</v>
      </c>
      <c r="E105" t="s">
        <v>501</v>
      </c>
      <c r="F105" s="26">
        <v>1125.5</v>
      </c>
      <c r="G105" s="78">
        <v>10831384</v>
      </c>
      <c r="H105" s="78">
        <v>61591</v>
      </c>
      <c r="M105" s="1">
        <v>283960</v>
      </c>
      <c r="O105" s="117">
        <f t="shared" si="5"/>
        <v>11176935</v>
      </c>
      <c r="W105" s="1">
        <v>670362</v>
      </c>
      <c r="AC105" s="1">
        <v>53246</v>
      </c>
      <c r="AD105" s="1">
        <v>93701</v>
      </c>
      <c r="AE105" s="1">
        <v>23574</v>
      </c>
      <c r="AF105" s="1">
        <v>94076</v>
      </c>
      <c r="AG105" s="1">
        <v>886266</v>
      </c>
      <c r="AH105" s="1">
        <v>439613</v>
      </c>
      <c r="AO105" s="1">
        <v>21753</v>
      </c>
      <c r="AU105" s="1">
        <v>120548</v>
      </c>
      <c r="AV105" s="116">
        <f t="shared" si="6"/>
        <v>2403139</v>
      </c>
      <c r="AW105" s="1">
        <v>629</v>
      </c>
      <c r="BC105" s="1">
        <v>70064</v>
      </c>
      <c r="BD105" s="1">
        <v>234158</v>
      </c>
      <c r="BE105" s="1">
        <v>33682</v>
      </c>
      <c r="BF105" s="121">
        <f t="shared" si="7"/>
        <v>338533</v>
      </c>
      <c r="BG105" s="1">
        <v>59601</v>
      </c>
      <c r="BJ105" s="1">
        <v>1099420</v>
      </c>
      <c r="BO105" s="1">
        <v>1250</v>
      </c>
      <c r="BP105" s="1">
        <v>94159</v>
      </c>
      <c r="CC105" s="125">
        <f t="shared" si="8"/>
        <v>1254430</v>
      </c>
      <c r="CK105" s="124">
        <f t="shared" si="9"/>
        <v>0</v>
      </c>
      <c r="CV105" s="129">
        <v>480205</v>
      </c>
    </row>
    <row r="106" spans="1:100" ht="12.75" customHeight="1">
      <c r="A106" s="1">
        <v>3</v>
      </c>
      <c r="B106" s="1">
        <v>5880</v>
      </c>
      <c r="C106" s="1" t="s">
        <v>1544</v>
      </c>
      <c r="D106" s="5" t="s">
        <v>1621</v>
      </c>
      <c r="E106" t="s">
        <v>394</v>
      </c>
      <c r="F106" s="26">
        <v>860</v>
      </c>
      <c r="G106" s="78">
        <v>10427500</v>
      </c>
      <c r="H106" s="78">
        <v>168307</v>
      </c>
      <c r="L106" s="1">
        <v>19624</v>
      </c>
      <c r="M106" s="1">
        <v>1057868</v>
      </c>
      <c r="O106" s="117">
        <f t="shared" si="5"/>
        <v>11673299</v>
      </c>
      <c r="V106" s="1">
        <v>101177</v>
      </c>
      <c r="W106" s="1">
        <v>435027</v>
      </c>
      <c r="X106" s="1">
        <v>8140</v>
      </c>
      <c r="Y106" s="78">
        <v>86901</v>
      </c>
      <c r="AC106" s="1">
        <v>55992</v>
      </c>
      <c r="AD106" s="1">
        <v>37932</v>
      </c>
      <c r="AE106" s="1">
        <v>18263</v>
      </c>
      <c r="AF106" s="1">
        <v>5071</v>
      </c>
      <c r="AG106" s="1">
        <v>786768</v>
      </c>
      <c r="AH106" s="1">
        <v>423489</v>
      </c>
      <c r="AP106" s="1">
        <v>16898</v>
      </c>
      <c r="AT106" s="1">
        <v>7884</v>
      </c>
      <c r="AV106" s="116">
        <f t="shared" si="6"/>
        <v>1983542</v>
      </c>
      <c r="BD106" s="1">
        <v>163614</v>
      </c>
      <c r="BE106" s="1">
        <v>15223</v>
      </c>
      <c r="BF106" s="121">
        <f t="shared" si="7"/>
        <v>178837</v>
      </c>
      <c r="BI106" s="1">
        <v>29206</v>
      </c>
      <c r="BO106" s="1">
        <v>26720</v>
      </c>
      <c r="BY106" s="1">
        <v>32277</v>
      </c>
      <c r="BZ106" s="1">
        <v>34128</v>
      </c>
      <c r="CC106" s="125">
        <f t="shared" si="8"/>
        <v>122331</v>
      </c>
      <c r="CD106" s="1">
        <v>8868</v>
      </c>
      <c r="CK106" s="124">
        <f t="shared" si="9"/>
        <v>8868</v>
      </c>
      <c r="CV106" s="129">
        <v>198461</v>
      </c>
    </row>
    <row r="107" spans="1:100" ht="12.75" customHeight="1">
      <c r="A107" s="1">
        <v>3</v>
      </c>
      <c r="B107" s="1">
        <v>5920</v>
      </c>
      <c r="C107" s="1" t="s">
        <v>1544</v>
      </c>
      <c r="D107" s="5" t="s">
        <v>1622</v>
      </c>
      <c r="E107" t="s">
        <v>395</v>
      </c>
      <c r="F107" s="26">
        <v>2384</v>
      </c>
      <c r="H107" s="78">
        <v>309012</v>
      </c>
      <c r="J107" s="1">
        <v>26556246</v>
      </c>
      <c r="L107" s="1">
        <v>20088</v>
      </c>
      <c r="M107" s="1">
        <v>1564678</v>
      </c>
      <c r="O107" s="117">
        <f t="shared" si="5"/>
        <v>28450024</v>
      </c>
      <c r="V107" s="1">
        <v>28992</v>
      </c>
      <c r="W107" s="1">
        <v>1120426</v>
      </c>
      <c r="X107" s="1">
        <v>22300</v>
      </c>
      <c r="AC107" s="1">
        <v>85231</v>
      </c>
      <c r="AD107" s="1">
        <v>149914</v>
      </c>
      <c r="AE107" s="1">
        <v>39649</v>
      </c>
      <c r="AF107" s="1">
        <v>15585</v>
      </c>
      <c r="AG107" s="1">
        <v>2047498</v>
      </c>
      <c r="AH107" s="1">
        <v>1099483</v>
      </c>
      <c r="AT107" s="1">
        <v>6638650</v>
      </c>
      <c r="AU107" s="1">
        <v>247283</v>
      </c>
      <c r="AV107" s="116">
        <f t="shared" si="6"/>
        <v>11495011</v>
      </c>
      <c r="BD107" s="1">
        <v>489240</v>
      </c>
      <c r="BE107" s="1">
        <v>50579</v>
      </c>
      <c r="BF107" s="121">
        <f t="shared" si="7"/>
        <v>539819</v>
      </c>
      <c r="BO107" s="1">
        <v>15493</v>
      </c>
      <c r="BR107" s="1">
        <v>1465</v>
      </c>
      <c r="CA107" s="1">
        <v>748932</v>
      </c>
      <c r="CB107" s="1">
        <v>474420</v>
      </c>
      <c r="CC107" s="125">
        <f t="shared" si="8"/>
        <v>1240310</v>
      </c>
      <c r="CK107" s="124">
        <f t="shared" si="9"/>
        <v>0</v>
      </c>
      <c r="CV107" s="129">
        <v>807190</v>
      </c>
    </row>
    <row r="108" spans="1:100" ht="12.75" customHeight="1">
      <c r="A108" s="1">
        <v>5</v>
      </c>
      <c r="B108" s="1">
        <v>200</v>
      </c>
      <c r="C108" s="1" t="s">
        <v>1623</v>
      </c>
      <c r="D108" s="5" t="s">
        <v>1450</v>
      </c>
      <c r="E108" t="s">
        <v>396</v>
      </c>
      <c r="F108" s="26">
        <v>127</v>
      </c>
      <c r="G108" s="78">
        <v>1007169</v>
      </c>
      <c r="H108" s="78">
        <v>9369</v>
      </c>
      <c r="M108" s="1">
        <v>48897</v>
      </c>
      <c r="O108" s="117">
        <f t="shared" si="5"/>
        <v>1065435</v>
      </c>
      <c r="P108" s="78">
        <v>676137</v>
      </c>
      <c r="V108" s="1">
        <v>38204</v>
      </c>
      <c r="W108" s="1">
        <v>38643</v>
      </c>
      <c r="X108" s="1">
        <v>2318</v>
      </c>
      <c r="Y108" s="78">
        <v>62467</v>
      </c>
      <c r="AD108" s="1">
        <v>15361</v>
      </c>
      <c r="AE108" s="1">
        <v>25237</v>
      </c>
      <c r="AG108" s="1">
        <v>158446</v>
      </c>
      <c r="AH108" s="1">
        <v>77362</v>
      </c>
      <c r="AO108" s="1">
        <v>8118</v>
      </c>
      <c r="AP108" s="1">
        <v>60589</v>
      </c>
      <c r="AU108" s="1">
        <v>356</v>
      </c>
      <c r="AV108" s="116">
        <f t="shared" si="6"/>
        <v>1163238</v>
      </c>
      <c r="AX108" s="1">
        <v>22900</v>
      </c>
      <c r="BC108" s="1">
        <v>17216</v>
      </c>
      <c r="BD108" s="1">
        <v>45753</v>
      </c>
      <c r="BE108" s="1">
        <v>8011</v>
      </c>
      <c r="BF108" s="121">
        <f t="shared" si="7"/>
        <v>93880</v>
      </c>
      <c r="CC108" s="125">
        <f t="shared" si="8"/>
        <v>0</v>
      </c>
      <c r="CK108" s="124">
        <f t="shared" si="9"/>
        <v>0</v>
      </c>
      <c r="CV108" s="129">
        <v>102354</v>
      </c>
    </row>
    <row r="109" spans="1:100" ht="12.75" customHeight="1">
      <c r="A109" s="1">
        <v>5</v>
      </c>
      <c r="B109" s="1">
        <v>380</v>
      </c>
      <c r="C109" s="1" t="s">
        <v>1623</v>
      </c>
      <c r="D109" s="5" t="s">
        <v>1451</v>
      </c>
      <c r="E109" t="s">
        <v>397</v>
      </c>
      <c r="F109" s="26">
        <v>277</v>
      </c>
      <c r="G109" s="78">
        <v>2504759</v>
      </c>
      <c r="H109" s="78">
        <v>69943</v>
      </c>
      <c r="O109" s="117">
        <f t="shared" si="5"/>
        <v>2574702</v>
      </c>
      <c r="P109" s="78">
        <v>1713366</v>
      </c>
      <c r="Q109" s="78">
        <v>254458</v>
      </c>
      <c r="V109" s="1">
        <v>302316</v>
      </c>
      <c r="W109" s="1">
        <v>578820</v>
      </c>
      <c r="X109" s="1">
        <v>5858</v>
      </c>
      <c r="Y109" s="78">
        <v>202569</v>
      </c>
      <c r="AC109" s="1">
        <v>8314</v>
      </c>
      <c r="AD109" s="1">
        <v>44107</v>
      </c>
      <c r="AE109" s="1">
        <v>104167</v>
      </c>
      <c r="AF109" s="1">
        <v>32793</v>
      </c>
      <c r="AG109" s="1">
        <v>235084</v>
      </c>
      <c r="AH109" s="1">
        <v>136031</v>
      </c>
      <c r="AM109" s="1">
        <v>122815</v>
      </c>
      <c r="AU109" s="1">
        <v>49235</v>
      </c>
      <c r="AV109" s="116">
        <f t="shared" si="6"/>
        <v>3789933</v>
      </c>
      <c r="AW109" s="1">
        <v>4517</v>
      </c>
      <c r="BC109" s="1">
        <v>171241</v>
      </c>
      <c r="BD109" s="1">
        <v>118288</v>
      </c>
      <c r="BE109" s="1">
        <v>39853</v>
      </c>
      <c r="BF109" s="121">
        <f t="shared" si="7"/>
        <v>333899</v>
      </c>
      <c r="BN109" s="1">
        <v>10287</v>
      </c>
      <c r="CC109" s="125">
        <f t="shared" si="8"/>
        <v>10287</v>
      </c>
      <c r="CD109" s="1">
        <v>8654</v>
      </c>
      <c r="CK109" s="124">
        <f t="shared" si="9"/>
        <v>8654</v>
      </c>
      <c r="CT109" s="23">
        <v>242903</v>
      </c>
      <c r="CV109" s="129">
        <v>744335</v>
      </c>
    </row>
    <row r="110" spans="1:100" ht="12.75" customHeight="1">
      <c r="A110" s="1">
        <v>5</v>
      </c>
      <c r="B110" s="1">
        <v>475</v>
      </c>
      <c r="C110" s="1" t="s">
        <v>1623</v>
      </c>
      <c r="D110" s="5" t="s">
        <v>1452</v>
      </c>
      <c r="E110" t="s">
        <v>398</v>
      </c>
      <c r="F110" s="26">
        <v>2276</v>
      </c>
      <c r="G110" s="78">
        <v>22499730</v>
      </c>
      <c r="H110" s="78">
        <v>313986</v>
      </c>
      <c r="L110" s="1">
        <v>10372</v>
      </c>
      <c r="M110" s="1">
        <v>2797567</v>
      </c>
      <c r="O110" s="117">
        <f t="shared" si="5"/>
        <v>25621655</v>
      </c>
      <c r="P110" s="78">
        <v>3052494</v>
      </c>
      <c r="V110" s="1">
        <v>597133</v>
      </c>
      <c r="W110" s="1">
        <v>1898721</v>
      </c>
      <c r="X110" s="1">
        <v>35022</v>
      </c>
      <c r="Y110" s="78">
        <v>692349</v>
      </c>
      <c r="AC110" s="1">
        <v>46154</v>
      </c>
      <c r="AD110" s="1">
        <v>230083</v>
      </c>
      <c r="AE110" s="1">
        <v>196254</v>
      </c>
      <c r="AF110" s="1">
        <v>34529</v>
      </c>
      <c r="AG110" s="1">
        <v>1941686</v>
      </c>
      <c r="AH110" s="1">
        <v>944097</v>
      </c>
      <c r="AO110" s="1">
        <v>35985</v>
      </c>
      <c r="AP110" s="1">
        <v>216432</v>
      </c>
      <c r="AT110" s="1">
        <v>1196318</v>
      </c>
      <c r="AU110" s="1">
        <v>111393</v>
      </c>
      <c r="AV110" s="116">
        <f t="shared" si="6"/>
        <v>11228650</v>
      </c>
      <c r="BC110" s="1">
        <v>235146</v>
      </c>
      <c r="BD110" s="1">
        <v>484854</v>
      </c>
      <c r="BE110" s="1">
        <v>103364</v>
      </c>
      <c r="BF110" s="121">
        <f t="shared" si="7"/>
        <v>823364</v>
      </c>
      <c r="BG110" s="1">
        <v>147792</v>
      </c>
      <c r="BI110" s="1">
        <v>824765</v>
      </c>
      <c r="BN110" s="1">
        <v>56299</v>
      </c>
      <c r="BO110" s="1">
        <v>450</v>
      </c>
      <c r="CA110" s="1">
        <v>91404</v>
      </c>
      <c r="CC110" s="125">
        <f t="shared" si="8"/>
        <v>1120710</v>
      </c>
      <c r="CK110" s="124">
        <f t="shared" si="9"/>
        <v>0</v>
      </c>
      <c r="CV110" s="129">
        <v>981114</v>
      </c>
    </row>
    <row r="111" spans="1:100" ht="12.75" customHeight="1">
      <c r="A111" s="1">
        <v>5</v>
      </c>
      <c r="B111" s="1">
        <v>600</v>
      </c>
      <c r="C111" s="1" t="s">
        <v>1623</v>
      </c>
      <c r="D111" s="5" t="s">
        <v>1453</v>
      </c>
      <c r="E111" t="s">
        <v>399</v>
      </c>
      <c r="F111" s="26">
        <v>1881</v>
      </c>
      <c r="G111" s="78">
        <v>7650000</v>
      </c>
      <c r="H111" s="78">
        <v>133057</v>
      </c>
      <c r="M111" s="1">
        <v>201643</v>
      </c>
      <c r="O111" s="117">
        <f t="shared" si="5"/>
        <v>7984700</v>
      </c>
      <c r="P111" s="78">
        <v>5212735</v>
      </c>
      <c r="V111" s="1">
        <v>203361</v>
      </c>
      <c r="W111" s="1">
        <v>1602469</v>
      </c>
      <c r="X111" s="1">
        <v>58274</v>
      </c>
      <c r="Y111" s="78">
        <v>100000</v>
      </c>
      <c r="AC111" s="1">
        <v>18684</v>
      </c>
      <c r="AD111" s="1">
        <v>155912</v>
      </c>
      <c r="AF111" s="1">
        <v>7396836</v>
      </c>
      <c r="AG111" s="1">
        <v>1944730</v>
      </c>
      <c r="AH111" s="1">
        <v>973599</v>
      </c>
      <c r="AM111" s="1">
        <v>598040</v>
      </c>
      <c r="AU111" s="1">
        <v>634256</v>
      </c>
      <c r="AV111" s="116">
        <f t="shared" si="6"/>
        <v>18898896</v>
      </c>
      <c r="AW111" s="1">
        <v>20630</v>
      </c>
      <c r="BC111" s="1">
        <v>385560</v>
      </c>
      <c r="BD111" s="1">
        <v>488841</v>
      </c>
      <c r="BE111" s="1">
        <v>343126</v>
      </c>
      <c r="BF111" s="121">
        <f t="shared" si="7"/>
        <v>1238157</v>
      </c>
      <c r="BN111" s="1">
        <v>27169</v>
      </c>
      <c r="CC111" s="125">
        <f t="shared" si="8"/>
        <v>27169</v>
      </c>
      <c r="CD111" s="1">
        <v>2090995</v>
      </c>
      <c r="CK111" s="124">
        <f t="shared" si="9"/>
        <v>2090995</v>
      </c>
      <c r="CQ111" s="23">
        <v>38635</v>
      </c>
      <c r="CT111" s="23">
        <v>825397</v>
      </c>
      <c r="CU111" s="23">
        <v>842768</v>
      </c>
      <c r="CV111" s="129">
        <v>4435824</v>
      </c>
    </row>
    <row r="112" spans="1:100" ht="12.75" customHeight="1">
      <c r="A112" s="1">
        <v>5</v>
      </c>
      <c r="B112" s="1">
        <v>605</v>
      </c>
      <c r="C112" s="1" t="s">
        <v>1623</v>
      </c>
      <c r="D112" s="5" t="s">
        <v>1454</v>
      </c>
      <c r="E112" t="s">
        <v>400</v>
      </c>
      <c r="F112" s="26">
        <v>1067</v>
      </c>
      <c r="H112" s="78">
        <v>1836390</v>
      </c>
      <c r="I112" s="1">
        <v>4800000</v>
      </c>
      <c r="L112" s="1">
        <v>14565</v>
      </c>
      <c r="O112" s="117">
        <f t="shared" si="5"/>
        <v>6650955</v>
      </c>
      <c r="AG112" s="1">
        <v>1599106</v>
      </c>
      <c r="AH112" s="1">
        <v>1283195</v>
      </c>
      <c r="AU112" s="1">
        <v>1950</v>
      </c>
      <c r="AV112" s="116">
        <f t="shared" si="6"/>
        <v>2884251</v>
      </c>
      <c r="AW112" s="1">
        <v>339033</v>
      </c>
      <c r="BE112" s="1">
        <v>25695</v>
      </c>
      <c r="BF112" s="121">
        <f t="shared" si="7"/>
        <v>364728</v>
      </c>
      <c r="BL112" s="1">
        <v>156099</v>
      </c>
      <c r="CC112" s="125">
        <f t="shared" si="8"/>
        <v>156099</v>
      </c>
      <c r="CF112" s="1">
        <v>24086887</v>
      </c>
      <c r="CG112" s="1">
        <v>7630148</v>
      </c>
      <c r="CK112" s="124">
        <f t="shared" si="9"/>
        <v>31717035</v>
      </c>
      <c r="CV112" s="129">
        <v>42210</v>
      </c>
    </row>
    <row r="113" spans="1:100" ht="12.75" customHeight="1">
      <c r="A113" s="1">
        <v>5</v>
      </c>
      <c r="B113" s="1">
        <v>610</v>
      </c>
      <c r="C113" s="1" t="s">
        <v>1623</v>
      </c>
      <c r="D113" s="5" t="s">
        <v>1455</v>
      </c>
      <c r="E113" t="s">
        <v>401</v>
      </c>
      <c r="F113" s="26">
        <v>2124</v>
      </c>
      <c r="H113" s="78">
        <v>207487</v>
      </c>
      <c r="I113" s="1">
        <v>15894974</v>
      </c>
      <c r="O113" s="117">
        <f t="shared" si="5"/>
        <v>16102461</v>
      </c>
      <c r="P113" s="78">
        <v>4454531</v>
      </c>
      <c r="W113" s="1">
        <v>1895109</v>
      </c>
      <c r="Y113" s="78">
        <v>5889</v>
      </c>
      <c r="AA113" s="1">
        <v>3066301</v>
      </c>
      <c r="AD113" s="1">
        <v>192778</v>
      </c>
      <c r="AE113" s="1">
        <v>490664</v>
      </c>
      <c r="AG113" s="1">
        <v>1839186</v>
      </c>
      <c r="AH113" s="1">
        <v>1099351</v>
      </c>
      <c r="AO113" s="1">
        <v>88161</v>
      </c>
      <c r="AU113" s="1">
        <v>58772</v>
      </c>
      <c r="AV113" s="116">
        <f t="shared" si="6"/>
        <v>13190742</v>
      </c>
      <c r="BC113" s="1">
        <v>597730</v>
      </c>
      <c r="BD113" s="1">
        <v>416321</v>
      </c>
      <c r="BE113" s="1">
        <v>434562</v>
      </c>
      <c r="BF113" s="121">
        <f t="shared" si="7"/>
        <v>1448613</v>
      </c>
      <c r="CC113" s="125">
        <f t="shared" si="8"/>
        <v>0</v>
      </c>
      <c r="CF113" s="1">
        <v>3944000</v>
      </c>
      <c r="CG113" s="1">
        <v>772321</v>
      </c>
      <c r="CK113" s="124">
        <f t="shared" si="9"/>
        <v>4716321</v>
      </c>
      <c r="CP113" s="23">
        <v>1444845</v>
      </c>
      <c r="CV113" s="129">
        <v>1595546</v>
      </c>
    </row>
    <row r="114" spans="1:100" ht="12.75" customHeight="1">
      <c r="A114" s="1">
        <v>5</v>
      </c>
      <c r="B114" s="1">
        <v>620</v>
      </c>
      <c r="C114" s="1" t="s">
        <v>1623</v>
      </c>
      <c r="D114" s="5" t="s">
        <v>1456</v>
      </c>
      <c r="E114" t="s">
        <v>402</v>
      </c>
      <c r="F114" s="26">
        <v>4198</v>
      </c>
      <c r="G114" s="78">
        <v>27848255</v>
      </c>
      <c r="H114" s="78">
        <v>396499</v>
      </c>
      <c r="L114" s="1">
        <v>9943</v>
      </c>
      <c r="M114" s="1">
        <v>3150626</v>
      </c>
      <c r="O114" s="117">
        <f t="shared" si="5"/>
        <v>31405323</v>
      </c>
      <c r="P114" s="78">
        <v>9451947</v>
      </c>
      <c r="V114" s="1">
        <v>1370609</v>
      </c>
      <c r="W114" s="1">
        <v>2551787</v>
      </c>
      <c r="X114" s="1">
        <v>103916</v>
      </c>
      <c r="AC114" s="1">
        <v>130819</v>
      </c>
      <c r="AD114" s="1">
        <v>448974</v>
      </c>
      <c r="AE114" s="1">
        <v>421297</v>
      </c>
      <c r="AF114" s="1">
        <v>270038</v>
      </c>
      <c r="AG114" s="1">
        <v>2493564</v>
      </c>
      <c r="AH114" s="1">
        <v>1434168</v>
      </c>
      <c r="AO114" s="1">
        <v>115992</v>
      </c>
      <c r="AP114" s="1">
        <v>1329185</v>
      </c>
      <c r="AV114" s="116">
        <f t="shared" si="6"/>
        <v>20122296</v>
      </c>
      <c r="BC114" s="1">
        <v>199504</v>
      </c>
      <c r="BD114" s="1">
        <v>721731</v>
      </c>
      <c r="BE114" s="1">
        <v>202979</v>
      </c>
      <c r="BF114" s="121">
        <f t="shared" si="7"/>
        <v>1124214</v>
      </c>
      <c r="BI114" s="1">
        <v>5400</v>
      </c>
      <c r="BN114" s="1">
        <v>18728</v>
      </c>
      <c r="BO114" s="1">
        <v>110</v>
      </c>
      <c r="BZ114" s="1">
        <v>356250</v>
      </c>
      <c r="CB114" s="1">
        <v>37177</v>
      </c>
      <c r="CC114" s="125">
        <f t="shared" si="8"/>
        <v>417665</v>
      </c>
      <c r="CD114" s="1">
        <v>104129</v>
      </c>
      <c r="CK114" s="124">
        <f t="shared" si="9"/>
        <v>104129</v>
      </c>
      <c r="CV114" s="129">
        <v>1250149</v>
      </c>
    </row>
    <row r="115" spans="1:100" ht="12.75" customHeight="1">
      <c r="A115" s="1">
        <v>5</v>
      </c>
      <c r="B115" s="1">
        <v>830</v>
      </c>
      <c r="C115" s="1" t="s">
        <v>1623</v>
      </c>
      <c r="D115" s="5" t="s">
        <v>1457</v>
      </c>
      <c r="E115" t="s">
        <v>403</v>
      </c>
      <c r="F115" s="26">
        <v>348</v>
      </c>
      <c r="G115" s="78">
        <v>3911199</v>
      </c>
      <c r="H115" s="78">
        <v>59044</v>
      </c>
      <c r="M115" s="1">
        <v>95351</v>
      </c>
      <c r="O115" s="117">
        <f t="shared" si="5"/>
        <v>4065594</v>
      </c>
      <c r="P115" s="78">
        <v>121890</v>
      </c>
      <c r="V115" s="1">
        <v>78888</v>
      </c>
      <c r="W115" s="1">
        <v>59777</v>
      </c>
      <c r="Y115" s="78">
        <v>11236</v>
      </c>
      <c r="AC115" s="1">
        <v>3681</v>
      </c>
      <c r="AD115" s="1">
        <v>29624</v>
      </c>
      <c r="AE115" s="1">
        <v>9042</v>
      </c>
      <c r="AF115" s="1">
        <v>2854</v>
      </c>
      <c r="AG115" s="1">
        <v>255282</v>
      </c>
      <c r="AH115" s="1">
        <v>155970</v>
      </c>
      <c r="AP115" s="1">
        <v>6300</v>
      </c>
      <c r="AU115" s="1">
        <v>42126</v>
      </c>
      <c r="AV115" s="116">
        <f t="shared" si="6"/>
        <v>776670</v>
      </c>
      <c r="AX115" s="1">
        <v>33335</v>
      </c>
      <c r="BD115" s="1">
        <v>71061</v>
      </c>
      <c r="BE115" s="1">
        <v>12139</v>
      </c>
      <c r="BF115" s="121">
        <f t="shared" si="7"/>
        <v>116535</v>
      </c>
      <c r="BI115" s="1">
        <v>9409</v>
      </c>
      <c r="BJ115" s="1">
        <v>2289</v>
      </c>
      <c r="BO115" s="1">
        <v>59</v>
      </c>
      <c r="CC115" s="125">
        <f t="shared" si="8"/>
        <v>11757</v>
      </c>
      <c r="CK115" s="124">
        <f t="shared" si="9"/>
        <v>0</v>
      </c>
      <c r="CV115" s="129">
        <v>158661</v>
      </c>
    </row>
    <row r="116" spans="1:100" ht="12.75" customHeight="1">
      <c r="A116" s="1">
        <v>5</v>
      </c>
      <c r="B116" s="1">
        <v>840</v>
      </c>
      <c r="C116" s="1" t="s">
        <v>1623</v>
      </c>
      <c r="D116" s="5" t="s">
        <v>1458</v>
      </c>
      <c r="E116" t="s">
        <v>404</v>
      </c>
      <c r="F116" s="26">
        <v>2525.5</v>
      </c>
      <c r="G116" s="78">
        <v>23924030</v>
      </c>
      <c r="H116" s="78">
        <v>265763</v>
      </c>
      <c r="L116" s="1">
        <v>25125</v>
      </c>
      <c r="M116" s="1">
        <v>1300569</v>
      </c>
      <c r="O116" s="117">
        <f t="shared" si="5"/>
        <v>25515487</v>
      </c>
      <c r="P116" s="78">
        <v>5970078</v>
      </c>
      <c r="V116" s="1">
        <v>565077</v>
      </c>
      <c r="W116" s="1">
        <v>1620290</v>
      </c>
      <c r="X116" s="1">
        <v>13980</v>
      </c>
      <c r="AC116" s="1">
        <v>129599</v>
      </c>
      <c r="AD116" s="1">
        <v>288673</v>
      </c>
      <c r="AE116" s="1">
        <v>253743</v>
      </c>
      <c r="AF116" s="1">
        <v>18457</v>
      </c>
      <c r="AG116" s="1">
        <v>2470744</v>
      </c>
      <c r="AH116" s="1">
        <v>1141146</v>
      </c>
      <c r="AP116" s="1">
        <v>538714</v>
      </c>
      <c r="AU116" s="1">
        <v>237363</v>
      </c>
      <c r="AV116" s="116">
        <f t="shared" si="6"/>
        <v>13247864</v>
      </c>
      <c r="BC116" s="1">
        <v>126217</v>
      </c>
      <c r="BD116" s="1">
        <v>588156</v>
      </c>
      <c r="BE116" s="1">
        <v>85481</v>
      </c>
      <c r="BF116" s="121">
        <f t="shared" si="7"/>
        <v>799854</v>
      </c>
      <c r="BG116" s="1">
        <v>500000</v>
      </c>
      <c r="BI116" s="1">
        <v>13104</v>
      </c>
      <c r="BN116" s="1">
        <v>376193</v>
      </c>
      <c r="BO116" s="1">
        <v>275</v>
      </c>
      <c r="BP116" s="1">
        <v>41739</v>
      </c>
      <c r="BY116" s="1">
        <v>1489</v>
      </c>
      <c r="CB116" s="1">
        <v>1925</v>
      </c>
      <c r="CC116" s="125">
        <f t="shared" si="8"/>
        <v>934725</v>
      </c>
      <c r="CD116" s="1">
        <v>158857</v>
      </c>
      <c r="CK116" s="124">
        <f t="shared" si="9"/>
        <v>158857</v>
      </c>
      <c r="CV116" s="129">
        <v>1062342</v>
      </c>
    </row>
    <row r="117" spans="1:100" ht="12.75" customHeight="1">
      <c r="A117" s="1">
        <v>5</v>
      </c>
      <c r="B117" s="1">
        <v>1030</v>
      </c>
      <c r="C117" s="1" t="s">
        <v>1623</v>
      </c>
      <c r="D117" s="5" t="s">
        <v>1459</v>
      </c>
      <c r="E117" t="s">
        <v>405</v>
      </c>
      <c r="F117" s="26">
        <v>366</v>
      </c>
      <c r="G117" s="78">
        <v>4493107</v>
      </c>
      <c r="H117" s="78">
        <v>110682</v>
      </c>
      <c r="M117" s="1">
        <v>333175</v>
      </c>
      <c r="O117" s="117">
        <f t="shared" si="5"/>
        <v>4936964</v>
      </c>
      <c r="P117" s="78">
        <v>1278487</v>
      </c>
      <c r="V117" s="1">
        <v>102452</v>
      </c>
      <c r="W117" s="1">
        <v>592996</v>
      </c>
      <c r="AD117" s="1">
        <v>55409</v>
      </c>
      <c r="AE117" s="1">
        <v>61589</v>
      </c>
      <c r="AF117" s="1">
        <v>3712</v>
      </c>
      <c r="AG117" s="1">
        <v>321760</v>
      </c>
      <c r="AH117" s="1">
        <v>187718</v>
      </c>
      <c r="AO117" s="1">
        <v>23628</v>
      </c>
      <c r="AV117" s="116">
        <f t="shared" si="6"/>
        <v>2627751</v>
      </c>
      <c r="BC117" s="1">
        <v>60349</v>
      </c>
      <c r="BD117" s="1">
        <v>33000</v>
      </c>
      <c r="BE117" s="1">
        <v>24071</v>
      </c>
      <c r="BF117" s="121">
        <f t="shared" si="7"/>
        <v>117420</v>
      </c>
      <c r="BI117" s="1">
        <v>3533</v>
      </c>
      <c r="BO117" s="1">
        <v>2938</v>
      </c>
      <c r="BP117" s="1">
        <v>2004</v>
      </c>
      <c r="CA117" s="1">
        <v>49011</v>
      </c>
      <c r="CC117" s="125">
        <f t="shared" si="8"/>
        <v>57486</v>
      </c>
      <c r="CK117" s="124">
        <f t="shared" si="9"/>
        <v>0</v>
      </c>
      <c r="CV117" s="129">
        <v>141048</v>
      </c>
    </row>
    <row r="118" spans="1:100" ht="12.75" customHeight="1">
      <c r="A118" s="1">
        <v>5</v>
      </c>
      <c r="B118" s="1">
        <v>1060</v>
      </c>
      <c r="C118" s="1" t="s">
        <v>1623</v>
      </c>
      <c r="D118" s="5" t="s">
        <v>1460</v>
      </c>
      <c r="E118" t="s">
        <v>406</v>
      </c>
      <c r="F118" s="26">
        <v>2817</v>
      </c>
      <c r="G118" s="78">
        <v>22780246</v>
      </c>
      <c r="H118" s="78">
        <v>535239</v>
      </c>
      <c r="L118" s="1">
        <v>6352</v>
      </c>
      <c r="M118" s="1">
        <v>1095818</v>
      </c>
      <c r="O118" s="117">
        <f t="shared" si="5"/>
        <v>24417655</v>
      </c>
      <c r="P118" s="78">
        <v>6032588</v>
      </c>
      <c r="Q118" s="78">
        <v>317029</v>
      </c>
      <c r="V118" s="1">
        <v>429424</v>
      </c>
      <c r="W118" s="1">
        <v>1336073</v>
      </c>
      <c r="X118" s="1">
        <v>101562</v>
      </c>
      <c r="AC118" s="1">
        <v>52408</v>
      </c>
      <c r="AD118" s="1">
        <v>296134</v>
      </c>
      <c r="AE118" s="1">
        <v>257343</v>
      </c>
      <c r="AF118" s="1">
        <v>139474</v>
      </c>
      <c r="AG118" s="1">
        <v>1704916</v>
      </c>
      <c r="AH118" s="1">
        <v>1089359</v>
      </c>
      <c r="AO118" s="1">
        <v>65289</v>
      </c>
      <c r="AP118" s="1">
        <v>350526</v>
      </c>
      <c r="AU118" s="1">
        <v>403689</v>
      </c>
      <c r="AV118" s="116">
        <f t="shared" si="6"/>
        <v>12575814</v>
      </c>
      <c r="BC118" s="1">
        <v>170269</v>
      </c>
      <c r="BD118" s="1">
        <v>567645</v>
      </c>
      <c r="BE118" s="1">
        <v>134930</v>
      </c>
      <c r="BF118" s="121">
        <f t="shared" si="7"/>
        <v>872844</v>
      </c>
      <c r="BI118" s="1">
        <v>26507</v>
      </c>
      <c r="BY118" s="1">
        <v>16464</v>
      </c>
      <c r="BZ118" s="1">
        <v>89</v>
      </c>
      <c r="CA118" s="1">
        <v>2971</v>
      </c>
      <c r="CC118" s="125">
        <f t="shared" si="8"/>
        <v>46031</v>
      </c>
      <c r="CD118" s="1">
        <v>14393</v>
      </c>
      <c r="CK118" s="124">
        <f t="shared" si="9"/>
        <v>14393</v>
      </c>
      <c r="CV118" s="129">
        <v>1348174</v>
      </c>
    </row>
    <row r="119" spans="1:100" ht="12.75" customHeight="1">
      <c r="A119" s="1">
        <v>5</v>
      </c>
      <c r="B119" s="1">
        <v>1250</v>
      </c>
      <c r="C119" s="1" t="s">
        <v>1623</v>
      </c>
      <c r="D119" s="5" t="s">
        <v>1461</v>
      </c>
      <c r="E119" t="s">
        <v>407</v>
      </c>
      <c r="F119" s="26">
        <v>761</v>
      </c>
      <c r="G119" s="78">
        <v>4208969</v>
      </c>
      <c r="H119" s="78">
        <v>35251</v>
      </c>
      <c r="M119" s="1">
        <v>632785</v>
      </c>
      <c r="O119" s="117">
        <f t="shared" si="5"/>
        <v>4877005</v>
      </c>
      <c r="P119" s="78">
        <v>2632305</v>
      </c>
      <c r="Q119" s="78">
        <v>74317</v>
      </c>
      <c r="V119" s="1">
        <v>234974</v>
      </c>
      <c r="W119" s="1">
        <v>574025</v>
      </c>
      <c r="X119" s="1">
        <v>12848</v>
      </c>
      <c r="Y119" s="78">
        <v>438929</v>
      </c>
      <c r="AC119" s="1">
        <v>11773</v>
      </c>
      <c r="AD119" s="1">
        <v>89422</v>
      </c>
      <c r="AE119" s="1">
        <v>121705</v>
      </c>
      <c r="AF119" s="1">
        <v>5234</v>
      </c>
      <c r="AG119" s="1">
        <v>466944</v>
      </c>
      <c r="AH119" s="1">
        <v>323506</v>
      </c>
      <c r="AP119" s="1">
        <v>214906</v>
      </c>
      <c r="AU119" s="1">
        <v>60840</v>
      </c>
      <c r="AV119" s="116">
        <f t="shared" si="6"/>
        <v>5261728</v>
      </c>
      <c r="BC119" s="1">
        <v>72407</v>
      </c>
      <c r="BD119" s="1">
        <v>223619</v>
      </c>
      <c r="BE119" s="1">
        <v>31357</v>
      </c>
      <c r="BF119" s="121">
        <f t="shared" si="7"/>
        <v>327383</v>
      </c>
      <c r="BG119" s="1">
        <v>23684</v>
      </c>
      <c r="BO119" s="1">
        <v>4177</v>
      </c>
      <c r="CA119" s="1">
        <v>242550</v>
      </c>
      <c r="CB119" s="1">
        <v>80000</v>
      </c>
      <c r="CC119" s="125">
        <f t="shared" si="8"/>
        <v>350411</v>
      </c>
      <c r="CK119" s="124">
        <f t="shared" si="9"/>
        <v>0</v>
      </c>
      <c r="CV119" s="129">
        <v>388223</v>
      </c>
    </row>
    <row r="120" spans="1:100" ht="12.75" customHeight="1">
      <c r="A120" s="1">
        <v>5</v>
      </c>
      <c r="B120" s="1">
        <v>1280</v>
      </c>
      <c r="C120" s="1" t="s">
        <v>1623</v>
      </c>
      <c r="D120" s="5" t="s">
        <v>1462</v>
      </c>
      <c r="E120" t="s">
        <v>408</v>
      </c>
      <c r="F120" s="26">
        <v>846</v>
      </c>
      <c r="G120" s="78">
        <v>7000303</v>
      </c>
      <c r="H120" s="78">
        <v>210539</v>
      </c>
      <c r="O120" s="117">
        <f t="shared" si="5"/>
        <v>7210842</v>
      </c>
      <c r="P120" s="78">
        <v>2897899</v>
      </c>
      <c r="Q120" s="78">
        <v>503742</v>
      </c>
      <c r="V120" s="1">
        <v>413025</v>
      </c>
      <c r="W120" s="1">
        <v>873942</v>
      </c>
      <c r="X120" s="1">
        <v>70116</v>
      </c>
      <c r="AC120" s="1">
        <v>9477</v>
      </c>
      <c r="AD120" s="1">
        <v>119652</v>
      </c>
      <c r="AE120" s="1">
        <v>157089</v>
      </c>
      <c r="AF120" s="1">
        <v>1512</v>
      </c>
      <c r="AG120" s="1">
        <v>835478</v>
      </c>
      <c r="AH120" s="1">
        <v>403506</v>
      </c>
      <c r="AM120" s="1">
        <v>325202</v>
      </c>
      <c r="AU120" s="1">
        <v>4003</v>
      </c>
      <c r="AV120" s="116">
        <f t="shared" si="6"/>
        <v>6614643</v>
      </c>
      <c r="BC120" s="1">
        <v>231091</v>
      </c>
      <c r="BD120" s="1">
        <v>259287</v>
      </c>
      <c r="BE120" s="1">
        <v>62864</v>
      </c>
      <c r="BF120" s="121">
        <f t="shared" si="7"/>
        <v>553242</v>
      </c>
      <c r="BO120" s="1">
        <v>1259</v>
      </c>
      <c r="BX120" s="1">
        <v>2248</v>
      </c>
      <c r="CC120" s="125">
        <f t="shared" si="8"/>
        <v>3507</v>
      </c>
      <c r="CK120" s="124">
        <f t="shared" si="9"/>
        <v>0</v>
      </c>
      <c r="CT120" s="23">
        <v>523638</v>
      </c>
      <c r="CV120" s="129">
        <v>1406085</v>
      </c>
    </row>
    <row r="121" spans="1:100" ht="12.75" customHeight="1">
      <c r="A121" s="1">
        <v>5</v>
      </c>
      <c r="B121" s="1">
        <v>1420</v>
      </c>
      <c r="C121" s="1" t="s">
        <v>1623</v>
      </c>
      <c r="D121" s="5" t="s">
        <v>1463</v>
      </c>
      <c r="E121" t="s">
        <v>409</v>
      </c>
      <c r="F121" s="26">
        <v>5060</v>
      </c>
      <c r="G121" s="78">
        <v>46746887</v>
      </c>
      <c r="H121" s="78">
        <v>1213805</v>
      </c>
      <c r="L121" s="1">
        <v>52216</v>
      </c>
      <c r="M121" s="1">
        <v>5296095</v>
      </c>
      <c r="O121" s="117">
        <f t="shared" si="5"/>
        <v>53309003</v>
      </c>
      <c r="P121" s="78">
        <v>8914992</v>
      </c>
      <c r="V121" s="1">
        <v>1222027</v>
      </c>
      <c r="W121" s="1">
        <v>3527112</v>
      </c>
      <c r="X121" s="1">
        <v>44438</v>
      </c>
      <c r="AC121" s="1">
        <v>111115</v>
      </c>
      <c r="AD121" s="1">
        <v>278706</v>
      </c>
      <c r="AE121" s="1">
        <v>390673</v>
      </c>
      <c r="AF121" s="1">
        <v>26294</v>
      </c>
      <c r="AG121" s="1">
        <v>3675094</v>
      </c>
      <c r="AH121" s="1">
        <v>2090599</v>
      </c>
      <c r="AP121" s="1">
        <v>1358289</v>
      </c>
      <c r="AU121" s="1">
        <v>252897</v>
      </c>
      <c r="AV121" s="116">
        <f t="shared" si="6"/>
        <v>21892236</v>
      </c>
      <c r="BC121" s="1">
        <v>163080</v>
      </c>
      <c r="BD121" s="1">
        <v>1180944</v>
      </c>
      <c r="BE121" s="1">
        <v>132247</v>
      </c>
      <c r="BF121" s="121">
        <f t="shared" si="7"/>
        <v>1476271</v>
      </c>
      <c r="BG121" s="1">
        <v>17533</v>
      </c>
      <c r="BH121" s="1">
        <v>89217</v>
      </c>
      <c r="BO121" s="1">
        <v>3436</v>
      </c>
      <c r="BZ121" s="1">
        <v>1058461</v>
      </c>
      <c r="CC121" s="125">
        <f t="shared" si="8"/>
        <v>1168647</v>
      </c>
      <c r="CD121" s="1">
        <v>17682</v>
      </c>
      <c r="CK121" s="124">
        <f t="shared" si="9"/>
        <v>17682</v>
      </c>
      <c r="CV121" s="129">
        <v>1781384</v>
      </c>
    </row>
    <row r="122" spans="1:100" ht="12.75" customHeight="1">
      <c r="A122" s="1">
        <v>5</v>
      </c>
      <c r="B122" s="1">
        <v>1520</v>
      </c>
      <c r="C122" s="1" t="s">
        <v>1623</v>
      </c>
      <c r="D122" s="5" t="s">
        <v>1464</v>
      </c>
      <c r="E122" t="s">
        <v>410</v>
      </c>
      <c r="F122" s="26">
        <v>1599</v>
      </c>
      <c r="G122" s="78">
        <v>11893286</v>
      </c>
      <c r="H122" s="78">
        <v>95551</v>
      </c>
      <c r="L122" s="1">
        <v>5702</v>
      </c>
      <c r="M122" s="1">
        <v>2224883</v>
      </c>
      <c r="O122" s="117">
        <f t="shared" si="5"/>
        <v>14219422</v>
      </c>
      <c r="P122" s="78">
        <v>4260133</v>
      </c>
      <c r="Q122" s="78">
        <v>380715</v>
      </c>
      <c r="V122" s="1">
        <v>370242</v>
      </c>
      <c r="W122" s="1">
        <v>1513657</v>
      </c>
      <c r="X122" s="1">
        <v>37394</v>
      </c>
      <c r="Y122" s="78">
        <v>28823</v>
      </c>
      <c r="AC122" s="1">
        <v>44887</v>
      </c>
      <c r="AD122" s="1">
        <v>176539</v>
      </c>
      <c r="AE122" s="1">
        <v>208814</v>
      </c>
      <c r="AF122" s="1">
        <v>9860</v>
      </c>
      <c r="AG122" s="1">
        <v>1426069</v>
      </c>
      <c r="AH122" s="1">
        <v>703763</v>
      </c>
      <c r="AM122" s="1">
        <v>110688</v>
      </c>
      <c r="AO122" s="1">
        <v>82788</v>
      </c>
      <c r="AP122" s="1">
        <v>303469</v>
      </c>
      <c r="AT122" s="1">
        <v>2361519</v>
      </c>
      <c r="AU122" s="1">
        <v>149312</v>
      </c>
      <c r="AV122" s="116">
        <f t="shared" si="6"/>
        <v>12168672</v>
      </c>
      <c r="AW122" s="1">
        <v>11250</v>
      </c>
      <c r="BC122" s="1">
        <v>230547</v>
      </c>
      <c r="BD122" s="1">
        <v>411181</v>
      </c>
      <c r="BE122" s="1">
        <v>87109</v>
      </c>
      <c r="BF122" s="121">
        <f t="shared" si="7"/>
        <v>740087</v>
      </c>
      <c r="BG122" s="1">
        <v>109915</v>
      </c>
      <c r="BJ122" s="1">
        <v>74915</v>
      </c>
      <c r="BO122" s="1">
        <v>81580</v>
      </c>
      <c r="CA122" s="1">
        <v>284551</v>
      </c>
      <c r="CB122" s="1">
        <v>112376</v>
      </c>
      <c r="CC122" s="125">
        <f t="shared" si="8"/>
        <v>663337</v>
      </c>
      <c r="CD122" s="1">
        <v>145777</v>
      </c>
      <c r="CK122" s="124">
        <f t="shared" si="9"/>
        <v>145777</v>
      </c>
      <c r="CV122" s="129">
        <v>1077327</v>
      </c>
    </row>
    <row r="123" spans="1:100" ht="12.75" customHeight="1">
      <c r="A123" s="1">
        <v>5</v>
      </c>
      <c r="B123" s="1">
        <v>1910</v>
      </c>
      <c r="C123" s="1" t="s">
        <v>1623</v>
      </c>
      <c r="D123" s="5" t="s">
        <v>1465</v>
      </c>
      <c r="E123" t="s">
        <v>411</v>
      </c>
      <c r="F123" s="26">
        <v>666</v>
      </c>
      <c r="G123" s="78">
        <v>6053150</v>
      </c>
      <c r="H123" s="78">
        <v>98763</v>
      </c>
      <c r="M123" s="1">
        <v>504147</v>
      </c>
      <c r="O123" s="117">
        <f t="shared" si="5"/>
        <v>6656060</v>
      </c>
      <c r="P123" s="78">
        <v>504480</v>
      </c>
      <c r="V123" s="1">
        <v>128376</v>
      </c>
      <c r="W123" s="1">
        <v>256398</v>
      </c>
      <c r="Y123" s="78">
        <v>410786</v>
      </c>
      <c r="AC123" s="1">
        <v>16912</v>
      </c>
      <c r="AD123" s="1">
        <v>60346</v>
      </c>
      <c r="AE123" s="1">
        <v>40812</v>
      </c>
      <c r="AF123" s="1">
        <v>94630</v>
      </c>
      <c r="AG123" s="1">
        <v>438409</v>
      </c>
      <c r="AH123" s="1">
        <v>281184</v>
      </c>
      <c r="AP123" s="1">
        <v>95464</v>
      </c>
      <c r="AU123" s="1">
        <v>3100</v>
      </c>
      <c r="AV123" s="116">
        <f t="shared" si="6"/>
        <v>2330897</v>
      </c>
      <c r="AW123" s="1">
        <v>335</v>
      </c>
      <c r="BC123" s="1">
        <v>34580</v>
      </c>
      <c r="BD123" s="1">
        <v>146775</v>
      </c>
      <c r="BE123" s="1">
        <v>16311</v>
      </c>
      <c r="BF123" s="121">
        <f t="shared" si="7"/>
        <v>198001</v>
      </c>
      <c r="BI123" s="1">
        <v>46882</v>
      </c>
      <c r="BO123" s="1">
        <v>10554</v>
      </c>
      <c r="CA123" s="1">
        <v>1337</v>
      </c>
      <c r="CC123" s="125">
        <f t="shared" si="8"/>
        <v>58773</v>
      </c>
      <c r="CK123" s="124">
        <f t="shared" si="9"/>
        <v>0</v>
      </c>
      <c r="CV123" s="129">
        <v>200766</v>
      </c>
    </row>
    <row r="124" spans="1:100" ht="12.75" customHeight="1">
      <c r="A124" s="1">
        <v>5</v>
      </c>
      <c r="B124" s="1">
        <v>2610</v>
      </c>
      <c r="C124" s="1" t="s">
        <v>1623</v>
      </c>
      <c r="D124" s="5" t="s">
        <v>1466</v>
      </c>
      <c r="E124" t="s">
        <v>412</v>
      </c>
      <c r="F124" s="26">
        <v>7447</v>
      </c>
      <c r="G124" s="78">
        <v>85135718</v>
      </c>
      <c r="H124" s="78">
        <v>3074827</v>
      </c>
      <c r="L124" s="1">
        <v>2339</v>
      </c>
      <c r="M124" s="1">
        <v>7856254</v>
      </c>
      <c r="O124" s="117">
        <f t="shared" si="5"/>
        <v>96069138</v>
      </c>
      <c r="P124" s="78">
        <v>15543347</v>
      </c>
      <c r="Q124" s="78">
        <v>2344907</v>
      </c>
      <c r="V124" s="1">
        <v>3005505</v>
      </c>
      <c r="W124" s="1">
        <v>4543370</v>
      </c>
      <c r="X124" s="1">
        <v>43284</v>
      </c>
      <c r="AC124" s="1">
        <v>210465</v>
      </c>
      <c r="AD124" s="1">
        <v>790971</v>
      </c>
      <c r="AE124" s="1">
        <v>788142</v>
      </c>
      <c r="AF124" s="1">
        <v>406601</v>
      </c>
      <c r="AG124" s="1">
        <v>5714464</v>
      </c>
      <c r="AH124" s="1">
        <v>3503550</v>
      </c>
      <c r="AP124" s="1">
        <v>1723304</v>
      </c>
      <c r="AU124" s="1">
        <v>12057</v>
      </c>
      <c r="AV124" s="116">
        <f t="shared" si="6"/>
        <v>38629967</v>
      </c>
      <c r="BC124" s="1">
        <v>106301</v>
      </c>
      <c r="BD124" s="1">
        <v>1179162</v>
      </c>
      <c r="BE124" s="1">
        <v>439492</v>
      </c>
      <c r="BF124" s="121">
        <f t="shared" si="7"/>
        <v>1724955</v>
      </c>
      <c r="BG124" s="1">
        <v>1526386</v>
      </c>
      <c r="CB124" s="1">
        <v>1185103</v>
      </c>
      <c r="CC124" s="125">
        <f t="shared" si="8"/>
        <v>2711489</v>
      </c>
      <c r="CK124" s="124">
        <f t="shared" si="9"/>
        <v>0</v>
      </c>
      <c r="CV124" s="129">
        <v>1739351</v>
      </c>
    </row>
    <row r="125" spans="1:100" ht="12.75" customHeight="1">
      <c r="A125" s="1">
        <v>5</v>
      </c>
      <c r="B125" s="1">
        <v>2850</v>
      </c>
      <c r="C125" s="1" t="s">
        <v>1623</v>
      </c>
      <c r="D125" s="5" t="s">
        <v>1467</v>
      </c>
      <c r="E125" t="s">
        <v>413</v>
      </c>
      <c r="F125" s="26">
        <v>1806</v>
      </c>
      <c r="G125" s="78">
        <v>11730134</v>
      </c>
      <c r="H125" s="78">
        <v>238998</v>
      </c>
      <c r="M125" s="1">
        <v>1724154</v>
      </c>
      <c r="O125" s="117">
        <f t="shared" si="5"/>
        <v>13693286</v>
      </c>
      <c r="P125" s="78">
        <v>5129564</v>
      </c>
      <c r="V125" s="1">
        <v>304659</v>
      </c>
      <c r="W125" s="1">
        <v>1020025</v>
      </c>
      <c r="X125" s="1">
        <v>36082</v>
      </c>
      <c r="AC125" s="1">
        <v>29916</v>
      </c>
      <c r="AD125" s="1">
        <v>195082</v>
      </c>
      <c r="AE125" s="1">
        <v>201760</v>
      </c>
      <c r="AG125" s="1">
        <v>1069022</v>
      </c>
      <c r="AH125" s="1">
        <v>750159</v>
      </c>
      <c r="AI125" s="1">
        <v>132768</v>
      </c>
      <c r="AO125" s="1">
        <v>39906</v>
      </c>
      <c r="AP125" s="1">
        <v>1058993</v>
      </c>
      <c r="AU125" s="1">
        <v>6016</v>
      </c>
      <c r="AV125" s="116">
        <f t="shared" si="6"/>
        <v>9973952</v>
      </c>
      <c r="BC125" s="1">
        <v>95897</v>
      </c>
      <c r="BD125" s="1">
        <v>332803</v>
      </c>
      <c r="BE125" s="1">
        <v>87490</v>
      </c>
      <c r="BF125" s="121">
        <f t="shared" si="7"/>
        <v>516190</v>
      </c>
      <c r="BI125" s="1">
        <v>3347</v>
      </c>
      <c r="BO125" s="1">
        <v>33</v>
      </c>
      <c r="CC125" s="125">
        <f t="shared" si="8"/>
        <v>3380</v>
      </c>
      <c r="CK125" s="124">
        <f t="shared" si="9"/>
        <v>0</v>
      </c>
      <c r="CV125" s="129">
        <v>562112</v>
      </c>
    </row>
    <row r="126" spans="1:100" ht="12.75" customHeight="1">
      <c r="A126" s="1">
        <v>5</v>
      </c>
      <c r="B126" s="1">
        <v>2960</v>
      </c>
      <c r="C126" s="1" t="s">
        <v>1623</v>
      </c>
      <c r="D126" s="5" t="s">
        <v>1468</v>
      </c>
      <c r="E126" t="s">
        <v>414</v>
      </c>
      <c r="F126" s="26">
        <v>682</v>
      </c>
      <c r="G126" s="78">
        <v>7217195</v>
      </c>
      <c r="H126" s="78">
        <v>74586</v>
      </c>
      <c r="L126" s="1">
        <v>971</v>
      </c>
      <c r="M126" s="1">
        <v>648036</v>
      </c>
      <c r="O126" s="117">
        <f t="shared" si="5"/>
        <v>7940788</v>
      </c>
      <c r="P126" s="78">
        <v>95458</v>
      </c>
      <c r="V126" s="1">
        <v>145543</v>
      </c>
      <c r="W126" s="1">
        <v>325844</v>
      </c>
      <c r="X126" s="1">
        <v>12776</v>
      </c>
      <c r="AC126" s="1">
        <v>31769</v>
      </c>
      <c r="AD126" s="1">
        <v>75707</v>
      </c>
      <c r="AE126" s="1">
        <v>19660</v>
      </c>
      <c r="AF126" s="1">
        <v>73059</v>
      </c>
      <c r="AG126" s="1">
        <v>434328</v>
      </c>
      <c r="AH126" s="1">
        <v>308546</v>
      </c>
      <c r="AU126" s="1">
        <v>48129</v>
      </c>
      <c r="AV126" s="116">
        <f t="shared" si="6"/>
        <v>1570819</v>
      </c>
      <c r="BC126" s="1">
        <v>19496</v>
      </c>
      <c r="BD126" s="1">
        <v>124693</v>
      </c>
      <c r="BE126" s="1">
        <v>22509</v>
      </c>
      <c r="BF126" s="121">
        <f t="shared" si="7"/>
        <v>166698</v>
      </c>
      <c r="BY126" s="1">
        <v>10099</v>
      </c>
      <c r="CC126" s="125">
        <f t="shared" si="8"/>
        <v>10099</v>
      </c>
      <c r="CD126" s="1">
        <v>39581</v>
      </c>
      <c r="CK126" s="124">
        <f t="shared" si="9"/>
        <v>39581</v>
      </c>
      <c r="CV126" s="129">
        <v>215798</v>
      </c>
    </row>
    <row r="127" spans="1:100" ht="12.75" customHeight="1">
      <c r="A127" s="1">
        <v>5</v>
      </c>
      <c r="B127" s="1">
        <v>3010</v>
      </c>
      <c r="C127" s="1" t="s">
        <v>1623</v>
      </c>
      <c r="D127" s="5" t="s">
        <v>1251</v>
      </c>
      <c r="E127" t="s">
        <v>415</v>
      </c>
      <c r="F127" s="26">
        <v>2084</v>
      </c>
      <c r="G127" s="78">
        <v>18424971</v>
      </c>
      <c r="H127" s="78">
        <v>339761</v>
      </c>
      <c r="M127" s="1">
        <v>1863504</v>
      </c>
      <c r="O127" s="117">
        <f t="shared" si="5"/>
        <v>20628236</v>
      </c>
      <c r="P127" s="78">
        <v>3812660</v>
      </c>
      <c r="Q127" s="78">
        <v>633900</v>
      </c>
      <c r="V127" s="1">
        <v>283594</v>
      </c>
      <c r="W127" s="1">
        <v>2052220</v>
      </c>
      <c r="X127" s="1">
        <v>74662</v>
      </c>
      <c r="AC127" s="1">
        <v>16586</v>
      </c>
      <c r="AD127" s="1">
        <v>242042</v>
      </c>
      <c r="AE127" s="1">
        <v>215501</v>
      </c>
      <c r="AF127" s="1">
        <v>19398</v>
      </c>
      <c r="AG127" s="1">
        <v>1704916</v>
      </c>
      <c r="AH127" s="1">
        <v>914076</v>
      </c>
      <c r="AO127" s="1">
        <v>84300</v>
      </c>
      <c r="AP127" s="1">
        <v>347740</v>
      </c>
      <c r="AU127" s="1">
        <v>143759</v>
      </c>
      <c r="AV127" s="116">
        <f t="shared" si="6"/>
        <v>10545354</v>
      </c>
      <c r="BC127" s="1">
        <v>163801</v>
      </c>
      <c r="BD127" s="1">
        <v>532539</v>
      </c>
      <c r="BE127" s="1">
        <v>239175</v>
      </c>
      <c r="BF127" s="121">
        <f t="shared" si="7"/>
        <v>935515</v>
      </c>
      <c r="BN127" s="1">
        <v>86553</v>
      </c>
      <c r="BO127" s="1">
        <v>89</v>
      </c>
      <c r="BY127" s="1">
        <v>789302</v>
      </c>
      <c r="CC127" s="125">
        <f t="shared" si="8"/>
        <v>875944</v>
      </c>
      <c r="CD127" s="1">
        <v>56700</v>
      </c>
      <c r="CK127" s="124">
        <f t="shared" si="9"/>
        <v>56700</v>
      </c>
      <c r="CV127" s="129">
        <v>1163574</v>
      </c>
    </row>
    <row r="128" spans="1:100" ht="12.75" customHeight="1">
      <c r="A128" s="1">
        <v>5</v>
      </c>
      <c r="B128" s="1">
        <v>3070</v>
      </c>
      <c r="C128" s="1" t="s">
        <v>1623</v>
      </c>
      <c r="D128" s="5" t="s">
        <v>1252</v>
      </c>
      <c r="E128" t="s">
        <v>416</v>
      </c>
      <c r="F128" s="26">
        <v>525</v>
      </c>
      <c r="G128" s="78">
        <v>4445864</v>
      </c>
      <c r="H128" s="78">
        <v>218946</v>
      </c>
      <c r="L128" s="1">
        <v>3851</v>
      </c>
      <c r="M128" s="1">
        <v>485688</v>
      </c>
      <c r="O128" s="117">
        <f t="shared" si="5"/>
        <v>5154349</v>
      </c>
      <c r="P128" s="78">
        <v>346136</v>
      </c>
      <c r="V128" s="1">
        <v>40978</v>
      </c>
      <c r="W128" s="1">
        <v>513978</v>
      </c>
      <c r="X128" s="1">
        <v>4636</v>
      </c>
      <c r="AC128" s="1">
        <v>8411</v>
      </c>
      <c r="AD128" s="1">
        <v>31032</v>
      </c>
      <c r="AE128" s="1">
        <v>28103</v>
      </c>
      <c r="AF128" s="1">
        <v>4250</v>
      </c>
      <c r="AG128" s="1">
        <v>523520</v>
      </c>
      <c r="AH128" s="1">
        <v>236773</v>
      </c>
      <c r="AP128" s="1">
        <v>46206</v>
      </c>
      <c r="AU128" s="1">
        <v>556</v>
      </c>
      <c r="AV128" s="116">
        <f t="shared" si="6"/>
        <v>1784579</v>
      </c>
      <c r="BD128" s="1">
        <v>95375</v>
      </c>
      <c r="BE128" s="1">
        <v>21128</v>
      </c>
      <c r="BF128" s="121">
        <f t="shared" si="7"/>
        <v>116503</v>
      </c>
      <c r="CC128" s="125">
        <f t="shared" si="8"/>
        <v>0</v>
      </c>
      <c r="CD128" s="1">
        <v>9601</v>
      </c>
      <c r="CK128" s="124">
        <f t="shared" si="9"/>
        <v>9601</v>
      </c>
      <c r="CV128" s="129">
        <v>120910</v>
      </c>
    </row>
    <row r="129" spans="1:100" ht="12.75" customHeight="1">
      <c r="A129" s="1">
        <v>5</v>
      </c>
      <c r="B129" s="1">
        <v>3080</v>
      </c>
      <c r="C129" s="1" t="s">
        <v>1623</v>
      </c>
      <c r="D129" s="5" t="s">
        <v>1253</v>
      </c>
      <c r="E129" t="s">
        <v>417</v>
      </c>
      <c r="F129" s="26">
        <v>3071</v>
      </c>
      <c r="G129" s="78">
        <v>32595738</v>
      </c>
      <c r="H129" s="78">
        <v>745451</v>
      </c>
      <c r="M129" s="1">
        <v>2984124</v>
      </c>
      <c r="O129" s="117">
        <f t="shared" si="5"/>
        <v>36325313</v>
      </c>
      <c r="V129" s="1">
        <v>810851</v>
      </c>
      <c r="W129" s="1">
        <v>2052445</v>
      </c>
      <c r="X129" s="1">
        <v>7066</v>
      </c>
      <c r="Y129" s="78">
        <v>1986683</v>
      </c>
      <c r="AC129" s="1">
        <v>107089</v>
      </c>
      <c r="AD129" s="1">
        <v>183015</v>
      </c>
      <c r="AE129" s="1">
        <v>151202</v>
      </c>
      <c r="AF129" s="1">
        <v>4704</v>
      </c>
      <c r="AG129" s="1">
        <v>2578947</v>
      </c>
      <c r="AH129" s="1">
        <v>1260601</v>
      </c>
      <c r="AU129" s="1">
        <v>197950</v>
      </c>
      <c r="AV129" s="116">
        <f t="shared" si="6"/>
        <v>9340553</v>
      </c>
      <c r="BC129" s="1">
        <v>100486</v>
      </c>
      <c r="BD129" s="1">
        <v>589447</v>
      </c>
      <c r="BE129" s="1">
        <v>117925</v>
      </c>
      <c r="BF129" s="121">
        <f t="shared" si="7"/>
        <v>807858</v>
      </c>
      <c r="CA129" s="1">
        <v>63243</v>
      </c>
      <c r="CC129" s="125">
        <f t="shared" si="8"/>
        <v>63243</v>
      </c>
      <c r="CK129" s="124">
        <f t="shared" si="9"/>
        <v>0</v>
      </c>
      <c r="CV129" s="129">
        <v>1005808</v>
      </c>
    </row>
    <row r="130" spans="1:100" ht="12.75" customHeight="1">
      <c r="A130" s="1">
        <v>5</v>
      </c>
      <c r="B130" s="1">
        <v>3360</v>
      </c>
      <c r="C130" s="1" t="s">
        <v>1623</v>
      </c>
      <c r="D130" s="5" t="s">
        <v>1254</v>
      </c>
      <c r="E130" t="s">
        <v>418</v>
      </c>
      <c r="F130" s="26">
        <v>4381.5</v>
      </c>
      <c r="G130" s="78">
        <v>49692241</v>
      </c>
      <c r="H130" s="78">
        <v>700364</v>
      </c>
      <c r="L130" s="1">
        <v>10699</v>
      </c>
      <c r="M130" s="1">
        <v>4698352</v>
      </c>
      <c r="O130" s="117">
        <f t="shared" si="5"/>
        <v>55101656</v>
      </c>
      <c r="V130" s="1">
        <v>289264</v>
      </c>
      <c r="W130" s="1">
        <v>3546250</v>
      </c>
      <c r="X130" s="1">
        <v>27978</v>
      </c>
      <c r="AC130" s="1">
        <v>189779</v>
      </c>
      <c r="AD130" s="1">
        <v>259818</v>
      </c>
      <c r="AG130" s="1">
        <v>3340134</v>
      </c>
      <c r="AH130" s="1">
        <v>1971161</v>
      </c>
      <c r="AI130" s="1">
        <v>356828</v>
      </c>
      <c r="AP130" s="1">
        <v>531675</v>
      </c>
      <c r="AU130" s="1">
        <v>343794</v>
      </c>
      <c r="AV130" s="116">
        <f t="shared" si="6"/>
        <v>10856681</v>
      </c>
      <c r="AW130" s="1">
        <v>5507</v>
      </c>
      <c r="BC130" s="1">
        <v>120600</v>
      </c>
      <c r="BD130" s="1">
        <v>916359</v>
      </c>
      <c r="BE130" s="1">
        <v>409184</v>
      </c>
      <c r="BF130" s="121">
        <f t="shared" si="7"/>
        <v>1451650</v>
      </c>
      <c r="BG130" s="1">
        <v>2007757</v>
      </c>
      <c r="BI130" s="1">
        <v>194953</v>
      </c>
      <c r="BN130" s="1">
        <v>34863</v>
      </c>
      <c r="BO130" s="1">
        <v>60</v>
      </c>
      <c r="BY130" s="1">
        <v>50883</v>
      </c>
      <c r="BZ130" s="1">
        <v>186300</v>
      </c>
      <c r="CB130" s="1">
        <v>59584</v>
      </c>
      <c r="CC130" s="125">
        <f t="shared" si="8"/>
        <v>2534400</v>
      </c>
      <c r="CD130" s="1">
        <v>836569</v>
      </c>
      <c r="CK130" s="124">
        <f t="shared" si="9"/>
        <v>836569</v>
      </c>
      <c r="CV130" s="129">
        <v>1800636</v>
      </c>
    </row>
    <row r="131" spans="1:100" ht="12.75" customHeight="1">
      <c r="A131" s="1">
        <v>5</v>
      </c>
      <c r="B131" s="1">
        <v>3430</v>
      </c>
      <c r="C131" s="1" t="s">
        <v>1623</v>
      </c>
      <c r="D131" s="5" t="s">
        <v>1255</v>
      </c>
      <c r="E131" t="s">
        <v>419</v>
      </c>
      <c r="F131" s="26">
        <v>1064</v>
      </c>
      <c r="G131" s="78">
        <v>6558171</v>
      </c>
      <c r="H131" s="78">
        <v>206109</v>
      </c>
      <c r="O131" s="117">
        <f t="shared" si="5"/>
        <v>6764280</v>
      </c>
      <c r="P131" s="78">
        <v>4239311</v>
      </c>
      <c r="Q131" s="78">
        <v>432832</v>
      </c>
      <c r="V131" s="1">
        <v>198480</v>
      </c>
      <c r="W131" s="1">
        <v>1436370</v>
      </c>
      <c r="X131" s="1">
        <v>44240</v>
      </c>
      <c r="Y131" s="78">
        <v>1702970</v>
      </c>
      <c r="AC131" s="1">
        <v>25686</v>
      </c>
      <c r="AD131" s="1">
        <v>123764</v>
      </c>
      <c r="AE131" s="1">
        <v>275131</v>
      </c>
      <c r="AF131" s="1">
        <v>93300</v>
      </c>
      <c r="AG131" s="1">
        <v>1413615</v>
      </c>
      <c r="AH131" s="1">
        <v>598788</v>
      </c>
      <c r="AM131" s="1">
        <v>409789</v>
      </c>
      <c r="AU131" s="1">
        <v>238041</v>
      </c>
      <c r="AV131" s="116">
        <f t="shared" si="6"/>
        <v>11232317</v>
      </c>
      <c r="AW131" s="1">
        <v>69343</v>
      </c>
      <c r="BC131" s="1">
        <v>592563</v>
      </c>
      <c r="BD131" s="1">
        <v>399165</v>
      </c>
      <c r="BE131" s="1">
        <v>490021</v>
      </c>
      <c r="BF131" s="121">
        <f t="shared" si="7"/>
        <v>1551092</v>
      </c>
      <c r="BO131" s="1">
        <v>23794</v>
      </c>
      <c r="BP131" s="1">
        <v>350000</v>
      </c>
      <c r="CC131" s="125">
        <f t="shared" si="8"/>
        <v>373794</v>
      </c>
      <c r="CD131" s="1">
        <v>49097</v>
      </c>
      <c r="CK131" s="124">
        <f t="shared" si="9"/>
        <v>49097</v>
      </c>
      <c r="CT131" s="23">
        <v>583288</v>
      </c>
      <c r="CV131" s="129">
        <v>2712867</v>
      </c>
    </row>
    <row r="132" spans="1:100" ht="12.75" customHeight="1">
      <c r="A132" s="1">
        <v>5</v>
      </c>
      <c r="B132" s="1">
        <v>3440</v>
      </c>
      <c r="C132" s="1" t="s">
        <v>1623</v>
      </c>
      <c r="D132" s="5" t="s">
        <v>1256</v>
      </c>
      <c r="E132" t="s">
        <v>420</v>
      </c>
      <c r="F132" s="26">
        <v>4516</v>
      </c>
      <c r="G132" s="78">
        <v>45932163</v>
      </c>
      <c r="H132" s="78">
        <v>676676</v>
      </c>
      <c r="M132" s="1">
        <v>3476427</v>
      </c>
      <c r="O132" s="117">
        <f t="shared" si="5"/>
        <v>50085266</v>
      </c>
      <c r="V132" s="1">
        <v>939586</v>
      </c>
      <c r="W132" s="1">
        <v>4168389</v>
      </c>
      <c r="X132" s="1">
        <v>50206</v>
      </c>
      <c r="AC132" s="1">
        <v>96323</v>
      </c>
      <c r="AD132" s="1">
        <v>276087</v>
      </c>
      <c r="AE132" s="1">
        <v>163028</v>
      </c>
      <c r="AF132" s="1">
        <v>27941</v>
      </c>
      <c r="AG132" s="1">
        <v>3003102</v>
      </c>
      <c r="AH132" s="1">
        <v>1947594</v>
      </c>
      <c r="AP132" s="1">
        <v>407443</v>
      </c>
      <c r="AU132" s="1">
        <v>37161</v>
      </c>
      <c r="AV132" s="116">
        <f t="shared" si="6"/>
        <v>11116860</v>
      </c>
      <c r="BC132" s="1">
        <v>246767</v>
      </c>
      <c r="BD132" s="1">
        <v>923761</v>
      </c>
      <c r="BE132" s="1">
        <v>160095</v>
      </c>
      <c r="BF132" s="121">
        <f t="shared" si="7"/>
        <v>1330623</v>
      </c>
      <c r="BG132" s="1">
        <v>860115</v>
      </c>
      <c r="BN132" s="1">
        <v>20670</v>
      </c>
      <c r="BO132" s="1">
        <v>1300</v>
      </c>
      <c r="BP132" s="1">
        <v>368769</v>
      </c>
      <c r="CA132" s="1">
        <v>297254</v>
      </c>
      <c r="CC132" s="125">
        <f t="shared" si="8"/>
        <v>1548108</v>
      </c>
      <c r="CD132" s="1">
        <v>324235</v>
      </c>
      <c r="CK132" s="124">
        <f t="shared" si="9"/>
        <v>324235</v>
      </c>
      <c r="CV132" s="129">
        <v>1367784</v>
      </c>
    </row>
    <row r="133" spans="1:100" ht="12.75" customHeight="1">
      <c r="A133" s="1">
        <v>5</v>
      </c>
      <c r="B133" s="1">
        <v>3540</v>
      </c>
      <c r="C133" s="1" t="s">
        <v>1623</v>
      </c>
      <c r="D133" s="5" t="s">
        <v>1257</v>
      </c>
      <c r="E133" t="s">
        <v>421</v>
      </c>
      <c r="F133" s="26">
        <v>162</v>
      </c>
      <c r="G133" s="78">
        <v>1390116</v>
      </c>
      <c r="H133" s="78">
        <v>359738</v>
      </c>
      <c r="L133" s="1">
        <v>8000</v>
      </c>
      <c r="O133" s="117">
        <f t="shared" ref="O133:O196" si="10">SUM(G133:N133)</f>
        <v>1757854</v>
      </c>
      <c r="P133" s="78">
        <v>1222613</v>
      </c>
      <c r="V133" s="1">
        <v>202733</v>
      </c>
      <c r="W133" s="1">
        <v>734313</v>
      </c>
      <c r="X133" s="1">
        <v>4672</v>
      </c>
      <c r="AD133" s="1">
        <v>26240</v>
      </c>
      <c r="AE133" s="1">
        <v>49763</v>
      </c>
      <c r="AF133" s="1">
        <v>37636</v>
      </c>
      <c r="AG133" s="1">
        <v>141477</v>
      </c>
      <c r="AH133" s="1">
        <v>116681</v>
      </c>
      <c r="AM133" s="1">
        <v>61137</v>
      </c>
      <c r="AU133" s="1">
        <v>77684</v>
      </c>
      <c r="AV133" s="116">
        <f t="shared" ref="AV133:AV196" si="11">SUM(P133:AU133)</f>
        <v>2674949</v>
      </c>
      <c r="BA133" s="1">
        <v>218509</v>
      </c>
      <c r="BC133" s="1">
        <v>103745</v>
      </c>
      <c r="BD133" s="1">
        <v>86631</v>
      </c>
      <c r="BE133" s="1">
        <v>52694</v>
      </c>
      <c r="BF133" s="121">
        <f t="shared" ref="BF133:BF196" si="12">SUM(AW133:BE133)</f>
        <v>461579</v>
      </c>
      <c r="BO133" s="1">
        <v>1257</v>
      </c>
      <c r="CB133" s="1">
        <v>94139</v>
      </c>
      <c r="CC133" s="125">
        <f t="shared" ref="CC133:CC196" si="13">SUM(BG133:CB133)</f>
        <v>95396</v>
      </c>
      <c r="CK133" s="124">
        <f t="shared" ref="CK133:CK196" si="14">SUM(CD133:CJ133)</f>
        <v>0</v>
      </c>
      <c r="CT133" s="23">
        <v>108491</v>
      </c>
      <c r="CV133" s="129">
        <v>498382</v>
      </c>
    </row>
    <row r="134" spans="1:100" ht="12.75" customHeight="1">
      <c r="A134" s="1">
        <v>5</v>
      </c>
      <c r="B134" s="1">
        <v>3650</v>
      </c>
      <c r="C134" s="1" t="s">
        <v>1623</v>
      </c>
      <c r="D134" s="5" t="s">
        <v>1258</v>
      </c>
      <c r="E134" t="s">
        <v>422</v>
      </c>
      <c r="F134" s="26">
        <v>1210</v>
      </c>
      <c r="G134" s="78">
        <v>1661288</v>
      </c>
      <c r="H134" s="78">
        <v>1925156</v>
      </c>
      <c r="O134" s="117">
        <f t="shared" si="10"/>
        <v>3586444</v>
      </c>
      <c r="P134" s="78">
        <v>8441805</v>
      </c>
      <c r="V134" s="1">
        <v>270964</v>
      </c>
      <c r="W134" s="1">
        <v>1044205</v>
      </c>
      <c r="AC134" s="1">
        <v>9753</v>
      </c>
      <c r="AD134" s="1">
        <v>129902</v>
      </c>
      <c r="AE134" s="1">
        <v>199999</v>
      </c>
      <c r="AF134" s="1">
        <v>2668</v>
      </c>
      <c r="AG134" s="1">
        <v>1308664</v>
      </c>
      <c r="AH134" s="1">
        <v>619877</v>
      </c>
      <c r="AO134" s="1">
        <v>36789</v>
      </c>
      <c r="AV134" s="116">
        <f t="shared" si="11"/>
        <v>12064626</v>
      </c>
      <c r="AW134" s="1">
        <v>280</v>
      </c>
      <c r="BA134" s="1">
        <v>9937167</v>
      </c>
      <c r="BC134" s="1">
        <v>132235</v>
      </c>
      <c r="BD134" s="1">
        <v>264038</v>
      </c>
      <c r="BE134" s="1">
        <v>73659</v>
      </c>
      <c r="BF134" s="121">
        <f t="shared" si="12"/>
        <v>10407379</v>
      </c>
      <c r="BI134" s="1">
        <v>37509</v>
      </c>
      <c r="BM134" s="1">
        <v>60515</v>
      </c>
      <c r="BO134" s="1">
        <v>114810</v>
      </c>
      <c r="CC134" s="125">
        <f t="shared" si="13"/>
        <v>212834</v>
      </c>
      <c r="CK134" s="124">
        <f t="shared" si="14"/>
        <v>0</v>
      </c>
      <c r="CV134" s="129">
        <v>506721</v>
      </c>
    </row>
    <row r="135" spans="1:100" ht="12.75" customHeight="1">
      <c r="A135" s="1">
        <v>5</v>
      </c>
      <c r="B135" s="1">
        <v>3690</v>
      </c>
      <c r="C135" s="1" t="s">
        <v>1623</v>
      </c>
      <c r="D135" s="5" t="s">
        <v>1259</v>
      </c>
      <c r="E135" t="s">
        <v>423</v>
      </c>
      <c r="F135" s="26">
        <v>1891</v>
      </c>
      <c r="G135" s="78">
        <v>14475225</v>
      </c>
      <c r="H135" s="78">
        <v>582998</v>
      </c>
      <c r="M135" s="1">
        <v>2184215</v>
      </c>
      <c r="O135" s="117">
        <f t="shared" si="10"/>
        <v>17242438</v>
      </c>
      <c r="P135" s="78">
        <v>8554251</v>
      </c>
      <c r="V135" s="1">
        <v>837077</v>
      </c>
      <c r="W135" s="1">
        <v>1189476</v>
      </c>
      <c r="X135" s="1">
        <v>10476</v>
      </c>
      <c r="AC135" s="1">
        <v>36413</v>
      </c>
      <c r="AD135" s="1">
        <v>218123</v>
      </c>
      <c r="AE135" s="1">
        <v>324282</v>
      </c>
      <c r="AF135" s="1">
        <v>108350</v>
      </c>
      <c r="AG135" s="1">
        <v>1562966</v>
      </c>
      <c r="AH135" s="1">
        <v>867269</v>
      </c>
      <c r="AP135" s="1">
        <v>330485</v>
      </c>
      <c r="AU135" s="1">
        <v>163636</v>
      </c>
      <c r="AV135" s="116">
        <f t="shared" si="11"/>
        <v>14202804</v>
      </c>
      <c r="BA135" s="1">
        <v>1469722</v>
      </c>
      <c r="BD135" s="1">
        <v>339659</v>
      </c>
      <c r="BE135" s="1">
        <v>58462</v>
      </c>
      <c r="BF135" s="121">
        <f t="shared" si="12"/>
        <v>1867843</v>
      </c>
      <c r="BM135" s="1">
        <v>165330</v>
      </c>
      <c r="BO135" s="1">
        <v>34420</v>
      </c>
      <c r="CC135" s="125">
        <f t="shared" si="13"/>
        <v>199750</v>
      </c>
      <c r="CD135" s="1">
        <v>180074</v>
      </c>
      <c r="CK135" s="124">
        <f t="shared" si="14"/>
        <v>180074</v>
      </c>
      <c r="CV135" s="129">
        <v>561757</v>
      </c>
    </row>
    <row r="136" spans="1:100" ht="12.75" customHeight="1">
      <c r="A136" s="1">
        <v>5</v>
      </c>
      <c r="B136" s="1">
        <v>3920</v>
      </c>
      <c r="C136" s="1" t="s">
        <v>1623</v>
      </c>
      <c r="D136" s="5" t="s">
        <v>1260</v>
      </c>
      <c r="E136" t="s">
        <v>424</v>
      </c>
      <c r="F136" s="26">
        <v>1057</v>
      </c>
      <c r="G136" s="78">
        <v>6121339</v>
      </c>
      <c r="H136" s="78">
        <v>88139</v>
      </c>
      <c r="M136" s="1">
        <v>488036</v>
      </c>
      <c r="O136" s="117">
        <f t="shared" si="10"/>
        <v>6697514</v>
      </c>
      <c r="P136" s="78">
        <v>2594828</v>
      </c>
      <c r="V136" s="1">
        <v>141921</v>
      </c>
      <c r="W136" s="1">
        <v>883849</v>
      </c>
      <c r="X136" s="1">
        <v>10476</v>
      </c>
      <c r="Y136" s="78">
        <v>135829</v>
      </c>
      <c r="AC136" s="1">
        <v>9354</v>
      </c>
      <c r="AD136" s="1">
        <v>288939</v>
      </c>
      <c r="AE136" s="1">
        <v>123352</v>
      </c>
      <c r="AG136" s="1">
        <v>1030763</v>
      </c>
      <c r="AH136" s="1">
        <v>436089</v>
      </c>
      <c r="AO136" s="1">
        <v>55881</v>
      </c>
      <c r="AP136" s="1">
        <v>234714</v>
      </c>
      <c r="AV136" s="116">
        <f t="shared" si="11"/>
        <v>5945995</v>
      </c>
      <c r="BC136" s="1">
        <v>175295</v>
      </c>
      <c r="BD136" s="1">
        <v>234927</v>
      </c>
      <c r="BE136" s="1">
        <v>57750</v>
      </c>
      <c r="BF136" s="121">
        <f t="shared" si="12"/>
        <v>467972</v>
      </c>
      <c r="BI136" s="1">
        <v>1865238</v>
      </c>
      <c r="BO136" s="1">
        <v>15940</v>
      </c>
      <c r="BY136" s="1">
        <v>39582</v>
      </c>
      <c r="CA136" s="1">
        <v>114002</v>
      </c>
      <c r="CC136" s="125">
        <f t="shared" si="13"/>
        <v>2034762</v>
      </c>
      <c r="CK136" s="124">
        <f t="shared" si="14"/>
        <v>0</v>
      </c>
      <c r="CV136" s="129">
        <v>523853</v>
      </c>
    </row>
    <row r="137" spans="1:100" ht="12.75" customHeight="1">
      <c r="A137" s="1">
        <v>5</v>
      </c>
      <c r="B137" s="1">
        <v>4040</v>
      </c>
      <c r="C137" s="1" t="s">
        <v>1623</v>
      </c>
      <c r="D137" s="5" t="s">
        <v>1261</v>
      </c>
      <c r="E137" t="s">
        <v>425</v>
      </c>
      <c r="F137" s="26">
        <v>80</v>
      </c>
      <c r="G137" s="78">
        <v>1185685</v>
      </c>
      <c r="H137" s="78">
        <v>30227</v>
      </c>
      <c r="O137" s="117">
        <f t="shared" si="10"/>
        <v>1215912</v>
      </c>
      <c r="P137" s="78">
        <v>924087</v>
      </c>
      <c r="Q137" s="78">
        <v>19246</v>
      </c>
      <c r="V137" s="1">
        <v>47611</v>
      </c>
      <c r="W137" s="1">
        <v>181523</v>
      </c>
      <c r="Y137" s="78">
        <v>25432</v>
      </c>
      <c r="AD137" s="1">
        <v>19638</v>
      </c>
      <c r="AE137" s="1">
        <v>35581</v>
      </c>
      <c r="AF137" s="1">
        <v>15664</v>
      </c>
      <c r="AG137" s="1">
        <v>109203</v>
      </c>
      <c r="AH137" s="1">
        <v>54884</v>
      </c>
      <c r="AM137" s="1">
        <v>45126</v>
      </c>
      <c r="AO137" s="1">
        <v>3267</v>
      </c>
      <c r="AV137" s="116">
        <f t="shared" si="11"/>
        <v>1481262</v>
      </c>
      <c r="BC137" s="1">
        <v>32898</v>
      </c>
      <c r="BD137" s="1">
        <v>55326</v>
      </c>
      <c r="BE137" s="1">
        <v>23153</v>
      </c>
      <c r="BF137" s="121">
        <f t="shared" si="12"/>
        <v>111377</v>
      </c>
      <c r="CC137" s="125">
        <f t="shared" si="13"/>
        <v>0</v>
      </c>
      <c r="CK137" s="124">
        <f t="shared" si="14"/>
        <v>0</v>
      </c>
      <c r="CT137" s="23">
        <v>73370</v>
      </c>
      <c r="CV137" s="129">
        <v>233140</v>
      </c>
    </row>
    <row r="138" spans="1:100" ht="12.75" customHeight="1">
      <c r="A138" s="1">
        <v>5</v>
      </c>
      <c r="B138" s="1">
        <v>4050</v>
      </c>
      <c r="C138" s="1" t="s">
        <v>1623</v>
      </c>
      <c r="D138" s="5" t="s">
        <v>1262</v>
      </c>
      <c r="E138" t="s">
        <v>426</v>
      </c>
      <c r="F138" s="26">
        <v>5226</v>
      </c>
      <c r="G138" s="78">
        <v>10532061</v>
      </c>
      <c r="H138" s="78">
        <v>775504</v>
      </c>
      <c r="M138" s="1">
        <v>504079</v>
      </c>
      <c r="O138" s="117">
        <f t="shared" si="10"/>
        <v>11811644</v>
      </c>
      <c r="P138" s="78">
        <v>30767039</v>
      </c>
      <c r="Q138" s="78">
        <v>2250521</v>
      </c>
      <c r="S138" s="25">
        <v>32423595</v>
      </c>
      <c r="T138" s="1">
        <v>2900650</v>
      </c>
      <c r="V138" s="1">
        <v>2732774</v>
      </c>
      <c r="W138" s="1">
        <v>5879753</v>
      </c>
      <c r="X138" s="1">
        <v>52452</v>
      </c>
      <c r="Y138" s="78">
        <v>1029280</v>
      </c>
      <c r="AC138" s="1">
        <v>97506</v>
      </c>
      <c r="AD138" s="1">
        <v>619260</v>
      </c>
      <c r="AG138" s="1">
        <v>5823510</v>
      </c>
      <c r="AH138" s="1">
        <v>3113245</v>
      </c>
      <c r="AM138" s="1">
        <v>1292724</v>
      </c>
      <c r="AP138" s="1">
        <v>949644</v>
      </c>
      <c r="AU138" s="1">
        <v>5112</v>
      </c>
      <c r="AV138" s="116">
        <f t="shared" si="11"/>
        <v>89937065</v>
      </c>
      <c r="AW138" s="1">
        <v>75605</v>
      </c>
      <c r="BA138" s="1">
        <v>1040929</v>
      </c>
      <c r="BC138" s="1">
        <v>985675</v>
      </c>
      <c r="BD138" s="1">
        <v>1516530</v>
      </c>
      <c r="BE138" s="1">
        <v>895174</v>
      </c>
      <c r="BF138" s="121">
        <f t="shared" si="12"/>
        <v>4513913</v>
      </c>
      <c r="BI138" s="1">
        <v>1035401</v>
      </c>
      <c r="BN138" s="1">
        <v>113889</v>
      </c>
      <c r="CB138" s="1">
        <v>1027841</v>
      </c>
      <c r="CC138" s="125">
        <f t="shared" si="13"/>
        <v>2177131</v>
      </c>
      <c r="CK138" s="124">
        <f t="shared" si="14"/>
        <v>0</v>
      </c>
      <c r="CT138" s="23">
        <v>5141733</v>
      </c>
      <c r="CV138" s="129">
        <v>10275753</v>
      </c>
    </row>
    <row r="139" spans="1:100" ht="12.75" customHeight="1">
      <c r="A139" s="1">
        <v>5</v>
      </c>
      <c r="B139" s="1">
        <v>4320</v>
      </c>
      <c r="C139" s="1" t="s">
        <v>1623</v>
      </c>
      <c r="D139" s="5" t="s">
        <v>1263</v>
      </c>
      <c r="E139" t="s">
        <v>427</v>
      </c>
      <c r="F139" s="26">
        <v>2367</v>
      </c>
      <c r="G139" s="78">
        <v>14225203</v>
      </c>
      <c r="H139" s="78">
        <v>471810</v>
      </c>
      <c r="M139" s="1">
        <v>761784</v>
      </c>
      <c r="O139" s="117">
        <f t="shared" si="10"/>
        <v>15458797</v>
      </c>
      <c r="P139" s="78">
        <v>9642743</v>
      </c>
      <c r="V139" s="1">
        <v>767018</v>
      </c>
      <c r="W139" s="1">
        <v>2327207</v>
      </c>
      <c r="X139" s="1">
        <v>22174</v>
      </c>
      <c r="AC139" s="1">
        <v>43163</v>
      </c>
      <c r="AD139" s="1">
        <v>165534</v>
      </c>
      <c r="AE139" s="1">
        <v>391748</v>
      </c>
      <c r="AF139" s="1">
        <v>153775</v>
      </c>
      <c r="AG139" s="1">
        <v>1578323</v>
      </c>
      <c r="AH139" s="1">
        <v>773689</v>
      </c>
      <c r="AO139" s="1">
        <v>46983</v>
      </c>
      <c r="AP139" s="1">
        <v>883432</v>
      </c>
      <c r="AV139" s="116">
        <f t="shared" si="11"/>
        <v>16795789</v>
      </c>
      <c r="BC139" s="1">
        <v>86321</v>
      </c>
      <c r="BD139" s="1">
        <v>444834</v>
      </c>
      <c r="BE139" s="1">
        <v>89439</v>
      </c>
      <c r="BF139" s="121">
        <f t="shared" si="12"/>
        <v>620594</v>
      </c>
      <c r="BI139" s="1">
        <v>1262194</v>
      </c>
      <c r="BO139" s="1">
        <v>37772</v>
      </c>
      <c r="CA139" s="1">
        <v>23346</v>
      </c>
      <c r="CC139" s="125">
        <f t="shared" si="13"/>
        <v>1323312</v>
      </c>
      <c r="CK139" s="124">
        <f t="shared" si="14"/>
        <v>0</v>
      </c>
      <c r="CO139" s="23">
        <v>86603</v>
      </c>
      <c r="CR139" s="23">
        <v>57144</v>
      </c>
      <c r="CV139" s="129">
        <v>724721</v>
      </c>
    </row>
    <row r="140" spans="1:100" ht="12.75" customHeight="1">
      <c r="A140" s="1">
        <v>5</v>
      </c>
      <c r="B140" s="1">
        <v>4450</v>
      </c>
      <c r="C140" s="1" t="s">
        <v>1623</v>
      </c>
      <c r="D140" s="5" t="s">
        <v>1264</v>
      </c>
      <c r="E140" t="s">
        <v>428</v>
      </c>
      <c r="F140" s="26">
        <v>1444</v>
      </c>
      <c r="G140" s="78">
        <v>6462457</v>
      </c>
      <c r="H140" s="78">
        <v>257389</v>
      </c>
      <c r="M140" s="1">
        <v>492042</v>
      </c>
      <c r="O140" s="117">
        <f t="shared" si="10"/>
        <v>7211888</v>
      </c>
      <c r="P140" s="78">
        <v>4984408</v>
      </c>
      <c r="V140" s="1">
        <v>153140</v>
      </c>
      <c r="W140" s="1">
        <v>1593714</v>
      </c>
      <c r="X140" s="1">
        <v>45426</v>
      </c>
      <c r="AC140" s="1">
        <v>17941</v>
      </c>
      <c r="AD140" s="1">
        <v>142417</v>
      </c>
      <c r="AE140" s="1">
        <v>236663</v>
      </c>
      <c r="AF140" s="1">
        <v>92865</v>
      </c>
      <c r="AG140" s="1">
        <v>1159138</v>
      </c>
      <c r="AH140" s="1">
        <v>613633</v>
      </c>
      <c r="AM140" s="1">
        <v>277574</v>
      </c>
      <c r="AP140" s="1">
        <v>130380</v>
      </c>
      <c r="AV140" s="116">
        <f t="shared" si="11"/>
        <v>9447299</v>
      </c>
      <c r="BC140" s="1">
        <v>369273</v>
      </c>
      <c r="BD140" s="1">
        <v>439210</v>
      </c>
      <c r="BE140" s="1">
        <v>72465</v>
      </c>
      <c r="BF140" s="121">
        <f t="shared" si="12"/>
        <v>880948</v>
      </c>
      <c r="BN140" s="1">
        <v>50259</v>
      </c>
      <c r="CA140" s="1">
        <v>8887</v>
      </c>
      <c r="CC140" s="125">
        <f t="shared" si="13"/>
        <v>59146</v>
      </c>
      <c r="CD140" s="1">
        <v>1463500</v>
      </c>
      <c r="CK140" s="124">
        <f t="shared" si="14"/>
        <v>1463500</v>
      </c>
      <c r="CT140" s="23">
        <v>694161</v>
      </c>
      <c r="CV140" s="129">
        <v>1852683</v>
      </c>
    </row>
    <row r="141" spans="1:100" ht="12.75" customHeight="1">
      <c r="A141" s="1">
        <v>5</v>
      </c>
      <c r="B141" s="1">
        <v>4460</v>
      </c>
      <c r="C141" s="1" t="s">
        <v>1623</v>
      </c>
      <c r="D141" s="5" t="s">
        <v>1265</v>
      </c>
      <c r="E141" t="s">
        <v>429</v>
      </c>
      <c r="F141" s="26">
        <v>243</v>
      </c>
      <c r="G141" s="78">
        <v>3666729</v>
      </c>
      <c r="H141" s="78">
        <v>71388</v>
      </c>
      <c r="M141" s="1">
        <v>139590</v>
      </c>
      <c r="O141" s="117">
        <f t="shared" si="10"/>
        <v>3877707</v>
      </c>
      <c r="Q141" s="78">
        <v>198468</v>
      </c>
      <c r="V141" s="1">
        <v>15826</v>
      </c>
      <c r="W141" s="1">
        <v>324706</v>
      </c>
      <c r="X141" s="1">
        <v>13926</v>
      </c>
      <c r="AC141" s="1">
        <v>7348</v>
      </c>
      <c r="AD141" s="1">
        <v>36050</v>
      </c>
      <c r="AE141" s="1">
        <v>14559</v>
      </c>
      <c r="AG141" s="1">
        <v>258413</v>
      </c>
      <c r="AH141" s="1">
        <v>128032</v>
      </c>
      <c r="AO141" s="1">
        <v>9558</v>
      </c>
      <c r="AV141" s="116">
        <f t="shared" si="11"/>
        <v>1006886</v>
      </c>
      <c r="BC141" s="1">
        <v>19086</v>
      </c>
      <c r="BD141" s="1">
        <v>73517</v>
      </c>
      <c r="BE141" s="1">
        <v>12703</v>
      </c>
      <c r="BF141" s="121">
        <f t="shared" si="12"/>
        <v>105306</v>
      </c>
      <c r="CC141" s="125">
        <f t="shared" si="13"/>
        <v>0</v>
      </c>
      <c r="CK141" s="124">
        <f t="shared" si="14"/>
        <v>0</v>
      </c>
      <c r="CV141" s="129">
        <v>114864</v>
      </c>
    </row>
    <row r="142" spans="1:100" ht="12.75" customHeight="1">
      <c r="A142" s="1">
        <v>5</v>
      </c>
      <c r="B142" s="1">
        <v>4740</v>
      </c>
      <c r="C142" s="1" t="s">
        <v>1623</v>
      </c>
      <c r="D142" s="5" t="s">
        <v>1266</v>
      </c>
      <c r="E142" t="s">
        <v>430</v>
      </c>
      <c r="F142" s="26">
        <v>943</v>
      </c>
      <c r="G142" s="78">
        <v>6960215</v>
      </c>
      <c r="H142" s="78">
        <v>133254</v>
      </c>
      <c r="L142" s="1">
        <v>53852</v>
      </c>
      <c r="M142" s="1">
        <v>633312</v>
      </c>
      <c r="O142" s="117">
        <f t="shared" si="10"/>
        <v>7780633</v>
      </c>
      <c r="P142" s="78">
        <v>1787691</v>
      </c>
      <c r="Q142" s="78">
        <v>623328</v>
      </c>
      <c r="V142" s="1">
        <v>299989</v>
      </c>
      <c r="W142" s="1">
        <v>572668</v>
      </c>
      <c r="X142" s="1">
        <v>18</v>
      </c>
      <c r="Y142" s="78">
        <v>656268</v>
      </c>
      <c r="AC142" s="1">
        <v>10753</v>
      </c>
      <c r="AD142" s="1">
        <v>99187</v>
      </c>
      <c r="AE142" s="1">
        <v>121174</v>
      </c>
      <c r="AF142" s="1">
        <v>3314</v>
      </c>
      <c r="AG142" s="1">
        <v>774484</v>
      </c>
      <c r="AH142" s="1">
        <v>423330</v>
      </c>
      <c r="AP142" s="1">
        <v>122099</v>
      </c>
      <c r="AU142" s="1">
        <v>1300</v>
      </c>
      <c r="AV142" s="116">
        <f t="shared" si="11"/>
        <v>5495603</v>
      </c>
      <c r="BC142" s="1">
        <v>27221</v>
      </c>
      <c r="BD142" s="1">
        <v>181712</v>
      </c>
      <c r="BE142" s="1">
        <v>28524</v>
      </c>
      <c r="BF142" s="121">
        <f t="shared" si="12"/>
        <v>237457</v>
      </c>
      <c r="BO142" s="1">
        <v>2797</v>
      </c>
      <c r="CC142" s="125">
        <f t="shared" si="13"/>
        <v>2797</v>
      </c>
      <c r="CD142" s="1">
        <v>16588</v>
      </c>
      <c r="CK142" s="124">
        <f t="shared" si="14"/>
        <v>16588</v>
      </c>
      <c r="CM142" s="23">
        <v>757346</v>
      </c>
      <c r="CV142" s="129">
        <v>292609</v>
      </c>
    </row>
    <row r="143" spans="1:100" ht="12.75" customHeight="1">
      <c r="A143" s="1">
        <v>5</v>
      </c>
      <c r="B143" s="1">
        <v>4930</v>
      </c>
      <c r="C143" s="1" t="s">
        <v>1623</v>
      </c>
      <c r="D143" s="5" t="s">
        <v>1267</v>
      </c>
      <c r="E143" t="s">
        <v>431</v>
      </c>
      <c r="F143" s="26">
        <v>799</v>
      </c>
      <c r="G143" s="78">
        <v>8086179</v>
      </c>
      <c r="H143" s="78">
        <v>149912</v>
      </c>
      <c r="L143" s="1">
        <v>14596</v>
      </c>
      <c r="M143" s="1">
        <v>838422</v>
      </c>
      <c r="O143" s="117">
        <f t="shared" si="10"/>
        <v>9089109</v>
      </c>
      <c r="P143" s="78">
        <v>1099667</v>
      </c>
      <c r="V143" s="1">
        <v>412497</v>
      </c>
      <c r="W143" s="1">
        <v>600765</v>
      </c>
      <c r="X143" s="1">
        <v>1168</v>
      </c>
      <c r="AC143" s="1">
        <v>7435</v>
      </c>
      <c r="AD143" s="1">
        <v>92725</v>
      </c>
      <c r="AE143" s="1">
        <v>55013</v>
      </c>
      <c r="AF143" s="1">
        <v>6247</v>
      </c>
      <c r="AG143" s="1">
        <v>681013</v>
      </c>
      <c r="AH143" s="1">
        <v>419383</v>
      </c>
      <c r="AO143" s="1">
        <v>18951</v>
      </c>
      <c r="AP143" s="1">
        <v>82932</v>
      </c>
      <c r="AU143" s="1">
        <v>2275</v>
      </c>
      <c r="AV143" s="116">
        <f t="shared" si="11"/>
        <v>3480071</v>
      </c>
      <c r="BC143" s="1">
        <v>47363</v>
      </c>
      <c r="BD143" s="1">
        <v>190218</v>
      </c>
      <c r="BE143" s="1">
        <v>46847</v>
      </c>
      <c r="BF143" s="121">
        <f t="shared" si="12"/>
        <v>284428</v>
      </c>
      <c r="BI143" s="1">
        <v>1600</v>
      </c>
      <c r="BO143" s="1">
        <v>7437</v>
      </c>
      <c r="BZ143" s="1">
        <v>763</v>
      </c>
      <c r="CB143" s="1">
        <v>1358</v>
      </c>
      <c r="CC143" s="125">
        <f t="shared" si="13"/>
        <v>11158</v>
      </c>
      <c r="CK143" s="124">
        <f t="shared" si="14"/>
        <v>0</v>
      </c>
      <c r="CV143" s="129">
        <v>320250</v>
      </c>
    </row>
    <row r="144" spans="1:100" ht="12.75" customHeight="1">
      <c r="A144" s="1">
        <v>5</v>
      </c>
      <c r="B144" s="1">
        <v>5010</v>
      </c>
      <c r="C144" s="1" t="s">
        <v>1623</v>
      </c>
      <c r="D144" s="5" t="s">
        <v>1268</v>
      </c>
      <c r="E144" t="s">
        <v>432</v>
      </c>
      <c r="F144" s="26">
        <v>311</v>
      </c>
      <c r="G144" s="78">
        <v>2658899</v>
      </c>
      <c r="H144" s="78">
        <v>41718</v>
      </c>
      <c r="M144" s="1">
        <v>158670</v>
      </c>
      <c r="O144" s="117">
        <f t="shared" si="10"/>
        <v>2859287</v>
      </c>
      <c r="P144" s="78">
        <v>465878</v>
      </c>
      <c r="V144" s="1">
        <v>164276</v>
      </c>
      <c r="W144" s="1">
        <v>510548</v>
      </c>
      <c r="Y144" s="78">
        <v>54068</v>
      </c>
      <c r="AC144" s="1">
        <v>3392</v>
      </c>
      <c r="AD144" s="1">
        <v>36863</v>
      </c>
      <c r="AE144" s="1">
        <v>32390</v>
      </c>
      <c r="AG144" s="1">
        <v>252608</v>
      </c>
      <c r="AH144" s="1">
        <v>140699</v>
      </c>
      <c r="AI144" s="1">
        <v>6156</v>
      </c>
      <c r="AO144" s="1">
        <v>10320</v>
      </c>
      <c r="AP144" s="1">
        <v>68995</v>
      </c>
      <c r="AU144" s="1">
        <v>14760</v>
      </c>
      <c r="AV144" s="116">
        <f t="shared" si="11"/>
        <v>1760953</v>
      </c>
      <c r="BC144" s="1">
        <v>13520</v>
      </c>
      <c r="BD144" s="1">
        <v>81769</v>
      </c>
      <c r="BE144" s="1">
        <v>7645</v>
      </c>
      <c r="BF144" s="121">
        <f t="shared" si="12"/>
        <v>102934</v>
      </c>
      <c r="BI144" s="1">
        <v>11000</v>
      </c>
      <c r="BO144" s="1">
        <v>5676</v>
      </c>
      <c r="CC144" s="125">
        <f t="shared" si="13"/>
        <v>16676</v>
      </c>
      <c r="CK144" s="124">
        <f t="shared" si="14"/>
        <v>0</v>
      </c>
      <c r="CV144" s="129">
        <v>128014</v>
      </c>
    </row>
    <row r="145" spans="1:100" ht="12.75" customHeight="1">
      <c r="A145" s="1">
        <v>5</v>
      </c>
      <c r="B145" s="1">
        <v>5130</v>
      </c>
      <c r="C145" s="1" t="s">
        <v>1623</v>
      </c>
      <c r="D145" s="5" t="s">
        <v>1269</v>
      </c>
      <c r="E145" t="s">
        <v>433</v>
      </c>
      <c r="F145" s="26">
        <v>895</v>
      </c>
      <c r="G145" s="78">
        <v>5802533</v>
      </c>
      <c r="H145" s="78">
        <v>98278</v>
      </c>
      <c r="M145" s="1">
        <v>709250</v>
      </c>
      <c r="O145" s="117">
        <f t="shared" si="10"/>
        <v>6610061</v>
      </c>
      <c r="P145" s="78">
        <v>2023786</v>
      </c>
      <c r="Q145" s="78">
        <v>832298</v>
      </c>
      <c r="V145" s="1">
        <v>352847</v>
      </c>
      <c r="W145" s="1">
        <v>642125</v>
      </c>
      <c r="Y145" s="78">
        <v>1386103</v>
      </c>
      <c r="AD145" s="1">
        <v>101820</v>
      </c>
      <c r="AE145" s="1">
        <v>160169</v>
      </c>
      <c r="AF145" s="1">
        <v>650</v>
      </c>
      <c r="AG145" s="1">
        <v>1041168</v>
      </c>
      <c r="AH145" s="1">
        <v>443324</v>
      </c>
      <c r="AP145" s="1">
        <v>124092</v>
      </c>
      <c r="AU145" s="1">
        <v>16630</v>
      </c>
      <c r="AV145" s="116">
        <f t="shared" si="11"/>
        <v>7125012</v>
      </c>
      <c r="BC145" s="1">
        <v>41163</v>
      </c>
      <c r="BD145" s="1">
        <v>143310</v>
      </c>
      <c r="BE145" s="1">
        <v>32183</v>
      </c>
      <c r="BF145" s="121">
        <f t="shared" si="12"/>
        <v>216656</v>
      </c>
      <c r="BG145" s="1">
        <v>81078</v>
      </c>
      <c r="BO145" s="1">
        <v>43</v>
      </c>
      <c r="BY145" s="1">
        <v>80845</v>
      </c>
      <c r="CC145" s="125">
        <f t="shared" si="13"/>
        <v>161966</v>
      </c>
      <c r="CD145" s="1">
        <v>14964</v>
      </c>
      <c r="CK145" s="124">
        <f t="shared" si="14"/>
        <v>14964</v>
      </c>
      <c r="CV145" s="129">
        <v>233286</v>
      </c>
    </row>
    <row r="146" spans="1:100" ht="12.75" customHeight="1">
      <c r="A146" s="1">
        <v>5</v>
      </c>
      <c r="B146" s="1">
        <v>5490</v>
      </c>
      <c r="C146" s="1" t="s">
        <v>1623</v>
      </c>
      <c r="D146" s="5" t="s">
        <v>1270</v>
      </c>
      <c r="E146" t="s">
        <v>434</v>
      </c>
      <c r="F146" s="26">
        <v>71</v>
      </c>
      <c r="G146" s="78">
        <v>1237811</v>
      </c>
      <c r="H146" s="78">
        <v>15794</v>
      </c>
      <c r="L146" s="1">
        <v>31088</v>
      </c>
      <c r="O146" s="117">
        <f t="shared" si="10"/>
        <v>1284693</v>
      </c>
      <c r="P146" s="78">
        <v>360238</v>
      </c>
      <c r="R146" s="1">
        <v>49854</v>
      </c>
      <c r="V146" s="1">
        <v>83823</v>
      </c>
      <c r="W146" s="1">
        <v>137244</v>
      </c>
      <c r="AC146" s="1">
        <v>3810</v>
      </c>
      <c r="AD146" s="1">
        <v>13934</v>
      </c>
      <c r="AE146" s="1">
        <v>33236</v>
      </c>
      <c r="AF146" s="1">
        <v>6713</v>
      </c>
      <c r="AG146" s="1">
        <v>112415</v>
      </c>
      <c r="AH146" s="1">
        <v>57518</v>
      </c>
      <c r="AO146" s="1">
        <v>7040</v>
      </c>
      <c r="AU146" s="1">
        <v>533</v>
      </c>
      <c r="AV146" s="116">
        <f t="shared" si="11"/>
        <v>866358</v>
      </c>
      <c r="BC146" s="1">
        <v>10340</v>
      </c>
      <c r="BD146" s="1">
        <v>30268</v>
      </c>
      <c r="BE146" s="1">
        <v>445</v>
      </c>
      <c r="BF146" s="121">
        <f t="shared" si="12"/>
        <v>41053</v>
      </c>
      <c r="BI146" s="1">
        <v>22131</v>
      </c>
      <c r="CC146" s="125">
        <f t="shared" si="13"/>
        <v>22131</v>
      </c>
      <c r="CK146" s="124">
        <f t="shared" si="14"/>
        <v>0</v>
      </c>
      <c r="CV146" s="129">
        <v>79714</v>
      </c>
    </row>
    <row r="147" spans="1:100" ht="12.75" customHeight="1">
      <c r="A147" s="1">
        <v>5</v>
      </c>
      <c r="B147" s="1">
        <v>5720</v>
      </c>
      <c r="C147" s="1" t="s">
        <v>1623</v>
      </c>
      <c r="D147" s="5" t="s">
        <v>1271</v>
      </c>
      <c r="E147" t="s">
        <v>435</v>
      </c>
      <c r="F147" s="26">
        <v>937</v>
      </c>
      <c r="G147" s="78">
        <v>6859335</v>
      </c>
      <c r="H147" s="78">
        <v>114701</v>
      </c>
      <c r="M147" s="1">
        <v>882417</v>
      </c>
      <c r="O147" s="117">
        <f t="shared" si="10"/>
        <v>7856453</v>
      </c>
      <c r="P147" s="78">
        <v>1974282</v>
      </c>
      <c r="Q147" s="78">
        <v>126192</v>
      </c>
      <c r="V147" s="1">
        <v>295866</v>
      </c>
      <c r="W147" s="1">
        <v>469455</v>
      </c>
      <c r="Y147" s="78">
        <v>524591</v>
      </c>
      <c r="AC147" s="1">
        <v>8686</v>
      </c>
      <c r="AD147" s="1">
        <v>109210</v>
      </c>
      <c r="AE147" s="1">
        <v>97974</v>
      </c>
      <c r="AF147" s="1">
        <v>9396</v>
      </c>
      <c r="AG147" s="1">
        <v>673921</v>
      </c>
      <c r="AH147" s="1">
        <v>398051</v>
      </c>
      <c r="AP147" s="1">
        <v>317632</v>
      </c>
      <c r="AU147" s="1">
        <v>51771</v>
      </c>
      <c r="AV147" s="116">
        <f t="shared" si="11"/>
        <v>5057027</v>
      </c>
      <c r="BC147" s="1">
        <v>38846</v>
      </c>
      <c r="BD147" s="1">
        <v>232627</v>
      </c>
      <c r="BE147" s="1">
        <v>19348</v>
      </c>
      <c r="BF147" s="121">
        <f t="shared" si="12"/>
        <v>290821</v>
      </c>
      <c r="CA147" s="1">
        <v>112535</v>
      </c>
      <c r="CC147" s="125">
        <f t="shared" si="13"/>
        <v>112535</v>
      </c>
      <c r="CK147" s="124">
        <f t="shared" si="14"/>
        <v>0</v>
      </c>
      <c r="CV147" s="129">
        <v>342592</v>
      </c>
    </row>
    <row r="148" spans="1:100" ht="12.75" customHeight="1">
      <c r="A148" s="1">
        <v>5</v>
      </c>
      <c r="B148" s="1">
        <v>5805</v>
      </c>
      <c r="C148" s="1" t="s">
        <v>1623</v>
      </c>
      <c r="D148" s="5" t="s">
        <v>1272</v>
      </c>
      <c r="E148" t="s">
        <v>436</v>
      </c>
      <c r="F148" s="26">
        <v>4977</v>
      </c>
      <c r="G148" s="78">
        <v>28203052</v>
      </c>
      <c r="L148" s="1">
        <v>1972</v>
      </c>
      <c r="M148" s="1">
        <v>559815</v>
      </c>
      <c r="O148" s="117">
        <f t="shared" si="10"/>
        <v>28764839</v>
      </c>
      <c r="P148" s="78">
        <v>22571491</v>
      </c>
      <c r="Q148" s="78">
        <v>2357897</v>
      </c>
      <c r="V148" s="1">
        <v>1483420</v>
      </c>
      <c r="W148" s="1">
        <v>4519700</v>
      </c>
      <c r="X148" s="1">
        <v>33818</v>
      </c>
      <c r="AC148" s="1">
        <v>115239</v>
      </c>
      <c r="AD148" s="1">
        <v>592049</v>
      </c>
      <c r="AE148" s="1">
        <v>1084301</v>
      </c>
      <c r="AF148" s="1">
        <v>444523</v>
      </c>
      <c r="AG148" s="1">
        <v>6689447</v>
      </c>
      <c r="AH148" s="1">
        <v>2065876</v>
      </c>
      <c r="AM148" s="1">
        <v>1822463</v>
      </c>
      <c r="AP148" s="1">
        <v>562435</v>
      </c>
      <c r="AU148" s="1">
        <v>453709</v>
      </c>
      <c r="AV148" s="116">
        <f t="shared" si="11"/>
        <v>44796368</v>
      </c>
      <c r="AW148" s="1">
        <v>5016</v>
      </c>
      <c r="BC148" s="1">
        <v>633664</v>
      </c>
      <c r="BD148" s="1">
        <v>1073567</v>
      </c>
      <c r="BE148" s="1">
        <v>1174834</v>
      </c>
      <c r="BF148" s="121">
        <f t="shared" si="12"/>
        <v>2887081</v>
      </c>
      <c r="BP148" s="1">
        <v>956091</v>
      </c>
      <c r="CA148" s="1">
        <v>11753</v>
      </c>
      <c r="CC148" s="125">
        <f t="shared" si="13"/>
        <v>967844</v>
      </c>
      <c r="CD148" s="1">
        <v>333934</v>
      </c>
      <c r="CK148" s="124">
        <f t="shared" si="14"/>
        <v>333934</v>
      </c>
      <c r="CR148" s="23">
        <v>153712</v>
      </c>
      <c r="CT148" s="23">
        <v>1930678</v>
      </c>
      <c r="CV148" s="129">
        <v>7244599</v>
      </c>
    </row>
    <row r="149" spans="1:100" ht="12.75" customHeight="1">
      <c r="A149" s="1">
        <v>5</v>
      </c>
      <c r="B149" s="1">
        <v>5890</v>
      </c>
      <c r="C149" s="1" t="s">
        <v>1623</v>
      </c>
      <c r="D149" s="5" t="s">
        <v>1273</v>
      </c>
      <c r="E149" t="s">
        <v>437</v>
      </c>
      <c r="F149" s="26">
        <v>155</v>
      </c>
      <c r="G149" s="78">
        <v>1371804</v>
      </c>
      <c r="H149" s="78">
        <v>18591</v>
      </c>
      <c r="O149" s="117">
        <f t="shared" si="10"/>
        <v>1390395</v>
      </c>
      <c r="V149" s="1">
        <v>70150</v>
      </c>
      <c r="W149" s="1">
        <v>114839</v>
      </c>
      <c r="Y149" s="78">
        <v>617579</v>
      </c>
      <c r="AD149" s="1">
        <v>15690</v>
      </c>
      <c r="AE149" s="1">
        <v>24713</v>
      </c>
      <c r="AF149" s="1">
        <v>232</v>
      </c>
      <c r="AG149" s="1">
        <v>191879</v>
      </c>
      <c r="AH149" s="1">
        <v>74551</v>
      </c>
      <c r="AO149" s="1">
        <v>5523</v>
      </c>
      <c r="AV149" s="116">
        <f t="shared" si="11"/>
        <v>1115156</v>
      </c>
      <c r="BC149" s="1">
        <v>14260</v>
      </c>
      <c r="BD149" s="1">
        <v>38732</v>
      </c>
      <c r="BE149" s="1">
        <v>29461</v>
      </c>
      <c r="BF149" s="121">
        <f t="shared" si="12"/>
        <v>82453</v>
      </c>
      <c r="BG149" s="1">
        <v>55865</v>
      </c>
      <c r="CC149" s="125">
        <f t="shared" si="13"/>
        <v>55865</v>
      </c>
      <c r="CK149" s="124">
        <f t="shared" si="14"/>
        <v>0</v>
      </c>
      <c r="CV149" s="129">
        <v>87976</v>
      </c>
    </row>
    <row r="150" spans="1:100" ht="12.75" customHeight="1">
      <c r="A150" s="1">
        <v>7</v>
      </c>
      <c r="B150" s="1">
        <v>150</v>
      </c>
      <c r="C150" s="1" t="s">
        <v>1274</v>
      </c>
      <c r="D150" s="5" t="s">
        <v>1275</v>
      </c>
      <c r="E150" t="s">
        <v>438</v>
      </c>
      <c r="F150" s="26">
        <v>1567.5</v>
      </c>
      <c r="G150" s="78">
        <v>8500527</v>
      </c>
      <c r="H150" s="78">
        <v>98214</v>
      </c>
      <c r="M150" s="1">
        <v>969406</v>
      </c>
      <c r="O150" s="117">
        <f t="shared" si="10"/>
        <v>9568147</v>
      </c>
      <c r="P150" s="78">
        <v>4414691</v>
      </c>
      <c r="V150" s="1">
        <v>57489</v>
      </c>
      <c r="W150" s="1">
        <v>866056</v>
      </c>
      <c r="X150" s="1">
        <v>4654</v>
      </c>
      <c r="Y150" s="78">
        <v>164089</v>
      </c>
      <c r="AC150" s="1">
        <v>15294</v>
      </c>
      <c r="AD150" s="1">
        <v>143845</v>
      </c>
      <c r="AE150" s="1">
        <v>135467</v>
      </c>
      <c r="AF150" s="1">
        <v>2484</v>
      </c>
      <c r="AG150" s="1">
        <v>1429971</v>
      </c>
      <c r="AH150" s="1">
        <v>718177</v>
      </c>
      <c r="AO150" s="1">
        <v>39597</v>
      </c>
      <c r="AP150" s="1">
        <v>162359</v>
      </c>
      <c r="AU150" s="1">
        <v>24981</v>
      </c>
      <c r="AV150" s="116">
        <f t="shared" si="11"/>
        <v>8179154</v>
      </c>
      <c r="BC150" s="1">
        <v>116148</v>
      </c>
      <c r="BD150" s="1">
        <v>341653</v>
      </c>
      <c r="BE150" s="1">
        <v>61958</v>
      </c>
      <c r="BF150" s="121">
        <f t="shared" si="12"/>
        <v>519759</v>
      </c>
      <c r="BG150" s="1">
        <v>55000</v>
      </c>
      <c r="BI150" s="1">
        <v>3519748</v>
      </c>
      <c r="BO150" s="1">
        <v>1127</v>
      </c>
      <c r="BZ150" s="1">
        <v>65285</v>
      </c>
      <c r="CA150" s="1">
        <v>10175</v>
      </c>
      <c r="CB150" s="1">
        <v>29446</v>
      </c>
      <c r="CC150" s="125">
        <f t="shared" si="13"/>
        <v>3680781</v>
      </c>
      <c r="CK150" s="124">
        <f t="shared" si="14"/>
        <v>0</v>
      </c>
      <c r="CV150" s="129">
        <v>584337</v>
      </c>
    </row>
    <row r="151" spans="1:100" ht="12.75" customHeight="1">
      <c r="A151" s="1">
        <v>7</v>
      </c>
      <c r="B151" s="1">
        <v>160</v>
      </c>
      <c r="C151" s="1" t="s">
        <v>1274</v>
      </c>
      <c r="D151" s="5" t="s">
        <v>1276</v>
      </c>
      <c r="E151"/>
      <c r="F151" s="26"/>
      <c r="G151" s="78">
        <v>49967</v>
      </c>
      <c r="H151" s="78">
        <v>11648</v>
      </c>
      <c r="O151" s="117">
        <f t="shared" si="10"/>
        <v>61615</v>
      </c>
      <c r="P151" s="78">
        <v>984201</v>
      </c>
      <c r="Q151" s="78">
        <v>240807</v>
      </c>
      <c r="V151" s="1">
        <v>10087</v>
      </c>
      <c r="W151" s="1">
        <v>114606</v>
      </c>
      <c r="Y151" s="78">
        <v>48507</v>
      </c>
      <c r="AD151" s="1">
        <v>17775</v>
      </c>
      <c r="AE151" s="1">
        <v>42479</v>
      </c>
      <c r="AV151" s="116">
        <f t="shared" si="11"/>
        <v>1458462</v>
      </c>
      <c r="BF151" s="121">
        <f t="shared" si="12"/>
        <v>0</v>
      </c>
      <c r="CC151" s="125">
        <f t="shared" si="13"/>
        <v>0</v>
      </c>
      <c r="CK151" s="124">
        <f t="shared" si="14"/>
        <v>0</v>
      </c>
    </row>
    <row r="152" spans="1:100" ht="12.75" customHeight="1">
      <c r="A152" s="1">
        <v>7</v>
      </c>
      <c r="B152" s="1">
        <v>190</v>
      </c>
      <c r="C152" s="1" t="s">
        <v>1274</v>
      </c>
      <c r="D152" s="5" t="s">
        <v>1277</v>
      </c>
      <c r="E152" t="s">
        <v>439</v>
      </c>
      <c r="F152" s="26">
        <v>599</v>
      </c>
      <c r="G152" s="78">
        <v>7933863</v>
      </c>
      <c r="H152" s="78">
        <v>145313</v>
      </c>
      <c r="M152" s="1">
        <v>397733</v>
      </c>
      <c r="O152" s="117">
        <f t="shared" si="10"/>
        <v>8476909</v>
      </c>
      <c r="P152" s="78">
        <v>1059771</v>
      </c>
      <c r="Q152" s="78">
        <v>607528</v>
      </c>
      <c r="V152" s="1">
        <v>155437</v>
      </c>
      <c r="W152" s="1">
        <v>856720</v>
      </c>
      <c r="X152" s="1">
        <v>1186</v>
      </c>
      <c r="AC152" s="1">
        <v>43168</v>
      </c>
      <c r="AD152" s="1">
        <v>100065</v>
      </c>
      <c r="AE152" s="1">
        <v>88016</v>
      </c>
      <c r="AG152" s="1">
        <v>557572</v>
      </c>
      <c r="AH152" s="1">
        <v>249582</v>
      </c>
      <c r="AI152" s="1">
        <v>3807</v>
      </c>
      <c r="AO152" s="1">
        <v>18867</v>
      </c>
      <c r="AP152" s="1">
        <v>17174</v>
      </c>
      <c r="AU152" s="1">
        <v>297263</v>
      </c>
      <c r="AV152" s="116">
        <f t="shared" si="11"/>
        <v>4056156</v>
      </c>
      <c r="BC152" s="1">
        <v>44510</v>
      </c>
      <c r="BD152" s="1">
        <v>202592</v>
      </c>
      <c r="BE152" s="1">
        <v>22806</v>
      </c>
      <c r="BF152" s="121">
        <f t="shared" si="12"/>
        <v>269908</v>
      </c>
      <c r="BO152" s="1">
        <v>2234</v>
      </c>
      <c r="BX152" s="1">
        <v>77980</v>
      </c>
      <c r="CB152" s="1">
        <v>218</v>
      </c>
      <c r="CC152" s="125">
        <f t="shared" si="13"/>
        <v>80432</v>
      </c>
      <c r="CD152" s="1">
        <v>3362</v>
      </c>
      <c r="CK152" s="124">
        <f t="shared" si="14"/>
        <v>3362</v>
      </c>
      <c r="CV152" s="129">
        <v>586038</v>
      </c>
    </row>
    <row r="153" spans="1:100" ht="12.75" customHeight="1">
      <c r="A153" s="1">
        <v>7</v>
      </c>
      <c r="B153" s="1">
        <v>260</v>
      </c>
      <c r="C153" s="1" t="s">
        <v>1274</v>
      </c>
      <c r="D153" s="5" t="s">
        <v>1278</v>
      </c>
      <c r="E153" t="s">
        <v>440</v>
      </c>
      <c r="F153" s="26">
        <v>1076</v>
      </c>
      <c r="G153" s="78">
        <v>7035727</v>
      </c>
      <c r="H153" s="78">
        <v>112802</v>
      </c>
      <c r="M153" s="1">
        <v>204856</v>
      </c>
      <c r="O153" s="117">
        <f t="shared" si="10"/>
        <v>7353385</v>
      </c>
      <c r="P153" s="78">
        <v>1808143</v>
      </c>
      <c r="Q153" s="78">
        <v>126389</v>
      </c>
      <c r="V153" s="1">
        <v>90717</v>
      </c>
      <c r="W153" s="1">
        <v>657252</v>
      </c>
      <c r="X153" s="1">
        <v>8194</v>
      </c>
      <c r="Y153" s="78">
        <v>24959</v>
      </c>
      <c r="AC153" s="1">
        <v>9154</v>
      </c>
      <c r="AD153" s="1">
        <v>104673</v>
      </c>
      <c r="AE153" s="1">
        <v>108230</v>
      </c>
      <c r="AF153" s="1">
        <v>91640</v>
      </c>
      <c r="AG153" s="1">
        <v>1108708</v>
      </c>
      <c r="AH153" s="1">
        <v>426145</v>
      </c>
      <c r="AM153" s="1">
        <v>303540</v>
      </c>
      <c r="AP153" s="1">
        <v>29182</v>
      </c>
      <c r="AU153" s="1">
        <v>160913</v>
      </c>
      <c r="AV153" s="116">
        <f t="shared" si="11"/>
        <v>5057839</v>
      </c>
      <c r="AW153" s="1">
        <v>1207</v>
      </c>
      <c r="BC153" s="1">
        <v>299583</v>
      </c>
      <c r="BD153" s="1">
        <v>273241</v>
      </c>
      <c r="BE153" s="1">
        <v>52136</v>
      </c>
      <c r="BF153" s="121">
        <f t="shared" si="12"/>
        <v>626167</v>
      </c>
      <c r="CC153" s="125">
        <f t="shared" si="13"/>
        <v>0</v>
      </c>
      <c r="CK153" s="124">
        <f t="shared" si="14"/>
        <v>0</v>
      </c>
      <c r="CT153" s="23">
        <v>478952</v>
      </c>
      <c r="CV153" s="129">
        <v>1940649</v>
      </c>
    </row>
    <row r="154" spans="1:100" ht="12.75" customHeight="1">
      <c r="A154" s="1">
        <v>7</v>
      </c>
      <c r="B154" s="1">
        <v>330</v>
      </c>
      <c r="C154" s="1" t="s">
        <v>1274</v>
      </c>
      <c r="D154" s="5" t="s">
        <v>1279</v>
      </c>
      <c r="E154" t="s">
        <v>441</v>
      </c>
      <c r="F154" s="26">
        <v>813</v>
      </c>
      <c r="G154" s="78">
        <v>5332390</v>
      </c>
      <c r="H154" s="78">
        <v>54482</v>
      </c>
      <c r="M154" s="1">
        <v>551723</v>
      </c>
      <c r="O154" s="117">
        <f t="shared" si="10"/>
        <v>5938595</v>
      </c>
      <c r="P154" s="78">
        <v>1671602</v>
      </c>
      <c r="V154" s="1">
        <v>219610</v>
      </c>
      <c r="W154" s="1">
        <v>629403</v>
      </c>
      <c r="X154" s="1">
        <v>13944</v>
      </c>
      <c r="AC154" s="1">
        <v>18425</v>
      </c>
      <c r="AD154" s="1">
        <v>87557</v>
      </c>
      <c r="AE154" s="1">
        <v>79054</v>
      </c>
      <c r="AF154" s="1">
        <v>905</v>
      </c>
      <c r="AG154" s="1">
        <v>612497</v>
      </c>
      <c r="AH154" s="1">
        <v>318181</v>
      </c>
      <c r="AO154" s="1">
        <v>13005</v>
      </c>
      <c r="AP154" s="1">
        <v>171493</v>
      </c>
      <c r="AU154" s="1">
        <v>218174</v>
      </c>
      <c r="AV154" s="116">
        <f t="shared" si="11"/>
        <v>4053850</v>
      </c>
      <c r="BC154" s="1">
        <v>64878</v>
      </c>
      <c r="BD154" s="1">
        <v>186266</v>
      </c>
      <c r="BE154" s="1">
        <v>36160</v>
      </c>
      <c r="BF154" s="121">
        <f t="shared" si="12"/>
        <v>287304</v>
      </c>
      <c r="BY154" s="1">
        <v>21043</v>
      </c>
      <c r="CC154" s="125">
        <f t="shared" si="13"/>
        <v>21043</v>
      </c>
      <c r="CK154" s="124">
        <f t="shared" si="14"/>
        <v>0</v>
      </c>
      <c r="CV154" s="129">
        <v>518483</v>
      </c>
    </row>
    <row r="155" spans="1:100" ht="12.75" customHeight="1">
      <c r="A155" s="1">
        <v>7</v>
      </c>
      <c r="B155" s="1">
        <v>340</v>
      </c>
      <c r="C155" s="1" t="s">
        <v>1274</v>
      </c>
      <c r="D155" s="5" t="s">
        <v>1280</v>
      </c>
      <c r="E155" t="s">
        <v>442</v>
      </c>
      <c r="F155" s="26">
        <v>615</v>
      </c>
      <c r="G155" s="78">
        <v>7379482</v>
      </c>
      <c r="H155" s="78">
        <v>601157</v>
      </c>
      <c r="M155" s="1">
        <v>329455</v>
      </c>
      <c r="O155" s="117">
        <f t="shared" si="10"/>
        <v>8310094</v>
      </c>
      <c r="P155" s="78">
        <v>2278004</v>
      </c>
      <c r="V155" s="1">
        <v>408283</v>
      </c>
      <c r="W155" s="1">
        <v>441292</v>
      </c>
      <c r="X155" s="1">
        <v>24466</v>
      </c>
      <c r="Y155" s="78">
        <v>699855</v>
      </c>
      <c r="AC155" s="1">
        <v>10565</v>
      </c>
      <c r="AD155" s="1">
        <v>108623</v>
      </c>
      <c r="AE155" s="1">
        <v>134682</v>
      </c>
      <c r="AF155" s="1">
        <v>3192</v>
      </c>
      <c r="AG155" s="1">
        <v>576344</v>
      </c>
      <c r="AH155" s="1">
        <v>334889</v>
      </c>
      <c r="AM155" s="1">
        <v>207442</v>
      </c>
      <c r="AP155" s="1">
        <v>204751</v>
      </c>
      <c r="AU155" s="1">
        <v>6325</v>
      </c>
      <c r="AV155" s="116">
        <f t="shared" si="11"/>
        <v>5438713</v>
      </c>
      <c r="BC155" s="1">
        <v>183639</v>
      </c>
      <c r="BD155" s="1">
        <v>175997</v>
      </c>
      <c r="BE155" s="1">
        <v>70499</v>
      </c>
      <c r="BF155" s="121">
        <f t="shared" si="12"/>
        <v>430135</v>
      </c>
      <c r="CC155" s="125">
        <f t="shared" si="13"/>
        <v>0</v>
      </c>
      <c r="CD155" s="1">
        <v>36842</v>
      </c>
      <c r="CK155" s="124">
        <f t="shared" si="14"/>
        <v>36842</v>
      </c>
      <c r="CT155" s="23">
        <v>323662</v>
      </c>
      <c r="CV155" s="129">
        <v>967564</v>
      </c>
    </row>
    <row r="156" spans="1:100" ht="12.75" customHeight="1">
      <c r="A156" s="1">
        <v>7</v>
      </c>
      <c r="B156" s="1">
        <v>390</v>
      </c>
      <c r="C156" s="1" t="s">
        <v>1274</v>
      </c>
      <c r="D156" s="5" t="s">
        <v>1281</v>
      </c>
      <c r="E156" t="s">
        <v>443</v>
      </c>
      <c r="F156" s="26">
        <v>4262</v>
      </c>
      <c r="G156" s="78">
        <v>27733018</v>
      </c>
      <c r="H156" s="78">
        <v>577024</v>
      </c>
      <c r="M156" s="1">
        <v>1806378</v>
      </c>
      <c r="O156" s="117">
        <f t="shared" si="10"/>
        <v>30116420</v>
      </c>
      <c r="P156" s="78">
        <v>16925545</v>
      </c>
      <c r="Q156" s="78">
        <v>2794745</v>
      </c>
      <c r="V156" s="1">
        <v>1616934</v>
      </c>
      <c r="W156" s="1">
        <v>2310624</v>
      </c>
      <c r="X156" s="1">
        <v>16352</v>
      </c>
      <c r="Y156" s="78">
        <v>276936</v>
      </c>
      <c r="AD156" s="1">
        <v>454460</v>
      </c>
      <c r="AE156" s="1">
        <v>734512</v>
      </c>
      <c r="AF156" s="1">
        <v>329444</v>
      </c>
      <c r="AG156" s="1">
        <v>3113735</v>
      </c>
      <c r="AH156" s="1">
        <v>1546025</v>
      </c>
      <c r="AO156" s="1">
        <v>88137</v>
      </c>
      <c r="AP156" s="1">
        <v>1910811</v>
      </c>
      <c r="AV156" s="116">
        <f t="shared" si="11"/>
        <v>32118260</v>
      </c>
      <c r="BB156" s="1">
        <v>64381</v>
      </c>
      <c r="BC156" s="1">
        <v>107714</v>
      </c>
      <c r="BD156" s="1">
        <v>727251</v>
      </c>
      <c r="BE156" s="1">
        <v>71830</v>
      </c>
      <c r="BF156" s="121">
        <f t="shared" si="12"/>
        <v>971176</v>
      </c>
      <c r="BN156" s="1">
        <v>330164</v>
      </c>
      <c r="CC156" s="125">
        <f t="shared" si="13"/>
        <v>330164</v>
      </c>
      <c r="CK156" s="124">
        <f t="shared" si="14"/>
        <v>0</v>
      </c>
      <c r="CV156" s="129">
        <v>1059313</v>
      </c>
    </row>
    <row r="157" spans="1:100" ht="12.75" customHeight="1">
      <c r="A157" s="1">
        <v>7</v>
      </c>
      <c r="B157" s="1">
        <v>580</v>
      </c>
      <c r="C157" s="1" t="s">
        <v>1274</v>
      </c>
      <c r="D157" s="5" t="s">
        <v>1282</v>
      </c>
      <c r="E157" t="s">
        <v>444</v>
      </c>
      <c r="F157" s="26">
        <v>316</v>
      </c>
      <c r="G157" s="78">
        <v>1017497</v>
      </c>
      <c r="H157" s="78">
        <v>172149</v>
      </c>
      <c r="L157" s="1">
        <v>500</v>
      </c>
      <c r="M157" s="1">
        <v>152399</v>
      </c>
      <c r="O157" s="117">
        <f t="shared" si="10"/>
        <v>1342545</v>
      </c>
      <c r="P157" s="78">
        <v>1387532</v>
      </c>
      <c r="R157" s="1">
        <v>731192</v>
      </c>
      <c r="V157" s="1">
        <v>30915</v>
      </c>
      <c r="W157" s="1">
        <v>250650</v>
      </c>
      <c r="AD157" s="1">
        <v>39170</v>
      </c>
      <c r="AE157" s="1">
        <v>72684</v>
      </c>
      <c r="AF157" s="1">
        <v>113552</v>
      </c>
      <c r="AG157" s="1">
        <v>262772</v>
      </c>
      <c r="AH157" s="1">
        <v>133310</v>
      </c>
      <c r="AM157" s="1">
        <v>77469</v>
      </c>
      <c r="AU157" s="1">
        <v>36000</v>
      </c>
      <c r="AV157" s="116">
        <f t="shared" si="11"/>
        <v>3135246</v>
      </c>
      <c r="BC157" s="1">
        <v>117460</v>
      </c>
      <c r="BD157" s="1">
        <v>122957</v>
      </c>
      <c r="BE157" s="1">
        <v>14977</v>
      </c>
      <c r="BF157" s="121">
        <f t="shared" si="12"/>
        <v>255394</v>
      </c>
      <c r="CA157" s="1">
        <v>2640</v>
      </c>
      <c r="CC157" s="125">
        <f t="shared" si="13"/>
        <v>2640</v>
      </c>
      <c r="CK157" s="124">
        <f t="shared" si="14"/>
        <v>0</v>
      </c>
      <c r="CT157" s="23">
        <v>138977</v>
      </c>
      <c r="CV157" s="129">
        <v>508340</v>
      </c>
    </row>
    <row r="158" spans="1:100" ht="12.75" customHeight="1">
      <c r="A158" s="1">
        <v>7</v>
      </c>
      <c r="B158" s="1">
        <v>680</v>
      </c>
      <c r="C158" s="1" t="s">
        <v>1274</v>
      </c>
      <c r="D158" s="5" t="s">
        <v>1283</v>
      </c>
      <c r="E158" t="s">
        <v>445</v>
      </c>
      <c r="F158" s="26">
        <v>15244</v>
      </c>
      <c r="G158" s="78">
        <v>7449009</v>
      </c>
      <c r="H158" s="78">
        <v>2123053</v>
      </c>
      <c r="L158" s="1">
        <v>14137</v>
      </c>
      <c r="M158" s="1">
        <v>196109</v>
      </c>
      <c r="O158" s="117">
        <f t="shared" si="10"/>
        <v>9782308</v>
      </c>
      <c r="P158" s="78">
        <v>124213337</v>
      </c>
      <c r="Q158" s="78">
        <v>6189753</v>
      </c>
      <c r="S158" s="25">
        <v>73724039</v>
      </c>
      <c r="T158" s="1">
        <v>12000000</v>
      </c>
      <c r="V158" s="1">
        <v>4648561</v>
      </c>
      <c r="W158" s="1">
        <v>14245185</v>
      </c>
      <c r="X158" s="1">
        <v>1393710</v>
      </c>
      <c r="Y158" s="78">
        <v>2632717</v>
      </c>
      <c r="AC158" s="1">
        <v>268223</v>
      </c>
      <c r="AD158" s="1">
        <v>1438991</v>
      </c>
      <c r="AF158" s="1">
        <v>80357</v>
      </c>
      <c r="AG158" s="1">
        <v>15554769</v>
      </c>
      <c r="AH158" s="1">
        <v>8833274</v>
      </c>
      <c r="AM158" s="1">
        <v>7054959</v>
      </c>
      <c r="AP158" s="1">
        <v>1454406</v>
      </c>
      <c r="AT158" s="1">
        <v>529306</v>
      </c>
      <c r="AU158" s="1">
        <v>2249164</v>
      </c>
      <c r="AV158" s="116">
        <f t="shared" si="11"/>
        <v>276510751</v>
      </c>
      <c r="AW158" s="1">
        <v>293653</v>
      </c>
      <c r="BA158" s="1">
        <v>24080</v>
      </c>
      <c r="BB158" s="1">
        <v>169269</v>
      </c>
      <c r="BC158" s="1">
        <v>15082703</v>
      </c>
      <c r="BD158" s="1">
        <v>4705630</v>
      </c>
      <c r="BE158" s="1">
        <v>5288779</v>
      </c>
      <c r="BF158" s="121">
        <f t="shared" si="12"/>
        <v>25564114</v>
      </c>
      <c r="BH158" s="1">
        <v>1054503</v>
      </c>
      <c r="BJ158" s="1">
        <v>20078</v>
      </c>
      <c r="BO158" s="1">
        <v>1</v>
      </c>
      <c r="CB158" s="1">
        <v>236754</v>
      </c>
      <c r="CC158" s="125">
        <f t="shared" si="13"/>
        <v>1311336</v>
      </c>
      <c r="CK158" s="124">
        <f t="shared" si="14"/>
        <v>0</v>
      </c>
      <c r="CO158" s="23">
        <v>399038</v>
      </c>
      <c r="CT158" s="23">
        <v>13531671</v>
      </c>
      <c r="CU158" s="23">
        <v>4947305</v>
      </c>
      <c r="CV158" s="129">
        <v>53043617</v>
      </c>
    </row>
    <row r="159" spans="1:100" ht="12.75" customHeight="1">
      <c r="A159" s="1">
        <v>7</v>
      </c>
      <c r="B159" s="1">
        <v>695</v>
      </c>
      <c r="C159" s="1" t="s">
        <v>1274</v>
      </c>
      <c r="D159" s="5" t="s">
        <v>1114</v>
      </c>
      <c r="E159"/>
      <c r="F159" s="26"/>
      <c r="H159" s="78">
        <v>936961</v>
      </c>
      <c r="O159" s="117">
        <f t="shared" si="10"/>
        <v>936961</v>
      </c>
      <c r="AG159" s="1">
        <v>349949</v>
      </c>
      <c r="AH159" s="1">
        <v>281164</v>
      </c>
      <c r="AU159" s="1">
        <v>6488625</v>
      </c>
      <c r="AV159" s="116">
        <f t="shared" si="11"/>
        <v>7119738</v>
      </c>
      <c r="BC159" s="1">
        <v>117549</v>
      </c>
      <c r="BF159" s="121">
        <f t="shared" si="12"/>
        <v>117549</v>
      </c>
      <c r="BN159" s="1">
        <v>13523176</v>
      </c>
      <c r="CA159" s="1">
        <v>86407</v>
      </c>
      <c r="CB159" s="1">
        <v>3745000</v>
      </c>
      <c r="CC159" s="125">
        <f t="shared" si="13"/>
        <v>17354583</v>
      </c>
      <c r="CD159" s="1">
        <v>927239</v>
      </c>
      <c r="CK159" s="124">
        <f t="shared" si="14"/>
        <v>927239</v>
      </c>
      <c r="CV159" s="129">
        <v>6606174</v>
      </c>
    </row>
    <row r="160" spans="1:100" ht="12.75" customHeight="1">
      <c r="A160" s="1">
        <v>7</v>
      </c>
      <c r="B160" s="1">
        <v>700</v>
      </c>
      <c r="C160" s="1" t="s">
        <v>1274</v>
      </c>
      <c r="D160" s="5" t="s">
        <v>1115</v>
      </c>
      <c r="E160" t="s">
        <v>446</v>
      </c>
      <c r="F160" s="26">
        <v>1862</v>
      </c>
      <c r="H160" s="78">
        <v>680514</v>
      </c>
      <c r="I160" s="1">
        <v>12146033</v>
      </c>
      <c r="L160" s="1">
        <v>70911</v>
      </c>
      <c r="O160" s="117">
        <f t="shared" si="10"/>
        <v>12897458</v>
      </c>
      <c r="P160" s="78">
        <v>7795941</v>
      </c>
      <c r="W160" s="1">
        <v>2230591</v>
      </c>
      <c r="X160" s="1">
        <v>108</v>
      </c>
      <c r="AA160" s="1">
        <v>3691574</v>
      </c>
      <c r="AD160" s="1">
        <v>215240</v>
      </c>
      <c r="AE160" s="1">
        <v>354964</v>
      </c>
      <c r="AF160" s="1">
        <v>154909</v>
      </c>
      <c r="AG160" s="1">
        <v>2015912</v>
      </c>
      <c r="AH160" s="1">
        <v>1061207</v>
      </c>
      <c r="AM160" s="1">
        <v>2435274</v>
      </c>
      <c r="AU160" s="1">
        <v>341930</v>
      </c>
      <c r="AV160" s="116">
        <f t="shared" si="11"/>
        <v>20297650</v>
      </c>
      <c r="AW160" s="1">
        <v>13417</v>
      </c>
      <c r="BB160" s="1">
        <v>69917</v>
      </c>
      <c r="BC160" s="1">
        <v>789082</v>
      </c>
      <c r="BD160" s="1">
        <v>644039</v>
      </c>
      <c r="BE160" s="1">
        <v>1752252</v>
      </c>
      <c r="BF160" s="121">
        <f t="shared" si="12"/>
        <v>3268707</v>
      </c>
      <c r="BP160" s="1">
        <v>1115540</v>
      </c>
      <c r="CB160" s="1">
        <v>4686000</v>
      </c>
      <c r="CC160" s="125">
        <f t="shared" si="13"/>
        <v>5801540</v>
      </c>
      <c r="CK160" s="124">
        <f t="shared" si="14"/>
        <v>0</v>
      </c>
      <c r="CP160" s="23">
        <v>2283105</v>
      </c>
      <c r="CV160" s="129">
        <v>6103405</v>
      </c>
    </row>
    <row r="161" spans="1:100" ht="12.75" customHeight="1">
      <c r="A161" s="1">
        <v>7</v>
      </c>
      <c r="B161" s="1">
        <v>800</v>
      </c>
      <c r="C161" s="1" t="s">
        <v>1274</v>
      </c>
      <c r="D161" s="5" t="s">
        <v>1116</v>
      </c>
      <c r="E161" t="s">
        <v>447</v>
      </c>
      <c r="F161" s="26">
        <v>11529</v>
      </c>
      <c r="G161" s="78">
        <v>136273471</v>
      </c>
      <c r="H161" s="78">
        <v>1994507</v>
      </c>
      <c r="L161" s="1">
        <v>27774</v>
      </c>
      <c r="M161" s="1">
        <v>2742506</v>
      </c>
      <c r="O161" s="117">
        <f t="shared" si="10"/>
        <v>141038258</v>
      </c>
      <c r="P161" s="78">
        <v>2021629</v>
      </c>
      <c r="V161" s="1">
        <v>1450828</v>
      </c>
      <c r="W161" s="1">
        <v>6036679</v>
      </c>
      <c r="X161" s="1">
        <v>210042</v>
      </c>
      <c r="Z161" s="1">
        <v>4202905</v>
      </c>
      <c r="AC161" s="1">
        <v>296278</v>
      </c>
      <c r="AD161" s="1">
        <v>681025</v>
      </c>
      <c r="AE161" s="1">
        <v>436672</v>
      </c>
      <c r="AF161" s="1">
        <v>43423</v>
      </c>
      <c r="AG161" s="1">
        <v>12200789</v>
      </c>
      <c r="AH161" s="1">
        <v>5274914</v>
      </c>
      <c r="AP161" s="1">
        <v>1402730</v>
      </c>
      <c r="AU161" s="1">
        <v>1706772</v>
      </c>
      <c r="AV161" s="116">
        <f t="shared" si="11"/>
        <v>35964686</v>
      </c>
      <c r="BC161" s="1">
        <v>328339</v>
      </c>
      <c r="BD161" s="1">
        <v>2498940</v>
      </c>
      <c r="BE161" s="1">
        <v>359071</v>
      </c>
      <c r="BF161" s="121">
        <f t="shared" si="12"/>
        <v>3186350</v>
      </c>
      <c r="BO161" s="1">
        <v>1631</v>
      </c>
      <c r="CA161" s="1">
        <v>277765</v>
      </c>
      <c r="CC161" s="125">
        <f t="shared" si="13"/>
        <v>279396</v>
      </c>
      <c r="CD161" s="1">
        <v>123112</v>
      </c>
      <c r="CK161" s="124">
        <f t="shared" si="14"/>
        <v>123112</v>
      </c>
      <c r="CV161" s="129">
        <v>4920896</v>
      </c>
    </row>
    <row r="162" spans="1:100" ht="12.75" customHeight="1">
      <c r="A162" s="1">
        <v>7</v>
      </c>
      <c r="B162" s="1">
        <v>810</v>
      </c>
      <c r="C162" s="1" t="s">
        <v>1274</v>
      </c>
      <c r="D162" s="5" t="s">
        <v>1117</v>
      </c>
      <c r="E162" t="s">
        <v>340</v>
      </c>
      <c r="F162" s="26">
        <v>118</v>
      </c>
      <c r="G162" s="78">
        <v>853814</v>
      </c>
      <c r="H162" s="78">
        <v>463481</v>
      </c>
      <c r="O162" s="117">
        <f t="shared" si="10"/>
        <v>1317295</v>
      </c>
      <c r="P162" s="78">
        <v>1574437</v>
      </c>
      <c r="Q162" s="78">
        <v>102145</v>
      </c>
      <c r="V162" s="1">
        <v>126584</v>
      </c>
      <c r="W162" s="1">
        <v>258307</v>
      </c>
      <c r="X162" s="1">
        <v>2550</v>
      </c>
      <c r="Y162" s="78">
        <v>7</v>
      </c>
      <c r="AC162" s="1">
        <v>1210</v>
      </c>
      <c r="AD162" s="1">
        <v>25674</v>
      </c>
      <c r="AE162" s="1">
        <v>70604</v>
      </c>
      <c r="AF162" s="1">
        <v>21650</v>
      </c>
      <c r="AG162" s="1">
        <v>78415</v>
      </c>
      <c r="AH162" s="1">
        <v>60355</v>
      </c>
      <c r="AM162" s="1">
        <v>94350</v>
      </c>
      <c r="AU162" s="1">
        <v>801</v>
      </c>
      <c r="AV162" s="116">
        <f t="shared" si="11"/>
        <v>2417089</v>
      </c>
      <c r="BC162" s="1">
        <v>133109</v>
      </c>
      <c r="BD162" s="1">
        <v>43266</v>
      </c>
      <c r="BE162" s="1">
        <v>14424</v>
      </c>
      <c r="BF162" s="121">
        <f t="shared" si="12"/>
        <v>190799</v>
      </c>
      <c r="CC162" s="125">
        <f t="shared" si="13"/>
        <v>0</v>
      </c>
      <c r="CK162" s="124">
        <f t="shared" si="14"/>
        <v>0</v>
      </c>
      <c r="CT162" s="23">
        <v>171259</v>
      </c>
      <c r="CV162" s="129">
        <v>457209</v>
      </c>
    </row>
    <row r="163" spans="1:100" ht="12.75" customHeight="1">
      <c r="A163" s="1">
        <v>7</v>
      </c>
      <c r="B163" s="1">
        <v>880</v>
      </c>
      <c r="C163" s="1" t="s">
        <v>1274</v>
      </c>
      <c r="D163" s="5" t="s">
        <v>1118</v>
      </c>
      <c r="E163" t="s">
        <v>341</v>
      </c>
      <c r="F163" s="26">
        <v>559</v>
      </c>
      <c r="G163" s="78">
        <v>3513423</v>
      </c>
      <c r="H163" s="78">
        <v>576032</v>
      </c>
      <c r="M163" s="1">
        <v>248092</v>
      </c>
      <c r="O163" s="117">
        <f t="shared" si="10"/>
        <v>4337547</v>
      </c>
      <c r="P163" s="78">
        <v>2978575</v>
      </c>
      <c r="Q163" s="78">
        <v>65928</v>
      </c>
      <c r="V163" s="1">
        <v>226197</v>
      </c>
      <c r="W163" s="1">
        <v>597567</v>
      </c>
      <c r="X163" s="1">
        <v>15183</v>
      </c>
      <c r="Y163" s="78">
        <v>160793</v>
      </c>
      <c r="AC163" s="1">
        <v>34461</v>
      </c>
      <c r="AD163" s="1">
        <v>82729</v>
      </c>
      <c r="AE163" s="1">
        <v>138757</v>
      </c>
      <c r="AF163" s="1">
        <v>73453</v>
      </c>
      <c r="AG163" s="1">
        <v>417941</v>
      </c>
      <c r="AH163" s="1">
        <v>221617</v>
      </c>
      <c r="AM163" s="1">
        <v>192116</v>
      </c>
      <c r="AP163" s="1">
        <v>169162</v>
      </c>
      <c r="AU163" s="1">
        <v>140055</v>
      </c>
      <c r="AV163" s="116">
        <f t="shared" si="11"/>
        <v>5514534</v>
      </c>
      <c r="AW163" s="1">
        <v>4238</v>
      </c>
      <c r="BC163" s="1">
        <v>206498</v>
      </c>
      <c r="BD163" s="1">
        <v>186977</v>
      </c>
      <c r="BE163" s="1">
        <v>45052</v>
      </c>
      <c r="BF163" s="121">
        <f t="shared" si="12"/>
        <v>442765</v>
      </c>
      <c r="BO163" s="1">
        <v>2545</v>
      </c>
      <c r="CA163" s="1">
        <v>49939</v>
      </c>
      <c r="CC163" s="125">
        <f t="shared" si="13"/>
        <v>52484</v>
      </c>
      <c r="CK163" s="124">
        <f t="shared" si="14"/>
        <v>0</v>
      </c>
      <c r="CT163" s="23">
        <v>317085</v>
      </c>
      <c r="CV163" s="129">
        <v>1087783</v>
      </c>
    </row>
    <row r="164" spans="1:100" ht="12.75" customHeight="1">
      <c r="A164" s="1">
        <v>7</v>
      </c>
      <c r="B164" s="1">
        <v>940</v>
      </c>
      <c r="C164" s="1" t="s">
        <v>1274</v>
      </c>
      <c r="D164" s="5" t="s">
        <v>1119</v>
      </c>
      <c r="E164" t="s">
        <v>342</v>
      </c>
      <c r="F164" s="26">
        <v>1899</v>
      </c>
      <c r="G164" s="78">
        <v>11955900</v>
      </c>
      <c r="H164" s="78">
        <v>261698</v>
      </c>
      <c r="M164" s="1">
        <v>872806</v>
      </c>
      <c r="O164" s="117">
        <f t="shared" si="10"/>
        <v>13090404</v>
      </c>
      <c r="P164" s="78">
        <v>5508389</v>
      </c>
      <c r="Q164" s="78">
        <v>1824244</v>
      </c>
      <c r="V164" s="1">
        <v>282528</v>
      </c>
      <c r="W164" s="1">
        <v>1576635</v>
      </c>
      <c r="X164" s="1">
        <v>58328</v>
      </c>
      <c r="AC164" s="1">
        <v>7713</v>
      </c>
      <c r="AD164" s="1">
        <v>191898</v>
      </c>
      <c r="AE164" s="1">
        <v>235578</v>
      </c>
      <c r="AF164" s="1">
        <v>145023</v>
      </c>
      <c r="AG164" s="1">
        <v>1977290</v>
      </c>
      <c r="AH164" s="1">
        <v>989144</v>
      </c>
      <c r="AM164" s="1">
        <v>82236</v>
      </c>
      <c r="AO164" s="1">
        <v>116652</v>
      </c>
      <c r="AU164" s="1">
        <v>139969</v>
      </c>
      <c r="AV164" s="116">
        <f t="shared" si="11"/>
        <v>13135627</v>
      </c>
      <c r="AW164" s="1">
        <v>17927</v>
      </c>
      <c r="BC164" s="1">
        <v>376889</v>
      </c>
      <c r="BD164" s="1">
        <v>559659</v>
      </c>
      <c r="BE164" s="1">
        <v>103913</v>
      </c>
      <c r="BF164" s="121">
        <f t="shared" si="12"/>
        <v>1058388</v>
      </c>
      <c r="BI164" s="1">
        <v>3015289</v>
      </c>
      <c r="BO164" s="1">
        <v>12088</v>
      </c>
      <c r="CA164" s="1">
        <v>547179</v>
      </c>
      <c r="CC164" s="125">
        <f t="shared" si="13"/>
        <v>3574556</v>
      </c>
      <c r="CK164" s="124">
        <f t="shared" si="14"/>
        <v>0</v>
      </c>
      <c r="CV164" s="129">
        <v>1379318</v>
      </c>
    </row>
    <row r="165" spans="1:100" ht="12.75" customHeight="1">
      <c r="A165" s="1">
        <v>7</v>
      </c>
      <c r="B165" s="1">
        <v>1255</v>
      </c>
      <c r="C165" s="1" t="s">
        <v>1274</v>
      </c>
      <c r="D165" s="5" t="s">
        <v>1120</v>
      </c>
      <c r="E165" t="s">
        <v>343</v>
      </c>
      <c r="F165" s="26">
        <v>2170</v>
      </c>
      <c r="G165" s="78">
        <v>18476597</v>
      </c>
      <c r="H165" s="78">
        <v>547219</v>
      </c>
      <c r="L165" s="1">
        <v>2444</v>
      </c>
      <c r="M165" s="1">
        <v>1669719</v>
      </c>
      <c r="O165" s="117">
        <f t="shared" si="10"/>
        <v>20695979</v>
      </c>
      <c r="P165" s="78">
        <v>5838667</v>
      </c>
      <c r="Q165" s="78">
        <v>978790</v>
      </c>
      <c r="V165" s="1">
        <v>768362</v>
      </c>
      <c r="W165" s="1">
        <v>1402227</v>
      </c>
      <c r="X165" s="1">
        <v>15220</v>
      </c>
      <c r="AC165" s="1">
        <v>87929</v>
      </c>
      <c r="AD165" s="1">
        <v>251478</v>
      </c>
      <c r="AE165" s="1">
        <v>277642</v>
      </c>
      <c r="AF165" s="1">
        <v>8479</v>
      </c>
      <c r="AG165" s="1">
        <v>1693897</v>
      </c>
      <c r="AH165" s="1">
        <v>959473</v>
      </c>
      <c r="AP165" s="1">
        <v>513059</v>
      </c>
      <c r="AU165" s="1">
        <v>12740</v>
      </c>
      <c r="AV165" s="116">
        <f t="shared" si="11"/>
        <v>12807963</v>
      </c>
      <c r="BC165" s="1">
        <v>63531</v>
      </c>
      <c r="BD165" s="1">
        <v>349764</v>
      </c>
      <c r="BE165" s="1">
        <v>181742</v>
      </c>
      <c r="BF165" s="121">
        <f t="shared" si="12"/>
        <v>595037</v>
      </c>
      <c r="BI165" s="1">
        <v>24582</v>
      </c>
      <c r="BN165" s="1">
        <v>201456</v>
      </c>
      <c r="CC165" s="125">
        <f t="shared" si="13"/>
        <v>226038</v>
      </c>
      <c r="CD165" s="1">
        <v>127648</v>
      </c>
      <c r="CK165" s="124">
        <f t="shared" si="14"/>
        <v>127648</v>
      </c>
      <c r="CV165" s="129">
        <v>610221</v>
      </c>
    </row>
    <row r="166" spans="1:100" ht="12.75" customHeight="1">
      <c r="A166" s="1">
        <v>7</v>
      </c>
      <c r="B166" s="1">
        <v>1720</v>
      </c>
      <c r="C166" s="1" t="s">
        <v>1274</v>
      </c>
      <c r="D166" s="5" t="s">
        <v>1121</v>
      </c>
      <c r="E166" t="s">
        <v>344</v>
      </c>
      <c r="F166" s="26">
        <v>292</v>
      </c>
      <c r="G166" s="78">
        <v>2255735</v>
      </c>
      <c r="H166" s="78">
        <v>55803</v>
      </c>
      <c r="M166" s="1">
        <v>216910</v>
      </c>
      <c r="O166" s="117">
        <f t="shared" si="10"/>
        <v>2528448</v>
      </c>
      <c r="P166" s="78">
        <v>917674</v>
      </c>
      <c r="V166" s="1">
        <v>30191</v>
      </c>
      <c r="W166" s="1">
        <v>283051</v>
      </c>
      <c r="Y166" s="78">
        <v>62198</v>
      </c>
      <c r="AD166" s="1">
        <v>31490</v>
      </c>
      <c r="AE166" s="1">
        <v>39915</v>
      </c>
      <c r="AG166" s="1">
        <v>253618</v>
      </c>
      <c r="AH166" s="1">
        <v>143686</v>
      </c>
      <c r="AI166" s="1">
        <v>45601</v>
      </c>
      <c r="AO166" s="1">
        <v>9476</v>
      </c>
      <c r="AP166" s="1">
        <v>17301</v>
      </c>
      <c r="AU166" s="1">
        <v>5899</v>
      </c>
      <c r="AV166" s="116">
        <f t="shared" si="11"/>
        <v>1840100</v>
      </c>
      <c r="BC166" s="1">
        <v>23862</v>
      </c>
      <c r="BD166" s="1">
        <v>87662</v>
      </c>
      <c r="BE166" s="1">
        <v>20145</v>
      </c>
      <c r="BF166" s="121">
        <f t="shared" si="12"/>
        <v>131669</v>
      </c>
      <c r="BI166" s="1">
        <v>28895</v>
      </c>
      <c r="CC166" s="125">
        <f t="shared" si="13"/>
        <v>28895</v>
      </c>
      <c r="CK166" s="124">
        <f t="shared" si="14"/>
        <v>0</v>
      </c>
      <c r="CV166" s="129">
        <v>147044</v>
      </c>
    </row>
    <row r="167" spans="1:100" ht="12.75" customHeight="1">
      <c r="A167" s="1">
        <v>7</v>
      </c>
      <c r="B167" s="1">
        <v>1770</v>
      </c>
      <c r="C167" s="1" t="s">
        <v>1274</v>
      </c>
      <c r="D167" s="5" t="s">
        <v>1122</v>
      </c>
      <c r="E167" t="s">
        <v>345</v>
      </c>
      <c r="F167" s="26">
        <v>2106</v>
      </c>
      <c r="G167" s="78">
        <v>2858502</v>
      </c>
      <c r="H167" s="78">
        <v>304932</v>
      </c>
      <c r="M167" s="1">
        <v>609374</v>
      </c>
      <c r="O167" s="117">
        <f t="shared" si="10"/>
        <v>3772808</v>
      </c>
      <c r="P167" s="78">
        <v>10382971</v>
      </c>
      <c r="Q167" s="78">
        <v>499805</v>
      </c>
      <c r="S167" s="25">
        <v>15695400</v>
      </c>
      <c r="V167" s="1">
        <v>176557</v>
      </c>
      <c r="W167" s="1">
        <v>1856157</v>
      </c>
      <c r="X167" s="1">
        <v>1186</v>
      </c>
      <c r="Y167" s="78">
        <v>74037</v>
      </c>
      <c r="AC167" s="1">
        <v>52344</v>
      </c>
      <c r="AD167" s="1">
        <v>217465</v>
      </c>
      <c r="AF167" s="1">
        <v>20560</v>
      </c>
      <c r="AG167" s="1">
        <v>2173796</v>
      </c>
      <c r="AH167" s="1">
        <v>1205737</v>
      </c>
      <c r="AM167" s="1">
        <v>753249</v>
      </c>
      <c r="AP167" s="1">
        <v>749381</v>
      </c>
      <c r="AU167" s="1">
        <v>557863</v>
      </c>
      <c r="AV167" s="116">
        <f t="shared" si="11"/>
        <v>34416508</v>
      </c>
      <c r="AW167" s="1">
        <v>104697</v>
      </c>
      <c r="BC167" s="1">
        <v>920505</v>
      </c>
      <c r="BD167" s="1">
        <v>774616</v>
      </c>
      <c r="BE167" s="1">
        <v>717256</v>
      </c>
      <c r="BF167" s="121">
        <f t="shared" si="12"/>
        <v>2517074</v>
      </c>
      <c r="BM167" s="1">
        <v>6357</v>
      </c>
      <c r="CC167" s="125">
        <f t="shared" si="13"/>
        <v>6357</v>
      </c>
      <c r="CD167" s="1">
        <v>624067</v>
      </c>
      <c r="CK167" s="124">
        <f t="shared" si="14"/>
        <v>624067</v>
      </c>
      <c r="CT167" s="23">
        <v>1067266</v>
      </c>
      <c r="CV167" s="129">
        <v>6731896</v>
      </c>
    </row>
    <row r="168" spans="1:100" ht="12.75" customHeight="1">
      <c r="A168" s="1">
        <v>7</v>
      </c>
      <c r="B168" s="1">
        <v>1780</v>
      </c>
      <c r="C168" s="1" t="s">
        <v>1274</v>
      </c>
      <c r="D168" s="5" t="s">
        <v>1123</v>
      </c>
      <c r="E168" t="s">
        <v>346</v>
      </c>
      <c r="F168" s="26">
        <v>7773</v>
      </c>
      <c r="G168" s="78">
        <v>39712435</v>
      </c>
      <c r="H168" s="78">
        <v>1401989</v>
      </c>
      <c r="M168" s="1">
        <v>2183185</v>
      </c>
      <c r="O168" s="117">
        <f t="shared" si="10"/>
        <v>43297609</v>
      </c>
      <c r="P168" s="78">
        <v>27343061</v>
      </c>
      <c r="Q168" s="78">
        <v>3299332</v>
      </c>
      <c r="V168" s="1">
        <v>1530367</v>
      </c>
      <c r="W168" s="1">
        <v>4780934</v>
      </c>
      <c r="X168" s="1">
        <v>66450</v>
      </c>
      <c r="AC168" s="1">
        <v>245359</v>
      </c>
      <c r="AD168" s="1">
        <v>882001</v>
      </c>
      <c r="AE168" s="1">
        <v>1119932</v>
      </c>
      <c r="AF168" s="1">
        <v>216219</v>
      </c>
      <c r="AG168" s="1">
        <v>5350444</v>
      </c>
      <c r="AH168" s="1">
        <v>3127618</v>
      </c>
      <c r="AM168" s="1">
        <v>251931</v>
      </c>
      <c r="AO168" s="1">
        <v>255948</v>
      </c>
      <c r="AP168" s="1">
        <v>1449546</v>
      </c>
      <c r="AU168" s="1">
        <v>430708</v>
      </c>
      <c r="AV168" s="116">
        <f t="shared" si="11"/>
        <v>50349850</v>
      </c>
      <c r="AW168" s="1">
        <v>3269</v>
      </c>
      <c r="BC168" s="1">
        <v>500672</v>
      </c>
      <c r="BD168" s="1">
        <v>1728191</v>
      </c>
      <c r="BE168" s="1">
        <v>290743</v>
      </c>
      <c r="BF168" s="121">
        <f t="shared" si="12"/>
        <v>2522875</v>
      </c>
      <c r="BO168" s="1">
        <v>26379</v>
      </c>
      <c r="BY168" s="1">
        <v>124288</v>
      </c>
      <c r="BZ168" s="1">
        <v>12504</v>
      </c>
      <c r="CC168" s="125">
        <f t="shared" si="13"/>
        <v>163171</v>
      </c>
      <c r="CD168" s="1">
        <v>63774</v>
      </c>
      <c r="CK168" s="124">
        <f t="shared" si="14"/>
        <v>63774</v>
      </c>
      <c r="CM168" s="23">
        <v>7806000</v>
      </c>
      <c r="CV168" s="129">
        <v>3458193</v>
      </c>
    </row>
    <row r="169" spans="1:100" ht="12.75" customHeight="1">
      <c r="A169" s="1">
        <v>7</v>
      </c>
      <c r="B169" s="1">
        <v>1880</v>
      </c>
      <c r="C169" s="1" t="s">
        <v>1274</v>
      </c>
      <c r="D169" s="5" t="s">
        <v>1124</v>
      </c>
      <c r="E169" t="s">
        <v>347</v>
      </c>
      <c r="F169" s="26">
        <v>1266</v>
      </c>
      <c r="G169" s="78">
        <v>10093596</v>
      </c>
      <c r="H169" s="78">
        <v>170137</v>
      </c>
      <c r="M169" s="1">
        <v>1139338</v>
      </c>
      <c r="O169" s="117">
        <f t="shared" si="10"/>
        <v>11403071</v>
      </c>
      <c r="Q169" s="78">
        <v>371531</v>
      </c>
      <c r="V169" s="1">
        <v>139736</v>
      </c>
      <c r="W169" s="1">
        <v>763043</v>
      </c>
      <c r="Y169" s="78">
        <v>271911</v>
      </c>
      <c r="AC169" s="1">
        <v>17528</v>
      </c>
      <c r="AD169" s="1">
        <v>101857</v>
      </c>
      <c r="AE169" s="1">
        <v>44242</v>
      </c>
      <c r="AF169" s="1">
        <v>3360</v>
      </c>
      <c r="AG169" s="1">
        <v>1327575</v>
      </c>
      <c r="AH169" s="1">
        <v>656486</v>
      </c>
      <c r="AP169" s="1">
        <v>5309</v>
      </c>
      <c r="AU169" s="1">
        <v>356009</v>
      </c>
      <c r="AV169" s="116">
        <f t="shared" si="11"/>
        <v>4058587</v>
      </c>
      <c r="BC169" s="1">
        <v>72035</v>
      </c>
      <c r="BD169" s="1">
        <v>290165</v>
      </c>
      <c r="BE169" s="1">
        <v>137552</v>
      </c>
      <c r="BF169" s="121">
        <f t="shared" si="12"/>
        <v>499752</v>
      </c>
      <c r="BI169" s="1">
        <v>5098341</v>
      </c>
      <c r="CA169" s="1">
        <v>453396</v>
      </c>
      <c r="CC169" s="125">
        <f t="shared" si="13"/>
        <v>5551737</v>
      </c>
      <c r="CK169" s="124">
        <f t="shared" si="14"/>
        <v>0</v>
      </c>
      <c r="CV169" s="129">
        <v>855761</v>
      </c>
    </row>
    <row r="170" spans="1:100" ht="12.75" customHeight="1">
      <c r="A170" s="1">
        <v>7</v>
      </c>
      <c r="B170" s="1">
        <v>1890</v>
      </c>
      <c r="C170" s="1" t="s">
        <v>1274</v>
      </c>
      <c r="D170" s="5" t="s">
        <v>1125</v>
      </c>
      <c r="E170" t="s">
        <v>348</v>
      </c>
      <c r="F170" s="26">
        <v>2135</v>
      </c>
      <c r="G170" s="78">
        <v>18335228</v>
      </c>
      <c r="H170" s="78">
        <v>243700</v>
      </c>
      <c r="L170" s="1">
        <v>3982</v>
      </c>
      <c r="M170" s="1">
        <v>1027245</v>
      </c>
      <c r="O170" s="117">
        <f t="shared" si="10"/>
        <v>19610155</v>
      </c>
      <c r="P170" s="78">
        <v>5065758</v>
      </c>
      <c r="Q170" s="78">
        <v>820376</v>
      </c>
      <c r="V170" s="1">
        <v>266525</v>
      </c>
      <c r="W170" s="1">
        <v>1511145</v>
      </c>
      <c r="X170" s="1">
        <v>26756</v>
      </c>
      <c r="AC170" s="1">
        <v>113298</v>
      </c>
      <c r="AD170" s="1">
        <v>235863</v>
      </c>
      <c r="AE170" s="1">
        <v>217545</v>
      </c>
      <c r="AF170" s="1">
        <v>7540</v>
      </c>
      <c r="AG170" s="1">
        <v>953023</v>
      </c>
      <c r="AH170" s="1">
        <v>917883</v>
      </c>
      <c r="AP170" s="1">
        <v>99335</v>
      </c>
      <c r="AU170" s="1">
        <v>558629</v>
      </c>
      <c r="AV170" s="116">
        <f t="shared" si="11"/>
        <v>10793676</v>
      </c>
      <c r="BC170" s="1">
        <v>105292</v>
      </c>
      <c r="BD170" s="1">
        <v>534066</v>
      </c>
      <c r="BE170" s="1">
        <v>58639</v>
      </c>
      <c r="BF170" s="121">
        <f t="shared" si="12"/>
        <v>697997</v>
      </c>
      <c r="BI170" s="1">
        <v>54350</v>
      </c>
      <c r="BY170" s="1">
        <v>19485</v>
      </c>
      <c r="CC170" s="125">
        <f t="shared" si="13"/>
        <v>73835</v>
      </c>
      <c r="CK170" s="124">
        <f t="shared" si="14"/>
        <v>0</v>
      </c>
      <c r="CV170" s="129">
        <v>1260608</v>
      </c>
    </row>
    <row r="171" spans="1:100" ht="12.75" customHeight="1">
      <c r="A171" s="1">
        <v>7</v>
      </c>
      <c r="B171" s="1">
        <v>1900</v>
      </c>
      <c r="C171" s="1" t="s">
        <v>1274</v>
      </c>
      <c r="D171" s="5" t="s">
        <v>1126</v>
      </c>
      <c r="E171" t="s">
        <v>349</v>
      </c>
      <c r="F171" s="26">
        <v>2406</v>
      </c>
      <c r="G171" s="78">
        <v>26645049</v>
      </c>
      <c r="H171" s="78">
        <v>381701</v>
      </c>
      <c r="M171" s="1">
        <v>1700213</v>
      </c>
      <c r="O171" s="117">
        <f t="shared" si="10"/>
        <v>28726963</v>
      </c>
      <c r="W171" s="1">
        <v>1354448</v>
      </c>
      <c r="AC171" s="1">
        <v>85518</v>
      </c>
      <c r="AD171" s="1">
        <v>163551</v>
      </c>
      <c r="AE171" s="1">
        <v>45540</v>
      </c>
      <c r="AF171" s="1">
        <v>2809</v>
      </c>
      <c r="AG171" s="1">
        <v>1950490</v>
      </c>
      <c r="AH171" s="1">
        <v>1070394</v>
      </c>
      <c r="AP171" s="1">
        <v>95745</v>
      </c>
      <c r="AU171" s="1">
        <v>256653</v>
      </c>
      <c r="AV171" s="116">
        <f t="shared" si="11"/>
        <v>5025148</v>
      </c>
      <c r="BD171" s="1">
        <v>482130</v>
      </c>
      <c r="BE171" s="1">
        <v>57288</v>
      </c>
      <c r="BF171" s="121">
        <f t="shared" si="12"/>
        <v>539418</v>
      </c>
      <c r="BG171" s="1">
        <v>20946</v>
      </c>
      <c r="BI171" s="1">
        <v>350661</v>
      </c>
      <c r="BY171" s="1">
        <v>117948</v>
      </c>
      <c r="CC171" s="125">
        <f t="shared" si="13"/>
        <v>489555</v>
      </c>
      <c r="CD171" s="1">
        <v>11817</v>
      </c>
      <c r="CK171" s="124">
        <f t="shared" si="14"/>
        <v>11817</v>
      </c>
      <c r="CV171" s="129">
        <v>796071</v>
      </c>
    </row>
    <row r="172" spans="1:100" ht="12.75" customHeight="1">
      <c r="A172" s="1">
        <v>7</v>
      </c>
      <c r="B172" s="1">
        <v>2130</v>
      </c>
      <c r="C172" s="1" t="s">
        <v>1274</v>
      </c>
      <c r="D172" s="5" t="s">
        <v>1127</v>
      </c>
      <c r="E172"/>
      <c r="F172" s="26"/>
      <c r="G172" s="78">
        <v>741785</v>
      </c>
      <c r="H172" s="78">
        <v>12111</v>
      </c>
      <c r="O172" s="117">
        <f t="shared" si="10"/>
        <v>753896</v>
      </c>
      <c r="P172" s="78">
        <v>503226</v>
      </c>
      <c r="Q172" s="78">
        <v>8813</v>
      </c>
      <c r="V172" s="1">
        <v>84323</v>
      </c>
      <c r="W172" s="1">
        <v>107285</v>
      </c>
      <c r="AD172" s="1">
        <v>17336</v>
      </c>
      <c r="AE172" s="1">
        <v>21629</v>
      </c>
      <c r="AF172" s="1">
        <v>1044</v>
      </c>
      <c r="AV172" s="116">
        <f t="shared" si="11"/>
        <v>743656</v>
      </c>
      <c r="BF172" s="121">
        <f t="shared" si="12"/>
        <v>0</v>
      </c>
      <c r="CC172" s="125">
        <f t="shared" si="13"/>
        <v>0</v>
      </c>
      <c r="CK172" s="124">
        <f t="shared" si="14"/>
        <v>0</v>
      </c>
    </row>
    <row r="173" spans="1:100" ht="12.75" customHeight="1">
      <c r="A173" s="1">
        <v>7</v>
      </c>
      <c r="B173" s="1">
        <v>2540</v>
      </c>
      <c r="C173" s="1" t="s">
        <v>1274</v>
      </c>
      <c r="D173" s="5" t="s">
        <v>1128</v>
      </c>
      <c r="E173" t="s">
        <v>350</v>
      </c>
      <c r="F173" s="26">
        <v>181</v>
      </c>
      <c r="G173" s="78">
        <v>2473606</v>
      </c>
      <c r="H173" s="78">
        <v>42499</v>
      </c>
      <c r="L173" s="1">
        <v>808</v>
      </c>
      <c r="O173" s="117">
        <f t="shared" si="10"/>
        <v>2516913</v>
      </c>
      <c r="P173" s="78">
        <v>812780</v>
      </c>
      <c r="Q173" s="78">
        <v>129138</v>
      </c>
      <c r="V173" s="1">
        <v>20349</v>
      </c>
      <c r="W173" s="1">
        <v>215514</v>
      </c>
      <c r="X173" s="1">
        <v>4636</v>
      </c>
      <c r="Y173" s="78">
        <v>141147</v>
      </c>
      <c r="AD173" s="1">
        <v>33465</v>
      </c>
      <c r="AE173" s="1">
        <v>41009</v>
      </c>
      <c r="AG173" s="1">
        <v>153445</v>
      </c>
      <c r="AH173" s="1">
        <v>73665</v>
      </c>
      <c r="AI173" s="1">
        <v>14842</v>
      </c>
      <c r="AO173" s="1">
        <v>9921</v>
      </c>
      <c r="AU173" s="1">
        <v>406</v>
      </c>
      <c r="AV173" s="116">
        <f t="shared" si="11"/>
        <v>1650317</v>
      </c>
      <c r="BC173" s="1">
        <v>51866</v>
      </c>
      <c r="BD173" s="1">
        <v>73919</v>
      </c>
      <c r="BE173" s="1">
        <v>8433</v>
      </c>
      <c r="BF173" s="121">
        <f t="shared" si="12"/>
        <v>134218</v>
      </c>
      <c r="BM173" s="1">
        <v>330</v>
      </c>
      <c r="CA173" s="1">
        <v>11953</v>
      </c>
      <c r="CC173" s="125">
        <f t="shared" si="13"/>
        <v>12283</v>
      </c>
      <c r="CK173" s="124">
        <f t="shared" si="14"/>
        <v>0</v>
      </c>
      <c r="CV173" s="129">
        <v>145353</v>
      </c>
    </row>
    <row r="174" spans="1:100" ht="12.75" customHeight="1">
      <c r="A174" s="1">
        <v>7</v>
      </c>
      <c r="B174" s="1">
        <v>2560</v>
      </c>
      <c r="C174" s="1" t="s">
        <v>1274</v>
      </c>
      <c r="D174" s="5" t="s">
        <v>1129</v>
      </c>
      <c r="E174" t="s">
        <v>351</v>
      </c>
      <c r="F174" s="26">
        <v>304</v>
      </c>
      <c r="G174" s="78">
        <v>3561644</v>
      </c>
      <c r="H174" s="78">
        <v>62091</v>
      </c>
      <c r="M174" s="1">
        <v>16363</v>
      </c>
      <c r="O174" s="117">
        <f t="shared" si="10"/>
        <v>3640098</v>
      </c>
      <c r="P174" s="78">
        <v>1449355</v>
      </c>
      <c r="V174" s="1">
        <v>133933</v>
      </c>
      <c r="W174" s="1">
        <v>511360</v>
      </c>
      <c r="Y174" s="78">
        <v>604951</v>
      </c>
      <c r="AC174" s="1">
        <v>14216</v>
      </c>
      <c r="AD174" s="1">
        <v>46850</v>
      </c>
      <c r="AE174" s="1">
        <v>93541</v>
      </c>
      <c r="AF174" s="1">
        <v>65318</v>
      </c>
      <c r="AG174" s="1">
        <v>266015</v>
      </c>
      <c r="AH174" s="1">
        <v>151929</v>
      </c>
      <c r="AM174" s="1">
        <v>141365</v>
      </c>
      <c r="AP174" s="1">
        <v>37600</v>
      </c>
      <c r="AU174" s="1">
        <v>16927</v>
      </c>
      <c r="AV174" s="116">
        <f t="shared" si="11"/>
        <v>3533360</v>
      </c>
      <c r="BC174" s="1">
        <v>177842</v>
      </c>
      <c r="BD174" s="1">
        <v>106954</v>
      </c>
      <c r="BE174" s="1">
        <v>313123</v>
      </c>
      <c r="BF174" s="121">
        <f t="shared" si="12"/>
        <v>597919</v>
      </c>
      <c r="BO174" s="1">
        <v>1445</v>
      </c>
      <c r="CC174" s="125">
        <f t="shared" si="13"/>
        <v>1445</v>
      </c>
      <c r="CK174" s="124">
        <f t="shared" si="14"/>
        <v>0</v>
      </c>
      <c r="CT174" s="23">
        <v>283101</v>
      </c>
      <c r="CV174" s="129">
        <v>1039312</v>
      </c>
    </row>
    <row r="175" spans="1:100" ht="12.75" customHeight="1">
      <c r="A175" s="1">
        <v>7</v>
      </c>
      <c r="B175" s="1">
        <v>2670</v>
      </c>
      <c r="C175" s="1" t="s">
        <v>1274</v>
      </c>
      <c r="D175" s="5" t="s">
        <v>1130</v>
      </c>
      <c r="E175" t="s">
        <v>352</v>
      </c>
      <c r="F175" s="26">
        <v>2876</v>
      </c>
      <c r="G175" s="78">
        <v>13587700</v>
      </c>
      <c r="H175" s="78">
        <v>188113</v>
      </c>
      <c r="M175" s="1">
        <v>986467</v>
      </c>
      <c r="O175" s="117">
        <f t="shared" si="10"/>
        <v>14762280</v>
      </c>
      <c r="P175" s="78">
        <v>9850927</v>
      </c>
      <c r="Q175" s="78">
        <v>1563357</v>
      </c>
      <c r="V175" s="1">
        <v>1037586</v>
      </c>
      <c r="W175" s="1">
        <v>2255294</v>
      </c>
      <c r="X175" s="1">
        <v>100382</v>
      </c>
      <c r="Y175" s="78">
        <v>16680</v>
      </c>
      <c r="AC175" s="1">
        <v>25439</v>
      </c>
      <c r="AD175" s="1">
        <v>265413</v>
      </c>
      <c r="AE175" s="1">
        <v>508515</v>
      </c>
      <c r="AF175" s="1">
        <v>12460</v>
      </c>
      <c r="AG175" s="1">
        <v>2015550</v>
      </c>
      <c r="AH175" s="1">
        <v>1114149</v>
      </c>
      <c r="AI175" s="1">
        <v>196186</v>
      </c>
      <c r="AM175" s="1">
        <v>730374</v>
      </c>
      <c r="AP175" s="1">
        <v>950587</v>
      </c>
      <c r="AU175" s="1">
        <v>258434</v>
      </c>
      <c r="AV175" s="116">
        <f t="shared" si="11"/>
        <v>20901333</v>
      </c>
      <c r="AW175" s="1">
        <v>22469</v>
      </c>
      <c r="BC175" s="1">
        <v>1085625</v>
      </c>
      <c r="BD175" s="1">
        <v>647088</v>
      </c>
      <c r="BE175" s="1">
        <v>695529</v>
      </c>
      <c r="BF175" s="121">
        <f t="shared" si="12"/>
        <v>2450711</v>
      </c>
      <c r="CC175" s="125">
        <f t="shared" si="13"/>
        <v>0</v>
      </c>
      <c r="CK175" s="124">
        <f t="shared" si="14"/>
        <v>0</v>
      </c>
      <c r="CT175" s="23">
        <v>1130478</v>
      </c>
      <c r="CV175" s="129">
        <v>4547528</v>
      </c>
    </row>
    <row r="176" spans="1:100" ht="12.75" customHeight="1">
      <c r="A176" s="1">
        <v>7</v>
      </c>
      <c r="B176" s="1">
        <v>2890</v>
      </c>
      <c r="C176" s="1" t="s">
        <v>1274</v>
      </c>
      <c r="D176" s="5" t="s">
        <v>1131</v>
      </c>
      <c r="E176" t="s">
        <v>353</v>
      </c>
      <c r="F176" s="26">
        <v>460</v>
      </c>
      <c r="G176" s="78">
        <v>2953866</v>
      </c>
      <c r="H176" s="78">
        <v>2527</v>
      </c>
      <c r="M176" s="1">
        <v>187002</v>
      </c>
      <c r="O176" s="117">
        <f t="shared" si="10"/>
        <v>3143395</v>
      </c>
      <c r="P176" s="78">
        <v>1208443</v>
      </c>
      <c r="Q176" s="78">
        <v>193577</v>
      </c>
      <c r="V176" s="1">
        <v>55984</v>
      </c>
      <c r="W176" s="1">
        <v>624162</v>
      </c>
      <c r="X176" s="1">
        <v>36</v>
      </c>
      <c r="Y176" s="78">
        <v>213056</v>
      </c>
      <c r="AD176" s="1">
        <v>47399</v>
      </c>
      <c r="AE176" s="1">
        <v>77928</v>
      </c>
      <c r="AG176" s="1">
        <v>456820</v>
      </c>
      <c r="AH176" s="1">
        <v>203665</v>
      </c>
      <c r="AM176" s="1">
        <v>91000</v>
      </c>
      <c r="AP176" s="1">
        <v>132719</v>
      </c>
      <c r="AU176" s="1">
        <v>2112</v>
      </c>
      <c r="AV176" s="116">
        <f t="shared" si="11"/>
        <v>3306901</v>
      </c>
      <c r="BC176" s="1">
        <v>128194</v>
      </c>
      <c r="BD176" s="1">
        <v>161787</v>
      </c>
      <c r="BE176" s="1">
        <v>173692</v>
      </c>
      <c r="BF176" s="121">
        <f t="shared" si="12"/>
        <v>463673</v>
      </c>
      <c r="BO176" s="1">
        <v>38479</v>
      </c>
      <c r="CC176" s="125">
        <f t="shared" si="13"/>
        <v>38479</v>
      </c>
      <c r="CK176" s="124">
        <f t="shared" si="14"/>
        <v>0</v>
      </c>
      <c r="CT176" s="23">
        <v>156944</v>
      </c>
      <c r="CV176" s="129">
        <v>713729</v>
      </c>
    </row>
    <row r="177" spans="1:100" ht="12.75" customHeight="1">
      <c r="A177" s="1">
        <v>7</v>
      </c>
      <c r="B177" s="1">
        <v>3110</v>
      </c>
      <c r="C177" s="1" t="s">
        <v>1274</v>
      </c>
      <c r="D177" s="5" t="s">
        <v>1132</v>
      </c>
      <c r="E177" t="s">
        <v>354</v>
      </c>
      <c r="F177" s="26">
        <v>362</v>
      </c>
      <c r="G177" s="78">
        <v>3855209</v>
      </c>
      <c r="H177" s="78">
        <v>41193</v>
      </c>
      <c r="J177" s="1">
        <v>11500</v>
      </c>
      <c r="M177" s="1">
        <v>305092</v>
      </c>
      <c r="O177" s="117">
        <f t="shared" si="10"/>
        <v>4212994</v>
      </c>
      <c r="P177" s="78">
        <v>167707</v>
      </c>
      <c r="Q177" s="78">
        <v>475674</v>
      </c>
      <c r="V177" s="1">
        <v>154491</v>
      </c>
      <c r="W177" s="1">
        <v>422677</v>
      </c>
      <c r="X177" s="1">
        <v>5876</v>
      </c>
      <c r="AD177" s="1">
        <v>47180</v>
      </c>
      <c r="AE177" s="1">
        <v>46229</v>
      </c>
      <c r="AF177" s="1">
        <v>33669</v>
      </c>
      <c r="AG177" s="1">
        <v>295378</v>
      </c>
      <c r="AH177" s="1">
        <v>162788</v>
      </c>
      <c r="AM177" s="1">
        <v>100451</v>
      </c>
      <c r="AP177" s="1">
        <v>21769</v>
      </c>
      <c r="AU177" s="1">
        <v>291588</v>
      </c>
      <c r="AV177" s="116">
        <f t="shared" si="11"/>
        <v>2225477</v>
      </c>
      <c r="BC177" s="1">
        <v>81121</v>
      </c>
      <c r="BD177" s="1">
        <v>116083</v>
      </c>
      <c r="BE177" s="1">
        <v>6719</v>
      </c>
      <c r="BF177" s="121">
        <f t="shared" si="12"/>
        <v>203923</v>
      </c>
      <c r="BI177" s="1">
        <v>25005</v>
      </c>
      <c r="CC177" s="125">
        <f t="shared" si="13"/>
        <v>25005</v>
      </c>
      <c r="CK177" s="124">
        <f t="shared" si="14"/>
        <v>0</v>
      </c>
      <c r="CT177" s="23">
        <v>204379</v>
      </c>
      <c r="CV177" s="129">
        <v>800341</v>
      </c>
    </row>
    <row r="178" spans="1:100" ht="12.75" customHeight="1">
      <c r="A178" s="1">
        <v>7</v>
      </c>
      <c r="B178" s="1">
        <v>3420</v>
      </c>
      <c r="C178" s="1" t="s">
        <v>1274</v>
      </c>
      <c r="D178" s="5" t="s">
        <v>1133</v>
      </c>
      <c r="E178" t="s">
        <v>355</v>
      </c>
      <c r="F178" s="26">
        <v>452</v>
      </c>
      <c r="G178" s="78">
        <v>4160079</v>
      </c>
      <c r="H178" s="78">
        <v>47704</v>
      </c>
      <c r="M178" s="1">
        <v>349218</v>
      </c>
      <c r="O178" s="117">
        <f t="shared" si="10"/>
        <v>4557001</v>
      </c>
      <c r="P178" s="78">
        <v>2469391</v>
      </c>
      <c r="V178" s="1">
        <v>50599</v>
      </c>
      <c r="W178" s="1">
        <v>542932</v>
      </c>
      <c r="X178" s="1">
        <v>10512</v>
      </c>
      <c r="AC178" s="1">
        <v>83816</v>
      </c>
      <c r="AD178" s="1">
        <v>74171</v>
      </c>
      <c r="AE178" s="1">
        <v>94981</v>
      </c>
      <c r="AF178" s="1">
        <v>4969</v>
      </c>
      <c r="AG178" s="1">
        <v>321270</v>
      </c>
      <c r="AH178" s="1">
        <v>207224</v>
      </c>
      <c r="AO178" s="1">
        <v>18432</v>
      </c>
      <c r="AP178" s="1">
        <v>120384</v>
      </c>
      <c r="AV178" s="116">
        <f t="shared" si="11"/>
        <v>3998681</v>
      </c>
      <c r="BC178" s="1">
        <v>53168</v>
      </c>
      <c r="BD178" s="1">
        <v>157793</v>
      </c>
      <c r="BE178" s="1">
        <v>27025</v>
      </c>
      <c r="BF178" s="121">
        <f t="shared" si="12"/>
        <v>237986</v>
      </c>
      <c r="BI178" s="1">
        <v>103128</v>
      </c>
      <c r="BO178" s="1">
        <v>62</v>
      </c>
      <c r="CA178" s="1">
        <v>62227</v>
      </c>
      <c r="CC178" s="125">
        <f t="shared" si="13"/>
        <v>165417</v>
      </c>
      <c r="CK178" s="124">
        <f t="shared" si="14"/>
        <v>0</v>
      </c>
      <c r="CV178" s="129">
        <v>256418</v>
      </c>
    </row>
    <row r="179" spans="1:100" ht="12.75" customHeight="1">
      <c r="A179" s="1">
        <v>7</v>
      </c>
      <c r="B179" s="1">
        <v>3770</v>
      </c>
      <c r="C179" s="1" t="s">
        <v>1274</v>
      </c>
      <c r="D179" s="5" t="s">
        <v>1134</v>
      </c>
      <c r="E179" t="s">
        <v>356</v>
      </c>
      <c r="F179" s="26">
        <v>45</v>
      </c>
      <c r="G179" s="78">
        <v>3851946</v>
      </c>
      <c r="H179" s="78">
        <v>60031</v>
      </c>
      <c r="M179" s="1">
        <v>69304</v>
      </c>
      <c r="O179" s="117">
        <f t="shared" si="10"/>
        <v>3981281</v>
      </c>
      <c r="P179" s="78">
        <v>1395991</v>
      </c>
      <c r="Q179" s="78">
        <v>62147</v>
      </c>
      <c r="V179" s="1">
        <v>64993</v>
      </c>
      <c r="W179" s="1">
        <v>366758</v>
      </c>
      <c r="Y179" s="78">
        <v>136792</v>
      </c>
      <c r="AC179" s="1">
        <v>33387</v>
      </c>
      <c r="AD179" s="1">
        <v>55079</v>
      </c>
      <c r="AE179" s="1">
        <v>63230</v>
      </c>
      <c r="AF179" s="1">
        <v>325</v>
      </c>
      <c r="AG179" s="1">
        <v>439291</v>
      </c>
      <c r="AH179" s="1">
        <v>183838</v>
      </c>
      <c r="AO179" s="1">
        <v>25890</v>
      </c>
      <c r="AP179" s="1">
        <v>34847</v>
      </c>
      <c r="AV179" s="116">
        <f t="shared" si="11"/>
        <v>2862568</v>
      </c>
      <c r="BC179" s="1">
        <v>89635</v>
      </c>
      <c r="BD179" s="1">
        <v>125936</v>
      </c>
      <c r="BE179" s="1">
        <v>29511</v>
      </c>
      <c r="BF179" s="121">
        <f t="shared" si="12"/>
        <v>245082</v>
      </c>
      <c r="BI179" s="1">
        <v>671703</v>
      </c>
      <c r="BO179" s="1">
        <v>52</v>
      </c>
      <c r="CC179" s="125">
        <f t="shared" si="13"/>
        <v>671755</v>
      </c>
      <c r="CK179" s="124">
        <f t="shared" si="14"/>
        <v>0</v>
      </c>
      <c r="CV179" s="129">
        <v>270972</v>
      </c>
    </row>
    <row r="180" spans="1:100" ht="12.75" customHeight="1">
      <c r="A180" s="1">
        <v>7</v>
      </c>
      <c r="B180" s="1">
        <v>4060</v>
      </c>
      <c r="C180" s="1" t="s">
        <v>1274</v>
      </c>
      <c r="D180" s="5" t="s">
        <v>1135</v>
      </c>
      <c r="E180" t="s">
        <v>357</v>
      </c>
      <c r="F180" s="26">
        <v>5746</v>
      </c>
      <c r="G180" s="78">
        <v>33134647</v>
      </c>
      <c r="H180" s="78">
        <v>1141635</v>
      </c>
      <c r="L180" s="1">
        <v>2422</v>
      </c>
      <c r="M180" s="1">
        <v>2169042</v>
      </c>
      <c r="O180" s="117">
        <f t="shared" si="10"/>
        <v>36447746</v>
      </c>
      <c r="P180" s="78">
        <v>20787488</v>
      </c>
      <c r="V180" s="1">
        <v>2589163</v>
      </c>
      <c r="W180" s="1">
        <v>5248588</v>
      </c>
      <c r="X180" s="1">
        <v>171750</v>
      </c>
      <c r="Y180" s="78">
        <v>45621</v>
      </c>
      <c r="AC180" s="1">
        <v>223764</v>
      </c>
      <c r="AD180" s="1">
        <v>653643</v>
      </c>
      <c r="AE180" s="1">
        <v>979630</v>
      </c>
      <c r="AF180" s="1">
        <v>553618</v>
      </c>
      <c r="AG180" s="1">
        <v>5369817</v>
      </c>
      <c r="AH180" s="1">
        <v>2475926</v>
      </c>
      <c r="AM180" s="1">
        <v>1845979</v>
      </c>
      <c r="AP180" s="1">
        <v>1757937</v>
      </c>
      <c r="AU180" s="1">
        <v>745415</v>
      </c>
      <c r="AV180" s="116">
        <f t="shared" si="11"/>
        <v>43448339</v>
      </c>
      <c r="AW180" s="1">
        <v>52103</v>
      </c>
      <c r="BC180" s="1">
        <v>537575</v>
      </c>
      <c r="BD180" s="1">
        <v>1660592</v>
      </c>
      <c r="BE180" s="1">
        <v>370551</v>
      </c>
      <c r="BF180" s="121">
        <f t="shared" si="12"/>
        <v>2620821</v>
      </c>
      <c r="BH180" s="1">
        <v>49716</v>
      </c>
      <c r="CB180" s="1">
        <v>38468</v>
      </c>
      <c r="CC180" s="125">
        <f t="shared" si="13"/>
        <v>88184</v>
      </c>
      <c r="CD180" s="1">
        <v>661103</v>
      </c>
      <c r="CK180" s="124">
        <f t="shared" si="14"/>
        <v>661103</v>
      </c>
      <c r="CT180" s="23">
        <v>2727887</v>
      </c>
      <c r="CV180" s="129">
        <v>7890421</v>
      </c>
    </row>
    <row r="181" spans="1:100" ht="12.75" customHeight="1">
      <c r="A181" s="1">
        <v>7</v>
      </c>
      <c r="B181" s="1">
        <v>4110</v>
      </c>
      <c r="C181" s="1" t="s">
        <v>1274</v>
      </c>
      <c r="D181" s="5" t="s">
        <v>1136</v>
      </c>
      <c r="E181" t="s">
        <v>358</v>
      </c>
      <c r="F181" s="26">
        <v>2215</v>
      </c>
      <c r="G181" s="78">
        <v>9066552</v>
      </c>
      <c r="H181" s="78">
        <v>137421</v>
      </c>
      <c r="M181" s="1">
        <v>627268</v>
      </c>
      <c r="O181" s="117">
        <f t="shared" si="10"/>
        <v>9831241</v>
      </c>
      <c r="P181" s="78">
        <v>8529386</v>
      </c>
      <c r="Q181" s="78">
        <v>1147493</v>
      </c>
      <c r="V181" s="1">
        <v>657159</v>
      </c>
      <c r="W181" s="1">
        <v>1189620</v>
      </c>
      <c r="X181" s="1">
        <v>2586</v>
      </c>
      <c r="Y181" s="78">
        <v>12574</v>
      </c>
      <c r="AC181" s="1">
        <v>55713</v>
      </c>
      <c r="AD181" s="1">
        <v>197167</v>
      </c>
      <c r="AE181" s="1">
        <v>388868</v>
      </c>
      <c r="AF181" s="1">
        <v>151206</v>
      </c>
      <c r="AG181" s="1">
        <v>1683280</v>
      </c>
      <c r="AH181" s="1">
        <v>1054527</v>
      </c>
      <c r="AM181" s="1">
        <v>407727</v>
      </c>
      <c r="AP181" s="1">
        <v>824528</v>
      </c>
      <c r="AV181" s="116">
        <f t="shared" si="11"/>
        <v>16301834</v>
      </c>
      <c r="AW181" s="1">
        <v>4712</v>
      </c>
      <c r="BC181" s="1">
        <v>672168</v>
      </c>
      <c r="BD181" s="1">
        <v>407618</v>
      </c>
      <c r="BE181" s="1">
        <v>157566</v>
      </c>
      <c r="BF181" s="121">
        <f t="shared" si="12"/>
        <v>1242064</v>
      </c>
      <c r="BN181" s="1">
        <v>90078</v>
      </c>
      <c r="BO181" s="1">
        <v>2000</v>
      </c>
      <c r="CC181" s="125">
        <f t="shared" si="13"/>
        <v>92078</v>
      </c>
      <c r="CD181" s="1">
        <v>5183600</v>
      </c>
      <c r="CK181" s="124">
        <f t="shared" si="14"/>
        <v>5183600</v>
      </c>
      <c r="CT181" s="23">
        <v>818556</v>
      </c>
      <c r="CV181" s="129">
        <v>2463635</v>
      </c>
    </row>
    <row r="182" spans="1:100" ht="12.75" customHeight="1">
      <c r="A182" s="1">
        <v>7</v>
      </c>
      <c r="B182" s="1">
        <v>4590</v>
      </c>
      <c r="C182" s="1" t="s">
        <v>1274</v>
      </c>
      <c r="D182" s="5" t="s">
        <v>1137</v>
      </c>
      <c r="E182" t="s">
        <v>359</v>
      </c>
      <c r="F182" s="26">
        <v>783</v>
      </c>
      <c r="G182" s="78">
        <v>5980814</v>
      </c>
      <c r="H182" s="78">
        <v>89772</v>
      </c>
      <c r="M182" s="1">
        <v>183353</v>
      </c>
      <c r="O182" s="117">
        <f t="shared" si="10"/>
        <v>6253939</v>
      </c>
      <c r="P182" s="78">
        <v>2291391</v>
      </c>
      <c r="Q182" s="78">
        <v>294186</v>
      </c>
      <c r="V182" s="1">
        <v>112994</v>
      </c>
      <c r="W182" s="1">
        <v>797747</v>
      </c>
      <c r="AC182" s="1">
        <v>35437</v>
      </c>
      <c r="AD182" s="1">
        <v>86789</v>
      </c>
      <c r="AE182" s="1">
        <v>110050</v>
      </c>
      <c r="AF182" s="1">
        <v>66267</v>
      </c>
      <c r="AG182" s="1">
        <v>824096</v>
      </c>
      <c r="AH182" s="1">
        <v>377002</v>
      </c>
      <c r="AM182" s="1">
        <v>43491</v>
      </c>
      <c r="AO182" s="1">
        <v>41727</v>
      </c>
      <c r="AP182" s="1">
        <v>114984</v>
      </c>
      <c r="AU182" s="1">
        <v>213883</v>
      </c>
      <c r="AV182" s="116">
        <f t="shared" si="11"/>
        <v>5410044</v>
      </c>
      <c r="AW182" s="1">
        <v>7751</v>
      </c>
      <c r="BC182" s="1">
        <v>127274</v>
      </c>
      <c r="BD182" s="1">
        <v>246459</v>
      </c>
      <c r="BE182" s="1">
        <v>55041</v>
      </c>
      <c r="BF182" s="121">
        <f t="shared" si="12"/>
        <v>436525</v>
      </c>
      <c r="CC182" s="125">
        <f t="shared" si="13"/>
        <v>0</v>
      </c>
      <c r="CK182" s="124">
        <f t="shared" si="14"/>
        <v>0</v>
      </c>
      <c r="CV182" s="129">
        <v>727875</v>
      </c>
    </row>
    <row r="183" spans="1:100" ht="12.75" customHeight="1">
      <c r="A183" s="1">
        <v>7</v>
      </c>
      <c r="B183" s="1">
        <v>4790</v>
      </c>
      <c r="C183" s="1" t="s">
        <v>1274</v>
      </c>
      <c r="D183" s="5" t="s">
        <v>1138</v>
      </c>
      <c r="E183" t="s">
        <v>360</v>
      </c>
      <c r="F183" s="26">
        <v>468</v>
      </c>
      <c r="G183" s="78">
        <v>3176056</v>
      </c>
      <c r="H183" s="78">
        <v>36012</v>
      </c>
      <c r="M183" s="1">
        <v>221447</v>
      </c>
      <c r="O183" s="117">
        <f t="shared" si="10"/>
        <v>3433515</v>
      </c>
      <c r="P183" s="78">
        <v>1417064</v>
      </c>
      <c r="V183" s="1">
        <v>36262</v>
      </c>
      <c r="W183" s="1">
        <v>295919</v>
      </c>
      <c r="X183" s="1">
        <v>10494</v>
      </c>
      <c r="AC183" s="1">
        <v>10048</v>
      </c>
      <c r="AD183" s="1">
        <v>52556</v>
      </c>
      <c r="AE183" s="1">
        <v>66699</v>
      </c>
      <c r="AG183" s="1">
        <v>391740</v>
      </c>
      <c r="AH183" s="1">
        <v>202669</v>
      </c>
      <c r="AM183" s="1">
        <v>157510</v>
      </c>
      <c r="AP183" s="1">
        <v>134054</v>
      </c>
      <c r="AU183" s="1">
        <v>201714</v>
      </c>
      <c r="AV183" s="116">
        <f t="shared" si="11"/>
        <v>2976729</v>
      </c>
      <c r="BC183" s="1">
        <v>93666</v>
      </c>
      <c r="BD183" s="1">
        <v>129526</v>
      </c>
      <c r="BE183" s="1">
        <v>7266</v>
      </c>
      <c r="BF183" s="121">
        <f t="shared" si="12"/>
        <v>230458</v>
      </c>
      <c r="CC183" s="125">
        <f t="shared" si="13"/>
        <v>0</v>
      </c>
      <c r="CD183" s="1">
        <v>108563</v>
      </c>
      <c r="CK183" s="124">
        <f t="shared" si="14"/>
        <v>108563</v>
      </c>
      <c r="CT183" s="23">
        <v>256054</v>
      </c>
      <c r="CV183" s="129">
        <v>845736</v>
      </c>
    </row>
    <row r="184" spans="1:100" ht="12.75" customHeight="1">
      <c r="A184" s="1">
        <v>7</v>
      </c>
      <c r="B184" s="1">
        <v>5035</v>
      </c>
      <c r="C184" s="1" t="s">
        <v>1274</v>
      </c>
      <c r="D184" s="5" t="s">
        <v>1139</v>
      </c>
      <c r="E184" t="s">
        <v>361</v>
      </c>
      <c r="F184" s="26">
        <v>973</v>
      </c>
      <c r="G184" s="78">
        <v>7035610</v>
      </c>
      <c r="H184" s="78">
        <v>52279</v>
      </c>
      <c r="M184" s="1">
        <v>408176</v>
      </c>
      <c r="O184" s="117">
        <f t="shared" si="10"/>
        <v>7496065</v>
      </c>
      <c r="P184" s="78">
        <v>3297645</v>
      </c>
      <c r="Q184" s="78">
        <v>366237</v>
      </c>
      <c r="V184" s="1">
        <v>45126</v>
      </c>
      <c r="W184" s="1">
        <v>686884</v>
      </c>
      <c r="Y184" s="78">
        <v>100000</v>
      </c>
      <c r="AC184" s="1">
        <v>30353</v>
      </c>
      <c r="AD184" s="1">
        <v>94579</v>
      </c>
      <c r="AE184" s="1">
        <v>138279</v>
      </c>
      <c r="AG184" s="1">
        <v>963567</v>
      </c>
      <c r="AH184" s="1">
        <v>405792</v>
      </c>
      <c r="AO184" s="1">
        <v>18843</v>
      </c>
      <c r="AP184" s="1">
        <v>386607</v>
      </c>
      <c r="AU184" s="1">
        <v>2129</v>
      </c>
      <c r="AV184" s="116">
        <f t="shared" si="11"/>
        <v>6536041</v>
      </c>
      <c r="BC184" s="1">
        <v>56720</v>
      </c>
      <c r="BD184" s="1">
        <v>196065</v>
      </c>
      <c r="BE184" s="1">
        <v>130769</v>
      </c>
      <c r="BF184" s="121">
        <f t="shared" si="12"/>
        <v>383554</v>
      </c>
      <c r="BO184" s="1">
        <v>16888</v>
      </c>
      <c r="CB184" s="1">
        <v>76683</v>
      </c>
      <c r="CC184" s="125">
        <f t="shared" si="13"/>
        <v>93571</v>
      </c>
      <c r="CD184" s="1">
        <v>2006401</v>
      </c>
      <c r="CK184" s="124">
        <f t="shared" si="14"/>
        <v>2006401</v>
      </c>
      <c r="CV184" s="129">
        <v>404526</v>
      </c>
    </row>
    <row r="185" spans="1:100" ht="12.75" customHeight="1">
      <c r="A185" s="1">
        <v>7</v>
      </c>
      <c r="B185" s="1">
        <v>5080</v>
      </c>
      <c r="C185" s="1" t="s">
        <v>1274</v>
      </c>
      <c r="D185" s="5" t="s">
        <v>1140</v>
      </c>
      <c r="E185" t="s">
        <v>362</v>
      </c>
      <c r="F185" s="26">
        <v>851</v>
      </c>
      <c r="G185" s="78">
        <v>5327650</v>
      </c>
      <c r="H185" s="78">
        <v>59455</v>
      </c>
      <c r="M185" s="1">
        <v>353949</v>
      </c>
      <c r="O185" s="117">
        <f t="shared" si="10"/>
        <v>5741054</v>
      </c>
      <c r="P185" s="78">
        <v>2630076</v>
      </c>
      <c r="Q185" s="78">
        <v>20084</v>
      </c>
      <c r="V185" s="1">
        <v>92565</v>
      </c>
      <c r="W185" s="1">
        <v>665469</v>
      </c>
      <c r="X185" s="1">
        <v>24402</v>
      </c>
      <c r="AC185" s="1">
        <v>20586</v>
      </c>
      <c r="AD185" s="1">
        <v>89790</v>
      </c>
      <c r="AE185" s="1">
        <v>96177</v>
      </c>
      <c r="AF185" s="1">
        <v>684</v>
      </c>
      <c r="AG185" s="1">
        <v>724474</v>
      </c>
      <c r="AH185" s="1">
        <v>358742</v>
      </c>
      <c r="AO185" s="1">
        <v>35007</v>
      </c>
      <c r="AP185" s="1">
        <v>238276</v>
      </c>
      <c r="AU185" s="1">
        <v>392155</v>
      </c>
      <c r="AV185" s="116">
        <f t="shared" si="11"/>
        <v>5388487</v>
      </c>
      <c r="AW185" s="1">
        <v>1500</v>
      </c>
      <c r="BC185" s="1">
        <v>101644</v>
      </c>
      <c r="BD185" s="1">
        <v>199378</v>
      </c>
      <c r="BE185" s="1">
        <v>29410</v>
      </c>
      <c r="BF185" s="121">
        <f t="shared" si="12"/>
        <v>331932</v>
      </c>
      <c r="BG185" s="1">
        <v>64595</v>
      </c>
      <c r="BI185" s="1">
        <v>604854</v>
      </c>
      <c r="BO185" s="1">
        <v>4525</v>
      </c>
      <c r="CC185" s="125">
        <f t="shared" si="13"/>
        <v>673974</v>
      </c>
      <c r="CK185" s="124">
        <f t="shared" si="14"/>
        <v>0</v>
      </c>
      <c r="CV185" s="129">
        <v>757594</v>
      </c>
    </row>
    <row r="186" spans="1:100" ht="12.75" customHeight="1">
      <c r="A186" s="1">
        <v>7</v>
      </c>
      <c r="B186" s="1">
        <v>5400</v>
      </c>
      <c r="C186" s="1" t="s">
        <v>1274</v>
      </c>
      <c r="D186" s="5" t="s">
        <v>1142</v>
      </c>
      <c r="E186" t="s">
        <v>363</v>
      </c>
      <c r="F186" s="26">
        <v>3386</v>
      </c>
      <c r="G186" s="78">
        <v>35490300</v>
      </c>
      <c r="H186" s="78">
        <v>560635</v>
      </c>
      <c r="M186" s="1">
        <v>1328433</v>
      </c>
      <c r="O186" s="117">
        <f t="shared" si="10"/>
        <v>37379368</v>
      </c>
      <c r="P186" s="78">
        <v>895971</v>
      </c>
      <c r="V186" s="1">
        <v>847363</v>
      </c>
      <c r="W186" s="1">
        <v>2291657</v>
      </c>
      <c r="X186" s="1">
        <v>80592</v>
      </c>
      <c r="Y186" s="78">
        <v>1831143</v>
      </c>
      <c r="AC186" s="1">
        <v>139862</v>
      </c>
      <c r="AD186" s="1">
        <v>218522</v>
      </c>
      <c r="AE186" s="1">
        <v>158878</v>
      </c>
      <c r="AF186" s="1">
        <v>26283</v>
      </c>
      <c r="AG186" s="1">
        <v>2100544</v>
      </c>
      <c r="AH186" s="1">
        <v>1597709</v>
      </c>
      <c r="AP186" s="1">
        <v>37501</v>
      </c>
      <c r="AU186" s="1">
        <v>61914</v>
      </c>
      <c r="AV186" s="116">
        <f t="shared" si="11"/>
        <v>10287939</v>
      </c>
      <c r="AW186" s="1">
        <v>269</v>
      </c>
      <c r="BC186" s="1">
        <v>284511</v>
      </c>
      <c r="BD186" s="1">
        <v>756238</v>
      </c>
      <c r="BE186" s="1">
        <v>121167</v>
      </c>
      <c r="BF186" s="121">
        <f t="shared" si="12"/>
        <v>1162185</v>
      </c>
      <c r="BY186" s="1">
        <v>3539</v>
      </c>
      <c r="CC186" s="125">
        <f t="shared" si="13"/>
        <v>3539</v>
      </c>
      <c r="CK186" s="124">
        <f t="shared" si="14"/>
        <v>0</v>
      </c>
      <c r="CV186" s="129">
        <v>1223830</v>
      </c>
    </row>
    <row r="187" spans="1:100" ht="12.75" customHeight="1">
      <c r="A187" s="1">
        <v>7</v>
      </c>
      <c r="B187" s="1">
        <v>5560</v>
      </c>
      <c r="C187" s="1" t="s">
        <v>1274</v>
      </c>
      <c r="D187" s="5" t="s">
        <v>1143</v>
      </c>
      <c r="E187" t="s">
        <v>364</v>
      </c>
      <c r="F187" s="26">
        <v>921</v>
      </c>
      <c r="G187" s="78">
        <v>10257696</v>
      </c>
      <c r="H187" s="78">
        <v>833043</v>
      </c>
      <c r="M187" s="1">
        <v>60240</v>
      </c>
      <c r="O187" s="117">
        <f t="shared" si="10"/>
        <v>11150979</v>
      </c>
      <c r="P187" s="78">
        <v>5155428</v>
      </c>
      <c r="Q187" s="78">
        <v>286304</v>
      </c>
      <c r="V187" s="1">
        <v>1142787</v>
      </c>
      <c r="W187" s="1">
        <v>1432119</v>
      </c>
      <c r="X187" s="1">
        <v>11118</v>
      </c>
      <c r="Y187" s="78">
        <v>1459767</v>
      </c>
      <c r="AC187" s="1">
        <v>45736</v>
      </c>
      <c r="AD187" s="1">
        <v>192559</v>
      </c>
      <c r="AE187" s="1">
        <v>291186</v>
      </c>
      <c r="AF187" s="1">
        <v>4253</v>
      </c>
      <c r="AG187" s="1">
        <v>702204</v>
      </c>
      <c r="AH187" s="1">
        <v>457820</v>
      </c>
      <c r="AO187" s="1">
        <v>26103</v>
      </c>
      <c r="AU187" s="1">
        <v>129189</v>
      </c>
      <c r="AV187" s="116">
        <f t="shared" si="11"/>
        <v>11336573</v>
      </c>
      <c r="BC187" s="1">
        <v>130656</v>
      </c>
      <c r="BD187" s="1">
        <v>325113</v>
      </c>
      <c r="BE187" s="1">
        <v>42371</v>
      </c>
      <c r="BF187" s="121">
        <f t="shared" si="12"/>
        <v>498140</v>
      </c>
      <c r="BI187" s="1">
        <v>80793</v>
      </c>
      <c r="BO187" s="1">
        <v>3059</v>
      </c>
      <c r="CC187" s="125">
        <f t="shared" si="13"/>
        <v>83852</v>
      </c>
      <c r="CK187" s="124">
        <f t="shared" si="14"/>
        <v>0</v>
      </c>
      <c r="CV187" s="129">
        <v>653432</v>
      </c>
    </row>
    <row r="188" spans="1:100" ht="12.75" customHeight="1">
      <c r="A188" s="1">
        <v>7</v>
      </c>
      <c r="B188" s="1">
        <v>5820</v>
      </c>
      <c r="C188" s="1" t="s">
        <v>1274</v>
      </c>
      <c r="D188" s="5" t="s">
        <v>1144</v>
      </c>
      <c r="E188" t="s">
        <v>365</v>
      </c>
      <c r="F188" s="26">
        <v>6278</v>
      </c>
      <c r="G188" s="78">
        <v>35994372</v>
      </c>
      <c r="H188" s="78">
        <v>458070</v>
      </c>
      <c r="L188" s="1">
        <v>14449</v>
      </c>
      <c r="M188" s="1">
        <v>1543889</v>
      </c>
      <c r="O188" s="117">
        <f t="shared" si="10"/>
        <v>38010780</v>
      </c>
      <c r="P188" s="78">
        <v>25520411</v>
      </c>
      <c r="V188" s="1">
        <v>3942621</v>
      </c>
      <c r="W188" s="1">
        <v>5109269</v>
      </c>
      <c r="X188" s="1">
        <v>141194</v>
      </c>
      <c r="Y188" s="78">
        <v>44211</v>
      </c>
      <c r="AC188" s="1">
        <v>123975</v>
      </c>
      <c r="AD188" s="1">
        <v>650749</v>
      </c>
      <c r="AE188" s="1">
        <v>1203474</v>
      </c>
      <c r="AF188" s="1">
        <v>51857</v>
      </c>
      <c r="AG188" s="1">
        <v>4597111</v>
      </c>
      <c r="AH188" s="1">
        <v>2777871</v>
      </c>
      <c r="AM188" s="1">
        <v>1452348</v>
      </c>
      <c r="AP188" s="1">
        <v>1460653</v>
      </c>
      <c r="AU188" s="1">
        <v>374408</v>
      </c>
      <c r="AV188" s="116">
        <f t="shared" si="11"/>
        <v>47450152</v>
      </c>
      <c r="AW188" s="1">
        <v>50</v>
      </c>
      <c r="AX188" s="1">
        <v>7254</v>
      </c>
      <c r="BB188" s="1">
        <v>38435</v>
      </c>
      <c r="BC188" s="1">
        <v>529194</v>
      </c>
      <c r="BD188" s="1">
        <v>1318209</v>
      </c>
      <c r="BE188" s="1">
        <v>738279</v>
      </c>
      <c r="BF188" s="121">
        <f t="shared" si="12"/>
        <v>2631421</v>
      </c>
      <c r="BN188" s="1">
        <v>30000</v>
      </c>
      <c r="CC188" s="125">
        <f t="shared" si="13"/>
        <v>30000</v>
      </c>
      <c r="CD188" s="1">
        <v>1608846</v>
      </c>
      <c r="CK188" s="124">
        <f t="shared" si="14"/>
        <v>1608846</v>
      </c>
      <c r="CT188" s="23">
        <v>3142789</v>
      </c>
      <c r="CV188" s="129">
        <v>7615365</v>
      </c>
    </row>
    <row r="189" spans="1:100" ht="12.75" customHeight="1">
      <c r="A189" s="1">
        <v>7</v>
      </c>
      <c r="B189" s="1">
        <v>5900</v>
      </c>
      <c r="C189" s="1" t="s">
        <v>1274</v>
      </c>
      <c r="D189" s="5" t="s">
        <v>1145</v>
      </c>
      <c r="E189" t="s">
        <v>366</v>
      </c>
      <c r="F189" s="26">
        <v>467</v>
      </c>
      <c r="G189" s="78">
        <v>1685318</v>
      </c>
      <c r="H189" s="78">
        <v>58058</v>
      </c>
      <c r="M189" s="1">
        <v>25824</v>
      </c>
      <c r="O189" s="117">
        <f t="shared" si="10"/>
        <v>1769200</v>
      </c>
      <c r="P189" s="78">
        <v>3101529</v>
      </c>
      <c r="Q189" s="78">
        <v>122626</v>
      </c>
      <c r="V189" s="1">
        <v>116080</v>
      </c>
      <c r="W189" s="1">
        <v>530698</v>
      </c>
      <c r="X189" s="1">
        <v>22228</v>
      </c>
      <c r="Y189" s="78">
        <v>96901</v>
      </c>
      <c r="AC189" s="1">
        <v>13354</v>
      </c>
      <c r="AD189" s="1">
        <v>68356</v>
      </c>
      <c r="AE189" s="1">
        <v>137654</v>
      </c>
      <c r="AF189" s="1">
        <v>85798</v>
      </c>
      <c r="AG189" s="1">
        <v>319421</v>
      </c>
      <c r="AH189" s="1">
        <v>150769</v>
      </c>
      <c r="AM189" s="1">
        <v>190685</v>
      </c>
      <c r="AP189" s="1">
        <v>84676</v>
      </c>
      <c r="AV189" s="116">
        <f t="shared" si="11"/>
        <v>5040775</v>
      </c>
      <c r="AW189" s="1">
        <v>4717</v>
      </c>
      <c r="BC189" s="1">
        <v>350586</v>
      </c>
      <c r="BD189" s="1">
        <v>158240</v>
      </c>
      <c r="BE189" s="1">
        <v>115618</v>
      </c>
      <c r="BF189" s="121">
        <f t="shared" si="12"/>
        <v>629161</v>
      </c>
      <c r="BO189" s="1">
        <v>1023</v>
      </c>
      <c r="CC189" s="125">
        <f t="shared" si="13"/>
        <v>1023</v>
      </c>
      <c r="CK189" s="124">
        <f t="shared" si="14"/>
        <v>0</v>
      </c>
      <c r="CT189" s="23">
        <v>351556</v>
      </c>
      <c r="CV189" s="129">
        <v>1166685</v>
      </c>
    </row>
    <row r="190" spans="1:100" ht="12.75" customHeight="1">
      <c r="A190" s="1">
        <v>9</v>
      </c>
      <c r="B190" s="1">
        <v>170</v>
      </c>
      <c r="C190" s="1" t="s">
        <v>1146</v>
      </c>
      <c r="D190" s="5" t="s">
        <v>1147</v>
      </c>
      <c r="E190" t="s">
        <v>367</v>
      </c>
      <c r="F190" s="26">
        <v>88</v>
      </c>
      <c r="G190" s="78">
        <v>2944489</v>
      </c>
      <c r="H190" s="78">
        <v>34239</v>
      </c>
      <c r="M190" s="1">
        <v>454572</v>
      </c>
      <c r="O190" s="117">
        <f t="shared" si="10"/>
        <v>3433300</v>
      </c>
      <c r="V190" s="1">
        <v>25634</v>
      </c>
      <c r="W190" s="1">
        <v>24942</v>
      </c>
      <c r="X190" s="1">
        <v>4636</v>
      </c>
      <c r="Y190" s="78">
        <v>20578</v>
      </c>
      <c r="AD190" s="1">
        <v>11625</v>
      </c>
      <c r="AE190" s="1">
        <v>1036</v>
      </c>
      <c r="AG190" s="1">
        <v>207548</v>
      </c>
      <c r="AH190" s="1">
        <v>90573</v>
      </c>
      <c r="AI190" s="1">
        <v>352</v>
      </c>
      <c r="AO190" s="1">
        <v>1875</v>
      </c>
      <c r="AU190" s="1">
        <v>4000</v>
      </c>
      <c r="AV190" s="116">
        <f t="shared" si="11"/>
        <v>392799</v>
      </c>
      <c r="BD190" s="1">
        <v>23206</v>
      </c>
      <c r="BE190" s="1">
        <v>18096</v>
      </c>
      <c r="BF190" s="121">
        <f t="shared" si="12"/>
        <v>41302</v>
      </c>
      <c r="BN190" s="1">
        <v>16834</v>
      </c>
      <c r="BZ190" s="1">
        <v>1</v>
      </c>
      <c r="CB190" s="1">
        <v>6315</v>
      </c>
      <c r="CC190" s="125">
        <f t="shared" si="13"/>
        <v>23150</v>
      </c>
      <c r="CD190" s="1">
        <v>28000</v>
      </c>
      <c r="CK190" s="124">
        <f t="shared" si="14"/>
        <v>28000</v>
      </c>
      <c r="CV190" s="129">
        <v>47177</v>
      </c>
    </row>
    <row r="191" spans="1:100" ht="12.75" customHeight="1">
      <c r="A191" s="1">
        <v>9</v>
      </c>
      <c r="B191" s="1">
        <v>710</v>
      </c>
      <c r="C191" s="1" t="s">
        <v>1146</v>
      </c>
      <c r="D191" s="5" t="s">
        <v>1148</v>
      </c>
      <c r="E191" t="s">
        <v>368</v>
      </c>
      <c r="F191" s="26">
        <v>167</v>
      </c>
      <c r="G191" s="78">
        <v>1338359</v>
      </c>
      <c r="H191" s="78">
        <v>53133</v>
      </c>
      <c r="O191" s="117">
        <f t="shared" si="10"/>
        <v>1391492</v>
      </c>
      <c r="V191" s="1">
        <v>4744</v>
      </c>
      <c r="W191" s="1">
        <v>184709</v>
      </c>
      <c r="X191" s="1">
        <v>5822</v>
      </c>
      <c r="Y191" s="78">
        <v>61002</v>
      </c>
      <c r="AD191" s="1">
        <v>19091</v>
      </c>
      <c r="AE191" s="1">
        <v>13663</v>
      </c>
      <c r="AF191" s="1">
        <v>336</v>
      </c>
      <c r="AG191" s="1">
        <v>250127</v>
      </c>
      <c r="AH191" s="1">
        <v>99278</v>
      </c>
      <c r="AM191" s="1">
        <v>74370</v>
      </c>
      <c r="AO191" s="1">
        <v>3993</v>
      </c>
      <c r="AU191" s="1">
        <v>71623</v>
      </c>
      <c r="AV191" s="116">
        <f t="shared" si="11"/>
        <v>788758</v>
      </c>
      <c r="BA191" s="1">
        <v>643673</v>
      </c>
      <c r="BC191" s="1">
        <v>61038</v>
      </c>
      <c r="BD191" s="1">
        <v>64291</v>
      </c>
      <c r="BE191" s="1">
        <v>12424</v>
      </c>
      <c r="BF191" s="121">
        <f t="shared" si="12"/>
        <v>781426</v>
      </c>
      <c r="BO191" s="1">
        <v>2142</v>
      </c>
      <c r="CC191" s="125">
        <f t="shared" si="13"/>
        <v>2142</v>
      </c>
      <c r="CD191" s="1">
        <v>13500</v>
      </c>
      <c r="CK191" s="124">
        <f t="shared" si="14"/>
        <v>13500</v>
      </c>
      <c r="CT191" s="23">
        <v>101706</v>
      </c>
      <c r="CV191" s="129">
        <v>389445</v>
      </c>
    </row>
    <row r="192" spans="1:100" ht="12.75" customHeight="1">
      <c r="A192" s="1">
        <v>9</v>
      </c>
      <c r="B192" s="1">
        <v>715</v>
      </c>
      <c r="C192" s="1" t="s">
        <v>1146</v>
      </c>
      <c r="D192" s="5" t="s">
        <v>1149</v>
      </c>
      <c r="E192" t="s">
        <v>369</v>
      </c>
      <c r="F192" s="26">
        <v>361</v>
      </c>
      <c r="H192" s="78">
        <v>164712</v>
      </c>
      <c r="I192" s="1">
        <v>3499957</v>
      </c>
      <c r="L192" s="1">
        <v>81891</v>
      </c>
      <c r="O192" s="117">
        <f t="shared" si="10"/>
        <v>3746560</v>
      </c>
      <c r="AG192" s="1">
        <v>775449</v>
      </c>
      <c r="AH192" s="1">
        <v>488082</v>
      </c>
      <c r="AU192" s="1">
        <v>16840</v>
      </c>
      <c r="AV192" s="116">
        <f t="shared" si="11"/>
        <v>1280371</v>
      </c>
      <c r="AW192" s="1">
        <v>53975</v>
      </c>
      <c r="BE192" s="1">
        <v>104738</v>
      </c>
      <c r="BF192" s="121">
        <f t="shared" si="12"/>
        <v>158713</v>
      </c>
      <c r="BL192" s="1">
        <v>555107</v>
      </c>
      <c r="CC192" s="125">
        <f t="shared" si="13"/>
        <v>555107</v>
      </c>
      <c r="CF192" s="1">
        <v>8322723</v>
      </c>
      <c r="CK192" s="124">
        <f t="shared" si="14"/>
        <v>8322723</v>
      </c>
      <c r="CV192" s="129">
        <v>203469</v>
      </c>
    </row>
    <row r="193" spans="1:100" ht="12.75" customHeight="1">
      <c r="A193" s="1">
        <v>9</v>
      </c>
      <c r="B193" s="1">
        <v>720</v>
      </c>
      <c r="C193" s="1" t="s">
        <v>1146</v>
      </c>
      <c r="D193" s="5" t="s">
        <v>1150</v>
      </c>
      <c r="E193" t="s">
        <v>370</v>
      </c>
      <c r="F193" s="26">
        <v>574</v>
      </c>
      <c r="H193" s="78">
        <v>179621</v>
      </c>
      <c r="I193" s="1">
        <v>5281804</v>
      </c>
      <c r="L193" s="1">
        <v>832</v>
      </c>
      <c r="O193" s="117">
        <f t="shared" si="10"/>
        <v>5462257</v>
      </c>
      <c r="W193" s="1">
        <v>374790</v>
      </c>
      <c r="Y193" s="78">
        <v>17406</v>
      </c>
      <c r="AA193" s="1">
        <v>982193</v>
      </c>
      <c r="AD193" s="1">
        <v>137264</v>
      </c>
      <c r="AE193" s="1">
        <v>47169</v>
      </c>
      <c r="AG193" s="1">
        <v>469380</v>
      </c>
      <c r="AH193" s="1">
        <v>369773</v>
      </c>
      <c r="AO193" s="1">
        <v>13160</v>
      </c>
      <c r="AU193" s="1">
        <v>63729</v>
      </c>
      <c r="AV193" s="116">
        <f t="shared" si="11"/>
        <v>2474864</v>
      </c>
      <c r="BB193" s="1">
        <v>143798</v>
      </c>
      <c r="BC193" s="1">
        <v>56618</v>
      </c>
      <c r="BD193" s="1">
        <v>100024</v>
      </c>
      <c r="BE193" s="1">
        <v>687170</v>
      </c>
      <c r="BF193" s="121">
        <f t="shared" si="12"/>
        <v>987610</v>
      </c>
      <c r="BL193" s="1">
        <v>9000</v>
      </c>
      <c r="BO193" s="1">
        <v>14788</v>
      </c>
      <c r="BP193" s="1">
        <v>323887</v>
      </c>
      <c r="CC193" s="125">
        <f t="shared" si="13"/>
        <v>347675</v>
      </c>
      <c r="CF193" s="1">
        <v>3660910</v>
      </c>
      <c r="CK193" s="124">
        <f t="shared" si="14"/>
        <v>3660910</v>
      </c>
      <c r="CP193" s="23">
        <v>42030</v>
      </c>
      <c r="CR193" s="23">
        <v>509114</v>
      </c>
      <c r="CV193" s="129">
        <v>1574445</v>
      </c>
    </row>
    <row r="194" spans="1:100" ht="12.75" customHeight="1">
      <c r="A194" s="1">
        <v>9</v>
      </c>
      <c r="B194" s="1">
        <v>730</v>
      </c>
      <c r="C194" s="1" t="s">
        <v>1146</v>
      </c>
      <c r="D194" s="5" t="s">
        <v>1151</v>
      </c>
      <c r="E194"/>
      <c r="F194" s="26"/>
      <c r="G194" s="78">
        <v>73541</v>
      </c>
      <c r="H194" s="78">
        <v>1620</v>
      </c>
      <c r="O194" s="117">
        <f t="shared" si="10"/>
        <v>75161</v>
      </c>
      <c r="V194" s="1">
        <v>6757</v>
      </c>
      <c r="W194" s="1">
        <v>3260</v>
      </c>
      <c r="Y194" s="78">
        <v>12852</v>
      </c>
      <c r="Z194" s="1">
        <v>3630</v>
      </c>
      <c r="AD194" s="1">
        <v>658</v>
      </c>
      <c r="AE194" s="1">
        <v>815</v>
      </c>
      <c r="AF194" s="1">
        <v>160</v>
      </c>
      <c r="AG194" s="1">
        <v>571</v>
      </c>
      <c r="AH194" s="1">
        <v>591</v>
      </c>
      <c r="AV194" s="116">
        <f t="shared" si="11"/>
        <v>29294</v>
      </c>
      <c r="BF194" s="121">
        <f t="shared" si="12"/>
        <v>0</v>
      </c>
      <c r="CC194" s="125">
        <f t="shared" si="13"/>
        <v>0</v>
      </c>
      <c r="CK194" s="124">
        <f t="shared" si="14"/>
        <v>0</v>
      </c>
    </row>
    <row r="195" spans="1:100" ht="12.75" customHeight="1">
      <c r="A195" s="1">
        <v>9</v>
      </c>
      <c r="B195" s="1">
        <v>1080</v>
      </c>
      <c r="C195" s="1" t="s">
        <v>1146</v>
      </c>
      <c r="D195" s="5" t="s">
        <v>1152</v>
      </c>
      <c r="E195" t="s">
        <v>371</v>
      </c>
      <c r="F195" s="26">
        <v>716</v>
      </c>
      <c r="G195" s="78">
        <v>6988971</v>
      </c>
      <c r="H195" s="78">
        <v>124283</v>
      </c>
      <c r="L195" s="1">
        <v>7399</v>
      </c>
      <c r="M195" s="1">
        <v>536274</v>
      </c>
      <c r="O195" s="117">
        <f t="shared" si="10"/>
        <v>7656927</v>
      </c>
      <c r="P195" s="78">
        <v>3892210</v>
      </c>
      <c r="V195" s="1">
        <v>769875</v>
      </c>
      <c r="W195" s="1">
        <v>954614</v>
      </c>
      <c r="Y195" s="78">
        <v>551953</v>
      </c>
      <c r="AD195" s="1">
        <v>123874</v>
      </c>
      <c r="AE195" s="1">
        <v>189554</v>
      </c>
      <c r="AF195" s="1">
        <v>45222</v>
      </c>
      <c r="AG195" s="1">
        <v>600303</v>
      </c>
      <c r="AH195" s="1">
        <v>357536</v>
      </c>
      <c r="AO195" s="1">
        <v>25956</v>
      </c>
      <c r="AP195" s="1">
        <v>88975</v>
      </c>
      <c r="AU195" s="1">
        <v>242673</v>
      </c>
      <c r="AV195" s="116">
        <f t="shared" si="11"/>
        <v>7842745</v>
      </c>
      <c r="BC195" s="1">
        <v>64753</v>
      </c>
      <c r="BD195" s="1">
        <v>278634</v>
      </c>
      <c r="BE195" s="1">
        <v>21943</v>
      </c>
      <c r="BF195" s="121">
        <f t="shared" si="12"/>
        <v>365330</v>
      </c>
      <c r="BI195" s="1">
        <v>4620</v>
      </c>
      <c r="BN195" s="1">
        <v>27041</v>
      </c>
      <c r="BO195" s="1">
        <v>6570</v>
      </c>
      <c r="CC195" s="125">
        <f t="shared" si="13"/>
        <v>38231</v>
      </c>
      <c r="CK195" s="124">
        <f t="shared" si="14"/>
        <v>0</v>
      </c>
      <c r="CV195" s="129">
        <v>641358</v>
      </c>
    </row>
    <row r="196" spans="1:100" ht="12.75" customHeight="1">
      <c r="A196" s="1">
        <v>9</v>
      </c>
      <c r="B196" s="1">
        <v>2820</v>
      </c>
      <c r="C196" s="1" t="s">
        <v>1146</v>
      </c>
      <c r="D196" s="5" t="s">
        <v>1153</v>
      </c>
      <c r="E196" t="s">
        <v>372</v>
      </c>
      <c r="F196" s="26">
        <v>1761.5</v>
      </c>
      <c r="G196" s="78">
        <v>15107882</v>
      </c>
      <c r="H196" s="78">
        <v>256021</v>
      </c>
      <c r="L196" s="1">
        <v>430</v>
      </c>
      <c r="M196" s="1">
        <v>1391106</v>
      </c>
      <c r="O196" s="117">
        <f t="shared" si="10"/>
        <v>16755439</v>
      </c>
      <c r="P196" s="78">
        <v>3107196</v>
      </c>
      <c r="V196" s="1">
        <v>1001184</v>
      </c>
      <c r="W196" s="1">
        <v>1589757</v>
      </c>
      <c r="X196" s="1">
        <v>10512</v>
      </c>
      <c r="Y196" s="78">
        <v>1658203</v>
      </c>
      <c r="AC196" s="1">
        <v>20459</v>
      </c>
      <c r="AD196" s="1">
        <v>206274</v>
      </c>
      <c r="AE196" s="1">
        <v>273147</v>
      </c>
      <c r="AF196" s="1">
        <v>5216</v>
      </c>
      <c r="AG196" s="1">
        <v>1420406</v>
      </c>
      <c r="AH196" s="1">
        <v>826941</v>
      </c>
      <c r="AJ196" s="1">
        <v>15709</v>
      </c>
      <c r="AM196" s="1">
        <v>1531782</v>
      </c>
      <c r="AP196" s="1">
        <v>186051</v>
      </c>
      <c r="AU196" s="1">
        <v>23341</v>
      </c>
      <c r="AV196" s="116">
        <f t="shared" si="11"/>
        <v>11876178</v>
      </c>
      <c r="AW196" s="1">
        <v>2406</v>
      </c>
      <c r="BC196" s="1">
        <v>226387</v>
      </c>
      <c r="BD196" s="1">
        <v>433321</v>
      </c>
      <c r="BE196" s="1">
        <v>254334</v>
      </c>
      <c r="BF196" s="121">
        <f t="shared" si="12"/>
        <v>916448</v>
      </c>
      <c r="BN196" s="1">
        <v>148383</v>
      </c>
      <c r="BO196" s="1">
        <v>438</v>
      </c>
      <c r="BY196" s="1">
        <v>35872</v>
      </c>
      <c r="CC196" s="125">
        <f t="shared" si="13"/>
        <v>184693</v>
      </c>
      <c r="CD196" s="1">
        <v>27592</v>
      </c>
      <c r="CK196" s="124">
        <f t="shared" si="14"/>
        <v>27592</v>
      </c>
      <c r="CM196" s="23">
        <v>595000</v>
      </c>
      <c r="CV196" s="129">
        <v>2485304</v>
      </c>
    </row>
    <row r="197" spans="1:100" ht="12.75" customHeight="1">
      <c r="A197" s="1">
        <v>9</v>
      </c>
      <c r="B197" s="1">
        <v>2840</v>
      </c>
      <c r="C197" s="1" t="s">
        <v>1146</v>
      </c>
      <c r="D197" s="5" t="s">
        <v>1154</v>
      </c>
      <c r="E197" t="s">
        <v>373</v>
      </c>
      <c r="F197" s="26">
        <v>1888</v>
      </c>
      <c r="G197" s="78">
        <v>13606146</v>
      </c>
      <c r="H197" s="78">
        <v>292106</v>
      </c>
      <c r="L197" s="1">
        <v>996</v>
      </c>
      <c r="M197" s="1">
        <v>471558</v>
      </c>
      <c r="O197" s="117">
        <f t="shared" ref="O197:O260" si="15">SUM(G197:N197)</f>
        <v>14370806</v>
      </c>
      <c r="P197" s="78">
        <v>4344503</v>
      </c>
      <c r="R197" s="1">
        <v>357287</v>
      </c>
      <c r="V197" s="1">
        <v>817490</v>
      </c>
      <c r="W197" s="1">
        <v>2098389</v>
      </c>
      <c r="X197" s="1">
        <v>10512</v>
      </c>
      <c r="AD197" s="1">
        <v>199252</v>
      </c>
      <c r="AE197" s="1">
        <v>273642</v>
      </c>
      <c r="AF197" s="1">
        <v>8472</v>
      </c>
      <c r="AG197" s="1">
        <v>1328184</v>
      </c>
      <c r="AH197" s="1">
        <v>817421</v>
      </c>
      <c r="AM197" s="1">
        <v>642861</v>
      </c>
      <c r="AP197" s="1">
        <v>217873</v>
      </c>
      <c r="AU197" s="1">
        <v>43276</v>
      </c>
      <c r="AV197" s="116">
        <f t="shared" ref="AV197:AV260" si="16">SUM(P197:AU197)</f>
        <v>11159162</v>
      </c>
      <c r="AW197" s="1">
        <v>20212</v>
      </c>
      <c r="BC197" s="1">
        <v>415504</v>
      </c>
      <c r="BD197" s="1">
        <v>459763</v>
      </c>
      <c r="BE197" s="1">
        <v>183069</v>
      </c>
      <c r="BF197" s="121">
        <f t="shared" ref="BF197:BF260" si="17">SUM(AW197:BE197)</f>
        <v>1078548</v>
      </c>
      <c r="BZ197" s="1">
        <v>398</v>
      </c>
      <c r="CC197" s="125">
        <f t="shared" ref="CC197:CC260" si="18">SUM(BG197:CB197)</f>
        <v>398</v>
      </c>
      <c r="CD197" s="1">
        <v>87688</v>
      </c>
      <c r="CK197" s="124">
        <f t="shared" ref="CK197:CK260" si="19">SUM(CD197:CJ197)</f>
        <v>87688</v>
      </c>
      <c r="CT197" s="23">
        <v>1008384</v>
      </c>
      <c r="CV197" s="129">
        <v>2753853</v>
      </c>
    </row>
    <row r="198" spans="1:100" ht="12.75" customHeight="1">
      <c r="A198" s="1">
        <v>9</v>
      </c>
      <c r="B198" s="1">
        <v>3130</v>
      </c>
      <c r="C198" s="1" t="s">
        <v>1146</v>
      </c>
      <c r="D198" s="5" t="s">
        <v>1155</v>
      </c>
      <c r="E198" t="s">
        <v>374</v>
      </c>
      <c r="F198" s="26">
        <v>2876</v>
      </c>
      <c r="G198" s="78">
        <v>19431395</v>
      </c>
      <c r="H198" s="78">
        <v>319492</v>
      </c>
      <c r="L198" s="1">
        <v>9480</v>
      </c>
      <c r="M198" s="1">
        <v>1579862</v>
      </c>
      <c r="O198" s="117">
        <f t="shared" si="15"/>
        <v>21340229</v>
      </c>
      <c r="P198" s="78">
        <v>7101953</v>
      </c>
      <c r="V198" s="1">
        <v>1133882</v>
      </c>
      <c r="W198" s="1">
        <v>2568868</v>
      </c>
      <c r="X198" s="1">
        <v>12884</v>
      </c>
      <c r="AC198" s="1">
        <v>94673</v>
      </c>
      <c r="AD198" s="1">
        <v>283846</v>
      </c>
      <c r="AE198" s="1">
        <v>394229</v>
      </c>
      <c r="AG198" s="1">
        <v>2267840</v>
      </c>
      <c r="AH198" s="1">
        <v>1252132</v>
      </c>
      <c r="AI198" s="1">
        <v>11140</v>
      </c>
      <c r="AM198" s="1">
        <v>574636</v>
      </c>
      <c r="AP198" s="1">
        <v>597433</v>
      </c>
      <c r="AU198" s="1">
        <v>43189</v>
      </c>
      <c r="AV198" s="116">
        <f t="shared" si="16"/>
        <v>16336705</v>
      </c>
      <c r="AW198" s="1">
        <v>30944</v>
      </c>
      <c r="BC198" s="1">
        <v>658311</v>
      </c>
      <c r="BD198" s="1">
        <v>602010</v>
      </c>
      <c r="BE198" s="1">
        <v>325529</v>
      </c>
      <c r="BF198" s="121">
        <f t="shared" si="17"/>
        <v>1616794</v>
      </c>
      <c r="BG198" s="1">
        <v>193004</v>
      </c>
      <c r="BN198" s="1">
        <v>52400</v>
      </c>
      <c r="BO198" s="1">
        <v>3455</v>
      </c>
      <c r="BP198" s="1">
        <v>13752</v>
      </c>
      <c r="BY198" s="1">
        <v>31353</v>
      </c>
      <c r="BZ198" s="1">
        <v>803</v>
      </c>
      <c r="CB198" s="1">
        <v>11047</v>
      </c>
      <c r="CC198" s="125">
        <f t="shared" si="18"/>
        <v>305814</v>
      </c>
      <c r="CD198" s="1">
        <v>3134847</v>
      </c>
      <c r="CK198" s="124">
        <f t="shared" si="19"/>
        <v>3134847</v>
      </c>
      <c r="CT198" s="23">
        <v>1448672</v>
      </c>
      <c r="CV198" s="129">
        <v>3926958</v>
      </c>
    </row>
    <row r="199" spans="1:100" ht="12.75" customHeight="1">
      <c r="A199" s="1">
        <v>9</v>
      </c>
      <c r="B199" s="1">
        <v>3680</v>
      </c>
      <c r="C199" s="1" t="s">
        <v>1146</v>
      </c>
      <c r="D199" s="5" t="s">
        <v>1156</v>
      </c>
      <c r="E199" t="s">
        <v>375</v>
      </c>
      <c r="F199" s="26">
        <v>315.5</v>
      </c>
      <c r="G199" s="78">
        <v>5817655</v>
      </c>
      <c r="H199" s="78">
        <v>105613</v>
      </c>
      <c r="L199" s="1">
        <v>4015</v>
      </c>
      <c r="M199" s="1">
        <v>225824</v>
      </c>
      <c r="O199" s="117">
        <f t="shared" si="15"/>
        <v>6153107</v>
      </c>
      <c r="V199" s="1">
        <v>100105</v>
      </c>
      <c r="W199" s="1">
        <v>346920</v>
      </c>
      <c r="X199" s="1">
        <v>8197</v>
      </c>
      <c r="Y199" s="78">
        <v>83057</v>
      </c>
      <c r="AD199" s="1">
        <v>38170</v>
      </c>
      <c r="AE199" s="1">
        <v>18264</v>
      </c>
      <c r="AG199" s="1">
        <v>440680</v>
      </c>
      <c r="AH199" s="1">
        <v>232320</v>
      </c>
      <c r="AI199" s="1">
        <v>1740</v>
      </c>
      <c r="AK199" s="1">
        <v>4206</v>
      </c>
      <c r="AM199" s="1">
        <v>151117</v>
      </c>
      <c r="AU199" s="1">
        <v>86942</v>
      </c>
      <c r="AV199" s="116">
        <f t="shared" si="16"/>
        <v>1511718</v>
      </c>
      <c r="BC199" s="1">
        <v>127656</v>
      </c>
      <c r="BD199" s="1">
        <v>175870</v>
      </c>
      <c r="BE199" s="1">
        <v>49850</v>
      </c>
      <c r="BF199" s="121">
        <f t="shared" si="17"/>
        <v>353376</v>
      </c>
      <c r="BO199" s="1">
        <v>3841</v>
      </c>
      <c r="CC199" s="125">
        <f t="shared" si="18"/>
        <v>3841</v>
      </c>
      <c r="CD199" s="1">
        <v>891849</v>
      </c>
      <c r="CK199" s="124">
        <f t="shared" si="19"/>
        <v>891849</v>
      </c>
      <c r="CT199" s="23">
        <v>309258</v>
      </c>
      <c r="CV199" s="129">
        <v>908914</v>
      </c>
    </row>
    <row r="200" spans="1:100" ht="12.75" customHeight="1">
      <c r="A200" s="1">
        <v>9</v>
      </c>
      <c r="B200" s="1">
        <v>3780</v>
      </c>
      <c r="C200" s="1" t="s">
        <v>1146</v>
      </c>
      <c r="D200" s="5" t="s">
        <v>1157</v>
      </c>
      <c r="E200" t="s">
        <v>376</v>
      </c>
      <c r="F200" s="26">
        <v>2113.5</v>
      </c>
      <c r="G200" s="78">
        <v>18451332</v>
      </c>
      <c r="H200" s="78">
        <v>431847</v>
      </c>
      <c r="L200" s="1">
        <v>14653</v>
      </c>
      <c r="M200" s="1">
        <v>2099140</v>
      </c>
      <c r="O200" s="117">
        <f t="shared" si="15"/>
        <v>20996972</v>
      </c>
      <c r="V200" s="1">
        <v>315236</v>
      </c>
      <c r="W200" s="1">
        <v>990115</v>
      </c>
      <c r="X200" s="1">
        <v>16388</v>
      </c>
      <c r="Y200" s="78">
        <v>395731</v>
      </c>
      <c r="AC200" s="1">
        <v>11917</v>
      </c>
      <c r="AD200" s="1">
        <v>126808</v>
      </c>
      <c r="AE200" s="1">
        <v>42812</v>
      </c>
      <c r="AG200" s="1">
        <v>2843641</v>
      </c>
      <c r="AH200" s="1">
        <v>1415799</v>
      </c>
      <c r="AI200" s="1">
        <v>5561</v>
      </c>
      <c r="AM200" s="1">
        <v>106824</v>
      </c>
      <c r="AO200" s="1">
        <v>78191</v>
      </c>
      <c r="AU200" s="1">
        <v>63739</v>
      </c>
      <c r="AV200" s="116">
        <f t="shared" si="16"/>
        <v>6412762</v>
      </c>
      <c r="BC200" s="1">
        <v>221994</v>
      </c>
      <c r="BD200" s="1">
        <v>329090</v>
      </c>
      <c r="BE200" s="1">
        <v>131356</v>
      </c>
      <c r="BF200" s="121">
        <f t="shared" si="17"/>
        <v>682440</v>
      </c>
      <c r="CA200" s="1">
        <v>44035</v>
      </c>
      <c r="CC200" s="125">
        <f t="shared" si="18"/>
        <v>44035</v>
      </c>
      <c r="CD200" s="1">
        <v>14302265</v>
      </c>
      <c r="CK200" s="124">
        <f t="shared" si="19"/>
        <v>14302265</v>
      </c>
      <c r="CV200" s="129">
        <v>945847</v>
      </c>
    </row>
    <row r="201" spans="1:100" ht="12.75" customHeight="1">
      <c r="A201" s="1">
        <v>9</v>
      </c>
      <c r="B201" s="1">
        <v>4700</v>
      </c>
      <c r="C201" s="1" t="s">
        <v>1146</v>
      </c>
      <c r="D201" s="5" t="s">
        <v>1158</v>
      </c>
      <c r="E201" t="s">
        <v>377</v>
      </c>
      <c r="F201" s="26">
        <v>93</v>
      </c>
      <c r="G201" s="78">
        <v>3257606</v>
      </c>
      <c r="H201" s="78">
        <v>39835</v>
      </c>
      <c r="O201" s="117">
        <f t="shared" si="15"/>
        <v>3297441</v>
      </c>
      <c r="V201" s="1">
        <v>91655</v>
      </c>
      <c r="W201" s="1">
        <v>159046</v>
      </c>
      <c r="Y201" s="78">
        <v>156847</v>
      </c>
      <c r="AD201" s="1">
        <v>21431</v>
      </c>
      <c r="AF201" s="1">
        <v>65483</v>
      </c>
      <c r="AG201" s="1">
        <v>173280</v>
      </c>
      <c r="AH201" s="1">
        <v>77597</v>
      </c>
      <c r="AU201" s="1">
        <v>7518</v>
      </c>
      <c r="AV201" s="116">
        <f t="shared" si="16"/>
        <v>752857</v>
      </c>
      <c r="BC201" s="1">
        <v>24541</v>
      </c>
      <c r="BD201" s="1">
        <v>37515</v>
      </c>
      <c r="BE201" s="1">
        <v>3948</v>
      </c>
      <c r="BF201" s="121">
        <f t="shared" si="17"/>
        <v>66004</v>
      </c>
      <c r="BI201" s="1">
        <v>21200</v>
      </c>
      <c r="BO201" s="1">
        <v>7036</v>
      </c>
      <c r="CC201" s="125">
        <f t="shared" si="18"/>
        <v>28236</v>
      </c>
      <c r="CK201" s="124">
        <f t="shared" si="19"/>
        <v>0</v>
      </c>
      <c r="CV201" s="129">
        <v>73522</v>
      </c>
    </row>
    <row r="202" spans="1:100" ht="12.75" customHeight="1">
      <c r="A202" s="1">
        <v>9</v>
      </c>
      <c r="B202" s="1">
        <v>5060</v>
      </c>
      <c r="C202" s="1" t="s">
        <v>1146</v>
      </c>
      <c r="D202" s="5" t="s">
        <v>1159</v>
      </c>
      <c r="E202" t="s">
        <v>378</v>
      </c>
      <c r="F202" s="26">
        <v>96</v>
      </c>
      <c r="G202" s="78">
        <v>1880724</v>
      </c>
      <c r="H202" s="78">
        <v>29584</v>
      </c>
      <c r="M202" s="1">
        <v>145186</v>
      </c>
      <c r="O202" s="117">
        <f t="shared" si="15"/>
        <v>2055494</v>
      </c>
      <c r="W202" s="1">
        <v>51928</v>
      </c>
      <c r="AD202" s="1">
        <v>9655</v>
      </c>
      <c r="AE202" s="1">
        <v>1847</v>
      </c>
      <c r="AG202" s="1">
        <v>156914</v>
      </c>
      <c r="AH202" s="1">
        <v>69134</v>
      </c>
      <c r="AU202" s="1">
        <v>2926</v>
      </c>
      <c r="AV202" s="116">
        <f t="shared" si="16"/>
        <v>292404</v>
      </c>
      <c r="BD202" s="1">
        <v>15858</v>
      </c>
      <c r="BE202" s="1">
        <v>20764</v>
      </c>
      <c r="BF202" s="121">
        <f t="shared" si="17"/>
        <v>36622</v>
      </c>
      <c r="BI202" s="1">
        <v>150564</v>
      </c>
      <c r="BO202" s="1">
        <v>100</v>
      </c>
      <c r="CC202" s="125">
        <f t="shared" si="18"/>
        <v>150664</v>
      </c>
      <c r="CK202" s="124">
        <f t="shared" si="19"/>
        <v>0</v>
      </c>
      <c r="CV202" s="129">
        <v>39548</v>
      </c>
    </row>
    <row r="203" spans="1:100" ht="12.75" customHeight="1">
      <c r="A203" s="1">
        <v>9</v>
      </c>
      <c r="B203" s="1">
        <v>5340</v>
      </c>
      <c r="C203" s="1" t="s">
        <v>1146</v>
      </c>
      <c r="D203" s="5" t="s">
        <v>1160</v>
      </c>
      <c r="E203" t="s">
        <v>379</v>
      </c>
      <c r="F203" s="26">
        <v>1579.5</v>
      </c>
      <c r="G203" s="78">
        <v>19667131</v>
      </c>
      <c r="H203" s="78">
        <v>378820</v>
      </c>
      <c r="M203" s="1">
        <v>585622</v>
      </c>
      <c r="O203" s="117">
        <f t="shared" si="15"/>
        <v>20631573</v>
      </c>
      <c r="P203" s="78">
        <v>6813489</v>
      </c>
      <c r="V203" s="1">
        <v>1381269</v>
      </c>
      <c r="W203" s="1">
        <v>1485787</v>
      </c>
      <c r="AD203" s="1">
        <v>277372</v>
      </c>
      <c r="AE203" s="1">
        <v>298289</v>
      </c>
      <c r="AG203" s="1">
        <v>1155181</v>
      </c>
      <c r="AH203" s="1">
        <v>713826</v>
      </c>
      <c r="AP203" s="1">
        <v>310100</v>
      </c>
      <c r="AU203" s="1">
        <v>6551</v>
      </c>
      <c r="AV203" s="116">
        <f t="shared" si="16"/>
        <v>12441864</v>
      </c>
      <c r="AZ203" s="1">
        <v>3000</v>
      </c>
      <c r="BC203" s="1">
        <v>63209</v>
      </c>
      <c r="BD203" s="1">
        <v>578379</v>
      </c>
      <c r="BE203" s="1">
        <v>57544</v>
      </c>
      <c r="BF203" s="121">
        <f t="shared" si="17"/>
        <v>702132</v>
      </c>
      <c r="BN203" s="1">
        <v>150637</v>
      </c>
      <c r="CC203" s="125">
        <f t="shared" si="18"/>
        <v>150637</v>
      </c>
      <c r="CD203" s="1">
        <v>748289</v>
      </c>
      <c r="CK203" s="124">
        <f t="shared" si="19"/>
        <v>748289</v>
      </c>
      <c r="CV203" s="129">
        <v>708683</v>
      </c>
    </row>
    <row r="204" spans="1:100" ht="12.75" customHeight="1">
      <c r="A204" s="1">
        <v>9</v>
      </c>
      <c r="B204" s="1">
        <v>5610</v>
      </c>
      <c r="C204" s="1" t="s">
        <v>1146</v>
      </c>
      <c r="D204" s="5" t="s">
        <v>1164</v>
      </c>
      <c r="E204" t="s">
        <v>380</v>
      </c>
      <c r="F204" s="26">
        <v>49</v>
      </c>
      <c r="G204" s="78">
        <v>786505</v>
      </c>
      <c r="H204" s="78">
        <v>6681</v>
      </c>
      <c r="L204" s="1">
        <v>918</v>
      </c>
      <c r="M204" s="1">
        <v>50283</v>
      </c>
      <c r="O204" s="117">
        <f t="shared" si="15"/>
        <v>844387</v>
      </c>
      <c r="V204" s="1">
        <v>5675</v>
      </c>
      <c r="W204" s="1">
        <v>35460</v>
      </c>
      <c r="Y204" s="78">
        <v>128246</v>
      </c>
      <c r="AC204" s="1">
        <v>2462</v>
      </c>
      <c r="AD204" s="1">
        <v>6206</v>
      </c>
      <c r="AE204" s="1">
        <v>974</v>
      </c>
      <c r="AF204" s="1">
        <v>76</v>
      </c>
      <c r="AG204" s="1">
        <v>94343</v>
      </c>
      <c r="AH204" s="1">
        <v>33782</v>
      </c>
      <c r="AP204" s="1">
        <v>33111</v>
      </c>
      <c r="AU204" s="1">
        <v>3115</v>
      </c>
      <c r="AV204" s="116">
        <f t="shared" si="16"/>
        <v>343450</v>
      </c>
      <c r="BD204" s="1">
        <v>12997</v>
      </c>
      <c r="BF204" s="121">
        <f t="shared" si="17"/>
        <v>12997</v>
      </c>
      <c r="BI204" s="1">
        <v>54100</v>
      </c>
      <c r="BO204" s="1">
        <v>99</v>
      </c>
      <c r="CC204" s="125">
        <f t="shared" si="18"/>
        <v>54199</v>
      </c>
      <c r="CK204" s="124">
        <f t="shared" si="19"/>
        <v>0</v>
      </c>
      <c r="CV204" s="129">
        <v>17030</v>
      </c>
    </row>
    <row r="205" spans="1:100" ht="12.75" customHeight="1">
      <c r="A205" s="1">
        <v>9</v>
      </c>
      <c r="B205" s="1">
        <v>5700</v>
      </c>
      <c r="C205" s="1" t="s">
        <v>1146</v>
      </c>
      <c r="D205" s="5" t="s">
        <v>1165</v>
      </c>
      <c r="E205"/>
      <c r="F205" s="26"/>
      <c r="G205" s="78">
        <v>1083804</v>
      </c>
      <c r="H205" s="78">
        <v>291</v>
      </c>
      <c r="O205" s="117">
        <f t="shared" si="15"/>
        <v>1084095</v>
      </c>
      <c r="W205" s="1">
        <v>57346</v>
      </c>
      <c r="X205" s="1">
        <v>4951</v>
      </c>
      <c r="AD205" s="1">
        <v>5945</v>
      </c>
      <c r="AE205" s="1">
        <v>1241</v>
      </c>
      <c r="AV205" s="116">
        <f t="shared" si="16"/>
        <v>69483</v>
      </c>
      <c r="BF205" s="121">
        <f t="shared" si="17"/>
        <v>0</v>
      </c>
      <c r="CC205" s="125">
        <f t="shared" si="18"/>
        <v>0</v>
      </c>
      <c r="CK205" s="124">
        <f t="shared" si="19"/>
        <v>0</v>
      </c>
    </row>
    <row r="206" spans="1:100" ht="12.75" customHeight="1">
      <c r="A206" s="1">
        <v>9</v>
      </c>
      <c r="B206" s="1">
        <v>5790</v>
      </c>
      <c r="C206" s="1" t="s">
        <v>1146</v>
      </c>
      <c r="D206" s="5" t="s">
        <v>1166</v>
      </c>
      <c r="E206" t="s">
        <v>381</v>
      </c>
      <c r="F206" s="26">
        <v>794</v>
      </c>
      <c r="G206" s="78">
        <v>9256098</v>
      </c>
      <c r="H206" s="78">
        <v>138388</v>
      </c>
      <c r="M206" s="1">
        <v>63065</v>
      </c>
      <c r="O206" s="117">
        <f t="shared" si="15"/>
        <v>9457551</v>
      </c>
      <c r="P206" s="78">
        <v>1275561</v>
      </c>
      <c r="V206" s="1">
        <v>121051</v>
      </c>
      <c r="W206" s="1">
        <v>565343</v>
      </c>
      <c r="X206" s="1">
        <v>129270</v>
      </c>
      <c r="Y206" s="78">
        <v>1998803</v>
      </c>
      <c r="AD206" s="1">
        <v>86882</v>
      </c>
      <c r="AE206" s="1">
        <v>108334</v>
      </c>
      <c r="AG206" s="1">
        <v>1108567</v>
      </c>
      <c r="AH206" s="1">
        <v>610816</v>
      </c>
      <c r="AM206" s="1">
        <v>450766</v>
      </c>
      <c r="AP206" s="1">
        <v>21742</v>
      </c>
      <c r="AU206" s="1">
        <v>87373</v>
      </c>
      <c r="AV206" s="116">
        <f t="shared" si="16"/>
        <v>6564508</v>
      </c>
      <c r="BC206" s="1">
        <v>778024</v>
      </c>
      <c r="BD206" s="1">
        <v>241700</v>
      </c>
      <c r="BE206" s="1">
        <v>777601</v>
      </c>
      <c r="BF206" s="121">
        <f t="shared" si="17"/>
        <v>1797325</v>
      </c>
      <c r="CC206" s="125">
        <f t="shared" si="18"/>
        <v>0</v>
      </c>
      <c r="CD206" s="1">
        <v>2012190</v>
      </c>
      <c r="CK206" s="124">
        <f t="shared" si="19"/>
        <v>2012190</v>
      </c>
      <c r="CT206" s="23">
        <v>677348</v>
      </c>
      <c r="CV206" s="129">
        <v>3012812</v>
      </c>
    </row>
    <row r="207" spans="1:100" ht="12.75" customHeight="1">
      <c r="A207" s="1">
        <v>9</v>
      </c>
      <c r="B207" s="1">
        <v>5800</v>
      </c>
      <c r="C207" s="1" t="s">
        <v>1146</v>
      </c>
      <c r="D207" s="5" t="s">
        <v>1167</v>
      </c>
      <c r="E207" t="s">
        <v>382</v>
      </c>
      <c r="F207" s="26">
        <v>274</v>
      </c>
      <c r="G207" s="78">
        <v>5042115</v>
      </c>
      <c r="H207" s="78">
        <v>23179</v>
      </c>
      <c r="L207" s="1">
        <v>3800</v>
      </c>
      <c r="O207" s="117">
        <f t="shared" si="15"/>
        <v>5069094</v>
      </c>
      <c r="V207" s="1">
        <v>33492</v>
      </c>
      <c r="W207" s="1">
        <v>261161</v>
      </c>
      <c r="X207" s="1">
        <v>6990</v>
      </c>
      <c r="Y207" s="78">
        <v>88140</v>
      </c>
      <c r="AC207" s="1">
        <v>6950</v>
      </c>
      <c r="AD207" s="1">
        <v>38019</v>
      </c>
      <c r="AE207" s="1">
        <v>13551</v>
      </c>
      <c r="AG207" s="1">
        <v>359018</v>
      </c>
      <c r="AH207" s="1">
        <v>213305</v>
      </c>
      <c r="AM207" s="1">
        <v>112143</v>
      </c>
      <c r="AV207" s="116">
        <f t="shared" si="16"/>
        <v>1132769</v>
      </c>
      <c r="BC207" s="1">
        <v>78123</v>
      </c>
      <c r="BD207" s="1">
        <v>86878</v>
      </c>
      <c r="BE207" s="1">
        <v>26069</v>
      </c>
      <c r="BF207" s="121">
        <f t="shared" si="17"/>
        <v>191070</v>
      </c>
      <c r="CC207" s="125">
        <f t="shared" si="18"/>
        <v>0</v>
      </c>
      <c r="CK207" s="124">
        <f t="shared" si="19"/>
        <v>0</v>
      </c>
      <c r="CT207" s="23">
        <v>220376</v>
      </c>
      <c r="CV207" s="129">
        <v>527389</v>
      </c>
    </row>
    <row r="208" spans="1:100" ht="12.75" customHeight="1">
      <c r="A208" s="1">
        <v>9</v>
      </c>
      <c r="B208" s="1">
        <v>5840</v>
      </c>
      <c r="C208" s="1" t="s">
        <v>1146</v>
      </c>
      <c r="D208" s="5" t="s">
        <v>1168</v>
      </c>
      <c r="E208" t="s">
        <v>383</v>
      </c>
      <c r="F208" s="26">
        <v>236</v>
      </c>
      <c r="G208" s="78">
        <v>1018600</v>
      </c>
      <c r="H208" s="78">
        <v>11410</v>
      </c>
      <c r="L208" s="1">
        <v>1592</v>
      </c>
      <c r="O208" s="117">
        <f t="shared" si="15"/>
        <v>1031602</v>
      </c>
      <c r="P208" s="78">
        <v>1049362</v>
      </c>
      <c r="Q208" s="78">
        <v>453828</v>
      </c>
      <c r="V208" s="1">
        <v>147737</v>
      </c>
      <c r="W208" s="1">
        <v>295843</v>
      </c>
      <c r="X208" s="1">
        <v>9524</v>
      </c>
      <c r="Y208" s="78">
        <v>474232</v>
      </c>
      <c r="AD208" s="1">
        <v>30541</v>
      </c>
      <c r="AE208" s="1">
        <v>61841</v>
      </c>
      <c r="AG208" s="1">
        <v>227495</v>
      </c>
      <c r="AH208" s="1">
        <v>106360</v>
      </c>
      <c r="AI208" s="1">
        <v>41950</v>
      </c>
      <c r="AM208" s="1">
        <v>103835</v>
      </c>
      <c r="AU208" s="1">
        <v>108805</v>
      </c>
      <c r="AV208" s="116">
        <f t="shared" si="16"/>
        <v>3111353</v>
      </c>
      <c r="BC208" s="1">
        <v>223066</v>
      </c>
      <c r="BD208" s="1">
        <v>97593</v>
      </c>
      <c r="BE208" s="1">
        <v>102125</v>
      </c>
      <c r="BF208" s="121">
        <f t="shared" si="17"/>
        <v>422784</v>
      </c>
      <c r="CB208" s="1">
        <v>1794566</v>
      </c>
      <c r="CC208" s="125">
        <f t="shared" si="18"/>
        <v>1794566</v>
      </c>
      <c r="CK208" s="124">
        <f t="shared" si="19"/>
        <v>0</v>
      </c>
      <c r="CT208" s="23">
        <v>201092</v>
      </c>
      <c r="CV208" s="129">
        <v>838108</v>
      </c>
    </row>
    <row r="209" spans="1:100" ht="12.75" customHeight="1">
      <c r="A209" s="1">
        <v>11</v>
      </c>
      <c r="B209" s="1">
        <v>540</v>
      </c>
      <c r="C209" s="1" t="s">
        <v>1169</v>
      </c>
      <c r="D209" s="5" t="s">
        <v>1170</v>
      </c>
      <c r="E209" t="s">
        <v>384</v>
      </c>
      <c r="F209" s="26">
        <v>4577</v>
      </c>
      <c r="G209" s="78">
        <v>3233408</v>
      </c>
      <c r="H209" s="78">
        <v>557995</v>
      </c>
      <c r="L209" s="1">
        <v>43082</v>
      </c>
      <c r="M209" s="1">
        <v>167193</v>
      </c>
      <c r="O209" s="117">
        <f t="shared" si="15"/>
        <v>4001678</v>
      </c>
      <c r="P209" s="78">
        <v>25374680</v>
      </c>
      <c r="Q209" s="78">
        <v>2310560</v>
      </c>
      <c r="S209" s="25">
        <v>19912989</v>
      </c>
      <c r="T209" s="1">
        <v>1746386</v>
      </c>
      <c r="V209" s="1">
        <v>821069</v>
      </c>
      <c r="W209" s="1">
        <v>2639468</v>
      </c>
      <c r="X209" s="1">
        <v>400732</v>
      </c>
      <c r="AD209" s="1">
        <v>327660</v>
      </c>
      <c r="AG209" s="1">
        <v>4175174</v>
      </c>
      <c r="AH209" s="1">
        <v>2316185</v>
      </c>
      <c r="AI209" s="1">
        <v>5077</v>
      </c>
      <c r="AM209" s="1">
        <v>1794350</v>
      </c>
      <c r="AP209" s="1">
        <v>554423</v>
      </c>
      <c r="AT209" s="1">
        <v>214984</v>
      </c>
      <c r="AU209" s="1">
        <v>342933</v>
      </c>
      <c r="AV209" s="116">
        <f t="shared" si="16"/>
        <v>62936670</v>
      </c>
      <c r="AW209" s="1">
        <v>20129</v>
      </c>
      <c r="BB209" s="1">
        <v>57723</v>
      </c>
      <c r="BC209" s="1">
        <v>2521350</v>
      </c>
      <c r="BD209" s="1">
        <v>1223161</v>
      </c>
      <c r="BE209" s="1">
        <v>838274</v>
      </c>
      <c r="BF209" s="121">
        <f t="shared" si="17"/>
        <v>4660637</v>
      </c>
      <c r="CC209" s="125">
        <f t="shared" si="18"/>
        <v>0</v>
      </c>
      <c r="CD209" s="1">
        <v>662574</v>
      </c>
      <c r="CK209" s="124">
        <f t="shared" si="19"/>
        <v>662574</v>
      </c>
      <c r="CO209" s="23">
        <v>113744</v>
      </c>
      <c r="CR209" s="23">
        <v>27069</v>
      </c>
      <c r="CT209" s="23">
        <v>8103169</v>
      </c>
      <c r="CV209" s="129">
        <v>14951111</v>
      </c>
    </row>
    <row r="210" spans="1:100" ht="12.75" customHeight="1">
      <c r="A210" s="1">
        <v>11</v>
      </c>
      <c r="B210" s="1">
        <v>950</v>
      </c>
      <c r="C210" s="1" t="s">
        <v>1169</v>
      </c>
      <c r="D210" s="5" t="s">
        <v>1171</v>
      </c>
      <c r="E210" t="s">
        <v>385</v>
      </c>
      <c r="F210" s="26">
        <v>717</v>
      </c>
      <c r="G210" s="78">
        <v>1560450</v>
      </c>
      <c r="H210" s="78">
        <v>317861</v>
      </c>
      <c r="L210" s="1">
        <v>3000</v>
      </c>
      <c r="M210" s="1">
        <v>86149</v>
      </c>
      <c r="O210" s="117">
        <f t="shared" si="15"/>
        <v>1967460</v>
      </c>
      <c r="P210" s="78">
        <v>5204401</v>
      </c>
      <c r="Q210" s="78">
        <v>436994</v>
      </c>
      <c r="V210" s="1">
        <v>493995</v>
      </c>
      <c r="W210" s="1">
        <v>708164</v>
      </c>
      <c r="X210" s="1">
        <v>2318</v>
      </c>
      <c r="AC210" s="1">
        <v>8529</v>
      </c>
      <c r="AD210" s="1">
        <v>102369</v>
      </c>
      <c r="AE210" s="1">
        <v>235636</v>
      </c>
      <c r="AF210" s="1">
        <v>80346</v>
      </c>
      <c r="AG210" s="1">
        <v>565642</v>
      </c>
      <c r="AH210" s="1">
        <v>302745</v>
      </c>
      <c r="AM210" s="1">
        <v>320479</v>
      </c>
      <c r="AP210" s="1">
        <v>257262</v>
      </c>
      <c r="AU210" s="1">
        <v>3282</v>
      </c>
      <c r="AV210" s="116">
        <f t="shared" si="16"/>
        <v>8722162</v>
      </c>
      <c r="AW210" s="1">
        <v>414</v>
      </c>
      <c r="AX210" s="1">
        <v>19963</v>
      </c>
      <c r="BC210" s="1">
        <v>472384</v>
      </c>
      <c r="BD210" s="1">
        <v>245999</v>
      </c>
      <c r="BE210" s="1">
        <v>156690</v>
      </c>
      <c r="BF210" s="121">
        <f t="shared" si="17"/>
        <v>895450</v>
      </c>
      <c r="BO210" s="1">
        <v>996</v>
      </c>
      <c r="CA210" s="1">
        <v>1653</v>
      </c>
      <c r="CC210" s="125">
        <f t="shared" si="18"/>
        <v>2649</v>
      </c>
      <c r="CK210" s="124">
        <f t="shared" si="19"/>
        <v>0</v>
      </c>
      <c r="CT210" s="23">
        <v>587890</v>
      </c>
      <c r="CV210" s="129">
        <v>1809687</v>
      </c>
    </row>
    <row r="211" spans="1:100" ht="12.75" customHeight="1">
      <c r="A211" s="1">
        <v>11</v>
      </c>
      <c r="B211" s="1">
        <v>995</v>
      </c>
      <c r="C211" s="1" t="s">
        <v>1169</v>
      </c>
      <c r="D211" s="5" t="s">
        <v>1172</v>
      </c>
      <c r="E211" t="s">
        <v>386</v>
      </c>
      <c r="F211" s="26">
        <v>494.5</v>
      </c>
      <c r="H211" s="78">
        <v>38693</v>
      </c>
      <c r="I211" s="1">
        <v>1782635</v>
      </c>
      <c r="L211" s="1">
        <v>46928</v>
      </c>
      <c r="O211" s="117">
        <f t="shared" si="15"/>
        <v>1868256</v>
      </c>
      <c r="P211" s="78">
        <v>1184023</v>
      </c>
      <c r="W211" s="1">
        <v>594785</v>
      </c>
      <c r="Y211" s="78">
        <v>745794</v>
      </c>
      <c r="AA211" s="1">
        <v>440399</v>
      </c>
      <c r="AD211" s="1">
        <v>30831</v>
      </c>
      <c r="AE211" s="1">
        <v>106366</v>
      </c>
      <c r="AG211" s="1">
        <v>431315</v>
      </c>
      <c r="AH211" s="1">
        <v>232322</v>
      </c>
      <c r="AI211" s="1">
        <v>46585</v>
      </c>
      <c r="AM211" s="1">
        <v>172889</v>
      </c>
      <c r="AU211" s="1">
        <v>63921</v>
      </c>
      <c r="AV211" s="116">
        <f t="shared" si="16"/>
        <v>4049230</v>
      </c>
      <c r="BC211" s="1">
        <v>145706</v>
      </c>
      <c r="BD211" s="1">
        <v>99401</v>
      </c>
      <c r="BE211" s="1">
        <v>318709</v>
      </c>
      <c r="BF211" s="121">
        <f t="shared" si="17"/>
        <v>563816</v>
      </c>
      <c r="BL211" s="1">
        <v>23200</v>
      </c>
      <c r="BO211" s="1">
        <v>123249</v>
      </c>
      <c r="BP211" s="1">
        <v>559532</v>
      </c>
      <c r="CA211" s="1">
        <v>28</v>
      </c>
      <c r="CC211" s="125">
        <f t="shared" si="18"/>
        <v>706009</v>
      </c>
      <c r="CF211" s="1">
        <v>556900</v>
      </c>
      <c r="CK211" s="124">
        <f t="shared" si="19"/>
        <v>556900</v>
      </c>
      <c r="CP211" s="23">
        <v>354000</v>
      </c>
      <c r="CV211" s="129">
        <v>847554</v>
      </c>
    </row>
    <row r="212" spans="1:100" ht="12.75" customHeight="1">
      <c r="A212" s="1">
        <v>11</v>
      </c>
      <c r="B212" s="1">
        <v>997</v>
      </c>
      <c r="C212" s="1" t="s">
        <v>1169</v>
      </c>
      <c r="D212" s="5" t="s">
        <v>1173</v>
      </c>
      <c r="E212" t="s">
        <v>387</v>
      </c>
      <c r="F212" s="26">
        <v>1384.5</v>
      </c>
      <c r="G212" s="78">
        <v>7686422</v>
      </c>
      <c r="H212" s="78">
        <v>116017</v>
      </c>
      <c r="M212" s="1">
        <v>734005</v>
      </c>
      <c r="O212" s="117">
        <f t="shared" si="15"/>
        <v>8536444</v>
      </c>
      <c r="P212" s="78">
        <v>6015130</v>
      </c>
      <c r="R212" s="1">
        <v>1013698</v>
      </c>
      <c r="V212" s="1">
        <v>532556</v>
      </c>
      <c r="W212" s="1">
        <v>772399</v>
      </c>
      <c r="X212" s="1">
        <v>5876</v>
      </c>
      <c r="Y212" s="78">
        <v>293475</v>
      </c>
      <c r="AC212" s="1">
        <v>37767</v>
      </c>
      <c r="AD212" s="1">
        <v>139674</v>
      </c>
      <c r="AE212" s="1">
        <v>258197</v>
      </c>
      <c r="AF212" s="1">
        <v>274276</v>
      </c>
      <c r="AG212" s="1">
        <v>973754</v>
      </c>
      <c r="AH212" s="1">
        <v>557040</v>
      </c>
      <c r="AL212" s="1">
        <v>15053</v>
      </c>
      <c r="AO212" s="1">
        <v>51348</v>
      </c>
      <c r="AP212" s="1">
        <v>277406</v>
      </c>
      <c r="AT212" s="1">
        <v>6740312</v>
      </c>
      <c r="AU212" s="1">
        <v>3415</v>
      </c>
      <c r="AV212" s="116">
        <f t="shared" si="16"/>
        <v>17961376</v>
      </c>
      <c r="AW212" s="1">
        <v>1182</v>
      </c>
      <c r="AZ212" s="1">
        <v>18311</v>
      </c>
      <c r="BB212" s="1">
        <v>28888</v>
      </c>
      <c r="BC212" s="1">
        <v>123702</v>
      </c>
      <c r="BD212" s="1">
        <v>271175</v>
      </c>
      <c r="BE212" s="1">
        <v>48177</v>
      </c>
      <c r="BF212" s="121">
        <f t="shared" si="17"/>
        <v>491435</v>
      </c>
      <c r="BN212" s="1">
        <v>146620</v>
      </c>
      <c r="BX212" s="1">
        <v>1781</v>
      </c>
      <c r="CA212" s="1">
        <v>1781</v>
      </c>
      <c r="CC212" s="125">
        <f t="shared" si="18"/>
        <v>150182</v>
      </c>
      <c r="CD212" s="1">
        <v>58533</v>
      </c>
      <c r="CK212" s="124">
        <f t="shared" si="19"/>
        <v>58533</v>
      </c>
      <c r="CV212" s="129">
        <v>560069</v>
      </c>
    </row>
    <row r="213" spans="1:100" ht="12.75" customHeight="1">
      <c r="A213" s="1">
        <v>11</v>
      </c>
      <c r="B213" s="1">
        <v>1020</v>
      </c>
      <c r="C213" s="1" t="s">
        <v>1169</v>
      </c>
      <c r="D213" s="5" t="s">
        <v>1174</v>
      </c>
      <c r="E213" t="s">
        <v>388</v>
      </c>
      <c r="F213" s="26">
        <v>373</v>
      </c>
      <c r="G213" s="78">
        <v>1933690</v>
      </c>
      <c r="H213" s="78">
        <v>46978</v>
      </c>
      <c r="M213" s="1">
        <v>262080</v>
      </c>
      <c r="O213" s="117">
        <f t="shared" si="15"/>
        <v>2242748</v>
      </c>
      <c r="P213" s="78">
        <v>1335391</v>
      </c>
      <c r="V213" s="1">
        <v>75166</v>
      </c>
      <c r="W213" s="1">
        <v>167807</v>
      </c>
      <c r="Y213" s="78">
        <v>56084</v>
      </c>
      <c r="AD213" s="1">
        <v>35878</v>
      </c>
      <c r="AE213" s="1">
        <v>58748</v>
      </c>
      <c r="AF213" s="1">
        <v>32642</v>
      </c>
      <c r="AG213" s="1">
        <v>317960</v>
      </c>
      <c r="AH213" s="1">
        <v>154616</v>
      </c>
      <c r="AJ213" s="1">
        <v>10206</v>
      </c>
      <c r="AM213" s="1">
        <v>106055</v>
      </c>
      <c r="AP213" s="1">
        <v>158718</v>
      </c>
      <c r="AU213" s="1">
        <v>505</v>
      </c>
      <c r="AV213" s="116">
        <f t="shared" si="16"/>
        <v>2509776</v>
      </c>
      <c r="BC213" s="1">
        <v>105100</v>
      </c>
      <c r="BD213" s="1">
        <v>79476</v>
      </c>
      <c r="BE213" s="1">
        <v>33249</v>
      </c>
      <c r="BF213" s="121">
        <f t="shared" si="17"/>
        <v>217825</v>
      </c>
      <c r="BO213" s="1">
        <v>1</v>
      </c>
      <c r="BX213" s="1">
        <v>3908</v>
      </c>
      <c r="CA213" s="1">
        <v>3908</v>
      </c>
      <c r="CC213" s="125">
        <f t="shared" si="18"/>
        <v>7817</v>
      </c>
      <c r="CK213" s="124">
        <f t="shared" si="19"/>
        <v>0</v>
      </c>
      <c r="CQ213" s="23">
        <v>19743</v>
      </c>
      <c r="CT213" s="23">
        <v>150918</v>
      </c>
      <c r="CV213" s="129">
        <v>505252</v>
      </c>
    </row>
    <row r="214" spans="1:100" ht="12.75" customHeight="1">
      <c r="A214" s="1">
        <v>11</v>
      </c>
      <c r="B214" s="1">
        <v>1120</v>
      </c>
      <c r="C214" s="1" t="s">
        <v>1169</v>
      </c>
      <c r="D214" s="5" t="s">
        <v>1175</v>
      </c>
      <c r="E214" t="s">
        <v>389</v>
      </c>
      <c r="F214" s="26">
        <v>194</v>
      </c>
      <c r="G214" s="78">
        <v>1227280</v>
      </c>
      <c r="H214" s="78">
        <v>74180</v>
      </c>
      <c r="M214" s="1">
        <v>42519</v>
      </c>
      <c r="O214" s="117">
        <f t="shared" si="15"/>
        <v>1343979</v>
      </c>
      <c r="P214" s="78">
        <v>927841</v>
      </c>
      <c r="V214" s="1">
        <v>152684</v>
      </c>
      <c r="W214" s="1">
        <v>69731</v>
      </c>
      <c r="Y214" s="78">
        <v>226812</v>
      </c>
      <c r="AC214" s="1">
        <v>7444</v>
      </c>
      <c r="AD214" s="1">
        <v>25894</v>
      </c>
      <c r="AE214" s="1">
        <v>51183</v>
      </c>
      <c r="AF214" s="1">
        <v>23937</v>
      </c>
      <c r="AG214" s="1">
        <v>252889</v>
      </c>
      <c r="AH214" s="1">
        <v>121068</v>
      </c>
      <c r="AJ214" s="1">
        <v>17615</v>
      </c>
      <c r="AM214" s="1">
        <v>84178</v>
      </c>
      <c r="AP214" s="1">
        <v>41361</v>
      </c>
      <c r="AU214" s="1">
        <v>50450</v>
      </c>
      <c r="AV214" s="116">
        <f t="shared" si="16"/>
        <v>2053087</v>
      </c>
      <c r="AW214" s="1">
        <v>3785</v>
      </c>
      <c r="BC214" s="1">
        <v>108152</v>
      </c>
      <c r="BD214" s="1">
        <v>69559</v>
      </c>
      <c r="BE214" s="1">
        <v>33558</v>
      </c>
      <c r="BF214" s="121">
        <f t="shared" si="17"/>
        <v>215054</v>
      </c>
      <c r="BG214" s="1">
        <v>45937</v>
      </c>
      <c r="BN214" s="1">
        <v>114524</v>
      </c>
      <c r="BO214" s="1">
        <v>22602</v>
      </c>
      <c r="CC214" s="125">
        <f t="shared" si="18"/>
        <v>183063</v>
      </c>
      <c r="CD214" s="1">
        <v>354182</v>
      </c>
      <c r="CK214" s="124">
        <f t="shared" si="19"/>
        <v>354182</v>
      </c>
      <c r="CQ214" s="23">
        <v>2231</v>
      </c>
      <c r="CT214" s="23">
        <v>197502</v>
      </c>
      <c r="CV214" s="129">
        <v>563245</v>
      </c>
    </row>
    <row r="215" spans="1:100" ht="12.75" customHeight="1">
      <c r="A215" s="1">
        <v>11</v>
      </c>
      <c r="B215" s="1">
        <v>1460</v>
      </c>
      <c r="C215" s="1" t="s">
        <v>1169</v>
      </c>
      <c r="D215" s="5" t="s">
        <v>1176</v>
      </c>
      <c r="E215" t="s">
        <v>390</v>
      </c>
      <c r="F215" s="26">
        <v>566</v>
      </c>
      <c r="G215" s="78">
        <v>584786</v>
      </c>
      <c r="H215" s="78">
        <v>19794</v>
      </c>
      <c r="M215" s="1">
        <v>349210</v>
      </c>
      <c r="O215" s="117">
        <f t="shared" si="15"/>
        <v>953790</v>
      </c>
      <c r="P215" s="78">
        <v>2557544</v>
      </c>
      <c r="Q215" s="78">
        <v>334465</v>
      </c>
      <c r="V215" s="1">
        <v>196423</v>
      </c>
      <c r="W215" s="1">
        <v>298817</v>
      </c>
      <c r="X215" s="1">
        <v>15094</v>
      </c>
      <c r="Y215" s="78">
        <v>934846</v>
      </c>
      <c r="AC215" s="1">
        <v>13742</v>
      </c>
      <c r="AD215" s="1">
        <v>60236</v>
      </c>
      <c r="AE215" s="1">
        <v>153111</v>
      </c>
      <c r="AF215" s="1">
        <v>50416</v>
      </c>
      <c r="AG215" s="1">
        <v>565874</v>
      </c>
      <c r="AH215" s="1">
        <v>243540</v>
      </c>
      <c r="AM215" s="1">
        <v>251810</v>
      </c>
      <c r="AU215" s="1">
        <v>3891</v>
      </c>
      <c r="AV215" s="116">
        <f t="shared" si="16"/>
        <v>5679809</v>
      </c>
      <c r="AW215" s="1">
        <v>4147</v>
      </c>
      <c r="BC215" s="1">
        <v>388134</v>
      </c>
      <c r="BD215" s="1">
        <v>173264</v>
      </c>
      <c r="BE215" s="1">
        <v>77388</v>
      </c>
      <c r="BF215" s="121">
        <f t="shared" si="17"/>
        <v>642933</v>
      </c>
      <c r="BO215" s="1">
        <v>487</v>
      </c>
      <c r="CC215" s="125">
        <f t="shared" si="18"/>
        <v>487</v>
      </c>
      <c r="CD215" s="1">
        <v>13147</v>
      </c>
      <c r="CK215" s="124">
        <f t="shared" si="19"/>
        <v>13147</v>
      </c>
      <c r="CT215" s="23">
        <v>450579</v>
      </c>
      <c r="CV215" s="129">
        <v>1345066</v>
      </c>
    </row>
    <row r="216" spans="1:100" ht="12.75" customHeight="1">
      <c r="A216" s="1">
        <v>11</v>
      </c>
      <c r="B216" s="1">
        <v>1820</v>
      </c>
      <c r="C216" s="1" t="s">
        <v>1169</v>
      </c>
      <c r="D216" s="5" t="s">
        <v>1177</v>
      </c>
      <c r="E216" t="s">
        <v>391</v>
      </c>
      <c r="F216" s="26">
        <v>78</v>
      </c>
      <c r="G216" s="78">
        <v>745271</v>
      </c>
      <c r="H216" s="78">
        <v>2193</v>
      </c>
      <c r="O216" s="117">
        <f t="shared" si="15"/>
        <v>747464</v>
      </c>
      <c r="P216" s="78">
        <v>234687</v>
      </c>
      <c r="V216" s="1">
        <v>33124</v>
      </c>
      <c r="W216" s="1">
        <v>69845</v>
      </c>
      <c r="X216" s="1">
        <v>4636</v>
      </c>
      <c r="AD216" s="1">
        <v>8007</v>
      </c>
      <c r="AE216" s="1">
        <v>8175</v>
      </c>
      <c r="AG216" s="1">
        <v>111525</v>
      </c>
      <c r="AH216" s="1">
        <v>45837</v>
      </c>
      <c r="AI216" s="1">
        <v>6070</v>
      </c>
      <c r="AM216" s="1">
        <v>31672</v>
      </c>
      <c r="AV216" s="116">
        <f t="shared" si="16"/>
        <v>553578</v>
      </c>
      <c r="BC216" s="1">
        <v>27949</v>
      </c>
      <c r="BD216" s="1">
        <v>18405</v>
      </c>
      <c r="BE216" s="1">
        <v>15206</v>
      </c>
      <c r="BF216" s="121">
        <f t="shared" si="17"/>
        <v>61560</v>
      </c>
      <c r="BI216" s="1">
        <v>35862</v>
      </c>
      <c r="BO216" s="1">
        <v>9832</v>
      </c>
      <c r="CC216" s="125">
        <f t="shared" si="18"/>
        <v>45694</v>
      </c>
      <c r="CK216" s="124">
        <f t="shared" si="19"/>
        <v>0</v>
      </c>
      <c r="CT216" s="23">
        <v>48249</v>
      </c>
      <c r="CV216" s="129">
        <v>141481</v>
      </c>
    </row>
    <row r="217" spans="1:100" ht="12.75" customHeight="1">
      <c r="A217" s="1">
        <v>11</v>
      </c>
      <c r="B217" s="1">
        <v>2270</v>
      </c>
      <c r="C217" s="1" t="s">
        <v>1169</v>
      </c>
      <c r="D217" s="5" t="s">
        <v>1178</v>
      </c>
      <c r="E217" t="s">
        <v>392</v>
      </c>
      <c r="F217" s="26">
        <v>540</v>
      </c>
      <c r="G217" s="78">
        <v>2657265</v>
      </c>
      <c r="H217" s="78">
        <v>60873</v>
      </c>
      <c r="M217" s="1">
        <v>453712</v>
      </c>
      <c r="O217" s="117">
        <f t="shared" si="15"/>
        <v>3171850</v>
      </c>
      <c r="P217" s="78">
        <v>2123774</v>
      </c>
      <c r="V217" s="1">
        <v>142047</v>
      </c>
      <c r="W217" s="1">
        <v>151919</v>
      </c>
      <c r="X217" s="1">
        <v>12794</v>
      </c>
      <c r="AD217" s="1">
        <v>59376</v>
      </c>
      <c r="AE217" s="1">
        <v>64463</v>
      </c>
      <c r="AG217" s="1">
        <v>508318</v>
      </c>
      <c r="AH217" s="1">
        <v>221405</v>
      </c>
      <c r="AO217" s="1">
        <v>24033</v>
      </c>
      <c r="AP217" s="1">
        <v>371084</v>
      </c>
      <c r="AU217" s="1">
        <v>2314</v>
      </c>
      <c r="AV217" s="116">
        <f t="shared" si="16"/>
        <v>3681527</v>
      </c>
      <c r="BC217" s="1">
        <v>110704</v>
      </c>
      <c r="BD217" s="1">
        <v>106834</v>
      </c>
      <c r="BE217" s="1">
        <v>58670</v>
      </c>
      <c r="BF217" s="121">
        <f t="shared" si="17"/>
        <v>276208</v>
      </c>
      <c r="BO217" s="1">
        <v>100</v>
      </c>
      <c r="CC217" s="125">
        <f t="shared" si="18"/>
        <v>100</v>
      </c>
      <c r="CD217" s="1">
        <v>270254</v>
      </c>
      <c r="CK217" s="124">
        <f t="shared" si="19"/>
        <v>270254</v>
      </c>
      <c r="CV217" s="129">
        <v>302555</v>
      </c>
    </row>
    <row r="218" spans="1:100" ht="12.75" customHeight="1">
      <c r="A218" s="1">
        <v>11</v>
      </c>
      <c r="B218" s="1">
        <v>2570</v>
      </c>
      <c r="C218" s="1" t="s">
        <v>1169</v>
      </c>
      <c r="D218" s="5" t="s">
        <v>1179</v>
      </c>
      <c r="E218" t="s">
        <v>393</v>
      </c>
      <c r="F218" s="26">
        <v>474</v>
      </c>
      <c r="G218" s="78">
        <v>1769532</v>
      </c>
      <c r="H218" s="78">
        <v>135401</v>
      </c>
      <c r="M218" s="1">
        <v>76792</v>
      </c>
      <c r="O218" s="117">
        <f t="shared" si="15"/>
        <v>1981725</v>
      </c>
      <c r="P218" s="78">
        <v>2661595</v>
      </c>
      <c r="Q218" s="78">
        <v>30886</v>
      </c>
      <c r="V218" s="1">
        <v>326419</v>
      </c>
      <c r="W218" s="1">
        <v>470655</v>
      </c>
      <c r="X218" s="1">
        <v>12812</v>
      </c>
      <c r="Y218" s="78">
        <v>270357</v>
      </c>
      <c r="AD218" s="1">
        <v>58810</v>
      </c>
      <c r="AE218" s="1">
        <v>128396</v>
      </c>
      <c r="AF218" s="1">
        <v>52447</v>
      </c>
      <c r="AG218" s="1">
        <v>310829</v>
      </c>
      <c r="AH218" s="1">
        <v>180579</v>
      </c>
      <c r="AJ218" s="1">
        <v>94809</v>
      </c>
      <c r="AM218" s="1">
        <v>67608</v>
      </c>
      <c r="AP218" s="1">
        <v>148008</v>
      </c>
      <c r="AV218" s="116">
        <f t="shared" si="16"/>
        <v>4814210</v>
      </c>
      <c r="BC218" s="1">
        <v>369068</v>
      </c>
      <c r="BD218" s="1">
        <v>169948</v>
      </c>
      <c r="BE218" s="1">
        <v>406934</v>
      </c>
      <c r="BF218" s="121">
        <f t="shared" si="17"/>
        <v>945950</v>
      </c>
      <c r="BI218" s="1">
        <v>16773</v>
      </c>
      <c r="BO218" s="1">
        <v>119</v>
      </c>
      <c r="CC218" s="125">
        <f t="shared" si="18"/>
        <v>16892</v>
      </c>
      <c r="CK218" s="124">
        <f t="shared" si="19"/>
        <v>0</v>
      </c>
      <c r="CQ218" s="23">
        <v>119099</v>
      </c>
      <c r="CT218" s="23">
        <v>195743</v>
      </c>
      <c r="CV218" s="129">
        <v>1423209</v>
      </c>
    </row>
    <row r="219" spans="1:100" ht="12.75" customHeight="1">
      <c r="A219" s="1">
        <v>11</v>
      </c>
      <c r="B219" s="1">
        <v>3050</v>
      </c>
      <c r="C219" s="1" t="s">
        <v>1169</v>
      </c>
      <c r="D219" s="5" t="s">
        <v>1180</v>
      </c>
      <c r="E219" t="s">
        <v>286</v>
      </c>
      <c r="F219" s="26">
        <v>390</v>
      </c>
      <c r="G219" s="78">
        <v>2389168</v>
      </c>
      <c r="H219" s="78">
        <v>96118</v>
      </c>
      <c r="M219" s="1">
        <v>102808</v>
      </c>
      <c r="O219" s="117">
        <f t="shared" si="15"/>
        <v>2588094</v>
      </c>
      <c r="P219" s="78">
        <v>2832789</v>
      </c>
      <c r="V219" s="1">
        <v>346620</v>
      </c>
      <c r="W219" s="1">
        <v>341512</v>
      </c>
      <c r="Y219" s="78">
        <v>53694</v>
      </c>
      <c r="AC219" s="1">
        <v>15495</v>
      </c>
      <c r="AD219" s="1">
        <v>61788</v>
      </c>
      <c r="AE219" s="1">
        <v>99940</v>
      </c>
      <c r="AF219" s="1">
        <v>51154</v>
      </c>
      <c r="AG219" s="1">
        <v>442912</v>
      </c>
      <c r="AH219" s="1">
        <v>189633</v>
      </c>
      <c r="AM219" s="1">
        <v>139665</v>
      </c>
      <c r="AP219" s="1">
        <v>156927</v>
      </c>
      <c r="AV219" s="116">
        <f t="shared" si="16"/>
        <v>4732129</v>
      </c>
      <c r="BC219" s="1">
        <v>96230</v>
      </c>
      <c r="BD219" s="1">
        <v>134737</v>
      </c>
      <c r="BE219" s="1">
        <v>52874</v>
      </c>
      <c r="BF219" s="121">
        <f t="shared" si="17"/>
        <v>283841</v>
      </c>
      <c r="BN219" s="1">
        <v>129466</v>
      </c>
      <c r="CC219" s="125">
        <f t="shared" si="18"/>
        <v>129466</v>
      </c>
      <c r="CD219" s="1">
        <v>34287</v>
      </c>
      <c r="CK219" s="124">
        <f t="shared" si="19"/>
        <v>34287</v>
      </c>
      <c r="CT219" s="23">
        <v>219154</v>
      </c>
      <c r="CV219" s="129">
        <v>642660</v>
      </c>
    </row>
    <row r="220" spans="1:100" ht="12.75" customHeight="1">
      <c r="A220" s="1">
        <v>11</v>
      </c>
      <c r="B220" s="1">
        <v>3230</v>
      </c>
      <c r="C220" s="1" t="s">
        <v>1169</v>
      </c>
      <c r="D220" s="5" t="s">
        <v>1181</v>
      </c>
      <c r="E220" t="s">
        <v>287</v>
      </c>
      <c r="F220" s="26">
        <v>6399.5</v>
      </c>
      <c r="G220" s="78">
        <v>8405643</v>
      </c>
      <c r="H220" s="78">
        <v>1265972</v>
      </c>
      <c r="L220" s="1">
        <v>162864</v>
      </c>
      <c r="M220" s="1">
        <v>692566</v>
      </c>
      <c r="O220" s="117">
        <f t="shared" si="15"/>
        <v>10527045</v>
      </c>
      <c r="P220" s="78">
        <v>24334844</v>
      </c>
      <c r="Q220" s="78">
        <v>2791301</v>
      </c>
      <c r="S220" s="25">
        <v>27811490</v>
      </c>
      <c r="T220" s="1">
        <v>1100000</v>
      </c>
      <c r="V220" s="1">
        <v>1284406</v>
      </c>
      <c r="W220" s="1">
        <v>3076906</v>
      </c>
      <c r="X220" s="1">
        <v>142334</v>
      </c>
      <c r="Y220" s="78">
        <v>1051587</v>
      </c>
      <c r="AC220" s="1">
        <v>122796</v>
      </c>
      <c r="AD220" s="1">
        <v>568130</v>
      </c>
      <c r="AH220" s="1">
        <v>8249571</v>
      </c>
      <c r="AI220" s="1">
        <v>15111</v>
      </c>
      <c r="AM220" s="1">
        <v>2090074</v>
      </c>
      <c r="AP220" s="1">
        <v>967956</v>
      </c>
      <c r="AU220" s="1">
        <v>1002434</v>
      </c>
      <c r="AV220" s="116">
        <f t="shared" si="16"/>
        <v>74608940</v>
      </c>
      <c r="AW220" s="1">
        <v>70843</v>
      </c>
      <c r="BB220" s="1">
        <v>80034</v>
      </c>
      <c r="BC220" s="1">
        <v>1701875</v>
      </c>
      <c r="BD220" s="1">
        <v>1438230</v>
      </c>
      <c r="BE220" s="1">
        <v>1304117</v>
      </c>
      <c r="BF220" s="121">
        <f t="shared" si="17"/>
        <v>4595099</v>
      </c>
      <c r="BP220" s="1">
        <v>51509</v>
      </c>
      <c r="CB220" s="1">
        <v>1163232</v>
      </c>
      <c r="CC220" s="125">
        <f t="shared" si="18"/>
        <v>1214741</v>
      </c>
      <c r="CD220" s="1">
        <v>4716668</v>
      </c>
      <c r="CK220" s="124">
        <f t="shared" si="19"/>
        <v>4716668</v>
      </c>
      <c r="CR220" s="23">
        <v>41205</v>
      </c>
      <c r="CT220" s="23">
        <v>2830169</v>
      </c>
      <c r="CU220" s="23">
        <v>2780876</v>
      </c>
      <c r="CV220" s="129">
        <v>15620378</v>
      </c>
    </row>
    <row r="221" spans="1:100" ht="12.75" customHeight="1">
      <c r="A221" s="1">
        <v>11</v>
      </c>
      <c r="B221" s="1">
        <v>4750</v>
      </c>
      <c r="C221" s="1" t="s">
        <v>1169</v>
      </c>
      <c r="D221" s="5" t="s">
        <v>1182</v>
      </c>
      <c r="E221" t="s">
        <v>288</v>
      </c>
      <c r="F221" s="26">
        <v>52</v>
      </c>
      <c r="G221" s="78">
        <v>257826</v>
      </c>
      <c r="H221" s="78">
        <v>8937</v>
      </c>
      <c r="O221" s="117">
        <f t="shared" si="15"/>
        <v>266763</v>
      </c>
      <c r="P221" s="78">
        <v>295723</v>
      </c>
      <c r="Q221" s="78">
        <v>7124</v>
      </c>
      <c r="V221" s="1">
        <v>1225</v>
      </c>
      <c r="W221" s="1">
        <v>10448</v>
      </c>
      <c r="Y221" s="78">
        <v>24042</v>
      </c>
      <c r="AD221" s="1">
        <v>6144</v>
      </c>
      <c r="AE221" s="1">
        <v>10397</v>
      </c>
      <c r="AF221" s="1">
        <v>5449</v>
      </c>
      <c r="AG221" s="1">
        <v>58426</v>
      </c>
      <c r="AH221" s="1">
        <v>22799</v>
      </c>
      <c r="AK221" s="1">
        <v>1170</v>
      </c>
      <c r="AL221" s="1">
        <v>1848</v>
      </c>
      <c r="AU221" s="1">
        <v>6361</v>
      </c>
      <c r="AV221" s="116">
        <f t="shared" si="16"/>
        <v>451156</v>
      </c>
      <c r="BC221" s="1">
        <v>1642</v>
      </c>
      <c r="BD221" s="1">
        <v>12533</v>
      </c>
      <c r="BE221" s="1">
        <v>22472</v>
      </c>
      <c r="BF221" s="121">
        <f t="shared" si="17"/>
        <v>36647</v>
      </c>
      <c r="BI221" s="1">
        <v>30192</v>
      </c>
      <c r="BO221" s="1">
        <v>25</v>
      </c>
      <c r="CC221" s="125">
        <f t="shared" si="18"/>
        <v>30217</v>
      </c>
      <c r="CK221" s="124">
        <f t="shared" si="19"/>
        <v>0</v>
      </c>
      <c r="CV221" s="129">
        <v>46026</v>
      </c>
    </row>
    <row r="222" spans="1:100" ht="12.75" customHeight="1">
      <c r="A222" s="1">
        <v>11</v>
      </c>
      <c r="B222" s="1">
        <v>5070</v>
      </c>
      <c r="C222" s="1" t="s">
        <v>1169</v>
      </c>
      <c r="D222" s="5" t="s">
        <v>1183</v>
      </c>
      <c r="E222" t="s">
        <v>289</v>
      </c>
      <c r="F222" s="26">
        <v>145</v>
      </c>
      <c r="G222" s="78">
        <v>772579</v>
      </c>
      <c r="H222" s="78">
        <v>18820</v>
      </c>
      <c r="L222" s="1">
        <v>1520</v>
      </c>
      <c r="O222" s="117">
        <f t="shared" si="15"/>
        <v>792919</v>
      </c>
      <c r="P222" s="78">
        <v>206590</v>
      </c>
      <c r="Q222" s="78">
        <v>64199</v>
      </c>
      <c r="V222" s="1">
        <v>56376</v>
      </c>
      <c r="W222" s="1">
        <v>41693</v>
      </c>
      <c r="Y222" s="78">
        <v>404552</v>
      </c>
      <c r="AD222" s="1">
        <v>15471</v>
      </c>
      <c r="AE222" s="1">
        <v>23789</v>
      </c>
      <c r="AF222" s="1">
        <v>2668</v>
      </c>
      <c r="AG222" s="1">
        <v>156122</v>
      </c>
      <c r="AH222" s="1">
        <v>52842</v>
      </c>
      <c r="AK222" s="1">
        <v>880</v>
      </c>
      <c r="AL222" s="1">
        <v>4095</v>
      </c>
      <c r="AU222" s="1">
        <v>40075</v>
      </c>
      <c r="AV222" s="116">
        <f t="shared" si="16"/>
        <v>1069352</v>
      </c>
      <c r="BC222" s="1">
        <v>19070</v>
      </c>
      <c r="BD222" s="1">
        <v>27223</v>
      </c>
      <c r="BE222" s="1">
        <v>26369</v>
      </c>
      <c r="BF222" s="121">
        <f t="shared" si="17"/>
        <v>72662</v>
      </c>
      <c r="BN222" s="1">
        <v>1890</v>
      </c>
      <c r="BO222" s="1">
        <v>1660</v>
      </c>
      <c r="CC222" s="125">
        <f t="shared" si="18"/>
        <v>3550</v>
      </c>
      <c r="CD222" s="1">
        <v>15200</v>
      </c>
      <c r="CK222" s="124">
        <f t="shared" si="19"/>
        <v>15200</v>
      </c>
      <c r="CV222" s="129">
        <v>119232</v>
      </c>
    </row>
    <row r="223" spans="1:100" ht="12.75" customHeight="1">
      <c r="A223" s="1">
        <v>11</v>
      </c>
      <c r="B223" s="1">
        <v>5300</v>
      </c>
      <c r="C223" s="1" t="s">
        <v>1169</v>
      </c>
      <c r="D223" s="5" t="s">
        <v>1184</v>
      </c>
      <c r="E223" t="s">
        <v>290</v>
      </c>
      <c r="F223" s="26">
        <v>912</v>
      </c>
      <c r="G223" s="78">
        <v>5303126</v>
      </c>
      <c r="H223" s="78">
        <v>32590</v>
      </c>
      <c r="M223" s="1">
        <v>474126</v>
      </c>
      <c r="O223" s="117">
        <f t="shared" si="15"/>
        <v>5809842</v>
      </c>
      <c r="P223" s="78">
        <v>2500367</v>
      </c>
      <c r="Q223" s="78">
        <v>146581</v>
      </c>
      <c r="V223" s="1">
        <v>275998</v>
      </c>
      <c r="W223" s="1">
        <v>663441</v>
      </c>
      <c r="X223" s="1">
        <v>16424</v>
      </c>
      <c r="Y223" s="78">
        <v>941938</v>
      </c>
      <c r="AD223" s="1">
        <v>90958</v>
      </c>
      <c r="AE223" s="1">
        <v>170514</v>
      </c>
      <c r="AF223" s="1">
        <v>75276</v>
      </c>
      <c r="AG223" s="1">
        <v>902876</v>
      </c>
      <c r="AH223" s="1">
        <v>424143</v>
      </c>
      <c r="AM223" s="1">
        <v>376184</v>
      </c>
      <c r="AP223" s="1">
        <v>25669</v>
      </c>
      <c r="AU223" s="1">
        <v>50000</v>
      </c>
      <c r="AV223" s="116">
        <f t="shared" si="16"/>
        <v>6660369</v>
      </c>
      <c r="AW223" s="1">
        <v>4510</v>
      </c>
      <c r="BC223" s="1">
        <v>383483</v>
      </c>
      <c r="BD223" s="1">
        <v>205353</v>
      </c>
      <c r="BE223" s="1">
        <v>85401</v>
      </c>
      <c r="BF223" s="121">
        <f t="shared" si="17"/>
        <v>678747</v>
      </c>
      <c r="BI223" s="1">
        <v>100418</v>
      </c>
      <c r="BO223" s="1">
        <v>117824</v>
      </c>
      <c r="BX223" s="1">
        <v>1573</v>
      </c>
      <c r="CC223" s="125">
        <f t="shared" si="18"/>
        <v>219815</v>
      </c>
      <c r="CK223" s="124">
        <f t="shared" si="19"/>
        <v>0</v>
      </c>
      <c r="CT223" s="23">
        <v>739721</v>
      </c>
      <c r="CV223" s="129">
        <v>1840142</v>
      </c>
    </row>
    <row r="224" spans="1:100" ht="12.75" customHeight="1">
      <c r="A224" s="1">
        <v>11</v>
      </c>
      <c r="B224" s="1">
        <v>5390</v>
      </c>
      <c r="C224" s="1" t="s">
        <v>1169</v>
      </c>
      <c r="D224" s="5" t="s">
        <v>1185</v>
      </c>
      <c r="E224" t="s">
        <v>291</v>
      </c>
      <c r="F224" s="26">
        <v>9641</v>
      </c>
      <c r="G224" s="78">
        <v>19467316</v>
      </c>
      <c r="H224" s="78">
        <v>1453061</v>
      </c>
      <c r="L224" s="1">
        <v>54694</v>
      </c>
      <c r="O224" s="117">
        <f t="shared" si="15"/>
        <v>20975071</v>
      </c>
      <c r="P224" s="78">
        <v>42323458</v>
      </c>
      <c r="Q224" s="78">
        <v>11394451</v>
      </c>
      <c r="S224" s="25">
        <v>51644416</v>
      </c>
      <c r="V224" s="1">
        <v>2928627</v>
      </c>
      <c r="W224" s="1">
        <v>5759016</v>
      </c>
      <c r="X224" s="1">
        <v>649532</v>
      </c>
      <c r="Y224" s="78">
        <v>1180939</v>
      </c>
      <c r="AC224" s="1">
        <v>288761</v>
      </c>
      <c r="AD224" s="1">
        <v>1047497</v>
      </c>
      <c r="AF224" s="1">
        <v>39334</v>
      </c>
      <c r="AG224" s="1">
        <v>9807107</v>
      </c>
      <c r="AH224" s="1">
        <v>5112682</v>
      </c>
      <c r="AM224" s="1">
        <v>3971760</v>
      </c>
      <c r="AU224" s="1">
        <v>7706754</v>
      </c>
      <c r="AV224" s="116">
        <f t="shared" si="16"/>
        <v>143854334</v>
      </c>
      <c r="AW224" s="1">
        <v>382588</v>
      </c>
      <c r="BB224" s="1">
        <v>86616</v>
      </c>
      <c r="BC224" s="1">
        <v>2431660</v>
      </c>
      <c r="BE224" s="1">
        <v>3633135</v>
      </c>
      <c r="BF224" s="121">
        <f t="shared" si="17"/>
        <v>6533999</v>
      </c>
      <c r="BI224" s="1">
        <v>683496</v>
      </c>
      <c r="CC224" s="125">
        <f t="shared" si="18"/>
        <v>683496</v>
      </c>
      <c r="CK224" s="124">
        <f t="shared" si="19"/>
        <v>0</v>
      </c>
      <c r="CR224" s="23">
        <v>541788</v>
      </c>
      <c r="CT224" s="23">
        <v>6732292</v>
      </c>
      <c r="CU224" s="23">
        <v>6697424</v>
      </c>
      <c r="CV224" s="129">
        <v>32276783</v>
      </c>
    </row>
    <row r="225" spans="1:100" ht="12.75" customHeight="1">
      <c r="A225" s="1">
        <v>13</v>
      </c>
      <c r="B225" s="1">
        <v>250</v>
      </c>
      <c r="C225" s="1" t="s">
        <v>1186</v>
      </c>
      <c r="D225" s="5" t="s">
        <v>1187</v>
      </c>
      <c r="E225" t="s">
        <v>292</v>
      </c>
      <c r="F225" s="26">
        <v>4481</v>
      </c>
      <c r="G225" s="78">
        <v>30987272</v>
      </c>
      <c r="H225" s="78">
        <v>176086</v>
      </c>
      <c r="L225" s="1">
        <v>24760</v>
      </c>
      <c r="O225" s="117">
        <f t="shared" si="15"/>
        <v>31188118</v>
      </c>
      <c r="P225" s="78">
        <v>12751948</v>
      </c>
      <c r="V225" s="1">
        <v>611166</v>
      </c>
      <c r="W225" s="1">
        <v>3087405</v>
      </c>
      <c r="X225" s="1">
        <v>280230</v>
      </c>
      <c r="AC225" s="1">
        <v>154464</v>
      </c>
      <c r="AD225" s="1">
        <v>516013</v>
      </c>
      <c r="AE225" s="1">
        <v>546190</v>
      </c>
      <c r="AF225" s="1">
        <v>426157</v>
      </c>
      <c r="AG225" s="1">
        <v>4011948</v>
      </c>
      <c r="AH225" s="1">
        <v>2060410</v>
      </c>
      <c r="AM225" s="1">
        <v>595214</v>
      </c>
      <c r="AO225" s="1">
        <v>339272</v>
      </c>
      <c r="AU225" s="1">
        <v>231538</v>
      </c>
      <c r="AV225" s="116">
        <f t="shared" si="16"/>
        <v>25611955</v>
      </c>
      <c r="AW225" s="1">
        <v>50266</v>
      </c>
      <c r="AZ225" s="1">
        <v>7600</v>
      </c>
      <c r="BB225" s="1">
        <v>37183</v>
      </c>
      <c r="BC225" s="1">
        <v>748176</v>
      </c>
      <c r="BD225" s="1">
        <v>985133</v>
      </c>
      <c r="BE225" s="1">
        <v>537777</v>
      </c>
      <c r="BF225" s="121">
        <f t="shared" si="17"/>
        <v>2366135</v>
      </c>
      <c r="BI225" s="1">
        <v>12471</v>
      </c>
      <c r="BJ225" s="1">
        <v>17323</v>
      </c>
      <c r="CC225" s="125">
        <f t="shared" si="18"/>
        <v>29794</v>
      </c>
      <c r="CD225" s="1">
        <v>30582</v>
      </c>
      <c r="CK225" s="124">
        <f t="shared" si="19"/>
        <v>30582</v>
      </c>
      <c r="CV225" s="129">
        <v>3506653</v>
      </c>
    </row>
    <row r="226" spans="1:100" ht="12.75" customHeight="1">
      <c r="A226" s="1">
        <v>13</v>
      </c>
      <c r="B226" s="1">
        <v>410</v>
      </c>
      <c r="C226" s="1" t="s">
        <v>1186</v>
      </c>
      <c r="D226" s="5" t="s">
        <v>1188</v>
      </c>
      <c r="E226" t="s">
        <v>293</v>
      </c>
      <c r="F226" s="26">
        <v>5593</v>
      </c>
      <c r="G226" s="78">
        <v>48322565</v>
      </c>
      <c r="H226" s="78">
        <v>36721</v>
      </c>
      <c r="M226" s="1">
        <v>3256651</v>
      </c>
      <c r="O226" s="117">
        <f t="shared" si="15"/>
        <v>51615937</v>
      </c>
      <c r="P226" s="78">
        <v>8022414</v>
      </c>
      <c r="V226" s="1">
        <v>1071892</v>
      </c>
      <c r="W226" s="1">
        <v>3387365</v>
      </c>
      <c r="X226" s="1">
        <v>255612</v>
      </c>
      <c r="AC226" s="1">
        <v>768870</v>
      </c>
      <c r="AD226" s="1">
        <v>664245</v>
      </c>
      <c r="AE226" s="1">
        <v>442095</v>
      </c>
      <c r="AG226" s="1">
        <v>5531777</v>
      </c>
      <c r="AH226" s="1">
        <v>2583964</v>
      </c>
      <c r="AM226" s="1">
        <v>923412</v>
      </c>
      <c r="AO226" s="1">
        <v>411564</v>
      </c>
      <c r="AP226" s="1">
        <v>323777</v>
      </c>
      <c r="AU226" s="1">
        <v>368444</v>
      </c>
      <c r="AV226" s="116">
        <f t="shared" si="16"/>
        <v>24755431</v>
      </c>
      <c r="AW226" s="1">
        <v>16490</v>
      </c>
      <c r="AX226" s="1">
        <v>41913</v>
      </c>
      <c r="BB226" s="1">
        <v>33715</v>
      </c>
      <c r="BC226" s="1">
        <v>608268</v>
      </c>
      <c r="BD226" s="1">
        <v>1387420</v>
      </c>
      <c r="BE226" s="1">
        <v>269636</v>
      </c>
      <c r="BF226" s="121">
        <f t="shared" si="17"/>
        <v>2357442</v>
      </c>
      <c r="BK226" s="1">
        <v>45870</v>
      </c>
      <c r="BO226" s="1">
        <v>174115</v>
      </c>
      <c r="BR226" s="1">
        <v>19895</v>
      </c>
      <c r="CA226" s="1">
        <v>125297</v>
      </c>
      <c r="CC226" s="125">
        <f t="shared" si="18"/>
        <v>365177</v>
      </c>
      <c r="CD226" s="1">
        <v>358775</v>
      </c>
      <c r="CK226" s="124">
        <f t="shared" si="19"/>
        <v>358775</v>
      </c>
      <c r="CV226" s="129">
        <v>4044372</v>
      </c>
    </row>
    <row r="227" spans="1:100" ht="12.75" customHeight="1">
      <c r="A227" s="1">
        <v>13</v>
      </c>
      <c r="B227" s="1">
        <v>660</v>
      </c>
      <c r="C227" s="1" t="s">
        <v>1186</v>
      </c>
      <c r="D227" s="5" t="s">
        <v>1189</v>
      </c>
      <c r="E227" t="s">
        <v>294</v>
      </c>
      <c r="F227" s="26">
        <v>2638</v>
      </c>
      <c r="G227" s="78">
        <v>31602576</v>
      </c>
      <c r="H227" s="78">
        <v>384479</v>
      </c>
      <c r="M227" s="1">
        <v>657872</v>
      </c>
      <c r="O227" s="117">
        <f t="shared" si="15"/>
        <v>32644927</v>
      </c>
      <c r="V227" s="1">
        <v>27956</v>
      </c>
      <c r="W227" s="1">
        <v>1347874</v>
      </c>
      <c r="AC227" s="1">
        <v>186755</v>
      </c>
      <c r="AD227" s="1">
        <v>185716</v>
      </c>
      <c r="AE227" s="1">
        <v>46008</v>
      </c>
      <c r="AF227" s="1">
        <v>5525</v>
      </c>
      <c r="AG227" s="1">
        <v>2734883</v>
      </c>
      <c r="AH227" s="1">
        <v>1145005</v>
      </c>
      <c r="AP227" s="1">
        <v>37901</v>
      </c>
      <c r="AU227" s="1">
        <v>187428</v>
      </c>
      <c r="AV227" s="116">
        <f t="shared" si="16"/>
        <v>5905051</v>
      </c>
      <c r="BD227" s="1">
        <v>541839</v>
      </c>
      <c r="BE227" s="1">
        <v>50722</v>
      </c>
      <c r="BF227" s="121">
        <f t="shared" si="17"/>
        <v>592561</v>
      </c>
      <c r="BM227" s="1">
        <v>2790</v>
      </c>
      <c r="BO227" s="1">
        <v>11826</v>
      </c>
      <c r="CC227" s="125">
        <f t="shared" si="18"/>
        <v>14616</v>
      </c>
      <c r="CK227" s="124">
        <f t="shared" si="19"/>
        <v>0</v>
      </c>
      <c r="CV227" s="129">
        <v>779989</v>
      </c>
    </row>
    <row r="228" spans="1:100" ht="12.75" customHeight="1">
      <c r="A228" s="1">
        <v>13</v>
      </c>
      <c r="B228" s="1">
        <v>760</v>
      </c>
      <c r="C228" s="1" t="s">
        <v>1186</v>
      </c>
      <c r="D228" s="5" t="s">
        <v>1190</v>
      </c>
      <c r="E228" t="s">
        <v>295</v>
      </c>
      <c r="F228" s="26">
        <v>1576.5</v>
      </c>
      <c r="G228" s="78">
        <v>19647375</v>
      </c>
      <c r="L228" s="1">
        <v>2000</v>
      </c>
      <c r="M228" s="1">
        <v>722228</v>
      </c>
      <c r="N228" s="1">
        <v>231800</v>
      </c>
      <c r="O228" s="117">
        <f t="shared" si="15"/>
        <v>20603403</v>
      </c>
      <c r="V228" s="1">
        <v>164038</v>
      </c>
      <c r="W228" s="1">
        <v>919948</v>
      </c>
      <c r="AC228" s="1">
        <v>173870</v>
      </c>
      <c r="AD228" s="1">
        <v>161288</v>
      </c>
      <c r="AE228" s="1">
        <v>37358</v>
      </c>
      <c r="AF228" s="1">
        <v>105842</v>
      </c>
      <c r="AG228" s="1">
        <v>1628840</v>
      </c>
      <c r="AH228" s="1">
        <v>762779</v>
      </c>
      <c r="AT228" s="1">
        <v>387757</v>
      </c>
      <c r="AU228" s="1">
        <v>102906</v>
      </c>
      <c r="AV228" s="116">
        <f t="shared" si="16"/>
        <v>4444626</v>
      </c>
      <c r="BD228" s="1">
        <v>417286</v>
      </c>
      <c r="BE228" s="1">
        <v>31217</v>
      </c>
      <c r="BF228" s="121">
        <f t="shared" si="17"/>
        <v>448503</v>
      </c>
      <c r="BP228" s="1">
        <v>933466</v>
      </c>
      <c r="BY228" s="1">
        <v>965</v>
      </c>
      <c r="CA228" s="1">
        <v>5259</v>
      </c>
      <c r="CC228" s="125">
        <f t="shared" si="18"/>
        <v>939690</v>
      </c>
      <c r="CD228" s="1">
        <v>2805</v>
      </c>
      <c r="CK228" s="124">
        <f t="shared" si="19"/>
        <v>2805</v>
      </c>
      <c r="CV228" s="129">
        <v>553409</v>
      </c>
    </row>
    <row r="229" spans="1:100" ht="12.75" customHeight="1">
      <c r="A229" s="1">
        <v>13</v>
      </c>
      <c r="B229" s="1">
        <v>1210</v>
      </c>
      <c r="C229" s="1" t="s">
        <v>1186</v>
      </c>
      <c r="D229" s="5" t="s">
        <v>1191</v>
      </c>
      <c r="E229" t="s">
        <v>296</v>
      </c>
      <c r="F229" s="26">
        <v>10239</v>
      </c>
      <c r="G229" s="78">
        <v>18070000</v>
      </c>
      <c r="H229" s="78">
        <v>2677069</v>
      </c>
      <c r="L229" s="1">
        <v>1275884</v>
      </c>
      <c r="M229" s="1">
        <v>864079</v>
      </c>
      <c r="O229" s="117">
        <f t="shared" si="15"/>
        <v>22887032</v>
      </c>
      <c r="P229" s="78">
        <v>74644013</v>
      </c>
      <c r="Q229" s="78">
        <v>8482662</v>
      </c>
      <c r="S229" s="25">
        <v>63327070</v>
      </c>
      <c r="V229" s="1">
        <v>787793</v>
      </c>
      <c r="W229" s="1">
        <v>5594988</v>
      </c>
      <c r="X229" s="1">
        <v>430596</v>
      </c>
      <c r="AC229" s="1">
        <v>706669</v>
      </c>
      <c r="AD229" s="1">
        <v>1015733</v>
      </c>
      <c r="AG229" s="1">
        <v>10694875</v>
      </c>
      <c r="AH229" s="1">
        <v>6342605</v>
      </c>
      <c r="AM229" s="1">
        <v>5182386</v>
      </c>
      <c r="AP229" s="1">
        <v>2687119</v>
      </c>
      <c r="AT229" s="1">
        <v>29466826</v>
      </c>
      <c r="AU229" s="1">
        <v>1495790</v>
      </c>
      <c r="AV229" s="116">
        <f t="shared" si="16"/>
        <v>210859125</v>
      </c>
      <c r="AW229" s="1">
        <v>194489</v>
      </c>
      <c r="BB229" s="1">
        <v>144345</v>
      </c>
      <c r="BC229" s="1">
        <v>4655762</v>
      </c>
      <c r="BD229" s="1">
        <v>2764958</v>
      </c>
      <c r="BE229" s="1">
        <v>2429381</v>
      </c>
      <c r="BF229" s="121">
        <f t="shared" si="17"/>
        <v>10188935</v>
      </c>
      <c r="CA229" s="1">
        <v>405915</v>
      </c>
      <c r="CC229" s="125">
        <f t="shared" si="18"/>
        <v>405915</v>
      </c>
      <c r="CK229" s="124">
        <f t="shared" si="19"/>
        <v>0</v>
      </c>
      <c r="CO229" s="23">
        <v>351707</v>
      </c>
      <c r="CR229" s="23">
        <v>216934</v>
      </c>
      <c r="CT229" s="23">
        <v>9036873</v>
      </c>
      <c r="CU229" s="23">
        <v>4061359</v>
      </c>
      <c r="CV229" s="129">
        <v>32399691</v>
      </c>
    </row>
    <row r="230" spans="1:100" ht="12.75" customHeight="1">
      <c r="A230" s="1">
        <v>13</v>
      </c>
      <c r="B230" s="1">
        <v>1387</v>
      </c>
      <c r="C230" s="1" t="s">
        <v>1186</v>
      </c>
      <c r="D230" s="5" t="s">
        <v>1192</v>
      </c>
      <c r="E230" t="s">
        <v>297</v>
      </c>
      <c r="F230" s="26">
        <v>158</v>
      </c>
      <c r="H230" s="78">
        <v>5413943</v>
      </c>
      <c r="L230" s="1">
        <v>14142783</v>
      </c>
      <c r="O230" s="117">
        <f t="shared" si="15"/>
        <v>19556726</v>
      </c>
      <c r="AG230" s="1">
        <v>1041168</v>
      </c>
      <c r="AH230" s="1">
        <v>667752</v>
      </c>
      <c r="AU230" s="1">
        <v>125356</v>
      </c>
      <c r="AV230" s="116">
        <f t="shared" si="16"/>
        <v>1834276</v>
      </c>
      <c r="BC230" s="1">
        <v>220494</v>
      </c>
      <c r="BE230" s="1">
        <v>530983</v>
      </c>
      <c r="BF230" s="121">
        <f t="shared" si="17"/>
        <v>751477</v>
      </c>
      <c r="BG230" s="1">
        <v>89880</v>
      </c>
      <c r="BN230" s="1">
        <v>54756134</v>
      </c>
      <c r="CC230" s="125">
        <f t="shared" si="18"/>
        <v>54846014</v>
      </c>
      <c r="CD230" s="1">
        <v>5728041</v>
      </c>
      <c r="CK230" s="124">
        <f t="shared" si="19"/>
        <v>5728041</v>
      </c>
      <c r="CV230" s="129">
        <v>15019616</v>
      </c>
    </row>
    <row r="231" spans="1:100" ht="12.75" customHeight="1">
      <c r="A231" s="1">
        <v>13</v>
      </c>
      <c r="B231" s="1">
        <v>1390</v>
      </c>
      <c r="C231" s="1" t="s">
        <v>1186</v>
      </c>
      <c r="D231" s="5" t="s">
        <v>1193</v>
      </c>
      <c r="E231" t="s">
        <v>298</v>
      </c>
      <c r="F231" s="26">
        <v>2184</v>
      </c>
      <c r="H231" s="78">
        <v>443068</v>
      </c>
      <c r="I231" s="1">
        <v>4700000</v>
      </c>
      <c r="O231" s="117">
        <f t="shared" si="15"/>
        <v>5143068</v>
      </c>
      <c r="P231" s="78">
        <v>5501450</v>
      </c>
      <c r="W231" s="1">
        <v>1130391</v>
      </c>
      <c r="X231" s="1">
        <v>124024</v>
      </c>
      <c r="AA231" s="1">
        <v>3944987</v>
      </c>
      <c r="AD231" s="1">
        <v>227559</v>
      </c>
      <c r="AE231" s="1">
        <v>433911</v>
      </c>
      <c r="AF231" s="1">
        <v>170813</v>
      </c>
      <c r="AG231" s="1">
        <v>2374505</v>
      </c>
      <c r="AH231" s="1">
        <v>1203526</v>
      </c>
      <c r="AM231" s="1">
        <v>3218572</v>
      </c>
      <c r="AN231" s="1">
        <v>19529</v>
      </c>
      <c r="AU231" s="1">
        <v>294793</v>
      </c>
      <c r="AV231" s="116">
        <f t="shared" si="16"/>
        <v>18644060</v>
      </c>
      <c r="AW231" s="1">
        <v>8648</v>
      </c>
      <c r="BB231" s="1">
        <v>760979</v>
      </c>
      <c r="BC231" s="1">
        <v>2107169</v>
      </c>
      <c r="BD231" s="1">
        <v>492568</v>
      </c>
      <c r="BE231" s="1">
        <v>338389</v>
      </c>
      <c r="BF231" s="121">
        <f t="shared" si="17"/>
        <v>3707753</v>
      </c>
      <c r="CB231" s="1">
        <v>2033550</v>
      </c>
      <c r="CC231" s="125">
        <f t="shared" si="18"/>
        <v>2033550</v>
      </c>
      <c r="CF231" s="1">
        <v>12515524</v>
      </c>
      <c r="CG231" s="1">
        <v>142536</v>
      </c>
      <c r="CK231" s="124">
        <f t="shared" si="19"/>
        <v>12658060</v>
      </c>
      <c r="CP231" s="23">
        <v>850090</v>
      </c>
      <c r="CR231" s="23">
        <v>229570</v>
      </c>
      <c r="CV231" s="129">
        <v>7461569</v>
      </c>
    </row>
    <row r="232" spans="1:100" ht="12.75" customHeight="1">
      <c r="A232" s="1">
        <v>13</v>
      </c>
      <c r="B232" s="1">
        <v>1400</v>
      </c>
      <c r="C232" s="1" t="s">
        <v>1186</v>
      </c>
      <c r="D232" s="5" t="s">
        <v>1194</v>
      </c>
      <c r="E232" t="s">
        <v>299</v>
      </c>
      <c r="F232" s="26">
        <v>281</v>
      </c>
      <c r="G232" s="78">
        <v>3087393</v>
      </c>
      <c r="M232" s="1">
        <v>257220</v>
      </c>
      <c r="O232" s="117">
        <f t="shared" si="15"/>
        <v>3344613</v>
      </c>
      <c r="V232" s="1">
        <v>751</v>
      </c>
      <c r="W232" s="1">
        <v>121311</v>
      </c>
      <c r="X232" s="1">
        <v>2336</v>
      </c>
      <c r="Y232" s="78">
        <v>5059</v>
      </c>
      <c r="AC232" s="1">
        <v>3564</v>
      </c>
      <c r="AD232" s="1">
        <v>11707</v>
      </c>
      <c r="AE232" s="1">
        <v>4235</v>
      </c>
      <c r="AG232" s="1">
        <v>234220</v>
      </c>
      <c r="AH232" s="1">
        <v>141130</v>
      </c>
      <c r="AU232" s="1">
        <v>733</v>
      </c>
      <c r="AV232" s="116">
        <f t="shared" si="16"/>
        <v>525046</v>
      </c>
      <c r="BD232" s="1">
        <v>37643</v>
      </c>
      <c r="BE232" s="1">
        <v>1491</v>
      </c>
      <c r="BF232" s="121">
        <f t="shared" si="17"/>
        <v>39134</v>
      </c>
      <c r="BP232" s="1">
        <v>33845</v>
      </c>
      <c r="CC232" s="125">
        <f t="shared" si="18"/>
        <v>33845</v>
      </c>
      <c r="CK232" s="124">
        <f t="shared" si="19"/>
        <v>0</v>
      </c>
      <c r="CV232" s="129">
        <v>39867</v>
      </c>
    </row>
    <row r="233" spans="1:100" ht="12.75" customHeight="1">
      <c r="A233" s="1">
        <v>13</v>
      </c>
      <c r="B233" s="1">
        <v>1465</v>
      </c>
      <c r="C233" s="1" t="s">
        <v>1186</v>
      </c>
      <c r="D233" s="5" t="s">
        <v>1176</v>
      </c>
      <c r="E233" t="s">
        <v>300</v>
      </c>
      <c r="F233" s="26">
        <v>708</v>
      </c>
      <c r="G233" s="78">
        <v>8324601</v>
      </c>
      <c r="H233" s="78">
        <v>48979</v>
      </c>
      <c r="M233" s="1">
        <v>151461</v>
      </c>
      <c r="O233" s="117">
        <f t="shared" si="15"/>
        <v>8525041</v>
      </c>
      <c r="V233" s="1">
        <v>162966</v>
      </c>
      <c r="W233" s="1">
        <v>175010</v>
      </c>
      <c r="X233" s="1">
        <v>9326</v>
      </c>
      <c r="Y233" s="78">
        <v>46057</v>
      </c>
      <c r="AC233" s="1">
        <v>36739</v>
      </c>
      <c r="AD233" s="1">
        <v>79766</v>
      </c>
      <c r="AE233" s="1">
        <v>14194</v>
      </c>
      <c r="AF233" s="1">
        <v>34052</v>
      </c>
      <c r="AG233" s="1">
        <v>683163</v>
      </c>
      <c r="AH233" s="1">
        <v>314405</v>
      </c>
      <c r="AV233" s="116">
        <f t="shared" si="16"/>
        <v>1555678</v>
      </c>
      <c r="BD233" s="1">
        <v>154905</v>
      </c>
      <c r="BE233" s="1">
        <v>12961</v>
      </c>
      <c r="BF233" s="121">
        <f t="shared" si="17"/>
        <v>167866</v>
      </c>
      <c r="BP233" s="1">
        <v>101830</v>
      </c>
      <c r="CA233" s="1">
        <v>125000</v>
      </c>
      <c r="CB233" s="1">
        <v>38884</v>
      </c>
      <c r="CC233" s="125">
        <f t="shared" si="18"/>
        <v>265714</v>
      </c>
      <c r="CD233" s="1">
        <v>147250</v>
      </c>
      <c r="CK233" s="124">
        <f t="shared" si="19"/>
        <v>147250</v>
      </c>
      <c r="CV233" s="129">
        <v>167866</v>
      </c>
    </row>
    <row r="234" spans="1:100" ht="12.75" customHeight="1">
      <c r="A234" s="1">
        <v>13</v>
      </c>
      <c r="B234" s="1">
        <v>1750</v>
      </c>
      <c r="C234" s="1" t="s">
        <v>1186</v>
      </c>
      <c r="D234" s="5" t="s">
        <v>1023</v>
      </c>
      <c r="E234" t="s">
        <v>301</v>
      </c>
      <c r="F234" s="26">
        <v>1824</v>
      </c>
      <c r="G234" s="78">
        <v>21227705</v>
      </c>
      <c r="H234" s="78">
        <v>325158</v>
      </c>
      <c r="L234" s="1">
        <v>8070</v>
      </c>
      <c r="M234" s="1">
        <v>949784</v>
      </c>
      <c r="O234" s="117">
        <f t="shared" si="15"/>
        <v>22510717</v>
      </c>
      <c r="V234" s="1">
        <v>118486</v>
      </c>
      <c r="W234" s="1">
        <v>689116</v>
      </c>
      <c r="X234" s="1">
        <v>4748</v>
      </c>
      <c r="Y234" s="78">
        <v>33616</v>
      </c>
      <c r="AC234" s="1">
        <v>41940</v>
      </c>
      <c r="AD234" s="1">
        <v>100601</v>
      </c>
      <c r="AE234" s="1">
        <v>28397</v>
      </c>
      <c r="AF234" s="1">
        <v>83447</v>
      </c>
      <c r="AG234" s="1">
        <v>1419136</v>
      </c>
      <c r="AH234" s="1">
        <v>849192</v>
      </c>
      <c r="AT234" s="1">
        <v>203</v>
      </c>
      <c r="AV234" s="116">
        <f t="shared" si="16"/>
        <v>3368882</v>
      </c>
      <c r="BD234" s="1">
        <v>301724</v>
      </c>
      <c r="BE234" s="1">
        <v>28443</v>
      </c>
      <c r="BF234" s="121">
        <f t="shared" si="17"/>
        <v>330167</v>
      </c>
      <c r="BI234" s="1">
        <v>180517</v>
      </c>
      <c r="CA234" s="1">
        <v>7683</v>
      </c>
      <c r="CC234" s="125">
        <f t="shared" si="18"/>
        <v>188200</v>
      </c>
      <c r="CK234" s="124">
        <f t="shared" si="19"/>
        <v>0</v>
      </c>
      <c r="CV234" s="129">
        <v>338237</v>
      </c>
    </row>
    <row r="235" spans="1:100" ht="12.75" customHeight="1">
      <c r="A235" s="1">
        <v>13</v>
      </c>
      <c r="B235" s="1">
        <v>2330</v>
      </c>
      <c r="C235" s="1" t="s">
        <v>1186</v>
      </c>
      <c r="D235" s="5" t="s">
        <v>1024</v>
      </c>
      <c r="E235" t="s">
        <v>302</v>
      </c>
      <c r="F235" s="26">
        <v>7253</v>
      </c>
      <c r="G235" s="78">
        <v>17459529</v>
      </c>
      <c r="L235" s="1">
        <v>74528</v>
      </c>
      <c r="O235" s="117">
        <f t="shared" si="15"/>
        <v>17534057</v>
      </c>
      <c r="P235" s="78">
        <v>42978684</v>
      </c>
      <c r="Q235" s="78">
        <v>9021073</v>
      </c>
      <c r="S235" s="25">
        <v>37100621</v>
      </c>
      <c r="V235" s="1">
        <v>1497408</v>
      </c>
      <c r="W235" s="1">
        <v>6083319</v>
      </c>
      <c r="X235" s="1">
        <v>503604</v>
      </c>
      <c r="AC235" s="1">
        <v>886664</v>
      </c>
      <c r="AD235" s="1">
        <v>2600009</v>
      </c>
      <c r="AG235" s="1">
        <v>6683675</v>
      </c>
      <c r="AH235" s="1">
        <v>3932135</v>
      </c>
      <c r="AM235" s="1">
        <v>3601723</v>
      </c>
      <c r="AU235" s="1">
        <v>521565</v>
      </c>
      <c r="AV235" s="116">
        <f t="shared" si="16"/>
        <v>115410480</v>
      </c>
      <c r="AW235" s="1">
        <v>125028</v>
      </c>
      <c r="BC235" s="1">
        <v>4013545</v>
      </c>
      <c r="BD235" s="1">
        <v>1774630</v>
      </c>
      <c r="BE235" s="1">
        <v>1292293</v>
      </c>
      <c r="BF235" s="121">
        <f t="shared" si="17"/>
        <v>7205496</v>
      </c>
      <c r="BP235" s="1">
        <v>1167781</v>
      </c>
      <c r="CC235" s="125">
        <f t="shared" si="18"/>
        <v>1167781</v>
      </c>
      <c r="CK235" s="124">
        <f t="shared" si="19"/>
        <v>0</v>
      </c>
      <c r="CT235" s="23">
        <v>6150867</v>
      </c>
      <c r="CU235" s="23">
        <v>9083320</v>
      </c>
      <c r="CV235" s="129">
        <v>26862471</v>
      </c>
    </row>
    <row r="236" spans="1:100" ht="12.75" customHeight="1">
      <c r="A236" s="1">
        <v>13</v>
      </c>
      <c r="B236" s="1">
        <v>2730</v>
      </c>
      <c r="C236" s="1" t="s">
        <v>1186</v>
      </c>
      <c r="D236" s="5" t="s">
        <v>1025</v>
      </c>
      <c r="E236" t="s">
        <v>303</v>
      </c>
      <c r="F236" s="26">
        <v>5533.5</v>
      </c>
      <c r="G236" s="78">
        <v>74542669</v>
      </c>
      <c r="H236" s="78">
        <v>1074136</v>
      </c>
      <c r="L236" s="1">
        <v>1500</v>
      </c>
      <c r="M236" s="1">
        <v>1820867</v>
      </c>
      <c r="O236" s="117">
        <f t="shared" si="15"/>
        <v>77439172</v>
      </c>
      <c r="W236" s="1">
        <v>3580775</v>
      </c>
      <c r="AC236" s="1">
        <v>381698</v>
      </c>
      <c r="AD236" s="1">
        <v>343945</v>
      </c>
      <c r="AE236" s="1">
        <v>117742</v>
      </c>
      <c r="AF236" s="1">
        <v>249252</v>
      </c>
      <c r="AG236" s="1">
        <v>6123924</v>
      </c>
      <c r="AH236" s="1">
        <v>2967250</v>
      </c>
      <c r="AU236" s="1">
        <v>628694</v>
      </c>
      <c r="AV236" s="116">
        <f t="shared" si="16"/>
        <v>14393280</v>
      </c>
      <c r="BD236" s="1">
        <v>1178707</v>
      </c>
      <c r="BE236" s="1">
        <v>113001</v>
      </c>
      <c r="BF236" s="121">
        <f t="shared" si="17"/>
        <v>1291708</v>
      </c>
      <c r="BG236" s="1">
        <v>799464</v>
      </c>
      <c r="BN236" s="1">
        <v>60000</v>
      </c>
      <c r="CA236" s="1">
        <v>377498</v>
      </c>
      <c r="CC236" s="125">
        <f t="shared" si="18"/>
        <v>1236962</v>
      </c>
      <c r="CD236" s="1">
        <v>33559</v>
      </c>
      <c r="CK236" s="124">
        <f t="shared" si="19"/>
        <v>33559</v>
      </c>
      <c r="CV236" s="129">
        <v>1921902</v>
      </c>
    </row>
    <row r="237" spans="1:100" ht="12.75" customHeight="1">
      <c r="A237" s="1">
        <v>13</v>
      </c>
      <c r="B237" s="1">
        <v>3190</v>
      </c>
      <c r="C237" s="1" t="s">
        <v>1186</v>
      </c>
      <c r="D237" s="5" t="s">
        <v>1026</v>
      </c>
      <c r="E237" t="s">
        <v>304</v>
      </c>
      <c r="F237" s="26">
        <v>4580.5</v>
      </c>
      <c r="G237" s="78">
        <v>62055799</v>
      </c>
      <c r="L237" s="1">
        <v>98471</v>
      </c>
      <c r="M237" s="1">
        <v>3674470</v>
      </c>
      <c r="O237" s="117">
        <f t="shared" si="15"/>
        <v>65828740</v>
      </c>
      <c r="V237" s="1">
        <v>35851</v>
      </c>
      <c r="W237" s="1">
        <v>2563431</v>
      </c>
      <c r="AC237" s="1">
        <v>356364</v>
      </c>
      <c r="AD237" s="1">
        <v>262192</v>
      </c>
      <c r="AE237" s="1">
        <v>84769</v>
      </c>
      <c r="AF237" s="1">
        <v>258720</v>
      </c>
      <c r="AG237" s="1">
        <v>4349997</v>
      </c>
      <c r="AH237" s="1">
        <v>2523483</v>
      </c>
      <c r="AP237" s="1">
        <v>2098</v>
      </c>
      <c r="AU237" s="1">
        <v>199441</v>
      </c>
      <c r="AV237" s="116">
        <f t="shared" si="16"/>
        <v>10636346</v>
      </c>
      <c r="BD237" s="1">
        <v>686242</v>
      </c>
      <c r="BE237" s="1">
        <v>453755</v>
      </c>
      <c r="BF237" s="121">
        <f t="shared" si="17"/>
        <v>1139997</v>
      </c>
      <c r="BO237" s="1">
        <v>63661</v>
      </c>
      <c r="BP237" s="1">
        <v>921971</v>
      </c>
      <c r="BZ237" s="1">
        <v>3416</v>
      </c>
      <c r="CC237" s="125">
        <f t="shared" si="18"/>
        <v>989048</v>
      </c>
      <c r="CD237" s="1">
        <v>159625</v>
      </c>
      <c r="CK237" s="124">
        <f t="shared" si="19"/>
        <v>159625</v>
      </c>
      <c r="CM237" s="23">
        <v>21064499</v>
      </c>
      <c r="CV237" s="129">
        <v>1437909</v>
      </c>
    </row>
    <row r="238" spans="1:100" ht="12.75" customHeight="1">
      <c r="A238" s="1">
        <v>13</v>
      </c>
      <c r="B238" s="1">
        <v>3310</v>
      </c>
      <c r="C238" s="1" t="s">
        <v>1186</v>
      </c>
      <c r="D238" s="5" t="s">
        <v>1027</v>
      </c>
      <c r="E238" t="s">
        <v>305</v>
      </c>
      <c r="F238" s="26">
        <v>6620.5</v>
      </c>
      <c r="G238" s="78">
        <v>84222443</v>
      </c>
      <c r="H238" s="78">
        <v>897313</v>
      </c>
      <c r="L238" s="1">
        <v>3660298</v>
      </c>
      <c r="O238" s="117">
        <f t="shared" si="15"/>
        <v>88780054</v>
      </c>
      <c r="V238" s="1">
        <v>970411</v>
      </c>
      <c r="W238" s="1">
        <v>4475567</v>
      </c>
      <c r="X238" s="1">
        <v>127204</v>
      </c>
      <c r="Y238" s="78">
        <v>495734</v>
      </c>
      <c r="AC238" s="1">
        <v>284880</v>
      </c>
      <c r="AD238" s="1">
        <v>716910</v>
      </c>
      <c r="AE238" s="1">
        <v>233942</v>
      </c>
      <c r="AF238" s="1">
        <v>1549539</v>
      </c>
      <c r="AG238" s="1">
        <v>6430039</v>
      </c>
      <c r="AH238" s="1">
        <v>3597062</v>
      </c>
      <c r="AM238" s="1">
        <v>630303</v>
      </c>
      <c r="AO238" s="1">
        <v>391512</v>
      </c>
      <c r="AU238" s="1">
        <v>520265</v>
      </c>
      <c r="AV238" s="116">
        <f t="shared" si="16"/>
        <v>20423368</v>
      </c>
      <c r="AZ238" s="1">
        <v>23959</v>
      </c>
      <c r="BB238" s="1">
        <v>27682</v>
      </c>
      <c r="BC238" s="1">
        <v>369702</v>
      </c>
      <c r="BD238" s="1">
        <v>1424004</v>
      </c>
      <c r="BE238" s="1">
        <v>259735</v>
      </c>
      <c r="BF238" s="121">
        <f t="shared" si="17"/>
        <v>2105082</v>
      </c>
      <c r="BP238" s="1">
        <v>551972</v>
      </c>
      <c r="CB238" s="1">
        <v>4381520</v>
      </c>
      <c r="CC238" s="125">
        <f t="shared" si="18"/>
        <v>4933492</v>
      </c>
      <c r="CE238" s="1">
        <v>73332</v>
      </c>
      <c r="CK238" s="124">
        <f t="shared" si="19"/>
        <v>73332</v>
      </c>
      <c r="CV238" s="129">
        <v>7307460</v>
      </c>
    </row>
    <row r="239" spans="1:100">
      <c r="F239" s="22"/>
    </row>
    <row r="240" spans="1:100" ht="12.75" customHeight="1">
      <c r="A240" s="1">
        <v>13</v>
      </c>
      <c r="B240" s="1">
        <v>3630</v>
      </c>
      <c r="C240" s="1" t="s">
        <v>1186</v>
      </c>
      <c r="D240" s="5" t="s">
        <v>1029</v>
      </c>
      <c r="E240" t="s">
        <v>307</v>
      </c>
      <c r="F240" s="26">
        <v>648</v>
      </c>
      <c r="G240" s="78">
        <v>8145825</v>
      </c>
      <c r="H240" s="78">
        <v>150656</v>
      </c>
      <c r="M240" s="1">
        <v>961473</v>
      </c>
      <c r="O240" s="117">
        <f t="shared" si="15"/>
        <v>9257954</v>
      </c>
      <c r="W240" s="1">
        <v>269502</v>
      </c>
      <c r="AC240" s="1">
        <v>83901</v>
      </c>
      <c r="AD240" s="1">
        <v>25312</v>
      </c>
      <c r="AE240" s="1">
        <v>8844</v>
      </c>
      <c r="AF240" s="1">
        <v>975</v>
      </c>
      <c r="AG240" s="1">
        <v>564287</v>
      </c>
      <c r="AH240" s="1">
        <v>304902</v>
      </c>
      <c r="AT240" s="1">
        <v>25833</v>
      </c>
      <c r="AV240" s="116">
        <f t="shared" si="16"/>
        <v>1283556</v>
      </c>
      <c r="BD240" s="1">
        <v>119044</v>
      </c>
      <c r="BE240" s="1">
        <v>27168</v>
      </c>
      <c r="BF240" s="121">
        <f t="shared" si="17"/>
        <v>146212</v>
      </c>
      <c r="CA240" s="1">
        <v>1997</v>
      </c>
      <c r="CC240" s="125">
        <f t="shared" si="18"/>
        <v>1997</v>
      </c>
      <c r="CK240" s="124">
        <f t="shared" si="19"/>
        <v>0</v>
      </c>
      <c r="CV240" s="129">
        <v>146212</v>
      </c>
    </row>
    <row r="241" spans="1:100" ht="12.75" customHeight="1">
      <c r="A241" s="1">
        <v>13</v>
      </c>
      <c r="B241" s="1">
        <v>3750</v>
      </c>
      <c r="C241" s="1" t="s">
        <v>1186</v>
      </c>
      <c r="D241" s="5" t="s">
        <v>1030</v>
      </c>
      <c r="E241" t="s">
        <v>308</v>
      </c>
      <c r="F241" s="26">
        <v>4060</v>
      </c>
      <c r="G241" s="78">
        <v>40079296</v>
      </c>
      <c r="H241" s="78">
        <v>654045</v>
      </c>
      <c r="L241" s="1">
        <v>13623</v>
      </c>
      <c r="M241" s="1">
        <v>1267648</v>
      </c>
      <c r="O241" s="117">
        <f t="shared" si="15"/>
        <v>42014612</v>
      </c>
      <c r="P241" s="78">
        <v>2799975</v>
      </c>
      <c r="V241" s="1">
        <v>345006</v>
      </c>
      <c r="W241" s="1">
        <v>2235481</v>
      </c>
      <c r="X241" s="1">
        <v>65426</v>
      </c>
      <c r="AC241" s="1">
        <v>166155</v>
      </c>
      <c r="AD241" s="1">
        <v>475088</v>
      </c>
      <c r="AE241" s="1">
        <v>177629</v>
      </c>
      <c r="AG241" s="1">
        <v>3724894</v>
      </c>
      <c r="AH241" s="1">
        <v>1830190</v>
      </c>
      <c r="AP241" s="1">
        <v>11714</v>
      </c>
      <c r="AT241" s="1">
        <v>5174909</v>
      </c>
      <c r="AU241" s="1">
        <v>334900</v>
      </c>
      <c r="AV241" s="116">
        <f t="shared" si="16"/>
        <v>17341367</v>
      </c>
      <c r="BC241" s="1">
        <v>141675</v>
      </c>
      <c r="BD241" s="1">
        <v>973588</v>
      </c>
      <c r="BE241" s="1">
        <v>164372</v>
      </c>
      <c r="BF241" s="121">
        <f t="shared" si="17"/>
        <v>1279635</v>
      </c>
      <c r="BG241" s="1">
        <v>17100</v>
      </c>
      <c r="BN241" s="1">
        <v>98884</v>
      </c>
      <c r="BO241" s="1">
        <v>5088</v>
      </c>
      <c r="BP241" s="1">
        <v>15803</v>
      </c>
      <c r="CC241" s="125">
        <f t="shared" si="18"/>
        <v>136875</v>
      </c>
      <c r="CD241" s="1">
        <v>73703</v>
      </c>
      <c r="CK241" s="124">
        <f t="shared" si="19"/>
        <v>73703</v>
      </c>
      <c r="CV241" s="129">
        <v>1628158</v>
      </c>
    </row>
    <row r="242" spans="1:100" ht="12.75" customHeight="1">
      <c r="A242" s="1">
        <v>13</v>
      </c>
      <c r="B242" s="1">
        <v>3880</v>
      </c>
      <c r="C242" s="1" t="s">
        <v>1186</v>
      </c>
      <c r="D242" s="5" t="s">
        <v>1031</v>
      </c>
      <c r="E242" t="s">
        <v>309</v>
      </c>
      <c r="F242" s="26">
        <v>4596.5</v>
      </c>
      <c r="G242" s="78">
        <v>8931421</v>
      </c>
      <c r="H242" s="78">
        <v>452852</v>
      </c>
      <c r="L242" s="1">
        <v>34968</v>
      </c>
      <c r="O242" s="117">
        <f t="shared" si="15"/>
        <v>9419241</v>
      </c>
      <c r="P242" s="78">
        <v>25811531</v>
      </c>
      <c r="Q242" s="78">
        <v>4086817</v>
      </c>
      <c r="S242" s="25">
        <v>20469422</v>
      </c>
      <c r="V242" s="1">
        <v>418859</v>
      </c>
      <c r="W242" s="1">
        <v>3721223</v>
      </c>
      <c r="X242" s="1">
        <v>387846</v>
      </c>
      <c r="AC242" s="1">
        <v>637119</v>
      </c>
      <c r="AD242" s="1">
        <v>532252</v>
      </c>
      <c r="AH242" s="1">
        <v>2676441</v>
      </c>
      <c r="AM242" s="1">
        <v>2124492</v>
      </c>
      <c r="AU242" s="1">
        <v>482905</v>
      </c>
      <c r="AV242" s="116">
        <f t="shared" si="16"/>
        <v>61348907</v>
      </c>
      <c r="AW242" s="1">
        <v>69983</v>
      </c>
      <c r="AX242" s="1">
        <v>12843</v>
      </c>
      <c r="BC242" s="1">
        <v>1718949</v>
      </c>
      <c r="BD242" s="1">
        <v>1228080</v>
      </c>
      <c r="BE242" s="1">
        <v>974293</v>
      </c>
      <c r="BF242" s="121">
        <f t="shared" si="17"/>
        <v>4004148</v>
      </c>
      <c r="BO242" s="1">
        <v>132723</v>
      </c>
      <c r="CB242" s="1">
        <v>4150090</v>
      </c>
      <c r="CC242" s="125">
        <f t="shared" si="18"/>
        <v>4282813</v>
      </c>
      <c r="CD242" s="1">
        <v>45000</v>
      </c>
      <c r="CK242" s="124">
        <f t="shared" si="19"/>
        <v>45000</v>
      </c>
      <c r="CT242" s="23">
        <v>7982643</v>
      </c>
      <c r="CV242" s="129">
        <v>14774668</v>
      </c>
    </row>
    <row r="243" spans="1:100" ht="12.75" customHeight="1">
      <c r="A243" s="1">
        <v>13</v>
      </c>
      <c r="B243" s="1">
        <v>4530</v>
      </c>
      <c r="C243" s="1" t="s">
        <v>1186</v>
      </c>
      <c r="D243" s="5" t="s">
        <v>1032</v>
      </c>
      <c r="E243" t="s">
        <v>310</v>
      </c>
      <c r="F243" s="26">
        <v>479</v>
      </c>
      <c r="G243" s="78">
        <v>5648808</v>
      </c>
      <c r="M243" s="1">
        <v>787229</v>
      </c>
      <c r="O243" s="117">
        <f t="shared" si="15"/>
        <v>6436037</v>
      </c>
      <c r="V243" s="1">
        <v>87272</v>
      </c>
      <c r="W243" s="1">
        <v>306798</v>
      </c>
      <c r="X243" s="1">
        <v>1128</v>
      </c>
      <c r="AC243" s="1">
        <v>28664</v>
      </c>
      <c r="AD243" s="1">
        <v>18599</v>
      </c>
      <c r="AE243" s="1">
        <v>12414</v>
      </c>
      <c r="AG243" s="1">
        <v>407105</v>
      </c>
      <c r="AH243" s="1">
        <v>212596</v>
      </c>
      <c r="AP243" s="1">
        <v>38217</v>
      </c>
      <c r="AV243" s="116">
        <f t="shared" si="16"/>
        <v>1112793</v>
      </c>
      <c r="BD243" s="1">
        <v>93117</v>
      </c>
      <c r="BE243" s="1">
        <v>10319</v>
      </c>
      <c r="BF243" s="121">
        <f t="shared" si="17"/>
        <v>103436</v>
      </c>
      <c r="BO243" s="1">
        <v>11216</v>
      </c>
      <c r="BP243" s="1">
        <v>63875</v>
      </c>
      <c r="CA243" s="1">
        <v>507808</v>
      </c>
      <c r="CC243" s="125">
        <f t="shared" si="18"/>
        <v>582899</v>
      </c>
      <c r="CK243" s="124">
        <f t="shared" si="19"/>
        <v>0</v>
      </c>
      <c r="CV243" s="129">
        <v>103436</v>
      </c>
    </row>
    <row r="244" spans="1:100" ht="12.75" customHeight="1">
      <c r="A244" s="1">
        <v>13</v>
      </c>
      <c r="B244" s="1">
        <v>4900</v>
      </c>
      <c r="C244" s="1" t="s">
        <v>1186</v>
      </c>
      <c r="D244" s="5" t="s">
        <v>1033</v>
      </c>
      <c r="E244" t="s">
        <v>311</v>
      </c>
      <c r="F244" s="26">
        <v>6087</v>
      </c>
      <c r="G244" s="78">
        <v>81911476</v>
      </c>
      <c r="H244" s="78">
        <v>883167</v>
      </c>
      <c r="L244" s="1">
        <v>104497</v>
      </c>
      <c r="M244" s="1">
        <v>3436356</v>
      </c>
      <c r="O244" s="117">
        <f t="shared" si="15"/>
        <v>86335496</v>
      </c>
      <c r="V244" s="1">
        <v>869323</v>
      </c>
      <c r="W244" s="1">
        <v>3267559</v>
      </c>
      <c r="X244" s="1">
        <v>140142</v>
      </c>
      <c r="Y244" s="78">
        <v>282608</v>
      </c>
      <c r="AD244" s="1">
        <v>282918</v>
      </c>
      <c r="AE244" s="1">
        <v>160874</v>
      </c>
      <c r="AF244" s="1">
        <v>1057503</v>
      </c>
      <c r="AG244" s="1">
        <v>6184800</v>
      </c>
      <c r="AH244" s="1">
        <v>3118013</v>
      </c>
      <c r="AJ244" s="1">
        <v>171590</v>
      </c>
      <c r="AK244" s="1">
        <v>6936</v>
      </c>
      <c r="AO244" s="1">
        <v>348339</v>
      </c>
      <c r="AU244" s="1">
        <v>400730</v>
      </c>
      <c r="AV244" s="116">
        <f t="shared" si="16"/>
        <v>16291335</v>
      </c>
      <c r="BB244" s="1">
        <v>28306</v>
      </c>
      <c r="BC244" s="1">
        <v>223029</v>
      </c>
      <c r="BD244" s="1">
        <v>1305978</v>
      </c>
      <c r="BE244" s="1">
        <v>250119</v>
      </c>
      <c r="BF244" s="121">
        <f t="shared" si="17"/>
        <v>1807432</v>
      </c>
      <c r="BH244" s="1">
        <v>172182</v>
      </c>
      <c r="BO244" s="1">
        <v>10948</v>
      </c>
      <c r="BR244" s="1">
        <v>29275</v>
      </c>
      <c r="CC244" s="125">
        <f t="shared" si="18"/>
        <v>212405</v>
      </c>
      <c r="CK244" s="124">
        <f t="shared" si="19"/>
        <v>0</v>
      </c>
      <c r="CV244" s="129">
        <v>2839524</v>
      </c>
    </row>
    <row r="245" spans="1:100" ht="12.75" customHeight="1">
      <c r="A245" s="1">
        <v>13</v>
      </c>
      <c r="B245" s="1">
        <v>5370</v>
      </c>
      <c r="C245" s="1" t="s">
        <v>1186</v>
      </c>
      <c r="D245" s="5" t="s">
        <v>1034</v>
      </c>
      <c r="E245" t="s">
        <v>312</v>
      </c>
      <c r="F245" s="26">
        <v>2047</v>
      </c>
      <c r="G245" s="78">
        <v>22389852</v>
      </c>
      <c r="H245" s="78">
        <v>263421</v>
      </c>
      <c r="L245" s="1">
        <v>31415</v>
      </c>
      <c r="M245" s="1">
        <v>1754896</v>
      </c>
      <c r="O245" s="117">
        <f t="shared" si="15"/>
        <v>24439584</v>
      </c>
      <c r="V245" s="1">
        <v>34325</v>
      </c>
      <c r="W245" s="1">
        <v>1258158</v>
      </c>
      <c r="X245" s="1">
        <v>6092</v>
      </c>
      <c r="AC245" s="1">
        <v>130511</v>
      </c>
      <c r="AD245" s="1">
        <v>127232</v>
      </c>
      <c r="AE245" s="1">
        <v>42774</v>
      </c>
      <c r="AG245" s="1">
        <v>2116719</v>
      </c>
      <c r="AH245" s="1">
        <v>949427</v>
      </c>
      <c r="AP245" s="1">
        <v>404199</v>
      </c>
      <c r="AU245" s="1">
        <v>85623</v>
      </c>
      <c r="AV245" s="116">
        <f t="shared" si="16"/>
        <v>5155060</v>
      </c>
      <c r="BD245" s="1">
        <v>492350</v>
      </c>
      <c r="BE245" s="1">
        <v>33441</v>
      </c>
      <c r="BF245" s="121">
        <f t="shared" si="17"/>
        <v>525791</v>
      </c>
      <c r="BI245" s="1">
        <v>69538</v>
      </c>
      <c r="BO245" s="1">
        <v>57</v>
      </c>
      <c r="BX245" s="1">
        <v>1407528</v>
      </c>
      <c r="CA245" s="1">
        <v>1407528</v>
      </c>
      <c r="CC245" s="125">
        <f t="shared" si="18"/>
        <v>2884651</v>
      </c>
      <c r="CD245" s="1">
        <v>119397</v>
      </c>
      <c r="CK245" s="124">
        <f t="shared" si="19"/>
        <v>119397</v>
      </c>
      <c r="CV245" s="129">
        <v>642829</v>
      </c>
    </row>
    <row r="246" spans="1:100" ht="12.75" customHeight="1">
      <c r="A246" s="1">
        <v>13</v>
      </c>
      <c r="B246" s="1">
        <v>5630</v>
      </c>
      <c r="C246" s="1" t="s">
        <v>1186</v>
      </c>
      <c r="D246" s="5" t="s">
        <v>1035</v>
      </c>
      <c r="E246" t="s">
        <v>313</v>
      </c>
      <c r="F246" s="26">
        <v>1615</v>
      </c>
      <c r="G246" s="78">
        <v>24254219</v>
      </c>
      <c r="H246" s="78">
        <v>305804</v>
      </c>
      <c r="L246" s="1">
        <v>5000</v>
      </c>
      <c r="M246" s="1">
        <v>2322750</v>
      </c>
      <c r="O246" s="117">
        <f t="shared" si="15"/>
        <v>26887773</v>
      </c>
      <c r="V246" s="1">
        <v>578467</v>
      </c>
      <c r="W246" s="1">
        <v>628699</v>
      </c>
      <c r="X246" s="1">
        <v>3522</v>
      </c>
      <c r="Y246" s="78">
        <v>118282</v>
      </c>
      <c r="AC246" s="1">
        <v>77871</v>
      </c>
      <c r="AD246" s="1">
        <v>99284</v>
      </c>
      <c r="AE246" s="1">
        <v>42848</v>
      </c>
      <c r="AF246" s="1">
        <v>162830</v>
      </c>
      <c r="AG246" s="1">
        <v>1849297</v>
      </c>
      <c r="AH246" s="1">
        <v>844749</v>
      </c>
      <c r="AV246" s="116">
        <f t="shared" si="16"/>
        <v>4405849</v>
      </c>
      <c r="BC246" s="1">
        <v>42695</v>
      </c>
      <c r="BD246" s="1">
        <v>250895</v>
      </c>
      <c r="BE246" s="1">
        <v>25596</v>
      </c>
      <c r="BF246" s="121">
        <f t="shared" si="17"/>
        <v>319186</v>
      </c>
      <c r="BH246" s="1">
        <v>369503</v>
      </c>
      <c r="CA246" s="1">
        <v>369503</v>
      </c>
      <c r="CC246" s="125">
        <f t="shared" si="18"/>
        <v>739006</v>
      </c>
      <c r="CD246" s="1">
        <v>116528</v>
      </c>
      <c r="CK246" s="124">
        <f t="shared" si="19"/>
        <v>116528</v>
      </c>
      <c r="CV246" s="129">
        <v>324186</v>
      </c>
    </row>
    <row r="247" spans="1:100" ht="12.75" customHeight="1">
      <c r="A247" s="1">
        <v>13</v>
      </c>
      <c r="B247" s="1">
        <v>5680</v>
      </c>
      <c r="C247" s="1" t="s">
        <v>1186</v>
      </c>
      <c r="D247" s="5" t="s">
        <v>1036</v>
      </c>
      <c r="E247" t="s">
        <v>314</v>
      </c>
      <c r="F247" s="26">
        <v>6330</v>
      </c>
      <c r="G247" s="78">
        <v>95139489</v>
      </c>
      <c r="H247" s="78">
        <v>573216</v>
      </c>
      <c r="M247" s="1">
        <v>5024209</v>
      </c>
      <c r="O247" s="117">
        <f t="shared" si="15"/>
        <v>100736914</v>
      </c>
      <c r="V247" s="1">
        <v>908551</v>
      </c>
      <c r="W247" s="1">
        <v>4360212</v>
      </c>
      <c r="X247" s="1">
        <v>285962</v>
      </c>
      <c r="AC247" s="1">
        <v>257387</v>
      </c>
      <c r="AD247" s="1">
        <v>724371</v>
      </c>
      <c r="AE247" s="1">
        <v>211198</v>
      </c>
      <c r="AF247" s="1">
        <v>617936</v>
      </c>
      <c r="AG247" s="1">
        <v>6902852</v>
      </c>
      <c r="AH247" s="1">
        <v>3690606</v>
      </c>
      <c r="AJ247" s="1">
        <v>43262</v>
      </c>
      <c r="AL247" s="1">
        <v>37814</v>
      </c>
      <c r="AM247" s="1">
        <v>467248</v>
      </c>
      <c r="AO247" s="1">
        <v>237722</v>
      </c>
      <c r="AP247" s="1">
        <v>977733</v>
      </c>
      <c r="AU247" s="1">
        <v>586583</v>
      </c>
      <c r="AV247" s="116">
        <f t="shared" si="16"/>
        <v>20309437</v>
      </c>
      <c r="BC247" s="1">
        <v>460034</v>
      </c>
      <c r="BD247" s="1">
        <v>1552532</v>
      </c>
      <c r="BE247" s="1">
        <v>241092</v>
      </c>
      <c r="BF247" s="121">
        <f t="shared" si="17"/>
        <v>2253658</v>
      </c>
      <c r="BG247" s="1">
        <v>145970</v>
      </c>
      <c r="BI247" s="1">
        <v>15193</v>
      </c>
      <c r="BZ247" s="1">
        <v>33200</v>
      </c>
      <c r="CA247" s="1">
        <v>402874</v>
      </c>
      <c r="CC247" s="125">
        <f t="shared" si="18"/>
        <v>597237</v>
      </c>
      <c r="CD247" s="1">
        <v>110572</v>
      </c>
      <c r="CK247" s="124">
        <f t="shared" si="19"/>
        <v>110572</v>
      </c>
      <c r="CM247" s="23">
        <v>4387000</v>
      </c>
      <c r="CV247" s="129">
        <v>3626287</v>
      </c>
    </row>
    <row r="248" spans="1:100" ht="12.75" customHeight="1">
      <c r="A248" s="1">
        <v>15</v>
      </c>
      <c r="B248" s="1">
        <v>860</v>
      </c>
      <c r="C248" s="1" t="s">
        <v>1037</v>
      </c>
      <c r="D248" s="5" t="s">
        <v>1038</v>
      </c>
      <c r="E248" t="s">
        <v>315</v>
      </c>
      <c r="F248" s="26">
        <v>1289</v>
      </c>
      <c r="G248" s="78">
        <v>6081922</v>
      </c>
      <c r="H248" s="78">
        <v>75373</v>
      </c>
      <c r="M248" s="1">
        <v>439953</v>
      </c>
      <c r="O248" s="117">
        <f t="shared" si="15"/>
        <v>6597248</v>
      </c>
      <c r="P248" s="78">
        <v>4547824</v>
      </c>
      <c r="Q248" s="78">
        <v>225148</v>
      </c>
      <c r="V248" s="1">
        <v>308048</v>
      </c>
      <c r="W248" s="1">
        <v>916158</v>
      </c>
      <c r="X248" s="1">
        <v>9326</v>
      </c>
      <c r="Y248" s="78">
        <v>61474</v>
      </c>
      <c r="AC248" s="1">
        <v>11359</v>
      </c>
      <c r="AD248" s="1">
        <v>133639</v>
      </c>
      <c r="AE248" s="1">
        <v>212698</v>
      </c>
      <c r="AF248" s="1">
        <v>23452</v>
      </c>
      <c r="AG248" s="1">
        <v>883379</v>
      </c>
      <c r="AH248" s="1">
        <v>472296</v>
      </c>
      <c r="AM248" s="1">
        <v>281697</v>
      </c>
      <c r="AP248" s="1">
        <v>463786</v>
      </c>
      <c r="AU248" s="1">
        <v>512802</v>
      </c>
      <c r="AV248" s="116">
        <f t="shared" si="16"/>
        <v>9063086</v>
      </c>
      <c r="AW248" s="1">
        <v>7526</v>
      </c>
      <c r="BC248" s="1">
        <v>277786</v>
      </c>
      <c r="BD248" s="1">
        <v>279131</v>
      </c>
      <c r="BE248" s="1">
        <v>374069</v>
      </c>
      <c r="BF248" s="121">
        <f t="shared" si="17"/>
        <v>938512</v>
      </c>
      <c r="BG248" s="1">
        <v>105000</v>
      </c>
      <c r="BI248" s="1">
        <v>1750</v>
      </c>
      <c r="CA248" s="1">
        <v>1016</v>
      </c>
      <c r="CC248" s="125">
        <f t="shared" si="18"/>
        <v>107766</v>
      </c>
      <c r="CK248" s="124">
        <f t="shared" si="19"/>
        <v>0</v>
      </c>
      <c r="CT248" s="23">
        <v>551876</v>
      </c>
      <c r="CV248" s="129">
        <v>2277361</v>
      </c>
    </row>
    <row r="249" spans="1:100" ht="12.75" customHeight="1">
      <c r="A249" s="1">
        <v>15</v>
      </c>
      <c r="B249" s="1">
        <v>870</v>
      </c>
      <c r="C249" s="1" t="s">
        <v>1037</v>
      </c>
      <c r="D249" s="5" t="s">
        <v>1039</v>
      </c>
      <c r="E249" t="s">
        <v>316</v>
      </c>
      <c r="F249" s="26">
        <v>2390.5</v>
      </c>
      <c r="G249" s="78">
        <v>13321073</v>
      </c>
      <c r="H249" s="78">
        <v>346002</v>
      </c>
      <c r="M249" s="1">
        <v>1946686</v>
      </c>
      <c r="O249" s="117">
        <f t="shared" si="15"/>
        <v>15613761</v>
      </c>
      <c r="P249" s="78">
        <v>9025472</v>
      </c>
      <c r="Q249" s="78">
        <v>48455</v>
      </c>
      <c r="V249" s="1">
        <v>752254</v>
      </c>
      <c r="W249" s="1">
        <v>912464</v>
      </c>
      <c r="X249" s="1">
        <v>2374</v>
      </c>
      <c r="AC249" s="1">
        <v>65144</v>
      </c>
      <c r="AD249" s="1">
        <v>236776</v>
      </c>
      <c r="AE249" s="1">
        <v>329334</v>
      </c>
      <c r="AF249" s="1">
        <v>215289</v>
      </c>
      <c r="AG249" s="1">
        <v>1543344</v>
      </c>
      <c r="AH249" s="1">
        <v>885271</v>
      </c>
      <c r="AP249" s="1">
        <v>587536</v>
      </c>
      <c r="AU249" s="1">
        <v>90043</v>
      </c>
      <c r="AV249" s="116">
        <f t="shared" si="16"/>
        <v>14693756</v>
      </c>
      <c r="BB249" s="1">
        <v>54473</v>
      </c>
      <c r="BC249" s="1">
        <v>121313</v>
      </c>
      <c r="BD249" s="1">
        <v>308215</v>
      </c>
      <c r="BE249" s="1">
        <v>38183</v>
      </c>
      <c r="BF249" s="121">
        <f t="shared" si="17"/>
        <v>522184</v>
      </c>
      <c r="BG249" s="1">
        <v>320640</v>
      </c>
      <c r="BI249" s="1">
        <v>15600</v>
      </c>
      <c r="BN249" s="1">
        <v>10637</v>
      </c>
      <c r="BO249" s="1">
        <v>6809</v>
      </c>
      <c r="BR249" s="1">
        <v>1862</v>
      </c>
      <c r="CC249" s="125">
        <f t="shared" si="18"/>
        <v>355548</v>
      </c>
      <c r="CD249" s="1">
        <v>108789</v>
      </c>
      <c r="CK249" s="124">
        <f t="shared" si="19"/>
        <v>108789</v>
      </c>
      <c r="CV249" s="129">
        <v>612227</v>
      </c>
    </row>
    <row r="250" spans="1:100" ht="12.75" customHeight="1">
      <c r="A250" s="1">
        <v>15</v>
      </c>
      <c r="B250" s="1">
        <v>1100</v>
      </c>
      <c r="C250" s="1" t="s">
        <v>1037</v>
      </c>
      <c r="D250" s="5" t="s">
        <v>1040</v>
      </c>
      <c r="E250" t="s">
        <v>317</v>
      </c>
      <c r="F250" s="26">
        <v>4304.5</v>
      </c>
      <c r="G250" s="78">
        <v>30348902</v>
      </c>
      <c r="H250" s="78">
        <v>452373</v>
      </c>
      <c r="L250" s="1">
        <v>4045</v>
      </c>
      <c r="M250" s="1">
        <v>1578764</v>
      </c>
      <c r="O250" s="117">
        <f t="shared" si="15"/>
        <v>32384084</v>
      </c>
      <c r="P250" s="78">
        <v>9949941</v>
      </c>
      <c r="V250" s="1">
        <v>1124474</v>
      </c>
      <c r="W250" s="1">
        <v>2697066</v>
      </c>
      <c r="X250" s="1">
        <v>33728</v>
      </c>
      <c r="Y250" s="78">
        <v>1423467</v>
      </c>
      <c r="AC250" s="1">
        <v>73543</v>
      </c>
      <c r="AD250" s="1">
        <v>441404</v>
      </c>
      <c r="AE250" s="1">
        <v>550291</v>
      </c>
      <c r="AF250" s="1">
        <v>32483</v>
      </c>
      <c r="AG250" s="1">
        <v>3583707</v>
      </c>
      <c r="AH250" s="1">
        <v>1777073</v>
      </c>
      <c r="AM250" s="1">
        <v>710062</v>
      </c>
      <c r="AP250" s="1">
        <v>95595</v>
      </c>
      <c r="AU250" s="1">
        <v>491141</v>
      </c>
      <c r="AV250" s="116">
        <f t="shared" si="16"/>
        <v>22983975</v>
      </c>
      <c r="BC250" s="1">
        <v>360571</v>
      </c>
      <c r="BD250" s="1">
        <v>1001118</v>
      </c>
      <c r="BE250" s="1">
        <v>220879</v>
      </c>
      <c r="BF250" s="121">
        <f t="shared" si="17"/>
        <v>1582568</v>
      </c>
      <c r="CC250" s="125">
        <f t="shared" si="18"/>
        <v>0</v>
      </c>
      <c r="CD250" s="1">
        <v>403295</v>
      </c>
      <c r="CK250" s="124">
        <f t="shared" si="19"/>
        <v>403295</v>
      </c>
      <c r="CT250" s="23">
        <v>1962878</v>
      </c>
      <c r="CV250" s="129">
        <v>4750694</v>
      </c>
    </row>
    <row r="251" spans="1:100" ht="12.75" customHeight="1">
      <c r="A251" s="1">
        <v>15</v>
      </c>
      <c r="B251" s="1">
        <v>1180</v>
      </c>
      <c r="C251" s="1" t="s">
        <v>1037</v>
      </c>
      <c r="D251" s="5" t="s">
        <v>1041</v>
      </c>
      <c r="E251" t="s">
        <v>318</v>
      </c>
      <c r="F251" s="26">
        <v>758</v>
      </c>
      <c r="G251" s="78">
        <v>6058909</v>
      </c>
      <c r="H251" s="78">
        <v>63295</v>
      </c>
      <c r="M251" s="1">
        <v>885924</v>
      </c>
      <c r="O251" s="117">
        <f t="shared" si="15"/>
        <v>7008128</v>
      </c>
      <c r="P251" s="78">
        <v>1231285</v>
      </c>
      <c r="V251" s="1">
        <v>103601</v>
      </c>
      <c r="W251" s="1">
        <v>232583</v>
      </c>
      <c r="Y251" s="78">
        <v>342083</v>
      </c>
      <c r="AD251" s="1">
        <v>67588</v>
      </c>
      <c r="AE251" s="1">
        <v>59314</v>
      </c>
      <c r="AF251" s="1">
        <v>72418</v>
      </c>
      <c r="AG251" s="1">
        <v>477516</v>
      </c>
      <c r="AH251" s="1">
        <v>319913</v>
      </c>
      <c r="AP251" s="1">
        <v>203847</v>
      </c>
      <c r="AV251" s="116">
        <f t="shared" si="16"/>
        <v>3110148</v>
      </c>
      <c r="BC251" s="1">
        <v>51777</v>
      </c>
      <c r="BD251" s="1">
        <v>124036</v>
      </c>
      <c r="BE251" s="1">
        <v>14793</v>
      </c>
      <c r="BF251" s="121">
        <f t="shared" si="17"/>
        <v>190606</v>
      </c>
      <c r="BO251" s="1">
        <v>184</v>
      </c>
      <c r="CA251" s="1">
        <v>4041</v>
      </c>
      <c r="CC251" s="125">
        <f t="shared" si="18"/>
        <v>4225</v>
      </c>
      <c r="CK251" s="124">
        <f t="shared" si="19"/>
        <v>0</v>
      </c>
      <c r="CV251" s="129">
        <v>190606</v>
      </c>
    </row>
    <row r="252" spans="1:100" ht="12.75" customHeight="1">
      <c r="A252" s="1">
        <v>15</v>
      </c>
      <c r="B252" s="1">
        <v>1330</v>
      </c>
      <c r="C252" s="1" t="s">
        <v>1037</v>
      </c>
      <c r="D252" s="5" t="s">
        <v>1042</v>
      </c>
      <c r="E252" t="s">
        <v>319</v>
      </c>
      <c r="F252" s="26">
        <v>371</v>
      </c>
      <c r="G252" s="78">
        <v>1846000</v>
      </c>
      <c r="H252" s="78">
        <v>98051</v>
      </c>
      <c r="O252" s="117">
        <f t="shared" si="15"/>
        <v>1944051</v>
      </c>
      <c r="P252" s="78">
        <v>1026230</v>
      </c>
      <c r="Q252" s="78">
        <v>119658</v>
      </c>
      <c r="V252" s="1">
        <v>141848</v>
      </c>
      <c r="W252" s="1">
        <v>145383</v>
      </c>
      <c r="Y252" s="78">
        <v>593456</v>
      </c>
      <c r="AC252" s="1">
        <v>26991</v>
      </c>
      <c r="AD252" s="1">
        <v>37016</v>
      </c>
      <c r="AG252" s="1">
        <v>344889</v>
      </c>
      <c r="AH252" s="1">
        <v>161866</v>
      </c>
      <c r="AI252" s="1">
        <v>31279</v>
      </c>
      <c r="AM252" s="1">
        <v>111912</v>
      </c>
      <c r="AP252" s="1">
        <v>146455</v>
      </c>
      <c r="AU252" s="1">
        <v>2533</v>
      </c>
      <c r="AV252" s="116">
        <f t="shared" si="16"/>
        <v>2889516</v>
      </c>
      <c r="BC252" s="1">
        <v>126726</v>
      </c>
      <c r="BD252" s="1">
        <v>103514</v>
      </c>
      <c r="BE252" s="1">
        <v>52343</v>
      </c>
      <c r="BF252" s="121">
        <f t="shared" si="17"/>
        <v>282583</v>
      </c>
      <c r="BN252" s="1">
        <v>74164</v>
      </c>
      <c r="BO252" s="1">
        <v>704</v>
      </c>
      <c r="BP252" s="1">
        <v>4442</v>
      </c>
      <c r="BY252" s="1">
        <v>194845</v>
      </c>
      <c r="CC252" s="125">
        <f t="shared" si="18"/>
        <v>274155</v>
      </c>
      <c r="CD252" s="1">
        <v>1621</v>
      </c>
      <c r="CK252" s="124">
        <f t="shared" si="19"/>
        <v>1621</v>
      </c>
      <c r="CM252" s="23">
        <v>191000</v>
      </c>
      <c r="CT252" s="23">
        <v>172674</v>
      </c>
      <c r="CV252" s="129">
        <v>569702</v>
      </c>
    </row>
    <row r="253" spans="1:100" ht="12.75" customHeight="1">
      <c r="A253" s="1">
        <v>15</v>
      </c>
      <c r="B253" s="1">
        <v>1590</v>
      </c>
      <c r="C253" s="1" t="s">
        <v>1037</v>
      </c>
      <c r="D253" s="5" t="s">
        <v>1043</v>
      </c>
      <c r="E253" t="s">
        <v>320</v>
      </c>
      <c r="F253" s="26">
        <v>1525</v>
      </c>
      <c r="G253" s="78">
        <v>7205864</v>
      </c>
      <c r="H253" s="78">
        <v>72385</v>
      </c>
      <c r="M253" s="1">
        <v>187724</v>
      </c>
      <c r="O253" s="117">
        <f t="shared" si="15"/>
        <v>7465973</v>
      </c>
      <c r="P253" s="78">
        <v>4729819</v>
      </c>
      <c r="Q253" s="78">
        <v>187134</v>
      </c>
      <c r="V253" s="1">
        <v>636726</v>
      </c>
      <c r="W253" s="1">
        <v>986373</v>
      </c>
      <c r="AC253" s="1">
        <v>11598</v>
      </c>
      <c r="AD253" s="1">
        <v>152730</v>
      </c>
      <c r="AE253" s="1">
        <v>206843</v>
      </c>
      <c r="AF253" s="1">
        <v>12125</v>
      </c>
      <c r="AG253" s="1">
        <v>979001</v>
      </c>
      <c r="AH253" s="1">
        <v>536664</v>
      </c>
      <c r="AM253" s="1">
        <v>120337</v>
      </c>
      <c r="AO253" s="1">
        <v>81645</v>
      </c>
      <c r="AP253" s="1">
        <v>161016</v>
      </c>
      <c r="AT253" s="1">
        <v>301889</v>
      </c>
      <c r="AV253" s="116">
        <f t="shared" si="16"/>
        <v>9103900</v>
      </c>
      <c r="AW253" s="1">
        <v>11850</v>
      </c>
      <c r="BC253" s="1">
        <v>234270</v>
      </c>
      <c r="BD253" s="1">
        <v>334833</v>
      </c>
      <c r="BE253" s="1">
        <v>77728</v>
      </c>
      <c r="BF253" s="121">
        <f t="shared" si="17"/>
        <v>658681</v>
      </c>
      <c r="BI253" s="1">
        <v>4545</v>
      </c>
      <c r="BN253" s="1">
        <v>9734</v>
      </c>
      <c r="BO253" s="1">
        <v>55</v>
      </c>
      <c r="BR253" s="1">
        <v>48500</v>
      </c>
      <c r="CA253" s="1">
        <v>25913</v>
      </c>
      <c r="CC253" s="125">
        <f t="shared" si="18"/>
        <v>88747</v>
      </c>
      <c r="CD253" s="1">
        <v>184865</v>
      </c>
      <c r="CK253" s="124">
        <f t="shared" si="19"/>
        <v>184865</v>
      </c>
      <c r="CM253" s="23">
        <v>1057000</v>
      </c>
      <c r="CN253" s="23">
        <v>346</v>
      </c>
      <c r="CV253" s="129">
        <v>848813</v>
      </c>
    </row>
    <row r="254" spans="1:100" ht="12.75" customHeight="1">
      <c r="A254" s="1">
        <v>15</v>
      </c>
      <c r="B254" s="1">
        <v>1715</v>
      </c>
      <c r="C254" s="1" t="s">
        <v>1037</v>
      </c>
      <c r="D254" s="5" t="s">
        <v>1044</v>
      </c>
      <c r="E254" t="s">
        <v>321</v>
      </c>
      <c r="F254" s="26">
        <v>1007</v>
      </c>
      <c r="G254" s="78">
        <v>7601816</v>
      </c>
      <c r="H254" s="78">
        <v>88639</v>
      </c>
      <c r="M254" s="1">
        <v>568540</v>
      </c>
      <c r="O254" s="117">
        <f t="shared" si="15"/>
        <v>8258995</v>
      </c>
      <c r="P254" s="78">
        <v>4793570</v>
      </c>
      <c r="Q254" s="78">
        <v>356570</v>
      </c>
      <c r="V254" s="1">
        <v>487293</v>
      </c>
      <c r="W254" s="1">
        <v>720626</v>
      </c>
      <c r="X254" s="1">
        <v>18</v>
      </c>
      <c r="AC254" s="1">
        <v>12209</v>
      </c>
      <c r="AD254" s="1">
        <v>122009</v>
      </c>
      <c r="AE254" s="1">
        <v>195153</v>
      </c>
      <c r="AF254" s="1">
        <v>6623</v>
      </c>
      <c r="AG254" s="1">
        <v>1144070</v>
      </c>
      <c r="AH254" s="1">
        <v>526792</v>
      </c>
      <c r="AO254" s="1">
        <v>25001</v>
      </c>
      <c r="AU254" s="1">
        <v>72920</v>
      </c>
      <c r="AV254" s="116">
        <f t="shared" si="16"/>
        <v>8462854</v>
      </c>
      <c r="BC254" s="1">
        <v>151681</v>
      </c>
      <c r="BD254" s="1">
        <v>224346</v>
      </c>
      <c r="BE254" s="1">
        <v>33824</v>
      </c>
      <c r="BF254" s="121">
        <f t="shared" si="17"/>
        <v>409851</v>
      </c>
      <c r="BJ254" s="1">
        <v>25247</v>
      </c>
      <c r="BN254" s="1">
        <v>1019453</v>
      </c>
      <c r="CC254" s="125">
        <f t="shared" si="18"/>
        <v>1044700</v>
      </c>
      <c r="CK254" s="124">
        <f t="shared" si="19"/>
        <v>0</v>
      </c>
      <c r="CV254" s="129">
        <v>507772</v>
      </c>
    </row>
    <row r="255" spans="1:100" ht="12.75" customHeight="1">
      <c r="A255" s="1">
        <v>15</v>
      </c>
      <c r="B255" s="1">
        <v>1730</v>
      </c>
      <c r="C255" s="1" t="s">
        <v>1037</v>
      </c>
      <c r="D255" s="5" t="s">
        <v>1045</v>
      </c>
      <c r="E255" t="s">
        <v>322</v>
      </c>
      <c r="F255" s="26">
        <v>2422.5</v>
      </c>
      <c r="G255" s="78">
        <v>15166787</v>
      </c>
      <c r="H255" s="78">
        <v>190006</v>
      </c>
      <c r="K255" s="1">
        <v>101442</v>
      </c>
      <c r="L255" s="1">
        <v>13200</v>
      </c>
      <c r="M255" s="1">
        <v>1416064</v>
      </c>
      <c r="O255" s="117">
        <f t="shared" si="15"/>
        <v>16887499</v>
      </c>
      <c r="P255" s="78">
        <v>7480390</v>
      </c>
      <c r="Q255" s="78">
        <v>438274</v>
      </c>
      <c r="V255" s="1">
        <v>779993</v>
      </c>
      <c r="W255" s="1">
        <v>2687401</v>
      </c>
      <c r="X255" s="1">
        <v>25714</v>
      </c>
      <c r="AC255" s="1">
        <v>100578</v>
      </c>
      <c r="AD255" s="1">
        <v>265084</v>
      </c>
      <c r="AE255" s="1">
        <v>412841</v>
      </c>
      <c r="AF255" s="1">
        <v>222586</v>
      </c>
      <c r="AG255" s="1">
        <v>2148628</v>
      </c>
      <c r="AH255" s="1">
        <v>1034027</v>
      </c>
      <c r="AJ255" s="1">
        <v>6867</v>
      </c>
      <c r="AM255" s="1">
        <v>802962</v>
      </c>
      <c r="AP255" s="1">
        <v>376757</v>
      </c>
      <c r="AU255" s="1">
        <v>257495</v>
      </c>
      <c r="AV255" s="116">
        <f t="shared" si="16"/>
        <v>17039597</v>
      </c>
      <c r="AW255" s="1">
        <v>9809</v>
      </c>
      <c r="BC255" s="1">
        <v>592861</v>
      </c>
      <c r="BD255" s="1">
        <v>642108</v>
      </c>
      <c r="BE255" s="1">
        <v>514365</v>
      </c>
      <c r="BF255" s="121">
        <f t="shared" si="17"/>
        <v>1759143</v>
      </c>
      <c r="BG255" s="1">
        <v>1403122</v>
      </c>
      <c r="BH255" s="1">
        <v>5396</v>
      </c>
      <c r="BJ255" s="1">
        <v>58333</v>
      </c>
      <c r="BK255" s="1">
        <v>150461</v>
      </c>
      <c r="BN255" s="1">
        <v>39614</v>
      </c>
      <c r="BO255" s="1">
        <v>3659</v>
      </c>
      <c r="BR255" s="1">
        <v>14769</v>
      </c>
      <c r="BS255" s="1">
        <v>2875</v>
      </c>
      <c r="BZ255" s="1">
        <v>6183</v>
      </c>
      <c r="CA255" s="1">
        <v>12686</v>
      </c>
      <c r="CC255" s="125">
        <f t="shared" si="18"/>
        <v>1697098</v>
      </c>
      <c r="CD255" s="1">
        <v>129997</v>
      </c>
      <c r="CK255" s="124">
        <f t="shared" si="19"/>
        <v>129997</v>
      </c>
      <c r="CQ255" s="23">
        <v>71090</v>
      </c>
      <c r="CT255" s="23">
        <v>1210402</v>
      </c>
      <c r="CV255" s="129">
        <v>4111350</v>
      </c>
    </row>
    <row r="256" spans="1:100" ht="12.75" customHeight="1">
      <c r="A256" s="1">
        <v>15</v>
      </c>
      <c r="B256" s="1">
        <v>1774</v>
      </c>
      <c r="C256" s="1" t="s">
        <v>1037</v>
      </c>
      <c r="D256" s="5" t="s">
        <v>1046</v>
      </c>
      <c r="E256" t="s">
        <v>323</v>
      </c>
      <c r="F256" s="26">
        <v>611.5</v>
      </c>
      <c r="H256" s="78">
        <v>783451</v>
      </c>
      <c r="I256" s="1">
        <v>500500</v>
      </c>
      <c r="L256" s="1">
        <v>2691</v>
      </c>
      <c r="O256" s="117">
        <f t="shared" si="15"/>
        <v>1286642</v>
      </c>
      <c r="AG256" s="1">
        <v>1020991</v>
      </c>
      <c r="AH256" s="1">
        <v>841862</v>
      </c>
      <c r="AU256" s="1">
        <v>4883269</v>
      </c>
      <c r="AV256" s="116">
        <f t="shared" si="16"/>
        <v>6746122</v>
      </c>
      <c r="AW256" s="1">
        <v>40251</v>
      </c>
      <c r="BC256" s="1">
        <v>40383</v>
      </c>
      <c r="BE256" s="1">
        <v>1927240</v>
      </c>
      <c r="BF256" s="121">
        <f t="shared" si="17"/>
        <v>2007874</v>
      </c>
      <c r="BL256" s="1">
        <v>501617</v>
      </c>
      <c r="BO256" s="1">
        <v>2634</v>
      </c>
      <c r="CC256" s="125">
        <f t="shared" si="18"/>
        <v>504251</v>
      </c>
      <c r="CF256" s="1">
        <v>18239468</v>
      </c>
      <c r="CK256" s="124">
        <f t="shared" si="19"/>
        <v>18239468</v>
      </c>
      <c r="CV256" s="129">
        <v>6853583</v>
      </c>
    </row>
    <row r="257" spans="1:100" ht="12.75" customHeight="1">
      <c r="A257" s="1">
        <v>15</v>
      </c>
      <c r="B257" s="1">
        <v>1775</v>
      </c>
      <c r="C257" s="1" t="s">
        <v>1037</v>
      </c>
      <c r="D257" s="5" t="s">
        <v>1047</v>
      </c>
      <c r="E257" t="s">
        <v>324</v>
      </c>
      <c r="F257" s="26">
        <v>818</v>
      </c>
      <c r="H257" s="78">
        <v>491128</v>
      </c>
      <c r="I257" s="1">
        <v>6892450</v>
      </c>
      <c r="L257" s="1">
        <v>2621</v>
      </c>
      <c r="O257" s="117">
        <f t="shared" si="15"/>
        <v>7386199</v>
      </c>
      <c r="P257" s="78">
        <v>1645799</v>
      </c>
      <c r="W257" s="1">
        <v>563230</v>
      </c>
      <c r="Y257" s="78">
        <v>711988</v>
      </c>
      <c r="AA257" s="1">
        <v>802861</v>
      </c>
      <c r="AD257" s="1">
        <v>753913</v>
      </c>
      <c r="AE257" s="1">
        <v>136472</v>
      </c>
      <c r="AF257" s="1">
        <v>50777</v>
      </c>
      <c r="AG257" s="1">
        <v>606907</v>
      </c>
      <c r="AH257" s="1">
        <v>386323</v>
      </c>
      <c r="AO257" s="1">
        <v>14276</v>
      </c>
      <c r="AU257" s="1">
        <v>319697</v>
      </c>
      <c r="AV257" s="116">
        <f t="shared" si="16"/>
        <v>5992243</v>
      </c>
      <c r="BB257" s="1">
        <v>502828</v>
      </c>
      <c r="BC257" s="1">
        <v>54240</v>
      </c>
      <c r="BD257" s="1">
        <v>78169</v>
      </c>
      <c r="BE257" s="1">
        <v>377833</v>
      </c>
      <c r="BF257" s="121">
        <f t="shared" si="17"/>
        <v>1013070</v>
      </c>
      <c r="BL257" s="1">
        <v>829500</v>
      </c>
      <c r="CB257" s="1">
        <v>10640222</v>
      </c>
      <c r="CC257" s="125">
        <f t="shared" si="18"/>
        <v>11469722</v>
      </c>
      <c r="CG257" s="1">
        <v>239550</v>
      </c>
      <c r="CK257" s="124">
        <f t="shared" si="19"/>
        <v>239550</v>
      </c>
      <c r="CP257" s="23">
        <v>56995</v>
      </c>
      <c r="CR257" s="23">
        <v>86474</v>
      </c>
      <c r="CV257" s="129">
        <v>1436138</v>
      </c>
    </row>
    <row r="258" spans="1:100" ht="12.75" customHeight="1">
      <c r="A258" s="1">
        <v>15</v>
      </c>
      <c r="B258" s="1">
        <v>1830</v>
      </c>
      <c r="C258" s="1" t="s">
        <v>1037</v>
      </c>
      <c r="D258" s="5" t="s">
        <v>1177</v>
      </c>
      <c r="E258" t="s">
        <v>325</v>
      </c>
      <c r="F258" s="26">
        <v>541</v>
      </c>
      <c r="G258" s="78">
        <v>8376849</v>
      </c>
      <c r="H258" s="78">
        <v>87250</v>
      </c>
      <c r="O258" s="117">
        <f t="shared" si="15"/>
        <v>8464099</v>
      </c>
      <c r="V258" s="1">
        <v>263038</v>
      </c>
      <c r="W258" s="1">
        <v>539839</v>
      </c>
      <c r="Y258" s="78">
        <v>497896</v>
      </c>
      <c r="AC258" s="1">
        <v>22346</v>
      </c>
      <c r="AD258" s="1">
        <v>77901</v>
      </c>
      <c r="AE258" s="1">
        <v>42001</v>
      </c>
      <c r="AG258" s="1">
        <v>716585</v>
      </c>
      <c r="AH258" s="1">
        <v>302498</v>
      </c>
      <c r="AI258" s="1">
        <v>4351</v>
      </c>
      <c r="AL258" s="1">
        <v>10043</v>
      </c>
      <c r="AO258" s="1">
        <v>18814</v>
      </c>
      <c r="AU258" s="1">
        <v>110119</v>
      </c>
      <c r="AV258" s="116">
        <f t="shared" si="16"/>
        <v>2605431</v>
      </c>
      <c r="BC258" s="1">
        <v>53823</v>
      </c>
      <c r="BD258" s="1">
        <v>170583</v>
      </c>
      <c r="BE258" s="1">
        <v>32636</v>
      </c>
      <c r="BF258" s="121">
        <f t="shared" si="17"/>
        <v>257042</v>
      </c>
      <c r="BG258" s="1">
        <v>176950</v>
      </c>
      <c r="BO258" s="1">
        <v>6426</v>
      </c>
      <c r="CC258" s="125">
        <f t="shared" si="18"/>
        <v>183376</v>
      </c>
      <c r="CD258" s="1">
        <v>54788</v>
      </c>
      <c r="CK258" s="124">
        <f t="shared" si="19"/>
        <v>54788</v>
      </c>
      <c r="CV258" s="129">
        <v>396018</v>
      </c>
    </row>
    <row r="259" spans="1:100" ht="12.75" customHeight="1">
      <c r="A259" s="1">
        <v>15</v>
      </c>
      <c r="B259" s="1">
        <v>2070</v>
      </c>
      <c r="C259" s="1" t="s">
        <v>1037</v>
      </c>
      <c r="D259" s="5" t="s">
        <v>1048</v>
      </c>
      <c r="E259" t="s">
        <v>326</v>
      </c>
      <c r="F259" s="26">
        <v>1465</v>
      </c>
      <c r="G259" s="78">
        <v>9067248</v>
      </c>
      <c r="H259" s="78">
        <v>158513</v>
      </c>
      <c r="M259" s="1">
        <v>956150</v>
      </c>
      <c r="O259" s="117">
        <f t="shared" si="15"/>
        <v>10181911</v>
      </c>
      <c r="P259" s="78">
        <v>3588562</v>
      </c>
      <c r="V259" s="1">
        <v>329237</v>
      </c>
      <c r="W259" s="1">
        <v>505981</v>
      </c>
      <c r="X259" s="1">
        <v>4672</v>
      </c>
      <c r="AC259" s="1">
        <v>64998</v>
      </c>
      <c r="AD259" s="1">
        <v>145708</v>
      </c>
      <c r="AE259" s="1">
        <v>137225</v>
      </c>
      <c r="AF259" s="1">
        <v>145034</v>
      </c>
      <c r="AG259" s="1">
        <v>616512</v>
      </c>
      <c r="AH259" s="1">
        <v>501748</v>
      </c>
      <c r="AP259" s="1">
        <v>602489</v>
      </c>
      <c r="AU259" s="1">
        <v>78217</v>
      </c>
      <c r="AV259" s="116">
        <f t="shared" si="16"/>
        <v>6720383</v>
      </c>
      <c r="BC259" s="1">
        <v>76467</v>
      </c>
      <c r="BD259" s="1">
        <v>277266</v>
      </c>
      <c r="BE259" s="1">
        <v>69096</v>
      </c>
      <c r="BF259" s="121">
        <f t="shared" si="17"/>
        <v>422829</v>
      </c>
      <c r="BG259" s="1">
        <v>200000</v>
      </c>
      <c r="BN259" s="1">
        <v>35851</v>
      </c>
      <c r="BO259" s="1">
        <v>137</v>
      </c>
      <c r="BZ259" s="1">
        <v>18139</v>
      </c>
      <c r="CC259" s="125">
        <f t="shared" si="18"/>
        <v>254127</v>
      </c>
      <c r="CD259" s="1">
        <v>177300</v>
      </c>
      <c r="CK259" s="124">
        <f t="shared" si="19"/>
        <v>177300</v>
      </c>
      <c r="CV259" s="129">
        <v>501046</v>
      </c>
    </row>
    <row r="260" spans="1:100" ht="12.75" customHeight="1">
      <c r="A260" s="1">
        <v>15</v>
      </c>
      <c r="B260" s="1">
        <v>2440</v>
      </c>
      <c r="C260" s="1" t="s">
        <v>1037</v>
      </c>
      <c r="D260" s="5" t="s">
        <v>1049</v>
      </c>
      <c r="E260" t="s">
        <v>327</v>
      </c>
      <c r="F260" s="26">
        <v>2039</v>
      </c>
      <c r="G260" s="78">
        <v>13402716</v>
      </c>
      <c r="H260" s="78">
        <v>386430</v>
      </c>
      <c r="L260" s="1">
        <v>22</v>
      </c>
      <c r="M260" s="1">
        <v>1683659</v>
      </c>
      <c r="O260" s="117">
        <f t="shared" si="15"/>
        <v>15472827</v>
      </c>
      <c r="P260" s="78">
        <v>4655512</v>
      </c>
      <c r="V260" s="1">
        <v>469410</v>
      </c>
      <c r="W260" s="1">
        <v>504039</v>
      </c>
      <c r="AC260" s="1">
        <v>30682</v>
      </c>
      <c r="AD260" s="1">
        <v>156241</v>
      </c>
      <c r="AE260" s="1">
        <v>174765</v>
      </c>
      <c r="AF260" s="1">
        <v>182837</v>
      </c>
      <c r="AG260" s="1">
        <v>1100092</v>
      </c>
      <c r="AH260" s="1">
        <v>736424</v>
      </c>
      <c r="AO260" s="1">
        <v>40307</v>
      </c>
      <c r="AP260" s="1">
        <v>644110</v>
      </c>
      <c r="AV260" s="116">
        <f t="shared" si="16"/>
        <v>8694419</v>
      </c>
      <c r="BC260" s="1">
        <v>86515</v>
      </c>
      <c r="BD260" s="1">
        <v>266811</v>
      </c>
      <c r="BE260" s="1">
        <v>33184</v>
      </c>
      <c r="BF260" s="121">
        <f t="shared" si="17"/>
        <v>386510</v>
      </c>
      <c r="BN260" s="1">
        <v>235697</v>
      </c>
      <c r="BZ260" s="1">
        <v>9016</v>
      </c>
      <c r="CC260" s="125">
        <f t="shared" si="18"/>
        <v>244713</v>
      </c>
      <c r="CD260" s="1">
        <v>4168924</v>
      </c>
      <c r="CK260" s="124">
        <f t="shared" si="19"/>
        <v>4168924</v>
      </c>
      <c r="CV260" s="129">
        <v>426839</v>
      </c>
    </row>
    <row r="261" spans="1:100" ht="12.75" customHeight="1">
      <c r="A261" s="1">
        <v>15</v>
      </c>
      <c r="B261" s="1">
        <v>2750</v>
      </c>
      <c r="C261" s="1" t="s">
        <v>1037</v>
      </c>
      <c r="D261" s="5" t="s">
        <v>1050</v>
      </c>
      <c r="E261" t="s">
        <v>328</v>
      </c>
      <c r="F261" s="26">
        <v>927</v>
      </c>
      <c r="G261" s="78">
        <v>10122574</v>
      </c>
      <c r="H261" s="78">
        <v>149901</v>
      </c>
      <c r="L261" s="1">
        <v>3701</v>
      </c>
      <c r="M261" s="1">
        <v>992917</v>
      </c>
      <c r="O261" s="117">
        <f t="shared" ref="O261:O324" si="20">SUM(G261:N261)</f>
        <v>11269093</v>
      </c>
      <c r="P261" s="78">
        <v>3772759</v>
      </c>
      <c r="V261" s="1">
        <v>317373</v>
      </c>
      <c r="W261" s="1">
        <v>812075</v>
      </c>
      <c r="X261" s="1">
        <v>5935</v>
      </c>
      <c r="Y261" s="78">
        <v>407012</v>
      </c>
      <c r="AC261" s="1">
        <v>5588</v>
      </c>
      <c r="AD261" s="1">
        <v>145264</v>
      </c>
      <c r="AF261" s="1">
        <v>5221</v>
      </c>
      <c r="AG261" s="1">
        <v>656133</v>
      </c>
      <c r="AH261" s="1">
        <v>427288</v>
      </c>
      <c r="AP261" s="1">
        <v>594039</v>
      </c>
      <c r="AU261" s="1">
        <v>38513</v>
      </c>
      <c r="AV261" s="116">
        <f t="shared" ref="AV261:AV324" si="21">SUM(P261:AU261)</f>
        <v>7187200</v>
      </c>
      <c r="BC261" s="1">
        <v>59305</v>
      </c>
      <c r="BD261" s="1">
        <v>237984</v>
      </c>
      <c r="BE261" s="1">
        <v>53813</v>
      </c>
      <c r="BF261" s="121">
        <f t="shared" ref="BF261:BF324" si="22">SUM(AW261:BE261)</f>
        <v>351102</v>
      </c>
      <c r="BG261" s="1">
        <v>148931</v>
      </c>
      <c r="BI261" s="1">
        <v>160522</v>
      </c>
      <c r="BZ261" s="1">
        <v>897</v>
      </c>
      <c r="CC261" s="125">
        <f t="shared" ref="CC261:CC324" si="23">SUM(BG261:CB261)</f>
        <v>310350</v>
      </c>
      <c r="CK261" s="124">
        <f t="shared" ref="CK261:CK324" si="24">SUM(CD261:CJ261)</f>
        <v>0</v>
      </c>
      <c r="CV261" s="129">
        <v>393316</v>
      </c>
    </row>
    <row r="262" spans="1:100" ht="12.75" customHeight="1">
      <c r="A262" s="1">
        <v>15</v>
      </c>
      <c r="B262" s="1">
        <v>2990</v>
      </c>
      <c r="C262" s="1" t="s">
        <v>1037</v>
      </c>
      <c r="D262" s="5" t="s">
        <v>1051</v>
      </c>
      <c r="E262" t="s">
        <v>329</v>
      </c>
      <c r="F262" s="26">
        <v>1590</v>
      </c>
      <c r="G262" s="78">
        <v>9727332</v>
      </c>
      <c r="H262" s="78">
        <v>121482</v>
      </c>
      <c r="M262" s="1">
        <v>1173270</v>
      </c>
      <c r="O262" s="117">
        <f t="shared" si="20"/>
        <v>11022084</v>
      </c>
      <c r="P262" s="78">
        <v>3612499</v>
      </c>
      <c r="V262" s="1">
        <v>293227</v>
      </c>
      <c r="W262" s="1">
        <v>863062</v>
      </c>
      <c r="Y262" s="78">
        <v>218029</v>
      </c>
      <c r="AC262" s="1">
        <v>29682</v>
      </c>
      <c r="AD262" s="1">
        <v>159533</v>
      </c>
      <c r="AE262" s="1">
        <v>155169</v>
      </c>
      <c r="AG262" s="1">
        <v>945914</v>
      </c>
      <c r="AH262" s="1">
        <v>587678</v>
      </c>
      <c r="AI262" s="1">
        <v>6727</v>
      </c>
      <c r="AO262" s="1">
        <v>25950</v>
      </c>
      <c r="AP262" s="1">
        <v>845601</v>
      </c>
      <c r="AU262" s="1">
        <v>131253</v>
      </c>
      <c r="AV262" s="116">
        <f t="shared" si="21"/>
        <v>7874324</v>
      </c>
      <c r="AW262" s="1">
        <v>3673</v>
      </c>
      <c r="BC262" s="1">
        <v>93075</v>
      </c>
      <c r="BD262" s="1">
        <v>355167</v>
      </c>
      <c r="BE262" s="1">
        <v>83044</v>
      </c>
      <c r="BF262" s="121">
        <f t="shared" si="22"/>
        <v>534959</v>
      </c>
      <c r="BI262" s="1">
        <v>181636</v>
      </c>
      <c r="BO262" s="1">
        <v>2591</v>
      </c>
      <c r="CC262" s="125">
        <f t="shared" si="23"/>
        <v>184227</v>
      </c>
      <c r="CD262" s="1">
        <v>46511</v>
      </c>
      <c r="CK262" s="124">
        <f t="shared" si="24"/>
        <v>46511</v>
      </c>
      <c r="CV262" s="129">
        <v>688489</v>
      </c>
    </row>
    <row r="263" spans="1:100" ht="12.75" customHeight="1">
      <c r="A263" s="1">
        <v>15</v>
      </c>
      <c r="B263" s="1">
        <v>3280</v>
      </c>
      <c r="C263" s="1" t="s">
        <v>1037</v>
      </c>
      <c r="D263" s="5" t="s">
        <v>1052</v>
      </c>
      <c r="E263" t="s">
        <v>330</v>
      </c>
      <c r="F263" s="26">
        <v>5985.5</v>
      </c>
      <c r="G263" s="78">
        <v>34324581</v>
      </c>
      <c r="H263" s="78">
        <v>1160072</v>
      </c>
      <c r="L263" s="1">
        <v>138187</v>
      </c>
      <c r="M263" s="1">
        <v>2446343</v>
      </c>
      <c r="O263" s="117">
        <f t="shared" si="20"/>
        <v>38069183</v>
      </c>
      <c r="P263" s="78">
        <v>18481266</v>
      </c>
      <c r="V263" s="1">
        <v>1452321</v>
      </c>
      <c r="W263" s="1">
        <v>3856530</v>
      </c>
      <c r="X263" s="1">
        <v>23396</v>
      </c>
      <c r="AC263" s="1">
        <v>185542</v>
      </c>
      <c r="AD263" s="1">
        <v>584917</v>
      </c>
      <c r="AE263" s="1">
        <v>747613</v>
      </c>
      <c r="AF263" s="1">
        <v>377094</v>
      </c>
      <c r="AG263" s="1">
        <v>3266009</v>
      </c>
      <c r="AH263" s="1">
        <v>2082817</v>
      </c>
      <c r="AM263" s="1">
        <v>250593</v>
      </c>
      <c r="AO263" s="1">
        <v>271418</v>
      </c>
      <c r="AP263" s="1">
        <v>985620</v>
      </c>
      <c r="AU263" s="1">
        <v>597235</v>
      </c>
      <c r="AV263" s="116">
        <f t="shared" si="21"/>
        <v>33162371</v>
      </c>
      <c r="BC263" s="1">
        <v>584628</v>
      </c>
      <c r="BD263" s="1">
        <v>1379693</v>
      </c>
      <c r="BE263" s="1">
        <v>506397</v>
      </c>
      <c r="BF263" s="121">
        <f t="shared" si="22"/>
        <v>2470718</v>
      </c>
      <c r="CC263" s="125">
        <f t="shared" si="23"/>
        <v>0</v>
      </c>
      <c r="CD263" s="1">
        <v>63413</v>
      </c>
      <c r="CK263" s="124">
        <f t="shared" si="24"/>
        <v>63413</v>
      </c>
      <c r="CM263" s="23">
        <v>43639000</v>
      </c>
      <c r="CV263" s="129">
        <v>3728151</v>
      </c>
    </row>
    <row r="264" spans="1:100" ht="12.75" customHeight="1">
      <c r="A264" s="1">
        <v>15</v>
      </c>
      <c r="B264" s="1">
        <v>3490</v>
      </c>
      <c r="C264" s="1" t="s">
        <v>1037</v>
      </c>
      <c r="D264" s="5" t="s">
        <v>1053</v>
      </c>
      <c r="E264" t="s">
        <v>331</v>
      </c>
      <c r="F264" s="26">
        <v>307</v>
      </c>
      <c r="G264" s="78">
        <v>1419368</v>
      </c>
      <c r="H264" s="78">
        <v>23962</v>
      </c>
      <c r="M264" s="1">
        <v>162388</v>
      </c>
      <c r="O264" s="117">
        <f t="shared" si="20"/>
        <v>1605718</v>
      </c>
      <c r="P264" s="78">
        <v>966930</v>
      </c>
      <c r="Q264" s="78">
        <v>117530</v>
      </c>
      <c r="V264" s="1">
        <v>16799</v>
      </c>
      <c r="W264" s="1">
        <v>210424</v>
      </c>
      <c r="Y264" s="78">
        <v>394901</v>
      </c>
      <c r="AC264" s="1">
        <v>5299</v>
      </c>
      <c r="AD264" s="1">
        <v>26881</v>
      </c>
      <c r="AE264" s="1">
        <v>58156</v>
      </c>
      <c r="AF264" s="1">
        <v>87985</v>
      </c>
      <c r="AG264" s="1">
        <v>279599</v>
      </c>
      <c r="AH264" s="1">
        <v>119108</v>
      </c>
      <c r="AM264" s="1">
        <v>79509</v>
      </c>
      <c r="AP264" s="1">
        <v>173312</v>
      </c>
      <c r="AU264" s="1">
        <v>2722</v>
      </c>
      <c r="AV264" s="116">
        <f t="shared" si="21"/>
        <v>2539155</v>
      </c>
      <c r="BC264" s="1">
        <v>60008</v>
      </c>
      <c r="BD264" s="1">
        <v>102825</v>
      </c>
      <c r="BE264" s="1">
        <v>23984</v>
      </c>
      <c r="BF264" s="121">
        <f t="shared" si="22"/>
        <v>186817</v>
      </c>
      <c r="BO264" s="1">
        <v>30</v>
      </c>
      <c r="BZ264" s="1">
        <v>60</v>
      </c>
      <c r="CC264" s="125">
        <f t="shared" si="23"/>
        <v>90</v>
      </c>
      <c r="CK264" s="124">
        <f t="shared" si="24"/>
        <v>0</v>
      </c>
      <c r="CQ264" s="23">
        <v>1795</v>
      </c>
      <c r="CT264" s="23">
        <v>125552</v>
      </c>
      <c r="CV264" s="129">
        <v>488016</v>
      </c>
    </row>
    <row r="265" spans="1:100" ht="12.75" customHeight="1">
      <c r="A265" s="1">
        <v>15</v>
      </c>
      <c r="B265" s="1">
        <v>3580</v>
      </c>
      <c r="C265" s="1" t="s">
        <v>1037</v>
      </c>
      <c r="D265" s="5" t="s">
        <v>1054</v>
      </c>
      <c r="E265"/>
      <c r="F265" s="26"/>
      <c r="G265" s="78">
        <v>1571475</v>
      </c>
      <c r="H265" s="78">
        <v>4381</v>
      </c>
      <c r="O265" s="117">
        <f t="shared" si="20"/>
        <v>1575856</v>
      </c>
      <c r="P265" s="78">
        <v>715740</v>
      </c>
      <c r="Q265" s="78">
        <v>13371</v>
      </c>
      <c r="V265" s="1">
        <v>122615</v>
      </c>
      <c r="W265" s="1">
        <v>192546</v>
      </c>
      <c r="AC265" s="1">
        <v>14131</v>
      </c>
      <c r="AD265" s="1">
        <v>25126</v>
      </c>
      <c r="AE265" s="1">
        <v>32082</v>
      </c>
      <c r="AF265" s="1">
        <v>1044</v>
      </c>
      <c r="AG265" s="1">
        <v>15762</v>
      </c>
      <c r="AU265" s="1">
        <v>129101</v>
      </c>
      <c r="AV265" s="116">
        <f t="shared" si="21"/>
        <v>1261518</v>
      </c>
      <c r="BD265" s="1">
        <v>43250</v>
      </c>
      <c r="BF265" s="121">
        <f t="shared" si="22"/>
        <v>43250</v>
      </c>
      <c r="BO265" s="1">
        <v>899</v>
      </c>
      <c r="BR265" s="1">
        <v>50000</v>
      </c>
      <c r="CC265" s="125">
        <f t="shared" si="23"/>
        <v>50899</v>
      </c>
      <c r="CK265" s="124">
        <f t="shared" si="24"/>
        <v>0</v>
      </c>
      <c r="CV265" s="129">
        <v>172351</v>
      </c>
    </row>
    <row r="266" spans="1:100" ht="12.75" customHeight="1">
      <c r="A266" s="1">
        <v>15</v>
      </c>
      <c r="B266" s="1">
        <v>4020</v>
      </c>
      <c r="C266" s="1" t="s">
        <v>1037</v>
      </c>
      <c r="D266" s="5" t="s">
        <v>1055</v>
      </c>
      <c r="E266" t="s">
        <v>332</v>
      </c>
      <c r="F266" s="26">
        <v>1432</v>
      </c>
      <c r="G266" s="78">
        <v>4491320</v>
      </c>
      <c r="H266" s="78">
        <v>398811</v>
      </c>
      <c r="L266" s="1">
        <v>41826</v>
      </c>
      <c r="M266" s="1">
        <v>146580</v>
      </c>
      <c r="O266" s="117">
        <f t="shared" si="20"/>
        <v>5078537</v>
      </c>
      <c r="P266" s="78">
        <v>6124139</v>
      </c>
      <c r="Q266" s="78">
        <v>28457</v>
      </c>
      <c r="V266" s="1">
        <v>93950</v>
      </c>
      <c r="W266" s="1">
        <v>692901</v>
      </c>
      <c r="AC266" s="1">
        <v>24994</v>
      </c>
      <c r="AD266" s="1">
        <v>138001</v>
      </c>
      <c r="AE266" s="1">
        <v>249598</v>
      </c>
      <c r="AF266" s="1">
        <v>99307</v>
      </c>
      <c r="AG266" s="1">
        <v>1262230</v>
      </c>
      <c r="AH266" s="1">
        <v>633303</v>
      </c>
      <c r="AM266" s="1">
        <v>572257</v>
      </c>
      <c r="AP266" s="1">
        <v>216132</v>
      </c>
      <c r="AU266" s="1">
        <v>54535</v>
      </c>
      <c r="AV266" s="116">
        <f t="shared" si="21"/>
        <v>10189804</v>
      </c>
      <c r="AW266" s="1">
        <v>16154</v>
      </c>
      <c r="AZ266" s="1">
        <v>2490</v>
      </c>
      <c r="BB266" s="1">
        <v>18208</v>
      </c>
      <c r="BC266" s="1">
        <v>799730</v>
      </c>
      <c r="BD266" s="1">
        <v>335283</v>
      </c>
      <c r="BE266" s="1">
        <v>773986</v>
      </c>
      <c r="BF266" s="121">
        <f t="shared" si="22"/>
        <v>1945851</v>
      </c>
      <c r="BO266" s="1">
        <v>1200</v>
      </c>
      <c r="CC266" s="125">
        <f t="shared" si="23"/>
        <v>1200</v>
      </c>
      <c r="CD266" s="1">
        <v>1035186</v>
      </c>
      <c r="CK266" s="124">
        <f t="shared" si="24"/>
        <v>1035186</v>
      </c>
      <c r="CT266" s="23">
        <v>1148781</v>
      </c>
      <c r="CV266" s="129">
        <v>3747096</v>
      </c>
    </row>
    <row r="267" spans="1:100" ht="12.75" customHeight="1">
      <c r="A267" s="1">
        <v>15</v>
      </c>
      <c r="B267" s="1">
        <v>4140</v>
      </c>
      <c r="C267" s="1" t="s">
        <v>1037</v>
      </c>
      <c r="D267" s="5" t="s">
        <v>1056</v>
      </c>
      <c r="E267" t="s">
        <v>333</v>
      </c>
      <c r="F267" s="26">
        <v>1599</v>
      </c>
      <c r="G267" s="78">
        <v>10004998</v>
      </c>
      <c r="H267" s="78">
        <v>159376</v>
      </c>
      <c r="M267" s="1">
        <v>473014</v>
      </c>
      <c r="O267" s="117">
        <f t="shared" si="20"/>
        <v>10637388</v>
      </c>
      <c r="P267" s="78">
        <v>6981319</v>
      </c>
      <c r="Q267" s="78">
        <v>475641</v>
      </c>
      <c r="V267" s="1">
        <v>154117</v>
      </c>
      <c r="W267" s="1">
        <v>1519135</v>
      </c>
      <c r="X267" s="1">
        <v>4654</v>
      </c>
      <c r="AC267" s="1">
        <v>14281</v>
      </c>
      <c r="AD267" s="1">
        <v>174837</v>
      </c>
      <c r="AE267" s="1">
        <v>244463</v>
      </c>
      <c r="AG267" s="1">
        <v>1848528</v>
      </c>
      <c r="AH267" s="1">
        <v>778303</v>
      </c>
      <c r="AN267" s="1">
        <v>6961</v>
      </c>
      <c r="AO267" s="1">
        <v>58938</v>
      </c>
      <c r="AP267" s="1">
        <v>443700</v>
      </c>
      <c r="AU267" s="1">
        <v>1449</v>
      </c>
      <c r="AV267" s="116">
        <f t="shared" si="21"/>
        <v>12706326</v>
      </c>
      <c r="AW267" s="1">
        <v>4425</v>
      </c>
      <c r="BC267" s="1">
        <v>110834</v>
      </c>
      <c r="BD267" s="1">
        <v>373105</v>
      </c>
      <c r="BE267" s="1">
        <v>96709</v>
      </c>
      <c r="BF267" s="121">
        <f t="shared" si="22"/>
        <v>585073</v>
      </c>
      <c r="BG267" s="1">
        <v>128787</v>
      </c>
      <c r="BJ267" s="1">
        <v>91133</v>
      </c>
      <c r="BO267" s="1">
        <v>1566</v>
      </c>
      <c r="CC267" s="125">
        <f t="shared" si="23"/>
        <v>221486</v>
      </c>
      <c r="CK267" s="124">
        <f t="shared" si="24"/>
        <v>0</v>
      </c>
      <c r="CV267" s="129">
        <v>647996</v>
      </c>
    </row>
    <row r="268" spans="1:100" ht="12.75" customHeight="1">
      <c r="A268" s="1">
        <v>15</v>
      </c>
      <c r="B268" s="1">
        <v>4880</v>
      </c>
      <c r="C268" s="1" t="s">
        <v>1037</v>
      </c>
      <c r="D268" s="5" t="s">
        <v>1057</v>
      </c>
      <c r="E268" t="s">
        <v>334</v>
      </c>
      <c r="F268" s="26">
        <v>312</v>
      </c>
      <c r="G268" s="78">
        <v>2065230</v>
      </c>
      <c r="H268" s="78">
        <v>72719</v>
      </c>
      <c r="J268" s="1">
        <v>30000</v>
      </c>
      <c r="M268" s="1">
        <v>201320</v>
      </c>
      <c r="O268" s="117">
        <f t="shared" si="20"/>
        <v>2369269</v>
      </c>
      <c r="P268" s="78">
        <v>454535</v>
      </c>
      <c r="R268" s="1">
        <v>7913</v>
      </c>
      <c r="V268" s="1">
        <v>76465</v>
      </c>
      <c r="W268" s="1">
        <v>82972</v>
      </c>
      <c r="X268" s="1">
        <v>3486</v>
      </c>
      <c r="Y268" s="78">
        <v>217859</v>
      </c>
      <c r="AC268" s="1">
        <v>301</v>
      </c>
      <c r="AD268" s="1">
        <v>27759</v>
      </c>
      <c r="AE268" s="1">
        <v>27170</v>
      </c>
      <c r="AF268" s="1">
        <v>31785</v>
      </c>
      <c r="AG268" s="1">
        <v>214422</v>
      </c>
      <c r="AH268" s="1">
        <v>114164</v>
      </c>
      <c r="AO268" s="1">
        <v>3030</v>
      </c>
      <c r="AP268" s="1">
        <v>159740</v>
      </c>
      <c r="AV268" s="116">
        <f t="shared" si="21"/>
        <v>1421601</v>
      </c>
      <c r="BC268" s="1">
        <v>17420</v>
      </c>
      <c r="BD268" s="1">
        <v>50804</v>
      </c>
      <c r="BE268" s="1">
        <v>40274</v>
      </c>
      <c r="BF268" s="121">
        <f t="shared" si="22"/>
        <v>108498</v>
      </c>
      <c r="BO268" s="1">
        <v>9684</v>
      </c>
      <c r="CA268" s="1">
        <v>529478</v>
      </c>
      <c r="CC268" s="125">
        <f t="shared" si="23"/>
        <v>539162</v>
      </c>
      <c r="CK268" s="124">
        <f t="shared" si="24"/>
        <v>0</v>
      </c>
      <c r="CM268" s="23">
        <v>2871000</v>
      </c>
      <c r="CV268" s="129">
        <v>111528</v>
      </c>
    </row>
    <row r="269" spans="1:100" ht="12.75" customHeight="1">
      <c r="A269" s="1">
        <v>15</v>
      </c>
      <c r="B269" s="1">
        <v>4940</v>
      </c>
      <c r="C269" s="1" t="s">
        <v>1037</v>
      </c>
      <c r="D269" s="5" t="s">
        <v>1058</v>
      </c>
      <c r="E269" t="s">
        <v>335</v>
      </c>
      <c r="F269" s="26">
        <v>1793</v>
      </c>
      <c r="G269" s="78">
        <v>9932194</v>
      </c>
      <c r="H269" s="78">
        <v>159964</v>
      </c>
      <c r="L269" s="1">
        <v>5750</v>
      </c>
      <c r="M269" s="1">
        <v>650279</v>
      </c>
      <c r="O269" s="117">
        <f t="shared" si="20"/>
        <v>10748187</v>
      </c>
      <c r="P269" s="78">
        <v>9335971</v>
      </c>
      <c r="Q269" s="78">
        <v>554559</v>
      </c>
      <c r="V269" s="1">
        <v>847601</v>
      </c>
      <c r="W269" s="1">
        <v>1404227</v>
      </c>
      <c r="X269" s="1">
        <v>1168</v>
      </c>
      <c r="Y269" s="78">
        <v>156531</v>
      </c>
      <c r="AC269" s="1">
        <v>86950</v>
      </c>
      <c r="AD269" s="1">
        <v>213186</v>
      </c>
      <c r="AE269" s="1">
        <v>377661</v>
      </c>
      <c r="AF269" s="1">
        <v>20560</v>
      </c>
      <c r="AG269" s="1">
        <v>1445290</v>
      </c>
      <c r="AH269" s="1">
        <v>807867</v>
      </c>
      <c r="AO269" s="1">
        <v>75450</v>
      </c>
      <c r="AP269" s="1">
        <v>832476</v>
      </c>
      <c r="AU269" s="1">
        <v>103481</v>
      </c>
      <c r="AV269" s="116">
        <f t="shared" si="21"/>
        <v>16262978</v>
      </c>
      <c r="AW269" s="1">
        <v>1535</v>
      </c>
      <c r="BC269" s="1">
        <v>166489</v>
      </c>
      <c r="BD269" s="1">
        <v>406903</v>
      </c>
      <c r="BE269" s="1">
        <v>358419</v>
      </c>
      <c r="BF269" s="121">
        <f t="shared" si="22"/>
        <v>933346</v>
      </c>
      <c r="BM269" s="1">
        <v>5133</v>
      </c>
      <c r="BN269" s="1">
        <v>545467</v>
      </c>
      <c r="BP269" s="1">
        <v>14310</v>
      </c>
      <c r="BY269" s="1">
        <v>793</v>
      </c>
      <c r="CC269" s="125">
        <f t="shared" si="23"/>
        <v>565703</v>
      </c>
      <c r="CD269" s="1">
        <v>86228</v>
      </c>
      <c r="CK269" s="124">
        <f t="shared" si="24"/>
        <v>86228</v>
      </c>
      <c r="CV269" s="129">
        <v>1116492</v>
      </c>
    </row>
    <row r="270" spans="1:100" ht="12.75" customHeight="1">
      <c r="A270" s="1">
        <v>15</v>
      </c>
      <c r="B270" s="1">
        <v>5120</v>
      </c>
      <c r="C270" s="1" t="s">
        <v>1037</v>
      </c>
      <c r="D270" s="5" t="s">
        <v>1059</v>
      </c>
      <c r="E270" t="s">
        <v>336</v>
      </c>
      <c r="F270" s="26">
        <v>1397</v>
      </c>
      <c r="G270" s="78">
        <v>7807540</v>
      </c>
      <c r="L270" s="1">
        <v>14374</v>
      </c>
      <c r="M270" s="1">
        <v>556871</v>
      </c>
      <c r="O270" s="117">
        <f t="shared" si="20"/>
        <v>8378785</v>
      </c>
      <c r="P270" s="78">
        <v>2830698</v>
      </c>
      <c r="V270" s="1">
        <v>142336</v>
      </c>
      <c r="W270" s="1">
        <v>684156</v>
      </c>
      <c r="AC270" s="1">
        <v>22557</v>
      </c>
      <c r="AD270" s="1">
        <v>98309</v>
      </c>
      <c r="AE270" s="1">
        <v>117979</v>
      </c>
      <c r="AF270" s="1">
        <v>290522</v>
      </c>
      <c r="AG270" s="1">
        <v>568939</v>
      </c>
      <c r="AH270" s="1">
        <v>478200</v>
      </c>
      <c r="AM270" s="1">
        <v>142776</v>
      </c>
      <c r="AO270" s="1">
        <v>34371</v>
      </c>
      <c r="AP270" s="1">
        <v>269083</v>
      </c>
      <c r="AV270" s="116">
        <f t="shared" si="21"/>
        <v>5679926</v>
      </c>
      <c r="BC270" s="1">
        <v>73493</v>
      </c>
      <c r="BD270" s="1">
        <v>211876</v>
      </c>
      <c r="BE270" s="1">
        <v>32579</v>
      </c>
      <c r="BF270" s="121">
        <f t="shared" si="22"/>
        <v>317948</v>
      </c>
      <c r="BO270" s="1">
        <v>410</v>
      </c>
      <c r="BP270" s="1">
        <v>204819</v>
      </c>
      <c r="CA270" s="1">
        <v>463044</v>
      </c>
      <c r="CC270" s="125">
        <f t="shared" si="23"/>
        <v>668273</v>
      </c>
      <c r="CK270" s="124">
        <f t="shared" si="24"/>
        <v>0</v>
      </c>
      <c r="CM270" s="23">
        <v>9900000</v>
      </c>
      <c r="CV270" s="129">
        <v>509469</v>
      </c>
    </row>
    <row r="271" spans="1:100" ht="12.75" customHeight="1">
      <c r="A271" s="1">
        <v>15</v>
      </c>
      <c r="B271" s="1">
        <v>5500</v>
      </c>
      <c r="C271" s="1" t="s">
        <v>1037</v>
      </c>
      <c r="D271" s="5" t="s">
        <v>1270</v>
      </c>
      <c r="E271" t="s">
        <v>337</v>
      </c>
      <c r="F271" s="26">
        <v>9052</v>
      </c>
      <c r="G271" s="78">
        <v>59324899</v>
      </c>
      <c r="H271" s="78">
        <v>965030</v>
      </c>
      <c r="L271" s="1">
        <v>29761</v>
      </c>
      <c r="M271" s="1">
        <v>3302043</v>
      </c>
      <c r="O271" s="117">
        <f t="shared" si="20"/>
        <v>63621733</v>
      </c>
      <c r="P271" s="78">
        <v>37447727</v>
      </c>
      <c r="Q271" s="78">
        <v>2412370</v>
      </c>
      <c r="V271" s="1">
        <v>2659580</v>
      </c>
      <c r="W271" s="1">
        <v>6346097</v>
      </c>
      <c r="X271" s="1">
        <v>43234</v>
      </c>
      <c r="AC271" s="1">
        <v>426764</v>
      </c>
      <c r="AD271" s="1">
        <v>1076394</v>
      </c>
      <c r="AE271" s="1">
        <v>1396002</v>
      </c>
      <c r="AG271" s="1">
        <v>6849934</v>
      </c>
      <c r="AH271" s="1">
        <v>4152177</v>
      </c>
      <c r="AO271" s="1">
        <v>214452</v>
      </c>
      <c r="AP271" s="1">
        <v>2154224</v>
      </c>
      <c r="AU271" s="1">
        <v>138724</v>
      </c>
      <c r="AV271" s="116">
        <f t="shared" si="21"/>
        <v>65317679</v>
      </c>
      <c r="BB271" s="1">
        <v>41304</v>
      </c>
      <c r="BC271" s="1">
        <v>270917</v>
      </c>
      <c r="BD271" s="1">
        <v>2210709</v>
      </c>
      <c r="BE271" s="1">
        <v>370386</v>
      </c>
      <c r="BF271" s="121">
        <f t="shared" si="22"/>
        <v>2893316</v>
      </c>
      <c r="BG271" s="1">
        <v>349961</v>
      </c>
      <c r="BH271" s="1">
        <v>109978</v>
      </c>
      <c r="CC271" s="125">
        <f t="shared" si="23"/>
        <v>459939</v>
      </c>
      <c r="CD271" s="1">
        <v>82105</v>
      </c>
      <c r="CK271" s="124">
        <f t="shared" si="24"/>
        <v>82105</v>
      </c>
      <c r="CV271" s="129">
        <v>3276253</v>
      </c>
    </row>
    <row r="272" spans="1:100" ht="12.75" customHeight="1">
      <c r="A272" s="1">
        <v>15</v>
      </c>
      <c r="B272" s="1">
        <v>5590</v>
      </c>
      <c r="C272" s="1" t="s">
        <v>1037</v>
      </c>
      <c r="D272" s="5" t="s">
        <v>1060</v>
      </c>
      <c r="E272" t="s">
        <v>338</v>
      </c>
      <c r="F272" s="26">
        <v>234</v>
      </c>
      <c r="G272" s="78">
        <v>1861111</v>
      </c>
      <c r="H272" s="78">
        <v>19905</v>
      </c>
      <c r="M272" s="1">
        <v>204917</v>
      </c>
      <c r="O272" s="117">
        <f t="shared" si="20"/>
        <v>2085933</v>
      </c>
      <c r="P272" s="78">
        <v>94591</v>
      </c>
      <c r="V272" s="1">
        <v>18906</v>
      </c>
      <c r="W272" s="1">
        <v>128639</v>
      </c>
      <c r="Y272" s="78">
        <v>130010</v>
      </c>
      <c r="AD272" s="1">
        <v>8309</v>
      </c>
      <c r="AE272" s="1">
        <v>11414</v>
      </c>
      <c r="AF272" s="1">
        <v>20003</v>
      </c>
      <c r="AG272" s="1">
        <v>165758</v>
      </c>
      <c r="AH272" s="1">
        <v>98838</v>
      </c>
      <c r="AL272" s="1">
        <v>3178</v>
      </c>
      <c r="AV272" s="116">
        <f t="shared" si="21"/>
        <v>679646</v>
      </c>
      <c r="BD272" s="1">
        <v>46396</v>
      </c>
      <c r="BE272" s="1">
        <v>4173</v>
      </c>
      <c r="BF272" s="121">
        <f t="shared" si="22"/>
        <v>50569</v>
      </c>
      <c r="BI272" s="1">
        <v>3200</v>
      </c>
      <c r="BO272" s="1">
        <v>14</v>
      </c>
      <c r="CC272" s="125">
        <f t="shared" si="23"/>
        <v>3214</v>
      </c>
      <c r="CK272" s="124">
        <f t="shared" si="24"/>
        <v>0</v>
      </c>
      <c r="CV272" s="129">
        <v>53747</v>
      </c>
    </row>
    <row r="273" spans="1:100" ht="12.75" customHeight="1">
      <c r="A273" s="1">
        <v>15</v>
      </c>
      <c r="B273" s="1">
        <v>5620</v>
      </c>
      <c r="C273" s="1" t="s">
        <v>1037</v>
      </c>
      <c r="D273" s="5" t="s">
        <v>1061</v>
      </c>
      <c r="E273" t="s">
        <v>339</v>
      </c>
      <c r="F273" s="26">
        <v>3331.5</v>
      </c>
      <c r="G273" s="78">
        <v>24738957</v>
      </c>
      <c r="H273" s="78">
        <v>52404</v>
      </c>
      <c r="M273" s="1">
        <v>522946</v>
      </c>
      <c r="O273" s="117">
        <f t="shared" si="20"/>
        <v>25314307</v>
      </c>
      <c r="P273" s="78">
        <v>3826962</v>
      </c>
      <c r="V273" s="1">
        <v>957252</v>
      </c>
      <c r="W273" s="1">
        <v>2756536</v>
      </c>
      <c r="X273" s="1">
        <v>22048</v>
      </c>
      <c r="Y273" s="78">
        <v>1692761</v>
      </c>
      <c r="AC273" s="1">
        <v>26402</v>
      </c>
      <c r="AD273" s="1">
        <v>341668</v>
      </c>
      <c r="AE273" s="1">
        <v>291192</v>
      </c>
      <c r="AF273" s="1">
        <v>17407</v>
      </c>
      <c r="AG273" s="1">
        <v>2627560</v>
      </c>
      <c r="AH273" s="1">
        <v>1242803</v>
      </c>
      <c r="AO273" s="1">
        <v>109188</v>
      </c>
      <c r="AP273" s="1">
        <v>231347</v>
      </c>
      <c r="AU273" s="1">
        <v>161865</v>
      </c>
      <c r="AV273" s="116">
        <f t="shared" si="21"/>
        <v>14304991</v>
      </c>
      <c r="BC273" s="1">
        <v>247281</v>
      </c>
      <c r="BD273" s="1">
        <v>778506</v>
      </c>
      <c r="BE273" s="1">
        <v>196121</v>
      </c>
      <c r="BF273" s="121">
        <f t="shared" si="22"/>
        <v>1221908</v>
      </c>
      <c r="BJ273" s="1">
        <v>234852</v>
      </c>
      <c r="BO273" s="1">
        <v>21863</v>
      </c>
      <c r="BP273" s="1">
        <v>85283</v>
      </c>
      <c r="CC273" s="125">
        <f t="shared" si="23"/>
        <v>341998</v>
      </c>
      <c r="CE273" s="1">
        <v>137492</v>
      </c>
      <c r="CK273" s="124">
        <f t="shared" si="24"/>
        <v>137492</v>
      </c>
      <c r="CV273" s="129">
        <v>1492961</v>
      </c>
    </row>
    <row r="274" spans="1:100" ht="12.75" customHeight="1">
      <c r="A274" s="1">
        <v>15</v>
      </c>
      <c r="B274" s="1">
        <v>5740</v>
      </c>
      <c r="C274" s="1" t="s">
        <v>1037</v>
      </c>
      <c r="D274" s="5" t="s">
        <v>1062</v>
      </c>
      <c r="E274" t="s">
        <v>232</v>
      </c>
      <c r="F274" s="26">
        <v>370</v>
      </c>
      <c r="G274" s="78">
        <v>1633249</v>
      </c>
      <c r="H274" s="78">
        <v>66309</v>
      </c>
      <c r="M274" s="1">
        <v>143305</v>
      </c>
      <c r="O274" s="117">
        <f t="shared" si="20"/>
        <v>1842863</v>
      </c>
      <c r="P274" s="78">
        <v>1207606</v>
      </c>
      <c r="V274" s="1">
        <v>44252</v>
      </c>
      <c r="W274" s="1">
        <v>265441</v>
      </c>
      <c r="X274" s="1">
        <v>4636</v>
      </c>
      <c r="Y274" s="78">
        <v>318870</v>
      </c>
      <c r="AC274" s="1">
        <v>9464</v>
      </c>
      <c r="AD274" s="1">
        <v>37085</v>
      </c>
      <c r="AE274" s="1">
        <v>65996</v>
      </c>
      <c r="AF274" s="1">
        <v>28566</v>
      </c>
      <c r="AG274" s="1">
        <v>289903</v>
      </c>
      <c r="AH274" s="1">
        <v>175252</v>
      </c>
      <c r="AI274" s="1">
        <v>11173</v>
      </c>
      <c r="AM274" s="1">
        <v>125016</v>
      </c>
      <c r="AP274" s="1">
        <v>71430</v>
      </c>
      <c r="AU274" s="1">
        <v>49556</v>
      </c>
      <c r="AV274" s="116">
        <f t="shared" si="21"/>
        <v>2704246</v>
      </c>
      <c r="BC274" s="1">
        <v>95352</v>
      </c>
      <c r="BD274" s="1">
        <v>96411</v>
      </c>
      <c r="BE274" s="1">
        <v>22073</v>
      </c>
      <c r="BF274" s="121">
        <f t="shared" si="22"/>
        <v>213836</v>
      </c>
      <c r="CC274" s="125">
        <f t="shared" si="23"/>
        <v>0</v>
      </c>
      <c r="CD274" s="1">
        <v>109380</v>
      </c>
      <c r="CK274" s="124">
        <f t="shared" si="24"/>
        <v>109380</v>
      </c>
      <c r="CT274" s="23">
        <v>196970</v>
      </c>
      <c r="CV274" s="129">
        <v>585378</v>
      </c>
    </row>
    <row r="275" spans="1:100" ht="12.75" customHeight="1">
      <c r="A275" s="1">
        <v>15</v>
      </c>
      <c r="B275" s="1">
        <v>5860</v>
      </c>
      <c r="C275" s="1" t="s">
        <v>1037</v>
      </c>
      <c r="D275" s="5" t="s">
        <v>1063</v>
      </c>
      <c r="E275" t="s">
        <v>233</v>
      </c>
      <c r="F275" s="26">
        <v>1546.5</v>
      </c>
      <c r="G275" s="78">
        <v>10963512</v>
      </c>
      <c r="H275" s="78">
        <v>401354</v>
      </c>
      <c r="L275" s="1">
        <v>103487</v>
      </c>
      <c r="M275" s="1">
        <v>943840</v>
      </c>
      <c r="O275" s="117">
        <f t="shared" si="20"/>
        <v>12412193</v>
      </c>
      <c r="P275" s="78">
        <v>5005254</v>
      </c>
      <c r="Q275" s="78">
        <v>699265</v>
      </c>
      <c r="V275" s="1">
        <v>208484</v>
      </c>
      <c r="W275" s="1">
        <v>1152751</v>
      </c>
      <c r="X275" s="1">
        <v>6990</v>
      </c>
      <c r="Y275" s="78">
        <v>61945</v>
      </c>
      <c r="AC275" s="1">
        <v>20834</v>
      </c>
      <c r="AD275" s="1">
        <v>159204</v>
      </c>
      <c r="AE275" s="1">
        <v>258376</v>
      </c>
      <c r="AF275" s="1">
        <v>62346</v>
      </c>
      <c r="AG275" s="1">
        <v>1603042</v>
      </c>
      <c r="AH275" s="1">
        <v>715999</v>
      </c>
      <c r="AI275" s="1">
        <v>121807</v>
      </c>
      <c r="AK275" s="1">
        <v>13</v>
      </c>
      <c r="AM275" s="1">
        <v>506205</v>
      </c>
      <c r="AP275" s="1">
        <v>359348</v>
      </c>
      <c r="AU275" s="1">
        <v>165504</v>
      </c>
      <c r="AV275" s="116">
        <f t="shared" si="21"/>
        <v>11107367</v>
      </c>
      <c r="AW275" s="1">
        <v>5173</v>
      </c>
      <c r="BC275" s="1">
        <v>549966</v>
      </c>
      <c r="BD275" s="1">
        <v>473651</v>
      </c>
      <c r="BE275" s="1">
        <v>149679</v>
      </c>
      <c r="BF275" s="121">
        <f t="shared" si="22"/>
        <v>1178469</v>
      </c>
      <c r="BO275" s="1">
        <v>2747</v>
      </c>
      <c r="BY275" s="1">
        <v>255434</v>
      </c>
      <c r="BZ275" s="1">
        <v>250000</v>
      </c>
      <c r="CC275" s="125">
        <f t="shared" si="23"/>
        <v>508181</v>
      </c>
      <c r="CD275" s="1">
        <v>159486</v>
      </c>
      <c r="CK275" s="124">
        <f t="shared" si="24"/>
        <v>159486</v>
      </c>
      <c r="CQ275" s="23">
        <v>8279</v>
      </c>
      <c r="CT275" s="23">
        <v>750587</v>
      </c>
      <c r="CV275" s="129">
        <v>2707371</v>
      </c>
    </row>
    <row r="276" spans="1:100" ht="12.75" customHeight="1">
      <c r="A276" s="1">
        <v>15</v>
      </c>
      <c r="B276" s="1">
        <v>5870</v>
      </c>
      <c r="C276" s="1" t="s">
        <v>1037</v>
      </c>
      <c r="D276" s="5" t="s">
        <v>1064</v>
      </c>
      <c r="E276" t="s">
        <v>234</v>
      </c>
      <c r="F276" s="26">
        <v>241</v>
      </c>
      <c r="G276" s="78">
        <v>1740439</v>
      </c>
      <c r="H276" s="78">
        <v>30295</v>
      </c>
      <c r="O276" s="117">
        <f t="shared" si="20"/>
        <v>1770734</v>
      </c>
      <c r="P276" s="78">
        <v>564443</v>
      </c>
      <c r="V276" s="1">
        <v>42540</v>
      </c>
      <c r="W276" s="1">
        <v>288817</v>
      </c>
      <c r="Y276" s="78">
        <v>14598</v>
      </c>
      <c r="AC276" s="1">
        <v>4316</v>
      </c>
      <c r="AD276" s="1">
        <v>30283</v>
      </c>
      <c r="AE276" s="1">
        <v>28220</v>
      </c>
      <c r="AG276" s="1">
        <v>266482</v>
      </c>
      <c r="AH276" s="1">
        <v>107604</v>
      </c>
      <c r="AU276" s="1">
        <v>297493</v>
      </c>
      <c r="AV276" s="116">
        <f t="shared" si="21"/>
        <v>1644796</v>
      </c>
      <c r="BC276" s="1">
        <v>18931</v>
      </c>
      <c r="BD276" s="1">
        <v>112848</v>
      </c>
      <c r="BE276" s="1">
        <v>15988</v>
      </c>
      <c r="BF276" s="121">
        <f t="shared" si="22"/>
        <v>147767</v>
      </c>
      <c r="BI276" s="1">
        <v>2100</v>
      </c>
      <c r="CC276" s="125">
        <f t="shared" si="23"/>
        <v>2100</v>
      </c>
      <c r="CK276" s="124">
        <f t="shared" si="24"/>
        <v>0</v>
      </c>
      <c r="CV276" s="129">
        <v>445260</v>
      </c>
    </row>
    <row r="277" spans="1:100" ht="12.75" customHeight="1">
      <c r="A277" s="1">
        <v>17</v>
      </c>
      <c r="B277" s="1">
        <v>220</v>
      </c>
      <c r="C277" s="1" t="s">
        <v>1065</v>
      </c>
      <c r="D277" s="5" t="s">
        <v>1066</v>
      </c>
      <c r="E277" t="s">
        <v>235</v>
      </c>
      <c r="F277" s="26">
        <v>8736</v>
      </c>
      <c r="G277" s="78">
        <v>52521354</v>
      </c>
      <c r="H277" s="78">
        <v>2888032</v>
      </c>
      <c r="L277" s="1">
        <v>109244</v>
      </c>
      <c r="O277" s="117">
        <f t="shared" si="20"/>
        <v>55518630</v>
      </c>
      <c r="P277" s="78">
        <v>16791432</v>
      </c>
      <c r="Q277" s="78">
        <v>2371878</v>
      </c>
      <c r="V277" s="1">
        <v>303986</v>
      </c>
      <c r="W277" s="1">
        <v>5595255</v>
      </c>
      <c r="X277" s="1">
        <v>468724</v>
      </c>
      <c r="Y277" s="78">
        <v>124058</v>
      </c>
      <c r="AC277" s="1">
        <v>62941</v>
      </c>
      <c r="AD277" s="1">
        <v>903654</v>
      </c>
      <c r="AE277" s="1">
        <v>993964</v>
      </c>
      <c r="AF277" s="1">
        <v>6173269</v>
      </c>
      <c r="AG277" s="1">
        <v>6884136</v>
      </c>
      <c r="AH277" s="1">
        <v>3895536</v>
      </c>
      <c r="AM277" s="1">
        <v>2573282</v>
      </c>
      <c r="AU277" s="1">
        <v>1142108</v>
      </c>
      <c r="AV277" s="116">
        <f t="shared" si="21"/>
        <v>48284223</v>
      </c>
      <c r="AW277" s="1">
        <v>54343</v>
      </c>
      <c r="BC277" s="1">
        <v>1567523</v>
      </c>
      <c r="BD277" s="1">
        <v>2266808</v>
      </c>
      <c r="BE277" s="1">
        <v>1470819</v>
      </c>
      <c r="BF277" s="121">
        <f t="shared" si="22"/>
        <v>5359493</v>
      </c>
      <c r="BG277" s="1">
        <v>1795882</v>
      </c>
      <c r="BH277" s="1">
        <v>2951122</v>
      </c>
      <c r="BI277" s="1">
        <v>159568</v>
      </c>
      <c r="CC277" s="125">
        <f t="shared" si="23"/>
        <v>4906572</v>
      </c>
      <c r="CK277" s="124">
        <f t="shared" si="24"/>
        <v>0</v>
      </c>
      <c r="CT277" s="23">
        <v>3999872</v>
      </c>
      <c r="CV277" s="129">
        <v>13129656</v>
      </c>
    </row>
    <row r="278" spans="1:100" ht="12.75" customHeight="1">
      <c r="A278" s="1">
        <v>17</v>
      </c>
      <c r="B278" s="1">
        <v>1200</v>
      </c>
      <c r="C278" s="1" t="s">
        <v>1065</v>
      </c>
      <c r="D278" s="5" t="s">
        <v>1067</v>
      </c>
      <c r="E278" t="s">
        <v>236</v>
      </c>
      <c r="F278" s="26">
        <v>213</v>
      </c>
      <c r="G278" s="78">
        <v>994713</v>
      </c>
      <c r="O278" s="117">
        <f t="shared" si="20"/>
        <v>994713</v>
      </c>
      <c r="P278" s="78">
        <v>1757203</v>
      </c>
      <c r="V278" s="1">
        <v>13055</v>
      </c>
      <c r="W278" s="1">
        <v>243668</v>
      </c>
      <c r="X278" s="1">
        <v>35022</v>
      </c>
      <c r="AC278" s="1">
        <v>33011</v>
      </c>
      <c r="AD278" s="1">
        <v>41145</v>
      </c>
      <c r="AE278" s="1">
        <v>71807</v>
      </c>
      <c r="AF278" s="1">
        <v>32046</v>
      </c>
      <c r="AG278" s="1">
        <v>64475</v>
      </c>
      <c r="AH278" s="1">
        <v>62609</v>
      </c>
      <c r="AM278" s="1">
        <v>157400</v>
      </c>
      <c r="AV278" s="116">
        <f t="shared" si="21"/>
        <v>2511441</v>
      </c>
      <c r="BC278" s="1">
        <v>148413</v>
      </c>
      <c r="BD278" s="1">
        <v>70596</v>
      </c>
      <c r="BE278" s="1">
        <v>5993</v>
      </c>
      <c r="BF278" s="121">
        <f t="shared" si="22"/>
        <v>225002</v>
      </c>
      <c r="BO278" s="1">
        <v>48198</v>
      </c>
      <c r="BP278" s="1">
        <v>57771</v>
      </c>
      <c r="CC278" s="125">
        <f t="shared" si="23"/>
        <v>105969</v>
      </c>
      <c r="CK278" s="124">
        <f t="shared" si="24"/>
        <v>0</v>
      </c>
      <c r="CT278" s="23">
        <v>221560</v>
      </c>
      <c r="CV278" s="129">
        <v>603962</v>
      </c>
    </row>
    <row r="279" spans="1:100" ht="12.75" customHeight="1">
      <c r="A279" s="1">
        <v>17</v>
      </c>
      <c r="B279" s="1">
        <v>1850</v>
      </c>
      <c r="C279" s="1" t="s">
        <v>1065</v>
      </c>
      <c r="D279" s="5" t="s">
        <v>1068</v>
      </c>
      <c r="E279" t="s">
        <v>237</v>
      </c>
      <c r="F279" s="26">
        <v>937</v>
      </c>
      <c r="G279" s="78">
        <v>8191499</v>
      </c>
      <c r="H279" s="78">
        <v>126479</v>
      </c>
      <c r="M279" s="1">
        <v>267607</v>
      </c>
      <c r="O279" s="117">
        <f t="shared" si="20"/>
        <v>8585585</v>
      </c>
      <c r="P279" s="78">
        <v>602479</v>
      </c>
      <c r="Q279" s="78">
        <v>287409</v>
      </c>
      <c r="V279" s="1">
        <v>41689</v>
      </c>
      <c r="W279" s="1">
        <v>492341</v>
      </c>
      <c r="X279" s="1">
        <v>231982</v>
      </c>
      <c r="Y279" s="78">
        <v>381118</v>
      </c>
      <c r="AC279" s="1">
        <v>30211</v>
      </c>
      <c r="AD279" s="1">
        <v>138247</v>
      </c>
      <c r="AE279" s="1">
        <v>100194</v>
      </c>
      <c r="AF279" s="1">
        <v>101373</v>
      </c>
      <c r="AG279" s="1">
        <v>459269</v>
      </c>
      <c r="AH279" s="1">
        <v>277750</v>
      </c>
      <c r="AM279" s="1">
        <v>408674</v>
      </c>
      <c r="AP279" s="1">
        <v>22023</v>
      </c>
      <c r="AU279" s="1">
        <v>4000</v>
      </c>
      <c r="AV279" s="116">
        <f t="shared" si="21"/>
        <v>3578759</v>
      </c>
      <c r="BC279" s="1">
        <v>592997</v>
      </c>
      <c r="BD279" s="1">
        <v>250397</v>
      </c>
      <c r="BE279" s="1">
        <v>158815</v>
      </c>
      <c r="BF279" s="121">
        <f t="shared" si="22"/>
        <v>1002209</v>
      </c>
      <c r="CC279" s="125">
        <f t="shared" si="23"/>
        <v>0</v>
      </c>
      <c r="CK279" s="124">
        <f t="shared" si="24"/>
        <v>0</v>
      </c>
      <c r="CT279" s="23">
        <v>746172</v>
      </c>
      <c r="CV279" s="129">
        <v>2161055</v>
      </c>
    </row>
    <row r="280" spans="1:100" ht="12.75" customHeight="1">
      <c r="A280" s="1">
        <v>17</v>
      </c>
      <c r="B280" s="1">
        <v>2060</v>
      </c>
      <c r="C280" s="1" t="s">
        <v>1065</v>
      </c>
      <c r="D280" s="5" t="s">
        <v>1069</v>
      </c>
      <c r="E280" t="s">
        <v>238</v>
      </c>
      <c r="F280" s="26">
        <v>1873.5</v>
      </c>
      <c r="G280" s="78">
        <v>7884341</v>
      </c>
      <c r="H280" s="78">
        <v>273964</v>
      </c>
      <c r="O280" s="117">
        <f t="shared" si="20"/>
        <v>8158305</v>
      </c>
      <c r="P280" s="78">
        <v>5819651</v>
      </c>
      <c r="S280" s="25">
        <v>7406112</v>
      </c>
      <c r="V280" s="1">
        <v>124857</v>
      </c>
      <c r="W280" s="1">
        <v>1097750</v>
      </c>
      <c r="X280" s="1">
        <v>399742</v>
      </c>
      <c r="Y280" s="78">
        <v>38081</v>
      </c>
      <c r="AC280" s="1">
        <v>30752</v>
      </c>
      <c r="AD280" s="1">
        <v>202763</v>
      </c>
      <c r="AF280" s="1">
        <v>191131</v>
      </c>
      <c r="AG280" s="1">
        <v>1593121</v>
      </c>
      <c r="AH280" s="1">
        <v>972425</v>
      </c>
      <c r="AM280" s="1">
        <v>493015</v>
      </c>
      <c r="AU280" s="1">
        <v>585006</v>
      </c>
      <c r="AV280" s="116">
        <f t="shared" si="21"/>
        <v>18954406</v>
      </c>
      <c r="AW280" s="1">
        <v>5096</v>
      </c>
      <c r="BC280" s="1">
        <v>767057</v>
      </c>
      <c r="BD280" s="1">
        <v>416098</v>
      </c>
      <c r="BE280" s="1">
        <v>76543</v>
      </c>
      <c r="BF280" s="121">
        <f t="shared" si="22"/>
        <v>1264794</v>
      </c>
      <c r="BN280" s="1">
        <v>69141</v>
      </c>
      <c r="CC280" s="125">
        <f t="shared" si="23"/>
        <v>69141</v>
      </c>
      <c r="CD280" s="1">
        <v>1011291</v>
      </c>
      <c r="CK280" s="124">
        <f t="shared" si="24"/>
        <v>1011291</v>
      </c>
      <c r="CT280" s="23">
        <v>834321</v>
      </c>
      <c r="CU280" s="23">
        <v>3331440</v>
      </c>
      <c r="CV280" s="129">
        <v>6694611</v>
      </c>
    </row>
    <row r="281" spans="1:100" ht="12.75" customHeight="1">
      <c r="A281" s="1">
        <v>17</v>
      </c>
      <c r="B281" s="1">
        <v>2210</v>
      </c>
      <c r="C281" s="1" t="s">
        <v>1065</v>
      </c>
      <c r="D281" s="5" t="s">
        <v>1070</v>
      </c>
      <c r="E281" t="s">
        <v>239</v>
      </c>
      <c r="F281" s="26">
        <v>1891</v>
      </c>
      <c r="G281" s="78">
        <v>32921770</v>
      </c>
      <c r="H281" s="78">
        <v>253391</v>
      </c>
      <c r="M281" s="1">
        <v>528230</v>
      </c>
      <c r="O281" s="117">
        <f t="shared" si="20"/>
        <v>33703391</v>
      </c>
      <c r="R281" s="1">
        <v>300694</v>
      </c>
      <c r="V281" s="1">
        <v>163470</v>
      </c>
      <c r="W281" s="1">
        <v>1419128</v>
      </c>
      <c r="X281" s="1">
        <v>51734</v>
      </c>
      <c r="Y281" s="78">
        <v>4278925</v>
      </c>
      <c r="AC281" s="1">
        <v>35817</v>
      </c>
      <c r="AD281" s="1">
        <v>271447</v>
      </c>
      <c r="AG281" s="1">
        <v>4127618</v>
      </c>
      <c r="AH281" s="1">
        <v>1492528</v>
      </c>
      <c r="AM281" s="1">
        <v>951027</v>
      </c>
      <c r="AT281" s="1">
        <v>5366115</v>
      </c>
      <c r="AU281" s="1">
        <v>961899</v>
      </c>
      <c r="AV281" s="116">
        <f t="shared" si="21"/>
        <v>19420402</v>
      </c>
      <c r="AW281" s="1">
        <v>64380</v>
      </c>
      <c r="BA281" s="1">
        <v>195639</v>
      </c>
      <c r="BC281" s="1">
        <v>1426787</v>
      </c>
      <c r="BD281" s="1">
        <v>749639</v>
      </c>
      <c r="BE281" s="1">
        <v>1316377</v>
      </c>
      <c r="BF281" s="121">
        <f t="shared" si="22"/>
        <v>3752822</v>
      </c>
      <c r="BI281" s="1">
        <v>77697</v>
      </c>
      <c r="BJ281" s="1">
        <v>84117</v>
      </c>
      <c r="CC281" s="125">
        <f t="shared" si="23"/>
        <v>161814</v>
      </c>
      <c r="CD281" s="1">
        <v>358725</v>
      </c>
      <c r="CK281" s="124">
        <f t="shared" si="24"/>
        <v>358725</v>
      </c>
      <c r="CT281" s="23">
        <v>4697389</v>
      </c>
      <c r="CV281" s="129">
        <v>10341544</v>
      </c>
    </row>
    <row r="282" spans="1:100" ht="12.75" customHeight="1">
      <c r="A282" s="1">
        <v>17</v>
      </c>
      <c r="B282" s="1">
        <v>2295</v>
      </c>
      <c r="C282" s="1" t="s">
        <v>1065</v>
      </c>
      <c r="D282" s="5" t="s">
        <v>1071</v>
      </c>
      <c r="E282" t="s">
        <v>240</v>
      </c>
      <c r="F282" s="26">
        <v>1292</v>
      </c>
      <c r="H282" s="78">
        <v>324690</v>
      </c>
      <c r="I282" s="1">
        <v>24314000</v>
      </c>
      <c r="O282" s="117">
        <f t="shared" si="20"/>
        <v>24638690</v>
      </c>
      <c r="P282" s="78">
        <v>5824446</v>
      </c>
      <c r="V282" s="1">
        <v>347709</v>
      </c>
      <c r="W282" s="1">
        <v>867272</v>
      </c>
      <c r="Y282" s="78">
        <v>605315</v>
      </c>
      <c r="AA282" s="1">
        <v>3023663</v>
      </c>
      <c r="AD282" s="1">
        <v>97445</v>
      </c>
      <c r="AE282" s="1">
        <v>476691</v>
      </c>
      <c r="AF282" s="1">
        <v>142000</v>
      </c>
      <c r="AG282" s="1">
        <v>1517902</v>
      </c>
      <c r="AH282" s="1">
        <v>1071740</v>
      </c>
      <c r="AM282" s="1">
        <v>1347317</v>
      </c>
      <c r="AU282" s="1">
        <v>496410</v>
      </c>
      <c r="AV282" s="116">
        <f t="shared" si="21"/>
        <v>15817910</v>
      </c>
      <c r="BB282" s="1">
        <v>520036</v>
      </c>
      <c r="BC282" s="1">
        <v>599001</v>
      </c>
      <c r="BD282" s="1">
        <v>291487</v>
      </c>
      <c r="BE282" s="1">
        <v>4481037</v>
      </c>
      <c r="BF282" s="121">
        <f t="shared" si="22"/>
        <v>5891561</v>
      </c>
      <c r="CC282" s="125">
        <f t="shared" si="23"/>
        <v>0</v>
      </c>
      <c r="CF282" s="1">
        <v>754253</v>
      </c>
      <c r="CK282" s="124">
        <f t="shared" si="24"/>
        <v>754253</v>
      </c>
      <c r="CM282" s="23">
        <v>5000000</v>
      </c>
      <c r="CO282" s="23">
        <v>3013646</v>
      </c>
      <c r="CP282" s="23">
        <v>757740</v>
      </c>
      <c r="CV282" s="129">
        <v>7735288</v>
      </c>
    </row>
    <row r="283" spans="1:100" ht="12.75" customHeight="1">
      <c r="A283" s="1">
        <v>17</v>
      </c>
      <c r="B283" s="25">
        <v>2390</v>
      </c>
      <c r="C283" s="25" t="s">
        <v>1065</v>
      </c>
      <c r="D283" s="106" t="s">
        <v>1072</v>
      </c>
      <c r="E283" s="2" t="s">
        <v>241</v>
      </c>
      <c r="F283" s="26">
        <v>28910</v>
      </c>
      <c r="G283" s="78">
        <v>79624878</v>
      </c>
      <c r="H283" s="78">
        <v>1882630</v>
      </c>
      <c r="L283" s="1">
        <v>28814</v>
      </c>
      <c r="N283" s="1">
        <v>17050000</v>
      </c>
      <c r="O283" s="117">
        <f t="shared" si="20"/>
        <v>98586322</v>
      </c>
      <c r="P283" s="78">
        <v>140686297</v>
      </c>
      <c r="Q283" s="78">
        <v>37475295</v>
      </c>
      <c r="S283" s="25">
        <v>174840105</v>
      </c>
      <c r="V283" s="1">
        <v>3624557</v>
      </c>
      <c r="W283" s="1">
        <v>19778459</v>
      </c>
      <c r="X283" s="1">
        <v>2936604</v>
      </c>
      <c r="Y283" s="78">
        <v>100000</v>
      </c>
      <c r="AC283" s="1">
        <v>538522</v>
      </c>
      <c r="AD283" s="1">
        <v>3595195</v>
      </c>
      <c r="AF283" s="1">
        <v>1882930</v>
      </c>
      <c r="AG283" s="1">
        <v>31464661</v>
      </c>
      <c r="AH283" s="1">
        <v>17692568</v>
      </c>
      <c r="AM283" s="1">
        <v>13521189</v>
      </c>
      <c r="AT283" s="1">
        <v>64965270</v>
      </c>
      <c r="AU283" s="1">
        <v>8519742</v>
      </c>
      <c r="AV283" s="116">
        <f t="shared" si="21"/>
        <v>521621394</v>
      </c>
      <c r="AW283" s="1">
        <v>687617</v>
      </c>
      <c r="BC283" s="1">
        <v>17222213</v>
      </c>
      <c r="BD283" s="1">
        <v>11335901</v>
      </c>
      <c r="BE283" s="1">
        <v>8753130</v>
      </c>
      <c r="BF283" s="121">
        <f t="shared" si="22"/>
        <v>37998861</v>
      </c>
      <c r="BI283" s="1">
        <v>9314</v>
      </c>
      <c r="BO283" s="1">
        <v>3949383</v>
      </c>
      <c r="CA283" s="1">
        <v>933</v>
      </c>
      <c r="CC283" s="125">
        <f t="shared" si="23"/>
        <v>3959630</v>
      </c>
      <c r="CK283" s="124">
        <f t="shared" si="24"/>
        <v>0</v>
      </c>
      <c r="CT283" s="23">
        <v>43977722</v>
      </c>
      <c r="CV283" s="129">
        <v>108916412</v>
      </c>
    </row>
    <row r="284" spans="1:100" ht="12.75" customHeight="1">
      <c r="A284" s="1">
        <v>17</v>
      </c>
      <c r="B284" s="1">
        <v>2410</v>
      </c>
      <c r="C284" s="1" t="s">
        <v>1065</v>
      </c>
      <c r="D284" s="5" t="s">
        <v>1073</v>
      </c>
      <c r="E284" t="s">
        <v>242</v>
      </c>
      <c r="F284" s="26">
        <v>5491.5</v>
      </c>
      <c r="G284" s="78">
        <v>41855063</v>
      </c>
      <c r="H284" s="78">
        <v>1183794</v>
      </c>
      <c r="M284" s="1">
        <v>572575</v>
      </c>
      <c r="O284" s="117">
        <f t="shared" si="20"/>
        <v>43611432</v>
      </c>
      <c r="P284" s="78">
        <v>12854578</v>
      </c>
      <c r="U284" s="1">
        <v>2211760</v>
      </c>
      <c r="V284" s="1">
        <v>360210</v>
      </c>
      <c r="W284" s="1">
        <v>2479897</v>
      </c>
      <c r="X284" s="1">
        <v>447900</v>
      </c>
      <c r="AC284" s="1">
        <v>178400</v>
      </c>
      <c r="AD284" s="1">
        <v>571861</v>
      </c>
      <c r="AE284" s="1">
        <v>599751</v>
      </c>
      <c r="AF284" s="1">
        <v>7394</v>
      </c>
      <c r="AG284" s="1">
        <v>5062875</v>
      </c>
      <c r="AH284" s="1">
        <v>2509811</v>
      </c>
      <c r="AM284" s="1">
        <v>766050</v>
      </c>
      <c r="AP284" s="1">
        <v>144384</v>
      </c>
      <c r="AT284" s="1">
        <v>25490505</v>
      </c>
      <c r="AU284" s="1">
        <v>636415</v>
      </c>
      <c r="AV284" s="116">
        <f t="shared" si="21"/>
        <v>54321791</v>
      </c>
      <c r="BC284" s="1">
        <v>586146</v>
      </c>
      <c r="BD284" s="1">
        <v>1113559</v>
      </c>
      <c r="BE284" s="1">
        <v>840605</v>
      </c>
      <c r="BF284" s="121">
        <f t="shared" si="22"/>
        <v>2540310</v>
      </c>
      <c r="CA284" s="1">
        <v>139936</v>
      </c>
      <c r="CB284" s="1">
        <v>842782</v>
      </c>
      <c r="CC284" s="125">
        <f t="shared" si="23"/>
        <v>982718</v>
      </c>
      <c r="CI284" s="1">
        <v>58000</v>
      </c>
      <c r="CK284" s="124">
        <f t="shared" si="24"/>
        <v>58000</v>
      </c>
      <c r="CT284" s="23">
        <v>2677009</v>
      </c>
      <c r="CV284" s="129">
        <v>6619784</v>
      </c>
    </row>
    <row r="285" spans="1:100" ht="12.75" customHeight="1">
      <c r="A285" s="1">
        <v>17</v>
      </c>
      <c r="B285" s="1">
        <v>3610</v>
      </c>
      <c r="C285" s="1" t="s">
        <v>1065</v>
      </c>
      <c r="D285" s="5" t="s">
        <v>1074</v>
      </c>
      <c r="E285" t="s">
        <v>243</v>
      </c>
      <c r="F285" s="26">
        <v>7508.5</v>
      </c>
      <c r="G285" s="78">
        <v>36770533</v>
      </c>
      <c r="H285" s="78">
        <v>1073233</v>
      </c>
      <c r="L285" s="1">
        <v>54668</v>
      </c>
      <c r="M285" s="1">
        <v>1587116</v>
      </c>
      <c r="O285" s="117">
        <f t="shared" si="20"/>
        <v>39485550</v>
      </c>
      <c r="P285" s="78">
        <v>18694706</v>
      </c>
      <c r="U285" s="1">
        <v>8014023</v>
      </c>
      <c r="V285" s="1">
        <v>688300</v>
      </c>
      <c r="W285" s="1">
        <v>3865527</v>
      </c>
      <c r="X285" s="1">
        <v>1041766</v>
      </c>
      <c r="Y285" s="78">
        <v>463525</v>
      </c>
      <c r="AC285" s="1">
        <v>295282</v>
      </c>
      <c r="AD285" s="1">
        <v>773087</v>
      </c>
      <c r="AE285" s="1">
        <v>1043889</v>
      </c>
      <c r="AF285" s="1">
        <v>74293</v>
      </c>
      <c r="AG285" s="1">
        <v>5540509</v>
      </c>
      <c r="AH285" s="1">
        <v>3157280</v>
      </c>
      <c r="AM285" s="1">
        <v>3315580</v>
      </c>
      <c r="AP285" s="1">
        <v>532391</v>
      </c>
      <c r="AU285" s="1">
        <v>1332154</v>
      </c>
      <c r="AV285" s="116">
        <f t="shared" si="21"/>
        <v>48832312</v>
      </c>
      <c r="AW285" s="1">
        <v>52331</v>
      </c>
      <c r="BC285" s="1">
        <v>1619505</v>
      </c>
      <c r="BD285" s="1">
        <v>1667151</v>
      </c>
      <c r="BE285" s="1">
        <v>729902</v>
      </c>
      <c r="BF285" s="121">
        <f t="shared" si="22"/>
        <v>4068889</v>
      </c>
      <c r="BG285" s="1">
        <v>113800</v>
      </c>
      <c r="BZ285" s="1">
        <v>3502</v>
      </c>
      <c r="CA285" s="1">
        <v>9948</v>
      </c>
      <c r="CB285" s="1">
        <v>13120</v>
      </c>
      <c r="CC285" s="125">
        <f t="shared" si="23"/>
        <v>140370</v>
      </c>
      <c r="CD285" s="1">
        <v>2757906</v>
      </c>
      <c r="CK285" s="124">
        <f t="shared" si="24"/>
        <v>2757906</v>
      </c>
      <c r="CT285" s="23">
        <v>6030077</v>
      </c>
      <c r="CV285" s="129">
        <v>14778813</v>
      </c>
    </row>
    <row r="286" spans="1:100" ht="12.75" customHeight="1">
      <c r="A286" s="1">
        <v>17</v>
      </c>
      <c r="B286" s="1">
        <v>4730</v>
      </c>
      <c r="C286" s="1" t="s">
        <v>1065</v>
      </c>
      <c r="D286" s="5" t="s">
        <v>1075</v>
      </c>
      <c r="E286" t="s">
        <v>244</v>
      </c>
      <c r="F286" s="26">
        <v>1996</v>
      </c>
      <c r="G286" s="78">
        <v>26696628</v>
      </c>
      <c r="H286" s="78">
        <v>378863</v>
      </c>
      <c r="K286" s="1">
        <v>73762</v>
      </c>
      <c r="L286" s="1">
        <v>27876</v>
      </c>
      <c r="M286" s="1">
        <v>1524168</v>
      </c>
      <c r="O286" s="117">
        <f t="shared" si="20"/>
        <v>28701297</v>
      </c>
      <c r="V286" s="1">
        <v>167871</v>
      </c>
      <c r="W286" s="1">
        <v>917518</v>
      </c>
      <c r="X286" s="1">
        <v>72218</v>
      </c>
      <c r="AD286" s="1">
        <v>190474</v>
      </c>
      <c r="AE286" s="1">
        <v>43073</v>
      </c>
      <c r="AG286" s="1">
        <v>1647891</v>
      </c>
      <c r="AH286" s="1">
        <v>959593</v>
      </c>
      <c r="AI286" s="1">
        <v>7936</v>
      </c>
      <c r="AO286" s="1">
        <v>87678</v>
      </c>
      <c r="AT286" s="1">
        <v>661348</v>
      </c>
      <c r="AU286" s="1">
        <v>80996</v>
      </c>
      <c r="AV286" s="116">
        <f t="shared" si="21"/>
        <v>4836596</v>
      </c>
      <c r="BC286" s="1">
        <v>185208</v>
      </c>
      <c r="BD286" s="1">
        <v>371862</v>
      </c>
      <c r="BE286" s="1">
        <v>66816</v>
      </c>
      <c r="BF286" s="121">
        <f t="shared" si="22"/>
        <v>623886</v>
      </c>
      <c r="BP286" s="1">
        <v>306448</v>
      </c>
      <c r="CA286" s="1">
        <v>36375</v>
      </c>
      <c r="CB286" s="1">
        <v>643750</v>
      </c>
      <c r="CC286" s="125">
        <f t="shared" si="23"/>
        <v>986573</v>
      </c>
      <c r="CD286" s="1">
        <v>10500</v>
      </c>
      <c r="CI286" s="1">
        <v>56168</v>
      </c>
      <c r="CK286" s="124">
        <f t="shared" si="24"/>
        <v>66668</v>
      </c>
      <c r="CV286" s="129">
        <v>820436</v>
      </c>
    </row>
    <row r="287" spans="1:100" ht="12.75" customHeight="1">
      <c r="A287" s="1">
        <v>17</v>
      </c>
      <c r="B287" s="1">
        <v>5240</v>
      </c>
      <c r="C287" s="1" t="s">
        <v>1065</v>
      </c>
      <c r="D287" s="5" t="s">
        <v>1076</v>
      </c>
      <c r="E287" t="s">
        <v>245</v>
      </c>
      <c r="F287" s="26">
        <v>9760</v>
      </c>
      <c r="G287" s="78">
        <v>15100496</v>
      </c>
      <c r="H287" s="78">
        <v>3555805</v>
      </c>
      <c r="O287" s="117">
        <f t="shared" si="20"/>
        <v>18656301</v>
      </c>
      <c r="P287" s="78">
        <v>62723853</v>
      </c>
      <c r="Q287" s="78">
        <v>7046650</v>
      </c>
      <c r="S287" s="25">
        <v>33102033</v>
      </c>
      <c r="V287" s="1">
        <v>695618</v>
      </c>
      <c r="W287" s="1">
        <v>5389965</v>
      </c>
      <c r="X287" s="1">
        <v>5308408</v>
      </c>
      <c r="AC287" s="1">
        <v>242080</v>
      </c>
      <c r="AD287" s="1">
        <v>1148439</v>
      </c>
      <c r="AG287" s="1">
        <v>8371764</v>
      </c>
      <c r="AH287" s="1">
        <v>4373469</v>
      </c>
      <c r="AM287" s="1">
        <v>4780760</v>
      </c>
      <c r="AU287" s="1">
        <v>2109006</v>
      </c>
      <c r="AV287" s="116">
        <f t="shared" si="21"/>
        <v>135292045</v>
      </c>
      <c r="BB287" s="1">
        <v>172331</v>
      </c>
      <c r="BC287" s="1">
        <v>4593596</v>
      </c>
      <c r="BD287" s="1">
        <v>2007485</v>
      </c>
      <c r="BE287" s="1">
        <v>3638881</v>
      </c>
      <c r="BF287" s="121">
        <f t="shared" si="22"/>
        <v>10412293</v>
      </c>
      <c r="BG287" s="1">
        <v>367864</v>
      </c>
      <c r="BH287" s="1">
        <v>864919</v>
      </c>
      <c r="CC287" s="125">
        <f t="shared" si="23"/>
        <v>1232783</v>
      </c>
      <c r="CK287" s="124">
        <f t="shared" si="24"/>
        <v>0</v>
      </c>
      <c r="CR287" s="23">
        <v>407475</v>
      </c>
      <c r="CT287" s="23">
        <v>16603341</v>
      </c>
      <c r="CV287" s="129">
        <v>34312875</v>
      </c>
    </row>
    <row r="288" spans="1:100" ht="12.75" customHeight="1">
      <c r="A288" s="1">
        <v>17</v>
      </c>
      <c r="B288" s="1">
        <v>5580</v>
      </c>
      <c r="C288" s="1" t="s">
        <v>1065</v>
      </c>
      <c r="D288" s="5" t="s">
        <v>1077</v>
      </c>
      <c r="E288" t="s">
        <v>246</v>
      </c>
      <c r="F288" s="26">
        <v>1173</v>
      </c>
      <c r="G288" s="78">
        <v>13351536</v>
      </c>
      <c r="H288" s="78">
        <v>614153</v>
      </c>
      <c r="M288" s="1">
        <v>787638</v>
      </c>
      <c r="O288" s="117">
        <f t="shared" si="20"/>
        <v>14753327</v>
      </c>
      <c r="U288" s="1">
        <v>454433</v>
      </c>
      <c r="V288" s="1">
        <v>128861</v>
      </c>
      <c r="W288" s="1">
        <v>789733</v>
      </c>
      <c r="X288" s="1">
        <v>65479</v>
      </c>
      <c r="AC288" s="1">
        <v>47082</v>
      </c>
      <c r="AD288" s="1">
        <v>132542</v>
      </c>
      <c r="AE288" s="1">
        <v>79780</v>
      </c>
      <c r="AG288" s="1">
        <v>1272036</v>
      </c>
      <c r="AH288" s="1">
        <v>623875</v>
      </c>
      <c r="AM288" s="1">
        <v>565120</v>
      </c>
      <c r="AU288" s="1">
        <v>137155</v>
      </c>
      <c r="AV288" s="116">
        <f t="shared" si="21"/>
        <v>4296096</v>
      </c>
      <c r="AW288" s="1">
        <v>440</v>
      </c>
      <c r="BC288" s="1">
        <v>561198</v>
      </c>
      <c r="BD288" s="1">
        <v>300903</v>
      </c>
      <c r="BE288" s="1">
        <v>126081</v>
      </c>
      <c r="BF288" s="121">
        <f t="shared" si="22"/>
        <v>988622</v>
      </c>
      <c r="BI288" s="1">
        <v>18100</v>
      </c>
      <c r="BY288" s="1">
        <v>4455</v>
      </c>
      <c r="CC288" s="125">
        <f t="shared" si="23"/>
        <v>22555</v>
      </c>
      <c r="CK288" s="124">
        <f t="shared" si="24"/>
        <v>0</v>
      </c>
      <c r="CT288" s="23">
        <v>987196</v>
      </c>
      <c r="CV288" s="129">
        <v>2677653</v>
      </c>
    </row>
    <row r="289" spans="1:100" ht="12.75" customHeight="1">
      <c r="A289" s="1">
        <v>17</v>
      </c>
      <c r="B289" s="1">
        <v>5670</v>
      </c>
      <c r="C289" s="1" t="s">
        <v>1065</v>
      </c>
      <c r="D289" s="5" t="s">
        <v>1078</v>
      </c>
      <c r="E289" t="s">
        <v>247</v>
      </c>
      <c r="F289" s="26">
        <v>7118.5</v>
      </c>
      <c r="G289" s="78">
        <v>12607840</v>
      </c>
      <c r="H289" s="78">
        <v>1142696</v>
      </c>
      <c r="O289" s="117">
        <f t="shared" si="20"/>
        <v>13750536</v>
      </c>
      <c r="P289" s="78">
        <v>30834901</v>
      </c>
      <c r="Q289" s="78">
        <v>5031410</v>
      </c>
      <c r="S289" s="25">
        <v>28178330</v>
      </c>
      <c r="V289" s="1">
        <v>322761</v>
      </c>
      <c r="W289" s="1">
        <v>3568336</v>
      </c>
      <c r="X289" s="1">
        <v>1443536</v>
      </c>
      <c r="AC289" s="1">
        <v>106138</v>
      </c>
      <c r="AD289" s="1">
        <v>711315</v>
      </c>
      <c r="AF289" s="1">
        <v>8636</v>
      </c>
      <c r="AG289" s="1">
        <v>5871507</v>
      </c>
      <c r="AH289" s="1">
        <v>3531367</v>
      </c>
      <c r="AM289" s="1">
        <v>2690055</v>
      </c>
      <c r="AU289" s="1">
        <v>459485</v>
      </c>
      <c r="AV289" s="116">
        <f t="shared" si="21"/>
        <v>82757777</v>
      </c>
      <c r="AW289" s="1">
        <v>169205</v>
      </c>
      <c r="BB289" s="1">
        <v>92009</v>
      </c>
      <c r="BC289" s="1">
        <v>2554274</v>
      </c>
      <c r="BD289" s="1">
        <v>1651394</v>
      </c>
      <c r="BE289" s="1">
        <v>1094481</v>
      </c>
      <c r="BF289" s="121">
        <f t="shared" si="22"/>
        <v>5561363</v>
      </c>
      <c r="CC289" s="125">
        <f t="shared" si="23"/>
        <v>0</v>
      </c>
      <c r="CK289" s="124">
        <f t="shared" si="24"/>
        <v>0</v>
      </c>
      <c r="CT289" s="23">
        <v>11804035</v>
      </c>
      <c r="CV289" s="129">
        <v>20746736</v>
      </c>
    </row>
    <row r="290" spans="1:100" ht="12.75" customHeight="1">
      <c r="A290" s="1">
        <v>19</v>
      </c>
      <c r="B290" s="1">
        <v>20</v>
      </c>
      <c r="C290" s="1" t="s">
        <v>1079</v>
      </c>
      <c r="D290" s="5" t="s">
        <v>1080</v>
      </c>
      <c r="E290" t="s">
        <v>248</v>
      </c>
      <c r="F290" s="26">
        <v>654</v>
      </c>
      <c r="G290" s="78">
        <v>6405579</v>
      </c>
      <c r="H290" s="78">
        <v>89171</v>
      </c>
      <c r="M290" s="1">
        <v>366366</v>
      </c>
      <c r="O290" s="117">
        <f t="shared" si="20"/>
        <v>6861116</v>
      </c>
      <c r="P290" s="78">
        <v>869779</v>
      </c>
      <c r="V290" s="1">
        <v>252465</v>
      </c>
      <c r="W290" s="1">
        <v>341334</v>
      </c>
      <c r="Y290" s="78">
        <v>155719</v>
      </c>
      <c r="AC290" s="1">
        <v>9930</v>
      </c>
      <c r="AD290" s="1">
        <v>74390</v>
      </c>
      <c r="AE290" s="1">
        <v>50811</v>
      </c>
      <c r="AF290" s="1">
        <v>7042</v>
      </c>
      <c r="AG290" s="1">
        <v>496307</v>
      </c>
      <c r="AH290" s="1">
        <v>333121</v>
      </c>
      <c r="AV290" s="116">
        <f t="shared" si="21"/>
        <v>2590898</v>
      </c>
      <c r="BD290" s="1">
        <v>121250</v>
      </c>
      <c r="BE290" s="1">
        <v>24787</v>
      </c>
      <c r="BF290" s="121">
        <f t="shared" si="22"/>
        <v>146037</v>
      </c>
      <c r="BO290" s="1">
        <v>18624</v>
      </c>
      <c r="CA290" s="1">
        <v>17737</v>
      </c>
      <c r="CC290" s="125">
        <f t="shared" si="23"/>
        <v>36361</v>
      </c>
      <c r="CD290" s="1">
        <v>17744</v>
      </c>
      <c r="CK290" s="124">
        <f t="shared" si="24"/>
        <v>17744</v>
      </c>
      <c r="CV290" s="129">
        <v>146037</v>
      </c>
    </row>
    <row r="291" spans="1:100" ht="12.75" customHeight="1">
      <c r="A291" s="1">
        <v>19</v>
      </c>
      <c r="B291" s="1">
        <v>370</v>
      </c>
      <c r="C291" s="1" t="s">
        <v>1079</v>
      </c>
      <c r="D291" s="5" t="s">
        <v>1081</v>
      </c>
      <c r="E291" t="s">
        <v>249</v>
      </c>
      <c r="F291" s="26">
        <v>622</v>
      </c>
      <c r="G291" s="78">
        <v>6570438</v>
      </c>
      <c r="L291" s="1">
        <v>1000</v>
      </c>
      <c r="M291" s="1">
        <v>174281</v>
      </c>
      <c r="O291" s="117">
        <f t="shared" si="20"/>
        <v>6745719</v>
      </c>
      <c r="P291" s="78">
        <v>659180</v>
      </c>
      <c r="V291" s="1">
        <v>251969</v>
      </c>
      <c r="W291" s="1">
        <v>521108</v>
      </c>
      <c r="AD291" s="1">
        <v>29397</v>
      </c>
      <c r="AE291" s="1">
        <v>43850</v>
      </c>
      <c r="AF291" s="1">
        <v>6812</v>
      </c>
      <c r="AG291" s="1">
        <v>502642</v>
      </c>
      <c r="AH291" s="1">
        <v>276469</v>
      </c>
      <c r="AV291" s="116">
        <f t="shared" si="21"/>
        <v>2291427</v>
      </c>
      <c r="BD291" s="1">
        <v>101339</v>
      </c>
      <c r="BE291" s="1">
        <v>44260</v>
      </c>
      <c r="BF291" s="121">
        <f t="shared" si="22"/>
        <v>145599</v>
      </c>
      <c r="BP291" s="1">
        <v>34886</v>
      </c>
      <c r="CC291" s="125">
        <f t="shared" si="23"/>
        <v>34886</v>
      </c>
      <c r="CK291" s="124">
        <f t="shared" si="24"/>
        <v>0</v>
      </c>
      <c r="CT291" s="23">
        <v>1351</v>
      </c>
      <c r="CV291" s="129">
        <v>147950</v>
      </c>
    </row>
    <row r="292" spans="1:100" ht="12.75" customHeight="1">
      <c r="A292" s="1">
        <v>19</v>
      </c>
      <c r="B292" s="1">
        <v>430</v>
      </c>
      <c r="C292" s="1" t="s">
        <v>1079</v>
      </c>
      <c r="D292" s="5" t="s">
        <v>1082</v>
      </c>
      <c r="E292" t="s">
        <v>250</v>
      </c>
      <c r="F292" s="26">
        <v>154</v>
      </c>
      <c r="G292" s="78">
        <v>1460000</v>
      </c>
      <c r="H292" s="78">
        <v>13805</v>
      </c>
      <c r="O292" s="117">
        <f t="shared" si="20"/>
        <v>1473805</v>
      </c>
      <c r="P292" s="78">
        <v>114537</v>
      </c>
      <c r="Q292" s="78">
        <v>5631</v>
      </c>
      <c r="R292" s="1">
        <v>221564</v>
      </c>
      <c r="V292" s="1">
        <v>22993</v>
      </c>
      <c r="W292" s="1">
        <v>155084</v>
      </c>
      <c r="Y292" s="78">
        <v>129015</v>
      </c>
      <c r="AC292" s="1">
        <v>2502</v>
      </c>
      <c r="AD292" s="1">
        <v>32735</v>
      </c>
      <c r="AE292" s="1">
        <v>19735</v>
      </c>
      <c r="AF292" s="1">
        <v>32987</v>
      </c>
      <c r="AG292" s="1">
        <v>114974</v>
      </c>
      <c r="AH292" s="1">
        <v>81475</v>
      </c>
      <c r="AT292" s="1">
        <v>32831</v>
      </c>
      <c r="AU292" s="1">
        <v>5221</v>
      </c>
      <c r="AV292" s="116">
        <f t="shared" si="21"/>
        <v>971284</v>
      </c>
      <c r="BC292" s="1">
        <v>1344</v>
      </c>
      <c r="BD292" s="1">
        <v>39849</v>
      </c>
      <c r="BE292" s="1">
        <v>9297</v>
      </c>
      <c r="BF292" s="121">
        <f t="shared" si="22"/>
        <v>50490</v>
      </c>
      <c r="BO292" s="1">
        <v>100</v>
      </c>
      <c r="CC292" s="125">
        <f t="shared" si="23"/>
        <v>100</v>
      </c>
      <c r="CD292" s="1">
        <v>10420</v>
      </c>
      <c r="CK292" s="124">
        <f t="shared" si="24"/>
        <v>10420</v>
      </c>
      <c r="CV292" s="129">
        <v>55711</v>
      </c>
    </row>
    <row r="293" spans="1:100" ht="12.75" customHeight="1">
      <c r="A293" s="1">
        <v>19</v>
      </c>
      <c r="B293" s="1">
        <v>670</v>
      </c>
      <c r="C293" s="1" t="s">
        <v>1079</v>
      </c>
      <c r="D293" s="5" t="s">
        <v>1083</v>
      </c>
      <c r="E293" t="s">
        <v>251</v>
      </c>
      <c r="F293" s="26">
        <v>141</v>
      </c>
      <c r="G293" s="78">
        <v>1735044</v>
      </c>
      <c r="H293" s="78">
        <v>41361</v>
      </c>
      <c r="M293" s="1">
        <v>48500</v>
      </c>
      <c r="O293" s="117">
        <f t="shared" si="20"/>
        <v>1824905</v>
      </c>
      <c r="P293" s="78">
        <v>101749</v>
      </c>
      <c r="V293" s="1">
        <v>13111</v>
      </c>
      <c r="W293" s="1">
        <v>138670</v>
      </c>
      <c r="Y293" s="78">
        <v>2785</v>
      </c>
      <c r="AC293" s="1">
        <v>7105</v>
      </c>
      <c r="AD293" s="1">
        <v>9410</v>
      </c>
      <c r="AE293" s="1">
        <v>7972</v>
      </c>
      <c r="AG293" s="1">
        <v>186068</v>
      </c>
      <c r="AH293" s="1">
        <v>74641</v>
      </c>
      <c r="AU293" s="1">
        <v>1076</v>
      </c>
      <c r="AV293" s="116">
        <f t="shared" si="21"/>
        <v>542587</v>
      </c>
      <c r="BD293" s="1">
        <v>12707</v>
      </c>
      <c r="BE293" s="1">
        <v>13126</v>
      </c>
      <c r="BF293" s="121">
        <f t="shared" si="22"/>
        <v>25833</v>
      </c>
      <c r="BI293" s="1">
        <v>7200</v>
      </c>
      <c r="CA293" s="1">
        <v>4766</v>
      </c>
      <c r="CC293" s="125">
        <f t="shared" si="23"/>
        <v>11966</v>
      </c>
      <c r="CK293" s="124">
        <f t="shared" si="24"/>
        <v>0</v>
      </c>
      <c r="CM293" s="23">
        <v>1935000</v>
      </c>
      <c r="CV293" s="129">
        <v>26909</v>
      </c>
    </row>
    <row r="294" spans="1:100" ht="12.75" customHeight="1">
      <c r="A294" s="1">
        <v>19</v>
      </c>
      <c r="B294" s="1">
        <v>910</v>
      </c>
      <c r="C294" s="1" t="s">
        <v>1079</v>
      </c>
      <c r="D294" s="5" t="s">
        <v>1084</v>
      </c>
      <c r="E294" t="s">
        <v>252</v>
      </c>
      <c r="F294" s="26">
        <v>555</v>
      </c>
      <c r="G294" s="78">
        <v>3714408</v>
      </c>
      <c r="H294" s="78">
        <v>11997</v>
      </c>
      <c r="L294" s="1">
        <v>2500</v>
      </c>
      <c r="M294" s="1">
        <v>551123</v>
      </c>
      <c r="O294" s="117">
        <f t="shared" si="20"/>
        <v>4280028</v>
      </c>
      <c r="W294" s="1">
        <v>215653</v>
      </c>
      <c r="X294" s="1">
        <v>1150</v>
      </c>
      <c r="AC294" s="1">
        <v>4317</v>
      </c>
      <c r="AD294" s="1">
        <v>23952</v>
      </c>
      <c r="AE294" s="1">
        <v>7223</v>
      </c>
      <c r="AF294" s="1">
        <v>3462</v>
      </c>
      <c r="AG294" s="1">
        <v>423230</v>
      </c>
      <c r="AH294" s="1">
        <v>246476</v>
      </c>
      <c r="AP294" s="1">
        <v>1226</v>
      </c>
      <c r="AU294" s="1">
        <v>1488</v>
      </c>
      <c r="AV294" s="116">
        <f t="shared" si="21"/>
        <v>928177</v>
      </c>
      <c r="BC294" s="1">
        <v>16363</v>
      </c>
      <c r="BD294" s="1">
        <v>122376</v>
      </c>
      <c r="BE294" s="1">
        <v>59067</v>
      </c>
      <c r="BF294" s="121">
        <f t="shared" si="22"/>
        <v>197806</v>
      </c>
      <c r="BI294" s="1">
        <v>35827</v>
      </c>
      <c r="CC294" s="125">
        <f t="shared" si="23"/>
        <v>35827</v>
      </c>
      <c r="CD294" s="1">
        <v>2260730</v>
      </c>
      <c r="CK294" s="124">
        <f t="shared" si="24"/>
        <v>2260730</v>
      </c>
      <c r="CV294" s="129">
        <v>201794</v>
      </c>
    </row>
    <row r="295" spans="1:100" ht="12.75" customHeight="1">
      <c r="A295" s="1">
        <v>19</v>
      </c>
      <c r="B295" s="1">
        <v>920</v>
      </c>
      <c r="C295" s="1" t="s">
        <v>1079</v>
      </c>
      <c r="D295" s="5" t="s">
        <v>1085</v>
      </c>
      <c r="E295" t="s">
        <v>253</v>
      </c>
      <c r="F295" s="26">
        <v>1805</v>
      </c>
      <c r="G295" s="78">
        <v>18273534</v>
      </c>
      <c r="H295" s="78">
        <v>196061</v>
      </c>
      <c r="L295" s="1">
        <v>4941</v>
      </c>
      <c r="M295" s="1">
        <v>3064645</v>
      </c>
      <c r="O295" s="117">
        <f t="shared" si="20"/>
        <v>21539181</v>
      </c>
      <c r="V295" s="1">
        <v>289656</v>
      </c>
      <c r="W295" s="1">
        <v>1095855</v>
      </c>
      <c r="X295" s="1">
        <v>13057</v>
      </c>
      <c r="AC295" s="1">
        <v>86230</v>
      </c>
      <c r="AD295" s="1">
        <v>113460</v>
      </c>
      <c r="AE295" s="1">
        <v>45361</v>
      </c>
      <c r="AF295" s="1">
        <v>19663</v>
      </c>
      <c r="AG295" s="1">
        <v>1202750</v>
      </c>
      <c r="AH295" s="1">
        <v>737471</v>
      </c>
      <c r="AT295" s="1">
        <v>3874805</v>
      </c>
      <c r="AU295" s="1">
        <v>203466</v>
      </c>
      <c r="AV295" s="116">
        <f t="shared" si="21"/>
        <v>7681774</v>
      </c>
      <c r="BD295" s="1">
        <v>376745</v>
      </c>
      <c r="BE295" s="1">
        <v>21488</v>
      </c>
      <c r="BF295" s="121">
        <f t="shared" si="22"/>
        <v>398233</v>
      </c>
      <c r="BI295" s="1">
        <v>23115</v>
      </c>
      <c r="BN295" s="1">
        <v>10000</v>
      </c>
      <c r="BO295" s="1">
        <v>3873</v>
      </c>
      <c r="CA295" s="1">
        <v>356530</v>
      </c>
      <c r="CC295" s="125">
        <f t="shared" si="23"/>
        <v>393518</v>
      </c>
      <c r="CD295" s="1">
        <v>212811</v>
      </c>
      <c r="CK295" s="124">
        <f t="shared" si="24"/>
        <v>212811</v>
      </c>
      <c r="CM295" s="23">
        <v>54274</v>
      </c>
      <c r="CN295" s="23">
        <v>140358</v>
      </c>
      <c r="CV295" s="129">
        <v>606640</v>
      </c>
    </row>
    <row r="296" spans="1:100" ht="12.75" customHeight="1">
      <c r="A296" s="1">
        <v>19</v>
      </c>
      <c r="B296" s="1">
        <v>1040</v>
      </c>
      <c r="C296" s="1" t="s">
        <v>1079</v>
      </c>
      <c r="D296" s="5" t="s">
        <v>1086</v>
      </c>
      <c r="E296" t="s">
        <v>254</v>
      </c>
      <c r="F296" s="26">
        <v>484</v>
      </c>
      <c r="G296" s="78">
        <v>6035994</v>
      </c>
      <c r="H296" s="78">
        <v>72578</v>
      </c>
      <c r="M296" s="1">
        <v>425212</v>
      </c>
      <c r="O296" s="117">
        <f t="shared" si="20"/>
        <v>6533784</v>
      </c>
      <c r="V296" s="1">
        <v>176568</v>
      </c>
      <c r="W296" s="1">
        <v>249115</v>
      </c>
      <c r="X296" s="1">
        <v>3504</v>
      </c>
      <c r="Y296" s="78">
        <v>606525</v>
      </c>
      <c r="AC296" s="1">
        <v>3178</v>
      </c>
      <c r="AD296" s="1">
        <v>58481</v>
      </c>
      <c r="AE296" s="1">
        <v>32826</v>
      </c>
      <c r="AG296" s="1">
        <v>464130</v>
      </c>
      <c r="AH296" s="1">
        <v>254042</v>
      </c>
      <c r="AU296" s="1">
        <v>1129</v>
      </c>
      <c r="AV296" s="116">
        <f t="shared" si="21"/>
        <v>1849498</v>
      </c>
      <c r="BC296" s="1">
        <v>10631</v>
      </c>
      <c r="BD296" s="1">
        <v>90151</v>
      </c>
      <c r="BE296" s="1">
        <v>139668</v>
      </c>
      <c r="BF296" s="121">
        <f t="shared" si="22"/>
        <v>240450</v>
      </c>
      <c r="BY296" s="1">
        <v>139951</v>
      </c>
      <c r="CC296" s="125">
        <f t="shared" si="23"/>
        <v>139951</v>
      </c>
      <c r="CD296" s="1">
        <v>14500</v>
      </c>
      <c r="CK296" s="124">
        <f t="shared" si="24"/>
        <v>14500</v>
      </c>
      <c r="CV296" s="129">
        <v>241579</v>
      </c>
    </row>
    <row r="297" spans="1:100" ht="12.75" customHeight="1">
      <c r="A297" s="1">
        <v>19</v>
      </c>
      <c r="B297" s="1">
        <v>1050</v>
      </c>
      <c r="C297" s="1" t="s">
        <v>1079</v>
      </c>
      <c r="D297" s="5" t="s">
        <v>1087</v>
      </c>
      <c r="E297" t="s">
        <v>255</v>
      </c>
      <c r="F297" s="26">
        <v>951.5</v>
      </c>
      <c r="G297" s="78">
        <v>10974948</v>
      </c>
      <c r="H297" s="78">
        <v>194610</v>
      </c>
      <c r="M297" s="1">
        <v>584115</v>
      </c>
      <c r="O297" s="117">
        <f t="shared" si="20"/>
        <v>11753673</v>
      </c>
      <c r="P297" s="78">
        <v>1750505</v>
      </c>
      <c r="V297" s="1">
        <v>419852</v>
      </c>
      <c r="W297" s="1">
        <v>598514</v>
      </c>
      <c r="Y297" s="78">
        <v>821175</v>
      </c>
      <c r="AC297" s="1">
        <v>38395</v>
      </c>
      <c r="AD297" s="1">
        <v>94579</v>
      </c>
      <c r="AE297" s="1">
        <v>110539</v>
      </c>
      <c r="AF297" s="1">
        <v>61926</v>
      </c>
      <c r="AG297" s="1">
        <v>945112</v>
      </c>
      <c r="AH297" s="1">
        <v>458600</v>
      </c>
      <c r="AV297" s="116">
        <f t="shared" si="21"/>
        <v>5299197</v>
      </c>
      <c r="BD297" s="1">
        <v>166721</v>
      </c>
      <c r="BE297" s="1">
        <v>43957</v>
      </c>
      <c r="BF297" s="121">
        <f t="shared" si="22"/>
        <v>210678</v>
      </c>
      <c r="BO297" s="1">
        <v>10364</v>
      </c>
      <c r="CA297" s="1">
        <v>5097</v>
      </c>
      <c r="CB297" s="1">
        <v>602491</v>
      </c>
      <c r="CC297" s="125">
        <f t="shared" si="23"/>
        <v>617952</v>
      </c>
      <c r="CK297" s="124">
        <f t="shared" si="24"/>
        <v>0</v>
      </c>
      <c r="CV297" s="129">
        <v>210678</v>
      </c>
    </row>
    <row r="298" spans="1:100" ht="12.75" customHeight="1">
      <c r="A298" s="1">
        <v>19</v>
      </c>
      <c r="B298" s="1">
        <v>1160</v>
      </c>
      <c r="C298" s="1" t="s">
        <v>1079</v>
      </c>
      <c r="D298" s="5" t="s">
        <v>1088</v>
      </c>
      <c r="E298" t="s">
        <v>256</v>
      </c>
      <c r="F298" s="26">
        <v>497</v>
      </c>
      <c r="G298" s="78">
        <v>5428320</v>
      </c>
      <c r="H298" s="78">
        <v>66491</v>
      </c>
      <c r="M298" s="1">
        <v>296679</v>
      </c>
      <c r="O298" s="117">
        <f t="shared" si="20"/>
        <v>5791490</v>
      </c>
      <c r="V298" s="1">
        <v>177775</v>
      </c>
      <c r="W298" s="1">
        <v>229935</v>
      </c>
      <c r="Y298" s="78">
        <v>334717</v>
      </c>
      <c r="AC298" s="1">
        <v>3709</v>
      </c>
      <c r="AD298" s="1">
        <v>31704</v>
      </c>
      <c r="AE298" s="1">
        <v>23224</v>
      </c>
      <c r="AF298" s="1">
        <v>2668</v>
      </c>
      <c r="AG298" s="1">
        <v>498123</v>
      </c>
      <c r="AH298" s="1">
        <v>235255</v>
      </c>
      <c r="AT298" s="1">
        <v>16600</v>
      </c>
      <c r="AU298" s="1">
        <v>18657</v>
      </c>
      <c r="AV298" s="116">
        <f t="shared" si="21"/>
        <v>1572367</v>
      </c>
      <c r="BD298" s="1">
        <v>99360</v>
      </c>
      <c r="BE298" s="1">
        <v>86868</v>
      </c>
      <c r="BF298" s="121">
        <f t="shared" si="22"/>
        <v>186228</v>
      </c>
      <c r="BZ298" s="1">
        <v>20</v>
      </c>
      <c r="CB298" s="1">
        <v>73343</v>
      </c>
      <c r="CC298" s="125">
        <f t="shared" si="23"/>
        <v>73363</v>
      </c>
      <c r="CD298" s="1">
        <v>34600</v>
      </c>
      <c r="CK298" s="124">
        <f t="shared" si="24"/>
        <v>34600</v>
      </c>
      <c r="CM298" s="23">
        <v>7155</v>
      </c>
      <c r="CN298" s="23">
        <v>51758</v>
      </c>
      <c r="CV298" s="129">
        <v>204885</v>
      </c>
    </row>
    <row r="299" spans="1:100" ht="12.75" customHeight="1">
      <c r="A299" s="1">
        <v>19</v>
      </c>
      <c r="B299" s="1">
        <v>1510</v>
      </c>
      <c r="C299" s="1" t="s">
        <v>1079</v>
      </c>
      <c r="D299" s="5" t="s">
        <v>1089</v>
      </c>
      <c r="E299" t="s">
        <v>257</v>
      </c>
      <c r="F299" s="26">
        <v>3587</v>
      </c>
      <c r="G299" s="78">
        <v>37820501</v>
      </c>
      <c r="H299" s="78">
        <v>1126695</v>
      </c>
      <c r="L299" s="1">
        <v>14712</v>
      </c>
      <c r="M299" s="1">
        <v>4286238</v>
      </c>
      <c r="O299" s="117">
        <f t="shared" si="20"/>
        <v>43248146</v>
      </c>
      <c r="P299" s="78">
        <v>1486857</v>
      </c>
      <c r="V299" s="1">
        <v>955413</v>
      </c>
      <c r="W299" s="1">
        <v>2110642</v>
      </c>
      <c r="X299" s="1">
        <v>104886</v>
      </c>
      <c r="Y299" s="78">
        <v>1312672</v>
      </c>
      <c r="AC299" s="1">
        <v>154362</v>
      </c>
      <c r="AD299" s="1">
        <v>391591</v>
      </c>
      <c r="AE299" s="1">
        <v>190862</v>
      </c>
      <c r="AF299" s="1">
        <v>19411</v>
      </c>
      <c r="AG299" s="1">
        <v>2539549</v>
      </c>
      <c r="AH299" s="1">
        <v>1598272</v>
      </c>
      <c r="AP299" s="1">
        <v>290360</v>
      </c>
      <c r="AU299" s="1">
        <v>97301</v>
      </c>
      <c r="AV299" s="116">
        <f t="shared" si="21"/>
        <v>11252178</v>
      </c>
      <c r="BC299" s="1">
        <v>137131</v>
      </c>
      <c r="BD299" s="1">
        <v>659529</v>
      </c>
      <c r="BE299" s="1">
        <v>118631</v>
      </c>
      <c r="BF299" s="121">
        <f t="shared" si="22"/>
        <v>915291</v>
      </c>
      <c r="BO299" s="1">
        <v>8299</v>
      </c>
      <c r="BY299" s="1">
        <v>54921</v>
      </c>
      <c r="CC299" s="125">
        <f t="shared" si="23"/>
        <v>63220</v>
      </c>
      <c r="CK299" s="124">
        <f t="shared" si="24"/>
        <v>0</v>
      </c>
      <c r="CV299" s="129">
        <v>1027304</v>
      </c>
    </row>
    <row r="300" spans="1:100" ht="12.75" customHeight="1">
      <c r="A300" s="1">
        <v>19</v>
      </c>
      <c r="B300" s="1">
        <v>1600</v>
      </c>
      <c r="C300" s="1" t="s">
        <v>1079</v>
      </c>
      <c r="D300" s="5" t="s">
        <v>1043</v>
      </c>
      <c r="E300" t="s">
        <v>258</v>
      </c>
      <c r="F300" s="26">
        <v>352</v>
      </c>
      <c r="G300" s="78">
        <v>4781071</v>
      </c>
      <c r="H300" s="78">
        <v>36378</v>
      </c>
      <c r="M300" s="1">
        <v>417429</v>
      </c>
      <c r="O300" s="117">
        <f t="shared" si="20"/>
        <v>5234878</v>
      </c>
      <c r="V300" s="1">
        <v>93188</v>
      </c>
      <c r="W300" s="1">
        <v>201241</v>
      </c>
      <c r="X300" s="1">
        <v>2318</v>
      </c>
      <c r="AC300" s="1">
        <v>8385</v>
      </c>
      <c r="AD300" s="1">
        <v>44107</v>
      </c>
      <c r="AE300" s="1">
        <v>10226</v>
      </c>
      <c r="AF300" s="1">
        <v>4640</v>
      </c>
      <c r="AG300" s="1">
        <v>274352</v>
      </c>
      <c r="AH300" s="1">
        <v>182100</v>
      </c>
      <c r="AT300" s="1">
        <v>283609</v>
      </c>
      <c r="AU300" s="1">
        <v>45864</v>
      </c>
      <c r="AV300" s="116">
        <f t="shared" si="21"/>
        <v>1150030</v>
      </c>
      <c r="BC300" s="1">
        <v>7599</v>
      </c>
      <c r="BD300" s="1">
        <v>88424</v>
      </c>
      <c r="BE300" s="1">
        <v>24616</v>
      </c>
      <c r="BF300" s="121">
        <f t="shared" si="22"/>
        <v>120639</v>
      </c>
      <c r="CA300" s="1">
        <v>404241</v>
      </c>
      <c r="CC300" s="125">
        <f t="shared" si="23"/>
        <v>404241</v>
      </c>
      <c r="CK300" s="124">
        <f t="shared" si="24"/>
        <v>0</v>
      </c>
      <c r="CV300" s="129">
        <v>166503</v>
      </c>
    </row>
    <row r="301" spans="1:100" ht="12.75" customHeight="1">
      <c r="A301" s="1">
        <v>19</v>
      </c>
      <c r="B301" s="1">
        <v>1680</v>
      </c>
      <c r="C301" s="1" t="s">
        <v>1079</v>
      </c>
      <c r="D301" s="5" t="s">
        <v>1090</v>
      </c>
      <c r="E301" t="s">
        <v>259</v>
      </c>
      <c r="F301" s="26">
        <v>141</v>
      </c>
      <c r="G301" s="78">
        <v>1352227</v>
      </c>
      <c r="H301" s="78">
        <v>17559</v>
      </c>
      <c r="J301" s="1">
        <v>64948</v>
      </c>
      <c r="L301" s="1">
        <v>1991</v>
      </c>
      <c r="M301" s="1">
        <v>141523</v>
      </c>
      <c r="O301" s="117">
        <f t="shared" si="20"/>
        <v>1578248</v>
      </c>
      <c r="V301" s="1">
        <v>1983</v>
      </c>
      <c r="W301" s="1">
        <v>47935</v>
      </c>
      <c r="X301" s="1">
        <v>2336</v>
      </c>
      <c r="Y301" s="78">
        <v>531438</v>
      </c>
      <c r="AD301" s="1">
        <v>12508</v>
      </c>
      <c r="AE301" s="1">
        <v>17953</v>
      </c>
      <c r="AF301" s="1">
        <v>1044</v>
      </c>
      <c r="AG301" s="1">
        <v>185850</v>
      </c>
      <c r="AH301" s="1">
        <v>103494</v>
      </c>
      <c r="AO301" s="1">
        <v>2232</v>
      </c>
      <c r="AT301" s="1">
        <v>43199</v>
      </c>
      <c r="AU301" s="1">
        <v>1600</v>
      </c>
      <c r="AV301" s="116">
        <f t="shared" si="21"/>
        <v>951572</v>
      </c>
      <c r="BC301" s="1">
        <v>11409</v>
      </c>
      <c r="BD301" s="1">
        <v>34016</v>
      </c>
      <c r="BE301" s="1">
        <v>38099</v>
      </c>
      <c r="BF301" s="121">
        <f t="shared" si="22"/>
        <v>83524</v>
      </c>
      <c r="BI301" s="1">
        <v>28660</v>
      </c>
      <c r="BO301" s="1">
        <v>4704</v>
      </c>
      <c r="CA301" s="1">
        <v>92</v>
      </c>
      <c r="CC301" s="125">
        <f t="shared" si="23"/>
        <v>33456</v>
      </c>
      <c r="CD301" s="1">
        <v>32000</v>
      </c>
      <c r="CK301" s="124">
        <f t="shared" si="24"/>
        <v>32000</v>
      </c>
      <c r="CV301" s="129">
        <v>89347</v>
      </c>
    </row>
    <row r="302" spans="1:100" ht="12.75" customHeight="1">
      <c r="A302" s="1">
        <v>19</v>
      </c>
      <c r="B302" s="1">
        <v>1740</v>
      </c>
      <c r="C302" s="1" t="s">
        <v>1079</v>
      </c>
      <c r="D302" s="5" t="s">
        <v>1091</v>
      </c>
      <c r="E302"/>
      <c r="F302" s="26"/>
      <c r="G302" s="78">
        <v>1451415</v>
      </c>
      <c r="H302" s="78">
        <v>14322</v>
      </c>
      <c r="O302" s="117">
        <f t="shared" si="20"/>
        <v>1465737</v>
      </c>
      <c r="P302" s="78">
        <v>471832</v>
      </c>
      <c r="Q302" s="78">
        <v>87212</v>
      </c>
      <c r="V302" s="1">
        <v>200465</v>
      </c>
      <c r="W302" s="1">
        <v>120923</v>
      </c>
      <c r="Y302" s="78">
        <v>168621</v>
      </c>
      <c r="AC302" s="1">
        <v>8718</v>
      </c>
      <c r="AD302" s="1">
        <v>23409</v>
      </c>
      <c r="AE302" s="1">
        <v>21444</v>
      </c>
      <c r="AF302" s="1">
        <v>696</v>
      </c>
      <c r="AG302" s="1">
        <v>1346</v>
      </c>
      <c r="AH302" s="1">
        <v>1339</v>
      </c>
      <c r="AV302" s="116">
        <f t="shared" si="21"/>
        <v>1106005</v>
      </c>
      <c r="BF302" s="121">
        <f t="shared" si="22"/>
        <v>0</v>
      </c>
      <c r="BN302" s="1">
        <v>957</v>
      </c>
      <c r="CC302" s="125">
        <f t="shared" si="23"/>
        <v>957</v>
      </c>
      <c r="CK302" s="124">
        <f t="shared" si="24"/>
        <v>0</v>
      </c>
    </row>
    <row r="303" spans="1:100" ht="12.75" customHeight="1">
      <c r="A303" s="1">
        <v>19</v>
      </c>
      <c r="B303" s="1">
        <v>1970</v>
      </c>
      <c r="C303" s="1" t="s">
        <v>1079</v>
      </c>
      <c r="D303" s="5" t="s">
        <v>1092</v>
      </c>
      <c r="E303" t="s">
        <v>260</v>
      </c>
      <c r="F303" s="26">
        <v>187</v>
      </c>
      <c r="G303" s="78">
        <v>1729693</v>
      </c>
      <c r="H303" s="78">
        <v>5412</v>
      </c>
      <c r="L303" s="1">
        <v>395</v>
      </c>
      <c r="O303" s="117">
        <f t="shared" si="20"/>
        <v>1735500</v>
      </c>
      <c r="P303" s="78">
        <v>523247</v>
      </c>
      <c r="V303" s="1">
        <v>5617</v>
      </c>
      <c r="W303" s="1">
        <v>211776</v>
      </c>
      <c r="X303" s="1">
        <v>1168</v>
      </c>
      <c r="AC303" s="1">
        <v>3646</v>
      </c>
      <c r="AD303" s="1">
        <v>19640</v>
      </c>
      <c r="AE303" s="1">
        <v>23043</v>
      </c>
      <c r="AF303" s="1">
        <v>1787</v>
      </c>
      <c r="AG303" s="1">
        <v>243491</v>
      </c>
      <c r="AH303" s="1">
        <v>99867</v>
      </c>
      <c r="AO303" s="1">
        <v>7027</v>
      </c>
      <c r="AU303" s="1">
        <v>21263</v>
      </c>
      <c r="AV303" s="116">
        <f t="shared" si="21"/>
        <v>1161572</v>
      </c>
      <c r="BC303" s="1">
        <v>10927</v>
      </c>
      <c r="BD303" s="1">
        <v>48747</v>
      </c>
      <c r="BE303" s="1">
        <v>8004</v>
      </c>
      <c r="BF303" s="121">
        <f t="shared" si="22"/>
        <v>67678</v>
      </c>
      <c r="CC303" s="125">
        <f t="shared" si="23"/>
        <v>0</v>
      </c>
      <c r="CK303" s="124">
        <f t="shared" si="24"/>
        <v>0</v>
      </c>
      <c r="CV303" s="129">
        <v>96363</v>
      </c>
    </row>
    <row r="304" spans="1:100" ht="12.75" customHeight="1">
      <c r="A304" s="1">
        <v>19</v>
      </c>
      <c r="B304" s="1">
        <v>2140</v>
      </c>
      <c r="C304" s="1" t="s">
        <v>1079</v>
      </c>
      <c r="D304" s="5" t="s">
        <v>1093</v>
      </c>
      <c r="E304" t="s">
        <v>261</v>
      </c>
      <c r="F304" s="26">
        <v>432</v>
      </c>
      <c r="G304" s="78">
        <v>4311838</v>
      </c>
      <c r="H304" s="78">
        <v>25444</v>
      </c>
      <c r="L304" s="1">
        <v>150</v>
      </c>
      <c r="M304" s="1">
        <v>492701</v>
      </c>
      <c r="O304" s="117">
        <f t="shared" si="20"/>
        <v>4830133</v>
      </c>
      <c r="P304" s="78">
        <v>720874</v>
      </c>
      <c r="Q304" s="78">
        <v>257603</v>
      </c>
      <c r="V304" s="1">
        <v>11617</v>
      </c>
      <c r="W304" s="1">
        <v>428716</v>
      </c>
      <c r="X304" s="1">
        <v>4672</v>
      </c>
      <c r="Y304" s="78">
        <v>29686</v>
      </c>
      <c r="AC304" s="1">
        <v>26221</v>
      </c>
      <c r="AD304" s="1">
        <v>48825</v>
      </c>
      <c r="AE304" s="1">
        <v>45060</v>
      </c>
      <c r="AF304" s="1">
        <v>2204</v>
      </c>
      <c r="AG304" s="1">
        <v>529411</v>
      </c>
      <c r="AH304" s="1">
        <v>261435</v>
      </c>
      <c r="AP304" s="1">
        <v>102432</v>
      </c>
      <c r="AU304" s="1">
        <v>14142</v>
      </c>
      <c r="AV304" s="116">
        <f t="shared" si="21"/>
        <v>2482898</v>
      </c>
      <c r="BC304" s="1">
        <v>16862</v>
      </c>
      <c r="BD304" s="1">
        <v>86981</v>
      </c>
      <c r="BE304" s="1">
        <v>18985</v>
      </c>
      <c r="BF304" s="121">
        <f t="shared" si="22"/>
        <v>122828</v>
      </c>
      <c r="BO304" s="1">
        <v>154</v>
      </c>
      <c r="CC304" s="125">
        <f t="shared" si="23"/>
        <v>154</v>
      </c>
      <c r="CD304" s="1">
        <v>117964</v>
      </c>
      <c r="CK304" s="124">
        <f t="shared" si="24"/>
        <v>117964</v>
      </c>
      <c r="CV304" s="129">
        <v>137120</v>
      </c>
    </row>
    <row r="305" spans="1:100" ht="12.75" customHeight="1">
      <c r="A305" s="1">
        <v>19</v>
      </c>
      <c r="B305" s="1">
        <v>2220</v>
      </c>
      <c r="C305" s="1" t="s">
        <v>1079</v>
      </c>
      <c r="D305" s="5" t="s">
        <v>1094</v>
      </c>
      <c r="E305" t="s">
        <v>262</v>
      </c>
      <c r="F305" s="26">
        <v>718</v>
      </c>
      <c r="G305" s="78">
        <v>6990227</v>
      </c>
      <c r="H305" s="78">
        <v>92576</v>
      </c>
      <c r="L305" s="1">
        <v>1000</v>
      </c>
      <c r="M305" s="1">
        <v>332745</v>
      </c>
      <c r="O305" s="117">
        <f t="shared" si="20"/>
        <v>7416548</v>
      </c>
      <c r="P305" s="78">
        <v>832842</v>
      </c>
      <c r="V305" s="1">
        <v>185120</v>
      </c>
      <c r="W305" s="1">
        <v>386589</v>
      </c>
      <c r="Y305" s="78">
        <v>174458</v>
      </c>
      <c r="AC305" s="1">
        <v>33523</v>
      </c>
      <c r="AD305" s="1">
        <v>75597</v>
      </c>
      <c r="AE305" s="1">
        <v>49638</v>
      </c>
      <c r="AF305" s="1">
        <v>4548</v>
      </c>
      <c r="AG305" s="1">
        <v>678799</v>
      </c>
      <c r="AH305" s="1">
        <v>317972</v>
      </c>
      <c r="AV305" s="116">
        <f t="shared" si="21"/>
        <v>2739086</v>
      </c>
      <c r="BC305" s="1">
        <v>23908</v>
      </c>
      <c r="BD305" s="1">
        <v>145368</v>
      </c>
      <c r="BE305" s="1">
        <v>26875</v>
      </c>
      <c r="BF305" s="121">
        <f t="shared" si="22"/>
        <v>196151</v>
      </c>
      <c r="BI305" s="1">
        <v>23263</v>
      </c>
      <c r="BO305" s="1">
        <v>162</v>
      </c>
      <c r="CC305" s="125">
        <f t="shared" si="23"/>
        <v>23425</v>
      </c>
      <c r="CK305" s="124">
        <f t="shared" si="24"/>
        <v>0</v>
      </c>
      <c r="CV305" s="129">
        <v>197151</v>
      </c>
    </row>
    <row r="306" spans="1:100" ht="12.75" customHeight="1">
      <c r="A306" s="1">
        <v>19</v>
      </c>
      <c r="B306" s="1">
        <v>2300</v>
      </c>
      <c r="C306" s="1" t="s">
        <v>1079</v>
      </c>
      <c r="D306" s="5" t="s">
        <v>1095</v>
      </c>
      <c r="E306" t="s">
        <v>263</v>
      </c>
      <c r="F306" s="26">
        <v>2891.5</v>
      </c>
      <c r="G306" s="78">
        <v>45892717</v>
      </c>
      <c r="H306" s="78">
        <v>855989</v>
      </c>
      <c r="L306" s="1">
        <v>41748</v>
      </c>
      <c r="M306" s="1">
        <v>2593563</v>
      </c>
      <c r="O306" s="117">
        <f t="shared" si="20"/>
        <v>49384017</v>
      </c>
      <c r="P306" s="78">
        <v>1941852</v>
      </c>
      <c r="V306" s="1">
        <v>1021254</v>
      </c>
      <c r="W306" s="1">
        <v>1441188</v>
      </c>
      <c r="X306" s="1">
        <v>2426</v>
      </c>
      <c r="Y306" s="78">
        <v>1007809</v>
      </c>
      <c r="AC306" s="1">
        <v>153802</v>
      </c>
      <c r="AD306" s="1">
        <v>211430</v>
      </c>
      <c r="AE306" s="1">
        <v>168779</v>
      </c>
      <c r="AF306" s="1">
        <v>217787</v>
      </c>
      <c r="AG306" s="1">
        <v>2535079</v>
      </c>
      <c r="AH306" s="1">
        <v>1442096</v>
      </c>
      <c r="AP306" s="1">
        <v>130461</v>
      </c>
      <c r="AU306" s="1">
        <v>8251</v>
      </c>
      <c r="AV306" s="116">
        <f t="shared" si="21"/>
        <v>10282214</v>
      </c>
      <c r="BD306" s="1">
        <v>487726</v>
      </c>
      <c r="BE306" s="1">
        <v>93215</v>
      </c>
      <c r="BF306" s="121">
        <f t="shared" si="22"/>
        <v>580941</v>
      </c>
      <c r="BI306" s="1">
        <v>41236</v>
      </c>
      <c r="BO306" s="1">
        <v>36033</v>
      </c>
      <c r="CA306" s="1">
        <v>272301</v>
      </c>
      <c r="CC306" s="125">
        <f t="shared" si="23"/>
        <v>349570</v>
      </c>
      <c r="CD306" s="1">
        <v>77624</v>
      </c>
      <c r="CK306" s="124">
        <f t="shared" si="24"/>
        <v>77624</v>
      </c>
      <c r="CV306" s="129">
        <v>630940</v>
      </c>
    </row>
    <row r="307" spans="1:100" ht="12.75" customHeight="1">
      <c r="A307" s="1">
        <v>19</v>
      </c>
      <c r="B307" s="1">
        <v>2305</v>
      </c>
      <c r="C307" s="1" t="s">
        <v>1079</v>
      </c>
      <c r="D307" s="5" t="s">
        <v>1096</v>
      </c>
      <c r="E307" t="s">
        <v>264</v>
      </c>
      <c r="F307" s="26">
        <v>116.5</v>
      </c>
      <c r="H307" s="78">
        <v>244242</v>
      </c>
      <c r="L307" s="1">
        <v>175503</v>
      </c>
      <c r="O307" s="117">
        <f t="shared" si="20"/>
        <v>419745</v>
      </c>
      <c r="AG307" s="1">
        <v>307469</v>
      </c>
      <c r="AH307" s="1">
        <v>212160</v>
      </c>
      <c r="AU307" s="1">
        <v>617679</v>
      </c>
      <c r="AV307" s="116">
        <f t="shared" si="21"/>
        <v>1137308</v>
      </c>
      <c r="BE307" s="1">
        <v>75701</v>
      </c>
      <c r="BF307" s="121">
        <f t="shared" si="22"/>
        <v>75701</v>
      </c>
      <c r="BH307" s="1">
        <v>289529</v>
      </c>
      <c r="BI307" s="1">
        <v>5018754</v>
      </c>
      <c r="CB307" s="1">
        <v>128210</v>
      </c>
      <c r="CC307" s="125">
        <f t="shared" si="23"/>
        <v>5436493</v>
      </c>
      <c r="CK307" s="124">
        <f t="shared" si="24"/>
        <v>0</v>
      </c>
      <c r="CR307" s="23">
        <v>406453</v>
      </c>
      <c r="CV307" s="129">
        <v>1275336</v>
      </c>
    </row>
    <row r="308" spans="1:100" ht="12.75" customHeight="1">
      <c r="A308" s="1">
        <v>19</v>
      </c>
      <c r="B308" s="1">
        <v>2308</v>
      </c>
      <c r="C308" s="1" t="s">
        <v>1079</v>
      </c>
      <c r="D308" s="5" t="s">
        <v>1097</v>
      </c>
      <c r="E308" t="s">
        <v>265</v>
      </c>
      <c r="F308" s="26">
        <v>223.5</v>
      </c>
      <c r="H308" s="78">
        <v>134571</v>
      </c>
      <c r="I308" s="1">
        <v>1349206</v>
      </c>
      <c r="L308" s="1">
        <v>10795</v>
      </c>
      <c r="O308" s="117">
        <f t="shared" si="20"/>
        <v>1494572</v>
      </c>
      <c r="P308" s="78">
        <v>580</v>
      </c>
      <c r="W308" s="1">
        <v>255619</v>
      </c>
      <c r="Y308" s="78">
        <v>56931</v>
      </c>
      <c r="AA308" s="1">
        <v>434483</v>
      </c>
      <c r="AD308" s="1">
        <v>23919</v>
      </c>
      <c r="AE308" s="1">
        <v>28856</v>
      </c>
      <c r="AG308" s="1">
        <v>228020</v>
      </c>
      <c r="AH308" s="1">
        <v>142911</v>
      </c>
      <c r="AT308" s="1">
        <v>2362338</v>
      </c>
      <c r="AU308" s="1">
        <v>23552</v>
      </c>
      <c r="AV308" s="116">
        <f t="shared" si="21"/>
        <v>3557209</v>
      </c>
      <c r="BB308" s="1">
        <v>205436</v>
      </c>
      <c r="BE308" s="1">
        <v>125154</v>
      </c>
      <c r="BF308" s="121">
        <f t="shared" si="22"/>
        <v>330590</v>
      </c>
      <c r="BO308" s="1">
        <v>11201</v>
      </c>
      <c r="CA308" s="1">
        <v>19895</v>
      </c>
      <c r="CC308" s="125">
        <f t="shared" si="23"/>
        <v>31096</v>
      </c>
      <c r="CF308" s="1">
        <v>1501340</v>
      </c>
      <c r="CG308" s="1">
        <v>290154</v>
      </c>
      <c r="CK308" s="124">
        <f t="shared" si="24"/>
        <v>1791494</v>
      </c>
      <c r="CP308" s="23">
        <v>190330</v>
      </c>
      <c r="CV308" s="129">
        <v>364937</v>
      </c>
    </row>
    <row r="309" spans="1:100" ht="12.75" customHeight="1">
      <c r="A309" s="1">
        <v>19</v>
      </c>
      <c r="B309" s="1">
        <v>2450</v>
      </c>
      <c r="C309" s="1" t="s">
        <v>1079</v>
      </c>
      <c r="D309" s="5" t="s">
        <v>1098</v>
      </c>
      <c r="E309" t="s">
        <v>266</v>
      </c>
      <c r="F309" s="26">
        <v>488</v>
      </c>
      <c r="G309" s="78">
        <v>4564642</v>
      </c>
      <c r="H309" s="78">
        <v>87811</v>
      </c>
      <c r="L309" s="1">
        <v>3</v>
      </c>
      <c r="M309" s="1">
        <v>253953</v>
      </c>
      <c r="O309" s="117">
        <f t="shared" si="20"/>
        <v>4906409</v>
      </c>
      <c r="P309" s="78">
        <v>853693</v>
      </c>
      <c r="V309" s="1">
        <v>172785</v>
      </c>
      <c r="W309" s="1">
        <v>250608</v>
      </c>
      <c r="AC309" s="1">
        <v>8271</v>
      </c>
      <c r="AD309" s="1">
        <v>49813</v>
      </c>
      <c r="AE309" s="1">
        <v>40029</v>
      </c>
      <c r="AF309" s="1">
        <v>28739</v>
      </c>
      <c r="AG309" s="1">
        <v>346048</v>
      </c>
      <c r="AH309" s="1">
        <v>229982</v>
      </c>
      <c r="AO309" s="1">
        <v>7410</v>
      </c>
      <c r="AU309" s="1">
        <v>975</v>
      </c>
      <c r="AV309" s="116">
        <f t="shared" si="21"/>
        <v>1988353</v>
      </c>
      <c r="BC309" s="1">
        <v>14548</v>
      </c>
      <c r="BD309" s="1">
        <v>84914</v>
      </c>
      <c r="BE309" s="1">
        <v>59614</v>
      </c>
      <c r="BF309" s="121">
        <f t="shared" si="22"/>
        <v>159076</v>
      </c>
      <c r="BO309" s="1">
        <v>2835</v>
      </c>
      <c r="CA309" s="1">
        <v>2474</v>
      </c>
      <c r="CB309" s="1">
        <v>280</v>
      </c>
      <c r="CC309" s="125">
        <f t="shared" si="23"/>
        <v>5589</v>
      </c>
      <c r="CD309" s="1">
        <v>2000</v>
      </c>
      <c r="CK309" s="124">
        <f t="shared" si="24"/>
        <v>2000</v>
      </c>
      <c r="CV309" s="129">
        <v>167464</v>
      </c>
    </row>
    <row r="310" spans="1:100" ht="12.75" customHeight="1">
      <c r="A310" s="1">
        <v>19</v>
      </c>
      <c r="B310" s="1">
        <v>2530</v>
      </c>
      <c r="C310" s="1" t="s">
        <v>1079</v>
      </c>
      <c r="D310" s="5" t="s">
        <v>1099</v>
      </c>
      <c r="E310" t="s">
        <v>267</v>
      </c>
      <c r="F310" s="26">
        <v>165</v>
      </c>
      <c r="G310" s="78">
        <v>2418317</v>
      </c>
      <c r="H310" s="78">
        <v>20360</v>
      </c>
      <c r="M310" s="1">
        <v>21696</v>
      </c>
      <c r="O310" s="117">
        <f t="shared" si="20"/>
        <v>2460373</v>
      </c>
      <c r="V310" s="1">
        <v>6679</v>
      </c>
      <c r="W310" s="1">
        <v>90375</v>
      </c>
      <c r="X310" s="1">
        <v>9326</v>
      </c>
      <c r="Y310" s="78">
        <v>96746</v>
      </c>
      <c r="AC310" s="1">
        <v>5872</v>
      </c>
      <c r="AD310" s="1">
        <v>19091</v>
      </c>
      <c r="AE310" s="1">
        <v>6856</v>
      </c>
      <c r="AF310" s="1">
        <v>348</v>
      </c>
      <c r="AG310" s="1">
        <v>214091</v>
      </c>
      <c r="AH310" s="1">
        <v>94681</v>
      </c>
      <c r="AO310" s="1">
        <v>6315</v>
      </c>
      <c r="AU310" s="1">
        <v>6916</v>
      </c>
      <c r="AV310" s="116">
        <f t="shared" si="21"/>
        <v>557296</v>
      </c>
      <c r="BC310" s="1">
        <v>21923</v>
      </c>
      <c r="BD310" s="1">
        <v>49229</v>
      </c>
      <c r="BE310" s="1">
        <v>5283</v>
      </c>
      <c r="BF310" s="121">
        <f t="shared" si="22"/>
        <v>76435</v>
      </c>
      <c r="BI310" s="1">
        <v>7423</v>
      </c>
      <c r="BO310" s="1">
        <v>1268</v>
      </c>
      <c r="CC310" s="125">
        <f t="shared" si="23"/>
        <v>8691</v>
      </c>
      <c r="CK310" s="124">
        <f t="shared" si="24"/>
        <v>0</v>
      </c>
      <c r="CV310" s="129">
        <v>89666</v>
      </c>
    </row>
    <row r="311" spans="1:100" ht="12.75" customHeight="1">
      <c r="A311" s="1">
        <v>19</v>
      </c>
      <c r="B311" s="1">
        <v>2590</v>
      </c>
      <c r="C311" s="1" t="s">
        <v>1079</v>
      </c>
      <c r="D311" s="5" t="s">
        <v>1100</v>
      </c>
      <c r="E311" t="s">
        <v>268</v>
      </c>
      <c r="F311" s="26">
        <v>81</v>
      </c>
      <c r="G311" s="78">
        <v>2005741</v>
      </c>
      <c r="H311" s="78">
        <v>13256</v>
      </c>
      <c r="L311" s="1">
        <v>4421</v>
      </c>
      <c r="M311" s="1">
        <v>231992</v>
      </c>
      <c r="O311" s="117">
        <f t="shared" si="20"/>
        <v>2255410</v>
      </c>
      <c r="V311" s="1">
        <v>5824</v>
      </c>
      <c r="W311" s="1">
        <v>71441</v>
      </c>
      <c r="X311" s="1">
        <v>4636</v>
      </c>
      <c r="Y311" s="78">
        <v>48570</v>
      </c>
      <c r="AD311" s="1">
        <v>11191</v>
      </c>
      <c r="AE311" s="1">
        <v>4250</v>
      </c>
      <c r="AF311" s="1">
        <v>1160</v>
      </c>
      <c r="AG311" s="1">
        <v>100947</v>
      </c>
      <c r="AH311" s="1">
        <v>61517</v>
      </c>
      <c r="AU311" s="1">
        <v>2463</v>
      </c>
      <c r="AV311" s="116">
        <f t="shared" si="21"/>
        <v>311999</v>
      </c>
      <c r="BD311" s="1">
        <v>31227</v>
      </c>
      <c r="BE311" s="1">
        <v>21343</v>
      </c>
      <c r="BF311" s="121">
        <f t="shared" si="22"/>
        <v>52570</v>
      </c>
      <c r="CC311" s="125">
        <f t="shared" si="23"/>
        <v>0</v>
      </c>
      <c r="CK311" s="124">
        <f t="shared" si="24"/>
        <v>0</v>
      </c>
      <c r="CV311" s="129">
        <v>59454</v>
      </c>
    </row>
    <row r="312" spans="1:100" ht="12.75" customHeight="1">
      <c r="A312" s="1">
        <v>19</v>
      </c>
      <c r="B312" s="1">
        <v>2600</v>
      </c>
      <c r="C312" s="1" t="s">
        <v>1079</v>
      </c>
      <c r="D312" s="5" t="s">
        <v>1101</v>
      </c>
      <c r="E312" t="s">
        <v>269</v>
      </c>
      <c r="F312" s="26">
        <v>829</v>
      </c>
      <c r="G312" s="78">
        <v>9178909</v>
      </c>
      <c r="H312" s="78">
        <v>58366</v>
      </c>
      <c r="L312" s="1">
        <v>14252</v>
      </c>
      <c r="M312" s="1">
        <v>256210</v>
      </c>
      <c r="O312" s="117">
        <f t="shared" si="20"/>
        <v>9507737</v>
      </c>
      <c r="P312" s="78">
        <v>1113543</v>
      </c>
      <c r="V312" s="1">
        <v>319921</v>
      </c>
      <c r="W312" s="1">
        <v>627782</v>
      </c>
      <c r="AC312" s="1">
        <v>60235</v>
      </c>
      <c r="AD312" s="1">
        <v>94088</v>
      </c>
      <c r="AE312" s="1">
        <v>56673</v>
      </c>
      <c r="AF312" s="1">
        <v>11007</v>
      </c>
      <c r="AG312" s="1">
        <v>854371</v>
      </c>
      <c r="AH312" s="1">
        <v>408873</v>
      </c>
      <c r="AP312" s="1">
        <v>73184</v>
      </c>
      <c r="AU312" s="1">
        <v>2813</v>
      </c>
      <c r="AV312" s="116">
        <f t="shared" si="21"/>
        <v>3622490</v>
      </c>
      <c r="AW312" s="1">
        <v>594</v>
      </c>
      <c r="BD312" s="1">
        <v>157594</v>
      </c>
      <c r="BE312" s="1">
        <v>17520</v>
      </c>
      <c r="BF312" s="121">
        <f t="shared" si="22"/>
        <v>175708</v>
      </c>
      <c r="BI312" s="1">
        <v>13740</v>
      </c>
      <c r="BO312" s="1">
        <v>5607</v>
      </c>
      <c r="CC312" s="125">
        <f t="shared" si="23"/>
        <v>19347</v>
      </c>
      <c r="CD312" s="1">
        <v>52069</v>
      </c>
      <c r="CK312" s="124">
        <f t="shared" si="24"/>
        <v>52069</v>
      </c>
      <c r="CV312" s="129">
        <v>192179</v>
      </c>
    </row>
    <row r="313" spans="1:100" ht="12.75" customHeight="1">
      <c r="A313" s="1">
        <v>19</v>
      </c>
      <c r="B313" s="1">
        <v>3180</v>
      </c>
      <c r="C313" s="1" t="s">
        <v>1079</v>
      </c>
      <c r="D313" s="5" t="s">
        <v>1102</v>
      </c>
      <c r="E313" t="s">
        <v>270</v>
      </c>
      <c r="F313" s="26">
        <v>119</v>
      </c>
      <c r="G313" s="78">
        <v>1488610</v>
      </c>
      <c r="H313" s="78">
        <v>11830</v>
      </c>
      <c r="M313" s="1">
        <v>182</v>
      </c>
      <c r="O313" s="117">
        <f t="shared" si="20"/>
        <v>1500622</v>
      </c>
      <c r="P313" s="78">
        <v>90299</v>
      </c>
      <c r="V313" s="1">
        <v>10877</v>
      </c>
      <c r="W313" s="1">
        <v>158086</v>
      </c>
      <c r="AC313" s="1">
        <v>12097</v>
      </c>
      <c r="AD313" s="1">
        <v>13825</v>
      </c>
      <c r="AE313" s="1">
        <v>8238</v>
      </c>
      <c r="AF313" s="1">
        <v>812</v>
      </c>
      <c r="AG313" s="1">
        <v>186691</v>
      </c>
      <c r="AH313" s="1">
        <v>57932</v>
      </c>
      <c r="AO313" s="1">
        <v>1512</v>
      </c>
      <c r="AP313" s="1">
        <v>52</v>
      </c>
      <c r="AU313" s="1">
        <v>2125</v>
      </c>
      <c r="AV313" s="116">
        <f t="shared" si="21"/>
        <v>542546</v>
      </c>
      <c r="BD313" s="1">
        <v>30703</v>
      </c>
      <c r="BE313" s="1">
        <v>27054</v>
      </c>
      <c r="BF313" s="121">
        <f t="shared" si="22"/>
        <v>57757</v>
      </c>
      <c r="CC313" s="125">
        <f t="shared" si="23"/>
        <v>0</v>
      </c>
      <c r="CD313" s="1">
        <v>12455</v>
      </c>
      <c r="CK313" s="124">
        <f t="shared" si="24"/>
        <v>12455</v>
      </c>
      <c r="CV313" s="129">
        <v>61394</v>
      </c>
    </row>
    <row r="314" spans="1:100" ht="12.75" customHeight="1">
      <c r="A314" s="1">
        <v>19</v>
      </c>
      <c r="B314" s="1">
        <v>3660</v>
      </c>
      <c r="C314" s="1" t="s">
        <v>1079</v>
      </c>
      <c r="D314" s="5" t="s">
        <v>1103</v>
      </c>
      <c r="E314" t="s">
        <v>271</v>
      </c>
      <c r="F314" s="26">
        <v>2963.5</v>
      </c>
      <c r="G314" s="78">
        <v>43789154</v>
      </c>
      <c r="L314" s="1">
        <v>60031</v>
      </c>
      <c r="M314" s="1">
        <v>795123</v>
      </c>
      <c r="O314" s="117">
        <f t="shared" si="20"/>
        <v>44644308</v>
      </c>
      <c r="P314" s="78">
        <v>2440478</v>
      </c>
      <c r="V314" s="1">
        <v>986322</v>
      </c>
      <c r="W314" s="1">
        <v>1510104</v>
      </c>
      <c r="X314" s="1">
        <v>54</v>
      </c>
      <c r="Y314" s="78">
        <v>471613</v>
      </c>
      <c r="AC314" s="1">
        <v>91983</v>
      </c>
      <c r="AD314" s="1">
        <v>164417</v>
      </c>
      <c r="AE314" s="1">
        <v>167190</v>
      </c>
      <c r="AF314" s="1">
        <v>307352</v>
      </c>
      <c r="AG314" s="1">
        <v>2695902</v>
      </c>
      <c r="AH314" s="1">
        <v>1414414</v>
      </c>
      <c r="AU314" s="1">
        <v>2175</v>
      </c>
      <c r="AV314" s="116">
        <f t="shared" si="21"/>
        <v>10252004</v>
      </c>
      <c r="BD314" s="1">
        <v>449225</v>
      </c>
      <c r="BE314" s="1">
        <v>40092</v>
      </c>
      <c r="BF314" s="121">
        <f t="shared" si="22"/>
        <v>489317</v>
      </c>
      <c r="BG314" s="1">
        <v>395099</v>
      </c>
      <c r="BP314" s="1">
        <v>815935</v>
      </c>
      <c r="CC314" s="125">
        <f t="shared" si="23"/>
        <v>1211034</v>
      </c>
      <c r="CK314" s="124">
        <f t="shared" si="24"/>
        <v>0</v>
      </c>
      <c r="CV314" s="129">
        <v>551523</v>
      </c>
    </row>
    <row r="315" spans="1:100" ht="12.75" customHeight="1">
      <c r="A315" s="1">
        <v>19</v>
      </c>
      <c r="B315" s="1">
        <v>4350</v>
      </c>
      <c r="C315" s="1" t="s">
        <v>1079</v>
      </c>
      <c r="D315" s="5" t="s">
        <v>1104</v>
      </c>
      <c r="E315" t="s">
        <v>272</v>
      </c>
      <c r="F315" s="26">
        <v>2234</v>
      </c>
      <c r="G315" s="78">
        <v>27923891</v>
      </c>
      <c r="H315" s="78">
        <v>322620</v>
      </c>
      <c r="L315" s="1">
        <v>2673</v>
      </c>
      <c r="M315" s="1">
        <v>2112486</v>
      </c>
      <c r="O315" s="117">
        <f t="shared" si="20"/>
        <v>30361670</v>
      </c>
      <c r="V315" s="1">
        <v>743654</v>
      </c>
      <c r="W315" s="1">
        <v>1146062</v>
      </c>
      <c r="X315" s="1">
        <v>11662</v>
      </c>
      <c r="AC315" s="1">
        <v>85434</v>
      </c>
      <c r="AD315" s="1">
        <v>134787</v>
      </c>
      <c r="AE315" s="1">
        <v>61085</v>
      </c>
      <c r="AF315" s="1">
        <v>15928</v>
      </c>
      <c r="AG315" s="1">
        <v>1635648</v>
      </c>
      <c r="AH315" s="1">
        <v>1013200</v>
      </c>
      <c r="AP315" s="1">
        <v>7130</v>
      </c>
      <c r="AU315" s="1">
        <v>14431</v>
      </c>
      <c r="AV315" s="116">
        <f t="shared" si="21"/>
        <v>4869021</v>
      </c>
      <c r="AW315" s="1">
        <v>369</v>
      </c>
      <c r="BD315" s="1">
        <v>642623</v>
      </c>
      <c r="BE315" s="1">
        <v>41206</v>
      </c>
      <c r="BF315" s="121">
        <f t="shared" si="22"/>
        <v>684198</v>
      </c>
      <c r="BN315" s="1">
        <v>18266</v>
      </c>
      <c r="BO315" s="1">
        <v>7769</v>
      </c>
      <c r="CA315" s="1">
        <v>13571</v>
      </c>
      <c r="CC315" s="125">
        <f t="shared" si="23"/>
        <v>39606</v>
      </c>
      <c r="CK315" s="124">
        <f t="shared" si="24"/>
        <v>0</v>
      </c>
      <c r="CM315" s="23">
        <v>97321</v>
      </c>
      <c r="CN315" s="23">
        <v>22326</v>
      </c>
      <c r="CV315" s="129">
        <v>700933</v>
      </c>
    </row>
    <row r="316" spans="1:100" ht="12.75" customHeight="1">
      <c r="A316" s="1">
        <v>19</v>
      </c>
      <c r="B316" s="1">
        <v>4890</v>
      </c>
      <c r="C316" s="1" t="s">
        <v>1079</v>
      </c>
      <c r="D316" s="5" t="s">
        <v>1105</v>
      </c>
      <c r="E316" t="s">
        <v>273</v>
      </c>
      <c r="F316" s="26">
        <v>341</v>
      </c>
      <c r="G316" s="78">
        <v>6839303</v>
      </c>
      <c r="H316" s="78">
        <v>57439</v>
      </c>
      <c r="L316" s="1">
        <v>567</v>
      </c>
      <c r="M316" s="1">
        <v>723989</v>
      </c>
      <c r="O316" s="117">
        <f t="shared" si="20"/>
        <v>7621298</v>
      </c>
      <c r="V316" s="1">
        <v>176048</v>
      </c>
      <c r="W316" s="1">
        <v>237626</v>
      </c>
      <c r="X316" s="1">
        <v>18</v>
      </c>
      <c r="Y316" s="78">
        <v>187602</v>
      </c>
      <c r="AC316" s="1">
        <v>19052</v>
      </c>
      <c r="AD316" s="1">
        <v>37085</v>
      </c>
      <c r="AE316" s="1">
        <v>19373</v>
      </c>
      <c r="AF316" s="1">
        <v>6974</v>
      </c>
      <c r="AG316" s="1">
        <v>551603</v>
      </c>
      <c r="AH316" s="1">
        <v>268882</v>
      </c>
      <c r="AO316" s="1">
        <v>7380</v>
      </c>
      <c r="AU316" s="1">
        <v>1690</v>
      </c>
      <c r="AV316" s="116">
        <f t="shared" si="21"/>
        <v>1513333</v>
      </c>
      <c r="BC316" s="1">
        <v>13031</v>
      </c>
      <c r="BD316" s="1">
        <v>73530</v>
      </c>
      <c r="BE316" s="1">
        <v>30767</v>
      </c>
      <c r="BF316" s="121">
        <f t="shared" si="22"/>
        <v>117328</v>
      </c>
      <c r="BG316" s="1">
        <v>122222</v>
      </c>
      <c r="BI316" s="1">
        <v>23500</v>
      </c>
      <c r="BO316" s="1">
        <v>30252</v>
      </c>
      <c r="CA316" s="1">
        <v>728868</v>
      </c>
      <c r="CC316" s="125">
        <f t="shared" si="23"/>
        <v>904842</v>
      </c>
      <c r="CD316" s="1">
        <v>122179</v>
      </c>
      <c r="CK316" s="124">
        <f t="shared" si="24"/>
        <v>122179</v>
      </c>
      <c r="CV316" s="129">
        <v>126965</v>
      </c>
    </row>
    <row r="317" spans="1:100" ht="12.75" customHeight="1">
      <c r="A317" s="1">
        <v>19</v>
      </c>
      <c r="B317" s="1">
        <v>5050</v>
      </c>
      <c r="C317" s="1" t="s">
        <v>1079</v>
      </c>
      <c r="D317" s="5" t="s">
        <v>1106</v>
      </c>
      <c r="E317" t="s">
        <v>274</v>
      </c>
      <c r="F317" s="26">
        <v>48</v>
      </c>
      <c r="G317" s="78">
        <v>549360</v>
      </c>
      <c r="H317" s="78">
        <v>5822</v>
      </c>
      <c r="O317" s="117">
        <f t="shared" si="20"/>
        <v>555182</v>
      </c>
      <c r="V317" s="1">
        <v>933</v>
      </c>
      <c r="W317" s="1">
        <v>3721</v>
      </c>
      <c r="Y317" s="78">
        <v>2285</v>
      </c>
      <c r="AD317" s="1">
        <v>5267</v>
      </c>
      <c r="AE317" s="1">
        <v>366</v>
      </c>
      <c r="AG317" s="1">
        <v>72091</v>
      </c>
      <c r="AH317" s="1">
        <v>27247</v>
      </c>
      <c r="AU317" s="1">
        <v>18284</v>
      </c>
      <c r="AV317" s="116">
        <f t="shared" si="21"/>
        <v>130194</v>
      </c>
      <c r="BD317" s="1">
        <v>8337</v>
      </c>
      <c r="BE317" s="1">
        <v>20749</v>
      </c>
      <c r="BF317" s="121">
        <f t="shared" si="22"/>
        <v>29086</v>
      </c>
      <c r="BI317" s="1">
        <v>14292</v>
      </c>
      <c r="CC317" s="125">
        <f t="shared" si="23"/>
        <v>14292</v>
      </c>
      <c r="CK317" s="124">
        <f t="shared" si="24"/>
        <v>0</v>
      </c>
      <c r="CV317" s="129">
        <v>47370</v>
      </c>
    </row>
    <row r="318" spans="1:100" ht="12.75" customHeight="1">
      <c r="A318" s="1">
        <v>19</v>
      </c>
      <c r="B318" s="1">
        <v>5180</v>
      </c>
      <c r="C318" s="1" t="s">
        <v>1079</v>
      </c>
      <c r="D318" s="5" t="s">
        <v>1107</v>
      </c>
      <c r="E318" t="s">
        <v>275</v>
      </c>
      <c r="F318" s="26">
        <v>768</v>
      </c>
      <c r="G318" s="78">
        <v>10176892</v>
      </c>
      <c r="H318" s="78">
        <v>148004</v>
      </c>
      <c r="L318" s="1">
        <v>5620</v>
      </c>
      <c r="M318" s="1">
        <v>863116</v>
      </c>
      <c r="O318" s="117">
        <f t="shared" si="20"/>
        <v>11193632</v>
      </c>
      <c r="V318" s="1">
        <v>261895</v>
      </c>
      <c r="W318" s="1">
        <v>370550</v>
      </c>
      <c r="X318" s="1">
        <v>15094</v>
      </c>
      <c r="AC318" s="1">
        <v>15964</v>
      </c>
      <c r="AD318" s="1">
        <v>47958</v>
      </c>
      <c r="AE318" s="1">
        <v>20865</v>
      </c>
      <c r="AF318" s="1">
        <v>12598</v>
      </c>
      <c r="AG318" s="1">
        <v>592195</v>
      </c>
      <c r="AH318" s="1">
        <v>347572</v>
      </c>
      <c r="AU318" s="1">
        <v>3697</v>
      </c>
      <c r="AV318" s="116">
        <f t="shared" si="21"/>
        <v>1688388</v>
      </c>
      <c r="BD318" s="1">
        <v>46219</v>
      </c>
      <c r="BE318" s="1">
        <v>13226</v>
      </c>
      <c r="BF318" s="121">
        <f t="shared" si="22"/>
        <v>59445</v>
      </c>
      <c r="BZ318" s="1">
        <v>6963</v>
      </c>
      <c r="CA318" s="1">
        <v>2794</v>
      </c>
      <c r="CC318" s="125">
        <f t="shared" si="23"/>
        <v>9757</v>
      </c>
      <c r="CD318" s="1">
        <v>14863</v>
      </c>
      <c r="CK318" s="124">
        <f t="shared" si="24"/>
        <v>14863</v>
      </c>
      <c r="CN318" s="23">
        <v>69476</v>
      </c>
      <c r="CV318" s="129">
        <v>68762</v>
      </c>
    </row>
    <row r="319" spans="1:100" ht="12.75" customHeight="1">
      <c r="A319" s="1">
        <v>19</v>
      </c>
      <c r="B319" s="1">
        <v>5270</v>
      </c>
      <c r="C319" s="1" t="s">
        <v>1079</v>
      </c>
      <c r="D319" s="5" t="s">
        <v>1108</v>
      </c>
      <c r="E319" t="s">
        <v>276</v>
      </c>
      <c r="F319" s="26">
        <v>600</v>
      </c>
      <c r="G319" s="78">
        <v>7323876</v>
      </c>
      <c r="H319" s="78">
        <v>68266</v>
      </c>
      <c r="M319" s="1">
        <v>911105</v>
      </c>
      <c r="O319" s="117">
        <f t="shared" si="20"/>
        <v>8303247</v>
      </c>
      <c r="P319" s="78">
        <v>3790</v>
      </c>
      <c r="V319" s="1">
        <v>200058</v>
      </c>
      <c r="W319" s="1">
        <v>359907</v>
      </c>
      <c r="X319" s="1">
        <v>8140</v>
      </c>
      <c r="Y319" s="78">
        <v>106568</v>
      </c>
      <c r="AC319" s="1">
        <v>24767</v>
      </c>
      <c r="AD319" s="1">
        <v>74610</v>
      </c>
      <c r="AE319" s="1">
        <v>22592</v>
      </c>
      <c r="AF319" s="1">
        <v>6960</v>
      </c>
      <c r="AG319" s="1">
        <v>497623</v>
      </c>
      <c r="AH319" s="1">
        <v>260874</v>
      </c>
      <c r="AP319" s="1">
        <v>18650</v>
      </c>
      <c r="AT319" s="1">
        <v>3137384</v>
      </c>
      <c r="AU319" s="1">
        <v>1036</v>
      </c>
      <c r="AV319" s="116">
        <f t="shared" si="21"/>
        <v>4722959</v>
      </c>
      <c r="BC319" s="1">
        <v>212</v>
      </c>
      <c r="BD319" s="1">
        <v>114899</v>
      </c>
      <c r="BE319" s="1">
        <v>14568</v>
      </c>
      <c r="BF319" s="121">
        <f t="shared" si="22"/>
        <v>129679</v>
      </c>
      <c r="BI319" s="1">
        <v>10300</v>
      </c>
      <c r="CA319" s="1">
        <v>34629</v>
      </c>
      <c r="CC319" s="125">
        <f t="shared" si="23"/>
        <v>44929</v>
      </c>
      <c r="CK319" s="124">
        <f t="shared" si="24"/>
        <v>0</v>
      </c>
      <c r="CM319" s="23">
        <v>132996</v>
      </c>
      <c r="CV319" s="129">
        <v>130715</v>
      </c>
    </row>
    <row r="320" spans="1:100" ht="12.75" customHeight="1">
      <c r="A320" s="1">
        <v>19</v>
      </c>
      <c r="B320" s="1">
        <v>5600</v>
      </c>
      <c r="C320" s="1" t="s">
        <v>1079</v>
      </c>
      <c r="D320" s="5" t="s">
        <v>1109</v>
      </c>
      <c r="E320" t="s">
        <v>277</v>
      </c>
      <c r="F320" s="26">
        <v>254</v>
      </c>
      <c r="G320" s="78">
        <v>3075502</v>
      </c>
      <c r="H320" s="78">
        <v>38933</v>
      </c>
      <c r="L320" s="1">
        <v>10546</v>
      </c>
      <c r="M320" s="1">
        <v>137527</v>
      </c>
      <c r="O320" s="117">
        <f t="shared" si="20"/>
        <v>3262508</v>
      </c>
      <c r="V320" s="1">
        <v>41835</v>
      </c>
      <c r="W320" s="1">
        <v>237269</v>
      </c>
      <c r="AC320" s="1">
        <v>6493</v>
      </c>
      <c r="AD320" s="1">
        <v>21834</v>
      </c>
      <c r="AE320" s="1">
        <v>9028</v>
      </c>
      <c r="AF320" s="1">
        <v>33219</v>
      </c>
      <c r="AG320" s="1">
        <v>252093</v>
      </c>
      <c r="AH320" s="1">
        <v>114838</v>
      </c>
      <c r="AU320" s="1">
        <v>1100</v>
      </c>
      <c r="AV320" s="116">
        <f t="shared" si="21"/>
        <v>717709</v>
      </c>
      <c r="BC320" s="1">
        <v>8900</v>
      </c>
      <c r="BD320" s="1">
        <v>58323</v>
      </c>
      <c r="BE320" s="1">
        <v>22501</v>
      </c>
      <c r="BF320" s="121">
        <f t="shared" si="22"/>
        <v>89724</v>
      </c>
      <c r="BI320" s="1">
        <v>6906</v>
      </c>
      <c r="BO320" s="1">
        <v>1448</v>
      </c>
      <c r="CC320" s="125">
        <f t="shared" si="23"/>
        <v>8354</v>
      </c>
      <c r="CK320" s="124">
        <f t="shared" si="24"/>
        <v>0</v>
      </c>
      <c r="CV320" s="129">
        <v>101370</v>
      </c>
    </row>
    <row r="321" spans="1:100" ht="12.75" customHeight="1">
      <c r="A321" s="1">
        <v>21</v>
      </c>
      <c r="B321" s="1">
        <v>1245</v>
      </c>
      <c r="C321" s="1" t="s">
        <v>1110</v>
      </c>
      <c r="D321" s="5" t="s">
        <v>1111</v>
      </c>
      <c r="E321" t="s">
        <v>278</v>
      </c>
      <c r="F321" s="26">
        <v>5031.5</v>
      </c>
      <c r="G321" s="78">
        <v>52392602</v>
      </c>
      <c r="H321" s="78">
        <v>604156</v>
      </c>
      <c r="L321" s="1">
        <v>21328</v>
      </c>
      <c r="M321" s="1">
        <v>3418785</v>
      </c>
      <c r="O321" s="117">
        <f t="shared" si="20"/>
        <v>56436871</v>
      </c>
      <c r="P321" s="78">
        <v>6228143</v>
      </c>
      <c r="Q321" s="78">
        <v>2998659</v>
      </c>
      <c r="V321" s="1">
        <v>1505578</v>
      </c>
      <c r="W321" s="1">
        <v>4480900</v>
      </c>
      <c r="X321" s="1">
        <v>517368</v>
      </c>
      <c r="AC321" s="1">
        <v>181875</v>
      </c>
      <c r="AD321" s="1">
        <v>528631</v>
      </c>
      <c r="AE321" s="1">
        <v>493979</v>
      </c>
      <c r="AF321" s="1">
        <v>34728</v>
      </c>
      <c r="AG321" s="1">
        <v>4143994</v>
      </c>
      <c r="AH321" s="1">
        <v>2355294</v>
      </c>
      <c r="AO321" s="1">
        <v>195890</v>
      </c>
      <c r="AP321" s="1">
        <v>205862</v>
      </c>
      <c r="AU321" s="1">
        <v>258468</v>
      </c>
      <c r="AV321" s="116">
        <f t="shared" si="21"/>
        <v>24129369</v>
      </c>
      <c r="BC321" s="1">
        <v>237969</v>
      </c>
      <c r="BD321" s="1">
        <v>1291435</v>
      </c>
      <c r="BE321" s="1">
        <v>475045</v>
      </c>
      <c r="BF321" s="121">
        <f t="shared" si="22"/>
        <v>2004449</v>
      </c>
      <c r="BM321" s="1">
        <v>24411</v>
      </c>
      <c r="BR321" s="1">
        <v>241543</v>
      </c>
      <c r="BY321" s="1">
        <v>87145</v>
      </c>
      <c r="CC321" s="125">
        <f t="shared" si="23"/>
        <v>353099</v>
      </c>
      <c r="CD321" s="1">
        <v>768993</v>
      </c>
      <c r="CK321" s="124">
        <f t="shared" si="24"/>
        <v>768993</v>
      </c>
      <c r="CO321" s="23">
        <v>10972</v>
      </c>
      <c r="CV321" s="129">
        <v>2480135</v>
      </c>
    </row>
    <row r="322" spans="1:100" ht="12.75" customHeight="1">
      <c r="A322" s="1">
        <v>21</v>
      </c>
      <c r="B322" s="1">
        <v>1430</v>
      </c>
      <c r="C322" s="1" t="s">
        <v>1110</v>
      </c>
      <c r="D322" s="5" t="s">
        <v>1112</v>
      </c>
      <c r="E322" t="s">
        <v>279</v>
      </c>
      <c r="F322" s="26">
        <v>3861</v>
      </c>
      <c r="G322" s="78">
        <v>40896413</v>
      </c>
      <c r="H322" s="78">
        <v>498309</v>
      </c>
      <c r="L322" s="1">
        <v>53773</v>
      </c>
      <c r="M322" s="1">
        <v>5815737</v>
      </c>
      <c r="O322" s="117">
        <f t="shared" si="20"/>
        <v>47264232</v>
      </c>
      <c r="V322" s="1">
        <v>1090058</v>
      </c>
      <c r="W322" s="1">
        <v>2939245</v>
      </c>
      <c r="X322" s="1">
        <v>122316</v>
      </c>
      <c r="Y322" s="78">
        <v>2258423</v>
      </c>
      <c r="AC322" s="1">
        <v>90270</v>
      </c>
      <c r="AD322" s="1">
        <v>431200</v>
      </c>
      <c r="AE322" s="1">
        <v>210110</v>
      </c>
      <c r="AF322" s="1">
        <v>348608</v>
      </c>
      <c r="AG322" s="1">
        <v>4219570</v>
      </c>
      <c r="AH322" s="1">
        <v>1674149</v>
      </c>
      <c r="AO322" s="1">
        <v>162419</v>
      </c>
      <c r="AP322" s="1">
        <v>943622</v>
      </c>
      <c r="AU322" s="1">
        <v>228054</v>
      </c>
      <c r="AV322" s="116">
        <f t="shared" si="21"/>
        <v>14718044</v>
      </c>
      <c r="BC322" s="1">
        <v>303967</v>
      </c>
      <c r="BD322" s="1">
        <v>982243</v>
      </c>
      <c r="BE322" s="1">
        <v>768001</v>
      </c>
      <c r="BF322" s="121">
        <f t="shared" si="22"/>
        <v>2054211</v>
      </c>
      <c r="BG322" s="1">
        <v>950000</v>
      </c>
      <c r="BI322" s="1">
        <v>217635</v>
      </c>
      <c r="BM322" s="1">
        <v>22263</v>
      </c>
      <c r="BY322" s="1">
        <v>6758</v>
      </c>
      <c r="BZ322" s="1">
        <v>1816568</v>
      </c>
      <c r="CC322" s="125">
        <f t="shared" si="23"/>
        <v>3013224</v>
      </c>
      <c r="CK322" s="124">
        <f t="shared" si="24"/>
        <v>0</v>
      </c>
      <c r="CV322" s="129">
        <v>2498457</v>
      </c>
    </row>
    <row r="323" spans="1:100" ht="12.75" customHeight="1">
      <c r="A323" s="1">
        <v>21</v>
      </c>
      <c r="B323" s="1">
        <v>1950</v>
      </c>
      <c r="C323" s="1" t="s">
        <v>1110</v>
      </c>
      <c r="D323" s="5" t="s">
        <v>1782</v>
      </c>
      <c r="E323" t="s">
        <v>280</v>
      </c>
      <c r="F323" s="26">
        <v>13207.5</v>
      </c>
      <c r="G323" s="78">
        <v>91928223</v>
      </c>
      <c r="H323" s="78">
        <v>1507386</v>
      </c>
      <c r="L323" s="1">
        <v>30767</v>
      </c>
      <c r="M323" s="1">
        <v>4474401</v>
      </c>
      <c r="O323" s="117">
        <f t="shared" si="20"/>
        <v>97940777</v>
      </c>
      <c r="P323" s="78">
        <v>31855304</v>
      </c>
      <c r="V323" s="1">
        <v>3058026</v>
      </c>
      <c r="W323" s="1">
        <v>12376974</v>
      </c>
      <c r="X323" s="1">
        <v>249970</v>
      </c>
      <c r="Z323" s="1">
        <v>3625957</v>
      </c>
      <c r="AB323" s="1">
        <v>1109941</v>
      </c>
      <c r="AC323" s="1">
        <v>558710</v>
      </c>
      <c r="AD323" s="1">
        <v>1497459</v>
      </c>
      <c r="AE323" s="1">
        <v>1612008</v>
      </c>
      <c r="AF323" s="1">
        <v>27214</v>
      </c>
      <c r="AG323" s="1">
        <v>11273134</v>
      </c>
      <c r="AH323" s="1">
        <v>5121517</v>
      </c>
      <c r="AM323" s="1">
        <v>577760</v>
      </c>
      <c r="AO323" s="1">
        <v>492158</v>
      </c>
      <c r="AP323" s="1">
        <v>967809</v>
      </c>
      <c r="AT323" s="1">
        <v>16163</v>
      </c>
      <c r="AU323" s="1">
        <v>1807924</v>
      </c>
      <c r="AV323" s="116">
        <f t="shared" si="21"/>
        <v>76228028</v>
      </c>
      <c r="BC323" s="1">
        <v>919215</v>
      </c>
      <c r="BD323" s="1">
        <v>3514886</v>
      </c>
      <c r="BE323" s="1">
        <v>1232323</v>
      </c>
      <c r="BF323" s="121">
        <f t="shared" si="22"/>
        <v>5666424</v>
      </c>
      <c r="BI323" s="1">
        <v>68841</v>
      </c>
      <c r="BO323" s="1">
        <v>16666</v>
      </c>
      <c r="BP323" s="1">
        <v>778317</v>
      </c>
      <c r="BZ323" s="1">
        <v>121205</v>
      </c>
      <c r="CB323" s="1">
        <v>6077</v>
      </c>
      <c r="CC323" s="125">
        <f t="shared" si="23"/>
        <v>991106</v>
      </c>
      <c r="CK323" s="124">
        <f t="shared" si="24"/>
        <v>0</v>
      </c>
      <c r="CV323" s="129">
        <v>8575033</v>
      </c>
    </row>
    <row r="324" spans="1:100" ht="12.75" customHeight="1">
      <c r="A324" s="1">
        <v>21</v>
      </c>
      <c r="B324" s="1">
        <v>2280</v>
      </c>
      <c r="C324" s="1" t="s">
        <v>1110</v>
      </c>
      <c r="D324" s="5" t="s">
        <v>1113</v>
      </c>
      <c r="E324" t="s">
        <v>281</v>
      </c>
      <c r="F324" s="26">
        <v>4035.5</v>
      </c>
      <c r="G324" s="78">
        <v>55061914</v>
      </c>
      <c r="H324" s="78">
        <v>733098</v>
      </c>
      <c r="L324" s="1">
        <v>78778</v>
      </c>
      <c r="M324" s="1">
        <v>4766504</v>
      </c>
      <c r="O324" s="117">
        <f t="shared" si="20"/>
        <v>60640294</v>
      </c>
      <c r="V324" s="1">
        <v>1290030</v>
      </c>
      <c r="W324" s="1">
        <v>2502991</v>
      </c>
      <c r="X324" s="1">
        <v>9344</v>
      </c>
      <c r="AC324" s="1">
        <v>242225</v>
      </c>
      <c r="AD324" s="1">
        <v>213564</v>
      </c>
      <c r="AE324" s="1">
        <v>120478</v>
      </c>
      <c r="AF324" s="1">
        <v>33047</v>
      </c>
      <c r="AG324" s="1">
        <v>3300406</v>
      </c>
      <c r="AH324" s="1">
        <v>2009862</v>
      </c>
      <c r="AU324" s="1">
        <v>52208</v>
      </c>
      <c r="AV324" s="116">
        <f t="shared" si="21"/>
        <v>9774155</v>
      </c>
      <c r="BD324" s="1">
        <v>777160</v>
      </c>
      <c r="BE324" s="1">
        <v>81940</v>
      </c>
      <c r="BF324" s="121">
        <f t="shared" si="22"/>
        <v>859100</v>
      </c>
      <c r="BG324" s="1">
        <v>287250</v>
      </c>
      <c r="BY324" s="1">
        <v>9371</v>
      </c>
      <c r="CC324" s="125">
        <f t="shared" si="23"/>
        <v>296621</v>
      </c>
      <c r="CD324" s="1">
        <v>254427</v>
      </c>
      <c r="CK324" s="124">
        <f t="shared" si="24"/>
        <v>254427</v>
      </c>
      <c r="CV324" s="129">
        <v>990086</v>
      </c>
    </row>
    <row r="325" spans="1:100" ht="12.75" customHeight="1">
      <c r="A325" s="1">
        <v>21</v>
      </c>
      <c r="B325" s="1">
        <v>2580</v>
      </c>
      <c r="C325" s="1" t="s">
        <v>1110</v>
      </c>
      <c r="D325" s="5" t="s">
        <v>1179</v>
      </c>
      <c r="E325" t="s">
        <v>282</v>
      </c>
      <c r="F325" s="26">
        <v>4004.5</v>
      </c>
      <c r="G325" s="78">
        <v>53698356</v>
      </c>
      <c r="H325" s="78">
        <v>652135</v>
      </c>
      <c r="L325" s="1">
        <v>121928</v>
      </c>
      <c r="M325" s="1">
        <v>2506478</v>
      </c>
      <c r="O325" s="117">
        <f t="shared" ref="O325:O388" si="25">SUM(G325:N325)</f>
        <v>56978897</v>
      </c>
      <c r="V325" s="1">
        <v>967923</v>
      </c>
      <c r="W325" s="1">
        <v>3062508</v>
      </c>
      <c r="X325" s="1">
        <v>163520</v>
      </c>
      <c r="AC325" s="1">
        <v>852210</v>
      </c>
      <c r="AD325" s="1">
        <v>164421</v>
      </c>
      <c r="AE325" s="1">
        <v>134039</v>
      </c>
      <c r="AF325" s="1">
        <v>39191</v>
      </c>
      <c r="AG325" s="1">
        <v>3715794</v>
      </c>
      <c r="AH325" s="1">
        <v>2074353</v>
      </c>
      <c r="AO325" s="1">
        <v>109611</v>
      </c>
      <c r="AU325" s="1">
        <v>1082390</v>
      </c>
      <c r="AV325" s="116">
        <f t="shared" ref="AV325:AV388" si="26">SUM(P325:AU325)</f>
        <v>12365960</v>
      </c>
      <c r="BC325" s="1">
        <v>151843</v>
      </c>
      <c r="BD325" s="1">
        <v>1249652</v>
      </c>
      <c r="BE325" s="1">
        <v>191348</v>
      </c>
      <c r="BF325" s="121">
        <f t="shared" ref="BF325:BF388" si="27">SUM(AW325:BE325)</f>
        <v>1592843</v>
      </c>
      <c r="BI325" s="1">
        <v>17644</v>
      </c>
      <c r="BJ325" s="1">
        <v>120919</v>
      </c>
      <c r="BY325" s="1">
        <v>8776</v>
      </c>
      <c r="CA325" s="1">
        <v>125833</v>
      </c>
      <c r="CB325" s="1">
        <v>5188</v>
      </c>
      <c r="CC325" s="125">
        <f t="shared" ref="CC325:CC388" si="28">SUM(BG325:CB325)</f>
        <v>278360</v>
      </c>
      <c r="CD325" s="1">
        <v>108790</v>
      </c>
      <c r="CK325" s="124">
        <f t="shared" ref="CK325:CK388" si="29">SUM(CD325:CJ325)</f>
        <v>108790</v>
      </c>
      <c r="CM325" s="23">
        <v>9800000</v>
      </c>
      <c r="CV325" s="129">
        <v>2906772</v>
      </c>
    </row>
    <row r="326" spans="1:100" ht="12.75" customHeight="1">
      <c r="A326" s="1">
        <v>21</v>
      </c>
      <c r="B326" s="1">
        <v>3103</v>
      </c>
      <c r="C326" s="1" t="s">
        <v>1110</v>
      </c>
      <c r="D326" s="5" t="s">
        <v>931</v>
      </c>
      <c r="E326" t="s">
        <v>283</v>
      </c>
      <c r="F326" s="26">
        <v>760</v>
      </c>
      <c r="H326" s="78">
        <v>99541</v>
      </c>
      <c r="I326" s="1">
        <v>1826110</v>
      </c>
      <c r="L326" s="1">
        <v>898747</v>
      </c>
      <c r="O326" s="117">
        <f t="shared" si="25"/>
        <v>2824398</v>
      </c>
      <c r="AG326" s="1">
        <v>1885871</v>
      </c>
      <c r="AH326" s="1">
        <v>1391334</v>
      </c>
      <c r="AU326" s="1">
        <v>734048</v>
      </c>
      <c r="AV326" s="116">
        <f t="shared" si="26"/>
        <v>4011253</v>
      </c>
      <c r="AW326" s="1">
        <v>295839</v>
      </c>
      <c r="BC326" s="1">
        <v>70857</v>
      </c>
      <c r="BE326" s="1">
        <v>116251</v>
      </c>
      <c r="BF326" s="121">
        <f t="shared" si="27"/>
        <v>482947</v>
      </c>
      <c r="BL326" s="1">
        <v>567943</v>
      </c>
      <c r="BO326" s="1">
        <v>31595</v>
      </c>
      <c r="BP326" s="1">
        <v>245967</v>
      </c>
      <c r="CC326" s="125">
        <f t="shared" si="28"/>
        <v>845505</v>
      </c>
      <c r="CF326" s="1">
        <v>34064034</v>
      </c>
      <c r="CK326" s="124">
        <f t="shared" si="29"/>
        <v>34064034</v>
      </c>
      <c r="CV326" s="129">
        <v>1819903</v>
      </c>
    </row>
    <row r="327" spans="1:100" ht="12.75" customHeight="1">
      <c r="A327" s="1">
        <v>21</v>
      </c>
      <c r="B327" s="1">
        <v>3105</v>
      </c>
      <c r="C327" s="1" t="s">
        <v>1110</v>
      </c>
      <c r="D327" s="5" t="s">
        <v>932</v>
      </c>
      <c r="E327" t="s">
        <v>284</v>
      </c>
      <c r="F327" s="26">
        <v>445</v>
      </c>
      <c r="H327" s="78">
        <v>729379</v>
      </c>
      <c r="I327" s="1">
        <v>6374479</v>
      </c>
      <c r="L327" s="1">
        <v>1172380</v>
      </c>
      <c r="O327" s="117">
        <f t="shared" si="25"/>
        <v>8276238</v>
      </c>
      <c r="P327" s="78">
        <v>587436</v>
      </c>
      <c r="W327" s="1">
        <v>765040</v>
      </c>
      <c r="AA327" s="1">
        <v>752310</v>
      </c>
      <c r="AD327" s="1">
        <v>40158</v>
      </c>
      <c r="AE327" s="1">
        <v>73154</v>
      </c>
      <c r="AG327" s="1">
        <v>288037</v>
      </c>
      <c r="AH327" s="1">
        <v>207972</v>
      </c>
      <c r="AM327" s="1">
        <v>46924</v>
      </c>
      <c r="AO327" s="1">
        <v>12987</v>
      </c>
      <c r="AU327" s="1">
        <v>24499</v>
      </c>
      <c r="AV327" s="116">
        <f t="shared" si="26"/>
        <v>2798517</v>
      </c>
      <c r="BE327" s="1">
        <v>299451</v>
      </c>
      <c r="BF327" s="121">
        <f t="shared" si="27"/>
        <v>299451</v>
      </c>
      <c r="BL327" s="1">
        <v>31640</v>
      </c>
      <c r="CC327" s="125">
        <f t="shared" si="28"/>
        <v>31640</v>
      </c>
      <c r="CF327" s="1">
        <v>100227</v>
      </c>
      <c r="CG327" s="1">
        <v>164735</v>
      </c>
      <c r="CK327" s="124">
        <f t="shared" si="29"/>
        <v>264962</v>
      </c>
      <c r="CP327" s="23">
        <v>221520</v>
      </c>
      <c r="CV327" s="129">
        <v>1556241</v>
      </c>
    </row>
    <row r="328" spans="1:100" ht="12.75" customHeight="1">
      <c r="A328" s="1">
        <v>21</v>
      </c>
      <c r="B328" s="1">
        <v>4255</v>
      </c>
      <c r="C328" s="1" t="s">
        <v>1110</v>
      </c>
      <c r="D328" s="5" t="s">
        <v>933</v>
      </c>
      <c r="E328" t="s">
        <v>285</v>
      </c>
      <c r="F328" s="26">
        <v>4262</v>
      </c>
      <c r="G328" s="78">
        <v>54925520</v>
      </c>
      <c r="H328" s="78">
        <v>1004045</v>
      </c>
      <c r="L328" s="1">
        <v>131415</v>
      </c>
      <c r="M328" s="1">
        <v>4863904</v>
      </c>
      <c r="O328" s="117">
        <f t="shared" si="25"/>
        <v>60924884</v>
      </c>
      <c r="V328" s="1">
        <v>312329</v>
      </c>
      <c r="W328" s="1">
        <v>2692369</v>
      </c>
      <c r="X328" s="1">
        <v>154266</v>
      </c>
      <c r="AC328" s="1">
        <v>279580</v>
      </c>
      <c r="AD328" s="1">
        <v>235129</v>
      </c>
      <c r="AE328" s="1">
        <v>107105</v>
      </c>
      <c r="AF328" s="1">
        <v>17702</v>
      </c>
      <c r="AG328" s="1">
        <v>3655938</v>
      </c>
      <c r="AH328" s="1">
        <v>1920932</v>
      </c>
      <c r="AM328" s="1">
        <v>100760</v>
      </c>
      <c r="AO328" s="1">
        <v>75303</v>
      </c>
      <c r="AU328" s="1">
        <v>747856</v>
      </c>
      <c r="AV328" s="116">
        <f t="shared" si="26"/>
        <v>10299269</v>
      </c>
      <c r="BC328" s="1">
        <v>85610</v>
      </c>
      <c r="BD328" s="1">
        <v>927180</v>
      </c>
      <c r="BE328" s="1">
        <v>266671</v>
      </c>
      <c r="BF328" s="121">
        <f t="shared" si="27"/>
        <v>1279461</v>
      </c>
      <c r="BG328" s="1">
        <v>105851</v>
      </c>
      <c r="BM328" s="1">
        <v>138727</v>
      </c>
      <c r="CA328" s="1">
        <v>550020</v>
      </c>
      <c r="CC328" s="125">
        <f t="shared" si="28"/>
        <v>794598</v>
      </c>
      <c r="CD328" s="1">
        <v>3825942</v>
      </c>
      <c r="CK328" s="124">
        <f t="shared" si="29"/>
        <v>3825942</v>
      </c>
      <c r="CV328" s="129">
        <v>2334795</v>
      </c>
    </row>
    <row r="329" spans="1:100" ht="12.75" customHeight="1">
      <c r="A329" s="25">
        <v>21</v>
      </c>
      <c r="B329" s="25">
        <v>5210</v>
      </c>
      <c r="C329" s="25" t="s">
        <v>1110</v>
      </c>
      <c r="D329" s="106" t="s">
        <v>934</v>
      </c>
      <c r="E329" s="2" t="s">
        <v>178</v>
      </c>
      <c r="F329" s="26">
        <v>12047.5</v>
      </c>
      <c r="G329" s="78">
        <v>21115662</v>
      </c>
      <c r="H329" s="78">
        <v>1816115</v>
      </c>
      <c r="L329" s="1">
        <v>824596</v>
      </c>
      <c r="O329" s="117">
        <f t="shared" si="25"/>
        <v>23756373</v>
      </c>
      <c r="P329" s="78">
        <v>95433719</v>
      </c>
      <c r="Q329" s="78">
        <v>9983646</v>
      </c>
      <c r="S329" s="25">
        <v>73628223</v>
      </c>
      <c r="V329" s="1">
        <v>3094948</v>
      </c>
      <c r="W329" s="1">
        <v>16440772</v>
      </c>
      <c r="X329" s="1">
        <v>923384</v>
      </c>
      <c r="AC329" s="1">
        <v>498419</v>
      </c>
      <c r="AD329" s="1">
        <v>944010</v>
      </c>
      <c r="AF329" s="1">
        <v>14081282</v>
      </c>
      <c r="AG329" s="1">
        <v>13634742</v>
      </c>
      <c r="AH329" s="1">
        <v>6303847</v>
      </c>
      <c r="AM329" s="1">
        <v>5240150</v>
      </c>
      <c r="AT329" s="1">
        <v>28166467</v>
      </c>
      <c r="AU329" s="1">
        <v>1991710</v>
      </c>
      <c r="AV329" s="116">
        <f t="shared" si="26"/>
        <v>270365319</v>
      </c>
      <c r="AW329" s="1">
        <v>87767</v>
      </c>
      <c r="BA329" s="1">
        <v>57391</v>
      </c>
      <c r="BC329" s="1">
        <v>6739802</v>
      </c>
      <c r="BD329" s="1">
        <v>3661717</v>
      </c>
      <c r="BE329" s="1">
        <v>4532245</v>
      </c>
      <c r="BF329" s="121">
        <f t="shared" si="27"/>
        <v>15078922</v>
      </c>
      <c r="BO329" s="1">
        <v>705309</v>
      </c>
      <c r="CB329" s="1">
        <v>668756</v>
      </c>
      <c r="CC329" s="125">
        <f t="shared" si="28"/>
        <v>1374065</v>
      </c>
      <c r="CK329" s="124">
        <f t="shared" si="29"/>
        <v>0</v>
      </c>
      <c r="CL329" s="107">
        <f>SUM(O329+AV329+CC329+CK329)</f>
        <v>295495757</v>
      </c>
      <c r="CO329" s="23">
        <v>753688</v>
      </c>
      <c r="CT329" s="23">
        <v>12497359</v>
      </c>
      <c r="CV329" s="129">
        <v>50821976</v>
      </c>
    </row>
    <row r="330" spans="1:100" ht="12.75" customHeight="1">
      <c r="A330" s="1">
        <v>21</v>
      </c>
      <c r="B330" s="1">
        <v>5510</v>
      </c>
      <c r="C330" s="1" t="s">
        <v>1110</v>
      </c>
      <c r="D330" s="5" t="s">
        <v>935</v>
      </c>
      <c r="E330" t="s">
        <v>179</v>
      </c>
      <c r="F330" s="26">
        <v>2215.5</v>
      </c>
      <c r="G330" s="78">
        <v>24833670</v>
      </c>
      <c r="H330" s="78">
        <v>200269</v>
      </c>
      <c r="M330" s="1">
        <v>3627199</v>
      </c>
      <c r="O330" s="117">
        <f t="shared" si="25"/>
        <v>28661138</v>
      </c>
      <c r="V330" s="1">
        <v>627474</v>
      </c>
      <c r="W330" s="1">
        <v>1083293</v>
      </c>
      <c r="X330" s="1">
        <v>15895</v>
      </c>
      <c r="AC330" s="1">
        <v>73104</v>
      </c>
      <c r="AD330" s="1">
        <v>212089</v>
      </c>
      <c r="AE330" s="1">
        <v>57967</v>
      </c>
      <c r="AF330" s="1">
        <v>287936</v>
      </c>
      <c r="AG330" s="1">
        <v>791379</v>
      </c>
      <c r="AH330" s="1">
        <v>868875</v>
      </c>
      <c r="AP330" s="1">
        <v>172450</v>
      </c>
      <c r="AU330" s="1">
        <v>12065</v>
      </c>
      <c r="AV330" s="116">
        <f t="shared" si="26"/>
        <v>4202527</v>
      </c>
      <c r="BD330" s="1">
        <v>321738</v>
      </c>
      <c r="BE330" s="1">
        <v>12412</v>
      </c>
      <c r="BF330" s="121">
        <f t="shared" si="27"/>
        <v>334150</v>
      </c>
      <c r="BI330" s="1">
        <v>1996</v>
      </c>
      <c r="BO330" s="1">
        <v>12107</v>
      </c>
      <c r="CC330" s="125">
        <f t="shared" si="28"/>
        <v>14103</v>
      </c>
      <c r="CK330" s="124">
        <f t="shared" si="29"/>
        <v>0</v>
      </c>
      <c r="CV330" s="129">
        <v>346215</v>
      </c>
    </row>
    <row r="331" spans="1:100" ht="12.75" customHeight="1">
      <c r="A331" s="1">
        <v>21</v>
      </c>
      <c r="B331" s="1">
        <v>5715</v>
      </c>
      <c r="C331" s="1" t="s">
        <v>1110</v>
      </c>
      <c r="D331" s="5" t="s">
        <v>936</v>
      </c>
      <c r="E331" t="s">
        <v>180</v>
      </c>
      <c r="F331" s="26">
        <v>9508.5</v>
      </c>
      <c r="G331" s="78">
        <v>116252401</v>
      </c>
      <c r="H331" s="78">
        <v>1734102</v>
      </c>
      <c r="L331" s="1">
        <v>90379</v>
      </c>
      <c r="M331" s="1">
        <v>10202849</v>
      </c>
      <c r="O331" s="117">
        <f t="shared" si="25"/>
        <v>128279731</v>
      </c>
      <c r="P331" s="78">
        <v>309051</v>
      </c>
      <c r="V331" s="1">
        <v>2562507</v>
      </c>
      <c r="W331" s="1">
        <v>4926422</v>
      </c>
      <c r="X331" s="1">
        <v>265208</v>
      </c>
      <c r="Y331" s="78">
        <v>836290</v>
      </c>
      <c r="AC331" s="1">
        <v>463060</v>
      </c>
      <c r="AD331" s="1">
        <v>568119</v>
      </c>
      <c r="AE331" s="1">
        <v>284028</v>
      </c>
      <c r="AF331" s="1">
        <v>32376</v>
      </c>
      <c r="AG331" s="1">
        <v>6063392</v>
      </c>
      <c r="AH331" s="1">
        <v>4518427</v>
      </c>
      <c r="AP331" s="1">
        <v>38744</v>
      </c>
      <c r="AT331" s="1">
        <v>424490</v>
      </c>
      <c r="AU331" s="1">
        <v>112204</v>
      </c>
      <c r="AV331" s="116">
        <f t="shared" si="26"/>
        <v>21404318</v>
      </c>
      <c r="AW331" s="1">
        <v>7195</v>
      </c>
      <c r="BC331" s="1">
        <v>139925</v>
      </c>
      <c r="BD331" s="1">
        <v>1417993</v>
      </c>
      <c r="BE331" s="1">
        <v>389545</v>
      </c>
      <c r="BF331" s="121">
        <f t="shared" si="27"/>
        <v>1954658</v>
      </c>
      <c r="BO331" s="1">
        <v>46320</v>
      </c>
      <c r="BX331" s="1">
        <v>18006931</v>
      </c>
      <c r="CA331" s="1">
        <v>401586</v>
      </c>
      <c r="CC331" s="125">
        <f t="shared" si="28"/>
        <v>18454837</v>
      </c>
      <c r="CD331" s="1">
        <v>726294</v>
      </c>
      <c r="CK331" s="124">
        <f t="shared" si="29"/>
        <v>726294</v>
      </c>
      <c r="CM331" s="23">
        <v>17507000</v>
      </c>
      <c r="CV331" s="129">
        <v>2150046</v>
      </c>
    </row>
    <row r="332" spans="1:100" ht="12.75" customHeight="1">
      <c r="A332" s="1">
        <v>23</v>
      </c>
      <c r="B332" s="1">
        <v>750</v>
      </c>
      <c r="C332" s="1" t="s">
        <v>937</v>
      </c>
      <c r="D332" s="5" t="s">
        <v>938</v>
      </c>
      <c r="E332" t="s">
        <v>181</v>
      </c>
      <c r="F332" s="26">
        <v>3872.5</v>
      </c>
      <c r="G332" s="78">
        <v>22650864</v>
      </c>
      <c r="H332" s="78">
        <v>449828</v>
      </c>
      <c r="M332" s="1">
        <v>1288340</v>
      </c>
      <c r="O332" s="117">
        <f t="shared" si="25"/>
        <v>24389032</v>
      </c>
      <c r="P332" s="78">
        <v>11413122</v>
      </c>
      <c r="V332" s="1">
        <v>284353</v>
      </c>
      <c r="W332" s="1">
        <v>3245912</v>
      </c>
      <c r="X332" s="1">
        <v>231066</v>
      </c>
      <c r="Y332" s="78">
        <v>116404</v>
      </c>
      <c r="AC332" s="1">
        <v>231365</v>
      </c>
      <c r="AD332" s="1">
        <v>416826</v>
      </c>
      <c r="AE332" s="1">
        <v>558832</v>
      </c>
      <c r="AF332" s="1">
        <v>506075</v>
      </c>
      <c r="AG332" s="1">
        <v>3141310</v>
      </c>
      <c r="AH332" s="1">
        <v>1602878</v>
      </c>
      <c r="AM332" s="1">
        <v>1175768</v>
      </c>
      <c r="AP332" s="1">
        <v>788002</v>
      </c>
      <c r="AU332" s="1">
        <v>598090</v>
      </c>
      <c r="AV332" s="116">
        <f t="shared" si="26"/>
        <v>24310003</v>
      </c>
      <c r="BC332" s="1">
        <v>760933</v>
      </c>
      <c r="BD332" s="1">
        <v>711236</v>
      </c>
      <c r="BE332" s="1">
        <v>621610</v>
      </c>
      <c r="BF332" s="121">
        <f t="shared" si="27"/>
        <v>2093779</v>
      </c>
      <c r="CA332" s="1">
        <v>34110</v>
      </c>
      <c r="CC332" s="125">
        <f t="shared" si="28"/>
        <v>34110</v>
      </c>
      <c r="CK332" s="124">
        <f t="shared" si="29"/>
        <v>0</v>
      </c>
      <c r="CT332" s="23">
        <v>1771074</v>
      </c>
      <c r="CV332" s="129">
        <v>5638711</v>
      </c>
    </row>
    <row r="333" spans="1:100" ht="12.75" customHeight="1">
      <c r="A333" s="1">
        <v>23</v>
      </c>
      <c r="B333" s="1">
        <v>970</v>
      </c>
      <c r="C333" s="1" t="s">
        <v>937</v>
      </c>
      <c r="D333" s="5" t="s">
        <v>939</v>
      </c>
      <c r="E333" t="s">
        <v>182</v>
      </c>
      <c r="F333" s="26">
        <v>637</v>
      </c>
      <c r="G333" s="78">
        <v>13832437</v>
      </c>
      <c r="H333" s="78">
        <v>161506</v>
      </c>
      <c r="M333" s="1">
        <v>850765</v>
      </c>
      <c r="O333" s="117">
        <f t="shared" si="25"/>
        <v>14844708</v>
      </c>
      <c r="V333" s="1">
        <v>114025</v>
      </c>
      <c r="W333" s="1">
        <v>461991</v>
      </c>
      <c r="X333" s="1">
        <v>10476</v>
      </c>
      <c r="AC333" s="1">
        <v>34327</v>
      </c>
      <c r="AD333" s="1">
        <v>43345</v>
      </c>
      <c r="AE333" s="1">
        <v>18895</v>
      </c>
      <c r="AF333" s="1">
        <v>65579</v>
      </c>
      <c r="AG333" s="1">
        <v>497987</v>
      </c>
      <c r="AH333" s="1">
        <v>349480</v>
      </c>
      <c r="AU333" s="1">
        <v>7519</v>
      </c>
      <c r="AV333" s="116">
        <f t="shared" si="26"/>
        <v>1603624</v>
      </c>
      <c r="BD333" s="1">
        <v>164349</v>
      </c>
      <c r="BE333" s="1">
        <v>10264</v>
      </c>
      <c r="BF333" s="121">
        <f t="shared" si="27"/>
        <v>174613</v>
      </c>
      <c r="CC333" s="125">
        <f t="shared" si="28"/>
        <v>0</v>
      </c>
      <c r="CK333" s="124">
        <f t="shared" si="29"/>
        <v>0</v>
      </c>
      <c r="CV333" s="129">
        <v>182132</v>
      </c>
    </row>
    <row r="334" spans="1:100" ht="12.75" customHeight="1">
      <c r="A334" s="1">
        <v>23</v>
      </c>
      <c r="B334" s="1">
        <v>1140</v>
      </c>
      <c r="C334" s="1" t="s">
        <v>937</v>
      </c>
      <c r="D334" s="5" t="s">
        <v>940</v>
      </c>
      <c r="E334" t="s">
        <v>183</v>
      </c>
      <c r="F334" s="26">
        <v>1090.5</v>
      </c>
      <c r="G334" s="78">
        <v>7668256</v>
      </c>
      <c r="H334" s="78">
        <v>8543</v>
      </c>
      <c r="L334" s="1">
        <v>16224</v>
      </c>
      <c r="M334" s="1">
        <v>964690</v>
      </c>
      <c r="O334" s="117">
        <f t="shared" si="25"/>
        <v>8657713</v>
      </c>
      <c r="P334" s="78">
        <v>2571466</v>
      </c>
      <c r="Q334" s="78">
        <v>257940</v>
      </c>
      <c r="V334" s="1">
        <v>26949</v>
      </c>
      <c r="W334" s="1">
        <v>575141</v>
      </c>
      <c r="X334" s="1">
        <v>57250</v>
      </c>
      <c r="AC334" s="1">
        <v>29566</v>
      </c>
      <c r="AD334" s="1">
        <v>124642</v>
      </c>
      <c r="AE334" s="1">
        <v>110050</v>
      </c>
      <c r="AF334" s="1">
        <v>93197</v>
      </c>
      <c r="AG334" s="1">
        <v>892519</v>
      </c>
      <c r="AH334" s="1">
        <v>462803</v>
      </c>
      <c r="AI334" s="1">
        <v>3192</v>
      </c>
      <c r="AO334" s="1">
        <v>54957</v>
      </c>
      <c r="AP334" s="1">
        <v>264994</v>
      </c>
      <c r="AU334" s="1">
        <v>53317</v>
      </c>
      <c r="AV334" s="116">
        <f t="shared" si="26"/>
        <v>5577983</v>
      </c>
      <c r="BC334" s="1">
        <v>259626</v>
      </c>
      <c r="BD334" s="1">
        <v>216192</v>
      </c>
      <c r="BE334" s="1">
        <v>56103</v>
      </c>
      <c r="BF334" s="121">
        <f t="shared" si="27"/>
        <v>531921</v>
      </c>
      <c r="BP334" s="1">
        <v>10706</v>
      </c>
      <c r="CC334" s="125">
        <f t="shared" si="28"/>
        <v>10706</v>
      </c>
      <c r="CK334" s="124">
        <f t="shared" si="29"/>
        <v>0</v>
      </c>
      <c r="CV334" s="129">
        <v>656419</v>
      </c>
    </row>
    <row r="335" spans="1:100" ht="12.75" customHeight="1">
      <c r="A335" s="1">
        <v>23</v>
      </c>
      <c r="B335" s="1">
        <v>1170</v>
      </c>
      <c r="C335" s="1" t="s">
        <v>937</v>
      </c>
      <c r="D335" s="5" t="s">
        <v>941</v>
      </c>
      <c r="E335" t="s">
        <v>184</v>
      </c>
      <c r="F335" s="26">
        <v>8967</v>
      </c>
      <c r="G335" s="78">
        <v>98543803</v>
      </c>
      <c r="H335" s="78">
        <v>1483134</v>
      </c>
      <c r="L335" s="1">
        <v>285537</v>
      </c>
      <c r="M335" s="1">
        <v>6386428</v>
      </c>
      <c r="O335" s="117">
        <f t="shared" si="25"/>
        <v>106698902</v>
      </c>
      <c r="P335" s="78">
        <v>8649678</v>
      </c>
      <c r="V335" s="1">
        <v>2221120</v>
      </c>
      <c r="W335" s="1">
        <v>6196136</v>
      </c>
      <c r="X335" s="1">
        <v>202496</v>
      </c>
      <c r="AC335" s="1">
        <v>531615</v>
      </c>
      <c r="AD335" s="1">
        <v>614613</v>
      </c>
      <c r="AE335" s="1">
        <v>536521</v>
      </c>
      <c r="AF335" s="1">
        <v>1349560</v>
      </c>
      <c r="AG335" s="1">
        <v>7128654</v>
      </c>
      <c r="AH335" s="1">
        <v>4099525</v>
      </c>
      <c r="AR335" s="1">
        <v>494069</v>
      </c>
      <c r="AT335" s="1">
        <v>212797</v>
      </c>
      <c r="AU335" s="1">
        <v>600902</v>
      </c>
      <c r="AV335" s="116">
        <f t="shared" si="26"/>
        <v>32837686</v>
      </c>
      <c r="BC335" s="1">
        <v>266183</v>
      </c>
      <c r="BD335" s="1">
        <v>1841029</v>
      </c>
      <c r="BE335" s="1">
        <v>629079</v>
      </c>
      <c r="BF335" s="121">
        <f t="shared" si="27"/>
        <v>2736291</v>
      </c>
      <c r="BI335" s="1">
        <v>43640</v>
      </c>
      <c r="BY335" s="1">
        <v>2330602</v>
      </c>
      <c r="CB335" s="1">
        <v>3120500</v>
      </c>
      <c r="CC335" s="125">
        <f t="shared" si="28"/>
        <v>5494742</v>
      </c>
      <c r="CK335" s="124">
        <f t="shared" si="29"/>
        <v>0</v>
      </c>
      <c r="CR335" s="23">
        <v>190600</v>
      </c>
      <c r="CV335" s="129">
        <v>3813330</v>
      </c>
    </row>
    <row r="336" spans="1:100" ht="12.75" customHeight="1">
      <c r="A336" s="1">
        <v>23</v>
      </c>
      <c r="B336" s="1">
        <v>1290</v>
      </c>
      <c r="C336" s="1" t="s">
        <v>937</v>
      </c>
      <c r="D336" s="5" t="s">
        <v>942</v>
      </c>
      <c r="E336" t="s">
        <v>185</v>
      </c>
      <c r="F336" s="26">
        <v>13689.5</v>
      </c>
      <c r="G336" s="78">
        <v>158946183</v>
      </c>
      <c r="L336" s="1">
        <v>148824</v>
      </c>
      <c r="M336" s="1">
        <v>1753245</v>
      </c>
      <c r="O336" s="117">
        <f t="shared" si="25"/>
        <v>160848252</v>
      </c>
      <c r="V336" s="1">
        <v>2776102</v>
      </c>
      <c r="W336" s="1">
        <v>7736807</v>
      </c>
      <c r="X336" s="1">
        <v>495914</v>
      </c>
      <c r="Y336" s="78">
        <v>184716</v>
      </c>
      <c r="Z336" s="1">
        <v>1032800</v>
      </c>
      <c r="AC336" s="1">
        <v>872358</v>
      </c>
      <c r="AD336" s="1">
        <v>1459715</v>
      </c>
      <c r="AE336" s="1">
        <v>418461</v>
      </c>
      <c r="AF336" s="1">
        <v>1300000</v>
      </c>
      <c r="AG336" s="1">
        <v>13480841</v>
      </c>
      <c r="AH336" s="1">
        <v>6829439</v>
      </c>
      <c r="AO336" s="1">
        <v>262641</v>
      </c>
      <c r="AU336" s="1">
        <v>1149514</v>
      </c>
      <c r="AV336" s="116">
        <f t="shared" si="26"/>
        <v>37999308</v>
      </c>
      <c r="BC336" s="1">
        <v>626203</v>
      </c>
      <c r="BD336" s="1">
        <v>3420227</v>
      </c>
      <c r="BE336" s="1">
        <v>681129</v>
      </c>
      <c r="BF336" s="121">
        <f t="shared" si="27"/>
        <v>4727559</v>
      </c>
      <c r="BG336" s="1">
        <v>467013</v>
      </c>
      <c r="BI336" s="1">
        <v>295962</v>
      </c>
      <c r="BM336" s="1">
        <v>508147</v>
      </c>
      <c r="BO336" s="1">
        <v>795</v>
      </c>
      <c r="BP336" s="1">
        <v>1743774</v>
      </c>
      <c r="BZ336" s="1">
        <v>332597</v>
      </c>
      <c r="CB336" s="1">
        <v>24731</v>
      </c>
      <c r="CC336" s="125">
        <f t="shared" si="28"/>
        <v>3373019</v>
      </c>
      <c r="CK336" s="124">
        <f t="shared" si="29"/>
        <v>0</v>
      </c>
      <c r="CM336" s="23">
        <v>1000000</v>
      </c>
      <c r="CV336" s="129">
        <v>6288538</v>
      </c>
    </row>
    <row r="337" spans="1:100" ht="12.75" customHeight="1">
      <c r="A337" s="1">
        <v>23</v>
      </c>
      <c r="B337" s="1">
        <v>2110</v>
      </c>
      <c r="C337" s="1" t="s">
        <v>937</v>
      </c>
      <c r="D337" s="5" t="s">
        <v>943</v>
      </c>
      <c r="E337"/>
      <c r="F337" s="26"/>
      <c r="G337" s="78">
        <v>2987666</v>
      </c>
      <c r="H337" s="78">
        <v>21775</v>
      </c>
      <c r="O337" s="117">
        <f t="shared" si="25"/>
        <v>3009441</v>
      </c>
      <c r="P337" s="78">
        <v>256803</v>
      </c>
      <c r="V337" s="1">
        <v>148950</v>
      </c>
      <c r="W337" s="1">
        <v>311856</v>
      </c>
      <c r="X337" s="1">
        <v>45210</v>
      </c>
      <c r="AC337" s="1">
        <v>35950</v>
      </c>
      <c r="AD337" s="1">
        <v>32697</v>
      </c>
      <c r="AE337" s="1">
        <v>23865</v>
      </c>
      <c r="AF337" s="1">
        <v>580</v>
      </c>
      <c r="AG337" s="1">
        <v>1616</v>
      </c>
      <c r="AH337" s="1">
        <v>1749</v>
      </c>
      <c r="AU337" s="1">
        <v>2669</v>
      </c>
      <c r="AV337" s="116">
        <f t="shared" si="26"/>
        <v>861945</v>
      </c>
      <c r="BD337" s="1">
        <v>50655</v>
      </c>
      <c r="BF337" s="121">
        <f t="shared" si="27"/>
        <v>50655</v>
      </c>
      <c r="BU337" s="1">
        <v>37623</v>
      </c>
      <c r="CC337" s="125">
        <f t="shared" si="28"/>
        <v>37623</v>
      </c>
      <c r="CK337" s="124">
        <f t="shared" si="29"/>
        <v>0</v>
      </c>
      <c r="CV337" s="129">
        <v>53324</v>
      </c>
    </row>
    <row r="338" spans="1:100" ht="12.75" customHeight="1">
      <c r="A338" s="1">
        <v>23</v>
      </c>
      <c r="B338" s="1">
        <v>2150</v>
      </c>
      <c r="C338" s="1" t="s">
        <v>937</v>
      </c>
      <c r="D338" s="5" t="s">
        <v>944</v>
      </c>
      <c r="E338" t="s">
        <v>186</v>
      </c>
      <c r="F338" s="26">
        <v>1545</v>
      </c>
      <c r="G338" s="78">
        <v>17580347</v>
      </c>
      <c r="H338" s="78">
        <v>204776</v>
      </c>
      <c r="L338" s="1">
        <v>34234</v>
      </c>
      <c r="M338" s="1">
        <v>2120213</v>
      </c>
      <c r="O338" s="117">
        <f t="shared" si="25"/>
        <v>19939570</v>
      </c>
      <c r="Q338" s="78">
        <v>719646</v>
      </c>
      <c r="V338" s="1">
        <v>314929</v>
      </c>
      <c r="W338" s="1">
        <v>839083</v>
      </c>
      <c r="X338" s="1">
        <v>60970</v>
      </c>
      <c r="Y338" s="78">
        <v>167186</v>
      </c>
      <c r="AC338" s="1">
        <v>48885</v>
      </c>
      <c r="AD338" s="1">
        <v>165575</v>
      </c>
      <c r="AE338" s="1">
        <v>90975</v>
      </c>
      <c r="AF338" s="1">
        <v>128954</v>
      </c>
      <c r="AG338" s="1">
        <v>1794031</v>
      </c>
      <c r="AH338" s="1">
        <v>761313</v>
      </c>
      <c r="AM338" s="1">
        <v>492114</v>
      </c>
      <c r="AP338" s="1">
        <v>11206</v>
      </c>
      <c r="AU338" s="1">
        <v>330436</v>
      </c>
      <c r="AV338" s="116">
        <f t="shared" si="26"/>
        <v>5925303</v>
      </c>
      <c r="BC338" s="1">
        <v>262312</v>
      </c>
      <c r="BD338" s="1">
        <v>357964</v>
      </c>
      <c r="BE338" s="1">
        <v>209397</v>
      </c>
      <c r="BF338" s="121">
        <f t="shared" si="27"/>
        <v>829673</v>
      </c>
      <c r="BI338" s="1">
        <v>35084</v>
      </c>
      <c r="BO338" s="1">
        <v>331</v>
      </c>
      <c r="CA338" s="1">
        <v>326509</v>
      </c>
      <c r="CC338" s="125">
        <f t="shared" si="28"/>
        <v>361924</v>
      </c>
      <c r="CD338" s="1">
        <v>2230</v>
      </c>
      <c r="CK338" s="124">
        <f t="shared" si="29"/>
        <v>2230</v>
      </c>
      <c r="CM338" s="23">
        <v>13985000</v>
      </c>
      <c r="CN338" s="23">
        <v>704000</v>
      </c>
      <c r="CQ338" s="23">
        <v>35817</v>
      </c>
      <c r="CT338" s="23">
        <v>754825</v>
      </c>
      <c r="CV338" s="129">
        <v>2477099</v>
      </c>
    </row>
    <row r="339" spans="1:100" ht="12.75" customHeight="1">
      <c r="A339" s="1">
        <v>23</v>
      </c>
      <c r="B339" s="1">
        <v>2370</v>
      </c>
      <c r="C339" s="1" t="s">
        <v>937</v>
      </c>
      <c r="D339" s="5" t="s">
        <v>945</v>
      </c>
      <c r="E339" t="s">
        <v>187</v>
      </c>
      <c r="F339" s="26">
        <v>657.5</v>
      </c>
      <c r="G339" s="78">
        <v>6420859</v>
      </c>
      <c r="H339" s="78">
        <v>83024</v>
      </c>
      <c r="L339" s="1">
        <v>53760</v>
      </c>
      <c r="M339" s="1">
        <v>125862</v>
      </c>
      <c r="O339" s="117">
        <f t="shared" si="25"/>
        <v>6683505</v>
      </c>
      <c r="P339" s="78">
        <v>1984604</v>
      </c>
      <c r="Q339" s="78">
        <v>162488</v>
      </c>
      <c r="V339" s="1">
        <v>267810</v>
      </c>
      <c r="W339" s="1">
        <v>619687</v>
      </c>
      <c r="X339" s="1">
        <v>27996</v>
      </c>
      <c r="Y339" s="78">
        <v>21518</v>
      </c>
      <c r="AC339" s="1">
        <v>64386</v>
      </c>
      <c r="AD339" s="1">
        <v>93481</v>
      </c>
      <c r="AE339" s="1">
        <v>106549</v>
      </c>
      <c r="AG339" s="1">
        <v>410157</v>
      </c>
      <c r="AH339" s="1">
        <v>257591</v>
      </c>
      <c r="AI339" s="1">
        <v>1740</v>
      </c>
      <c r="AJ339" s="1">
        <v>23535</v>
      </c>
      <c r="AM339" s="1">
        <v>139956</v>
      </c>
      <c r="AP339" s="1">
        <v>72087</v>
      </c>
      <c r="AU339" s="1">
        <v>22173</v>
      </c>
      <c r="AV339" s="116">
        <f t="shared" si="26"/>
        <v>4275758</v>
      </c>
      <c r="BC339" s="1">
        <v>185822</v>
      </c>
      <c r="BD339" s="1">
        <v>220108</v>
      </c>
      <c r="BE339" s="1">
        <v>45020</v>
      </c>
      <c r="BF339" s="121">
        <f t="shared" si="27"/>
        <v>450950</v>
      </c>
      <c r="CC339" s="125">
        <f t="shared" si="28"/>
        <v>0</v>
      </c>
      <c r="CK339" s="124">
        <f t="shared" si="29"/>
        <v>0</v>
      </c>
      <c r="CQ339" s="23">
        <v>35427</v>
      </c>
      <c r="CT339" s="23">
        <v>234083</v>
      </c>
      <c r="CV339" s="129">
        <v>959884</v>
      </c>
    </row>
    <row r="340" spans="1:100" ht="12.75" customHeight="1">
      <c r="A340" s="1">
        <v>23</v>
      </c>
      <c r="B340" s="1">
        <v>3120</v>
      </c>
      <c r="C340" s="1" t="s">
        <v>937</v>
      </c>
      <c r="D340" s="5" t="s">
        <v>946</v>
      </c>
      <c r="E340" t="s">
        <v>188</v>
      </c>
      <c r="F340" s="26">
        <v>2010.5</v>
      </c>
      <c r="G340" s="78">
        <v>25051544</v>
      </c>
      <c r="H340" s="78">
        <v>230867</v>
      </c>
      <c r="M340" s="1">
        <v>2380140</v>
      </c>
      <c r="O340" s="117">
        <f t="shared" si="25"/>
        <v>27662551</v>
      </c>
      <c r="W340" s="1">
        <v>1246058</v>
      </c>
      <c r="AC340" s="1">
        <v>13733</v>
      </c>
      <c r="AD340" s="1">
        <v>202653</v>
      </c>
      <c r="AE340" s="1">
        <v>43461</v>
      </c>
      <c r="AG340" s="1">
        <v>2031136</v>
      </c>
      <c r="AH340" s="1">
        <v>999629</v>
      </c>
      <c r="AP340" s="1">
        <v>316069</v>
      </c>
      <c r="AU340" s="1">
        <v>474053</v>
      </c>
      <c r="AV340" s="116">
        <f t="shared" si="26"/>
        <v>5326792</v>
      </c>
      <c r="BC340" s="1">
        <v>61357</v>
      </c>
      <c r="BD340" s="1">
        <v>515266</v>
      </c>
      <c r="BE340" s="1">
        <v>63318</v>
      </c>
      <c r="BF340" s="121">
        <f t="shared" si="27"/>
        <v>639941</v>
      </c>
      <c r="BI340" s="1">
        <v>20650</v>
      </c>
      <c r="CA340" s="1">
        <v>461901</v>
      </c>
      <c r="CC340" s="125">
        <f t="shared" si="28"/>
        <v>482551</v>
      </c>
      <c r="CK340" s="124">
        <f t="shared" si="29"/>
        <v>0</v>
      </c>
      <c r="CV340" s="129">
        <v>1113994</v>
      </c>
    </row>
    <row r="341" spans="1:100" ht="12.75" customHeight="1">
      <c r="A341" s="1">
        <v>23</v>
      </c>
      <c r="B341" s="1">
        <v>3140</v>
      </c>
      <c r="C341" s="1" t="s">
        <v>937</v>
      </c>
      <c r="D341" s="5" t="s">
        <v>947</v>
      </c>
      <c r="E341" t="s">
        <v>189</v>
      </c>
      <c r="F341" s="26">
        <v>2039</v>
      </c>
      <c r="G341" s="78">
        <v>18326257</v>
      </c>
      <c r="H341" s="78">
        <v>205656</v>
      </c>
      <c r="L341" s="1">
        <v>30676</v>
      </c>
      <c r="M341" s="1">
        <v>452870</v>
      </c>
      <c r="O341" s="117">
        <f t="shared" si="25"/>
        <v>19015459</v>
      </c>
      <c r="P341" s="78">
        <v>4636638</v>
      </c>
      <c r="V341" s="1">
        <v>231325</v>
      </c>
      <c r="W341" s="1">
        <v>1271237</v>
      </c>
      <c r="X341" s="1">
        <v>65336</v>
      </c>
      <c r="Y341" s="78">
        <v>603939</v>
      </c>
      <c r="AC341" s="1">
        <v>46937</v>
      </c>
      <c r="AD341" s="1">
        <v>235240</v>
      </c>
      <c r="AE341" s="1">
        <v>212853</v>
      </c>
      <c r="AF341" s="1">
        <v>15544</v>
      </c>
      <c r="AG341" s="1">
        <v>2193938</v>
      </c>
      <c r="AH341" s="1">
        <v>971683</v>
      </c>
      <c r="AO341" s="1">
        <v>51399</v>
      </c>
      <c r="AP341" s="1">
        <v>270857</v>
      </c>
      <c r="AU341" s="1">
        <v>141546</v>
      </c>
      <c r="AV341" s="116">
        <f t="shared" si="26"/>
        <v>10948472</v>
      </c>
      <c r="BC341" s="1">
        <v>168490</v>
      </c>
      <c r="BD341" s="1">
        <v>475052</v>
      </c>
      <c r="BE341" s="1">
        <v>77998</v>
      </c>
      <c r="BF341" s="121">
        <f t="shared" si="27"/>
        <v>721540</v>
      </c>
      <c r="BI341" s="1">
        <v>8370</v>
      </c>
      <c r="BN341" s="1">
        <v>2478</v>
      </c>
      <c r="BO341" s="1">
        <v>820</v>
      </c>
      <c r="CB341" s="1">
        <v>1395916</v>
      </c>
      <c r="CC341" s="125">
        <f t="shared" si="28"/>
        <v>1407584</v>
      </c>
      <c r="CD341" s="1">
        <v>43110</v>
      </c>
      <c r="CK341" s="124">
        <f t="shared" si="29"/>
        <v>43110</v>
      </c>
      <c r="CV341" s="129">
        <v>945161</v>
      </c>
    </row>
    <row r="342" spans="1:100" ht="12.75" customHeight="1">
      <c r="A342" s="1">
        <v>23</v>
      </c>
      <c r="B342" s="1">
        <v>3145</v>
      </c>
      <c r="C342" s="1" t="s">
        <v>937</v>
      </c>
      <c r="D342" s="5" t="s">
        <v>948</v>
      </c>
      <c r="E342" t="s">
        <v>190</v>
      </c>
      <c r="F342" s="26">
        <v>579.5</v>
      </c>
      <c r="H342" s="78">
        <v>200335</v>
      </c>
      <c r="K342" s="1">
        <v>5164915</v>
      </c>
      <c r="O342" s="117">
        <f t="shared" si="25"/>
        <v>5365250</v>
      </c>
      <c r="AG342" s="1">
        <v>745480</v>
      </c>
      <c r="AH342" s="1">
        <v>892882</v>
      </c>
      <c r="AU342" s="1">
        <v>6460022</v>
      </c>
      <c r="AV342" s="116">
        <f t="shared" si="26"/>
        <v>8098384</v>
      </c>
      <c r="BC342" s="1">
        <v>97364</v>
      </c>
      <c r="BD342" s="1">
        <v>2479258</v>
      </c>
      <c r="BE342" s="1">
        <v>479025</v>
      </c>
      <c r="BF342" s="121">
        <f t="shared" si="27"/>
        <v>3055647</v>
      </c>
      <c r="BN342" s="1">
        <v>21521584</v>
      </c>
      <c r="BO342" s="1">
        <v>488423</v>
      </c>
      <c r="BY342" s="1">
        <v>13713</v>
      </c>
      <c r="CA342" s="1">
        <v>152590</v>
      </c>
      <c r="CC342" s="125">
        <f t="shared" si="28"/>
        <v>22176310</v>
      </c>
      <c r="CD342" s="1">
        <v>20478439</v>
      </c>
      <c r="CK342" s="124">
        <f t="shared" si="29"/>
        <v>20478439</v>
      </c>
      <c r="CM342" s="23">
        <v>10000000</v>
      </c>
      <c r="CV342" s="129">
        <v>9515669</v>
      </c>
    </row>
    <row r="343" spans="1:100" ht="12.75" customHeight="1">
      <c r="A343" s="1">
        <v>23</v>
      </c>
      <c r="B343" s="1">
        <v>3150</v>
      </c>
      <c r="C343" s="1" t="s">
        <v>937</v>
      </c>
      <c r="D343" s="5" t="s">
        <v>949</v>
      </c>
      <c r="E343" t="s">
        <v>191</v>
      </c>
      <c r="F343" s="26">
        <v>1896.5</v>
      </c>
      <c r="H343" s="78">
        <v>2240016</v>
      </c>
      <c r="I343" s="1">
        <v>24483808</v>
      </c>
      <c r="L343" s="1">
        <v>172552</v>
      </c>
      <c r="O343" s="117">
        <f t="shared" si="25"/>
        <v>26896376</v>
      </c>
      <c r="P343" s="78">
        <v>2788463</v>
      </c>
      <c r="W343" s="1">
        <v>2320167</v>
      </c>
      <c r="X343" s="1">
        <v>51392</v>
      </c>
      <c r="Y343" s="78">
        <v>616902</v>
      </c>
      <c r="AA343" s="1">
        <v>3214207</v>
      </c>
      <c r="AD343" s="1">
        <v>651127</v>
      </c>
      <c r="AG343" s="1">
        <v>1127861</v>
      </c>
      <c r="AH343" s="1">
        <v>1206295</v>
      </c>
      <c r="AM343" s="1">
        <v>1326424</v>
      </c>
      <c r="AU343" s="1">
        <v>40445</v>
      </c>
      <c r="AV343" s="116">
        <f t="shared" si="26"/>
        <v>13343283</v>
      </c>
      <c r="BB343" s="1">
        <v>579402</v>
      </c>
      <c r="BC343" s="1">
        <v>405870</v>
      </c>
      <c r="BD343" s="1">
        <v>500349</v>
      </c>
      <c r="BE343" s="1">
        <v>476660</v>
      </c>
      <c r="BF343" s="121">
        <f t="shared" si="27"/>
        <v>1962281</v>
      </c>
      <c r="BO343" s="1">
        <v>464981</v>
      </c>
      <c r="CC343" s="125">
        <f t="shared" si="28"/>
        <v>464981</v>
      </c>
      <c r="CF343" s="1">
        <v>727864</v>
      </c>
      <c r="CK343" s="124">
        <f t="shared" si="29"/>
        <v>727864</v>
      </c>
      <c r="CP343" s="23">
        <v>570615</v>
      </c>
      <c r="CV343" s="129">
        <v>3501702</v>
      </c>
    </row>
    <row r="344" spans="1:100" ht="12.75" customHeight="1">
      <c r="A344" s="1">
        <v>23</v>
      </c>
      <c r="B344" s="1">
        <v>3220</v>
      </c>
      <c r="C344" s="1" t="s">
        <v>937</v>
      </c>
      <c r="D344" s="5" t="s">
        <v>950</v>
      </c>
      <c r="E344" t="s">
        <v>192</v>
      </c>
      <c r="F344" s="26">
        <v>680</v>
      </c>
      <c r="G344" s="78">
        <v>10758188</v>
      </c>
      <c r="H344" s="78">
        <v>77271</v>
      </c>
      <c r="M344" s="1">
        <v>602208</v>
      </c>
      <c r="O344" s="117">
        <f t="shared" si="25"/>
        <v>11437667</v>
      </c>
      <c r="P344" s="78">
        <v>83938</v>
      </c>
      <c r="V344" s="1">
        <v>164262</v>
      </c>
      <c r="W344" s="1">
        <v>392950</v>
      </c>
      <c r="X344" s="1">
        <v>2372</v>
      </c>
      <c r="Y344" s="78">
        <v>454429</v>
      </c>
      <c r="AC344" s="1">
        <v>36156</v>
      </c>
      <c r="AD344" s="1">
        <v>108513</v>
      </c>
      <c r="AE344" s="1">
        <v>36194</v>
      </c>
      <c r="AF344" s="1">
        <v>5126</v>
      </c>
      <c r="AG344" s="1">
        <v>598955</v>
      </c>
      <c r="AH344" s="1">
        <v>293503</v>
      </c>
      <c r="AP344" s="1">
        <v>27722</v>
      </c>
      <c r="AU344" s="1">
        <v>53061</v>
      </c>
      <c r="AV344" s="116">
        <f t="shared" si="26"/>
        <v>2257181</v>
      </c>
      <c r="BC344" s="1">
        <v>26197</v>
      </c>
      <c r="BD344" s="1">
        <v>226312</v>
      </c>
      <c r="BE344" s="1">
        <v>24385</v>
      </c>
      <c r="BF344" s="121">
        <f t="shared" si="27"/>
        <v>276894</v>
      </c>
      <c r="BZ344" s="1">
        <v>8064</v>
      </c>
      <c r="CA344" s="1">
        <v>2967</v>
      </c>
      <c r="CC344" s="125">
        <f t="shared" si="28"/>
        <v>11031</v>
      </c>
      <c r="CK344" s="124">
        <f t="shared" si="29"/>
        <v>0</v>
      </c>
      <c r="CV344" s="129">
        <v>329955</v>
      </c>
    </row>
    <row r="345" spans="1:100" ht="12.75" customHeight="1">
      <c r="A345" s="1">
        <v>23</v>
      </c>
      <c r="B345" s="1">
        <v>3290</v>
      </c>
      <c r="C345" s="1" t="s">
        <v>937</v>
      </c>
      <c r="D345" s="5" t="s">
        <v>1052</v>
      </c>
      <c r="E345" t="s">
        <v>193</v>
      </c>
      <c r="F345" s="26">
        <v>4924</v>
      </c>
      <c r="G345" s="78">
        <v>61844803</v>
      </c>
      <c r="H345" s="78">
        <v>1047304</v>
      </c>
      <c r="L345" s="1">
        <v>1000</v>
      </c>
      <c r="M345" s="1">
        <v>6345203</v>
      </c>
      <c r="O345" s="117">
        <f t="shared" si="25"/>
        <v>69238310</v>
      </c>
      <c r="V345" s="1">
        <v>940868</v>
      </c>
      <c r="W345" s="1">
        <v>2109258</v>
      </c>
      <c r="X345" s="1">
        <v>44222</v>
      </c>
      <c r="AC345" s="1">
        <v>137382</v>
      </c>
      <c r="AD345" s="1">
        <v>418692</v>
      </c>
      <c r="AE345" s="1">
        <v>105391</v>
      </c>
      <c r="AF345" s="1">
        <v>628182</v>
      </c>
      <c r="AG345" s="1">
        <v>3136028</v>
      </c>
      <c r="AH345" s="1">
        <v>2263770</v>
      </c>
      <c r="AP345" s="1">
        <v>560943</v>
      </c>
      <c r="AV345" s="116">
        <f t="shared" si="26"/>
        <v>10344736</v>
      </c>
      <c r="AW345" s="1">
        <v>70</v>
      </c>
      <c r="BC345" s="1">
        <v>91896</v>
      </c>
      <c r="BD345" s="1">
        <v>774966</v>
      </c>
      <c r="BE345" s="1">
        <v>75734</v>
      </c>
      <c r="BF345" s="121">
        <f t="shared" si="27"/>
        <v>942666</v>
      </c>
      <c r="BG345" s="1">
        <v>668039</v>
      </c>
      <c r="BI345" s="1">
        <v>2909595</v>
      </c>
      <c r="BM345" s="1">
        <v>219247</v>
      </c>
      <c r="BO345" s="1">
        <v>5</v>
      </c>
      <c r="CC345" s="125">
        <f t="shared" si="28"/>
        <v>3796886</v>
      </c>
      <c r="CK345" s="124">
        <f t="shared" si="29"/>
        <v>0</v>
      </c>
      <c r="CV345" s="129">
        <v>943596</v>
      </c>
    </row>
    <row r="346" spans="1:100" ht="12.75" customHeight="1">
      <c r="A346" s="1">
        <v>23</v>
      </c>
      <c r="B346" s="1">
        <v>3530</v>
      </c>
      <c r="C346" s="1" t="s">
        <v>937</v>
      </c>
      <c r="D346" s="5" t="s">
        <v>951</v>
      </c>
      <c r="E346" t="s">
        <v>194</v>
      </c>
      <c r="F346" s="26">
        <v>6794</v>
      </c>
      <c r="G346" s="78">
        <v>26158022</v>
      </c>
      <c r="H346" s="78">
        <v>1272483</v>
      </c>
      <c r="O346" s="117">
        <f t="shared" si="25"/>
        <v>27430505</v>
      </c>
      <c r="P346" s="78">
        <v>27880488</v>
      </c>
      <c r="Q346" s="78">
        <v>2072614</v>
      </c>
      <c r="S346" s="25">
        <v>40595174</v>
      </c>
      <c r="V346" s="1">
        <v>902436</v>
      </c>
      <c r="W346" s="1">
        <v>5357476</v>
      </c>
      <c r="X346" s="1">
        <v>1982020</v>
      </c>
      <c r="AC346" s="1">
        <v>292047</v>
      </c>
      <c r="AD346" s="1">
        <v>720312</v>
      </c>
      <c r="AF346" s="1">
        <v>19834</v>
      </c>
      <c r="AG346" s="1">
        <v>6504438</v>
      </c>
      <c r="AH346" s="1">
        <v>4185955</v>
      </c>
      <c r="AM346" s="1">
        <v>2471552</v>
      </c>
      <c r="AU346" s="1">
        <v>1260914</v>
      </c>
      <c r="AV346" s="116">
        <f t="shared" si="26"/>
        <v>94245260</v>
      </c>
      <c r="AW346" s="1">
        <v>156804</v>
      </c>
      <c r="BC346" s="1">
        <v>2482447</v>
      </c>
      <c r="BD346" s="1">
        <v>1672831</v>
      </c>
      <c r="BE346" s="1">
        <v>2870695</v>
      </c>
      <c r="BF346" s="121">
        <f t="shared" si="27"/>
        <v>7182777</v>
      </c>
      <c r="CC346" s="125">
        <f t="shared" si="28"/>
        <v>0</v>
      </c>
      <c r="CK346" s="124">
        <f t="shared" si="29"/>
        <v>0</v>
      </c>
      <c r="CQ346" s="23">
        <v>1672976</v>
      </c>
      <c r="CR346" s="23">
        <v>1207570</v>
      </c>
      <c r="CT346" s="23">
        <v>7692009</v>
      </c>
      <c r="CU346" s="23">
        <v>7489236</v>
      </c>
      <c r="CV346" s="129">
        <v>28820230</v>
      </c>
    </row>
    <row r="347" spans="1:100" ht="12.75" customHeight="1">
      <c r="A347" s="1">
        <v>23</v>
      </c>
      <c r="B347" s="1">
        <v>3620</v>
      </c>
      <c r="C347" s="1" t="s">
        <v>937</v>
      </c>
      <c r="D347" s="5" t="s">
        <v>952</v>
      </c>
      <c r="E347" t="s">
        <v>195</v>
      </c>
      <c r="F347" s="26">
        <v>5433</v>
      </c>
      <c r="G347" s="78">
        <v>60096571</v>
      </c>
      <c r="H347" s="78">
        <v>987083</v>
      </c>
      <c r="L347" s="1">
        <v>621684</v>
      </c>
      <c r="M347" s="1">
        <v>5831755</v>
      </c>
      <c r="O347" s="117">
        <f t="shared" si="25"/>
        <v>67537093</v>
      </c>
      <c r="P347" s="78">
        <v>345582</v>
      </c>
      <c r="V347" s="1">
        <v>1712298</v>
      </c>
      <c r="W347" s="1">
        <v>3369418</v>
      </c>
      <c r="X347" s="1">
        <v>244058</v>
      </c>
      <c r="Y347" s="78">
        <v>1741194</v>
      </c>
      <c r="AC347" s="1">
        <v>185844</v>
      </c>
      <c r="AD347" s="1">
        <v>609385</v>
      </c>
      <c r="AE347" s="1">
        <v>252696</v>
      </c>
      <c r="AF347" s="1">
        <v>488321</v>
      </c>
      <c r="AG347" s="1">
        <v>4133442</v>
      </c>
      <c r="AH347" s="1">
        <v>2397501</v>
      </c>
      <c r="AJ347" s="1">
        <v>48875</v>
      </c>
      <c r="AM347" s="1">
        <v>159727</v>
      </c>
      <c r="AO347" s="1">
        <v>174141</v>
      </c>
      <c r="AU347" s="1">
        <v>22595</v>
      </c>
      <c r="AV347" s="116">
        <f t="shared" si="26"/>
        <v>15885077</v>
      </c>
      <c r="AW347" s="1">
        <v>1358</v>
      </c>
      <c r="BC347" s="1">
        <v>383261</v>
      </c>
      <c r="BD347" s="1">
        <v>1135695</v>
      </c>
      <c r="BE347" s="1">
        <v>433570</v>
      </c>
      <c r="BF347" s="121">
        <f t="shared" si="27"/>
        <v>1953884</v>
      </c>
      <c r="BO347" s="1">
        <v>17620</v>
      </c>
      <c r="BX347" s="1">
        <v>16870</v>
      </c>
      <c r="CB347" s="1">
        <v>8642239</v>
      </c>
      <c r="CC347" s="125">
        <f t="shared" si="28"/>
        <v>8676729</v>
      </c>
      <c r="CK347" s="124">
        <f t="shared" si="29"/>
        <v>0</v>
      </c>
      <c r="CV347" s="129">
        <v>2979548</v>
      </c>
    </row>
    <row r="348" spans="1:100" ht="12.75" customHeight="1">
      <c r="A348" s="1">
        <v>23</v>
      </c>
      <c r="B348" s="1">
        <v>3845</v>
      </c>
      <c r="C348" s="1" t="s">
        <v>937</v>
      </c>
      <c r="D348" s="5" t="s">
        <v>953</v>
      </c>
      <c r="E348" t="s">
        <v>196</v>
      </c>
      <c r="F348" s="26">
        <v>9782</v>
      </c>
      <c r="G348" s="78">
        <v>81116094</v>
      </c>
      <c r="H348" s="78">
        <v>668665</v>
      </c>
      <c r="L348" s="1">
        <v>25467</v>
      </c>
      <c r="M348" s="1">
        <v>3045696</v>
      </c>
      <c r="O348" s="117">
        <f t="shared" si="25"/>
        <v>84855922</v>
      </c>
      <c r="P348" s="78">
        <v>23553857</v>
      </c>
      <c r="Q348" s="78">
        <v>2968486</v>
      </c>
      <c r="V348" s="1">
        <v>3377484</v>
      </c>
      <c r="W348" s="1">
        <v>4331799</v>
      </c>
      <c r="X348" s="1">
        <v>402582</v>
      </c>
      <c r="Y348" s="78">
        <v>70506</v>
      </c>
      <c r="AC348" s="1">
        <v>375813</v>
      </c>
      <c r="AD348" s="1">
        <v>443342</v>
      </c>
      <c r="AE348" s="1">
        <v>1087982</v>
      </c>
      <c r="AG348" s="1">
        <v>9505316</v>
      </c>
      <c r="AH348" s="1">
        <v>4040391</v>
      </c>
      <c r="AI348" s="1">
        <v>87265</v>
      </c>
      <c r="AM348" s="1">
        <v>138303</v>
      </c>
      <c r="AO348" s="1">
        <v>274515</v>
      </c>
      <c r="AU348" s="1">
        <v>536914</v>
      </c>
      <c r="AV348" s="116">
        <f t="shared" si="26"/>
        <v>51194555</v>
      </c>
      <c r="BC348" s="1">
        <v>666934</v>
      </c>
      <c r="BD348" s="1">
        <v>2012793</v>
      </c>
      <c r="BE348" s="1">
        <v>667643</v>
      </c>
      <c r="BF348" s="121">
        <f t="shared" si="27"/>
        <v>3347370</v>
      </c>
      <c r="CB348" s="1">
        <v>4000000</v>
      </c>
      <c r="CC348" s="125">
        <f t="shared" si="28"/>
        <v>4000000</v>
      </c>
      <c r="CD348" s="1">
        <v>174014</v>
      </c>
      <c r="CK348" s="124">
        <f t="shared" si="29"/>
        <v>174014</v>
      </c>
      <c r="CO348" s="23">
        <v>705199</v>
      </c>
      <c r="CV348" s="129">
        <v>4322569</v>
      </c>
    </row>
    <row r="349" spans="1:100" ht="12.75" customHeight="1">
      <c r="A349" s="1">
        <v>23</v>
      </c>
      <c r="B349" s="1">
        <v>4090</v>
      </c>
      <c r="C349" s="1" t="s">
        <v>937</v>
      </c>
      <c r="D349" s="5" t="s">
        <v>954</v>
      </c>
      <c r="E349" t="s">
        <v>197</v>
      </c>
      <c r="F349" s="26">
        <v>9534.5</v>
      </c>
      <c r="G349" s="78">
        <v>16597840</v>
      </c>
      <c r="H349" s="78">
        <v>1717953</v>
      </c>
      <c r="L349" s="1">
        <v>830</v>
      </c>
      <c r="M349" s="1">
        <v>1758958</v>
      </c>
      <c r="O349" s="117">
        <f t="shared" si="25"/>
        <v>20075581</v>
      </c>
      <c r="P349" s="78">
        <v>50704531</v>
      </c>
      <c r="Q349" s="78">
        <v>4302598</v>
      </c>
      <c r="S349" s="25">
        <v>32079957</v>
      </c>
      <c r="V349" s="1">
        <v>2165146</v>
      </c>
      <c r="W349" s="1">
        <v>5761172</v>
      </c>
      <c r="X349" s="1">
        <v>1785120</v>
      </c>
      <c r="AC349" s="1">
        <v>247643</v>
      </c>
      <c r="AD349" s="1">
        <v>476649</v>
      </c>
      <c r="AG349" s="1">
        <v>6965516</v>
      </c>
      <c r="AH349" s="1">
        <v>4296806</v>
      </c>
      <c r="AJ349" s="1">
        <v>94451</v>
      </c>
      <c r="AM349" s="1">
        <v>3944848</v>
      </c>
      <c r="AP349" s="1">
        <v>3688637</v>
      </c>
      <c r="AT349" s="1">
        <v>37257476</v>
      </c>
      <c r="AU349" s="1">
        <v>1764825</v>
      </c>
      <c r="AV349" s="116">
        <f t="shared" si="26"/>
        <v>155535375</v>
      </c>
      <c r="AW349" s="1">
        <v>216918</v>
      </c>
      <c r="BA349" s="1">
        <v>45398</v>
      </c>
      <c r="BC349" s="1">
        <v>4122196</v>
      </c>
      <c r="BD349" s="1">
        <v>2632596</v>
      </c>
      <c r="BE349" s="1">
        <v>2276951</v>
      </c>
      <c r="BF349" s="121">
        <f t="shared" si="27"/>
        <v>9294059</v>
      </c>
      <c r="BY349" s="1">
        <v>37493</v>
      </c>
      <c r="CC349" s="125">
        <f t="shared" si="28"/>
        <v>37493</v>
      </c>
      <c r="CK349" s="124">
        <f t="shared" si="29"/>
        <v>0</v>
      </c>
      <c r="CO349" s="23">
        <v>506223</v>
      </c>
      <c r="CQ349" s="23">
        <v>1152657</v>
      </c>
      <c r="CR349" s="23">
        <v>472781</v>
      </c>
      <c r="CT349" s="23">
        <v>5167443</v>
      </c>
      <c r="CU349" s="23">
        <v>8196527</v>
      </c>
      <c r="CV349" s="129">
        <v>29826105</v>
      </c>
    </row>
    <row r="350" spans="1:100" ht="12.75" customHeight="1">
      <c r="A350" s="1">
        <v>23</v>
      </c>
      <c r="B350" s="1">
        <v>4130</v>
      </c>
      <c r="C350" s="1" t="s">
        <v>937</v>
      </c>
      <c r="D350" s="5" t="s">
        <v>955</v>
      </c>
      <c r="E350" t="s">
        <v>198</v>
      </c>
      <c r="F350" s="26">
        <v>6761.5</v>
      </c>
      <c r="G350" s="78">
        <v>69658719</v>
      </c>
      <c r="H350" s="78">
        <v>1001697</v>
      </c>
      <c r="L350" s="1">
        <v>89156</v>
      </c>
      <c r="M350" s="1">
        <v>3380230</v>
      </c>
      <c r="O350" s="117">
        <f t="shared" si="25"/>
        <v>74129802</v>
      </c>
      <c r="P350" s="78">
        <v>3496151</v>
      </c>
      <c r="V350" s="1">
        <v>2061186</v>
      </c>
      <c r="W350" s="1">
        <v>5112052</v>
      </c>
      <c r="X350" s="1">
        <v>314498</v>
      </c>
      <c r="Y350" s="78">
        <v>273664</v>
      </c>
      <c r="AC350" s="1">
        <v>275724</v>
      </c>
      <c r="AD350" s="1">
        <v>761896</v>
      </c>
      <c r="AE350" s="1">
        <v>373868</v>
      </c>
      <c r="AF350" s="1">
        <v>45708</v>
      </c>
      <c r="AG350" s="1">
        <v>6737667</v>
      </c>
      <c r="AH350" s="1">
        <v>3087136</v>
      </c>
      <c r="AJ350" s="1">
        <v>132390</v>
      </c>
      <c r="AL350" s="1">
        <v>1127</v>
      </c>
      <c r="AM350" s="1">
        <v>181964</v>
      </c>
      <c r="AO350" s="1">
        <v>127342</v>
      </c>
      <c r="AP350" s="1">
        <v>103140</v>
      </c>
      <c r="AT350" s="1">
        <v>894511</v>
      </c>
      <c r="AU350" s="1">
        <v>1178638</v>
      </c>
      <c r="AV350" s="116">
        <f t="shared" si="26"/>
        <v>25158662</v>
      </c>
      <c r="BB350" s="1">
        <v>29304</v>
      </c>
      <c r="BC350" s="1">
        <v>230157</v>
      </c>
      <c r="BD350" s="1">
        <v>1735860</v>
      </c>
      <c r="BE350" s="1">
        <v>319905</v>
      </c>
      <c r="BF350" s="121">
        <f t="shared" si="27"/>
        <v>2315226</v>
      </c>
      <c r="BN350" s="1">
        <v>270250</v>
      </c>
      <c r="BY350" s="1">
        <v>3557</v>
      </c>
      <c r="CC350" s="125">
        <f t="shared" si="28"/>
        <v>273807</v>
      </c>
      <c r="CK350" s="124">
        <f t="shared" si="29"/>
        <v>0</v>
      </c>
      <c r="CV350" s="129">
        <v>4025843</v>
      </c>
    </row>
    <row r="351" spans="1:100" ht="12.75" customHeight="1">
      <c r="A351" s="1">
        <v>23</v>
      </c>
      <c r="B351" s="1">
        <v>4660</v>
      </c>
      <c r="C351" s="1" t="s">
        <v>937</v>
      </c>
      <c r="D351" s="5" t="s">
        <v>956</v>
      </c>
      <c r="E351" t="s">
        <v>199</v>
      </c>
      <c r="F351" s="26">
        <v>5706.5</v>
      </c>
      <c r="G351" s="78">
        <v>47713318</v>
      </c>
      <c r="L351" s="1">
        <v>6114</v>
      </c>
      <c r="M351" s="1">
        <v>1729236</v>
      </c>
      <c r="O351" s="117">
        <f t="shared" si="25"/>
        <v>49448668</v>
      </c>
      <c r="P351" s="78">
        <v>7824745</v>
      </c>
      <c r="V351" s="1">
        <v>1935495</v>
      </c>
      <c r="W351" s="1">
        <v>4563657</v>
      </c>
      <c r="X351" s="1">
        <v>102442</v>
      </c>
      <c r="AC351" s="1">
        <v>285430</v>
      </c>
      <c r="AD351" s="1">
        <v>640655</v>
      </c>
      <c r="AE351" s="1">
        <v>457848</v>
      </c>
      <c r="AF351" s="1">
        <v>42464</v>
      </c>
      <c r="AG351" s="1">
        <v>4556579</v>
      </c>
      <c r="AH351" s="1">
        <v>2253465</v>
      </c>
      <c r="AO351" s="1">
        <v>195563</v>
      </c>
      <c r="AP351" s="1">
        <v>163572</v>
      </c>
      <c r="AT351" s="1">
        <v>13545829</v>
      </c>
      <c r="AU351" s="1">
        <v>251032</v>
      </c>
      <c r="AV351" s="116">
        <f t="shared" si="26"/>
        <v>36818776</v>
      </c>
      <c r="BC351" s="1">
        <v>538043</v>
      </c>
      <c r="BD351" s="1">
        <v>1255431</v>
      </c>
      <c r="BE351" s="1">
        <v>297772</v>
      </c>
      <c r="BF351" s="121">
        <f t="shared" si="27"/>
        <v>2091246</v>
      </c>
      <c r="BR351" s="1">
        <v>351157</v>
      </c>
      <c r="CA351" s="1">
        <v>1601464</v>
      </c>
      <c r="CC351" s="125">
        <f t="shared" si="28"/>
        <v>1952621</v>
      </c>
      <c r="CK351" s="124">
        <f t="shared" si="29"/>
        <v>0</v>
      </c>
      <c r="CV351" s="129">
        <v>2543955</v>
      </c>
    </row>
    <row r="352" spans="1:100" ht="12.75" customHeight="1">
      <c r="A352" s="1">
        <v>23</v>
      </c>
      <c r="B352" s="1">
        <v>4830</v>
      </c>
      <c r="C352" s="1" t="s">
        <v>937</v>
      </c>
      <c r="D352" s="5" t="s">
        <v>957</v>
      </c>
      <c r="E352" t="s">
        <v>200</v>
      </c>
      <c r="F352" s="26">
        <v>1117</v>
      </c>
      <c r="G352" s="78">
        <v>6768167</v>
      </c>
      <c r="H352" s="78">
        <v>24142</v>
      </c>
      <c r="M352" s="1">
        <v>736936</v>
      </c>
      <c r="O352" s="117">
        <f t="shared" si="25"/>
        <v>7529245</v>
      </c>
      <c r="P352" s="78">
        <v>3693574</v>
      </c>
      <c r="Q352" s="78">
        <v>241838</v>
      </c>
      <c r="V352" s="1">
        <v>136036</v>
      </c>
      <c r="W352" s="1">
        <v>905527</v>
      </c>
      <c r="X352" s="1">
        <v>45444</v>
      </c>
      <c r="AC352" s="1">
        <v>5301</v>
      </c>
      <c r="AD352" s="1">
        <v>129140</v>
      </c>
      <c r="AE352" s="1">
        <v>178586</v>
      </c>
      <c r="AF352" s="1">
        <v>93116</v>
      </c>
      <c r="AG352" s="1">
        <v>882158</v>
      </c>
      <c r="AH352" s="1">
        <v>536503</v>
      </c>
      <c r="AM352" s="1">
        <v>194606</v>
      </c>
      <c r="AP352" s="1">
        <v>429471</v>
      </c>
      <c r="AU352" s="1">
        <v>496400</v>
      </c>
      <c r="AV352" s="116">
        <f t="shared" si="26"/>
        <v>7967700</v>
      </c>
      <c r="BC352" s="1">
        <v>342870</v>
      </c>
      <c r="BD352" s="1">
        <v>369150</v>
      </c>
      <c r="BE352" s="1">
        <v>148853</v>
      </c>
      <c r="BF352" s="121">
        <f t="shared" si="27"/>
        <v>860873</v>
      </c>
      <c r="BZ352" s="1">
        <v>298</v>
      </c>
      <c r="CC352" s="125">
        <f t="shared" si="28"/>
        <v>298</v>
      </c>
      <c r="CK352" s="124">
        <f t="shared" si="29"/>
        <v>0</v>
      </c>
      <c r="CQ352" s="23">
        <v>7054</v>
      </c>
      <c r="CT352" s="23">
        <v>578919</v>
      </c>
      <c r="CV352" s="129">
        <v>2137852</v>
      </c>
    </row>
    <row r="353" spans="1:100" ht="12.75" customHeight="1">
      <c r="A353" s="1">
        <v>23</v>
      </c>
      <c r="B353" s="1">
        <v>4860</v>
      </c>
      <c r="C353" s="1" t="s">
        <v>937</v>
      </c>
      <c r="D353" s="5" t="s">
        <v>958</v>
      </c>
      <c r="E353" t="s">
        <v>201</v>
      </c>
      <c r="F353" s="26">
        <v>8789.5</v>
      </c>
      <c r="G353" s="78">
        <v>89910441</v>
      </c>
      <c r="H353" s="78">
        <v>1226071</v>
      </c>
      <c r="L353" s="1">
        <v>16662</v>
      </c>
      <c r="M353" s="1">
        <v>8290872</v>
      </c>
      <c r="O353" s="117">
        <f t="shared" si="25"/>
        <v>99444046</v>
      </c>
      <c r="P353" s="78">
        <v>10740992</v>
      </c>
      <c r="V353" s="1">
        <v>2229237</v>
      </c>
      <c r="W353" s="1">
        <v>4810367</v>
      </c>
      <c r="X353" s="1">
        <v>124868</v>
      </c>
      <c r="AC353" s="1">
        <v>245689</v>
      </c>
      <c r="AD353" s="1">
        <v>348223</v>
      </c>
      <c r="AE353" s="1">
        <v>547611</v>
      </c>
      <c r="AF353" s="1">
        <v>400746</v>
      </c>
      <c r="AG353" s="1">
        <v>5598811</v>
      </c>
      <c r="AH353" s="1">
        <v>3727428</v>
      </c>
      <c r="AI353" s="1">
        <v>38429</v>
      </c>
      <c r="AP353" s="1">
        <v>2012142</v>
      </c>
      <c r="AU353" s="1">
        <v>475892</v>
      </c>
      <c r="AV353" s="116">
        <f t="shared" si="26"/>
        <v>31300435</v>
      </c>
      <c r="BC353" s="1">
        <v>256108</v>
      </c>
      <c r="BD353" s="1">
        <v>1748583</v>
      </c>
      <c r="BE353" s="1">
        <v>248432</v>
      </c>
      <c r="BF353" s="121">
        <f t="shared" si="27"/>
        <v>2253123</v>
      </c>
      <c r="BG353" s="1">
        <v>401533</v>
      </c>
      <c r="BI353" s="1">
        <v>170879</v>
      </c>
      <c r="BO353" s="1">
        <v>39559</v>
      </c>
      <c r="BW353" s="1">
        <v>5241</v>
      </c>
      <c r="BY353" s="1">
        <v>186712</v>
      </c>
      <c r="CB353" s="1">
        <v>3201872</v>
      </c>
      <c r="CC353" s="125">
        <f t="shared" si="28"/>
        <v>4005796</v>
      </c>
      <c r="CK353" s="124">
        <f t="shared" si="29"/>
        <v>0</v>
      </c>
      <c r="CV353" s="129">
        <v>2750918</v>
      </c>
    </row>
    <row r="354" spans="1:100" ht="12.75" customHeight="1">
      <c r="A354" s="1">
        <v>23</v>
      </c>
      <c r="B354" s="1">
        <v>4910</v>
      </c>
      <c r="C354" s="1" t="s">
        <v>937</v>
      </c>
      <c r="D354" s="5" t="s">
        <v>959</v>
      </c>
      <c r="E354" t="s">
        <v>202</v>
      </c>
      <c r="F354" s="26">
        <v>3799</v>
      </c>
      <c r="G354" s="78">
        <v>38070174</v>
      </c>
      <c r="H354" s="78">
        <v>522741</v>
      </c>
      <c r="L354" s="1">
        <v>1751</v>
      </c>
      <c r="M354" s="1">
        <v>917169</v>
      </c>
      <c r="O354" s="117">
        <f t="shared" si="25"/>
        <v>39511835</v>
      </c>
      <c r="P354" s="78">
        <v>4585704</v>
      </c>
      <c r="V354" s="1">
        <v>584735</v>
      </c>
      <c r="W354" s="1">
        <v>1961944</v>
      </c>
      <c r="X354" s="1">
        <v>90924</v>
      </c>
      <c r="AC354" s="1">
        <v>148502</v>
      </c>
      <c r="AD354" s="1">
        <v>432736</v>
      </c>
      <c r="AE354" s="1">
        <v>237249</v>
      </c>
      <c r="AF354" s="1">
        <v>217728</v>
      </c>
      <c r="AG354" s="1">
        <v>3728366</v>
      </c>
      <c r="AH354" s="1">
        <v>1772421</v>
      </c>
      <c r="AM354" s="1">
        <v>154389</v>
      </c>
      <c r="AO354" s="1">
        <v>97863</v>
      </c>
      <c r="AP354" s="1">
        <v>59846</v>
      </c>
      <c r="AU354" s="1">
        <v>304243</v>
      </c>
      <c r="AV354" s="116">
        <f t="shared" si="26"/>
        <v>14376650</v>
      </c>
      <c r="BC354" s="1">
        <v>259485</v>
      </c>
      <c r="BD354" s="1">
        <v>803403</v>
      </c>
      <c r="BE354" s="1">
        <v>129717</v>
      </c>
      <c r="BF354" s="121">
        <f t="shared" si="27"/>
        <v>1192605</v>
      </c>
      <c r="BG354" s="1">
        <v>190000</v>
      </c>
      <c r="BH354" s="1">
        <v>26123</v>
      </c>
      <c r="BI354" s="1">
        <v>5300</v>
      </c>
      <c r="CC354" s="125">
        <f t="shared" si="28"/>
        <v>221423</v>
      </c>
      <c r="CK354" s="124">
        <f t="shared" si="29"/>
        <v>0</v>
      </c>
      <c r="CV354" s="129">
        <v>1750851</v>
      </c>
    </row>
    <row r="355" spans="1:100" ht="12.75" customHeight="1">
      <c r="A355" s="1">
        <v>23</v>
      </c>
      <c r="B355" s="1">
        <v>4920</v>
      </c>
      <c r="C355" s="1" t="s">
        <v>937</v>
      </c>
      <c r="D355" s="5" t="s">
        <v>960</v>
      </c>
      <c r="E355" t="s">
        <v>203</v>
      </c>
      <c r="F355" s="26">
        <v>2145.5</v>
      </c>
      <c r="G355" s="78">
        <v>11306839</v>
      </c>
      <c r="H355" s="78">
        <v>407520</v>
      </c>
      <c r="M355" s="1">
        <v>1528212</v>
      </c>
      <c r="O355" s="117">
        <f t="shared" si="25"/>
        <v>13242571</v>
      </c>
      <c r="P355" s="78">
        <v>5472984</v>
      </c>
      <c r="V355" s="1">
        <v>248820</v>
      </c>
      <c r="W355" s="1">
        <v>1612805</v>
      </c>
      <c r="X355" s="1">
        <v>209700</v>
      </c>
      <c r="AC355" s="1">
        <v>48858</v>
      </c>
      <c r="AD355" s="1">
        <v>254213</v>
      </c>
      <c r="AE355" s="1">
        <v>238398</v>
      </c>
      <c r="AF355" s="1">
        <v>15212</v>
      </c>
      <c r="AG355" s="1">
        <v>1884155</v>
      </c>
      <c r="AH355" s="1">
        <v>809514</v>
      </c>
      <c r="AJ355" s="1">
        <v>12357</v>
      </c>
      <c r="AM355" s="1">
        <v>435457</v>
      </c>
      <c r="AO355" s="1">
        <v>155906</v>
      </c>
      <c r="AP355" s="1">
        <v>525978</v>
      </c>
      <c r="AU355" s="1">
        <v>284260</v>
      </c>
      <c r="AV355" s="116">
        <f t="shared" si="26"/>
        <v>12208617</v>
      </c>
      <c r="AW355" s="1">
        <v>3037</v>
      </c>
      <c r="BC355" s="1">
        <v>415607</v>
      </c>
      <c r="BD355" s="1">
        <v>511704</v>
      </c>
      <c r="BE355" s="1">
        <v>122123</v>
      </c>
      <c r="BF355" s="121">
        <f t="shared" si="27"/>
        <v>1052471</v>
      </c>
      <c r="CC355" s="125">
        <f t="shared" si="28"/>
        <v>0</v>
      </c>
      <c r="CK355" s="124">
        <f t="shared" si="29"/>
        <v>0</v>
      </c>
      <c r="CR355" s="23">
        <v>47411</v>
      </c>
      <c r="CV355" s="129">
        <v>1984825</v>
      </c>
    </row>
    <row r="356" spans="1:100" ht="12.75" customHeight="1">
      <c r="A356" s="1">
        <v>23</v>
      </c>
      <c r="B356" s="1">
        <v>4970</v>
      </c>
      <c r="C356" s="1" t="s">
        <v>937</v>
      </c>
      <c r="D356" s="5" t="s">
        <v>961</v>
      </c>
      <c r="E356" t="s">
        <v>204</v>
      </c>
      <c r="F356" s="26">
        <v>1764.5</v>
      </c>
      <c r="G356" s="78">
        <v>9401560</v>
      </c>
      <c r="L356" s="1">
        <v>13911</v>
      </c>
      <c r="M356" s="1">
        <v>1251937</v>
      </c>
      <c r="O356" s="117">
        <f t="shared" si="25"/>
        <v>10667408</v>
      </c>
      <c r="P356" s="78">
        <v>2149419</v>
      </c>
      <c r="Q356" s="78">
        <v>245175</v>
      </c>
      <c r="V356" s="1">
        <v>113081</v>
      </c>
      <c r="W356" s="1">
        <v>1330731</v>
      </c>
      <c r="X356" s="1">
        <v>10512</v>
      </c>
      <c r="AC356" s="1">
        <v>15255</v>
      </c>
      <c r="AD356" s="1">
        <v>124313</v>
      </c>
      <c r="AE356" s="1">
        <v>119197</v>
      </c>
      <c r="AF356" s="1">
        <v>2900</v>
      </c>
      <c r="AG356" s="1">
        <v>1332991</v>
      </c>
      <c r="AH356" s="1">
        <v>738339</v>
      </c>
      <c r="AP356" s="1">
        <v>109334</v>
      </c>
      <c r="AU356" s="1">
        <v>280360</v>
      </c>
      <c r="AV356" s="116">
        <f t="shared" si="26"/>
        <v>6571607</v>
      </c>
      <c r="BB356" s="1">
        <v>104758</v>
      </c>
      <c r="BC356" s="1">
        <v>79901</v>
      </c>
      <c r="BD356" s="1">
        <v>346286</v>
      </c>
      <c r="BE356" s="1">
        <v>36083</v>
      </c>
      <c r="BF356" s="121">
        <f t="shared" si="27"/>
        <v>567028</v>
      </c>
      <c r="BP356" s="1">
        <v>206854</v>
      </c>
      <c r="CA356" s="1">
        <v>2614</v>
      </c>
      <c r="CC356" s="125">
        <f t="shared" si="28"/>
        <v>209468</v>
      </c>
      <c r="CD356" s="1">
        <v>7158656</v>
      </c>
      <c r="CK356" s="124">
        <f t="shared" si="29"/>
        <v>7158656</v>
      </c>
      <c r="CV356" s="129">
        <v>861299</v>
      </c>
    </row>
    <row r="357" spans="1:100" ht="12.75" customHeight="1">
      <c r="A357" s="1">
        <v>23</v>
      </c>
      <c r="B357" s="1">
        <v>5850</v>
      </c>
      <c r="C357" s="1" t="s">
        <v>937</v>
      </c>
      <c r="D357" s="5" t="s">
        <v>962</v>
      </c>
      <c r="E357" t="s">
        <v>205</v>
      </c>
      <c r="F357" s="26">
        <v>13430.5</v>
      </c>
      <c r="G357" s="78">
        <v>136147485</v>
      </c>
      <c r="H357" s="78">
        <v>1770391</v>
      </c>
      <c r="L357" s="1">
        <v>54071</v>
      </c>
      <c r="M357" s="1">
        <v>4225318</v>
      </c>
      <c r="O357" s="117">
        <f t="shared" si="25"/>
        <v>142197265</v>
      </c>
      <c r="P357" s="78">
        <v>897652</v>
      </c>
      <c r="V357" s="1">
        <v>3652392</v>
      </c>
      <c r="W357" s="1">
        <v>10114802</v>
      </c>
      <c r="X357" s="1">
        <v>320986</v>
      </c>
      <c r="Z357" s="1">
        <v>209318</v>
      </c>
      <c r="AC357" s="1">
        <v>628611</v>
      </c>
      <c r="AD357" s="1">
        <v>1483634</v>
      </c>
      <c r="AE357" s="1">
        <v>529309</v>
      </c>
      <c r="AF357" s="1">
        <v>1157211</v>
      </c>
      <c r="AG357" s="1">
        <v>13032485</v>
      </c>
      <c r="AH357" s="1">
        <v>6081779</v>
      </c>
      <c r="AJ357" s="1">
        <v>38842</v>
      </c>
      <c r="AM357" s="1">
        <v>438082</v>
      </c>
      <c r="AO357" s="1">
        <v>469347</v>
      </c>
      <c r="AP357" s="1">
        <v>67014</v>
      </c>
      <c r="AU357" s="1">
        <v>921499</v>
      </c>
      <c r="AV357" s="116">
        <f t="shared" si="26"/>
        <v>40042963</v>
      </c>
      <c r="AW357" s="1">
        <v>37806</v>
      </c>
      <c r="BB357" s="1">
        <v>62963</v>
      </c>
      <c r="BC357" s="1">
        <v>586223</v>
      </c>
      <c r="BD357" s="1">
        <v>2992811</v>
      </c>
      <c r="BE357" s="1">
        <v>553250</v>
      </c>
      <c r="BF357" s="121">
        <f t="shared" si="27"/>
        <v>4233053</v>
      </c>
      <c r="BG357" s="1">
        <v>175994</v>
      </c>
      <c r="CC357" s="125">
        <f t="shared" si="28"/>
        <v>175994</v>
      </c>
      <c r="CK357" s="124">
        <f t="shared" si="29"/>
        <v>0</v>
      </c>
      <c r="CV357" s="129">
        <v>6117088</v>
      </c>
    </row>
    <row r="358" spans="1:100" ht="12.75" customHeight="1">
      <c r="A358" s="1">
        <v>25</v>
      </c>
      <c r="B358" s="1">
        <v>50</v>
      </c>
      <c r="C358" s="1" t="s">
        <v>963</v>
      </c>
      <c r="D358" s="5" t="s">
        <v>964</v>
      </c>
      <c r="E358"/>
      <c r="F358" s="26"/>
      <c r="G358" s="78">
        <v>288200</v>
      </c>
      <c r="H358" s="78">
        <v>15672</v>
      </c>
      <c r="O358" s="117">
        <f t="shared" si="25"/>
        <v>303872</v>
      </c>
      <c r="V358" s="1">
        <v>34027</v>
      </c>
      <c r="W358" s="1">
        <v>14277</v>
      </c>
      <c r="Y358" s="78">
        <v>1510</v>
      </c>
      <c r="AD358" s="1">
        <v>1317</v>
      </c>
      <c r="AF358" s="1">
        <v>5742</v>
      </c>
      <c r="AG358" s="1">
        <v>1079</v>
      </c>
      <c r="AH358" s="1">
        <v>1095</v>
      </c>
      <c r="AV358" s="116">
        <f t="shared" si="26"/>
        <v>59047</v>
      </c>
      <c r="BF358" s="121">
        <f t="shared" si="27"/>
        <v>0</v>
      </c>
      <c r="BI358" s="1">
        <v>4409</v>
      </c>
      <c r="CC358" s="125">
        <f t="shared" si="28"/>
        <v>4409</v>
      </c>
      <c r="CK358" s="124">
        <f t="shared" si="29"/>
        <v>0</v>
      </c>
    </row>
    <row r="359" spans="1:100" ht="12.75" customHeight="1">
      <c r="A359" s="1">
        <v>25</v>
      </c>
      <c r="B359" s="1">
        <v>100</v>
      </c>
      <c r="C359" s="1" t="s">
        <v>963</v>
      </c>
      <c r="D359" s="5" t="s">
        <v>965</v>
      </c>
      <c r="E359" t="s">
        <v>206</v>
      </c>
      <c r="F359" s="26">
        <v>2362.5</v>
      </c>
      <c r="G359" s="78">
        <v>5449899</v>
      </c>
      <c r="H359" s="78">
        <v>371620</v>
      </c>
      <c r="L359" s="1">
        <v>5666</v>
      </c>
      <c r="M359" s="1">
        <v>266642</v>
      </c>
      <c r="O359" s="117">
        <f t="shared" si="25"/>
        <v>6093827</v>
      </c>
      <c r="P359" s="78">
        <v>26194617</v>
      </c>
      <c r="Q359" s="78">
        <v>1256722</v>
      </c>
      <c r="S359" s="25">
        <v>20035703</v>
      </c>
      <c r="V359" s="1">
        <v>498157</v>
      </c>
      <c r="W359" s="1">
        <v>4776450</v>
      </c>
      <c r="X359" s="1">
        <v>172720</v>
      </c>
      <c r="AC359" s="1">
        <v>127289</v>
      </c>
      <c r="AD359" s="1">
        <v>388848</v>
      </c>
      <c r="AF359" s="1">
        <v>10679</v>
      </c>
      <c r="AG359" s="1">
        <v>4100182</v>
      </c>
      <c r="AH359" s="1">
        <v>2092231</v>
      </c>
      <c r="AM359" s="1">
        <v>1644068</v>
      </c>
      <c r="AP359" s="1">
        <v>1234820</v>
      </c>
      <c r="AU359" s="1">
        <v>483214</v>
      </c>
      <c r="AV359" s="116">
        <f t="shared" si="26"/>
        <v>63015700</v>
      </c>
      <c r="AW359" s="1">
        <v>140104</v>
      </c>
      <c r="BC359" s="1">
        <v>2646298</v>
      </c>
      <c r="BD359" s="1">
        <v>796797</v>
      </c>
      <c r="BE359" s="1">
        <v>913727</v>
      </c>
      <c r="BF359" s="121">
        <f t="shared" si="27"/>
        <v>4496926</v>
      </c>
      <c r="BI359" s="1">
        <v>188907</v>
      </c>
      <c r="BX359" s="1">
        <v>47927</v>
      </c>
      <c r="BY359" s="1">
        <v>547</v>
      </c>
      <c r="CC359" s="125">
        <f t="shared" si="28"/>
        <v>237381</v>
      </c>
      <c r="CK359" s="124">
        <f t="shared" si="29"/>
        <v>0</v>
      </c>
      <c r="CR359" s="23">
        <v>63314</v>
      </c>
      <c r="CT359" s="23">
        <v>6937573</v>
      </c>
      <c r="CV359" s="129">
        <v>13490657</v>
      </c>
    </row>
    <row r="360" spans="1:100" ht="12.75" customHeight="1">
      <c r="A360" s="1">
        <v>25</v>
      </c>
      <c r="B360" s="1">
        <v>130</v>
      </c>
      <c r="C360" s="1" t="s">
        <v>963</v>
      </c>
      <c r="D360" s="5" t="s">
        <v>966</v>
      </c>
      <c r="E360" t="s">
        <v>207</v>
      </c>
      <c r="F360" s="26">
        <v>293</v>
      </c>
      <c r="G360" s="78">
        <v>3610775</v>
      </c>
      <c r="H360" s="78">
        <v>11748</v>
      </c>
      <c r="M360" s="1">
        <v>320920</v>
      </c>
      <c r="O360" s="117">
        <f t="shared" si="25"/>
        <v>3943443</v>
      </c>
      <c r="W360" s="1">
        <v>236401</v>
      </c>
      <c r="AC360" s="1">
        <v>17317</v>
      </c>
      <c r="AD360" s="1">
        <v>33026</v>
      </c>
      <c r="AE360" s="1">
        <v>8623</v>
      </c>
      <c r="AF360" s="1">
        <v>2784</v>
      </c>
      <c r="AG360" s="1">
        <v>297702</v>
      </c>
      <c r="AH360" s="1">
        <v>185929</v>
      </c>
      <c r="AO360" s="1">
        <v>17991</v>
      </c>
      <c r="AU360" s="1">
        <v>91669</v>
      </c>
      <c r="AV360" s="116">
        <f t="shared" si="26"/>
        <v>891442</v>
      </c>
      <c r="BC360" s="1">
        <v>28187</v>
      </c>
      <c r="BD360" s="1">
        <v>72431</v>
      </c>
      <c r="BE360" s="1">
        <v>13451</v>
      </c>
      <c r="BF360" s="121">
        <f t="shared" si="27"/>
        <v>114069</v>
      </c>
      <c r="BJ360" s="1">
        <v>47250</v>
      </c>
      <c r="BP360" s="1">
        <v>34030</v>
      </c>
      <c r="CC360" s="125">
        <f t="shared" si="28"/>
        <v>81280</v>
      </c>
      <c r="CK360" s="124">
        <f t="shared" si="29"/>
        <v>0</v>
      </c>
      <c r="CV360" s="129">
        <v>223729</v>
      </c>
    </row>
    <row r="361" spans="1:100" ht="12.75" customHeight="1">
      <c r="A361" s="1">
        <v>25</v>
      </c>
      <c r="B361" s="1">
        <v>180</v>
      </c>
      <c r="C361" s="1" t="s">
        <v>963</v>
      </c>
      <c r="D361" s="5" t="s">
        <v>967</v>
      </c>
      <c r="E361" t="s">
        <v>208</v>
      </c>
      <c r="F361" s="26">
        <v>140</v>
      </c>
      <c r="G361" s="78">
        <v>2627353</v>
      </c>
      <c r="H361" s="78">
        <v>11213</v>
      </c>
      <c r="M361" s="1">
        <v>310955</v>
      </c>
      <c r="O361" s="117">
        <f t="shared" si="25"/>
        <v>2949521</v>
      </c>
      <c r="V361" s="1">
        <v>58697</v>
      </c>
      <c r="W361" s="1">
        <v>92712</v>
      </c>
      <c r="X361" s="1">
        <v>2318</v>
      </c>
      <c r="Y361" s="78">
        <v>68398</v>
      </c>
      <c r="AC361" s="1">
        <v>41846</v>
      </c>
      <c r="AD361" s="1">
        <v>14702</v>
      </c>
      <c r="AE361" s="1">
        <v>7105</v>
      </c>
      <c r="AG361" s="1">
        <v>203071</v>
      </c>
      <c r="AH361" s="1">
        <v>76502</v>
      </c>
      <c r="AU361" s="1">
        <v>617</v>
      </c>
      <c r="AV361" s="116">
        <f t="shared" si="26"/>
        <v>565968</v>
      </c>
      <c r="BD361" s="1">
        <v>44153</v>
      </c>
      <c r="BE361" s="1">
        <v>2604</v>
      </c>
      <c r="BF361" s="121">
        <f t="shared" si="27"/>
        <v>46757</v>
      </c>
      <c r="BI361" s="1">
        <v>61405</v>
      </c>
      <c r="BN361" s="1">
        <v>5475</v>
      </c>
      <c r="BO361" s="1">
        <v>390</v>
      </c>
      <c r="CC361" s="125">
        <f t="shared" si="28"/>
        <v>67270</v>
      </c>
      <c r="CK361" s="124">
        <f t="shared" si="29"/>
        <v>0</v>
      </c>
      <c r="CV361" s="129">
        <v>47374</v>
      </c>
    </row>
    <row r="362" spans="1:100" ht="12.75" customHeight="1">
      <c r="A362" s="1">
        <v>25</v>
      </c>
      <c r="B362" s="1">
        <v>225</v>
      </c>
      <c r="C362" s="1" t="s">
        <v>963</v>
      </c>
      <c r="D362" s="5" t="s">
        <v>968</v>
      </c>
      <c r="E362" t="s">
        <v>209</v>
      </c>
      <c r="F362" s="26">
        <v>43</v>
      </c>
      <c r="H362" s="78">
        <v>45541</v>
      </c>
      <c r="L362" s="1">
        <v>10520</v>
      </c>
      <c r="O362" s="117">
        <f t="shared" si="25"/>
        <v>56061</v>
      </c>
      <c r="AG362" s="1">
        <v>49359</v>
      </c>
      <c r="AH362" s="1">
        <v>46974</v>
      </c>
      <c r="AU362" s="1">
        <v>4069</v>
      </c>
      <c r="AV362" s="116">
        <f t="shared" si="26"/>
        <v>100402</v>
      </c>
      <c r="BF362" s="121">
        <f t="shared" si="27"/>
        <v>0</v>
      </c>
      <c r="CC362" s="125">
        <f t="shared" si="28"/>
        <v>0</v>
      </c>
      <c r="CD362" s="1">
        <v>1702353</v>
      </c>
      <c r="CK362" s="124">
        <f t="shared" si="29"/>
        <v>1702353</v>
      </c>
      <c r="CV362" s="129">
        <v>14589</v>
      </c>
    </row>
    <row r="363" spans="1:100" ht="12.75" customHeight="1">
      <c r="A363" s="1">
        <v>25</v>
      </c>
      <c r="B363" s="1">
        <v>270</v>
      </c>
      <c r="C363" s="1" t="s">
        <v>963</v>
      </c>
      <c r="D363" s="5" t="s">
        <v>969</v>
      </c>
      <c r="E363" t="s">
        <v>210</v>
      </c>
      <c r="F363" s="26">
        <v>534</v>
      </c>
      <c r="G363" s="78">
        <v>6454116</v>
      </c>
      <c r="H363" s="78">
        <v>36128</v>
      </c>
      <c r="L363" s="1">
        <v>689</v>
      </c>
      <c r="M363" s="1">
        <v>356402</v>
      </c>
      <c r="O363" s="117">
        <f t="shared" si="25"/>
        <v>6847335</v>
      </c>
      <c r="V363" s="1">
        <v>99347</v>
      </c>
      <c r="W363" s="1">
        <v>499820</v>
      </c>
      <c r="X363" s="1">
        <v>32560</v>
      </c>
      <c r="AC363" s="1">
        <v>33377</v>
      </c>
      <c r="AD363" s="1">
        <v>56396</v>
      </c>
      <c r="AE363" s="1">
        <v>33390</v>
      </c>
      <c r="AF363" s="1">
        <v>41536</v>
      </c>
      <c r="AG363" s="1">
        <v>549607</v>
      </c>
      <c r="AH363" s="1">
        <v>251384</v>
      </c>
      <c r="AM363" s="1">
        <v>163050</v>
      </c>
      <c r="AU363" s="1">
        <v>441329</v>
      </c>
      <c r="AV363" s="116">
        <f t="shared" si="26"/>
        <v>2201796</v>
      </c>
      <c r="AW363" s="1">
        <v>4001</v>
      </c>
      <c r="BC363" s="1">
        <v>187063</v>
      </c>
      <c r="BD363" s="1">
        <v>281178</v>
      </c>
      <c r="BE363" s="1">
        <v>72051</v>
      </c>
      <c r="BF363" s="121">
        <f t="shared" si="27"/>
        <v>544293</v>
      </c>
      <c r="BP363" s="1">
        <v>34740</v>
      </c>
      <c r="BX363" s="1">
        <v>21022</v>
      </c>
      <c r="CA363" s="1">
        <v>21022</v>
      </c>
      <c r="CC363" s="125">
        <f t="shared" si="28"/>
        <v>76784</v>
      </c>
      <c r="CD363" s="1">
        <v>1635091</v>
      </c>
      <c r="CK363" s="124">
        <f t="shared" si="29"/>
        <v>1635091</v>
      </c>
      <c r="CT363" s="23">
        <v>261826</v>
      </c>
      <c r="CV363" s="129">
        <v>1407186</v>
      </c>
    </row>
    <row r="364" spans="1:100" ht="12.75" customHeight="1">
      <c r="A364" s="1">
        <v>25</v>
      </c>
      <c r="B364" s="1">
        <v>500</v>
      </c>
      <c r="C364" s="1" t="s">
        <v>963</v>
      </c>
      <c r="D364" s="5" t="s">
        <v>970</v>
      </c>
      <c r="E364" t="s">
        <v>211</v>
      </c>
      <c r="F364" s="26">
        <v>264</v>
      </c>
      <c r="G364" s="78">
        <v>4952662</v>
      </c>
      <c r="H364" s="78">
        <v>131146</v>
      </c>
      <c r="M364" s="1">
        <v>118935</v>
      </c>
      <c r="O364" s="117">
        <f t="shared" si="25"/>
        <v>5202743</v>
      </c>
      <c r="V364" s="1">
        <v>88213</v>
      </c>
      <c r="W364" s="1">
        <v>488271</v>
      </c>
      <c r="X364" s="1">
        <v>58094</v>
      </c>
      <c r="AC364" s="1">
        <v>3618</v>
      </c>
      <c r="AD364" s="1">
        <v>42132</v>
      </c>
      <c r="AE364" s="1">
        <v>31707</v>
      </c>
      <c r="AF364" s="1">
        <v>29491</v>
      </c>
      <c r="AG364" s="1">
        <v>428580</v>
      </c>
      <c r="AH364" s="1">
        <v>175717</v>
      </c>
      <c r="AM364" s="1">
        <v>110442</v>
      </c>
      <c r="AV364" s="116">
        <f t="shared" si="26"/>
        <v>1456265</v>
      </c>
      <c r="BC364" s="1">
        <v>144932</v>
      </c>
      <c r="BD364" s="1">
        <v>135623</v>
      </c>
      <c r="BE364" s="1">
        <v>60551</v>
      </c>
      <c r="BF364" s="121">
        <f t="shared" si="27"/>
        <v>341106</v>
      </c>
      <c r="BO364" s="1">
        <v>1000</v>
      </c>
      <c r="CC364" s="125">
        <f t="shared" si="28"/>
        <v>1000</v>
      </c>
      <c r="CK364" s="124">
        <f t="shared" si="29"/>
        <v>0</v>
      </c>
      <c r="CT364" s="23">
        <v>265634</v>
      </c>
      <c r="CV364" s="129">
        <v>717182</v>
      </c>
    </row>
    <row r="365" spans="1:100" ht="12.75" customHeight="1">
      <c r="A365" s="1">
        <v>25</v>
      </c>
      <c r="B365" s="1">
        <v>560</v>
      </c>
      <c r="C365" s="1" t="s">
        <v>963</v>
      </c>
      <c r="D365" s="5" t="s">
        <v>971</v>
      </c>
      <c r="E365" t="s">
        <v>212</v>
      </c>
      <c r="F365" s="26">
        <v>704</v>
      </c>
      <c r="G365" s="78">
        <v>8959586</v>
      </c>
      <c r="H365" s="78">
        <v>76319</v>
      </c>
      <c r="M365" s="1">
        <v>648279</v>
      </c>
      <c r="O365" s="117">
        <f t="shared" si="25"/>
        <v>9684184</v>
      </c>
      <c r="V365" s="1">
        <v>40886</v>
      </c>
      <c r="W365" s="1">
        <v>348563</v>
      </c>
      <c r="AC365" s="1">
        <v>49327</v>
      </c>
      <c r="AD365" s="1">
        <v>95676</v>
      </c>
      <c r="AE365" s="1">
        <v>14554</v>
      </c>
      <c r="AF365" s="1">
        <v>79176</v>
      </c>
      <c r="AG365" s="1">
        <v>468813</v>
      </c>
      <c r="AH365" s="1">
        <v>278812</v>
      </c>
      <c r="AU365" s="1">
        <v>219</v>
      </c>
      <c r="AV365" s="116">
        <f t="shared" si="26"/>
        <v>1376026</v>
      </c>
      <c r="BC365" s="1">
        <v>15777</v>
      </c>
      <c r="BD365" s="1">
        <v>154902</v>
      </c>
      <c r="BE365" s="1">
        <v>14741</v>
      </c>
      <c r="BF365" s="121">
        <f t="shared" si="27"/>
        <v>185420</v>
      </c>
      <c r="BG365" s="1">
        <v>66359</v>
      </c>
      <c r="BH365" s="1">
        <v>1375</v>
      </c>
      <c r="BI365" s="1">
        <v>12375</v>
      </c>
      <c r="CC365" s="125">
        <f t="shared" si="28"/>
        <v>80109</v>
      </c>
      <c r="CK365" s="124">
        <f t="shared" si="29"/>
        <v>0</v>
      </c>
      <c r="CV365" s="129">
        <v>185639</v>
      </c>
    </row>
    <row r="366" spans="1:100" ht="12.75" customHeight="1">
      <c r="A366" s="1">
        <v>25</v>
      </c>
      <c r="B366" s="1">
        <v>945</v>
      </c>
      <c r="C366" s="1" t="s">
        <v>963</v>
      </c>
      <c r="D366" s="5" t="s">
        <v>972</v>
      </c>
      <c r="E366" t="s">
        <v>213</v>
      </c>
      <c r="F366" s="26">
        <v>1561</v>
      </c>
      <c r="G366" s="78">
        <v>17262282</v>
      </c>
      <c r="H366" s="78">
        <v>50978</v>
      </c>
      <c r="L366" s="1">
        <v>25000</v>
      </c>
      <c r="M366" s="1">
        <v>1504018</v>
      </c>
      <c r="O366" s="117">
        <f t="shared" si="25"/>
        <v>18842278</v>
      </c>
      <c r="W366" s="1">
        <v>1283828</v>
      </c>
      <c r="X366" s="1">
        <v>1150</v>
      </c>
      <c r="AC366" s="1">
        <v>95774</v>
      </c>
      <c r="AD366" s="1">
        <v>107494</v>
      </c>
      <c r="AE366" s="1">
        <v>41774</v>
      </c>
      <c r="AF366" s="1">
        <v>19409</v>
      </c>
      <c r="AG366" s="1">
        <v>1212964</v>
      </c>
      <c r="AH366" s="1">
        <v>677783</v>
      </c>
      <c r="AP366" s="1">
        <v>158868</v>
      </c>
      <c r="AV366" s="116">
        <f t="shared" si="26"/>
        <v>3599044</v>
      </c>
      <c r="BA366" s="1">
        <v>1173679</v>
      </c>
      <c r="BD366" s="1">
        <v>240740</v>
      </c>
      <c r="BE366" s="1">
        <v>34335</v>
      </c>
      <c r="BF366" s="121">
        <f t="shared" si="27"/>
        <v>1448754</v>
      </c>
      <c r="BO366" s="1">
        <v>139756</v>
      </c>
      <c r="BZ366" s="1">
        <v>220</v>
      </c>
      <c r="CA366" s="1">
        <v>11787</v>
      </c>
      <c r="CB366" s="1">
        <v>4650</v>
      </c>
      <c r="CC366" s="125">
        <f t="shared" si="28"/>
        <v>156413</v>
      </c>
      <c r="CK366" s="124">
        <f t="shared" si="29"/>
        <v>0</v>
      </c>
      <c r="CV366" s="129">
        <v>300075</v>
      </c>
    </row>
    <row r="367" spans="1:100" ht="12.75" customHeight="1">
      <c r="A367" s="1">
        <v>25</v>
      </c>
      <c r="B367" s="1">
        <v>1000</v>
      </c>
      <c r="C367" s="1" t="s">
        <v>963</v>
      </c>
      <c r="D367" s="5" t="s">
        <v>973</v>
      </c>
      <c r="E367" t="s">
        <v>214</v>
      </c>
      <c r="F367" s="26">
        <v>116</v>
      </c>
      <c r="G367" s="78">
        <v>1657388</v>
      </c>
      <c r="H367" s="78">
        <v>142225</v>
      </c>
      <c r="O367" s="117">
        <f t="shared" si="25"/>
        <v>1799613</v>
      </c>
      <c r="V367" s="1">
        <v>58843</v>
      </c>
      <c r="W367" s="1">
        <v>21574</v>
      </c>
      <c r="X367" s="1">
        <v>9272</v>
      </c>
      <c r="Y367" s="78">
        <v>38890</v>
      </c>
      <c r="AC367" s="1">
        <v>7468</v>
      </c>
      <c r="AD367" s="1">
        <v>3840</v>
      </c>
      <c r="AE367" s="1">
        <v>3973</v>
      </c>
      <c r="AF367" s="1">
        <v>7980</v>
      </c>
      <c r="AG367" s="1">
        <v>147526</v>
      </c>
      <c r="AH367" s="1">
        <v>62985</v>
      </c>
      <c r="AU367" s="1">
        <v>2</v>
      </c>
      <c r="AV367" s="116">
        <f t="shared" si="26"/>
        <v>362353</v>
      </c>
      <c r="BD367" s="1">
        <v>19897</v>
      </c>
      <c r="BE367" s="1">
        <v>687</v>
      </c>
      <c r="BF367" s="121">
        <f t="shared" si="27"/>
        <v>20584</v>
      </c>
      <c r="BI367" s="1">
        <v>392417</v>
      </c>
      <c r="BO367" s="1">
        <v>6025</v>
      </c>
      <c r="CC367" s="125">
        <f t="shared" si="28"/>
        <v>398442</v>
      </c>
      <c r="CK367" s="124">
        <f t="shared" si="29"/>
        <v>0</v>
      </c>
      <c r="CV367" s="129">
        <v>20586</v>
      </c>
    </row>
    <row r="368" spans="1:100" ht="12.75" customHeight="1">
      <c r="A368" s="1">
        <v>25</v>
      </c>
      <c r="B368" s="1">
        <v>1260</v>
      </c>
      <c r="C368" s="1" t="s">
        <v>963</v>
      </c>
      <c r="D368" s="5" t="s">
        <v>974</v>
      </c>
      <c r="E368" t="s">
        <v>215</v>
      </c>
      <c r="F368" s="26">
        <v>1173</v>
      </c>
      <c r="G368" s="78">
        <v>12689970</v>
      </c>
      <c r="H368" s="78">
        <v>547084</v>
      </c>
      <c r="L368" s="1">
        <v>34111</v>
      </c>
      <c r="O368" s="117">
        <f t="shared" si="25"/>
        <v>13271165</v>
      </c>
      <c r="V368" s="1">
        <v>301183</v>
      </c>
      <c r="W368" s="1">
        <v>972177</v>
      </c>
      <c r="X368" s="1">
        <v>35058</v>
      </c>
      <c r="Y368" s="78">
        <v>2381780</v>
      </c>
      <c r="AC368" s="1">
        <v>22258</v>
      </c>
      <c r="AD368" s="1">
        <v>126851</v>
      </c>
      <c r="AF368" s="1">
        <v>11097</v>
      </c>
      <c r="AG368" s="1">
        <v>1633615</v>
      </c>
      <c r="AH368" s="1">
        <v>639705</v>
      </c>
      <c r="AL368" s="1">
        <v>64788</v>
      </c>
      <c r="AO368" s="1">
        <v>67182</v>
      </c>
      <c r="AU368" s="1">
        <v>151784</v>
      </c>
      <c r="AV368" s="116">
        <f t="shared" si="26"/>
        <v>6407478</v>
      </c>
      <c r="BA368" s="1">
        <v>332415</v>
      </c>
      <c r="BC368" s="1">
        <v>191550</v>
      </c>
      <c r="BD368" s="1">
        <v>362460</v>
      </c>
      <c r="BE368" s="1">
        <v>72812</v>
      </c>
      <c r="BF368" s="121">
        <f t="shared" si="27"/>
        <v>959237</v>
      </c>
      <c r="BH368" s="1">
        <v>412889</v>
      </c>
      <c r="BO368" s="1">
        <v>5857</v>
      </c>
      <c r="BX368" s="1">
        <v>400000</v>
      </c>
      <c r="CC368" s="125">
        <f t="shared" si="28"/>
        <v>818746</v>
      </c>
      <c r="CK368" s="124">
        <f t="shared" si="29"/>
        <v>0</v>
      </c>
      <c r="CM368" s="23">
        <v>29794000</v>
      </c>
      <c r="CV368" s="129">
        <v>944687</v>
      </c>
    </row>
    <row r="369" spans="1:100" ht="12.75" customHeight="1">
      <c r="A369" s="1">
        <v>25</v>
      </c>
      <c r="B369" s="1">
        <v>1440</v>
      </c>
      <c r="C369" s="1" t="s">
        <v>963</v>
      </c>
      <c r="D369" s="5" t="s">
        <v>975</v>
      </c>
      <c r="E369" t="s">
        <v>216</v>
      </c>
      <c r="F369" s="26">
        <v>991</v>
      </c>
      <c r="G369" s="78">
        <v>9617771</v>
      </c>
      <c r="H369" s="78">
        <v>143226</v>
      </c>
      <c r="M369" s="1">
        <v>984445</v>
      </c>
      <c r="O369" s="117">
        <f t="shared" si="25"/>
        <v>10745442</v>
      </c>
      <c r="V369" s="1">
        <v>32936</v>
      </c>
      <c r="W369" s="1">
        <v>514709</v>
      </c>
      <c r="Y369" s="78">
        <v>17940</v>
      </c>
      <c r="AC369" s="1">
        <v>12848</v>
      </c>
      <c r="AD369" s="1">
        <v>65013</v>
      </c>
      <c r="AE369" s="1">
        <v>18918</v>
      </c>
      <c r="AF369" s="1">
        <v>3171</v>
      </c>
      <c r="AG369" s="1">
        <v>866124</v>
      </c>
      <c r="AH369" s="1">
        <v>391894</v>
      </c>
      <c r="AP369" s="1">
        <v>2340</v>
      </c>
      <c r="AV369" s="116">
        <f t="shared" si="26"/>
        <v>1925893</v>
      </c>
      <c r="BD369" s="1">
        <v>186799</v>
      </c>
      <c r="BE369" s="1">
        <v>24099</v>
      </c>
      <c r="BF369" s="121">
        <f t="shared" si="27"/>
        <v>210898</v>
      </c>
      <c r="BH369" s="1">
        <v>25973</v>
      </c>
      <c r="BO369" s="1">
        <v>15</v>
      </c>
      <c r="CA369" s="1">
        <v>25973</v>
      </c>
      <c r="CC369" s="125">
        <f t="shared" si="28"/>
        <v>51961</v>
      </c>
      <c r="CD369" s="1">
        <v>105421</v>
      </c>
      <c r="CK369" s="124">
        <f t="shared" si="29"/>
        <v>105421</v>
      </c>
      <c r="CV369" s="129">
        <v>210898</v>
      </c>
    </row>
    <row r="370" spans="1:100" ht="12.75" customHeight="1">
      <c r="A370" s="1">
        <v>25</v>
      </c>
      <c r="B370" s="1">
        <v>1490</v>
      </c>
      <c r="C370" s="1" t="s">
        <v>963</v>
      </c>
      <c r="D370" s="5" t="s">
        <v>976</v>
      </c>
      <c r="E370" t="s">
        <v>217</v>
      </c>
      <c r="F370" s="26">
        <v>150</v>
      </c>
      <c r="G370" s="78">
        <v>1347216</v>
      </c>
      <c r="H370" s="78">
        <v>18210</v>
      </c>
      <c r="M370" s="1">
        <v>55652</v>
      </c>
      <c r="O370" s="117">
        <f t="shared" si="25"/>
        <v>1421078</v>
      </c>
      <c r="P370" s="78">
        <v>384505</v>
      </c>
      <c r="Q370" s="78">
        <v>48303</v>
      </c>
      <c r="V370" s="1">
        <v>4646</v>
      </c>
      <c r="W370" s="1">
        <v>73768</v>
      </c>
      <c r="X370" s="1">
        <v>3486</v>
      </c>
      <c r="Y370" s="78">
        <v>242896</v>
      </c>
      <c r="AC370" s="1">
        <v>7526</v>
      </c>
      <c r="AD370" s="1">
        <v>15269</v>
      </c>
      <c r="AE370" s="1">
        <v>15143</v>
      </c>
      <c r="AF370" s="1">
        <v>1210</v>
      </c>
      <c r="AG370" s="1">
        <v>188966</v>
      </c>
      <c r="AH370" s="1">
        <v>94709</v>
      </c>
      <c r="AP370" s="1">
        <v>24785</v>
      </c>
      <c r="AV370" s="116">
        <f t="shared" si="26"/>
        <v>1105212</v>
      </c>
      <c r="BC370" s="1">
        <v>12359</v>
      </c>
      <c r="BD370" s="1">
        <v>39799</v>
      </c>
      <c r="BE370" s="1">
        <v>8657</v>
      </c>
      <c r="BF370" s="121">
        <f t="shared" si="27"/>
        <v>60815</v>
      </c>
      <c r="BO370" s="1">
        <v>340</v>
      </c>
      <c r="CC370" s="125">
        <f t="shared" si="28"/>
        <v>340</v>
      </c>
      <c r="CK370" s="124">
        <f t="shared" si="29"/>
        <v>0</v>
      </c>
      <c r="CV370" s="129">
        <v>60815</v>
      </c>
    </row>
    <row r="371" spans="1:100" ht="12.75" customHeight="1">
      <c r="A371" s="1">
        <v>25</v>
      </c>
      <c r="B371" s="1">
        <v>1640</v>
      </c>
      <c r="C371" s="1" t="s">
        <v>963</v>
      </c>
      <c r="D371" s="5" t="s">
        <v>977</v>
      </c>
      <c r="E371" t="s">
        <v>218</v>
      </c>
      <c r="F371" s="26">
        <v>1359</v>
      </c>
      <c r="G371" s="78">
        <v>6998482</v>
      </c>
      <c r="H371" s="78">
        <v>139576</v>
      </c>
      <c r="L371" s="1">
        <v>30758</v>
      </c>
      <c r="M371" s="1">
        <v>631154</v>
      </c>
      <c r="O371" s="117">
        <f t="shared" si="25"/>
        <v>7799970</v>
      </c>
      <c r="P371" s="78">
        <v>2616944</v>
      </c>
      <c r="Q371" s="78">
        <v>432639</v>
      </c>
      <c r="V371" s="1">
        <v>54850</v>
      </c>
      <c r="W371" s="1">
        <v>1166048</v>
      </c>
      <c r="X371" s="1">
        <v>173708</v>
      </c>
      <c r="AC371" s="1">
        <v>50369</v>
      </c>
      <c r="AD371" s="1">
        <v>146586</v>
      </c>
      <c r="AE371" s="1">
        <v>183156</v>
      </c>
      <c r="AF371" s="1">
        <v>106348</v>
      </c>
      <c r="AG371" s="1">
        <v>1018954</v>
      </c>
      <c r="AH371" s="1">
        <v>549251</v>
      </c>
      <c r="AI371" s="1">
        <v>2924</v>
      </c>
      <c r="AM371" s="1">
        <v>546576</v>
      </c>
      <c r="AP371" s="1">
        <v>158923</v>
      </c>
      <c r="AU371" s="1">
        <v>192772</v>
      </c>
      <c r="AV371" s="116">
        <f t="shared" si="26"/>
        <v>7400048</v>
      </c>
      <c r="AW371" s="1">
        <v>21105</v>
      </c>
      <c r="BC371" s="1">
        <v>633867</v>
      </c>
      <c r="BD371" s="1">
        <v>398373</v>
      </c>
      <c r="BE371" s="1">
        <v>1276622</v>
      </c>
      <c r="BF371" s="121">
        <f t="shared" si="27"/>
        <v>2329967</v>
      </c>
      <c r="BI371" s="1">
        <v>3296</v>
      </c>
      <c r="BJ371" s="1">
        <v>6104</v>
      </c>
      <c r="CC371" s="125">
        <f t="shared" si="28"/>
        <v>9400</v>
      </c>
      <c r="CD371" s="1">
        <v>68667</v>
      </c>
      <c r="CK371" s="124">
        <f t="shared" si="29"/>
        <v>68667</v>
      </c>
      <c r="CT371" s="23">
        <v>967856</v>
      </c>
      <c r="CV371" s="129">
        <v>4046824</v>
      </c>
    </row>
    <row r="372" spans="1:100" ht="12.75" customHeight="1">
      <c r="A372" s="1">
        <v>25</v>
      </c>
      <c r="B372" s="1">
        <v>1650</v>
      </c>
      <c r="C372" s="1" t="s">
        <v>963</v>
      </c>
      <c r="D372" s="5" t="s">
        <v>978</v>
      </c>
      <c r="E372" t="s">
        <v>219</v>
      </c>
      <c r="F372" s="26">
        <v>11524.5</v>
      </c>
      <c r="G372" s="78">
        <v>100847680</v>
      </c>
      <c r="H372" s="78">
        <v>997871</v>
      </c>
      <c r="L372" s="1">
        <v>41387</v>
      </c>
      <c r="M372" s="1">
        <v>5216532</v>
      </c>
      <c r="O372" s="117">
        <f t="shared" si="25"/>
        <v>107103470</v>
      </c>
      <c r="P372" s="78">
        <v>29166349</v>
      </c>
      <c r="V372" s="1">
        <v>3687670</v>
      </c>
      <c r="W372" s="1">
        <v>4852128</v>
      </c>
      <c r="X372" s="1">
        <v>24798</v>
      </c>
      <c r="Y372" s="78">
        <v>115294</v>
      </c>
      <c r="AC372" s="1">
        <v>476410</v>
      </c>
      <c r="AD372" s="1">
        <v>1189804</v>
      </c>
      <c r="AE372" s="1">
        <v>1171081</v>
      </c>
      <c r="AG372" s="1">
        <v>7748336</v>
      </c>
      <c r="AH372" s="1">
        <v>4692215</v>
      </c>
      <c r="AI372" s="1">
        <v>984243</v>
      </c>
      <c r="AP372" s="1">
        <v>2709004</v>
      </c>
      <c r="AU372" s="1">
        <v>40372</v>
      </c>
      <c r="AV372" s="116">
        <f t="shared" si="26"/>
        <v>56857704</v>
      </c>
      <c r="BB372" s="1">
        <v>29739</v>
      </c>
      <c r="BC372" s="1">
        <v>210028</v>
      </c>
      <c r="BD372" s="1">
        <v>1933336</v>
      </c>
      <c r="BE372" s="1">
        <v>415996</v>
      </c>
      <c r="BF372" s="121">
        <f t="shared" si="27"/>
        <v>2589099</v>
      </c>
      <c r="BI372" s="1">
        <v>4839</v>
      </c>
      <c r="BK372" s="1">
        <v>1800</v>
      </c>
      <c r="BR372" s="1">
        <v>89010</v>
      </c>
      <c r="CC372" s="125">
        <f t="shared" si="28"/>
        <v>95649</v>
      </c>
      <c r="CD372" s="1">
        <v>167776</v>
      </c>
      <c r="CK372" s="124">
        <f t="shared" si="29"/>
        <v>167776</v>
      </c>
      <c r="CV372" s="129">
        <v>2670858</v>
      </c>
    </row>
    <row r="373" spans="1:100" ht="12.75" customHeight="1">
      <c r="A373" s="1">
        <v>25</v>
      </c>
      <c r="B373" s="1">
        <v>1660</v>
      </c>
      <c r="C373" s="1" t="s">
        <v>963</v>
      </c>
      <c r="D373" s="5" t="s">
        <v>979</v>
      </c>
      <c r="E373" t="s">
        <v>220</v>
      </c>
      <c r="F373" s="26">
        <v>4586</v>
      </c>
      <c r="G373" s="78">
        <v>49976081</v>
      </c>
      <c r="H373" s="78">
        <v>49583</v>
      </c>
      <c r="L373" s="1">
        <v>12161</v>
      </c>
      <c r="M373" s="1">
        <v>3144916</v>
      </c>
      <c r="O373" s="117">
        <f t="shared" si="25"/>
        <v>53182741</v>
      </c>
      <c r="P373" s="78">
        <v>895034</v>
      </c>
      <c r="V373" s="1">
        <v>992207</v>
      </c>
      <c r="W373" s="1">
        <v>2582833</v>
      </c>
      <c r="X373" s="1">
        <v>11932</v>
      </c>
      <c r="AC373" s="1">
        <v>273537</v>
      </c>
      <c r="AD373" s="1">
        <v>514477</v>
      </c>
      <c r="AE373" s="1">
        <v>149894</v>
      </c>
      <c r="AF373" s="1">
        <v>26442</v>
      </c>
      <c r="AG373" s="1">
        <v>1639400</v>
      </c>
      <c r="AH373" s="1">
        <v>1700857</v>
      </c>
      <c r="AP373" s="1">
        <v>47455</v>
      </c>
      <c r="AU373" s="1">
        <v>10223</v>
      </c>
      <c r="AV373" s="116">
        <f t="shared" si="26"/>
        <v>8844291</v>
      </c>
      <c r="BC373" s="1">
        <v>136743</v>
      </c>
      <c r="BD373" s="1">
        <v>848381</v>
      </c>
      <c r="BE373" s="1">
        <v>100038</v>
      </c>
      <c r="BF373" s="121">
        <f t="shared" si="27"/>
        <v>1085162</v>
      </c>
      <c r="BO373" s="1">
        <v>15271</v>
      </c>
      <c r="BP373" s="1">
        <v>345958</v>
      </c>
      <c r="CC373" s="125">
        <f t="shared" si="28"/>
        <v>361229</v>
      </c>
      <c r="CK373" s="124">
        <f t="shared" si="29"/>
        <v>0</v>
      </c>
      <c r="CT373" s="23">
        <v>2599</v>
      </c>
      <c r="CV373" s="129">
        <v>1110145</v>
      </c>
    </row>
    <row r="374" spans="1:100" ht="12.75" customHeight="1">
      <c r="A374" s="1">
        <v>25</v>
      </c>
      <c r="B374" s="1">
        <v>2105</v>
      </c>
      <c r="C374" s="1" t="s">
        <v>963</v>
      </c>
      <c r="D374" s="5" t="s">
        <v>980</v>
      </c>
      <c r="E374" t="s">
        <v>221</v>
      </c>
      <c r="F374" s="26">
        <v>3377.5</v>
      </c>
      <c r="G374" s="78">
        <v>29790041</v>
      </c>
      <c r="H374" s="78">
        <v>242666</v>
      </c>
      <c r="L374" s="1">
        <v>33233</v>
      </c>
      <c r="M374" s="1">
        <v>417887</v>
      </c>
      <c r="O374" s="117">
        <f t="shared" si="25"/>
        <v>30483827</v>
      </c>
      <c r="P374" s="78">
        <v>6871998</v>
      </c>
      <c r="Q374" s="78">
        <v>487825</v>
      </c>
      <c r="V374" s="1">
        <v>818126</v>
      </c>
      <c r="W374" s="1">
        <v>1875647</v>
      </c>
      <c r="X374" s="1">
        <v>13998</v>
      </c>
      <c r="Y374" s="78">
        <v>1064215</v>
      </c>
      <c r="AC374" s="1">
        <v>96090</v>
      </c>
      <c r="AD374" s="1">
        <v>388628</v>
      </c>
      <c r="AE374" s="1">
        <v>345613</v>
      </c>
      <c r="AF374" s="1">
        <v>15702</v>
      </c>
      <c r="AG374" s="1">
        <v>3752783</v>
      </c>
      <c r="AH374" s="1">
        <v>1558023</v>
      </c>
      <c r="AP374" s="1">
        <v>136852</v>
      </c>
      <c r="AU374" s="1">
        <v>87145</v>
      </c>
      <c r="AV374" s="116">
        <f t="shared" si="26"/>
        <v>17512645</v>
      </c>
      <c r="BC374" s="1">
        <v>111708</v>
      </c>
      <c r="BD374" s="1">
        <v>763544</v>
      </c>
      <c r="BE374" s="1">
        <v>108623</v>
      </c>
      <c r="BF374" s="121">
        <f t="shared" si="27"/>
        <v>983875</v>
      </c>
      <c r="BM374" s="1">
        <v>49347</v>
      </c>
      <c r="BN374" s="1">
        <v>15545</v>
      </c>
      <c r="BO374" s="1">
        <v>1462</v>
      </c>
      <c r="BP374" s="1">
        <v>21571</v>
      </c>
      <c r="CC374" s="125">
        <f t="shared" si="28"/>
        <v>87925</v>
      </c>
      <c r="CK374" s="124">
        <f t="shared" si="29"/>
        <v>0</v>
      </c>
      <c r="CV374" s="129">
        <v>1104253</v>
      </c>
    </row>
    <row r="375" spans="1:100" ht="12.75" customHeight="1">
      <c r="A375" s="1">
        <v>25</v>
      </c>
      <c r="B375" s="1">
        <v>2120</v>
      </c>
      <c r="C375" s="1" t="s">
        <v>963</v>
      </c>
      <c r="D375" s="5" t="s">
        <v>981</v>
      </c>
      <c r="E375" t="s">
        <v>222</v>
      </c>
      <c r="F375" s="26">
        <v>473.5</v>
      </c>
      <c r="G375" s="78">
        <v>6645867</v>
      </c>
      <c r="H375" s="78">
        <v>123030</v>
      </c>
      <c r="L375" s="1">
        <v>30100</v>
      </c>
      <c r="M375" s="1">
        <v>629383</v>
      </c>
      <c r="O375" s="117">
        <f t="shared" si="25"/>
        <v>7428380</v>
      </c>
      <c r="V375" s="1">
        <v>133394</v>
      </c>
      <c r="W375" s="1">
        <v>495736</v>
      </c>
      <c r="AC375" s="1">
        <v>13457</v>
      </c>
      <c r="AD375" s="1">
        <v>52666</v>
      </c>
      <c r="AE375" s="1">
        <v>31311</v>
      </c>
      <c r="AF375" s="1">
        <v>13384</v>
      </c>
      <c r="AG375" s="1">
        <v>595133</v>
      </c>
      <c r="AH375" s="1">
        <v>246670</v>
      </c>
      <c r="AM375" s="1">
        <v>361911</v>
      </c>
      <c r="AU375" s="1">
        <v>24891</v>
      </c>
      <c r="AV375" s="116">
        <f t="shared" si="26"/>
        <v>1968553</v>
      </c>
      <c r="BC375" s="1">
        <v>80741</v>
      </c>
      <c r="BD375" s="1">
        <v>118579</v>
      </c>
      <c r="BE375" s="1">
        <v>31651</v>
      </c>
      <c r="BF375" s="121">
        <f t="shared" si="27"/>
        <v>230971</v>
      </c>
      <c r="CC375" s="125">
        <f t="shared" si="28"/>
        <v>0</v>
      </c>
      <c r="CK375" s="124">
        <f t="shared" si="29"/>
        <v>0</v>
      </c>
      <c r="CV375" s="129">
        <v>647873</v>
      </c>
    </row>
    <row r="376" spans="1:100" ht="12.75" customHeight="1">
      <c r="A376" s="1">
        <v>25</v>
      </c>
      <c r="B376" s="1">
        <v>2160</v>
      </c>
      <c r="C376" s="1" t="s">
        <v>963</v>
      </c>
      <c r="D376" s="5" t="s">
        <v>982</v>
      </c>
      <c r="E376" t="s">
        <v>223</v>
      </c>
      <c r="F376" s="26">
        <v>197</v>
      </c>
      <c r="G376" s="78">
        <v>2788389</v>
      </c>
      <c r="H376" s="78">
        <v>11362</v>
      </c>
      <c r="M376" s="1">
        <v>253770</v>
      </c>
      <c r="O376" s="117">
        <f t="shared" si="25"/>
        <v>3053521</v>
      </c>
      <c r="V376" s="1">
        <v>37116</v>
      </c>
      <c r="W376" s="1">
        <v>385757</v>
      </c>
      <c r="X376" s="1">
        <v>4654</v>
      </c>
      <c r="AD376" s="1">
        <v>24029</v>
      </c>
      <c r="AE376" s="1">
        <v>19790</v>
      </c>
      <c r="AF376" s="1">
        <v>5684</v>
      </c>
      <c r="AG376" s="1">
        <v>232423</v>
      </c>
      <c r="AH376" s="1">
        <v>128554</v>
      </c>
      <c r="AM376" s="1">
        <v>81318</v>
      </c>
      <c r="AU376" s="1">
        <v>743</v>
      </c>
      <c r="AV376" s="116">
        <f t="shared" si="26"/>
        <v>920068</v>
      </c>
      <c r="BC376" s="1">
        <v>78454</v>
      </c>
      <c r="BD376" s="1">
        <v>74745</v>
      </c>
      <c r="BE376" s="1">
        <v>20300</v>
      </c>
      <c r="BF376" s="121">
        <f t="shared" si="27"/>
        <v>173499</v>
      </c>
      <c r="BG376" s="1">
        <v>49236</v>
      </c>
      <c r="BO376" s="1">
        <v>21</v>
      </c>
      <c r="CB376" s="1">
        <v>25000</v>
      </c>
      <c r="CC376" s="125">
        <f t="shared" si="28"/>
        <v>74257</v>
      </c>
      <c r="CK376" s="124">
        <f t="shared" si="29"/>
        <v>0</v>
      </c>
      <c r="CT376" s="23">
        <v>139102</v>
      </c>
      <c r="CV376" s="129">
        <v>394662</v>
      </c>
    </row>
    <row r="377" spans="1:100" ht="12.75" customHeight="1">
      <c r="A377" s="1">
        <v>25</v>
      </c>
      <c r="B377" s="1">
        <v>2230</v>
      </c>
      <c r="C377" s="1" t="s">
        <v>963</v>
      </c>
      <c r="D377" s="5" t="s">
        <v>983</v>
      </c>
      <c r="E377" t="s">
        <v>224</v>
      </c>
      <c r="F377" s="26">
        <v>3482</v>
      </c>
      <c r="G377" s="78">
        <v>42607166</v>
      </c>
      <c r="H377" s="78">
        <v>132546</v>
      </c>
      <c r="L377" s="1">
        <v>129274</v>
      </c>
      <c r="M377" s="1">
        <v>3243641</v>
      </c>
      <c r="O377" s="117">
        <f t="shared" si="25"/>
        <v>46112627</v>
      </c>
      <c r="V377" s="1">
        <v>848003</v>
      </c>
      <c r="W377" s="1">
        <v>1479405</v>
      </c>
      <c r="X377" s="1">
        <v>15220</v>
      </c>
      <c r="Y377" s="78">
        <v>4502</v>
      </c>
      <c r="AC377" s="1">
        <v>150485</v>
      </c>
      <c r="AD377" s="1">
        <v>244792</v>
      </c>
      <c r="AE377" s="1">
        <v>77758</v>
      </c>
      <c r="AF377" s="1">
        <v>32993</v>
      </c>
      <c r="AG377" s="1">
        <v>2557526</v>
      </c>
      <c r="AH377" s="1">
        <v>1635172</v>
      </c>
      <c r="AU377" s="1">
        <v>522768</v>
      </c>
      <c r="AV377" s="116">
        <f t="shared" si="26"/>
        <v>7568624</v>
      </c>
      <c r="BD377" s="1">
        <v>732525</v>
      </c>
      <c r="BE377" s="1">
        <v>85953</v>
      </c>
      <c r="BF377" s="121">
        <f t="shared" si="27"/>
        <v>818478</v>
      </c>
      <c r="BI377" s="1">
        <v>60887</v>
      </c>
      <c r="BP377" s="1">
        <v>317893</v>
      </c>
      <c r="CC377" s="125">
        <f t="shared" si="28"/>
        <v>378780</v>
      </c>
      <c r="CK377" s="124">
        <f t="shared" si="29"/>
        <v>0</v>
      </c>
      <c r="CV377" s="129">
        <v>1470520</v>
      </c>
    </row>
    <row r="378" spans="1:100" ht="12.75" customHeight="1">
      <c r="A378" s="1">
        <v>25</v>
      </c>
      <c r="B378" s="1">
        <v>2290</v>
      </c>
      <c r="C378" s="1" t="s">
        <v>963</v>
      </c>
      <c r="D378" s="5" t="s">
        <v>984</v>
      </c>
      <c r="E378" t="s">
        <v>225</v>
      </c>
      <c r="F378" s="26">
        <v>7252</v>
      </c>
      <c r="G378" s="78">
        <v>58528618</v>
      </c>
      <c r="H378" s="78">
        <v>84886</v>
      </c>
      <c r="L378" s="1">
        <v>13162</v>
      </c>
      <c r="M378" s="1">
        <v>7761356</v>
      </c>
      <c r="O378" s="117">
        <f t="shared" si="25"/>
        <v>66388022</v>
      </c>
      <c r="P378" s="78">
        <v>22621756</v>
      </c>
      <c r="Q378" s="78">
        <v>206287</v>
      </c>
      <c r="V378" s="1">
        <v>2122896</v>
      </c>
      <c r="W378" s="1">
        <v>3911649</v>
      </c>
      <c r="X378" s="1">
        <v>67654</v>
      </c>
      <c r="AC378" s="1">
        <v>127613</v>
      </c>
      <c r="AD378" s="1">
        <v>816372</v>
      </c>
      <c r="AE378" s="1">
        <v>833038</v>
      </c>
      <c r="AF378" s="1">
        <v>32694</v>
      </c>
      <c r="AG378" s="1">
        <v>5824844</v>
      </c>
      <c r="AH378" s="1">
        <v>3272005</v>
      </c>
      <c r="AO378" s="1">
        <v>159498</v>
      </c>
      <c r="AP378" s="1">
        <v>1976980</v>
      </c>
      <c r="AU378" s="1">
        <v>343632</v>
      </c>
      <c r="AV378" s="116">
        <f t="shared" si="26"/>
        <v>42316918</v>
      </c>
      <c r="BC378" s="1">
        <v>318551</v>
      </c>
      <c r="BD378" s="1">
        <v>1355221</v>
      </c>
      <c r="BE378" s="1">
        <v>291465</v>
      </c>
      <c r="BF378" s="121">
        <f t="shared" si="27"/>
        <v>1965237</v>
      </c>
      <c r="BG378" s="1">
        <v>6200000</v>
      </c>
      <c r="BO378" s="1">
        <v>339056</v>
      </c>
      <c r="CB378" s="1">
        <v>229377</v>
      </c>
      <c r="CC378" s="125">
        <f t="shared" si="28"/>
        <v>6768433</v>
      </c>
      <c r="CD378" s="1">
        <v>295236</v>
      </c>
      <c r="CK378" s="124">
        <f t="shared" si="29"/>
        <v>295236</v>
      </c>
      <c r="CV378" s="129">
        <v>2481529</v>
      </c>
    </row>
    <row r="379" spans="1:100" ht="12.75" customHeight="1">
      <c r="A379" s="1">
        <v>25</v>
      </c>
      <c r="B379" s="1">
        <v>2400</v>
      </c>
      <c r="C379" s="1" t="s">
        <v>963</v>
      </c>
      <c r="D379" s="5" t="s">
        <v>985</v>
      </c>
      <c r="E379" t="s">
        <v>226</v>
      </c>
      <c r="F379" s="26">
        <v>1915</v>
      </c>
      <c r="G379" s="78">
        <v>3921124</v>
      </c>
      <c r="H379" s="78">
        <v>351012</v>
      </c>
      <c r="L379" s="1">
        <v>39465</v>
      </c>
      <c r="M379" s="1">
        <v>398801</v>
      </c>
      <c r="O379" s="117">
        <f t="shared" si="25"/>
        <v>4710402</v>
      </c>
      <c r="P379" s="78">
        <v>11199674</v>
      </c>
      <c r="Q379" s="78">
        <v>1460671</v>
      </c>
      <c r="S379" s="25">
        <v>12064893</v>
      </c>
      <c r="V379" s="1">
        <v>494941</v>
      </c>
      <c r="W379" s="1">
        <v>2158565</v>
      </c>
      <c r="X379" s="1">
        <v>17538</v>
      </c>
      <c r="AC379" s="1">
        <v>123244</v>
      </c>
      <c r="AD379" s="1">
        <v>218343</v>
      </c>
      <c r="AG379" s="1">
        <v>2037147</v>
      </c>
      <c r="AH379" s="1">
        <v>1305143</v>
      </c>
      <c r="AM379" s="1">
        <v>817736</v>
      </c>
      <c r="AP379" s="1">
        <v>748643</v>
      </c>
      <c r="AU379" s="1">
        <v>426343</v>
      </c>
      <c r="AV379" s="116">
        <f t="shared" si="26"/>
        <v>33072881</v>
      </c>
      <c r="AW379" s="1">
        <v>80564</v>
      </c>
      <c r="BB379" s="1">
        <v>13460</v>
      </c>
      <c r="BC379" s="1">
        <v>1125660</v>
      </c>
      <c r="BD379" s="1">
        <v>738902</v>
      </c>
      <c r="BE379" s="1">
        <v>411820</v>
      </c>
      <c r="BF379" s="121">
        <f t="shared" si="27"/>
        <v>2370406</v>
      </c>
      <c r="BI379" s="1">
        <v>21527</v>
      </c>
      <c r="CC379" s="125">
        <f t="shared" si="28"/>
        <v>21527</v>
      </c>
      <c r="CK379" s="124">
        <f t="shared" si="29"/>
        <v>0</v>
      </c>
      <c r="CQ379" s="23">
        <v>300000</v>
      </c>
      <c r="CT379" s="23">
        <v>1412563</v>
      </c>
      <c r="CV379" s="129">
        <v>6965253</v>
      </c>
    </row>
    <row r="380" spans="1:100" ht="12.75" customHeight="1">
      <c r="A380" s="1">
        <v>25</v>
      </c>
      <c r="B380" s="1">
        <v>2430</v>
      </c>
      <c r="C380" s="1" t="s">
        <v>963</v>
      </c>
      <c r="D380" s="5" t="s">
        <v>986</v>
      </c>
      <c r="E380" t="s">
        <v>227</v>
      </c>
      <c r="F380" s="26">
        <v>1166</v>
      </c>
      <c r="G380" s="78">
        <v>8160176</v>
      </c>
      <c r="H380" s="78">
        <v>128119</v>
      </c>
      <c r="J380" s="1">
        <v>113184</v>
      </c>
      <c r="M380" s="1">
        <v>321317</v>
      </c>
      <c r="O380" s="117">
        <f t="shared" si="25"/>
        <v>8722796</v>
      </c>
      <c r="P380" s="78">
        <v>2223322</v>
      </c>
      <c r="V380" s="1">
        <v>101874</v>
      </c>
      <c r="W380" s="1">
        <v>910996</v>
      </c>
      <c r="X380" s="1">
        <v>32794</v>
      </c>
      <c r="Y380" s="78">
        <v>55554</v>
      </c>
      <c r="AC380" s="1">
        <v>30432</v>
      </c>
      <c r="AD380" s="1">
        <v>101601</v>
      </c>
      <c r="AE380" s="1">
        <v>129337</v>
      </c>
      <c r="AG380" s="1">
        <v>1175463</v>
      </c>
      <c r="AH380" s="1">
        <v>558412</v>
      </c>
      <c r="AM380" s="1">
        <v>311336</v>
      </c>
      <c r="AP380" s="1">
        <v>80083</v>
      </c>
      <c r="AU380" s="1">
        <v>156712</v>
      </c>
      <c r="AV380" s="116">
        <f t="shared" si="26"/>
        <v>5867916</v>
      </c>
      <c r="BC380" s="1">
        <v>254680</v>
      </c>
      <c r="BD380" s="1">
        <v>239069</v>
      </c>
      <c r="BE380" s="1">
        <v>182381</v>
      </c>
      <c r="BF380" s="121">
        <f t="shared" si="27"/>
        <v>676130</v>
      </c>
      <c r="CC380" s="125">
        <f t="shared" si="28"/>
        <v>0</v>
      </c>
      <c r="CD380" s="1">
        <v>2431481</v>
      </c>
      <c r="CK380" s="124">
        <f t="shared" si="29"/>
        <v>2431481</v>
      </c>
      <c r="CT380" s="23">
        <v>569545</v>
      </c>
      <c r="CV380" s="129">
        <v>1713723</v>
      </c>
    </row>
    <row r="381" spans="1:100" ht="12.75" customHeight="1">
      <c r="A381" s="1">
        <v>25</v>
      </c>
      <c r="B381" s="1">
        <v>2720</v>
      </c>
      <c r="C381" s="1" t="s">
        <v>963</v>
      </c>
      <c r="D381" s="5" t="s">
        <v>987</v>
      </c>
      <c r="E381" t="s">
        <v>228</v>
      </c>
      <c r="F381" s="26">
        <v>788</v>
      </c>
      <c r="G381" s="78">
        <v>9508342</v>
      </c>
      <c r="H381" s="78">
        <v>237450</v>
      </c>
      <c r="L381" s="1">
        <v>71894</v>
      </c>
      <c r="M381" s="1">
        <v>975124</v>
      </c>
      <c r="O381" s="117">
        <f t="shared" si="25"/>
        <v>10792810</v>
      </c>
      <c r="V381" s="1">
        <v>2762</v>
      </c>
      <c r="W381" s="1">
        <v>448011</v>
      </c>
      <c r="AC381" s="1">
        <v>14451</v>
      </c>
      <c r="AD381" s="1">
        <v>50680</v>
      </c>
      <c r="AE381" s="1">
        <v>13713</v>
      </c>
      <c r="AF381" s="1">
        <v>2275</v>
      </c>
      <c r="AG381" s="1">
        <v>857292</v>
      </c>
      <c r="AH381" s="1">
        <v>398562</v>
      </c>
      <c r="AU381" s="1">
        <v>14482</v>
      </c>
      <c r="AV381" s="116">
        <f t="shared" si="26"/>
        <v>1802228</v>
      </c>
      <c r="BD381" s="1">
        <v>173736</v>
      </c>
      <c r="BE381" s="1">
        <v>25104</v>
      </c>
      <c r="BF381" s="121">
        <f t="shared" si="27"/>
        <v>198840</v>
      </c>
      <c r="BH381" s="1">
        <v>3282</v>
      </c>
      <c r="BI381" s="1">
        <v>31265</v>
      </c>
      <c r="BX381" s="1">
        <v>15575</v>
      </c>
      <c r="CC381" s="125">
        <f t="shared" si="28"/>
        <v>50122</v>
      </c>
      <c r="CK381" s="124">
        <f t="shared" si="29"/>
        <v>0</v>
      </c>
      <c r="CV381" s="129">
        <v>285216</v>
      </c>
    </row>
    <row r="382" spans="1:100" ht="12.75" customHeight="1">
      <c r="A382" s="1">
        <v>25</v>
      </c>
      <c r="B382" s="1">
        <v>2770</v>
      </c>
      <c r="C382" s="1" t="s">
        <v>963</v>
      </c>
      <c r="D382" s="5" t="s">
        <v>988</v>
      </c>
      <c r="E382" t="s">
        <v>229</v>
      </c>
      <c r="F382" s="26">
        <v>4853.5</v>
      </c>
      <c r="G382" s="78">
        <v>29189093</v>
      </c>
      <c r="H382" s="78">
        <v>1924525</v>
      </c>
      <c r="L382" s="1">
        <v>1754</v>
      </c>
      <c r="O382" s="117">
        <f t="shared" si="25"/>
        <v>31115372</v>
      </c>
      <c r="P382" s="78">
        <v>14200603</v>
      </c>
      <c r="Q382" s="78">
        <v>3640988</v>
      </c>
      <c r="S382" s="25">
        <v>15395102</v>
      </c>
      <c r="V382" s="1">
        <v>865524</v>
      </c>
      <c r="W382" s="1">
        <v>2519487</v>
      </c>
      <c r="X382" s="1">
        <v>471906</v>
      </c>
      <c r="Y382" s="78">
        <v>109415</v>
      </c>
      <c r="AC382" s="1">
        <v>123047</v>
      </c>
      <c r="AD382" s="1">
        <v>490668</v>
      </c>
      <c r="AF382" s="1">
        <v>48148</v>
      </c>
      <c r="AG382" s="1">
        <v>5182216</v>
      </c>
      <c r="AH382" s="1">
        <v>2651629</v>
      </c>
      <c r="AM382" s="1">
        <v>2147276</v>
      </c>
      <c r="AU382" s="1">
        <v>908272</v>
      </c>
      <c r="AV382" s="116">
        <f t="shared" si="26"/>
        <v>48754281</v>
      </c>
      <c r="AW382" s="1">
        <v>189269</v>
      </c>
      <c r="BA382" s="1">
        <v>28754</v>
      </c>
      <c r="BB382" s="1">
        <v>42606</v>
      </c>
      <c r="BC382" s="1">
        <v>1644453</v>
      </c>
      <c r="BD382" s="1">
        <v>1439427</v>
      </c>
      <c r="BE382" s="1">
        <v>978658</v>
      </c>
      <c r="BF382" s="121">
        <f t="shared" si="27"/>
        <v>4323167</v>
      </c>
      <c r="BH382" s="1">
        <v>6300</v>
      </c>
      <c r="CC382" s="125">
        <f t="shared" si="28"/>
        <v>6300</v>
      </c>
      <c r="CD382" s="1">
        <v>69903</v>
      </c>
      <c r="CK382" s="124">
        <f t="shared" si="29"/>
        <v>69903</v>
      </c>
      <c r="CT382" s="23">
        <v>3871128</v>
      </c>
      <c r="CU382" s="23">
        <v>2849270</v>
      </c>
      <c r="CV382" s="129">
        <v>14691791</v>
      </c>
    </row>
    <row r="383" spans="1:100" ht="12.75" customHeight="1">
      <c r="A383" s="1">
        <v>25</v>
      </c>
      <c r="B383" s="1">
        <v>2920</v>
      </c>
      <c r="C383" s="1" t="s">
        <v>963</v>
      </c>
      <c r="D383" s="5" t="s">
        <v>989</v>
      </c>
      <c r="E383" t="s">
        <v>230</v>
      </c>
      <c r="F383" s="26">
        <v>5446</v>
      </c>
      <c r="G383" s="78">
        <v>41439169</v>
      </c>
      <c r="L383" s="1">
        <v>12127</v>
      </c>
      <c r="M383" s="1">
        <v>4432464</v>
      </c>
      <c r="O383" s="117">
        <f t="shared" si="25"/>
        <v>45883760</v>
      </c>
      <c r="P383" s="78">
        <v>11524776</v>
      </c>
      <c r="V383" s="1">
        <v>1953019</v>
      </c>
      <c r="W383" s="1">
        <v>3467187</v>
      </c>
      <c r="X383" s="1">
        <v>81670</v>
      </c>
      <c r="AC383" s="1">
        <v>122718</v>
      </c>
      <c r="AD383" s="1">
        <v>619918</v>
      </c>
      <c r="AE383" s="1">
        <v>529397</v>
      </c>
      <c r="AF383" s="1">
        <v>20478</v>
      </c>
      <c r="AG383" s="1">
        <v>2188982</v>
      </c>
      <c r="AH383" s="1">
        <v>4048361</v>
      </c>
      <c r="AP383" s="1">
        <v>1378328</v>
      </c>
      <c r="AU383" s="1">
        <v>130040</v>
      </c>
      <c r="AV383" s="116">
        <f t="shared" si="26"/>
        <v>26064874</v>
      </c>
      <c r="BC383" s="1">
        <v>196612</v>
      </c>
      <c r="BD383" s="1">
        <v>1008809</v>
      </c>
      <c r="BE383" s="1">
        <v>349268</v>
      </c>
      <c r="BF383" s="121">
        <f t="shared" si="27"/>
        <v>1554689</v>
      </c>
      <c r="BG383" s="1">
        <v>331400</v>
      </c>
      <c r="BI383" s="1">
        <v>16305</v>
      </c>
      <c r="BO383" s="1">
        <v>9848</v>
      </c>
      <c r="BP383" s="1">
        <v>518745</v>
      </c>
      <c r="BZ383" s="1">
        <v>76471</v>
      </c>
      <c r="CA383" s="1">
        <v>542634</v>
      </c>
      <c r="CC383" s="125">
        <f t="shared" si="28"/>
        <v>1495403</v>
      </c>
      <c r="CK383" s="124">
        <f t="shared" si="29"/>
        <v>0</v>
      </c>
      <c r="CV383" s="129">
        <v>1696856</v>
      </c>
    </row>
    <row r="384" spans="1:100" ht="12.75" customHeight="1">
      <c r="A384" s="1">
        <v>25</v>
      </c>
      <c r="B384" s="1">
        <v>2930</v>
      </c>
      <c r="C384" s="1" t="s">
        <v>963</v>
      </c>
      <c r="D384" s="5" t="s">
        <v>990</v>
      </c>
      <c r="E384" t="s">
        <v>231</v>
      </c>
      <c r="F384" s="26">
        <v>1718</v>
      </c>
      <c r="G384" s="78">
        <v>10737772</v>
      </c>
      <c r="H384" s="78">
        <v>217201</v>
      </c>
      <c r="J384" s="1">
        <v>33000</v>
      </c>
      <c r="L384" s="1">
        <v>86102</v>
      </c>
      <c r="M384" s="1">
        <v>1155296</v>
      </c>
      <c r="O384" s="117">
        <f t="shared" si="25"/>
        <v>12229371</v>
      </c>
      <c r="V384" s="1">
        <v>67572</v>
      </c>
      <c r="W384" s="1">
        <v>596752</v>
      </c>
      <c r="X384" s="1">
        <v>36046</v>
      </c>
      <c r="Y384" s="78">
        <v>118354</v>
      </c>
      <c r="AC384" s="1">
        <v>19145</v>
      </c>
      <c r="AD384" s="1">
        <v>111476</v>
      </c>
      <c r="AE384" s="1">
        <v>27906</v>
      </c>
      <c r="AF384" s="1">
        <v>969</v>
      </c>
      <c r="AG384" s="1">
        <v>1568033</v>
      </c>
      <c r="AH384" s="1">
        <v>726970</v>
      </c>
      <c r="AU384" s="1">
        <v>129514</v>
      </c>
      <c r="AV384" s="116">
        <f t="shared" si="26"/>
        <v>3402737</v>
      </c>
      <c r="BC384" s="1">
        <v>42342</v>
      </c>
      <c r="BD384" s="1">
        <v>229674</v>
      </c>
      <c r="BE384" s="1">
        <v>44727</v>
      </c>
      <c r="BF384" s="121">
        <f t="shared" si="27"/>
        <v>316743</v>
      </c>
      <c r="BG384" s="1">
        <v>65899</v>
      </c>
      <c r="BI384" s="1">
        <v>22773</v>
      </c>
      <c r="CA384" s="1">
        <v>278224</v>
      </c>
      <c r="CC384" s="125">
        <f t="shared" si="28"/>
        <v>366896</v>
      </c>
      <c r="CD384" s="1">
        <v>8250082</v>
      </c>
      <c r="CK384" s="124">
        <f t="shared" si="29"/>
        <v>8250082</v>
      </c>
      <c r="CV384" s="129">
        <v>532359</v>
      </c>
    </row>
    <row r="385" spans="1:100" ht="12.75" customHeight="1">
      <c r="A385" s="1">
        <v>25</v>
      </c>
      <c r="B385" s="1">
        <v>3030</v>
      </c>
      <c r="C385" s="1" t="s">
        <v>963</v>
      </c>
      <c r="D385" s="5" t="s">
        <v>991</v>
      </c>
      <c r="E385" t="s">
        <v>124</v>
      </c>
      <c r="F385" s="26">
        <v>6129</v>
      </c>
      <c r="G385" s="78">
        <v>58113855</v>
      </c>
      <c r="H385" s="78">
        <v>654232</v>
      </c>
      <c r="L385" s="1">
        <v>10667</v>
      </c>
      <c r="M385" s="1">
        <v>3907125</v>
      </c>
      <c r="O385" s="117">
        <f t="shared" si="25"/>
        <v>62685879</v>
      </c>
      <c r="P385" s="78">
        <v>3134264</v>
      </c>
      <c r="V385" s="1">
        <v>1521158</v>
      </c>
      <c r="W385" s="1">
        <v>2475391</v>
      </c>
      <c r="X385" s="1">
        <v>83522</v>
      </c>
      <c r="Y385" s="78">
        <v>2279026</v>
      </c>
      <c r="AC385" s="1">
        <v>123665</v>
      </c>
      <c r="AD385" s="1">
        <v>396077</v>
      </c>
      <c r="AE385" s="1">
        <v>296683</v>
      </c>
      <c r="AF385" s="1">
        <v>59956</v>
      </c>
      <c r="AG385" s="1">
        <v>3807044</v>
      </c>
      <c r="AH385" s="1">
        <v>2372400</v>
      </c>
      <c r="AP385" s="1">
        <v>787179</v>
      </c>
      <c r="AU385" s="1">
        <v>270108</v>
      </c>
      <c r="AV385" s="116">
        <f t="shared" si="26"/>
        <v>17606473</v>
      </c>
      <c r="BC385" s="1">
        <v>163015</v>
      </c>
      <c r="BD385" s="1">
        <v>1086421</v>
      </c>
      <c r="BE385" s="1">
        <v>154932</v>
      </c>
      <c r="BF385" s="121">
        <f t="shared" si="27"/>
        <v>1404368</v>
      </c>
      <c r="BG385" s="1">
        <v>428832</v>
      </c>
      <c r="BI385" s="1">
        <v>33585</v>
      </c>
      <c r="BO385" s="1">
        <v>15163</v>
      </c>
      <c r="BU385" s="1">
        <v>98449</v>
      </c>
      <c r="CA385" s="1">
        <v>111272</v>
      </c>
      <c r="CC385" s="125">
        <f t="shared" si="28"/>
        <v>687301</v>
      </c>
      <c r="CK385" s="124">
        <f t="shared" si="29"/>
        <v>0</v>
      </c>
      <c r="CV385" s="129">
        <v>1685143</v>
      </c>
    </row>
    <row r="386" spans="1:100" ht="12.75" customHeight="1">
      <c r="A386" s="1">
        <v>25</v>
      </c>
      <c r="B386" s="1">
        <v>3040</v>
      </c>
      <c r="C386" s="1" t="s">
        <v>963</v>
      </c>
      <c r="D386" s="5" t="s">
        <v>992</v>
      </c>
      <c r="E386" t="s">
        <v>125</v>
      </c>
      <c r="F386" s="26">
        <v>3901.5</v>
      </c>
      <c r="G386" s="78">
        <v>42394422</v>
      </c>
      <c r="H386" s="78">
        <v>488574</v>
      </c>
      <c r="L386" s="1">
        <v>8252</v>
      </c>
      <c r="M386" s="1">
        <v>2426945</v>
      </c>
      <c r="O386" s="117">
        <f t="shared" si="25"/>
        <v>45318193</v>
      </c>
      <c r="P386" s="78">
        <v>3281663</v>
      </c>
      <c r="Q386" s="78">
        <v>3880387</v>
      </c>
      <c r="V386" s="1">
        <v>855252</v>
      </c>
      <c r="W386" s="1">
        <v>2123146</v>
      </c>
      <c r="X386" s="1">
        <v>80592</v>
      </c>
      <c r="AC386" s="1">
        <v>226568</v>
      </c>
      <c r="AD386" s="1">
        <v>435698</v>
      </c>
      <c r="AE386" s="1">
        <v>329495</v>
      </c>
      <c r="AF386" s="1">
        <v>18565</v>
      </c>
      <c r="AG386" s="1">
        <v>4488879</v>
      </c>
      <c r="AH386" s="1">
        <v>1839308</v>
      </c>
      <c r="AJ386" s="1">
        <v>2713</v>
      </c>
      <c r="AM386" s="1">
        <v>141005</v>
      </c>
      <c r="AO386" s="1">
        <v>184095</v>
      </c>
      <c r="AP386" s="1">
        <v>69412</v>
      </c>
      <c r="AU386" s="1">
        <v>58279</v>
      </c>
      <c r="AV386" s="116">
        <f t="shared" si="26"/>
        <v>18015057</v>
      </c>
      <c r="BC386" s="1">
        <v>274366</v>
      </c>
      <c r="BD386" s="1">
        <v>789810</v>
      </c>
      <c r="BE386" s="1">
        <v>96856</v>
      </c>
      <c r="BF386" s="121">
        <f t="shared" si="27"/>
        <v>1161032</v>
      </c>
      <c r="BG386" s="1">
        <v>1747490</v>
      </c>
      <c r="BM386" s="1">
        <v>76825</v>
      </c>
      <c r="BN386" s="1">
        <v>45501</v>
      </c>
      <c r="BO386" s="1">
        <v>608</v>
      </c>
      <c r="BZ386" s="1">
        <v>1</v>
      </c>
      <c r="CC386" s="125">
        <f t="shared" si="28"/>
        <v>1870425</v>
      </c>
      <c r="CK386" s="124">
        <f t="shared" si="29"/>
        <v>0</v>
      </c>
      <c r="CV386" s="129">
        <v>1555376</v>
      </c>
    </row>
    <row r="387" spans="1:100" ht="12.75" customHeight="1">
      <c r="A387" s="1">
        <v>25</v>
      </c>
      <c r="B387" s="1">
        <v>3160</v>
      </c>
      <c r="C387" s="1" t="s">
        <v>963</v>
      </c>
      <c r="D387" s="5" t="s">
        <v>993</v>
      </c>
      <c r="E387" t="s">
        <v>126</v>
      </c>
      <c r="F387" s="26">
        <v>10130.5</v>
      </c>
      <c r="G387" s="78">
        <v>107070009</v>
      </c>
      <c r="H387" s="78">
        <v>2299552</v>
      </c>
      <c r="L387" s="1">
        <v>105887</v>
      </c>
      <c r="M387" s="1">
        <v>4061960</v>
      </c>
      <c r="O387" s="117">
        <f t="shared" si="25"/>
        <v>113537408</v>
      </c>
      <c r="V387" s="1">
        <v>3127720</v>
      </c>
      <c r="W387" s="1">
        <v>6481044</v>
      </c>
      <c r="X387" s="1">
        <v>65192</v>
      </c>
      <c r="Y387" s="78">
        <v>6709865</v>
      </c>
      <c r="Z387" s="1">
        <v>1250000</v>
      </c>
      <c r="AC387" s="1">
        <v>256111</v>
      </c>
      <c r="AD387" s="1">
        <v>1144380</v>
      </c>
      <c r="AE387" s="1">
        <v>563346</v>
      </c>
      <c r="AF387" s="1">
        <v>835371</v>
      </c>
      <c r="AG387" s="1">
        <v>9884803</v>
      </c>
      <c r="AH387" s="1">
        <v>4672236</v>
      </c>
      <c r="AP387" s="1">
        <v>1792829</v>
      </c>
      <c r="AU387" s="1">
        <v>996361</v>
      </c>
      <c r="AV387" s="116">
        <f t="shared" si="26"/>
        <v>37779258</v>
      </c>
      <c r="AW387" s="1">
        <v>4020</v>
      </c>
      <c r="BC387" s="1">
        <v>366330</v>
      </c>
      <c r="BD387" s="1">
        <v>2289152</v>
      </c>
      <c r="BE387" s="1">
        <v>469153</v>
      </c>
      <c r="BF387" s="121">
        <f t="shared" si="27"/>
        <v>3128655</v>
      </c>
      <c r="BG387" s="1">
        <v>8400000</v>
      </c>
      <c r="CC387" s="125">
        <f t="shared" si="28"/>
        <v>8400000</v>
      </c>
      <c r="CD387" s="1">
        <v>25536</v>
      </c>
      <c r="CK387" s="124">
        <f t="shared" si="29"/>
        <v>25536</v>
      </c>
      <c r="CV387" s="129">
        <v>4226883</v>
      </c>
    </row>
    <row r="388" spans="1:100" ht="12.75" customHeight="1">
      <c r="A388" s="1">
        <v>25</v>
      </c>
      <c r="B388" s="1">
        <v>3200</v>
      </c>
      <c r="C388" s="1" t="s">
        <v>963</v>
      </c>
      <c r="D388" s="5" t="s">
        <v>994</v>
      </c>
      <c r="E388" t="s">
        <v>127</v>
      </c>
      <c r="F388" s="26">
        <v>1678</v>
      </c>
      <c r="G388" s="78">
        <v>21988746</v>
      </c>
      <c r="H388" s="78">
        <v>413061</v>
      </c>
      <c r="K388" s="1">
        <v>33536</v>
      </c>
      <c r="L388" s="1">
        <v>128831</v>
      </c>
      <c r="M388" s="1">
        <v>2196773</v>
      </c>
      <c r="O388" s="117">
        <f t="shared" si="25"/>
        <v>24760947</v>
      </c>
      <c r="P388" s="78">
        <v>2183603</v>
      </c>
      <c r="V388" s="1">
        <v>929247</v>
      </c>
      <c r="W388" s="1">
        <v>1061889</v>
      </c>
      <c r="X388" s="1">
        <v>26738</v>
      </c>
      <c r="AC388" s="1">
        <v>57716</v>
      </c>
      <c r="AD388" s="1">
        <v>246541</v>
      </c>
      <c r="AE388" s="1">
        <v>133441</v>
      </c>
      <c r="AF388" s="1">
        <v>188908</v>
      </c>
      <c r="AG388" s="1">
        <v>868763</v>
      </c>
      <c r="AH388" s="1">
        <v>612398</v>
      </c>
      <c r="AP388" s="1">
        <v>180104</v>
      </c>
      <c r="AU388" s="1">
        <v>1625</v>
      </c>
      <c r="AV388" s="116">
        <f t="shared" si="26"/>
        <v>6490973</v>
      </c>
      <c r="BD388" s="1">
        <v>379392</v>
      </c>
      <c r="BE388" s="1">
        <v>64436</v>
      </c>
      <c r="BF388" s="121">
        <f t="shared" si="27"/>
        <v>443828</v>
      </c>
      <c r="BG388" s="1">
        <v>94211</v>
      </c>
      <c r="BM388" s="1">
        <v>8260</v>
      </c>
      <c r="BN388" s="1">
        <v>57492</v>
      </c>
      <c r="BO388" s="1">
        <v>4127</v>
      </c>
      <c r="BP388" s="1">
        <v>68624</v>
      </c>
      <c r="BY388" s="1">
        <v>42056</v>
      </c>
      <c r="BZ388" s="1">
        <v>22157</v>
      </c>
      <c r="CC388" s="125">
        <f t="shared" si="28"/>
        <v>296927</v>
      </c>
      <c r="CK388" s="124">
        <f t="shared" si="29"/>
        <v>0</v>
      </c>
      <c r="CV388" s="129">
        <v>574284</v>
      </c>
    </row>
    <row r="389" spans="1:100" ht="12.75" customHeight="1">
      <c r="A389" s="1">
        <v>25</v>
      </c>
      <c r="B389" s="1">
        <v>3250</v>
      </c>
      <c r="C389" s="1" t="s">
        <v>963</v>
      </c>
      <c r="D389" s="5" t="s">
        <v>995</v>
      </c>
      <c r="E389" t="s">
        <v>128</v>
      </c>
      <c r="F389" s="26">
        <v>308</v>
      </c>
      <c r="G389" s="78">
        <v>3525524</v>
      </c>
      <c r="H389" s="78">
        <v>50089</v>
      </c>
      <c r="M389" s="1">
        <v>239728</v>
      </c>
      <c r="O389" s="117">
        <f t="shared" ref="O389:O452" si="30">SUM(G389:N389)</f>
        <v>3815341</v>
      </c>
      <c r="V389" s="1">
        <v>14165</v>
      </c>
      <c r="W389" s="1">
        <v>193268</v>
      </c>
      <c r="Y389" s="78">
        <v>18960</v>
      </c>
      <c r="AC389" s="1">
        <v>16186</v>
      </c>
      <c r="AD389" s="1">
        <v>13338</v>
      </c>
      <c r="AE389" s="1">
        <v>7192</v>
      </c>
      <c r="AF389" s="1">
        <v>3009</v>
      </c>
      <c r="AG389" s="1">
        <v>246745</v>
      </c>
      <c r="AH389" s="1">
        <v>140476</v>
      </c>
      <c r="AU389" s="1">
        <v>871</v>
      </c>
      <c r="AV389" s="116">
        <f t="shared" ref="AV389:AV452" si="31">SUM(P389:AU389)</f>
        <v>654210</v>
      </c>
      <c r="BD389" s="1">
        <v>68290</v>
      </c>
      <c r="BE389" s="1">
        <v>10133</v>
      </c>
      <c r="BF389" s="121">
        <f t="shared" ref="BF389:BF452" si="32">SUM(AW389:BE389)</f>
        <v>78423</v>
      </c>
      <c r="BH389" s="1">
        <v>348</v>
      </c>
      <c r="BO389" s="1">
        <v>8923</v>
      </c>
      <c r="CC389" s="125">
        <f t="shared" ref="CC389:CC452" si="33">SUM(BG389:CB389)</f>
        <v>9271</v>
      </c>
      <c r="CK389" s="124">
        <f t="shared" ref="CK389:CK452" si="34">SUM(CD389:CJ389)</f>
        <v>0</v>
      </c>
      <c r="CV389" s="129">
        <v>79294</v>
      </c>
    </row>
    <row r="390" spans="1:100" ht="12.75" customHeight="1">
      <c r="A390" s="1">
        <v>25</v>
      </c>
      <c r="B390" s="1">
        <v>3255</v>
      </c>
      <c r="C390" s="1" t="s">
        <v>963</v>
      </c>
      <c r="D390" s="5" t="s">
        <v>996</v>
      </c>
      <c r="E390" t="s">
        <v>129</v>
      </c>
      <c r="F390" s="26">
        <v>91.5</v>
      </c>
      <c r="H390" s="78">
        <v>467191</v>
      </c>
      <c r="L390" s="1">
        <v>7904905</v>
      </c>
      <c r="O390" s="117">
        <f t="shared" si="30"/>
        <v>8372096</v>
      </c>
      <c r="AG390" s="1">
        <v>625887</v>
      </c>
      <c r="AH390" s="1">
        <v>455935</v>
      </c>
      <c r="AU390" s="1">
        <v>102754</v>
      </c>
      <c r="AV390" s="116">
        <f t="shared" si="31"/>
        <v>1184576</v>
      </c>
      <c r="BF390" s="121">
        <f t="shared" si="32"/>
        <v>0</v>
      </c>
      <c r="BN390" s="1">
        <v>30071664</v>
      </c>
      <c r="CC390" s="125">
        <f t="shared" si="33"/>
        <v>30071664</v>
      </c>
      <c r="CD390" s="1">
        <v>4591255</v>
      </c>
      <c r="CK390" s="124">
        <f t="shared" si="34"/>
        <v>4591255</v>
      </c>
      <c r="CV390" s="129">
        <v>8007659</v>
      </c>
    </row>
    <row r="391" spans="1:100" ht="12.75" customHeight="1">
      <c r="A391" s="1">
        <v>25</v>
      </c>
      <c r="B391" s="1">
        <v>3260</v>
      </c>
      <c r="C391" s="1" t="s">
        <v>963</v>
      </c>
      <c r="D391" s="5" t="s">
        <v>997</v>
      </c>
      <c r="E391" t="s">
        <v>130</v>
      </c>
      <c r="F391" s="26">
        <v>2038.5</v>
      </c>
      <c r="H391" s="78">
        <v>1743870</v>
      </c>
      <c r="I391" s="1">
        <v>13605120</v>
      </c>
      <c r="L391" s="1">
        <v>12884</v>
      </c>
      <c r="O391" s="117">
        <f t="shared" si="30"/>
        <v>15361874</v>
      </c>
      <c r="P391" s="78">
        <v>660026</v>
      </c>
      <c r="W391" s="1">
        <v>1489770</v>
      </c>
      <c r="Y391" s="78">
        <v>684332</v>
      </c>
      <c r="AA391" s="1">
        <v>3116464</v>
      </c>
      <c r="AD391" s="1">
        <v>854840</v>
      </c>
      <c r="AE391" s="1">
        <v>230945</v>
      </c>
      <c r="AF391" s="1">
        <v>132451</v>
      </c>
      <c r="AG391" s="1">
        <v>2003876</v>
      </c>
      <c r="AH391" s="1">
        <v>1363907</v>
      </c>
      <c r="AM391" s="1">
        <v>116357</v>
      </c>
      <c r="AO391" s="1">
        <v>8523</v>
      </c>
      <c r="AT391" s="1">
        <v>116768</v>
      </c>
      <c r="AU391" s="1">
        <v>189340</v>
      </c>
      <c r="AV391" s="116">
        <f t="shared" si="31"/>
        <v>10967599</v>
      </c>
      <c r="BB391" s="1">
        <v>750942</v>
      </c>
      <c r="BC391" s="1">
        <v>123508</v>
      </c>
      <c r="BE391" s="1">
        <v>46977</v>
      </c>
      <c r="BF391" s="121">
        <f t="shared" si="32"/>
        <v>921427</v>
      </c>
      <c r="BL391" s="1">
        <v>106795</v>
      </c>
      <c r="BO391" s="1">
        <v>9636</v>
      </c>
      <c r="CB391" s="1">
        <v>175153</v>
      </c>
      <c r="CC391" s="125">
        <f t="shared" si="33"/>
        <v>291584</v>
      </c>
      <c r="CF391" s="1">
        <v>10397570</v>
      </c>
      <c r="CK391" s="124">
        <f t="shared" si="34"/>
        <v>10397570</v>
      </c>
      <c r="CP391" s="23">
        <v>764150</v>
      </c>
      <c r="CR391" s="23">
        <v>41095</v>
      </c>
      <c r="CV391" s="129">
        <v>1289626</v>
      </c>
    </row>
    <row r="392" spans="1:100" ht="12.75" customHeight="1">
      <c r="A392" s="1">
        <v>25</v>
      </c>
      <c r="B392" s="1">
        <v>3270</v>
      </c>
      <c r="C392" s="1" t="s">
        <v>963</v>
      </c>
      <c r="D392" s="5" t="s">
        <v>998</v>
      </c>
      <c r="E392" t="s">
        <v>131</v>
      </c>
      <c r="F392" s="26">
        <v>1200</v>
      </c>
      <c r="G392" s="78">
        <v>17719047</v>
      </c>
      <c r="H392" s="78">
        <v>371790</v>
      </c>
      <c r="L392" s="1">
        <v>1526</v>
      </c>
      <c r="M392" s="1">
        <v>595259</v>
      </c>
      <c r="O392" s="117">
        <f t="shared" si="30"/>
        <v>18687622</v>
      </c>
      <c r="P392" s="78">
        <v>914959</v>
      </c>
      <c r="V392" s="1">
        <v>558167</v>
      </c>
      <c r="W392" s="1">
        <v>674233</v>
      </c>
      <c r="X392" s="1">
        <v>9380</v>
      </c>
      <c r="Y392" s="78">
        <v>1720160</v>
      </c>
      <c r="AC392" s="1">
        <v>40890</v>
      </c>
      <c r="AD392" s="1">
        <v>128263</v>
      </c>
      <c r="AE392" s="1">
        <v>120960</v>
      </c>
      <c r="AF392" s="1">
        <v>69250</v>
      </c>
      <c r="AG392" s="1">
        <v>1497944</v>
      </c>
      <c r="AH392" s="1">
        <v>703887</v>
      </c>
      <c r="AO392" s="1">
        <v>53579</v>
      </c>
      <c r="AP392" s="1">
        <v>71703</v>
      </c>
      <c r="AU392" s="1">
        <v>33016</v>
      </c>
      <c r="AV392" s="116">
        <f t="shared" si="31"/>
        <v>6596391</v>
      </c>
      <c r="BA392" s="1">
        <v>160908</v>
      </c>
      <c r="BC392" s="1">
        <v>54813</v>
      </c>
      <c r="BD392" s="1">
        <v>315909</v>
      </c>
      <c r="BE392" s="1">
        <v>42271</v>
      </c>
      <c r="BF392" s="121">
        <f t="shared" si="32"/>
        <v>573901</v>
      </c>
      <c r="BG392" s="1">
        <v>42001</v>
      </c>
      <c r="BM392" s="1">
        <v>21082</v>
      </c>
      <c r="BN392" s="1">
        <v>368493</v>
      </c>
      <c r="BO392" s="1">
        <v>2785</v>
      </c>
      <c r="CC392" s="125">
        <f t="shared" si="33"/>
        <v>434361</v>
      </c>
      <c r="CD392" s="1">
        <v>37048</v>
      </c>
      <c r="CK392" s="124">
        <f t="shared" si="34"/>
        <v>37048</v>
      </c>
      <c r="CV392" s="129">
        <v>501114</v>
      </c>
    </row>
    <row r="393" spans="1:100" ht="12.75" customHeight="1">
      <c r="A393" s="1">
        <v>25</v>
      </c>
      <c r="B393" s="1">
        <v>3500</v>
      </c>
      <c r="C393" s="1" t="s">
        <v>963</v>
      </c>
      <c r="D393" s="5" t="s">
        <v>999</v>
      </c>
      <c r="E393" t="s">
        <v>132</v>
      </c>
      <c r="F393" s="26">
        <v>392</v>
      </c>
      <c r="G393" s="78">
        <v>4406498</v>
      </c>
      <c r="H393" s="78">
        <v>69957</v>
      </c>
      <c r="M393" s="1">
        <v>250000</v>
      </c>
      <c r="O393" s="117">
        <f t="shared" si="30"/>
        <v>4726455</v>
      </c>
      <c r="P393" s="78">
        <v>941448</v>
      </c>
      <c r="V393" s="1">
        <v>108445</v>
      </c>
      <c r="W393" s="1">
        <v>376540</v>
      </c>
      <c r="AC393" s="1">
        <v>69673</v>
      </c>
      <c r="AD393" s="1">
        <v>65613</v>
      </c>
      <c r="AE393" s="1">
        <v>45777</v>
      </c>
      <c r="AG393" s="1">
        <v>351259</v>
      </c>
      <c r="AH393" s="1">
        <v>160792</v>
      </c>
      <c r="AO393" s="1">
        <v>33840</v>
      </c>
      <c r="AU393" s="1">
        <v>500</v>
      </c>
      <c r="AV393" s="116">
        <f t="shared" si="31"/>
        <v>2153887</v>
      </c>
      <c r="AW393" s="1">
        <v>18</v>
      </c>
      <c r="BC393" s="1">
        <v>83320</v>
      </c>
      <c r="BD393" s="1">
        <v>151197</v>
      </c>
      <c r="BE393" s="1">
        <v>32356</v>
      </c>
      <c r="BF393" s="121">
        <f t="shared" si="32"/>
        <v>266891</v>
      </c>
      <c r="BO393" s="1">
        <v>161</v>
      </c>
      <c r="CC393" s="125">
        <f t="shared" si="33"/>
        <v>161</v>
      </c>
      <c r="CK393" s="124">
        <f t="shared" si="34"/>
        <v>0</v>
      </c>
      <c r="CV393" s="129">
        <v>301213</v>
      </c>
    </row>
    <row r="394" spans="1:100" ht="12.75" customHeight="1">
      <c r="A394" s="1">
        <v>25</v>
      </c>
      <c r="B394" s="1">
        <v>3510</v>
      </c>
      <c r="C394" s="1" t="s">
        <v>963</v>
      </c>
      <c r="D394" s="5" t="s">
        <v>1000</v>
      </c>
      <c r="E394" t="s">
        <v>133</v>
      </c>
      <c r="F394" s="26">
        <v>5033</v>
      </c>
      <c r="G394" s="78">
        <v>29049868</v>
      </c>
      <c r="H394" s="78">
        <v>806519</v>
      </c>
      <c r="L394" s="1">
        <v>99965</v>
      </c>
      <c r="M394" s="1">
        <v>557927</v>
      </c>
      <c r="O394" s="117">
        <f t="shared" si="30"/>
        <v>30514279</v>
      </c>
      <c r="P394" s="78">
        <v>8004527</v>
      </c>
      <c r="S394" s="25">
        <v>19155867</v>
      </c>
      <c r="V394" s="1">
        <v>1672439</v>
      </c>
      <c r="W394" s="1">
        <v>4064848</v>
      </c>
      <c r="X394" s="1">
        <v>39676</v>
      </c>
      <c r="Y394" s="78">
        <v>509342</v>
      </c>
      <c r="AC394" s="1">
        <v>317177</v>
      </c>
      <c r="AD394" s="1">
        <v>443379</v>
      </c>
      <c r="AG394" s="1">
        <v>4486114</v>
      </c>
      <c r="AH394" s="1">
        <v>2016992</v>
      </c>
      <c r="AI394" s="1">
        <v>22920</v>
      </c>
      <c r="AM394" s="1">
        <v>1401351</v>
      </c>
      <c r="AP394" s="1">
        <v>204143</v>
      </c>
      <c r="AT394" s="1">
        <v>48062542</v>
      </c>
      <c r="AU394" s="1">
        <v>428096</v>
      </c>
      <c r="AV394" s="116">
        <f t="shared" si="31"/>
        <v>90829413</v>
      </c>
      <c r="AW394" s="1">
        <v>54791</v>
      </c>
      <c r="AZ394" s="1">
        <v>44425</v>
      </c>
      <c r="BB394" s="1">
        <v>37009</v>
      </c>
      <c r="BC394" s="1">
        <v>955100</v>
      </c>
      <c r="BD394" s="1">
        <v>1203552</v>
      </c>
      <c r="BE394" s="1">
        <v>460509</v>
      </c>
      <c r="BF394" s="121">
        <f t="shared" si="32"/>
        <v>2755386</v>
      </c>
      <c r="BN394" s="1">
        <v>325000</v>
      </c>
      <c r="CC394" s="125">
        <f t="shared" si="33"/>
        <v>325000</v>
      </c>
      <c r="CD394" s="1">
        <v>2698238</v>
      </c>
      <c r="CK394" s="124">
        <f t="shared" si="34"/>
        <v>2698238</v>
      </c>
      <c r="CQ394" s="23">
        <v>160216</v>
      </c>
      <c r="CT394" s="23">
        <v>1924493</v>
      </c>
      <c r="CV394" s="129">
        <v>10826807</v>
      </c>
    </row>
    <row r="395" spans="1:100" ht="12.75" customHeight="1">
      <c r="A395" s="1">
        <v>25</v>
      </c>
      <c r="B395" s="1">
        <v>3810</v>
      </c>
      <c r="C395" s="1" t="s">
        <v>963</v>
      </c>
      <c r="D395" s="5" t="s">
        <v>1001</v>
      </c>
      <c r="E395" t="s">
        <v>134</v>
      </c>
      <c r="F395" s="26">
        <v>4318</v>
      </c>
      <c r="G395" s="78">
        <v>47642573</v>
      </c>
      <c r="H395" s="78">
        <v>488382</v>
      </c>
      <c r="M395" s="1">
        <v>2844064</v>
      </c>
      <c r="O395" s="117">
        <f t="shared" si="30"/>
        <v>50975019</v>
      </c>
      <c r="P395" s="78">
        <v>81662</v>
      </c>
      <c r="V395" s="1">
        <v>1023583</v>
      </c>
      <c r="W395" s="1">
        <v>2219325</v>
      </c>
      <c r="X395" s="1">
        <v>261704</v>
      </c>
      <c r="Y395" s="78">
        <v>4864867</v>
      </c>
      <c r="AC395" s="1">
        <v>91612</v>
      </c>
      <c r="AD395" s="1">
        <v>500213</v>
      </c>
      <c r="AE395" s="1">
        <v>271854</v>
      </c>
      <c r="AF395" s="1">
        <v>29072</v>
      </c>
      <c r="AG395" s="1">
        <v>4171854</v>
      </c>
      <c r="AH395" s="1">
        <v>2054185</v>
      </c>
      <c r="AO395" s="1">
        <v>110439</v>
      </c>
      <c r="AU395" s="1">
        <v>701703</v>
      </c>
      <c r="AV395" s="116">
        <f t="shared" si="31"/>
        <v>16382073</v>
      </c>
      <c r="BC395" s="1">
        <v>180812</v>
      </c>
      <c r="BD395" s="1">
        <v>987222</v>
      </c>
      <c r="BE395" s="1">
        <v>193635</v>
      </c>
      <c r="BF395" s="121">
        <f t="shared" si="32"/>
        <v>1361669</v>
      </c>
      <c r="BK395" s="1">
        <v>34000</v>
      </c>
      <c r="BM395" s="1">
        <v>1947</v>
      </c>
      <c r="BO395" s="1">
        <v>118</v>
      </c>
      <c r="BR395" s="1">
        <v>241444</v>
      </c>
      <c r="CC395" s="125">
        <f t="shared" si="33"/>
        <v>277509</v>
      </c>
      <c r="CD395" s="1">
        <v>2343</v>
      </c>
      <c r="CK395" s="124">
        <f t="shared" si="34"/>
        <v>2343</v>
      </c>
      <c r="CV395" s="129">
        <v>2173811</v>
      </c>
    </row>
    <row r="396" spans="1:100" ht="12.75" customHeight="1">
      <c r="A396" s="1">
        <v>25</v>
      </c>
      <c r="B396" s="1">
        <v>3830</v>
      </c>
      <c r="C396" s="1" t="s">
        <v>963</v>
      </c>
      <c r="D396" s="5" t="s">
        <v>1002</v>
      </c>
      <c r="E396" t="s">
        <v>135</v>
      </c>
      <c r="F396" s="26">
        <v>693</v>
      </c>
      <c r="G396" s="78">
        <v>6632658</v>
      </c>
      <c r="H396" s="78">
        <v>59138</v>
      </c>
      <c r="L396" s="1">
        <v>25423</v>
      </c>
      <c r="M396" s="1">
        <v>125499</v>
      </c>
      <c r="O396" s="117">
        <f t="shared" si="30"/>
        <v>6842718</v>
      </c>
      <c r="W396" s="1">
        <v>460246</v>
      </c>
      <c r="X396" s="1">
        <v>1150</v>
      </c>
      <c r="AC396" s="1">
        <v>23513</v>
      </c>
      <c r="AD396" s="1">
        <v>78659</v>
      </c>
      <c r="AE396" s="1">
        <v>13372</v>
      </c>
      <c r="AG396" s="1">
        <v>699500</v>
      </c>
      <c r="AH396" s="1">
        <v>303811</v>
      </c>
      <c r="AI396" s="1">
        <v>3591</v>
      </c>
      <c r="AU396" s="1">
        <v>436</v>
      </c>
      <c r="AV396" s="116">
        <f t="shared" si="31"/>
        <v>1584278</v>
      </c>
      <c r="AW396" s="1">
        <v>108</v>
      </c>
      <c r="BC396" s="1">
        <v>19421</v>
      </c>
      <c r="BD396" s="1">
        <v>162280</v>
      </c>
      <c r="BE396" s="1">
        <v>16542</v>
      </c>
      <c r="BF396" s="121">
        <f t="shared" si="32"/>
        <v>198351</v>
      </c>
      <c r="BG396" s="1">
        <v>22557</v>
      </c>
      <c r="BI396" s="1">
        <v>634626</v>
      </c>
      <c r="BM396" s="1">
        <v>7924</v>
      </c>
      <c r="CC396" s="125">
        <f t="shared" si="33"/>
        <v>665107</v>
      </c>
      <c r="CK396" s="124">
        <f t="shared" si="34"/>
        <v>0</v>
      </c>
      <c r="CV396" s="129">
        <v>224102</v>
      </c>
    </row>
    <row r="397" spans="1:100" ht="12.75" customHeight="1">
      <c r="A397" s="1">
        <v>25</v>
      </c>
      <c r="B397" s="1">
        <v>4360</v>
      </c>
      <c r="C397" s="1" t="s">
        <v>963</v>
      </c>
      <c r="D397" s="5" t="s">
        <v>1003</v>
      </c>
      <c r="E397" t="s">
        <v>136</v>
      </c>
      <c r="F397" s="26">
        <v>857</v>
      </c>
      <c r="G397" s="78">
        <v>11076997</v>
      </c>
      <c r="H397" s="78">
        <v>147649</v>
      </c>
      <c r="L397" s="1">
        <v>20048</v>
      </c>
      <c r="M397" s="1">
        <v>603891</v>
      </c>
      <c r="O397" s="117">
        <f t="shared" si="30"/>
        <v>11848585</v>
      </c>
      <c r="V397" s="1">
        <v>116455</v>
      </c>
      <c r="W397" s="1">
        <v>602979</v>
      </c>
      <c r="X397" s="1">
        <v>105272</v>
      </c>
      <c r="AC397" s="1">
        <v>21827</v>
      </c>
      <c r="AD397" s="1">
        <v>90738</v>
      </c>
      <c r="AE397" s="1">
        <v>57642</v>
      </c>
      <c r="AF397" s="1">
        <v>1838</v>
      </c>
      <c r="AG397" s="1">
        <v>984352</v>
      </c>
      <c r="AH397" s="1">
        <v>378237</v>
      </c>
      <c r="AM397" s="1">
        <v>303987</v>
      </c>
      <c r="AU397" s="1">
        <v>569869</v>
      </c>
      <c r="AV397" s="116">
        <f t="shared" si="31"/>
        <v>3233196</v>
      </c>
      <c r="AW397" s="1">
        <v>4472</v>
      </c>
      <c r="BC397" s="1">
        <v>531341</v>
      </c>
      <c r="BD397" s="1">
        <v>288752</v>
      </c>
      <c r="BE397" s="1">
        <v>113947</v>
      </c>
      <c r="BF397" s="121">
        <f t="shared" si="32"/>
        <v>938512</v>
      </c>
      <c r="BO397" s="1">
        <v>2259</v>
      </c>
      <c r="CC397" s="125">
        <f t="shared" si="33"/>
        <v>2259</v>
      </c>
      <c r="CD397" s="1">
        <v>35881</v>
      </c>
      <c r="CK397" s="124">
        <f t="shared" si="34"/>
        <v>35881</v>
      </c>
      <c r="CQ397" s="23">
        <v>84957</v>
      </c>
      <c r="CT397" s="23">
        <v>665734</v>
      </c>
      <c r="CV397" s="129">
        <v>2578635</v>
      </c>
    </row>
    <row r="398" spans="1:100" ht="12.75" customHeight="1">
      <c r="A398" s="1">
        <v>25</v>
      </c>
      <c r="B398" s="1">
        <v>4365</v>
      </c>
      <c r="C398" s="1" t="s">
        <v>963</v>
      </c>
      <c r="D398" s="5" t="s">
        <v>1004</v>
      </c>
      <c r="E398" t="s">
        <v>137</v>
      </c>
      <c r="F398" s="26">
        <v>1110</v>
      </c>
      <c r="G398" s="78">
        <v>15953619</v>
      </c>
      <c r="H398" s="78">
        <v>217056</v>
      </c>
      <c r="L398" s="1">
        <v>22485</v>
      </c>
      <c r="M398" s="1">
        <v>769396</v>
      </c>
      <c r="O398" s="117">
        <f t="shared" si="30"/>
        <v>16962556</v>
      </c>
      <c r="V398" s="1">
        <v>128684</v>
      </c>
      <c r="W398" s="1">
        <v>672332</v>
      </c>
      <c r="X398" s="1">
        <v>33782</v>
      </c>
      <c r="Y398" s="78">
        <v>430046</v>
      </c>
      <c r="AC398" s="1">
        <v>19902</v>
      </c>
      <c r="AD398" s="1">
        <v>94688</v>
      </c>
      <c r="AE398" s="1">
        <v>42265</v>
      </c>
      <c r="AF398" s="1">
        <v>8665</v>
      </c>
      <c r="AG398" s="1">
        <v>1263833</v>
      </c>
      <c r="AH398" s="1">
        <v>605447</v>
      </c>
      <c r="AL398" s="1">
        <v>49308</v>
      </c>
      <c r="AO398" s="1">
        <v>49308</v>
      </c>
      <c r="AT398" s="1">
        <v>18700</v>
      </c>
      <c r="AU398" s="1">
        <v>708816</v>
      </c>
      <c r="AV398" s="116">
        <f t="shared" si="31"/>
        <v>4125776</v>
      </c>
      <c r="BC398" s="1">
        <v>74305</v>
      </c>
      <c r="BD398" s="1">
        <v>317313</v>
      </c>
      <c r="BE398" s="1">
        <v>62862</v>
      </c>
      <c r="BF398" s="121">
        <f t="shared" si="32"/>
        <v>454480</v>
      </c>
      <c r="BI398" s="1">
        <v>268055</v>
      </c>
      <c r="BJ398" s="1">
        <v>24686</v>
      </c>
      <c r="BK398" s="1">
        <v>35384</v>
      </c>
      <c r="BN398" s="1">
        <v>246784</v>
      </c>
      <c r="BP398" s="1">
        <v>780</v>
      </c>
      <c r="CC398" s="125">
        <f t="shared" si="33"/>
        <v>575689</v>
      </c>
      <c r="CD398" s="1">
        <v>2348371</v>
      </c>
      <c r="CK398" s="124">
        <f t="shared" si="34"/>
        <v>2348371</v>
      </c>
      <c r="CV398" s="129">
        <v>1284397</v>
      </c>
    </row>
    <row r="399" spans="1:100" ht="12.75" customHeight="1">
      <c r="A399" s="1">
        <v>25</v>
      </c>
      <c r="B399" s="1">
        <v>4520</v>
      </c>
      <c r="C399" s="1" t="s">
        <v>963</v>
      </c>
      <c r="D399" s="5" t="s">
        <v>1005</v>
      </c>
      <c r="E399" t="s">
        <v>138</v>
      </c>
      <c r="F399" s="26">
        <v>91</v>
      </c>
      <c r="G399" s="78">
        <v>1170752</v>
      </c>
      <c r="H399" s="78">
        <v>2267</v>
      </c>
      <c r="M399" s="1">
        <v>55983</v>
      </c>
      <c r="O399" s="117">
        <f t="shared" si="30"/>
        <v>1229002</v>
      </c>
      <c r="P399" s="78">
        <v>417561</v>
      </c>
      <c r="Q399" s="78">
        <v>205083</v>
      </c>
      <c r="V399" s="1">
        <v>74189</v>
      </c>
      <c r="W399" s="1">
        <v>27055</v>
      </c>
      <c r="Y399" s="78">
        <v>33611</v>
      </c>
      <c r="AD399" s="1">
        <v>5092</v>
      </c>
      <c r="AF399" s="1">
        <v>1516</v>
      </c>
      <c r="AG399" s="1">
        <v>92135</v>
      </c>
      <c r="AH399" s="1">
        <v>52031</v>
      </c>
      <c r="AP399" s="1">
        <v>27261</v>
      </c>
      <c r="AU399" s="1">
        <v>10000</v>
      </c>
      <c r="AV399" s="116">
        <f t="shared" si="31"/>
        <v>945534</v>
      </c>
      <c r="BD399" s="1">
        <v>30803</v>
      </c>
      <c r="BE399" s="1">
        <v>25270</v>
      </c>
      <c r="BF399" s="121">
        <f t="shared" si="32"/>
        <v>56073</v>
      </c>
      <c r="BI399" s="1">
        <v>31500</v>
      </c>
      <c r="BO399" s="1">
        <v>200</v>
      </c>
      <c r="BP399" s="1">
        <v>48677</v>
      </c>
      <c r="CB399" s="1">
        <v>53506</v>
      </c>
      <c r="CC399" s="125">
        <f t="shared" si="33"/>
        <v>133883</v>
      </c>
      <c r="CK399" s="124">
        <f t="shared" si="34"/>
        <v>0</v>
      </c>
      <c r="CV399" s="129">
        <v>66073</v>
      </c>
    </row>
    <row r="400" spans="1:100" ht="12.75" customHeight="1">
      <c r="A400" s="1">
        <v>25</v>
      </c>
      <c r="B400" s="1">
        <v>4570</v>
      </c>
      <c r="C400" s="1" t="s">
        <v>963</v>
      </c>
      <c r="D400" s="5" t="s">
        <v>1006</v>
      </c>
      <c r="E400" t="s">
        <v>139</v>
      </c>
      <c r="F400" s="26">
        <v>958</v>
      </c>
      <c r="G400" s="78">
        <v>10695140</v>
      </c>
      <c r="H400" s="78">
        <v>189405</v>
      </c>
      <c r="M400" s="1">
        <v>647001</v>
      </c>
      <c r="O400" s="117">
        <f t="shared" si="30"/>
        <v>11531546</v>
      </c>
      <c r="V400" s="1">
        <v>70229</v>
      </c>
      <c r="W400" s="1">
        <v>501030</v>
      </c>
      <c r="AD400" s="1">
        <v>71733</v>
      </c>
      <c r="AE400" s="1">
        <v>19290</v>
      </c>
      <c r="AF400" s="1">
        <v>10175</v>
      </c>
      <c r="AG400" s="1">
        <v>834422</v>
      </c>
      <c r="AH400" s="1">
        <v>439827</v>
      </c>
      <c r="AP400" s="1">
        <v>112118</v>
      </c>
      <c r="AU400" s="1">
        <v>149040</v>
      </c>
      <c r="AV400" s="116">
        <f t="shared" si="31"/>
        <v>2207864</v>
      </c>
      <c r="BD400" s="1">
        <v>252641</v>
      </c>
      <c r="BE400" s="1">
        <v>32179</v>
      </c>
      <c r="BF400" s="121">
        <f t="shared" si="32"/>
        <v>284820</v>
      </c>
      <c r="BI400" s="1">
        <v>10771</v>
      </c>
      <c r="BO400" s="1">
        <v>114</v>
      </c>
      <c r="CB400" s="1">
        <v>10260</v>
      </c>
      <c r="CC400" s="125">
        <f t="shared" si="33"/>
        <v>21145</v>
      </c>
      <c r="CK400" s="124">
        <f t="shared" si="34"/>
        <v>0</v>
      </c>
      <c r="CV400" s="129">
        <v>433860</v>
      </c>
    </row>
    <row r="401" spans="1:100" ht="12.75" customHeight="1">
      <c r="A401" s="1">
        <v>25</v>
      </c>
      <c r="B401" s="1">
        <v>4580</v>
      </c>
      <c r="C401" s="1" t="s">
        <v>963</v>
      </c>
      <c r="D401" s="5" t="s">
        <v>1007</v>
      </c>
      <c r="E401" t="s">
        <v>140</v>
      </c>
      <c r="F401" s="26">
        <v>996.5</v>
      </c>
      <c r="G401" s="78">
        <v>12753309</v>
      </c>
      <c r="H401" s="78">
        <v>196159</v>
      </c>
      <c r="L401" s="1">
        <v>47651</v>
      </c>
      <c r="M401" s="1">
        <v>646051</v>
      </c>
      <c r="O401" s="117">
        <f t="shared" si="30"/>
        <v>13643170</v>
      </c>
      <c r="V401" s="1">
        <v>129135</v>
      </c>
      <c r="W401" s="1">
        <v>337531</v>
      </c>
      <c r="X401" s="1">
        <v>1168</v>
      </c>
      <c r="AC401" s="1">
        <v>14295</v>
      </c>
      <c r="AD401" s="1">
        <v>62233</v>
      </c>
      <c r="AE401" s="1">
        <v>15902</v>
      </c>
      <c r="AF401" s="1">
        <v>105341</v>
      </c>
      <c r="AG401" s="1">
        <v>1031361</v>
      </c>
      <c r="AH401" s="1">
        <v>486237</v>
      </c>
      <c r="AV401" s="116">
        <f t="shared" si="31"/>
        <v>2183203</v>
      </c>
      <c r="BD401" s="1">
        <v>137258</v>
      </c>
      <c r="BE401" s="1">
        <v>24580</v>
      </c>
      <c r="BF401" s="121">
        <f t="shared" si="32"/>
        <v>161838</v>
      </c>
      <c r="BI401" s="1">
        <v>283154</v>
      </c>
      <c r="BM401" s="1">
        <v>208270</v>
      </c>
      <c r="BO401" s="1">
        <v>25881</v>
      </c>
      <c r="BZ401" s="1">
        <v>34091</v>
      </c>
      <c r="CC401" s="125">
        <f t="shared" si="33"/>
        <v>551396</v>
      </c>
      <c r="CK401" s="124">
        <f t="shared" si="34"/>
        <v>0</v>
      </c>
      <c r="CV401" s="129">
        <v>209489</v>
      </c>
    </row>
    <row r="402" spans="1:100" ht="12.75" customHeight="1">
      <c r="A402" s="1">
        <v>25</v>
      </c>
      <c r="B402" s="1">
        <v>4690</v>
      </c>
      <c r="C402" s="1" t="s">
        <v>963</v>
      </c>
      <c r="D402" s="5" t="s">
        <v>1008</v>
      </c>
      <c r="E402" t="s">
        <v>141</v>
      </c>
      <c r="F402" s="26">
        <v>172.5</v>
      </c>
      <c r="G402" s="78">
        <v>3473180</v>
      </c>
      <c r="H402" s="78">
        <v>28729</v>
      </c>
      <c r="M402" s="1">
        <v>148603</v>
      </c>
      <c r="O402" s="117">
        <f t="shared" si="30"/>
        <v>3650512</v>
      </c>
      <c r="V402" s="1">
        <v>954</v>
      </c>
      <c r="W402" s="1">
        <v>166698</v>
      </c>
      <c r="AC402" s="1">
        <v>6417</v>
      </c>
      <c r="AF402" s="1">
        <v>22654</v>
      </c>
      <c r="AG402" s="1">
        <v>131743</v>
      </c>
      <c r="AH402" s="1">
        <v>98713</v>
      </c>
      <c r="AU402" s="1">
        <v>501</v>
      </c>
      <c r="AV402" s="116">
        <f t="shared" si="31"/>
        <v>427680</v>
      </c>
      <c r="BD402" s="1">
        <v>47656</v>
      </c>
      <c r="BE402" s="1">
        <v>11302</v>
      </c>
      <c r="BF402" s="121">
        <f t="shared" si="32"/>
        <v>58958</v>
      </c>
      <c r="BO402" s="1">
        <v>3163</v>
      </c>
      <c r="BZ402" s="1">
        <v>3274</v>
      </c>
      <c r="CB402" s="1">
        <v>205000</v>
      </c>
      <c r="CC402" s="125">
        <f t="shared" si="33"/>
        <v>211437</v>
      </c>
      <c r="CK402" s="124">
        <f t="shared" si="34"/>
        <v>0</v>
      </c>
      <c r="CV402" s="129">
        <v>59459</v>
      </c>
    </row>
    <row r="403" spans="1:100" ht="12.75" customHeight="1">
      <c r="A403" s="1">
        <v>25</v>
      </c>
      <c r="B403" s="1">
        <v>4760</v>
      </c>
      <c r="C403" s="1" t="s">
        <v>963</v>
      </c>
      <c r="D403" s="5" t="s">
        <v>1009</v>
      </c>
      <c r="E403" t="s">
        <v>142</v>
      </c>
      <c r="F403" s="26">
        <v>747.5</v>
      </c>
      <c r="G403" s="78">
        <v>12051366</v>
      </c>
      <c r="H403" s="78">
        <v>155609</v>
      </c>
      <c r="O403" s="117">
        <f t="shared" si="30"/>
        <v>12206975</v>
      </c>
      <c r="V403" s="1">
        <v>249966</v>
      </c>
      <c r="W403" s="1">
        <v>362233</v>
      </c>
      <c r="X403" s="1">
        <v>1168</v>
      </c>
      <c r="AC403" s="1">
        <v>29771</v>
      </c>
      <c r="AD403" s="1">
        <v>78889</v>
      </c>
      <c r="AE403" s="1">
        <v>20768</v>
      </c>
      <c r="AF403" s="1">
        <v>45706</v>
      </c>
      <c r="AG403" s="1">
        <v>907939</v>
      </c>
      <c r="AH403" s="1">
        <v>358018</v>
      </c>
      <c r="AU403" s="1">
        <v>26210</v>
      </c>
      <c r="AV403" s="116">
        <f t="shared" si="31"/>
        <v>2080668</v>
      </c>
      <c r="BC403" s="1">
        <v>97406</v>
      </c>
      <c r="BD403" s="1">
        <v>137096</v>
      </c>
      <c r="BE403" s="1">
        <v>39849</v>
      </c>
      <c r="BF403" s="121">
        <f t="shared" si="32"/>
        <v>274351</v>
      </c>
      <c r="BG403" s="1">
        <v>180975</v>
      </c>
      <c r="BH403" s="1">
        <v>225103</v>
      </c>
      <c r="BI403" s="1">
        <v>64888</v>
      </c>
      <c r="BN403" s="1">
        <v>52056</v>
      </c>
      <c r="BO403" s="1">
        <v>293</v>
      </c>
      <c r="CC403" s="125">
        <f t="shared" si="33"/>
        <v>523315</v>
      </c>
      <c r="CK403" s="124">
        <f t="shared" si="34"/>
        <v>0</v>
      </c>
      <c r="CV403" s="129">
        <v>300561</v>
      </c>
    </row>
    <row r="404" spans="1:100" ht="12.75" customHeight="1">
      <c r="A404" s="1">
        <v>25</v>
      </c>
      <c r="B404" s="1">
        <v>4770</v>
      </c>
      <c r="C404" s="1" t="s">
        <v>963</v>
      </c>
      <c r="D404" s="5" t="s">
        <v>1010</v>
      </c>
      <c r="E404" t="s">
        <v>143</v>
      </c>
      <c r="F404" s="26">
        <v>503</v>
      </c>
      <c r="G404" s="78">
        <v>5731281</v>
      </c>
      <c r="H404" s="78">
        <v>38141</v>
      </c>
      <c r="L404" s="1">
        <v>1000</v>
      </c>
      <c r="M404" s="1">
        <v>578638</v>
      </c>
      <c r="O404" s="117">
        <f t="shared" si="30"/>
        <v>6349060</v>
      </c>
      <c r="V404" s="1">
        <v>30721</v>
      </c>
      <c r="W404" s="1">
        <v>250127</v>
      </c>
      <c r="Y404" s="78">
        <v>34084</v>
      </c>
      <c r="AC404" s="1">
        <v>3370</v>
      </c>
      <c r="AD404" s="1">
        <v>36406</v>
      </c>
      <c r="AE404" s="1">
        <v>10540</v>
      </c>
      <c r="AF404" s="1">
        <v>3278</v>
      </c>
      <c r="AG404" s="1">
        <v>415401</v>
      </c>
      <c r="AH404" s="1">
        <v>230215</v>
      </c>
      <c r="AU404" s="1">
        <v>8639</v>
      </c>
      <c r="AV404" s="116">
        <f t="shared" si="31"/>
        <v>1022781</v>
      </c>
      <c r="BD404" s="1">
        <v>116707</v>
      </c>
      <c r="BE404" s="1">
        <v>9778</v>
      </c>
      <c r="BF404" s="121">
        <f t="shared" si="32"/>
        <v>126485</v>
      </c>
      <c r="CC404" s="125">
        <f t="shared" si="33"/>
        <v>0</v>
      </c>
      <c r="CK404" s="124">
        <f t="shared" si="34"/>
        <v>0</v>
      </c>
      <c r="CV404" s="129">
        <v>136124</v>
      </c>
    </row>
    <row r="405" spans="1:100" ht="12.75" customHeight="1">
      <c r="A405" s="1">
        <v>25</v>
      </c>
      <c r="B405" s="1">
        <v>4840</v>
      </c>
      <c r="C405" s="1" t="s">
        <v>963</v>
      </c>
      <c r="D405" s="5" t="s">
        <v>1011</v>
      </c>
      <c r="E405"/>
      <c r="F405" s="26"/>
      <c r="G405" s="78">
        <v>2447693</v>
      </c>
      <c r="H405" s="78">
        <v>21468</v>
      </c>
      <c r="O405" s="117">
        <f t="shared" si="30"/>
        <v>2469161</v>
      </c>
      <c r="V405" s="1">
        <v>53700</v>
      </c>
      <c r="W405" s="1">
        <v>198318</v>
      </c>
      <c r="Y405" s="78">
        <v>316813</v>
      </c>
      <c r="AC405" s="1">
        <v>18910</v>
      </c>
      <c r="AD405" s="1">
        <v>26443</v>
      </c>
      <c r="AE405" s="1">
        <v>17858</v>
      </c>
      <c r="AF405" s="1">
        <v>336</v>
      </c>
      <c r="AG405" s="1">
        <v>1469</v>
      </c>
      <c r="AV405" s="116">
        <f t="shared" si="31"/>
        <v>633847</v>
      </c>
      <c r="BF405" s="121">
        <f t="shared" si="32"/>
        <v>0</v>
      </c>
      <c r="CC405" s="125">
        <f t="shared" si="33"/>
        <v>0</v>
      </c>
      <c r="CK405" s="124">
        <f t="shared" si="34"/>
        <v>0</v>
      </c>
    </row>
    <row r="406" spans="1:100" ht="12.75" customHeight="1">
      <c r="A406" s="1">
        <v>25</v>
      </c>
      <c r="B406" s="1">
        <v>4980</v>
      </c>
      <c r="C406" s="1" t="s">
        <v>963</v>
      </c>
      <c r="D406" s="5" t="s">
        <v>1012</v>
      </c>
      <c r="E406" t="s">
        <v>144</v>
      </c>
      <c r="F406" s="26">
        <v>253</v>
      </c>
      <c r="G406" s="78">
        <v>6137862</v>
      </c>
      <c r="L406" s="1">
        <v>16379</v>
      </c>
      <c r="M406" s="1">
        <v>135729</v>
      </c>
      <c r="O406" s="117">
        <f t="shared" si="30"/>
        <v>6289970</v>
      </c>
      <c r="V406" s="1">
        <v>89883</v>
      </c>
      <c r="W406" s="1">
        <v>189241</v>
      </c>
      <c r="Y406" s="78">
        <v>71314</v>
      </c>
      <c r="AC406" s="1">
        <v>76494</v>
      </c>
      <c r="AD406" s="1">
        <v>21767</v>
      </c>
      <c r="AE406" s="1">
        <v>9485</v>
      </c>
      <c r="AF406" s="1">
        <v>4845</v>
      </c>
      <c r="AG406" s="1">
        <v>300352</v>
      </c>
      <c r="AH406" s="1">
        <v>135717</v>
      </c>
      <c r="AP406" s="1">
        <v>77527</v>
      </c>
      <c r="AU406" s="1">
        <v>188722</v>
      </c>
      <c r="AV406" s="116">
        <f t="shared" si="31"/>
        <v>1165347</v>
      </c>
      <c r="BD406" s="1">
        <v>139381</v>
      </c>
      <c r="BE406" s="1">
        <v>9857</v>
      </c>
      <c r="BF406" s="121">
        <f t="shared" si="32"/>
        <v>149238</v>
      </c>
      <c r="BI406" s="1">
        <v>28729</v>
      </c>
      <c r="BO406" s="1">
        <v>15294</v>
      </c>
      <c r="BP406" s="1">
        <v>128779</v>
      </c>
      <c r="BZ406" s="1">
        <v>1596</v>
      </c>
      <c r="CC406" s="125">
        <f t="shared" si="33"/>
        <v>174398</v>
      </c>
      <c r="CK406" s="124">
        <f t="shared" si="34"/>
        <v>0</v>
      </c>
      <c r="CV406" s="129">
        <v>354339</v>
      </c>
    </row>
    <row r="407" spans="1:100" ht="12.75" customHeight="1">
      <c r="A407" s="1">
        <v>25</v>
      </c>
      <c r="B407" s="1">
        <v>4990</v>
      </c>
      <c r="C407" s="1" t="s">
        <v>963</v>
      </c>
      <c r="D407" s="5" t="s">
        <v>1013</v>
      </c>
      <c r="E407" t="s">
        <v>145</v>
      </c>
      <c r="F407" s="26">
        <v>354</v>
      </c>
      <c r="G407" s="78">
        <v>5856354</v>
      </c>
      <c r="H407" s="78">
        <v>32670</v>
      </c>
      <c r="M407" s="1">
        <v>546678</v>
      </c>
      <c r="O407" s="117">
        <f t="shared" si="30"/>
        <v>6435702</v>
      </c>
      <c r="V407" s="1">
        <v>75452</v>
      </c>
      <c r="W407" s="1">
        <v>276996</v>
      </c>
      <c r="X407" s="1">
        <v>3504</v>
      </c>
      <c r="Y407" s="78">
        <v>21065</v>
      </c>
      <c r="AC407" s="1">
        <v>5689</v>
      </c>
      <c r="AD407" s="1">
        <v>62102</v>
      </c>
      <c r="AE407" s="1">
        <v>13385</v>
      </c>
      <c r="AF407" s="1">
        <v>3698</v>
      </c>
      <c r="AG407" s="1">
        <v>362994</v>
      </c>
      <c r="AH407" s="1">
        <v>160942</v>
      </c>
      <c r="AK407" s="1">
        <v>1164</v>
      </c>
      <c r="AO407" s="1">
        <v>16063</v>
      </c>
      <c r="AV407" s="116">
        <f t="shared" si="31"/>
        <v>1003054</v>
      </c>
      <c r="BC407" s="1">
        <v>24358</v>
      </c>
      <c r="BD407" s="1">
        <v>111652</v>
      </c>
      <c r="BE407" s="1">
        <v>28573</v>
      </c>
      <c r="BF407" s="121">
        <f t="shared" si="32"/>
        <v>164583</v>
      </c>
      <c r="BH407" s="1">
        <v>1743</v>
      </c>
      <c r="BI407" s="1">
        <v>300</v>
      </c>
      <c r="CC407" s="125">
        <f t="shared" si="33"/>
        <v>2043</v>
      </c>
      <c r="CK407" s="124">
        <f t="shared" si="34"/>
        <v>0</v>
      </c>
      <c r="CV407" s="129">
        <v>181810</v>
      </c>
    </row>
    <row r="408" spans="1:100" ht="12.75" customHeight="1">
      <c r="A408" s="1">
        <v>25</v>
      </c>
      <c r="B408" s="1">
        <v>5185</v>
      </c>
      <c r="C408" s="1" t="s">
        <v>963</v>
      </c>
      <c r="D408" s="5" t="s">
        <v>1014</v>
      </c>
      <c r="E408" t="s">
        <v>146</v>
      </c>
      <c r="F408" s="26">
        <v>1576</v>
      </c>
      <c r="G408" s="78">
        <v>16576450</v>
      </c>
      <c r="M408" s="1">
        <v>1745469</v>
      </c>
      <c r="O408" s="117">
        <f t="shared" si="30"/>
        <v>18321919</v>
      </c>
      <c r="P408" s="78">
        <v>495755</v>
      </c>
      <c r="V408" s="1">
        <v>880171</v>
      </c>
      <c r="W408" s="1">
        <v>1809370</v>
      </c>
      <c r="X408" s="1">
        <v>1456</v>
      </c>
      <c r="Y408" s="78">
        <v>533347</v>
      </c>
      <c r="AC408" s="1">
        <v>52983</v>
      </c>
      <c r="AD408" s="1">
        <v>177069</v>
      </c>
      <c r="AE408" s="1">
        <v>79177</v>
      </c>
      <c r="AF408" s="1">
        <v>18455</v>
      </c>
      <c r="AG408" s="1">
        <v>1253755</v>
      </c>
      <c r="AH408" s="1">
        <v>711404</v>
      </c>
      <c r="AL408" s="1">
        <v>93935</v>
      </c>
      <c r="AN408" s="1">
        <v>21</v>
      </c>
      <c r="AP408" s="1">
        <v>64526</v>
      </c>
      <c r="AT408" s="1">
        <v>41922</v>
      </c>
      <c r="AU408" s="1">
        <v>129087</v>
      </c>
      <c r="AV408" s="116">
        <f t="shared" si="31"/>
        <v>6342433</v>
      </c>
      <c r="BA408" s="1">
        <v>160479</v>
      </c>
      <c r="BC408" s="1">
        <v>104376</v>
      </c>
      <c r="BD408" s="1">
        <v>424711</v>
      </c>
      <c r="BE408" s="1">
        <v>54597</v>
      </c>
      <c r="BF408" s="121">
        <f t="shared" si="32"/>
        <v>744163</v>
      </c>
      <c r="BI408" s="1">
        <v>167380</v>
      </c>
      <c r="BO408" s="1">
        <v>26006</v>
      </c>
      <c r="BP408" s="1">
        <v>539966</v>
      </c>
      <c r="CA408" s="1">
        <v>56789</v>
      </c>
      <c r="CC408" s="125">
        <f t="shared" si="33"/>
        <v>790141</v>
      </c>
      <c r="CK408" s="124">
        <f t="shared" si="34"/>
        <v>0</v>
      </c>
      <c r="CV408" s="129">
        <v>806727</v>
      </c>
    </row>
    <row r="409" spans="1:100" ht="12.75" customHeight="1">
      <c r="A409" s="1">
        <v>25</v>
      </c>
      <c r="B409" s="1">
        <v>5230</v>
      </c>
      <c r="C409" s="1" t="s">
        <v>963</v>
      </c>
      <c r="D409" s="5" t="s">
        <v>1015</v>
      </c>
      <c r="E409" t="s">
        <v>147</v>
      </c>
      <c r="F409" s="26">
        <v>826</v>
      </c>
      <c r="G409" s="78">
        <v>6153919</v>
      </c>
      <c r="H409" s="78">
        <v>99980</v>
      </c>
      <c r="O409" s="117">
        <f t="shared" si="30"/>
        <v>6253899</v>
      </c>
      <c r="P409" s="78">
        <v>5011768</v>
      </c>
      <c r="V409" s="1">
        <v>313956</v>
      </c>
      <c r="W409" s="1">
        <v>1078708</v>
      </c>
      <c r="Y409" s="78">
        <v>171874</v>
      </c>
      <c r="AC409" s="1">
        <v>54799</v>
      </c>
      <c r="AD409" s="1">
        <v>57936</v>
      </c>
      <c r="AE409" s="1">
        <v>180368</v>
      </c>
      <c r="AF409" s="1">
        <v>3958</v>
      </c>
      <c r="AG409" s="1">
        <v>890672</v>
      </c>
      <c r="AH409" s="1">
        <v>346956</v>
      </c>
      <c r="AU409" s="1">
        <v>7953</v>
      </c>
      <c r="AV409" s="116">
        <f t="shared" si="31"/>
        <v>8118948</v>
      </c>
      <c r="BC409" s="1">
        <v>140505</v>
      </c>
      <c r="BD409" s="1">
        <v>311509</v>
      </c>
      <c r="BE409" s="1">
        <v>186010</v>
      </c>
      <c r="BF409" s="121">
        <f t="shared" si="32"/>
        <v>638024</v>
      </c>
      <c r="BO409" s="1">
        <v>30949</v>
      </c>
      <c r="CC409" s="125">
        <f t="shared" si="33"/>
        <v>30949</v>
      </c>
      <c r="CK409" s="124">
        <f t="shared" si="34"/>
        <v>0</v>
      </c>
      <c r="CO409" s="23">
        <v>437114</v>
      </c>
      <c r="CT409" s="23">
        <v>376020</v>
      </c>
      <c r="CV409" s="129">
        <v>1021997</v>
      </c>
    </row>
    <row r="410" spans="1:100" ht="12.75" customHeight="1">
      <c r="A410" s="1">
        <v>25</v>
      </c>
      <c r="B410" s="1">
        <v>5310</v>
      </c>
      <c r="C410" s="1" t="s">
        <v>963</v>
      </c>
      <c r="D410" s="5" t="s">
        <v>1016</v>
      </c>
      <c r="E410" t="s">
        <v>148</v>
      </c>
      <c r="F410" s="26">
        <v>2279.5</v>
      </c>
      <c r="G410" s="78">
        <v>15597479</v>
      </c>
      <c r="H410" s="78">
        <v>125704</v>
      </c>
      <c r="J410" s="1">
        <v>76020</v>
      </c>
      <c r="L410" s="1">
        <v>15905</v>
      </c>
      <c r="M410" s="1">
        <v>2310737</v>
      </c>
      <c r="O410" s="117">
        <f t="shared" si="30"/>
        <v>18125845</v>
      </c>
      <c r="P410" s="78">
        <v>2189520</v>
      </c>
      <c r="R410" s="1">
        <v>411476</v>
      </c>
      <c r="V410" s="1">
        <v>376700</v>
      </c>
      <c r="W410" s="1">
        <v>762563</v>
      </c>
      <c r="X410" s="1">
        <v>9290</v>
      </c>
      <c r="AC410" s="1">
        <v>70377</v>
      </c>
      <c r="AD410" s="1">
        <v>163922</v>
      </c>
      <c r="AE410" s="1">
        <v>121202</v>
      </c>
      <c r="AF410" s="1">
        <v>217033</v>
      </c>
      <c r="AG410" s="1">
        <v>1362453</v>
      </c>
      <c r="AH410" s="1">
        <v>938497</v>
      </c>
      <c r="AP410" s="1">
        <v>166501</v>
      </c>
      <c r="AU410" s="1">
        <v>27967</v>
      </c>
      <c r="AV410" s="116">
        <f t="shared" si="31"/>
        <v>6817501</v>
      </c>
      <c r="AW410" s="1">
        <v>2844</v>
      </c>
      <c r="BB410" s="1">
        <v>16761</v>
      </c>
      <c r="BD410" s="1">
        <v>288762</v>
      </c>
      <c r="BE410" s="1">
        <v>45292</v>
      </c>
      <c r="BF410" s="121">
        <f t="shared" si="32"/>
        <v>353659</v>
      </c>
      <c r="BI410" s="1">
        <v>9635</v>
      </c>
      <c r="BN410" s="1">
        <v>62967</v>
      </c>
      <c r="BO410" s="1">
        <v>4561</v>
      </c>
      <c r="BP410" s="1">
        <v>43501</v>
      </c>
      <c r="CA410" s="1">
        <v>1553317</v>
      </c>
      <c r="CC410" s="125">
        <f t="shared" si="33"/>
        <v>1673981</v>
      </c>
      <c r="CD410" s="1">
        <v>7355866</v>
      </c>
      <c r="CK410" s="124">
        <f t="shared" si="34"/>
        <v>7355866</v>
      </c>
      <c r="CV410" s="129">
        <v>394687</v>
      </c>
    </row>
    <row r="411" spans="1:100" ht="12.75" customHeight="1">
      <c r="A411" s="1">
        <v>25</v>
      </c>
      <c r="B411" s="1">
        <v>5420</v>
      </c>
      <c r="C411" s="1" t="s">
        <v>963</v>
      </c>
      <c r="D411" s="5" t="s">
        <v>1017</v>
      </c>
      <c r="E411" t="s">
        <v>149</v>
      </c>
      <c r="F411" s="26">
        <v>4348.5</v>
      </c>
      <c r="G411" s="78">
        <v>48971356</v>
      </c>
      <c r="H411" s="78">
        <v>317772</v>
      </c>
      <c r="L411" s="1">
        <v>11138</v>
      </c>
      <c r="M411" s="1">
        <v>2262837</v>
      </c>
      <c r="O411" s="117">
        <f t="shared" si="30"/>
        <v>51563103</v>
      </c>
      <c r="V411" s="1">
        <v>1031063</v>
      </c>
      <c r="W411" s="1">
        <v>2084044</v>
      </c>
      <c r="X411" s="1">
        <v>45390</v>
      </c>
      <c r="Y411" s="78">
        <v>695486</v>
      </c>
      <c r="AC411" s="1">
        <v>118994</v>
      </c>
      <c r="AD411" s="1">
        <v>483426</v>
      </c>
      <c r="AE411" s="1">
        <v>130182</v>
      </c>
      <c r="AF411" s="1">
        <v>361169</v>
      </c>
      <c r="AG411" s="1">
        <v>3696821</v>
      </c>
      <c r="AH411" s="1">
        <v>1908520</v>
      </c>
      <c r="AP411" s="1">
        <v>925649</v>
      </c>
      <c r="AU411" s="1">
        <v>153853</v>
      </c>
      <c r="AV411" s="116">
        <f t="shared" si="31"/>
        <v>11634597</v>
      </c>
      <c r="BD411" s="1">
        <v>956456</v>
      </c>
      <c r="BE411" s="1">
        <v>80230</v>
      </c>
      <c r="BF411" s="121">
        <f t="shared" si="32"/>
        <v>1036686</v>
      </c>
      <c r="BN411" s="1">
        <v>12942</v>
      </c>
      <c r="BR411" s="1">
        <v>20833</v>
      </c>
      <c r="BX411" s="1">
        <v>224786</v>
      </c>
      <c r="CC411" s="125">
        <f t="shared" si="33"/>
        <v>258561</v>
      </c>
      <c r="CD411" s="1">
        <v>143093</v>
      </c>
      <c r="CK411" s="124">
        <f t="shared" si="34"/>
        <v>143093</v>
      </c>
      <c r="CV411" s="129">
        <v>1201677</v>
      </c>
    </row>
    <row r="412" spans="1:100" ht="12.75" customHeight="1">
      <c r="A412" s="1">
        <v>25</v>
      </c>
      <c r="B412" s="1">
        <v>5640</v>
      </c>
      <c r="C412" s="1" t="s">
        <v>963</v>
      </c>
      <c r="D412" s="5" t="s">
        <v>1018</v>
      </c>
      <c r="E412" t="s">
        <v>150</v>
      </c>
      <c r="F412" s="26">
        <v>782</v>
      </c>
      <c r="G412" s="78">
        <v>8201959</v>
      </c>
      <c r="H412" s="78">
        <v>142615</v>
      </c>
      <c r="M412" s="1">
        <v>1037688</v>
      </c>
      <c r="O412" s="117">
        <f t="shared" si="30"/>
        <v>9382262</v>
      </c>
      <c r="V412" s="1">
        <v>10912</v>
      </c>
      <c r="W412" s="1">
        <v>386625</v>
      </c>
      <c r="AC412" s="1">
        <v>43265</v>
      </c>
      <c r="AD412" s="1">
        <v>84385</v>
      </c>
      <c r="AE412" s="1">
        <v>11064</v>
      </c>
      <c r="AG412" s="1">
        <v>539146</v>
      </c>
      <c r="AH412" s="1">
        <v>285148</v>
      </c>
      <c r="AU412" s="1">
        <v>247944</v>
      </c>
      <c r="AV412" s="116">
        <f t="shared" si="31"/>
        <v>1608489</v>
      </c>
      <c r="BC412" s="1">
        <v>19866</v>
      </c>
      <c r="BD412" s="1">
        <v>195319</v>
      </c>
      <c r="BE412" s="1">
        <v>24807</v>
      </c>
      <c r="BF412" s="121">
        <f t="shared" si="32"/>
        <v>239992</v>
      </c>
      <c r="BI412" s="1">
        <v>775</v>
      </c>
      <c r="BO412" s="1">
        <v>55</v>
      </c>
      <c r="CC412" s="125">
        <f t="shared" si="33"/>
        <v>830</v>
      </c>
      <c r="CK412" s="124">
        <f t="shared" si="34"/>
        <v>0</v>
      </c>
      <c r="CV412" s="129">
        <v>487936</v>
      </c>
    </row>
    <row r="413" spans="1:100" ht="12.75" customHeight="1">
      <c r="A413" s="1">
        <v>27</v>
      </c>
      <c r="B413" s="1">
        <v>450</v>
      </c>
      <c r="C413" s="1" t="s">
        <v>1019</v>
      </c>
      <c r="D413" s="5" t="s">
        <v>1020</v>
      </c>
      <c r="E413" t="s">
        <v>151</v>
      </c>
      <c r="F413" s="26">
        <v>1273</v>
      </c>
      <c r="G413" s="78">
        <v>13755266</v>
      </c>
      <c r="H413" s="78">
        <v>103959</v>
      </c>
      <c r="L413" s="1">
        <v>6566</v>
      </c>
      <c r="O413" s="117">
        <f t="shared" si="30"/>
        <v>13865791</v>
      </c>
      <c r="V413" s="1">
        <v>66620</v>
      </c>
      <c r="W413" s="1">
        <v>646070</v>
      </c>
      <c r="X413" s="1">
        <v>90960</v>
      </c>
      <c r="Y413" s="78">
        <v>242449</v>
      </c>
      <c r="AC413" s="1">
        <v>70531</v>
      </c>
      <c r="AD413" s="1">
        <v>108513</v>
      </c>
      <c r="AE413" s="1">
        <v>40222</v>
      </c>
      <c r="AF413" s="1">
        <v>3517</v>
      </c>
      <c r="AG413" s="1">
        <v>1692139</v>
      </c>
      <c r="AH413" s="1">
        <v>677734</v>
      </c>
      <c r="AM413" s="1">
        <v>125183</v>
      </c>
      <c r="AO413" s="1">
        <v>46263</v>
      </c>
      <c r="AU413" s="1">
        <v>69575</v>
      </c>
      <c r="AV413" s="116">
        <f t="shared" si="31"/>
        <v>3879776</v>
      </c>
      <c r="BC413" s="1">
        <v>122157</v>
      </c>
      <c r="BD413" s="1">
        <v>256701</v>
      </c>
      <c r="BE413" s="1">
        <v>37799</v>
      </c>
      <c r="BF413" s="121">
        <f t="shared" si="32"/>
        <v>416657</v>
      </c>
      <c r="BG413" s="1">
        <v>300000</v>
      </c>
      <c r="BO413" s="1">
        <v>1006</v>
      </c>
      <c r="BP413" s="1">
        <v>132882</v>
      </c>
      <c r="CB413" s="1">
        <v>14830</v>
      </c>
      <c r="CC413" s="125">
        <f t="shared" si="33"/>
        <v>448718</v>
      </c>
      <c r="CD413" s="1">
        <v>3716535</v>
      </c>
      <c r="CK413" s="124">
        <f t="shared" si="34"/>
        <v>3716535</v>
      </c>
      <c r="CV413" s="129">
        <v>664244</v>
      </c>
    </row>
    <row r="414" spans="1:100" ht="12.75" customHeight="1">
      <c r="A414" s="1">
        <v>27</v>
      </c>
      <c r="B414" s="1">
        <v>460</v>
      </c>
      <c r="C414" s="1" t="s">
        <v>1019</v>
      </c>
      <c r="D414" s="5" t="s">
        <v>1021</v>
      </c>
      <c r="E414" t="s">
        <v>152</v>
      </c>
      <c r="F414" s="26">
        <v>525</v>
      </c>
      <c r="G414" s="78">
        <v>9732135</v>
      </c>
      <c r="H414" s="78">
        <v>97856</v>
      </c>
      <c r="M414" s="1">
        <v>300989</v>
      </c>
      <c r="O414" s="117">
        <f t="shared" si="30"/>
        <v>10130980</v>
      </c>
      <c r="V414" s="1">
        <v>179081</v>
      </c>
      <c r="W414" s="1">
        <v>420375</v>
      </c>
      <c r="X414" s="1">
        <v>16244</v>
      </c>
      <c r="AC414" s="1">
        <v>37497</v>
      </c>
      <c r="AD414" s="1">
        <v>41222</v>
      </c>
      <c r="AE414" s="1">
        <v>19708</v>
      </c>
      <c r="AF414" s="1">
        <v>1242</v>
      </c>
      <c r="AG414" s="1">
        <v>420602</v>
      </c>
      <c r="AH414" s="1">
        <v>226273</v>
      </c>
      <c r="AP414" s="1">
        <v>72018</v>
      </c>
      <c r="AV414" s="116">
        <f t="shared" si="31"/>
        <v>1434262</v>
      </c>
      <c r="BD414" s="1">
        <v>149238</v>
      </c>
      <c r="BE414" s="1">
        <v>12413</v>
      </c>
      <c r="BF414" s="121">
        <f t="shared" si="32"/>
        <v>161651</v>
      </c>
      <c r="BO414" s="1">
        <v>2518</v>
      </c>
      <c r="CC414" s="125">
        <f t="shared" si="33"/>
        <v>2518</v>
      </c>
      <c r="CD414" s="1">
        <v>96059</v>
      </c>
      <c r="CK414" s="124">
        <f t="shared" si="34"/>
        <v>96059</v>
      </c>
      <c r="CV414" s="129">
        <v>161651</v>
      </c>
    </row>
    <row r="415" spans="1:100" ht="12.75" customHeight="1">
      <c r="A415" s="1">
        <v>27</v>
      </c>
      <c r="B415" s="1">
        <v>630</v>
      </c>
      <c r="C415" s="1" t="s">
        <v>1019</v>
      </c>
      <c r="D415" s="5" t="s">
        <v>840</v>
      </c>
      <c r="E415" t="s">
        <v>153</v>
      </c>
      <c r="F415" s="26">
        <v>1189</v>
      </c>
      <c r="G415" s="78">
        <v>10845708</v>
      </c>
      <c r="H415" s="78">
        <v>316976</v>
      </c>
      <c r="L415" s="1">
        <v>620</v>
      </c>
      <c r="M415" s="1">
        <v>250262</v>
      </c>
      <c r="O415" s="117">
        <f t="shared" si="30"/>
        <v>11413566</v>
      </c>
      <c r="V415" s="1">
        <v>106400</v>
      </c>
      <c r="W415" s="1">
        <v>706231</v>
      </c>
      <c r="Y415" s="78">
        <v>1169374</v>
      </c>
      <c r="AC415" s="1">
        <v>55492</v>
      </c>
      <c r="AD415" s="1">
        <v>101381</v>
      </c>
      <c r="AE415" s="1">
        <v>63164</v>
      </c>
      <c r="AF415" s="1">
        <v>9280</v>
      </c>
      <c r="AG415" s="1">
        <v>1510977</v>
      </c>
      <c r="AH415" s="1">
        <v>634626</v>
      </c>
      <c r="AO415" s="1">
        <v>22067</v>
      </c>
      <c r="AU415" s="1">
        <v>84998</v>
      </c>
      <c r="AV415" s="116">
        <f t="shared" si="31"/>
        <v>4463990</v>
      </c>
      <c r="AW415" s="1">
        <v>18354</v>
      </c>
      <c r="BC415" s="1">
        <v>88391</v>
      </c>
      <c r="BD415" s="1">
        <v>240702</v>
      </c>
      <c r="BE415" s="1">
        <v>39778</v>
      </c>
      <c r="BF415" s="121">
        <f t="shared" si="32"/>
        <v>387225</v>
      </c>
      <c r="BI415" s="1">
        <v>14722</v>
      </c>
      <c r="BO415" s="1">
        <v>3875</v>
      </c>
      <c r="CB415" s="1">
        <v>4507</v>
      </c>
      <c r="CC415" s="125">
        <f t="shared" si="33"/>
        <v>23104</v>
      </c>
      <c r="CD415" s="1">
        <v>4499197</v>
      </c>
      <c r="CK415" s="124">
        <f t="shared" si="34"/>
        <v>4499197</v>
      </c>
      <c r="CV415" s="129">
        <v>476556</v>
      </c>
    </row>
    <row r="416" spans="1:100" ht="12.75" customHeight="1">
      <c r="A416" s="1">
        <v>27</v>
      </c>
      <c r="B416" s="1">
        <v>785</v>
      </c>
      <c r="C416" s="1" t="s">
        <v>1019</v>
      </c>
      <c r="D416" s="5" t="s">
        <v>841</v>
      </c>
      <c r="E416" t="s">
        <v>154</v>
      </c>
      <c r="F416" s="26">
        <v>3489.5</v>
      </c>
      <c r="G416" s="78">
        <v>40389273</v>
      </c>
      <c r="L416" s="1">
        <v>167676</v>
      </c>
      <c r="M416" s="1">
        <v>3216025</v>
      </c>
      <c r="O416" s="117">
        <f t="shared" si="30"/>
        <v>43772974</v>
      </c>
      <c r="W416" s="1">
        <v>2288291</v>
      </c>
      <c r="AC416" s="1">
        <v>175369</v>
      </c>
      <c r="AD416" s="1">
        <v>196857</v>
      </c>
      <c r="AE416" s="1">
        <v>74554</v>
      </c>
      <c r="AF416" s="1">
        <v>184359</v>
      </c>
      <c r="AG416" s="1">
        <v>3126647</v>
      </c>
      <c r="AH416" s="1">
        <v>1669343</v>
      </c>
      <c r="AI416" s="1">
        <v>22843</v>
      </c>
      <c r="AT416" s="1">
        <v>4855825</v>
      </c>
      <c r="AU416" s="1">
        <v>231951</v>
      </c>
      <c r="AV416" s="116">
        <f t="shared" si="31"/>
        <v>12826039</v>
      </c>
      <c r="BD416" s="1">
        <v>674571</v>
      </c>
      <c r="BE416" s="1">
        <v>85323</v>
      </c>
      <c r="BF416" s="121">
        <f t="shared" si="32"/>
        <v>759894</v>
      </c>
      <c r="BG416" s="1">
        <v>1280981</v>
      </c>
      <c r="BH416" s="1">
        <v>559612</v>
      </c>
      <c r="BM416" s="1">
        <v>45770</v>
      </c>
      <c r="BO416" s="1">
        <v>7500</v>
      </c>
      <c r="BP416" s="1">
        <v>382668</v>
      </c>
      <c r="CA416" s="1">
        <v>559612</v>
      </c>
      <c r="CC416" s="125">
        <f t="shared" si="33"/>
        <v>2836143</v>
      </c>
      <c r="CD416" s="1">
        <v>21754</v>
      </c>
      <c r="CK416" s="124">
        <f t="shared" si="34"/>
        <v>21754</v>
      </c>
      <c r="CV416" s="129">
        <v>1159521</v>
      </c>
    </row>
    <row r="417" spans="1:100" ht="12.75" customHeight="1">
      <c r="A417" s="1">
        <v>27</v>
      </c>
      <c r="B417" s="1">
        <v>820</v>
      </c>
      <c r="C417" s="1" t="s">
        <v>1019</v>
      </c>
      <c r="D417" s="5" t="s">
        <v>842</v>
      </c>
      <c r="E417" t="s">
        <v>155</v>
      </c>
      <c r="F417" s="26">
        <v>1388</v>
      </c>
      <c r="G417" s="78">
        <v>16543289</v>
      </c>
      <c r="M417" s="1">
        <v>1526957</v>
      </c>
      <c r="O417" s="117">
        <f t="shared" si="30"/>
        <v>18070246</v>
      </c>
      <c r="V417" s="1">
        <v>387451</v>
      </c>
      <c r="W417" s="1">
        <v>718350</v>
      </c>
      <c r="X417" s="1">
        <v>11644</v>
      </c>
      <c r="AC417" s="1">
        <v>79673</v>
      </c>
      <c r="AD417" s="1">
        <v>83594</v>
      </c>
      <c r="AE417" s="1">
        <v>36031</v>
      </c>
      <c r="AF417" s="1">
        <v>67031</v>
      </c>
      <c r="AG417" s="1">
        <v>1060852</v>
      </c>
      <c r="AH417" s="1">
        <v>629861</v>
      </c>
      <c r="AU417" s="1">
        <v>117051</v>
      </c>
      <c r="AV417" s="116">
        <f t="shared" si="31"/>
        <v>3191538</v>
      </c>
      <c r="BD417" s="1">
        <v>310371</v>
      </c>
      <c r="BE417" s="1">
        <v>16197</v>
      </c>
      <c r="BF417" s="121">
        <f t="shared" si="32"/>
        <v>326568</v>
      </c>
      <c r="BG417" s="1">
        <v>275000</v>
      </c>
      <c r="BO417" s="1">
        <v>33261</v>
      </c>
      <c r="BP417" s="1">
        <v>908851</v>
      </c>
      <c r="CC417" s="125">
        <f t="shared" si="33"/>
        <v>1217112</v>
      </c>
      <c r="CD417" s="1">
        <v>67084</v>
      </c>
      <c r="CK417" s="124">
        <f t="shared" si="34"/>
        <v>67084</v>
      </c>
      <c r="CV417" s="129">
        <v>443619</v>
      </c>
    </row>
    <row r="418" spans="1:100" ht="12.75" customHeight="1">
      <c r="A418" s="1">
        <v>27</v>
      </c>
      <c r="B418" s="1">
        <v>1090</v>
      </c>
      <c r="C418" s="1" t="s">
        <v>1019</v>
      </c>
      <c r="D418" s="5" t="s">
        <v>843</v>
      </c>
      <c r="E418" t="s">
        <v>156</v>
      </c>
      <c r="F418" s="26">
        <v>1945</v>
      </c>
      <c r="G418" s="78">
        <v>21516202</v>
      </c>
      <c r="H418" s="78">
        <v>62910</v>
      </c>
      <c r="L418" s="1">
        <v>1697</v>
      </c>
      <c r="M418" s="1">
        <v>968186</v>
      </c>
      <c r="O418" s="117">
        <f t="shared" si="30"/>
        <v>22548995</v>
      </c>
      <c r="W418" s="1">
        <v>1464016</v>
      </c>
      <c r="AC418" s="1">
        <v>114720</v>
      </c>
      <c r="AD418" s="1">
        <v>77171</v>
      </c>
      <c r="AE418" s="1">
        <v>46236</v>
      </c>
      <c r="AG418" s="1">
        <v>1458006</v>
      </c>
      <c r="AH418" s="1">
        <v>771140</v>
      </c>
      <c r="AI418" s="1">
        <v>96315</v>
      </c>
      <c r="AP418" s="1">
        <v>191042</v>
      </c>
      <c r="AU418" s="1">
        <v>54777</v>
      </c>
      <c r="AV418" s="116">
        <f t="shared" si="31"/>
        <v>4273423</v>
      </c>
      <c r="BC418" s="1">
        <v>36319</v>
      </c>
      <c r="BE418" s="1">
        <v>471824</v>
      </c>
      <c r="BF418" s="121">
        <f t="shared" si="32"/>
        <v>508143</v>
      </c>
      <c r="BO418" s="1">
        <v>2759</v>
      </c>
      <c r="CC418" s="125">
        <f t="shared" si="33"/>
        <v>2759</v>
      </c>
      <c r="CD418" s="1">
        <v>108649</v>
      </c>
      <c r="CK418" s="124">
        <f t="shared" si="34"/>
        <v>108649</v>
      </c>
      <c r="CV418" s="129">
        <v>564617</v>
      </c>
    </row>
    <row r="419" spans="1:100" ht="12.75" customHeight="1">
      <c r="A419" s="1">
        <v>27</v>
      </c>
      <c r="B419" s="1">
        <v>1110</v>
      </c>
      <c r="C419" s="1" t="s">
        <v>1019</v>
      </c>
      <c r="D419" s="5" t="s">
        <v>844</v>
      </c>
      <c r="E419" t="s">
        <v>157</v>
      </c>
      <c r="F419" s="26">
        <v>2876</v>
      </c>
      <c r="G419" s="78">
        <v>11882100</v>
      </c>
      <c r="H419" s="78">
        <v>334374</v>
      </c>
      <c r="M419" s="1">
        <v>1263278</v>
      </c>
      <c r="O419" s="117">
        <f t="shared" si="30"/>
        <v>13479752</v>
      </c>
      <c r="P419" s="78">
        <v>9221519</v>
      </c>
      <c r="V419" s="1">
        <v>182464</v>
      </c>
      <c r="W419" s="1">
        <v>1813866</v>
      </c>
      <c r="X419" s="1">
        <v>735658</v>
      </c>
      <c r="AC419" s="1">
        <v>69335</v>
      </c>
      <c r="AD419" s="1">
        <v>279128</v>
      </c>
      <c r="AE419" s="1">
        <v>442647</v>
      </c>
      <c r="AF419" s="1">
        <v>205006</v>
      </c>
      <c r="AG419" s="1">
        <v>2678093</v>
      </c>
      <c r="AH419" s="1">
        <v>1238149</v>
      </c>
      <c r="AM419" s="1">
        <v>989971</v>
      </c>
      <c r="AP419" s="1">
        <v>333766</v>
      </c>
      <c r="AU419" s="1">
        <v>492411</v>
      </c>
      <c r="AV419" s="116">
        <f t="shared" si="31"/>
        <v>18682013</v>
      </c>
      <c r="BC419" s="1">
        <v>1624839</v>
      </c>
      <c r="BD419" s="1">
        <v>683190</v>
      </c>
      <c r="BE419" s="1">
        <v>213782</v>
      </c>
      <c r="BF419" s="121">
        <f t="shared" si="32"/>
        <v>2521811</v>
      </c>
      <c r="BI419" s="1">
        <v>4513399</v>
      </c>
      <c r="BO419" s="1">
        <v>13741</v>
      </c>
      <c r="CC419" s="125">
        <f t="shared" si="33"/>
        <v>4527140</v>
      </c>
      <c r="CK419" s="124">
        <f t="shared" si="34"/>
        <v>0</v>
      </c>
      <c r="CT419" s="23">
        <v>1532457</v>
      </c>
      <c r="CV419" s="129">
        <v>5536650</v>
      </c>
    </row>
    <row r="420" spans="1:100" ht="12.75" customHeight="1">
      <c r="A420" s="1">
        <v>27</v>
      </c>
      <c r="B420" s="1">
        <v>1190</v>
      </c>
      <c r="C420" s="1" t="s">
        <v>1019</v>
      </c>
      <c r="D420" s="5" t="s">
        <v>845</v>
      </c>
      <c r="E420" t="s">
        <v>158</v>
      </c>
      <c r="F420" s="26">
        <v>1147</v>
      </c>
      <c r="G420" s="78">
        <v>14218199</v>
      </c>
      <c r="M420" s="1">
        <v>649486</v>
      </c>
      <c r="O420" s="117">
        <f t="shared" si="30"/>
        <v>14867685</v>
      </c>
      <c r="W420" s="1">
        <v>953927</v>
      </c>
      <c r="X420" s="1">
        <v>2300</v>
      </c>
      <c r="AC420" s="1">
        <v>136121</v>
      </c>
      <c r="AD420" s="1">
        <v>123216</v>
      </c>
      <c r="AE420" s="1">
        <v>32383</v>
      </c>
      <c r="AF420" s="1">
        <v>9200</v>
      </c>
      <c r="AG420" s="1">
        <v>1245767</v>
      </c>
      <c r="AH420" s="1">
        <v>567262</v>
      </c>
      <c r="AU420" s="1">
        <v>82240</v>
      </c>
      <c r="AV420" s="116">
        <f t="shared" si="31"/>
        <v>3152416</v>
      </c>
      <c r="BD420" s="1">
        <v>277321</v>
      </c>
      <c r="BE420" s="1">
        <v>11193</v>
      </c>
      <c r="BF420" s="121">
        <f t="shared" si="32"/>
        <v>288514</v>
      </c>
      <c r="BG420" s="1">
        <v>42856</v>
      </c>
      <c r="BO420" s="1">
        <v>9477</v>
      </c>
      <c r="BP420" s="1">
        <v>160685</v>
      </c>
      <c r="BZ420" s="1">
        <v>69</v>
      </c>
      <c r="CA420" s="1">
        <v>138247</v>
      </c>
      <c r="CC420" s="125">
        <f t="shared" si="33"/>
        <v>351334</v>
      </c>
      <c r="CK420" s="124">
        <f t="shared" si="34"/>
        <v>0</v>
      </c>
      <c r="CM420" s="23">
        <v>953000</v>
      </c>
      <c r="CV420" s="129">
        <v>370754</v>
      </c>
    </row>
    <row r="421" spans="1:100" ht="12.75" customHeight="1">
      <c r="A421" s="1">
        <v>27</v>
      </c>
      <c r="B421" s="1">
        <v>1530</v>
      </c>
      <c r="C421" s="1" t="s">
        <v>1019</v>
      </c>
      <c r="D421" s="5" t="s">
        <v>846</v>
      </c>
      <c r="E421" t="s">
        <v>159</v>
      </c>
      <c r="F421" s="26">
        <v>970</v>
      </c>
      <c r="G421" s="78">
        <v>12813493</v>
      </c>
      <c r="L421" s="1">
        <v>9252</v>
      </c>
      <c r="M421" s="1">
        <v>1053365</v>
      </c>
      <c r="O421" s="117">
        <f t="shared" si="30"/>
        <v>13876110</v>
      </c>
      <c r="V421" s="1">
        <v>62536</v>
      </c>
      <c r="W421" s="1">
        <v>627845</v>
      </c>
      <c r="X421" s="1">
        <v>3428</v>
      </c>
      <c r="AC421" s="1">
        <v>101044</v>
      </c>
      <c r="AD421" s="1">
        <v>47307</v>
      </c>
      <c r="AE421" s="1">
        <v>22233</v>
      </c>
      <c r="AF421" s="1">
        <v>93850</v>
      </c>
      <c r="AG421" s="1">
        <v>1003836</v>
      </c>
      <c r="AH421" s="1">
        <v>493614</v>
      </c>
      <c r="AU421" s="1">
        <v>79781</v>
      </c>
      <c r="AV421" s="116">
        <f t="shared" si="31"/>
        <v>2535474</v>
      </c>
      <c r="BD421" s="1">
        <v>240389</v>
      </c>
      <c r="BE421" s="1">
        <v>38531</v>
      </c>
      <c r="BF421" s="121">
        <f t="shared" si="32"/>
        <v>278920</v>
      </c>
      <c r="BM421" s="1">
        <v>47760</v>
      </c>
      <c r="BN421" s="1">
        <v>26948</v>
      </c>
      <c r="BO421" s="1">
        <v>21127</v>
      </c>
      <c r="BP421" s="1">
        <v>166513</v>
      </c>
      <c r="CA421" s="1">
        <v>12753</v>
      </c>
      <c r="CC421" s="125">
        <f t="shared" si="33"/>
        <v>275101</v>
      </c>
      <c r="CK421" s="124">
        <f t="shared" si="34"/>
        <v>0</v>
      </c>
      <c r="CV421" s="129">
        <v>367953</v>
      </c>
    </row>
    <row r="422" spans="1:100" ht="12.75" customHeight="1">
      <c r="A422" s="1">
        <v>27</v>
      </c>
      <c r="B422" s="1">
        <v>1990</v>
      </c>
      <c r="C422" s="1" t="s">
        <v>1019</v>
      </c>
      <c r="D422" s="5" t="s">
        <v>847</v>
      </c>
      <c r="E422" t="s">
        <v>160</v>
      </c>
      <c r="F422" s="26">
        <v>1507</v>
      </c>
      <c r="G422" s="78">
        <v>21772560</v>
      </c>
      <c r="H422" s="78">
        <v>324338</v>
      </c>
      <c r="M422" s="1">
        <v>2220783</v>
      </c>
      <c r="O422" s="117">
        <f t="shared" si="30"/>
        <v>24317681</v>
      </c>
      <c r="V422" s="1">
        <v>425716</v>
      </c>
      <c r="W422" s="1">
        <v>713035</v>
      </c>
      <c r="X422" s="1">
        <v>6990</v>
      </c>
      <c r="AC422" s="1">
        <v>47483</v>
      </c>
      <c r="AD422" s="1">
        <v>77819</v>
      </c>
      <c r="AE422" s="1">
        <v>36707</v>
      </c>
      <c r="AF422" s="1">
        <v>111867</v>
      </c>
      <c r="AG422" s="1">
        <v>1815947</v>
      </c>
      <c r="AH422" s="1">
        <v>880312</v>
      </c>
      <c r="AV422" s="116">
        <f t="shared" si="31"/>
        <v>4115876</v>
      </c>
      <c r="BD422" s="1">
        <v>247963</v>
      </c>
      <c r="BE422" s="1">
        <v>18111</v>
      </c>
      <c r="BF422" s="121">
        <f t="shared" si="32"/>
        <v>266074</v>
      </c>
      <c r="BO422" s="1">
        <v>10566</v>
      </c>
      <c r="CA422" s="1">
        <v>1244320</v>
      </c>
      <c r="CC422" s="125">
        <f t="shared" si="33"/>
        <v>1254886</v>
      </c>
      <c r="CK422" s="124">
        <f t="shared" si="34"/>
        <v>0</v>
      </c>
      <c r="CV422" s="129">
        <v>266074</v>
      </c>
    </row>
    <row r="423" spans="1:100" ht="12.75" customHeight="1">
      <c r="A423" s="1">
        <v>27</v>
      </c>
      <c r="B423" s="1">
        <v>2000</v>
      </c>
      <c r="C423" s="1" t="s">
        <v>1019</v>
      </c>
      <c r="D423" s="5" t="s">
        <v>848</v>
      </c>
      <c r="E423" t="s">
        <v>161</v>
      </c>
      <c r="F423" s="26">
        <v>1553</v>
      </c>
      <c r="G423" s="78">
        <v>18146999</v>
      </c>
      <c r="H423" s="78">
        <v>314608</v>
      </c>
      <c r="M423" s="1">
        <v>788740</v>
      </c>
      <c r="O423" s="117">
        <f t="shared" si="30"/>
        <v>19250347</v>
      </c>
      <c r="V423" s="1">
        <v>194304</v>
      </c>
      <c r="W423" s="1">
        <v>807535</v>
      </c>
      <c r="X423" s="1">
        <v>40826</v>
      </c>
      <c r="AC423" s="1">
        <v>27076</v>
      </c>
      <c r="AD423" s="1">
        <v>154157</v>
      </c>
      <c r="AE423" s="1">
        <v>35905</v>
      </c>
      <c r="AF423" s="1">
        <v>90051</v>
      </c>
      <c r="AG423" s="1">
        <v>1751183</v>
      </c>
      <c r="AH423" s="1">
        <v>742121</v>
      </c>
      <c r="AU423" s="1">
        <v>42926</v>
      </c>
      <c r="AV423" s="116">
        <f t="shared" si="31"/>
        <v>3886084</v>
      </c>
      <c r="BD423" s="1">
        <v>277644</v>
      </c>
      <c r="BE423" s="1">
        <v>33930</v>
      </c>
      <c r="BF423" s="121">
        <f t="shared" si="32"/>
        <v>311574</v>
      </c>
      <c r="BO423" s="1">
        <v>30967</v>
      </c>
      <c r="CA423" s="1">
        <v>9601</v>
      </c>
      <c r="CC423" s="125">
        <f t="shared" si="33"/>
        <v>40568</v>
      </c>
      <c r="CD423" s="1">
        <v>45847</v>
      </c>
      <c r="CK423" s="124">
        <f t="shared" si="34"/>
        <v>45847</v>
      </c>
      <c r="CV423" s="129">
        <v>354500</v>
      </c>
    </row>
    <row r="424" spans="1:100" ht="12.75" customHeight="1">
      <c r="A424" s="1">
        <v>27</v>
      </c>
      <c r="B424" s="1">
        <v>2010</v>
      </c>
      <c r="C424" s="1" t="s">
        <v>1019</v>
      </c>
      <c r="D424" s="5" t="s">
        <v>849</v>
      </c>
      <c r="E424" t="s">
        <v>162</v>
      </c>
      <c r="F424" s="26">
        <v>317</v>
      </c>
      <c r="G424" s="78">
        <v>7433536</v>
      </c>
      <c r="L424" s="1">
        <v>35323</v>
      </c>
      <c r="M424" s="1">
        <v>465589</v>
      </c>
      <c r="O424" s="117">
        <f t="shared" si="30"/>
        <v>7934448</v>
      </c>
      <c r="V424" s="1">
        <v>234744</v>
      </c>
      <c r="W424" s="1">
        <v>187893</v>
      </c>
      <c r="X424" s="1">
        <v>2354</v>
      </c>
      <c r="AC424" s="1">
        <v>60736</v>
      </c>
      <c r="AD424" s="1">
        <v>21258</v>
      </c>
      <c r="AE424" s="1">
        <v>13387</v>
      </c>
      <c r="AF424" s="1">
        <v>23328</v>
      </c>
      <c r="AG424" s="1">
        <v>337347</v>
      </c>
      <c r="AH424" s="1">
        <v>174769</v>
      </c>
      <c r="AU424" s="1">
        <v>1062</v>
      </c>
      <c r="AV424" s="116">
        <f t="shared" si="31"/>
        <v>1056878</v>
      </c>
      <c r="BD424" s="1">
        <v>80181</v>
      </c>
      <c r="BE424" s="1">
        <v>28257</v>
      </c>
      <c r="BF424" s="121">
        <f t="shared" si="32"/>
        <v>108438</v>
      </c>
      <c r="BI424" s="1">
        <v>21450</v>
      </c>
      <c r="BM424" s="1">
        <v>11988</v>
      </c>
      <c r="BO424" s="1">
        <v>13095</v>
      </c>
      <c r="BP424" s="1">
        <v>191665</v>
      </c>
      <c r="BX424" s="1">
        <v>44153</v>
      </c>
      <c r="CC424" s="125">
        <f t="shared" si="33"/>
        <v>282351</v>
      </c>
      <c r="CK424" s="124">
        <f t="shared" si="34"/>
        <v>0</v>
      </c>
      <c r="CV424" s="129">
        <v>144823</v>
      </c>
    </row>
    <row r="425" spans="1:100" ht="12.75" customHeight="1">
      <c r="A425" s="1">
        <v>27</v>
      </c>
      <c r="B425" s="1">
        <v>2380</v>
      </c>
      <c r="C425" s="1" t="s">
        <v>1019</v>
      </c>
      <c r="D425" s="5" t="s">
        <v>850</v>
      </c>
      <c r="E425" t="s">
        <v>163</v>
      </c>
      <c r="F425" s="26">
        <v>3635</v>
      </c>
      <c r="G425" s="78">
        <v>31568517</v>
      </c>
      <c r="H425" s="78">
        <v>179910</v>
      </c>
      <c r="M425" s="1">
        <v>2084677</v>
      </c>
      <c r="N425" s="1">
        <v>185834</v>
      </c>
      <c r="O425" s="117">
        <f t="shared" si="30"/>
        <v>34018938</v>
      </c>
      <c r="P425" s="78">
        <v>9626956</v>
      </c>
      <c r="V425" s="1">
        <v>1331639</v>
      </c>
      <c r="W425" s="1">
        <v>1791165</v>
      </c>
      <c r="X425" s="1">
        <v>24402</v>
      </c>
      <c r="AC425" s="1">
        <v>182724</v>
      </c>
      <c r="AD425" s="1">
        <v>398174</v>
      </c>
      <c r="AE425" s="1">
        <v>395170</v>
      </c>
      <c r="AF425" s="1">
        <v>20377</v>
      </c>
      <c r="AG425" s="1">
        <v>3442325</v>
      </c>
      <c r="AH425" s="1">
        <v>1533986</v>
      </c>
      <c r="AP425" s="1">
        <v>134850</v>
      </c>
      <c r="AU425" s="1">
        <v>4977</v>
      </c>
      <c r="AV425" s="116">
        <f t="shared" si="31"/>
        <v>18886745</v>
      </c>
      <c r="BD425" s="1">
        <v>702197</v>
      </c>
      <c r="BE425" s="1">
        <v>77148</v>
      </c>
      <c r="BF425" s="121">
        <f t="shared" si="32"/>
        <v>779345</v>
      </c>
      <c r="BI425" s="1">
        <v>62847</v>
      </c>
      <c r="BO425" s="1">
        <v>2992</v>
      </c>
      <c r="BP425" s="1">
        <v>241283</v>
      </c>
      <c r="BZ425" s="1">
        <v>24</v>
      </c>
      <c r="CA425" s="1">
        <v>27664</v>
      </c>
      <c r="CC425" s="125">
        <f t="shared" si="33"/>
        <v>334810</v>
      </c>
      <c r="CK425" s="124">
        <f t="shared" si="34"/>
        <v>0</v>
      </c>
      <c r="CV425" s="129">
        <v>784322</v>
      </c>
    </row>
    <row r="426" spans="1:100" ht="12.75" customHeight="1">
      <c r="A426" s="1">
        <v>27</v>
      </c>
      <c r="B426" s="1">
        <v>2460</v>
      </c>
      <c r="C426" s="1" t="s">
        <v>1019</v>
      </c>
      <c r="D426" s="5" t="s">
        <v>851</v>
      </c>
      <c r="E426" t="s">
        <v>164</v>
      </c>
      <c r="F426" s="26">
        <v>2194</v>
      </c>
      <c r="G426" s="78">
        <v>26031655</v>
      </c>
      <c r="L426" s="1">
        <v>3267</v>
      </c>
      <c r="M426" s="1">
        <v>2211617</v>
      </c>
      <c r="O426" s="117">
        <f t="shared" si="30"/>
        <v>28246539</v>
      </c>
      <c r="V426" s="1">
        <v>634936</v>
      </c>
      <c r="W426" s="1">
        <v>999434</v>
      </c>
      <c r="AC426" s="1">
        <v>105783</v>
      </c>
      <c r="AD426" s="1">
        <v>144634</v>
      </c>
      <c r="AE426" s="1">
        <v>53370</v>
      </c>
      <c r="AF426" s="1">
        <v>22148</v>
      </c>
      <c r="AG426" s="1">
        <v>2157800</v>
      </c>
      <c r="AH426" s="1">
        <v>1171500</v>
      </c>
      <c r="AT426" s="1">
        <v>566121</v>
      </c>
      <c r="AU426" s="1">
        <v>88278</v>
      </c>
      <c r="AV426" s="116">
        <f t="shared" si="31"/>
        <v>5944004</v>
      </c>
      <c r="BD426" s="1">
        <v>422488</v>
      </c>
      <c r="BE426" s="1">
        <v>50669</v>
      </c>
      <c r="BF426" s="121">
        <f t="shared" si="32"/>
        <v>473157</v>
      </c>
      <c r="BI426" s="1">
        <v>100681</v>
      </c>
      <c r="BO426" s="1">
        <v>209555</v>
      </c>
      <c r="BP426" s="1">
        <v>180297</v>
      </c>
      <c r="CA426" s="1">
        <v>1045</v>
      </c>
      <c r="CC426" s="125">
        <f t="shared" si="33"/>
        <v>491578</v>
      </c>
      <c r="CK426" s="124">
        <f t="shared" si="34"/>
        <v>0</v>
      </c>
      <c r="CM426" s="23">
        <v>12654000</v>
      </c>
      <c r="CV426" s="129">
        <v>564702</v>
      </c>
    </row>
    <row r="427" spans="1:100" ht="12.75" customHeight="1">
      <c r="A427" s="1">
        <v>27</v>
      </c>
      <c r="B427" s="1">
        <v>2650</v>
      </c>
      <c r="C427" s="1" t="s">
        <v>1019</v>
      </c>
      <c r="D427" s="5" t="s">
        <v>852</v>
      </c>
      <c r="E427" t="s">
        <v>165</v>
      </c>
      <c r="F427" s="26">
        <v>934</v>
      </c>
      <c r="G427" s="78">
        <v>14142445</v>
      </c>
      <c r="H427" s="78">
        <v>135843</v>
      </c>
      <c r="M427" s="1">
        <v>649038</v>
      </c>
      <c r="O427" s="117">
        <f t="shared" si="30"/>
        <v>14927326</v>
      </c>
      <c r="V427" s="1">
        <v>534008</v>
      </c>
      <c r="W427" s="1">
        <v>1049325</v>
      </c>
      <c r="X427" s="1">
        <v>43396</v>
      </c>
      <c r="Y427" s="78">
        <v>79007</v>
      </c>
      <c r="AC427" s="1">
        <v>28601</v>
      </c>
      <c r="AD427" s="1">
        <v>142746</v>
      </c>
      <c r="AE427" s="1">
        <v>56321</v>
      </c>
      <c r="AF427" s="1">
        <v>33464</v>
      </c>
      <c r="AG427" s="1">
        <v>928212</v>
      </c>
      <c r="AH427" s="1">
        <v>430409</v>
      </c>
      <c r="AO427" s="1">
        <v>28890</v>
      </c>
      <c r="AU427" s="1">
        <v>10916</v>
      </c>
      <c r="AV427" s="116">
        <f t="shared" si="31"/>
        <v>3365295</v>
      </c>
      <c r="BC427" s="1">
        <v>83874</v>
      </c>
      <c r="BD427" s="1">
        <v>288427</v>
      </c>
      <c r="BE427" s="1">
        <v>51179</v>
      </c>
      <c r="BF427" s="121">
        <f t="shared" si="32"/>
        <v>423480</v>
      </c>
      <c r="BI427" s="1">
        <v>74092</v>
      </c>
      <c r="BO427" s="1">
        <v>6833</v>
      </c>
      <c r="BR427" s="1">
        <v>196964</v>
      </c>
      <c r="CC427" s="125">
        <f t="shared" si="33"/>
        <v>277889</v>
      </c>
      <c r="CK427" s="124">
        <f t="shared" si="34"/>
        <v>0</v>
      </c>
      <c r="CV427" s="129">
        <v>463286</v>
      </c>
    </row>
    <row r="428" spans="1:100" ht="12.75" customHeight="1">
      <c r="A428" s="1">
        <v>27</v>
      </c>
      <c r="B428" s="1">
        <v>2870</v>
      </c>
      <c r="C428" s="1" t="s">
        <v>1019</v>
      </c>
      <c r="D428" s="5" t="s">
        <v>853</v>
      </c>
      <c r="E428" t="s">
        <v>166</v>
      </c>
      <c r="F428" s="26">
        <v>2276.5</v>
      </c>
      <c r="G428" s="78">
        <v>27114621</v>
      </c>
      <c r="H428" s="78">
        <v>363945</v>
      </c>
      <c r="L428" s="1">
        <v>2708</v>
      </c>
      <c r="M428" s="1">
        <v>2503861</v>
      </c>
      <c r="O428" s="117">
        <f t="shared" si="30"/>
        <v>29985135</v>
      </c>
      <c r="V428" s="1">
        <v>171015</v>
      </c>
      <c r="W428" s="1">
        <v>1026152</v>
      </c>
      <c r="X428" s="1">
        <v>60916</v>
      </c>
      <c r="AC428" s="1">
        <v>57607</v>
      </c>
      <c r="AD428" s="1">
        <v>131624</v>
      </c>
      <c r="AE428" s="1">
        <v>41691</v>
      </c>
      <c r="AF428" s="1">
        <v>15893</v>
      </c>
      <c r="AG428" s="1">
        <v>2539421</v>
      </c>
      <c r="AH428" s="1">
        <v>1268742</v>
      </c>
      <c r="AT428" s="1">
        <v>61667</v>
      </c>
      <c r="AU428" s="1">
        <v>106398</v>
      </c>
      <c r="AV428" s="116">
        <f t="shared" si="31"/>
        <v>5481126</v>
      </c>
      <c r="BC428" s="1">
        <v>90078</v>
      </c>
      <c r="BD428" s="1">
        <v>488065</v>
      </c>
      <c r="BE428" s="1">
        <v>63326</v>
      </c>
      <c r="BF428" s="121">
        <f t="shared" si="32"/>
        <v>641469</v>
      </c>
      <c r="BI428" s="1">
        <v>47200</v>
      </c>
      <c r="BO428" s="1">
        <v>28304</v>
      </c>
      <c r="CA428" s="1">
        <v>2011064</v>
      </c>
      <c r="CB428" s="1">
        <v>59612</v>
      </c>
      <c r="CC428" s="125">
        <f t="shared" si="33"/>
        <v>2146180</v>
      </c>
      <c r="CD428" s="1">
        <v>1300000</v>
      </c>
      <c r="CK428" s="124">
        <f t="shared" si="34"/>
        <v>1300000</v>
      </c>
      <c r="CV428" s="129">
        <v>750575</v>
      </c>
    </row>
    <row r="429" spans="1:100" ht="12.75" customHeight="1">
      <c r="A429" s="1">
        <v>27</v>
      </c>
      <c r="B429" s="1">
        <v>3090</v>
      </c>
      <c r="C429" s="1" t="s">
        <v>1019</v>
      </c>
      <c r="D429" s="5" t="s">
        <v>854</v>
      </c>
      <c r="E429" t="s">
        <v>167</v>
      </c>
      <c r="F429" s="26">
        <v>729</v>
      </c>
      <c r="G429" s="78">
        <v>7528966</v>
      </c>
      <c r="H429" s="78">
        <v>58526</v>
      </c>
      <c r="M429" s="1">
        <v>870738</v>
      </c>
      <c r="O429" s="117">
        <f t="shared" si="30"/>
        <v>8458230</v>
      </c>
      <c r="V429" s="1">
        <v>63067</v>
      </c>
      <c r="W429" s="1">
        <v>187474</v>
      </c>
      <c r="Y429" s="78">
        <v>2072</v>
      </c>
      <c r="AC429" s="1">
        <v>3650</v>
      </c>
      <c r="AD429" s="1">
        <v>41134</v>
      </c>
      <c r="AE429" s="1">
        <v>8812</v>
      </c>
      <c r="AF429" s="1">
        <v>31909</v>
      </c>
      <c r="AG429" s="1">
        <v>645053</v>
      </c>
      <c r="AH429" s="1">
        <v>301363</v>
      </c>
      <c r="AI429" s="1">
        <v>2101</v>
      </c>
      <c r="AU429" s="1">
        <v>83846</v>
      </c>
      <c r="AV429" s="116">
        <f t="shared" si="31"/>
        <v>1370481</v>
      </c>
      <c r="BD429" s="1">
        <v>142073</v>
      </c>
      <c r="BE429" s="1">
        <v>26267</v>
      </c>
      <c r="BF429" s="121">
        <f t="shared" si="32"/>
        <v>168340</v>
      </c>
      <c r="BI429" s="1">
        <v>3971</v>
      </c>
      <c r="BO429" s="1">
        <v>13419</v>
      </c>
      <c r="BP429" s="1">
        <v>67647</v>
      </c>
      <c r="CA429" s="1">
        <v>5591</v>
      </c>
      <c r="CC429" s="125">
        <f t="shared" si="33"/>
        <v>90628</v>
      </c>
      <c r="CK429" s="124">
        <f t="shared" si="34"/>
        <v>0</v>
      </c>
      <c r="CV429" s="129">
        <v>252186</v>
      </c>
    </row>
    <row r="430" spans="1:100" ht="12.75" customHeight="1">
      <c r="A430" s="1">
        <v>27</v>
      </c>
      <c r="B430" s="1">
        <v>3100</v>
      </c>
      <c r="C430" s="1" t="s">
        <v>1019</v>
      </c>
      <c r="D430" s="5" t="s">
        <v>855</v>
      </c>
      <c r="E430" t="s">
        <v>168</v>
      </c>
      <c r="F430" s="26">
        <v>893</v>
      </c>
      <c r="G430" s="78">
        <v>11887760</v>
      </c>
      <c r="H430" s="78">
        <v>99802</v>
      </c>
      <c r="M430" s="1">
        <v>1159099</v>
      </c>
      <c r="O430" s="117">
        <f t="shared" si="30"/>
        <v>13146661</v>
      </c>
      <c r="V430" s="1">
        <v>308666</v>
      </c>
      <c r="W430" s="1">
        <v>336559</v>
      </c>
      <c r="X430" s="1">
        <v>3504</v>
      </c>
      <c r="Y430" s="78">
        <v>13098</v>
      </c>
      <c r="AC430" s="1">
        <v>56548</v>
      </c>
      <c r="AD430" s="1">
        <v>52899</v>
      </c>
      <c r="AE430" s="1">
        <v>21442</v>
      </c>
      <c r="AF430" s="1">
        <v>11748</v>
      </c>
      <c r="AG430" s="1">
        <v>701380</v>
      </c>
      <c r="AH430" s="1">
        <v>449485</v>
      </c>
      <c r="AU430" s="1">
        <v>4000</v>
      </c>
      <c r="AV430" s="116">
        <f t="shared" si="31"/>
        <v>1959329</v>
      </c>
      <c r="BD430" s="1">
        <v>164196</v>
      </c>
      <c r="BE430" s="1">
        <v>20625</v>
      </c>
      <c r="BF430" s="121">
        <f t="shared" si="32"/>
        <v>184821</v>
      </c>
      <c r="BG430" s="1">
        <v>468766</v>
      </c>
      <c r="BH430" s="1">
        <v>31630</v>
      </c>
      <c r="BN430" s="1">
        <v>870024</v>
      </c>
      <c r="BO430" s="1">
        <v>13468</v>
      </c>
      <c r="CA430" s="1">
        <v>21096</v>
      </c>
      <c r="CC430" s="125">
        <f t="shared" si="33"/>
        <v>1404984</v>
      </c>
      <c r="CD430" s="1">
        <v>103875</v>
      </c>
      <c r="CK430" s="124">
        <f t="shared" si="34"/>
        <v>103875</v>
      </c>
      <c r="CV430" s="129">
        <v>188821</v>
      </c>
    </row>
    <row r="431" spans="1:100" ht="12.75" customHeight="1">
      <c r="A431" s="1">
        <v>27</v>
      </c>
      <c r="B431" s="1">
        <v>3240</v>
      </c>
      <c r="C431" s="1" t="s">
        <v>1019</v>
      </c>
      <c r="D431" s="5" t="s">
        <v>856</v>
      </c>
      <c r="E431" t="s">
        <v>169</v>
      </c>
      <c r="F431" s="26">
        <v>355</v>
      </c>
      <c r="G431" s="78">
        <v>5728000</v>
      </c>
      <c r="H431" s="78">
        <v>97013</v>
      </c>
      <c r="M431" s="1">
        <v>171716</v>
      </c>
      <c r="O431" s="117">
        <f t="shared" si="30"/>
        <v>5996729</v>
      </c>
      <c r="P431" s="78">
        <v>357461</v>
      </c>
      <c r="R431" s="1">
        <v>427302</v>
      </c>
      <c r="V431" s="1">
        <v>105533</v>
      </c>
      <c r="W431" s="1">
        <v>227174</v>
      </c>
      <c r="X431" s="1">
        <v>11644</v>
      </c>
      <c r="Y431" s="78">
        <v>110975</v>
      </c>
      <c r="AC431" s="1">
        <v>36815</v>
      </c>
      <c r="AD431" s="1">
        <v>70001</v>
      </c>
      <c r="AE431" s="1">
        <v>40490</v>
      </c>
      <c r="AF431" s="1">
        <v>44021</v>
      </c>
      <c r="AG431" s="1">
        <v>315628</v>
      </c>
      <c r="AH431" s="1">
        <v>130580</v>
      </c>
      <c r="AV431" s="116">
        <f t="shared" si="31"/>
        <v>1877624</v>
      </c>
      <c r="BF431" s="121">
        <f t="shared" si="32"/>
        <v>0</v>
      </c>
      <c r="CC431" s="125">
        <f t="shared" si="33"/>
        <v>0</v>
      </c>
      <c r="CD431" s="1">
        <v>24127</v>
      </c>
      <c r="CK431" s="124">
        <f t="shared" si="34"/>
        <v>24127</v>
      </c>
    </row>
    <row r="432" spans="1:100" ht="12.75" customHeight="1">
      <c r="A432" s="1">
        <v>27</v>
      </c>
      <c r="B432" s="1">
        <v>3340</v>
      </c>
      <c r="C432" s="1" t="s">
        <v>1019</v>
      </c>
      <c r="D432" s="5" t="s">
        <v>857</v>
      </c>
      <c r="E432" t="s">
        <v>170</v>
      </c>
      <c r="F432" s="26">
        <v>4182</v>
      </c>
      <c r="G432" s="78">
        <v>52779206</v>
      </c>
      <c r="H432" s="78">
        <v>638887</v>
      </c>
      <c r="K432" s="1">
        <v>200000</v>
      </c>
      <c r="L432" s="1">
        <v>17293</v>
      </c>
      <c r="M432" s="1">
        <v>2119454</v>
      </c>
      <c r="O432" s="117">
        <f t="shared" si="30"/>
        <v>55754840</v>
      </c>
      <c r="V432" s="1">
        <v>730674</v>
      </c>
      <c r="W432" s="1">
        <v>1316817</v>
      </c>
      <c r="X432" s="1">
        <v>42174</v>
      </c>
      <c r="Y432" s="78">
        <v>106567</v>
      </c>
      <c r="AC432" s="1">
        <v>172677</v>
      </c>
      <c r="AD432" s="1">
        <v>246606</v>
      </c>
      <c r="AE432" s="1">
        <v>73285</v>
      </c>
      <c r="AF432" s="1">
        <v>233216</v>
      </c>
      <c r="AG432" s="1">
        <v>3277222</v>
      </c>
      <c r="AH432" s="1">
        <v>2064356</v>
      </c>
      <c r="AP432" s="1">
        <v>265843</v>
      </c>
      <c r="AT432" s="1">
        <v>752497</v>
      </c>
      <c r="AU432" s="1">
        <v>132796</v>
      </c>
      <c r="AV432" s="116">
        <f t="shared" si="31"/>
        <v>9414730</v>
      </c>
      <c r="BC432" s="1">
        <v>279071</v>
      </c>
      <c r="BD432" s="1">
        <v>641336</v>
      </c>
      <c r="BE432" s="1">
        <v>231611</v>
      </c>
      <c r="BF432" s="121">
        <f t="shared" si="32"/>
        <v>1152018</v>
      </c>
      <c r="BM432" s="1">
        <v>312716</v>
      </c>
      <c r="BO432" s="1">
        <v>7332</v>
      </c>
      <c r="CA432" s="1">
        <v>65616</v>
      </c>
      <c r="CC432" s="125">
        <f t="shared" si="33"/>
        <v>385664</v>
      </c>
      <c r="CD432" s="1">
        <v>40450</v>
      </c>
      <c r="CK432" s="124">
        <f t="shared" si="34"/>
        <v>40450</v>
      </c>
      <c r="CV432" s="129">
        <v>1302107</v>
      </c>
    </row>
    <row r="433" spans="1:100" ht="12.75" customHeight="1">
      <c r="A433" s="1">
        <v>27</v>
      </c>
      <c r="B433" s="1">
        <v>3364</v>
      </c>
      <c r="C433" s="1" t="s">
        <v>1019</v>
      </c>
      <c r="D433" s="5" t="s">
        <v>858</v>
      </c>
      <c r="E433" t="s">
        <v>171</v>
      </c>
      <c r="F433" s="26">
        <v>136.5</v>
      </c>
      <c r="H433" s="78">
        <v>127776</v>
      </c>
      <c r="J433" s="1">
        <v>1034476</v>
      </c>
      <c r="O433" s="117">
        <f t="shared" si="30"/>
        <v>1162252</v>
      </c>
      <c r="AG433" s="1">
        <v>382085</v>
      </c>
      <c r="AH433" s="1">
        <v>326882</v>
      </c>
      <c r="AU433" s="1">
        <v>1880322</v>
      </c>
      <c r="AV433" s="116">
        <f t="shared" si="31"/>
        <v>2589289</v>
      </c>
      <c r="BD433" s="1">
        <v>97744</v>
      </c>
      <c r="BF433" s="121">
        <f t="shared" si="32"/>
        <v>97744</v>
      </c>
      <c r="BN433" s="1">
        <v>15678527</v>
      </c>
      <c r="CA433" s="1">
        <v>25592</v>
      </c>
      <c r="CC433" s="125">
        <f t="shared" si="33"/>
        <v>15704119</v>
      </c>
      <c r="CD433" s="1">
        <v>4074371</v>
      </c>
      <c r="CK433" s="124">
        <f t="shared" si="34"/>
        <v>4074371</v>
      </c>
      <c r="CV433" s="129">
        <v>1978066</v>
      </c>
    </row>
    <row r="434" spans="1:100" ht="12.75" customHeight="1">
      <c r="A434" s="1">
        <v>27</v>
      </c>
      <c r="B434" s="1">
        <v>3365</v>
      </c>
      <c r="C434" s="1" t="s">
        <v>1019</v>
      </c>
      <c r="D434" s="5" t="s">
        <v>859</v>
      </c>
      <c r="E434" t="s">
        <v>172</v>
      </c>
      <c r="F434" s="26">
        <v>605</v>
      </c>
      <c r="H434" s="78">
        <v>713530</v>
      </c>
      <c r="I434" s="1">
        <v>6086061</v>
      </c>
      <c r="O434" s="117">
        <f t="shared" si="30"/>
        <v>6799591</v>
      </c>
      <c r="W434" s="1">
        <v>484349</v>
      </c>
      <c r="Y434" s="78">
        <v>134657</v>
      </c>
      <c r="AA434" s="1">
        <v>645963</v>
      </c>
      <c r="AD434" s="1">
        <v>61159</v>
      </c>
      <c r="AE434" s="1">
        <v>40121</v>
      </c>
      <c r="AF434" s="1">
        <v>101044</v>
      </c>
      <c r="AG434" s="1">
        <v>559276</v>
      </c>
      <c r="AH434" s="1">
        <v>395419</v>
      </c>
      <c r="AU434" s="1">
        <v>49761</v>
      </c>
      <c r="AV434" s="116">
        <f t="shared" si="31"/>
        <v>2471749</v>
      </c>
      <c r="BB434" s="1">
        <v>545220</v>
      </c>
      <c r="BC434" s="1">
        <v>35786</v>
      </c>
      <c r="BD434" s="1">
        <v>105021</v>
      </c>
      <c r="BE434" s="1">
        <v>40907</v>
      </c>
      <c r="BF434" s="121">
        <f t="shared" si="32"/>
        <v>726934</v>
      </c>
      <c r="BO434" s="1">
        <v>37362</v>
      </c>
      <c r="CC434" s="125">
        <f t="shared" si="33"/>
        <v>37362</v>
      </c>
      <c r="CF434" s="1">
        <v>4670005</v>
      </c>
      <c r="CG434" s="1">
        <v>271742</v>
      </c>
      <c r="CK434" s="124">
        <f t="shared" si="34"/>
        <v>4941747</v>
      </c>
      <c r="CP434" s="23">
        <v>11245</v>
      </c>
      <c r="CR434" s="23">
        <v>553067</v>
      </c>
      <c r="CV434" s="129">
        <v>1329762</v>
      </c>
    </row>
    <row r="435" spans="1:100" ht="12.75" customHeight="1">
      <c r="A435" s="1">
        <v>27</v>
      </c>
      <c r="B435" s="1">
        <v>3370</v>
      </c>
      <c r="C435" s="1" t="s">
        <v>1019</v>
      </c>
      <c r="D435" s="5" t="s">
        <v>860</v>
      </c>
      <c r="E435" t="s">
        <v>173</v>
      </c>
      <c r="F435" s="26">
        <v>2730</v>
      </c>
      <c r="G435" s="78">
        <v>40260382</v>
      </c>
      <c r="H435" s="78">
        <v>484130</v>
      </c>
      <c r="M435" s="1">
        <v>1754175</v>
      </c>
      <c r="O435" s="117">
        <f t="shared" si="30"/>
        <v>42498687</v>
      </c>
      <c r="P435" s="78">
        <v>909385</v>
      </c>
      <c r="V435" s="1">
        <v>1011059</v>
      </c>
      <c r="W435" s="1">
        <v>1799909</v>
      </c>
      <c r="X435" s="1">
        <v>15274</v>
      </c>
      <c r="Y435" s="78">
        <v>1291734</v>
      </c>
      <c r="AC435" s="1">
        <v>89852</v>
      </c>
      <c r="AD435" s="1">
        <v>534250</v>
      </c>
      <c r="AE435" s="1">
        <v>166848</v>
      </c>
      <c r="AF435" s="1">
        <v>245420</v>
      </c>
      <c r="AG435" s="1">
        <v>3345328</v>
      </c>
      <c r="AH435" s="1">
        <v>1599908</v>
      </c>
      <c r="AU435" s="1">
        <v>267058</v>
      </c>
      <c r="AV435" s="116">
        <f t="shared" si="31"/>
        <v>11276025</v>
      </c>
      <c r="BD435" s="1">
        <v>546127</v>
      </c>
      <c r="BE435" s="1">
        <v>58906</v>
      </c>
      <c r="BF435" s="121">
        <f t="shared" si="32"/>
        <v>605033</v>
      </c>
      <c r="BJ435" s="1">
        <v>67232</v>
      </c>
      <c r="CA435" s="1">
        <v>142059</v>
      </c>
      <c r="CB435" s="1">
        <v>74634</v>
      </c>
      <c r="CC435" s="125">
        <f t="shared" si="33"/>
        <v>283925</v>
      </c>
      <c r="CK435" s="124">
        <f t="shared" si="34"/>
        <v>0</v>
      </c>
      <c r="CV435" s="129">
        <v>872091</v>
      </c>
    </row>
    <row r="436" spans="1:100" ht="12.75" customHeight="1">
      <c r="A436" s="1">
        <v>27</v>
      </c>
      <c r="B436" s="1">
        <v>3380</v>
      </c>
      <c r="C436" s="1" t="s">
        <v>1019</v>
      </c>
      <c r="D436" s="5" t="s">
        <v>861</v>
      </c>
      <c r="E436" t="s">
        <v>174</v>
      </c>
      <c r="F436" s="26">
        <v>617</v>
      </c>
      <c r="G436" s="78">
        <v>11199448</v>
      </c>
      <c r="H436" s="78">
        <v>104340</v>
      </c>
      <c r="M436" s="1">
        <v>560994</v>
      </c>
      <c r="O436" s="117">
        <f t="shared" si="30"/>
        <v>11864782</v>
      </c>
      <c r="V436" s="1">
        <v>147896</v>
      </c>
      <c r="W436" s="1">
        <v>501860</v>
      </c>
      <c r="X436" s="1">
        <v>7044</v>
      </c>
      <c r="Y436" s="78">
        <v>176321</v>
      </c>
      <c r="AC436" s="1">
        <v>48829</v>
      </c>
      <c r="AD436" s="1">
        <v>41092</v>
      </c>
      <c r="AE436" s="1">
        <v>26226</v>
      </c>
      <c r="AF436" s="1">
        <v>9090</v>
      </c>
      <c r="AG436" s="1">
        <v>631317</v>
      </c>
      <c r="AH436" s="1">
        <v>267111</v>
      </c>
      <c r="AV436" s="116">
        <f t="shared" si="31"/>
        <v>1856786</v>
      </c>
      <c r="BD436" s="1">
        <v>151519</v>
      </c>
      <c r="BE436" s="1">
        <v>27990</v>
      </c>
      <c r="BF436" s="121">
        <f t="shared" si="32"/>
        <v>179509</v>
      </c>
      <c r="BO436" s="1">
        <v>6175</v>
      </c>
      <c r="BS436" s="1">
        <v>90000</v>
      </c>
      <c r="CC436" s="125">
        <f t="shared" si="33"/>
        <v>96175</v>
      </c>
      <c r="CD436" s="1">
        <v>32141</v>
      </c>
      <c r="CK436" s="124">
        <f t="shared" si="34"/>
        <v>32141</v>
      </c>
      <c r="CV436" s="129">
        <v>179509</v>
      </c>
    </row>
    <row r="437" spans="1:100" ht="12.75" customHeight="1">
      <c r="A437" s="1">
        <v>27</v>
      </c>
      <c r="B437" s="1">
        <v>3385</v>
      </c>
      <c r="C437" s="1" t="s">
        <v>1019</v>
      </c>
      <c r="D437" s="5" t="s">
        <v>862</v>
      </c>
      <c r="E437" t="s">
        <v>175</v>
      </c>
      <c r="F437" s="26">
        <v>4648</v>
      </c>
      <c r="G437" s="78">
        <v>71829348</v>
      </c>
      <c r="H437" s="78">
        <v>747602</v>
      </c>
      <c r="L437" s="1">
        <v>90476</v>
      </c>
      <c r="M437" s="1">
        <v>1005812</v>
      </c>
      <c r="O437" s="117">
        <f t="shared" si="30"/>
        <v>73673238</v>
      </c>
      <c r="V437" s="1">
        <v>1309155</v>
      </c>
      <c r="W437" s="1">
        <v>3972315</v>
      </c>
      <c r="X437" s="1">
        <v>505546</v>
      </c>
      <c r="AC437" s="1">
        <v>216505</v>
      </c>
      <c r="AD437" s="1">
        <v>517878</v>
      </c>
      <c r="AE437" s="1">
        <v>220009</v>
      </c>
      <c r="AF437" s="1">
        <v>56538</v>
      </c>
      <c r="AG437" s="1">
        <v>5836411</v>
      </c>
      <c r="AH437" s="1">
        <v>2675470</v>
      </c>
      <c r="AJ437" s="1">
        <v>13710</v>
      </c>
      <c r="AL437" s="1">
        <v>12786</v>
      </c>
      <c r="AM437" s="1">
        <v>751695</v>
      </c>
      <c r="AO437" s="1">
        <v>275492</v>
      </c>
      <c r="AP437" s="1">
        <v>235854</v>
      </c>
      <c r="AU437" s="1">
        <v>787792</v>
      </c>
      <c r="AV437" s="116">
        <f t="shared" si="31"/>
        <v>17387156</v>
      </c>
      <c r="BA437" s="1">
        <v>7830</v>
      </c>
      <c r="BC437" s="1">
        <v>495044</v>
      </c>
      <c r="BD437" s="1">
        <v>1292002</v>
      </c>
      <c r="BE437" s="1">
        <v>472577</v>
      </c>
      <c r="BF437" s="121">
        <f t="shared" si="32"/>
        <v>2267453</v>
      </c>
      <c r="BG437" s="1">
        <v>523629</v>
      </c>
      <c r="BO437" s="1">
        <v>83151</v>
      </c>
      <c r="BY437" s="1">
        <v>225</v>
      </c>
      <c r="CC437" s="125">
        <f t="shared" si="33"/>
        <v>607005</v>
      </c>
      <c r="CD437" s="1">
        <v>3235339</v>
      </c>
      <c r="CK437" s="124">
        <f t="shared" si="34"/>
        <v>3235339</v>
      </c>
      <c r="CV437" s="129">
        <v>4191574</v>
      </c>
    </row>
    <row r="438" spans="1:100" ht="12.75" customHeight="1">
      <c r="A438" s="1">
        <v>27</v>
      </c>
      <c r="B438" s="1">
        <v>3410</v>
      </c>
      <c r="C438" s="1" t="s">
        <v>1019</v>
      </c>
      <c r="D438" s="5" t="s">
        <v>863</v>
      </c>
      <c r="E438" t="s">
        <v>176</v>
      </c>
      <c r="F438" s="26">
        <v>405</v>
      </c>
      <c r="G438" s="78">
        <v>7976039</v>
      </c>
      <c r="H438" s="78">
        <v>86824</v>
      </c>
      <c r="L438" s="1">
        <v>3325</v>
      </c>
      <c r="M438" s="1">
        <v>232149</v>
      </c>
      <c r="O438" s="117">
        <f t="shared" si="30"/>
        <v>8298337</v>
      </c>
      <c r="V438" s="1">
        <v>165680</v>
      </c>
      <c r="W438" s="1">
        <v>431695</v>
      </c>
      <c r="Y438" s="78">
        <v>111523</v>
      </c>
      <c r="AC438" s="1">
        <v>30493</v>
      </c>
      <c r="AD438" s="1">
        <v>71757</v>
      </c>
      <c r="AE438" s="1">
        <v>23796</v>
      </c>
      <c r="AF438" s="1">
        <v>3263</v>
      </c>
      <c r="AG438" s="1">
        <v>416679</v>
      </c>
      <c r="AH438" s="1">
        <v>187656</v>
      </c>
      <c r="AO438" s="1">
        <v>12546</v>
      </c>
      <c r="AU438" s="1">
        <v>3231</v>
      </c>
      <c r="AV438" s="116">
        <f t="shared" si="31"/>
        <v>1458319</v>
      </c>
      <c r="BA438" s="1">
        <v>15634</v>
      </c>
      <c r="BC438" s="1">
        <v>32389</v>
      </c>
      <c r="BD438" s="1">
        <v>136193</v>
      </c>
      <c r="BE438" s="1">
        <v>25622</v>
      </c>
      <c r="BF438" s="121">
        <f t="shared" si="32"/>
        <v>209838</v>
      </c>
      <c r="BO438" s="1">
        <v>100</v>
      </c>
      <c r="CC438" s="125">
        <f t="shared" si="33"/>
        <v>100</v>
      </c>
      <c r="CD438" s="1">
        <v>21470</v>
      </c>
      <c r="CK438" s="124">
        <f t="shared" si="34"/>
        <v>21470</v>
      </c>
      <c r="CV438" s="129">
        <v>213306</v>
      </c>
    </row>
    <row r="439" spans="1:100" ht="12.75" customHeight="1">
      <c r="A439" s="1">
        <v>27</v>
      </c>
      <c r="B439" s="1">
        <v>3450</v>
      </c>
      <c r="C439" s="1" t="s">
        <v>1019</v>
      </c>
      <c r="D439" s="5" t="s">
        <v>864</v>
      </c>
      <c r="E439" t="s">
        <v>177</v>
      </c>
      <c r="F439" s="26">
        <v>4981</v>
      </c>
      <c r="G439" s="78">
        <v>49278445</v>
      </c>
      <c r="H439" s="78">
        <v>462726</v>
      </c>
      <c r="M439" s="1">
        <v>4239536</v>
      </c>
      <c r="O439" s="117">
        <f t="shared" si="30"/>
        <v>53980707</v>
      </c>
      <c r="P439" s="78">
        <v>8054305</v>
      </c>
      <c r="V439" s="1">
        <v>1451521</v>
      </c>
      <c r="W439" s="1">
        <v>3391241</v>
      </c>
      <c r="X439" s="1">
        <v>150348</v>
      </c>
      <c r="Y439" s="78">
        <v>545746</v>
      </c>
      <c r="AC439" s="1">
        <v>230141</v>
      </c>
      <c r="AD439" s="1">
        <v>524462</v>
      </c>
      <c r="AE439" s="1">
        <v>423529</v>
      </c>
      <c r="AF439" s="1">
        <v>291051</v>
      </c>
      <c r="AG439" s="1">
        <v>3821664</v>
      </c>
      <c r="AH439" s="1">
        <v>2147359</v>
      </c>
      <c r="AP439" s="1">
        <v>604471</v>
      </c>
      <c r="AT439" s="1">
        <v>8700382</v>
      </c>
      <c r="AU439" s="1">
        <v>11001</v>
      </c>
      <c r="AV439" s="116">
        <f t="shared" si="31"/>
        <v>30347221</v>
      </c>
      <c r="BB439" s="1">
        <v>16927</v>
      </c>
      <c r="BC439" s="1">
        <v>132669</v>
      </c>
      <c r="BD439" s="1">
        <v>943543</v>
      </c>
      <c r="BE439" s="1">
        <v>153692</v>
      </c>
      <c r="BF439" s="121">
        <f t="shared" si="32"/>
        <v>1246831</v>
      </c>
      <c r="BG439" s="1">
        <v>855822</v>
      </c>
      <c r="BN439" s="1">
        <v>93601</v>
      </c>
      <c r="BO439" s="1">
        <v>503</v>
      </c>
      <c r="BX439" s="1">
        <v>26691</v>
      </c>
      <c r="BY439" s="1">
        <v>1712539</v>
      </c>
      <c r="BZ439" s="1">
        <v>42470</v>
      </c>
      <c r="CA439" s="1">
        <v>151441</v>
      </c>
      <c r="CC439" s="125">
        <f t="shared" si="33"/>
        <v>2883067</v>
      </c>
      <c r="CD439" s="1">
        <v>126618</v>
      </c>
      <c r="CK439" s="124">
        <f t="shared" si="34"/>
        <v>126618</v>
      </c>
      <c r="CV439" s="129">
        <v>1257832</v>
      </c>
    </row>
    <row r="440" spans="1:100" ht="12.75" customHeight="1">
      <c r="A440" s="1">
        <v>27</v>
      </c>
      <c r="B440" s="1">
        <v>3460</v>
      </c>
      <c r="C440" s="1" t="s">
        <v>1019</v>
      </c>
      <c r="D440" s="5" t="s">
        <v>865</v>
      </c>
      <c r="E440" t="s">
        <v>62</v>
      </c>
      <c r="F440" s="26">
        <v>1747</v>
      </c>
      <c r="G440" s="78">
        <v>16059217</v>
      </c>
      <c r="L440" s="1">
        <v>139712</v>
      </c>
      <c r="M440" s="1">
        <v>1104948</v>
      </c>
      <c r="O440" s="117">
        <f t="shared" si="30"/>
        <v>17303877</v>
      </c>
      <c r="V440" s="1">
        <v>5800</v>
      </c>
      <c r="W440" s="1">
        <v>717381</v>
      </c>
      <c r="AC440" s="1">
        <v>24280</v>
      </c>
      <c r="AD440" s="1">
        <v>86769</v>
      </c>
      <c r="AE440" s="1">
        <v>22021</v>
      </c>
      <c r="AF440" s="1">
        <v>3459</v>
      </c>
      <c r="AG440" s="1">
        <v>2094045</v>
      </c>
      <c r="AH440" s="1">
        <v>1177265</v>
      </c>
      <c r="AM440" s="1">
        <v>71613</v>
      </c>
      <c r="AP440" s="1">
        <v>124723</v>
      </c>
      <c r="AU440" s="1">
        <v>339245</v>
      </c>
      <c r="AV440" s="116">
        <f t="shared" si="31"/>
        <v>4666601</v>
      </c>
      <c r="BC440" s="1">
        <v>13701</v>
      </c>
      <c r="BD440" s="1">
        <v>238250</v>
      </c>
      <c r="BE440" s="1">
        <v>29379</v>
      </c>
      <c r="BF440" s="121">
        <f t="shared" si="32"/>
        <v>281330</v>
      </c>
      <c r="BI440" s="1">
        <v>14394</v>
      </c>
      <c r="BK440" s="1">
        <v>421915</v>
      </c>
      <c r="BO440" s="1">
        <v>1913</v>
      </c>
      <c r="BP440" s="1">
        <v>219165</v>
      </c>
      <c r="CC440" s="125">
        <f t="shared" si="33"/>
        <v>657387</v>
      </c>
      <c r="CD440" s="1">
        <v>12462409</v>
      </c>
      <c r="CK440" s="124">
        <f t="shared" si="34"/>
        <v>12462409</v>
      </c>
      <c r="CV440" s="129">
        <v>831900</v>
      </c>
    </row>
    <row r="441" spans="1:100" ht="12.75" customHeight="1">
      <c r="A441" s="1">
        <v>27</v>
      </c>
      <c r="B441" s="1">
        <v>3520</v>
      </c>
      <c r="C441" s="1" t="s">
        <v>1019</v>
      </c>
      <c r="D441" s="5" t="s">
        <v>866</v>
      </c>
      <c r="E441" t="s">
        <v>63</v>
      </c>
      <c r="F441" s="26">
        <v>295</v>
      </c>
      <c r="G441" s="78">
        <v>2713134</v>
      </c>
      <c r="H441" s="78">
        <v>35124</v>
      </c>
      <c r="L441" s="1">
        <v>3474</v>
      </c>
      <c r="O441" s="117">
        <f t="shared" si="30"/>
        <v>2751732</v>
      </c>
      <c r="P441" s="78">
        <v>309916</v>
      </c>
      <c r="V441" s="1">
        <v>11907</v>
      </c>
      <c r="W441" s="1">
        <v>204752</v>
      </c>
      <c r="X441" s="1">
        <v>8212</v>
      </c>
      <c r="Y441" s="78">
        <v>235105</v>
      </c>
      <c r="AC441" s="1">
        <v>8475</v>
      </c>
      <c r="AD441" s="1">
        <v>30063</v>
      </c>
      <c r="AE441" s="1">
        <v>24231</v>
      </c>
      <c r="AF441" s="1">
        <v>441</v>
      </c>
      <c r="AG441" s="1">
        <v>287959</v>
      </c>
      <c r="AH441" s="1">
        <v>158256</v>
      </c>
      <c r="AO441" s="1">
        <v>7500</v>
      </c>
      <c r="AU441" s="1">
        <v>163038</v>
      </c>
      <c r="AV441" s="116">
        <f t="shared" si="31"/>
        <v>1449855</v>
      </c>
      <c r="BC441" s="1">
        <v>24921</v>
      </c>
      <c r="BD441" s="1">
        <v>92569</v>
      </c>
      <c r="BE441" s="1">
        <v>7307</v>
      </c>
      <c r="BF441" s="121">
        <f t="shared" si="32"/>
        <v>124797</v>
      </c>
      <c r="BO441" s="1">
        <v>1894</v>
      </c>
      <c r="CC441" s="125">
        <f t="shared" si="33"/>
        <v>1894</v>
      </c>
      <c r="CK441" s="124">
        <f t="shared" si="34"/>
        <v>0</v>
      </c>
      <c r="CV441" s="129">
        <v>298809</v>
      </c>
    </row>
    <row r="442" spans="1:100" ht="12.75" customHeight="1">
      <c r="A442" s="1">
        <v>27</v>
      </c>
      <c r="B442" s="1">
        <v>3950</v>
      </c>
      <c r="C442" s="1" t="s">
        <v>1019</v>
      </c>
      <c r="D442" s="5" t="s">
        <v>867</v>
      </c>
      <c r="E442" t="s">
        <v>64</v>
      </c>
      <c r="F442" s="26">
        <v>7169.5</v>
      </c>
      <c r="G442" s="78">
        <v>100210723</v>
      </c>
      <c r="H442" s="78">
        <v>2241285</v>
      </c>
      <c r="L442" s="1">
        <v>48663</v>
      </c>
      <c r="M442" s="1">
        <v>1081825</v>
      </c>
      <c r="O442" s="117">
        <f t="shared" si="30"/>
        <v>103582496</v>
      </c>
      <c r="V442" s="1">
        <v>1055320</v>
      </c>
      <c r="W442" s="1">
        <v>3973184</v>
      </c>
      <c r="X442" s="1">
        <v>570252</v>
      </c>
      <c r="AC442" s="1">
        <v>377667</v>
      </c>
      <c r="AD442" s="1">
        <v>768259</v>
      </c>
      <c r="AE442" s="1">
        <v>191010</v>
      </c>
      <c r="AF442" s="1">
        <v>50344</v>
      </c>
      <c r="AG442" s="1">
        <v>8590955</v>
      </c>
      <c r="AH442" s="1">
        <v>3784969</v>
      </c>
      <c r="AU442" s="1">
        <v>236729</v>
      </c>
      <c r="AV442" s="116">
        <f t="shared" si="31"/>
        <v>19598689</v>
      </c>
      <c r="BC442" s="1">
        <v>212462</v>
      </c>
      <c r="BD442" s="1">
        <v>1432427</v>
      </c>
      <c r="BE442" s="1">
        <v>404359</v>
      </c>
      <c r="BF442" s="121">
        <f t="shared" si="32"/>
        <v>2049248</v>
      </c>
      <c r="BG442" s="1">
        <v>791940</v>
      </c>
      <c r="BI442" s="1">
        <v>53427</v>
      </c>
      <c r="BO442" s="1">
        <v>17368</v>
      </c>
      <c r="CC442" s="125">
        <f t="shared" si="33"/>
        <v>862735</v>
      </c>
      <c r="CK442" s="124">
        <f t="shared" si="34"/>
        <v>0</v>
      </c>
      <c r="CM442" s="23">
        <v>47633000</v>
      </c>
      <c r="CV442" s="129">
        <v>2334640</v>
      </c>
    </row>
    <row r="443" spans="1:100" ht="12.75" customHeight="1">
      <c r="A443" s="1">
        <v>27</v>
      </c>
      <c r="B443" s="1">
        <v>4000</v>
      </c>
      <c r="C443" s="1" t="s">
        <v>1019</v>
      </c>
      <c r="D443" s="5" t="s">
        <v>868</v>
      </c>
      <c r="E443" t="s">
        <v>65</v>
      </c>
      <c r="F443" s="26">
        <v>1065</v>
      </c>
      <c r="G443" s="78">
        <v>11433923</v>
      </c>
      <c r="H443" s="78">
        <v>185679</v>
      </c>
      <c r="M443" s="1">
        <v>1523279</v>
      </c>
      <c r="O443" s="117">
        <f t="shared" si="30"/>
        <v>13142881</v>
      </c>
      <c r="V443" s="1">
        <v>300776</v>
      </c>
      <c r="W443" s="1">
        <v>513026</v>
      </c>
      <c r="X443" s="1">
        <v>12920</v>
      </c>
      <c r="Y443" s="78">
        <v>3634</v>
      </c>
      <c r="AC443" s="1">
        <v>21141</v>
      </c>
      <c r="AD443" s="1">
        <v>57495</v>
      </c>
      <c r="AE443" s="1">
        <v>26636</v>
      </c>
      <c r="AF443" s="1">
        <v>6079</v>
      </c>
      <c r="AG443" s="1">
        <v>833301</v>
      </c>
      <c r="AH443" s="1">
        <v>455259</v>
      </c>
      <c r="AU443" s="1">
        <v>107338</v>
      </c>
      <c r="AV443" s="116">
        <f t="shared" si="31"/>
        <v>2337605</v>
      </c>
      <c r="BD443" s="1">
        <v>262295</v>
      </c>
      <c r="BE443" s="1">
        <v>26972</v>
      </c>
      <c r="BF443" s="121">
        <f t="shared" si="32"/>
        <v>289267</v>
      </c>
      <c r="BO443" s="1">
        <v>220</v>
      </c>
      <c r="CC443" s="125">
        <f t="shared" si="33"/>
        <v>220</v>
      </c>
      <c r="CD443" s="1">
        <v>15712</v>
      </c>
      <c r="CK443" s="124">
        <f t="shared" si="34"/>
        <v>15712</v>
      </c>
      <c r="CV443" s="129">
        <v>396605</v>
      </c>
    </row>
    <row r="444" spans="1:100" ht="12.75" customHeight="1">
      <c r="A444" s="1">
        <v>27</v>
      </c>
      <c r="B444" s="1">
        <v>4080</v>
      </c>
      <c r="C444" s="1" t="s">
        <v>1019</v>
      </c>
      <c r="D444" s="5" t="s">
        <v>869</v>
      </c>
      <c r="E444" t="s">
        <v>66</v>
      </c>
      <c r="F444" s="26">
        <v>2478</v>
      </c>
      <c r="G444" s="78">
        <v>27271858</v>
      </c>
      <c r="H444" s="78">
        <v>340242</v>
      </c>
      <c r="M444" s="1">
        <v>979346</v>
      </c>
      <c r="O444" s="117">
        <f t="shared" si="30"/>
        <v>28591446</v>
      </c>
      <c r="V444" s="1">
        <v>221558</v>
      </c>
      <c r="W444" s="1">
        <v>1513421</v>
      </c>
      <c r="X444" s="1">
        <v>19784</v>
      </c>
      <c r="Y444" s="78">
        <v>565711</v>
      </c>
      <c r="AC444" s="1">
        <v>105405</v>
      </c>
      <c r="AD444" s="1">
        <v>278908</v>
      </c>
      <c r="AE444" s="1">
        <v>77981</v>
      </c>
      <c r="AF444" s="1">
        <v>25664</v>
      </c>
      <c r="AG444" s="1">
        <v>2485028</v>
      </c>
      <c r="AH444" s="1">
        <v>1147329</v>
      </c>
      <c r="AP444" s="1">
        <v>186387</v>
      </c>
      <c r="AU444" s="1">
        <v>151294</v>
      </c>
      <c r="AV444" s="116">
        <f t="shared" si="31"/>
        <v>6778470</v>
      </c>
      <c r="BD444" s="1">
        <v>497308</v>
      </c>
      <c r="BE444" s="1">
        <v>112677</v>
      </c>
      <c r="BF444" s="121">
        <f t="shared" si="32"/>
        <v>609985</v>
      </c>
      <c r="BI444" s="1">
        <v>268650</v>
      </c>
      <c r="BM444" s="1">
        <v>40736</v>
      </c>
      <c r="BO444" s="1">
        <v>6802</v>
      </c>
      <c r="BY444" s="1">
        <v>2698</v>
      </c>
      <c r="CC444" s="125">
        <f t="shared" si="33"/>
        <v>318886</v>
      </c>
      <c r="CK444" s="124">
        <f t="shared" si="34"/>
        <v>0</v>
      </c>
      <c r="CV444" s="129">
        <v>761279</v>
      </c>
    </row>
    <row r="445" spans="1:100" ht="12.75" customHeight="1">
      <c r="A445" s="1">
        <v>27</v>
      </c>
      <c r="B445" s="1">
        <v>4330</v>
      </c>
      <c r="C445" s="1" t="s">
        <v>1019</v>
      </c>
      <c r="D445" s="5" t="s">
        <v>870</v>
      </c>
      <c r="E445" t="s">
        <v>67</v>
      </c>
      <c r="F445" s="26">
        <v>5535</v>
      </c>
      <c r="G445" s="78">
        <v>52784496</v>
      </c>
      <c r="H445" s="78">
        <v>56315</v>
      </c>
      <c r="L445" s="1">
        <v>22846</v>
      </c>
      <c r="M445" s="1">
        <v>3622250</v>
      </c>
      <c r="O445" s="117">
        <f t="shared" si="30"/>
        <v>56485907</v>
      </c>
      <c r="P445" s="78">
        <v>1036148</v>
      </c>
      <c r="V445" s="1">
        <v>1345161</v>
      </c>
      <c r="W445" s="1">
        <v>3140819</v>
      </c>
      <c r="X445" s="1">
        <v>107060</v>
      </c>
      <c r="Y445" s="78">
        <v>4625083</v>
      </c>
      <c r="AC445" s="1">
        <v>101721</v>
      </c>
      <c r="AD445" s="1">
        <v>300327</v>
      </c>
      <c r="AE445" s="1">
        <v>316638</v>
      </c>
      <c r="AF445" s="1">
        <v>39549</v>
      </c>
      <c r="AG445" s="1">
        <v>4407808</v>
      </c>
      <c r="AH445" s="1">
        <v>2551470</v>
      </c>
      <c r="AP445" s="1">
        <v>279518</v>
      </c>
      <c r="AU445" s="1">
        <v>76823</v>
      </c>
      <c r="AV445" s="116">
        <f t="shared" si="31"/>
        <v>18328125</v>
      </c>
      <c r="BD445" s="1">
        <v>1062527</v>
      </c>
      <c r="BE445" s="1">
        <v>173765</v>
      </c>
      <c r="BF445" s="121">
        <f t="shared" si="32"/>
        <v>1236292</v>
      </c>
      <c r="BG445" s="1">
        <v>1098598</v>
      </c>
      <c r="BI445" s="1">
        <v>15829</v>
      </c>
      <c r="BO445" s="1">
        <v>25</v>
      </c>
      <c r="BP445" s="1">
        <v>219951</v>
      </c>
      <c r="BZ445" s="1">
        <v>993</v>
      </c>
      <c r="CA445" s="1">
        <v>378984</v>
      </c>
      <c r="CC445" s="125">
        <f t="shared" si="33"/>
        <v>1714380</v>
      </c>
      <c r="CK445" s="124">
        <f t="shared" si="34"/>
        <v>0</v>
      </c>
      <c r="CV445" s="129">
        <v>1335961</v>
      </c>
    </row>
    <row r="446" spans="1:100" ht="12.75" customHeight="1">
      <c r="A446" s="1">
        <v>27</v>
      </c>
      <c r="B446" s="1">
        <v>4440</v>
      </c>
      <c r="C446" s="1" t="s">
        <v>1019</v>
      </c>
      <c r="D446" s="5" t="s">
        <v>871</v>
      </c>
      <c r="E446" t="s">
        <v>68</v>
      </c>
      <c r="F446" s="26">
        <v>266</v>
      </c>
      <c r="G446" s="78">
        <v>4764615</v>
      </c>
      <c r="L446" s="1">
        <v>3000</v>
      </c>
      <c r="M446" s="1">
        <v>374300</v>
      </c>
      <c r="O446" s="117">
        <f t="shared" si="30"/>
        <v>5141915</v>
      </c>
      <c r="W446" s="1">
        <v>342625</v>
      </c>
      <c r="AC446" s="1">
        <v>12580</v>
      </c>
      <c r="AD446" s="1">
        <v>41803</v>
      </c>
      <c r="AE446" s="1">
        <v>11533</v>
      </c>
      <c r="AF446" s="1">
        <v>2900</v>
      </c>
      <c r="AG446" s="1">
        <v>263730</v>
      </c>
      <c r="AH446" s="1">
        <v>130851</v>
      </c>
      <c r="AT446" s="1">
        <v>66641</v>
      </c>
      <c r="AV446" s="116">
        <f t="shared" si="31"/>
        <v>872663</v>
      </c>
      <c r="BC446" s="1">
        <v>14281</v>
      </c>
      <c r="BD446" s="1">
        <v>72163</v>
      </c>
      <c r="BE446" s="1">
        <v>8213</v>
      </c>
      <c r="BF446" s="121">
        <f t="shared" si="32"/>
        <v>94657</v>
      </c>
      <c r="BP446" s="1">
        <v>90033</v>
      </c>
      <c r="BZ446" s="1">
        <v>20520</v>
      </c>
      <c r="CA446" s="1">
        <v>24087</v>
      </c>
      <c r="CC446" s="125">
        <f t="shared" si="33"/>
        <v>134640</v>
      </c>
      <c r="CK446" s="124">
        <f t="shared" si="34"/>
        <v>0</v>
      </c>
      <c r="CV446" s="129">
        <v>97657</v>
      </c>
    </row>
    <row r="447" spans="1:100" ht="12.75" customHeight="1">
      <c r="A447" s="1">
        <v>27</v>
      </c>
      <c r="B447" s="1">
        <v>4480</v>
      </c>
      <c r="C447" s="1" t="s">
        <v>1019</v>
      </c>
      <c r="D447" s="5" t="s">
        <v>872</v>
      </c>
      <c r="E447" t="s">
        <v>69</v>
      </c>
      <c r="F447" s="26">
        <v>622</v>
      </c>
      <c r="G447" s="78">
        <v>6020071</v>
      </c>
      <c r="H447" s="78">
        <v>54915</v>
      </c>
      <c r="L447" s="1">
        <v>7280</v>
      </c>
      <c r="O447" s="117">
        <f t="shared" si="30"/>
        <v>6082266</v>
      </c>
      <c r="W447" s="1">
        <v>411067</v>
      </c>
      <c r="AC447" s="1">
        <v>25828</v>
      </c>
      <c r="AD447" s="1">
        <v>65943</v>
      </c>
      <c r="AE447" s="1">
        <v>14852</v>
      </c>
      <c r="AF447" s="1">
        <v>3154</v>
      </c>
      <c r="AG447" s="1">
        <v>586970</v>
      </c>
      <c r="AH447" s="1">
        <v>258464</v>
      </c>
      <c r="AO447" s="1">
        <v>18057</v>
      </c>
      <c r="AU447" s="1">
        <v>268166</v>
      </c>
      <c r="AV447" s="116">
        <f t="shared" si="31"/>
        <v>1652501</v>
      </c>
      <c r="BC447" s="1">
        <v>56062</v>
      </c>
      <c r="BD447" s="1">
        <v>195392</v>
      </c>
      <c r="BE447" s="1">
        <v>30957</v>
      </c>
      <c r="BF447" s="121">
        <f t="shared" si="32"/>
        <v>282411</v>
      </c>
      <c r="BO447" s="1">
        <v>9</v>
      </c>
      <c r="CC447" s="125">
        <f t="shared" si="33"/>
        <v>9</v>
      </c>
      <c r="CK447" s="124">
        <f t="shared" si="34"/>
        <v>0</v>
      </c>
      <c r="CV447" s="129">
        <v>575914</v>
      </c>
    </row>
    <row r="448" spans="1:100" ht="12.75" customHeight="1">
      <c r="A448" s="1">
        <v>27</v>
      </c>
      <c r="B448" s="1">
        <v>4490</v>
      </c>
      <c r="C448" s="1" t="s">
        <v>1019</v>
      </c>
      <c r="D448" s="5" t="s">
        <v>873</v>
      </c>
      <c r="E448" t="s">
        <v>70</v>
      </c>
      <c r="F448" s="26">
        <v>2854</v>
      </c>
      <c r="G448" s="78">
        <v>36816712</v>
      </c>
      <c r="H448" s="78">
        <v>499495</v>
      </c>
      <c r="L448" s="1">
        <v>5000</v>
      </c>
      <c r="M448" s="1">
        <v>513346</v>
      </c>
      <c r="O448" s="117">
        <f t="shared" si="30"/>
        <v>37834553</v>
      </c>
      <c r="V448" s="1">
        <v>434397</v>
      </c>
      <c r="W448" s="1">
        <v>2424789</v>
      </c>
      <c r="X448" s="1">
        <v>28122</v>
      </c>
      <c r="Y448" s="78">
        <v>216855</v>
      </c>
      <c r="AC448" s="1">
        <v>144429</v>
      </c>
      <c r="AD448" s="1">
        <v>172315</v>
      </c>
      <c r="AE448" s="1">
        <v>98294</v>
      </c>
      <c r="AF448" s="1">
        <v>12992</v>
      </c>
      <c r="AG448" s="1">
        <v>2836446</v>
      </c>
      <c r="AH448" s="1">
        <v>1476559</v>
      </c>
      <c r="AP448" s="1">
        <v>200173</v>
      </c>
      <c r="AU448" s="1">
        <v>3303</v>
      </c>
      <c r="AV448" s="116">
        <f t="shared" si="31"/>
        <v>8048674</v>
      </c>
      <c r="BA448" s="1">
        <v>674500</v>
      </c>
      <c r="BC448" s="1">
        <v>89372</v>
      </c>
      <c r="BD448" s="1">
        <v>592121</v>
      </c>
      <c r="BE448" s="1">
        <v>96202</v>
      </c>
      <c r="BF448" s="121">
        <f t="shared" si="32"/>
        <v>1452195</v>
      </c>
      <c r="BG448" s="1">
        <v>576500</v>
      </c>
      <c r="BN448" s="1">
        <v>10931</v>
      </c>
      <c r="BO448" s="1">
        <v>32766</v>
      </c>
      <c r="CC448" s="125">
        <f t="shared" si="33"/>
        <v>620197</v>
      </c>
      <c r="CD448" s="1">
        <v>217969</v>
      </c>
      <c r="CK448" s="124">
        <f t="shared" si="34"/>
        <v>217969</v>
      </c>
      <c r="CV448" s="129">
        <v>785998</v>
      </c>
    </row>
    <row r="449" spans="1:100" ht="12.75" customHeight="1">
      <c r="A449" s="1">
        <v>27</v>
      </c>
      <c r="B449" s="1">
        <v>4560</v>
      </c>
      <c r="C449" s="1" t="s">
        <v>1019</v>
      </c>
      <c r="D449" s="5" t="s">
        <v>874</v>
      </c>
      <c r="E449" t="s">
        <v>71</v>
      </c>
      <c r="F449" s="26">
        <v>4499</v>
      </c>
      <c r="G449" s="78">
        <v>41553971</v>
      </c>
      <c r="H449" s="78">
        <v>1076754</v>
      </c>
      <c r="L449" s="1">
        <v>6749</v>
      </c>
      <c r="M449" s="1">
        <v>1952834</v>
      </c>
      <c r="O449" s="117">
        <f t="shared" si="30"/>
        <v>44590308</v>
      </c>
      <c r="P449" s="78">
        <v>5187272</v>
      </c>
      <c r="V449" s="1">
        <v>1144700</v>
      </c>
      <c r="W449" s="1">
        <v>1885525</v>
      </c>
      <c r="X449" s="1">
        <v>98938</v>
      </c>
      <c r="Y449" s="78">
        <v>3943752</v>
      </c>
      <c r="AC449" s="1">
        <v>273272</v>
      </c>
      <c r="AD449" s="1">
        <v>491107</v>
      </c>
      <c r="AE449" s="1">
        <v>382539</v>
      </c>
      <c r="AF449" s="1">
        <v>21136</v>
      </c>
      <c r="AG449" s="1">
        <v>4439629</v>
      </c>
      <c r="AH449" s="1">
        <v>2011950</v>
      </c>
      <c r="AP449" s="1">
        <v>37743</v>
      </c>
      <c r="AU449" s="1">
        <v>155783</v>
      </c>
      <c r="AV449" s="116">
        <f t="shared" si="31"/>
        <v>20073346</v>
      </c>
      <c r="BC449" s="1">
        <v>82592</v>
      </c>
      <c r="BD449" s="1">
        <v>1033195</v>
      </c>
      <c r="BE449" s="1">
        <v>145252</v>
      </c>
      <c r="BF449" s="121">
        <f t="shared" si="32"/>
        <v>1261039</v>
      </c>
      <c r="BG449" s="1">
        <v>577225</v>
      </c>
      <c r="BM449" s="1">
        <v>52040</v>
      </c>
      <c r="BO449" s="1">
        <v>4606</v>
      </c>
      <c r="BP449" s="1">
        <v>358642</v>
      </c>
      <c r="CA449" s="1">
        <v>81581</v>
      </c>
      <c r="CB449" s="1">
        <v>41814</v>
      </c>
      <c r="CC449" s="125">
        <f t="shared" si="33"/>
        <v>1115908</v>
      </c>
      <c r="CD449" s="1">
        <v>2973938</v>
      </c>
      <c r="CK449" s="124">
        <f t="shared" si="34"/>
        <v>2973938</v>
      </c>
      <c r="CV449" s="129">
        <v>1423571</v>
      </c>
    </row>
    <row r="450" spans="1:100" ht="12.75" customHeight="1">
      <c r="A450" s="1">
        <v>27</v>
      </c>
      <c r="B450" s="1">
        <v>5380</v>
      </c>
      <c r="C450" s="1" t="s">
        <v>1019</v>
      </c>
      <c r="D450" s="5" t="s">
        <v>875</v>
      </c>
      <c r="E450"/>
      <c r="F450" s="26"/>
      <c r="G450" s="78">
        <v>922230</v>
      </c>
      <c r="H450" s="78">
        <v>49575</v>
      </c>
      <c r="O450" s="117">
        <f t="shared" si="30"/>
        <v>971805</v>
      </c>
      <c r="P450" s="78">
        <v>1298841</v>
      </c>
      <c r="V450" s="1">
        <v>203031</v>
      </c>
      <c r="W450" s="1">
        <v>217335</v>
      </c>
      <c r="X450" s="1">
        <v>2318</v>
      </c>
      <c r="Y450" s="78">
        <v>236779</v>
      </c>
      <c r="AC450" s="1">
        <v>47</v>
      </c>
      <c r="AD450" s="1">
        <v>30502</v>
      </c>
      <c r="AE450" s="1">
        <v>59664</v>
      </c>
      <c r="AI450" s="1">
        <v>116</v>
      </c>
      <c r="AV450" s="116">
        <f t="shared" si="31"/>
        <v>2048633</v>
      </c>
      <c r="BD450" s="1">
        <v>49787</v>
      </c>
      <c r="BF450" s="121">
        <f t="shared" si="32"/>
        <v>49787</v>
      </c>
      <c r="CC450" s="125">
        <f t="shared" si="33"/>
        <v>0</v>
      </c>
      <c r="CK450" s="124">
        <f t="shared" si="34"/>
        <v>0</v>
      </c>
      <c r="CV450" s="129">
        <v>49787</v>
      </c>
    </row>
    <row r="451" spans="1:100" ht="12.75" customHeight="1">
      <c r="A451" s="1">
        <v>27</v>
      </c>
      <c r="B451" s="1">
        <v>5520</v>
      </c>
      <c r="C451" s="1" t="s">
        <v>1019</v>
      </c>
      <c r="D451" s="5" t="s">
        <v>1270</v>
      </c>
      <c r="E451" t="s">
        <v>72</v>
      </c>
      <c r="F451" s="26">
        <v>2913</v>
      </c>
      <c r="G451" s="78">
        <v>26744883</v>
      </c>
      <c r="H451" s="78">
        <v>327135</v>
      </c>
      <c r="L451" s="1">
        <v>171727</v>
      </c>
      <c r="M451" s="1">
        <v>1505937</v>
      </c>
      <c r="O451" s="117">
        <f t="shared" si="30"/>
        <v>28749682</v>
      </c>
      <c r="P451" s="78">
        <v>2179110</v>
      </c>
      <c r="V451" s="1">
        <v>948923</v>
      </c>
      <c r="W451" s="1">
        <v>2079540</v>
      </c>
      <c r="X451" s="1">
        <v>13962</v>
      </c>
      <c r="Y451" s="78">
        <v>2204663</v>
      </c>
      <c r="AC451" s="1">
        <v>123663</v>
      </c>
      <c r="AD451" s="1">
        <v>185295</v>
      </c>
      <c r="AE451" s="1">
        <v>228345</v>
      </c>
      <c r="AF451" s="1">
        <v>12443</v>
      </c>
      <c r="AG451" s="1">
        <v>2338337</v>
      </c>
      <c r="AH451" s="1">
        <v>1292652</v>
      </c>
      <c r="AV451" s="116">
        <f t="shared" si="31"/>
        <v>11606933</v>
      </c>
      <c r="BD451" s="1">
        <v>553026</v>
      </c>
      <c r="BE451" s="1">
        <v>33729</v>
      </c>
      <c r="BF451" s="121">
        <f t="shared" si="32"/>
        <v>586755</v>
      </c>
      <c r="BO451" s="1">
        <v>3800</v>
      </c>
      <c r="CA451" s="1">
        <v>11176</v>
      </c>
      <c r="CC451" s="125">
        <f t="shared" si="33"/>
        <v>14976</v>
      </c>
      <c r="CK451" s="124">
        <f t="shared" si="34"/>
        <v>0</v>
      </c>
      <c r="CV451" s="129">
        <v>758482</v>
      </c>
    </row>
    <row r="452" spans="1:100" ht="12.75" customHeight="1">
      <c r="A452" s="1">
        <v>27</v>
      </c>
      <c r="B452" s="1">
        <v>5660</v>
      </c>
      <c r="C452" s="1" t="s">
        <v>1019</v>
      </c>
      <c r="D452" s="5" t="s">
        <v>876</v>
      </c>
      <c r="E452" t="s">
        <v>73</v>
      </c>
      <c r="F452" s="26">
        <v>2525</v>
      </c>
      <c r="G452" s="78">
        <v>33202895</v>
      </c>
      <c r="H452" s="78">
        <v>735120</v>
      </c>
      <c r="L452" s="1">
        <v>17755</v>
      </c>
      <c r="M452" s="1">
        <v>1748062</v>
      </c>
      <c r="O452" s="117">
        <f t="shared" si="30"/>
        <v>35703832</v>
      </c>
      <c r="V452" s="1">
        <v>916407</v>
      </c>
      <c r="W452" s="1">
        <v>1088768</v>
      </c>
      <c r="X452" s="1">
        <v>18544</v>
      </c>
      <c r="Y452" s="78">
        <v>2852253</v>
      </c>
      <c r="AC452" s="1">
        <v>140240</v>
      </c>
      <c r="AD452" s="1">
        <v>137438</v>
      </c>
      <c r="AE452" s="1">
        <v>150402</v>
      </c>
      <c r="AF452" s="1">
        <v>172435</v>
      </c>
      <c r="AG452" s="1">
        <v>2614822</v>
      </c>
      <c r="AH452" s="1">
        <v>1388025</v>
      </c>
      <c r="AU452" s="1">
        <v>51703</v>
      </c>
      <c r="AV452" s="116">
        <f t="shared" si="31"/>
        <v>9531037</v>
      </c>
      <c r="BD452" s="1">
        <v>468477</v>
      </c>
      <c r="BE452" s="1">
        <v>232512</v>
      </c>
      <c r="BF452" s="121">
        <f t="shared" si="32"/>
        <v>700989</v>
      </c>
      <c r="BI452" s="1">
        <v>4062</v>
      </c>
      <c r="BO452" s="1">
        <v>111485</v>
      </c>
      <c r="CA452" s="1">
        <v>1244496</v>
      </c>
      <c r="CC452" s="125">
        <f t="shared" si="33"/>
        <v>1360043</v>
      </c>
      <c r="CK452" s="124">
        <f t="shared" si="34"/>
        <v>0</v>
      </c>
      <c r="CV452" s="129">
        <v>770447</v>
      </c>
    </row>
    <row r="453" spans="1:100" ht="12.75" customHeight="1">
      <c r="A453" s="1">
        <v>27</v>
      </c>
      <c r="B453" s="1">
        <v>5770</v>
      </c>
      <c r="C453" s="1" t="s">
        <v>1019</v>
      </c>
      <c r="D453" s="5" t="s">
        <v>877</v>
      </c>
      <c r="E453" t="s">
        <v>74</v>
      </c>
      <c r="F453" s="26">
        <v>746</v>
      </c>
      <c r="G453" s="78">
        <v>6703455</v>
      </c>
      <c r="H453" s="78">
        <v>22144</v>
      </c>
      <c r="L453" s="1">
        <v>4701</v>
      </c>
      <c r="M453" s="1">
        <v>313014</v>
      </c>
      <c r="O453" s="117">
        <f t="shared" ref="O453:O516" si="35">SUM(G453:N453)</f>
        <v>7043314</v>
      </c>
      <c r="P453" s="78">
        <v>1196806</v>
      </c>
      <c r="V453" s="1">
        <v>37337</v>
      </c>
      <c r="W453" s="1">
        <v>701139</v>
      </c>
      <c r="X453" s="1">
        <v>63090</v>
      </c>
      <c r="AC453" s="1">
        <v>32234</v>
      </c>
      <c r="AD453" s="1">
        <v>88558</v>
      </c>
      <c r="AE453" s="1">
        <v>66063</v>
      </c>
      <c r="AF453" s="1">
        <v>2320</v>
      </c>
      <c r="AG453" s="1">
        <v>699777</v>
      </c>
      <c r="AH453" s="1">
        <v>387038</v>
      </c>
      <c r="AM453" s="1">
        <v>92760</v>
      </c>
      <c r="AP453" s="1">
        <v>176910</v>
      </c>
      <c r="AU453" s="1">
        <v>121269</v>
      </c>
      <c r="AV453" s="116">
        <f t="shared" ref="AV453:AV516" si="36">SUM(P453:AU453)</f>
        <v>3665301</v>
      </c>
      <c r="AW453" s="1">
        <v>1154</v>
      </c>
      <c r="BC453" s="1">
        <v>221317</v>
      </c>
      <c r="BD453" s="1">
        <v>191226</v>
      </c>
      <c r="BE453" s="1">
        <v>181034</v>
      </c>
      <c r="BF453" s="121">
        <f t="shared" ref="BF453:BF516" si="37">SUM(AW453:BE453)</f>
        <v>594731</v>
      </c>
      <c r="BO453" s="1">
        <v>12382</v>
      </c>
      <c r="CB453" s="1">
        <v>2684</v>
      </c>
      <c r="CC453" s="125">
        <f t="shared" ref="CC453:CC516" si="38">SUM(BG453:CB453)</f>
        <v>15066</v>
      </c>
      <c r="CK453" s="124">
        <f t="shared" ref="CK453:CK516" si="39">SUM(CD453:CJ453)</f>
        <v>0</v>
      </c>
      <c r="CT453" s="23">
        <v>385386</v>
      </c>
      <c r="CV453" s="129">
        <v>1197693</v>
      </c>
    </row>
    <row r="454" spans="1:100" ht="12.75" customHeight="1">
      <c r="A454" s="1">
        <v>29</v>
      </c>
      <c r="B454" s="1">
        <v>185</v>
      </c>
      <c r="C454" s="1" t="s">
        <v>878</v>
      </c>
      <c r="D454" s="5" t="s">
        <v>879</v>
      </c>
      <c r="E454" t="s">
        <v>1892</v>
      </c>
      <c r="F454" s="26">
        <v>3049.5</v>
      </c>
      <c r="G454" s="78">
        <v>19755300</v>
      </c>
      <c r="H454" s="78">
        <v>164427</v>
      </c>
      <c r="M454" s="1">
        <v>781800</v>
      </c>
      <c r="O454" s="117">
        <f t="shared" si="35"/>
        <v>20701527</v>
      </c>
      <c r="P454" s="78">
        <v>14044416</v>
      </c>
      <c r="V454" s="1">
        <v>885792</v>
      </c>
      <c r="W454" s="1">
        <v>3461717</v>
      </c>
      <c r="X454" s="1">
        <v>4636</v>
      </c>
      <c r="AC454" s="1">
        <v>125463</v>
      </c>
      <c r="AD454" s="1">
        <v>364600</v>
      </c>
      <c r="AE454" s="1">
        <v>571852</v>
      </c>
      <c r="AG454" s="1">
        <v>1454499</v>
      </c>
      <c r="AH454" s="1">
        <v>1208192</v>
      </c>
      <c r="AI454" s="1">
        <v>12398</v>
      </c>
      <c r="AM454" s="1">
        <v>175617</v>
      </c>
      <c r="AO454" s="1">
        <v>124947</v>
      </c>
      <c r="AP454" s="1">
        <v>730640</v>
      </c>
      <c r="AV454" s="116">
        <f t="shared" si="36"/>
        <v>23164769</v>
      </c>
      <c r="BC454" s="1">
        <v>335328</v>
      </c>
      <c r="BD454" s="1">
        <v>712154</v>
      </c>
      <c r="BE454" s="1">
        <v>123567</v>
      </c>
      <c r="BF454" s="121">
        <f t="shared" si="37"/>
        <v>1171049</v>
      </c>
      <c r="CB454" s="1">
        <v>11943098</v>
      </c>
      <c r="CC454" s="125">
        <f t="shared" si="38"/>
        <v>11943098</v>
      </c>
      <c r="CK454" s="124">
        <f t="shared" si="39"/>
        <v>0</v>
      </c>
      <c r="CV454" s="129">
        <v>1471613</v>
      </c>
    </row>
    <row r="455" spans="1:100" ht="12.75" customHeight="1">
      <c r="A455" s="1">
        <v>29</v>
      </c>
      <c r="B455" s="1">
        <v>210</v>
      </c>
      <c r="C455" s="1" t="s">
        <v>878</v>
      </c>
      <c r="D455" s="5" t="s">
        <v>880</v>
      </c>
      <c r="E455" t="s">
        <v>1893</v>
      </c>
      <c r="F455" s="26">
        <v>93</v>
      </c>
      <c r="G455" s="78">
        <v>2121394</v>
      </c>
      <c r="H455" s="78">
        <v>2991</v>
      </c>
      <c r="O455" s="117">
        <f t="shared" si="35"/>
        <v>2124385</v>
      </c>
      <c r="V455" s="1">
        <v>3812</v>
      </c>
      <c r="W455" s="1">
        <v>31440</v>
      </c>
      <c r="X455" s="1">
        <v>16226</v>
      </c>
      <c r="Y455" s="78">
        <v>25150</v>
      </c>
      <c r="AC455" s="1">
        <v>9529</v>
      </c>
      <c r="AD455" s="1">
        <v>6173</v>
      </c>
      <c r="AE455" s="1">
        <v>2484</v>
      </c>
      <c r="AG455" s="1">
        <v>137263</v>
      </c>
      <c r="AH455" s="1">
        <v>53415</v>
      </c>
      <c r="AV455" s="116">
        <f t="shared" si="36"/>
        <v>285492</v>
      </c>
      <c r="BD455" s="1">
        <v>23034</v>
      </c>
      <c r="BE455" s="1">
        <v>7846</v>
      </c>
      <c r="BF455" s="121">
        <f t="shared" si="37"/>
        <v>30880</v>
      </c>
      <c r="BH455" s="1">
        <v>65296</v>
      </c>
      <c r="BI455" s="1">
        <v>101593</v>
      </c>
      <c r="CC455" s="125">
        <f t="shared" si="38"/>
        <v>166889</v>
      </c>
      <c r="CK455" s="124">
        <f t="shared" si="39"/>
        <v>0</v>
      </c>
      <c r="CN455" s="23">
        <v>2222000</v>
      </c>
      <c r="CV455" s="129">
        <v>30880</v>
      </c>
    </row>
    <row r="456" spans="1:100" ht="12.75" customHeight="1">
      <c r="A456" s="1">
        <v>29</v>
      </c>
      <c r="B456" s="1">
        <v>230</v>
      </c>
      <c r="C456" s="1" t="s">
        <v>878</v>
      </c>
      <c r="D456" s="5" t="s">
        <v>881</v>
      </c>
      <c r="E456" t="s">
        <v>1894</v>
      </c>
      <c r="F456" s="26">
        <v>65</v>
      </c>
      <c r="G456" s="78">
        <v>1198525</v>
      </c>
      <c r="H456" s="78">
        <v>10323</v>
      </c>
      <c r="O456" s="117">
        <f t="shared" si="35"/>
        <v>1208848</v>
      </c>
      <c r="W456" s="1">
        <v>5976</v>
      </c>
      <c r="X456" s="1">
        <v>1168</v>
      </c>
      <c r="Y456" s="78">
        <v>51147</v>
      </c>
      <c r="AD456" s="1">
        <v>9107</v>
      </c>
      <c r="AE456" s="1">
        <v>2022</v>
      </c>
      <c r="AF456" s="1">
        <v>3970</v>
      </c>
      <c r="AG456" s="1">
        <v>108013</v>
      </c>
      <c r="AH456" s="1">
        <v>50427</v>
      </c>
      <c r="AV456" s="116">
        <f t="shared" si="36"/>
        <v>231830</v>
      </c>
      <c r="BD456" s="1">
        <v>15960</v>
      </c>
      <c r="BF456" s="121">
        <f t="shared" si="37"/>
        <v>15960</v>
      </c>
      <c r="BO456" s="1">
        <v>36</v>
      </c>
      <c r="CC456" s="125">
        <f t="shared" si="38"/>
        <v>36</v>
      </c>
      <c r="CK456" s="124">
        <f t="shared" si="39"/>
        <v>0</v>
      </c>
      <c r="CV456" s="129">
        <v>15960</v>
      </c>
    </row>
    <row r="457" spans="1:100" ht="12.75" customHeight="1">
      <c r="A457" s="1">
        <v>29</v>
      </c>
      <c r="B457" s="1">
        <v>320</v>
      </c>
      <c r="C457" s="1" t="s">
        <v>878</v>
      </c>
      <c r="D457" s="5" t="s">
        <v>882</v>
      </c>
      <c r="E457" t="s">
        <v>1895</v>
      </c>
      <c r="F457" s="26">
        <v>1908</v>
      </c>
      <c r="G457" s="78">
        <v>21843362</v>
      </c>
      <c r="H457" s="78">
        <v>96311</v>
      </c>
      <c r="L457" s="1">
        <v>55473</v>
      </c>
      <c r="M457" s="1">
        <v>1886374</v>
      </c>
      <c r="O457" s="117">
        <f t="shared" si="35"/>
        <v>23881520</v>
      </c>
      <c r="V457" s="1">
        <v>221822</v>
      </c>
      <c r="W457" s="1">
        <v>1616593</v>
      </c>
      <c r="X457" s="1">
        <v>33764</v>
      </c>
      <c r="Z457" s="1">
        <v>360020</v>
      </c>
      <c r="AC457" s="1">
        <v>49105</v>
      </c>
      <c r="AD457" s="1">
        <v>293541</v>
      </c>
      <c r="AF457" s="1">
        <v>10672</v>
      </c>
      <c r="AG457" s="1">
        <v>1730902</v>
      </c>
      <c r="AH457" s="1">
        <v>861966</v>
      </c>
      <c r="AM457" s="1">
        <v>154017</v>
      </c>
      <c r="AO457" s="1">
        <v>97941</v>
      </c>
      <c r="AU457" s="1">
        <v>675</v>
      </c>
      <c r="AV457" s="116">
        <f t="shared" si="36"/>
        <v>5431018</v>
      </c>
      <c r="BC457" s="1">
        <v>203282</v>
      </c>
      <c r="BD457" s="1">
        <v>406775</v>
      </c>
      <c r="BE457" s="1">
        <v>84400</v>
      </c>
      <c r="BF457" s="121">
        <f t="shared" si="37"/>
        <v>694457</v>
      </c>
      <c r="CC457" s="125">
        <f t="shared" si="38"/>
        <v>0</v>
      </c>
      <c r="CK457" s="124">
        <f t="shared" si="39"/>
        <v>0</v>
      </c>
      <c r="CV457" s="129">
        <v>1002563</v>
      </c>
    </row>
    <row r="458" spans="1:100" ht="12.75" customHeight="1">
      <c r="A458" s="1">
        <v>29</v>
      </c>
      <c r="B458" s="1">
        <v>530</v>
      </c>
      <c r="C458" s="1" t="s">
        <v>878</v>
      </c>
      <c r="D458" s="5" t="s">
        <v>883</v>
      </c>
      <c r="E458" t="s">
        <v>1896</v>
      </c>
      <c r="F458" s="26">
        <v>10714</v>
      </c>
      <c r="G458" s="78">
        <v>79614807</v>
      </c>
      <c r="H458" s="78">
        <v>1055509</v>
      </c>
      <c r="L458" s="1">
        <v>67643</v>
      </c>
      <c r="M458" s="1">
        <v>3052550</v>
      </c>
      <c r="O458" s="117">
        <f t="shared" si="35"/>
        <v>83790509</v>
      </c>
      <c r="P458" s="78">
        <v>19226620</v>
      </c>
      <c r="V458" s="1">
        <v>4434511</v>
      </c>
      <c r="W458" s="1">
        <v>8090782</v>
      </c>
      <c r="X458" s="1">
        <v>94482</v>
      </c>
      <c r="Z458" s="1">
        <v>3026369</v>
      </c>
      <c r="AC458" s="1">
        <v>496378</v>
      </c>
      <c r="AD458" s="1">
        <v>1240756</v>
      </c>
      <c r="AE458" s="1">
        <v>1006348</v>
      </c>
      <c r="AF458" s="1">
        <v>56472</v>
      </c>
      <c r="AG458" s="1">
        <v>8528237</v>
      </c>
      <c r="AH458" s="1">
        <v>4176081</v>
      </c>
      <c r="AO458" s="1">
        <v>311423</v>
      </c>
      <c r="AP458" s="1">
        <v>387685</v>
      </c>
      <c r="AU458" s="1">
        <v>690329</v>
      </c>
      <c r="AV458" s="116">
        <f t="shared" si="36"/>
        <v>51766473</v>
      </c>
      <c r="AW458" s="1">
        <v>55225</v>
      </c>
      <c r="BC458" s="1">
        <v>1030539</v>
      </c>
      <c r="BD458" s="1">
        <v>2394919</v>
      </c>
      <c r="BE458" s="1">
        <v>401589</v>
      </c>
      <c r="BF458" s="121">
        <f t="shared" si="37"/>
        <v>3882272</v>
      </c>
      <c r="BG458" s="1">
        <v>1703492</v>
      </c>
      <c r="BO458" s="1">
        <v>15772</v>
      </c>
      <c r="CC458" s="125">
        <f t="shared" si="38"/>
        <v>1719264</v>
      </c>
      <c r="CD458" s="1">
        <v>195074</v>
      </c>
      <c r="CK458" s="124">
        <f t="shared" si="39"/>
        <v>195074</v>
      </c>
      <c r="CV458" s="129">
        <v>4896442</v>
      </c>
    </row>
    <row r="459" spans="1:100" ht="12.75" customHeight="1">
      <c r="A459" s="1">
        <v>29</v>
      </c>
      <c r="B459" s="1">
        <v>770</v>
      </c>
      <c r="C459" s="1" t="s">
        <v>878</v>
      </c>
      <c r="D459" s="5" t="s">
        <v>884</v>
      </c>
      <c r="E459" t="s">
        <v>1897</v>
      </c>
      <c r="F459" s="26">
        <v>2169</v>
      </c>
      <c r="G459" s="78">
        <v>23052945</v>
      </c>
      <c r="H459" s="78">
        <v>544017</v>
      </c>
      <c r="L459" s="1">
        <v>24722</v>
      </c>
      <c r="M459" s="1">
        <v>1124267</v>
      </c>
      <c r="O459" s="117">
        <f t="shared" si="35"/>
        <v>24745951</v>
      </c>
      <c r="P459" s="78">
        <v>171643</v>
      </c>
      <c r="V459" s="1">
        <v>1005304</v>
      </c>
      <c r="W459" s="1">
        <v>1609103</v>
      </c>
      <c r="X459" s="1">
        <v>12866</v>
      </c>
      <c r="Z459" s="1">
        <v>309600</v>
      </c>
      <c r="AC459" s="1">
        <v>58333</v>
      </c>
      <c r="AD459" s="1">
        <v>257623</v>
      </c>
      <c r="AE459" s="1">
        <v>103560</v>
      </c>
      <c r="AF459" s="1">
        <v>5410</v>
      </c>
      <c r="AG459" s="1">
        <v>2124631</v>
      </c>
      <c r="AH459" s="1">
        <v>927331</v>
      </c>
      <c r="AL459" s="1">
        <v>20563</v>
      </c>
      <c r="AO459" s="1">
        <v>32914</v>
      </c>
      <c r="AU459" s="1">
        <v>2040</v>
      </c>
      <c r="AV459" s="116">
        <f t="shared" si="36"/>
        <v>6640921</v>
      </c>
      <c r="BC459" s="1">
        <v>197631</v>
      </c>
      <c r="BD459" s="1">
        <v>515912</v>
      </c>
      <c r="BE459" s="1">
        <v>84001</v>
      </c>
      <c r="BF459" s="121">
        <f t="shared" si="37"/>
        <v>797544</v>
      </c>
      <c r="BZ459" s="1">
        <v>8281</v>
      </c>
      <c r="CB459" s="1">
        <v>28013</v>
      </c>
      <c r="CC459" s="125">
        <f t="shared" si="38"/>
        <v>36294</v>
      </c>
      <c r="CD459" s="1">
        <v>82951</v>
      </c>
      <c r="CK459" s="124">
        <f t="shared" si="39"/>
        <v>82951</v>
      </c>
      <c r="CV459" s="129">
        <v>877783</v>
      </c>
    </row>
    <row r="460" spans="1:100" ht="12.75" customHeight="1">
      <c r="A460" s="1">
        <v>29</v>
      </c>
      <c r="B460" s="1">
        <v>1150</v>
      </c>
      <c r="C460" s="1" t="s">
        <v>878</v>
      </c>
      <c r="D460" s="5" t="s">
        <v>885</v>
      </c>
      <c r="E460" t="s">
        <v>1898</v>
      </c>
      <c r="F460" s="26">
        <v>140</v>
      </c>
      <c r="G460" s="78">
        <v>1380676</v>
      </c>
      <c r="H460" s="78">
        <v>16294</v>
      </c>
      <c r="M460" s="1">
        <v>43412</v>
      </c>
      <c r="O460" s="117">
        <f t="shared" si="35"/>
        <v>1440382</v>
      </c>
      <c r="P460" s="78">
        <v>299075</v>
      </c>
      <c r="V460" s="1">
        <v>38894</v>
      </c>
      <c r="W460" s="1">
        <v>168009</v>
      </c>
      <c r="Y460" s="78">
        <v>60973</v>
      </c>
      <c r="AC460" s="1">
        <v>6995</v>
      </c>
      <c r="AD460" s="1">
        <v>16239</v>
      </c>
      <c r="AE460" s="1">
        <v>21088</v>
      </c>
      <c r="AF460" s="1">
        <v>1276</v>
      </c>
      <c r="AG460" s="1">
        <v>105428</v>
      </c>
      <c r="AH460" s="1">
        <v>76482</v>
      </c>
      <c r="AM460" s="1">
        <v>46815</v>
      </c>
      <c r="AP460" s="1">
        <v>23113</v>
      </c>
      <c r="AV460" s="116">
        <f t="shared" si="36"/>
        <v>864387</v>
      </c>
      <c r="BC460" s="1">
        <v>26102</v>
      </c>
      <c r="BD460" s="1">
        <v>42485</v>
      </c>
      <c r="BE460" s="1">
        <v>28977</v>
      </c>
      <c r="BF460" s="121">
        <f t="shared" si="37"/>
        <v>97564</v>
      </c>
      <c r="BZ460" s="1">
        <v>55645</v>
      </c>
      <c r="CB460" s="1">
        <v>185</v>
      </c>
      <c r="CC460" s="125">
        <f t="shared" si="38"/>
        <v>55830</v>
      </c>
      <c r="CK460" s="124">
        <f t="shared" si="39"/>
        <v>0</v>
      </c>
      <c r="CM460" s="23">
        <v>1645000</v>
      </c>
      <c r="CT460" s="23">
        <v>72936</v>
      </c>
      <c r="CV460" s="129">
        <v>217315</v>
      </c>
    </row>
    <row r="461" spans="1:100" ht="12.75" customHeight="1">
      <c r="A461" s="1">
        <v>29</v>
      </c>
      <c r="B461" s="1">
        <v>2350</v>
      </c>
      <c r="C461" s="1" t="s">
        <v>878</v>
      </c>
      <c r="D461" s="5" t="s">
        <v>886</v>
      </c>
      <c r="E461" t="s">
        <v>1899</v>
      </c>
      <c r="F461" s="26">
        <v>114</v>
      </c>
      <c r="G461" s="78">
        <v>1519823</v>
      </c>
      <c r="H461" s="78">
        <v>38731</v>
      </c>
      <c r="L461" s="1">
        <v>1000</v>
      </c>
      <c r="M461" s="1">
        <v>76097</v>
      </c>
      <c r="O461" s="117">
        <f t="shared" si="35"/>
        <v>1635651</v>
      </c>
      <c r="V461" s="1">
        <v>16943</v>
      </c>
      <c r="W461" s="1">
        <v>102120</v>
      </c>
      <c r="Y461" s="78">
        <v>33828</v>
      </c>
      <c r="AD461" s="1">
        <v>10661</v>
      </c>
      <c r="AE461" s="1">
        <v>2763</v>
      </c>
      <c r="AF461" s="1">
        <v>1392</v>
      </c>
      <c r="AG461" s="1">
        <v>151200</v>
      </c>
      <c r="AH461" s="1">
        <v>61354</v>
      </c>
      <c r="AO461" s="1">
        <v>7725</v>
      </c>
      <c r="AV461" s="116">
        <f t="shared" si="36"/>
        <v>387986</v>
      </c>
      <c r="BD461" s="1">
        <v>28956</v>
      </c>
      <c r="BE461" s="1">
        <v>7619</v>
      </c>
      <c r="BF461" s="121">
        <f t="shared" si="37"/>
        <v>36575</v>
      </c>
      <c r="BH461" s="1">
        <v>37</v>
      </c>
      <c r="BZ461" s="1">
        <v>320</v>
      </c>
      <c r="CA461" s="1">
        <v>37</v>
      </c>
      <c r="CC461" s="125">
        <f t="shared" si="38"/>
        <v>394</v>
      </c>
      <c r="CK461" s="124">
        <f t="shared" si="39"/>
        <v>0</v>
      </c>
      <c r="CV461" s="129">
        <v>45300</v>
      </c>
    </row>
    <row r="462" spans="1:100" ht="12.75" customHeight="1">
      <c r="A462" s="1">
        <v>29</v>
      </c>
      <c r="B462" s="1">
        <v>2360</v>
      </c>
      <c r="C462" s="1" t="s">
        <v>878</v>
      </c>
      <c r="D462" s="5" t="s">
        <v>887</v>
      </c>
      <c r="E462" t="s">
        <v>1900</v>
      </c>
      <c r="F462" s="26">
        <v>9681</v>
      </c>
      <c r="G462" s="78">
        <v>60020934</v>
      </c>
      <c r="H462" s="78">
        <v>1079633</v>
      </c>
      <c r="L462" s="1">
        <v>117535</v>
      </c>
      <c r="M462" s="1">
        <v>6135149</v>
      </c>
      <c r="O462" s="117">
        <f t="shared" si="35"/>
        <v>67353251</v>
      </c>
      <c r="P462" s="78">
        <v>30752632</v>
      </c>
      <c r="V462" s="1">
        <v>3371231</v>
      </c>
      <c r="W462" s="1">
        <v>11631811</v>
      </c>
      <c r="X462" s="1">
        <v>80376</v>
      </c>
      <c r="AC462" s="1">
        <v>245257</v>
      </c>
      <c r="AD462" s="1">
        <v>1058579</v>
      </c>
      <c r="AE462" s="1">
        <v>1412364</v>
      </c>
      <c r="AF462" s="1">
        <v>519485</v>
      </c>
      <c r="AG462" s="1">
        <v>6180862</v>
      </c>
      <c r="AH462" s="1">
        <v>3539651</v>
      </c>
      <c r="AI462" s="1">
        <v>50035</v>
      </c>
      <c r="AO462" s="1">
        <v>184179</v>
      </c>
      <c r="AP462" s="1">
        <v>1911943</v>
      </c>
      <c r="AU462" s="1">
        <v>223233</v>
      </c>
      <c r="AV462" s="116">
        <f t="shared" si="36"/>
        <v>61161638</v>
      </c>
      <c r="AX462" s="1">
        <v>24587</v>
      </c>
      <c r="AZ462" s="1">
        <v>19662</v>
      </c>
      <c r="BB462" s="1">
        <v>32703</v>
      </c>
      <c r="BC462" s="1">
        <v>286521</v>
      </c>
      <c r="BD462" s="1">
        <v>1848304</v>
      </c>
      <c r="BE462" s="1">
        <v>915758</v>
      </c>
      <c r="BF462" s="121">
        <f t="shared" si="37"/>
        <v>3127535</v>
      </c>
      <c r="BG462" s="1">
        <v>1089975</v>
      </c>
      <c r="BH462" s="1">
        <v>1544215</v>
      </c>
      <c r="BI462" s="1">
        <v>114335</v>
      </c>
      <c r="BX462" s="1">
        <v>590285</v>
      </c>
      <c r="BY462" s="1">
        <v>12148</v>
      </c>
      <c r="CC462" s="125">
        <f t="shared" si="38"/>
        <v>3350958</v>
      </c>
      <c r="CK462" s="124">
        <f t="shared" si="39"/>
        <v>0</v>
      </c>
      <c r="CM462" s="23">
        <v>11721000</v>
      </c>
      <c r="CV462" s="129">
        <v>3652482</v>
      </c>
    </row>
    <row r="463" spans="1:100" ht="12.75" customHeight="1">
      <c r="A463" s="1">
        <v>29</v>
      </c>
      <c r="B463" s="1">
        <v>2480</v>
      </c>
      <c r="C463" s="1" t="s">
        <v>878</v>
      </c>
      <c r="D463" s="5" t="s">
        <v>888</v>
      </c>
      <c r="E463" t="s">
        <v>1901</v>
      </c>
      <c r="F463" s="26">
        <v>5004.5</v>
      </c>
      <c r="G463" s="78">
        <v>34814214</v>
      </c>
      <c r="H463" s="78">
        <v>221791</v>
      </c>
      <c r="L463" s="1">
        <v>123675</v>
      </c>
      <c r="M463" s="1">
        <v>2143562</v>
      </c>
      <c r="O463" s="117">
        <f t="shared" si="35"/>
        <v>37303242</v>
      </c>
      <c r="P463" s="78">
        <v>12646728</v>
      </c>
      <c r="V463" s="1">
        <v>1033432</v>
      </c>
      <c r="W463" s="1">
        <v>4079112</v>
      </c>
      <c r="X463" s="1">
        <v>17466</v>
      </c>
      <c r="AC463" s="1">
        <v>61909</v>
      </c>
      <c r="AD463" s="1">
        <v>564619</v>
      </c>
      <c r="AE463" s="1">
        <v>555201</v>
      </c>
      <c r="AF463" s="1">
        <v>2356</v>
      </c>
      <c r="AG463" s="1">
        <v>2969379</v>
      </c>
      <c r="AH463" s="1">
        <v>1832879</v>
      </c>
      <c r="AO463" s="1">
        <v>161285</v>
      </c>
      <c r="AP463" s="1">
        <v>819615</v>
      </c>
      <c r="AU463" s="1">
        <v>3771</v>
      </c>
      <c r="AV463" s="116">
        <f t="shared" si="36"/>
        <v>24747752</v>
      </c>
      <c r="BC463" s="1">
        <v>433889</v>
      </c>
      <c r="BD463" s="1">
        <v>1009743</v>
      </c>
      <c r="BE463" s="1">
        <v>211665</v>
      </c>
      <c r="BF463" s="121">
        <f t="shared" si="37"/>
        <v>1655297</v>
      </c>
      <c r="CC463" s="125">
        <f t="shared" si="38"/>
        <v>0</v>
      </c>
      <c r="CD463" s="1">
        <v>193321</v>
      </c>
      <c r="CK463" s="124">
        <f t="shared" si="39"/>
        <v>193321</v>
      </c>
      <c r="CV463" s="129">
        <v>1944028</v>
      </c>
    </row>
    <row r="464" spans="1:100" ht="12.75" customHeight="1">
      <c r="A464" s="1">
        <v>29</v>
      </c>
      <c r="B464" s="1">
        <v>2500</v>
      </c>
      <c r="C464" s="1" t="s">
        <v>878</v>
      </c>
      <c r="D464" s="5" t="s">
        <v>889</v>
      </c>
      <c r="E464" t="s">
        <v>1902</v>
      </c>
      <c r="F464" s="26">
        <v>469</v>
      </c>
      <c r="G464" s="78">
        <v>1018796</v>
      </c>
      <c r="H464" s="78">
        <v>50566</v>
      </c>
      <c r="O464" s="117">
        <f t="shared" si="35"/>
        <v>1069362</v>
      </c>
      <c r="P464" s="78">
        <v>3509383</v>
      </c>
      <c r="Q464" s="78">
        <v>54604</v>
      </c>
      <c r="V464" s="1">
        <v>143997</v>
      </c>
      <c r="W464" s="1">
        <v>708531</v>
      </c>
      <c r="Y464" s="78">
        <v>150180</v>
      </c>
      <c r="AC464" s="1">
        <v>5532</v>
      </c>
      <c r="AD464" s="1">
        <v>61443</v>
      </c>
      <c r="AE464" s="1">
        <v>151324</v>
      </c>
      <c r="AF464" s="1">
        <v>50625</v>
      </c>
      <c r="AG464" s="1">
        <v>521876</v>
      </c>
      <c r="AH464" s="1">
        <v>205748</v>
      </c>
      <c r="AM464" s="1">
        <v>172256</v>
      </c>
      <c r="AU464" s="1">
        <v>5210</v>
      </c>
      <c r="AV464" s="116">
        <f t="shared" si="36"/>
        <v>5740709</v>
      </c>
      <c r="BA464" s="1">
        <v>408739</v>
      </c>
      <c r="BC464" s="1">
        <v>136406</v>
      </c>
      <c r="BD464" s="1">
        <v>171693</v>
      </c>
      <c r="BE464" s="1">
        <v>25435</v>
      </c>
      <c r="BF464" s="121">
        <f t="shared" si="37"/>
        <v>742273</v>
      </c>
      <c r="BI464" s="1">
        <v>44656</v>
      </c>
      <c r="CC464" s="125">
        <f t="shared" si="38"/>
        <v>44656</v>
      </c>
      <c r="CK464" s="124">
        <f t="shared" si="39"/>
        <v>0</v>
      </c>
      <c r="CT464" s="23">
        <v>252904</v>
      </c>
      <c r="CV464" s="129">
        <v>763904</v>
      </c>
    </row>
    <row r="465" spans="1:100" ht="12.75" customHeight="1">
      <c r="A465" s="1">
        <v>29</v>
      </c>
      <c r="B465" s="1">
        <v>2520</v>
      </c>
      <c r="C465" s="1" t="s">
        <v>878</v>
      </c>
      <c r="D465" s="5" t="s">
        <v>890</v>
      </c>
      <c r="E465" t="s">
        <v>1903</v>
      </c>
      <c r="F465" s="26">
        <v>5452</v>
      </c>
      <c r="G465" s="78">
        <v>62254745</v>
      </c>
      <c r="H465" s="78">
        <v>664294</v>
      </c>
      <c r="M465" s="1">
        <v>1277357</v>
      </c>
      <c r="O465" s="117">
        <f t="shared" si="35"/>
        <v>64196396</v>
      </c>
      <c r="P465" s="78">
        <v>4358760</v>
      </c>
      <c r="V465" s="1">
        <v>2130046</v>
      </c>
      <c r="W465" s="1">
        <v>4562209</v>
      </c>
      <c r="X465" s="1">
        <v>500064</v>
      </c>
      <c r="Y465" s="78">
        <v>1854071</v>
      </c>
      <c r="AC465" s="1">
        <v>552203</v>
      </c>
      <c r="AD465" s="1">
        <v>575591</v>
      </c>
      <c r="AE465" s="1">
        <v>1610682</v>
      </c>
      <c r="AG465" s="1">
        <v>4898917</v>
      </c>
      <c r="AH465" s="1">
        <v>2418613</v>
      </c>
      <c r="AI465" s="1">
        <v>281350</v>
      </c>
      <c r="AM465" s="1">
        <v>2142778</v>
      </c>
      <c r="AP465" s="1">
        <v>106547</v>
      </c>
      <c r="AU465" s="1">
        <v>10648926</v>
      </c>
      <c r="AV465" s="116">
        <f t="shared" si="36"/>
        <v>36640757</v>
      </c>
      <c r="AW465" s="1">
        <v>106791</v>
      </c>
      <c r="BB465" s="1">
        <v>159010</v>
      </c>
      <c r="BC465" s="1">
        <v>5125488</v>
      </c>
      <c r="BD465" s="1">
        <v>3183348</v>
      </c>
      <c r="BE465" s="1">
        <v>2745023</v>
      </c>
      <c r="BF465" s="121">
        <f t="shared" si="37"/>
        <v>11319660</v>
      </c>
      <c r="BH465" s="1">
        <v>5022</v>
      </c>
      <c r="BV465" s="1">
        <v>1676620</v>
      </c>
      <c r="CB465" s="1">
        <v>3600000</v>
      </c>
      <c r="CC465" s="125">
        <f t="shared" si="38"/>
        <v>5281642</v>
      </c>
      <c r="CD465" s="1">
        <v>20913</v>
      </c>
      <c r="CK465" s="124">
        <f t="shared" si="39"/>
        <v>20913</v>
      </c>
      <c r="CT465" s="23">
        <v>4232532</v>
      </c>
      <c r="CV465" s="129">
        <v>28237105</v>
      </c>
    </row>
    <row r="466" spans="1:100" ht="12.75" customHeight="1">
      <c r="A466" s="1">
        <v>29</v>
      </c>
      <c r="B466" s="1">
        <v>2550</v>
      </c>
      <c r="C466" s="1" t="s">
        <v>878</v>
      </c>
      <c r="D466" s="5" t="s">
        <v>891</v>
      </c>
      <c r="E466" t="s">
        <v>1904</v>
      </c>
      <c r="F466" s="26">
        <v>143</v>
      </c>
      <c r="G466" s="78">
        <v>2807809</v>
      </c>
      <c r="H466" s="78">
        <v>20988</v>
      </c>
      <c r="L466" s="1">
        <v>500</v>
      </c>
      <c r="M466" s="1">
        <v>138594</v>
      </c>
      <c r="O466" s="117">
        <f t="shared" si="35"/>
        <v>2967891</v>
      </c>
      <c r="V466" s="1">
        <v>75410</v>
      </c>
      <c r="W466" s="1">
        <v>134075</v>
      </c>
      <c r="Y466" s="78">
        <v>22419</v>
      </c>
      <c r="AC466" s="1">
        <v>9502</v>
      </c>
      <c r="AD466" s="1">
        <v>24399</v>
      </c>
      <c r="AE466" s="1">
        <v>6568</v>
      </c>
      <c r="AG466" s="1">
        <v>176033</v>
      </c>
      <c r="AH466" s="1">
        <v>95577</v>
      </c>
      <c r="AI466" s="1">
        <v>1624</v>
      </c>
      <c r="AP466" s="1">
        <v>20291</v>
      </c>
      <c r="AU466" s="1">
        <v>7798</v>
      </c>
      <c r="AV466" s="116">
        <f t="shared" si="36"/>
        <v>573696</v>
      </c>
      <c r="BC466" s="1">
        <v>9983</v>
      </c>
      <c r="BD466" s="1">
        <v>46236</v>
      </c>
      <c r="BE466" s="1">
        <v>13591</v>
      </c>
      <c r="BF466" s="121">
        <f t="shared" si="37"/>
        <v>69810</v>
      </c>
      <c r="BI466" s="1">
        <v>73710</v>
      </c>
      <c r="BO466" s="1">
        <v>8899</v>
      </c>
      <c r="BP466" s="1">
        <v>1358</v>
      </c>
      <c r="CC466" s="125">
        <f t="shared" si="38"/>
        <v>83967</v>
      </c>
      <c r="CK466" s="124">
        <f t="shared" si="39"/>
        <v>0</v>
      </c>
      <c r="CV466" s="129">
        <v>78108</v>
      </c>
    </row>
    <row r="467" spans="1:100" ht="12.75" customHeight="1">
      <c r="A467" s="1">
        <v>29</v>
      </c>
      <c r="B467" s="1">
        <v>2690</v>
      </c>
      <c r="C467" s="1" t="s">
        <v>878</v>
      </c>
      <c r="D467" s="5" t="s">
        <v>892</v>
      </c>
      <c r="E467" t="s">
        <v>1905</v>
      </c>
      <c r="F467" s="26">
        <v>1712</v>
      </c>
      <c r="G467" s="78">
        <v>9298508</v>
      </c>
      <c r="L467" s="1">
        <v>34641</v>
      </c>
      <c r="M467" s="1">
        <v>391217</v>
      </c>
      <c r="O467" s="117">
        <f t="shared" si="35"/>
        <v>9724366</v>
      </c>
      <c r="P467" s="78">
        <v>3871332</v>
      </c>
      <c r="V467" s="1">
        <v>844838</v>
      </c>
      <c r="W467" s="1">
        <v>3326104</v>
      </c>
      <c r="X467" s="1">
        <v>42967</v>
      </c>
      <c r="AC467" s="1">
        <v>90583</v>
      </c>
      <c r="AD467" s="1">
        <v>166296</v>
      </c>
      <c r="AG467" s="1">
        <v>1001255</v>
      </c>
      <c r="AH467" s="1">
        <v>665340</v>
      </c>
      <c r="AI467" s="1">
        <v>2867</v>
      </c>
      <c r="AM467" s="1">
        <v>535424</v>
      </c>
      <c r="AP467" s="1">
        <v>329797</v>
      </c>
      <c r="AU467" s="1">
        <v>929</v>
      </c>
      <c r="AV467" s="116">
        <f t="shared" si="36"/>
        <v>10877732</v>
      </c>
      <c r="AW467" s="1">
        <v>1226</v>
      </c>
      <c r="BC467" s="1">
        <v>400436</v>
      </c>
      <c r="BD467" s="1">
        <v>342005</v>
      </c>
      <c r="BE467" s="1">
        <v>124110</v>
      </c>
      <c r="BF467" s="121">
        <f t="shared" si="37"/>
        <v>867777</v>
      </c>
      <c r="BO467" s="1">
        <v>11544</v>
      </c>
      <c r="BP467" s="1">
        <v>716143</v>
      </c>
      <c r="BY467" s="1">
        <v>2590</v>
      </c>
      <c r="CA467" s="1">
        <v>139743</v>
      </c>
      <c r="CC467" s="125">
        <f t="shared" si="38"/>
        <v>870020</v>
      </c>
      <c r="CD467" s="1">
        <v>17154</v>
      </c>
      <c r="CK467" s="124">
        <f t="shared" si="39"/>
        <v>17154</v>
      </c>
      <c r="CM467" s="23">
        <v>17764000</v>
      </c>
      <c r="CT467" s="23">
        <v>851768</v>
      </c>
      <c r="CV467" s="129">
        <v>2289313</v>
      </c>
    </row>
    <row r="468" spans="1:100" ht="12.75" customHeight="1">
      <c r="A468" s="1">
        <v>29</v>
      </c>
      <c r="B468" s="1">
        <v>2760</v>
      </c>
      <c r="C468" s="1" t="s">
        <v>878</v>
      </c>
      <c r="D468" s="5" t="s">
        <v>893</v>
      </c>
      <c r="E468" t="s">
        <v>1906</v>
      </c>
      <c r="F468" s="26">
        <v>248</v>
      </c>
      <c r="G468" s="78">
        <v>5172983</v>
      </c>
      <c r="H468" s="78">
        <v>16106</v>
      </c>
      <c r="O468" s="117">
        <f t="shared" si="35"/>
        <v>5189089</v>
      </c>
      <c r="V468" s="1">
        <v>26421</v>
      </c>
      <c r="W468" s="1">
        <v>407576</v>
      </c>
      <c r="X468" s="1">
        <v>17412</v>
      </c>
      <c r="AC468" s="1">
        <v>5729</v>
      </c>
      <c r="AD468" s="1">
        <v>29719</v>
      </c>
      <c r="AG468" s="1">
        <v>256964</v>
      </c>
      <c r="AH468" s="1">
        <v>199793</v>
      </c>
      <c r="AO468" s="1">
        <v>14433</v>
      </c>
      <c r="AU468" s="1">
        <v>325</v>
      </c>
      <c r="AV468" s="116">
        <f t="shared" si="36"/>
        <v>958372</v>
      </c>
      <c r="BC468" s="1">
        <v>28767</v>
      </c>
      <c r="BD468" s="1">
        <v>71169</v>
      </c>
      <c r="BE468" s="1">
        <v>25600</v>
      </c>
      <c r="BF468" s="121">
        <f t="shared" si="37"/>
        <v>125536</v>
      </c>
      <c r="BO468" s="1">
        <v>23440</v>
      </c>
      <c r="BP468" s="1">
        <v>95243</v>
      </c>
      <c r="CC468" s="125">
        <f t="shared" si="38"/>
        <v>118683</v>
      </c>
      <c r="CK468" s="124">
        <f t="shared" si="39"/>
        <v>0</v>
      </c>
      <c r="CV468" s="129">
        <v>140294</v>
      </c>
    </row>
    <row r="469" spans="1:100" ht="12.75" customHeight="1">
      <c r="A469" s="1">
        <v>29</v>
      </c>
      <c r="B469" s="1">
        <v>2940</v>
      </c>
      <c r="C469" s="1" t="s">
        <v>878</v>
      </c>
      <c r="D469" s="5" t="s">
        <v>894</v>
      </c>
      <c r="E469" t="s">
        <v>1907</v>
      </c>
      <c r="F469" s="26">
        <v>3363</v>
      </c>
      <c r="G469" s="78">
        <v>31200923</v>
      </c>
      <c r="H469" s="78">
        <v>315780</v>
      </c>
      <c r="L469" s="1">
        <v>2400</v>
      </c>
      <c r="M469" s="1">
        <v>1744069</v>
      </c>
      <c r="O469" s="117">
        <f t="shared" si="35"/>
        <v>33263172</v>
      </c>
      <c r="P469" s="78">
        <v>739324</v>
      </c>
      <c r="V469" s="1">
        <v>1376992</v>
      </c>
      <c r="W469" s="1">
        <v>3042069</v>
      </c>
      <c r="X469" s="1">
        <v>14124</v>
      </c>
      <c r="Z469" s="1">
        <v>308736</v>
      </c>
      <c r="AC469" s="1">
        <v>41543</v>
      </c>
      <c r="AD469" s="1">
        <v>346825</v>
      </c>
      <c r="AE469" s="1">
        <v>178295</v>
      </c>
      <c r="AF469" s="1">
        <v>40466</v>
      </c>
      <c r="AG469" s="1">
        <v>2348196</v>
      </c>
      <c r="AH469" s="1">
        <v>1386153</v>
      </c>
      <c r="AO469" s="1">
        <v>115092</v>
      </c>
      <c r="AP469" s="1">
        <v>95562</v>
      </c>
      <c r="AT469" s="1">
        <v>828508</v>
      </c>
      <c r="AU469" s="1">
        <v>6651</v>
      </c>
      <c r="AV469" s="116">
        <f t="shared" si="36"/>
        <v>10868536</v>
      </c>
      <c r="AW469" s="1">
        <v>16449</v>
      </c>
      <c r="BC469" s="1">
        <v>253432</v>
      </c>
      <c r="BD469" s="1">
        <v>648271</v>
      </c>
      <c r="BE469" s="1">
        <v>163860</v>
      </c>
      <c r="BF469" s="121">
        <f t="shared" si="37"/>
        <v>1082012</v>
      </c>
      <c r="BG469" s="1">
        <v>255523</v>
      </c>
      <c r="CA469" s="1">
        <v>35261</v>
      </c>
      <c r="CC469" s="125">
        <f t="shared" si="38"/>
        <v>290784</v>
      </c>
      <c r="CD469" s="1">
        <v>1910990</v>
      </c>
      <c r="CK469" s="124">
        <f t="shared" si="39"/>
        <v>1910990</v>
      </c>
      <c r="CV469" s="129">
        <v>1189706</v>
      </c>
    </row>
    <row r="470" spans="1:100" ht="12.75" customHeight="1">
      <c r="A470" s="1">
        <v>29</v>
      </c>
      <c r="B470" s="1">
        <v>2980</v>
      </c>
      <c r="C470" s="1" t="s">
        <v>878</v>
      </c>
      <c r="D470" s="5" t="s">
        <v>895</v>
      </c>
      <c r="E470"/>
      <c r="F470" s="26"/>
      <c r="G470" s="78">
        <v>107821</v>
      </c>
      <c r="H470" s="78">
        <v>24794</v>
      </c>
      <c r="O470" s="117">
        <f t="shared" si="35"/>
        <v>132615</v>
      </c>
      <c r="V470" s="1">
        <v>2880</v>
      </c>
      <c r="W470" s="1">
        <v>2955</v>
      </c>
      <c r="Y470" s="78">
        <v>2449</v>
      </c>
      <c r="AG470" s="1">
        <v>882</v>
      </c>
      <c r="AH470" s="1">
        <v>904</v>
      </c>
      <c r="AV470" s="116">
        <f t="shared" si="36"/>
        <v>10070</v>
      </c>
      <c r="BF470" s="121">
        <f t="shared" si="37"/>
        <v>0</v>
      </c>
      <c r="CC470" s="125">
        <f t="shared" si="38"/>
        <v>0</v>
      </c>
      <c r="CK470" s="124">
        <f t="shared" si="39"/>
        <v>0</v>
      </c>
    </row>
    <row r="471" spans="1:100" ht="12.75" customHeight="1">
      <c r="A471" s="1">
        <v>29</v>
      </c>
      <c r="B471" s="1">
        <v>3790</v>
      </c>
      <c r="C471" s="1" t="s">
        <v>878</v>
      </c>
      <c r="D471" s="5" t="s">
        <v>896</v>
      </c>
      <c r="E471" t="s">
        <v>1909</v>
      </c>
      <c r="F471" s="26">
        <v>1103</v>
      </c>
      <c r="H471" s="78">
        <v>520296</v>
      </c>
      <c r="I471" s="1">
        <v>14228528</v>
      </c>
      <c r="L471" s="1">
        <v>464873</v>
      </c>
      <c r="O471" s="117">
        <f t="shared" si="35"/>
        <v>15213697</v>
      </c>
      <c r="P471" s="78">
        <v>1278726</v>
      </c>
      <c r="W471" s="1">
        <v>1199588</v>
      </c>
      <c r="Y471" s="78">
        <v>9220</v>
      </c>
      <c r="AA471" s="1">
        <v>1944382</v>
      </c>
      <c r="AF471" s="1">
        <v>362165</v>
      </c>
      <c r="AG471" s="1">
        <v>1321965</v>
      </c>
      <c r="AH471" s="1">
        <v>708012</v>
      </c>
      <c r="AO471" s="1">
        <v>32520</v>
      </c>
      <c r="AU471" s="1">
        <v>26563</v>
      </c>
      <c r="AV471" s="116">
        <f t="shared" si="36"/>
        <v>6883141</v>
      </c>
      <c r="BC471" s="1">
        <v>169562</v>
      </c>
      <c r="BE471" s="1">
        <v>508890</v>
      </c>
      <c r="BF471" s="121">
        <f t="shared" si="37"/>
        <v>678452</v>
      </c>
      <c r="BO471" s="1">
        <v>29395</v>
      </c>
      <c r="CC471" s="125">
        <f t="shared" si="38"/>
        <v>29395</v>
      </c>
      <c r="CF471" s="1">
        <v>1094074</v>
      </c>
      <c r="CK471" s="124">
        <f t="shared" si="39"/>
        <v>1094074</v>
      </c>
      <c r="CP471" s="23">
        <v>1029890</v>
      </c>
      <c r="CV471" s="129">
        <v>1202408</v>
      </c>
    </row>
    <row r="472" spans="1:100" ht="12.75" customHeight="1">
      <c r="A472" s="1">
        <v>29</v>
      </c>
      <c r="B472" s="1">
        <v>3800</v>
      </c>
      <c r="C472" s="1" t="s">
        <v>878</v>
      </c>
      <c r="D472" s="5" t="s">
        <v>897</v>
      </c>
      <c r="E472" t="s">
        <v>1910</v>
      </c>
      <c r="F472" s="26">
        <v>147</v>
      </c>
      <c r="G472" s="78">
        <v>1387828</v>
      </c>
      <c r="H472" s="78">
        <v>19177</v>
      </c>
      <c r="M472" s="1">
        <v>80869</v>
      </c>
      <c r="O472" s="117">
        <f t="shared" si="35"/>
        <v>1487874</v>
      </c>
      <c r="P472" s="78">
        <v>546906</v>
      </c>
      <c r="V472" s="1">
        <v>21707</v>
      </c>
      <c r="W472" s="1">
        <v>196718</v>
      </c>
      <c r="AC472" s="1">
        <v>9246</v>
      </c>
      <c r="AD472" s="1">
        <v>18251</v>
      </c>
      <c r="AE472" s="1">
        <v>14404</v>
      </c>
      <c r="AF472" s="1">
        <v>10965</v>
      </c>
      <c r="AG472" s="1">
        <v>125951</v>
      </c>
      <c r="AH472" s="1">
        <v>67060</v>
      </c>
      <c r="AM472" s="1">
        <v>65406</v>
      </c>
      <c r="AP472" s="1">
        <v>77575</v>
      </c>
      <c r="AU472" s="1">
        <v>27676</v>
      </c>
      <c r="AV472" s="116">
        <f t="shared" si="36"/>
        <v>1181865</v>
      </c>
      <c r="BC472" s="1">
        <v>47262</v>
      </c>
      <c r="BD472" s="1">
        <v>48096</v>
      </c>
      <c r="BE472" s="1">
        <v>15332</v>
      </c>
      <c r="BF472" s="121">
        <f t="shared" si="37"/>
        <v>110690</v>
      </c>
      <c r="BX472" s="1">
        <v>11240</v>
      </c>
      <c r="CC472" s="125">
        <f t="shared" si="38"/>
        <v>11240</v>
      </c>
      <c r="CK472" s="124">
        <f t="shared" si="39"/>
        <v>0</v>
      </c>
      <c r="CM472" s="23">
        <v>1186000</v>
      </c>
      <c r="CN472" s="23">
        <v>4</v>
      </c>
      <c r="CT472" s="23">
        <v>104228</v>
      </c>
      <c r="CV472" s="129">
        <v>308000</v>
      </c>
    </row>
    <row r="473" spans="1:100" ht="12.75" customHeight="1">
      <c r="A473" s="1">
        <v>29</v>
      </c>
      <c r="B473" s="1">
        <v>3820</v>
      </c>
      <c r="C473" s="1" t="s">
        <v>878</v>
      </c>
      <c r="D473" s="5" t="s">
        <v>1001</v>
      </c>
      <c r="E473" t="s">
        <v>1911</v>
      </c>
      <c r="F473" s="26">
        <v>556</v>
      </c>
      <c r="G473" s="78">
        <v>8215031</v>
      </c>
      <c r="H473" s="78">
        <v>263017</v>
      </c>
      <c r="L473" s="1">
        <v>3000</v>
      </c>
      <c r="M473" s="1">
        <v>220883</v>
      </c>
      <c r="O473" s="117">
        <f t="shared" si="35"/>
        <v>8701931</v>
      </c>
      <c r="P473" s="78">
        <v>3746670</v>
      </c>
      <c r="V473" s="1">
        <v>535777</v>
      </c>
      <c r="W473" s="1">
        <v>1431570</v>
      </c>
      <c r="Y473" s="78">
        <v>969725</v>
      </c>
      <c r="AC473" s="1">
        <v>10541</v>
      </c>
      <c r="AD473" s="1">
        <v>127481</v>
      </c>
      <c r="AE473" s="1">
        <v>176404</v>
      </c>
      <c r="AF473" s="1">
        <v>2501</v>
      </c>
      <c r="AG473" s="1">
        <v>455201</v>
      </c>
      <c r="AH473" s="1">
        <v>292462</v>
      </c>
      <c r="AO473" s="1">
        <v>24879</v>
      </c>
      <c r="AP473" s="1">
        <v>168166</v>
      </c>
      <c r="AV473" s="116">
        <f t="shared" si="36"/>
        <v>7941377</v>
      </c>
      <c r="AW473" s="1">
        <v>4162</v>
      </c>
      <c r="BC473" s="1">
        <v>95753</v>
      </c>
      <c r="BD473" s="1">
        <v>254790</v>
      </c>
      <c r="BE473" s="1">
        <v>62610</v>
      </c>
      <c r="BF473" s="121">
        <f t="shared" si="37"/>
        <v>417315</v>
      </c>
      <c r="BR473" s="1">
        <v>2400</v>
      </c>
      <c r="BX473" s="1">
        <v>137602</v>
      </c>
      <c r="CA473" s="1">
        <v>136834</v>
      </c>
      <c r="CB473" s="1">
        <v>7963669</v>
      </c>
      <c r="CC473" s="125">
        <f t="shared" si="38"/>
        <v>8240505</v>
      </c>
      <c r="CK473" s="124">
        <f t="shared" si="39"/>
        <v>0</v>
      </c>
      <c r="CV473" s="129">
        <v>441032</v>
      </c>
    </row>
    <row r="474" spans="1:100" ht="12.75" customHeight="1">
      <c r="A474" s="1">
        <v>29</v>
      </c>
      <c r="B474" s="1">
        <v>4105</v>
      </c>
      <c r="C474" s="1" t="s">
        <v>878</v>
      </c>
      <c r="D474" s="5" t="s">
        <v>898</v>
      </c>
      <c r="E474" t="s">
        <v>1912</v>
      </c>
      <c r="F474" s="26">
        <v>1895</v>
      </c>
      <c r="G474" s="78">
        <v>14766460</v>
      </c>
      <c r="H474" s="78">
        <v>213999</v>
      </c>
      <c r="M474" s="1">
        <v>267252</v>
      </c>
      <c r="O474" s="117">
        <f t="shared" si="35"/>
        <v>15247711</v>
      </c>
      <c r="P474" s="78">
        <v>7976631</v>
      </c>
      <c r="V474" s="1">
        <v>703410</v>
      </c>
      <c r="W474" s="1">
        <v>1679040</v>
      </c>
      <c r="X474" s="1">
        <v>12758</v>
      </c>
      <c r="Y474" s="78">
        <v>308961</v>
      </c>
      <c r="AC474" s="1">
        <v>39814</v>
      </c>
      <c r="AD474" s="1">
        <v>213296</v>
      </c>
      <c r="AE474" s="1">
        <v>336373</v>
      </c>
      <c r="AG474" s="1">
        <v>1447784</v>
      </c>
      <c r="AH474" s="1">
        <v>916537</v>
      </c>
      <c r="AI474" s="1">
        <v>5654</v>
      </c>
      <c r="AM474" s="1">
        <v>219435</v>
      </c>
      <c r="AO474" s="1">
        <v>98891</v>
      </c>
      <c r="AP474" s="1">
        <v>287735</v>
      </c>
      <c r="AU474" s="1">
        <v>657722</v>
      </c>
      <c r="AV474" s="116">
        <f t="shared" si="36"/>
        <v>14904041</v>
      </c>
      <c r="BC474" s="1">
        <v>175195</v>
      </c>
      <c r="BD474" s="1">
        <v>436024</v>
      </c>
      <c r="BE474" s="1">
        <v>149486</v>
      </c>
      <c r="BF474" s="121">
        <f t="shared" si="37"/>
        <v>760705</v>
      </c>
      <c r="BO474" s="1">
        <v>100</v>
      </c>
      <c r="CA474" s="1">
        <v>33331</v>
      </c>
      <c r="CC474" s="125">
        <f t="shared" si="38"/>
        <v>33431</v>
      </c>
      <c r="CK474" s="124">
        <f t="shared" si="39"/>
        <v>0</v>
      </c>
      <c r="CV474" s="129">
        <v>1736753</v>
      </c>
    </row>
    <row r="475" spans="1:100" ht="12.75" customHeight="1">
      <c r="A475" s="1">
        <v>29</v>
      </c>
      <c r="B475" s="1">
        <v>4190</v>
      </c>
      <c r="C475" s="1" t="s">
        <v>878</v>
      </c>
      <c r="D475" s="5" t="s">
        <v>899</v>
      </c>
      <c r="E475" t="s">
        <v>1913</v>
      </c>
      <c r="F475" s="26">
        <v>1823</v>
      </c>
      <c r="G475" s="78">
        <v>8065539</v>
      </c>
      <c r="H475" s="78">
        <v>278985</v>
      </c>
      <c r="L475" s="1">
        <v>14127</v>
      </c>
      <c r="M475" s="1">
        <v>1367955</v>
      </c>
      <c r="O475" s="117">
        <f t="shared" si="35"/>
        <v>9726606</v>
      </c>
      <c r="P475" s="78">
        <v>6327312</v>
      </c>
      <c r="V475" s="1">
        <v>548724</v>
      </c>
      <c r="W475" s="1">
        <v>1318190</v>
      </c>
      <c r="X475" s="1">
        <v>8176</v>
      </c>
      <c r="AC475" s="1">
        <v>6702</v>
      </c>
      <c r="AD475" s="1">
        <v>190913</v>
      </c>
      <c r="AE475" s="1">
        <v>252992</v>
      </c>
      <c r="AF475" s="1">
        <v>109365</v>
      </c>
      <c r="AG475" s="1">
        <v>303975</v>
      </c>
      <c r="AH475" s="1">
        <v>705202</v>
      </c>
      <c r="AO475" s="1">
        <v>41843</v>
      </c>
      <c r="AQ475" s="1">
        <v>1066325</v>
      </c>
      <c r="AU475" s="1">
        <v>8666</v>
      </c>
      <c r="AV475" s="116">
        <f t="shared" si="36"/>
        <v>10888385</v>
      </c>
      <c r="AW475" s="1">
        <v>6311</v>
      </c>
      <c r="BA475" s="1">
        <v>1389318</v>
      </c>
      <c r="BC475" s="1">
        <v>105367</v>
      </c>
      <c r="BD475" s="1">
        <v>347446</v>
      </c>
      <c r="BE475" s="1">
        <v>95253</v>
      </c>
      <c r="BF475" s="121">
        <f t="shared" si="37"/>
        <v>1943695</v>
      </c>
      <c r="BI475" s="1">
        <v>77953</v>
      </c>
      <c r="BO475" s="1">
        <v>1364</v>
      </c>
      <c r="BP475" s="1">
        <v>110318</v>
      </c>
      <c r="BZ475" s="1">
        <v>256480</v>
      </c>
      <c r="CB475" s="1">
        <v>19131</v>
      </c>
      <c r="CC475" s="125">
        <f t="shared" si="38"/>
        <v>465246</v>
      </c>
      <c r="CK475" s="124">
        <f t="shared" si="39"/>
        <v>0</v>
      </c>
      <c r="CV475" s="129">
        <v>612702</v>
      </c>
    </row>
    <row r="476" spans="1:100" ht="12.75" customHeight="1">
      <c r="A476" s="1">
        <v>29</v>
      </c>
      <c r="B476" s="1">
        <v>4210</v>
      </c>
      <c r="C476" s="1" t="s">
        <v>878</v>
      </c>
      <c r="D476" s="5" t="s">
        <v>900</v>
      </c>
      <c r="E476" t="s">
        <v>1914</v>
      </c>
      <c r="F476" s="26">
        <v>3208</v>
      </c>
      <c r="G476" s="78">
        <v>23810271</v>
      </c>
      <c r="H476" s="78">
        <v>452540</v>
      </c>
      <c r="L476" s="1">
        <v>30272</v>
      </c>
      <c r="M476" s="1">
        <v>2091623</v>
      </c>
      <c r="O476" s="117">
        <f t="shared" si="35"/>
        <v>26384706</v>
      </c>
      <c r="P476" s="78">
        <v>2873337</v>
      </c>
      <c r="V476" s="1">
        <v>350240</v>
      </c>
      <c r="W476" s="1">
        <v>2163888</v>
      </c>
      <c r="X476" s="1">
        <v>18670</v>
      </c>
      <c r="Y476" s="78">
        <v>220898</v>
      </c>
      <c r="AC476" s="1">
        <v>56674</v>
      </c>
      <c r="AD476" s="1">
        <v>354505</v>
      </c>
      <c r="AE476" s="1">
        <v>179447</v>
      </c>
      <c r="AF476" s="1">
        <v>7200</v>
      </c>
      <c r="AG476" s="1">
        <v>1479980</v>
      </c>
      <c r="AH476" s="1">
        <v>1220085</v>
      </c>
      <c r="AP476" s="1">
        <v>219659</v>
      </c>
      <c r="AU476" s="1">
        <v>12011</v>
      </c>
      <c r="AV476" s="116">
        <f t="shared" si="36"/>
        <v>9156594</v>
      </c>
      <c r="AW476" s="1">
        <v>1578</v>
      </c>
      <c r="BC476" s="1">
        <v>104392</v>
      </c>
      <c r="BD476" s="1">
        <v>620344</v>
      </c>
      <c r="BE476" s="1">
        <v>283857</v>
      </c>
      <c r="BF476" s="121">
        <f t="shared" si="37"/>
        <v>1010171</v>
      </c>
      <c r="BI476" s="1">
        <v>86860</v>
      </c>
      <c r="BN476" s="1">
        <v>31819</v>
      </c>
      <c r="BO476" s="1">
        <v>35512</v>
      </c>
      <c r="BR476" s="1">
        <v>21221</v>
      </c>
      <c r="CC476" s="125">
        <f t="shared" si="38"/>
        <v>175412</v>
      </c>
      <c r="CD476" s="1">
        <v>7207</v>
      </c>
      <c r="CK476" s="124">
        <f t="shared" si="39"/>
        <v>7207</v>
      </c>
      <c r="CV476" s="129">
        <v>1050876</v>
      </c>
    </row>
    <row r="477" spans="1:100" ht="12.75" customHeight="1">
      <c r="A477" s="1">
        <v>29</v>
      </c>
      <c r="B477" s="1">
        <v>4220</v>
      </c>
      <c r="C477" s="1" t="s">
        <v>878</v>
      </c>
      <c r="D477" s="5" t="s">
        <v>901</v>
      </c>
      <c r="E477" t="s">
        <v>1915</v>
      </c>
      <c r="F477" s="26">
        <v>870</v>
      </c>
      <c r="G477" s="78">
        <v>8689532</v>
      </c>
      <c r="L477" s="1">
        <v>1914</v>
      </c>
      <c r="M477" s="1">
        <v>970614</v>
      </c>
      <c r="O477" s="117">
        <f t="shared" si="35"/>
        <v>9662060</v>
      </c>
      <c r="V477" s="1">
        <v>22479</v>
      </c>
      <c r="W477" s="1">
        <v>601418</v>
      </c>
      <c r="X477" s="1">
        <v>32452</v>
      </c>
      <c r="AC477" s="1">
        <v>9166</v>
      </c>
      <c r="AD477" s="1">
        <v>79828</v>
      </c>
      <c r="AE477" s="1">
        <v>20561</v>
      </c>
      <c r="AG477" s="1">
        <v>559916</v>
      </c>
      <c r="AH477" s="1">
        <v>579742</v>
      </c>
      <c r="AO477" s="1">
        <v>1026</v>
      </c>
      <c r="AU477" s="1">
        <v>111373</v>
      </c>
      <c r="AV477" s="116">
        <f t="shared" si="36"/>
        <v>2017961</v>
      </c>
      <c r="BC477" s="1">
        <v>46226</v>
      </c>
      <c r="BD477" s="1">
        <v>160374</v>
      </c>
      <c r="BE477" s="1">
        <v>34176</v>
      </c>
      <c r="BF477" s="121">
        <f t="shared" si="37"/>
        <v>240776</v>
      </c>
      <c r="BJ477" s="1">
        <v>1426296</v>
      </c>
      <c r="BP477" s="1">
        <v>212922</v>
      </c>
      <c r="CA477" s="1">
        <v>141460</v>
      </c>
      <c r="CC477" s="125">
        <f t="shared" si="38"/>
        <v>1780678</v>
      </c>
      <c r="CK477" s="124">
        <f t="shared" si="39"/>
        <v>0</v>
      </c>
      <c r="CV477" s="129">
        <v>355089</v>
      </c>
    </row>
    <row r="478" spans="1:100" ht="12.75" customHeight="1">
      <c r="A478" s="1">
        <v>29</v>
      </c>
      <c r="B478" s="1">
        <v>4710</v>
      </c>
      <c r="C478" s="1" t="s">
        <v>878</v>
      </c>
      <c r="D478" s="5" t="s">
        <v>902</v>
      </c>
      <c r="E478" t="s">
        <v>1916</v>
      </c>
      <c r="F478" s="26">
        <v>210</v>
      </c>
      <c r="G478" s="78">
        <v>2207141</v>
      </c>
      <c r="H478" s="78">
        <v>75590</v>
      </c>
      <c r="L478" s="1">
        <v>8930</v>
      </c>
      <c r="M478" s="1">
        <v>68982</v>
      </c>
      <c r="O478" s="117">
        <f t="shared" si="35"/>
        <v>2360643</v>
      </c>
      <c r="P478" s="78">
        <v>308186</v>
      </c>
      <c r="V478" s="1">
        <v>5048</v>
      </c>
      <c r="W478" s="1">
        <v>169872</v>
      </c>
      <c r="X478" s="1">
        <v>10440</v>
      </c>
      <c r="AC478" s="1">
        <v>1294</v>
      </c>
      <c r="AD478" s="1">
        <v>31599</v>
      </c>
      <c r="AE478" s="1">
        <v>24881</v>
      </c>
      <c r="AF478" s="1">
        <v>21210</v>
      </c>
      <c r="AG478" s="1">
        <v>163213</v>
      </c>
      <c r="AH478" s="1">
        <v>94965</v>
      </c>
      <c r="AM478" s="1">
        <v>166747</v>
      </c>
      <c r="AP478" s="1">
        <v>33183</v>
      </c>
      <c r="AU478" s="1">
        <v>177</v>
      </c>
      <c r="AV478" s="116">
        <f t="shared" si="36"/>
        <v>1030815</v>
      </c>
      <c r="AW478" s="1">
        <v>8828</v>
      </c>
      <c r="BC478" s="1">
        <v>251176</v>
      </c>
      <c r="BD478" s="1">
        <v>45825</v>
      </c>
      <c r="BE478" s="1">
        <v>121336</v>
      </c>
      <c r="BF478" s="121">
        <f t="shared" si="37"/>
        <v>427165</v>
      </c>
      <c r="BI478" s="1">
        <v>7448</v>
      </c>
      <c r="BO478" s="1">
        <v>4408</v>
      </c>
      <c r="CC478" s="125">
        <f t="shared" si="38"/>
        <v>11856</v>
      </c>
      <c r="CK478" s="124">
        <f t="shared" si="39"/>
        <v>0</v>
      </c>
      <c r="CT478" s="23">
        <v>203899</v>
      </c>
      <c r="CV478" s="129">
        <v>798090</v>
      </c>
    </row>
    <row r="479" spans="1:100" ht="12.75" customHeight="1">
      <c r="A479" s="1">
        <v>29</v>
      </c>
      <c r="B479" s="1">
        <v>4720</v>
      </c>
      <c r="C479" s="1" t="s">
        <v>878</v>
      </c>
      <c r="D479" s="5" t="s">
        <v>903</v>
      </c>
      <c r="E479" t="s">
        <v>1917</v>
      </c>
      <c r="F479" s="26">
        <v>92</v>
      </c>
      <c r="G479" s="78">
        <v>1283650</v>
      </c>
      <c r="H479" s="78">
        <v>52624</v>
      </c>
      <c r="O479" s="117">
        <f t="shared" si="35"/>
        <v>1336274</v>
      </c>
      <c r="W479" s="1">
        <v>86905</v>
      </c>
      <c r="AD479" s="1">
        <v>11013</v>
      </c>
      <c r="AE479" s="1">
        <v>4131</v>
      </c>
      <c r="AG479" s="1">
        <v>150844</v>
      </c>
      <c r="AH479" s="1">
        <v>63192</v>
      </c>
      <c r="AI479" s="1">
        <v>122</v>
      </c>
      <c r="AM479" s="1">
        <v>48948</v>
      </c>
      <c r="AV479" s="116">
        <f t="shared" si="36"/>
        <v>365155</v>
      </c>
      <c r="BC479" s="1">
        <v>30963</v>
      </c>
      <c r="BD479" s="1">
        <v>28420</v>
      </c>
      <c r="BE479" s="1">
        <v>6113</v>
      </c>
      <c r="BF479" s="121">
        <f t="shared" si="37"/>
        <v>65496</v>
      </c>
      <c r="BI479" s="1">
        <v>16600</v>
      </c>
      <c r="CC479" s="125">
        <f t="shared" si="38"/>
        <v>16600</v>
      </c>
      <c r="CK479" s="124">
        <f t="shared" si="39"/>
        <v>0</v>
      </c>
      <c r="CT479" s="23">
        <v>76768</v>
      </c>
      <c r="CV479" s="129">
        <v>191212</v>
      </c>
    </row>
    <row r="480" spans="1:100" ht="12.75" customHeight="1">
      <c r="A480" s="1">
        <v>29</v>
      </c>
      <c r="B480" s="1">
        <v>4950</v>
      </c>
      <c r="C480" s="1" t="s">
        <v>878</v>
      </c>
      <c r="D480" s="5" t="s">
        <v>904</v>
      </c>
      <c r="E480" t="s">
        <v>1918</v>
      </c>
      <c r="F480" s="26">
        <v>3271.5</v>
      </c>
      <c r="G480" s="78">
        <v>34866771</v>
      </c>
      <c r="H480" s="78">
        <v>926584</v>
      </c>
      <c r="M480" s="1">
        <v>2321479</v>
      </c>
      <c r="O480" s="117">
        <f t="shared" si="35"/>
        <v>38114834</v>
      </c>
      <c r="V480" s="1">
        <v>149313</v>
      </c>
      <c r="W480" s="1">
        <v>2143520</v>
      </c>
      <c r="X480" s="1">
        <v>13082</v>
      </c>
      <c r="AC480" s="1">
        <v>82591</v>
      </c>
      <c r="AD480" s="1">
        <v>263657</v>
      </c>
      <c r="AE480" s="1">
        <v>80002</v>
      </c>
      <c r="AF480" s="1">
        <v>195388</v>
      </c>
      <c r="AG480" s="1">
        <v>3296273</v>
      </c>
      <c r="AH480" s="1">
        <v>1521477</v>
      </c>
      <c r="AO480" s="1">
        <v>97173</v>
      </c>
      <c r="AU480" s="1">
        <v>52351</v>
      </c>
      <c r="AV480" s="116">
        <f t="shared" si="36"/>
        <v>7894827</v>
      </c>
      <c r="BC480" s="1">
        <v>156679</v>
      </c>
      <c r="BD480" s="1">
        <v>468910</v>
      </c>
      <c r="BE480" s="1">
        <v>105998</v>
      </c>
      <c r="BF480" s="121">
        <f t="shared" si="37"/>
        <v>731587</v>
      </c>
      <c r="BI480" s="1">
        <v>9459071</v>
      </c>
      <c r="BN480" s="1">
        <v>698431</v>
      </c>
      <c r="BO480" s="1">
        <v>5807</v>
      </c>
      <c r="BZ480" s="1">
        <v>201</v>
      </c>
      <c r="CC480" s="125">
        <f t="shared" si="38"/>
        <v>10163510</v>
      </c>
      <c r="CK480" s="124">
        <f t="shared" si="39"/>
        <v>0</v>
      </c>
      <c r="CV480" s="129">
        <v>881111</v>
      </c>
    </row>
    <row r="481" spans="1:100" ht="12.75" customHeight="1">
      <c r="A481" s="1">
        <v>29</v>
      </c>
      <c r="B481" s="1">
        <v>5020</v>
      </c>
      <c r="C481" s="1" t="s">
        <v>878</v>
      </c>
      <c r="D481" s="5" t="s">
        <v>905</v>
      </c>
      <c r="E481" t="s">
        <v>1919</v>
      </c>
      <c r="F481" s="26">
        <v>2494</v>
      </c>
      <c r="G481" s="78">
        <v>21740992</v>
      </c>
      <c r="H481" s="78">
        <v>553277</v>
      </c>
      <c r="M481" s="1">
        <v>1989017</v>
      </c>
      <c r="O481" s="117">
        <f t="shared" si="35"/>
        <v>24283286</v>
      </c>
      <c r="P481" s="78">
        <v>4049894</v>
      </c>
      <c r="R481" s="1">
        <v>23739</v>
      </c>
      <c r="V481" s="1">
        <v>960739</v>
      </c>
      <c r="W481" s="1">
        <v>2468856</v>
      </c>
      <c r="X481" s="1">
        <v>3504</v>
      </c>
      <c r="Y481" s="78">
        <v>364181</v>
      </c>
      <c r="AC481" s="1">
        <v>62253</v>
      </c>
      <c r="AD481" s="1">
        <v>271667</v>
      </c>
      <c r="AE481" s="1">
        <v>248010</v>
      </c>
      <c r="AG481" s="1">
        <v>1258325</v>
      </c>
      <c r="AH481" s="1">
        <v>980309</v>
      </c>
      <c r="AI481" s="1">
        <v>143945</v>
      </c>
      <c r="AO481" s="1">
        <v>81681</v>
      </c>
      <c r="AP481" s="1">
        <v>581549</v>
      </c>
      <c r="AU481" s="1">
        <v>582231</v>
      </c>
      <c r="AV481" s="116">
        <f t="shared" si="36"/>
        <v>12080883</v>
      </c>
      <c r="AW481" s="1">
        <v>13708</v>
      </c>
      <c r="BC481" s="1">
        <v>171848</v>
      </c>
      <c r="BD481" s="1">
        <v>587365</v>
      </c>
      <c r="BE481" s="1">
        <v>132572</v>
      </c>
      <c r="BF481" s="121">
        <f t="shared" si="37"/>
        <v>905493</v>
      </c>
      <c r="CA481" s="1">
        <v>68039</v>
      </c>
      <c r="CC481" s="125">
        <f t="shared" si="38"/>
        <v>68039</v>
      </c>
      <c r="CD481" s="1">
        <v>239608</v>
      </c>
      <c r="CK481" s="124">
        <f t="shared" si="39"/>
        <v>239608</v>
      </c>
      <c r="CV481" s="129">
        <v>1555697</v>
      </c>
    </row>
    <row r="482" spans="1:100" ht="12.75" customHeight="1">
      <c r="A482" s="1">
        <v>29</v>
      </c>
      <c r="B482" s="1">
        <v>5190</v>
      </c>
      <c r="C482" s="1" t="s">
        <v>878</v>
      </c>
      <c r="D482" s="5" t="s">
        <v>906</v>
      </c>
      <c r="E482" t="s">
        <v>1920</v>
      </c>
      <c r="F482" s="26">
        <v>17631</v>
      </c>
      <c r="G482" s="78">
        <v>104580126</v>
      </c>
      <c r="H482" s="78">
        <v>134021</v>
      </c>
      <c r="M482" s="1">
        <v>5696185</v>
      </c>
      <c r="O482" s="117">
        <f t="shared" si="35"/>
        <v>110410332</v>
      </c>
      <c r="P482" s="78">
        <v>39379179</v>
      </c>
      <c r="V482" s="1">
        <v>3865887</v>
      </c>
      <c r="W482" s="1">
        <v>10521401</v>
      </c>
      <c r="X482" s="1">
        <v>115398</v>
      </c>
      <c r="Z482" s="1">
        <v>9955919</v>
      </c>
      <c r="AC482" s="1">
        <v>210588</v>
      </c>
      <c r="AD482" s="1">
        <v>1825296</v>
      </c>
      <c r="AE482" s="1">
        <v>1994584</v>
      </c>
      <c r="AF482" s="1">
        <v>75783</v>
      </c>
      <c r="AG482" s="1">
        <v>6225773</v>
      </c>
      <c r="AH482" s="1">
        <v>15290837</v>
      </c>
      <c r="AM482" s="1">
        <v>149178</v>
      </c>
      <c r="AO482" s="1">
        <v>479660</v>
      </c>
      <c r="AP482" s="1">
        <v>455627</v>
      </c>
      <c r="AU482" s="1">
        <v>1007338</v>
      </c>
      <c r="AV482" s="116">
        <f t="shared" si="36"/>
        <v>91552448</v>
      </c>
      <c r="AW482" s="1">
        <v>42021</v>
      </c>
      <c r="AX482" s="1">
        <v>3334</v>
      </c>
      <c r="BC482" s="1">
        <v>2077554</v>
      </c>
      <c r="BD482" s="1">
        <v>3758480</v>
      </c>
      <c r="BE482" s="1">
        <v>1039454</v>
      </c>
      <c r="BF482" s="121">
        <f t="shared" si="37"/>
        <v>6920843</v>
      </c>
      <c r="BN482" s="1">
        <v>235126</v>
      </c>
      <c r="BO482" s="1">
        <v>1211781</v>
      </c>
      <c r="BR482" s="1">
        <v>50549</v>
      </c>
      <c r="BU482" s="1">
        <v>209223</v>
      </c>
      <c r="CA482" s="1">
        <v>112869</v>
      </c>
      <c r="CB482" s="1">
        <v>900343</v>
      </c>
      <c r="CC482" s="125">
        <f t="shared" si="38"/>
        <v>2719891</v>
      </c>
      <c r="CD482" s="1">
        <v>255598</v>
      </c>
      <c r="CI482" s="1">
        <v>17465</v>
      </c>
      <c r="CK482" s="124">
        <f t="shared" si="39"/>
        <v>273063</v>
      </c>
      <c r="CM482" s="23">
        <v>6000000</v>
      </c>
      <c r="CO482" s="23">
        <v>194210</v>
      </c>
      <c r="CV482" s="129">
        <v>8514998</v>
      </c>
    </row>
    <row r="483" spans="1:100" ht="12.75" customHeight="1">
      <c r="A483" s="1">
        <v>29</v>
      </c>
      <c r="B483" s="1">
        <v>5220</v>
      </c>
      <c r="C483" s="1" t="s">
        <v>878</v>
      </c>
      <c r="D483" s="5" t="s">
        <v>907</v>
      </c>
      <c r="E483" t="s">
        <v>1921</v>
      </c>
      <c r="F483" s="26">
        <v>266</v>
      </c>
      <c r="G483" s="78">
        <v>1908256</v>
      </c>
      <c r="H483" s="78">
        <v>68324</v>
      </c>
      <c r="M483" s="1">
        <v>278489</v>
      </c>
      <c r="O483" s="117">
        <f t="shared" si="35"/>
        <v>2255069</v>
      </c>
      <c r="P483" s="78">
        <v>682594</v>
      </c>
      <c r="V483" s="1">
        <v>19563</v>
      </c>
      <c r="W483" s="1">
        <v>324179</v>
      </c>
      <c r="Y483" s="78">
        <v>73136</v>
      </c>
      <c r="AC483" s="1">
        <v>2766</v>
      </c>
      <c r="AD483" s="1">
        <v>30847</v>
      </c>
      <c r="AE483" s="1">
        <v>28730</v>
      </c>
      <c r="AF483" s="1">
        <v>2815</v>
      </c>
      <c r="AG483" s="1">
        <v>275826</v>
      </c>
      <c r="AH483" s="1">
        <v>126351</v>
      </c>
      <c r="AM483" s="1">
        <v>98386</v>
      </c>
      <c r="AP483" s="1">
        <v>58933</v>
      </c>
      <c r="AU483" s="1">
        <v>25000</v>
      </c>
      <c r="AV483" s="116">
        <f t="shared" si="36"/>
        <v>1749126</v>
      </c>
      <c r="BC483" s="1">
        <v>68060</v>
      </c>
      <c r="BD483" s="1">
        <v>57638</v>
      </c>
      <c r="BE483" s="1">
        <v>16496</v>
      </c>
      <c r="BF483" s="121">
        <f t="shared" si="37"/>
        <v>142194</v>
      </c>
      <c r="BI483" s="1">
        <v>3748</v>
      </c>
      <c r="CA483" s="1">
        <v>20334</v>
      </c>
      <c r="CC483" s="125">
        <f t="shared" si="38"/>
        <v>24082</v>
      </c>
      <c r="CK483" s="124">
        <f t="shared" si="39"/>
        <v>0</v>
      </c>
      <c r="CT483" s="23">
        <v>154557</v>
      </c>
      <c r="CV483" s="129">
        <v>420137</v>
      </c>
    </row>
    <row r="484" spans="1:100" ht="12.75" customHeight="1">
      <c r="A484" s="1">
        <v>31</v>
      </c>
      <c r="B484" s="1">
        <v>420</v>
      </c>
      <c r="C484" s="1" t="s">
        <v>908</v>
      </c>
      <c r="D484" s="5" t="s">
        <v>909</v>
      </c>
      <c r="E484" t="s">
        <v>1922</v>
      </c>
      <c r="F484" s="26">
        <v>687.5</v>
      </c>
      <c r="G484" s="78">
        <v>11674554</v>
      </c>
      <c r="H484" s="78">
        <v>99840</v>
      </c>
      <c r="O484" s="117">
        <f t="shared" si="35"/>
        <v>11774394</v>
      </c>
      <c r="V484" s="1">
        <v>181354</v>
      </c>
      <c r="W484" s="1">
        <v>804336</v>
      </c>
      <c r="X484" s="1">
        <v>34824</v>
      </c>
      <c r="Y484" s="78">
        <v>1055851</v>
      </c>
      <c r="AC484" s="1">
        <v>58606</v>
      </c>
      <c r="AD484" s="1">
        <v>104673</v>
      </c>
      <c r="AE484" s="1">
        <v>65364</v>
      </c>
      <c r="AG484" s="1">
        <v>784022</v>
      </c>
      <c r="AH484" s="1">
        <v>320692</v>
      </c>
      <c r="AO484" s="1">
        <v>14760</v>
      </c>
      <c r="AV484" s="116">
        <f t="shared" si="36"/>
        <v>3424482</v>
      </c>
      <c r="BC484" s="1">
        <v>34655</v>
      </c>
      <c r="BD484" s="1">
        <v>224854</v>
      </c>
      <c r="BE484" s="1">
        <v>26205</v>
      </c>
      <c r="BF484" s="121">
        <f t="shared" si="37"/>
        <v>285714</v>
      </c>
      <c r="BO484" s="1">
        <v>7329</v>
      </c>
      <c r="CC484" s="125">
        <f t="shared" si="38"/>
        <v>7329</v>
      </c>
      <c r="CK484" s="124">
        <f t="shared" si="39"/>
        <v>0</v>
      </c>
      <c r="CV484" s="129">
        <v>300474</v>
      </c>
    </row>
    <row r="485" spans="1:100" ht="12.75" customHeight="1">
      <c r="A485" s="1">
        <v>31</v>
      </c>
      <c r="B485" s="1">
        <v>900</v>
      </c>
      <c r="C485" s="1" t="s">
        <v>908</v>
      </c>
      <c r="D485" s="5" t="s">
        <v>910</v>
      </c>
      <c r="E485" t="s">
        <v>1923</v>
      </c>
      <c r="F485" s="26">
        <v>10388</v>
      </c>
      <c r="G485" s="78">
        <v>101312881</v>
      </c>
      <c r="L485" s="1">
        <v>15636</v>
      </c>
      <c r="M485" s="1">
        <v>4588773</v>
      </c>
      <c r="O485" s="117">
        <f t="shared" si="35"/>
        <v>105917290</v>
      </c>
      <c r="P485" s="78">
        <v>4314755</v>
      </c>
      <c r="V485" s="1">
        <v>1897782</v>
      </c>
      <c r="W485" s="1">
        <v>7083867</v>
      </c>
      <c r="X485" s="1">
        <v>748722</v>
      </c>
      <c r="AC485" s="1">
        <v>486403</v>
      </c>
      <c r="AD485" s="1">
        <v>1189804</v>
      </c>
      <c r="AE485" s="1">
        <v>500125</v>
      </c>
      <c r="AF485" s="1">
        <v>3434145</v>
      </c>
      <c r="AG485" s="1">
        <v>7967114</v>
      </c>
      <c r="AH485" s="1">
        <v>4610023</v>
      </c>
      <c r="AM485" s="1">
        <v>916565</v>
      </c>
      <c r="AO485" s="1">
        <v>528116</v>
      </c>
      <c r="AP485" s="1">
        <v>205227</v>
      </c>
      <c r="AU485" s="1">
        <v>1786145</v>
      </c>
      <c r="AV485" s="116">
        <f t="shared" si="36"/>
        <v>35668793</v>
      </c>
      <c r="AW485" s="1">
        <v>51486</v>
      </c>
      <c r="BC485" s="1">
        <v>1248926</v>
      </c>
      <c r="BD485" s="1">
        <v>2201385</v>
      </c>
      <c r="BE485" s="1">
        <v>742656</v>
      </c>
      <c r="BF485" s="121">
        <f t="shared" si="37"/>
        <v>4244453</v>
      </c>
      <c r="BG485" s="1">
        <v>197228</v>
      </c>
      <c r="BI485" s="1">
        <v>118770</v>
      </c>
      <c r="BP485" s="1">
        <v>1725001</v>
      </c>
      <c r="CA485" s="1">
        <v>248137</v>
      </c>
      <c r="CC485" s="125">
        <f t="shared" si="38"/>
        <v>2289136</v>
      </c>
      <c r="CK485" s="124">
        <f t="shared" si="39"/>
        <v>0</v>
      </c>
      <c r="CM485" s="23">
        <v>2420539</v>
      </c>
      <c r="CV485" s="129">
        <v>7439429</v>
      </c>
    </row>
    <row r="486" spans="1:100" ht="12.75" customHeight="1">
      <c r="A486" s="1">
        <v>31</v>
      </c>
      <c r="B486" s="1">
        <v>1920</v>
      </c>
      <c r="C486" s="1" t="s">
        <v>908</v>
      </c>
      <c r="D486" s="5" t="s">
        <v>911</v>
      </c>
      <c r="E486" t="s">
        <v>1924</v>
      </c>
      <c r="F486" s="26">
        <v>1033</v>
      </c>
      <c r="G486" s="78">
        <v>4808738</v>
      </c>
      <c r="H486" s="78">
        <v>122686</v>
      </c>
      <c r="L486" s="1">
        <v>1018</v>
      </c>
      <c r="M486" s="1">
        <v>305682</v>
      </c>
      <c r="O486" s="117">
        <f t="shared" si="35"/>
        <v>5238124</v>
      </c>
      <c r="P486" s="78">
        <v>2929828</v>
      </c>
      <c r="V486" s="1">
        <v>85509</v>
      </c>
      <c r="W486" s="1">
        <v>782937</v>
      </c>
      <c r="X486" s="1">
        <v>60754</v>
      </c>
      <c r="AC486" s="1">
        <v>24026</v>
      </c>
      <c r="AD486" s="1">
        <v>107087</v>
      </c>
      <c r="AE486" s="1">
        <v>143230</v>
      </c>
      <c r="AF486" s="1">
        <v>86204</v>
      </c>
      <c r="AG486" s="1">
        <v>683670</v>
      </c>
      <c r="AH486" s="1">
        <v>386935</v>
      </c>
      <c r="AM486" s="1">
        <v>238626</v>
      </c>
      <c r="AP486" s="1">
        <v>274811</v>
      </c>
      <c r="AU486" s="1">
        <v>5000</v>
      </c>
      <c r="AV486" s="116">
        <f t="shared" si="36"/>
        <v>5808617</v>
      </c>
      <c r="AW486" s="1">
        <v>2172</v>
      </c>
      <c r="BC486" s="1">
        <v>460804</v>
      </c>
      <c r="BD486" s="1">
        <v>206906</v>
      </c>
      <c r="BE486" s="1">
        <v>72380</v>
      </c>
      <c r="BF486" s="121">
        <f t="shared" si="37"/>
        <v>742262</v>
      </c>
      <c r="BO486" s="1">
        <v>962</v>
      </c>
      <c r="BP486" s="1">
        <v>27336</v>
      </c>
      <c r="CC486" s="125">
        <f t="shared" si="38"/>
        <v>28298</v>
      </c>
      <c r="CD486" s="1">
        <v>1696</v>
      </c>
      <c r="CK486" s="124">
        <f t="shared" si="39"/>
        <v>1696</v>
      </c>
      <c r="CT486" s="23">
        <v>459173</v>
      </c>
      <c r="CV486" s="129">
        <v>1443907</v>
      </c>
    </row>
    <row r="487" spans="1:100" ht="12.75" customHeight="1">
      <c r="A487" s="1">
        <v>31</v>
      </c>
      <c r="B487" s="1">
        <v>2100</v>
      </c>
      <c r="C487" s="1" t="s">
        <v>908</v>
      </c>
      <c r="D487" s="5" t="s">
        <v>912</v>
      </c>
      <c r="E487" t="s">
        <v>1925</v>
      </c>
      <c r="F487" s="26">
        <v>2382</v>
      </c>
      <c r="G487" s="78">
        <v>26377804</v>
      </c>
      <c r="L487" s="1">
        <v>5671</v>
      </c>
      <c r="M487" s="1">
        <v>669217</v>
      </c>
      <c r="O487" s="117">
        <f t="shared" si="35"/>
        <v>27052692</v>
      </c>
      <c r="V487" s="1">
        <v>204545</v>
      </c>
      <c r="W487" s="1">
        <v>1563362</v>
      </c>
      <c r="X487" s="1">
        <v>47798</v>
      </c>
      <c r="AC487" s="1">
        <v>157757</v>
      </c>
      <c r="AD487" s="1">
        <v>258610</v>
      </c>
      <c r="AE487" s="1">
        <v>63657</v>
      </c>
      <c r="AG487" s="1">
        <v>2253506</v>
      </c>
      <c r="AH487" s="1">
        <v>1065391</v>
      </c>
      <c r="AI487" s="1">
        <v>165012</v>
      </c>
      <c r="AO487" s="1">
        <v>47583</v>
      </c>
      <c r="AP487" s="1">
        <v>204127</v>
      </c>
      <c r="AU487" s="1">
        <v>219616</v>
      </c>
      <c r="AV487" s="116">
        <f t="shared" si="36"/>
        <v>6250964</v>
      </c>
      <c r="BC487" s="1">
        <v>164788</v>
      </c>
      <c r="BD487" s="1">
        <v>530463</v>
      </c>
      <c r="BE487" s="1">
        <v>50255</v>
      </c>
      <c r="BF487" s="121">
        <f t="shared" si="37"/>
        <v>745506</v>
      </c>
      <c r="BG487" s="1">
        <v>156718</v>
      </c>
      <c r="BP487" s="1">
        <v>221151</v>
      </c>
      <c r="CC487" s="125">
        <f t="shared" si="38"/>
        <v>377869</v>
      </c>
      <c r="CK487" s="124">
        <f t="shared" si="39"/>
        <v>0</v>
      </c>
      <c r="CV487" s="129">
        <v>1018376</v>
      </c>
    </row>
    <row r="488" spans="1:100" ht="12.75" customHeight="1">
      <c r="A488" s="1">
        <v>31</v>
      </c>
      <c r="B488" s="1">
        <v>2510</v>
      </c>
      <c r="C488" s="1" t="s">
        <v>908</v>
      </c>
      <c r="D488" s="5" t="s">
        <v>913</v>
      </c>
      <c r="E488" t="s">
        <v>1926</v>
      </c>
      <c r="F488" s="26">
        <v>1127.5</v>
      </c>
      <c r="G488" s="78">
        <v>14274393</v>
      </c>
      <c r="H488" s="78">
        <v>212750</v>
      </c>
      <c r="M488" s="1">
        <v>339397</v>
      </c>
      <c r="O488" s="117">
        <f t="shared" si="35"/>
        <v>14826540</v>
      </c>
      <c r="P488" s="78">
        <v>1299622</v>
      </c>
      <c r="Q488" s="78">
        <v>324030</v>
      </c>
      <c r="V488" s="1">
        <v>364060</v>
      </c>
      <c r="W488" s="1">
        <v>735750</v>
      </c>
      <c r="X488" s="1">
        <v>2336</v>
      </c>
      <c r="Y488" s="78">
        <v>1714039</v>
      </c>
      <c r="AC488" s="1">
        <v>81965</v>
      </c>
      <c r="AD488" s="1">
        <v>118278</v>
      </c>
      <c r="AE488" s="1">
        <v>136743</v>
      </c>
      <c r="AF488" s="1">
        <v>4502</v>
      </c>
      <c r="AG488" s="1">
        <v>1205447</v>
      </c>
      <c r="AH488" s="1">
        <v>644261</v>
      </c>
      <c r="AU488" s="1">
        <v>1230</v>
      </c>
      <c r="AV488" s="116">
        <f t="shared" si="36"/>
        <v>6632263</v>
      </c>
      <c r="BB488" s="1">
        <v>14562</v>
      </c>
      <c r="BC488" s="1">
        <v>26601</v>
      </c>
      <c r="BD488" s="1">
        <v>243388</v>
      </c>
      <c r="BE488" s="1">
        <v>23544</v>
      </c>
      <c r="BF488" s="121">
        <f t="shared" si="37"/>
        <v>308095</v>
      </c>
      <c r="CC488" s="125">
        <f t="shared" si="38"/>
        <v>0</v>
      </c>
      <c r="CK488" s="124">
        <f t="shared" si="39"/>
        <v>0</v>
      </c>
      <c r="CV488" s="129">
        <v>309325</v>
      </c>
    </row>
    <row r="489" spans="1:100" ht="12.75" customHeight="1">
      <c r="A489" s="1">
        <v>31</v>
      </c>
      <c r="B489" s="1">
        <v>2700</v>
      </c>
      <c r="C489" s="1" t="s">
        <v>908</v>
      </c>
      <c r="D489" s="5" t="s">
        <v>914</v>
      </c>
      <c r="E489" t="s">
        <v>1931</v>
      </c>
      <c r="F489" s="26">
        <v>882</v>
      </c>
      <c r="G489" s="78">
        <v>9812794</v>
      </c>
      <c r="H489" s="78">
        <v>100081</v>
      </c>
      <c r="M489" s="1">
        <v>231198</v>
      </c>
      <c r="O489" s="117">
        <f t="shared" si="35"/>
        <v>10144073</v>
      </c>
      <c r="V489" s="1">
        <v>51219</v>
      </c>
      <c r="W489" s="1">
        <v>508978</v>
      </c>
      <c r="X489" s="1">
        <v>47744</v>
      </c>
      <c r="AC489" s="1">
        <v>3764</v>
      </c>
      <c r="AD489" s="1">
        <v>98090</v>
      </c>
      <c r="AE489" s="1">
        <v>21877</v>
      </c>
      <c r="AF489" s="1">
        <v>8562</v>
      </c>
      <c r="AG489" s="1">
        <v>833867</v>
      </c>
      <c r="AH489" s="1">
        <v>403517</v>
      </c>
      <c r="AO489" s="1">
        <v>23187</v>
      </c>
      <c r="AT489" s="1">
        <v>506</v>
      </c>
      <c r="AU489" s="1">
        <v>5000</v>
      </c>
      <c r="AV489" s="116">
        <f t="shared" si="36"/>
        <v>2006311</v>
      </c>
      <c r="BC489" s="1">
        <v>35401</v>
      </c>
      <c r="BD489" s="1">
        <v>170659</v>
      </c>
      <c r="BE489" s="1">
        <v>35368</v>
      </c>
      <c r="BF489" s="121">
        <f t="shared" si="37"/>
        <v>241428</v>
      </c>
      <c r="BG489" s="1">
        <v>70430</v>
      </c>
      <c r="BO489" s="1">
        <v>100</v>
      </c>
      <c r="CA489" s="1">
        <v>5915</v>
      </c>
      <c r="CC489" s="125">
        <f t="shared" si="38"/>
        <v>76445</v>
      </c>
      <c r="CD489" s="1">
        <v>276405</v>
      </c>
      <c r="CK489" s="124">
        <f t="shared" si="39"/>
        <v>276405</v>
      </c>
      <c r="CV489" s="129">
        <v>269615</v>
      </c>
    </row>
    <row r="490" spans="1:100" ht="12.75" customHeight="1">
      <c r="A490" s="1">
        <v>31</v>
      </c>
      <c r="B490" s="1">
        <v>3640</v>
      </c>
      <c r="C490" s="1" t="s">
        <v>908</v>
      </c>
      <c r="D490" s="5" t="s">
        <v>915</v>
      </c>
      <c r="E490" t="s">
        <v>1932</v>
      </c>
      <c r="F490" s="26">
        <v>662</v>
      </c>
      <c r="G490" s="78">
        <v>6302416</v>
      </c>
      <c r="M490" s="1">
        <v>1175045</v>
      </c>
      <c r="O490" s="117">
        <f t="shared" si="35"/>
        <v>7477461</v>
      </c>
      <c r="V490" s="1">
        <v>73803</v>
      </c>
      <c r="W490" s="1">
        <v>277430</v>
      </c>
      <c r="X490" s="1">
        <v>2336</v>
      </c>
      <c r="AC490" s="1">
        <v>35983</v>
      </c>
      <c r="AD490" s="1">
        <v>63418</v>
      </c>
      <c r="AE490" s="1">
        <v>12886</v>
      </c>
      <c r="AF490" s="1">
        <v>57620</v>
      </c>
      <c r="AG490" s="1">
        <v>557915</v>
      </c>
      <c r="AH490" s="1">
        <v>284695</v>
      </c>
      <c r="AO490" s="1">
        <v>12546</v>
      </c>
      <c r="AT490" s="1">
        <v>6474739</v>
      </c>
      <c r="AU490" s="1">
        <v>1300</v>
      </c>
      <c r="AV490" s="116">
        <f t="shared" si="36"/>
        <v>7854671</v>
      </c>
      <c r="AW490" s="1">
        <v>1177</v>
      </c>
      <c r="BC490" s="1">
        <v>21843</v>
      </c>
      <c r="BD490" s="1">
        <v>199767</v>
      </c>
      <c r="BE490" s="1">
        <v>24788</v>
      </c>
      <c r="BF490" s="121">
        <f t="shared" si="37"/>
        <v>247575</v>
      </c>
      <c r="BO490" s="1">
        <v>42475</v>
      </c>
      <c r="BP490" s="1">
        <v>6496</v>
      </c>
      <c r="BX490" s="1">
        <v>990182</v>
      </c>
      <c r="CA490" s="1">
        <v>990182</v>
      </c>
      <c r="CC490" s="125">
        <f t="shared" si="38"/>
        <v>2029335</v>
      </c>
      <c r="CD490" s="1">
        <v>20500</v>
      </c>
      <c r="CK490" s="124">
        <f t="shared" si="39"/>
        <v>20500</v>
      </c>
      <c r="CV490" s="129">
        <v>260244</v>
      </c>
    </row>
    <row r="491" spans="1:100" ht="12.75" customHeight="1">
      <c r="A491" s="1">
        <v>31</v>
      </c>
      <c r="B491" s="1">
        <v>3970</v>
      </c>
      <c r="C491" s="1" t="s">
        <v>908</v>
      </c>
      <c r="D491" s="5" t="s">
        <v>916</v>
      </c>
      <c r="E491" t="s">
        <v>1933</v>
      </c>
      <c r="F491" s="26">
        <v>12247</v>
      </c>
      <c r="G491" s="78">
        <v>13869390</v>
      </c>
      <c r="H491" s="78">
        <v>2281958</v>
      </c>
      <c r="L491" s="1">
        <v>4253</v>
      </c>
      <c r="M491" s="1">
        <v>137157</v>
      </c>
      <c r="O491" s="117">
        <f t="shared" si="35"/>
        <v>16292758</v>
      </c>
      <c r="P491" s="78">
        <v>65783761</v>
      </c>
      <c r="Q491" s="78">
        <v>7842417</v>
      </c>
      <c r="S491" s="25">
        <v>56414734</v>
      </c>
      <c r="T491" s="1">
        <v>2886350</v>
      </c>
      <c r="V491" s="1">
        <v>2354719</v>
      </c>
      <c r="W491" s="1">
        <v>9848217</v>
      </c>
      <c r="X491" s="1">
        <v>3948286</v>
      </c>
      <c r="AC491" s="1">
        <v>835955</v>
      </c>
      <c r="AD491" s="1">
        <v>1289759</v>
      </c>
      <c r="AG491" s="1">
        <v>10388229</v>
      </c>
      <c r="AH491" s="1">
        <v>6746714</v>
      </c>
      <c r="AM491" s="1">
        <v>5003213</v>
      </c>
      <c r="AP491" s="1">
        <v>596305</v>
      </c>
      <c r="AT491" s="1">
        <v>7262696</v>
      </c>
      <c r="AU491" s="1">
        <v>2598158</v>
      </c>
      <c r="AV491" s="116">
        <f t="shared" si="36"/>
        <v>183799513</v>
      </c>
      <c r="AW491" s="1">
        <v>568650</v>
      </c>
      <c r="BC491" s="1">
        <v>5855153</v>
      </c>
      <c r="BD491" s="1">
        <v>3531986</v>
      </c>
      <c r="BE491" s="1">
        <v>6010294</v>
      </c>
      <c r="BF491" s="121">
        <f t="shared" si="37"/>
        <v>15966083</v>
      </c>
      <c r="BI491" s="1">
        <v>55444</v>
      </c>
      <c r="CA491" s="1">
        <v>1009</v>
      </c>
      <c r="CC491" s="125">
        <f t="shared" si="38"/>
        <v>56453</v>
      </c>
      <c r="CK491" s="124">
        <f t="shared" si="39"/>
        <v>0</v>
      </c>
      <c r="CR491" s="23">
        <v>241047</v>
      </c>
      <c r="CT491" s="23">
        <v>23308045</v>
      </c>
      <c r="CV491" s="129">
        <v>47252274</v>
      </c>
    </row>
    <row r="492" spans="1:100" ht="12.75" customHeight="1">
      <c r="A492" s="1">
        <v>31</v>
      </c>
      <c r="B492" s="1">
        <v>3975</v>
      </c>
      <c r="C492" s="1" t="s">
        <v>908</v>
      </c>
      <c r="D492" s="5" t="s">
        <v>917</v>
      </c>
      <c r="E492" t="s">
        <v>1934</v>
      </c>
      <c r="F492" s="26">
        <v>255</v>
      </c>
      <c r="G492" s="78">
        <v>5828738</v>
      </c>
      <c r="O492" s="117">
        <f t="shared" si="35"/>
        <v>5828738</v>
      </c>
      <c r="AG492" s="1">
        <v>308449</v>
      </c>
      <c r="AH492" s="1">
        <v>272023</v>
      </c>
      <c r="AV492" s="116">
        <f t="shared" si="36"/>
        <v>580472</v>
      </c>
      <c r="BF492" s="121">
        <f t="shared" si="37"/>
        <v>0</v>
      </c>
      <c r="BN492" s="1">
        <v>8792953</v>
      </c>
      <c r="BP492" s="1">
        <v>2021131</v>
      </c>
      <c r="CC492" s="125">
        <f t="shared" si="38"/>
        <v>10814084</v>
      </c>
      <c r="CK492" s="124">
        <f t="shared" si="39"/>
        <v>0</v>
      </c>
    </row>
    <row r="493" spans="1:100" ht="12.75" customHeight="1">
      <c r="A493" s="1">
        <v>31</v>
      </c>
      <c r="B493" s="1">
        <v>3980</v>
      </c>
      <c r="C493" s="1" t="s">
        <v>908</v>
      </c>
      <c r="D493" s="5" t="s">
        <v>918</v>
      </c>
      <c r="E493" t="s">
        <v>1935</v>
      </c>
      <c r="F493" s="26">
        <v>793</v>
      </c>
      <c r="G493" s="78">
        <v>8986178</v>
      </c>
      <c r="H493" s="78">
        <v>135448</v>
      </c>
      <c r="K493" s="1">
        <v>461972</v>
      </c>
      <c r="L493" s="1">
        <v>26074</v>
      </c>
      <c r="O493" s="117">
        <f t="shared" si="35"/>
        <v>9609672</v>
      </c>
      <c r="P493" s="78">
        <v>2276281</v>
      </c>
      <c r="Q493" s="78">
        <v>104132</v>
      </c>
      <c r="R493" s="1">
        <v>99708</v>
      </c>
      <c r="V493" s="1">
        <v>185425</v>
      </c>
      <c r="W493" s="1">
        <v>400661</v>
      </c>
      <c r="X493" s="1">
        <v>44294</v>
      </c>
      <c r="AC493" s="1">
        <v>39148</v>
      </c>
      <c r="AD493" s="1">
        <v>90300</v>
      </c>
      <c r="AE493" s="1">
        <v>112062</v>
      </c>
      <c r="AF493" s="1">
        <v>74516</v>
      </c>
      <c r="AG493" s="1">
        <v>787742</v>
      </c>
      <c r="AH493" s="1">
        <v>366089</v>
      </c>
      <c r="AM493" s="1">
        <v>611658</v>
      </c>
      <c r="AU493" s="1">
        <v>518403</v>
      </c>
      <c r="AV493" s="116">
        <f t="shared" si="36"/>
        <v>5710419</v>
      </c>
      <c r="BC493" s="1">
        <v>89586</v>
      </c>
      <c r="BD493" s="1">
        <v>143923</v>
      </c>
      <c r="BE493" s="1">
        <v>45013</v>
      </c>
      <c r="BF493" s="121">
        <f t="shared" si="37"/>
        <v>278522</v>
      </c>
      <c r="BN493" s="1">
        <v>240437</v>
      </c>
      <c r="BO493" s="1">
        <v>872</v>
      </c>
      <c r="CB493" s="1">
        <v>2554</v>
      </c>
      <c r="CC493" s="125">
        <f t="shared" si="38"/>
        <v>243863</v>
      </c>
      <c r="CK493" s="124">
        <f t="shared" si="39"/>
        <v>0</v>
      </c>
      <c r="CV493" s="129">
        <v>1434657</v>
      </c>
    </row>
    <row r="494" spans="1:100" ht="12.75" customHeight="1">
      <c r="A494" s="1">
        <v>31</v>
      </c>
      <c r="B494" s="1">
        <v>3990</v>
      </c>
      <c r="C494" s="1" t="s">
        <v>908</v>
      </c>
      <c r="D494" s="5" t="s">
        <v>919</v>
      </c>
      <c r="E494" t="s">
        <v>1936</v>
      </c>
      <c r="F494" s="26">
        <v>1313</v>
      </c>
      <c r="G494" s="78">
        <v>17262984</v>
      </c>
      <c r="H494" s="78">
        <v>125144</v>
      </c>
      <c r="M494" s="1">
        <v>311883</v>
      </c>
      <c r="O494" s="117">
        <f t="shared" si="35"/>
        <v>17700011</v>
      </c>
      <c r="V494" s="1">
        <v>409861</v>
      </c>
      <c r="W494" s="1">
        <v>650102</v>
      </c>
      <c r="X494" s="1">
        <v>11698</v>
      </c>
      <c r="Y494" s="78">
        <v>61512</v>
      </c>
      <c r="AC494" s="1">
        <v>20733</v>
      </c>
      <c r="AD494" s="1">
        <v>123325</v>
      </c>
      <c r="AE494" s="1">
        <v>37695</v>
      </c>
      <c r="AF494" s="1">
        <v>124665</v>
      </c>
      <c r="AG494" s="1">
        <v>1319309</v>
      </c>
      <c r="AH494" s="1">
        <v>622183</v>
      </c>
      <c r="AT494" s="1">
        <v>34231</v>
      </c>
      <c r="AV494" s="116">
        <f t="shared" si="36"/>
        <v>3415314</v>
      </c>
      <c r="BC494" s="1">
        <v>31204</v>
      </c>
      <c r="BD494" s="1">
        <v>236459</v>
      </c>
      <c r="BE494" s="1">
        <v>49312</v>
      </c>
      <c r="BF494" s="121">
        <f t="shared" si="37"/>
        <v>316975</v>
      </c>
      <c r="BN494" s="1">
        <v>189256</v>
      </c>
      <c r="CA494" s="1">
        <v>9</v>
      </c>
      <c r="CC494" s="125">
        <f t="shared" si="38"/>
        <v>189265</v>
      </c>
      <c r="CK494" s="124">
        <f t="shared" si="39"/>
        <v>0</v>
      </c>
      <c r="CV494" s="129">
        <v>316975</v>
      </c>
    </row>
    <row r="495" spans="1:100" ht="12.75" customHeight="1">
      <c r="A495" s="1">
        <v>31</v>
      </c>
      <c r="B495" s="1">
        <v>3995</v>
      </c>
      <c r="C495" s="1" t="s">
        <v>908</v>
      </c>
      <c r="D495" s="5" t="s">
        <v>920</v>
      </c>
      <c r="E495" t="s">
        <v>1937</v>
      </c>
      <c r="F495" s="26">
        <v>2517.5</v>
      </c>
      <c r="H495" s="78">
        <v>237881</v>
      </c>
      <c r="I495" s="1">
        <v>7144585</v>
      </c>
      <c r="L495" s="1">
        <v>4170</v>
      </c>
      <c r="O495" s="117">
        <f t="shared" si="35"/>
        <v>7386636</v>
      </c>
      <c r="P495" s="78">
        <v>5752321</v>
      </c>
      <c r="W495" s="1">
        <v>1294471</v>
      </c>
      <c r="X495" s="1">
        <v>109468</v>
      </c>
      <c r="AA495" s="1">
        <v>3812047</v>
      </c>
      <c r="AD495" s="1">
        <v>546647</v>
      </c>
      <c r="AE495" s="1">
        <v>424516</v>
      </c>
      <c r="AF495" s="1">
        <v>188546</v>
      </c>
      <c r="AG495" s="1">
        <v>2713916</v>
      </c>
      <c r="AH495" s="1">
        <v>1763329</v>
      </c>
      <c r="AM495" s="1">
        <v>2631516</v>
      </c>
      <c r="AU495" s="1">
        <v>124263</v>
      </c>
      <c r="AV495" s="116">
        <f t="shared" si="36"/>
        <v>19361040</v>
      </c>
      <c r="AW495" s="1">
        <v>32857</v>
      </c>
      <c r="BC495" s="1">
        <v>1522311</v>
      </c>
      <c r="BD495" s="1">
        <v>564758</v>
      </c>
      <c r="BE495" s="1">
        <v>949886</v>
      </c>
      <c r="BF495" s="121">
        <f t="shared" si="37"/>
        <v>3069812</v>
      </c>
      <c r="CC495" s="125">
        <f t="shared" si="38"/>
        <v>0</v>
      </c>
      <c r="CF495" s="1">
        <v>29453569</v>
      </c>
      <c r="CG495" s="1">
        <v>301005</v>
      </c>
      <c r="CK495" s="124">
        <f t="shared" si="39"/>
        <v>29754574</v>
      </c>
      <c r="CP495" s="23">
        <v>40540</v>
      </c>
      <c r="CR495" s="23">
        <v>213320</v>
      </c>
      <c r="CV495" s="129">
        <v>6010224</v>
      </c>
    </row>
    <row r="496" spans="1:100" ht="12.75" customHeight="1">
      <c r="A496" s="1">
        <v>31</v>
      </c>
      <c r="B496" s="1">
        <v>4010</v>
      </c>
      <c r="C496" s="1" t="s">
        <v>908</v>
      </c>
      <c r="D496" s="5" t="s">
        <v>921</v>
      </c>
      <c r="E496" t="s">
        <v>1938</v>
      </c>
      <c r="F496" s="26">
        <v>24950</v>
      </c>
      <c r="G496" s="78">
        <v>36016971</v>
      </c>
      <c r="H496" s="78">
        <v>4589844</v>
      </c>
      <c r="L496" s="1">
        <v>116800</v>
      </c>
      <c r="M496" s="1">
        <v>371965</v>
      </c>
      <c r="O496" s="117">
        <f t="shared" si="35"/>
        <v>41095580</v>
      </c>
      <c r="P496" s="78">
        <v>155240299</v>
      </c>
      <c r="Q496" s="78">
        <v>16980835</v>
      </c>
      <c r="S496" s="25">
        <v>153262836</v>
      </c>
      <c r="V496" s="1">
        <v>5339317</v>
      </c>
      <c r="W496" s="1">
        <v>18027166</v>
      </c>
      <c r="X496" s="1">
        <v>4004664</v>
      </c>
      <c r="AC496" s="1">
        <v>982706</v>
      </c>
      <c r="AD496" s="1">
        <v>3014228</v>
      </c>
      <c r="AF496" s="1">
        <v>234017</v>
      </c>
      <c r="AG496" s="1">
        <v>26178426</v>
      </c>
      <c r="AH496" s="1">
        <v>15239434</v>
      </c>
      <c r="AM496" s="1">
        <v>11625329</v>
      </c>
      <c r="AP496" s="1">
        <v>960779</v>
      </c>
      <c r="AT496" s="1">
        <v>25501252</v>
      </c>
      <c r="AU496" s="1">
        <v>3106953</v>
      </c>
      <c r="AV496" s="116">
        <f t="shared" si="36"/>
        <v>439698241</v>
      </c>
      <c r="AW496" s="1">
        <v>701391</v>
      </c>
      <c r="BB496" s="1">
        <v>164594</v>
      </c>
      <c r="BC496" s="1">
        <v>15369593</v>
      </c>
      <c r="BD496" s="1">
        <v>7070642</v>
      </c>
      <c r="BE496" s="1">
        <v>5594990</v>
      </c>
      <c r="BF496" s="121">
        <f t="shared" si="37"/>
        <v>28901210</v>
      </c>
      <c r="BI496" s="1">
        <v>2400</v>
      </c>
      <c r="CA496" s="1">
        <v>35108</v>
      </c>
      <c r="CC496" s="125">
        <f t="shared" si="38"/>
        <v>37508</v>
      </c>
      <c r="CK496" s="124">
        <f t="shared" si="39"/>
        <v>0</v>
      </c>
      <c r="CR496" s="23">
        <v>590312</v>
      </c>
      <c r="CT496" s="23">
        <v>43192987</v>
      </c>
      <c r="CV496" s="129">
        <v>86832200</v>
      </c>
    </row>
    <row r="497" spans="1:100" ht="12.75" customHeight="1">
      <c r="A497" s="1">
        <v>31</v>
      </c>
      <c r="B497" s="1">
        <v>4230</v>
      </c>
      <c r="C497" s="1" t="s">
        <v>908</v>
      </c>
      <c r="D497" s="5" t="s">
        <v>922</v>
      </c>
      <c r="E497" t="s">
        <v>1939</v>
      </c>
      <c r="F497" s="26">
        <v>1793.5</v>
      </c>
      <c r="G497" s="78">
        <v>18612007</v>
      </c>
      <c r="L497" s="1">
        <v>3000</v>
      </c>
      <c r="M497" s="1">
        <v>136507</v>
      </c>
      <c r="O497" s="117">
        <f t="shared" si="35"/>
        <v>18751514</v>
      </c>
      <c r="P497" s="78">
        <v>2485685</v>
      </c>
      <c r="Q497" s="78">
        <v>264666</v>
      </c>
      <c r="V497" s="1">
        <v>30999</v>
      </c>
      <c r="W497" s="1">
        <v>985552</v>
      </c>
      <c r="X497" s="1">
        <v>44294</v>
      </c>
      <c r="AC497" s="1">
        <v>188538</v>
      </c>
      <c r="AD497" s="1">
        <v>197311</v>
      </c>
      <c r="AE497" s="1">
        <v>111232</v>
      </c>
      <c r="AG497" s="1">
        <v>1865621</v>
      </c>
      <c r="AH497" s="1">
        <v>852233</v>
      </c>
      <c r="AP497" s="1">
        <v>29051</v>
      </c>
      <c r="AU497" s="1">
        <v>99639</v>
      </c>
      <c r="AV497" s="116">
        <f t="shared" si="36"/>
        <v>7154821</v>
      </c>
      <c r="BC497" s="1">
        <v>102262</v>
      </c>
      <c r="BD497" s="1">
        <v>371934</v>
      </c>
      <c r="BE497" s="1">
        <v>60831</v>
      </c>
      <c r="BF497" s="121">
        <f t="shared" si="37"/>
        <v>535027</v>
      </c>
      <c r="BI497" s="1">
        <v>1716210</v>
      </c>
      <c r="BO497" s="1">
        <v>1822</v>
      </c>
      <c r="BP497" s="1">
        <v>157807</v>
      </c>
      <c r="CC497" s="125">
        <f t="shared" si="38"/>
        <v>1875839</v>
      </c>
      <c r="CK497" s="124">
        <f t="shared" si="39"/>
        <v>0</v>
      </c>
      <c r="CV497" s="129">
        <v>637666</v>
      </c>
    </row>
    <row r="498" spans="1:100" ht="12.75" customHeight="1">
      <c r="A498" s="1">
        <v>31</v>
      </c>
      <c r="B498" s="1">
        <v>4270</v>
      </c>
      <c r="C498" s="1" t="s">
        <v>908</v>
      </c>
      <c r="D498" s="5" t="s">
        <v>923</v>
      </c>
      <c r="E498" t="s">
        <v>1940</v>
      </c>
      <c r="F498" s="26">
        <v>821</v>
      </c>
      <c r="G498" s="78">
        <v>2389174</v>
      </c>
      <c r="M498" s="1">
        <v>197079</v>
      </c>
      <c r="O498" s="117">
        <f t="shared" si="35"/>
        <v>2586253</v>
      </c>
      <c r="P498" s="78">
        <v>3671951</v>
      </c>
      <c r="Q498" s="78">
        <v>51542</v>
      </c>
      <c r="V498" s="1">
        <v>81611</v>
      </c>
      <c r="W498" s="1">
        <v>408215</v>
      </c>
      <c r="X498" s="1">
        <v>80394</v>
      </c>
      <c r="AC498" s="1">
        <v>18800</v>
      </c>
      <c r="AD498" s="1">
        <v>84594</v>
      </c>
      <c r="AE498" s="1">
        <v>161094</v>
      </c>
      <c r="AF498" s="1">
        <v>78840</v>
      </c>
      <c r="AG498" s="1">
        <v>523929</v>
      </c>
      <c r="AH498" s="1">
        <v>330681</v>
      </c>
      <c r="AM498" s="1">
        <v>351059</v>
      </c>
      <c r="AU498" s="1">
        <v>87487</v>
      </c>
      <c r="AV498" s="116">
        <f t="shared" si="36"/>
        <v>5930197</v>
      </c>
      <c r="BC498" s="1">
        <v>479340</v>
      </c>
      <c r="BD498" s="1">
        <v>197424</v>
      </c>
      <c r="BE498" s="1">
        <v>77422</v>
      </c>
      <c r="BF498" s="121">
        <f t="shared" si="37"/>
        <v>754186</v>
      </c>
      <c r="BO498" s="1">
        <v>269</v>
      </c>
      <c r="BP498" s="1">
        <v>73927</v>
      </c>
      <c r="CC498" s="125">
        <f t="shared" si="38"/>
        <v>74196</v>
      </c>
      <c r="CK498" s="124">
        <f t="shared" si="39"/>
        <v>0</v>
      </c>
      <c r="CT498" s="23">
        <v>576482</v>
      </c>
      <c r="CV498" s="129">
        <v>1769214</v>
      </c>
    </row>
    <row r="499" spans="1:100" ht="12.75" customHeight="1">
      <c r="A499" s="1">
        <v>31</v>
      </c>
      <c r="B499" s="1">
        <v>4400</v>
      </c>
      <c r="C499" s="1" t="s">
        <v>908</v>
      </c>
      <c r="D499" s="5" t="s">
        <v>924</v>
      </c>
      <c r="E499" t="s">
        <v>1941</v>
      </c>
      <c r="F499" s="26">
        <v>1412</v>
      </c>
      <c r="G499" s="78">
        <v>13567275</v>
      </c>
      <c r="H499" s="78">
        <v>225972</v>
      </c>
      <c r="O499" s="117">
        <f t="shared" si="35"/>
        <v>13793247</v>
      </c>
      <c r="P499" s="78">
        <v>237625</v>
      </c>
      <c r="V499" s="1">
        <v>487419</v>
      </c>
      <c r="W499" s="1">
        <v>736496</v>
      </c>
      <c r="X499" s="1">
        <v>12794</v>
      </c>
      <c r="Y499" s="78">
        <v>1651007</v>
      </c>
      <c r="AC499" s="1">
        <v>65419</v>
      </c>
      <c r="AD499" s="1">
        <v>165129</v>
      </c>
      <c r="AE499" s="1">
        <v>98714</v>
      </c>
      <c r="AF499" s="1">
        <v>4748</v>
      </c>
      <c r="AG499" s="1">
        <v>1486509</v>
      </c>
      <c r="AH499" s="1">
        <v>660635</v>
      </c>
      <c r="AU499" s="1">
        <v>257721</v>
      </c>
      <c r="AV499" s="116">
        <f t="shared" si="36"/>
        <v>5864216</v>
      </c>
      <c r="BC499" s="1">
        <v>53275</v>
      </c>
      <c r="BD499" s="1">
        <v>333318</v>
      </c>
      <c r="BE499" s="1">
        <v>38654</v>
      </c>
      <c r="BF499" s="121">
        <f t="shared" si="37"/>
        <v>425247</v>
      </c>
      <c r="BG499" s="1">
        <v>203922</v>
      </c>
      <c r="BI499" s="1">
        <v>610794</v>
      </c>
      <c r="BM499" s="1">
        <v>345795</v>
      </c>
      <c r="BO499" s="1">
        <v>17701</v>
      </c>
      <c r="CC499" s="125">
        <f t="shared" si="38"/>
        <v>1178212</v>
      </c>
      <c r="CK499" s="124">
        <f t="shared" si="39"/>
        <v>0</v>
      </c>
      <c r="CV499" s="129">
        <v>682968</v>
      </c>
    </row>
    <row r="500" spans="1:100" ht="12.75" customHeight="1">
      <c r="A500" s="1">
        <v>31</v>
      </c>
      <c r="B500" s="1">
        <v>5200</v>
      </c>
      <c r="C500" s="1" t="s">
        <v>908</v>
      </c>
      <c r="D500" s="5" t="s">
        <v>925</v>
      </c>
      <c r="E500" t="s">
        <v>1838</v>
      </c>
      <c r="F500" s="26">
        <v>993</v>
      </c>
      <c r="G500" s="78">
        <v>10863652</v>
      </c>
      <c r="H500" s="78">
        <v>8891</v>
      </c>
      <c r="L500" s="1">
        <v>15000</v>
      </c>
      <c r="M500" s="1">
        <v>781018</v>
      </c>
      <c r="O500" s="117">
        <f t="shared" si="35"/>
        <v>11668561</v>
      </c>
      <c r="W500" s="1">
        <v>572259</v>
      </c>
      <c r="AC500" s="1">
        <v>48291</v>
      </c>
      <c r="AD500" s="1">
        <v>105441</v>
      </c>
      <c r="AE500" s="1">
        <v>20331</v>
      </c>
      <c r="AF500" s="1">
        <v>5220</v>
      </c>
      <c r="AG500" s="1">
        <v>847949</v>
      </c>
      <c r="AH500" s="1">
        <v>448056</v>
      </c>
      <c r="AT500" s="1">
        <v>1653629</v>
      </c>
      <c r="AU500" s="1">
        <v>112334</v>
      </c>
      <c r="AV500" s="116">
        <f t="shared" si="36"/>
        <v>3813510</v>
      </c>
      <c r="AW500" s="1">
        <v>894</v>
      </c>
      <c r="BC500" s="1">
        <v>33034</v>
      </c>
      <c r="BD500" s="1">
        <v>209320</v>
      </c>
      <c r="BE500" s="1">
        <v>19984</v>
      </c>
      <c r="BF500" s="121">
        <f t="shared" si="37"/>
        <v>263232</v>
      </c>
      <c r="BO500" s="1">
        <v>3801</v>
      </c>
      <c r="BP500" s="1">
        <v>214780</v>
      </c>
      <c r="CA500" s="1">
        <v>62938</v>
      </c>
      <c r="CB500" s="1">
        <v>805515</v>
      </c>
      <c r="CC500" s="125">
        <f t="shared" si="38"/>
        <v>1087034</v>
      </c>
      <c r="CD500" s="1">
        <v>55203</v>
      </c>
      <c r="CK500" s="124">
        <f t="shared" si="39"/>
        <v>55203</v>
      </c>
      <c r="CV500" s="129">
        <v>389672</v>
      </c>
    </row>
    <row r="501" spans="1:100" ht="12.75" customHeight="1">
      <c r="A501" s="1">
        <v>31</v>
      </c>
      <c r="B501" s="1">
        <v>5440</v>
      </c>
      <c r="C501" s="1" t="s">
        <v>908</v>
      </c>
      <c r="D501" s="5" t="s">
        <v>926</v>
      </c>
      <c r="E501" t="s">
        <v>1839</v>
      </c>
      <c r="F501" s="26">
        <v>984</v>
      </c>
      <c r="G501" s="78">
        <v>9975454</v>
      </c>
      <c r="H501" s="78">
        <v>205679</v>
      </c>
      <c r="M501" s="1">
        <v>669142</v>
      </c>
      <c r="O501" s="117">
        <f t="shared" si="35"/>
        <v>10850275</v>
      </c>
      <c r="P501" s="78">
        <v>508337</v>
      </c>
      <c r="V501" s="1">
        <v>104480</v>
      </c>
      <c r="W501" s="1">
        <v>488061</v>
      </c>
      <c r="X501" s="1">
        <v>9290</v>
      </c>
      <c r="Y501" s="78">
        <v>1108699</v>
      </c>
      <c r="AC501" s="1">
        <v>64042</v>
      </c>
      <c r="AD501" s="1">
        <v>115096</v>
      </c>
      <c r="AE501" s="1">
        <v>71006</v>
      </c>
      <c r="AF501" s="1">
        <v>6493</v>
      </c>
      <c r="AG501" s="1">
        <v>861723</v>
      </c>
      <c r="AH501" s="1">
        <v>486902</v>
      </c>
      <c r="AO501" s="1">
        <v>32907</v>
      </c>
      <c r="AP501" s="1">
        <v>4788</v>
      </c>
      <c r="AU501" s="1">
        <v>85523</v>
      </c>
      <c r="AV501" s="116">
        <f t="shared" si="36"/>
        <v>3947347</v>
      </c>
      <c r="BC501" s="1">
        <v>124898</v>
      </c>
      <c r="BD501" s="1">
        <v>251758</v>
      </c>
      <c r="BE501" s="1">
        <v>21308</v>
      </c>
      <c r="BF501" s="121">
        <f t="shared" si="37"/>
        <v>397964</v>
      </c>
      <c r="BG501" s="1">
        <v>37853</v>
      </c>
      <c r="BO501" s="1">
        <v>64</v>
      </c>
      <c r="CA501" s="1">
        <v>767676</v>
      </c>
      <c r="CC501" s="125">
        <f t="shared" si="38"/>
        <v>805593</v>
      </c>
      <c r="CK501" s="124">
        <f t="shared" si="39"/>
        <v>0</v>
      </c>
      <c r="CV501" s="129">
        <v>516394</v>
      </c>
    </row>
    <row r="502" spans="1:100" ht="12.75" customHeight="1">
      <c r="A502" s="1">
        <v>31</v>
      </c>
      <c r="B502" s="1">
        <v>5570</v>
      </c>
      <c r="C502" s="1" t="s">
        <v>908</v>
      </c>
      <c r="D502" s="5" t="s">
        <v>927</v>
      </c>
      <c r="E502" t="s">
        <v>1840</v>
      </c>
      <c r="F502" s="26">
        <v>8873</v>
      </c>
      <c r="G502" s="78">
        <v>105832575</v>
      </c>
      <c r="H502" s="78">
        <v>1420579</v>
      </c>
      <c r="L502" s="1">
        <v>48713</v>
      </c>
      <c r="M502" s="1">
        <v>3596051</v>
      </c>
      <c r="O502" s="117">
        <f t="shared" si="35"/>
        <v>110897918</v>
      </c>
      <c r="V502" s="1">
        <v>1039747</v>
      </c>
      <c r="W502" s="1">
        <v>4142026</v>
      </c>
      <c r="X502" s="1">
        <v>195684</v>
      </c>
      <c r="AC502" s="1">
        <v>234495</v>
      </c>
      <c r="AD502" s="1">
        <v>984956</v>
      </c>
      <c r="AE502" s="1">
        <v>192842</v>
      </c>
      <c r="AG502" s="1">
        <v>8493014</v>
      </c>
      <c r="AH502" s="1">
        <v>4142368</v>
      </c>
      <c r="AI502" s="1">
        <v>67684</v>
      </c>
      <c r="AM502" s="1">
        <v>65652</v>
      </c>
      <c r="AT502" s="1">
        <v>1302186</v>
      </c>
      <c r="AU502" s="1">
        <v>653863</v>
      </c>
      <c r="AV502" s="116">
        <f t="shared" si="36"/>
        <v>21514517</v>
      </c>
      <c r="BC502" s="1">
        <v>176350</v>
      </c>
      <c r="BD502" s="1">
        <v>1784692</v>
      </c>
      <c r="BE502" s="1">
        <v>224593</v>
      </c>
      <c r="BF502" s="121">
        <f t="shared" si="37"/>
        <v>2185635</v>
      </c>
      <c r="BG502" s="1">
        <v>23145</v>
      </c>
      <c r="BI502" s="1">
        <v>594305</v>
      </c>
      <c r="BK502" s="1">
        <v>199477</v>
      </c>
      <c r="BO502" s="1">
        <v>71751</v>
      </c>
      <c r="CA502" s="1">
        <v>225691</v>
      </c>
      <c r="CB502" s="1">
        <v>1815617</v>
      </c>
      <c r="CC502" s="125">
        <f t="shared" si="38"/>
        <v>2929986</v>
      </c>
      <c r="CK502" s="124">
        <f t="shared" si="39"/>
        <v>0</v>
      </c>
      <c r="CV502" s="129">
        <v>2953863</v>
      </c>
    </row>
    <row r="503" spans="1:100" ht="12.75" customHeight="1">
      <c r="A503" s="1">
        <v>31</v>
      </c>
      <c r="B503" s="1">
        <v>5650</v>
      </c>
      <c r="C503" s="1" t="s">
        <v>908</v>
      </c>
      <c r="D503" s="5" t="s">
        <v>928</v>
      </c>
      <c r="E503" t="s">
        <v>1841</v>
      </c>
      <c r="F503" s="26">
        <v>4385.5</v>
      </c>
      <c r="G503" s="78">
        <v>42868997</v>
      </c>
      <c r="H503" s="78">
        <v>309639</v>
      </c>
      <c r="M503" s="1">
        <v>476080</v>
      </c>
      <c r="O503" s="117">
        <f t="shared" si="35"/>
        <v>43654716</v>
      </c>
      <c r="P503" s="78">
        <v>8722850</v>
      </c>
      <c r="V503" s="1">
        <v>1553416</v>
      </c>
      <c r="W503" s="1">
        <v>2442597</v>
      </c>
      <c r="X503" s="1">
        <v>7116</v>
      </c>
      <c r="Y503" s="78">
        <v>799098</v>
      </c>
      <c r="AC503" s="1">
        <v>252512</v>
      </c>
      <c r="AD503" s="1">
        <v>521828</v>
      </c>
      <c r="AE503" s="1">
        <v>421407</v>
      </c>
      <c r="AF503" s="1">
        <v>58964</v>
      </c>
      <c r="AG503" s="1">
        <v>4934251</v>
      </c>
      <c r="AH503" s="1">
        <v>2173327</v>
      </c>
      <c r="AP503" s="1">
        <v>83076</v>
      </c>
      <c r="AU503" s="1">
        <v>108256</v>
      </c>
      <c r="AV503" s="116">
        <f t="shared" si="36"/>
        <v>22078698</v>
      </c>
      <c r="AW503" s="1">
        <v>3260</v>
      </c>
      <c r="BC503" s="1">
        <v>342943</v>
      </c>
      <c r="BD503" s="1">
        <v>984403</v>
      </c>
      <c r="BE503" s="1">
        <v>165331</v>
      </c>
      <c r="BF503" s="121">
        <f t="shared" si="37"/>
        <v>1495937</v>
      </c>
      <c r="BG503" s="1">
        <v>630000</v>
      </c>
      <c r="BN503" s="1">
        <v>74253</v>
      </c>
      <c r="BO503" s="1">
        <v>4736</v>
      </c>
      <c r="CC503" s="125">
        <f t="shared" si="38"/>
        <v>708989</v>
      </c>
      <c r="CD503" s="1">
        <v>261506</v>
      </c>
      <c r="CK503" s="124">
        <f t="shared" si="39"/>
        <v>261506</v>
      </c>
      <c r="CV503" s="129">
        <v>1600933</v>
      </c>
    </row>
    <row r="504" spans="1:100" ht="12.75" customHeight="1">
      <c r="A504" s="1">
        <v>31</v>
      </c>
      <c r="B504" s="1">
        <v>5690</v>
      </c>
      <c r="C504" s="1" t="s">
        <v>908</v>
      </c>
      <c r="D504" s="5" t="s">
        <v>929</v>
      </c>
      <c r="E504" t="s">
        <v>1842</v>
      </c>
      <c r="F504" s="26">
        <v>1003</v>
      </c>
      <c r="G504" s="78">
        <v>10427322</v>
      </c>
      <c r="H504" s="78">
        <v>217264</v>
      </c>
      <c r="M504" s="1">
        <v>210326</v>
      </c>
      <c r="O504" s="117">
        <f t="shared" si="35"/>
        <v>10854912</v>
      </c>
      <c r="W504" s="1">
        <v>606415</v>
      </c>
      <c r="AC504" s="1">
        <v>60211</v>
      </c>
      <c r="AD504" s="1">
        <v>101052</v>
      </c>
      <c r="AE504" s="1">
        <v>21802</v>
      </c>
      <c r="AF504" s="1">
        <v>83024</v>
      </c>
      <c r="AG504" s="1">
        <v>851095</v>
      </c>
      <c r="AH504" s="1">
        <v>492199</v>
      </c>
      <c r="AO504" s="1">
        <v>19278</v>
      </c>
      <c r="AU504" s="1">
        <v>9462</v>
      </c>
      <c r="AV504" s="116">
        <f t="shared" si="36"/>
        <v>2244538</v>
      </c>
      <c r="BC504" s="1">
        <v>97227</v>
      </c>
      <c r="BD504" s="1">
        <v>214640</v>
      </c>
      <c r="BE504" s="1">
        <v>24977</v>
      </c>
      <c r="BF504" s="121">
        <f t="shared" si="37"/>
        <v>336844</v>
      </c>
      <c r="CC504" s="125">
        <f t="shared" si="38"/>
        <v>0</v>
      </c>
      <c r="CK504" s="124">
        <f t="shared" si="39"/>
        <v>0</v>
      </c>
      <c r="CV504" s="129">
        <v>365584</v>
      </c>
    </row>
    <row r="505" spans="1:100" ht="12.75" customHeight="1">
      <c r="A505" s="1">
        <v>33</v>
      </c>
      <c r="B505" s="1">
        <v>60</v>
      </c>
      <c r="C505" s="1" t="s">
        <v>930</v>
      </c>
      <c r="D505" s="5" t="s">
        <v>750</v>
      </c>
      <c r="E505" t="s">
        <v>1843</v>
      </c>
      <c r="F505" s="26">
        <v>482</v>
      </c>
      <c r="G505" s="78">
        <v>3064000</v>
      </c>
      <c r="H505" s="78">
        <v>91528</v>
      </c>
      <c r="M505" s="1">
        <v>235639</v>
      </c>
      <c r="O505" s="117">
        <f t="shared" si="35"/>
        <v>3391167</v>
      </c>
      <c r="P505" s="78">
        <v>1956888</v>
      </c>
      <c r="V505" s="1">
        <v>251041</v>
      </c>
      <c r="W505" s="1">
        <v>272774</v>
      </c>
      <c r="Y505" s="78">
        <v>406818</v>
      </c>
      <c r="AD505" s="1">
        <v>65283</v>
      </c>
      <c r="AE505" s="1">
        <v>88927</v>
      </c>
      <c r="AF505" s="1">
        <v>3810</v>
      </c>
      <c r="AG505" s="1">
        <v>332475</v>
      </c>
      <c r="AH505" s="1">
        <v>183450</v>
      </c>
      <c r="AO505" s="1">
        <v>11415</v>
      </c>
      <c r="AU505" s="1">
        <v>9135</v>
      </c>
      <c r="AV505" s="116">
        <f t="shared" si="36"/>
        <v>3582016</v>
      </c>
      <c r="BC505" s="1">
        <v>31668</v>
      </c>
      <c r="BD505" s="1">
        <v>121038</v>
      </c>
      <c r="BE505" s="1">
        <v>64893</v>
      </c>
      <c r="BF505" s="121">
        <f t="shared" si="37"/>
        <v>217599</v>
      </c>
      <c r="BI505" s="1">
        <v>3900</v>
      </c>
      <c r="BO505" s="1">
        <v>19541</v>
      </c>
      <c r="CA505" s="1">
        <v>34891</v>
      </c>
      <c r="CC505" s="125">
        <f t="shared" si="38"/>
        <v>58332</v>
      </c>
      <c r="CD505" s="1">
        <v>5143</v>
      </c>
      <c r="CK505" s="124">
        <f t="shared" si="39"/>
        <v>5143</v>
      </c>
      <c r="CV505" s="129">
        <v>238149</v>
      </c>
    </row>
    <row r="506" spans="1:100" ht="12.75" customHeight="1">
      <c r="A506" s="1">
        <v>33</v>
      </c>
      <c r="B506" s="1">
        <v>1340</v>
      </c>
      <c r="C506" s="1" t="s">
        <v>930</v>
      </c>
      <c r="D506" s="5" t="s">
        <v>751</v>
      </c>
      <c r="E506" t="s">
        <v>1844</v>
      </c>
      <c r="F506" s="26">
        <v>81</v>
      </c>
      <c r="G506" s="78">
        <v>1087722</v>
      </c>
      <c r="H506" s="78">
        <v>24530</v>
      </c>
      <c r="L506" s="1">
        <v>4806</v>
      </c>
      <c r="O506" s="117">
        <f t="shared" si="35"/>
        <v>1117058</v>
      </c>
      <c r="P506" s="78">
        <v>1100785</v>
      </c>
      <c r="V506" s="1">
        <v>108599</v>
      </c>
      <c r="W506" s="1">
        <v>131856</v>
      </c>
      <c r="Y506" s="78">
        <v>47975</v>
      </c>
      <c r="AD506" s="1">
        <v>28198</v>
      </c>
      <c r="AE506" s="1">
        <v>42798</v>
      </c>
      <c r="AG506" s="1">
        <v>115919</v>
      </c>
      <c r="AH506" s="1">
        <v>25851</v>
      </c>
      <c r="AI506" s="1">
        <v>696</v>
      </c>
      <c r="AO506" s="1">
        <v>9189</v>
      </c>
      <c r="AV506" s="116">
        <f t="shared" si="36"/>
        <v>1611866</v>
      </c>
      <c r="BC506" s="1">
        <v>21647</v>
      </c>
      <c r="BD506" s="1">
        <v>50711</v>
      </c>
      <c r="BE506" s="1">
        <v>25586</v>
      </c>
      <c r="BF506" s="121">
        <f t="shared" si="37"/>
        <v>97944</v>
      </c>
      <c r="BO506" s="1">
        <v>9628</v>
      </c>
      <c r="CC506" s="125">
        <f t="shared" si="38"/>
        <v>9628</v>
      </c>
      <c r="CD506" s="1">
        <v>21275</v>
      </c>
      <c r="CK506" s="124">
        <f t="shared" si="39"/>
        <v>21275</v>
      </c>
      <c r="CV506" s="129">
        <v>111939</v>
      </c>
    </row>
    <row r="507" spans="1:100" ht="12.75" customHeight="1">
      <c r="A507" s="1">
        <v>33</v>
      </c>
      <c r="B507" s="1">
        <v>1350</v>
      </c>
      <c r="C507" s="1" t="s">
        <v>930</v>
      </c>
      <c r="D507" s="5" t="s">
        <v>752</v>
      </c>
      <c r="E507" t="s">
        <v>1845</v>
      </c>
      <c r="F507" s="26">
        <v>108</v>
      </c>
      <c r="G507" s="78">
        <v>1190351</v>
      </c>
      <c r="H507" s="78">
        <v>22792</v>
      </c>
      <c r="L507" s="1">
        <v>3000</v>
      </c>
      <c r="M507" s="1">
        <v>11496</v>
      </c>
      <c r="O507" s="117">
        <f t="shared" si="35"/>
        <v>1227639</v>
      </c>
      <c r="P507" s="78">
        <v>346209</v>
      </c>
      <c r="V507" s="1">
        <v>65395</v>
      </c>
      <c r="W507" s="1">
        <v>73358</v>
      </c>
      <c r="AC507" s="1">
        <v>14403</v>
      </c>
      <c r="AD507" s="1">
        <v>16019</v>
      </c>
      <c r="AE507" s="1">
        <v>15064</v>
      </c>
      <c r="AF507" s="1">
        <v>998</v>
      </c>
      <c r="AG507" s="1">
        <v>105761</v>
      </c>
      <c r="AH507" s="1">
        <v>45902</v>
      </c>
      <c r="AO507" s="1">
        <v>1143</v>
      </c>
      <c r="AP507" s="1">
        <v>7336</v>
      </c>
      <c r="AU507" s="1">
        <v>119</v>
      </c>
      <c r="AV507" s="116">
        <f t="shared" si="36"/>
        <v>691707</v>
      </c>
      <c r="BC507" s="1">
        <v>13593</v>
      </c>
      <c r="BD507" s="1">
        <v>39029</v>
      </c>
      <c r="BE507" s="1">
        <v>2241</v>
      </c>
      <c r="BF507" s="121">
        <f t="shared" si="37"/>
        <v>54863</v>
      </c>
      <c r="BI507" s="1">
        <v>26247</v>
      </c>
      <c r="CC507" s="125">
        <f t="shared" si="38"/>
        <v>26247</v>
      </c>
      <c r="CK507" s="124">
        <f t="shared" si="39"/>
        <v>0</v>
      </c>
      <c r="CV507" s="129">
        <v>59125</v>
      </c>
    </row>
    <row r="508" spans="1:100" ht="12.75" customHeight="1">
      <c r="A508" s="1">
        <v>33</v>
      </c>
      <c r="B508" s="1">
        <v>2800</v>
      </c>
      <c r="C508" s="1" t="s">
        <v>930</v>
      </c>
      <c r="D508" s="5" t="s">
        <v>753</v>
      </c>
      <c r="E508" t="s">
        <v>1846</v>
      </c>
      <c r="F508" s="26">
        <v>236</v>
      </c>
      <c r="G508" s="78">
        <v>3000000</v>
      </c>
      <c r="H508" s="78">
        <v>31289</v>
      </c>
      <c r="L508" s="1">
        <v>3000</v>
      </c>
      <c r="O508" s="117">
        <f t="shared" si="35"/>
        <v>3034289</v>
      </c>
      <c r="V508" s="1">
        <v>108033</v>
      </c>
      <c r="W508" s="1">
        <v>86859</v>
      </c>
      <c r="Y508" s="78">
        <v>744343</v>
      </c>
      <c r="AC508" s="1">
        <v>5701</v>
      </c>
      <c r="AD508" s="1">
        <v>29734</v>
      </c>
      <c r="AE508" s="1">
        <v>29280</v>
      </c>
      <c r="AF508" s="1">
        <v>1743</v>
      </c>
      <c r="AG508" s="1">
        <v>260259</v>
      </c>
      <c r="AH508" s="1">
        <v>121498</v>
      </c>
      <c r="AO508" s="1">
        <v>7023</v>
      </c>
      <c r="AV508" s="116">
        <f t="shared" si="36"/>
        <v>1394473</v>
      </c>
      <c r="AW508" s="1">
        <v>1372</v>
      </c>
      <c r="BC508" s="1">
        <v>19013</v>
      </c>
      <c r="BD508" s="1">
        <v>56483</v>
      </c>
      <c r="BE508" s="1">
        <v>37210</v>
      </c>
      <c r="BF508" s="121">
        <f t="shared" si="37"/>
        <v>114078</v>
      </c>
      <c r="BI508" s="1">
        <v>5100</v>
      </c>
      <c r="BN508" s="1">
        <v>43027</v>
      </c>
      <c r="BO508" s="1">
        <v>12763</v>
      </c>
      <c r="CC508" s="125">
        <f t="shared" si="38"/>
        <v>60890</v>
      </c>
      <c r="CD508" s="1">
        <v>7650</v>
      </c>
      <c r="CK508" s="124">
        <f t="shared" si="39"/>
        <v>7650</v>
      </c>
      <c r="CV508" s="129">
        <v>122729</v>
      </c>
    </row>
    <row r="509" spans="1:100" ht="12.75" customHeight="1">
      <c r="A509" s="1">
        <v>33</v>
      </c>
      <c r="B509" s="1">
        <v>2950</v>
      </c>
      <c r="C509" s="1" t="s">
        <v>930</v>
      </c>
      <c r="D509" s="5" t="s">
        <v>754</v>
      </c>
      <c r="E509" t="s">
        <v>1847</v>
      </c>
      <c r="F509" s="26">
        <v>154</v>
      </c>
      <c r="G509" s="78">
        <v>2052703</v>
      </c>
      <c r="H509" s="78">
        <v>54165</v>
      </c>
      <c r="L509" s="1">
        <v>8500</v>
      </c>
      <c r="M509" s="1">
        <v>123574</v>
      </c>
      <c r="O509" s="117">
        <f t="shared" si="35"/>
        <v>2238942</v>
      </c>
      <c r="P509" s="78">
        <v>93795</v>
      </c>
      <c r="V509" s="1">
        <v>110375</v>
      </c>
      <c r="W509" s="1">
        <v>102192</v>
      </c>
      <c r="Y509" s="78">
        <v>162527</v>
      </c>
      <c r="AD509" s="1">
        <v>22163</v>
      </c>
      <c r="AE509" s="1">
        <v>19334</v>
      </c>
      <c r="AF509" s="1">
        <v>15599</v>
      </c>
      <c r="AG509" s="1">
        <v>225781</v>
      </c>
      <c r="AH509" s="1">
        <v>71719</v>
      </c>
      <c r="AM509" s="1">
        <v>59514</v>
      </c>
      <c r="AO509" s="1">
        <v>1815</v>
      </c>
      <c r="AP509" s="1">
        <v>82382</v>
      </c>
      <c r="AU509" s="1">
        <v>11576</v>
      </c>
      <c r="AV509" s="116">
        <f t="shared" si="36"/>
        <v>978772</v>
      </c>
      <c r="BC509" s="1">
        <v>38701</v>
      </c>
      <c r="BD509" s="1">
        <v>51674</v>
      </c>
      <c r="BE509" s="1">
        <v>33953</v>
      </c>
      <c r="BF509" s="121">
        <f t="shared" si="37"/>
        <v>124328</v>
      </c>
      <c r="BI509" s="1">
        <v>26164</v>
      </c>
      <c r="BO509" s="1">
        <v>76</v>
      </c>
      <c r="CA509" s="1">
        <v>9832</v>
      </c>
      <c r="CC509" s="125">
        <f t="shared" si="38"/>
        <v>36072</v>
      </c>
      <c r="CD509" s="1">
        <v>9296</v>
      </c>
      <c r="CK509" s="124">
        <f t="shared" si="39"/>
        <v>9296</v>
      </c>
      <c r="CT509" s="23">
        <v>92092</v>
      </c>
      <c r="CV509" s="129">
        <v>297825</v>
      </c>
    </row>
    <row r="510" spans="1:100" ht="12.75" customHeight="1">
      <c r="A510" s="1">
        <v>33</v>
      </c>
      <c r="B510" s="1">
        <v>3860</v>
      </c>
      <c r="C510" s="1" t="s">
        <v>930</v>
      </c>
      <c r="D510" s="5" t="s">
        <v>755</v>
      </c>
      <c r="E510" t="s">
        <v>1848</v>
      </c>
      <c r="F510" s="26">
        <v>219.5</v>
      </c>
      <c r="G510" s="78">
        <v>2569891</v>
      </c>
      <c r="H510" s="78">
        <v>47244</v>
      </c>
      <c r="M510" s="1">
        <v>174541</v>
      </c>
      <c r="O510" s="117">
        <f t="shared" si="35"/>
        <v>2791676</v>
      </c>
      <c r="P510" s="78">
        <v>874147</v>
      </c>
      <c r="V510" s="1">
        <v>129819</v>
      </c>
      <c r="W510" s="1">
        <v>147170</v>
      </c>
      <c r="Y510" s="78">
        <v>347906</v>
      </c>
      <c r="AC510" s="1">
        <v>2577</v>
      </c>
      <c r="AD510" s="1">
        <v>32697</v>
      </c>
      <c r="AE510" s="1">
        <v>46042</v>
      </c>
      <c r="AF510" s="1">
        <v>400</v>
      </c>
      <c r="AG510" s="1">
        <v>234791</v>
      </c>
      <c r="AH510" s="1">
        <v>119588</v>
      </c>
      <c r="AO510" s="1">
        <v>3000</v>
      </c>
      <c r="AP510" s="1">
        <v>80249</v>
      </c>
      <c r="AU510" s="1">
        <v>1725</v>
      </c>
      <c r="AV510" s="116">
        <f t="shared" si="36"/>
        <v>2020111</v>
      </c>
      <c r="BC510" s="1">
        <v>40473</v>
      </c>
      <c r="BD510" s="1">
        <v>81200</v>
      </c>
      <c r="BE510" s="1">
        <v>45693</v>
      </c>
      <c r="BF510" s="121">
        <f t="shared" si="37"/>
        <v>167366</v>
      </c>
      <c r="BN510" s="1">
        <v>19156</v>
      </c>
      <c r="CC510" s="125">
        <f t="shared" si="38"/>
        <v>19156</v>
      </c>
      <c r="CK510" s="124">
        <f t="shared" si="39"/>
        <v>0</v>
      </c>
      <c r="CV510" s="129">
        <v>172091</v>
      </c>
    </row>
    <row r="511" spans="1:100" ht="12.75" customHeight="1">
      <c r="A511" s="1">
        <v>33</v>
      </c>
      <c r="B511" s="1">
        <v>4070</v>
      </c>
      <c r="C511" s="1" t="s">
        <v>930</v>
      </c>
      <c r="D511" s="5" t="s">
        <v>756</v>
      </c>
      <c r="E511" t="s">
        <v>1849</v>
      </c>
      <c r="F511" s="26">
        <v>2393</v>
      </c>
      <c r="G511" s="78">
        <v>9120821</v>
      </c>
      <c r="H511" s="78">
        <v>258939</v>
      </c>
      <c r="M511" s="1">
        <v>693288</v>
      </c>
      <c r="O511" s="117">
        <f t="shared" si="35"/>
        <v>10073048</v>
      </c>
      <c r="P511" s="78">
        <v>9959352</v>
      </c>
      <c r="Q511" s="78">
        <v>749241</v>
      </c>
      <c r="V511" s="1">
        <v>415657</v>
      </c>
      <c r="W511" s="1">
        <v>1475617</v>
      </c>
      <c r="X511" s="1">
        <v>52578</v>
      </c>
      <c r="Y511" s="78">
        <v>36279</v>
      </c>
      <c r="AC511" s="1">
        <v>23971</v>
      </c>
      <c r="AD511" s="1">
        <v>228437</v>
      </c>
      <c r="AE511" s="1">
        <v>470273</v>
      </c>
      <c r="AF511" s="1">
        <v>175831</v>
      </c>
      <c r="AG511" s="1">
        <v>2251529</v>
      </c>
      <c r="AH511" s="1">
        <v>1008437</v>
      </c>
      <c r="AM511" s="1">
        <v>905939</v>
      </c>
      <c r="AP511" s="1">
        <v>853886</v>
      </c>
      <c r="AU511" s="1">
        <v>287320</v>
      </c>
      <c r="AV511" s="116">
        <f t="shared" si="36"/>
        <v>18894347</v>
      </c>
      <c r="BB511" s="1">
        <v>21990</v>
      </c>
      <c r="BC511" s="1">
        <v>1022626</v>
      </c>
      <c r="BD511" s="1">
        <v>578217</v>
      </c>
      <c r="BE511" s="1">
        <v>408650</v>
      </c>
      <c r="BF511" s="121">
        <f t="shared" si="37"/>
        <v>2031483</v>
      </c>
      <c r="BI511" s="1">
        <v>1000</v>
      </c>
      <c r="CC511" s="125">
        <f t="shared" si="38"/>
        <v>1000</v>
      </c>
      <c r="CD511" s="1">
        <v>1528493</v>
      </c>
      <c r="CK511" s="124">
        <f t="shared" si="39"/>
        <v>1528493</v>
      </c>
      <c r="CT511" s="23">
        <v>1852653</v>
      </c>
      <c r="CV511" s="129">
        <v>5077395</v>
      </c>
    </row>
    <row r="512" spans="1:100" ht="12.75" customHeight="1">
      <c r="A512" s="1">
        <v>33</v>
      </c>
      <c r="B512" s="1">
        <v>4075</v>
      </c>
      <c r="C512" s="1" t="s">
        <v>930</v>
      </c>
      <c r="D512" s="5" t="s">
        <v>757</v>
      </c>
      <c r="E512" t="s">
        <v>1850</v>
      </c>
      <c r="F512" s="26">
        <v>2068.5</v>
      </c>
      <c r="G512" s="78">
        <v>16884103</v>
      </c>
      <c r="H512" s="78">
        <v>191205</v>
      </c>
      <c r="L512" s="1">
        <v>36668</v>
      </c>
      <c r="M512" s="1">
        <v>207278</v>
      </c>
      <c r="O512" s="117">
        <f t="shared" si="35"/>
        <v>17319254</v>
      </c>
      <c r="P512" s="78">
        <v>5080151</v>
      </c>
      <c r="V512" s="1">
        <v>411691</v>
      </c>
      <c r="W512" s="1">
        <v>1364249</v>
      </c>
      <c r="X512" s="1">
        <v>8212</v>
      </c>
      <c r="Y512" s="78">
        <v>613496</v>
      </c>
      <c r="AC512" s="1">
        <v>80489</v>
      </c>
      <c r="AD512" s="1">
        <v>251884</v>
      </c>
      <c r="AE512" s="1">
        <v>233339</v>
      </c>
      <c r="AF512" s="1">
        <v>8472</v>
      </c>
      <c r="AG512" s="1">
        <v>2326758</v>
      </c>
      <c r="AH512" s="1">
        <v>879158</v>
      </c>
      <c r="AO512" s="1">
        <v>48290</v>
      </c>
      <c r="AP512" s="1">
        <v>87951</v>
      </c>
      <c r="AU512" s="1">
        <v>234224</v>
      </c>
      <c r="AV512" s="116">
        <f t="shared" si="36"/>
        <v>11628364</v>
      </c>
      <c r="BC512" s="1">
        <v>131796</v>
      </c>
      <c r="BD512" s="1">
        <v>504188</v>
      </c>
      <c r="BE512" s="1">
        <v>227176</v>
      </c>
      <c r="BF512" s="121">
        <f t="shared" si="37"/>
        <v>863160</v>
      </c>
      <c r="BM512" s="1">
        <v>72519</v>
      </c>
      <c r="CC512" s="125">
        <f t="shared" si="38"/>
        <v>72519</v>
      </c>
      <c r="CD512" s="1">
        <v>16949</v>
      </c>
      <c r="CK512" s="124">
        <f t="shared" si="39"/>
        <v>16949</v>
      </c>
      <c r="CV512" s="129">
        <v>1182342</v>
      </c>
    </row>
    <row r="513" spans="1:100" ht="12.75" customHeight="1">
      <c r="A513" s="1">
        <v>33</v>
      </c>
      <c r="B513" s="1">
        <v>4150</v>
      </c>
      <c r="C513" s="1" t="s">
        <v>930</v>
      </c>
      <c r="D513" s="5" t="s">
        <v>758</v>
      </c>
      <c r="E513" t="s">
        <v>1851</v>
      </c>
      <c r="F513" s="26">
        <v>1919.5</v>
      </c>
      <c r="G513" s="78">
        <v>8164880</v>
      </c>
      <c r="H513" s="78">
        <v>402441</v>
      </c>
      <c r="L513" s="1">
        <v>6000</v>
      </c>
      <c r="M513" s="1">
        <v>399688</v>
      </c>
      <c r="O513" s="117">
        <f t="shared" si="35"/>
        <v>8973009</v>
      </c>
      <c r="P513" s="78">
        <v>6433077</v>
      </c>
      <c r="V513" s="1">
        <v>717276</v>
      </c>
      <c r="W513" s="1">
        <v>867508</v>
      </c>
      <c r="X513" s="1">
        <v>1168</v>
      </c>
      <c r="Y513" s="78">
        <v>1368188</v>
      </c>
      <c r="AC513" s="1">
        <v>12671</v>
      </c>
      <c r="AD513" s="1">
        <v>191681</v>
      </c>
      <c r="AE513" s="1">
        <v>297200</v>
      </c>
      <c r="AF513" s="1">
        <v>152467</v>
      </c>
      <c r="AG513" s="1">
        <v>1437374</v>
      </c>
      <c r="AH513" s="1">
        <v>766770</v>
      </c>
      <c r="AM513" s="1">
        <v>193371</v>
      </c>
      <c r="AO513" s="1">
        <v>130192</v>
      </c>
      <c r="AP513" s="1">
        <v>486529</v>
      </c>
      <c r="AU513" s="1">
        <v>105248</v>
      </c>
      <c r="AV513" s="116">
        <f t="shared" si="36"/>
        <v>13160720</v>
      </c>
      <c r="BC513" s="1">
        <v>437848</v>
      </c>
      <c r="BD513" s="1">
        <v>404263</v>
      </c>
      <c r="BE513" s="1">
        <v>73490</v>
      </c>
      <c r="BF513" s="121">
        <f t="shared" si="37"/>
        <v>915601</v>
      </c>
      <c r="BG513" s="1">
        <v>218700</v>
      </c>
      <c r="BI513" s="1">
        <v>135454</v>
      </c>
      <c r="BO513" s="1">
        <v>2537</v>
      </c>
      <c r="CA513" s="1">
        <v>20638</v>
      </c>
      <c r="CC513" s="125">
        <f t="shared" si="38"/>
        <v>377329</v>
      </c>
      <c r="CD513" s="1">
        <v>1200736</v>
      </c>
      <c r="CK513" s="124">
        <f t="shared" si="39"/>
        <v>1200736</v>
      </c>
      <c r="CV513" s="129">
        <v>1350412</v>
      </c>
    </row>
    <row r="514" spans="1:100" ht="12.75" customHeight="1">
      <c r="A514" s="1">
        <v>33</v>
      </c>
      <c r="B514" s="1">
        <v>4280</v>
      </c>
      <c r="C514" s="1" t="s">
        <v>930</v>
      </c>
      <c r="D514" s="5" t="s">
        <v>759</v>
      </c>
      <c r="E514" t="s">
        <v>1852</v>
      </c>
      <c r="F514" s="26">
        <v>346</v>
      </c>
      <c r="G514" s="78">
        <v>2214913</v>
      </c>
      <c r="H514" s="78">
        <v>45072</v>
      </c>
      <c r="M514" s="1">
        <v>106341</v>
      </c>
      <c r="O514" s="117">
        <f t="shared" si="35"/>
        <v>2366326</v>
      </c>
      <c r="P514" s="78">
        <v>1477124</v>
      </c>
      <c r="V514" s="1">
        <v>196714</v>
      </c>
      <c r="W514" s="1">
        <v>299512</v>
      </c>
      <c r="Y514" s="78">
        <v>180098</v>
      </c>
      <c r="AD514" s="1">
        <v>44546</v>
      </c>
      <c r="AE514" s="1">
        <v>74434</v>
      </c>
      <c r="AF514" s="1">
        <v>35929</v>
      </c>
      <c r="AG514" s="1">
        <v>274051</v>
      </c>
      <c r="AH514" s="1">
        <v>155375</v>
      </c>
      <c r="AJ514" s="1">
        <v>5887</v>
      </c>
      <c r="AM514" s="1">
        <v>95633</v>
      </c>
      <c r="AP514" s="1">
        <v>96389</v>
      </c>
      <c r="AU514" s="1">
        <v>5109</v>
      </c>
      <c r="AV514" s="116">
        <f t="shared" si="36"/>
        <v>2940801</v>
      </c>
      <c r="BC514" s="1">
        <v>91934</v>
      </c>
      <c r="BE514" s="1">
        <v>142059</v>
      </c>
      <c r="BF514" s="121">
        <f t="shared" si="37"/>
        <v>233993</v>
      </c>
      <c r="BI514" s="1">
        <v>50872</v>
      </c>
      <c r="BO514" s="1">
        <v>1656</v>
      </c>
      <c r="CC514" s="125">
        <f t="shared" si="38"/>
        <v>52528</v>
      </c>
      <c r="CD514" s="1">
        <v>73159</v>
      </c>
      <c r="CK514" s="124">
        <f t="shared" si="39"/>
        <v>73159</v>
      </c>
      <c r="CT514" s="23">
        <v>173004</v>
      </c>
      <c r="CV514" s="129">
        <v>513626</v>
      </c>
    </row>
    <row r="515" spans="1:100" ht="12.75" customHeight="1">
      <c r="A515" s="1">
        <v>33</v>
      </c>
      <c r="B515" s="1">
        <v>4630</v>
      </c>
      <c r="C515" s="1" t="s">
        <v>930</v>
      </c>
      <c r="D515" s="5" t="s">
        <v>760</v>
      </c>
      <c r="E515" t="s">
        <v>1853</v>
      </c>
      <c r="F515" s="26">
        <v>1497</v>
      </c>
      <c r="G515" s="78">
        <v>2366655</v>
      </c>
      <c r="H515" s="78">
        <v>217226</v>
      </c>
      <c r="M515" s="1">
        <v>80006</v>
      </c>
      <c r="O515" s="117">
        <f t="shared" si="35"/>
        <v>2663887</v>
      </c>
      <c r="P515" s="78">
        <v>6738659</v>
      </c>
      <c r="Q515" s="78">
        <v>482496</v>
      </c>
      <c r="R515" s="1">
        <v>99708</v>
      </c>
      <c r="S515" s="25">
        <v>5323284</v>
      </c>
      <c r="V515" s="1">
        <v>143204</v>
      </c>
      <c r="W515" s="1">
        <v>1320781</v>
      </c>
      <c r="X515" s="1">
        <v>108</v>
      </c>
      <c r="Y515" s="78">
        <v>20639</v>
      </c>
      <c r="AC515" s="1">
        <v>44321</v>
      </c>
      <c r="AD515" s="1">
        <v>131774</v>
      </c>
      <c r="AG515" s="1">
        <v>1701632</v>
      </c>
      <c r="AH515" s="1">
        <v>855408</v>
      </c>
      <c r="AI515" s="1">
        <v>4701</v>
      </c>
      <c r="AM515" s="1">
        <v>559719</v>
      </c>
      <c r="AP515" s="1">
        <v>269947</v>
      </c>
      <c r="AU515" s="1">
        <v>317215</v>
      </c>
      <c r="AV515" s="116">
        <f t="shared" si="36"/>
        <v>18013596</v>
      </c>
      <c r="AW515" s="1">
        <v>30165</v>
      </c>
      <c r="BA515" s="1">
        <v>4081</v>
      </c>
      <c r="BB515" s="1">
        <v>24684</v>
      </c>
      <c r="BC515" s="1">
        <v>1640777</v>
      </c>
      <c r="BD515" s="1">
        <v>351723</v>
      </c>
      <c r="BE515" s="1">
        <v>326642</v>
      </c>
      <c r="BF515" s="121">
        <f t="shared" si="37"/>
        <v>2378072</v>
      </c>
      <c r="CB515" s="1">
        <v>602048</v>
      </c>
      <c r="CC515" s="125">
        <f t="shared" si="38"/>
        <v>602048</v>
      </c>
      <c r="CD515" s="1">
        <v>2581883</v>
      </c>
      <c r="CK515" s="124">
        <f t="shared" si="39"/>
        <v>2581883</v>
      </c>
      <c r="CQ515" s="23">
        <v>41885</v>
      </c>
      <c r="CT515" s="23">
        <v>1134354</v>
      </c>
      <c r="CU515" s="23">
        <v>88467</v>
      </c>
      <c r="CV515" s="129">
        <v>4700906</v>
      </c>
    </row>
    <row r="516" spans="1:100" ht="12.75" customHeight="1">
      <c r="A516" s="1">
        <v>33</v>
      </c>
      <c r="B516" s="1">
        <v>4635</v>
      </c>
      <c r="C516" s="1" t="s">
        <v>930</v>
      </c>
      <c r="D516" s="5" t="s">
        <v>761</v>
      </c>
      <c r="E516" t="s">
        <v>1854</v>
      </c>
      <c r="F516" s="26">
        <v>83.5</v>
      </c>
      <c r="H516" s="78">
        <v>4033</v>
      </c>
      <c r="I516" s="1">
        <v>291459</v>
      </c>
      <c r="O516" s="117">
        <f t="shared" si="35"/>
        <v>295492</v>
      </c>
      <c r="AG516" s="1">
        <v>241409</v>
      </c>
      <c r="AH516" s="1">
        <v>189004</v>
      </c>
      <c r="AI516" s="1">
        <v>325</v>
      </c>
      <c r="AU516" s="1">
        <v>775</v>
      </c>
      <c r="AV516" s="116">
        <f t="shared" si="36"/>
        <v>431513</v>
      </c>
      <c r="AW516" s="1">
        <v>5028</v>
      </c>
      <c r="BE516" s="1">
        <v>49245</v>
      </c>
      <c r="BF516" s="121">
        <f t="shared" si="37"/>
        <v>54273</v>
      </c>
      <c r="CC516" s="125">
        <f t="shared" si="38"/>
        <v>0</v>
      </c>
      <c r="CF516" s="1">
        <v>2395832</v>
      </c>
      <c r="CK516" s="124">
        <f t="shared" si="39"/>
        <v>2395832</v>
      </c>
      <c r="CV516" s="129">
        <v>50020</v>
      </c>
    </row>
    <row r="517" spans="1:100" ht="12.75" customHeight="1">
      <c r="A517" s="1">
        <v>33</v>
      </c>
      <c r="B517" s="1">
        <v>4640</v>
      </c>
      <c r="C517" s="1" t="s">
        <v>930</v>
      </c>
      <c r="D517" s="5" t="s">
        <v>762</v>
      </c>
      <c r="E517" t="s">
        <v>1855</v>
      </c>
      <c r="F517" s="26">
        <v>557.5</v>
      </c>
      <c r="H517" s="78">
        <v>287021</v>
      </c>
      <c r="I517" s="1">
        <v>1530000</v>
      </c>
      <c r="L517" s="1">
        <v>7375</v>
      </c>
      <c r="O517" s="117">
        <f t="shared" ref="O517:O580" si="40">SUM(G517:N517)</f>
        <v>1824396</v>
      </c>
      <c r="P517" s="78">
        <v>2007292</v>
      </c>
      <c r="W517" s="1">
        <v>405498</v>
      </c>
      <c r="AA517" s="1">
        <v>901188</v>
      </c>
      <c r="AD517" s="1">
        <v>53982</v>
      </c>
      <c r="AE517" s="1">
        <v>101969</v>
      </c>
      <c r="AF517" s="1">
        <v>35934</v>
      </c>
      <c r="AG517" s="1">
        <v>275639</v>
      </c>
      <c r="AH517" s="1">
        <v>217668</v>
      </c>
      <c r="AM517" s="1">
        <v>17700</v>
      </c>
      <c r="AO517" s="1">
        <v>13314</v>
      </c>
      <c r="AU517" s="1">
        <v>530619</v>
      </c>
      <c r="AV517" s="116">
        <f t="shared" ref="AV517:AV580" si="41">SUM(P517:AU517)</f>
        <v>4560803</v>
      </c>
      <c r="AX517" s="1">
        <v>1852</v>
      </c>
      <c r="BC517" s="1">
        <v>76221</v>
      </c>
      <c r="BD517" s="1">
        <v>74280</v>
      </c>
      <c r="BE517" s="1">
        <v>1047177</v>
      </c>
      <c r="BF517" s="121">
        <f t="shared" ref="BF517:BF580" si="42">SUM(AW517:BE517)</f>
        <v>1199530</v>
      </c>
      <c r="BO517" s="1">
        <v>41944</v>
      </c>
      <c r="CC517" s="125">
        <f t="shared" ref="CC517:CC580" si="43">SUM(BG517:CB517)</f>
        <v>41944</v>
      </c>
      <c r="CF517" s="1">
        <v>250198</v>
      </c>
      <c r="CK517" s="124">
        <f t="shared" ref="CK517:CK580" si="44">SUM(CD517:CJ517)</f>
        <v>250198</v>
      </c>
      <c r="CR517" s="23">
        <v>345615</v>
      </c>
      <c r="CV517" s="129">
        <v>2114153</v>
      </c>
    </row>
    <row r="518" spans="1:100" ht="12.75" customHeight="1">
      <c r="A518" s="1">
        <v>33</v>
      </c>
      <c r="B518" s="1">
        <v>5320</v>
      </c>
      <c r="C518" s="1" t="s">
        <v>930</v>
      </c>
      <c r="D518" s="5" t="s">
        <v>763</v>
      </c>
      <c r="E518" t="s">
        <v>1856</v>
      </c>
      <c r="F518" s="26">
        <v>434</v>
      </c>
      <c r="G518" s="78">
        <v>2863480</v>
      </c>
      <c r="M518" s="1">
        <v>301076</v>
      </c>
      <c r="O518" s="117">
        <f t="shared" si="40"/>
        <v>3164556</v>
      </c>
      <c r="P518" s="78">
        <v>2019326</v>
      </c>
      <c r="V518" s="1">
        <v>363264</v>
      </c>
      <c r="W518" s="1">
        <v>428059</v>
      </c>
      <c r="X518" s="1">
        <v>12794</v>
      </c>
      <c r="Y518" s="78">
        <v>72246</v>
      </c>
      <c r="AD518" s="1">
        <v>64845</v>
      </c>
      <c r="AE518" s="1">
        <v>89292</v>
      </c>
      <c r="AF518" s="1">
        <v>6122</v>
      </c>
      <c r="AG518" s="1">
        <v>336993</v>
      </c>
      <c r="AH518" s="1">
        <v>145244</v>
      </c>
      <c r="AO518" s="1">
        <v>15873</v>
      </c>
      <c r="AP518" s="1">
        <v>193543</v>
      </c>
      <c r="AU518" s="1">
        <v>12696</v>
      </c>
      <c r="AV518" s="116">
        <f t="shared" si="41"/>
        <v>3760297</v>
      </c>
      <c r="BC518" s="1">
        <v>57534</v>
      </c>
      <c r="BD518" s="1">
        <v>125167</v>
      </c>
      <c r="BE518" s="1">
        <v>94538</v>
      </c>
      <c r="BF518" s="121">
        <f t="shared" si="42"/>
        <v>277239</v>
      </c>
      <c r="BG518" s="1">
        <v>178400</v>
      </c>
      <c r="BI518" s="1">
        <v>53807</v>
      </c>
      <c r="BN518" s="1">
        <v>38393</v>
      </c>
      <c r="BO518" s="1">
        <v>1133</v>
      </c>
      <c r="BP518" s="1">
        <v>28236</v>
      </c>
      <c r="BR518" s="1">
        <v>13000</v>
      </c>
      <c r="CC518" s="125">
        <f t="shared" si="43"/>
        <v>312969</v>
      </c>
      <c r="CK518" s="124">
        <f t="shared" si="44"/>
        <v>0</v>
      </c>
      <c r="CV518" s="129">
        <v>305808</v>
      </c>
    </row>
    <row r="519" spans="1:100" ht="12.75" customHeight="1">
      <c r="A519" s="1">
        <v>33</v>
      </c>
      <c r="B519" s="1">
        <v>5910</v>
      </c>
      <c r="C519" s="1" t="s">
        <v>930</v>
      </c>
      <c r="D519" s="5" t="s">
        <v>764</v>
      </c>
      <c r="E519" t="s">
        <v>1857</v>
      </c>
      <c r="F519" s="26">
        <v>1621</v>
      </c>
      <c r="G519" s="78">
        <v>8521913</v>
      </c>
      <c r="H519" s="78">
        <v>37032</v>
      </c>
      <c r="O519" s="117">
        <f t="shared" si="40"/>
        <v>8558945</v>
      </c>
      <c r="P519" s="78">
        <v>4194191</v>
      </c>
      <c r="V519" s="1">
        <v>323639</v>
      </c>
      <c r="W519" s="1">
        <v>728174</v>
      </c>
      <c r="X519" s="1">
        <v>2354</v>
      </c>
      <c r="Y519" s="78">
        <v>505697</v>
      </c>
      <c r="AC519" s="1">
        <v>2549</v>
      </c>
      <c r="AD519" s="1">
        <v>135614</v>
      </c>
      <c r="AE519" s="1">
        <v>177774</v>
      </c>
      <c r="AG519" s="1">
        <v>1421774</v>
      </c>
      <c r="AH519" s="1">
        <v>720452</v>
      </c>
      <c r="AI519" s="1">
        <v>13664</v>
      </c>
      <c r="AO519" s="1">
        <v>36119</v>
      </c>
      <c r="AU519" s="1">
        <v>53617</v>
      </c>
      <c r="AV519" s="116">
        <f t="shared" si="41"/>
        <v>8315618</v>
      </c>
      <c r="BC519" s="1">
        <v>163185</v>
      </c>
      <c r="BD519" s="1">
        <v>42571</v>
      </c>
      <c r="BE519" s="1">
        <v>353985</v>
      </c>
      <c r="BF519" s="121">
        <f t="shared" si="42"/>
        <v>559741</v>
      </c>
      <c r="BG519" s="1">
        <v>204845</v>
      </c>
      <c r="BO519" s="1">
        <v>85095</v>
      </c>
      <c r="BY519" s="1">
        <v>761</v>
      </c>
      <c r="CC519" s="125">
        <f t="shared" si="43"/>
        <v>290701</v>
      </c>
      <c r="CD519" s="1">
        <v>3716153</v>
      </c>
      <c r="CK519" s="124">
        <f t="shared" si="44"/>
        <v>3716153</v>
      </c>
      <c r="CV519" s="129">
        <v>649477</v>
      </c>
    </row>
    <row r="520" spans="1:100" ht="12.75" customHeight="1">
      <c r="A520" s="1">
        <v>35</v>
      </c>
      <c r="B520" s="1">
        <v>240</v>
      </c>
      <c r="C520" s="1" t="s">
        <v>765</v>
      </c>
      <c r="D520" s="5" t="s">
        <v>766</v>
      </c>
      <c r="E520" t="s">
        <v>1858</v>
      </c>
      <c r="F520" s="26">
        <v>582</v>
      </c>
      <c r="G520" s="78">
        <v>12123393</v>
      </c>
      <c r="H520" s="78">
        <v>90259</v>
      </c>
      <c r="L520" s="1">
        <v>9036</v>
      </c>
      <c r="M520" s="1">
        <v>1271713</v>
      </c>
      <c r="O520" s="117">
        <f t="shared" si="40"/>
        <v>13494401</v>
      </c>
      <c r="V520" s="1">
        <v>152303</v>
      </c>
      <c r="W520" s="1">
        <v>665365</v>
      </c>
      <c r="X520" s="1">
        <v>39568</v>
      </c>
      <c r="AC520" s="1">
        <v>17279</v>
      </c>
      <c r="AD520" s="1">
        <v>45819</v>
      </c>
      <c r="AE520" s="1">
        <v>27092</v>
      </c>
      <c r="AG520" s="1">
        <v>582125</v>
      </c>
      <c r="AH520" s="1">
        <v>326393</v>
      </c>
      <c r="AU520" s="1">
        <v>36825</v>
      </c>
      <c r="AV520" s="116">
        <f t="shared" si="41"/>
        <v>1892769</v>
      </c>
      <c r="BC520" s="1">
        <v>13686</v>
      </c>
      <c r="BD520" s="1">
        <v>183717</v>
      </c>
      <c r="BE520" s="1">
        <v>18636</v>
      </c>
      <c r="BF520" s="121">
        <f t="shared" si="42"/>
        <v>216039</v>
      </c>
      <c r="BO520" s="1">
        <v>5</v>
      </c>
      <c r="CC520" s="125">
        <f t="shared" si="43"/>
        <v>5</v>
      </c>
      <c r="CD520" s="1">
        <v>34551</v>
      </c>
      <c r="CK520" s="124">
        <f t="shared" si="44"/>
        <v>34551</v>
      </c>
      <c r="CV520" s="129">
        <v>261900</v>
      </c>
    </row>
    <row r="521" spans="1:100" ht="12.75" customHeight="1">
      <c r="A521" s="1">
        <v>35</v>
      </c>
      <c r="B521" s="1">
        <v>350</v>
      </c>
      <c r="C521" s="1" t="s">
        <v>765</v>
      </c>
      <c r="D521" s="5" t="s">
        <v>767</v>
      </c>
      <c r="E521" t="s">
        <v>1859</v>
      </c>
      <c r="F521" s="26">
        <v>5314.5</v>
      </c>
      <c r="G521" s="78">
        <v>61313765</v>
      </c>
      <c r="H521" s="78">
        <v>486911</v>
      </c>
      <c r="L521" s="1">
        <v>120713</v>
      </c>
      <c r="M521" s="1">
        <v>5661267</v>
      </c>
      <c r="O521" s="117">
        <f t="shared" si="40"/>
        <v>67582656</v>
      </c>
      <c r="V521" s="1">
        <v>967125</v>
      </c>
      <c r="W521" s="1">
        <v>2022369</v>
      </c>
      <c r="X521" s="1">
        <v>52596</v>
      </c>
      <c r="AC521" s="1">
        <v>169829</v>
      </c>
      <c r="AD521" s="1">
        <v>298533</v>
      </c>
      <c r="AE521" s="1">
        <v>100219</v>
      </c>
      <c r="AF521" s="1">
        <v>456183</v>
      </c>
      <c r="AG521" s="1">
        <v>3754805</v>
      </c>
      <c r="AH521" s="1">
        <v>2666513</v>
      </c>
      <c r="AU521" s="1">
        <v>238068</v>
      </c>
      <c r="AV521" s="116">
        <f t="shared" si="41"/>
        <v>10726240</v>
      </c>
      <c r="BD521" s="1">
        <v>1093720</v>
      </c>
      <c r="BE521" s="1">
        <v>102008</v>
      </c>
      <c r="BF521" s="121">
        <f t="shared" si="42"/>
        <v>1195728</v>
      </c>
      <c r="BM521" s="1">
        <v>205974</v>
      </c>
      <c r="BX521" s="1">
        <v>10064473</v>
      </c>
      <c r="CA521" s="1">
        <v>2607177</v>
      </c>
      <c r="CC521" s="125">
        <f t="shared" si="43"/>
        <v>12877624</v>
      </c>
      <c r="CD521" s="1">
        <v>860467</v>
      </c>
      <c r="CK521" s="124">
        <f t="shared" si="44"/>
        <v>860467</v>
      </c>
      <c r="CV521" s="129">
        <v>1554509</v>
      </c>
    </row>
    <row r="522" spans="1:100" ht="12.75" customHeight="1">
      <c r="A522" s="1">
        <v>35</v>
      </c>
      <c r="B522" s="1">
        <v>490</v>
      </c>
      <c r="C522" s="1" t="s">
        <v>765</v>
      </c>
      <c r="D522" s="5" t="s">
        <v>768</v>
      </c>
      <c r="E522" t="s">
        <v>1860</v>
      </c>
      <c r="F522" s="26">
        <v>1465</v>
      </c>
      <c r="G522" s="78">
        <v>12385567</v>
      </c>
      <c r="H522" s="78">
        <v>221573</v>
      </c>
      <c r="L522" s="1">
        <v>134795</v>
      </c>
      <c r="M522" s="1">
        <v>321250</v>
      </c>
      <c r="O522" s="117">
        <f t="shared" si="40"/>
        <v>13063185</v>
      </c>
      <c r="P522" s="78">
        <v>2337066</v>
      </c>
      <c r="Q522" s="78">
        <v>43008</v>
      </c>
      <c r="V522" s="1">
        <v>60404</v>
      </c>
      <c r="W522" s="1">
        <v>876763</v>
      </c>
      <c r="X522" s="1">
        <v>400352</v>
      </c>
      <c r="AC522" s="1">
        <v>56842</v>
      </c>
      <c r="AD522" s="1">
        <v>197245</v>
      </c>
      <c r="AE522" s="1">
        <v>159924</v>
      </c>
      <c r="AF522" s="1">
        <v>114419</v>
      </c>
      <c r="AG522" s="1">
        <v>1426692</v>
      </c>
      <c r="AH522" s="1">
        <v>662196</v>
      </c>
      <c r="AM522" s="1">
        <v>547689</v>
      </c>
      <c r="AP522" s="1">
        <v>177334</v>
      </c>
      <c r="AU522" s="1">
        <v>146357</v>
      </c>
      <c r="AV522" s="116">
        <f t="shared" si="41"/>
        <v>7206291</v>
      </c>
      <c r="BC522" s="1">
        <v>444323</v>
      </c>
      <c r="BD522" s="1">
        <v>345045</v>
      </c>
      <c r="BE522" s="1">
        <v>197163</v>
      </c>
      <c r="BF522" s="121">
        <f t="shared" si="42"/>
        <v>986531</v>
      </c>
      <c r="BN522" s="1">
        <v>25120</v>
      </c>
      <c r="CC522" s="125">
        <f t="shared" si="43"/>
        <v>25120</v>
      </c>
      <c r="CD522" s="1">
        <v>1576467</v>
      </c>
      <c r="CK522" s="124">
        <f t="shared" si="44"/>
        <v>1576467</v>
      </c>
      <c r="CT522" s="23">
        <v>798782</v>
      </c>
      <c r="CV522" s="129">
        <v>2614154</v>
      </c>
    </row>
    <row r="523" spans="1:100" ht="12.75" customHeight="1">
      <c r="A523" s="1">
        <v>35</v>
      </c>
      <c r="B523" s="1">
        <v>510</v>
      </c>
      <c r="C523" s="1" t="s">
        <v>765</v>
      </c>
      <c r="D523" s="5" t="s">
        <v>769</v>
      </c>
      <c r="E523" t="s">
        <v>1861</v>
      </c>
      <c r="F523" s="26">
        <v>1949</v>
      </c>
      <c r="G523" s="78">
        <v>34778141</v>
      </c>
      <c r="H523" s="78">
        <v>315974</v>
      </c>
      <c r="L523" s="1">
        <v>44113</v>
      </c>
      <c r="M523" s="1">
        <v>1869596</v>
      </c>
      <c r="O523" s="117">
        <f t="shared" si="40"/>
        <v>37007824</v>
      </c>
      <c r="V523" s="1">
        <v>695658</v>
      </c>
      <c r="W523" s="1">
        <v>1615967</v>
      </c>
      <c r="X523" s="1">
        <v>12938</v>
      </c>
      <c r="AC523" s="1">
        <v>121047</v>
      </c>
      <c r="AD523" s="1">
        <v>137162</v>
      </c>
      <c r="AE523" s="1">
        <v>73852</v>
      </c>
      <c r="AF523" s="1">
        <v>123403</v>
      </c>
      <c r="AG523" s="1">
        <v>1842803</v>
      </c>
      <c r="AH523" s="1">
        <v>994280</v>
      </c>
      <c r="AU523" s="1">
        <v>42156</v>
      </c>
      <c r="AV523" s="116">
        <f t="shared" si="41"/>
        <v>5659266</v>
      </c>
      <c r="BD523" s="1">
        <v>504588</v>
      </c>
      <c r="BE523" s="1">
        <v>49468</v>
      </c>
      <c r="BF523" s="121">
        <f t="shared" si="42"/>
        <v>554056</v>
      </c>
      <c r="BG523" s="1">
        <v>136674</v>
      </c>
      <c r="BO523" s="1">
        <v>1696</v>
      </c>
      <c r="CA523" s="1">
        <v>3298812</v>
      </c>
      <c r="CC523" s="125">
        <f t="shared" si="43"/>
        <v>3437182</v>
      </c>
      <c r="CK523" s="124">
        <f t="shared" si="44"/>
        <v>0</v>
      </c>
      <c r="CV523" s="129">
        <v>640325</v>
      </c>
    </row>
    <row r="524" spans="1:100" ht="12.75" customHeight="1">
      <c r="A524" s="1">
        <v>35</v>
      </c>
      <c r="B524" s="1">
        <v>555</v>
      </c>
      <c r="C524" s="1" t="s">
        <v>765</v>
      </c>
      <c r="D524" s="5" t="s">
        <v>770</v>
      </c>
      <c r="E524" t="s">
        <v>1862</v>
      </c>
      <c r="F524" s="26">
        <v>9205</v>
      </c>
      <c r="G524" s="78">
        <v>105178496</v>
      </c>
      <c r="H524" s="78">
        <v>1217439</v>
      </c>
      <c r="K524" s="1">
        <v>264296</v>
      </c>
      <c r="L524" s="1">
        <v>46288</v>
      </c>
      <c r="M524" s="1">
        <v>5421866</v>
      </c>
      <c r="O524" s="117">
        <f t="shared" si="40"/>
        <v>112128385</v>
      </c>
      <c r="V524" s="1">
        <v>2678632</v>
      </c>
      <c r="W524" s="1">
        <v>4887068</v>
      </c>
      <c r="X524" s="1">
        <v>216026</v>
      </c>
      <c r="AC524" s="1">
        <v>313376</v>
      </c>
      <c r="AD524" s="1">
        <v>976508</v>
      </c>
      <c r="AE524" s="1">
        <v>262747</v>
      </c>
      <c r="AF524" s="1">
        <v>431548</v>
      </c>
      <c r="AG524" s="1">
        <v>8242685</v>
      </c>
      <c r="AH524" s="1">
        <v>4375854</v>
      </c>
      <c r="AU524" s="1">
        <v>260867</v>
      </c>
      <c r="AV524" s="116">
        <f t="shared" si="41"/>
        <v>22645311</v>
      </c>
      <c r="BC524" s="1">
        <v>238734</v>
      </c>
      <c r="BD524" s="1">
        <v>1957035</v>
      </c>
      <c r="BE524" s="1">
        <v>372347</v>
      </c>
      <c r="BF524" s="121">
        <f t="shared" si="42"/>
        <v>2568116</v>
      </c>
      <c r="BG524" s="1">
        <v>900000</v>
      </c>
      <c r="BN524" s="1">
        <v>62653</v>
      </c>
      <c r="BO524" s="1">
        <v>58889</v>
      </c>
      <c r="BR524" s="1">
        <v>181790</v>
      </c>
      <c r="CC524" s="125">
        <f t="shared" si="43"/>
        <v>1203332</v>
      </c>
      <c r="CD524" s="1">
        <v>37275</v>
      </c>
      <c r="CK524" s="124">
        <f t="shared" si="44"/>
        <v>37275</v>
      </c>
      <c r="CV524" s="129">
        <v>2875271</v>
      </c>
    </row>
    <row r="525" spans="1:100" ht="12.75" customHeight="1">
      <c r="A525" s="1">
        <v>35</v>
      </c>
      <c r="B525" s="1">
        <v>1610</v>
      </c>
      <c r="C525" s="1" t="s">
        <v>765</v>
      </c>
      <c r="D525" s="5" t="s">
        <v>1043</v>
      </c>
      <c r="E525" t="s">
        <v>1863</v>
      </c>
      <c r="F525" s="26">
        <v>7274.5</v>
      </c>
      <c r="G525" s="78">
        <v>96893929</v>
      </c>
      <c r="H525" s="78">
        <v>1035793</v>
      </c>
      <c r="L525" s="1">
        <v>60097</v>
      </c>
      <c r="M525" s="1">
        <v>5591169</v>
      </c>
      <c r="O525" s="117">
        <f t="shared" si="40"/>
        <v>103580988</v>
      </c>
      <c r="V525" s="1">
        <v>2315523</v>
      </c>
      <c r="W525" s="1">
        <v>4750821</v>
      </c>
      <c r="X525" s="1">
        <v>342798</v>
      </c>
      <c r="AC525" s="1">
        <v>491710</v>
      </c>
      <c r="AD525" s="1">
        <v>760689</v>
      </c>
      <c r="AE525" s="1">
        <v>372762</v>
      </c>
      <c r="AF525" s="1">
        <v>1007711</v>
      </c>
      <c r="AG525" s="1">
        <v>5753487</v>
      </c>
      <c r="AH525" s="1">
        <v>3306575</v>
      </c>
      <c r="AJ525" s="1">
        <v>7927</v>
      </c>
      <c r="AM525" s="1">
        <v>951266</v>
      </c>
      <c r="AT525" s="1">
        <v>1248358</v>
      </c>
      <c r="AU525" s="1">
        <v>511473</v>
      </c>
      <c r="AV525" s="116">
        <f t="shared" si="41"/>
        <v>21821100</v>
      </c>
      <c r="BC525" s="1">
        <v>1041444</v>
      </c>
      <c r="BD525" s="1">
        <v>1720578</v>
      </c>
      <c r="BE525" s="1">
        <v>371108</v>
      </c>
      <c r="BF525" s="121">
        <f t="shared" si="42"/>
        <v>3133130</v>
      </c>
      <c r="BN525" s="1">
        <v>1652</v>
      </c>
      <c r="BO525" s="1">
        <v>96206</v>
      </c>
      <c r="BZ525" s="1">
        <v>249140</v>
      </c>
      <c r="CA525" s="1">
        <v>42582</v>
      </c>
      <c r="CC525" s="125">
        <f t="shared" si="43"/>
        <v>389580</v>
      </c>
      <c r="CK525" s="124">
        <f t="shared" si="44"/>
        <v>0</v>
      </c>
      <c r="CQ525" s="23">
        <v>155027</v>
      </c>
      <c r="CT525" s="23">
        <v>3206716</v>
      </c>
      <c r="CV525" s="129">
        <v>8025636</v>
      </c>
    </row>
    <row r="526" spans="1:100" ht="12.75" customHeight="1">
      <c r="A526" s="1">
        <v>35</v>
      </c>
      <c r="B526" s="1">
        <v>1810</v>
      </c>
      <c r="C526" s="1" t="s">
        <v>765</v>
      </c>
      <c r="D526" s="5" t="s">
        <v>771</v>
      </c>
      <c r="E526" t="s">
        <v>1864</v>
      </c>
      <c r="F526" s="26">
        <v>969</v>
      </c>
      <c r="G526" s="78">
        <v>17005537</v>
      </c>
      <c r="H526" s="78">
        <v>300144</v>
      </c>
      <c r="L526" s="1">
        <v>26241</v>
      </c>
      <c r="M526" s="1">
        <v>1482933</v>
      </c>
      <c r="O526" s="117">
        <f t="shared" si="40"/>
        <v>18814855</v>
      </c>
      <c r="V526" s="1">
        <v>294108</v>
      </c>
      <c r="W526" s="1">
        <v>443389</v>
      </c>
      <c r="X526" s="1">
        <v>19802</v>
      </c>
      <c r="Y526" s="78">
        <v>59887</v>
      </c>
      <c r="AC526" s="1">
        <v>32620</v>
      </c>
      <c r="AD526" s="1">
        <v>134188</v>
      </c>
      <c r="AE526" s="1">
        <v>28541</v>
      </c>
      <c r="AF526" s="1">
        <v>137974</v>
      </c>
      <c r="AG526" s="1">
        <v>587859</v>
      </c>
      <c r="AH526" s="1">
        <v>381725</v>
      </c>
      <c r="AP526" s="1">
        <v>71533</v>
      </c>
      <c r="AV526" s="116">
        <f t="shared" si="41"/>
        <v>2191626</v>
      </c>
      <c r="BD526" s="1">
        <v>209133</v>
      </c>
      <c r="BE526" s="1">
        <v>30335</v>
      </c>
      <c r="BF526" s="121">
        <f t="shared" si="42"/>
        <v>239468</v>
      </c>
      <c r="BH526" s="1">
        <v>86993</v>
      </c>
      <c r="BI526" s="1">
        <v>19560</v>
      </c>
      <c r="BN526" s="1">
        <v>71578</v>
      </c>
      <c r="BO526" s="1">
        <v>14233</v>
      </c>
      <c r="CB526" s="1">
        <v>950000</v>
      </c>
      <c r="CC526" s="125">
        <f t="shared" si="43"/>
        <v>1142364</v>
      </c>
      <c r="CK526" s="124">
        <f t="shared" si="44"/>
        <v>0</v>
      </c>
      <c r="CV526" s="129">
        <v>265709</v>
      </c>
    </row>
    <row r="527" spans="1:100" ht="12.75" customHeight="1">
      <c r="A527" s="1">
        <v>35</v>
      </c>
      <c r="B527" s="1">
        <v>2170</v>
      </c>
      <c r="C527" s="1" t="s">
        <v>765</v>
      </c>
      <c r="D527" s="5" t="s">
        <v>772</v>
      </c>
      <c r="E527" t="s">
        <v>1865</v>
      </c>
      <c r="F527" s="26">
        <v>7559</v>
      </c>
      <c r="G527" s="78">
        <v>66203109</v>
      </c>
      <c r="L527" s="1">
        <v>57261</v>
      </c>
      <c r="M527" s="1">
        <v>5139371</v>
      </c>
      <c r="O527" s="117">
        <f t="shared" si="40"/>
        <v>71399741</v>
      </c>
      <c r="P527" s="78">
        <v>11655115</v>
      </c>
      <c r="V527" s="1">
        <v>2011960</v>
      </c>
      <c r="W527" s="1">
        <v>5336655</v>
      </c>
      <c r="X527" s="1">
        <v>160896</v>
      </c>
      <c r="AC527" s="1">
        <v>114324</v>
      </c>
      <c r="AD527" s="1">
        <v>545560</v>
      </c>
      <c r="AE527" s="1">
        <v>591306</v>
      </c>
      <c r="AF527" s="1">
        <v>48942</v>
      </c>
      <c r="AG527" s="1">
        <v>5561534</v>
      </c>
      <c r="AH527" s="1">
        <v>3482445</v>
      </c>
      <c r="AN527" s="1">
        <v>263</v>
      </c>
      <c r="AP527" s="1">
        <v>1456033</v>
      </c>
      <c r="AU527" s="1">
        <v>51024</v>
      </c>
      <c r="AV527" s="116">
        <f t="shared" si="41"/>
        <v>31016057</v>
      </c>
      <c r="BC527" s="1">
        <v>383806</v>
      </c>
      <c r="BD527" s="1">
        <v>1520477</v>
      </c>
      <c r="BE527" s="1">
        <v>237214</v>
      </c>
      <c r="BF527" s="121">
        <f t="shared" si="42"/>
        <v>2141497</v>
      </c>
      <c r="BN527" s="1">
        <v>51783</v>
      </c>
      <c r="BP527" s="1">
        <v>858380</v>
      </c>
      <c r="CC527" s="125">
        <f t="shared" si="43"/>
        <v>910163</v>
      </c>
      <c r="CD527" s="1">
        <v>496900</v>
      </c>
      <c r="CK527" s="124">
        <f t="shared" si="44"/>
        <v>496900</v>
      </c>
      <c r="CV527" s="129">
        <v>2250045</v>
      </c>
    </row>
    <row r="528" spans="1:100" ht="12.75" customHeight="1">
      <c r="A528" s="1">
        <v>35</v>
      </c>
      <c r="B528" s="1">
        <v>3000</v>
      </c>
      <c r="C528" s="1" t="s">
        <v>765</v>
      </c>
      <c r="D528" s="5" t="s">
        <v>773</v>
      </c>
      <c r="E528" t="s">
        <v>1866</v>
      </c>
      <c r="F528" s="26">
        <v>1331.5</v>
      </c>
      <c r="G528" s="78">
        <v>11330109</v>
      </c>
      <c r="H528" s="78">
        <v>195556</v>
      </c>
      <c r="L528" s="1">
        <v>17681</v>
      </c>
      <c r="M528" s="1">
        <v>203422</v>
      </c>
      <c r="O528" s="117">
        <f t="shared" si="40"/>
        <v>11746768</v>
      </c>
      <c r="P528" s="78">
        <v>2334773</v>
      </c>
      <c r="V528" s="1">
        <v>104775</v>
      </c>
      <c r="W528" s="1">
        <v>1035013</v>
      </c>
      <c r="X528" s="1">
        <v>103520</v>
      </c>
      <c r="AC528" s="1">
        <v>20856</v>
      </c>
      <c r="AD528" s="1">
        <v>146586</v>
      </c>
      <c r="AE528" s="1">
        <v>113312</v>
      </c>
      <c r="AG528" s="1">
        <v>1351448</v>
      </c>
      <c r="AH528" s="1">
        <v>575586</v>
      </c>
      <c r="AO528" s="1">
        <v>52404</v>
      </c>
      <c r="AP528" s="1">
        <v>20320</v>
      </c>
      <c r="AU528" s="1">
        <v>86363</v>
      </c>
      <c r="AV528" s="116">
        <f t="shared" si="41"/>
        <v>5944956</v>
      </c>
      <c r="BC528" s="1">
        <v>241464</v>
      </c>
      <c r="BD528" s="1">
        <v>325058</v>
      </c>
      <c r="BE528" s="1">
        <v>118367</v>
      </c>
      <c r="BF528" s="121">
        <f t="shared" si="42"/>
        <v>684889</v>
      </c>
      <c r="BO528" s="1">
        <v>15096</v>
      </c>
      <c r="CC528" s="125">
        <f t="shared" si="43"/>
        <v>15096</v>
      </c>
      <c r="CK528" s="124">
        <f t="shared" si="44"/>
        <v>0</v>
      </c>
      <c r="CV528" s="129">
        <v>841337</v>
      </c>
    </row>
    <row r="529" spans="1:100" ht="12.75" customHeight="1">
      <c r="A529" s="1">
        <v>35</v>
      </c>
      <c r="B529" s="1">
        <v>3210</v>
      </c>
      <c r="C529" s="1" t="s">
        <v>765</v>
      </c>
      <c r="D529" s="5" t="s">
        <v>774</v>
      </c>
      <c r="E529"/>
      <c r="F529" s="26"/>
      <c r="G529" s="78">
        <v>468130</v>
      </c>
      <c r="O529" s="117">
        <f t="shared" si="40"/>
        <v>468130</v>
      </c>
      <c r="V529" s="1">
        <v>41815</v>
      </c>
      <c r="W529" s="1">
        <v>34036</v>
      </c>
      <c r="AD529" s="1">
        <v>6035</v>
      </c>
      <c r="AE529" s="1">
        <v>2457</v>
      </c>
      <c r="AF529" s="1">
        <v>168</v>
      </c>
      <c r="AV529" s="116">
        <f t="shared" si="41"/>
        <v>84511</v>
      </c>
      <c r="BF529" s="121">
        <f t="shared" si="42"/>
        <v>0</v>
      </c>
      <c r="BP529" s="1">
        <v>3993</v>
      </c>
      <c r="CC529" s="125">
        <f t="shared" si="43"/>
        <v>3993</v>
      </c>
      <c r="CK529" s="124">
        <f t="shared" si="44"/>
        <v>0</v>
      </c>
    </row>
    <row r="530" spans="1:100" ht="12.75" customHeight="1">
      <c r="A530" s="1">
        <v>35</v>
      </c>
      <c r="B530" s="1">
        <v>3320</v>
      </c>
      <c r="C530" s="1" t="s">
        <v>765</v>
      </c>
      <c r="D530" s="5" t="s">
        <v>775</v>
      </c>
      <c r="E530" t="s">
        <v>1867</v>
      </c>
      <c r="F530" s="26">
        <v>5225.5</v>
      </c>
      <c r="G530" s="78">
        <v>54602102</v>
      </c>
      <c r="H530" s="78">
        <v>1452441</v>
      </c>
      <c r="L530" s="1">
        <v>133263</v>
      </c>
      <c r="M530" s="1">
        <v>6702938</v>
      </c>
      <c r="O530" s="117">
        <f t="shared" si="40"/>
        <v>62890744</v>
      </c>
      <c r="V530" s="1">
        <v>1030495</v>
      </c>
      <c r="W530" s="1">
        <v>2145097</v>
      </c>
      <c r="X530" s="1">
        <v>9758</v>
      </c>
      <c r="Y530" s="78">
        <v>32171</v>
      </c>
      <c r="AC530" s="1">
        <v>156033</v>
      </c>
      <c r="AD530" s="1">
        <v>333299</v>
      </c>
      <c r="AE530" s="1">
        <v>106525</v>
      </c>
      <c r="AF530" s="1">
        <v>564650</v>
      </c>
      <c r="AG530" s="1">
        <v>2699185</v>
      </c>
      <c r="AH530" s="1">
        <v>2050112</v>
      </c>
      <c r="AP530" s="1">
        <v>314370</v>
      </c>
      <c r="AU530" s="1">
        <v>82010</v>
      </c>
      <c r="AV530" s="116">
        <f t="shared" si="41"/>
        <v>9523705</v>
      </c>
      <c r="BD530" s="1">
        <v>817265</v>
      </c>
      <c r="BE530" s="1">
        <v>72792</v>
      </c>
      <c r="BF530" s="121">
        <f t="shared" si="42"/>
        <v>890057</v>
      </c>
      <c r="BG530" s="1">
        <v>852968</v>
      </c>
      <c r="BN530" s="1">
        <v>113254</v>
      </c>
      <c r="BO530" s="1">
        <v>4933</v>
      </c>
      <c r="BY530" s="1">
        <v>1790</v>
      </c>
      <c r="CA530" s="1">
        <v>58858</v>
      </c>
      <c r="CB530" s="1">
        <v>606355</v>
      </c>
      <c r="CC530" s="125">
        <f t="shared" si="43"/>
        <v>1638158</v>
      </c>
      <c r="CD530" s="1">
        <v>825318</v>
      </c>
      <c r="CK530" s="124">
        <f t="shared" si="44"/>
        <v>825318</v>
      </c>
      <c r="CV530" s="129">
        <v>1105330</v>
      </c>
    </row>
    <row r="531" spans="1:100" ht="12.75" customHeight="1">
      <c r="A531" s="1">
        <v>35</v>
      </c>
      <c r="B531" s="1">
        <v>3670</v>
      </c>
      <c r="C531" s="1" t="s">
        <v>765</v>
      </c>
      <c r="D531" s="5" t="s">
        <v>776</v>
      </c>
      <c r="E531" t="s">
        <v>1868</v>
      </c>
      <c r="F531" s="26">
        <v>3130</v>
      </c>
      <c r="G531" s="78">
        <v>25591705</v>
      </c>
      <c r="H531" s="78">
        <v>350692</v>
      </c>
      <c r="L531" s="1">
        <v>7994</v>
      </c>
      <c r="M531" s="1">
        <v>1585261</v>
      </c>
      <c r="O531" s="117">
        <f t="shared" si="40"/>
        <v>27535652</v>
      </c>
      <c r="P531" s="78">
        <v>9916092</v>
      </c>
      <c r="Q531" s="78">
        <v>1770073</v>
      </c>
      <c r="V531" s="1">
        <v>263026</v>
      </c>
      <c r="W531" s="1">
        <v>1705359</v>
      </c>
      <c r="X531" s="1">
        <v>246808</v>
      </c>
      <c r="AC531" s="1">
        <v>107874</v>
      </c>
      <c r="AD531" s="1">
        <v>267085</v>
      </c>
      <c r="AE531" s="1">
        <v>495392</v>
      </c>
      <c r="AG531" s="1">
        <v>3056368</v>
      </c>
      <c r="AH531" s="1">
        <v>1579177</v>
      </c>
      <c r="AM531" s="1">
        <v>457421</v>
      </c>
      <c r="AU531" s="1">
        <v>161028</v>
      </c>
      <c r="AV531" s="116">
        <f t="shared" si="41"/>
        <v>20025703</v>
      </c>
      <c r="BC531" s="1">
        <v>365882</v>
      </c>
      <c r="BD531" s="1">
        <v>1152074</v>
      </c>
      <c r="BE531" s="1">
        <v>386568</v>
      </c>
      <c r="BF531" s="121">
        <f t="shared" si="42"/>
        <v>1904524</v>
      </c>
      <c r="BO531" s="1">
        <v>4584</v>
      </c>
      <c r="BY531" s="1">
        <v>16519</v>
      </c>
      <c r="CC531" s="125">
        <f t="shared" si="43"/>
        <v>21103</v>
      </c>
      <c r="CK531" s="124">
        <f t="shared" si="44"/>
        <v>0</v>
      </c>
      <c r="CO531" s="23">
        <v>1092295</v>
      </c>
      <c r="CQ531" s="23">
        <v>131310</v>
      </c>
      <c r="CT531" s="23">
        <v>1456166</v>
      </c>
      <c r="CV531" s="129">
        <v>4118443</v>
      </c>
    </row>
    <row r="532" spans="1:100" ht="12.75" customHeight="1">
      <c r="A532" s="1">
        <v>35</v>
      </c>
      <c r="B532" s="1">
        <v>4510</v>
      </c>
      <c r="C532" s="1" t="s">
        <v>765</v>
      </c>
      <c r="D532" s="5" t="s">
        <v>777</v>
      </c>
      <c r="E532"/>
      <c r="F532" s="26"/>
      <c r="G532" s="78">
        <v>929009</v>
      </c>
      <c r="H532" s="78">
        <v>9863</v>
      </c>
      <c r="O532" s="117">
        <f t="shared" si="40"/>
        <v>938872</v>
      </c>
      <c r="V532" s="1">
        <v>11592</v>
      </c>
      <c r="W532" s="1">
        <v>59966</v>
      </c>
      <c r="AD532" s="1">
        <v>2557</v>
      </c>
      <c r="AE532" s="1">
        <v>2223</v>
      </c>
      <c r="AF532" s="1">
        <v>588</v>
      </c>
      <c r="AV532" s="116">
        <f t="shared" si="41"/>
        <v>76926</v>
      </c>
      <c r="BF532" s="121">
        <f t="shared" si="42"/>
        <v>0</v>
      </c>
      <c r="CC532" s="125">
        <f t="shared" si="43"/>
        <v>0</v>
      </c>
      <c r="CK532" s="124">
        <f t="shared" si="44"/>
        <v>0</v>
      </c>
    </row>
    <row r="533" spans="1:100" ht="12.75" customHeight="1">
      <c r="A533" s="1">
        <v>35</v>
      </c>
      <c r="B533" s="1">
        <v>4805</v>
      </c>
      <c r="C533" s="1" t="s">
        <v>765</v>
      </c>
      <c r="D533" s="5" t="s">
        <v>778</v>
      </c>
      <c r="E533" t="s">
        <v>1869</v>
      </c>
      <c r="F533" s="26">
        <v>183</v>
      </c>
      <c r="H533" s="78">
        <v>341358</v>
      </c>
      <c r="L533" s="1">
        <v>2391279</v>
      </c>
      <c r="O533" s="117">
        <f t="shared" si="40"/>
        <v>2732637</v>
      </c>
      <c r="AG533" s="1">
        <v>284534</v>
      </c>
      <c r="AH533" s="1">
        <v>224044</v>
      </c>
      <c r="AU533" s="1">
        <v>4199</v>
      </c>
      <c r="AV533" s="116">
        <f t="shared" si="41"/>
        <v>512777</v>
      </c>
      <c r="BF533" s="121">
        <f t="shared" si="42"/>
        <v>0</v>
      </c>
      <c r="BG533" s="1">
        <v>3309195</v>
      </c>
      <c r="BH533" s="1">
        <v>142725</v>
      </c>
      <c r="BI533" s="1">
        <v>6351572</v>
      </c>
      <c r="BN533" s="1">
        <v>15781795</v>
      </c>
      <c r="CB533" s="1">
        <v>10000000</v>
      </c>
      <c r="CC533" s="125">
        <f t="shared" si="43"/>
        <v>35585287</v>
      </c>
      <c r="CK533" s="124">
        <f t="shared" si="44"/>
        <v>0</v>
      </c>
      <c r="CV533" s="129">
        <v>2395478</v>
      </c>
    </row>
    <row r="534" spans="1:100" ht="12.75" customHeight="1">
      <c r="A534" s="1">
        <v>35</v>
      </c>
      <c r="B534" s="1">
        <v>4810</v>
      </c>
      <c r="C534" s="1" t="s">
        <v>765</v>
      </c>
      <c r="D534" s="5" t="s">
        <v>779</v>
      </c>
      <c r="E534" t="s">
        <v>1870</v>
      </c>
      <c r="F534" s="26">
        <v>456.5</v>
      </c>
      <c r="H534" s="78">
        <v>1273727</v>
      </c>
      <c r="I534" s="1">
        <v>11557550</v>
      </c>
      <c r="L534" s="1">
        <v>142362</v>
      </c>
      <c r="O534" s="117">
        <f t="shared" si="40"/>
        <v>12973639</v>
      </c>
      <c r="W534" s="1">
        <v>459279</v>
      </c>
      <c r="AA534" s="1">
        <v>592643</v>
      </c>
      <c r="AD534" s="1">
        <v>42462</v>
      </c>
      <c r="AE534" s="1">
        <v>51188</v>
      </c>
      <c r="AF534" s="1">
        <v>20524</v>
      </c>
      <c r="AG534" s="1">
        <v>883483</v>
      </c>
      <c r="AH534" s="1">
        <v>400689</v>
      </c>
      <c r="AO534" s="1">
        <v>15861</v>
      </c>
      <c r="AU534" s="1">
        <v>732919</v>
      </c>
      <c r="AV534" s="116">
        <f t="shared" si="41"/>
        <v>3199048</v>
      </c>
      <c r="BC534" s="1">
        <v>52091</v>
      </c>
      <c r="BD534" s="1">
        <v>87313</v>
      </c>
      <c r="BE534" s="1">
        <v>322849</v>
      </c>
      <c r="BF534" s="121">
        <f t="shared" si="42"/>
        <v>462253</v>
      </c>
      <c r="CB534" s="1">
        <v>1812315</v>
      </c>
      <c r="CC534" s="125">
        <f t="shared" si="43"/>
        <v>1812315</v>
      </c>
      <c r="CF534" s="1">
        <v>644175</v>
      </c>
      <c r="CK534" s="124">
        <f t="shared" si="44"/>
        <v>644175</v>
      </c>
      <c r="CP534" s="23">
        <v>596026</v>
      </c>
      <c r="CV534" s="129">
        <v>1353395</v>
      </c>
    </row>
    <row r="535" spans="1:100" ht="12.75" customHeight="1">
      <c r="A535" s="1">
        <v>35</v>
      </c>
      <c r="B535" s="1">
        <v>4815</v>
      </c>
      <c r="C535" s="1" t="s">
        <v>765</v>
      </c>
      <c r="D535" s="5" t="s">
        <v>780</v>
      </c>
      <c r="E535" t="s">
        <v>1871</v>
      </c>
      <c r="F535" s="26">
        <v>2021.5</v>
      </c>
      <c r="G535" s="78">
        <v>24951946</v>
      </c>
      <c r="H535" s="78">
        <v>1234830</v>
      </c>
      <c r="L535" s="1">
        <v>126593</v>
      </c>
      <c r="M535" s="1">
        <v>3327764</v>
      </c>
      <c r="O535" s="117">
        <f t="shared" si="40"/>
        <v>29641133</v>
      </c>
      <c r="V535" s="1">
        <v>442294</v>
      </c>
      <c r="W535" s="1">
        <v>613060</v>
      </c>
      <c r="X535" s="1">
        <v>44384</v>
      </c>
      <c r="Y535" s="78">
        <v>43233</v>
      </c>
      <c r="AC535" s="1">
        <v>155892</v>
      </c>
      <c r="AD535" s="1">
        <v>86092</v>
      </c>
      <c r="AE535" s="1">
        <v>36872</v>
      </c>
      <c r="AF535" s="1">
        <v>163981</v>
      </c>
      <c r="AG535" s="1">
        <v>1679497</v>
      </c>
      <c r="AH535" s="1">
        <v>1033505</v>
      </c>
      <c r="AP535" s="1">
        <v>91704</v>
      </c>
      <c r="AU535" s="1">
        <v>185068</v>
      </c>
      <c r="AV535" s="116">
        <f t="shared" si="41"/>
        <v>4575582</v>
      </c>
      <c r="BD535" s="1">
        <v>381624</v>
      </c>
      <c r="BE535" s="1">
        <v>46475</v>
      </c>
      <c r="BF535" s="121">
        <f t="shared" si="42"/>
        <v>428099</v>
      </c>
      <c r="BM535" s="1">
        <v>72739</v>
      </c>
      <c r="BO535" s="1">
        <v>7221</v>
      </c>
      <c r="CC535" s="125">
        <f t="shared" si="43"/>
        <v>79960</v>
      </c>
      <c r="CD535" s="1">
        <v>3538969</v>
      </c>
      <c r="CK535" s="124">
        <f t="shared" si="44"/>
        <v>3538969</v>
      </c>
      <c r="CV535" s="129">
        <v>739760</v>
      </c>
    </row>
    <row r="536" spans="1:100" ht="12.75" customHeight="1">
      <c r="A536" s="1">
        <v>35</v>
      </c>
      <c r="B536" s="1">
        <v>4820</v>
      </c>
      <c r="C536" s="1" t="s">
        <v>765</v>
      </c>
      <c r="D536" s="5" t="s">
        <v>781</v>
      </c>
      <c r="E536" t="s">
        <v>1872</v>
      </c>
      <c r="F536" s="26">
        <v>2166.5</v>
      </c>
      <c r="G536" s="78">
        <v>17153021</v>
      </c>
      <c r="H536" s="78">
        <v>733607</v>
      </c>
      <c r="L536" s="1">
        <v>30790</v>
      </c>
      <c r="M536" s="1">
        <v>1240876</v>
      </c>
      <c r="O536" s="117">
        <f t="shared" si="40"/>
        <v>19158294</v>
      </c>
      <c r="P536" s="78">
        <v>1591268</v>
      </c>
      <c r="Q536" s="78">
        <v>323329</v>
      </c>
      <c r="V536" s="1">
        <v>140843</v>
      </c>
      <c r="W536" s="1">
        <v>892565</v>
      </c>
      <c r="X536" s="1">
        <v>55256</v>
      </c>
      <c r="AC536" s="1">
        <v>52264</v>
      </c>
      <c r="AD536" s="1">
        <v>180599</v>
      </c>
      <c r="AE536" s="1">
        <v>138395</v>
      </c>
      <c r="AF536" s="1">
        <v>6067</v>
      </c>
      <c r="AG536" s="1">
        <v>1078058</v>
      </c>
      <c r="AH536" s="1">
        <v>2265647</v>
      </c>
      <c r="AM536" s="1">
        <v>387000</v>
      </c>
      <c r="AP536" s="1">
        <v>284359</v>
      </c>
      <c r="AU536" s="1">
        <v>566871</v>
      </c>
      <c r="AV536" s="116">
        <f t="shared" si="41"/>
        <v>7962521</v>
      </c>
      <c r="AW536" s="1">
        <v>6546</v>
      </c>
      <c r="BC536" s="1">
        <v>444887</v>
      </c>
      <c r="BD536" s="1">
        <v>511156</v>
      </c>
      <c r="BE536" s="1">
        <v>309347</v>
      </c>
      <c r="BF536" s="121">
        <f t="shared" si="42"/>
        <v>1271936</v>
      </c>
      <c r="BO536" s="1">
        <v>32354</v>
      </c>
      <c r="CA536" s="1">
        <v>716527</v>
      </c>
      <c r="CC536" s="125">
        <f t="shared" si="43"/>
        <v>748881</v>
      </c>
      <c r="CD536" s="1">
        <v>9288525</v>
      </c>
      <c r="CK536" s="124">
        <f t="shared" si="44"/>
        <v>9288525</v>
      </c>
      <c r="CT536" s="23">
        <v>1088223</v>
      </c>
      <c r="CV536" s="129">
        <v>3338274</v>
      </c>
    </row>
    <row r="537" spans="1:100" ht="12.75" customHeight="1">
      <c r="A537" s="1">
        <v>35</v>
      </c>
      <c r="B537" s="1">
        <v>4850</v>
      </c>
      <c r="C537" s="1" t="s">
        <v>765</v>
      </c>
      <c r="D537" s="5" t="s">
        <v>782</v>
      </c>
      <c r="E537" t="s">
        <v>1873</v>
      </c>
      <c r="F537" s="26">
        <v>477</v>
      </c>
      <c r="G537" s="78">
        <v>4788682</v>
      </c>
      <c r="H537" s="78">
        <v>53790</v>
      </c>
      <c r="L537" s="1">
        <v>16958</v>
      </c>
      <c r="M537" s="1">
        <v>348963</v>
      </c>
      <c r="O537" s="117">
        <f t="shared" si="40"/>
        <v>5208393</v>
      </c>
      <c r="P537" s="78">
        <v>1828727</v>
      </c>
      <c r="Q537" s="78">
        <v>276937</v>
      </c>
      <c r="V537" s="1">
        <v>75396</v>
      </c>
      <c r="W537" s="1">
        <v>516146</v>
      </c>
      <c r="X537" s="1">
        <v>47816</v>
      </c>
      <c r="AC537" s="1">
        <v>30963</v>
      </c>
      <c r="AD537" s="1">
        <v>70769</v>
      </c>
      <c r="AE537" s="1">
        <v>86800</v>
      </c>
      <c r="AG537" s="1">
        <v>491615</v>
      </c>
      <c r="AH537" s="1">
        <v>240772</v>
      </c>
      <c r="AM537" s="1">
        <v>53868</v>
      </c>
      <c r="AO537" s="1">
        <v>23688</v>
      </c>
      <c r="AU537" s="1">
        <v>7186</v>
      </c>
      <c r="AV537" s="116">
        <f t="shared" si="41"/>
        <v>3750683</v>
      </c>
      <c r="BC537" s="1">
        <v>93261</v>
      </c>
      <c r="BD537" s="1">
        <v>137779</v>
      </c>
      <c r="BE537" s="1">
        <v>37430</v>
      </c>
      <c r="BF537" s="121">
        <f t="shared" si="42"/>
        <v>268470</v>
      </c>
      <c r="BG537" s="1">
        <v>37298</v>
      </c>
      <c r="BO537" s="1">
        <v>7808</v>
      </c>
      <c r="CC537" s="125">
        <f t="shared" si="43"/>
        <v>45106</v>
      </c>
      <c r="CK537" s="124">
        <f t="shared" si="44"/>
        <v>0</v>
      </c>
      <c r="CV537" s="129">
        <v>370170</v>
      </c>
    </row>
    <row r="538" spans="1:100" ht="12.75" customHeight="1">
      <c r="A538" s="1">
        <v>35</v>
      </c>
      <c r="B538" s="1">
        <v>5470</v>
      </c>
      <c r="C538" s="1" t="s">
        <v>765</v>
      </c>
      <c r="D538" s="5" t="s">
        <v>783</v>
      </c>
      <c r="E538" t="s">
        <v>1874</v>
      </c>
      <c r="F538" s="26">
        <v>2216</v>
      </c>
      <c r="G538" s="78">
        <v>31010603</v>
      </c>
      <c r="H538" s="78">
        <v>234769</v>
      </c>
      <c r="L538" s="1">
        <v>25693</v>
      </c>
      <c r="M538" s="1">
        <v>1333958</v>
      </c>
      <c r="O538" s="117">
        <f t="shared" si="40"/>
        <v>32605023</v>
      </c>
      <c r="V538" s="1">
        <v>540712</v>
      </c>
      <c r="W538" s="1">
        <v>1302949</v>
      </c>
      <c r="X538" s="1">
        <v>2444</v>
      </c>
      <c r="AC538" s="1">
        <v>77988</v>
      </c>
      <c r="AD538" s="1">
        <v>122396</v>
      </c>
      <c r="AE538" s="1">
        <v>59055</v>
      </c>
      <c r="AF538" s="1">
        <v>129960</v>
      </c>
      <c r="AG538" s="1">
        <v>1954406</v>
      </c>
      <c r="AH538" s="1">
        <v>1226820</v>
      </c>
      <c r="AP538" s="1">
        <v>364455</v>
      </c>
      <c r="AU538" s="1">
        <v>10035</v>
      </c>
      <c r="AV538" s="116">
        <f t="shared" si="41"/>
        <v>5791220</v>
      </c>
      <c r="BD538" s="1">
        <v>460182</v>
      </c>
      <c r="BE538" s="1">
        <v>43453</v>
      </c>
      <c r="BF538" s="121">
        <f t="shared" si="42"/>
        <v>503635</v>
      </c>
      <c r="BI538" s="1">
        <v>20000</v>
      </c>
      <c r="BN538" s="1">
        <v>19865</v>
      </c>
      <c r="BO538" s="1">
        <v>6145</v>
      </c>
      <c r="CC538" s="125">
        <f t="shared" si="43"/>
        <v>46010</v>
      </c>
      <c r="CD538" s="1">
        <v>60081</v>
      </c>
      <c r="CK538" s="124">
        <f t="shared" si="44"/>
        <v>60081</v>
      </c>
      <c r="CV538" s="129">
        <v>539363</v>
      </c>
    </row>
    <row r="539" spans="1:100" ht="12.75" customHeight="1">
      <c r="A539" s="1">
        <v>35</v>
      </c>
      <c r="B539" s="1">
        <v>5540</v>
      </c>
      <c r="C539" s="1" t="s">
        <v>765</v>
      </c>
      <c r="D539" s="5" t="s">
        <v>784</v>
      </c>
      <c r="E539" t="s">
        <v>1875</v>
      </c>
      <c r="F539" s="26">
        <v>682</v>
      </c>
      <c r="G539" s="78">
        <v>8548938</v>
      </c>
      <c r="H539" s="78">
        <v>189746</v>
      </c>
      <c r="L539" s="1">
        <v>37906</v>
      </c>
      <c r="M539" s="1">
        <v>1492949</v>
      </c>
      <c r="O539" s="117">
        <f t="shared" si="40"/>
        <v>10269539</v>
      </c>
      <c r="V539" s="1">
        <v>172065</v>
      </c>
      <c r="W539" s="1">
        <v>317353</v>
      </c>
      <c r="Y539" s="78">
        <v>21828</v>
      </c>
      <c r="AC539" s="1">
        <v>51197</v>
      </c>
      <c r="AD539" s="1">
        <v>35268</v>
      </c>
      <c r="AE539" s="1">
        <v>16395</v>
      </c>
      <c r="AF539" s="1">
        <v>58015</v>
      </c>
      <c r="AG539" s="1">
        <v>637609</v>
      </c>
      <c r="AH539" s="1">
        <v>350047</v>
      </c>
      <c r="AU539" s="1">
        <v>4300</v>
      </c>
      <c r="AV539" s="116">
        <f t="shared" si="41"/>
        <v>1664077</v>
      </c>
      <c r="BD539" s="1">
        <v>158618</v>
      </c>
      <c r="BE539" s="1">
        <v>23093</v>
      </c>
      <c r="BF539" s="121">
        <f t="shared" si="42"/>
        <v>181711</v>
      </c>
      <c r="BI539" s="1">
        <v>6450</v>
      </c>
      <c r="BO539" s="1">
        <v>31876</v>
      </c>
      <c r="CC539" s="125">
        <f t="shared" si="43"/>
        <v>38326</v>
      </c>
      <c r="CK539" s="124">
        <f t="shared" si="44"/>
        <v>0</v>
      </c>
      <c r="CV539" s="129">
        <v>223917</v>
      </c>
    </row>
    <row r="540" spans="1:100" ht="12.75" customHeight="1">
      <c r="A540" s="1">
        <v>35</v>
      </c>
      <c r="B540" s="1">
        <v>5550</v>
      </c>
      <c r="C540" s="1" t="s">
        <v>765</v>
      </c>
      <c r="D540" s="5" t="s">
        <v>785</v>
      </c>
      <c r="E540" t="s">
        <v>1876</v>
      </c>
      <c r="F540" s="26">
        <v>2007.5</v>
      </c>
      <c r="G540" s="78">
        <v>22976388</v>
      </c>
      <c r="H540" s="78">
        <v>285837</v>
      </c>
      <c r="L540" s="1">
        <v>4892</v>
      </c>
      <c r="M540" s="1">
        <v>1703398</v>
      </c>
      <c r="O540" s="117">
        <f t="shared" si="40"/>
        <v>24970515</v>
      </c>
      <c r="V540" s="1">
        <v>421931</v>
      </c>
      <c r="W540" s="1">
        <v>690941</v>
      </c>
      <c r="X540" s="1">
        <v>15166</v>
      </c>
      <c r="AC540" s="1">
        <v>67136</v>
      </c>
      <c r="AD540" s="1">
        <v>116057</v>
      </c>
      <c r="AE540" s="1">
        <v>37323</v>
      </c>
      <c r="AG540" s="1">
        <v>1848383</v>
      </c>
      <c r="AH540" s="1">
        <v>1035469</v>
      </c>
      <c r="AI540" s="1">
        <v>211518</v>
      </c>
      <c r="AT540" s="1">
        <v>641733</v>
      </c>
      <c r="AU540" s="1">
        <v>71530</v>
      </c>
      <c r="AV540" s="116">
        <f t="shared" si="41"/>
        <v>5157187</v>
      </c>
      <c r="BD540" s="1">
        <v>208080</v>
      </c>
      <c r="BE540" s="1">
        <v>19875</v>
      </c>
      <c r="BF540" s="121">
        <f t="shared" si="42"/>
        <v>227955</v>
      </c>
      <c r="BG540" s="1">
        <v>248788</v>
      </c>
      <c r="BN540" s="1">
        <v>422645</v>
      </c>
      <c r="CA540" s="1">
        <v>249564</v>
      </c>
      <c r="CC540" s="125">
        <f t="shared" si="43"/>
        <v>920997</v>
      </c>
      <c r="CD540" s="1">
        <v>5213275</v>
      </c>
      <c r="CK540" s="124">
        <f t="shared" si="44"/>
        <v>5213275</v>
      </c>
      <c r="CM540" s="23">
        <v>3000000</v>
      </c>
      <c r="CV540" s="129">
        <v>304377</v>
      </c>
    </row>
    <row r="541" spans="1:100" ht="12.75" customHeight="1">
      <c r="A541" s="1">
        <v>37</v>
      </c>
      <c r="B541" s="1">
        <v>90</v>
      </c>
      <c r="C541" s="1" t="s">
        <v>786</v>
      </c>
      <c r="D541" s="5" t="s">
        <v>787</v>
      </c>
      <c r="E541" t="s">
        <v>1877</v>
      </c>
      <c r="F541" s="26">
        <v>709</v>
      </c>
      <c r="G541" s="78">
        <v>9854369</v>
      </c>
      <c r="H541" s="78">
        <v>70957</v>
      </c>
      <c r="M541" s="1">
        <v>688964</v>
      </c>
      <c r="O541" s="117">
        <f t="shared" si="40"/>
        <v>10614290</v>
      </c>
      <c r="P541" s="78">
        <v>1357614</v>
      </c>
      <c r="V541" s="1">
        <v>478741</v>
      </c>
      <c r="W541" s="1">
        <v>635984</v>
      </c>
      <c r="X541" s="1">
        <v>3486</v>
      </c>
      <c r="AC541" s="1">
        <v>20209</v>
      </c>
      <c r="AD541" s="1">
        <v>116303</v>
      </c>
      <c r="AE541" s="1">
        <v>77764</v>
      </c>
      <c r="AF541" s="1">
        <v>3670</v>
      </c>
      <c r="AG541" s="1">
        <v>688369</v>
      </c>
      <c r="AH541" s="1">
        <v>359417</v>
      </c>
      <c r="AP541" s="1">
        <v>223504</v>
      </c>
      <c r="AV541" s="116">
        <f t="shared" si="41"/>
        <v>3965061</v>
      </c>
      <c r="BC541" s="1">
        <v>35500</v>
      </c>
      <c r="BD541" s="1">
        <v>208092</v>
      </c>
      <c r="BE541" s="1">
        <v>19455</v>
      </c>
      <c r="BF541" s="121">
        <f t="shared" si="42"/>
        <v>263047</v>
      </c>
      <c r="BY541" s="1">
        <v>46058</v>
      </c>
      <c r="CC541" s="125">
        <f t="shared" si="43"/>
        <v>46058</v>
      </c>
      <c r="CK541" s="124">
        <f t="shared" si="44"/>
        <v>0</v>
      </c>
      <c r="CV541" s="129">
        <v>263047</v>
      </c>
    </row>
    <row r="542" spans="1:100" ht="12.75" customHeight="1">
      <c r="A542" s="1">
        <v>37</v>
      </c>
      <c r="B542" s="1">
        <v>520</v>
      </c>
      <c r="C542" s="1" t="s">
        <v>786</v>
      </c>
      <c r="D542" s="5" t="s">
        <v>788</v>
      </c>
      <c r="E542"/>
      <c r="F542" s="26"/>
      <c r="G542" s="78">
        <v>798920</v>
      </c>
      <c r="O542" s="117">
        <f t="shared" si="40"/>
        <v>798920</v>
      </c>
      <c r="P542" s="78">
        <v>33722</v>
      </c>
      <c r="V542" s="1">
        <v>7885</v>
      </c>
      <c r="W542" s="1">
        <v>37506</v>
      </c>
      <c r="Y542" s="78">
        <v>51087</v>
      </c>
      <c r="AD542" s="1">
        <v>8668</v>
      </c>
      <c r="AE542" s="1">
        <v>4166</v>
      </c>
      <c r="AH542" s="1">
        <v>842</v>
      </c>
      <c r="AV542" s="116">
        <f t="shared" si="41"/>
        <v>143876</v>
      </c>
      <c r="BF542" s="121">
        <f t="shared" si="42"/>
        <v>0</v>
      </c>
      <c r="BO542" s="1">
        <v>8152</v>
      </c>
      <c r="BP542" s="1">
        <v>7820</v>
      </c>
      <c r="CC542" s="125">
        <f t="shared" si="43"/>
        <v>15972</v>
      </c>
      <c r="CK542" s="124">
        <f t="shared" si="44"/>
        <v>0</v>
      </c>
    </row>
    <row r="543" spans="1:100" ht="12.75" customHeight="1">
      <c r="A543" s="1">
        <v>37</v>
      </c>
      <c r="B543" s="1">
        <v>640</v>
      </c>
      <c r="C543" s="1" t="s">
        <v>786</v>
      </c>
      <c r="D543" s="5" t="s">
        <v>789</v>
      </c>
      <c r="E543" t="s">
        <v>1878</v>
      </c>
      <c r="F543" s="26">
        <v>1183</v>
      </c>
      <c r="G543" s="78">
        <v>8291386</v>
      </c>
      <c r="H543" s="78">
        <v>95190</v>
      </c>
      <c r="M543" s="1">
        <v>832566</v>
      </c>
      <c r="O543" s="117">
        <f t="shared" si="40"/>
        <v>9219142</v>
      </c>
      <c r="P543" s="78">
        <v>1880963</v>
      </c>
      <c r="V543" s="1">
        <v>347025</v>
      </c>
      <c r="W543" s="1">
        <v>429240</v>
      </c>
      <c r="Y543" s="78">
        <v>448842</v>
      </c>
      <c r="AC543" s="1">
        <v>24223</v>
      </c>
      <c r="AD543" s="1">
        <v>79108</v>
      </c>
      <c r="AE543" s="1">
        <v>95555</v>
      </c>
      <c r="AF543" s="1">
        <v>4839</v>
      </c>
      <c r="AG543" s="1">
        <v>847438</v>
      </c>
      <c r="AH543" s="1">
        <v>471190</v>
      </c>
      <c r="AP543" s="1">
        <v>13735</v>
      </c>
      <c r="AV543" s="116">
        <f t="shared" si="41"/>
        <v>4642158</v>
      </c>
      <c r="BD543" s="1">
        <v>182823</v>
      </c>
      <c r="BE543" s="1">
        <v>18132</v>
      </c>
      <c r="BF543" s="121">
        <f t="shared" si="42"/>
        <v>200955</v>
      </c>
      <c r="BO543" s="1">
        <v>2049</v>
      </c>
      <c r="CA543" s="1">
        <v>98</v>
      </c>
      <c r="CC543" s="125">
        <f t="shared" si="43"/>
        <v>2147</v>
      </c>
      <c r="CD543" s="1">
        <v>30230</v>
      </c>
      <c r="CK543" s="124">
        <f t="shared" si="44"/>
        <v>30230</v>
      </c>
      <c r="CV543" s="129">
        <v>200955</v>
      </c>
    </row>
    <row r="544" spans="1:100" ht="12.75" customHeight="1">
      <c r="A544" s="1">
        <v>37</v>
      </c>
      <c r="B544" s="1">
        <v>1560</v>
      </c>
      <c r="C544" s="1" t="s">
        <v>786</v>
      </c>
      <c r="D544" s="5" t="s">
        <v>790</v>
      </c>
      <c r="E544" t="s">
        <v>1879</v>
      </c>
      <c r="F544" s="26">
        <v>734</v>
      </c>
      <c r="G544" s="78">
        <v>5932244</v>
      </c>
      <c r="H544" s="78">
        <v>21923</v>
      </c>
      <c r="L544" s="1">
        <v>1021</v>
      </c>
      <c r="M544" s="1">
        <v>148723</v>
      </c>
      <c r="O544" s="117">
        <f t="shared" si="40"/>
        <v>6103911</v>
      </c>
      <c r="P544" s="78">
        <v>458008</v>
      </c>
      <c r="V544" s="1">
        <v>287631</v>
      </c>
      <c r="W544" s="1">
        <v>479535</v>
      </c>
      <c r="X544" s="1">
        <v>2318</v>
      </c>
      <c r="Y544" s="78">
        <v>903461</v>
      </c>
      <c r="AC544" s="1">
        <v>9323</v>
      </c>
      <c r="AD544" s="1">
        <v>71867</v>
      </c>
      <c r="AE544" s="1">
        <v>66085</v>
      </c>
      <c r="AF544" s="1">
        <v>1926</v>
      </c>
      <c r="AG544" s="1">
        <v>705803</v>
      </c>
      <c r="AH544" s="1">
        <v>359216</v>
      </c>
      <c r="AP544" s="1">
        <v>9711</v>
      </c>
      <c r="AV544" s="116">
        <f t="shared" si="41"/>
        <v>3354884</v>
      </c>
      <c r="BD544" s="1">
        <v>166452</v>
      </c>
      <c r="BE544" s="1">
        <v>26311</v>
      </c>
      <c r="BF544" s="121">
        <f t="shared" si="42"/>
        <v>192763</v>
      </c>
      <c r="BM544" s="1">
        <v>74987</v>
      </c>
      <c r="BO544" s="1">
        <v>6743</v>
      </c>
      <c r="CC544" s="125">
        <f t="shared" si="43"/>
        <v>81730</v>
      </c>
      <c r="CD544" s="1">
        <v>989522</v>
      </c>
      <c r="CK544" s="124">
        <f t="shared" si="44"/>
        <v>989522</v>
      </c>
      <c r="CV544" s="129">
        <v>193784</v>
      </c>
    </row>
    <row r="545" spans="1:100" ht="12.75" customHeight="1">
      <c r="A545" s="1">
        <v>37</v>
      </c>
      <c r="B545" s="1">
        <v>1570</v>
      </c>
      <c r="C545" s="1" t="s">
        <v>786</v>
      </c>
      <c r="D545" s="5" t="s">
        <v>791</v>
      </c>
      <c r="E545" t="s">
        <v>1880</v>
      </c>
      <c r="F545" s="26">
        <v>489</v>
      </c>
      <c r="G545" s="78">
        <v>3852608</v>
      </c>
      <c r="H545" s="78">
        <v>54999</v>
      </c>
      <c r="O545" s="117">
        <f t="shared" si="40"/>
        <v>3907607</v>
      </c>
      <c r="P545" s="78">
        <v>1701980</v>
      </c>
      <c r="V545" s="1">
        <v>61531</v>
      </c>
      <c r="W545" s="1">
        <v>369538</v>
      </c>
      <c r="X545" s="1">
        <v>2372</v>
      </c>
      <c r="Y545" s="78">
        <v>843608</v>
      </c>
      <c r="AC545" s="1">
        <v>3092</v>
      </c>
      <c r="AD545" s="1">
        <v>57681</v>
      </c>
      <c r="AE545" s="1">
        <v>67734</v>
      </c>
      <c r="AF545" s="1">
        <v>2566</v>
      </c>
      <c r="AG545" s="1">
        <v>631325</v>
      </c>
      <c r="AH545" s="1">
        <v>295793</v>
      </c>
      <c r="AO545" s="1">
        <v>22581</v>
      </c>
      <c r="AU545" s="1">
        <v>107803</v>
      </c>
      <c r="AV545" s="116">
        <f t="shared" si="41"/>
        <v>4167604</v>
      </c>
      <c r="BC545" s="1">
        <v>66025</v>
      </c>
      <c r="BD545" s="1">
        <v>266709</v>
      </c>
      <c r="BE545" s="1">
        <v>44683</v>
      </c>
      <c r="BF545" s="121">
        <f t="shared" si="42"/>
        <v>377417</v>
      </c>
      <c r="BI545" s="1">
        <v>4544</v>
      </c>
      <c r="BO545" s="1">
        <v>11473</v>
      </c>
      <c r="CC545" s="125">
        <f t="shared" si="43"/>
        <v>16017</v>
      </c>
      <c r="CD545" s="1">
        <v>23537</v>
      </c>
      <c r="CK545" s="124">
        <f t="shared" si="44"/>
        <v>23537</v>
      </c>
      <c r="CV545" s="129">
        <v>507801</v>
      </c>
    </row>
    <row r="546" spans="1:100" ht="12.75" customHeight="1">
      <c r="A546" s="1">
        <v>37</v>
      </c>
      <c r="B546" s="1">
        <v>1630</v>
      </c>
      <c r="C546" s="1" t="s">
        <v>786</v>
      </c>
      <c r="D546" s="5" t="s">
        <v>792</v>
      </c>
      <c r="E546" t="s">
        <v>1881</v>
      </c>
      <c r="F546" s="26">
        <v>331</v>
      </c>
      <c r="G546" s="78">
        <v>3438700</v>
      </c>
      <c r="H546" s="78">
        <v>36538</v>
      </c>
      <c r="O546" s="117">
        <f t="shared" si="40"/>
        <v>3475238</v>
      </c>
      <c r="V546" s="1">
        <v>82985</v>
      </c>
      <c r="W546" s="1">
        <v>149350</v>
      </c>
      <c r="X546" s="1">
        <v>4636</v>
      </c>
      <c r="Y546" s="78">
        <v>261850</v>
      </c>
      <c r="AC546" s="1">
        <v>15320</v>
      </c>
      <c r="AD546" s="1">
        <v>30722</v>
      </c>
      <c r="AE546" s="1">
        <v>15886</v>
      </c>
      <c r="AF546" s="1">
        <v>37902</v>
      </c>
      <c r="AG546" s="1">
        <v>293391</v>
      </c>
      <c r="AH546" s="1">
        <v>135149</v>
      </c>
      <c r="AU546" s="1">
        <v>2221</v>
      </c>
      <c r="AV546" s="116">
        <f t="shared" si="41"/>
        <v>1029412</v>
      </c>
      <c r="BC546" s="1">
        <v>10519</v>
      </c>
      <c r="BD546" s="1">
        <v>63225</v>
      </c>
      <c r="BE546" s="1">
        <v>48067</v>
      </c>
      <c r="BF546" s="121">
        <f t="shared" si="42"/>
        <v>121811</v>
      </c>
      <c r="BO546" s="1">
        <v>393</v>
      </c>
      <c r="CC546" s="125">
        <f t="shared" si="43"/>
        <v>393</v>
      </c>
      <c r="CD546" s="1">
        <v>10138</v>
      </c>
      <c r="CK546" s="124">
        <f t="shared" si="44"/>
        <v>10138</v>
      </c>
      <c r="CV546" s="129">
        <v>124032</v>
      </c>
    </row>
    <row r="547" spans="1:100" ht="12.75" customHeight="1">
      <c r="A547" s="1">
        <v>37</v>
      </c>
      <c r="B547" s="1">
        <v>1800</v>
      </c>
      <c r="C547" s="1" t="s">
        <v>786</v>
      </c>
      <c r="D547" s="5" t="s">
        <v>793</v>
      </c>
      <c r="E547" t="s">
        <v>1882</v>
      </c>
      <c r="F547" s="26">
        <v>515</v>
      </c>
      <c r="G547" s="78">
        <v>6070009</v>
      </c>
      <c r="H547" s="78">
        <v>27853</v>
      </c>
      <c r="M547" s="1">
        <v>530621</v>
      </c>
      <c r="O547" s="117">
        <f t="shared" si="40"/>
        <v>6628483</v>
      </c>
      <c r="P547" s="78">
        <v>1342840</v>
      </c>
      <c r="V547" s="1">
        <v>305226</v>
      </c>
      <c r="W547" s="1">
        <v>331476</v>
      </c>
      <c r="Y547" s="78">
        <v>89323</v>
      </c>
      <c r="AC547" s="1">
        <v>17064</v>
      </c>
      <c r="AD547" s="1">
        <v>39408</v>
      </c>
      <c r="AE547" s="1">
        <v>63248</v>
      </c>
      <c r="AF547" s="1">
        <v>1300</v>
      </c>
      <c r="AG547" s="1">
        <v>496226</v>
      </c>
      <c r="AH547" s="1">
        <v>221039</v>
      </c>
      <c r="AU547" s="1">
        <v>26031</v>
      </c>
      <c r="AV547" s="116">
        <f t="shared" si="41"/>
        <v>2933181</v>
      </c>
      <c r="BC547" s="1">
        <v>14655</v>
      </c>
      <c r="BD547" s="1">
        <v>6842</v>
      </c>
      <c r="BE547" s="1">
        <v>214842</v>
      </c>
      <c r="BF547" s="121">
        <f t="shared" si="42"/>
        <v>236339</v>
      </c>
      <c r="BO547" s="1">
        <v>64909</v>
      </c>
      <c r="CA547" s="1">
        <v>15377</v>
      </c>
      <c r="CC547" s="125">
        <f t="shared" si="43"/>
        <v>80286</v>
      </c>
      <c r="CK547" s="124">
        <f t="shared" si="44"/>
        <v>0</v>
      </c>
      <c r="CV547" s="129">
        <v>262370</v>
      </c>
    </row>
    <row r="548" spans="1:100" ht="12.75" customHeight="1">
      <c r="A548" s="1">
        <v>37</v>
      </c>
      <c r="B548" s="1">
        <v>1930</v>
      </c>
      <c r="C548" s="1" t="s">
        <v>786</v>
      </c>
      <c r="D548" s="5" t="s">
        <v>794</v>
      </c>
      <c r="E548" t="s">
        <v>1883</v>
      </c>
      <c r="F548" s="26">
        <v>338</v>
      </c>
      <c r="G548" s="78">
        <v>2983833</v>
      </c>
      <c r="H548" s="78">
        <v>19144</v>
      </c>
      <c r="M548" s="1">
        <v>231924</v>
      </c>
      <c r="O548" s="117">
        <f t="shared" si="40"/>
        <v>3234901</v>
      </c>
      <c r="P548" s="78">
        <v>1025119</v>
      </c>
      <c r="V548" s="1">
        <v>32395</v>
      </c>
      <c r="W548" s="1">
        <v>251846</v>
      </c>
      <c r="Y548" s="78">
        <v>359546</v>
      </c>
      <c r="AC548" s="1">
        <v>24812</v>
      </c>
      <c r="AD548" s="1">
        <v>38084</v>
      </c>
      <c r="AE548" s="1">
        <v>30807</v>
      </c>
      <c r="AF548" s="1">
        <v>706</v>
      </c>
      <c r="AG548" s="1">
        <v>287852</v>
      </c>
      <c r="AH548" s="1">
        <v>166646</v>
      </c>
      <c r="AL548" s="1">
        <v>435</v>
      </c>
      <c r="AO548" s="1">
        <v>10973</v>
      </c>
      <c r="AU548" s="1">
        <v>8</v>
      </c>
      <c r="AV548" s="116">
        <f t="shared" si="41"/>
        <v>2229229</v>
      </c>
      <c r="BC548" s="1">
        <v>35127</v>
      </c>
      <c r="BD548" s="1">
        <v>81671</v>
      </c>
      <c r="BE548" s="1">
        <v>14517</v>
      </c>
      <c r="BF548" s="121">
        <f t="shared" si="42"/>
        <v>131315</v>
      </c>
      <c r="BO548" s="1">
        <v>2466</v>
      </c>
      <c r="CA548" s="1">
        <v>9125</v>
      </c>
      <c r="CC548" s="125">
        <f t="shared" si="43"/>
        <v>11591</v>
      </c>
      <c r="CK548" s="124">
        <f t="shared" si="44"/>
        <v>0</v>
      </c>
      <c r="CV548" s="129">
        <v>142731</v>
      </c>
    </row>
    <row r="549" spans="1:100" ht="12.75" customHeight="1">
      <c r="A549" s="1">
        <v>37</v>
      </c>
      <c r="B549" s="1">
        <v>1980</v>
      </c>
      <c r="C549" s="1" t="s">
        <v>786</v>
      </c>
      <c r="D549" s="5" t="s">
        <v>795</v>
      </c>
      <c r="E549" t="s">
        <v>1884</v>
      </c>
      <c r="F549" s="26">
        <v>439</v>
      </c>
      <c r="G549" s="78">
        <v>4391661</v>
      </c>
      <c r="H549" s="78">
        <v>43117</v>
      </c>
      <c r="L549" s="1">
        <v>1000</v>
      </c>
      <c r="M549" s="1">
        <v>125688</v>
      </c>
      <c r="O549" s="117">
        <f t="shared" si="40"/>
        <v>4561466</v>
      </c>
      <c r="P549" s="78">
        <v>685152</v>
      </c>
      <c r="V549" s="1">
        <v>179860</v>
      </c>
      <c r="W549" s="1">
        <v>286778</v>
      </c>
      <c r="Y549" s="78">
        <v>149180</v>
      </c>
      <c r="AC549" s="1">
        <v>26743</v>
      </c>
      <c r="AD549" s="1">
        <v>49106</v>
      </c>
      <c r="AE549" s="1">
        <v>33688</v>
      </c>
      <c r="AF549" s="1">
        <v>3082</v>
      </c>
      <c r="AG549" s="1">
        <v>468283</v>
      </c>
      <c r="AH549" s="1">
        <v>230025</v>
      </c>
      <c r="AP549" s="1">
        <v>33537</v>
      </c>
      <c r="AU549" s="1">
        <v>102895</v>
      </c>
      <c r="AV549" s="116">
        <f t="shared" si="41"/>
        <v>2248329</v>
      </c>
      <c r="BC549" s="1">
        <v>21645</v>
      </c>
      <c r="BD549" s="1">
        <v>109539</v>
      </c>
      <c r="BE549" s="1">
        <v>53682</v>
      </c>
      <c r="BF549" s="121">
        <f t="shared" si="42"/>
        <v>184866</v>
      </c>
      <c r="BO549" s="1">
        <v>757</v>
      </c>
      <c r="CC549" s="125">
        <f t="shared" si="43"/>
        <v>757</v>
      </c>
      <c r="CK549" s="124">
        <f t="shared" si="44"/>
        <v>0</v>
      </c>
      <c r="CV549" s="129">
        <v>288761</v>
      </c>
    </row>
    <row r="550" spans="1:100" ht="12.75" customHeight="1">
      <c r="A550" s="1">
        <v>37</v>
      </c>
      <c r="B550" s="1">
        <v>2030</v>
      </c>
      <c r="C550" s="1" t="s">
        <v>786</v>
      </c>
      <c r="D550" s="5" t="s">
        <v>796</v>
      </c>
      <c r="E550" t="s">
        <v>1885</v>
      </c>
      <c r="F550" s="26">
        <v>765.5</v>
      </c>
      <c r="G550" s="78">
        <v>7012747</v>
      </c>
      <c r="H550" s="78">
        <v>55057</v>
      </c>
      <c r="M550" s="1">
        <v>836212</v>
      </c>
      <c r="O550" s="117">
        <f t="shared" si="40"/>
        <v>7904016</v>
      </c>
      <c r="P550" s="78">
        <v>1027771</v>
      </c>
      <c r="V550" s="1">
        <v>355984</v>
      </c>
      <c r="W550" s="1">
        <v>332739</v>
      </c>
      <c r="Y550" s="78">
        <v>376210</v>
      </c>
      <c r="AC550" s="1">
        <v>24254</v>
      </c>
      <c r="AD550" s="1">
        <v>87557</v>
      </c>
      <c r="AE550" s="1">
        <v>65408</v>
      </c>
      <c r="AF550" s="1">
        <v>6234</v>
      </c>
      <c r="AG550" s="1">
        <v>580369</v>
      </c>
      <c r="AH550" s="1">
        <v>329325</v>
      </c>
      <c r="AU550" s="1">
        <v>9147</v>
      </c>
      <c r="AV550" s="116">
        <f t="shared" si="41"/>
        <v>3194998</v>
      </c>
      <c r="BC550" s="1">
        <v>38789</v>
      </c>
      <c r="BD550" s="1">
        <v>173259</v>
      </c>
      <c r="BE550" s="1">
        <v>28796</v>
      </c>
      <c r="BF550" s="121">
        <f t="shared" si="42"/>
        <v>240844</v>
      </c>
      <c r="BX550" s="1">
        <v>1055</v>
      </c>
      <c r="CC550" s="125">
        <f t="shared" si="43"/>
        <v>1055</v>
      </c>
      <c r="CK550" s="124">
        <f t="shared" si="44"/>
        <v>0</v>
      </c>
      <c r="CV550" s="129">
        <v>249991</v>
      </c>
    </row>
    <row r="551" spans="1:100" ht="12.75" customHeight="1">
      <c r="A551" s="1">
        <v>37</v>
      </c>
      <c r="B551" s="1">
        <v>2165</v>
      </c>
      <c r="C551" s="1" t="s">
        <v>786</v>
      </c>
      <c r="D551" s="5" t="s">
        <v>797</v>
      </c>
      <c r="E551" t="s">
        <v>1886</v>
      </c>
      <c r="F551" s="26">
        <v>1349</v>
      </c>
      <c r="G551" s="78">
        <v>13554595</v>
      </c>
      <c r="H551" s="78">
        <v>166073</v>
      </c>
      <c r="M551" s="1">
        <v>811728</v>
      </c>
      <c r="O551" s="117">
        <f t="shared" si="40"/>
        <v>14532396</v>
      </c>
      <c r="P551" s="78">
        <v>4765724</v>
      </c>
      <c r="V551" s="1">
        <v>582159</v>
      </c>
      <c r="W551" s="1">
        <v>792710</v>
      </c>
      <c r="X551" s="1">
        <v>4692</v>
      </c>
      <c r="AC551" s="1">
        <v>33480</v>
      </c>
      <c r="AD551" s="1">
        <v>141978</v>
      </c>
      <c r="AE551" s="1">
        <v>188618</v>
      </c>
      <c r="AF551" s="1">
        <v>109044</v>
      </c>
      <c r="AG551" s="1">
        <v>1379711</v>
      </c>
      <c r="AH551" s="1">
        <v>686293</v>
      </c>
      <c r="AP551" s="1">
        <v>420448</v>
      </c>
      <c r="AU551" s="1">
        <v>1400</v>
      </c>
      <c r="AV551" s="116">
        <f t="shared" si="41"/>
        <v>9106257</v>
      </c>
      <c r="BC551" s="1">
        <v>41349</v>
      </c>
      <c r="BD551" s="1">
        <v>316995</v>
      </c>
      <c r="BE551" s="1">
        <v>35686</v>
      </c>
      <c r="BF551" s="121">
        <f t="shared" si="42"/>
        <v>394030</v>
      </c>
      <c r="BH551" s="1">
        <v>375</v>
      </c>
      <c r="BN551" s="1">
        <v>7847</v>
      </c>
      <c r="BO551" s="1">
        <v>12141</v>
      </c>
      <c r="CC551" s="125">
        <f t="shared" si="43"/>
        <v>20363</v>
      </c>
      <c r="CD551" s="1">
        <v>106952</v>
      </c>
      <c r="CK551" s="124">
        <f t="shared" si="44"/>
        <v>106952</v>
      </c>
      <c r="CV551" s="129">
        <v>395430</v>
      </c>
    </row>
    <row r="552" spans="1:100" ht="12.75" customHeight="1">
      <c r="A552" s="1">
        <v>37</v>
      </c>
      <c r="B552" s="1">
        <v>2240</v>
      </c>
      <c r="C552" s="1" t="s">
        <v>786</v>
      </c>
      <c r="D552" s="5" t="s">
        <v>798</v>
      </c>
      <c r="E552" t="s">
        <v>1887</v>
      </c>
      <c r="F552" s="26">
        <v>2491.5</v>
      </c>
      <c r="G552" s="78">
        <v>18891056</v>
      </c>
      <c r="H552" s="78">
        <v>371772</v>
      </c>
      <c r="M552" s="1">
        <v>131949</v>
      </c>
      <c r="O552" s="117">
        <f t="shared" si="40"/>
        <v>19394777</v>
      </c>
      <c r="P552" s="78">
        <v>7491747</v>
      </c>
      <c r="Q552" s="78">
        <v>173651</v>
      </c>
      <c r="V552" s="1">
        <v>548557</v>
      </c>
      <c r="W552" s="1">
        <v>2087931</v>
      </c>
      <c r="X552" s="1">
        <v>39550</v>
      </c>
      <c r="Y552" s="78">
        <v>1252454</v>
      </c>
      <c r="AD552" s="1">
        <v>298441</v>
      </c>
      <c r="AE552" s="1">
        <v>319063</v>
      </c>
      <c r="AF552" s="1">
        <v>118428</v>
      </c>
      <c r="AG552" s="1">
        <v>2735491</v>
      </c>
      <c r="AH552" s="1">
        <v>1212600</v>
      </c>
      <c r="AL552" s="1">
        <v>109</v>
      </c>
      <c r="AO552" s="1">
        <v>50599</v>
      </c>
      <c r="AP552" s="1">
        <v>69111</v>
      </c>
      <c r="AT552" s="1">
        <v>42126</v>
      </c>
      <c r="AU552" s="1">
        <v>12818</v>
      </c>
      <c r="AV552" s="116">
        <f t="shared" si="41"/>
        <v>16452676</v>
      </c>
      <c r="BC552" s="1">
        <v>197783</v>
      </c>
      <c r="BD552" s="1">
        <v>670416</v>
      </c>
      <c r="BE552" s="1">
        <v>72808</v>
      </c>
      <c r="BF552" s="121">
        <f t="shared" si="42"/>
        <v>941007</v>
      </c>
      <c r="BG552" s="1">
        <v>1258537</v>
      </c>
      <c r="BO552" s="1">
        <v>2418</v>
      </c>
      <c r="CC552" s="125">
        <f t="shared" si="43"/>
        <v>1260955</v>
      </c>
      <c r="CD552" s="1">
        <v>92321</v>
      </c>
      <c r="CK552" s="124">
        <f t="shared" si="44"/>
        <v>92321</v>
      </c>
      <c r="CV552" s="129">
        <v>1004533</v>
      </c>
    </row>
    <row r="553" spans="1:100" ht="12.75" customHeight="1">
      <c r="A553" s="1">
        <v>37</v>
      </c>
      <c r="B553" s="1">
        <v>2465</v>
      </c>
      <c r="C553" s="1" t="s">
        <v>786</v>
      </c>
      <c r="D553" s="5" t="s">
        <v>799</v>
      </c>
      <c r="E553" t="s">
        <v>1888</v>
      </c>
      <c r="F553" s="26">
        <v>1243</v>
      </c>
      <c r="G553" s="78">
        <v>10666693</v>
      </c>
      <c r="L553" s="1">
        <v>7250</v>
      </c>
      <c r="O553" s="117">
        <f t="shared" si="40"/>
        <v>10673943</v>
      </c>
      <c r="P553" s="78">
        <v>3948673</v>
      </c>
      <c r="V553" s="1">
        <v>640262</v>
      </c>
      <c r="W553" s="1">
        <v>702505</v>
      </c>
      <c r="X553" s="1">
        <v>2318</v>
      </c>
      <c r="Y553" s="78">
        <v>523113</v>
      </c>
      <c r="AC553" s="1">
        <v>37427</v>
      </c>
      <c r="AD553" s="1">
        <v>148561</v>
      </c>
      <c r="AE553" s="1">
        <v>178963</v>
      </c>
      <c r="AF553" s="1">
        <v>14455</v>
      </c>
      <c r="AG553" s="1">
        <v>1201999</v>
      </c>
      <c r="AH553" s="1">
        <v>646793</v>
      </c>
      <c r="AU553" s="1">
        <v>10197</v>
      </c>
      <c r="AV553" s="116">
        <f t="shared" si="41"/>
        <v>8055266</v>
      </c>
      <c r="BA553" s="1">
        <v>461158</v>
      </c>
      <c r="BD553" s="1">
        <v>211640</v>
      </c>
      <c r="BE553" s="1">
        <v>24069</v>
      </c>
      <c r="BF553" s="121">
        <f t="shared" si="42"/>
        <v>696867</v>
      </c>
      <c r="BN553" s="1">
        <v>249663</v>
      </c>
      <c r="BO553" s="1">
        <v>5740</v>
      </c>
      <c r="BP553" s="1">
        <v>230016</v>
      </c>
      <c r="BX553" s="1">
        <v>219893</v>
      </c>
      <c r="CC553" s="125">
        <f t="shared" si="43"/>
        <v>705312</v>
      </c>
      <c r="CK553" s="124">
        <f t="shared" si="44"/>
        <v>0</v>
      </c>
      <c r="CV553" s="129">
        <v>253156</v>
      </c>
    </row>
    <row r="554" spans="1:100" ht="12.75" customHeight="1">
      <c r="A554" s="1">
        <v>37</v>
      </c>
      <c r="B554" s="1">
        <v>2490</v>
      </c>
      <c r="C554" s="1" t="s">
        <v>786</v>
      </c>
      <c r="D554" s="5" t="s">
        <v>800</v>
      </c>
      <c r="E554" t="s">
        <v>1889</v>
      </c>
      <c r="F554" s="26">
        <v>313</v>
      </c>
      <c r="G554" s="78">
        <v>3246725</v>
      </c>
      <c r="H554" s="78">
        <v>20961</v>
      </c>
      <c r="L554" s="1">
        <v>1333</v>
      </c>
      <c r="M554" s="1">
        <v>290920</v>
      </c>
      <c r="O554" s="117">
        <f t="shared" si="40"/>
        <v>3559939</v>
      </c>
      <c r="P554" s="78">
        <v>276708</v>
      </c>
      <c r="V554" s="1">
        <v>119145</v>
      </c>
      <c r="W554" s="1">
        <v>205455</v>
      </c>
      <c r="X554" s="1">
        <v>1168</v>
      </c>
      <c r="Y554" s="78">
        <v>15331</v>
      </c>
      <c r="AC554" s="1">
        <v>5094</v>
      </c>
      <c r="AD554" s="1">
        <v>41974</v>
      </c>
      <c r="AE554" s="1">
        <v>15967</v>
      </c>
      <c r="AF554" s="1">
        <v>673</v>
      </c>
      <c r="AG554" s="1">
        <v>281516</v>
      </c>
      <c r="AH554" s="1">
        <v>155707</v>
      </c>
      <c r="AP554" s="1">
        <v>16573</v>
      </c>
      <c r="AV554" s="116">
        <f t="shared" si="41"/>
        <v>1135311</v>
      </c>
      <c r="BC554" s="1">
        <v>8893</v>
      </c>
      <c r="BD554" s="1">
        <v>71911</v>
      </c>
      <c r="BE554" s="1">
        <v>42941</v>
      </c>
      <c r="BF554" s="121">
        <f t="shared" si="42"/>
        <v>123745</v>
      </c>
      <c r="BI554" s="1">
        <v>14319</v>
      </c>
      <c r="BO554" s="1">
        <v>1399</v>
      </c>
      <c r="CC554" s="125">
        <f t="shared" si="43"/>
        <v>15718</v>
      </c>
      <c r="CK554" s="124">
        <f t="shared" si="44"/>
        <v>0</v>
      </c>
      <c r="CV554" s="129">
        <v>125078</v>
      </c>
    </row>
    <row r="555" spans="1:100" ht="12.75" customHeight="1">
      <c r="A555" s="1">
        <v>37</v>
      </c>
      <c r="B555" s="1">
        <v>2615</v>
      </c>
      <c r="C555" s="1" t="s">
        <v>786</v>
      </c>
      <c r="D555" s="5" t="s">
        <v>801</v>
      </c>
      <c r="E555" t="s">
        <v>1890</v>
      </c>
      <c r="F555" s="26">
        <v>137.5</v>
      </c>
      <c r="G555" s="78">
        <v>8271550</v>
      </c>
      <c r="O555" s="117">
        <f t="shared" si="40"/>
        <v>8271550</v>
      </c>
      <c r="P555" s="78">
        <v>2137291</v>
      </c>
      <c r="Q555" s="78">
        <v>192347</v>
      </c>
      <c r="V555" s="1">
        <v>306058</v>
      </c>
      <c r="W555" s="1">
        <v>501103</v>
      </c>
      <c r="X555" s="1">
        <v>27834</v>
      </c>
      <c r="Y555" s="78">
        <v>389834</v>
      </c>
      <c r="AC555" s="1">
        <v>4185</v>
      </c>
      <c r="AD555" s="1">
        <v>94688</v>
      </c>
      <c r="AE555" s="1">
        <v>109475</v>
      </c>
      <c r="AF555" s="1">
        <v>40621</v>
      </c>
      <c r="AG555" s="1">
        <v>821857</v>
      </c>
      <c r="AH555" s="1">
        <v>457627</v>
      </c>
      <c r="AV555" s="116">
        <f t="shared" si="41"/>
        <v>5082920</v>
      </c>
      <c r="BC555" s="1">
        <v>21304</v>
      </c>
      <c r="BD555" s="1">
        <v>152402</v>
      </c>
      <c r="BE555" s="1">
        <v>11160</v>
      </c>
      <c r="BF555" s="121">
        <f t="shared" si="42"/>
        <v>184866</v>
      </c>
      <c r="BG555" s="1">
        <v>229503</v>
      </c>
      <c r="BO555" s="1">
        <v>10900</v>
      </c>
      <c r="BP555" s="1">
        <v>57739</v>
      </c>
      <c r="CC555" s="125">
        <f t="shared" si="43"/>
        <v>298142</v>
      </c>
      <c r="CK555" s="124">
        <f t="shared" si="44"/>
        <v>0</v>
      </c>
      <c r="CV555" s="129">
        <v>184866</v>
      </c>
    </row>
    <row r="556" spans="1:100" ht="12.75" customHeight="1">
      <c r="A556" s="1">
        <v>37</v>
      </c>
      <c r="B556" s="1">
        <v>3300</v>
      </c>
      <c r="C556" s="1" t="s">
        <v>786</v>
      </c>
      <c r="D556" s="5" t="s">
        <v>802</v>
      </c>
      <c r="E556" t="s">
        <v>1891</v>
      </c>
      <c r="F556" s="26">
        <v>310</v>
      </c>
      <c r="G556" s="78">
        <v>4870330</v>
      </c>
      <c r="M556" s="1">
        <v>70694</v>
      </c>
      <c r="O556" s="117">
        <f t="shared" si="40"/>
        <v>4941024</v>
      </c>
      <c r="P556" s="78">
        <v>709001</v>
      </c>
      <c r="V556" s="1">
        <v>355134</v>
      </c>
      <c r="W556" s="1">
        <v>478319</v>
      </c>
      <c r="X556" s="1">
        <v>1168</v>
      </c>
      <c r="Y556" s="78">
        <v>853722</v>
      </c>
      <c r="AC556" s="1">
        <v>33451</v>
      </c>
      <c r="AD556" s="1">
        <v>60785</v>
      </c>
      <c r="AE556" s="1">
        <v>74398</v>
      </c>
      <c r="AF556" s="1">
        <v>14869</v>
      </c>
      <c r="AG556" s="1">
        <v>258501</v>
      </c>
      <c r="AH556" s="1">
        <v>176079</v>
      </c>
      <c r="AO556" s="1">
        <v>20707</v>
      </c>
      <c r="AP556" s="1">
        <v>20790</v>
      </c>
      <c r="AV556" s="116">
        <f t="shared" si="41"/>
        <v>3056924</v>
      </c>
      <c r="BA556" s="1">
        <v>178416</v>
      </c>
      <c r="BC556" s="1">
        <v>80757</v>
      </c>
      <c r="BD556" s="1">
        <v>126741</v>
      </c>
      <c r="BE556" s="1">
        <v>41225</v>
      </c>
      <c r="BF556" s="121">
        <f t="shared" si="42"/>
        <v>427139</v>
      </c>
      <c r="BP556" s="1">
        <v>106134</v>
      </c>
      <c r="CC556" s="125">
        <f t="shared" si="43"/>
        <v>106134</v>
      </c>
      <c r="CK556" s="124">
        <f t="shared" si="44"/>
        <v>0</v>
      </c>
      <c r="CV556" s="129">
        <v>269430</v>
      </c>
    </row>
    <row r="557" spans="1:100" ht="12.75" customHeight="1">
      <c r="A557" s="1">
        <v>37</v>
      </c>
      <c r="B557" s="1">
        <v>3590</v>
      </c>
      <c r="C557" s="1" t="s">
        <v>786</v>
      </c>
      <c r="D557" s="5" t="s">
        <v>803</v>
      </c>
      <c r="E557" t="s">
        <v>1784</v>
      </c>
      <c r="F557" s="26">
        <v>1635</v>
      </c>
      <c r="G557" s="78">
        <v>9529621</v>
      </c>
      <c r="H557" s="78">
        <v>173514</v>
      </c>
      <c r="L557" s="1">
        <v>3000</v>
      </c>
      <c r="M557" s="1">
        <v>560558</v>
      </c>
      <c r="O557" s="117">
        <f t="shared" si="40"/>
        <v>10266693</v>
      </c>
      <c r="P557" s="78">
        <v>3252193</v>
      </c>
      <c r="V557" s="1">
        <v>167732</v>
      </c>
      <c r="W557" s="1">
        <v>1161011</v>
      </c>
      <c r="X557" s="1">
        <v>17556</v>
      </c>
      <c r="AC557" s="1">
        <v>12588</v>
      </c>
      <c r="AD557" s="1">
        <v>140332</v>
      </c>
      <c r="AE557" s="1">
        <v>153694</v>
      </c>
      <c r="AF557" s="1">
        <v>928</v>
      </c>
      <c r="AG557" s="1">
        <v>1840772</v>
      </c>
      <c r="AH557" s="1">
        <v>824352</v>
      </c>
      <c r="AJ557" s="1">
        <v>1426</v>
      </c>
      <c r="AM557" s="1">
        <v>280293</v>
      </c>
      <c r="AO557" s="1">
        <v>104006</v>
      </c>
      <c r="AP557" s="1">
        <v>29297</v>
      </c>
      <c r="AU557" s="1">
        <v>100506</v>
      </c>
      <c r="AV557" s="116">
        <f t="shared" si="41"/>
        <v>8086686</v>
      </c>
      <c r="AW557" s="1">
        <v>10003</v>
      </c>
      <c r="BB557" s="1">
        <v>56557</v>
      </c>
      <c r="BC557" s="1">
        <v>237065</v>
      </c>
      <c r="BD557" s="1">
        <v>304283</v>
      </c>
      <c r="BE557" s="1">
        <v>407982</v>
      </c>
      <c r="BF557" s="121">
        <f t="shared" si="42"/>
        <v>1015890</v>
      </c>
      <c r="CC557" s="125">
        <f t="shared" si="43"/>
        <v>0</v>
      </c>
      <c r="CD557" s="1">
        <v>5316942</v>
      </c>
      <c r="CK557" s="124">
        <f t="shared" si="44"/>
        <v>5316942</v>
      </c>
      <c r="CV557" s="129">
        <v>1495118</v>
      </c>
    </row>
    <row r="558" spans="1:100" ht="12.75" customHeight="1">
      <c r="A558" s="1">
        <v>37</v>
      </c>
      <c r="B558" s="1">
        <v>3840</v>
      </c>
      <c r="C558" s="1" t="s">
        <v>786</v>
      </c>
      <c r="D558" s="5" t="s">
        <v>804</v>
      </c>
      <c r="E558" t="s">
        <v>1785</v>
      </c>
      <c r="F558" s="26">
        <v>338</v>
      </c>
      <c r="G558" s="78">
        <v>1966856</v>
      </c>
      <c r="H558" s="78">
        <v>36530</v>
      </c>
      <c r="L558" s="1">
        <v>4690</v>
      </c>
      <c r="M558" s="1">
        <v>41561</v>
      </c>
      <c r="O558" s="117">
        <f t="shared" si="40"/>
        <v>2049637</v>
      </c>
      <c r="P558" s="78">
        <v>1351953</v>
      </c>
      <c r="Q558" s="78">
        <v>124035</v>
      </c>
      <c r="V558" s="1">
        <v>10730</v>
      </c>
      <c r="W558" s="1">
        <v>449628</v>
      </c>
      <c r="AD558" s="1">
        <v>41338</v>
      </c>
      <c r="AE558" s="1">
        <v>50239</v>
      </c>
      <c r="AF558" s="1">
        <v>915</v>
      </c>
      <c r="AG558" s="1">
        <v>377575</v>
      </c>
      <c r="AH558" s="1">
        <v>167432</v>
      </c>
      <c r="AP558" s="1">
        <v>29602</v>
      </c>
      <c r="AV558" s="116">
        <f t="shared" si="41"/>
        <v>2603447</v>
      </c>
      <c r="BC558" s="1">
        <v>47897</v>
      </c>
      <c r="BD558" s="1">
        <v>87901</v>
      </c>
      <c r="BE558" s="1">
        <v>16117</v>
      </c>
      <c r="BF558" s="121">
        <f t="shared" si="42"/>
        <v>151915</v>
      </c>
      <c r="BO558" s="1">
        <v>29</v>
      </c>
      <c r="CB558" s="1">
        <v>8700</v>
      </c>
      <c r="CC558" s="125">
        <f t="shared" si="43"/>
        <v>8729</v>
      </c>
      <c r="CD558" s="1">
        <v>12421</v>
      </c>
      <c r="CK558" s="124">
        <f t="shared" si="44"/>
        <v>12421</v>
      </c>
      <c r="CV558" s="129">
        <v>156605</v>
      </c>
    </row>
    <row r="559" spans="1:100" ht="12.75" customHeight="1">
      <c r="A559" s="1">
        <v>37</v>
      </c>
      <c r="B559" s="1">
        <v>4650</v>
      </c>
      <c r="C559" s="1" t="s">
        <v>786</v>
      </c>
      <c r="D559" s="5" t="s">
        <v>805</v>
      </c>
      <c r="E559" t="s">
        <v>1786</v>
      </c>
      <c r="F559" s="26">
        <v>184</v>
      </c>
      <c r="G559" s="78">
        <v>1497522</v>
      </c>
      <c r="H559" s="78">
        <v>20470</v>
      </c>
      <c r="O559" s="117">
        <f t="shared" si="40"/>
        <v>1517992</v>
      </c>
      <c r="P559" s="78">
        <v>370874</v>
      </c>
      <c r="V559" s="1">
        <v>56284</v>
      </c>
      <c r="W559" s="1">
        <v>79537</v>
      </c>
      <c r="AD559" s="1">
        <v>19530</v>
      </c>
      <c r="AE559" s="1">
        <v>15787</v>
      </c>
      <c r="AF559" s="1">
        <v>854</v>
      </c>
      <c r="AG559" s="1">
        <v>179365</v>
      </c>
      <c r="AH559" s="1">
        <v>90990</v>
      </c>
      <c r="AV559" s="116">
        <f t="shared" si="41"/>
        <v>813221</v>
      </c>
      <c r="BA559" s="1">
        <v>451903</v>
      </c>
      <c r="BD559" s="1">
        <v>31818</v>
      </c>
      <c r="BE559" s="1">
        <v>33528</v>
      </c>
      <c r="BF559" s="121">
        <f t="shared" si="42"/>
        <v>517249</v>
      </c>
      <c r="BO559" s="1">
        <v>12013</v>
      </c>
      <c r="CC559" s="125">
        <f t="shared" si="43"/>
        <v>12013</v>
      </c>
      <c r="CK559" s="124">
        <f t="shared" si="44"/>
        <v>0</v>
      </c>
      <c r="CV559" s="129">
        <v>65346</v>
      </c>
    </row>
    <row r="560" spans="1:100" ht="12.75" customHeight="1">
      <c r="A560" s="1">
        <v>37</v>
      </c>
      <c r="B560" s="1">
        <v>4960</v>
      </c>
      <c r="C560" s="1" t="s">
        <v>786</v>
      </c>
      <c r="D560" s="5" t="s">
        <v>806</v>
      </c>
      <c r="E560" t="s">
        <v>1787</v>
      </c>
      <c r="F560" s="26">
        <v>4026.5</v>
      </c>
      <c r="G560" s="78">
        <v>39354680</v>
      </c>
      <c r="H560" s="78">
        <v>334474</v>
      </c>
      <c r="K560" s="1">
        <v>36182</v>
      </c>
      <c r="M560" s="1">
        <v>1813398</v>
      </c>
      <c r="O560" s="117">
        <f t="shared" si="40"/>
        <v>41538734</v>
      </c>
      <c r="P560" s="78">
        <v>2416398</v>
      </c>
      <c r="V560" s="1">
        <v>1333591</v>
      </c>
      <c r="W560" s="1">
        <v>1947621</v>
      </c>
      <c r="X560" s="1">
        <v>24474</v>
      </c>
      <c r="Y560" s="78">
        <v>488522</v>
      </c>
      <c r="AC560" s="1">
        <v>130715</v>
      </c>
      <c r="AD560" s="1">
        <v>209457</v>
      </c>
      <c r="AE560" s="1">
        <v>192602</v>
      </c>
      <c r="AF560" s="1">
        <v>172827</v>
      </c>
      <c r="AG560" s="1">
        <v>1804454</v>
      </c>
      <c r="AH560" s="1">
        <v>3427758</v>
      </c>
      <c r="AP560" s="1">
        <v>169743</v>
      </c>
      <c r="AT560" s="1">
        <v>41852</v>
      </c>
      <c r="AU560" s="1">
        <v>628447</v>
      </c>
      <c r="AV560" s="116">
        <f t="shared" si="41"/>
        <v>12988461</v>
      </c>
      <c r="BD560" s="1">
        <v>891896</v>
      </c>
      <c r="BE560" s="1">
        <v>80622</v>
      </c>
      <c r="BF560" s="121">
        <f t="shared" si="42"/>
        <v>972518</v>
      </c>
      <c r="BN560" s="1">
        <v>14603</v>
      </c>
      <c r="BO560" s="1">
        <v>21595</v>
      </c>
      <c r="CA560" s="1">
        <v>1996873</v>
      </c>
      <c r="CC560" s="125">
        <f t="shared" si="43"/>
        <v>2033071</v>
      </c>
      <c r="CK560" s="124">
        <f t="shared" si="44"/>
        <v>0</v>
      </c>
      <c r="CM560" s="23">
        <v>71513000</v>
      </c>
      <c r="CV560" s="129">
        <v>1600965</v>
      </c>
    </row>
    <row r="561" spans="1:100" ht="12.75" customHeight="1">
      <c r="A561" s="1">
        <v>37</v>
      </c>
      <c r="B561" s="1">
        <v>5030</v>
      </c>
      <c r="C561" s="1" t="s">
        <v>786</v>
      </c>
      <c r="D561" s="5" t="s">
        <v>807</v>
      </c>
      <c r="E561" t="s">
        <v>1788</v>
      </c>
      <c r="F561" s="26">
        <v>405</v>
      </c>
      <c r="G561" s="78">
        <v>3097786</v>
      </c>
      <c r="H561" s="78">
        <v>66130</v>
      </c>
      <c r="M561" s="1">
        <v>350479</v>
      </c>
      <c r="O561" s="117">
        <f t="shared" si="40"/>
        <v>3514395</v>
      </c>
      <c r="P561" s="78">
        <v>727380</v>
      </c>
      <c r="Q561" s="78">
        <v>291607</v>
      </c>
      <c r="V561" s="1">
        <v>36990</v>
      </c>
      <c r="W561" s="1">
        <v>343750</v>
      </c>
      <c r="X561" s="1">
        <v>72</v>
      </c>
      <c r="AC561" s="1">
        <v>16986</v>
      </c>
      <c r="AD561" s="1">
        <v>48167</v>
      </c>
      <c r="AE561" s="1">
        <v>43542</v>
      </c>
      <c r="AF561" s="1">
        <v>1497</v>
      </c>
      <c r="AG561" s="1">
        <v>381489</v>
      </c>
      <c r="AH561" s="1">
        <v>174649</v>
      </c>
      <c r="AO561" s="1">
        <v>3423</v>
      </c>
      <c r="AU561" s="1">
        <v>1836</v>
      </c>
      <c r="AV561" s="116">
        <f t="shared" si="41"/>
        <v>2071388</v>
      </c>
      <c r="BC561" s="1">
        <v>1745</v>
      </c>
      <c r="BD561" s="1">
        <v>81398</v>
      </c>
      <c r="BE561" s="1">
        <v>390</v>
      </c>
      <c r="BF561" s="121">
        <f t="shared" si="42"/>
        <v>83533</v>
      </c>
      <c r="BR561" s="1">
        <v>59000</v>
      </c>
      <c r="CC561" s="125">
        <f t="shared" si="43"/>
        <v>59000</v>
      </c>
      <c r="CK561" s="124">
        <f t="shared" si="44"/>
        <v>0</v>
      </c>
      <c r="CV561" s="129">
        <v>88792</v>
      </c>
    </row>
    <row r="562" spans="1:100" ht="12.75" customHeight="1">
      <c r="A562" s="1">
        <v>37</v>
      </c>
      <c r="B562" s="1">
        <v>5040</v>
      </c>
      <c r="C562" s="1" t="s">
        <v>786</v>
      </c>
      <c r="D562" s="5" t="s">
        <v>808</v>
      </c>
      <c r="E562" t="s">
        <v>1789</v>
      </c>
      <c r="F562" s="26">
        <v>394</v>
      </c>
      <c r="G562" s="78">
        <v>3256387</v>
      </c>
      <c r="O562" s="117">
        <f t="shared" si="40"/>
        <v>3256387</v>
      </c>
      <c r="P562" s="78">
        <v>869876</v>
      </c>
      <c r="V562" s="1">
        <v>163398</v>
      </c>
      <c r="W562" s="1">
        <v>214883</v>
      </c>
      <c r="Y562" s="78">
        <v>539380</v>
      </c>
      <c r="AD562" s="1">
        <v>46412</v>
      </c>
      <c r="AE562" s="1">
        <v>55018</v>
      </c>
      <c r="AF562" s="1">
        <v>222</v>
      </c>
      <c r="AG562" s="1">
        <v>469447</v>
      </c>
      <c r="AH562" s="1">
        <v>225735</v>
      </c>
      <c r="AU562" s="1">
        <v>2067</v>
      </c>
      <c r="AV562" s="116">
        <f t="shared" si="41"/>
        <v>2586438</v>
      </c>
      <c r="BC562" s="1">
        <v>13206</v>
      </c>
      <c r="BD562" s="1">
        <v>72288</v>
      </c>
      <c r="BE562" s="1">
        <v>50986</v>
      </c>
      <c r="BF562" s="121">
        <f t="shared" si="42"/>
        <v>136480</v>
      </c>
      <c r="BO562" s="1">
        <v>1935</v>
      </c>
      <c r="BP562" s="1">
        <v>37494</v>
      </c>
      <c r="CC562" s="125">
        <f t="shared" si="43"/>
        <v>39429</v>
      </c>
      <c r="CD562" s="1">
        <v>72686</v>
      </c>
      <c r="CK562" s="124">
        <f t="shared" si="44"/>
        <v>72686</v>
      </c>
      <c r="CV562" s="129">
        <v>138547</v>
      </c>
    </row>
    <row r="563" spans="1:100" ht="12.75" customHeight="1">
      <c r="A563" s="1">
        <v>37</v>
      </c>
      <c r="B563" s="1">
        <v>5100</v>
      </c>
      <c r="C563" s="1" t="s">
        <v>786</v>
      </c>
      <c r="D563" s="5" t="s">
        <v>809</v>
      </c>
      <c r="E563" t="s">
        <v>1790</v>
      </c>
      <c r="F563" s="26">
        <v>1668</v>
      </c>
      <c r="G563" s="78">
        <v>13169324</v>
      </c>
      <c r="H563" s="78">
        <v>109504</v>
      </c>
      <c r="M563" s="1">
        <v>95332</v>
      </c>
      <c r="O563" s="117">
        <f t="shared" si="40"/>
        <v>13374160</v>
      </c>
      <c r="P563" s="78">
        <v>5274124</v>
      </c>
      <c r="V563" s="1">
        <v>682206</v>
      </c>
      <c r="W563" s="1">
        <v>1403615</v>
      </c>
      <c r="X563" s="1">
        <v>54</v>
      </c>
      <c r="AC563" s="1">
        <v>14438</v>
      </c>
      <c r="AD563" s="1">
        <v>194534</v>
      </c>
      <c r="AE563" s="1">
        <v>228571</v>
      </c>
      <c r="AF563" s="1">
        <v>12680</v>
      </c>
      <c r="AG563" s="1">
        <v>1480571</v>
      </c>
      <c r="AH563" s="1">
        <v>775032</v>
      </c>
      <c r="AO563" s="1">
        <v>64509</v>
      </c>
      <c r="AP563" s="1">
        <v>83820</v>
      </c>
      <c r="AU563" s="1">
        <v>118465</v>
      </c>
      <c r="AV563" s="116">
        <f t="shared" si="41"/>
        <v>10332619</v>
      </c>
      <c r="BC563" s="1">
        <v>148653</v>
      </c>
      <c r="BD563" s="1">
        <v>447576</v>
      </c>
      <c r="BE563" s="1">
        <v>69676</v>
      </c>
      <c r="BF563" s="121">
        <f t="shared" si="42"/>
        <v>665905</v>
      </c>
      <c r="BG563" s="1">
        <v>67282</v>
      </c>
      <c r="BH563" s="1">
        <v>63990</v>
      </c>
      <c r="CC563" s="125">
        <f t="shared" si="43"/>
        <v>131272</v>
      </c>
      <c r="CD563" s="1">
        <v>225094</v>
      </c>
      <c r="CK563" s="124">
        <f t="shared" si="44"/>
        <v>225094</v>
      </c>
      <c r="CV563" s="129">
        <v>848879</v>
      </c>
    </row>
    <row r="564" spans="1:100" ht="12.75" customHeight="1">
      <c r="A564" s="1">
        <v>37</v>
      </c>
      <c r="B564" s="1">
        <v>5105</v>
      </c>
      <c r="C564" s="1" t="s">
        <v>786</v>
      </c>
      <c r="D564" s="5" t="s">
        <v>810</v>
      </c>
      <c r="E564" t="s">
        <v>1791</v>
      </c>
      <c r="F564" s="26">
        <v>21</v>
      </c>
      <c r="O564" s="117">
        <f t="shared" si="40"/>
        <v>0</v>
      </c>
      <c r="AG564" s="1">
        <v>74738</v>
      </c>
      <c r="AH564" s="1">
        <v>66415</v>
      </c>
      <c r="AU564" s="1">
        <v>684</v>
      </c>
      <c r="AV564" s="116">
        <f t="shared" si="41"/>
        <v>141837</v>
      </c>
      <c r="BE564" s="1">
        <v>5414</v>
      </c>
      <c r="BF564" s="121">
        <f t="shared" si="42"/>
        <v>5414</v>
      </c>
      <c r="BI564" s="1">
        <v>976325</v>
      </c>
      <c r="BJ564" s="1">
        <v>26823</v>
      </c>
      <c r="CC564" s="125">
        <f t="shared" si="43"/>
        <v>1003148</v>
      </c>
      <c r="CD564" s="1">
        <v>1827850</v>
      </c>
      <c r="CK564" s="124">
        <f t="shared" si="44"/>
        <v>1827850</v>
      </c>
      <c r="CV564" s="129">
        <v>6098</v>
      </c>
    </row>
    <row r="565" spans="1:100" ht="12.75" customHeight="1">
      <c r="A565" s="1">
        <v>37</v>
      </c>
      <c r="B565" s="1">
        <v>5110</v>
      </c>
      <c r="C565" s="1" t="s">
        <v>786</v>
      </c>
      <c r="D565" s="5" t="s">
        <v>811</v>
      </c>
      <c r="E565" t="s">
        <v>1792</v>
      </c>
      <c r="F565" s="26">
        <v>594.5</v>
      </c>
      <c r="H565" s="78">
        <v>101206</v>
      </c>
      <c r="I565" s="1">
        <v>7047646</v>
      </c>
      <c r="L565" s="1">
        <v>2415</v>
      </c>
      <c r="O565" s="117">
        <f t="shared" si="40"/>
        <v>7151267</v>
      </c>
      <c r="P565" s="78">
        <v>1780660</v>
      </c>
      <c r="W565" s="1">
        <v>585159</v>
      </c>
      <c r="Y565" s="78">
        <v>551618</v>
      </c>
      <c r="AA565" s="1">
        <v>1122704</v>
      </c>
      <c r="AD565" s="1">
        <v>62211</v>
      </c>
      <c r="AE565" s="1">
        <v>123536</v>
      </c>
      <c r="AF565" s="1">
        <v>2368</v>
      </c>
      <c r="AG565" s="1">
        <v>910273</v>
      </c>
      <c r="AH565" s="1">
        <v>420383</v>
      </c>
      <c r="AO565" s="1">
        <v>15504</v>
      </c>
      <c r="AU565" s="1">
        <v>379190</v>
      </c>
      <c r="AV565" s="116">
        <f t="shared" si="41"/>
        <v>5953606</v>
      </c>
      <c r="BC565" s="1">
        <v>65715</v>
      </c>
      <c r="BD565" s="1">
        <v>161892</v>
      </c>
      <c r="BE565" s="1">
        <v>266539</v>
      </c>
      <c r="BF565" s="121">
        <f t="shared" si="42"/>
        <v>494146</v>
      </c>
      <c r="BN565" s="1">
        <v>469505</v>
      </c>
      <c r="BP565" s="1">
        <v>497397</v>
      </c>
      <c r="CB565" s="1">
        <v>437903</v>
      </c>
      <c r="CC565" s="125">
        <f t="shared" si="43"/>
        <v>1404805</v>
      </c>
      <c r="CF565" s="1">
        <v>14247</v>
      </c>
      <c r="CG565" s="1">
        <v>8040</v>
      </c>
      <c r="CK565" s="124">
        <f t="shared" si="44"/>
        <v>22287</v>
      </c>
      <c r="CV565" s="129">
        <v>891255</v>
      </c>
    </row>
    <row r="566" spans="1:100" ht="12.75" customHeight="1">
      <c r="A566" s="1">
        <v>37</v>
      </c>
      <c r="B566" s="1">
        <v>5360</v>
      </c>
      <c r="C566" s="1" t="s">
        <v>786</v>
      </c>
      <c r="D566" s="5" t="s">
        <v>812</v>
      </c>
      <c r="E566" t="s">
        <v>1793</v>
      </c>
      <c r="F566" s="26">
        <v>4980.5</v>
      </c>
      <c r="G566" s="78">
        <v>36216741</v>
      </c>
      <c r="H566" s="78">
        <v>457944</v>
      </c>
      <c r="M566" s="1">
        <v>1105054</v>
      </c>
      <c r="O566" s="117">
        <f t="shared" si="40"/>
        <v>37779739</v>
      </c>
      <c r="P566" s="78">
        <v>20170076</v>
      </c>
      <c r="V566" s="1">
        <v>2512401</v>
      </c>
      <c r="W566" s="1">
        <v>2833735</v>
      </c>
      <c r="X566" s="1">
        <v>11716</v>
      </c>
      <c r="AC566" s="1">
        <v>222118</v>
      </c>
      <c r="AD566" s="1">
        <v>579300</v>
      </c>
      <c r="AE566" s="1">
        <v>695543</v>
      </c>
      <c r="AF566" s="1">
        <v>11631</v>
      </c>
      <c r="AG566" s="1">
        <v>3999191</v>
      </c>
      <c r="AH566" s="1">
        <v>2399034</v>
      </c>
      <c r="AP566" s="1">
        <v>907825</v>
      </c>
      <c r="AU566" s="1">
        <v>3016</v>
      </c>
      <c r="AV566" s="116">
        <f t="shared" si="41"/>
        <v>34345586</v>
      </c>
      <c r="AW566" s="1">
        <v>5098</v>
      </c>
      <c r="BC566" s="1">
        <v>237871</v>
      </c>
      <c r="BD566" s="1">
        <v>975897</v>
      </c>
      <c r="BE566" s="1">
        <v>194042</v>
      </c>
      <c r="BF566" s="121">
        <f t="shared" si="42"/>
        <v>1412908</v>
      </c>
      <c r="BO566" s="1">
        <v>10257</v>
      </c>
      <c r="CA566" s="1">
        <v>132869</v>
      </c>
      <c r="CC566" s="125">
        <f t="shared" si="43"/>
        <v>143126</v>
      </c>
      <c r="CD566" s="1">
        <v>200218</v>
      </c>
      <c r="CK566" s="124">
        <f t="shared" si="44"/>
        <v>200218</v>
      </c>
      <c r="CM566" s="23">
        <v>6222000</v>
      </c>
      <c r="CV566" s="129">
        <v>1410826</v>
      </c>
    </row>
    <row r="567" spans="1:100" ht="12.75" customHeight="1">
      <c r="A567" s="1">
        <v>37</v>
      </c>
      <c r="B567" s="1">
        <v>5435</v>
      </c>
      <c r="C567" s="1" t="s">
        <v>786</v>
      </c>
      <c r="D567" s="5" t="s">
        <v>813</v>
      </c>
      <c r="E567" t="s">
        <v>1794</v>
      </c>
      <c r="F567" s="26">
        <v>877</v>
      </c>
      <c r="G567" s="78">
        <v>7544809</v>
      </c>
      <c r="H567" s="78">
        <v>178718</v>
      </c>
      <c r="M567" s="1">
        <v>682671</v>
      </c>
      <c r="O567" s="117">
        <f t="shared" si="40"/>
        <v>8406198</v>
      </c>
      <c r="P567" s="78">
        <v>3737004</v>
      </c>
      <c r="V567" s="1">
        <v>374213</v>
      </c>
      <c r="W567" s="1">
        <v>467255</v>
      </c>
      <c r="X567" s="1">
        <v>4672</v>
      </c>
      <c r="AC567" s="1">
        <v>43949</v>
      </c>
      <c r="AD567" s="1">
        <v>99955</v>
      </c>
      <c r="AE567" s="1">
        <v>140493</v>
      </c>
      <c r="AF567" s="1">
        <v>4644</v>
      </c>
      <c r="AG567" s="1">
        <v>782405</v>
      </c>
      <c r="AH567" s="1">
        <v>467325</v>
      </c>
      <c r="AP567" s="1">
        <v>266803</v>
      </c>
      <c r="AU567" s="1">
        <v>800</v>
      </c>
      <c r="AV567" s="116">
        <f t="shared" si="41"/>
        <v>6389518</v>
      </c>
      <c r="BC567" s="1">
        <v>27994</v>
      </c>
      <c r="BD567" s="1">
        <v>144188</v>
      </c>
      <c r="BE567" s="1">
        <v>18738</v>
      </c>
      <c r="BF567" s="121">
        <f t="shared" si="42"/>
        <v>190920</v>
      </c>
      <c r="BI567" s="1">
        <v>4750</v>
      </c>
      <c r="BO567" s="1">
        <v>8575</v>
      </c>
      <c r="CA567" s="1">
        <v>106118</v>
      </c>
      <c r="CC567" s="125">
        <f t="shared" si="43"/>
        <v>119443</v>
      </c>
      <c r="CD567" s="1">
        <v>28670</v>
      </c>
      <c r="CK567" s="124">
        <f t="shared" si="44"/>
        <v>28670</v>
      </c>
      <c r="CV567" s="129">
        <v>191720</v>
      </c>
    </row>
    <row r="568" spans="1:100" ht="12.75" customHeight="1">
      <c r="A568" s="1">
        <v>39</v>
      </c>
      <c r="B568" s="1">
        <v>310</v>
      </c>
      <c r="C568" s="1" t="s">
        <v>814</v>
      </c>
      <c r="D568" s="5" t="s">
        <v>815</v>
      </c>
      <c r="E568" t="s">
        <v>1795</v>
      </c>
      <c r="F568" s="26">
        <v>2847.5</v>
      </c>
      <c r="G568" s="78">
        <v>31930028</v>
      </c>
      <c r="H568" s="78">
        <v>373821</v>
      </c>
      <c r="M568" s="1">
        <v>1600134</v>
      </c>
      <c r="O568" s="117">
        <f t="shared" si="40"/>
        <v>33903983</v>
      </c>
      <c r="V568" s="1">
        <v>468278</v>
      </c>
      <c r="W568" s="1">
        <v>1089281</v>
      </c>
      <c r="X568" s="1">
        <v>48858</v>
      </c>
      <c r="AD568" s="1">
        <v>135454</v>
      </c>
      <c r="AE568" s="1">
        <v>52256</v>
      </c>
      <c r="AF568" s="1">
        <v>19979</v>
      </c>
      <c r="AG568" s="1">
        <v>2890437</v>
      </c>
      <c r="AH568" s="1">
        <v>1302646</v>
      </c>
      <c r="AP568" s="1">
        <v>703894</v>
      </c>
      <c r="AU568" s="1">
        <v>6709</v>
      </c>
      <c r="AV568" s="116">
        <f t="shared" si="41"/>
        <v>6717792</v>
      </c>
      <c r="AX568" s="1">
        <v>5780</v>
      </c>
      <c r="BD568" s="1">
        <v>453246</v>
      </c>
      <c r="BE568" s="1">
        <v>347758</v>
      </c>
      <c r="BF568" s="121">
        <f t="shared" si="42"/>
        <v>806784</v>
      </c>
      <c r="BG568" s="1">
        <v>1075000</v>
      </c>
      <c r="BI568" s="1">
        <v>40580</v>
      </c>
      <c r="BK568" s="1">
        <v>59267</v>
      </c>
      <c r="BO568" s="1">
        <v>1568</v>
      </c>
      <c r="BR568" s="1">
        <v>26363</v>
      </c>
      <c r="CC568" s="125">
        <f t="shared" si="43"/>
        <v>1202778</v>
      </c>
      <c r="CD568" s="1">
        <v>3545189</v>
      </c>
      <c r="CK568" s="124">
        <f t="shared" si="44"/>
        <v>3545189</v>
      </c>
      <c r="CV568" s="129">
        <v>813493</v>
      </c>
    </row>
    <row r="569" spans="1:100" ht="12.75" customHeight="1">
      <c r="A569" s="1">
        <v>39</v>
      </c>
      <c r="B569" s="1">
        <v>850</v>
      </c>
      <c r="C569" s="1" t="s">
        <v>814</v>
      </c>
      <c r="D569" s="5" t="s">
        <v>816</v>
      </c>
      <c r="E569" t="s">
        <v>1796</v>
      </c>
      <c r="F569" s="26">
        <v>2373</v>
      </c>
      <c r="G569" s="78">
        <v>25981824</v>
      </c>
      <c r="H569" s="78">
        <v>407074</v>
      </c>
      <c r="L569" s="1">
        <v>20445</v>
      </c>
      <c r="M569" s="1">
        <v>889712</v>
      </c>
      <c r="O569" s="117">
        <f t="shared" si="40"/>
        <v>27299055</v>
      </c>
      <c r="V569" s="1">
        <v>216430</v>
      </c>
      <c r="W569" s="1">
        <v>992178</v>
      </c>
      <c r="X569" s="1">
        <v>28014</v>
      </c>
      <c r="Y569" s="78">
        <v>18742</v>
      </c>
      <c r="AC569" s="1">
        <v>97102</v>
      </c>
      <c r="AD569" s="1">
        <v>249832</v>
      </c>
      <c r="AE569" s="1">
        <v>45156</v>
      </c>
      <c r="AF569" s="1">
        <v>11252</v>
      </c>
      <c r="AG569" s="1">
        <v>2548190</v>
      </c>
      <c r="AH569" s="1">
        <v>1030890</v>
      </c>
      <c r="AT569" s="1">
        <v>5088592</v>
      </c>
      <c r="AU569" s="1">
        <v>512307</v>
      </c>
      <c r="AV569" s="116">
        <f t="shared" si="41"/>
        <v>10838685</v>
      </c>
      <c r="BD569" s="1">
        <v>523064</v>
      </c>
      <c r="BE569" s="1">
        <v>43895</v>
      </c>
      <c r="BF569" s="121">
        <f t="shared" si="42"/>
        <v>566959</v>
      </c>
      <c r="CA569" s="1">
        <v>538432</v>
      </c>
      <c r="CC569" s="125">
        <f t="shared" si="43"/>
        <v>538432</v>
      </c>
      <c r="CD569" s="1">
        <v>1485749</v>
      </c>
      <c r="CK569" s="124">
        <f t="shared" si="44"/>
        <v>1485749</v>
      </c>
      <c r="CM569" s="23">
        <v>684000</v>
      </c>
      <c r="CV569" s="129">
        <v>1099711</v>
      </c>
    </row>
    <row r="570" spans="1:100" ht="12.75" customHeight="1">
      <c r="A570" s="1">
        <v>39</v>
      </c>
      <c r="B570" s="1">
        <v>980</v>
      </c>
      <c r="C570" s="1" t="s">
        <v>814</v>
      </c>
      <c r="D570" s="5" t="s">
        <v>817</v>
      </c>
      <c r="E570" t="s">
        <v>1797</v>
      </c>
      <c r="F570" s="26">
        <v>3699</v>
      </c>
      <c r="G570" s="78">
        <v>39872851</v>
      </c>
      <c r="H570" s="78">
        <v>375215</v>
      </c>
      <c r="L570" s="1">
        <v>57044</v>
      </c>
      <c r="M570" s="1">
        <v>348627</v>
      </c>
      <c r="O570" s="117">
        <f t="shared" si="40"/>
        <v>40653737</v>
      </c>
      <c r="W570" s="1">
        <v>2287806</v>
      </c>
      <c r="AC570" s="1">
        <v>185866</v>
      </c>
      <c r="AD570" s="1">
        <v>374035</v>
      </c>
      <c r="AE570" s="1">
        <v>79855</v>
      </c>
      <c r="AF570" s="1">
        <v>25781</v>
      </c>
      <c r="AG570" s="1">
        <v>3677280</v>
      </c>
      <c r="AH570" s="1">
        <v>1787468</v>
      </c>
      <c r="AT570" s="1">
        <v>6895</v>
      </c>
      <c r="AU570" s="1">
        <v>192771</v>
      </c>
      <c r="AV570" s="116">
        <f t="shared" si="41"/>
        <v>8617757</v>
      </c>
      <c r="BD570" s="1">
        <v>773132</v>
      </c>
      <c r="BE570" s="1">
        <v>137105</v>
      </c>
      <c r="BF570" s="121">
        <f t="shared" si="42"/>
        <v>910237</v>
      </c>
      <c r="BG570" s="1">
        <v>355660</v>
      </c>
      <c r="BI570" s="1">
        <v>33555</v>
      </c>
      <c r="BK570" s="1">
        <v>13736</v>
      </c>
      <c r="BP570" s="1">
        <v>39092</v>
      </c>
      <c r="CC570" s="125">
        <f t="shared" si="43"/>
        <v>442043</v>
      </c>
      <c r="CD570" s="1">
        <v>2642718</v>
      </c>
      <c r="CK570" s="124">
        <f t="shared" si="44"/>
        <v>2642718</v>
      </c>
      <c r="CV570" s="129">
        <v>1160052</v>
      </c>
    </row>
    <row r="571" spans="1:100" ht="12.75" customHeight="1">
      <c r="A571" s="1">
        <v>39</v>
      </c>
      <c r="B571" s="1">
        <v>1320</v>
      </c>
      <c r="C571" s="1" t="s">
        <v>814</v>
      </c>
      <c r="D571" s="5" t="s">
        <v>818</v>
      </c>
      <c r="E571" t="s">
        <v>1798</v>
      </c>
      <c r="F571" s="26">
        <v>21214</v>
      </c>
      <c r="G571" s="78">
        <v>37165104</v>
      </c>
      <c r="H571" s="78">
        <v>4184358</v>
      </c>
      <c r="L571" s="1">
        <v>200306</v>
      </c>
      <c r="O571" s="117">
        <f t="shared" si="40"/>
        <v>41549768</v>
      </c>
      <c r="P571" s="78">
        <v>107387646</v>
      </c>
      <c r="Q571" s="78">
        <v>13017568</v>
      </c>
      <c r="S571" s="25">
        <v>92660953</v>
      </c>
      <c r="V571" s="1">
        <v>1986412</v>
      </c>
      <c r="W571" s="1">
        <v>11424363</v>
      </c>
      <c r="X571" s="1">
        <v>4554454</v>
      </c>
      <c r="AC571" s="1">
        <v>810881</v>
      </c>
      <c r="AD571" s="1">
        <v>2281957</v>
      </c>
      <c r="AG571" s="1">
        <v>16958023</v>
      </c>
      <c r="AH571" s="1">
        <v>11398234</v>
      </c>
      <c r="AM571" s="1">
        <v>9198019</v>
      </c>
      <c r="AU571" s="1">
        <v>11492345</v>
      </c>
      <c r="AV571" s="116">
        <f t="shared" si="41"/>
        <v>283170855</v>
      </c>
      <c r="AW571" s="1">
        <v>521765</v>
      </c>
      <c r="AZ571" s="1">
        <v>22102</v>
      </c>
      <c r="BA571" s="1">
        <v>1790</v>
      </c>
      <c r="BC571" s="1">
        <v>8079663</v>
      </c>
      <c r="BD571" s="1">
        <v>5253255</v>
      </c>
      <c r="BE571" s="1">
        <v>6156293</v>
      </c>
      <c r="BF571" s="121">
        <f t="shared" si="42"/>
        <v>20034868</v>
      </c>
      <c r="BG571" s="1">
        <v>47864421</v>
      </c>
      <c r="BI571" s="1">
        <v>1252</v>
      </c>
      <c r="CC571" s="125">
        <f t="shared" si="43"/>
        <v>47865673</v>
      </c>
      <c r="CK571" s="124">
        <f t="shared" si="44"/>
        <v>0</v>
      </c>
      <c r="CR571" s="23">
        <v>221674</v>
      </c>
      <c r="CT571" s="23">
        <v>34564237</v>
      </c>
      <c r="CV571" s="129">
        <v>78208684</v>
      </c>
    </row>
    <row r="572" spans="1:100" ht="12.75" customHeight="1">
      <c r="A572" s="1">
        <v>39</v>
      </c>
      <c r="B572" s="1">
        <v>1710</v>
      </c>
      <c r="C572" s="1" t="s">
        <v>814</v>
      </c>
      <c r="D572" s="5" t="s">
        <v>819</v>
      </c>
      <c r="E572" t="s">
        <v>1799</v>
      </c>
      <c r="F572" s="26">
        <v>407</v>
      </c>
      <c r="G572" s="78">
        <v>5240944</v>
      </c>
      <c r="H572" s="78">
        <v>459295</v>
      </c>
      <c r="L572" s="1">
        <v>2282</v>
      </c>
      <c r="M572" s="1">
        <v>505580</v>
      </c>
      <c r="O572" s="117">
        <f t="shared" si="40"/>
        <v>6208101</v>
      </c>
      <c r="V572" s="1">
        <v>127216</v>
      </c>
      <c r="W572" s="1">
        <v>328683</v>
      </c>
      <c r="AC572" s="1">
        <v>44730</v>
      </c>
      <c r="AF572" s="1">
        <v>78118</v>
      </c>
      <c r="AG572" s="1">
        <v>319692</v>
      </c>
      <c r="AH572" s="1">
        <v>161808</v>
      </c>
      <c r="AV572" s="116">
        <f t="shared" si="41"/>
        <v>1060247</v>
      </c>
      <c r="BC572" s="1">
        <v>28419</v>
      </c>
      <c r="BD572" s="1">
        <v>115132</v>
      </c>
      <c r="BE572" s="1">
        <v>7173</v>
      </c>
      <c r="BF572" s="121">
        <f t="shared" si="42"/>
        <v>150724</v>
      </c>
      <c r="BO572" s="1">
        <v>11007</v>
      </c>
      <c r="BY572" s="1">
        <v>99041</v>
      </c>
      <c r="CC572" s="125">
        <f t="shared" si="43"/>
        <v>110048</v>
      </c>
      <c r="CK572" s="124">
        <f t="shared" si="44"/>
        <v>0</v>
      </c>
      <c r="CV572" s="129">
        <v>153006</v>
      </c>
    </row>
    <row r="573" spans="1:100" ht="12.75" customHeight="1">
      <c r="A573" s="1">
        <v>39</v>
      </c>
      <c r="B573" s="1">
        <v>2190</v>
      </c>
      <c r="C573" s="1" t="s">
        <v>814</v>
      </c>
      <c r="D573" s="5" t="s">
        <v>820</v>
      </c>
      <c r="E573" t="s">
        <v>1800</v>
      </c>
      <c r="F573" s="26">
        <v>3206.5</v>
      </c>
      <c r="G573" s="78">
        <v>23742459</v>
      </c>
      <c r="L573" s="1">
        <v>93226</v>
      </c>
      <c r="O573" s="117">
        <f t="shared" si="40"/>
        <v>23835685</v>
      </c>
      <c r="P573" s="78">
        <v>6751939</v>
      </c>
      <c r="Q573" s="78">
        <v>1691712</v>
      </c>
      <c r="U573" s="1">
        <v>1749273</v>
      </c>
      <c r="V573" s="1">
        <v>329576</v>
      </c>
      <c r="W573" s="1">
        <v>1943669</v>
      </c>
      <c r="X573" s="1">
        <v>145820</v>
      </c>
      <c r="AC573" s="1">
        <v>318529</v>
      </c>
      <c r="AD573" s="1">
        <v>366355</v>
      </c>
      <c r="AE573" s="1">
        <v>426722</v>
      </c>
      <c r="AF573" s="1">
        <v>9669</v>
      </c>
      <c r="AG573" s="1">
        <v>2533917</v>
      </c>
      <c r="AH573" s="1">
        <v>1433892</v>
      </c>
      <c r="AM573" s="1">
        <v>1297965</v>
      </c>
      <c r="AT573" s="1">
        <v>262936</v>
      </c>
      <c r="AU573" s="1">
        <v>364027</v>
      </c>
      <c r="AV573" s="116">
        <f t="shared" si="41"/>
        <v>19626001</v>
      </c>
      <c r="AW573" s="1">
        <v>36446</v>
      </c>
      <c r="BC573" s="1">
        <v>239672</v>
      </c>
      <c r="BD573" s="1">
        <v>857356</v>
      </c>
      <c r="BE573" s="1">
        <v>771685</v>
      </c>
      <c r="BF573" s="121">
        <f t="shared" si="42"/>
        <v>1905159</v>
      </c>
      <c r="BP573" s="1">
        <v>432705</v>
      </c>
      <c r="CC573" s="125">
        <f t="shared" si="43"/>
        <v>432705</v>
      </c>
      <c r="CD573" s="1">
        <v>1599344</v>
      </c>
      <c r="CK573" s="124">
        <f t="shared" si="44"/>
        <v>1599344</v>
      </c>
      <c r="CT573" s="23">
        <v>1606053</v>
      </c>
      <c r="CV573" s="129">
        <v>5229984</v>
      </c>
    </row>
    <row r="574" spans="1:100" ht="12.75" customHeight="1">
      <c r="A574" s="1">
        <v>39</v>
      </c>
      <c r="B574" s="1">
        <v>2420</v>
      </c>
      <c r="C574" s="1" t="s">
        <v>814</v>
      </c>
      <c r="D574" s="5" t="s">
        <v>821</v>
      </c>
      <c r="E574" t="s">
        <v>1801</v>
      </c>
      <c r="F574" s="26">
        <v>1324.5</v>
      </c>
      <c r="G574" s="78">
        <v>14133275</v>
      </c>
      <c r="H574" s="78">
        <v>521603</v>
      </c>
      <c r="L574" s="1">
        <v>59329</v>
      </c>
      <c r="M574" s="1">
        <v>294667</v>
      </c>
      <c r="O574" s="117">
        <f t="shared" si="40"/>
        <v>15008874</v>
      </c>
      <c r="R574" s="1">
        <v>886256</v>
      </c>
      <c r="V574" s="1">
        <v>91893</v>
      </c>
      <c r="W574" s="1">
        <v>551086</v>
      </c>
      <c r="X574" s="1">
        <v>15202</v>
      </c>
      <c r="Y574" s="78">
        <v>91573</v>
      </c>
      <c r="AC574" s="1">
        <v>68513</v>
      </c>
      <c r="AD574" s="1">
        <v>145598</v>
      </c>
      <c r="AE574" s="1">
        <v>53207</v>
      </c>
      <c r="AF574" s="1">
        <v>106241</v>
      </c>
      <c r="AG574" s="1">
        <v>964993</v>
      </c>
      <c r="AH574" s="1">
        <v>601342</v>
      </c>
      <c r="AO574" s="1">
        <v>23616</v>
      </c>
      <c r="AP574" s="1">
        <v>123675</v>
      </c>
      <c r="AU574" s="1">
        <v>216891</v>
      </c>
      <c r="AV574" s="116">
        <f t="shared" si="41"/>
        <v>3940086</v>
      </c>
      <c r="BC574" s="1">
        <v>132332</v>
      </c>
      <c r="BD574" s="1">
        <v>288029</v>
      </c>
      <c r="BE574" s="1">
        <v>41766</v>
      </c>
      <c r="BF574" s="121">
        <f t="shared" si="42"/>
        <v>462127</v>
      </c>
      <c r="BI574" s="1">
        <v>383712</v>
      </c>
      <c r="CC574" s="125">
        <f t="shared" si="43"/>
        <v>383712</v>
      </c>
      <c r="CK574" s="124">
        <f t="shared" si="44"/>
        <v>0</v>
      </c>
      <c r="CV574" s="129">
        <v>761963</v>
      </c>
    </row>
    <row r="575" spans="1:100" ht="12.75" customHeight="1">
      <c r="A575" s="1">
        <v>39</v>
      </c>
      <c r="B575" s="1">
        <v>2660</v>
      </c>
      <c r="C575" s="1" t="s">
        <v>814</v>
      </c>
      <c r="D575" s="5" t="s">
        <v>822</v>
      </c>
      <c r="E575" t="s">
        <v>1802</v>
      </c>
      <c r="F575" s="26">
        <v>6205.5</v>
      </c>
      <c r="G575" s="78">
        <v>68458631</v>
      </c>
      <c r="H575" s="78">
        <v>1310574</v>
      </c>
      <c r="L575" s="1">
        <v>286888</v>
      </c>
      <c r="O575" s="117">
        <f t="shared" si="40"/>
        <v>70056093</v>
      </c>
      <c r="P575" s="78">
        <v>4626218</v>
      </c>
      <c r="V575" s="1">
        <v>951769</v>
      </c>
      <c r="W575" s="1">
        <v>4613942</v>
      </c>
      <c r="X575" s="1">
        <v>402708</v>
      </c>
      <c r="AC575" s="1">
        <v>309873</v>
      </c>
      <c r="AD575" s="1">
        <v>673880</v>
      </c>
      <c r="AE575" s="1">
        <v>492147</v>
      </c>
      <c r="AF575" s="1">
        <v>526249</v>
      </c>
      <c r="AG575" s="1">
        <v>5447323</v>
      </c>
      <c r="AH575" s="1">
        <v>2911519</v>
      </c>
      <c r="AJ575" s="1">
        <v>252687</v>
      </c>
      <c r="AM575" s="1">
        <v>1871015</v>
      </c>
      <c r="AU575" s="1">
        <v>384871</v>
      </c>
      <c r="AV575" s="116">
        <f t="shared" si="41"/>
        <v>23464201</v>
      </c>
      <c r="BB575" s="1">
        <v>37485</v>
      </c>
      <c r="BC575" s="1">
        <v>827175</v>
      </c>
      <c r="BD575" s="1">
        <v>1508270</v>
      </c>
      <c r="BE575" s="1">
        <v>2383138</v>
      </c>
      <c r="BF575" s="121">
        <f t="shared" si="42"/>
        <v>4756068</v>
      </c>
      <c r="BI575" s="1">
        <v>40048</v>
      </c>
      <c r="BO575" s="1">
        <v>98545</v>
      </c>
      <c r="BP575" s="1">
        <v>1166</v>
      </c>
      <c r="CB575" s="1">
        <v>770995</v>
      </c>
      <c r="CC575" s="125">
        <f t="shared" si="43"/>
        <v>910754</v>
      </c>
      <c r="CK575" s="124">
        <f t="shared" si="44"/>
        <v>0</v>
      </c>
      <c r="CO575" s="23">
        <v>5726</v>
      </c>
      <c r="CQ575" s="23">
        <v>189118</v>
      </c>
      <c r="CR575" s="23">
        <v>100890</v>
      </c>
      <c r="CT575" s="23">
        <v>3047743</v>
      </c>
      <c r="CV575" s="129">
        <v>10889280</v>
      </c>
    </row>
    <row r="576" spans="1:100" ht="12.75" customHeight="1">
      <c r="A576" s="1">
        <v>39</v>
      </c>
      <c r="B576" s="1">
        <v>3395</v>
      </c>
      <c r="C576" s="1" t="s">
        <v>814</v>
      </c>
      <c r="D576" s="5" t="s">
        <v>823</v>
      </c>
      <c r="E576" t="s">
        <v>1803</v>
      </c>
      <c r="F576" s="26">
        <v>303</v>
      </c>
      <c r="H576" s="78">
        <v>1957864</v>
      </c>
      <c r="L576" s="1">
        <v>8278</v>
      </c>
      <c r="O576" s="117">
        <f t="shared" si="40"/>
        <v>1966142</v>
      </c>
      <c r="AG576" s="1">
        <v>664430</v>
      </c>
      <c r="AH576" s="1">
        <v>628732</v>
      </c>
      <c r="AU576" s="1">
        <v>5197</v>
      </c>
      <c r="AV576" s="116">
        <f t="shared" si="41"/>
        <v>1298359</v>
      </c>
      <c r="BE576" s="1">
        <v>44080</v>
      </c>
      <c r="BF576" s="121">
        <f t="shared" si="42"/>
        <v>44080</v>
      </c>
      <c r="BG576" s="1">
        <v>550000</v>
      </c>
      <c r="CA576" s="1">
        <v>469655</v>
      </c>
      <c r="CC576" s="125">
        <f t="shared" si="43"/>
        <v>1019655</v>
      </c>
      <c r="CD576" s="1">
        <v>23541286</v>
      </c>
      <c r="CK576" s="124">
        <f t="shared" si="44"/>
        <v>23541286</v>
      </c>
      <c r="CV576" s="129">
        <v>57555</v>
      </c>
    </row>
    <row r="577" spans="1:100" ht="12.75" customHeight="1">
      <c r="A577" s="1">
        <v>39</v>
      </c>
      <c r="B577" s="1">
        <v>3470</v>
      </c>
      <c r="C577" s="1" t="s">
        <v>814</v>
      </c>
      <c r="D577" s="5" t="s">
        <v>824</v>
      </c>
      <c r="E577" t="s">
        <v>1804</v>
      </c>
      <c r="F577" s="26">
        <v>761</v>
      </c>
      <c r="G577" s="78">
        <v>10884860</v>
      </c>
      <c r="H577" s="78">
        <v>1267709</v>
      </c>
      <c r="L577" s="1">
        <v>9728</v>
      </c>
      <c r="M577" s="1">
        <v>391573</v>
      </c>
      <c r="O577" s="117">
        <f t="shared" si="40"/>
        <v>12553870</v>
      </c>
      <c r="V577" s="1">
        <v>126001</v>
      </c>
      <c r="W577" s="1">
        <v>384122</v>
      </c>
      <c r="X577" s="1">
        <v>2354</v>
      </c>
      <c r="AC577" s="1">
        <v>65335</v>
      </c>
      <c r="AD577" s="1">
        <v>57332</v>
      </c>
      <c r="AE577" s="1">
        <v>17094</v>
      </c>
      <c r="AF577" s="1">
        <v>66321</v>
      </c>
      <c r="AG577" s="1">
        <v>616671</v>
      </c>
      <c r="AH577" s="1">
        <v>353521</v>
      </c>
      <c r="AU577" s="1">
        <v>452</v>
      </c>
      <c r="AV577" s="116">
        <f t="shared" si="41"/>
        <v>1689203</v>
      </c>
      <c r="BD577" s="1">
        <v>147164</v>
      </c>
      <c r="BE577" s="1">
        <v>27682</v>
      </c>
      <c r="BF577" s="121">
        <f t="shared" si="42"/>
        <v>174846</v>
      </c>
      <c r="BJ577" s="1">
        <v>26950</v>
      </c>
      <c r="CA577" s="1">
        <v>9860</v>
      </c>
      <c r="CC577" s="125">
        <f t="shared" si="43"/>
        <v>36810</v>
      </c>
      <c r="CK577" s="124">
        <f t="shared" si="44"/>
        <v>0</v>
      </c>
      <c r="CV577" s="129">
        <v>185026</v>
      </c>
    </row>
    <row r="578" spans="1:100" ht="12.75" customHeight="1">
      <c r="A578" s="1">
        <v>39</v>
      </c>
      <c r="B578" s="1">
        <v>3560</v>
      </c>
      <c r="C578" s="1" t="s">
        <v>814</v>
      </c>
      <c r="D578" s="5" t="s">
        <v>826</v>
      </c>
      <c r="E578" t="s">
        <v>1805</v>
      </c>
      <c r="F578" s="26">
        <v>2239.5</v>
      </c>
      <c r="G578" s="78">
        <v>26562548</v>
      </c>
      <c r="H578" s="78">
        <v>311706</v>
      </c>
      <c r="M578" s="1">
        <v>790769</v>
      </c>
      <c r="O578" s="117">
        <f t="shared" si="40"/>
        <v>27665023</v>
      </c>
      <c r="V578" s="1">
        <v>94042</v>
      </c>
      <c r="W578" s="1">
        <v>993490</v>
      </c>
      <c r="X578" s="1">
        <v>25660</v>
      </c>
      <c r="Y578" s="78">
        <v>89311</v>
      </c>
      <c r="AC578" s="1">
        <v>120402</v>
      </c>
      <c r="AD578" s="1">
        <v>142866</v>
      </c>
      <c r="AE578" s="1">
        <v>40361</v>
      </c>
      <c r="AG578" s="1">
        <v>2141254</v>
      </c>
      <c r="AH578" s="1">
        <v>1038340</v>
      </c>
      <c r="AP578" s="1">
        <v>100604</v>
      </c>
      <c r="AU578" s="1">
        <v>167169</v>
      </c>
      <c r="AV578" s="116">
        <f t="shared" si="41"/>
        <v>4953499</v>
      </c>
      <c r="BD578" s="1">
        <v>417418</v>
      </c>
      <c r="BE578" s="1">
        <v>48381</v>
      </c>
      <c r="BF578" s="121">
        <f t="shared" si="42"/>
        <v>465799</v>
      </c>
      <c r="BI578" s="1">
        <v>30447</v>
      </c>
      <c r="CA578" s="1">
        <v>493147</v>
      </c>
      <c r="CC578" s="125">
        <f t="shared" si="43"/>
        <v>523594</v>
      </c>
      <c r="CD578" s="1">
        <v>12283</v>
      </c>
      <c r="CK578" s="124">
        <f t="shared" si="44"/>
        <v>12283</v>
      </c>
      <c r="CV578" s="129">
        <v>632968</v>
      </c>
    </row>
    <row r="579" spans="1:100" ht="12.75" customHeight="1">
      <c r="A579" s="1">
        <v>39</v>
      </c>
      <c r="B579" s="1">
        <v>4160</v>
      </c>
      <c r="C579" s="1" t="s">
        <v>814</v>
      </c>
      <c r="D579" s="5" t="s">
        <v>827</v>
      </c>
      <c r="E579" t="s">
        <v>1806</v>
      </c>
      <c r="F579" s="26">
        <v>6624</v>
      </c>
      <c r="G579" s="78">
        <v>17683906</v>
      </c>
      <c r="L579" s="1">
        <v>17310</v>
      </c>
      <c r="M579" s="1">
        <v>1053201</v>
      </c>
      <c r="O579" s="117">
        <f t="shared" si="40"/>
        <v>18754417</v>
      </c>
      <c r="P579" s="78">
        <v>37971450</v>
      </c>
      <c r="Q579" s="78">
        <v>7068424</v>
      </c>
      <c r="S579" s="25">
        <v>37120786</v>
      </c>
      <c r="V579" s="1">
        <v>1384339</v>
      </c>
      <c r="W579" s="1">
        <v>4391601</v>
      </c>
      <c r="X579" s="1">
        <v>1421984</v>
      </c>
      <c r="AC579" s="1">
        <v>152820</v>
      </c>
      <c r="AD579" s="1">
        <v>959797</v>
      </c>
      <c r="AG579" s="1">
        <v>7392522</v>
      </c>
      <c r="AH579" s="1">
        <v>3822051</v>
      </c>
      <c r="AM579" s="1">
        <v>3204577</v>
      </c>
      <c r="AP579" s="1">
        <v>1387634</v>
      </c>
      <c r="AT579" s="1">
        <v>13769823</v>
      </c>
      <c r="AU579" s="1">
        <v>1524404</v>
      </c>
      <c r="AV579" s="116">
        <f t="shared" si="41"/>
        <v>121572212</v>
      </c>
      <c r="AW579" s="1">
        <v>30276</v>
      </c>
      <c r="BA579" s="1">
        <v>1721</v>
      </c>
      <c r="BC579" s="1">
        <v>2802401</v>
      </c>
      <c r="BD579" s="1">
        <v>1636422</v>
      </c>
      <c r="BE579" s="1">
        <v>1568937</v>
      </c>
      <c r="BF579" s="121">
        <f t="shared" si="42"/>
        <v>6039757</v>
      </c>
      <c r="BP579" s="1">
        <v>3302323</v>
      </c>
      <c r="CA579" s="1">
        <v>47582</v>
      </c>
      <c r="CC579" s="125">
        <f t="shared" si="43"/>
        <v>3349905</v>
      </c>
      <c r="CD579" s="1">
        <v>239006</v>
      </c>
      <c r="CK579" s="124">
        <f t="shared" si="44"/>
        <v>239006</v>
      </c>
      <c r="CQ579" s="23">
        <v>300000</v>
      </c>
      <c r="CT579" s="23">
        <v>6170896</v>
      </c>
      <c r="CU579" s="23">
        <v>7404850</v>
      </c>
      <c r="CV579" s="129">
        <v>24629797</v>
      </c>
    </row>
    <row r="580" spans="1:100" ht="12.75" customHeight="1">
      <c r="A580" s="1">
        <v>39</v>
      </c>
      <c r="B580" s="1">
        <v>4290</v>
      </c>
      <c r="C580" s="1" t="s">
        <v>814</v>
      </c>
      <c r="D580" s="5" t="s">
        <v>828</v>
      </c>
      <c r="E580" t="s">
        <v>1807</v>
      </c>
      <c r="F580" s="26">
        <v>3911</v>
      </c>
      <c r="G580" s="78">
        <v>31181917</v>
      </c>
      <c r="H580" s="78">
        <v>231531</v>
      </c>
      <c r="L580" s="1">
        <v>124687</v>
      </c>
      <c r="M580" s="1">
        <v>1424930</v>
      </c>
      <c r="O580" s="117">
        <f t="shared" si="40"/>
        <v>32963065</v>
      </c>
      <c r="P580" s="78">
        <v>7409197</v>
      </c>
      <c r="V580" s="1">
        <v>709149</v>
      </c>
      <c r="W580" s="1">
        <v>3053951</v>
      </c>
      <c r="X580" s="1">
        <v>167670</v>
      </c>
      <c r="AC580" s="1">
        <v>119559</v>
      </c>
      <c r="AD580" s="1">
        <v>432955</v>
      </c>
      <c r="AE580" s="1">
        <v>445066</v>
      </c>
      <c r="AF580" s="1">
        <v>343608</v>
      </c>
      <c r="AG580" s="1">
        <v>3595223</v>
      </c>
      <c r="AH580" s="1">
        <v>1753910</v>
      </c>
      <c r="AM580" s="1">
        <v>1190912</v>
      </c>
      <c r="AP580" s="1">
        <v>406224</v>
      </c>
      <c r="AT580" s="1">
        <v>41169</v>
      </c>
      <c r="AU580" s="1">
        <v>123514</v>
      </c>
      <c r="AV580" s="116">
        <f t="shared" si="41"/>
        <v>19792107</v>
      </c>
      <c r="AW580" s="1">
        <v>80917</v>
      </c>
      <c r="BC580" s="1">
        <v>553395</v>
      </c>
      <c r="BD580" s="1">
        <v>973845</v>
      </c>
      <c r="BE580" s="1">
        <v>360096</v>
      </c>
      <c r="BF580" s="121">
        <f t="shared" si="42"/>
        <v>1968253</v>
      </c>
      <c r="BG580" s="1">
        <v>353241</v>
      </c>
      <c r="BI580" s="1">
        <v>37654</v>
      </c>
      <c r="BO580" s="1">
        <v>13858</v>
      </c>
      <c r="BX580" s="1">
        <v>11893</v>
      </c>
      <c r="CA580" s="1">
        <v>24161</v>
      </c>
      <c r="CC580" s="125">
        <f t="shared" si="43"/>
        <v>440807</v>
      </c>
      <c r="CK580" s="124">
        <f t="shared" si="44"/>
        <v>0</v>
      </c>
      <c r="CT580" s="23">
        <v>1874684</v>
      </c>
      <c r="CV580" s="129">
        <v>5201133</v>
      </c>
    </row>
    <row r="581" spans="1:100" ht="12.75" customHeight="1">
      <c r="A581" s="1">
        <v>39</v>
      </c>
      <c r="B581" s="1">
        <v>4540</v>
      </c>
      <c r="C581" s="1" t="s">
        <v>814</v>
      </c>
      <c r="D581" s="5" t="s">
        <v>829</v>
      </c>
      <c r="E581" t="s">
        <v>1808</v>
      </c>
      <c r="F581" s="26">
        <v>2827</v>
      </c>
      <c r="G581" s="78">
        <v>22171532</v>
      </c>
      <c r="O581" s="117">
        <f t="shared" ref="O581:O672" si="45">SUM(G581:N581)</f>
        <v>22171532</v>
      </c>
      <c r="P581" s="78">
        <v>7839844</v>
      </c>
      <c r="Q581" s="78">
        <v>399104</v>
      </c>
      <c r="V581" s="1">
        <v>689456</v>
      </c>
      <c r="W581" s="1">
        <v>2768471</v>
      </c>
      <c r="X581" s="1">
        <v>238254</v>
      </c>
      <c r="Y581" s="78">
        <v>2687030</v>
      </c>
      <c r="AC581" s="1">
        <v>196508</v>
      </c>
      <c r="AD581" s="1">
        <v>339254</v>
      </c>
      <c r="AE581" s="1">
        <v>506793</v>
      </c>
      <c r="AF581" s="1">
        <v>242198</v>
      </c>
      <c r="AG581" s="1">
        <v>2263068</v>
      </c>
      <c r="AH581" s="1">
        <v>1274000</v>
      </c>
      <c r="AM581" s="1">
        <v>583127</v>
      </c>
      <c r="AU581" s="1">
        <v>441824</v>
      </c>
      <c r="AV581" s="116">
        <f t="shared" ref="AV581:AV672" si="46">SUM(P581:AU581)</f>
        <v>20468931</v>
      </c>
      <c r="AW581" s="1">
        <v>43076</v>
      </c>
      <c r="BC581" s="1">
        <v>429255</v>
      </c>
      <c r="BD581" s="1">
        <v>812817</v>
      </c>
      <c r="BE581" s="1">
        <v>533569</v>
      </c>
      <c r="BF581" s="121">
        <f t="shared" ref="BF581:BF672" si="47">SUM(AW581:BE581)</f>
        <v>1818717</v>
      </c>
      <c r="BG581" s="1">
        <v>178598</v>
      </c>
      <c r="BP581" s="1">
        <v>634912</v>
      </c>
      <c r="CC581" s="125">
        <f t="shared" ref="CC581:CC672" si="48">SUM(BG581:CB581)</f>
        <v>813510</v>
      </c>
      <c r="CK581" s="124">
        <f t="shared" ref="CK581:CK672" si="49">SUM(CD581:CJ581)</f>
        <v>0</v>
      </c>
      <c r="CT581" s="23">
        <v>1459613</v>
      </c>
      <c r="CV581" s="129">
        <v>4260205</v>
      </c>
    </row>
    <row r="582" spans="1:100" ht="12.75" customHeight="1">
      <c r="A582" s="1">
        <v>39</v>
      </c>
      <c r="B582" s="1">
        <v>4550</v>
      </c>
      <c r="C582" s="1" t="s">
        <v>814</v>
      </c>
      <c r="D582" s="5" t="s">
        <v>830</v>
      </c>
      <c r="E582" t="s">
        <v>1809</v>
      </c>
      <c r="F582" s="26">
        <v>2032</v>
      </c>
      <c r="G582" s="78">
        <v>15686219</v>
      </c>
      <c r="H582" s="78">
        <v>145205</v>
      </c>
      <c r="L582" s="1">
        <v>6614</v>
      </c>
      <c r="M582" s="1">
        <v>644837</v>
      </c>
      <c r="O582" s="117">
        <f t="shared" si="45"/>
        <v>16482875</v>
      </c>
      <c r="P582" s="78">
        <v>5303358</v>
      </c>
      <c r="Q582" s="78">
        <v>775850</v>
      </c>
      <c r="V582" s="1">
        <v>116770</v>
      </c>
      <c r="W582" s="1">
        <v>1065763</v>
      </c>
      <c r="X582" s="1">
        <v>148120</v>
      </c>
      <c r="AC582" s="1">
        <v>33623</v>
      </c>
      <c r="AD582" s="1">
        <v>223500</v>
      </c>
      <c r="AE582" s="1">
        <v>231560</v>
      </c>
      <c r="AG582" s="1">
        <v>2027791</v>
      </c>
      <c r="AH582" s="1">
        <v>853704</v>
      </c>
      <c r="AO582" s="1">
        <v>85299</v>
      </c>
      <c r="AP582" s="1">
        <v>845</v>
      </c>
      <c r="AU582" s="1">
        <v>335147</v>
      </c>
      <c r="AV582" s="116">
        <f t="shared" si="46"/>
        <v>11201330</v>
      </c>
      <c r="BC582" s="1">
        <v>317910</v>
      </c>
      <c r="BD582" s="1">
        <v>457414</v>
      </c>
      <c r="BE582" s="1">
        <v>130796</v>
      </c>
      <c r="BF582" s="121">
        <f t="shared" si="47"/>
        <v>906120</v>
      </c>
      <c r="BI582" s="1">
        <v>22163</v>
      </c>
      <c r="CC582" s="125">
        <f t="shared" si="48"/>
        <v>22163</v>
      </c>
      <c r="CD582" s="1">
        <v>88113</v>
      </c>
      <c r="CK582" s="124">
        <f t="shared" si="49"/>
        <v>88113</v>
      </c>
      <c r="CV582" s="129">
        <v>1333180</v>
      </c>
    </row>
    <row r="583" spans="1:100" ht="12.75" customHeight="1">
      <c r="A583" s="1">
        <v>39</v>
      </c>
      <c r="B583" s="1">
        <v>4670</v>
      </c>
      <c r="C583" s="1" t="s">
        <v>814</v>
      </c>
      <c r="D583" s="5" t="s">
        <v>831</v>
      </c>
      <c r="E583" t="s">
        <v>1810</v>
      </c>
      <c r="F583" s="26">
        <v>5333</v>
      </c>
      <c r="G583" s="78">
        <v>62140004</v>
      </c>
      <c r="H583" s="78">
        <v>501762</v>
      </c>
      <c r="L583" s="1">
        <v>66439</v>
      </c>
      <c r="M583" s="1">
        <v>2487477</v>
      </c>
      <c r="O583" s="117">
        <f t="shared" si="45"/>
        <v>65195682</v>
      </c>
      <c r="V583" s="1">
        <v>715918</v>
      </c>
      <c r="W583" s="1">
        <v>2936944</v>
      </c>
      <c r="X583" s="1">
        <v>28086</v>
      </c>
      <c r="AC583" s="1">
        <v>272743</v>
      </c>
      <c r="AD583" s="1">
        <v>315939</v>
      </c>
      <c r="AE583" s="1">
        <v>119907</v>
      </c>
      <c r="AF583" s="1">
        <v>13151</v>
      </c>
      <c r="AG583" s="1">
        <v>4832359</v>
      </c>
      <c r="AH583" s="1">
        <v>2341080</v>
      </c>
      <c r="AU583" s="1">
        <v>493391</v>
      </c>
      <c r="AV583" s="116">
        <f t="shared" si="46"/>
        <v>12069518</v>
      </c>
      <c r="BC583" s="1">
        <v>73308</v>
      </c>
      <c r="BD583" s="1">
        <v>1065608</v>
      </c>
      <c r="BE583" s="1">
        <v>355675</v>
      </c>
      <c r="BF583" s="121">
        <f t="shared" si="47"/>
        <v>1494591</v>
      </c>
      <c r="BI583" s="1">
        <v>46197</v>
      </c>
      <c r="CA583" s="1">
        <v>50225</v>
      </c>
      <c r="CB583" s="1">
        <v>214807</v>
      </c>
      <c r="CC583" s="125">
        <f t="shared" si="48"/>
        <v>311229</v>
      </c>
      <c r="CK583" s="124">
        <f t="shared" si="49"/>
        <v>0</v>
      </c>
      <c r="CV583" s="129">
        <v>2054421</v>
      </c>
    </row>
    <row r="584" spans="1:100" ht="12.75" customHeight="1">
      <c r="A584" s="1">
        <v>39</v>
      </c>
      <c r="B584" s="1">
        <v>5000</v>
      </c>
      <c r="C584" s="1" t="s">
        <v>814</v>
      </c>
      <c r="D584" s="5" t="s">
        <v>1268</v>
      </c>
      <c r="E584" t="s">
        <v>1811</v>
      </c>
      <c r="F584" s="26">
        <v>2055</v>
      </c>
      <c r="G584" s="78">
        <v>27761228</v>
      </c>
      <c r="L584" s="1">
        <v>31057</v>
      </c>
      <c r="M584" s="1">
        <v>1253100</v>
      </c>
      <c r="O584" s="117">
        <f t="shared" si="45"/>
        <v>29045385</v>
      </c>
      <c r="V584" s="1">
        <v>124579</v>
      </c>
      <c r="W584" s="1">
        <v>975919</v>
      </c>
      <c r="X584" s="1">
        <v>60538</v>
      </c>
      <c r="AC584" s="1">
        <v>144734</v>
      </c>
      <c r="AD584" s="1">
        <v>211430</v>
      </c>
      <c r="AE584" s="1">
        <v>41174</v>
      </c>
      <c r="AF584" s="1">
        <v>120604</v>
      </c>
      <c r="AG584" s="1">
        <v>1929332</v>
      </c>
      <c r="AH584" s="1">
        <v>958135</v>
      </c>
      <c r="AU584" s="1">
        <v>105699</v>
      </c>
      <c r="AV584" s="116">
        <f t="shared" si="46"/>
        <v>4672144</v>
      </c>
      <c r="BC584" s="1">
        <v>52198</v>
      </c>
      <c r="BD584" s="1">
        <v>398017</v>
      </c>
      <c r="BE584" s="1">
        <v>44876</v>
      </c>
      <c r="BF584" s="121">
        <f t="shared" si="47"/>
        <v>495091</v>
      </c>
      <c r="BI584" s="1">
        <v>80800</v>
      </c>
      <c r="BM584" s="1">
        <v>12340</v>
      </c>
      <c r="BP584" s="1">
        <v>511065</v>
      </c>
      <c r="BR584" s="1">
        <v>38529</v>
      </c>
      <c r="CC584" s="125">
        <f t="shared" si="48"/>
        <v>642734</v>
      </c>
      <c r="CK584" s="124">
        <f t="shared" si="49"/>
        <v>0</v>
      </c>
      <c r="CV584" s="129">
        <v>631847</v>
      </c>
    </row>
    <row r="585" spans="1:100" ht="12.75" customHeight="1">
      <c r="A585" s="1">
        <v>39</v>
      </c>
      <c r="B585" s="1">
        <v>5090</v>
      </c>
      <c r="C585" s="1" t="s">
        <v>814</v>
      </c>
      <c r="D585" s="5" t="s">
        <v>832</v>
      </c>
      <c r="E585" t="s">
        <v>1812</v>
      </c>
      <c r="F585" s="26">
        <v>3729</v>
      </c>
      <c r="G585" s="78">
        <v>49248088</v>
      </c>
      <c r="L585" s="1">
        <v>351373</v>
      </c>
      <c r="O585" s="117">
        <f t="shared" si="45"/>
        <v>49599461</v>
      </c>
      <c r="V585" s="1">
        <v>71741</v>
      </c>
      <c r="W585" s="1">
        <v>1643500</v>
      </c>
      <c r="X585" s="1">
        <v>189862</v>
      </c>
      <c r="AC585" s="1">
        <v>95732</v>
      </c>
      <c r="AD585" s="1">
        <v>216511</v>
      </c>
      <c r="AE585" s="1">
        <v>66161</v>
      </c>
      <c r="AF585" s="1">
        <v>202251</v>
      </c>
      <c r="AG585" s="1">
        <v>3499762</v>
      </c>
      <c r="AH585" s="1">
        <v>1970809</v>
      </c>
      <c r="AO585" s="1">
        <v>83763</v>
      </c>
      <c r="AU585" s="1">
        <v>234206</v>
      </c>
      <c r="AV585" s="116">
        <f t="shared" si="46"/>
        <v>8274298</v>
      </c>
      <c r="AZ585" s="1">
        <v>5039</v>
      </c>
      <c r="BB585" s="1">
        <v>28842</v>
      </c>
      <c r="BC585" s="1">
        <v>123763</v>
      </c>
      <c r="BD585" s="1">
        <v>712171</v>
      </c>
      <c r="BE585" s="1">
        <v>6341</v>
      </c>
      <c r="BF585" s="121">
        <f t="shared" si="47"/>
        <v>876156</v>
      </c>
      <c r="BG585" s="1">
        <v>752000</v>
      </c>
      <c r="BI585" s="1">
        <v>99942</v>
      </c>
      <c r="BP585" s="1">
        <v>240199</v>
      </c>
      <c r="CB585" s="1">
        <v>6984710</v>
      </c>
      <c r="CC585" s="125">
        <f t="shared" si="48"/>
        <v>8076851</v>
      </c>
      <c r="CK585" s="124">
        <f t="shared" si="49"/>
        <v>0</v>
      </c>
      <c r="CR585" s="23">
        <v>34744</v>
      </c>
      <c r="CV585" s="129">
        <v>1580242</v>
      </c>
    </row>
    <row r="586" spans="1:100" ht="12.75" customHeight="1">
      <c r="A586" s="1">
        <v>39</v>
      </c>
      <c r="B586" s="1">
        <v>5245</v>
      </c>
      <c r="C586" s="1" t="s">
        <v>814</v>
      </c>
      <c r="D586" s="5" t="s">
        <v>833</v>
      </c>
      <c r="E586" t="s">
        <v>1813</v>
      </c>
      <c r="F586" s="26">
        <v>299.5</v>
      </c>
      <c r="H586" s="78">
        <v>789201</v>
      </c>
      <c r="L586" s="1">
        <v>6579594</v>
      </c>
      <c r="O586" s="117">
        <f t="shared" si="45"/>
        <v>7368795</v>
      </c>
      <c r="AG586" s="1">
        <v>907835</v>
      </c>
      <c r="AH586" s="1">
        <v>620662</v>
      </c>
      <c r="AU586" s="1">
        <v>217604</v>
      </c>
      <c r="AV586" s="116">
        <f t="shared" si="46"/>
        <v>1746101</v>
      </c>
      <c r="BF586" s="121">
        <f t="shared" si="47"/>
        <v>0</v>
      </c>
      <c r="BN586" s="1">
        <v>22493392</v>
      </c>
      <c r="CA586" s="1">
        <v>41559</v>
      </c>
      <c r="CC586" s="125">
        <f t="shared" si="48"/>
        <v>22534951</v>
      </c>
      <c r="CD586" s="1">
        <v>13331693</v>
      </c>
      <c r="CK586" s="124">
        <f t="shared" si="49"/>
        <v>13331693</v>
      </c>
      <c r="CV586" s="129">
        <v>6797198</v>
      </c>
    </row>
    <row r="587" spans="1:100" ht="12.75" customHeight="1">
      <c r="A587" s="1">
        <v>39</v>
      </c>
      <c r="B587" s="1">
        <v>5260</v>
      </c>
      <c r="C587" s="1" t="s">
        <v>814</v>
      </c>
      <c r="D587" s="5" t="s">
        <v>834</v>
      </c>
      <c r="E587" t="s">
        <v>1814</v>
      </c>
      <c r="F587" s="26">
        <v>1148</v>
      </c>
      <c r="H587" s="78">
        <v>436853</v>
      </c>
      <c r="I587" s="1">
        <v>3879087</v>
      </c>
      <c r="L587" s="1">
        <v>161457</v>
      </c>
      <c r="O587" s="117">
        <f t="shared" si="45"/>
        <v>4477397</v>
      </c>
      <c r="P587" s="78">
        <v>617598</v>
      </c>
      <c r="W587" s="1">
        <v>500640</v>
      </c>
      <c r="Y587" s="78">
        <v>65213</v>
      </c>
      <c r="AA587" s="1">
        <v>1197494</v>
      </c>
      <c r="AB587" s="1">
        <v>224980</v>
      </c>
      <c r="AD587" s="1">
        <v>441049</v>
      </c>
      <c r="AE587" s="1">
        <v>88847</v>
      </c>
      <c r="AG587" s="1">
        <v>739632</v>
      </c>
      <c r="AH587" s="1">
        <v>545492</v>
      </c>
      <c r="AU587" s="1">
        <v>1571864</v>
      </c>
      <c r="AV587" s="116">
        <f t="shared" si="46"/>
        <v>5992809</v>
      </c>
      <c r="BC587" s="1">
        <v>109106</v>
      </c>
      <c r="BE587" s="1">
        <v>534972</v>
      </c>
      <c r="BF587" s="121">
        <f t="shared" si="47"/>
        <v>644078</v>
      </c>
      <c r="BO587" s="1">
        <v>170</v>
      </c>
      <c r="CB587" s="1">
        <v>1300000</v>
      </c>
      <c r="CC587" s="125">
        <f t="shared" si="48"/>
        <v>1300170</v>
      </c>
      <c r="CF587" s="1">
        <v>6789050</v>
      </c>
      <c r="CG587" s="1">
        <v>654978</v>
      </c>
      <c r="CK587" s="124">
        <f t="shared" si="49"/>
        <v>7444028</v>
      </c>
      <c r="CP587" s="23">
        <v>121490</v>
      </c>
      <c r="CV587" s="129">
        <v>2377399</v>
      </c>
    </row>
    <row r="588" spans="1:100" ht="12.75" customHeight="1">
      <c r="A588" s="1">
        <v>39</v>
      </c>
      <c r="B588" s="1">
        <v>5290</v>
      </c>
      <c r="C588" s="1" t="s">
        <v>814</v>
      </c>
      <c r="D588" s="5" t="s">
        <v>1108</v>
      </c>
      <c r="E588" t="s">
        <v>1815</v>
      </c>
      <c r="F588" s="26">
        <v>7901</v>
      </c>
      <c r="G588" s="78">
        <v>68832048</v>
      </c>
      <c r="H588" s="78">
        <v>1558617</v>
      </c>
      <c r="L588" s="1">
        <v>9985</v>
      </c>
      <c r="M588" s="1">
        <v>2546935</v>
      </c>
      <c r="O588" s="117">
        <f t="shared" si="45"/>
        <v>72947585</v>
      </c>
      <c r="P588" s="78">
        <v>13552736</v>
      </c>
      <c r="V588" s="1">
        <v>1246989</v>
      </c>
      <c r="W588" s="1">
        <v>5120464</v>
      </c>
      <c r="X588" s="1">
        <v>287112</v>
      </c>
      <c r="Y588" s="78">
        <v>446901</v>
      </c>
      <c r="AC588" s="1">
        <v>573658</v>
      </c>
      <c r="AD588" s="1">
        <v>878199</v>
      </c>
      <c r="AE588" s="1">
        <v>672834</v>
      </c>
      <c r="AF588" s="1">
        <v>688008</v>
      </c>
      <c r="AG588" s="1">
        <v>6271842</v>
      </c>
      <c r="AH588" s="1">
        <v>3318470</v>
      </c>
      <c r="AJ588" s="1">
        <v>88471</v>
      </c>
      <c r="AM588" s="1">
        <v>393905</v>
      </c>
      <c r="AO588" s="1">
        <v>422042</v>
      </c>
      <c r="AP588" s="1">
        <v>207270</v>
      </c>
      <c r="AU588" s="1">
        <v>333965</v>
      </c>
      <c r="AV588" s="116">
        <f t="shared" si="46"/>
        <v>34502866</v>
      </c>
      <c r="BB588" s="1">
        <v>28665</v>
      </c>
      <c r="BC588" s="1">
        <v>410480</v>
      </c>
      <c r="BD588" s="1">
        <v>1864556</v>
      </c>
      <c r="BE588" s="1">
        <v>576881</v>
      </c>
      <c r="BF588" s="121">
        <f t="shared" si="47"/>
        <v>2880582</v>
      </c>
      <c r="BI588" s="1">
        <v>31700</v>
      </c>
      <c r="BM588" s="1">
        <v>15653</v>
      </c>
      <c r="BO588" s="1">
        <v>71783</v>
      </c>
      <c r="CC588" s="125">
        <f t="shared" si="48"/>
        <v>119136</v>
      </c>
      <c r="CD588" s="1">
        <v>73289</v>
      </c>
      <c r="CK588" s="124">
        <f t="shared" si="49"/>
        <v>73289</v>
      </c>
      <c r="CV588" s="129">
        <v>4128950</v>
      </c>
    </row>
    <row r="589" spans="1:100" ht="12.75" customHeight="1">
      <c r="A589" s="1">
        <v>39</v>
      </c>
      <c r="B589" s="1">
        <v>5730</v>
      </c>
      <c r="C589" s="1" t="s">
        <v>814</v>
      </c>
      <c r="D589" s="5" t="s">
        <v>835</v>
      </c>
      <c r="E589" t="s">
        <v>1816</v>
      </c>
      <c r="F589" s="26">
        <v>6049</v>
      </c>
      <c r="G589" s="78">
        <v>68227778</v>
      </c>
      <c r="H589" s="78">
        <v>887975</v>
      </c>
      <c r="L589" s="1">
        <v>100415</v>
      </c>
      <c r="M589" s="1">
        <v>1992911</v>
      </c>
      <c r="O589" s="117">
        <f t="shared" si="45"/>
        <v>71209079</v>
      </c>
      <c r="W589" s="1">
        <v>4083349</v>
      </c>
      <c r="AC589" s="1">
        <v>230288</v>
      </c>
      <c r="AD589" s="1">
        <v>347405</v>
      </c>
      <c r="AE589" s="1">
        <v>132923</v>
      </c>
      <c r="AF589" s="1">
        <v>7800</v>
      </c>
      <c r="AG589" s="1">
        <v>5799808</v>
      </c>
      <c r="AH589" s="1">
        <v>2811878</v>
      </c>
      <c r="AP589" s="1">
        <v>256997</v>
      </c>
      <c r="AT589" s="1">
        <v>106579</v>
      </c>
      <c r="AU589" s="1">
        <v>272510</v>
      </c>
      <c r="AV589" s="116">
        <f t="shared" si="46"/>
        <v>14049537</v>
      </c>
      <c r="BC589" s="1">
        <v>200661</v>
      </c>
      <c r="BD589" s="1">
        <v>1330225</v>
      </c>
      <c r="BE589" s="1">
        <v>197953</v>
      </c>
      <c r="BF589" s="121">
        <f t="shared" si="47"/>
        <v>1728839</v>
      </c>
      <c r="BI589" s="1">
        <v>46970</v>
      </c>
      <c r="BM589" s="1">
        <v>12570</v>
      </c>
      <c r="BY589" s="1">
        <v>62133</v>
      </c>
      <c r="BZ589" s="1">
        <v>77532</v>
      </c>
      <c r="CC589" s="125">
        <f t="shared" si="48"/>
        <v>199205</v>
      </c>
      <c r="CK589" s="124">
        <f t="shared" si="49"/>
        <v>0</v>
      </c>
      <c r="CV589" s="129">
        <v>2101764</v>
      </c>
    </row>
    <row r="590" spans="1:100" ht="12.75" customHeight="1">
      <c r="A590" s="1">
        <v>39</v>
      </c>
      <c r="B590" s="1">
        <v>5810</v>
      </c>
      <c r="C590" s="1" t="s">
        <v>814</v>
      </c>
      <c r="D590" s="5" t="s">
        <v>836</v>
      </c>
      <c r="E590" t="s">
        <v>1817</v>
      </c>
      <c r="F590" s="26">
        <v>122</v>
      </c>
      <c r="G590" s="78">
        <v>1430010</v>
      </c>
      <c r="H590" s="78">
        <v>34531</v>
      </c>
      <c r="O590" s="117">
        <f t="shared" si="45"/>
        <v>1464541</v>
      </c>
      <c r="P590" s="78">
        <v>685276</v>
      </c>
      <c r="Q590" s="78">
        <v>473629</v>
      </c>
      <c r="V590" s="1">
        <v>35178</v>
      </c>
      <c r="W590" s="1">
        <v>139759</v>
      </c>
      <c r="Y590" s="78">
        <v>102949</v>
      </c>
      <c r="AC590" s="1">
        <v>9223</v>
      </c>
      <c r="AD590" s="1">
        <v>20957</v>
      </c>
      <c r="AE590" s="1">
        <v>43823</v>
      </c>
      <c r="AF590" s="1">
        <v>13111</v>
      </c>
      <c r="AG590" s="1">
        <v>197116</v>
      </c>
      <c r="AH590" s="1">
        <v>83101</v>
      </c>
      <c r="AO590" s="1">
        <v>3012</v>
      </c>
      <c r="AU590" s="1">
        <v>330</v>
      </c>
      <c r="AV590" s="116">
        <f t="shared" si="46"/>
        <v>1807464</v>
      </c>
      <c r="BC590" s="1">
        <v>25357</v>
      </c>
      <c r="BD590" s="1">
        <v>38562</v>
      </c>
      <c r="BE590" s="1">
        <v>18146</v>
      </c>
      <c r="BF590" s="121">
        <f t="shared" si="47"/>
        <v>82065</v>
      </c>
      <c r="BI590" s="1">
        <v>9676</v>
      </c>
      <c r="CC590" s="125">
        <f t="shared" si="48"/>
        <v>9676</v>
      </c>
      <c r="CK590" s="124">
        <f t="shared" si="49"/>
        <v>0</v>
      </c>
      <c r="CV590" s="129">
        <v>85407</v>
      </c>
    </row>
    <row r="591" spans="1:100" ht="12.75" customHeight="1">
      <c r="A591" s="1">
        <v>41</v>
      </c>
      <c r="B591" s="1">
        <v>30</v>
      </c>
      <c r="C591" s="1" t="s">
        <v>837</v>
      </c>
      <c r="D591" s="5" t="s">
        <v>838</v>
      </c>
      <c r="E591" t="s">
        <v>1818</v>
      </c>
      <c r="F591" s="26">
        <v>356</v>
      </c>
      <c r="G591" s="78">
        <v>5460391</v>
      </c>
      <c r="H591" s="78">
        <v>262119</v>
      </c>
      <c r="M591" s="1">
        <v>384627</v>
      </c>
      <c r="O591" s="117">
        <f t="shared" si="45"/>
        <v>6107137</v>
      </c>
      <c r="V591" s="1">
        <v>243073</v>
      </c>
      <c r="W591" s="1">
        <v>401470</v>
      </c>
      <c r="X591" s="1">
        <v>4636</v>
      </c>
      <c r="AC591" s="1">
        <v>17281</v>
      </c>
      <c r="AD591" s="1">
        <v>51788</v>
      </c>
      <c r="AE591" s="1">
        <v>21029</v>
      </c>
      <c r="AF591" s="1">
        <v>8328</v>
      </c>
      <c r="AG591" s="1">
        <v>305116</v>
      </c>
      <c r="AH591" s="1">
        <v>142536</v>
      </c>
      <c r="AU591" s="1">
        <v>1553</v>
      </c>
      <c r="AV591" s="116">
        <f t="shared" si="46"/>
        <v>1196810</v>
      </c>
      <c r="BC591" s="1">
        <v>30353</v>
      </c>
      <c r="BD591" s="1">
        <v>92290</v>
      </c>
      <c r="BE591" s="1">
        <v>58968</v>
      </c>
      <c r="BF591" s="121">
        <f t="shared" si="47"/>
        <v>181611</v>
      </c>
      <c r="BG591" s="1">
        <v>573037</v>
      </c>
      <c r="CC591" s="125">
        <f t="shared" si="48"/>
        <v>573037</v>
      </c>
      <c r="CD591" s="1">
        <v>36604</v>
      </c>
      <c r="CK591" s="124">
        <f t="shared" si="49"/>
        <v>36604</v>
      </c>
      <c r="CV591" s="129">
        <v>183164</v>
      </c>
    </row>
    <row r="592" spans="1:100" ht="12.75" customHeight="1">
      <c r="A592" s="1">
        <v>41</v>
      </c>
      <c r="B592" s="1">
        <v>70</v>
      </c>
      <c r="C592" s="1" t="s">
        <v>837</v>
      </c>
      <c r="D592" s="5" t="s">
        <v>839</v>
      </c>
      <c r="E592" t="s">
        <v>1819</v>
      </c>
      <c r="F592" s="26">
        <v>278</v>
      </c>
      <c r="G592" s="78">
        <v>2630152</v>
      </c>
      <c r="H592" s="78">
        <v>34187</v>
      </c>
      <c r="L592" s="1">
        <v>3000</v>
      </c>
      <c r="O592" s="117">
        <f t="shared" si="45"/>
        <v>2667339</v>
      </c>
      <c r="P592" s="78">
        <v>1054999</v>
      </c>
      <c r="V592" s="1">
        <v>77979</v>
      </c>
      <c r="W592" s="1">
        <v>405744</v>
      </c>
      <c r="X592" s="1">
        <v>2336</v>
      </c>
      <c r="Y592" s="78">
        <v>15947</v>
      </c>
      <c r="AC592" s="1">
        <v>8898</v>
      </c>
      <c r="AD592" s="1">
        <v>42571</v>
      </c>
      <c r="AE592" s="1">
        <v>48529</v>
      </c>
      <c r="AF592" s="1">
        <v>2658</v>
      </c>
      <c r="AG592" s="1">
        <v>268126</v>
      </c>
      <c r="AH592" s="1">
        <v>139759</v>
      </c>
      <c r="AO592" s="1">
        <v>18045</v>
      </c>
      <c r="AU592" s="1">
        <v>87</v>
      </c>
      <c r="AV592" s="116">
        <f t="shared" si="46"/>
        <v>2085678</v>
      </c>
      <c r="BC592" s="1">
        <v>26222</v>
      </c>
      <c r="BD592" s="1">
        <v>67813</v>
      </c>
      <c r="BE592" s="1">
        <v>20030</v>
      </c>
      <c r="BF592" s="121">
        <f t="shared" si="47"/>
        <v>114065</v>
      </c>
      <c r="BH592" s="1">
        <v>282</v>
      </c>
      <c r="BO592" s="1">
        <v>1185</v>
      </c>
      <c r="CC592" s="125">
        <f t="shared" si="48"/>
        <v>1467</v>
      </c>
      <c r="CK592" s="124">
        <f t="shared" si="49"/>
        <v>0</v>
      </c>
      <c r="CV592" s="129">
        <v>135197</v>
      </c>
    </row>
    <row r="593" spans="1:100" ht="12.75" customHeight="1">
      <c r="A593" s="1">
        <v>41</v>
      </c>
      <c r="B593" s="1">
        <v>280</v>
      </c>
      <c r="C593" s="1" t="s">
        <v>837</v>
      </c>
      <c r="D593" s="5" t="s">
        <v>676</v>
      </c>
      <c r="E593" t="s">
        <v>1820</v>
      </c>
      <c r="F593" s="26">
        <v>924</v>
      </c>
      <c r="G593" s="78">
        <v>3238000</v>
      </c>
      <c r="O593" s="117">
        <f t="shared" si="45"/>
        <v>3238000</v>
      </c>
      <c r="P593" s="78">
        <v>2136918</v>
      </c>
      <c r="R593" s="1">
        <v>87043</v>
      </c>
      <c r="V593" s="1">
        <v>17627</v>
      </c>
      <c r="W593" s="1">
        <v>438546</v>
      </c>
      <c r="AD593" s="1">
        <v>70159</v>
      </c>
      <c r="AG593" s="1">
        <v>920640</v>
      </c>
      <c r="AH593" s="1">
        <v>397717</v>
      </c>
      <c r="AO593" s="1">
        <v>16847</v>
      </c>
      <c r="AT593" s="1">
        <v>34839</v>
      </c>
      <c r="AU593" s="1">
        <v>2500</v>
      </c>
      <c r="AV593" s="116">
        <f t="shared" si="46"/>
        <v>4122836</v>
      </c>
      <c r="BC593" s="1">
        <v>62063</v>
      </c>
      <c r="BD593" s="1">
        <v>132410</v>
      </c>
      <c r="BE593" s="1">
        <v>22742</v>
      </c>
      <c r="BF593" s="121">
        <f t="shared" si="47"/>
        <v>217215</v>
      </c>
      <c r="BP593" s="1">
        <v>67276</v>
      </c>
      <c r="CC593" s="125">
        <f t="shared" si="48"/>
        <v>67276</v>
      </c>
      <c r="CD593" s="1">
        <v>3591834</v>
      </c>
      <c r="CK593" s="124">
        <f t="shared" si="49"/>
        <v>3591834</v>
      </c>
      <c r="CV593" s="129">
        <v>236562</v>
      </c>
    </row>
    <row r="594" spans="1:100" ht="12.75" customHeight="1">
      <c r="A594" s="1">
        <v>41</v>
      </c>
      <c r="B594" s="1">
        <v>400</v>
      </c>
      <c r="C594" s="1" t="s">
        <v>837</v>
      </c>
      <c r="D594" s="5" t="s">
        <v>677</v>
      </c>
      <c r="E594" t="s">
        <v>1821</v>
      </c>
      <c r="F594" s="26">
        <v>736</v>
      </c>
      <c r="G594" s="78">
        <v>4302865</v>
      </c>
      <c r="H594" s="78">
        <v>92312</v>
      </c>
      <c r="L594" s="1">
        <v>3458</v>
      </c>
      <c r="O594" s="117">
        <f t="shared" si="45"/>
        <v>4398635</v>
      </c>
      <c r="P594" s="78">
        <v>510461</v>
      </c>
      <c r="V594" s="1">
        <v>211239</v>
      </c>
      <c r="W594" s="1">
        <v>419982</v>
      </c>
      <c r="X594" s="1">
        <v>4672</v>
      </c>
      <c r="Y594" s="78">
        <v>23901</v>
      </c>
      <c r="AC594" s="1">
        <v>5134</v>
      </c>
      <c r="AD594" s="1">
        <v>66381</v>
      </c>
      <c r="AE594" s="1">
        <v>37099</v>
      </c>
      <c r="AF594" s="1">
        <v>1562</v>
      </c>
      <c r="AG594" s="1">
        <v>585297</v>
      </c>
      <c r="AH594" s="1">
        <v>310804</v>
      </c>
      <c r="AU594" s="1">
        <v>31211</v>
      </c>
      <c r="AV594" s="116">
        <f t="shared" si="46"/>
        <v>2207743</v>
      </c>
      <c r="AW594" s="1">
        <v>1409</v>
      </c>
      <c r="BC594" s="1">
        <v>63707</v>
      </c>
      <c r="BD594" s="1">
        <v>206269</v>
      </c>
      <c r="BE594" s="1">
        <v>73132</v>
      </c>
      <c r="BF594" s="121">
        <f t="shared" si="47"/>
        <v>344517</v>
      </c>
      <c r="CC594" s="125">
        <f t="shared" si="48"/>
        <v>0</v>
      </c>
      <c r="CD594" s="1">
        <v>1569633</v>
      </c>
      <c r="CK594" s="124">
        <f t="shared" si="49"/>
        <v>1569633</v>
      </c>
      <c r="CV594" s="129">
        <v>377777</v>
      </c>
    </row>
    <row r="595" spans="1:100" ht="12.75" customHeight="1">
      <c r="A595" s="1">
        <v>41</v>
      </c>
      <c r="B595" s="1">
        <v>1620</v>
      </c>
      <c r="C595" s="1" t="s">
        <v>837</v>
      </c>
      <c r="D595" s="5" t="s">
        <v>1043</v>
      </c>
      <c r="E595" t="s">
        <v>1822</v>
      </c>
      <c r="F595" s="26">
        <v>400</v>
      </c>
      <c r="G595" s="78">
        <v>3229209</v>
      </c>
      <c r="H595" s="78">
        <v>35598</v>
      </c>
      <c r="M595" s="1">
        <v>241754</v>
      </c>
      <c r="O595" s="117">
        <f t="shared" si="45"/>
        <v>3506561</v>
      </c>
      <c r="P595" s="78">
        <v>410875</v>
      </c>
      <c r="V595" s="1">
        <v>91624</v>
      </c>
      <c r="W595" s="1">
        <v>224770</v>
      </c>
      <c r="X595" s="1">
        <v>4636</v>
      </c>
      <c r="AC595" s="1">
        <v>23060</v>
      </c>
      <c r="AD595" s="1">
        <v>40377</v>
      </c>
      <c r="AE595" s="1">
        <v>23168</v>
      </c>
      <c r="AF595" s="1">
        <v>928</v>
      </c>
      <c r="AG595" s="1">
        <v>261275</v>
      </c>
      <c r="AH595" s="1">
        <v>154811</v>
      </c>
      <c r="AU595" s="1">
        <v>2000</v>
      </c>
      <c r="AV595" s="116">
        <f t="shared" si="46"/>
        <v>1237524</v>
      </c>
      <c r="BC595" s="1">
        <v>37328</v>
      </c>
      <c r="BD595" s="1">
        <v>68941</v>
      </c>
      <c r="BE595" s="1">
        <v>55460</v>
      </c>
      <c r="BF595" s="121">
        <f t="shared" si="47"/>
        <v>161729</v>
      </c>
      <c r="BH595" s="1">
        <v>7200</v>
      </c>
      <c r="BI595" s="1">
        <v>85162</v>
      </c>
      <c r="BO595" s="1">
        <v>2</v>
      </c>
      <c r="CC595" s="125">
        <f t="shared" si="48"/>
        <v>92364</v>
      </c>
      <c r="CD595" s="1">
        <v>29363</v>
      </c>
      <c r="CK595" s="124">
        <f t="shared" si="49"/>
        <v>29363</v>
      </c>
      <c r="CV595" s="129">
        <v>163729</v>
      </c>
    </row>
    <row r="596" spans="1:100" ht="12.75" customHeight="1">
      <c r="A596" s="1">
        <v>41</v>
      </c>
      <c r="B596" s="1">
        <v>1670</v>
      </c>
      <c r="C596" s="1" t="s">
        <v>837</v>
      </c>
      <c r="D596" s="5" t="s">
        <v>678</v>
      </c>
      <c r="E596" t="s">
        <v>1823</v>
      </c>
      <c r="F596" s="26">
        <v>203</v>
      </c>
      <c r="G596" s="78">
        <v>1788289</v>
      </c>
      <c r="H596" s="78">
        <v>26211</v>
      </c>
      <c r="O596" s="117">
        <f t="shared" si="45"/>
        <v>1814500</v>
      </c>
      <c r="P596" s="78">
        <v>337342</v>
      </c>
      <c r="V596" s="1">
        <v>90950</v>
      </c>
      <c r="W596" s="1">
        <v>125072</v>
      </c>
      <c r="AD596" s="1">
        <v>23370</v>
      </c>
      <c r="AE596" s="1">
        <v>17302</v>
      </c>
      <c r="AG596" s="1">
        <v>184860</v>
      </c>
      <c r="AH596" s="1">
        <v>91047</v>
      </c>
      <c r="AV596" s="116">
        <f t="shared" si="46"/>
        <v>869943</v>
      </c>
      <c r="BD596" s="1">
        <v>40380</v>
      </c>
      <c r="BE596" s="1">
        <v>35017</v>
      </c>
      <c r="BF596" s="121">
        <f t="shared" si="47"/>
        <v>75397</v>
      </c>
      <c r="BI596" s="1">
        <v>14870</v>
      </c>
      <c r="BO596" s="1">
        <v>306</v>
      </c>
      <c r="CC596" s="125">
        <f t="shared" si="48"/>
        <v>15176</v>
      </c>
      <c r="CK596" s="124">
        <f t="shared" si="49"/>
        <v>0</v>
      </c>
      <c r="CV596" s="129">
        <v>75397</v>
      </c>
    </row>
    <row r="597" spans="1:100" ht="12.75" customHeight="1">
      <c r="A597" s="1">
        <v>41</v>
      </c>
      <c r="B597" s="1">
        <v>1785</v>
      </c>
      <c r="C597" s="1" t="s">
        <v>837</v>
      </c>
      <c r="D597" s="5" t="s">
        <v>679</v>
      </c>
      <c r="E597" t="s">
        <v>1824</v>
      </c>
      <c r="F597" s="26">
        <v>1009</v>
      </c>
      <c r="G597" s="78">
        <v>10893399</v>
      </c>
      <c r="H597" s="78">
        <v>124125</v>
      </c>
      <c r="L597" s="1">
        <v>16987</v>
      </c>
      <c r="M597" s="1">
        <v>536217</v>
      </c>
      <c r="O597" s="117">
        <f t="shared" si="45"/>
        <v>11570728</v>
      </c>
      <c r="P597" s="78">
        <v>3271549</v>
      </c>
      <c r="V597" s="1">
        <v>695211</v>
      </c>
      <c r="W597" s="1">
        <v>638779</v>
      </c>
      <c r="X597" s="1">
        <v>16316</v>
      </c>
      <c r="Y597" s="78">
        <v>1133951</v>
      </c>
      <c r="AC597" s="1">
        <v>19771</v>
      </c>
      <c r="AD597" s="1">
        <v>165019</v>
      </c>
      <c r="AE597" s="1">
        <v>177625</v>
      </c>
      <c r="AF597" s="1">
        <v>8025</v>
      </c>
      <c r="AG597" s="1">
        <v>637616</v>
      </c>
      <c r="AH597" s="1">
        <v>447563</v>
      </c>
      <c r="AP597" s="1">
        <v>230432</v>
      </c>
      <c r="AU597" s="1">
        <v>2643</v>
      </c>
      <c r="AV597" s="116">
        <f t="shared" si="46"/>
        <v>7444500</v>
      </c>
      <c r="BC597" s="1">
        <v>37105</v>
      </c>
      <c r="BD597" s="1">
        <v>270687</v>
      </c>
      <c r="BE597" s="1">
        <v>37723</v>
      </c>
      <c r="BF597" s="121">
        <f t="shared" si="47"/>
        <v>345515</v>
      </c>
      <c r="BO597" s="1">
        <v>11411</v>
      </c>
      <c r="CC597" s="125">
        <f t="shared" si="48"/>
        <v>11411</v>
      </c>
      <c r="CK597" s="124">
        <f t="shared" si="49"/>
        <v>0</v>
      </c>
      <c r="CV597" s="129">
        <v>365145</v>
      </c>
    </row>
    <row r="598" spans="1:100" ht="12.75" customHeight="1">
      <c r="A598" s="1">
        <v>41</v>
      </c>
      <c r="B598" s="1">
        <v>1840</v>
      </c>
      <c r="C598" s="1" t="s">
        <v>837</v>
      </c>
      <c r="D598" s="5" t="s">
        <v>1177</v>
      </c>
      <c r="E598" t="s">
        <v>1825</v>
      </c>
      <c r="F598" s="26">
        <v>986</v>
      </c>
      <c r="G598" s="78">
        <v>6508815</v>
      </c>
      <c r="H598" s="78">
        <v>259233</v>
      </c>
      <c r="M598" s="1">
        <v>857472</v>
      </c>
      <c r="O598" s="117">
        <f t="shared" si="45"/>
        <v>7625520</v>
      </c>
      <c r="P598" s="78">
        <v>3240425</v>
      </c>
      <c r="V598" s="1">
        <v>382548</v>
      </c>
      <c r="W598" s="1">
        <v>534021</v>
      </c>
      <c r="AC598" s="1">
        <v>15478</v>
      </c>
      <c r="AD598" s="1">
        <v>143294</v>
      </c>
      <c r="AE598" s="1">
        <v>129009</v>
      </c>
      <c r="AF598" s="1">
        <v>102160</v>
      </c>
      <c r="AG598" s="1">
        <v>435606</v>
      </c>
      <c r="AH598" s="1">
        <v>347852</v>
      </c>
      <c r="AP598" s="1">
        <v>740221</v>
      </c>
      <c r="AU598" s="1">
        <v>2217</v>
      </c>
      <c r="AV598" s="116">
        <f t="shared" si="46"/>
        <v>6072831</v>
      </c>
      <c r="BC598" s="1">
        <v>16746</v>
      </c>
      <c r="BD598" s="1">
        <v>182891</v>
      </c>
      <c r="BE598" s="1">
        <v>21156</v>
      </c>
      <c r="BF598" s="121">
        <f t="shared" si="47"/>
        <v>220793</v>
      </c>
      <c r="CC598" s="125">
        <f t="shared" si="48"/>
        <v>0</v>
      </c>
      <c r="CD598" s="1">
        <v>35451</v>
      </c>
      <c r="CK598" s="124">
        <f t="shared" si="49"/>
        <v>35451</v>
      </c>
      <c r="CV598" s="129">
        <v>223010</v>
      </c>
    </row>
    <row r="599" spans="1:100" ht="12.75" customHeight="1">
      <c r="A599" s="1">
        <v>41</v>
      </c>
      <c r="B599" s="1">
        <v>1870</v>
      </c>
      <c r="C599" s="1" t="s">
        <v>837</v>
      </c>
      <c r="D599" s="5" t="s">
        <v>680</v>
      </c>
      <c r="E599" t="s">
        <v>1826</v>
      </c>
      <c r="F599" s="26">
        <v>1890</v>
      </c>
      <c r="G599" s="78">
        <v>13121539</v>
      </c>
      <c r="H599" s="78">
        <v>131320</v>
      </c>
      <c r="J599" s="1">
        <v>75</v>
      </c>
      <c r="L599" s="1">
        <v>10864</v>
      </c>
      <c r="M599" s="1">
        <v>273621</v>
      </c>
      <c r="O599" s="117">
        <f t="shared" si="45"/>
        <v>13537419</v>
      </c>
      <c r="P599" s="78">
        <v>3591875</v>
      </c>
      <c r="V599" s="1">
        <v>54508</v>
      </c>
      <c r="W599" s="1">
        <v>565100</v>
      </c>
      <c r="X599" s="1">
        <v>200966</v>
      </c>
      <c r="AC599" s="1">
        <v>35705</v>
      </c>
      <c r="AD599" s="1">
        <v>155802</v>
      </c>
      <c r="AE599" s="1">
        <v>138794</v>
      </c>
      <c r="AG599" s="1">
        <v>1947176</v>
      </c>
      <c r="AH599" s="1">
        <v>918653</v>
      </c>
      <c r="AO599" s="1">
        <v>58230</v>
      </c>
      <c r="AU599" s="1">
        <v>176999</v>
      </c>
      <c r="AV599" s="116">
        <f t="shared" si="46"/>
        <v>7843808</v>
      </c>
      <c r="BC599" s="1">
        <v>134593</v>
      </c>
      <c r="BD599" s="1">
        <v>406179</v>
      </c>
      <c r="BE599" s="1">
        <v>93633</v>
      </c>
      <c r="BF599" s="121">
        <f t="shared" si="47"/>
        <v>634405</v>
      </c>
      <c r="BZ599" s="1">
        <v>13618</v>
      </c>
      <c r="CC599" s="125">
        <f t="shared" si="48"/>
        <v>13618</v>
      </c>
      <c r="CD599" s="1">
        <v>6402575</v>
      </c>
      <c r="CK599" s="124">
        <f t="shared" si="49"/>
        <v>6402575</v>
      </c>
      <c r="CV599" s="129">
        <v>880498</v>
      </c>
    </row>
    <row r="600" spans="1:100" ht="12.75" customHeight="1">
      <c r="A600" s="1">
        <v>41</v>
      </c>
      <c r="B600" s="1">
        <v>2020</v>
      </c>
      <c r="C600" s="1" t="s">
        <v>837</v>
      </c>
      <c r="D600" s="5" t="s">
        <v>681</v>
      </c>
      <c r="E600"/>
      <c r="F600" s="26"/>
      <c r="G600" s="78">
        <v>1452000</v>
      </c>
      <c r="H600" s="78">
        <v>25196</v>
      </c>
      <c r="O600" s="117">
        <f t="shared" si="45"/>
        <v>1477196</v>
      </c>
      <c r="P600" s="78">
        <v>221691</v>
      </c>
      <c r="V600" s="1">
        <v>79345</v>
      </c>
      <c r="W600" s="1">
        <v>113308</v>
      </c>
      <c r="AC600" s="1">
        <v>3507</v>
      </c>
      <c r="AD600" s="1">
        <v>17004</v>
      </c>
      <c r="AE600" s="1">
        <v>9320</v>
      </c>
      <c r="AF600" s="1">
        <v>2673</v>
      </c>
      <c r="AH600" s="1">
        <v>878</v>
      </c>
      <c r="AV600" s="116">
        <f t="shared" si="46"/>
        <v>447726</v>
      </c>
      <c r="BA600" s="1">
        <v>141891</v>
      </c>
      <c r="BD600" s="1">
        <v>34363</v>
      </c>
      <c r="BF600" s="121">
        <f t="shared" si="47"/>
        <v>176254</v>
      </c>
      <c r="CC600" s="125">
        <f t="shared" si="48"/>
        <v>0</v>
      </c>
      <c r="CK600" s="124">
        <f t="shared" si="49"/>
        <v>0</v>
      </c>
      <c r="CV600" s="129">
        <v>34363</v>
      </c>
    </row>
    <row r="601" spans="1:100" ht="12.75" customHeight="1">
      <c r="A601" s="1">
        <v>41</v>
      </c>
      <c r="B601" s="1">
        <v>2040</v>
      </c>
      <c r="C601" s="1" t="s">
        <v>837</v>
      </c>
      <c r="D601" s="5" t="s">
        <v>682</v>
      </c>
      <c r="E601" t="s">
        <v>1827</v>
      </c>
      <c r="F601" s="26">
        <v>305</v>
      </c>
      <c r="G601" s="78">
        <v>4928250</v>
      </c>
      <c r="H601" s="78">
        <v>67599</v>
      </c>
      <c r="M601" s="1">
        <v>308198</v>
      </c>
      <c r="O601" s="117">
        <f t="shared" si="45"/>
        <v>5304047</v>
      </c>
      <c r="V601" s="1">
        <v>197114</v>
      </c>
      <c r="W601" s="1">
        <v>236907</v>
      </c>
      <c r="X601" s="1">
        <v>4636</v>
      </c>
      <c r="Y601" s="78">
        <v>29046</v>
      </c>
      <c r="AC601" s="1">
        <v>13105</v>
      </c>
      <c r="AD601" s="1">
        <v>48825</v>
      </c>
      <c r="AE601" s="1">
        <v>15496</v>
      </c>
      <c r="AF601" s="1">
        <v>2088</v>
      </c>
      <c r="AG601" s="1">
        <v>314988</v>
      </c>
      <c r="AH601" s="1">
        <v>157347</v>
      </c>
      <c r="AU601" s="1">
        <v>1601</v>
      </c>
      <c r="AV601" s="116">
        <f t="shared" si="46"/>
        <v>1021153</v>
      </c>
      <c r="BC601" s="1">
        <v>10519</v>
      </c>
      <c r="BD601" s="1">
        <v>91140</v>
      </c>
      <c r="BE601" s="1">
        <v>46244</v>
      </c>
      <c r="BF601" s="121">
        <f t="shared" si="47"/>
        <v>147903</v>
      </c>
      <c r="BO601" s="1">
        <v>29971</v>
      </c>
      <c r="CC601" s="125">
        <f t="shared" si="48"/>
        <v>29971</v>
      </c>
      <c r="CD601" s="1">
        <v>21600</v>
      </c>
      <c r="CK601" s="124">
        <f t="shared" si="49"/>
        <v>21600</v>
      </c>
      <c r="CV601" s="129">
        <v>149504</v>
      </c>
    </row>
    <row r="602" spans="1:100" ht="12.75" customHeight="1">
      <c r="A602" s="1">
        <v>41</v>
      </c>
      <c r="B602" s="1">
        <v>2250</v>
      </c>
      <c r="C602" s="1" t="s">
        <v>837</v>
      </c>
      <c r="D602" s="5" t="s">
        <v>683</v>
      </c>
      <c r="E602" t="s">
        <v>1828</v>
      </c>
      <c r="F602" s="26">
        <v>228</v>
      </c>
      <c r="G602" s="78">
        <v>2763268</v>
      </c>
      <c r="H602" s="78">
        <v>27024</v>
      </c>
      <c r="M602" s="1">
        <v>183175</v>
      </c>
      <c r="O602" s="117">
        <f t="shared" si="45"/>
        <v>2973467</v>
      </c>
      <c r="P602" s="78">
        <v>100138</v>
      </c>
      <c r="V602" s="1">
        <v>152310</v>
      </c>
      <c r="W602" s="1">
        <v>175905</v>
      </c>
      <c r="Y602" s="78">
        <v>570500</v>
      </c>
      <c r="AC602" s="1">
        <v>22301</v>
      </c>
      <c r="AD602" s="1">
        <v>31490</v>
      </c>
      <c r="AE602" s="1">
        <v>30910</v>
      </c>
      <c r="AF602" s="1">
        <v>5913</v>
      </c>
      <c r="AG602" s="1">
        <v>180007</v>
      </c>
      <c r="AH602" s="1">
        <v>99844</v>
      </c>
      <c r="AP602" s="1">
        <v>2733</v>
      </c>
      <c r="AT602" s="1">
        <v>61390</v>
      </c>
      <c r="AU602" s="1">
        <v>3000</v>
      </c>
      <c r="AV602" s="116">
        <f t="shared" si="46"/>
        <v>1436441</v>
      </c>
      <c r="BD602" s="1">
        <v>69046</v>
      </c>
      <c r="BE602" s="1">
        <v>37622</v>
      </c>
      <c r="BF602" s="121">
        <f t="shared" si="47"/>
        <v>106668</v>
      </c>
      <c r="BO602" s="1">
        <v>1882</v>
      </c>
      <c r="CB602" s="1">
        <v>117046</v>
      </c>
      <c r="CC602" s="125">
        <f t="shared" si="48"/>
        <v>118928</v>
      </c>
      <c r="CD602" s="1">
        <v>29208</v>
      </c>
      <c r="CK602" s="124">
        <f t="shared" si="49"/>
        <v>29208</v>
      </c>
      <c r="CV602" s="129">
        <v>109668</v>
      </c>
    </row>
    <row r="603" spans="1:100" ht="12.75" customHeight="1">
      <c r="A603" s="1">
        <v>41</v>
      </c>
      <c r="B603" s="1">
        <v>2470</v>
      </c>
      <c r="C603" s="1" t="s">
        <v>837</v>
      </c>
      <c r="D603" s="5" t="s">
        <v>684</v>
      </c>
      <c r="E603" t="s">
        <v>1829</v>
      </c>
      <c r="F603" s="26">
        <v>320</v>
      </c>
      <c r="G603" s="78">
        <v>2366564</v>
      </c>
      <c r="H603" s="78">
        <v>60401</v>
      </c>
      <c r="M603" s="1">
        <v>155377</v>
      </c>
      <c r="O603" s="117">
        <f t="shared" si="45"/>
        <v>2582342</v>
      </c>
      <c r="P603" s="78">
        <v>696181</v>
      </c>
      <c r="V603" s="1">
        <v>147273</v>
      </c>
      <c r="W603" s="1">
        <v>153189</v>
      </c>
      <c r="X603" s="1">
        <v>4636</v>
      </c>
      <c r="Y603" s="78">
        <v>226912</v>
      </c>
      <c r="AC603" s="1">
        <v>17996</v>
      </c>
      <c r="AD603" s="1">
        <v>41035</v>
      </c>
      <c r="AE603" s="1">
        <v>38077</v>
      </c>
      <c r="AF603" s="1">
        <v>1764</v>
      </c>
      <c r="AG603" s="1">
        <v>264504</v>
      </c>
      <c r="AH603" s="1">
        <v>159825</v>
      </c>
      <c r="AP603" s="1">
        <v>76267</v>
      </c>
      <c r="AV603" s="116">
        <f t="shared" si="46"/>
        <v>1827659</v>
      </c>
      <c r="BC603" s="1">
        <v>19821</v>
      </c>
      <c r="BD603" s="1">
        <v>68916</v>
      </c>
      <c r="BE603" s="1">
        <v>48460</v>
      </c>
      <c r="BF603" s="121">
        <f t="shared" si="47"/>
        <v>137197</v>
      </c>
      <c r="BO603" s="1">
        <v>3890</v>
      </c>
      <c r="CC603" s="125">
        <f t="shared" si="48"/>
        <v>3890</v>
      </c>
      <c r="CD603" s="1">
        <v>13012</v>
      </c>
      <c r="CK603" s="124">
        <f t="shared" si="49"/>
        <v>13012</v>
      </c>
      <c r="CV603" s="129">
        <v>137197</v>
      </c>
    </row>
    <row r="604" spans="1:100" ht="12.75" customHeight="1">
      <c r="A604" s="1">
        <v>41</v>
      </c>
      <c r="B604" s="1">
        <v>2790</v>
      </c>
      <c r="C604" s="1" t="s">
        <v>837</v>
      </c>
      <c r="D604" s="5" t="s">
        <v>685</v>
      </c>
      <c r="E604" t="s">
        <v>1830</v>
      </c>
      <c r="F604" s="26">
        <v>912</v>
      </c>
      <c r="G604" s="78">
        <v>10693264</v>
      </c>
      <c r="H604" s="78">
        <v>81087</v>
      </c>
      <c r="L604" s="1">
        <v>8750</v>
      </c>
      <c r="M604" s="1">
        <v>808051</v>
      </c>
      <c r="O604" s="117">
        <f t="shared" si="45"/>
        <v>11591152</v>
      </c>
      <c r="P604" s="78">
        <v>1849722</v>
      </c>
      <c r="V604" s="1">
        <v>112735</v>
      </c>
      <c r="W604" s="1">
        <v>474283</v>
      </c>
      <c r="X604" s="1">
        <v>4636</v>
      </c>
      <c r="AC604" s="1">
        <v>8695</v>
      </c>
      <c r="AD604" s="1">
        <v>126946</v>
      </c>
      <c r="AE604" s="1">
        <v>77050</v>
      </c>
      <c r="AF604" s="1">
        <v>112211</v>
      </c>
      <c r="AG604" s="1">
        <v>612859</v>
      </c>
      <c r="AH604" s="1">
        <v>379296</v>
      </c>
      <c r="AP604" s="1">
        <v>302276</v>
      </c>
      <c r="AU604" s="1">
        <v>29031</v>
      </c>
      <c r="AV604" s="116">
        <f t="shared" si="46"/>
        <v>4089740</v>
      </c>
      <c r="BC604" s="1">
        <v>27007</v>
      </c>
      <c r="BD604" s="1">
        <v>205095</v>
      </c>
      <c r="BE604" s="1">
        <v>9321</v>
      </c>
      <c r="BF604" s="121">
        <f t="shared" si="47"/>
        <v>241423</v>
      </c>
      <c r="BI604" s="1">
        <v>10350</v>
      </c>
      <c r="BO604" s="1">
        <v>3054</v>
      </c>
      <c r="CB604" s="1">
        <v>48911</v>
      </c>
      <c r="CC604" s="125">
        <f t="shared" si="48"/>
        <v>62315</v>
      </c>
      <c r="CK604" s="124">
        <f t="shared" si="49"/>
        <v>0</v>
      </c>
      <c r="CV604" s="129">
        <v>279204</v>
      </c>
    </row>
    <row r="605" spans="1:100" ht="12.75" customHeight="1">
      <c r="A605" s="1">
        <v>41</v>
      </c>
      <c r="B605" s="1">
        <v>2970</v>
      </c>
      <c r="C605" s="1" t="s">
        <v>837</v>
      </c>
      <c r="D605" s="5" t="s">
        <v>1468</v>
      </c>
      <c r="E605" t="s">
        <v>1831</v>
      </c>
      <c r="F605" s="26">
        <v>704</v>
      </c>
      <c r="G605" s="78">
        <v>4469733</v>
      </c>
      <c r="H605" s="78">
        <v>58225</v>
      </c>
      <c r="L605" s="1">
        <v>1841</v>
      </c>
      <c r="M605" s="1">
        <v>333504</v>
      </c>
      <c r="O605" s="117">
        <f t="shared" si="45"/>
        <v>4863303</v>
      </c>
      <c r="P605" s="78">
        <v>1197974</v>
      </c>
      <c r="Q605" s="78">
        <v>378277</v>
      </c>
      <c r="V605" s="1">
        <v>343253</v>
      </c>
      <c r="W605" s="1">
        <v>275349</v>
      </c>
      <c r="X605" s="1">
        <v>12974</v>
      </c>
      <c r="Y605" s="78">
        <v>461172</v>
      </c>
      <c r="AC605" s="1">
        <v>7619</v>
      </c>
      <c r="AD605" s="1">
        <v>81522</v>
      </c>
      <c r="AE605" s="1">
        <v>83115</v>
      </c>
      <c r="AF605" s="1">
        <v>4402</v>
      </c>
      <c r="AG605" s="1">
        <v>564573</v>
      </c>
      <c r="AH605" s="1">
        <v>319772</v>
      </c>
      <c r="AO605" s="1">
        <v>19980</v>
      </c>
      <c r="AP605" s="1">
        <v>103800</v>
      </c>
      <c r="AU605" s="1">
        <v>135</v>
      </c>
      <c r="AV605" s="116">
        <f t="shared" si="46"/>
        <v>3853917</v>
      </c>
      <c r="AW605" s="1">
        <v>8102</v>
      </c>
      <c r="BC605" s="1">
        <v>109031</v>
      </c>
      <c r="BD605" s="1">
        <v>167130</v>
      </c>
      <c r="BE605" s="1">
        <v>57436</v>
      </c>
      <c r="BF605" s="121">
        <f t="shared" si="47"/>
        <v>341699</v>
      </c>
      <c r="BI605" s="1">
        <v>12000</v>
      </c>
      <c r="BO605" s="1">
        <v>10984</v>
      </c>
      <c r="CA605" s="1">
        <v>10586</v>
      </c>
      <c r="CC605" s="125">
        <f t="shared" si="48"/>
        <v>33570</v>
      </c>
      <c r="CD605" s="1">
        <v>19410</v>
      </c>
      <c r="CK605" s="124">
        <f t="shared" si="49"/>
        <v>19410</v>
      </c>
      <c r="CV605" s="129">
        <v>355553</v>
      </c>
    </row>
    <row r="606" spans="1:100" ht="12.75" customHeight="1">
      <c r="A606" s="1">
        <v>41</v>
      </c>
      <c r="B606" s="1">
        <v>3675</v>
      </c>
      <c r="C606" s="1" t="s">
        <v>837</v>
      </c>
      <c r="D606" s="5" t="s">
        <v>686</v>
      </c>
      <c r="E606" t="s">
        <v>1832</v>
      </c>
      <c r="F606" s="26">
        <v>1263</v>
      </c>
      <c r="G606" s="78">
        <v>9322313</v>
      </c>
      <c r="H606" s="78">
        <v>157824</v>
      </c>
      <c r="M606" s="1">
        <v>325185</v>
      </c>
      <c r="O606" s="117">
        <f t="shared" si="45"/>
        <v>9805322</v>
      </c>
      <c r="P606" s="78">
        <v>3033417</v>
      </c>
      <c r="V606" s="1">
        <v>448471</v>
      </c>
      <c r="W606" s="1">
        <v>668416</v>
      </c>
      <c r="X606" s="1">
        <v>1186</v>
      </c>
      <c r="AB606" s="1">
        <v>57807</v>
      </c>
      <c r="AC606" s="1">
        <v>68323</v>
      </c>
      <c r="AD606" s="1">
        <v>112573</v>
      </c>
      <c r="AE606" s="1">
        <v>127922</v>
      </c>
      <c r="AF606" s="1">
        <v>11132</v>
      </c>
      <c r="AG606" s="1">
        <v>890275</v>
      </c>
      <c r="AH606" s="1">
        <v>456167</v>
      </c>
      <c r="AP606" s="1">
        <v>101333</v>
      </c>
      <c r="AU606" s="1">
        <v>17777</v>
      </c>
      <c r="AV606" s="116">
        <f t="shared" si="46"/>
        <v>5994799</v>
      </c>
      <c r="BC606" s="1">
        <v>22807</v>
      </c>
      <c r="BD606" s="1">
        <v>186792</v>
      </c>
      <c r="BE606" s="1">
        <v>66633</v>
      </c>
      <c r="BF606" s="121">
        <f t="shared" si="47"/>
        <v>276232</v>
      </c>
      <c r="BN606" s="1">
        <v>41122</v>
      </c>
      <c r="BO606" s="1">
        <v>372</v>
      </c>
      <c r="CB606" s="1">
        <v>7</v>
      </c>
      <c r="CC606" s="125">
        <f t="shared" si="48"/>
        <v>41501</v>
      </c>
      <c r="CD606" s="1">
        <v>23385</v>
      </c>
      <c r="CK606" s="124">
        <f t="shared" si="49"/>
        <v>23385</v>
      </c>
      <c r="CV606" s="129">
        <v>294009</v>
      </c>
    </row>
    <row r="607" spans="1:100" ht="12.75" customHeight="1">
      <c r="A607" s="1">
        <v>41</v>
      </c>
      <c r="B607" s="1">
        <v>3890</v>
      </c>
      <c r="C607" s="1" t="s">
        <v>837</v>
      </c>
      <c r="D607" s="5" t="s">
        <v>687</v>
      </c>
      <c r="E607" t="s">
        <v>1833</v>
      </c>
      <c r="F607" s="26">
        <v>318</v>
      </c>
      <c r="G607" s="78">
        <v>2721704</v>
      </c>
      <c r="H607" s="78">
        <v>30156</v>
      </c>
      <c r="M607" s="1">
        <v>306188</v>
      </c>
      <c r="O607" s="117">
        <f t="shared" si="45"/>
        <v>3058048</v>
      </c>
      <c r="P607" s="78">
        <v>1859663</v>
      </c>
      <c r="V607" s="1">
        <v>87045</v>
      </c>
      <c r="W607" s="1">
        <v>162031</v>
      </c>
      <c r="AC607" s="1">
        <v>20707</v>
      </c>
      <c r="AD607" s="1">
        <v>52775</v>
      </c>
      <c r="AE607" s="1">
        <v>65298</v>
      </c>
      <c r="AF607" s="1">
        <v>3109</v>
      </c>
      <c r="AG607" s="1">
        <v>295584</v>
      </c>
      <c r="AH607" s="1">
        <v>120287</v>
      </c>
      <c r="AO607" s="1">
        <v>15146</v>
      </c>
      <c r="AU607" s="1">
        <v>4</v>
      </c>
      <c r="AV607" s="116">
        <f t="shared" si="46"/>
        <v>2681649</v>
      </c>
      <c r="BC607" s="1">
        <v>34436</v>
      </c>
      <c r="BD607" s="1">
        <v>75356</v>
      </c>
      <c r="BE607" s="1">
        <v>202851</v>
      </c>
      <c r="BF607" s="121">
        <f t="shared" si="47"/>
        <v>312643</v>
      </c>
      <c r="BO607" s="1">
        <v>50</v>
      </c>
      <c r="CB607" s="1">
        <v>255</v>
      </c>
      <c r="CC607" s="125">
        <f t="shared" si="48"/>
        <v>305</v>
      </c>
      <c r="CK607" s="124">
        <f t="shared" si="49"/>
        <v>0</v>
      </c>
      <c r="CV607" s="129">
        <v>327793</v>
      </c>
    </row>
    <row r="608" spans="1:100" ht="12.75" customHeight="1">
      <c r="A608" s="1">
        <v>41</v>
      </c>
      <c r="B608" s="1">
        <v>4100</v>
      </c>
      <c r="C608" s="1" t="s">
        <v>837</v>
      </c>
      <c r="D608" s="5" t="s">
        <v>688</v>
      </c>
      <c r="E608" t="s">
        <v>1834</v>
      </c>
      <c r="F608" s="26">
        <v>3723</v>
      </c>
      <c r="G608" s="78">
        <v>6241166</v>
      </c>
      <c r="H608" s="78">
        <v>424244</v>
      </c>
      <c r="L608" s="1">
        <v>37309</v>
      </c>
      <c r="M608" s="1">
        <v>91488</v>
      </c>
      <c r="O608" s="117">
        <f t="shared" si="45"/>
        <v>6794207</v>
      </c>
      <c r="P608" s="78">
        <v>12984654</v>
      </c>
      <c r="Q608" s="78">
        <v>333641</v>
      </c>
      <c r="S608" s="25">
        <v>19122021</v>
      </c>
      <c r="T608" s="1">
        <v>667090</v>
      </c>
      <c r="V608" s="1">
        <v>343874</v>
      </c>
      <c r="W608" s="1">
        <v>2299401</v>
      </c>
      <c r="X608" s="1">
        <v>70996</v>
      </c>
      <c r="AC608" s="1">
        <v>24799</v>
      </c>
      <c r="AD608" s="1">
        <v>292733</v>
      </c>
      <c r="AF608" s="1">
        <v>3444</v>
      </c>
      <c r="AG608" s="1">
        <v>3481360</v>
      </c>
      <c r="AH608" s="1">
        <v>2100458</v>
      </c>
      <c r="AM608" s="1">
        <v>718939</v>
      </c>
      <c r="AP608" s="1">
        <v>126575</v>
      </c>
      <c r="AU608" s="1">
        <v>679476</v>
      </c>
      <c r="AV608" s="116">
        <f t="shared" si="46"/>
        <v>43249461</v>
      </c>
      <c r="AW608" s="1">
        <v>161413</v>
      </c>
      <c r="AZ608" s="1">
        <v>51165</v>
      </c>
      <c r="BA608" s="1">
        <v>27912</v>
      </c>
      <c r="BB608" s="1">
        <v>40010</v>
      </c>
      <c r="BC608" s="1">
        <v>1220759</v>
      </c>
      <c r="BD608" s="1">
        <v>779016</v>
      </c>
      <c r="BE608" s="1">
        <v>659271</v>
      </c>
      <c r="BF608" s="121">
        <f t="shared" si="47"/>
        <v>2939546</v>
      </c>
      <c r="BZ608" s="1">
        <v>5130</v>
      </c>
      <c r="CC608" s="125">
        <f t="shared" si="48"/>
        <v>5130</v>
      </c>
      <c r="CD608" s="1">
        <v>7315747</v>
      </c>
      <c r="CK608" s="124">
        <f t="shared" si="49"/>
        <v>7315747</v>
      </c>
      <c r="CQ608" s="23">
        <v>388009</v>
      </c>
      <c r="CT608" s="23">
        <v>3319524</v>
      </c>
      <c r="CV608" s="129">
        <v>7893478</v>
      </c>
    </row>
    <row r="609" spans="1:100" ht="12.75" customHeight="1">
      <c r="A609" s="1">
        <v>41</v>
      </c>
      <c r="B609" s="1">
        <v>4200</v>
      </c>
      <c r="C609" s="1" t="s">
        <v>837</v>
      </c>
      <c r="D609" s="5" t="s">
        <v>689</v>
      </c>
      <c r="E609" t="s">
        <v>1835</v>
      </c>
      <c r="F609" s="26">
        <v>379</v>
      </c>
      <c r="G609" s="78">
        <v>4489308</v>
      </c>
      <c r="H609" s="78">
        <v>67054</v>
      </c>
      <c r="M609" s="1">
        <v>732648</v>
      </c>
      <c r="O609" s="117">
        <f t="shared" si="45"/>
        <v>5289010</v>
      </c>
      <c r="P609" s="78">
        <v>881330</v>
      </c>
      <c r="V609" s="1">
        <v>195239</v>
      </c>
      <c r="W609" s="1">
        <v>245024</v>
      </c>
      <c r="Y609" s="78">
        <v>252698</v>
      </c>
      <c r="AD609" s="1">
        <v>59907</v>
      </c>
      <c r="AE609" s="1">
        <v>49269</v>
      </c>
      <c r="AF609" s="1">
        <v>3043</v>
      </c>
      <c r="AG609" s="1">
        <v>452183</v>
      </c>
      <c r="AH609" s="1">
        <v>150584</v>
      </c>
      <c r="AO609" s="1">
        <v>8118</v>
      </c>
      <c r="AP609" s="1">
        <v>190100</v>
      </c>
      <c r="AV609" s="116">
        <f t="shared" si="46"/>
        <v>2487495</v>
      </c>
      <c r="BC609" s="1">
        <v>23767</v>
      </c>
      <c r="BD609" s="1">
        <v>107713</v>
      </c>
      <c r="BE609" s="1">
        <v>18113</v>
      </c>
      <c r="BF609" s="121">
        <f t="shared" si="47"/>
        <v>149593</v>
      </c>
      <c r="BN609" s="1">
        <v>30867</v>
      </c>
      <c r="BO609" s="1">
        <v>7722</v>
      </c>
      <c r="BZ609" s="1">
        <v>55000</v>
      </c>
      <c r="CC609" s="125">
        <f t="shared" si="48"/>
        <v>93589</v>
      </c>
      <c r="CK609" s="124">
        <f t="shared" si="49"/>
        <v>0</v>
      </c>
      <c r="CV609" s="129">
        <v>157711</v>
      </c>
    </row>
    <row r="610" spans="1:100" ht="12.75" customHeight="1">
      <c r="A610" s="1">
        <v>41</v>
      </c>
      <c r="B610" s="1">
        <v>5450</v>
      </c>
      <c r="C610" s="1" t="s">
        <v>837</v>
      </c>
      <c r="D610" s="5" t="s">
        <v>690</v>
      </c>
      <c r="E610" t="s">
        <v>1836</v>
      </c>
      <c r="F610" s="26">
        <v>63</v>
      </c>
      <c r="H610" s="78">
        <v>199812</v>
      </c>
      <c r="I610" s="1">
        <v>184821</v>
      </c>
      <c r="O610" s="117">
        <f t="shared" si="45"/>
        <v>384633</v>
      </c>
      <c r="AG610" s="1">
        <v>150651</v>
      </c>
      <c r="AH610" s="1">
        <v>111321</v>
      </c>
      <c r="AU610" s="1">
        <v>5154</v>
      </c>
      <c r="AV610" s="116">
        <f t="shared" si="46"/>
        <v>267126</v>
      </c>
      <c r="BF610" s="121">
        <f t="shared" si="47"/>
        <v>0</v>
      </c>
      <c r="CC610" s="125">
        <f t="shared" si="48"/>
        <v>0</v>
      </c>
      <c r="CF610" s="1">
        <v>2147618</v>
      </c>
      <c r="CK610" s="124">
        <f t="shared" si="49"/>
        <v>2147618</v>
      </c>
      <c r="CV610" s="129">
        <v>5154</v>
      </c>
    </row>
    <row r="611" spans="1:100" ht="12.75" customHeight="1">
      <c r="A611" s="1">
        <v>41</v>
      </c>
      <c r="B611" s="1">
        <v>5460</v>
      </c>
      <c r="C611" s="1" t="s">
        <v>837</v>
      </c>
      <c r="D611" s="5" t="s">
        <v>691</v>
      </c>
      <c r="E611" t="s">
        <v>1837</v>
      </c>
      <c r="F611" s="26">
        <v>417</v>
      </c>
      <c r="H611" s="78">
        <v>214808</v>
      </c>
      <c r="I611" s="1">
        <v>4012290</v>
      </c>
      <c r="O611" s="117">
        <f t="shared" si="45"/>
        <v>4227098</v>
      </c>
      <c r="P611" s="78">
        <v>960964</v>
      </c>
      <c r="V611" s="1">
        <v>114851</v>
      </c>
      <c r="W611" s="1">
        <v>362281</v>
      </c>
      <c r="Y611" s="78">
        <v>67799</v>
      </c>
      <c r="AA611" s="1">
        <v>556886</v>
      </c>
      <c r="AD611" s="1">
        <v>123865</v>
      </c>
      <c r="AE611" s="1">
        <v>70522</v>
      </c>
      <c r="AF611" s="1">
        <v>27749</v>
      </c>
      <c r="AG611" s="1">
        <v>450080</v>
      </c>
      <c r="AH611" s="1">
        <v>210146</v>
      </c>
      <c r="AO611" s="1">
        <v>20429</v>
      </c>
      <c r="AU611" s="1">
        <v>26052</v>
      </c>
      <c r="AV611" s="116">
        <f t="shared" si="46"/>
        <v>2991624</v>
      </c>
      <c r="BB611" s="1">
        <v>256679</v>
      </c>
      <c r="BC611" s="1">
        <v>27417</v>
      </c>
      <c r="BD611" s="1">
        <v>76753</v>
      </c>
      <c r="BE611" s="1">
        <v>1191</v>
      </c>
      <c r="BF611" s="121">
        <f t="shared" si="47"/>
        <v>362040</v>
      </c>
      <c r="BO611" s="1">
        <v>756</v>
      </c>
      <c r="CA611" s="1">
        <v>130</v>
      </c>
      <c r="CB611" s="1">
        <v>125000</v>
      </c>
      <c r="CC611" s="125">
        <f t="shared" si="48"/>
        <v>125886</v>
      </c>
      <c r="CF611" s="1">
        <v>1045075</v>
      </c>
      <c r="CG611" s="1">
        <v>129614</v>
      </c>
      <c r="CK611" s="124">
        <f t="shared" si="49"/>
        <v>1174689</v>
      </c>
      <c r="CP611" s="23">
        <v>143645</v>
      </c>
      <c r="CR611" s="23">
        <v>140511</v>
      </c>
      <c r="CV611" s="129">
        <v>549032</v>
      </c>
    </row>
    <row r="612" spans="1:100" ht="12.75" customHeight="1">
      <c r="A612" s="1">
        <v>41</v>
      </c>
      <c r="B612" s="1">
        <v>5465</v>
      </c>
      <c r="C612" s="1" t="s">
        <v>837</v>
      </c>
      <c r="D612" s="5" t="s">
        <v>692</v>
      </c>
      <c r="E612" t="s">
        <v>1624</v>
      </c>
      <c r="F612" s="26">
        <v>2161</v>
      </c>
      <c r="G612" s="78">
        <v>16916300</v>
      </c>
      <c r="H612" s="78">
        <v>254116</v>
      </c>
      <c r="M612" s="1">
        <v>1466725</v>
      </c>
      <c r="O612" s="117">
        <f t="shared" si="45"/>
        <v>18637141</v>
      </c>
      <c r="P612" s="78">
        <v>7385112</v>
      </c>
      <c r="V612" s="1">
        <v>536929</v>
      </c>
      <c r="W612" s="1">
        <v>1372469</v>
      </c>
      <c r="X612" s="1">
        <v>26810</v>
      </c>
      <c r="AC612" s="1">
        <v>88190</v>
      </c>
      <c r="AD612" s="1">
        <v>228218</v>
      </c>
      <c r="AE612" s="1">
        <v>287984</v>
      </c>
      <c r="AF612" s="1">
        <v>19733</v>
      </c>
      <c r="AG612" s="1">
        <v>2078994</v>
      </c>
      <c r="AH612" s="1">
        <v>952275</v>
      </c>
      <c r="AO612" s="1">
        <v>49910</v>
      </c>
      <c r="AP612" s="1">
        <v>414993</v>
      </c>
      <c r="AU612" s="1">
        <v>2721</v>
      </c>
      <c r="AV612" s="116">
        <f t="shared" si="46"/>
        <v>13444338</v>
      </c>
      <c r="BC612" s="1">
        <v>104440</v>
      </c>
      <c r="BD612" s="1">
        <v>400442</v>
      </c>
      <c r="BE612" s="1">
        <v>86876</v>
      </c>
      <c r="BF612" s="121">
        <f t="shared" si="47"/>
        <v>591758</v>
      </c>
      <c r="BN612" s="1">
        <v>304198</v>
      </c>
      <c r="BO612" s="1">
        <v>56946</v>
      </c>
      <c r="BP612" s="1">
        <v>13680</v>
      </c>
      <c r="BX612" s="1">
        <v>900103</v>
      </c>
      <c r="BY612" s="1">
        <v>129</v>
      </c>
      <c r="CA612" s="1">
        <v>900103</v>
      </c>
      <c r="CC612" s="125">
        <f t="shared" si="48"/>
        <v>2175159</v>
      </c>
      <c r="CD612" s="1">
        <v>1316884</v>
      </c>
      <c r="CK612" s="124">
        <f t="shared" si="49"/>
        <v>1316884</v>
      </c>
      <c r="CV612" s="129">
        <v>644389</v>
      </c>
    </row>
    <row r="613" spans="1:100" ht="12.75" customHeight="1">
      <c r="A613" s="1">
        <v>41</v>
      </c>
      <c r="B613" s="1">
        <v>5480</v>
      </c>
      <c r="C613" s="1" t="s">
        <v>837</v>
      </c>
      <c r="D613" s="5" t="s">
        <v>693</v>
      </c>
      <c r="E613" t="s">
        <v>1625</v>
      </c>
      <c r="F613" s="26">
        <v>511</v>
      </c>
      <c r="G613" s="78">
        <v>3313716</v>
      </c>
      <c r="H613" s="78">
        <v>87062</v>
      </c>
      <c r="L613" s="1">
        <v>2212</v>
      </c>
      <c r="M613" s="1">
        <v>204373</v>
      </c>
      <c r="O613" s="117">
        <f t="shared" si="45"/>
        <v>3607363</v>
      </c>
      <c r="P613" s="78">
        <v>1765208</v>
      </c>
      <c r="Q613" s="78">
        <v>64251</v>
      </c>
      <c r="V613" s="1">
        <v>48885</v>
      </c>
      <c r="W613" s="1">
        <v>577140</v>
      </c>
      <c r="X613" s="1">
        <v>20898</v>
      </c>
      <c r="AC613" s="1">
        <v>5582</v>
      </c>
      <c r="AD613" s="1">
        <v>61430</v>
      </c>
      <c r="AE613" s="1">
        <v>48119</v>
      </c>
      <c r="AF613" s="1">
        <v>2389</v>
      </c>
      <c r="AG613" s="1">
        <v>511069</v>
      </c>
      <c r="AH613" s="1">
        <v>256484</v>
      </c>
      <c r="AO613" s="1">
        <v>38787</v>
      </c>
      <c r="AU613" s="1">
        <v>738</v>
      </c>
      <c r="AV613" s="116">
        <f t="shared" si="46"/>
        <v>3400980</v>
      </c>
      <c r="BC613" s="1">
        <v>106694</v>
      </c>
      <c r="BD613" s="1">
        <v>153943</v>
      </c>
      <c r="BE613" s="1">
        <v>29290</v>
      </c>
      <c r="BF613" s="121">
        <f t="shared" si="47"/>
        <v>289927</v>
      </c>
      <c r="CC613" s="125">
        <f t="shared" si="48"/>
        <v>0</v>
      </c>
      <c r="CK613" s="124">
        <f t="shared" si="49"/>
        <v>0</v>
      </c>
      <c r="CV613" s="129">
        <v>331664</v>
      </c>
    </row>
    <row r="614" spans="1:100" ht="12.75" customHeight="1">
      <c r="A614" s="1">
        <v>41</v>
      </c>
      <c r="B614" s="1">
        <v>5530</v>
      </c>
      <c r="C614" s="1" t="s">
        <v>837</v>
      </c>
      <c r="D614" s="5" t="s">
        <v>1270</v>
      </c>
      <c r="E614" t="s">
        <v>1626</v>
      </c>
      <c r="F614" s="26">
        <v>674</v>
      </c>
      <c r="G614" s="78">
        <v>4628909</v>
      </c>
      <c r="H614" s="78">
        <v>120195</v>
      </c>
      <c r="J614" s="1">
        <v>45000</v>
      </c>
      <c r="N614" s="1">
        <v>273800</v>
      </c>
      <c r="O614" s="117">
        <f t="shared" si="45"/>
        <v>5067904</v>
      </c>
      <c r="P614" s="78">
        <v>1470772</v>
      </c>
      <c r="V614" s="1">
        <v>259617</v>
      </c>
      <c r="W614" s="1">
        <v>617865</v>
      </c>
      <c r="Y614" s="78">
        <v>303063</v>
      </c>
      <c r="AC614" s="1">
        <v>27745</v>
      </c>
      <c r="AD614" s="1">
        <v>69014</v>
      </c>
      <c r="AE614" s="1">
        <v>81610</v>
      </c>
      <c r="AF614" s="1">
        <v>3334</v>
      </c>
      <c r="AG614" s="1">
        <v>495132</v>
      </c>
      <c r="AH614" s="1">
        <v>274318</v>
      </c>
      <c r="AU614" s="1">
        <v>107693</v>
      </c>
      <c r="AV614" s="116">
        <f t="shared" si="46"/>
        <v>3710163</v>
      </c>
      <c r="BC614" s="1">
        <v>16631</v>
      </c>
      <c r="BD614" s="1">
        <v>182208</v>
      </c>
      <c r="BE614" s="1">
        <v>16961</v>
      </c>
      <c r="BF614" s="121">
        <f t="shared" si="47"/>
        <v>215800</v>
      </c>
      <c r="BO614" s="1">
        <v>11484</v>
      </c>
      <c r="CC614" s="125">
        <f t="shared" si="48"/>
        <v>11484</v>
      </c>
      <c r="CK614" s="124">
        <f t="shared" si="49"/>
        <v>0</v>
      </c>
      <c r="CV614" s="129">
        <v>323493</v>
      </c>
    </row>
    <row r="615" spans="1:100" ht="12.75" customHeight="1">
      <c r="A615" s="1">
        <v>41</v>
      </c>
      <c r="B615" s="1">
        <v>5780</v>
      </c>
      <c r="C615" s="1" t="s">
        <v>837</v>
      </c>
      <c r="D615" s="5" t="s">
        <v>694</v>
      </c>
      <c r="E615" t="s">
        <v>1627</v>
      </c>
      <c r="F615" s="26">
        <v>438</v>
      </c>
      <c r="G615" s="78">
        <v>5682676</v>
      </c>
      <c r="H615" s="78">
        <v>22907</v>
      </c>
      <c r="M615" s="1">
        <v>345857</v>
      </c>
      <c r="O615" s="117">
        <f t="shared" si="45"/>
        <v>6051440</v>
      </c>
      <c r="P615" s="78">
        <v>197926</v>
      </c>
      <c r="V615" s="1">
        <v>284951</v>
      </c>
      <c r="W615" s="1">
        <v>318904</v>
      </c>
      <c r="Y615" s="78">
        <v>1034493</v>
      </c>
      <c r="AC615" s="1">
        <v>22972</v>
      </c>
      <c r="AD615" s="1">
        <v>68356</v>
      </c>
      <c r="AE615" s="1">
        <v>57139</v>
      </c>
      <c r="AF615" s="1">
        <v>52044</v>
      </c>
      <c r="AG615" s="1">
        <v>322054</v>
      </c>
      <c r="AH615" s="1">
        <v>182092</v>
      </c>
      <c r="AP615" s="1">
        <v>56439</v>
      </c>
      <c r="AU615" s="1">
        <v>138125</v>
      </c>
      <c r="AV615" s="116">
        <f t="shared" si="46"/>
        <v>2735495</v>
      </c>
      <c r="BC615" s="1">
        <v>29866</v>
      </c>
      <c r="BD615" s="1">
        <v>133686</v>
      </c>
      <c r="BE615" s="1">
        <v>56087</v>
      </c>
      <c r="BF615" s="121">
        <f t="shared" si="47"/>
        <v>219639</v>
      </c>
      <c r="CB615" s="1">
        <v>82560</v>
      </c>
      <c r="CC615" s="125">
        <f t="shared" si="48"/>
        <v>82560</v>
      </c>
      <c r="CK615" s="124">
        <f t="shared" si="49"/>
        <v>0</v>
      </c>
      <c r="CV615" s="129">
        <v>357764</v>
      </c>
    </row>
    <row r="616" spans="1:100" ht="12.75" customHeight="1">
      <c r="A616" s="1"/>
      <c r="B616" s="1"/>
      <c r="C616" s="1"/>
      <c r="D616" s="6" t="s">
        <v>610</v>
      </c>
      <c r="E616"/>
      <c r="F616" s="26"/>
      <c r="G616" s="78"/>
      <c r="H616" s="78"/>
      <c r="M616" s="1"/>
      <c r="O616" s="117">
        <f>[3]Statewide!$G$421</f>
        <v>-44687667</v>
      </c>
      <c r="P616" s="78"/>
      <c r="V616" s="1"/>
      <c r="W616" s="1"/>
      <c r="Y616" s="78"/>
      <c r="AC616" s="1"/>
      <c r="AD616" s="1"/>
      <c r="AE616" s="1"/>
      <c r="AF616" s="1"/>
      <c r="AG616" s="1"/>
      <c r="AH616" s="1"/>
      <c r="AP616" s="1"/>
      <c r="AU616" s="1"/>
      <c r="AV616" s="116">
        <f>[3]Statewide!$H$421</f>
        <v>-98011115</v>
      </c>
      <c r="BC616" s="1"/>
      <c r="BD616" s="1"/>
      <c r="BE616" s="1"/>
      <c r="BF616" s="121"/>
      <c r="CB616" s="1"/>
      <c r="CV616" s="129"/>
    </row>
    <row r="617" spans="1:100" s="26" customFormat="1" ht="12.75" customHeight="1">
      <c r="A617" s="80"/>
      <c r="B617" s="80"/>
      <c r="C617" s="80"/>
      <c r="D617" s="8" t="s">
        <v>526</v>
      </c>
      <c r="F617" s="26">
        <f>SUM(F4:F615)</f>
        <v>1331638</v>
      </c>
      <c r="G617" s="80"/>
      <c r="H617" s="80"/>
      <c r="M617" s="80"/>
      <c r="O617" s="117">
        <f>SUM(O4:O616)</f>
        <v>12091918258</v>
      </c>
      <c r="P617" s="80"/>
      <c r="V617" s="80"/>
      <c r="W617" s="80"/>
      <c r="Y617" s="80"/>
      <c r="AC617" s="80"/>
      <c r="AD617" s="80"/>
      <c r="AE617" s="80"/>
      <c r="AF617" s="80"/>
      <c r="AG617" s="80"/>
      <c r="AH617" s="80"/>
      <c r="AP617" s="80"/>
      <c r="AU617" s="80"/>
      <c r="AV617" s="119">
        <f>SUM(AV4:AV616)</f>
        <v>8659807789</v>
      </c>
      <c r="BC617" s="80"/>
      <c r="BD617" s="80"/>
      <c r="BE617" s="80"/>
      <c r="BF617" s="122">
        <f>SUM(BF4:BF615)</f>
        <v>731770812</v>
      </c>
      <c r="CB617" s="80"/>
      <c r="CC617" s="125">
        <f>SUM(CC4:CC615)</f>
        <v>720418652</v>
      </c>
      <c r="CK617" s="123">
        <f>SUM(CK4:CK615)</f>
        <v>580698714</v>
      </c>
      <c r="CL617" s="105">
        <f>SUM(O617:CK617)</f>
        <v>22784614225</v>
      </c>
      <c r="CV617" s="129"/>
    </row>
    <row r="618" spans="1:100" s="26" customFormat="1" ht="12.75" customHeight="1">
      <c r="A618" s="80"/>
      <c r="B618" s="80"/>
      <c r="C618" s="80"/>
      <c r="D618" s="8" t="s">
        <v>527</v>
      </c>
      <c r="G618" s="80"/>
      <c r="H618" s="80"/>
      <c r="M618" s="80"/>
      <c r="O618" s="117">
        <f>O617/$F$617</f>
        <v>9080.4845295793602</v>
      </c>
      <c r="P618" s="80"/>
      <c r="V618" s="80"/>
      <c r="W618" s="80"/>
      <c r="Y618" s="80"/>
      <c r="AC618" s="80"/>
      <c r="AD618" s="80"/>
      <c r="AE618" s="80"/>
      <c r="AF618" s="80"/>
      <c r="AG618" s="80"/>
      <c r="AH618" s="80"/>
      <c r="AP618" s="80"/>
      <c r="AU618" s="80"/>
      <c r="AV618" s="115">
        <f>AV617/$F$617</f>
        <v>6503.1245646339321</v>
      </c>
      <c r="BC618" s="80"/>
      <c r="BD618" s="80"/>
      <c r="BE618" s="80"/>
      <c r="BF618" s="120">
        <f>BF617/$F$617</f>
        <v>549.52683236735504</v>
      </c>
      <c r="CB618" s="80"/>
      <c r="CC618" s="127">
        <f>CC617/$F$617</f>
        <v>541.00187288136863</v>
      </c>
      <c r="CK618" s="124">
        <f>CK617/$F$617</f>
        <v>436.07850932460622</v>
      </c>
      <c r="CL618" s="105">
        <f>SUM(O618:CK618)</f>
        <v>17110.216308786621</v>
      </c>
      <c r="CV618" s="129"/>
    </row>
    <row r="619" spans="1:100" s="26" customFormat="1" ht="12.75" customHeight="1">
      <c r="A619" s="80"/>
      <c r="B619" s="80"/>
      <c r="C619" s="80"/>
      <c r="D619" s="104"/>
      <c r="G619" s="80"/>
      <c r="H619" s="80"/>
      <c r="M619" s="80"/>
      <c r="O619" s="132"/>
      <c r="P619" s="80"/>
      <c r="V619" s="80"/>
      <c r="W619" s="80"/>
      <c r="Y619" s="80"/>
      <c r="AC619" s="80"/>
      <c r="AD619" s="80"/>
      <c r="AE619" s="80"/>
      <c r="AF619" s="80"/>
      <c r="AG619" s="80"/>
      <c r="AH619" s="80"/>
      <c r="AP619" s="80"/>
      <c r="AU619" s="80"/>
      <c r="AV619" s="119"/>
      <c r="BC619" s="80"/>
      <c r="BD619" s="80"/>
      <c r="BE619" s="80"/>
      <c r="BF619" s="122"/>
      <c r="CB619" s="80"/>
      <c r="CC619" s="125"/>
      <c r="CK619" s="123"/>
      <c r="CV619" s="129"/>
    </row>
    <row r="620" spans="1:100" s="26" customFormat="1" ht="12.75" customHeight="1">
      <c r="A620" s="80"/>
      <c r="B620" s="80"/>
      <c r="C620" s="80"/>
      <c r="D620" s="104"/>
      <c r="G620" s="80"/>
      <c r="H620" s="80"/>
      <c r="M620" s="80"/>
      <c r="O620" s="132"/>
      <c r="P620" s="80"/>
      <c r="V620" s="80"/>
      <c r="W620" s="80"/>
      <c r="Y620" s="80"/>
      <c r="AC620" s="80"/>
      <c r="AD620" s="80"/>
      <c r="AE620" s="80"/>
      <c r="AF620" s="80"/>
      <c r="AG620" s="80"/>
      <c r="AH620" s="80"/>
      <c r="AP620" s="80"/>
      <c r="AU620" s="80"/>
      <c r="AV620" s="119"/>
      <c r="BC620" s="80"/>
      <c r="BD620" s="80"/>
      <c r="BE620" s="80"/>
      <c r="BF620" s="122"/>
      <c r="CB620" s="80"/>
      <c r="CC620" s="125"/>
      <c r="CK620" s="123"/>
      <c r="CV620" s="129"/>
    </row>
    <row r="621" spans="1:100" s="26" customFormat="1" ht="12.75" customHeight="1">
      <c r="A621" s="80"/>
      <c r="B621" s="80"/>
      <c r="C621" s="80"/>
      <c r="D621" s="104"/>
      <c r="G621" s="80"/>
      <c r="H621" s="80"/>
      <c r="M621" s="80"/>
      <c r="O621" s="132"/>
      <c r="P621" s="80"/>
      <c r="V621" s="80"/>
      <c r="W621" s="80"/>
      <c r="Y621" s="80"/>
      <c r="AC621" s="80"/>
      <c r="AD621" s="80"/>
      <c r="AE621" s="80"/>
      <c r="AF621" s="80"/>
      <c r="AG621" s="80"/>
      <c r="AH621" s="80"/>
      <c r="AP621" s="80"/>
      <c r="AU621" s="80"/>
      <c r="AV621" s="119"/>
      <c r="BC621" s="80"/>
      <c r="BD621" s="80"/>
      <c r="BE621" s="80"/>
      <c r="BF621" s="122"/>
      <c r="CB621" s="80"/>
      <c r="CC621" s="125"/>
      <c r="CK621" s="123"/>
      <c r="CV621" s="129"/>
    </row>
    <row r="622" spans="1:100" ht="12.75" customHeight="1">
      <c r="A622" s="1">
        <v>17</v>
      </c>
      <c r="B622" s="25">
        <v>2390</v>
      </c>
      <c r="C622" s="25" t="s">
        <v>1065</v>
      </c>
      <c r="D622" s="106" t="s">
        <v>1072</v>
      </c>
      <c r="E622" s="2" t="s">
        <v>241</v>
      </c>
      <c r="F622" s="26">
        <v>28910</v>
      </c>
      <c r="G622" s="78">
        <v>79624878</v>
      </c>
      <c r="H622" s="78">
        <v>1882630</v>
      </c>
      <c r="L622" s="1">
        <v>28814</v>
      </c>
      <c r="N622" s="1">
        <v>17050000</v>
      </c>
      <c r="O622" s="117">
        <f>SUM(G622:N622)</f>
        <v>98586322</v>
      </c>
      <c r="P622" s="78">
        <v>140686297</v>
      </c>
      <c r="Q622" s="78">
        <v>37475295</v>
      </c>
      <c r="S622" s="25">
        <v>174840105</v>
      </c>
      <c r="V622" s="1">
        <v>3624557</v>
      </c>
      <c r="W622" s="1">
        <v>19778459</v>
      </c>
      <c r="X622" s="1">
        <v>2936604</v>
      </c>
      <c r="Y622" s="78">
        <v>100000</v>
      </c>
      <c r="AC622" s="1">
        <v>538522</v>
      </c>
      <c r="AD622" s="1">
        <v>3595195</v>
      </c>
      <c r="AF622" s="1">
        <v>1882930</v>
      </c>
      <c r="AG622" s="1">
        <v>31464661</v>
      </c>
      <c r="AH622" s="1">
        <v>17692568</v>
      </c>
      <c r="AM622" s="1">
        <v>13521189</v>
      </c>
      <c r="AT622" s="1">
        <v>64965270</v>
      </c>
      <c r="AU622" s="1">
        <v>8519742</v>
      </c>
      <c r="AV622" s="116">
        <f>SUM(P622:AU622)</f>
        <v>521621394</v>
      </c>
      <c r="AW622" s="1">
        <v>687617</v>
      </c>
      <c r="BC622" s="1">
        <v>17222213</v>
      </c>
      <c r="BD622" s="1">
        <v>11335901</v>
      </c>
      <c r="BE622" s="1">
        <v>8753130</v>
      </c>
      <c r="BF622" s="121">
        <f>SUM(AW622:BE622)</f>
        <v>37998861</v>
      </c>
      <c r="BI622" s="1">
        <v>9314</v>
      </c>
      <c r="BO622" s="1">
        <v>3949383</v>
      </c>
      <c r="CA622" s="1">
        <v>933</v>
      </c>
      <c r="CC622" s="125">
        <f>SUM(BG622:CB622)</f>
        <v>3959630</v>
      </c>
      <c r="CK622" s="124">
        <f>SUM(CD622:CJ622)</f>
        <v>0</v>
      </c>
      <c r="CL622" s="105">
        <f>SUM(O622:CK622)</f>
        <v>1225746092</v>
      </c>
      <c r="CT622" s="23">
        <v>43977722</v>
      </c>
      <c r="CV622" s="129">
        <v>108916412</v>
      </c>
    </row>
    <row r="623" spans="1:100" ht="12.75" customHeight="1">
      <c r="A623" s="1"/>
      <c r="B623" s="25"/>
      <c r="C623" s="25"/>
      <c r="D623" s="6" t="s">
        <v>610</v>
      </c>
      <c r="E623" s="2"/>
      <c r="F623" s="26"/>
      <c r="G623" s="78"/>
      <c r="H623" s="78"/>
      <c r="L623" s="1"/>
      <c r="N623" s="1"/>
      <c r="O623" s="117">
        <f>'[3]Select Districts'!$G$13</f>
        <v>-7450783</v>
      </c>
      <c r="P623" s="78"/>
      <c r="Q623" s="78"/>
      <c r="S623" s="25"/>
      <c r="V623" s="1"/>
      <c r="W623" s="1"/>
      <c r="X623" s="1"/>
      <c r="Y623" s="78"/>
      <c r="AC623" s="1"/>
      <c r="AD623" s="1"/>
      <c r="AF623" s="1"/>
      <c r="AG623" s="1"/>
      <c r="AH623" s="1"/>
      <c r="AM623" s="1"/>
      <c r="AT623" s="1"/>
      <c r="AU623" s="1"/>
      <c r="AV623" s="116">
        <f>'[3]Select Districts'!$H$13</f>
        <v>-20095746</v>
      </c>
      <c r="AW623" s="1"/>
      <c r="BC623" s="1"/>
      <c r="BD623" s="1"/>
      <c r="BE623" s="1"/>
      <c r="BF623" s="121">
        <v>0</v>
      </c>
      <c r="BI623" s="1"/>
      <c r="BO623" s="1"/>
      <c r="CA623" s="1"/>
      <c r="CC623" s="125">
        <v>0</v>
      </c>
      <c r="CK623" s="124">
        <v>0</v>
      </c>
      <c r="CL623" s="105"/>
      <c r="CT623" s="23"/>
      <c r="CV623" s="129"/>
    </row>
    <row r="624" spans="1:100" ht="12.75" customHeight="1">
      <c r="A624" s="1"/>
      <c r="B624" s="25"/>
      <c r="C624" s="25"/>
      <c r="D624" s="6" t="s">
        <v>611</v>
      </c>
      <c r="E624" s="2"/>
      <c r="F624" s="26"/>
      <c r="G624" s="78"/>
      <c r="H624" s="78"/>
      <c r="L624" s="1"/>
      <c r="N624" s="1"/>
      <c r="O624" s="117">
        <f>SUM(O622:O623)</f>
        <v>91135539</v>
      </c>
      <c r="P624" s="78"/>
      <c r="Q624" s="78"/>
      <c r="S624" s="25"/>
      <c r="V624" s="1"/>
      <c r="W624" s="1"/>
      <c r="X624" s="1"/>
      <c r="Y624" s="78"/>
      <c r="AC624" s="1"/>
      <c r="AD624" s="1"/>
      <c r="AF624" s="1"/>
      <c r="AG624" s="1"/>
      <c r="AH624" s="1"/>
      <c r="AM624" s="1"/>
      <c r="AT624" s="1"/>
      <c r="AU624" s="1"/>
      <c r="AV624" s="115">
        <f>SUM(AV622:AV623)</f>
        <v>501525648</v>
      </c>
      <c r="AW624" s="1"/>
      <c r="BC624" s="1"/>
      <c r="BD624" s="1"/>
      <c r="BE624" s="1"/>
      <c r="BF624" s="121">
        <f>SUM(BF622:BF623)</f>
        <v>37998861</v>
      </c>
      <c r="BI624" s="1"/>
      <c r="BO624" s="1"/>
      <c r="CA624" s="1"/>
      <c r="CC624" s="125">
        <f>SUM(CC622:CC623)</f>
        <v>3959630</v>
      </c>
      <c r="CK624" s="124">
        <f>SUM(CK622:CK623)</f>
        <v>0</v>
      </c>
      <c r="CL624" s="105">
        <f>SUM(O624:CK624)</f>
        <v>634619678</v>
      </c>
      <c r="CT624" s="23"/>
      <c r="CV624" s="129"/>
    </row>
    <row r="625" spans="1:100" s="26" customFormat="1" ht="12.75" customHeight="1">
      <c r="A625" s="80"/>
      <c r="B625" s="80"/>
      <c r="C625" s="80"/>
      <c r="D625" s="8" t="s">
        <v>528</v>
      </c>
      <c r="G625" s="80"/>
      <c r="H625" s="80"/>
      <c r="M625" s="80"/>
      <c r="O625" s="117">
        <f>O624/$F$622</f>
        <v>3152.3880664130061</v>
      </c>
      <c r="P625" s="80"/>
      <c r="V625" s="80"/>
      <c r="W625" s="80"/>
      <c r="Y625" s="80"/>
      <c r="AC625" s="80"/>
      <c r="AD625" s="80"/>
      <c r="AE625" s="80"/>
      <c r="AF625" s="80"/>
      <c r="AG625" s="80"/>
      <c r="AH625" s="80"/>
      <c r="AP625" s="80"/>
      <c r="AU625" s="80"/>
      <c r="AV625" s="115">
        <f>AV624/$F$622</f>
        <v>17347.825942580421</v>
      </c>
      <c r="BC625" s="80"/>
      <c r="BD625" s="80"/>
      <c r="BE625" s="80"/>
      <c r="BF625" s="120">
        <f>BF622/$F$622</f>
        <v>1314.3846765824974</v>
      </c>
      <c r="CB625" s="80"/>
      <c r="CC625" s="127">
        <f>CC622/$F$622</f>
        <v>136.96402628848151</v>
      </c>
      <c r="CK625" s="124">
        <f>CK622/$F$622</f>
        <v>0</v>
      </c>
      <c r="CL625" s="105">
        <f>SUM(O625:CK625)</f>
        <v>21951.562711864404</v>
      </c>
      <c r="CV625" s="129"/>
    </row>
    <row r="626" spans="1:100" s="26" customFormat="1" ht="12.75" customHeight="1">
      <c r="A626" s="80"/>
      <c r="B626" s="80"/>
      <c r="C626" s="80"/>
      <c r="D626" s="104"/>
      <c r="G626" s="80"/>
      <c r="H626" s="80"/>
      <c r="M626" s="80"/>
      <c r="O626" s="132"/>
      <c r="P626" s="80"/>
      <c r="V626" s="80"/>
      <c r="W626" s="80"/>
      <c r="Y626" s="80"/>
      <c r="AC626" s="80"/>
      <c r="AD626" s="80"/>
      <c r="AE626" s="80"/>
      <c r="AF626" s="80"/>
      <c r="AG626" s="80"/>
      <c r="AH626" s="80"/>
      <c r="AP626" s="80"/>
      <c r="AU626" s="80"/>
      <c r="AV626" s="119"/>
      <c r="BC626" s="80"/>
      <c r="BD626" s="80"/>
      <c r="BE626" s="80"/>
      <c r="BF626" s="122"/>
      <c r="CB626" s="80"/>
      <c r="CC626" s="125"/>
      <c r="CK626" s="123"/>
      <c r="CV626" s="129"/>
    </row>
    <row r="627" spans="1:100" s="26" customFormat="1" ht="12.75" customHeight="1">
      <c r="A627" s="80"/>
      <c r="B627" s="80"/>
      <c r="C627" s="80"/>
      <c r="D627" s="104"/>
      <c r="G627" s="80"/>
      <c r="H627" s="80"/>
      <c r="M627" s="80"/>
      <c r="O627" s="132"/>
      <c r="P627" s="80"/>
      <c r="V627" s="80"/>
      <c r="W627" s="80"/>
      <c r="Y627" s="80"/>
      <c r="AC627" s="80"/>
      <c r="AD627" s="80"/>
      <c r="AE627" s="80"/>
      <c r="AF627" s="80"/>
      <c r="AG627" s="80"/>
      <c r="AH627" s="80"/>
      <c r="AP627" s="80"/>
      <c r="AU627" s="80"/>
      <c r="AV627" s="119"/>
      <c r="BC627" s="80"/>
      <c r="BD627" s="80"/>
      <c r="BE627" s="80"/>
      <c r="BF627" s="122"/>
      <c r="CB627" s="80"/>
      <c r="CC627" s="125"/>
      <c r="CK627" s="123"/>
      <c r="CV627" s="129"/>
    </row>
    <row r="628" spans="1:100" s="26" customFormat="1" ht="12.75" customHeight="1">
      <c r="A628" s="80"/>
      <c r="B628" s="80"/>
      <c r="C628" s="80"/>
      <c r="D628" s="104"/>
      <c r="G628" s="80"/>
      <c r="H628" s="80"/>
      <c r="M628" s="80"/>
      <c r="O628" s="132"/>
      <c r="P628" s="80"/>
      <c r="V628" s="80"/>
      <c r="W628" s="80"/>
      <c r="Y628" s="80"/>
      <c r="AC628" s="80"/>
      <c r="AD628" s="80"/>
      <c r="AE628" s="80"/>
      <c r="AF628" s="80"/>
      <c r="AG628" s="80"/>
      <c r="AH628" s="80"/>
      <c r="AP628" s="80"/>
      <c r="AU628" s="80"/>
      <c r="AV628" s="119"/>
      <c r="BC628" s="80"/>
      <c r="BD628" s="80"/>
      <c r="BE628" s="80"/>
      <c r="BF628" s="122"/>
      <c r="CB628" s="80"/>
      <c r="CC628" s="125"/>
      <c r="CK628" s="123"/>
      <c r="CV628" s="129"/>
    </row>
    <row r="629" spans="1:100" ht="12.75" customHeight="1">
      <c r="A629" s="1">
        <v>13</v>
      </c>
      <c r="B629" s="25">
        <v>3570</v>
      </c>
      <c r="C629" s="25" t="s">
        <v>1186</v>
      </c>
      <c r="D629" s="106" t="s">
        <v>1028</v>
      </c>
      <c r="E629" s="2" t="s">
        <v>306</v>
      </c>
      <c r="F629" s="26">
        <v>41266</v>
      </c>
      <c r="G629" s="78">
        <v>88215449</v>
      </c>
      <c r="H629" s="78">
        <v>4388638</v>
      </c>
      <c r="L629" s="1">
        <v>6441349</v>
      </c>
      <c r="O629" s="117">
        <f>SUM(G629:N629)</f>
        <v>99045436</v>
      </c>
      <c r="P629" s="78">
        <v>268357802</v>
      </c>
      <c r="Q629" s="78">
        <v>20770333</v>
      </c>
      <c r="S629" s="25">
        <v>298293633</v>
      </c>
      <c r="V629" s="1">
        <v>4490894</v>
      </c>
      <c r="W629" s="1">
        <v>32976010</v>
      </c>
      <c r="X629" s="1">
        <v>4276426</v>
      </c>
      <c r="AC629" s="1">
        <v>1641715</v>
      </c>
      <c r="AD629" s="1">
        <v>4963733</v>
      </c>
      <c r="AF629" s="1">
        <v>179220</v>
      </c>
      <c r="AG629" s="1">
        <v>52873386</v>
      </c>
      <c r="AH629" s="1">
        <v>25840032</v>
      </c>
      <c r="AM629" s="1">
        <v>20091210</v>
      </c>
      <c r="AU629" s="1">
        <v>8153803</v>
      </c>
      <c r="AV629" s="116">
        <f>SUM(P629:AU629)</f>
        <v>742908197</v>
      </c>
      <c r="AW629" s="1">
        <v>474677</v>
      </c>
      <c r="BA629" s="1">
        <v>24864</v>
      </c>
      <c r="BC629" s="1">
        <v>34269293</v>
      </c>
      <c r="BD629" s="1">
        <v>11782372</v>
      </c>
      <c r="BE629" s="1">
        <v>20538364</v>
      </c>
      <c r="BF629" s="121">
        <f>SUM(AW629:BE629)</f>
        <v>67089570</v>
      </c>
      <c r="BO629" s="1">
        <v>5427423</v>
      </c>
      <c r="CB629" s="1">
        <v>87507609</v>
      </c>
      <c r="CC629" s="125">
        <f>SUM(BG629:CB629)</f>
        <v>92935032</v>
      </c>
      <c r="CD629" s="1">
        <v>532406</v>
      </c>
      <c r="CK629" s="124">
        <f>SUM(CD629:CJ629)</f>
        <v>532406</v>
      </c>
      <c r="CL629" s="107">
        <f>SUM(O629+AV629+CC629+CK629)</f>
        <v>935421071</v>
      </c>
      <c r="CT629" s="23">
        <v>91172495</v>
      </c>
      <c r="CV629" s="129">
        <v>192448886</v>
      </c>
    </row>
    <row r="630" spans="1:100" ht="12.75" customHeight="1">
      <c r="A630" s="1"/>
      <c r="B630" s="25"/>
      <c r="C630" s="25"/>
      <c r="D630" s="6" t="s">
        <v>610</v>
      </c>
      <c r="E630" s="2"/>
      <c r="F630" s="26"/>
      <c r="G630" s="78"/>
      <c r="H630" s="78"/>
      <c r="L630" s="1"/>
      <c r="O630" s="117">
        <f>'[3]Select Districts'!$G$37</f>
        <v>-6007737</v>
      </c>
      <c r="P630" s="78"/>
      <c r="Q630" s="78"/>
      <c r="S630" s="25"/>
      <c r="V630" s="1"/>
      <c r="W630" s="1"/>
      <c r="X630" s="1"/>
      <c r="AC630" s="1"/>
      <c r="AD630" s="1"/>
      <c r="AF630" s="1"/>
      <c r="AG630" s="1"/>
      <c r="AH630" s="1"/>
      <c r="AM630" s="1"/>
      <c r="AU630" s="1"/>
      <c r="AV630" s="116">
        <f>'[3]Select Districts'!$H$37</f>
        <v>-22870655</v>
      </c>
      <c r="AW630" s="1"/>
      <c r="BA630" s="1"/>
      <c r="BC630" s="1"/>
      <c r="BD630" s="1"/>
      <c r="BE630" s="1"/>
      <c r="BF630" s="121">
        <v>0</v>
      </c>
      <c r="BO630" s="1"/>
      <c r="CB630" s="1"/>
      <c r="CC630" s="125">
        <v>0</v>
      </c>
      <c r="CD630" s="1"/>
      <c r="CK630" s="124">
        <v>0</v>
      </c>
      <c r="CL630" s="107"/>
      <c r="CT630" s="23"/>
      <c r="CV630" s="129"/>
    </row>
    <row r="631" spans="1:100" ht="12.75" customHeight="1">
      <c r="A631" s="1"/>
      <c r="B631" s="25"/>
      <c r="C631" s="25"/>
      <c r="D631" s="6" t="s">
        <v>612</v>
      </c>
      <c r="E631" s="2"/>
      <c r="F631" s="26"/>
      <c r="G631" s="78"/>
      <c r="H631" s="78"/>
      <c r="L631" s="1"/>
      <c r="O631" s="117">
        <f>SUM(O629:O630)</f>
        <v>93037699</v>
      </c>
      <c r="P631" s="78"/>
      <c r="Q631" s="78"/>
      <c r="S631" s="25"/>
      <c r="V631" s="1"/>
      <c r="W631" s="1"/>
      <c r="X631" s="1"/>
      <c r="AC631" s="1"/>
      <c r="AD631" s="1"/>
      <c r="AF631" s="1"/>
      <c r="AG631" s="1"/>
      <c r="AH631" s="1"/>
      <c r="AM631" s="1"/>
      <c r="AU631" s="1"/>
      <c r="AV631" s="115">
        <f>SUM(AV629:AV630)</f>
        <v>720037542</v>
      </c>
      <c r="AW631" s="1"/>
      <c r="BA631" s="1"/>
      <c r="BC631" s="1"/>
      <c r="BD631" s="1"/>
      <c r="BE631" s="1"/>
      <c r="BF631" s="121">
        <f>SUM(BF629:BF630)</f>
        <v>67089570</v>
      </c>
      <c r="BO631" s="1"/>
      <c r="CB631" s="1"/>
      <c r="CC631" s="125">
        <f>SUM(CC629:CC630)</f>
        <v>92935032</v>
      </c>
      <c r="CD631" s="1"/>
      <c r="CK631" s="123">
        <f>SUM(CK629:CK630)</f>
        <v>532406</v>
      </c>
      <c r="CL631" s="105">
        <f>SUM(O631:CK631)</f>
        <v>973632249</v>
      </c>
      <c r="CT631" s="23"/>
      <c r="CV631" s="129"/>
    </row>
    <row r="632" spans="1:100" s="26" customFormat="1" ht="12.75" customHeight="1">
      <c r="A632" s="80"/>
      <c r="B632" s="80"/>
      <c r="C632" s="80"/>
      <c r="D632" s="8" t="s">
        <v>529</v>
      </c>
      <c r="G632" s="80"/>
      <c r="H632" s="80"/>
      <c r="M632" s="80"/>
      <c r="O632" s="117">
        <f>O631/$F$629</f>
        <v>2254.5848640527311</v>
      </c>
      <c r="P632" s="80"/>
      <c r="V632" s="80"/>
      <c r="W632" s="80"/>
      <c r="Y632" s="80"/>
      <c r="AC632" s="80"/>
      <c r="AD632" s="80"/>
      <c r="AE632" s="80"/>
      <c r="AF632" s="80"/>
      <c r="AG632" s="80"/>
      <c r="AH632" s="80"/>
      <c r="AP632" s="80"/>
      <c r="AU632" s="80"/>
      <c r="AV632" s="115">
        <f>AV631/$F$629</f>
        <v>17448.687587844714</v>
      </c>
      <c r="BC632" s="80"/>
      <c r="BD632" s="80"/>
      <c r="BE632" s="80"/>
      <c r="BF632" s="120">
        <f>BF629/$F$629</f>
        <v>1625.783211360442</v>
      </c>
      <c r="CB632" s="80"/>
      <c r="CC632" s="127">
        <f>CC629/$F$629</f>
        <v>2252.0969320990648</v>
      </c>
      <c r="CK632" s="124">
        <f>CK629/$F$629</f>
        <v>12.901807783647556</v>
      </c>
      <c r="CL632" s="105">
        <f>SUM(O632:CK632)</f>
        <v>23594.054403140599</v>
      </c>
      <c r="CV632" s="129"/>
    </row>
    <row r="633" spans="1:100" s="26" customFormat="1" ht="12.75" customHeight="1">
      <c r="A633" s="80"/>
      <c r="B633" s="80"/>
      <c r="C633" s="80"/>
      <c r="D633" s="104"/>
      <c r="G633" s="80"/>
      <c r="H633" s="80"/>
      <c r="M633" s="80"/>
      <c r="O633" s="132"/>
      <c r="P633" s="80"/>
      <c r="V633" s="80"/>
      <c r="W633" s="80"/>
      <c r="Y633" s="80"/>
      <c r="AC633" s="80"/>
      <c r="AD633" s="80"/>
      <c r="AE633" s="80"/>
      <c r="AF633" s="80"/>
      <c r="AG633" s="80"/>
      <c r="AH633" s="80"/>
      <c r="AP633" s="80"/>
      <c r="AU633" s="80"/>
      <c r="AV633" s="119"/>
      <c r="BC633" s="80"/>
      <c r="BD633" s="80"/>
      <c r="BE633" s="80"/>
      <c r="BF633" s="122"/>
      <c r="CB633" s="80"/>
      <c r="CC633" s="125"/>
      <c r="CK633" s="123"/>
      <c r="CV633" s="129"/>
    </row>
    <row r="634" spans="1:100" s="26" customFormat="1" ht="12.75" customHeight="1">
      <c r="A634" s="80"/>
      <c r="B634" s="80"/>
      <c r="C634" s="80"/>
      <c r="D634" s="104"/>
      <c r="G634" s="80"/>
      <c r="H634" s="80"/>
      <c r="M634" s="80"/>
      <c r="O634" s="132"/>
      <c r="P634" s="80"/>
      <c r="V634" s="80"/>
      <c r="W634" s="80"/>
      <c r="Y634" s="80"/>
      <c r="AC634" s="80"/>
      <c r="AD634" s="80"/>
      <c r="AE634" s="80"/>
      <c r="AF634" s="80"/>
      <c r="AG634" s="80"/>
      <c r="AH634" s="80"/>
      <c r="AP634" s="80"/>
      <c r="AU634" s="80"/>
      <c r="AV634" s="119"/>
      <c r="BC634" s="80"/>
      <c r="BD634" s="80"/>
      <c r="BE634" s="80"/>
      <c r="BF634" s="122"/>
      <c r="CB634" s="80"/>
      <c r="CC634" s="125"/>
      <c r="CK634" s="123"/>
      <c r="CV634" s="129"/>
    </row>
    <row r="635" spans="1:100" s="26" customFormat="1" ht="12.75" customHeight="1">
      <c r="A635" s="80"/>
      <c r="B635" s="80"/>
      <c r="C635" s="80"/>
      <c r="D635" s="104"/>
      <c r="G635" s="80"/>
      <c r="H635" s="80"/>
      <c r="M635" s="80"/>
      <c r="O635" s="132"/>
      <c r="P635" s="80"/>
      <c r="V635" s="80"/>
      <c r="W635" s="80"/>
      <c r="Y635" s="80"/>
      <c r="AC635" s="80"/>
      <c r="AD635" s="80"/>
      <c r="AE635" s="80"/>
      <c r="AF635" s="80"/>
      <c r="AG635" s="80"/>
      <c r="AH635" s="80"/>
      <c r="AP635" s="80"/>
      <c r="AU635" s="80"/>
      <c r="AV635" s="119"/>
      <c r="BC635" s="80"/>
      <c r="BD635" s="80"/>
      <c r="BE635" s="80"/>
      <c r="BF635" s="122"/>
      <c r="CB635" s="80"/>
      <c r="CC635" s="125"/>
      <c r="CK635" s="123"/>
      <c r="CV635" s="129"/>
    </row>
    <row r="636" spans="1:100" ht="12.75" customHeight="1">
      <c r="A636" s="25">
        <v>21</v>
      </c>
      <c r="B636" s="25">
        <v>5210</v>
      </c>
      <c r="C636" s="25" t="s">
        <v>1110</v>
      </c>
      <c r="D636" s="106" t="s">
        <v>934</v>
      </c>
      <c r="E636" s="2" t="s">
        <v>178</v>
      </c>
      <c r="F636" s="26">
        <v>12047.5</v>
      </c>
      <c r="G636" s="78">
        <v>21115662</v>
      </c>
      <c r="H636" s="78">
        <v>1816115</v>
      </c>
      <c r="L636" s="1">
        <v>824596</v>
      </c>
      <c r="O636" s="117">
        <f>SUM(G636:N636)</f>
        <v>23756373</v>
      </c>
      <c r="P636" s="78">
        <v>95433719</v>
      </c>
      <c r="Q636" s="78">
        <v>9983646</v>
      </c>
      <c r="S636" s="25">
        <v>73628223</v>
      </c>
      <c r="V636" s="1">
        <v>3094948</v>
      </c>
      <c r="W636" s="1">
        <v>16440772</v>
      </c>
      <c r="X636" s="1">
        <v>923384</v>
      </c>
      <c r="AC636" s="1">
        <v>498419</v>
      </c>
      <c r="AD636" s="1">
        <v>944010</v>
      </c>
      <c r="AF636" s="1">
        <v>14081282</v>
      </c>
      <c r="AG636" s="1">
        <v>13634742</v>
      </c>
      <c r="AH636" s="1">
        <v>6303847</v>
      </c>
      <c r="AM636" s="1">
        <v>5240150</v>
      </c>
      <c r="AT636" s="1">
        <v>28166467</v>
      </c>
      <c r="AU636" s="1">
        <v>1991710</v>
      </c>
      <c r="AV636" s="116">
        <f>SUM(P636:AU636)</f>
        <v>270365319</v>
      </c>
      <c r="AW636" s="1">
        <v>87767</v>
      </c>
      <c r="BA636" s="1">
        <v>57391</v>
      </c>
      <c r="BC636" s="1">
        <v>6739802</v>
      </c>
      <c r="BD636" s="1">
        <v>3661717</v>
      </c>
      <c r="BE636" s="1">
        <v>4532245</v>
      </c>
      <c r="BF636" s="121">
        <f>SUM(AW636:BE636)</f>
        <v>15078922</v>
      </c>
      <c r="BO636" s="1">
        <v>705309</v>
      </c>
      <c r="CB636" s="1">
        <v>668756</v>
      </c>
      <c r="CC636" s="125">
        <f>SUM(BG636:CB636)</f>
        <v>1374065</v>
      </c>
      <c r="CK636" s="124">
        <f>SUM(CD636:CJ636)</f>
        <v>0</v>
      </c>
      <c r="CL636" s="107">
        <f>SUM(O636+AV636+CC636+CK636)</f>
        <v>295495757</v>
      </c>
      <c r="CO636" s="23">
        <v>753688</v>
      </c>
      <c r="CT636" s="23">
        <v>12497359</v>
      </c>
      <c r="CV636" s="129">
        <v>50821976</v>
      </c>
    </row>
    <row r="637" spans="1:100" ht="12.75" customHeight="1">
      <c r="A637" s="25"/>
      <c r="B637" s="25"/>
      <c r="C637" s="25"/>
      <c r="D637" s="6" t="s">
        <v>610</v>
      </c>
      <c r="E637" s="2"/>
      <c r="F637" s="26"/>
      <c r="G637" s="78"/>
      <c r="H637" s="78"/>
      <c r="L637" s="1"/>
      <c r="O637" s="117">
        <f>'[3]Select Districts'!$G$48</f>
        <v>-12230448</v>
      </c>
      <c r="P637" s="78"/>
      <c r="Q637" s="78"/>
      <c r="S637" s="25"/>
      <c r="V637" s="1"/>
      <c r="W637" s="1"/>
      <c r="X637" s="1"/>
      <c r="AC637" s="1"/>
      <c r="AD637" s="1"/>
      <c r="AF637" s="1"/>
      <c r="AG637" s="1"/>
      <c r="AH637" s="1"/>
      <c r="AM637" s="1"/>
      <c r="AT637" s="1"/>
      <c r="AU637" s="1"/>
      <c r="AV637" s="116">
        <f>'[3]Select Districts'!$H$48</f>
        <v>-13357607</v>
      </c>
      <c r="AW637" s="1"/>
      <c r="BA637" s="1"/>
      <c r="BC637" s="1"/>
      <c r="BD637" s="1"/>
      <c r="BE637" s="1"/>
      <c r="BF637" s="121">
        <v>0</v>
      </c>
      <c r="BO637" s="1"/>
      <c r="CB637" s="1"/>
      <c r="CC637" s="125">
        <v>0</v>
      </c>
      <c r="CK637" s="124">
        <v>0</v>
      </c>
      <c r="CL637" s="107"/>
      <c r="CO637" s="23"/>
      <c r="CT637" s="23"/>
      <c r="CV637" s="129"/>
    </row>
    <row r="638" spans="1:100" ht="12.75" customHeight="1">
      <c r="A638" s="25"/>
      <c r="B638" s="25"/>
      <c r="C638" s="25"/>
      <c r="D638" s="6" t="s">
        <v>502</v>
      </c>
      <c r="E638" s="2"/>
      <c r="F638" s="26"/>
      <c r="G638" s="78"/>
      <c r="H638" s="78"/>
      <c r="L638" s="1"/>
      <c r="O638" s="117">
        <f>SUM(O636:O637)</f>
        <v>11525925</v>
      </c>
      <c r="P638" s="78"/>
      <c r="Q638" s="78"/>
      <c r="S638" s="25"/>
      <c r="V638" s="1"/>
      <c r="W638" s="1"/>
      <c r="X638" s="1"/>
      <c r="AC638" s="1"/>
      <c r="AD638" s="1"/>
      <c r="AF638" s="1"/>
      <c r="AG638" s="1"/>
      <c r="AH638" s="1"/>
      <c r="AM638" s="1"/>
      <c r="AT638" s="1"/>
      <c r="AU638" s="1"/>
      <c r="AV638" s="115">
        <f>SUM(AV636:AV637)</f>
        <v>257007712</v>
      </c>
      <c r="AW638" s="1"/>
      <c r="BA638" s="1"/>
      <c r="BC638" s="1"/>
      <c r="BD638" s="1"/>
      <c r="BE638" s="1"/>
      <c r="BF638" s="121">
        <f>SUM(BF636:BF637)</f>
        <v>15078922</v>
      </c>
      <c r="BO638" s="1"/>
      <c r="CB638" s="1"/>
      <c r="CC638" s="125">
        <f>SUM(CC636:CC637)</f>
        <v>1374065</v>
      </c>
      <c r="CK638" s="123">
        <f>SUM(CK636:CK637)</f>
        <v>0</v>
      </c>
      <c r="CL638" s="105">
        <f>SUM(O638:CK638)</f>
        <v>284986624</v>
      </c>
      <c r="CO638" s="23"/>
      <c r="CT638" s="23"/>
      <c r="CV638" s="129"/>
    </row>
    <row r="639" spans="1:100" s="26" customFormat="1" ht="12.75" customHeight="1">
      <c r="A639" s="80"/>
      <c r="B639" s="80"/>
      <c r="C639" s="80"/>
      <c r="D639" s="8" t="s">
        <v>530</v>
      </c>
      <c r="G639" s="80"/>
      <c r="H639" s="80"/>
      <c r="M639" s="80"/>
      <c r="O639" s="117">
        <f>O638/$F$636</f>
        <v>956.7067856401743</v>
      </c>
      <c r="P639" s="80"/>
      <c r="V639" s="80"/>
      <c r="W639" s="80"/>
      <c r="Y639" s="80"/>
      <c r="AC639" s="80"/>
      <c r="AD639" s="80"/>
      <c r="AE639" s="80"/>
      <c r="AF639" s="80"/>
      <c r="AG639" s="80"/>
      <c r="AH639" s="80"/>
      <c r="AP639" s="80"/>
      <c r="AU639" s="80"/>
      <c r="AV639" s="115">
        <f>AV638/$F$636</f>
        <v>21332.86673583731</v>
      </c>
      <c r="BC639" s="80"/>
      <c r="BD639" s="80"/>
      <c r="BE639" s="80"/>
      <c r="BF639" s="120">
        <f>BF636/$F$636</f>
        <v>1251.6224942934218</v>
      </c>
      <c r="CB639" s="80"/>
      <c r="CC639" s="127">
        <f>CC636/$F$636</f>
        <v>114.05395310230338</v>
      </c>
      <c r="CK639" s="124">
        <f>CK636/$F$636</f>
        <v>0</v>
      </c>
      <c r="CL639" s="105">
        <f>SUM(O639:CK639)</f>
        <v>23655.249968873206</v>
      </c>
      <c r="CV639" s="129"/>
    </row>
    <row r="640" spans="1:100" s="26" customFormat="1" ht="12.75" customHeight="1">
      <c r="A640" s="80"/>
      <c r="B640" s="80"/>
      <c r="C640" s="80"/>
      <c r="D640" s="104"/>
      <c r="G640" s="80"/>
      <c r="H640" s="80"/>
      <c r="M640" s="80"/>
      <c r="O640" s="132"/>
      <c r="P640" s="80"/>
      <c r="V640" s="80"/>
      <c r="W640" s="80"/>
      <c r="Y640" s="80"/>
      <c r="AC640" s="80"/>
      <c r="AD640" s="80"/>
      <c r="AE640" s="80"/>
      <c r="AF640" s="80"/>
      <c r="AG640" s="80"/>
      <c r="AH640" s="80"/>
      <c r="AP640" s="80"/>
      <c r="AU640" s="80"/>
      <c r="AV640" s="119"/>
      <c r="BC640" s="80"/>
      <c r="BD640" s="80"/>
      <c r="BE640" s="80"/>
      <c r="BF640" s="122"/>
      <c r="CB640" s="80"/>
      <c r="CC640" s="125"/>
      <c r="CK640" s="123"/>
      <c r="CV640" s="129"/>
    </row>
    <row r="641" spans="1:100" s="26" customFormat="1" ht="12.75" customHeight="1">
      <c r="A641" s="80"/>
      <c r="B641" s="80"/>
      <c r="C641" s="80"/>
      <c r="D641" s="104"/>
      <c r="G641" s="80"/>
      <c r="H641" s="80"/>
      <c r="M641" s="80"/>
      <c r="O641" s="132"/>
      <c r="P641" s="80"/>
      <c r="V641" s="80"/>
      <c r="W641" s="80"/>
      <c r="Y641" s="80"/>
      <c r="AC641" s="80"/>
      <c r="AD641" s="80"/>
      <c r="AE641" s="80"/>
      <c r="AF641" s="80"/>
      <c r="AG641" s="80"/>
      <c r="AH641" s="80"/>
      <c r="AP641" s="80"/>
      <c r="AU641" s="80"/>
      <c r="AV641" s="119"/>
      <c r="BC641" s="80"/>
      <c r="BD641" s="80"/>
      <c r="BE641" s="80"/>
      <c r="BF641" s="122"/>
      <c r="CB641" s="80"/>
      <c r="CC641" s="125"/>
      <c r="CK641" s="123"/>
      <c r="CV641" s="129"/>
    </row>
    <row r="642" spans="1:100" s="26" customFormat="1" ht="12.75" customHeight="1">
      <c r="A642" s="80"/>
      <c r="B642" s="80"/>
      <c r="C642" s="80"/>
      <c r="D642" s="104"/>
      <c r="G642" s="80"/>
      <c r="H642" s="80"/>
      <c r="M642" s="80"/>
      <c r="O642" s="117"/>
      <c r="P642" s="80"/>
      <c r="V642" s="80"/>
      <c r="W642" s="80"/>
      <c r="Y642" s="80"/>
      <c r="AC642" s="80"/>
      <c r="AD642" s="80"/>
      <c r="AE642" s="80"/>
      <c r="AF642" s="80"/>
      <c r="AG642" s="80"/>
      <c r="AH642" s="80"/>
      <c r="AP642" s="80"/>
      <c r="AU642" s="80"/>
      <c r="AV642" s="116"/>
      <c r="BC642" s="80"/>
      <c r="BD642" s="80"/>
      <c r="BE642" s="80"/>
      <c r="BF642" s="121"/>
      <c r="CB642" s="80"/>
      <c r="CC642" s="125"/>
      <c r="CK642" s="124"/>
      <c r="CV642" s="129"/>
    </row>
    <row r="643" spans="1:100" s="26" customFormat="1" ht="12.75" customHeight="1">
      <c r="A643" s="80"/>
      <c r="B643" s="80"/>
      <c r="C643" s="80"/>
      <c r="D643" s="104"/>
      <c r="G643" s="80"/>
      <c r="H643" s="80"/>
      <c r="M643" s="80"/>
      <c r="O643" s="117"/>
      <c r="P643" s="80"/>
      <c r="V643" s="80"/>
      <c r="W643" s="80"/>
      <c r="Y643" s="80"/>
      <c r="AC643" s="80"/>
      <c r="AD643" s="80"/>
      <c r="AE643" s="80"/>
      <c r="AF643" s="80"/>
      <c r="AG643" s="80"/>
      <c r="AH643" s="80"/>
      <c r="AP643" s="80"/>
      <c r="AU643" s="80"/>
      <c r="AV643" s="116"/>
      <c r="BC643" s="80"/>
      <c r="BD643" s="80"/>
      <c r="BE643" s="80"/>
      <c r="BF643" s="121"/>
      <c r="CB643" s="80"/>
      <c r="CC643" s="125"/>
      <c r="CK643" s="124"/>
      <c r="CV643" s="129"/>
    </row>
    <row r="644" spans="1:100" ht="12.75" customHeight="1">
      <c r="A644" s="1">
        <v>80</v>
      </c>
      <c r="B644" s="1">
        <v>6010</v>
      </c>
      <c r="C644" s="9" t="s">
        <v>652</v>
      </c>
      <c r="D644" s="10" t="s">
        <v>651</v>
      </c>
      <c r="E644" s="14"/>
      <c r="F644" s="10">
        <v>202</v>
      </c>
      <c r="G644" s="108">
        <v>2264122</v>
      </c>
      <c r="H644" s="108">
        <v>66011</v>
      </c>
      <c r="O644" s="117">
        <f t="shared" si="45"/>
        <v>2330133</v>
      </c>
      <c r="Q644" s="78">
        <v>55117</v>
      </c>
      <c r="W644" s="1">
        <v>112833</v>
      </c>
      <c r="X644" s="1">
        <v>1400</v>
      </c>
      <c r="AH644" s="1">
        <v>82076</v>
      </c>
      <c r="AV644" s="116">
        <f t="shared" si="46"/>
        <v>251426</v>
      </c>
      <c r="AX644" s="1">
        <v>40755</v>
      </c>
      <c r="BC644" s="1">
        <v>97563</v>
      </c>
      <c r="BF644" s="121">
        <f t="shared" si="47"/>
        <v>138318</v>
      </c>
      <c r="CC644" s="125">
        <f t="shared" si="48"/>
        <v>0</v>
      </c>
      <c r="CK644" s="124">
        <f t="shared" si="49"/>
        <v>0</v>
      </c>
      <c r="CV644" s="129">
        <v>138318</v>
      </c>
    </row>
    <row r="645" spans="1:100">
      <c r="A645" s="1">
        <v>80</v>
      </c>
      <c r="B645" s="1">
        <v>6018</v>
      </c>
      <c r="C645" s="9" t="s">
        <v>765</v>
      </c>
      <c r="D645" s="10" t="s">
        <v>660</v>
      </c>
      <c r="E645" s="15"/>
      <c r="F645" s="10">
        <v>165</v>
      </c>
      <c r="G645" s="108">
        <v>925472</v>
      </c>
      <c r="H645" s="108">
        <v>29002</v>
      </c>
      <c r="O645" s="117">
        <f t="shared" si="45"/>
        <v>954474</v>
      </c>
      <c r="W645" s="1">
        <v>78081</v>
      </c>
      <c r="AF645" s="1">
        <v>684744</v>
      </c>
      <c r="AH645" s="1">
        <v>52147</v>
      </c>
      <c r="AU645" s="1">
        <v>3000</v>
      </c>
      <c r="AV645" s="116">
        <f t="shared" si="46"/>
        <v>817972</v>
      </c>
      <c r="BC645" s="1">
        <v>27840</v>
      </c>
      <c r="BE645" s="1">
        <v>319041</v>
      </c>
      <c r="BF645" s="121">
        <f t="shared" si="47"/>
        <v>346881</v>
      </c>
      <c r="BU645" s="1">
        <v>61045</v>
      </c>
      <c r="CC645" s="125">
        <f t="shared" si="48"/>
        <v>61045</v>
      </c>
      <c r="CK645" s="124">
        <f t="shared" si="49"/>
        <v>0</v>
      </c>
      <c r="CV645" s="129">
        <v>349881</v>
      </c>
    </row>
    <row r="646" spans="1:100">
      <c r="A646" s="1">
        <v>80</v>
      </c>
      <c r="B646" s="1">
        <v>6212</v>
      </c>
      <c r="C646" s="9" t="s">
        <v>653</v>
      </c>
      <c r="D646" s="10" t="s">
        <v>654</v>
      </c>
      <c r="E646" s="15"/>
      <c r="F646" s="10">
        <v>406</v>
      </c>
      <c r="G646" s="108">
        <v>602515</v>
      </c>
      <c r="H646" s="108">
        <v>13413</v>
      </c>
      <c r="O646" s="117">
        <f t="shared" si="45"/>
        <v>615928</v>
      </c>
      <c r="P646" s="78">
        <v>3079797</v>
      </c>
      <c r="R646" s="1">
        <v>183466</v>
      </c>
      <c r="W646" s="1">
        <v>173091</v>
      </c>
      <c r="AG646" s="1">
        <v>127894</v>
      </c>
      <c r="AH646" s="1">
        <v>144787</v>
      </c>
      <c r="AI646" s="1">
        <v>353634</v>
      </c>
      <c r="AU646" s="1">
        <v>251</v>
      </c>
      <c r="AV646" s="116">
        <f t="shared" si="46"/>
        <v>4062920</v>
      </c>
      <c r="BC646" s="1">
        <v>414688</v>
      </c>
      <c r="BD646" s="1">
        <v>92081</v>
      </c>
      <c r="BE646" s="1">
        <v>42244</v>
      </c>
      <c r="BF646" s="121">
        <f t="shared" si="47"/>
        <v>549013</v>
      </c>
      <c r="CC646" s="125">
        <f t="shared" si="48"/>
        <v>0</v>
      </c>
      <c r="CK646" s="124">
        <f t="shared" si="49"/>
        <v>0</v>
      </c>
      <c r="CV646" s="129">
        <v>549264</v>
      </c>
    </row>
    <row r="647" spans="1:100">
      <c r="A647" s="1">
        <v>80</v>
      </c>
      <c r="B647" s="1">
        <v>6215</v>
      </c>
      <c r="C647" s="9" t="s">
        <v>653</v>
      </c>
      <c r="D647" s="10" t="s">
        <v>655</v>
      </c>
      <c r="E647" s="15"/>
      <c r="F647" s="10">
        <v>391</v>
      </c>
      <c r="G647" s="108">
        <v>521025</v>
      </c>
      <c r="H647" s="108">
        <v>1184907</v>
      </c>
      <c r="O647" s="117">
        <f t="shared" si="45"/>
        <v>1705932</v>
      </c>
      <c r="P647" s="78">
        <v>2793192</v>
      </c>
      <c r="W647" s="1">
        <v>225245</v>
      </c>
      <c r="AG647" s="1">
        <v>115668</v>
      </c>
      <c r="AH647" s="1">
        <v>157364</v>
      </c>
      <c r="AV647" s="116">
        <f t="shared" si="46"/>
        <v>3291469</v>
      </c>
      <c r="BC647" s="1">
        <v>361407</v>
      </c>
      <c r="BD647" s="1">
        <v>82539</v>
      </c>
      <c r="BE647" s="1">
        <v>616263</v>
      </c>
      <c r="BF647" s="121">
        <f t="shared" si="47"/>
        <v>1060209</v>
      </c>
      <c r="CC647" s="125">
        <f t="shared" si="48"/>
        <v>0</v>
      </c>
      <c r="CJ647" s="1">
        <v>172344</v>
      </c>
      <c r="CK647" s="124">
        <f t="shared" si="49"/>
        <v>172344</v>
      </c>
      <c r="CV647" s="129">
        <v>1060209</v>
      </c>
    </row>
    <row r="648" spans="1:100">
      <c r="A648" s="1">
        <v>80</v>
      </c>
      <c r="B648" s="1">
        <v>6217</v>
      </c>
      <c r="C648" s="9" t="s">
        <v>659</v>
      </c>
      <c r="D648" s="10" t="s">
        <v>658</v>
      </c>
      <c r="E648" s="15"/>
      <c r="F648" s="10">
        <v>222</v>
      </c>
      <c r="G648" s="108">
        <v>417241</v>
      </c>
      <c r="H648" s="108">
        <v>20498</v>
      </c>
      <c r="O648" s="117">
        <f t="shared" si="45"/>
        <v>437739</v>
      </c>
      <c r="W648" s="1">
        <v>34375</v>
      </c>
      <c r="AH648" s="1">
        <v>58427</v>
      </c>
      <c r="AI648" s="1">
        <v>1728752</v>
      </c>
      <c r="AU648" s="1">
        <v>565634</v>
      </c>
      <c r="AV648" s="116">
        <f t="shared" si="46"/>
        <v>2387188</v>
      </c>
      <c r="BC648" s="1">
        <v>22427</v>
      </c>
      <c r="BE648" s="1">
        <v>650</v>
      </c>
      <c r="BF648" s="121">
        <f t="shared" si="47"/>
        <v>23077</v>
      </c>
      <c r="CC648" s="125">
        <f t="shared" si="48"/>
        <v>0</v>
      </c>
      <c r="CK648" s="124">
        <f t="shared" si="49"/>
        <v>0</v>
      </c>
      <c r="CV648" s="129">
        <v>588711</v>
      </c>
    </row>
    <row r="649" spans="1:100">
      <c r="A649" s="1">
        <v>80</v>
      </c>
      <c r="B649" s="1">
        <v>6220</v>
      </c>
      <c r="C649" s="2" t="s">
        <v>657</v>
      </c>
      <c r="D649" s="7" t="s">
        <v>656</v>
      </c>
      <c r="E649" s="22"/>
      <c r="F649" s="7">
        <v>518</v>
      </c>
      <c r="G649" s="108">
        <v>1073162</v>
      </c>
      <c r="H649" s="108">
        <v>42671</v>
      </c>
      <c r="J649" s="1">
        <v>2299440</v>
      </c>
      <c r="O649" s="117">
        <f t="shared" si="45"/>
        <v>3415273</v>
      </c>
      <c r="W649" s="1">
        <v>401004</v>
      </c>
      <c r="AH649" s="1">
        <v>136909</v>
      </c>
      <c r="AM649" s="1">
        <v>130654</v>
      </c>
      <c r="AN649" s="1">
        <v>112475</v>
      </c>
      <c r="AU649" s="1">
        <v>359020</v>
      </c>
      <c r="AV649" s="116">
        <f t="shared" si="46"/>
        <v>1140062</v>
      </c>
      <c r="BC649" s="1">
        <v>264127</v>
      </c>
      <c r="BD649" s="1">
        <v>89487</v>
      </c>
      <c r="BE649" s="1">
        <v>175429</v>
      </c>
      <c r="BF649" s="121">
        <f t="shared" si="47"/>
        <v>529043</v>
      </c>
      <c r="BR649" s="1">
        <v>101343</v>
      </c>
      <c r="CC649" s="125">
        <f t="shared" si="48"/>
        <v>101343</v>
      </c>
      <c r="CK649" s="124">
        <f t="shared" si="49"/>
        <v>0</v>
      </c>
      <c r="CV649" s="129">
        <v>1131192</v>
      </c>
    </row>
    <row r="650" spans="1:100">
      <c r="A650" s="1">
        <v>80</v>
      </c>
      <c r="B650" s="1">
        <v>6230</v>
      </c>
      <c r="C650" s="14" t="s">
        <v>663</v>
      </c>
      <c r="D650" s="15" t="s">
        <v>664</v>
      </c>
      <c r="E650" s="15"/>
      <c r="F650" s="15">
        <v>104</v>
      </c>
      <c r="G650" s="108">
        <v>884961</v>
      </c>
      <c r="H650" s="108">
        <v>582</v>
      </c>
      <c r="L650" s="1">
        <v>6053</v>
      </c>
      <c r="O650" s="117">
        <f t="shared" si="45"/>
        <v>891596</v>
      </c>
      <c r="AF650" s="1">
        <v>66314</v>
      </c>
      <c r="AH650" s="1">
        <v>29116</v>
      </c>
      <c r="AU650" s="1">
        <v>4000</v>
      </c>
      <c r="AV650" s="116">
        <f t="shared" si="46"/>
        <v>99430</v>
      </c>
      <c r="BC650" s="1">
        <v>2418</v>
      </c>
      <c r="BD650" s="1">
        <v>2025</v>
      </c>
      <c r="BE650" s="1">
        <v>3859</v>
      </c>
      <c r="BF650" s="121">
        <f t="shared" si="47"/>
        <v>8302</v>
      </c>
      <c r="CC650" s="125">
        <f t="shared" si="48"/>
        <v>0</v>
      </c>
      <c r="CK650" s="124">
        <f t="shared" si="49"/>
        <v>0</v>
      </c>
      <c r="CV650" s="129">
        <v>18355</v>
      </c>
    </row>
    <row r="651" spans="1:100">
      <c r="A651" s="1">
        <v>80</v>
      </c>
      <c r="B651" s="1">
        <v>6232</v>
      </c>
      <c r="C651" s="9" t="s">
        <v>653</v>
      </c>
      <c r="D651" s="15" t="s">
        <v>559</v>
      </c>
      <c r="E651" s="15"/>
      <c r="F651" s="15">
        <v>198</v>
      </c>
      <c r="G651" s="108">
        <v>235045</v>
      </c>
      <c r="H651" s="108">
        <v>63339</v>
      </c>
      <c r="O651" s="117">
        <f t="shared" si="45"/>
        <v>298384</v>
      </c>
      <c r="P651" s="78">
        <v>1157758</v>
      </c>
      <c r="W651" s="1">
        <v>21623</v>
      </c>
      <c r="AF651" s="1">
        <v>259401</v>
      </c>
      <c r="AH651" s="1">
        <v>52275</v>
      </c>
      <c r="AM651" s="1">
        <v>80195</v>
      </c>
      <c r="AV651" s="116">
        <f t="shared" si="46"/>
        <v>1571252</v>
      </c>
      <c r="AX651" s="1">
        <v>4384</v>
      </c>
      <c r="BC651" s="1">
        <v>200514</v>
      </c>
      <c r="BD651" s="1">
        <v>10593</v>
      </c>
      <c r="BE651" s="1">
        <v>206552</v>
      </c>
      <c r="BF651" s="121">
        <f t="shared" si="47"/>
        <v>422043</v>
      </c>
      <c r="CC651" s="125">
        <f t="shared" si="48"/>
        <v>0</v>
      </c>
      <c r="CK651" s="124">
        <f t="shared" si="49"/>
        <v>0</v>
      </c>
      <c r="CT651" s="23">
        <v>141128</v>
      </c>
      <c r="CV651" s="129">
        <v>643366</v>
      </c>
    </row>
    <row r="652" spans="1:100">
      <c r="A652" s="1">
        <v>80</v>
      </c>
      <c r="B652" s="1">
        <v>6235</v>
      </c>
      <c r="C652" s="2" t="s">
        <v>657</v>
      </c>
      <c r="D652" s="7" t="s">
        <v>576</v>
      </c>
      <c r="E652" s="22"/>
      <c r="F652" s="21">
        <v>332.6</v>
      </c>
      <c r="G652" s="108">
        <v>808494</v>
      </c>
      <c r="H652" s="108">
        <v>49678</v>
      </c>
      <c r="O652" s="117">
        <f t="shared" si="45"/>
        <v>858172</v>
      </c>
      <c r="W652" s="1">
        <v>153008</v>
      </c>
      <c r="X652" s="1">
        <v>5840</v>
      </c>
      <c r="AF652" s="1">
        <v>2484819</v>
      </c>
      <c r="AH652" s="1">
        <v>76818</v>
      </c>
      <c r="AV652" s="116">
        <f t="shared" si="46"/>
        <v>2720485</v>
      </c>
      <c r="BC652" s="1">
        <v>297746</v>
      </c>
      <c r="BD652" s="1">
        <v>49919</v>
      </c>
      <c r="BE652" s="1">
        <v>53825</v>
      </c>
      <c r="BF652" s="121">
        <f t="shared" si="47"/>
        <v>401490</v>
      </c>
      <c r="CC652" s="125">
        <f t="shared" si="48"/>
        <v>0</v>
      </c>
      <c r="CK652" s="124">
        <f t="shared" si="49"/>
        <v>0</v>
      </c>
      <c r="CV652" s="129">
        <v>401490</v>
      </c>
    </row>
    <row r="653" spans="1:100">
      <c r="A653" s="1">
        <v>80</v>
      </c>
      <c r="B653" s="1">
        <v>6240</v>
      </c>
      <c r="C653" s="9" t="s">
        <v>653</v>
      </c>
      <c r="D653" s="15" t="s">
        <v>560</v>
      </c>
      <c r="E653" s="15"/>
      <c r="F653" s="15">
        <v>215</v>
      </c>
      <c r="G653" s="108">
        <v>312016</v>
      </c>
      <c r="H653" s="109"/>
      <c r="L653" s="1">
        <v>132750</v>
      </c>
      <c r="O653" s="117">
        <f t="shared" si="45"/>
        <v>444766</v>
      </c>
      <c r="P653" s="78">
        <v>1595913</v>
      </c>
      <c r="W653" s="1">
        <v>160308</v>
      </c>
      <c r="AF653" s="1">
        <v>235387</v>
      </c>
      <c r="AH653" s="1">
        <v>34566</v>
      </c>
      <c r="AV653" s="116">
        <f t="shared" si="46"/>
        <v>2026174</v>
      </c>
      <c r="BC653" s="1">
        <v>198674</v>
      </c>
      <c r="BE653" s="1">
        <v>43101</v>
      </c>
      <c r="BF653" s="121">
        <f t="shared" si="47"/>
        <v>241775</v>
      </c>
      <c r="BU653" s="1">
        <v>28933</v>
      </c>
      <c r="CC653" s="125">
        <f t="shared" si="48"/>
        <v>28933</v>
      </c>
      <c r="CK653" s="124">
        <f t="shared" si="49"/>
        <v>0</v>
      </c>
      <c r="CV653" s="129">
        <v>374525</v>
      </c>
    </row>
    <row r="654" spans="1:100">
      <c r="A654" s="1">
        <v>80</v>
      </c>
      <c r="B654" s="1">
        <v>6320</v>
      </c>
      <c r="C654" s="16" t="s">
        <v>667</v>
      </c>
      <c r="D654" s="17" t="s">
        <v>666</v>
      </c>
      <c r="E654" s="22"/>
      <c r="F654" s="17">
        <v>75</v>
      </c>
      <c r="G654" s="108">
        <v>135258</v>
      </c>
      <c r="H654" s="108">
        <v>2544</v>
      </c>
      <c r="L654" s="1">
        <v>53000</v>
      </c>
      <c r="O654" s="117">
        <f t="shared" si="45"/>
        <v>190802</v>
      </c>
      <c r="W654" s="1">
        <v>53080</v>
      </c>
      <c r="AF654" s="1">
        <v>563805</v>
      </c>
      <c r="AH654" s="1">
        <v>21326</v>
      </c>
      <c r="AV654" s="116">
        <f t="shared" si="46"/>
        <v>638211</v>
      </c>
      <c r="BC654" s="1">
        <v>43088</v>
      </c>
      <c r="BD654" s="1">
        <v>10660</v>
      </c>
      <c r="BE654" s="1">
        <v>287792</v>
      </c>
      <c r="BF654" s="121">
        <f t="shared" si="47"/>
        <v>341540</v>
      </c>
      <c r="CC654" s="125">
        <f t="shared" si="48"/>
        <v>0</v>
      </c>
      <c r="CK654" s="124">
        <f t="shared" si="49"/>
        <v>0</v>
      </c>
      <c r="CV654" s="129">
        <v>394540</v>
      </c>
    </row>
    <row r="655" spans="1:100">
      <c r="A655" s="1">
        <v>80</v>
      </c>
      <c r="B655" s="1">
        <v>6325</v>
      </c>
      <c r="C655" s="14" t="s">
        <v>653</v>
      </c>
      <c r="D655" s="15" t="s">
        <v>665</v>
      </c>
      <c r="E655" s="22"/>
      <c r="F655" s="15">
        <v>329</v>
      </c>
      <c r="G655" s="108">
        <v>435618</v>
      </c>
      <c r="H655" s="108">
        <v>36047</v>
      </c>
      <c r="O655" s="117">
        <f t="shared" si="45"/>
        <v>471665</v>
      </c>
      <c r="W655" s="1">
        <v>78128</v>
      </c>
      <c r="AF655" s="1">
        <v>2900896</v>
      </c>
      <c r="AH655" s="1">
        <v>82597</v>
      </c>
      <c r="AU655" s="1">
        <v>223254</v>
      </c>
      <c r="AV655" s="116">
        <f t="shared" si="46"/>
        <v>3284875</v>
      </c>
      <c r="BC655" s="1">
        <v>166396</v>
      </c>
      <c r="BD655" s="1">
        <v>34813</v>
      </c>
      <c r="BE655" s="1">
        <v>6736</v>
      </c>
      <c r="BF655" s="121">
        <f t="shared" si="47"/>
        <v>207945</v>
      </c>
      <c r="CC655" s="125">
        <f t="shared" si="48"/>
        <v>0</v>
      </c>
      <c r="CK655" s="124">
        <f t="shared" si="49"/>
        <v>0</v>
      </c>
      <c r="CV655" s="129">
        <v>431199</v>
      </c>
    </row>
    <row r="656" spans="1:100">
      <c r="A656" s="1">
        <v>80</v>
      </c>
      <c r="B656" s="1">
        <v>6410</v>
      </c>
      <c r="C656" s="14" t="s">
        <v>669</v>
      </c>
      <c r="D656" s="15" t="s">
        <v>668</v>
      </c>
      <c r="E656" s="22"/>
      <c r="F656" s="15">
        <v>501</v>
      </c>
      <c r="G656" s="108">
        <v>877153</v>
      </c>
      <c r="H656" s="108">
        <v>31956</v>
      </c>
      <c r="O656" s="117">
        <f t="shared" si="45"/>
        <v>909109</v>
      </c>
      <c r="P656" s="78">
        <v>2787424</v>
      </c>
      <c r="W656" s="1">
        <v>103880</v>
      </c>
      <c r="AF656" s="1">
        <v>1255101</v>
      </c>
      <c r="AH656" s="1">
        <v>118791</v>
      </c>
      <c r="AV656" s="116">
        <f t="shared" si="46"/>
        <v>4265196</v>
      </c>
      <c r="BC656" s="1">
        <v>425588</v>
      </c>
      <c r="BD656" s="1">
        <v>105509</v>
      </c>
      <c r="BE656" s="1">
        <v>256157</v>
      </c>
      <c r="BF656" s="121">
        <f t="shared" si="47"/>
        <v>787254</v>
      </c>
      <c r="CC656" s="125">
        <f t="shared" si="48"/>
        <v>0</v>
      </c>
      <c r="CK656" s="124">
        <f t="shared" si="49"/>
        <v>0</v>
      </c>
      <c r="CV656" s="129">
        <v>787254</v>
      </c>
    </row>
    <row r="657" spans="1:100">
      <c r="A657" s="1">
        <v>80</v>
      </c>
      <c r="B657" s="1">
        <v>6420</v>
      </c>
      <c r="C657" s="14" t="s">
        <v>671</v>
      </c>
      <c r="D657" s="15" t="s">
        <v>670</v>
      </c>
      <c r="E657" s="22"/>
      <c r="F657" s="15">
        <v>279</v>
      </c>
      <c r="G657" s="108">
        <v>988806</v>
      </c>
      <c r="H657" s="108">
        <v>41774</v>
      </c>
      <c r="J657" s="1">
        <v>2248197</v>
      </c>
      <c r="O657" s="117">
        <f t="shared" si="45"/>
        <v>3278777</v>
      </c>
      <c r="W657" s="1">
        <v>189487</v>
      </c>
      <c r="AF657" s="1">
        <v>160769</v>
      </c>
      <c r="AG657" s="1">
        <v>111623</v>
      </c>
      <c r="AV657" s="116">
        <f t="shared" si="46"/>
        <v>461879</v>
      </c>
      <c r="BC657" s="1">
        <v>64068</v>
      </c>
      <c r="BD657" s="1">
        <v>39671</v>
      </c>
      <c r="BE657" s="1">
        <v>13350</v>
      </c>
      <c r="BF657" s="121">
        <f t="shared" si="47"/>
        <v>117089</v>
      </c>
      <c r="CC657" s="125">
        <f t="shared" si="48"/>
        <v>0</v>
      </c>
      <c r="CK657" s="124">
        <f t="shared" si="49"/>
        <v>0</v>
      </c>
      <c r="CV657" s="129">
        <v>117089</v>
      </c>
    </row>
    <row r="658" spans="1:100">
      <c r="A658" s="1">
        <v>80</v>
      </c>
      <c r="B658" s="1">
        <v>6425</v>
      </c>
      <c r="C658" s="18" t="s">
        <v>673</v>
      </c>
      <c r="D658" s="19" t="s">
        <v>672</v>
      </c>
      <c r="E658" s="22"/>
      <c r="F658" s="19">
        <v>352</v>
      </c>
      <c r="G658" s="108">
        <v>586800</v>
      </c>
      <c r="H658" s="108">
        <v>37255</v>
      </c>
      <c r="O658" s="117">
        <f t="shared" si="45"/>
        <v>624055</v>
      </c>
      <c r="W658" s="1">
        <v>1462240</v>
      </c>
      <c r="X658" s="1">
        <v>7290</v>
      </c>
      <c r="AF658" s="1">
        <v>2873003</v>
      </c>
      <c r="AH658" s="1">
        <v>99491</v>
      </c>
      <c r="AV658" s="116">
        <f t="shared" si="46"/>
        <v>4442024</v>
      </c>
      <c r="BC658" s="1">
        <v>321978</v>
      </c>
      <c r="BD658" s="1">
        <v>63559</v>
      </c>
      <c r="BE658" s="1">
        <v>48003</v>
      </c>
      <c r="BF658" s="121">
        <f t="shared" si="47"/>
        <v>433540</v>
      </c>
      <c r="CC658" s="125">
        <f t="shared" si="48"/>
        <v>0</v>
      </c>
      <c r="CK658" s="124">
        <f t="shared" si="49"/>
        <v>0</v>
      </c>
      <c r="CV658" s="129">
        <v>433540</v>
      </c>
    </row>
    <row r="659" spans="1:100">
      <c r="A659" s="1">
        <v>80</v>
      </c>
      <c r="B659" s="1">
        <v>6430</v>
      </c>
      <c r="C659" s="14" t="s">
        <v>675</v>
      </c>
      <c r="D659" s="15" t="s">
        <v>674</v>
      </c>
      <c r="E659" s="15"/>
      <c r="F659" s="15">
        <v>182</v>
      </c>
      <c r="G659" s="108">
        <v>1404661</v>
      </c>
      <c r="H659" s="108">
        <v>35912</v>
      </c>
      <c r="O659" s="117">
        <f t="shared" si="45"/>
        <v>1440573</v>
      </c>
      <c r="P659" s="78">
        <v>722193</v>
      </c>
      <c r="W659" s="1">
        <v>55463</v>
      </c>
      <c r="X659" s="1">
        <v>294</v>
      </c>
      <c r="AF659" s="1">
        <v>325</v>
      </c>
      <c r="AH659" s="1">
        <v>70378</v>
      </c>
      <c r="AM659" s="1">
        <v>68279</v>
      </c>
      <c r="AO659" s="1">
        <v>1297</v>
      </c>
      <c r="AV659" s="116">
        <f t="shared" si="46"/>
        <v>918229</v>
      </c>
      <c r="AX659" s="1">
        <v>14483</v>
      </c>
      <c r="BA659" s="1">
        <v>475</v>
      </c>
      <c r="BC659" s="1">
        <v>121191</v>
      </c>
      <c r="BD659" s="1">
        <v>27351</v>
      </c>
      <c r="BE659" s="1">
        <v>2900</v>
      </c>
      <c r="BF659" s="121">
        <f t="shared" si="47"/>
        <v>166400</v>
      </c>
      <c r="CC659" s="125">
        <f t="shared" si="48"/>
        <v>0</v>
      </c>
      <c r="CK659" s="124">
        <f t="shared" si="49"/>
        <v>0</v>
      </c>
      <c r="CT659" s="23">
        <v>118130</v>
      </c>
      <c r="CV659" s="129">
        <v>353631</v>
      </c>
    </row>
    <row r="660" spans="1:100">
      <c r="A660" s="1">
        <v>80</v>
      </c>
      <c r="B660" s="1">
        <v>6612</v>
      </c>
      <c r="C660" s="14" t="s">
        <v>562</v>
      </c>
      <c r="D660" s="15" t="s">
        <v>561</v>
      </c>
      <c r="E660" s="15"/>
      <c r="F660" s="15">
        <v>270</v>
      </c>
      <c r="G660" s="108">
        <v>2071435</v>
      </c>
      <c r="H660" s="108">
        <v>37850</v>
      </c>
      <c r="O660" s="117">
        <f t="shared" si="45"/>
        <v>2109285</v>
      </c>
      <c r="W660" s="1">
        <v>44841</v>
      </c>
      <c r="AF660" s="1">
        <v>219768</v>
      </c>
      <c r="AH660" s="1">
        <v>104580</v>
      </c>
      <c r="AU660" s="1">
        <v>191677</v>
      </c>
      <c r="AV660" s="116">
        <f t="shared" si="46"/>
        <v>560866</v>
      </c>
      <c r="BC660" s="1">
        <v>103503</v>
      </c>
      <c r="BD660" s="1">
        <v>56606</v>
      </c>
      <c r="BE660" s="1">
        <v>7843</v>
      </c>
      <c r="BF660" s="121">
        <f t="shared" si="47"/>
        <v>167952</v>
      </c>
      <c r="BX660" s="1">
        <v>237370</v>
      </c>
      <c r="CC660" s="125">
        <f t="shared" si="48"/>
        <v>237370</v>
      </c>
      <c r="CK660" s="124">
        <f t="shared" si="49"/>
        <v>0</v>
      </c>
      <c r="CV660" s="129">
        <v>359629</v>
      </c>
    </row>
    <row r="661" spans="1:100">
      <c r="A661" s="1">
        <v>80</v>
      </c>
      <c r="B661" s="1">
        <v>6635</v>
      </c>
      <c r="C661" s="14" t="s">
        <v>565</v>
      </c>
      <c r="D661" s="15" t="s">
        <v>564</v>
      </c>
      <c r="E661" s="22"/>
      <c r="F661" s="15">
        <v>219</v>
      </c>
      <c r="G661" s="109"/>
      <c r="H661" s="108">
        <v>135328</v>
      </c>
      <c r="J661" s="1">
        <v>820113</v>
      </c>
      <c r="O661" s="117">
        <f t="shared" si="45"/>
        <v>955441</v>
      </c>
      <c r="P661" s="78">
        <v>587519</v>
      </c>
      <c r="W661" s="1">
        <v>92829</v>
      </c>
      <c r="X661" s="1">
        <v>32704</v>
      </c>
      <c r="AF661" s="1">
        <v>437901</v>
      </c>
      <c r="AG661" s="1">
        <v>13925</v>
      </c>
      <c r="AH661" s="1">
        <v>69545</v>
      </c>
      <c r="AU661" s="1">
        <v>132180</v>
      </c>
      <c r="AV661" s="116">
        <f t="shared" si="46"/>
        <v>1366603</v>
      </c>
      <c r="AY661" s="1">
        <v>32186</v>
      </c>
      <c r="BC661" s="1">
        <v>90866</v>
      </c>
      <c r="BE661" s="1">
        <v>1575</v>
      </c>
      <c r="BF661" s="121">
        <f t="shared" si="47"/>
        <v>124627</v>
      </c>
      <c r="CC661" s="125">
        <f t="shared" si="48"/>
        <v>0</v>
      </c>
      <c r="CK661" s="124">
        <f t="shared" si="49"/>
        <v>0</v>
      </c>
      <c r="CV661" s="129">
        <v>256807</v>
      </c>
    </row>
    <row r="662" spans="1:100">
      <c r="A662" s="1">
        <v>80</v>
      </c>
      <c r="B662" s="1">
        <v>6665</v>
      </c>
      <c r="C662" s="16" t="s">
        <v>667</v>
      </c>
      <c r="D662" s="17" t="s">
        <v>563</v>
      </c>
      <c r="E662" s="22"/>
      <c r="F662" s="17">
        <v>306</v>
      </c>
      <c r="G662" s="108">
        <v>511896</v>
      </c>
      <c r="H662" s="108">
        <v>68266</v>
      </c>
      <c r="O662" s="117">
        <f t="shared" si="45"/>
        <v>580162</v>
      </c>
      <c r="AF662" s="1">
        <v>2443362</v>
      </c>
      <c r="AH662" s="1">
        <v>74931</v>
      </c>
      <c r="AU662" s="1">
        <v>4000</v>
      </c>
      <c r="AV662" s="116">
        <f t="shared" si="46"/>
        <v>2522293</v>
      </c>
      <c r="BC662" s="1">
        <v>234750</v>
      </c>
      <c r="BE662" s="1">
        <v>30398</v>
      </c>
      <c r="BF662" s="121">
        <f t="shared" si="47"/>
        <v>265148</v>
      </c>
      <c r="CC662" s="125">
        <f t="shared" si="48"/>
        <v>0</v>
      </c>
      <c r="CK662" s="124">
        <f t="shared" si="49"/>
        <v>0</v>
      </c>
      <c r="CV662" s="129">
        <v>269148</v>
      </c>
    </row>
    <row r="663" spans="1:100">
      <c r="A663" s="1">
        <v>80</v>
      </c>
      <c r="B663" s="1">
        <v>6720</v>
      </c>
      <c r="C663" s="14" t="s">
        <v>671</v>
      </c>
      <c r="D663" s="15" t="s">
        <v>567</v>
      </c>
      <c r="E663" s="22"/>
      <c r="F663" s="15">
        <v>251</v>
      </c>
      <c r="G663" s="108">
        <v>2057278</v>
      </c>
      <c r="H663" s="108">
        <v>42555</v>
      </c>
      <c r="L663" s="1">
        <v>40291</v>
      </c>
      <c r="O663" s="117">
        <f t="shared" si="45"/>
        <v>2140124</v>
      </c>
      <c r="P663" s="78">
        <v>1401520</v>
      </c>
      <c r="W663" s="1">
        <v>228146</v>
      </c>
      <c r="AF663" s="1">
        <v>204519</v>
      </c>
      <c r="AH663" s="1">
        <v>115239</v>
      </c>
      <c r="AV663" s="116">
        <f t="shared" si="46"/>
        <v>1949424</v>
      </c>
      <c r="BC663" s="1">
        <v>64795</v>
      </c>
      <c r="BD663" s="1">
        <v>42401</v>
      </c>
      <c r="BE663" s="1">
        <v>18238</v>
      </c>
      <c r="BF663" s="121">
        <f t="shared" si="47"/>
        <v>125434</v>
      </c>
      <c r="CC663" s="125">
        <f t="shared" si="48"/>
        <v>0</v>
      </c>
      <c r="CK663" s="124">
        <f t="shared" si="49"/>
        <v>0</v>
      </c>
      <c r="CV663" s="129">
        <v>165725</v>
      </c>
    </row>
    <row r="664" spans="1:100">
      <c r="A664" s="1">
        <v>80</v>
      </c>
      <c r="B664" s="1">
        <v>6740</v>
      </c>
      <c r="C664" s="14" t="s">
        <v>569</v>
      </c>
      <c r="D664" s="15" t="s">
        <v>568</v>
      </c>
      <c r="E664" s="22"/>
      <c r="F664" s="15">
        <v>135</v>
      </c>
      <c r="G664" s="108">
        <v>311099</v>
      </c>
      <c r="H664" s="108">
        <v>5042</v>
      </c>
      <c r="O664" s="117">
        <f t="shared" si="45"/>
        <v>316141</v>
      </c>
      <c r="AF664" s="1">
        <v>1296566</v>
      </c>
      <c r="AH664" s="1">
        <v>69043</v>
      </c>
      <c r="AV664" s="116">
        <f t="shared" si="46"/>
        <v>1365609</v>
      </c>
      <c r="BC664" s="1">
        <v>110972</v>
      </c>
      <c r="BD664" s="1">
        <v>34603</v>
      </c>
      <c r="BE664" s="1">
        <v>11178</v>
      </c>
      <c r="BF664" s="121">
        <f t="shared" si="47"/>
        <v>156753</v>
      </c>
      <c r="CC664" s="125">
        <f t="shared" si="48"/>
        <v>0</v>
      </c>
      <c r="CK664" s="124">
        <f t="shared" si="49"/>
        <v>0</v>
      </c>
      <c r="CV664" s="129">
        <v>156753</v>
      </c>
    </row>
    <row r="665" spans="1:100">
      <c r="A665" s="1">
        <v>80</v>
      </c>
      <c r="B665" s="1">
        <v>6810</v>
      </c>
      <c r="C665" s="18" t="s">
        <v>673</v>
      </c>
      <c r="D665" s="19" t="s">
        <v>570</v>
      </c>
      <c r="E665" s="22"/>
      <c r="F665" s="19">
        <v>94.5</v>
      </c>
      <c r="G665" s="109"/>
      <c r="H665" s="108">
        <v>33197</v>
      </c>
      <c r="J665" s="1">
        <v>130848</v>
      </c>
      <c r="O665" s="117">
        <f t="shared" si="45"/>
        <v>164045</v>
      </c>
      <c r="W665" s="1">
        <v>50525</v>
      </c>
      <c r="AF665" s="1">
        <v>753481</v>
      </c>
      <c r="AH665" s="1">
        <v>35679</v>
      </c>
      <c r="AU665" s="1">
        <v>1638</v>
      </c>
      <c r="AV665" s="116">
        <f t="shared" si="46"/>
        <v>841323</v>
      </c>
      <c r="BC665" s="1">
        <v>72658</v>
      </c>
      <c r="BD665" s="1">
        <v>26141</v>
      </c>
      <c r="BE665" s="1">
        <v>26029</v>
      </c>
      <c r="BF665" s="121">
        <f t="shared" si="47"/>
        <v>124828</v>
      </c>
      <c r="CC665" s="125">
        <f t="shared" si="48"/>
        <v>0</v>
      </c>
      <c r="CK665" s="124">
        <f t="shared" si="49"/>
        <v>0</v>
      </c>
      <c r="CV665" s="129">
        <v>126466</v>
      </c>
    </row>
    <row r="666" spans="1:100">
      <c r="A666" s="1">
        <v>80</v>
      </c>
      <c r="B666" s="1">
        <v>6910</v>
      </c>
      <c r="C666" s="2" t="s">
        <v>657</v>
      </c>
      <c r="D666" s="7" t="s">
        <v>571</v>
      </c>
      <c r="E666" s="22"/>
      <c r="F666" s="7">
        <v>505</v>
      </c>
      <c r="G666" s="108">
        <v>1092558</v>
      </c>
      <c r="H666" s="109"/>
      <c r="O666" s="117">
        <f t="shared" si="45"/>
        <v>1092558</v>
      </c>
      <c r="P666" s="78">
        <v>2276775</v>
      </c>
      <c r="W666" s="1">
        <v>60091</v>
      </c>
      <c r="AF666" s="1">
        <v>1305249</v>
      </c>
      <c r="AH666" s="1">
        <v>132000</v>
      </c>
      <c r="AV666" s="116">
        <f t="shared" si="46"/>
        <v>3774115</v>
      </c>
      <c r="BC666" s="1">
        <v>670116</v>
      </c>
      <c r="BD666" s="1">
        <v>85170</v>
      </c>
      <c r="BE666" s="1">
        <v>48289</v>
      </c>
      <c r="BF666" s="121">
        <f t="shared" si="47"/>
        <v>803575</v>
      </c>
      <c r="BO666" s="1">
        <v>65022</v>
      </c>
      <c r="BP666" s="1">
        <v>64684</v>
      </c>
      <c r="CC666" s="125">
        <f t="shared" si="48"/>
        <v>129706</v>
      </c>
      <c r="CK666" s="124">
        <f t="shared" si="49"/>
        <v>0</v>
      </c>
      <c r="CV666" s="129">
        <v>803575</v>
      </c>
    </row>
    <row r="667" spans="1:100">
      <c r="A667" s="1">
        <v>80</v>
      </c>
      <c r="B667" s="1">
        <v>6915</v>
      </c>
      <c r="C667" s="2" t="s">
        <v>657</v>
      </c>
      <c r="D667" s="7" t="s">
        <v>572</v>
      </c>
      <c r="E667" s="22"/>
      <c r="F667" s="7">
        <v>494</v>
      </c>
      <c r="G667" s="108">
        <v>1137076</v>
      </c>
      <c r="H667" s="108">
        <v>37641</v>
      </c>
      <c r="O667" s="117">
        <f t="shared" si="45"/>
        <v>1174717</v>
      </c>
      <c r="W667" s="1">
        <v>132810</v>
      </c>
      <c r="AF667" s="1">
        <v>3753870</v>
      </c>
      <c r="AH667" s="1">
        <v>161209</v>
      </c>
      <c r="AU667" s="1">
        <v>1892</v>
      </c>
      <c r="AV667" s="116">
        <f t="shared" si="46"/>
        <v>4049781</v>
      </c>
      <c r="BC667" s="1">
        <v>300676</v>
      </c>
      <c r="BD667" s="1">
        <v>96131</v>
      </c>
      <c r="BE667" s="1">
        <v>70581</v>
      </c>
      <c r="BF667" s="121">
        <f t="shared" si="47"/>
        <v>467388</v>
      </c>
      <c r="CC667" s="125">
        <f t="shared" si="48"/>
        <v>0</v>
      </c>
      <c r="CK667" s="124">
        <f t="shared" si="49"/>
        <v>0</v>
      </c>
      <c r="CV667" s="129">
        <v>469280</v>
      </c>
    </row>
    <row r="668" spans="1:100">
      <c r="A668" s="1">
        <v>80</v>
      </c>
      <c r="B668" s="1">
        <v>7100</v>
      </c>
      <c r="C668" s="16" t="s">
        <v>667</v>
      </c>
      <c r="D668" s="17" t="s">
        <v>573</v>
      </c>
      <c r="E668" s="22"/>
      <c r="F668" s="17">
        <v>443</v>
      </c>
      <c r="G668" s="108">
        <v>763208</v>
      </c>
      <c r="H668" s="109"/>
      <c r="O668" s="117">
        <f t="shared" si="45"/>
        <v>763208</v>
      </c>
      <c r="AF668" s="1">
        <v>3620192</v>
      </c>
      <c r="AH668" s="1">
        <v>161510</v>
      </c>
      <c r="AV668" s="116">
        <f t="shared" si="46"/>
        <v>3781702</v>
      </c>
      <c r="BC668" s="1">
        <v>325286</v>
      </c>
      <c r="BD668" s="1">
        <v>96705</v>
      </c>
      <c r="BE668" s="1">
        <v>44518</v>
      </c>
      <c r="BF668" s="121">
        <f t="shared" si="47"/>
        <v>466509</v>
      </c>
      <c r="CC668" s="125">
        <f t="shared" si="48"/>
        <v>0</v>
      </c>
      <c r="CK668" s="124">
        <f t="shared" si="49"/>
        <v>0</v>
      </c>
      <c r="CV668" s="129">
        <v>466509</v>
      </c>
    </row>
    <row r="669" spans="1:100">
      <c r="A669" s="1">
        <v>80</v>
      </c>
      <c r="B669" s="1">
        <v>7109</v>
      </c>
      <c r="C669" s="14" t="s">
        <v>653</v>
      </c>
      <c r="D669" s="15" t="s">
        <v>574</v>
      </c>
      <c r="E669" s="22"/>
      <c r="F669" s="15">
        <v>774</v>
      </c>
      <c r="G669" s="108">
        <v>1485204</v>
      </c>
      <c r="H669" s="108">
        <v>319555</v>
      </c>
      <c r="O669" s="117">
        <f t="shared" si="45"/>
        <v>1804759</v>
      </c>
      <c r="P669" s="78">
        <v>5075202</v>
      </c>
      <c r="W669" s="1">
        <v>167020</v>
      </c>
      <c r="X669" s="1">
        <v>20907</v>
      </c>
      <c r="AF669" s="1">
        <v>554157</v>
      </c>
      <c r="AG669" s="1">
        <v>215266</v>
      </c>
      <c r="AH669" s="1">
        <v>260176</v>
      </c>
      <c r="AM669" s="1">
        <v>327061</v>
      </c>
      <c r="AV669" s="116">
        <f t="shared" si="46"/>
        <v>6619789</v>
      </c>
      <c r="BC669" s="1">
        <v>577652</v>
      </c>
      <c r="BD669" s="1">
        <v>151589</v>
      </c>
      <c r="BE669" s="1">
        <v>496172</v>
      </c>
      <c r="BF669" s="121">
        <f t="shared" si="47"/>
        <v>1225413</v>
      </c>
      <c r="BH669" s="1">
        <v>362413</v>
      </c>
      <c r="CC669" s="125">
        <f t="shared" si="48"/>
        <v>362413</v>
      </c>
      <c r="CK669" s="124">
        <f t="shared" si="49"/>
        <v>0</v>
      </c>
      <c r="CT669" s="23">
        <v>582624</v>
      </c>
      <c r="CV669" s="129">
        <v>2135098</v>
      </c>
    </row>
    <row r="670" spans="1:100">
      <c r="A670" s="1">
        <v>80</v>
      </c>
      <c r="B670" s="1">
        <v>7115</v>
      </c>
      <c r="C670" s="2" t="s">
        <v>657</v>
      </c>
      <c r="D670" s="7" t="s">
        <v>575</v>
      </c>
      <c r="E670" s="26"/>
      <c r="F670" s="7">
        <v>322</v>
      </c>
      <c r="G670" s="108">
        <v>753227</v>
      </c>
      <c r="H670" s="108">
        <v>95803</v>
      </c>
      <c r="J670" s="1">
        <v>1613923</v>
      </c>
      <c r="L670" s="1">
        <v>88637</v>
      </c>
      <c r="O670" s="117">
        <f t="shared" si="45"/>
        <v>2551590</v>
      </c>
      <c r="U670" s="1">
        <v>122868</v>
      </c>
      <c r="W670" s="1">
        <v>150221</v>
      </c>
      <c r="X670" s="1">
        <v>2336</v>
      </c>
      <c r="AF670" s="1">
        <v>562084</v>
      </c>
      <c r="AG670" s="1">
        <v>118066</v>
      </c>
      <c r="AV670" s="116">
        <f t="shared" si="46"/>
        <v>955575</v>
      </c>
      <c r="BC670" s="1">
        <v>125760</v>
      </c>
      <c r="BD670" s="1">
        <v>48427</v>
      </c>
      <c r="BF670" s="121">
        <f t="shared" si="47"/>
        <v>174187</v>
      </c>
      <c r="CC670" s="125">
        <f t="shared" si="48"/>
        <v>0</v>
      </c>
      <c r="CK670" s="124">
        <f t="shared" si="49"/>
        <v>0</v>
      </c>
      <c r="CV670" s="129">
        <v>262824</v>
      </c>
    </row>
    <row r="671" spans="1:100">
      <c r="A671" s="1">
        <v>80</v>
      </c>
      <c r="B671" s="1">
        <v>7210</v>
      </c>
      <c r="C671" s="16" t="s">
        <v>667</v>
      </c>
      <c r="D671" s="17" t="s">
        <v>578</v>
      </c>
      <c r="E671" s="26"/>
      <c r="F671" s="17">
        <v>359</v>
      </c>
      <c r="G671" s="108">
        <v>632331</v>
      </c>
      <c r="H671" s="109"/>
      <c r="O671" s="117">
        <f t="shared" si="45"/>
        <v>632331</v>
      </c>
      <c r="AF671" s="1">
        <v>2939449</v>
      </c>
      <c r="AH671" s="1">
        <v>20004</v>
      </c>
      <c r="AV671" s="116">
        <f t="shared" si="46"/>
        <v>2959453</v>
      </c>
      <c r="BC671" s="1">
        <v>350177</v>
      </c>
      <c r="BE671" s="1">
        <v>100700</v>
      </c>
      <c r="BF671" s="121">
        <f t="shared" si="47"/>
        <v>450877</v>
      </c>
      <c r="BU671" s="1">
        <v>27893</v>
      </c>
      <c r="CC671" s="125">
        <f t="shared" si="48"/>
        <v>27893</v>
      </c>
      <c r="CK671" s="124">
        <f t="shared" si="49"/>
        <v>0</v>
      </c>
      <c r="CV671" s="129">
        <v>450877</v>
      </c>
    </row>
    <row r="672" spans="1:100">
      <c r="A672" s="1">
        <v>80</v>
      </c>
      <c r="B672" s="1">
        <v>7280</v>
      </c>
      <c r="C672" s="16" t="s">
        <v>667</v>
      </c>
      <c r="D672" s="17" t="s">
        <v>566</v>
      </c>
      <c r="E672" s="22"/>
      <c r="F672" s="17">
        <v>171.3</v>
      </c>
      <c r="G672" s="108">
        <v>303507</v>
      </c>
      <c r="H672" s="108">
        <v>40734</v>
      </c>
      <c r="L672" s="1">
        <v>10000</v>
      </c>
      <c r="O672" s="117">
        <f t="shared" si="45"/>
        <v>354241</v>
      </c>
      <c r="P672" s="78">
        <v>1056725</v>
      </c>
      <c r="W672" s="1">
        <v>49386</v>
      </c>
      <c r="AD672" s="1">
        <v>162776</v>
      </c>
      <c r="AF672" s="1">
        <v>79312</v>
      </c>
      <c r="AH672" s="1">
        <v>61517</v>
      </c>
      <c r="AV672" s="116">
        <f t="shared" si="46"/>
        <v>1409716</v>
      </c>
      <c r="AZ672" s="1">
        <v>11663</v>
      </c>
      <c r="BC672" s="1">
        <v>139803</v>
      </c>
      <c r="BD672" s="1">
        <v>29249</v>
      </c>
      <c r="BF672" s="121">
        <f t="shared" si="47"/>
        <v>180715</v>
      </c>
      <c r="BU672" s="1">
        <v>11176</v>
      </c>
      <c r="CC672" s="125">
        <f t="shared" si="48"/>
        <v>11176</v>
      </c>
      <c r="CK672" s="124">
        <f t="shared" si="49"/>
        <v>0</v>
      </c>
      <c r="CV672" s="129">
        <v>190715</v>
      </c>
    </row>
    <row r="673" spans="1:100">
      <c r="A673" s="1">
        <v>80</v>
      </c>
      <c r="B673" s="1">
        <v>7290</v>
      </c>
      <c r="C673" s="16" t="s">
        <v>667</v>
      </c>
      <c r="D673" s="17" t="s">
        <v>579</v>
      </c>
      <c r="E673" s="22"/>
      <c r="F673" s="17">
        <v>508</v>
      </c>
      <c r="G673" s="108">
        <v>747120</v>
      </c>
      <c r="H673" s="109"/>
      <c r="O673" s="117">
        <f t="shared" ref="O673:O696" si="50">SUM(G673:N673)</f>
        <v>747120</v>
      </c>
      <c r="AF673" s="1">
        <v>3775494</v>
      </c>
      <c r="AH673" s="1">
        <v>144177</v>
      </c>
      <c r="AV673" s="116">
        <f t="shared" ref="AV673:AV696" si="51">SUM(P673:AU673)</f>
        <v>3919671</v>
      </c>
      <c r="BC673" s="1">
        <v>540738</v>
      </c>
      <c r="BD673" s="1">
        <v>80906</v>
      </c>
      <c r="BE673" s="1">
        <v>103550</v>
      </c>
      <c r="BF673" s="121">
        <f t="shared" ref="BF673:BF696" si="52">SUM(AW673:BE673)</f>
        <v>725194</v>
      </c>
      <c r="BH673" s="1">
        <v>4174</v>
      </c>
      <c r="CC673" s="125">
        <f t="shared" ref="CC673:CC696" si="53">SUM(BG673:CB673)</f>
        <v>4174</v>
      </c>
      <c r="CK673" s="124">
        <f t="shared" ref="CK673:CK696" si="54">SUM(CD673:CJ673)</f>
        <v>0</v>
      </c>
      <c r="CV673" s="129">
        <v>725194</v>
      </c>
    </row>
    <row r="674" spans="1:100">
      <c r="A674" s="1">
        <v>80</v>
      </c>
      <c r="B674" s="1">
        <v>7320</v>
      </c>
      <c r="C674" s="16" t="s">
        <v>667</v>
      </c>
      <c r="D674" s="17" t="s">
        <v>580</v>
      </c>
      <c r="E674" s="22"/>
      <c r="F674" s="17">
        <v>451</v>
      </c>
      <c r="G674" s="108">
        <v>825039</v>
      </c>
      <c r="H674" s="108">
        <v>275662</v>
      </c>
      <c r="O674" s="117">
        <f t="shared" si="50"/>
        <v>1100701</v>
      </c>
      <c r="AF674" s="1">
        <v>3761939</v>
      </c>
      <c r="AH674" s="1">
        <v>212193</v>
      </c>
      <c r="AU674" s="1">
        <v>90688</v>
      </c>
      <c r="AV674" s="116">
        <f t="shared" si="51"/>
        <v>4064820</v>
      </c>
      <c r="BC674" s="1">
        <v>402521</v>
      </c>
      <c r="BD674" s="1">
        <v>65204</v>
      </c>
      <c r="BE674" s="1">
        <v>239596</v>
      </c>
      <c r="BF674" s="121">
        <f t="shared" si="52"/>
        <v>707321</v>
      </c>
      <c r="CC674" s="125">
        <f t="shared" si="53"/>
        <v>0</v>
      </c>
      <c r="CK674" s="124">
        <f t="shared" si="54"/>
        <v>0</v>
      </c>
      <c r="CV674" s="129">
        <v>798009</v>
      </c>
    </row>
    <row r="675" spans="1:100">
      <c r="A675" s="1">
        <v>80</v>
      </c>
      <c r="B675" s="1">
        <v>7325</v>
      </c>
      <c r="C675" s="16" t="s">
        <v>667</v>
      </c>
      <c r="D675" s="17" t="s">
        <v>600</v>
      </c>
      <c r="E675" s="22"/>
      <c r="F675" s="17">
        <v>467</v>
      </c>
      <c r="G675" s="108">
        <v>857301</v>
      </c>
      <c r="H675" s="108">
        <v>277948</v>
      </c>
      <c r="J675" s="1">
        <v>2699210</v>
      </c>
      <c r="L675" s="1">
        <v>192750</v>
      </c>
      <c r="O675" s="117">
        <f t="shared" si="50"/>
        <v>4027209</v>
      </c>
      <c r="W675" s="1">
        <v>129781</v>
      </c>
      <c r="AF675" s="1">
        <v>634003</v>
      </c>
      <c r="AH675" s="1">
        <v>124814</v>
      </c>
      <c r="AV675" s="116">
        <f t="shared" si="51"/>
        <v>888598</v>
      </c>
      <c r="BC675" s="1">
        <v>317673</v>
      </c>
      <c r="BD675" s="1">
        <v>70308</v>
      </c>
      <c r="BE675" s="1">
        <v>22954</v>
      </c>
      <c r="BF675" s="121">
        <f t="shared" si="52"/>
        <v>410935</v>
      </c>
      <c r="CC675" s="125">
        <f t="shared" si="53"/>
        <v>0</v>
      </c>
      <c r="CK675" s="124">
        <f t="shared" si="54"/>
        <v>0</v>
      </c>
      <c r="CV675" s="129">
        <v>603685</v>
      </c>
    </row>
    <row r="676" spans="1:100">
      <c r="A676" s="1">
        <v>80</v>
      </c>
      <c r="B676" s="1">
        <v>7410</v>
      </c>
      <c r="C676" s="14" t="s">
        <v>662</v>
      </c>
      <c r="D676" s="15" t="s">
        <v>661</v>
      </c>
      <c r="E676" s="15"/>
      <c r="F676" s="15">
        <v>251</v>
      </c>
      <c r="G676" s="108">
        <v>1635745</v>
      </c>
      <c r="H676" s="108">
        <v>42615</v>
      </c>
      <c r="O676" s="117">
        <f t="shared" si="50"/>
        <v>1678360</v>
      </c>
      <c r="P676" s="78">
        <v>701118</v>
      </c>
      <c r="W676" s="1">
        <v>159612</v>
      </c>
      <c r="AF676" s="1">
        <v>194093</v>
      </c>
      <c r="AH676" s="1">
        <v>92893</v>
      </c>
      <c r="AM676" s="1">
        <v>46794</v>
      </c>
      <c r="AV676" s="116">
        <f t="shared" si="51"/>
        <v>1194510</v>
      </c>
      <c r="AX676" s="1">
        <v>1000</v>
      </c>
      <c r="BB676" s="1">
        <v>36052</v>
      </c>
      <c r="BC676" s="1">
        <v>82902</v>
      </c>
      <c r="BD676" s="1">
        <v>34529</v>
      </c>
      <c r="BE676" s="1">
        <v>2585</v>
      </c>
      <c r="BF676" s="121">
        <f t="shared" si="52"/>
        <v>157068</v>
      </c>
      <c r="CC676" s="125">
        <f t="shared" si="53"/>
        <v>0</v>
      </c>
      <c r="CK676" s="124">
        <f t="shared" si="54"/>
        <v>0</v>
      </c>
      <c r="CV676" s="129">
        <v>203862</v>
      </c>
    </row>
    <row r="677" spans="1:100">
      <c r="A677" s="1">
        <v>80</v>
      </c>
      <c r="B677" s="1">
        <v>7420</v>
      </c>
      <c r="C677" s="14" t="s">
        <v>582</v>
      </c>
      <c r="D677" s="15" t="s">
        <v>581</v>
      </c>
      <c r="E677" s="15"/>
      <c r="F677" s="15">
        <v>354</v>
      </c>
      <c r="G677" s="108">
        <v>2697950</v>
      </c>
      <c r="H677" s="108">
        <v>35825</v>
      </c>
      <c r="O677" s="117">
        <f t="shared" si="50"/>
        <v>2733775</v>
      </c>
      <c r="W677" s="1">
        <v>195844</v>
      </c>
      <c r="AF677" s="1">
        <v>1367428</v>
      </c>
      <c r="AG677" s="1">
        <v>153924</v>
      </c>
      <c r="AH677" s="1">
        <v>146793</v>
      </c>
      <c r="AV677" s="116">
        <f t="shared" si="51"/>
        <v>1863989</v>
      </c>
      <c r="BC677" s="1">
        <v>282375</v>
      </c>
      <c r="BD677" s="1">
        <v>76095</v>
      </c>
      <c r="BE677" s="1">
        <v>43969</v>
      </c>
      <c r="BF677" s="121">
        <f t="shared" si="52"/>
        <v>402439</v>
      </c>
      <c r="CC677" s="125">
        <f t="shared" si="53"/>
        <v>0</v>
      </c>
      <c r="CK677" s="124">
        <f t="shared" si="54"/>
        <v>0</v>
      </c>
      <c r="CV677" s="129">
        <v>402439</v>
      </c>
    </row>
    <row r="678" spans="1:100">
      <c r="A678" s="1">
        <v>80</v>
      </c>
      <c r="B678" s="1">
        <v>7500</v>
      </c>
      <c r="C678" s="14" t="s">
        <v>584</v>
      </c>
      <c r="D678" s="15" t="s">
        <v>583</v>
      </c>
      <c r="E678" s="15"/>
      <c r="F678" s="15">
        <v>106</v>
      </c>
      <c r="G678" s="108">
        <v>222518</v>
      </c>
      <c r="H678" s="108">
        <v>9794</v>
      </c>
      <c r="O678" s="117">
        <f t="shared" si="50"/>
        <v>232312</v>
      </c>
      <c r="AF678" s="1">
        <v>759274</v>
      </c>
      <c r="AH678" s="1">
        <v>30272</v>
      </c>
      <c r="AV678" s="116">
        <f t="shared" si="51"/>
        <v>789546</v>
      </c>
      <c r="BF678" s="121">
        <f t="shared" si="52"/>
        <v>0</v>
      </c>
      <c r="CC678" s="125">
        <f t="shared" si="53"/>
        <v>0</v>
      </c>
      <c r="CK678" s="124">
        <f t="shared" si="54"/>
        <v>0</v>
      </c>
    </row>
    <row r="679" spans="1:100">
      <c r="A679" s="1">
        <v>80</v>
      </c>
      <c r="B679" s="1">
        <v>7503</v>
      </c>
      <c r="C679" s="14" t="s">
        <v>548</v>
      </c>
      <c r="D679" s="15" t="s">
        <v>585</v>
      </c>
      <c r="E679" s="15"/>
      <c r="F679" s="15">
        <v>397</v>
      </c>
      <c r="G679" s="108">
        <v>799123</v>
      </c>
      <c r="H679" s="108">
        <v>15914</v>
      </c>
      <c r="O679" s="117">
        <f t="shared" si="50"/>
        <v>815037</v>
      </c>
      <c r="X679" s="1">
        <v>21258</v>
      </c>
      <c r="AH679" s="1">
        <v>109658</v>
      </c>
      <c r="AI679" s="1">
        <v>3238838</v>
      </c>
      <c r="AU679" s="1">
        <v>2125</v>
      </c>
      <c r="AV679" s="116">
        <f t="shared" si="51"/>
        <v>3371879</v>
      </c>
      <c r="BC679" s="1">
        <v>171638</v>
      </c>
      <c r="BD679" s="1">
        <v>51728</v>
      </c>
      <c r="BE679" s="1">
        <v>80825</v>
      </c>
      <c r="BF679" s="121">
        <f t="shared" si="52"/>
        <v>304191</v>
      </c>
      <c r="CC679" s="125">
        <f t="shared" si="53"/>
        <v>0</v>
      </c>
      <c r="CK679" s="124">
        <f t="shared" si="54"/>
        <v>0</v>
      </c>
      <c r="CV679" s="129">
        <v>306316</v>
      </c>
    </row>
    <row r="680" spans="1:100">
      <c r="A680" s="1">
        <v>80</v>
      </c>
      <c r="B680" s="1">
        <v>7520</v>
      </c>
      <c r="C680" s="14" t="s">
        <v>587</v>
      </c>
      <c r="D680" s="15" t="s">
        <v>586</v>
      </c>
      <c r="E680" s="15"/>
      <c r="F680" s="15">
        <v>555</v>
      </c>
      <c r="G680" s="108">
        <v>1649922</v>
      </c>
      <c r="H680" s="108">
        <v>49669</v>
      </c>
      <c r="O680" s="117">
        <f t="shared" si="50"/>
        <v>1699591</v>
      </c>
      <c r="W680" s="1">
        <v>171189</v>
      </c>
      <c r="AF680" s="1">
        <v>3877698</v>
      </c>
      <c r="AH680" s="1">
        <v>173391</v>
      </c>
      <c r="AU680" s="1">
        <v>3993</v>
      </c>
      <c r="AV680" s="116">
        <f t="shared" si="51"/>
        <v>4226271</v>
      </c>
      <c r="BC680" s="1">
        <v>274711</v>
      </c>
      <c r="BD680" s="1">
        <v>156027</v>
      </c>
      <c r="BE680" s="1">
        <v>154934</v>
      </c>
      <c r="BF680" s="121">
        <f t="shared" si="52"/>
        <v>585672</v>
      </c>
      <c r="CC680" s="125">
        <f t="shared" si="53"/>
        <v>0</v>
      </c>
      <c r="CK680" s="124">
        <f t="shared" si="54"/>
        <v>0</v>
      </c>
      <c r="CV680" s="129">
        <v>589665</v>
      </c>
    </row>
    <row r="681" spans="1:100">
      <c r="A681" s="1">
        <v>80</v>
      </c>
      <c r="B681" s="1">
        <v>7540</v>
      </c>
      <c r="C681" s="14" t="s">
        <v>589</v>
      </c>
      <c r="D681" s="15" t="s">
        <v>588</v>
      </c>
      <c r="E681" s="15"/>
      <c r="F681" s="15">
        <v>290</v>
      </c>
      <c r="G681" s="108">
        <v>2397684</v>
      </c>
      <c r="H681" s="108">
        <v>13753</v>
      </c>
      <c r="O681" s="117">
        <f t="shared" si="50"/>
        <v>2411437</v>
      </c>
      <c r="W681" s="1">
        <v>38575</v>
      </c>
      <c r="AF681" s="1">
        <v>1619154</v>
      </c>
      <c r="AH681" s="1">
        <v>105722</v>
      </c>
      <c r="AU681" s="1">
        <v>768</v>
      </c>
      <c r="AV681" s="116">
        <f t="shared" si="51"/>
        <v>1764219</v>
      </c>
      <c r="BC681" s="1">
        <v>10816</v>
      </c>
      <c r="BD681" s="1">
        <v>35746</v>
      </c>
      <c r="BE681" s="1">
        <v>6331</v>
      </c>
      <c r="BF681" s="121">
        <f t="shared" si="52"/>
        <v>52893</v>
      </c>
      <c r="BO681" s="1">
        <v>26739</v>
      </c>
      <c r="CC681" s="125">
        <f t="shared" si="53"/>
        <v>26739</v>
      </c>
      <c r="CK681" s="124">
        <f t="shared" si="54"/>
        <v>0</v>
      </c>
      <c r="CV681" s="129">
        <v>53661</v>
      </c>
    </row>
    <row r="682" spans="1:100">
      <c r="A682" s="1">
        <v>80</v>
      </c>
      <c r="B682" s="1">
        <v>7600</v>
      </c>
      <c r="C682" s="14" t="s">
        <v>659</v>
      </c>
      <c r="D682" s="15" t="s">
        <v>590</v>
      </c>
      <c r="E682" s="15"/>
      <c r="F682" s="15">
        <v>242</v>
      </c>
      <c r="G682" s="108">
        <v>504808</v>
      </c>
      <c r="H682" s="108">
        <v>39170</v>
      </c>
      <c r="O682" s="117">
        <f t="shared" si="50"/>
        <v>543978</v>
      </c>
      <c r="W682" s="1">
        <v>34535</v>
      </c>
      <c r="AF682" s="1">
        <v>1884177</v>
      </c>
      <c r="AH682" s="1">
        <v>68339</v>
      </c>
      <c r="AU682" s="1">
        <v>13235</v>
      </c>
      <c r="AV682" s="116">
        <f t="shared" si="51"/>
        <v>2000286</v>
      </c>
      <c r="BC682" s="1">
        <v>115184</v>
      </c>
      <c r="BD682" s="1">
        <v>63799</v>
      </c>
      <c r="BE682" s="1">
        <v>606768</v>
      </c>
      <c r="BF682" s="121">
        <f t="shared" si="52"/>
        <v>785751</v>
      </c>
      <c r="CC682" s="125">
        <f t="shared" si="53"/>
        <v>0</v>
      </c>
      <c r="CK682" s="124">
        <f t="shared" si="54"/>
        <v>0</v>
      </c>
      <c r="CV682" s="129">
        <v>798986</v>
      </c>
    </row>
    <row r="683" spans="1:100">
      <c r="A683" s="1">
        <v>80</v>
      </c>
      <c r="B683" s="1">
        <v>7720</v>
      </c>
      <c r="C683" s="14" t="s">
        <v>592</v>
      </c>
      <c r="D683" s="15" t="s">
        <v>591</v>
      </c>
      <c r="E683" s="15"/>
      <c r="F683" s="15">
        <v>156</v>
      </c>
      <c r="G683" s="108">
        <v>1288310</v>
      </c>
      <c r="H683" s="108">
        <v>27642</v>
      </c>
      <c r="L683" s="1">
        <v>58357</v>
      </c>
      <c r="O683" s="117">
        <f t="shared" si="50"/>
        <v>1374309</v>
      </c>
      <c r="W683" s="1">
        <v>272488</v>
      </c>
      <c r="X683" s="1">
        <v>30602</v>
      </c>
      <c r="AF683" s="1">
        <v>647532</v>
      </c>
      <c r="AG683" s="1">
        <v>60459</v>
      </c>
      <c r="AH683" s="1">
        <v>70045</v>
      </c>
      <c r="AM683" s="1">
        <v>51176</v>
      </c>
      <c r="AU683" s="1">
        <v>25000</v>
      </c>
      <c r="AV683" s="116">
        <f t="shared" si="51"/>
        <v>1157302</v>
      </c>
      <c r="BC683" s="1">
        <v>91820</v>
      </c>
      <c r="BD683" s="1">
        <v>27583</v>
      </c>
      <c r="BE683" s="1">
        <v>8795</v>
      </c>
      <c r="BF683" s="121">
        <f t="shared" si="52"/>
        <v>128198</v>
      </c>
      <c r="CC683" s="125">
        <f t="shared" si="53"/>
        <v>0</v>
      </c>
      <c r="CK683" s="124">
        <f t="shared" si="54"/>
        <v>0</v>
      </c>
      <c r="CT683" s="23">
        <v>79189</v>
      </c>
      <c r="CV683" s="129">
        <v>341920</v>
      </c>
    </row>
    <row r="684" spans="1:100">
      <c r="A684" s="1">
        <v>80</v>
      </c>
      <c r="B684" s="1">
        <v>7727</v>
      </c>
      <c r="C684" s="14" t="s">
        <v>594</v>
      </c>
      <c r="D684" s="15" t="s">
        <v>593</v>
      </c>
      <c r="E684" s="15"/>
      <c r="F684" s="15">
        <v>100</v>
      </c>
      <c r="G684" s="108">
        <v>815095</v>
      </c>
      <c r="H684" s="108">
        <v>16658</v>
      </c>
      <c r="L684" s="1">
        <v>16495</v>
      </c>
      <c r="O684" s="117">
        <f t="shared" si="50"/>
        <v>848248</v>
      </c>
      <c r="AH684" s="1">
        <v>30350</v>
      </c>
      <c r="AI684" s="1">
        <v>153002</v>
      </c>
      <c r="AU684" s="1">
        <v>1645</v>
      </c>
      <c r="AV684" s="116">
        <f t="shared" si="51"/>
        <v>184997</v>
      </c>
      <c r="BD684" s="1">
        <v>18973</v>
      </c>
      <c r="BE684" s="1">
        <v>2390</v>
      </c>
      <c r="BF684" s="121">
        <f t="shared" si="52"/>
        <v>21363</v>
      </c>
      <c r="CC684" s="125">
        <f t="shared" si="53"/>
        <v>0</v>
      </c>
      <c r="CK684" s="124">
        <f t="shared" si="54"/>
        <v>0</v>
      </c>
      <c r="CV684" s="129">
        <v>39503</v>
      </c>
    </row>
    <row r="685" spans="1:100">
      <c r="A685" s="1">
        <v>80</v>
      </c>
      <c r="B685" s="1">
        <v>7730</v>
      </c>
      <c r="C685" s="16" t="s">
        <v>667</v>
      </c>
      <c r="D685" s="17" t="s">
        <v>595</v>
      </c>
      <c r="E685" s="22"/>
      <c r="F685" s="17">
        <v>450</v>
      </c>
      <c r="G685" s="108">
        <v>796237</v>
      </c>
      <c r="H685" s="108">
        <v>85426</v>
      </c>
      <c r="L685" s="1">
        <v>25000</v>
      </c>
      <c r="O685" s="117">
        <f t="shared" si="50"/>
        <v>906663</v>
      </c>
      <c r="P685" s="78">
        <v>2505594</v>
      </c>
      <c r="W685" s="1">
        <v>86079</v>
      </c>
      <c r="X685" s="1">
        <v>4672</v>
      </c>
      <c r="AF685" s="1">
        <v>580524</v>
      </c>
      <c r="AG685" s="1">
        <v>160867</v>
      </c>
      <c r="AH685" s="1">
        <v>141191</v>
      </c>
      <c r="AM685" s="1">
        <v>206868</v>
      </c>
      <c r="AV685" s="116">
        <f t="shared" si="51"/>
        <v>3685795</v>
      </c>
      <c r="BC685" s="1">
        <v>237658</v>
      </c>
      <c r="BD685" s="1">
        <v>80521</v>
      </c>
      <c r="BE685" s="1">
        <v>136716</v>
      </c>
      <c r="BF685" s="121">
        <f t="shared" si="52"/>
        <v>454895</v>
      </c>
      <c r="CC685" s="125">
        <f t="shared" si="53"/>
        <v>0</v>
      </c>
      <c r="CK685" s="124">
        <f t="shared" si="54"/>
        <v>0</v>
      </c>
      <c r="CT685" s="23">
        <v>365036</v>
      </c>
      <c r="CV685" s="129">
        <v>1051799</v>
      </c>
    </row>
    <row r="686" spans="1:100">
      <c r="A686" s="1">
        <v>80</v>
      </c>
      <c r="B686" s="1">
        <v>7735</v>
      </c>
      <c r="C686" s="16" t="s">
        <v>667</v>
      </c>
      <c r="D686" s="17" t="s">
        <v>577</v>
      </c>
      <c r="E686" s="22"/>
      <c r="F686" s="17">
        <v>112</v>
      </c>
      <c r="G686" s="108">
        <v>211828</v>
      </c>
      <c r="H686" s="108">
        <v>6789</v>
      </c>
      <c r="O686" s="117">
        <f t="shared" si="50"/>
        <v>218617</v>
      </c>
      <c r="Q686" s="78">
        <v>666580</v>
      </c>
      <c r="AF686" s="1">
        <v>205885</v>
      </c>
      <c r="AH686" s="1">
        <v>24171</v>
      </c>
      <c r="AM686" s="1">
        <v>50884</v>
      </c>
      <c r="AO686" s="1">
        <v>32507</v>
      </c>
      <c r="AV686" s="116">
        <f t="shared" si="51"/>
        <v>980027</v>
      </c>
      <c r="AX686" s="1">
        <v>163911</v>
      </c>
      <c r="BF686" s="121">
        <f t="shared" si="52"/>
        <v>163911</v>
      </c>
      <c r="CC686" s="125">
        <f t="shared" si="53"/>
        <v>0</v>
      </c>
      <c r="CK686" s="124">
        <f t="shared" si="54"/>
        <v>0</v>
      </c>
      <c r="CV686" s="129">
        <v>247302</v>
      </c>
    </row>
    <row r="687" spans="1:100">
      <c r="A687" s="1">
        <v>80</v>
      </c>
      <c r="B687" s="1">
        <v>7820</v>
      </c>
      <c r="C687" s="2" t="s">
        <v>657</v>
      </c>
      <c r="D687" s="7" t="s">
        <v>596</v>
      </c>
      <c r="E687" s="22"/>
      <c r="F687" s="7">
        <v>165</v>
      </c>
      <c r="G687" s="109"/>
      <c r="H687" s="108">
        <v>40353</v>
      </c>
      <c r="O687" s="117">
        <f t="shared" si="50"/>
        <v>40353</v>
      </c>
      <c r="P687" s="78">
        <v>2267098</v>
      </c>
      <c r="W687" s="1">
        <v>119103</v>
      </c>
      <c r="AF687" s="1">
        <v>830064</v>
      </c>
      <c r="AH687" s="1">
        <v>25762</v>
      </c>
      <c r="AV687" s="116">
        <f t="shared" si="51"/>
        <v>3242027</v>
      </c>
      <c r="BC687" s="1">
        <v>451349</v>
      </c>
      <c r="BD687" s="1">
        <v>110363</v>
      </c>
      <c r="BE687" s="1">
        <v>60496</v>
      </c>
      <c r="BF687" s="121">
        <f t="shared" si="52"/>
        <v>622208</v>
      </c>
      <c r="CC687" s="125">
        <f t="shared" si="53"/>
        <v>0</v>
      </c>
      <c r="CK687" s="124">
        <f t="shared" si="54"/>
        <v>0</v>
      </c>
      <c r="CV687" s="129">
        <v>622208</v>
      </c>
    </row>
    <row r="688" spans="1:100">
      <c r="A688" s="1">
        <v>80</v>
      </c>
      <c r="B688" s="1">
        <v>7830</v>
      </c>
      <c r="C688" s="2" t="s">
        <v>657</v>
      </c>
      <c r="D688" s="7" t="s">
        <v>597</v>
      </c>
      <c r="E688" s="22"/>
      <c r="F688" s="7">
        <v>201</v>
      </c>
      <c r="G688" s="108">
        <v>478366</v>
      </c>
      <c r="H688" s="108">
        <v>23573</v>
      </c>
      <c r="O688" s="117">
        <f t="shared" si="50"/>
        <v>501939</v>
      </c>
      <c r="W688" s="1">
        <v>65649</v>
      </c>
      <c r="AF688" s="1">
        <v>1511178</v>
      </c>
      <c r="AH688" s="1">
        <v>63139</v>
      </c>
      <c r="AI688" s="1">
        <v>917</v>
      </c>
      <c r="AV688" s="116">
        <f t="shared" si="51"/>
        <v>1640883</v>
      </c>
      <c r="BC688" s="1">
        <v>147039</v>
      </c>
      <c r="BD688" s="1">
        <v>48074</v>
      </c>
      <c r="BE688" s="1">
        <v>20875</v>
      </c>
      <c r="BF688" s="121">
        <f t="shared" si="52"/>
        <v>215988</v>
      </c>
      <c r="CC688" s="125">
        <f t="shared" si="53"/>
        <v>0</v>
      </c>
      <c r="CK688" s="124">
        <f t="shared" si="54"/>
        <v>0</v>
      </c>
      <c r="CV688" s="129">
        <v>215988</v>
      </c>
    </row>
    <row r="689" spans="1:100">
      <c r="A689" s="1">
        <v>80</v>
      </c>
      <c r="B689" s="1">
        <v>7850</v>
      </c>
      <c r="C689" s="14" t="s">
        <v>599</v>
      </c>
      <c r="D689" s="15" t="s">
        <v>598</v>
      </c>
      <c r="E689" s="15"/>
      <c r="F689" s="15">
        <v>100</v>
      </c>
      <c r="G689" s="108">
        <v>649812</v>
      </c>
      <c r="H689" s="108">
        <v>1417</v>
      </c>
      <c r="O689" s="117">
        <f t="shared" si="50"/>
        <v>651229</v>
      </c>
      <c r="W689" s="1">
        <v>99957</v>
      </c>
      <c r="AF689" s="1">
        <v>312021</v>
      </c>
      <c r="AG689" s="1">
        <v>36283</v>
      </c>
      <c r="AH689" s="1">
        <v>43372</v>
      </c>
      <c r="AV689" s="116">
        <f t="shared" si="51"/>
        <v>491633</v>
      </c>
      <c r="BC689" s="1">
        <v>16745</v>
      </c>
      <c r="BD689" s="1">
        <v>18549</v>
      </c>
      <c r="BE689" s="1">
        <v>26437</v>
      </c>
      <c r="BF689" s="121">
        <f t="shared" si="52"/>
        <v>61731</v>
      </c>
      <c r="BP689" s="1">
        <v>5556</v>
      </c>
      <c r="CC689" s="125">
        <f t="shared" si="53"/>
        <v>5556</v>
      </c>
      <c r="CK689" s="124">
        <f t="shared" si="54"/>
        <v>0</v>
      </c>
      <c r="CV689" s="129">
        <v>61731</v>
      </c>
    </row>
    <row r="690" spans="1:100">
      <c r="A690" s="1">
        <v>80</v>
      </c>
      <c r="B690" s="1">
        <v>7890</v>
      </c>
      <c r="C690" s="14" t="s">
        <v>602</v>
      </c>
      <c r="D690" s="15" t="s">
        <v>601</v>
      </c>
      <c r="E690" s="15"/>
      <c r="F690" s="15">
        <v>240</v>
      </c>
      <c r="G690" s="108">
        <v>1926615</v>
      </c>
      <c r="H690" s="108">
        <v>85237</v>
      </c>
      <c r="L690" s="1">
        <v>500</v>
      </c>
      <c r="O690" s="117">
        <f t="shared" si="50"/>
        <v>2012352</v>
      </c>
      <c r="W690" s="1">
        <v>134863</v>
      </c>
      <c r="AF690" s="1">
        <v>1299893</v>
      </c>
      <c r="AH690" s="1">
        <v>112791</v>
      </c>
      <c r="AV690" s="116">
        <f t="shared" si="51"/>
        <v>1547547</v>
      </c>
      <c r="BC690" s="1">
        <v>35124</v>
      </c>
      <c r="BD690" s="1">
        <v>33405</v>
      </c>
      <c r="BE690" s="1">
        <v>8312</v>
      </c>
      <c r="BF690" s="121">
        <f t="shared" si="52"/>
        <v>76841</v>
      </c>
      <c r="CC690" s="125">
        <f t="shared" si="53"/>
        <v>0</v>
      </c>
      <c r="CK690" s="124">
        <f t="shared" si="54"/>
        <v>0</v>
      </c>
      <c r="CV690" s="129">
        <v>77341</v>
      </c>
    </row>
    <row r="691" spans="1:100">
      <c r="A691" s="1">
        <v>80</v>
      </c>
      <c r="B691" s="1">
        <v>7901</v>
      </c>
      <c r="C691" s="18" t="s">
        <v>673</v>
      </c>
      <c r="D691" s="19" t="s">
        <v>603</v>
      </c>
      <c r="E691" s="22"/>
      <c r="F691" s="19">
        <v>621</v>
      </c>
      <c r="G691" s="108">
        <v>867053</v>
      </c>
      <c r="H691" s="108">
        <v>62147</v>
      </c>
      <c r="O691" s="117">
        <f t="shared" si="50"/>
        <v>929200</v>
      </c>
      <c r="W691" s="1">
        <v>206107</v>
      </c>
      <c r="X691" s="1">
        <v>2336</v>
      </c>
      <c r="AF691" s="1">
        <v>5005974</v>
      </c>
      <c r="AH691" s="1">
        <v>201848</v>
      </c>
      <c r="AU691" s="1">
        <v>847</v>
      </c>
      <c r="AV691" s="116">
        <f t="shared" si="51"/>
        <v>5417112</v>
      </c>
      <c r="BC691" s="1">
        <v>566517</v>
      </c>
      <c r="BD691" s="1">
        <v>153456</v>
      </c>
      <c r="BE691" s="1">
        <v>103731</v>
      </c>
      <c r="BF691" s="121">
        <f t="shared" si="52"/>
        <v>823704</v>
      </c>
      <c r="CC691" s="125">
        <f t="shared" si="53"/>
        <v>0</v>
      </c>
      <c r="CK691" s="124">
        <f t="shared" si="54"/>
        <v>0</v>
      </c>
      <c r="CV691" s="129">
        <v>824551</v>
      </c>
    </row>
    <row r="692" spans="1:100">
      <c r="A692" s="1">
        <v>80</v>
      </c>
      <c r="B692" s="1">
        <v>8010</v>
      </c>
      <c r="C692" s="14" t="s">
        <v>659</v>
      </c>
      <c r="D692" s="15" t="s">
        <v>604</v>
      </c>
      <c r="E692" s="15"/>
      <c r="F692" s="21">
        <v>178</v>
      </c>
      <c r="G692" s="108">
        <v>366174</v>
      </c>
      <c r="H692" s="108">
        <v>92489</v>
      </c>
      <c r="O692" s="117">
        <f t="shared" si="50"/>
        <v>458663</v>
      </c>
      <c r="W692" s="1">
        <v>51318</v>
      </c>
      <c r="AF692" s="1">
        <v>1396588</v>
      </c>
      <c r="AH692" s="1">
        <v>48620</v>
      </c>
      <c r="AU692" s="1">
        <v>252002</v>
      </c>
      <c r="AV692" s="116">
        <f t="shared" si="51"/>
        <v>1748528</v>
      </c>
      <c r="AX692" s="1">
        <v>1349</v>
      </c>
      <c r="BC692" s="1">
        <v>133422</v>
      </c>
      <c r="BD692" s="1">
        <v>22860</v>
      </c>
      <c r="BE692" s="1">
        <v>3680</v>
      </c>
      <c r="BF692" s="121">
        <f t="shared" si="52"/>
        <v>161311</v>
      </c>
      <c r="CC692" s="125">
        <f t="shared" si="53"/>
        <v>0</v>
      </c>
      <c r="CK692" s="124">
        <f t="shared" si="54"/>
        <v>0</v>
      </c>
      <c r="CV692" s="129">
        <v>413313</v>
      </c>
    </row>
    <row r="693" spans="1:100">
      <c r="A693" s="1">
        <v>80</v>
      </c>
      <c r="B693" s="1">
        <v>8050</v>
      </c>
      <c r="C693" s="14" t="s">
        <v>606</v>
      </c>
      <c r="D693" s="15" t="s">
        <v>605</v>
      </c>
      <c r="E693" s="15"/>
      <c r="F693" s="15">
        <v>102</v>
      </c>
      <c r="G693" s="108">
        <v>756099</v>
      </c>
      <c r="H693" s="108">
        <v>12099</v>
      </c>
      <c r="L693" s="1">
        <v>40642</v>
      </c>
      <c r="O693" s="117">
        <f t="shared" si="50"/>
        <v>808840</v>
      </c>
      <c r="W693" s="1">
        <v>98441</v>
      </c>
      <c r="AF693" s="1">
        <v>386556</v>
      </c>
      <c r="AH693" s="1">
        <v>49971</v>
      </c>
      <c r="AU693" s="1">
        <v>526</v>
      </c>
      <c r="AV693" s="116">
        <f t="shared" si="51"/>
        <v>535494</v>
      </c>
      <c r="BD693" s="1">
        <v>18853</v>
      </c>
      <c r="BF693" s="121">
        <f t="shared" si="52"/>
        <v>18853</v>
      </c>
      <c r="CC693" s="125">
        <f t="shared" si="53"/>
        <v>0</v>
      </c>
      <c r="CK693" s="124">
        <f t="shared" si="54"/>
        <v>0</v>
      </c>
      <c r="CV693" s="129">
        <v>60021</v>
      </c>
    </row>
    <row r="694" spans="1:100">
      <c r="A694" s="1">
        <v>80</v>
      </c>
      <c r="B694" s="1">
        <v>8060</v>
      </c>
      <c r="C694" s="2" t="s">
        <v>657</v>
      </c>
      <c r="D694" s="7" t="s">
        <v>607</v>
      </c>
      <c r="E694" s="22"/>
      <c r="F694" s="7">
        <v>405</v>
      </c>
      <c r="G694" s="108">
        <v>1075653</v>
      </c>
      <c r="H694" s="108">
        <v>54107</v>
      </c>
      <c r="L694" s="1">
        <v>5167</v>
      </c>
      <c r="O694" s="117">
        <f t="shared" si="50"/>
        <v>1134927</v>
      </c>
      <c r="W694" s="1">
        <v>135570</v>
      </c>
      <c r="AF694" s="1">
        <v>2847849</v>
      </c>
      <c r="AH694" s="1">
        <v>158898</v>
      </c>
      <c r="AU694" s="1">
        <v>4851</v>
      </c>
      <c r="AV694" s="116">
        <f t="shared" si="51"/>
        <v>3147168</v>
      </c>
      <c r="BC694" s="1">
        <v>81743</v>
      </c>
      <c r="BD694" s="1">
        <v>54552</v>
      </c>
      <c r="BE694" s="1">
        <v>7370</v>
      </c>
      <c r="BF694" s="121">
        <f t="shared" si="52"/>
        <v>143665</v>
      </c>
      <c r="CC694" s="125">
        <f t="shared" si="53"/>
        <v>0</v>
      </c>
      <c r="CK694" s="124">
        <f t="shared" si="54"/>
        <v>0</v>
      </c>
      <c r="CV694" s="129">
        <v>153683</v>
      </c>
    </row>
    <row r="695" spans="1:100">
      <c r="A695" s="1">
        <v>80</v>
      </c>
      <c r="B695" s="1">
        <v>8065</v>
      </c>
      <c r="C695" s="16" t="s">
        <v>667</v>
      </c>
      <c r="D695" s="17" t="s">
        <v>608</v>
      </c>
      <c r="E695" s="22"/>
      <c r="F695" s="17">
        <v>114</v>
      </c>
      <c r="G695" s="108">
        <v>154971</v>
      </c>
      <c r="H695" s="108">
        <v>7333</v>
      </c>
      <c r="O695" s="117">
        <f t="shared" si="50"/>
        <v>162304</v>
      </c>
      <c r="W695" s="1">
        <v>10043</v>
      </c>
      <c r="X695" s="1">
        <v>1051</v>
      </c>
      <c r="AF695" s="1">
        <v>962386</v>
      </c>
      <c r="AH695" s="1">
        <v>21150</v>
      </c>
      <c r="AU695" s="1">
        <v>579216</v>
      </c>
      <c r="AV695" s="116">
        <f t="shared" si="51"/>
        <v>1573846</v>
      </c>
      <c r="BE695" s="1">
        <v>42522</v>
      </c>
      <c r="BF695" s="121">
        <f t="shared" si="52"/>
        <v>42522</v>
      </c>
      <c r="CC695" s="125">
        <f t="shared" si="53"/>
        <v>0</v>
      </c>
      <c r="CK695" s="124">
        <f t="shared" si="54"/>
        <v>0</v>
      </c>
      <c r="CV695" s="129">
        <v>621738</v>
      </c>
    </row>
    <row r="696" spans="1:100">
      <c r="A696" s="1">
        <v>80</v>
      </c>
      <c r="B696" s="1">
        <v>8140</v>
      </c>
      <c r="C696" s="18" t="s">
        <v>673</v>
      </c>
      <c r="D696" s="19" t="s">
        <v>609</v>
      </c>
      <c r="E696" s="22"/>
      <c r="F696" s="19">
        <v>355</v>
      </c>
      <c r="G696" s="108">
        <v>522148</v>
      </c>
      <c r="H696" s="108">
        <v>105218</v>
      </c>
      <c r="J696" s="1">
        <v>2298132</v>
      </c>
      <c r="L696" s="1">
        <v>10473</v>
      </c>
      <c r="O696" s="117">
        <f t="shared" si="50"/>
        <v>2935971</v>
      </c>
      <c r="W696" s="1">
        <v>42549</v>
      </c>
      <c r="AH696" s="1">
        <v>143801</v>
      </c>
      <c r="AI696" s="1">
        <v>687421</v>
      </c>
      <c r="AU696" s="1">
        <v>2829</v>
      </c>
      <c r="AV696" s="116">
        <f t="shared" si="51"/>
        <v>876600</v>
      </c>
      <c r="BC696" s="1">
        <v>245837</v>
      </c>
      <c r="BD696" s="1">
        <v>73568</v>
      </c>
      <c r="BE696" s="1">
        <v>61123</v>
      </c>
      <c r="BF696" s="121">
        <f t="shared" si="52"/>
        <v>380528</v>
      </c>
      <c r="CC696" s="125">
        <f t="shared" si="53"/>
        <v>0</v>
      </c>
      <c r="CK696" s="124">
        <f t="shared" si="54"/>
        <v>0</v>
      </c>
      <c r="CV696" s="129">
        <v>393830</v>
      </c>
    </row>
    <row r="697" spans="1:100" ht="25.5" customHeight="1">
      <c r="A697" s="2"/>
      <c r="B697" s="2"/>
      <c r="C697" s="2"/>
      <c r="D697" s="7"/>
      <c r="E697" s="22"/>
      <c r="F697" s="7"/>
      <c r="I697" s="2"/>
      <c r="J697" s="2"/>
      <c r="K697" s="2"/>
      <c r="L697" s="2"/>
      <c r="M697" s="2"/>
      <c r="N697" s="2"/>
      <c r="R697" s="2"/>
      <c r="T697" s="2"/>
      <c r="U697" s="2"/>
      <c r="V697" s="2"/>
      <c r="W697" s="2"/>
      <c r="X697" s="2"/>
      <c r="Z697" s="2"/>
      <c r="AA697" s="2"/>
      <c r="AB697" s="2"/>
      <c r="AC697" s="2"/>
      <c r="AD697" s="2"/>
      <c r="AE697" s="2"/>
      <c r="AF697" s="2"/>
      <c r="AG697" s="2"/>
      <c r="AH697" s="2"/>
      <c r="AI697" s="2"/>
      <c r="AJ697" s="2"/>
      <c r="AK697" s="2"/>
      <c r="AL697" s="2"/>
      <c r="AM697" s="2"/>
      <c r="AN697" s="2"/>
      <c r="AO697" s="2"/>
      <c r="AP697" s="2"/>
      <c r="AQ697" s="2"/>
      <c r="AR697" s="2"/>
      <c r="AS697" s="2"/>
      <c r="AT697" s="2"/>
      <c r="AU697" s="2"/>
      <c r="AW697" s="2"/>
      <c r="AX697" s="2"/>
      <c r="AY697" s="2"/>
      <c r="AZ697" s="2"/>
      <c r="BA697" s="2"/>
      <c r="BB697" s="2"/>
      <c r="BC697" s="2"/>
      <c r="BD697" s="2"/>
      <c r="BE697" s="2"/>
      <c r="BG697" s="2"/>
      <c r="BH697" s="2"/>
      <c r="BI697" s="2"/>
      <c r="BJ697" s="2"/>
      <c r="BK697" s="2"/>
      <c r="BL697" s="2"/>
      <c r="BM697" s="2"/>
      <c r="BN697" s="2"/>
      <c r="BO697" s="2"/>
      <c r="BP697" s="2"/>
      <c r="BR697" s="2"/>
      <c r="BS697" s="2"/>
      <c r="BT697" s="2"/>
      <c r="BU697" s="2"/>
      <c r="BV697" s="2"/>
      <c r="BW697" s="2"/>
      <c r="BX697" s="2"/>
      <c r="BY697" s="2"/>
      <c r="BZ697" s="2"/>
      <c r="CA697" s="2"/>
      <c r="CB697" s="2"/>
      <c r="CD697" s="2"/>
      <c r="CE697" s="2"/>
      <c r="CF697" s="2"/>
      <c r="CG697" s="2"/>
      <c r="CI697" s="2"/>
      <c r="CJ697" s="2"/>
    </row>
    <row r="698" spans="1:100">
      <c r="E698" s="22"/>
    </row>
    <row r="699" spans="1:100">
      <c r="C699" s="13" t="s">
        <v>504</v>
      </c>
      <c r="D699" s="13"/>
      <c r="E699" s="22"/>
      <c r="F699" s="13"/>
    </row>
    <row r="700" spans="1:100">
      <c r="C700" s="20" t="s">
        <v>503</v>
      </c>
      <c r="D700" s="20"/>
      <c r="E700" s="22"/>
      <c r="F700" s="20" t="s">
        <v>1942</v>
      </c>
    </row>
    <row r="701" spans="1:100">
      <c r="C701" t="s">
        <v>825</v>
      </c>
    </row>
  </sheetData>
  <phoneticPr fontId="2" type="noConversion"/>
  <pageMargins left="0.75" right="0.75" top="1" bottom="1" header="0.5" footer="0.5"/>
  <headerFooter alignWithMargins="0"/>
  <legacyDrawing r:id="rId1"/>
  <extLst>
    <ext xmlns:mx="http://schemas.microsoft.com/office/mac/excel/2008/main" uri="http://schemas.microsoft.com/office/mac/excel/2008/main">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673"/>
  <sheetViews>
    <sheetView topLeftCell="C1" workbookViewId="0">
      <selection activeCell="F14" sqref="F14"/>
    </sheetView>
  </sheetViews>
  <sheetFormatPr baseColWidth="10" defaultColWidth="8.7109375" defaultRowHeight="13"/>
  <cols>
    <col min="1" max="1" width="3.5703125" hidden="1" customWidth="1"/>
    <col min="2" max="2" width="4.7109375" customWidth="1"/>
    <col min="3" max="4" width="6.140625" customWidth="1"/>
    <col min="5" max="5" width="38" style="4" bestFit="1" customWidth="1"/>
    <col min="6" max="9" width="14.28515625" style="101" customWidth="1"/>
    <col min="10" max="10" width="11" style="26" bestFit="1" customWidth="1"/>
    <col min="11" max="11" width="10" style="26" bestFit="1" customWidth="1"/>
  </cols>
  <sheetData>
    <row r="1" spans="1:11">
      <c r="J1" s="26" t="s">
        <v>725</v>
      </c>
      <c r="K1" s="26" t="s">
        <v>725</v>
      </c>
    </row>
    <row r="2" spans="1:11">
      <c r="A2" s="1" t="s">
        <v>1628</v>
      </c>
      <c r="B2" s="1" t="s">
        <v>1629</v>
      </c>
      <c r="C2" s="1" t="s">
        <v>1761</v>
      </c>
      <c r="D2" s="1" t="s">
        <v>1762</v>
      </c>
      <c r="F2" s="101" t="s">
        <v>505</v>
      </c>
      <c r="G2" s="101" t="s">
        <v>505</v>
      </c>
      <c r="H2" s="101" t="s">
        <v>505</v>
      </c>
      <c r="I2" s="101" t="s">
        <v>505</v>
      </c>
      <c r="J2" s="79" t="s">
        <v>730</v>
      </c>
      <c r="K2" s="79" t="s">
        <v>619</v>
      </c>
    </row>
    <row r="3" spans="1:11">
      <c r="A3" s="1"/>
      <c r="B3" s="1"/>
      <c r="C3" s="1"/>
      <c r="D3" s="1"/>
      <c r="F3" s="102" t="s">
        <v>1203</v>
      </c>
      <c r="G3" s="102" t="s">
        <v>1204</v>
      </c>
      <c r="H3" s="102" t="s">
        <v>1205</v>
      </c>
      <c r="I3" s="102" t="s">
        <v>1022</v>
      </c>
      <c r="J3" s="80" t="s">
        <v>1686</v>
      </c>
      <c r="K3" s="80" t="s">
        <v>1719</v>
      </c>
    </row>
    <row r="4" spans="1:11" ht="12.75" customHeight="1">
      <c r="A4" s="1">
        <v>1</v>
      </c>
      <c r="B4" s="1">
        <v>10</v>
      </c>
      <c r="C4" s="1" t="s">
        <v>1768</v>
      </c>
      <c r="D4" s="1" t="s">
        <v>1769</v>
      </c>
      <c r="E4" t="s">
        <v>506</v>
      </c>
      <c r="F4" s="103"/>
      <c r="G4" s="103"/>
      <c r="H4" s="103"/>
      <c r="I4" s="103">
        <v>8</v>
      </c>
      <c r="J4" s="88"/>
      <c r="K4" s="88"/>
    </row>
    <row r="5" spans="1:11" ht="12.75" customHeight="1">
      <c r="A5" s="1">
        <v>1</v>
      </c>
      <c r="B5" s="1">
        <v>110</v>
      </c>
      <c r="C5" s="1" t="s">
        <v>1768</v>
      </c>
      <c r="D5" s="1" t="s">
        <v>1770</v>
      </c>
      <c r="E5" t="s">
        <v>507</v>
      </c>
      <c r="F5" s="103">
        <v>72</v>
      </c>
      <c r="G5" s="103"/>
      <c r="H5" s="103"/>
      <c r="I5" s="103">
        <v>28</v>
      </c>
      <c r="J5" s="156">
        <v>5952147</v>
      </c>
      <c r="K5" s="88"/>
    </row>
    <row r="6" spans="1:11" ht="12.75" customHeight="1">
      <c r="A6" s="1">
        <v>1</v>
      </c>
      <c r="B6" s="1">
        <v>120</v>
      </c>
      <c r="C6" s="1" t="s">
        <v>1768</v>
      </c>
      <c r="D6" s="1" t="s">
        <v>1771</v>
      </c>
      <c r="E6" t="s">
        <v>508</v>
      </c>
      <c r="F6" s="103"/>
      <c r="G6" s="103"/>
      <c r="H6" s="103"/>
      <c r="I6" s="103"/>
      <c r="J6" s="88"/>
      <c r="K6" s="88"/>
    </row>
    <row r="7" spans="1:11" ht="12.75" customHeight="1">
      <c r="A7" s="1">
        <v>1</v>
      </c>
      <c r="B7" s="1">
        <v>125</v>
      </c>
      <c r="C7" s="1" t="s">
        <v>1768</v>
      </c>
      <c r="D7" s="1" t="s">
        <v>1772</v>
      </c>
      <c r="E7" t="s">
        <v>509</v>
      </c>
      <c r="F7" s="103"/>
      <c r="G7" s="103"/>
      <c r="H7" s="103">
        <v>9</v>
      </c>
      <c r="I7" s="103"/>
      <c r="J7" s="88"/>
      <c r="K7" s="88"/>
    </row>
    <row r="8" spans="1:11" ht="12.75" customHeight="1">
      <c r="A8" s="1">
        <v>1</v>
      </c>
      <c r="B8" s="1">
        <v>570</v>
      </c>
      <c r="C8" s="1" t="s">
        <v>1768</v>
      </c>
      <c r="D8" s="1" t="s">
        <v>1773</v>
      </c>
      <c r="E8" t="s">
        <v>510</v>
      </c>
      <c r="F8" s="103"/>
      <c r="G8" s="103">
        <v>87</v>
      </c>
      <c r="H8" s="103">
        <v>3</v>
      </c>
      <c r="I8" s="103"/>
      <c r="J8" s="156">
        <v>605498</v>
      </c>
      <c r="K8" s="88"/>
    </row>
    <row r="9" spans="1:11" ht="12.75" customHeight="1">
      <c r="A9" s="1">
        <v>1</v>
      </c>
      <c r="B9" s="1">
        <v>590</v>
      </c>
      <c r="C9" s="1" t="s">
        <v>1768</v>
      </c>
      <c r="D9" s="1" t="s">
        <v>1774</v>
      </c>
      <c r="E9" t="s">
        <v>511</v>
      </c>
      <c r="F9" s="103"/>
      <c r="G9" s="103">
        <v>99</v>
      </c>
      <c r="H9" s="103"/>
      <c r="I9" s="103">
        <v>8</v>
      </c>
      <c r="J9" s="156">
        <v>1292661</v>
      </c>
      <c r="K9" s="88"/>
    </row>
    <row r="10" spans="1:11" ht="12.75" customHeight="1">
      <c r="A10" s="1">
        <v>1</v>
      </c>
      <c r="B10" s="1">
        <v>960</v>
      </c>
      <c r="C10" s="1" t="s">
        <v>1768</v>
      </c>
      <c r="D10" s="1" t="s">
        <v>1775</v>
      </c>
      <c r="E10"/>
      <c r="F10" s="103"/>
      <c r="G10" s="103"/>
      <c r="H10" s="103"/>
      <c r="I10" s="103"/>
      <c r="J10" s="88"/>
      <c r="K10" s="88"/>
    </row>
    <row r="11" spans="1:11" ht="12.75" customHeight="1">
      <c r="A11" s="1">
        <v>1</v>
      </c>
      <c r="B11" s="1">
        <v>1300</v>
      </c>
      <c r="C11" s="1" t="s">
        <v>1768</v>
      </c>
      <c r="D11" s="1" t="s">
        <v>1776</v>
      </c>
      <c r="E11" t="s">
        <v>512</v>
      </c>
      <c r="F11" s="103">
        <v>32</v>
      </c>
      <c r="G11" s="103"/>
      <c r="H11" s="103">
        <v>5</v>
      </c>
      <c r="I11" s="103"/>
      <c r="J11" s="156">
        <v>498381</v>
      </c>
      <c r="K11" s="88"/>
    </row>
    <row r="12" spans="1:11" ht="12.75" customHeight="1">
      <c r="A12" s="1">
        <v>1</v>
      </c>
      <c r="B12" s="1">
        <v>1310</v>
      </c>
      <c r="C12" s="1" t="s">
        <v>1768</v>
      </c>
      <c r="D12" s="1" t="s">
        <v>1777</v>
      </c>
      <c r="E12" t="s">
        <v>513</v>
      </c>
      <c r="F12" s="103"/>
      <c r="G12" s="103">
        <v>26</v>
      </c>
      <c r="H12" s="103"/>
      <c r="I12" s="103">
        <v>60</v>
      </c>
      <c r="J12" s="88"/>
      <c r="K12" s="88"/>
    </row>
    <row r="13" spans="1:11" ht="12.75" customHeight="1">
      <c r="A13" s="1">
        <v>1</v>
      </c>
      <c r="B13" s="1">
        <v>1410</v>
      </c>
      <c r="C13" s="1" t="s">
        <v>1768</v>
      </c>
      <c r="D13" s="1" t="s">
        <v>1778</v>
      </c>
      <c r="E13" t="s">
        <v>514</v>
      </c>
      <c r="F13" s="103"/>
      <c r="G13" s="103"/>
      <c r="H13" s="103"/>
      <c r="I13" s="103"/>
      <c r="J13" s="88"/>
      <c r="K13" s="88"/>
    </row>
    <row r="14" spans="1:11" ht="12.75" customHeight="1">
      <c r="A14" s="1">
        <v>1</v>
      </c>
      <c r="B14" s="1">
        <v>1540</v>
      </c>
      <c r="C14" s="1" t="s">
        <v>1768</v>
      </c>
      <c r="D14" s="1" t="s">
        <v>1779</v>
      </c>
      <c r="E14" t="s">
        <v>515</v>
      </c>
      <c r="F14" s="103"/>
      <c r="G14" s="103">
        <v>13</v>
      </c>
      <c r="H14" s="103"/>
      <c r="I14" s="103"/>
      <c r="J14" s="156">
        <v>128018</v>
      </c>
      <c r="K14" s="88"/>
    </row>
    <row r="15" spans="1:11" ht="12.75" customHeight="1">
      <c r="A15" s="1">
        <v>1</v>
      </c>
      <c r="B15" s="1">
        <v>1690</v>
      </c>
      <c r="C15" s="1" t="s">
        <v>1768</v>
      </c>
      <c r="D15" s="1" t="s">
        <v>1780</v>
      </c>
      <c r="E15" t="s">
        <v>516</v>
      </c>
      <c r="F15" s="103"/>
      <c r="G15" s="103">
        <v>39</v>
      </c>
      <c r="H15" s="103"/>
      <c r="I15" s="103">
        <v>35</v>
      </c>
      <c r="J15" s="88"/>
      <c r="K15" s="88"/>
    </row>
    <row r="16" spans="1:11" ht="12.75" customHeight="1">
      <c r="A16" s="1">
        <v>1</v>
      </c>
      <c r="B16" s="1">
        <v>1790</v>
      </c>
      <c r="C16" s="1" t="s">
        <v>1768</v>
      </c>
      <c r="D16" s="1" t="s">
        <v>1781</v>
      </c>
      <c r="E16" t="s">
        <v>517</v>
      </c>
      <c r="F16" s="103"/>
      <c r="G16" s="103"/>
      <c r="H16" s="103"/>
      <c r="I16" s="103"/>
      <c r="J16" s="88"/>
      <c r="K16" s="88"/>
    </row>
    <row r="17" spans="1:11" ht="12.75" customHeight="1">
      <c r="A17" s="1">
        <v>1</v>
      </c>
      <c r="B17" s="1">
        <v>1940</v>
      </c>
      <c r="C17" s="1" t="s">
        <v>1768</v>
      </c>
      <c r="D17" s="1" t="s">
        <v>1782</v>
      </c>
      <c r="E17" t="s">
        <v>518</v>
      </c>
      <c r="F17" s="103"/>
      <c r="G17" s="103">
        <v>204</v>
      </c>
      <c r="H17" s="103"/>
      <c r="I17" s="103">
        <v>22</v>
      </c>
      <c r="J17" s="156">
        <v>1427282</v>
      </c>
      <c r="K17" s="88"/>
    </row>
    <row r="18" spans="1:11" ht="12.75" customHeight="1">
      <c r="A18" s="1">
        <v>1</v>
      </c>
      <c r="B18" s="1">
        <v>1960</v>
      </c>
      <c r="C18" s="1" t="s">
        <v>1768</v>
      </c>
      <c r="D18" s="1" t="s">
        <v>1783</v>
      </c>
      <c r="E18" t="s">
        <v>519</v>
      </c>
      <c r="F18" s="103"/>
      <c r="G18" s="103">
        <v>114</v>
      </c>
      <c r="H18" s="103"/>
      <c r="I18" s="103">
        <v>12</v>
      </c>
      <c r="J18" s="156">
        <v>1265056</v>
      </c>
      <c r="K18" s="88"/>
    </row>
    <row r="19" spans="1:11" ht="12.75" customHeight="1">
      <c r="A19" s="1">
        <v>1</v>
      </c>
      <c r="B19" s="1">
        <v>2680</v>
      </c>
      <c r="C19" s="1" t="s">
        <v>1768</v>
      </c>
      <c r="D19" s="1" t="s">
        <v>1533</v>
      </c>
      <c r="E19" t="s">
        <v>520</v>
      </c>
      <c r="F19" s="103">
        <v>1</v>
      </c>
      <c r="G19" s="103">
        <v>15</v>
      </c>
      <c r="H19" s="103">
        <v>5</v>
      </c>
      <c r="I19" s="103">
        <v>10</v>
      </c>
      <c r="J19" s="88"/>
      <c r="K19" s="88"/>
    </row>
    <row r="20" spans="1:11" ht="12.75" customHeight="1">
      <c r="A20" s="1">
        <v>1</v>
      </c>
      <c r="B20" s="1">
        <v>2780</v>
      </c>
      <c r="C20" s="1" t="s">
        <v>1768</v>
      </c>
      <c r="D20" s="1" t="s">
        <v>1534</v>
      </c>
      <c r="E20"/>
      <c r="F20" s="103"/>
      <c r="G20" s="103"/>
      <c r="H20" s="103"/>
      <c r="I20" s="103"/>
      <c r="J20" s="88"/>
      <c r="K20" s="88"/>
    </row>
    <row r="21" spans="1:11" ht="12.75" customHeight="1">
      <c r="A21" s="1">
        <v>1</v>
      </c>
      <c r="B21" s="1">
        <v>2910</v>
      </c>
      <c r="C21" s="1" t="s">
        <v>1768</v>
      </c>
      <c r="D21" s="1" t="s">
        <v>1535</v>
      </c>
      <c r="E21" t="s">
        <v>521</v>
      </c>
      <c r="F21" s="103"/>
      <c r="G21" s="103"/>
      <c r="H21" s="103"/>
      <c r="I21" s="103"/>
      <c r="J21" s="88"/>
      <c r="K21" s="88"/>
    </row>
    <row r="22" spans="1:11" ht="12.75" customHeight="1">
      <c r="A22" s="1">
        <v>1</v>
      </c>
      <c r="B22" s="1">
        <v>3020</v>
      </c>
      <c r="C22" s="1" t="s">
        <v>1768</v>
      </c>
      <c r="D22" s="1" t="s">
        <v>1536</v>
      </c>
      <c r="E22" t="s">
        <v>522</v>
      </c>
      <c r="F22" s="103"/>
      <c r="G22" s="103">
        <v>58</v>
      </c>
      <c r="H22" s="103"/>
      <c r="I22" s="103"/>
      <c r="J22" s="88"/>
      <c r="K22" s="88"/>
    </row>
    <row r="23" spans="1:11" ht="12.75" customHeight="1">
      <c r="A23" s="1">
        <v>1</v>
      </c>
      <c r="B23" s="1">
        <v>3480</v>
      </c>
      <c r="C23" s="1" t="s">
        <v>1768</v>
      </c>
      <c r="D23" s="1" t="s">
        <v>1537</v>
      </c>
      <c r="E23" t="s">
        <v>531</v>
      </c>
      <c r="F23" s="103"/>
      <c r="G23" s="103">
        <v>54</v>
      </c>
      <c r="H23" s="103"/>
      <c r="I23" s="103"/>
      <c r="J23" s="156">
        <v>418670</v>
      </c>
      <c r="K23" s="88"/>
    </row>
    <row r="24" spans="1:11" ht="12.75" customHeight="1">
      <c r="A24" s="1">
        <v>1</v>
      </c>
      <c r="B24" s="1">
        <v>3720</v>
      </c>
      <c r="C24" s="1" t="s">
        <v>1768</v>
      </c>
      <c r="D24" s="1" t="s">
        <v>1538</v>
      </c>
      <c r="E24" t="s">
        <v>532</v>
      </c>
      <c r="F24" s="103"/>
      <c r="G24" s="103"/>
      <c r="H24" s="103"/>
      <c r="I24" s="103">
        <v>11</v>
      </c>
      <c r="J24" s="88"/>
      <c r="K24" s="88"/>
    </row>
    <row r="25" spans="1:11" ht="12.75" customHeight="1">
      <c r="A25" s="1">
        <v>1</v>
      </c>
      <c r="B25" s="1">
        <v>4180</v>
      </c>
      <c r="C25" s="1" t="s">
        <v>1768</v>
      </c>
      <c r="D25" s="1" t="s">
        <v>1539</v>
      </c>
      <c r="E25" t="s">
        <v>533</v>
      </c>
      <c r="F25" s="103">
        <v>243</v>
      </c>
      <c r="G25" s="103"/>
      <c r="H25" s="103">
        <v>1</v>
      </c>
      <c r="I25" s="103"/>
      <c r="J25" s="156">
        <v>3469509</v>
      </c>
      <c r="K25" s="156">
        <v>1856644</v>
      </c>
    </row>
    <row r="26" spans="1:11" ht="12.75" customHeight="1">
      <c r="A26" s="1">
        <v>1</v>
      </c>
      <c r="B26" s="1">
        <v>4240</v>
      </c>
      <c r="C26" s="1" t="s">
        <v>1768</v>
      </c>
      <c r="D26" s="1" t="s">
        <v>1540</v>
      </c>
      <c r="E26" t="s">
        <v>534</v>
      </c>
      <c r="F26" s="103"/>
      <c r="G26" s="103"/>
      <c r="H26" s="103"/>
      <c r="I26" s="103"/>
      <c r="J26" s="88"/>
      <c r="K26" s="88"/>
    </row>
    <row r="27" spans="1:11" ht="12.75" customHeight="1">
      <c r="A27" s="1">
        <v>1</v>
      </c>
      <c r="B27" s="1">
        <v>4800</v>
      </c>
      <c r="C27" s="1" t="s">
        <v>1768</v>
      </c>
      <c r="D27" s="1" t="s">
        <v>1541</v>
      </c>
      <c r="E27" t="s">
        <v>535</v>
      </c>
      <c r="F27" s="103"/>
      <c r="G27" s="103">
        <v>52</v>
      </c>
      <c r="H27" s="103"/>
      <c r="I27" s="103">
        <v>11</v>
      </c>
      <c r="J27" s="156">
        <v>588316</v>
      </c>
      <c r="K27" s="88"/>
    </row>
    <row r="28" spans="1:11" ht="12.75" customHeight="1">
      <c r="A28" s="1">
        <v>1</v>
      </c>
      <c r="B28" s="1">
        <v>5350</v>
      </c>
      <c r="C28" s="1" t="s">
        <v>1768</v>
      </c>
      <c r="D28" s="1" t="s">
        <v>1542</v>
      </c>
      <c r="E28" t="s">
        <v>536</v>
      </c>
      <c r="F28" s="103"/>
      <c r="G28" s="103">
        <v>58</v>
      </c>
      <c r="H28" s="103"/>
      <c r="I28" s="103"/>
      <c r="J28" s="156">
        <v>553471</v>
      </c>
      <c r="K28" s="88"/>
    </row>
    <row r="29" spans="1:11" ht="12.75" customHeight="1">
      <c r="A29" s="1">
        <v>1</v>
      </c>
      <c r="B29" s="1">
        <v>5760</v>
      </c>
      <c r="C29" s="1" t="s">
        <v>1768</v>
      </c>
      <c r="D29" s="1" t="s">
        <v>1543</v>
      </c>
      <c r="E29" t="s">
        <v>537</v>
      </c>
      <c r="F29" s="103"/>
      <c r="G29" s="103">
        <v>11</v>
      </c>
      <c r="H29" s="103"/>
      <c r="I29" s="103"/>
      <c r="J29" s="156">
        <v>106502</v>
      </c>
      <c r="K29" s="88"/>
    </row>
    <row r="30" spans="1:11" ht="12.75" customHeight="1">
      <c r="A30" s="1">
        <v>3</v>
      </c>
      <c r="B30" s="1">
        <v>40</v>
      </c>
      <c r="C30" s="1" t="s">
        <v>1544</v>
      </c>
      <c r="D30" s="1" t="s">
        <v>1545</v>
      </c>
      <c r="E30" t="s">
        <v>538</v>
      </c>
      <c r="F30" s="103"/>
      <c r="G30" s="103"/>
      <c r="H30" s="103"/>
      <c r="I30" s="103">
        <v>5</v>
      </c>
      <c r="J30" s="88"/>
      <c r="K30" s="88"/>
    </row>
    <row r="31" spans="1:11" ht="12.75" customHeight="1">
      <c r="A31" s="1">
        <v>3</v>
      </c>
      <c r="B31" s="1">
        <v>80</v>
      </c>
      <c r="C31" s="1" t="s">
        <v>1544</v>
      </c>
      <c r="D31" s="1" t="s">
        <v>1546</v>
      </c>
      <c r="E31" t="s">
        <v>539</v>
      </c>
      <c r="F31" s="103"/>
      <c r="G31" s="103"/>
      <c r="H31" s="103"/>
      <c r="I31" s="103"/>
      <c r="J31" s="88"/>
      <c r="K31" s="88"/>
    </row>
    <row r="32" spans="1:11" ht="12.75" customHeight="1">
      <c r="A32" s="1">
        <v>3</v>
      </c>
      <c r="B32" s="1">
        <v>285</v>
      </c>
      <c r="C32" s="1" t="s">
        <v>1544</v>
      </c>
      <c r="D32" s="1" t="s">
        <v>1547</v>
      </c>
      <c r="E32" t="s">
        <v>540</v>
      </c>
      <c r="F32" s="103"/>
      <c r="G32" s="103"/>
      <c r="H32" s="103">
        <v>75</v>
      </c>
      <c r="I32" s="103"/>
      <c r="J32" s="88"/>
      <c r="K32" s="88"/>
    </row>
    <row r="33" spans="1:11" ht="12.75" customHeight="1">
      <c r="A33" s="1">
        <v>3</v>
      </c>
      <c r="B33" s="1">
        <v>290</v>
      </c>
      <c r="C33" s="1" t="s">
        <v>1544</v>
      </c>
      <c r="D33" s="1" t="s">
        <v>1548</v>
      </c>
      <c r="E33" t="s">
        <v>541</v>
      </c>
      <c r="F33" s="103"/>
      <c r="G33" s="103"/>
      <c r="H33" s="103"/>
      <c r="I33" s="103"/>
      <c r="J33" s="88"/>
      <c r="K33" s="88"/>
    </row>
    <row r="34" spans="1:11" ht="12.75" customHeight="1">
      <c r="A34" s="1">
        <v>3</v>
      </c>
      <c r="B34" s="1">
        <v>300</v>
      </c>
      <c r="C34" s="1" t="s">
        <v>1544</v>
      </c>
      <c r="D34" s="1" t="s">
        <v>1549</v>
      </c>
      <c r="E34" t="s">
        <v>542</v>
      </c>
      <c r="F34" s="103"/>
      <c r="G34" s="103"/>
      <c r="H34" s="103"/>
      <c r="I34" s="103">
        <v>27</v>
      </c>
      <c r="J34" s="88"/>
      <c r="K34" s="88"/>
    </row>
    <row r="35" spans="1:11" ht="12.75" customHeight="1">
      <c r="A35" s="1">
        <v>3</v>
      </c>
      <c r="B35" s="1">
        <v>440</v>
      </c>
      <c r="C35" s="1" t="s">
        <v>1544</v>
      </c>
      <c r="D35" s="1" t="s">
        <v>1550</v>
      </c>
      <c r="E35" t="s">
        <v>543</v>
      </c>
      <c r="F35" s="103"/>
      <c r="G35" s="103">
        <v>21</v>
      </c>
      <c r="H35" s="103">
        <v>5</v>
      </c>
      <c r="I35" s="103"/>
      <c r="J35" s="88"/>
      <c r="K35" s="88"/>
    </row>
    <row r="36" spans="1:11" ht="12.75" customHeight="1">
      <c r="A36" s="1">
        <v>3</v>
      </c>
      <c r="B36" s="1">
        <v>740</v>
      </c>
      <c r="C36" s="1" t="s">
        <v>1544</v>
      </c>
      <c r="D36" s="1" t="s">
        <v>1551</v>
      </c>
      <c r="E36" t="s">
        <v>544</v>
      </c>
      <c r="F36" s="103"/>
      <c r="G36" s="103">
        <v>49</v>
      </c>
      <c r="H36" s="103"/>
      <c r="I36" s="103"/>
      <c r="J36" s="88"/>
      <c r="K36" s="88"/>
    </row>
    <row r="37" spans="1:11" ht="12.75" customHeight="1">
      <c r="A37" s="1">
        <v>3</v>
      </c>
      <c r="B37" s="1">
        <v>745</v>
      </c>
      <c r="C37" s="1" t="s">
        <v>1544</v>
      </c>
      <c r="D37" s="1" t="s">
        <v>1552</v>
      </c>
      <c r="E37" t="s">
        <v>545</v>
      </c>
      <c r="F37" s="103"/>
      <c r="G37" s="103"/>
      <c r="H37" s="103"/>
      <c r="I37" s="103"/>
      <c r="J37" s="88"/>
      <c r="K37" s="88"/>
    </row>
    <row r="38" spans="1:11" ht="12.75" customHeight="1">
      <c r="A38" s="1">
        <v>3</v>
      </c>
      <c r="B38" s="1">
        <v>890</v>
      </c>
      <c r="C38" s="1" t="s">
        <v>1544</v>
      </c>
      <c r="D38" s="1" t="s">
        <v>1553</v>
      </c>
      <c r="E38" t="s">
        <v>546</v>
      </c>
      <c r="F38" s="103">
        <v>132</v>
      </c>
      <c r="G38" s="103"/>
      <c r="H38" s="103">
        <v>27</v>
      </c>
      <c r="I38" s="103"/>
      <c r="J38" s="156">
        <v>1226989</v>
      </c>
      <c r="K38" s="88"/>
    </row>
    <row r="39" spans="1:11" ht="12.75" customHeight="1">
      <c r="A39" s="1">
        <v>3</v>
      </c>
      <c r="B39" s="1">
        <v>930</v>
      </c>
      <c r="C39" s="1" t="s">
        <v>1544</v>
      </c>
      <c r="D39" s="1" t="s">
        <v>1554</v>
      </c>
      <c r="E39" t="s">
        <v>547</v>
      </c>
      <c r="F39" s="103"/>
      <c r="G39" s="103"/>
      <c r="H39" s="103"/>
      <c r="I39" s="103"/>
      <c r="J39" s="88"/>
      <c r="K39" s="88"/>
    </row>
    <row r="40" spans="1:11" ht="12.75" customHeight="1">
      <c r="A40" s="1">
        <v>3</v>
      </c>
      <c r="B40" s="1">
        <v>990</v>
      </c>
      <c r="C40" s="1" t="s">
        <v>1544</v>
      </c>
      <c r="D40" s="1" t="s">
        <v>1555</v>
      </c>
      <c r="E40" t="s">
        <v>549</v>
      </c>
      <c r="F40" s="103"/>
      <c r="G40" s="103"/>
      <c r="H40" s="103"/>
      <c r="I40" s="103"/>
      <c r="J40" s="88"/>
      <c r="K40" s="88"/>
    </row>
    <row r="41" spans="1:11" ht="12.75" customHeight="1">
      <c r="A41" s="1">
        <v>3</v>
      </c>
      <c r="B41" s="1">
        <v>1070</v>
      </c>
      <c r="C41" s="1" t="s">
        <v>1544</v>
      </c>
      <c r="D41" s="1" t="s">
        <v>1556</v>
      </c>
      <c r="E41" t="s">
        <v>550</v>
      </c>
      <c r="F41" s="103"/>
      <c r="G41" s="103"/>
      <c r="H41" s="103"/>
      <c r="I41" s="103"/>
      <c r="J41" s="88"/>
      <c r="K41" s="88"/>
    </row>
    <row r="42" spans="1:11" ht="12.75" customHeight="1">
      <c r="A42" s="1">
        <v>3</v>
      </c>
      <c r="B42" s="1">
        <v>1130</v>
      </c>
      <c r="C42" s="1" t="s">
        <v>1544</v>
      </c>
      <c r="D42" s="1" t="s">
        <v>1557</v>
      </c>
      <c r="E42" t="s">
        <v>551</v>
      </c>
      <c r="F42" s="103"/>
      <c r="G42" s="103"/>
      <c r="H42" s="103"/>
      <c r="I42" s="103">
        <v>17</v>
      </c>
      <c r="J42" s="88"/>
      <c r="K42" s="88"/>
    </row>
    <row r="43" spans="1:11" ht="12.75" customHeight="1">
      <c r="A43" s="1">
        <v>3</v>
      </c>
      <c r="B43" s="1">
        <v>1230</v>
      </c>
      <c r="C43" s="1" t="s">
        <v>1544</v>
      </c>
      <c r="D43" s="1" t="s">
        <v>1558</v>
      </c>
      <c r="E43" t="s">
        <v>552</v>
      </c>
      <c r="F43" s="103"/>
      <c r="G43" s="103">
        <v>30</v>
      </c>
      <c r="H43" s="103"/>
      <c r="I43" s="103">
        <v>2</v>
      </c>
      <c r="J43" s="88"/>
      <c r="K43" s="88"/>
    </row>
    <row r="44" spans="1:11" ht="12.75" customHeight="1">
      <c r="A44" s="1">
        <v>3</v>
      </c>
      <c r="B44" s="1">
        <v>1270</v>
      </c>
      <c r="C44" s="1" t="s">
        <v>1544</v>
      </c>
      <c r="D44" s="1" t="s">
        <v>1559</v>
      </c>
      <c r="E44" t="s">
        <v>553</v>
      </c>
      <c r="F44" s="103"/>
      <c r="G44" s="103">
        <v>32</v>
      </c>
      <c r="H44" s="103"/>
      <c r="I44" s="103"/>
      <c r="J44" s="156">
        <v>158498</v>
      </c>
      <c r="K44" s="88"/>
    </row>
    <row r="45" spans="1:11" ht="12.75" customHeight="1">
      <c r="A45" s="1">
        <v>3</v>
      </c>
      <c r="B45" s="1">
        <v>1345</v>
      </c>
      <c r="C45" s="1" t="s">
        <v>1544</v>
      </c>
      <c r="D45" s="1" t="s">
        <v>1560</v>
      </c>
      <c r="E45" t="s">
        <v>554</v>
      </c>
      <c r="F45" s="103"/>
      <c r="G45" s="103"/>
      <c r="H45" s="103"/>
      <c r="I45" s="103"/>
      <c r="J45" s="88"/>
      <c r="K45" s="88"/>
    </row>
    <row r="46" spans="1:11" ht="12.75" customHeight="1">
      <c r="A46" s="1">
        <v>3</v>
      </c>
      <c r="B46" s="1">
        <v>1360</v>
      </c>
      <c r="C46" s="1" t="s">
        <v>1544</v>
      </c>
      <c r="D46" s="1" t="s">
        <v>1561</v>
      </c>
      <c r="E46" t="s">
        <v>555</v>
      </c>
      <c r="F46" s="103"/>
      <c r="G46" s="103">
        <v>69</v>
      </c>
      <c r="H46" s="103">
        <v>2</v>
      </c>
      <c r="I46" s="103">
        <v>9</v>
      </c>
      <c r="J46" s="88"/>
      <c r="K46" s="88"/>
    </row>
    <row r="47" spans="1:11" ht="12.75" customHeight="1">
      <c r="A47" s="1">
        <v>3</v>
      </c>
      <c r="B47" s="1">
        <v>1370</v>
      </c>
      <c r="C47" s="1" t="s">
        <v>1544</v>
      </c>
      <c r="D47" s="1" t="s">
        <v>1562</v>
      </c>
      <c r="E47" t="s">
        <v>556</v>
      </c>
      <c r="F47" s="103">
        <v>124</v>
      </c>
      <c r="G47" s="103"/>
      <c r="H47" s="103">
        <v>18</v>
      </c>
      <c r="I47" s="103"/>
      <c r="J47" s="156">
        <v>2167999</v>
      </c>
      <c r="K47" s="88"/>
    </row>
    <row r="48" spans="1:11" ht="12.75" customHeight="1">
      <c r="A48" s="1">
        <v>3</v>
      </c>
      <c r="B48" s="1">
        <v>1380</v>
      </c>
      <c r="C48" s="1" t="s">
        <v>1544</v>
      </c>
      <c r="D48" s="1" t="s">
        <v>1563</v>
      </c>
      <c r="E48" t="s">
        <v>557</v>
      </c>
      <c r="F48" s="103"/>
      <c r="G48" s="103">
        <v>14</v>
      </c>
      <c r="H48" s="103"/>
      <c r="I48" s="103"/>
      <c r="J48" s="88"/>
      <c r="K48" s="88"/>
    </row>
    <row r="49" spans="1:11" ht="12.75" customHeight="1">
      <c r="A49" s="1">
        <v>3</v>
      </c>
      <c r="B49" s="1">
        <v>1450</v>
      </c>
      <c r="C49" s="1" t="s">
        <v>1544</v>
      </c>
      <c r="D49" s="1" t="s">
        <v>1564</v>
      </c>
      <c r="E49" t="s">
        <v>558</v>
      </c>
      <c r="F49" s="103"/>
      <c r="G49" s="103"/>
      <c r="H49" s="103">
        <v>13</v>
      </c>
      <c r="I49" s="103">
        <v>36</v>
      </c>
      <c r="J49" s="88"/>
      <c r="K49" s="88"/>
    </row>
    <row r="50" spans="1:11" ht="12.75" customHeight="1">
      <c r="A50" s="1">
        <v>3</v>
      </c>
      <c r="B50" s="1">
        <v>1470</v>
      </c>
      <c r="C50" s="1" t="s">
        <v>1544</v>
      </c>
      <c r="D50" s="1" t="s">
        <v>1565</v>
      </c>
      <c r="E50" t="s">
        <v>448</v>
      </c>
      <c r="F50" s="103"/>
      <c r="G50" s="103">
        <v>47</v>
      </c>
      <c r="H50" s="103"/>
      <c r="I50" s="103"/>
      <c r="J50" s="156">
        <v>476213</v>
      </c>
      <c r="K50" s="88"/>
    </row>
    <row r="51" spans="1:11" ht="12.75" customHeight="1">
      <c r="A51" s="1">
        <v>3</v>
      </c>
      <c r="B51" s="1">
        <v>1550</v>
      </c>
      <c r="C51" s="1" t="s">
        <v>1544</v>
      </c>
      <c r="D51" s="1" t="s">
        <v>1566</v>
      </c>
      <c r="E51" t="s">
        <v>449</v>
      </c>
      <c r="F51" s="103"/>
      <c r="G51" s="103"/>
      <c r="H51" s="103"/>
      <c r="I51" s="103"/>
      <c r="J51" s="88"/>
      <c r="K51" s="88"/>
    </row>
    <row r="52" spans="1:11" ht="12.75" customHeight="1">
      <c r="A52" s="1">
        <v>3</v>
      </c>
      <c r="B52" s="1">
        <v>1580</v>
      </c>
      <c r="C52" s="1" t="s">
        <v>1544</v>
      </c>
      <c r="D52" s="1" t="s">
        <v>1567</v>
      </c>
      <c r="E52" t="s">
        <v>450</v>
      </c>
      <c r="F52" s="103">
        <v>17</v>
      </c>
      <c r="G52" s="103">
        <v>1</v>
      </c>
      <c r="H52" s="103">
        <v>13</v>
      </c>
      <c r="I52" s="103">
        <v>16</v>
      </c>
      <c r="J52" s="88"/>
      <c r="K52" s="88"/>
    </row>
    <row r="53" spans="1:11" ht="12.75" customHeight="1">
      <c r="A53" s="1">
        <v>3</v>
      </c>
      <c r="B53" s="1">
        <v>1700</v>
      </c>
      <c r="C53" s="1" t="s">
        <v>1544</v>
      </c>
      <c r="D53" s="1" t="s">
        <v>1568</v>
      </c>
      <c r="E53" t="s">
        <v>451</v>
      </c>
      <c r="F53" s="103">
        <v>499</v>
      </c>
      <c r="G53" s="103"/>
      <c r="H53" s="103">
        <v>1</v>
      </c>
      <c r="I53" s="103"/>
      <c r="J53" s="156">
        <v>2095651</v>
      </c>
      <c r="K53" s="156">
        <v>2905294</v>
      </c>
    </row>
    <row r="54" spans="1:11" ht="12.75" customHeight="1">
      <c r="A54" s="1">
        <v>3</v>
      </c>
      <c r="B54" s="1">
        <v>1760</v>
      </c>
      <c r="C54" s="1" t="s">
        <v>1544</v>
      </c>
      <c r="D54" s="1" t="s">
        <v>1569</v>
      </c>
      <c r="E54" t="s">
        <v>452</v>
      </c>
      <c r="F54" s="103"/>
      <c r="G54" s="103"/>
      <c r="H54" s="103"/>
      <c r="I54" s="103">
        <v>8</v>
      </c>
      <c r="J54" s="88"/>
      <c r="K54" s="88"/>
    </row>
    <row r="55" spans="1:11" ht="12.75" customHeight="1">
      <c r="A55" s="1">
        <v>3</v>
      </c>
      <c r="B55" s="1">
        <v>1860</v>
      </c>
      <c r="C55" s="1" t="s">
        <v>1544</v>
      </c>
      <c r="D55" s="1" t="s">
        <v>1570</v>
      </c>
      <c r="E55" t="s">
        <v>453</v>
      </c>
      <c r="F55" s="103"/>
      <c r="G55" s="103">
        <v>159</v>
      </c>
      <c r="H55" s="103"/>
      <c r="I55" s="103"/>
      <c r="J55" s="156">
        <v>2435922</v>
      </c>
      <c r="K55" s="88"/>
    </row>
    <row r="56" spans="1:11" ht="12.75" customHeight="1">
      <c r="A56" s="1">
        <v>3</v>
      </c>
      <c r="B56" s="1">
        <v>2050</v>
      </c>
      <c r="C56" s="1" t="s">
        <v>1544</v>
      </c>
      <c r="D56" s="1" t="s">
        <v>1571</v>
      </c>
      <c r="E56" t="s">
        <v>454</v>
      </c>
      <c r="F56" s="103"/>
      <c r="G56" s="103"/>
      <c r="H56" s="103"/>
      <c r="I56" s="103"/>
      <c r="J56" s="88"/>
      <c r="K56" s="88"/>
    </row>
    <row r="57" spans="1:11" ht="12.75" customHeight="1">
      <c r="A57" s="1">
        <v>3</v>
      </c>
      <c r="B57" s="1">
        <v>2080</v>
      </c>
      <c r="C57" s="1" t="s">
        <v>1544</v>
      </c>
      <c r="D57" s="1" t="s">
        <v>1572</v>
      </c>
      <c r="E57" t="s">
        <v>455</v>
      </c>
      <c r="F57" s="103">
        <v>1</v>
      </c>
      <c r="G57" s="103"/>
      <c r="H57" s="103">
        <v>11</v>
      </c>
      <c r="I57" s="103"/>
      <c r="J57" s="88"/>
      <c r="K57" s="88"/>
    </row>
    <row r="58" spans="1:11" ht="12.75" customHeight="1">
      <c r="A58" s="1">
        <v>3</v>
      </c>
      <c r="B58" s="1">
        <v>2090</v>
      </c>
      <c r="C58" s="1" t="s">
        <v>1544</v>
      </c>
      <c r="D58" s="1" t="s">
        <v>1573</v>
      </c>
      <c r="E58" t="s">
        <v>456</v>
      </c>
      <c r="F58" s="103"/>
      <c r="G58" s="103"/>
      <c r="H58" s="103"/>
      <c r="I58" s="103"/>
      <c r="J58" s="88"/>
      <c r="K58" s="88"/>
    </row>
    <row r="59" spans="1:11" ht="12.75" customHeight="1">
      <c r="A59" s="1">
        <v>3</v>
      </c>
      <c r="B59" s="1">
        <v>2180</v>
      </c>
      <c r="C59" s="1" t="s">
        <v>1544</v>
      </c>
      <c r="D59" s="1" t="s">
        <v>1574</v>
      </c>
      <c r="E59" t="s">
        <v>457</v>
      </c>
      <c r="F59" s="103"/>
      <c r="G59" s="103">
        <v>8</v>
      </c>
      <c r="H59" s="103"/>
      <c r="I59" s="103">
        <v>18</v>
      </c>
      <c r="J59" s="88"/>
      <c r="K59" s="88"/>
    </row>
    <row r="60" spans="1:11" ht="12.75" customHeight="1">
      <c r="A60" s="1">
        <v>3</v>
      </c>
      <c r="B60" s="1">
        <v>2200</v>
      </c>
      <c r="C60" s="1" t="s">
        <v>1544</v>
      </c>
      <c r="D60" s="1" t="s">
        <v>1575</v>
      </c>
      <c r="E60" t="s">
        <v>458</v>
      </c>
      <c r="F60" s="103"/>
      <c r="G60" s="103">
        <v>13</v>
      </c>
      <c r="H60" s="103"/>
      <c r="I60" s="103">
        <v>3</v>
      </c>
      <c r="J60" s="88"/>
      <c r="K60" s="88"/>
    </row>
    <row r="61" spans="1:11" ht="12.75" customHeight="1">
      <c r="A61" s="1">
        <v>3</v>
      </c>
      <c r="B61" s="1">
        <v>2620</v>
      </c>
      <c r="C61" s="1" t="s">
        <v>1544</v>
      </c>
      <c r="D61" s="1" t="s">
        <v>1576</v>
      </c>
      <c r="E61" t="s">
        <v>459</v>
      </c>
      <c r="F61" s="103">
        <v>6</v>
      </c>
      <c r="G61" s="103"/>
      <c r="H61" s="103">
        <v>4</v>
      </c>
      <c r="I61" s="103">
        <v>3</v>
      </c>
      <c r="J61" s="88"/>
      <c r="K61" s="88"/>
    </row>
    <row r="62" spans="1:11" ht="12.75" customHeight="1">
      <c r="A62" s="1">
        <v>3</v>
      </c>
      <c r="B62" s="1">
        <v>2710</v>
      </c>
      <c r="C62" s="1" t="s">
        <v>1544</v>
      </c>
      <c r="D62" s="1" t="s">
        <v>1577</v>
      </c>
      <c r="E62" t="s">
        <v>460</v>
      </c>
      <c r="F62" s="103"/>
      <c r="G62" s="103">
        <v>34</v>
      </c>
      <c r="H62" s="103"/>
      <c r="I62" s="103">
        <v>7</v>
      </c>
      <c r="J62" s="156">
        <v>90000</v>
      </c>
      <c r="K62" s="88"/>
    </row>
    <row r="63" spans="1:11" ht="12.75" customHeight="1">
      <c r="A63" s="1">
        <v>3</v>
      </c>
      <c r="B63" s="1">
        <v>2740</v>
      </c>
      <c r="C63" s="1" t="s">
        <v>1544</v>
      </c>
      <c r="D63" s="1" t="s">
        <v>1578</v>
      </c>
      <c r="E63" t="s">
        <v>461</v>
      </c>
      <c r="F63" s="103"/>
      <c r="G63" s="103">
        <v>137</v>
      </c>
      <c r="H63" s="103"/>
      <c r="I63" s="103"/>
      <c r="J63" s="156">
        <v>1490447</v>
      </c>
      <c r="K63" s="88"/>
    </row>
    <row r="64" spans="1:11" ht="12.75" customHeight="1">
      <c r="A64" s="1">
        <v>3</v>
      </c>
      <c r="B64" s="1">
        <v>2860</v>
      </c>
      <c r="C64" s="1" t="s">
        <v>1544</v>
      </c>
      <c r="D64" s="1" t="s">
        <v>1579</v>
      </c>
      <c r="E64" t="s">
        <v>462</v>
      </c>
      <c r="F64" s="103"/>
      <c r="G64" s="103">
        <v>67</v>
      </c>
      <c r="H64" s="103"/>
      <c r="I64" s="103"/>
      <c r="J64" s="88"/>
      <c r="K64" s="88"/>
    </row>
    <row r="65" spans="1:11" ht="12.75" customHeight="1">
      <c r="A65" s="1">
        <v>3</v>
      </c>
      <c r="B65" s="1">
        <v>2900</v>
      </c>
      <c r="C65" s="1" t="s">
        <v>1544</v>
      </c>
      <c r="D65" s="1" t="s">
        <v>1580</v>
      </c>
      <c r="E65" t="s">
        <v>463</v>
      </c>
      <c r="F65" s="103"/>
      <c r="G65" s="103">
        <v>25</v>
      </c>
      <c r="H65" s="103"/>
      <c r="I65" s="103"/>
      <c r="J65" s="88"/>
      <c r="K65" s="88"/>
    </row>
    <row r="66" spans="1:11" ht="12.75" customHeight="1">
      <c r="A66" s="1">
        <v>3</v>
      </c>
      <c r="B66" s="1">
        <v>3060</v>
      </c>
      <c r="C66" s="1" t="s">
        <v>1544</v>
      </c>
      <c r="D66" s="1" t="s">
        <v>1581</v>
      </c>
      <c r="E66" t="s">
        <v>464</v>
      </c>
      <c r="F66" s="103"/>
      <c r="G66" s="103"/>
      <c r="H66" s="103"/>
      <c r="I66" s="103">
        <v>15</v>
      </c>
      <c r="J66" s="88"/>
      <c r="K66" s="88"/>
    </row>
    <row r="67" spans="1:11" ht="12.75" customHeight="1">
      <c r="A67" s="1">
        <v>3</v>
      </c>
      <c r="B67" s="1">
        <v>3170</v>
      </c>
      <c r="C67" s="1" t="s">
        <v>1544</v>
      </c>
      <c r="D67" s="1" t="s">
        <v>1582</v>
      </c>
      <c r="E67" t="s">
        <v>465</v>
      </c>
      <c r="F67" s="103"/>
      <c r="G67" s="103"/>
      <c r="H67" s="103">
        <v>21</v>
      </c>
      <c r="I67" s="103"/>
      <c r="J67" s="88"/>
      <c r="K67" s="88"/>
    </row>
    <row r="68" spans="1:11" ht="12.75" customHeight="1">
      <c r="A68" s="1">
        <v>3</v>
      </c>
      <c r="B68" s="1">
        <v>3330</v>
      </c>
      <c r="C68" s="1" t="s">
        <v>1544</v>
      </c>
      <c r="D68" s="1" t="s">
        <v>1583</v>
      </c>
      <c r="E68" t="s">
        <v>466</v>
      </c>
      <c r="F68" s="103"/>
      <c r="G68" s="103">
        <v>11</v>
      </c>
      <c r="H68" s="103"/>
      <c r="I68" s="103">
        <v>6</v>
      </c>
      <c r="J68" s="156">
        <v>1892</v>
      </c>
      <c r="K68" s="88"/>
    </row>
    <row r="69" spans="1:11" ht="12.75" customHeight="1">
      <c r="A69" s="1">
        <v>3</v>
      </c>
      <c r="B69" s="1">
        <v>3350</v>
      </c>
      <c r="C69" s="1" t="s">
        <v>1544</v>
      </c>
      <c r="D69" s="1" t="s">
        <v>1584</v>
      </c>
      <c r="E69" t="s">
        <v>467</v>
      </c>
      <c r="F69" s="103"/>
      <c r="G69" s="103">
        <v>16</v>
      </c>
      <c r="H69" s="103">
        <v>7</v>
      </c>
      <c r="I69" s="103">
        <v>3</v>
      </c>
      <c r="J69" s="88"/>
      <c r="K69" s="88"/>
    </row>
    <row r="70" spans="1:11" ht="12.75" customHeight="1">
      <c r="A70" s="1">
        <v>3</v>
      </c>
      <c r="B70" s="1">
        <v>3550</v>
      </c>
      <c r="C70" s="1" t="s">
        <v>1544</v>
      </c>
      <c r="D70" s="1" t="s">
        <v>1585</v>
      </c>
      <c r="E70" t="s">
        <v>468</v>
      </c>
      <c r="F70" s="103"/>
      <c r="G70" s="103">
        <v>3</v>
      </c>
      <c r="H70" s="103"/>
      <c r="I70" s="103">
        <v>4</v>
      </c>
      <c r="J70" s="88"/>
      <c r="K70" s="88"/>
    </row>
    <row r="71" spans="1:11" ht="12.75" customHeight="1">
      <c r="A71" s="1">
        <v>3</v>
      </c>
      <c r="B71" s="1">
        <v>3600</v>
      </c>
      <c r="C71" s="1" t="s">
        <v>1544</v>
      </c>
      <c r="D71" s="1" t="s">
        <v>1586</v>
      </c>
      <c r="E71" t="s">
        <v>469</v>
      </c>
      <c r="F71" s="103"/>
      <c r="G71" s="103">
        <v>65</v>
      </c>
      <c r="H71" s="103"/>
      <c r="I71" s="103"/>
      <c r="J71" s="88"/>
      <c r="K71" s="88"/>
    </row>
    <row r="72" spans="1:11" ht="12.75" customHeight="1">
      <c r="A72" s="1">
        <v>3</v>
      </c>
      <c r="B72" s="1">
        <v>3700</v>
      </c>
      <c r="C72" s="1" t="s">
        <v>1544</v>
      </c>
      <c r="D72" s="1" t="s">
        <v>1587</v>
      </c>
      <c r="E72" t="s">
        <v>470</v>
      </c>
      <c r="F72" s="103"/>
      <c r="G72" s="103"/>
      <c r="H72" s="103"/>
      <c r="I72" s="103"/>
      <c r="J72" s="88"/>
      <c r="K72" s="88"/>
    </row>
    <row r="73" spans="1:11" ht="12.75" customHeight="1">
      <c r="A73" s="1">
        <v>3</v>
      </c>
      <c r="B73" s="1">
        <v>3710</v>
      </c>
      <c r="C73" s="1" t="s">
        <v>1544</v>
      </c>
      <c r="D73" s="1" t="s">
        <v>1588</v>
      </c>
      <c r="E73" t="s">
        <v>471</v>
      </c>
      <c r="F73" s="103"/>
      <c r="G73" s="103"/>
      <c r="H73" s="103"/>
      <c r="I73" s="103"/>
      <c r="J73" s="88"/>
      <c r="K73" s="88"/>
    </row>
    <row r="74" spans="1:11" ht="12.75" customHeight="1">
      <c r="A74" s="1">
        <v>3</v>
      </c>
      <c r="B74" s="1">
        <v>3730</v>
      </c>
      <c r="C74" s="1" t="s">
        <v>1544</v>
      </c>
      <c r="D74" s="1" t="s">
        <v>1589</v>
      </c>
      <c r="E74" t="s">
        <v>472</v>
      </c>
      <c r="F74" s="103"/>
      <c r="G74" s="103"/>
      <c r="H74" s="103"/>
      <c r="I74" s="103"/>
      <c r="J74" s="88"/>
      <c r="K74" s="88"/>
    </row>
    <row r="75" spans="1:11" ht="12.75" customHeight="1">
      <c r="A75" s="1">
        <v>3</v>
      </c>
      <c r="B75" s="1">
        <v>3740</v>
      </c>
      <c r="C75" s="1" t="s">
        <v>1544</v>
      </c>
      <c r="D75" s="1" t="s">
        <v>1590</v>
      </c>
      <c r="E75" t="s">
        <v>473</v>
      </c>
      <c r="F75" s="103"/>
      <c r="G75" s="103"/>
      <c r="H75" s="103"/>
      <c r="I75" s="103"/>
      <c r="J75" s="88"/>
      <c r="K75" s="88"/>
    </row>
    <row r="76" spans="1:11" ht="12.75" customHeight="1">
      <c r="A76" s="1">
        <v>3</v>
      </c>
      <c r="B76" s="1">
        <v>3760</v>
      </c>
      <c r="C76" s="1" t="s">
        <v>1544</v>
      </c>
      <c r="D76" s="1" t="s">
        <v>1591</v>
      </c>
      <c r="E76" t="s">
        <v>474</v>
      </c>
      <c r="F76" s="103"/>
      <c r="G76" s="103"/>
      <c r="H76" s="103"/>
      <c r="I76" s="103">
        <v>15</v>
      </c>
      <c r="J76" s="88"/>
      <c r="K76" s="88"/>
    </row>
    <row r="77" spans="1:11" ht="12.75" customHeight="1">
      <c r="A77" s="1">
        <v>3</v>
      </c>
      <c r="B77" s="1">
        <v>3850</v>
      </c>
      <c r="C77" s="1" t="s">
        <v>1544</v>
      </c>
      <c r="D77" s="1" t="s">
        <v>1592</v>
      </c>
      <c r="E77" t="s">
        <v>475</v>
      </c>
      <c r="F77" s="103"/>
      <c r="G77" s="103"/>
      <c r="H77" s="103"/>
      <c r="I77" s="103"/>
      <c r="J77" s="88"/>
      <c r="K77" s="88"/>
    </row>
    <row r="78" spans="1:11" ht="12.75" customHeight="1">
      <c r="A78" s="1">
        <v>3</v>
      </c>
      <c r="B78" s="1">
        <v>3870</v>
      </c>
      <c r="C78" s="1" t="s">
        <v>1544</v>
      </c>
      <c r="D78" s="1" t="s">
        <v>1593</v>
      </c>
      <c r="E78" t="s">
        <v>476</v>
      </c>
      <c r="F78" s="103"/>
      <c r="G78" s="103"/>
      <c r="H78" s="103"/>
      <c r="I78" s="103">
        <v>14</v>
      </c>
      <c r="J78" s="88"/>
      <c r="K78" s="88"/>
    </row>
    <row r="79" spans="1:11" ht="12.75" customHeight="1">
      <c r="A79" s="1">
        <v>3</v>
      </c>
      <c r="B79" s="1">
        <v>3910</v>
      </c>
      <c r="C79" s="1" t="s">
        <v>1544</v>
      </c>
      <c r="D79" s="1" t="s">
        <v>1594</v>
      </c>
      <c r="E79" t="s">
        <v>477</v>
      </c>
      <c r="F79" s="103"/>
      <c r="G79" s="103"/>
      <c r="H79" s="103">
        <v>7</v>
      </c>
      <c r="I79" s="103">
        <v>6</v>
      </c>
      <c r="J79" s="88"/>
      <c r="K79" s="88"/>
    </row>
    <row r="80" spans="1:11" ht="12.75" customHeight="1">
      <c r="A80" s="1">
        <v>3</v>
      </c>
      <c r="B80" s="1">
        <v>3930</v>
      </c>
      <c r="C80" s="1" t="s">
        <v>1544</v>
      </c>
      <c r="D80" s="1" t="s">
        <v>1595</v>
      </c>
      <c r="E80" t="s">
        <v>478</v>
      </c>
      <c r="F80" s="103"/>
      <c r="G80" s="103"/>
      <c r="H80" s="103">
        <v>11</v>
      </c>
      <c r="I80" s="103">
        <v>23</v>
      </c>
      <c r="J80" s="88"/>
      <c r="K80" s="88"/>
    </row>
    <row r="81" spans="1:11" ht="12.75" customHeight="1">
      <c r="A81" s="1">
        <v>3</v>
      </c>
      <c r="B81" s="1">
        <v>3940</v>
      </c>
      <c r="C81" s="1" t="s">
        <v>1544</v>
      </c>
      <c r="D81" s="1" t="s">
        <v>1596</v>
      </c>
      <c r="E81" t="s">
        <v>479</v>
      </c>
      <c r="F81" s="103"/>
      <c r="G81" s="103">
        <v>15</v>
      </c>
      <c r="H81" s="103"/>
      <c r="I81" s="103">
        <v>27</v>
      </c>
      <c r="J81" s="88"/>
      <c r="K81" s="88"/>
    </row>
    <row r="82" spans="1:11" ht="12.75" customHeight="1">
      <c r="A82" s="1">
        <v>3</v>
      </c>
      <c r="B82" s="1">
        <v>3960</v>
      </c>
      <c r="C82" s="1" t="s">
        <v>1544</v>
      </c>
      <c r="D82" s="1" t="s">
        <v>1597</v>
      </c>
      <c r="E82" t="s">
        <v>480</v>
      </c>
      <c r="F82" s="103"/>
      <c r="G82" s="103"/>
      <c r="H82" s="103"/>
      <c r="I82" s="103"/>
      <c r="J82" s="88"/>
      <c r="K82" s="88"/>
    </row>
    <row r="83" spans="1:11" ht="12.75" customHeight="1">
      <c r="A83" s="1">
        <v>3</v>
      </c>
      <c r="B83" s="1">
        <v>4300</v>
      </c>
      <c r="C83" s="1" t="s">
        <v>1544</v>
      </c>
      <c r="D83" s="1" t="s">
        <v>1598</v>
      </c>
      <c r="E83" t="s">
        <v>481</v>
      </c>
      <c r="F83" s="103"/>
      <c r="G83" s="103"/>
      <c r="H83" s="103"/>
      <c r="I83" s="103"/>
      <c r="J83" s="88"/>
      <c r="K83" s="88"/>
    </row>
    <row r="84" spans="1:11" ht="12.75" customHeight="1">
      <c r="A84" s="1">
        <v>3</v>
      </c>
      <c r="B84" s="1">
        <v>4310</v>
      </c>
      <c r="C84" s="1" t="s">
        <v>1544</v>
      </c>
      <c r="D84" s="1" t="s">
        <v>1599</v>
      </c>
      <c r="E84" t="s">
        <v>482</v>
      </c>
      <c r="F84" s="103"/>
      <c r="G84" s="103">
        <v>8</v>
      </c>
      <c r="H84" s="103">
        <v>11</v>
      </c>
      <c r="I84" s="103">
        <v>17</v>
      </c>
      <c r="J84" s="88"/>
      <c r="K84" s="88"/>
    </row>
    <row r="85" spans="1:11" ht="12.75" customHeight="1">
      <c r="A85" s="1">
        <v>3</v>
      </c>
      <c r="B85" s="1">
        <v>4370</v>
      </c>
      <c r="C85" s="1" t="s">
        <v>1544</v>
      </c>
      <c r="D85" s="1" t="s">
        <v>1600</v>
      </c>
      <c r="E85" t="s">
        <v>483</v>
      </c>
      <c r="F85" s="103">
        <v>21</v>
      </c>
      <c r="G85" s="103"/>
      <c r="H85" s="103">
        <v>22</v>
      </c>
      <c r="I85" s="103"/>
      <c r="J85" s="88"/>
      <c r="K85" s="88"/>
    </row>
    <row r="86" spans="1:11" ht="12.75" customHeight="1">
      <c r="A86" s="1">
        <v>3</v>
      </c>
      <c r="B86" s="1">
        <v>4380</v>
      </c>
      <c r="C86" s="1" t="s">
        <v>1544</v>
      </c>
      <c r="D86" s="1" t="s">
        <v>1601</v>
      </c>
      <c r="E86" t="s">
        <v>484</v>
      </c>
      <c r="F86" s="103"/>
      <c r="G86" s="103"/>
      <c r="H86" s="103"/>
      <c r="I86" s="103"/>
      <c r="J86" s="88"/>
      <c r="K86" s="88"/>
    </row>
    <row r="87" spans="1:11" ht="12.75" customHeight="1">
      <c r="A87" s="1">
        <v>3</v>
      </c>
      <c r="B87" s="1">
        <v>4390</v>
      </c>
      <c r="C87" s="1" t="s">
        <v>1544</v>
      </c>
      <c r="D87" s="1" t="s">
        <v>1602</v>
      </c>
      <c r="E87" t="s">
        <v>485</v>
      </c>
      <c r="F87" s="103"/>
      <c r="G87" s="103"/>
      <c r="H87" s="103">
        <v>46</v>
      </c>
      <c r="I87" s="103"/>
      <c r="J87" s="88"/>
      <c r="K87" s="88"/>
    </row>
    <row r="88" spans="1:11" ht="12.75" customHeight="1">
      <c r="A88" s="1">
        <v>3</v>
      </c>
      <c r="B88" s="1">
        <v>4405</v>
      </c>
      <c r="C88" s="1" t="s">
        <v>1544</v>
      </c>
      <c r="D88" s="1" t="s">
        <v>1603</v>
      </c>
      <c r="E88" t="s">
        <v>486</v>
      </c>
      <c r="F88" s="103"/>
      <c r="G88" s="103"/>
      <c r="H88" s="103"/>
      <c r="I88" s="103"/>
      <c r="J88" s="88"/>
      <c r="K88" s="88"/>
    </row>
    <row r="89" spans="1:11" ht="12.75" customHeight="1">
      <c r="A89" s="1">
        <v>3</v>
      </c>
      <c r="B89" s="1">
        <v>4410</v>
      </c>
      <c r="C89" s="1" t="s">
        <v>1544</v>
      </c>
      <c r="D89" s="1" t="s">
        <v>1604</v>
      </c>
      <c r="E89" t="s">
        <v>487</v>
      </c>
      <c r="F89" s="103"/>
      <c r="G89" s="103"/>
      <c r="H89" s="103"/>
      <c r="I89" s="103">
        <v>17</v>
      </c>
      <c r="J89" s="88"/>
      <c r="K89" s="88"/>
    </row>
    <row r="90" spans="1:11" ht="12.75" customHeight="1">
      <c r="A90" s="1">
        <v>3</v>
      </c>
      <c r="B90" s="1">
        <v>4430</v>
      </c>
      <c r="C90" s="1" t="s">
        <v>1544</v>
      </c>
      <c r="D90" s="1" t="s">
        <v>1605</v>
      </c>
      <c r="E90" t="s">
        <v>488</v>
      </c>
      <c r="F90" s="103"/>
      <c r="G90" s="103">
        <v>8</v>
      </c>
      <c r="H90" s="103"/>
      <c r="I90" s="103">
        <v>13</v>
      </c>
      <c r="J90" s="88"/>
      <c r="K90" s="88"/>
    </row>
    <row r="91" spans="1:11" ht="12.75" customHeight="1">
      <c r="A91" s="1">
        <v>3</v>
      </c>
      <c r="B91" s="1">
        <v>4470</v>
      </c>
      <c r="C91" s="1" t="s">
        <v>1544</v>
      </c>
      <c r="D91" s="1" t="s">
        <v>1606</v>
      </c>
      <c r="E91" t="s">
        <v>489</v>
      </c>
      <c r="F91" s="103"/>
      <c r="G91" s="103">
        <v>44</v>
      </c>
      <c r="H91" s="103">
        <v>7</v>
      </c>
      <c r="I91" s="103"/>
      <c r="J91" s="88"/>
      <c r="K91" s="88"/>
    </row>
    <row r="92" spans="1:11" ht="12.75" customHeight="1">
      <c r="A92" s="1">
        <v>3</v>
      </c>
      <c r="B92" s="1">
        <v>4500</v>
      </c>
      <c r="C92" s="1" t="s">
        <v>1544</v>
      </c>
      <c r="D92" s="1" t="s">
        <v>1607</v>
      </c>
      <c r="E92"/>
      <c r="F92" s="103"/>
      <c r="G92" s="103"/>
      <c r="H92" s="103"/>
      <c r="I92" s="103"/>
      <c r="J92" s="88"/>
      <c r="K92" s="88"/>
    </row>
    <row r="93" spans="1:11" ht="12.75" customHeight="1">
      <c r="A93" s="1">
        <v>3</v>
      </c>
      <c r="B93" s="1">
        <v>4600</v>
      </c>
      <c r="C93" s="1" t="s">
        <v>1544</v>
      </c>
      <c r="D93" s="1" t="s">
        <v>1608</v>
      </c>
      <c r="E93" t="s">
        <v>490</v>
      </c>
      <c r="F93" s="103"/>
      <c r="G93" s="103"/>
      <c r="H93" s="103"/>
      <c r="I93" s="103"/>
      <c r="J93" s="88"/>
      <c r="K93" s="88"/>
    </row>
    <row r="94" spans="1:11" ht="12.75" customHeight="1">
      <c r="A94" s="1">
        <v>3</v>
      </c>
      <c r="B94" s="1">
        <v>4610</v>
      </c>
      <c r="C94" s="1" t="s">
        <v>1544</v>
      </c>
      <c r="D94" s="1" t="s">
        <v>1609</v>
      </c>
      <c r="E94" t="s">
        <v>491</v>
      </c>
      <c r="F94" s="103"/>
      <c r="G94" s="103"/>
      <c r="H94" s="103"/>
      <c r="I94" s="103">
        <v>15</v>
      </c>
      <c r="J94" s="88"/>
      <c r="K94" s="88"/>
    </row>
    <row r="95" spans="1:11" ht="12.75" customHeight="1">
      <c r="A95" s="1">
        <v>3</v>
      </c>
      <c r="B95" s="1">
        <v>4620</v>
      </c>
      <c r="C95" s="1" t="s">
        <v>1544</v>
      </c>
      <c r="D95" s="1" t="s">
        <v>1610</v>
      </c>
      <c r="E95" t="s">
        <v>492</v>
      </c>
      <c r="F95" s="103"/>
      <c r="G95" s="103">
        <v>23</v>
      </c>
      <c r="H95" s="103"/>
      <c r="I95" s="103"/>
      <c r="J95" s="88"/>
      <c r="K95" s="88"/>
    </row>
    <row r="96" spans="1:11" ht="12.75" customHeight="1">
      <c r="A96" s="1">
        <v>3</v>
      </c>
      <c r="B96" s="1">
        <v>4845</v>
      </c>
      <c r="C96" s="1" t="s">
        <v>1544</v>
      </c>
      <c r="D96" s="1" t="s">
        <v>1611</v>
      </c>
      <c r="E96" t="s">
        <v>493</v>
      </c>
      <c r="F96" s="103"/>
      <c r="G96" s="103"/>
      <c r="H96" s="103">
        <v>39</v>
      </c>
      <c r="I96" s="103">
        <v>28</v>
      </c>
      <c r="J96" s="88"/>
      <c r="K96" s="88"/>
    </row>
    <row r="97" spans="1:11" ht="12.75" customHeight="1">
      <c r="A97" s="1">
        <v>3</v>
      </c>
      <c r="B97" s="1">
        <v>4870</v>
      </c>
      <c r="C97" s="1" t="s">
        <v>1544</v>
      </c>
      <c r="D97" s="1" t="s">
        <v>1612</v>
      </c>
      <c r="E97" t="s">
        <v>494</v>
      </c>
      <c r="F97" s="103"/>
      <c r="G97" s="103">
        <v>10</v>
      </c>
      <c r="H97" s="103"/>
      <c r="I97" s="103"/>
      <c r="J97" s="88"/>
      <c r="K97" s="88"/>
    </row>
    <row r="98" spans="1:11" ht="12.75" customHeight="1">
      <c r="A98" s="1">
        <v>3</v>
      </c>
      <c r="B98" s="1">
        <v>5150</v>
      </c>
      <c r="C98" s="1" t="s">
        <v>1544</v>
      </c>
      <c r="D98" s="1" t="s">
        <v>1613</v>
      </c>
      <c r="E98" t="s">
        <v>495</v>
      </c>
      <c r="F98" s="103">
        <v>40</v>
      </c>
      <c r="G98" s="103"/>
      <c r="H98" s="103">
        <v>16</v>
      </c>
      <c r="I98" s="103">
        <v>8</v>
      </c>
      <c r="J98" s="88"/>
      <c r="K98" s="88"/>
    </row>
    <row r="99" spans="1:11" ht="12.75" customHeight="1">
      <c r="A99" s="1">
        <v>3</v>
      </c>
      <c r="B99" s="1">
        <v>5160</v>
      </c>
      <c r="C99" s="1" t="s">
        <v>1544</v>
      </c>
      <c r="D99" s="1" t="s">
        <v>1614</v>
      </c>
      <c r="E99" t="s">
        <v>496</v>
      </c>
      <c r="F99" s="103"/>
      <c r="G99" s="103"/>
      <c r="H99" s="103"/>
      <c r="I99" s="103">
        <v>19</v>
      </c>
      <c r="J99" s="88"/>
      <c r="K99" s="88"/>
    </row>
    <row r="100" spans="1:11" ht="12.75" customHeight="1">
      <c r="A100" s="1">
        <v>3</v>
      </c>
      <c r="B100" s="1">
        <v>5170</v>
      </c>
      <c r="C100" s="1" t="s">
        <v>1544</v>
      </c>
      <c r="D100" s="1" t="s">
        <v>1615</v>
      </c>
      <c r="E100"/>
      <c r="F100" s="103"/>
      <c r="G100" s="103"/>
      <c r="H100" s="103"/>
      <c r="I100" s="103"/>
      <c r="J100" s="88"/>
      <c r="K100" s="88"/>
    </row>
    <row r="101" spans="1:11" ht="12.75" customHeight="1">
      <c r="A101" s="1">
        <v>3</v>
      </c>
      <c r="B101" s="1">
        <v>5330</v>
      </c>
      <c r="C101" s="1" t="s">
        <v>1544</v>
      </c>
      <c r="D101" s="1" t="s">
        <v>1616</v>
      </c>
      <c r="E101" t="s">
        <v>497</v>
      </c>
      <c r="F101" s="103"/>
      <c r="G101" s="103">
        <v>13</v>
      </c>
      <c r="H101" s="103"/>
      <c r="I101" s="103">
        <v>11</v>
      </c>
      <c r="J101" s="88"/>
      <c r="K101" s="88"/>
    </row>
    <row r="102" spans="1:11" ht="12.75" customHeight="1">
      <c r="A102" s="1">
        <v>3</v>
      </c>
      <c r="B102" s="1">
        <v>5410</v>
      </c>
      <c r="C102" s="1" t="s">
        <v>1544</v>
      </c>
      <c r="D102" s="1" t="s">
        <v>1617</v>
      </c>
      <c r="E102" t="s">
        <v>498</v>
      </c>
      <c r="F102" s="103"/>
      <c r="G102" s="103">
        <v>18</v>
      </c>
      <c r="H102" s="103"/>
      <c r="I102" s="103"/>
      <c r="J102" s="88"/>
      <c r="K102" s="88"/>
    </row>
    <row r="103" spans="1:11" ht="12.75" customHeight="1">
      <c r="A103" s="1">
        <v>3</v>
      </c>
      <c r="B103" s="1">
        <v>5430</v>
      </c>
      <c r="C103" s="1" t="s">
        <v>1544</v>
      </c>
      <c r="D103" s="1" t="s">
        <v>1618</v>
      </c>
      <c r="E103" t="s">
        <v>499</v>
      </c>
      <c r="F103" s="103"/>
      <c r="G103" s="103"/>
      <c r="H103" s="103"/>
      <c r="I103" s="103"/>
      <c r="J103" s="88"/>
      <c r="K103" s="88"/>
    </row>
    <row r="104" spans="1:11" ht="12.75" customHeight="1">
      <c r="A104" s="1">
        <v>3</v>
      </c>
      <c r="B104" s="1">
        <v>5755</v>
      </c>
      <c r="C104" s="1" t="s">
        <v>1544</v>
      </c>
      <c r="D104" s="1" t="s">
        <v>1619</v>
      </c>
      <c r="E104" t="s">
        <v>500</v>
      </c>
      <c r="F104" s="103"/>
      <c r="G104" s="103"/>
      <c r="H104" s="103">
        <v>6</v>
      </c>
      <c r="I104" s="103">
        <v>16</v>
      </c>
      <c r="J104" s="88"/>
      <c r="K104" s="88"/>
    </row>
    <row r="105" spans="1:11" ht="12.75" customHeight="1">
      <c r="A105" s="1">
        <v>3</v>
      </c>
      <c r="B105" s="1">
        <v>5830</v>
      </c>
      <c r="C105" s="1" t="s">
        <v>1544</v>
      </c>
      <c r="D105" s="1" t="s">
        <v>1620</v>
      </c>
      <c r="E105" t="s">
        <v>501</v>
      </c>
      <c r="F105" s="103"/>
      <c r="G105" s="103"/>
      <c r="H105" s="103"/>
      <c r="I105" s="103"/>
      <c r="J105" s="88"/>
      <c r="K105" s="88"/>
    </row>
    <row r="106" spans="1:11" ht="12.75" customHeight="1">
      <c r="A106" s="1">
        <v>3</v>
      </c>
      <c r="B106" s="1">
        <v>5880</v>
      </c>
      <c r="C106" s="1" t="s">
        <v>1544</v>
      </c>
      <c r="D106" s="1" t="s">
        <v>1621</v>
      </c>
      <c r="E106" t="s">
        <v>394</v>
      </c>
      <c r="F106" s="103"/>
      <c r="G106" s="103">
        <v>15</v>
      </c>
      <c r="H106" s="103"/>
      <c r="I106" s="103"/>
      <c r="J106" s="88"/>
      <c r="K106" s="88"/>
    </row>
    <row r="107" spans="1:11" ht="12.75" customHeight="1">
      <c r="A107" s="1">
        <v>3</v>
      </c>
      <c r="B107" s="1">
        <v>5920</v>
      </c>
      <c r="C107" s="1" t="s">
        <v>1544</v>
      </c>
      <c r="D107" s="1" t="s">
        <v>1622</v>
      </c>
      <c r="E107" t="s">
        <v>395</v>
      </c>
      <c r="F107" s="103"/>
      <c r="G107" s="103"/>
      <c r="H107" s="103"/>
      <c r="I107" s="103">
        <v>15</v>
      </c>
      <c r="J107" s="88"/>
      <c r="K107" s="88"/>
    </row>
    <row r="108" spans="1:11" ht="12.75" customHeight="1">
      <c r="A108" s="1">
        <v>5</v>
      </c>
      <c r="B108" s="1">
        <v>200</v>
      </c>
      <c r="C108" s="1" t="s">
        <v>1623</v>
      </c>
      <c r="D108" s="1" t="s">
        <v>1450</v>
      </c>
      <c r="E108" t="s">
        <v>396</v>
      </c>
      <c r="F108" s="103"/>
      <c r="G108" s="103">
        <v>9</v>
      </c>
      <c r="H108" s="103"/>
      <c r="I108" s="103"/>
      <c r="J108" s="88"/>
      <c r="K108" s="88"/>
    </row>
    <row r="109" spans="1:11" ht="12.75" customHeight="1">
      <c r="A109" s="1">
        <v>5</v>
      </c>
      <c r="B109" s="1">
        <v>380</v>
      </c>
      <c r="C109" s="1" t="s">
        <v>1623</v>
      </c>
      <c r="D109" s="1" t="s">
        <v>1451</v>
      </c>
      <c r="E109" t="s">
        <v>397</v>
      </c>
      <c r="F109" s="103">
        <v>10</v>
      </c>
      <c r="G109" s="103">
        <v>2</v>
      </c>
      <c r="H109" s="103">
        <v>1</v>
      </c>
      <c r="I109" s="103"/>
      <c r="J109" s="156">
        <v>242903</v>
      </c>
      <c r="K109" s="88"/>
    </row>
    <row r="110" spans="1:11" ht="12.75" customHeight="1">
      <c r="A110" s="1">
        <v>5</v>
      </c>
      <c r="B110" s="1">
        <v>475</v>
      </c>
      <c r="C110" s="1" t="s">
        <v>1623</v>
      </c>
      <c r="D110" s="1" t="s">
        <v>1452</v>
      </c>
      <c r="E110" t="s">
        <v>398</v>
      </c>
      <c r="F110" s="103"/>
      <c r="G110" s="103"/>
      <c r="H110" s="103">
        <v>10</v>
      </c>
      <c r="I110" s="103">
        <v>19</v>
      </c>
      <c r="J110" s="88"/>
      <c r="K110" s="88"/>
    </row>
    <row r="111" spans="1:11" ht="12.75" customHeight="1">
      <c r="A111" s="1">
        <v>5</v>
      </c>
      <c r="B111" s="1">
        <v>600</v>
      </c>
      <c r="C111" s="1" t="s">
        <v>1623</v>
      </c>
      <c r="D111" s="1" t="s">
        <v>1453</v>
      </c>
      <c r="E111" t="s">
        <v>399</v>
      </c>
      <c r="F111" s="103">
        <v>199</v>
      </c>
      <c r="G111" s="103"/>
      <c r="H111" s="103">
        <v>5</v>
      </c>
      <c r="I111" s="103"/>
      <c r="J111" s="156">
        <v>825397</v>
      </c>
      <c r="K111" s="156">
        <v>842768</v>
      </c>
    </row>
    <row r="112" spans="1:11" ht="12.75" customHeight="1">
      <c r="A112" s="1">
        <v>5</v>
      </c>
      <c r="B112" s="1">
        <v>605</v>
      </c>
      <c r="C112" s="1" t="s">
        <v>1623</v>
      </c>
      <c r="D112" s="1" t="s">
        <v>1454</v>
      </c>
      <c r="E112" t="s">
        <v>400</v>
      </c>
      <c r="F112" s="103"/>
      <c r="G112" s="103"/>
      <c r="H112" s="103">
        <v>22</v>
      </c>
      <c r="I112" s="103"/>
      <c r="J112" s="88"/>
      <c r="K112" s="88"/>
    </row>
    <row r="113" spans="1:11" ht="12.75" customHeight="1">
      <c r="A113" s="1">
        <v>5</v>
      </c>
      <c r="B113" s="1">
        <v>610</v>
      </c>
      <c r="C113" s="1" t="s">
        <v>1623</v>
      </c>
      <c r="D113" s="1" t="s">
        <v>1455</v>
      </c>
      <c r="E113" t="s">
        <v>401</v>
      </c>
      <c r="F113" s="103"/>
      <c r="G113" s="103"/>
      <c r="H113" s="103"/>
      <c r="I113" s="103"/>
      <c r="J113" s="88"/>
      <c r="K113" s="88"/>
    </row>
    <row r="114" spans="1:11" ht="12.75" customHeight="1">
      <c r="A114" s="1">
        <v>5</v>
      </c>
      <c r="B114" s="1">
        <v>620</v>
      </c>
      <c r="C114" s="1" t="s">
        <v>1623</v>
      </c>
      <c r="D114" s="1" t="s">
        <v>1456</v>
      </c>
      <c r="E114" t="s">
        <v>402</v>
      </c>
      <c r="F114" s="103"/>
      <c r="G114" s="103">
        <v>209</v>
      </c>
      <c r="H114" s="103"/>
      <c r="I114" s="103">
        <v>21</v>
      </c>
      <c r="J114" s="88"/>
      <c r="K114" s="88"/>
    </row>
    <row r="115" spans="1:11" ht="12.75" customHeight="1">
      <c r="A115" s="1">
        <v>5</v>
      </c>
      <c r="B115" s="1">
        <v>830</v>
      </c>
      <c r="C115" s="1" t="s">
        <v>1623</v>
      </c>
      <c r="D115" s="1" t="s">
        <v>1457</v>
      </c>
      <c r="E115" t="s">
        <v>403</v>
      </c>
      <c r="F115" s="103"/>
      <c r="G115" s="103"/>
      <c r="H115" s="103"/>
      <c r="I115" s="103"/>
      <c r="J115" s="88"/>
      <c r="K115" s="88"/>
    </row>
    <row r="116" spans="1:11" ht="12.75" customHeight="1">
      <c r="A116" s="1">
        <v>5</v>
      </c>
      <c r="B116" s="1">
        <v>840</v>
      </c>
      <c r="C116" s="1" t="s">
        <v>1623</v>
      </c>
      <c r="D116" s="1" t="s">
        <v>1458</v>
      </c>
      <c r="E116" t="s">
        <v>404</v>
      </c>
      <c r="F116" s="103"/>
      <c r="G116" s="103"/>
      <c r="H116" s="103"/>
      <c r="I116" s="103">
        <v>14</v>
      </c>
      <c r="J116" s="88"/>
      <c r="K116" s="88"/>
    </row>
    <row r="117" spans="1:11" ht="12.75" customHeight="1">
      <c r="A117" s="1">
        <v>5</v>
      </c>
      <c r="B117" s="1">
        <v>1030</v>
      </c>
      <c r="C117" s="1" t="s">
        <v>1623</v>
      </c>
      <c r="D117" s="1" t="s">
        <v>1459</v>
      </c>
      <c r="E117" t="s">
        <v>405</v>
      </c>
      <c r="F117" s="103"/>
      <c r="G117" s="103"/>
      <c r="H117" s="103"/>
      <c r="I117" s="103"/>
      <c r="J117" s="88"/>
      <c r="K117" s="88"/>
    </row>
    <row r="118" spans="1:11" ht="12.75" customHeight="1">
      <c r="A118" s="1">
        <v>5</v>
      </c>
      <c r="B118" s="1">
        <v>1060</v>
      </c>
      <c r="C118" s="1" t="s">
        <v>1623</v>
      </c>
      <c r="D118" s="1" t="s">
        <v>1460</v>
      </c>
      <c r="E118" t="s">
        <v>406</v>
      </c>
      <c r="F118" s="103"/>
      <c r="G118" s="103">
        <v>27</v>
      </c>
      <c r="H118" s="103"/>
      <c r="I118" s="103">
        <v>7</v>
      </c>
      <c r="J118" s="88"/>
      <c r="K118" s="88"/>
    </row>
    <row r="119" spans="1:11" ht="12.75" customHeight="1">
      <c r="A119" s="1">
        <v>5</v>
      </c>
      <c r="B119" s="1">
        <v>1250</v>
      </c>
      <c r="C119" s="1" t="s">
        <v>1623</v>
      </c>
      <c r="D119" s="1" t="s">
        <v>1461</v>
      </c>
      <c r="E119" t="s">
        <v>407</v>
      </c>
      <c r="F119" s="103"/>
      <c r="G119" s="103"/>
      <c r="H119" s="103"/>
      <c r="I119" s="103"/>
      <c r="J119" s="88"/>
      <c r="K119" s="88"/>
    </row>
    <row r="120" spans="1:11" ht="12.75" customHeight="1">
      <c r="A120" s="1">
        <v>5</v>
      </c>
      <c r="B120" s="1">
        <v>1280</v>
      </c>
      <c r="C120" s="1" t="s">
        <v>1623</v>
      </c>
      <c r="D120" s="1" t="s">
        <v>1462</v>
      </c>
      <c r="E120" t="s">
        <v>408</v>
      </c>
      <c r="F120" s="103"/>
      <c r="G120" s="103">
        <v>43</v>
      </c>
      <c r="H120" s="103">
        <v>4</v>
      </c>
      <c r="I120" s="103">
        <v>16</v>
      </c>
      <c r="J120" s="156">
        <v>523638</v>
      </c>
      <c r="K120" s="88"/>
    </row>
    <row r="121" spans="1:11" ht="12.75" customHeight="1">
      <c r="A121" s="1">
        <v>5</v>
      </c>
      <c r="B121" s="1">
        <v>1420</v>
      </c>
      <c r="C121" s="1" t="s">
        <v>1623</v>
      </c>
      <c r="D121" s="1" t="s">
        <v>1463</v>
      </c>
      <c r="E121" t="s">
        <v>409</v>
      </c>
      <c r="F121" s="103"/>
      <c r="G121" s="103"/>
      <c r="H121" s="103"/>
      <c r="I121" s="103"/>
      <c r="J121" s="88"/>
      <c r="K121" s="88"/>
    </row>
    <row r="122" spans="1:11" ht="12.75" customHeight="1">
      <c r="A122" s="1">
        <v>5</v>
      </c>
      <c r="B122" s="1">
        <v>1520</v>
      </c>
      <c r="C122" s="1" t="s">
        <v>1623</v>
      </c>
      <c r="D122" s="1" t="s">
        <v>1464</v>
      </c>
      <c r="E122" t="s">
        <v>410</v>
      </c>
      <c r="F122" s="103"/>
      <c r="G122" s="103"/>
      <c r="H122" s="103"/>
      <c r="I122" s="103">
        <v>7</v>
      </c>
      <c r="J122" s="88"/>
      <c r="K122" s="88"/>
    </row>
    <row r="123" spans="1:11" ht="12.75" customHeight="1">
      <c r="A123" s="1">
        <v>5</v>
      </c>
      <c r="B123" s="1">
        <v>1910</v>
      </c>
      <c r="C123" s="1" t="s">
        <v>1623</v>
      </c>
      <c r="D123" s="1" t="s">
        <v>1465</v>
      </c>
      <c r="E123" t="s">
        <v>411</v>
      </c>
      <c r="F123" s="103"/>
      <c r="G123" s="103">
        <v>26</v>
      </c>
      <c r="H123" s="103"/>
      <c r="I123" s="103"/>
      <c r="J123" s="88"/>
      <c r="K123" s="88"/>
    </row>
    <row r="124" spans="1:11" ht="12.75" customHeight="1">
      <c r="A124" s="1">
        <v>5</v>
      </c>
      <c r="B124" s="1">
        <v>2610</v>
      </c>
      <c r="C124" s="1" t="s">
        <v>1623</v>
      </c>
      <c r="D124" s="1" t="s">
        <v>1466</v>
      </c>
      <c r="E124" t="s">
        <v>412</v>
      </c>
      <c r="F124" s="103"/>
      <c r="G124" s="103"/>
      <c r="H124" s="103"/>
      <c r="I124" s="103"/>
      <c r="J124" s="88"/>
      <c r="K124" s="88"/>
    </row>
    <row r="125" spans="1:11" ht="12.75" customHeight="1">
      <c r="A125" s="1">
        <v>5</v>
      </c>
      <c r="B125" s="1">
        <v>2850</v>
      </c>
      <c r="C125" s="1" t="s">
        <v>1623</v>
      </c>
      <c r="D125" s="1" t="s">
        <v>1467</v>
      </c>
      <c r="E125" t="s">
        <v>413</v>
      </c>
      <c r="F125" s="103"/>
      <c r="G125" s="103"/>
      <c r="H125" s="103"/>
      <c r="I125" s="103">
        <v>28</v>
      </c>
      <c r="J125" s="88"/>
      <c r="K125" s="88"/>
    </row>
    <row r="126" spans="1:11" ht="12.75" customHeight="1">
      <c r="A126" s="1">
        <v>5</v>
      </c>
      <c r="B126" s="1">
        <v>2960</v>
      </c>
      <c r="C126" s="1" t="s">
        <v>1623</v>
      </c>
      <c r="D126" s="1" t="s">
        <v>1468</v>
      </c>
      <c r="E126" t="s">
        <v>414</v>
      </c>
      <c r="F126" s="103"/>
      <c r="G126" s="103"/>
      <c r="H126" s="103"/>
      <c r="I126" s="103">
        <v>20</v>
      </c>
      <c r="J126" s="88"/>
      <c r="K126" s="88"/>
    </row>
    <row r="127" spans="1:11" ht="12.75" customHeight="1">
      <c r="A127" s="1">
        <v>5</v>
      </c>
      <c r="B127" s="1">
        <v>3010</v>
      </c>
      <c r="C127" s="1" t="s">
        <v>1623</v>
      </c>
      <c r="D127" s="1" t="s">
        <v>1251</v>
      </c>
      <c r="E127" t="s">
        <v>415</v>
      </c>
      <c r="F127" s="103"/>
      <c r="G127" s="103"/>
      <c r="H127" s="103"/>
      <c r="I127" s="103">
        <v>26</v>
      </c>
      <c r="J127" s="88"/>
      <c r="K127" s="88"/>
    </row>
    <row r="128" spans="1:11" ht="12.75" customHeight="1">
      <c r="A128" s="1">
        <v>5</v>
      </c>
      <c r="B128" s="1">
        <v>3070</v>
      </c>
      <c r="C128" s="1" t="s">
        <v>1623</v>
      </c>
      <c r="D128" s="1" t="s">
        <v>1252</v>
      </c>
      <c r="E128" t="s">
        <v>416</v>
      </c>
      <c r="F128" s="103"/>
      <c r="G128" s="103">
        <v>20</v>
      </c>
      <c r="H128" s="103"/>
      <c r="I128" s="103"/>
      <c r="J128" s="88"/>
      <c r="K128" s="88"/>
    </row>
    <row r="129" spans="1:11" ht="12.75" customHeight="1">
      <c r="A129" s="1">
        <v>5</v>
      </c>
      <c r="B129" s="1">
        <v>3080</v>
      </c>
      <c r="C129" s="1" t="s">
        <v>1623</v>
      </c>
      <c r="D129" s="1" t="s">
        <v>1253</v>
      </c>
      <c r="E129" t="s">
        <v>417</v>
      </c>
      <c r="F129" s="103"/>
      <c r="G129" s="103">
        <v>40</v>
      </c>
      <c r="H129" s="103"/>
      <c r="I129" s="103">
        <v>9</v>
      </c>
      <c r="J129" s="88"/>
      <c r="K129" s="88"/>
    </row>
    <row r="130" spans="1:11" ht="12.75" customHeight="1">
      <c r="A130" s="1">
        <v>5</v>
      </c>
      <c r="B130" s="1">
        <v>3360</v>
      </c>
      <c r="C130" s="1" t="s">
        <v>1623</v>
      </c>
      <c r="D130" s="1" t="s">
        <v>1254</v>
      </c>
      <c r="E130" t="s">
        <v>418</v>
      </c>
      <c r="F130" s="103"/>
      <c r="G130" s="103"/>
      <c r="H130" s="103"/>
      <c r="I130" s="103">
        <v>30</v>
      </c>
      <c r="J130" s="88"/>
      <c r="K130" s="88"/>
    </row>
    <row r="131" spans="1:11" ht="12.75" customHeight="1">
      <c r="A131" s="1">
        <v>5</v>
      </c>
      <c r="B131" s="1">
        <v>3430</v>
      </c>
      <c r="C131" s="1" t="s">
        <v>1623</v>
      </c>
      <c r="D131" s="1" t="s">
        <v>1255</v>
      </c>
      <c r="E131" t="s">
        <v>419</v>
      </c>
      <c r="F131" s="103"/>
      <c r="G131" s="103">
        <v>45</v>
      </c>
      <c r="H131" s="103"/>
      <c r="I131" s="103"/>
      <c r="J131" s="156">
        <v>583288</v>
      </c>
      <c r="K131" s="88"/>
    </row>
    <row r="132" spans="1:11" ht="12.75" customHeight="1">
      <c r="A132" s="1">
        <v>5</v>
      </c>
      <c r="B132" s="1">
        <v>3440</v>
      </c>
      <c r="C132" s="1" t="s">
        <v>1623</v>
      </c>
      <c r="D132" s="1" t="s">
        <v>1256</v>
      </c>
      <c r="E132" t="s">
        <v>420</v>
      </c>
      <c r="F132" s="103"/>
      <c r="G132" s="103">
        <v>61</v>
      </c>
      <c r="H132" s="103">
        <v>5</v>
      </c>
      <c r="I132" s="103">
        <v>27</v>
      </c>
      <c r="J132" s="88"/>
      <c r="K132" s="88"/>
    </row>
    <row r="133" spans="1:11" ht="12.75" customHeight="1">
      <c r="A133" s="1">
        <v>5</v>
      </c>
      <c r="B133" s="1">
        <v>3540</v>
      </c>
      <c r="C133" s="1" t="s">
        <v>1623</v>
      </c>
      <c r="D133" s="1" t="s">
        <v>1257</v>
      </c>
      <c r="E133" t="s">
        <v>421</v>
      </c>
      <c r="F133" s="103">
        <v>16</v>
      </c>
      <c r="G133" s="103"/>
      <c r="H133" s="103"/>
      <c r="I133" s="103"/>
      <c r="J133" s="156">
        <v>108491</v>
      </c>
      <c r="K133" s="88"/>
    </row>
    <row r="134" spans="1:11" ht="12.75" customHeight="1">
      <c r="A134" s="1">
        <v>5</v>
      </c>
      <c r="B134" s="1">
        <v>3650</v>
      </c>
      <c r="C134" s="1" t="s">
        <v>1623</v>
      </c>
      <c r="D134" s="1" t="s">
        <v>1258</v>
      </c>
      <c r="E134" t="s">
        <v>422</v>
      </c>
      <c r="F134" s="103"/>
      <c r="G134" s="103">
        <v>137</v>
      </c>
      <c r="H134" s="103">
        <v>5</v>
      </c>
      <c r="I134" s="103">
        <v>14</v>
      </c>
      <c r="J134" s="88"/>
      <c r="K134" s="88"/>
    </row>
    <row r="135" spans="1:11" ht="12.75" customHeight="1">
      <c r="A135" s="1">
        <v>5</v>
      </c>
      <c r="B135" s="1">
        <v>3690</v>
      </c>
      <c r="C135" s="1" t="s">
        <v>1623</v>
      </c>
      <c r="D135" s="1" t="s">
        <v>1259</v>
      </c>
      <c r="E135" t="s">
        <v>423</v>
      </c>
      <c r="F135" s="103"/>
      <c r="G135" s="103"/>
      <c r="H135" s="103"/>
      <c r="I135" s="103"/>
      <c r="J135" s="88"/>
      <c r="K135" s="88"/>
    </row>
    <row r="136" spans="1:11" ht="12.75" customHeight="1">
      <c r="A136" s="1">
        <v>5</v>
      </c>
      <c r="B136" s="1">
        <v>3920</v>
      </c>
      <c r="C136" s="1" t="s">
        <v>1623</v>
      </c>
      <c r="D136" s="1" t="s">
        <v>1260</v>
      </c>
      <c r="E136" t="s">
        <v>424</v>
      </c>
      <c r="F136" s="103"/>
      <c r="G136" s="103">
        <v>34</v>
      </c>
      <c r="H136" s="103">
        <v>1</v>
      </c>
      <c r="I136" s="103"/>
      <c r="J136" s="88"/>
      <c r="K136" s="88"/>
    </row>
    <row r="137" spans="1:11" ht="12.75" customHeight="1">
      <c r="A137" s="1">
        <v>5</v>
      </c>
      <c r="B137" s="1">
        <v>4040</v>
      </c>
      <c r="C137" s="1" t="s">
        <v>1623</v>
      </c>
      <c r="D137" s="1" t="s">
        <v>1261</v>
      </c>
      <c r="E137" t="s">
        <v>425</v>
      </c>
      <c r="F137" s="103"/>
      <c r="G137" s="103">
        <v>6</v>
      </c>
      <c r="H137" s="103">
        <v>16</v>
      </c>
      <c r="I137" s="103"/>
      <c r="J137" s="156">
        <v>73370</v>
      </c>
      <c r="K137" s="88"/>
    </row>
    <row r="138" spans="1:11" ht="12.75" customHeight="1">
      <c r="A138" s="1">
        <v>5</v>
      </c>
      <c r="B138" s="1">
        <v>4050</v>
      </c>
      <c r="C138" s="1" t="s">
        <v>1623</v>
      </c>
      <c r="D138" s="1" t="s">
        <v>1262</v>
      </c>
      <c r="E138" t="s">
        <v>426</v>
      </c>
      <c r="F138" s="103">
        <v>368</v>
      </c>
      <c r="G138" s="103"/>
      <c r="H138" s="103"/>
      <c r="I138" s="103"/>
      <c r="J138" s="156">
        <v>5141733</v>
      </c>
      <c r="K138" s="88"/>
    </row>
    <row r="139" spans="1:11" ht="12.75" customHeight="1">
      <c r="A139" s="1">
        <v>5</v>
      </c>
      <c r="B139" s="1">
        <v>4320</v>
      </c>
      <c r="C139" s="1" t="s">
        <v>1623</v>
      </c>
      <c r="D139" s="1" t="s">
        <v>1263</v>
      </c>
      <c r="E139" t="s">
        <v>427</v>
      </c>
      <c r="F139" s="103"/>
      <c r="G139" s="103"/>
      <c r="H139" s="103"/>
      <c r="I139" s="103"/>
      <c r="J139" s="88"/>
      <c r="K139" s="88"/>
    </row>
    <row r="140" spans="1:11" ht="12.75" customHeight="1">
      <c r="A140" s="1">
        <v>5</v>
      </c>
      <c r="B140" s="1">
        <v>4450</v>
      </c>
      <c r="C140" s="1" t="s">
        <v>1623</v>
      </c>
      <c r="D140" s="1" t="s">
        <v>1264</v>
      </c>
      <c r="E140" t="s">
        <v>428</v>
      </c>
      <c r="F140" s="103"/>
      <c r="G140" s="103">
        <v>48</v>
      </c>
      <c r="H140" s="103"/>
      <c r="I140" s="103">
        <v>7</v>
      </c>
      <c r="J140" s="156">
        <v>694161</v>
      </c>
      <c r="K140" s="88"/>
    </row>
    <row r="141" spans="1:11" ht="12.75" customHeight="1">
      <c r="A141" s="1">
        <v>5</v>
      </c>
      <c r="B141" s="1">
        <v>4460</v>
      </c>
      <c r="C141" s="1" t="s">
        <v>1623</v>
      </c>
      <c r="D141" s="1" t="s">
        <v>1265</v>
      </c>
      <c r="E141" t="s">
        <v>429</v>
      </c>
      <c r="F141" s="103"/>
      <c r="G141" s="103">
        <v>10</v>
      </c>
      <c r="H141" s="103"/>
      <c r="I141" s="103"/>
      <c r="J141" s="88"/>
      <c r="K141" s="88"/>
    </row>
    <row r="142" spans="1:11" ht="12.75" customHeight="1">
      <c r="A142" s="1">
        <v>5</v>
      </c>
      <c r="B142" s="1">
        <v>4740</v>
      </c>
      <c r="C142" s="1" t="s">
        <v>1623</v>
      </c>
      <c r="D142" s="1" t="s">
        <v>1266</v>
      </c>
      <c r="E142" t="s">
        <v>430</v>
      </c>
      <c r="F142" s="103"/>
      <c r="G142" s="103">
        <v>9</v>
      </c>
      <c r="H142" s="103"/>
      <c r="I142" s="103">
        <v>6</v>
      </c>
      <c r="J142" s="88"/>
      <c r="K142" s="88"/>
    </row>
    <row r="143" spans="1:11" ht="12.75" customHeight="1">
      <c r="A143" s="1">
        <v>5</v>
      </c>
      <c r="B143" s="1">
        <v>4930</v>
      </c>
      <c r="C143" s="1" t="s">
        <v>1623</v>
      </c>
      <c r="D143" s="1" t="s">
        <v>1267</v>
      </c>
      <c r="E143" t="s">
        <v>431</v>
      </c>
      <c r="F143" s="103"/>
      <c r="G143" s="103"/>
      <c r="H143" s="103"/>
      <c r="I143" s="103">
        <v>9</v>
      </c>
      <c r="J143" s="88"/>
      <c r="K143" s="88"/>
    </row>
    <row r="144" spans="1:11" ht="12.75" customHeight="1">
      <c r="A144" s="1">
        <v>5</v>
      </c>
      <c r="B144" s="1">
        <v>5010</v>
      </c>
      <c r="C144" s="1" t="s">
        <v>1623</v>
      </c>
      <c r="D144" s="1" t="s">
        <v>1268</v>
      </c>
      <c r="E144" t="s">
        <v>432</v>
      </c>
      <c r="F144" s="103"/>
      <c r="G144" s="103"/>
      <c r="H144" s="103"/>
      <c r="I144" s="103"/>
      <c r="J144" s="88"/>
      <c r="K144" s="88"/>
    </row>
    <row r="145" spans="1:11" ht="12.75" customHeight="1">
      <c r="A145" s="1">
        <v>5</v>
      </c>
      <c r="B145" s="1">
        <v>5130</v>
      </c>
      <c r="C145" s="1" t="s">
        <v>1623</v>
      </c>
      <c r="D145" s="1" t="s">
        <v>1269</v>
      </c>
      <c r="E145" t="s">
        <v>433</v>
      </c>
      <c r="F145" s="103"/>
      <c r="G145" s="103"/>
      <c r="H145" s="103">
        <v>8</v>
      </c>
      <c r="I145" s="103"/>
      <c r="J145" s="88"/>
      <c r="K145" s="88"/>
    </row>
    <row r="146" spans="1:11" ht="12.75" customHeight="1">
      <c r="A146" s="1">
        <v>5</v>
      </c>
      <c r="B146" s="1">
        <v>5490</v>
      </c>
      <c r="C146" s="1" t="s">
        <v>1623</v>
      </c>
      <c r="D146" s="1" t="s">
        <v>1270</v>
      </c>
      <c r="E146" t="s">
        <v>434</v>
      </c>
      <c r="F146" s="103"/>
      <c r="G146" s="103"/>
      <c r="H146" s="103"/>
      <c r="I146" s="103"/>
      <c r="J146" s="88"/>
      <c r="K146" s="88"/>
    </row>
    <row r="147" spans="1:11" ht="12.75" customHeight="1">
      <c r="A147" s="1">
        <v>5</v>
      </c>
      <c r="B147" s="1">
        <v>5720</v>
      </c>
      <c r="C147" s="1" t="s">
        <v>1623</v>
      </c>
      <c r="D147" s="1" t="s">
        <v>1271</v>
      </c>
      <c r="E147" t="s">
        <v>435</v>
      </c>
      <c r="F147" s="103"/>
      <c r="G147" s="103"/>
      <c r="H147" s="103"/>
      <c r="I147" s="103">
        <v>11</v>
      </c>
      <c r="J147" s="88"/>
      <c r="K147" s="88"/>
    </row>
    <row r="148" spans="1:11" ht="12.75" customHeight="1">
      <c r="A148" s="1">
        <v>5</v>
      </c>
      <c r="B148" s="1">
        <v>5805</v>
      </c>
      <c r="C148" s="1" t="s">
        <v>1623</v>
      </c>
      <c r="D148" s="1" t="s">
        <v>1272</v>
      </c>
      <c r="E148" t="s">
        <v>436</v>
      </c>
      <c r="F148" s="103">
        <v>250</v>
      </c>
      <c r="G148" s="103"/>
      <c r="H148" s="103">
        <v>5</v>
      </c>
      <c r="I148" s="103">
        <v>10</v>
      </c>
      <c r="J148" s="156">
        <v>1930678</v>
      </c>
      <c r="K148" s="88"/>
    </row>
    <row r="149" spans="1:11" ht="12.75" customHeight="1">
      <c r="A149" s="1">
        <v>5</v>
      </c>
      <c r="B149" s="1">
        <v>5890</v>
      </c>
      <c r="C149" s="1" t="s">
        <v>1623</v>
      </c>
      <c r="D149" s="1" t="s">
        <v>1273</v>
      </c>
      <c r="E149" t="s">
        <v>437</v>
      </c>
      <c r="F149" s="103"/>
      <c r="G149" s="103"/>
      <c r="H149" s="103"/>
      <c r="I149" s="103">
        <v>3</v>
      </c>
      <c r="J149" s="88"/>
      <c r="K149" s="88"/>
    </row>
    <row r="150" spans="1:11" ht="12.75" customHeight="1">
      <c r="A150" s="1">
        <v>7</v>
      </c>
      <c r="B150" s="1">
        <v>150</v>
      </c>
      <c r="C150" s="1" t="s">
        <v>1274</v>
      </c>
      <c r="D150" s="1" t="s">
        <v>1275</v>
      </c>
      <c r="E150" t="s">
        <v>438</v>
      </c>
      <c r="F150" s="103"/>
      <c r="G150" s="103">
        <v>22</v>
      </c>
      <c r="H150" s="103"/>
      <c r="I150" s="103"/>
      <c r="J150" s="88"/>
      <c r="K150" s="88"/>
    </row>
    <row r="151" spans="1:11" ht="12.75" customHeight="1">
      <c r="A151" s="1">
        <v>7</v>
      </c>
      <c r="B151" s="1">
        <v>160</v>
      </c>
      <c r="C151" s="1" t="s">
        <v>1274</v>
      </c>
      <c r="D151" s="1" t="s">
        <v>1276</v>
      </c>
      <c r="E151"/>
      <c r="F151" s="103"/>
      <c r="G151" s="103"/>
      <c r="H151" s="103"/>
      <c r="I151" s="103"/>
      <c r="J151" s="88"/>
      <c r="K151" s="88"/>
    </row>
    <row r="152" spans="1:11" ht="12.75" customHeight="1">
      <c r="A152" s="1">
        <v>7</v>
      </c>
      <c r="B152" s="1">
        <v>190</v>
      </c>
      <c r="C152" s="1" t="s">
        <v>1274</v>
      </c>
      <c r="D152" s="1" t="s">
        <v>1277</v>
      </c>
      <c r="E152" t="s">
        <v>439</v>
      </c>
      <c r="F152" s="103"/>
      <c r="G152" s="103"/>
      <c r="H152" s="103">
        <v>7</v>
      </c>
      <c r="I152" s="103"/>
      <c r="J152" s="88"/>
      <c r="K152" s="88"/>
    </row>
    <row r="153" spans="1:11" ht="12.75" customHeight="1">
      <c r="A153" s="1">
        <v>7</v>
      </c>
      <c r="B153" s="1">
        <v>260</v>
      </c>
      <c r="C153" s="1" t="s">
        <v>1274</v>
      </c>
      <c r="D153" s="1" t="s">
        <v>1278</v>
      </c>
      <c r="E153" t="s">
        <v>440</v>
      </c>
      <c r="F153" s="103"/>
      <c r="G153" s="103">
        <v>75</v>
      </c>
      <c r="H153" s="103"/>
      <c r="I153" s="103">
        <v>11</v>
      </c>
      <c r="J153" s="156">
        <v>478952</v>
      </c>
      <c r="K153" s="88"/>
    </row>
    <row r="154" spans="1:11" ht="12.75" customHeight="1">
      <c r="A154" s="1">
        <v>7</v>
      </c>
      <c r="B154" s="1">
        <v>330</v>
      </c>
      <c r="C154" s="1" t="s">
        <v>1274</v>
      </c>
      <c r="D154" s="1" t="s">
        <v>1279</v>
      </c>
      <c r="E154" t="s">
        <v>441</v>
      </c>
      <c r="F154" s="103"/>
      <c r="G154" s="103">
        <v>13</v>
      </c>
      <c r="H154" s="103"/>
      <c r="I154" s="103">
        <v>5</v>
      </c>
      <c r="J154" s="88"/>
      <c r="K154" s="88"/>
    </row>
    <row r="155" spans="1:11" ht="12.75" customHeight="1">
      <c r="A155" s="1">
        <v>7</v>
      </c>
      <c r="B155" s="1">
        <v>340</v>
      </c>
      <c r="C155" s="1" t="s">
        <v>1274</v>
      </c>
      <c r="D155" s="1" t="s">
        <v>1280</v>
      </c>
      <c r="E155" t="s">
        <v>442</v>
      </c>
      <c r="F155" s="103"/>
      <c r="G155" s="103">
        <v>51</v>
      </c>
      <c r="H155" s="103"/>
      <c r="I155" s="103">
        <v>9</v>
      </c>
      <c r="J155" s="156">
        <v>323662</v>
      </c>
      <c r="K155" s="88"/>
    </row>
    <row r="156" spans="1:11" ht="12.75" customHeight="1">
      <c r="A156" s="1">
        <v>7</v>
      </c>
      <c r="B156" s="1">
        <v>390</v>
      </c>
      <c r="C156" s="1" t="s">
        <v>1274</v>
      </c>
      <c r="D156" s="1" t="s">
        <v>1281</v>
      </c>
      <c r="E156" t="s">
        <v>443</v>
      </c>
      <c r="F156" s="103"/>
      <c r="G156" s="103"/>
      <c r="H156" s="103"/>
      <c r="I156" s="103"/>
      <c r="J156" s="88"/>
      <c r="K156" s="88"/>
    </row>
    <row r="157" spans="1:11" ht="12.75" customHeight="1">
      <c r="A157" s="1">
        <v>7</v>
      </c>
      <c r="B157" s="1">
        <v>580</v>
      </c>
      <c r="C157" s="1" t="s">
        <v>1274</v>
      </c>
      <c r="D157" s="1" t="s">
        <v>1282</v>
      </c>
      <c r="E157" t="s">
        <v>444</v>
      </c>
      <c r="F157" s="103">
        <v>20</v>
      </c>
      <c r="G157" s="103"/>
      <c r="H157" s="103"/>
      <c r="I157" s="103"/>
      <c r="J157" s="156">
        <v>138977</v>
      </c>
      <c r="K157" s="88"/>
    </row>
    <row r="158" spans="1:11" ht="12.75" customHeight="1">
      <c r="A158" s="1">
        <v>7</v>
      </c>
      <c r="B158" s="1">
        <v>680</v>
      </c>
      <c r="C158" s="1" t="s">
        <v>1274</v>
      </c>
      <c r="D158" s="1" t="s">
        <v>1283</v>
      </c>
      <c r="E158" t="s">
        <v>445</v>
      </c>
      <c r="F158" s="103">
        <v>1595</v>
      </c>
      <c r="G158" s="103"/>
      <c r="H158" s="103">
        <v>127</v>
      </c>
      <c r="I158" s="103"/>
      <c r="J158" s="156">
        <v>13531671</v>
      </c>
      <c r="K158" s="156">
        <v>4947305</v>
      </c>
    </row>
    <row r="159" spans="1:11" ht="12.75" customHeight="1">
      <c r="A159" s="1">
        <v>7</v>
      </c>
      <c r="B159" s="1">
        <v>695</v>
      </c>
      <c r="C159" s="1" t="s">
        <v>1274</v>
      </c>
      <c r="D159" s="1" t="s">
        <v>1114</v>
      </c>
      <c r="E159"/>
      <c r="F159" s="103"/>
      <c r="G159" s="103"/>
      <c r="H159" s="103"/>
      <c r="I159" s="103"/>
      <c r="J159" s="88"/>
      <c r="K159" s="88"/>
    </row>
    <row r="160" spans="1:11" ht="12.75" customHeight="1">
      <c r="A160" s="1">
        <v>7</v>
      </c>
      <c r="B160" s="1">
        <v>700</v>
      </c>
      <c r="C160" s="1" t="s">
        <v>1274</v>
      </c>
      <c r="D160" s="1" t="s">
        <v>1115</v>
      </c>
      <c r="E160" t="s">
        <v>446</v>
      </c>
      <c r="F160" s="103"/>
      <c r="G160" s="103"/>
      <c r="H160" s="103"/>
      <c r="I160" s="103"/>
      <c r="J160" s="88"/>
      <c r="K160" s="88"/>
    </row>
    <row r="161" spans="1:11" ht="12.75" customHeight="1">
      <c r="A161" s="1">
        <v>7</v>
      </c>
      <c r="B161" s="1">
        <v>800</v>
      </c>
      <c r="C161" s="1" t="s">
        <v>1274</v>
      </c>
      <c r="D161" s="1" t="s">
        <v>1116</v>
      </c>
      <c r="E161" t="s">
        <v>447</v>
      </c>
      <c r="F161" s="103"/>
      <c r="G161" s="103">
        <v>273</v>
      </c>
      <c r="H161" s="103">
        <v>4</v>
      </c>
      <c r="I161" s="103">
        <v>11</v>
      </c>
      <c r="J161" s="88"/>
      <c r="K161" s="88"/>
    </row>
    <row r="162" spans="1:11" ht="12.75" customHeight="1">
      <c r="A162" s="1">
        <v>7</v>
      </c>
      <c r="B162" s="1">
        <v>810</v>
      </c>
      <c r="C162" s="1" t="s">
        <v>1274</v>
      </c>
      <c r="D162" s="1" t="s">
        <v>1117</v>
      </c>
      <c r="E162" t="s">
        <v>340</v>
      </c>
      <c r="F162" s="103">
        <v>12</v>
      </c>
      <c r="G162" s="103"/>
      <c r="H162" s="103"/>
      <c r="I162" s="103"/>
      <c r="J162" s="156">
        <v>171259</v>
      </c>
      <c r="K162" s="88"/>
    </row>
    <row r="163" spans="1:11" ht="12.75" customHeight="1">
      <c r="A163" s="1">
        <v>7</v>
      </c>
      <c r="B163" s="1">
        <v>880</v>
      </c>
      <c r="C163" s="1" t="s">
        <v>1274</v>
      </c>
      <c r="D163" s="1" t="s">
        <v>1118</v>
      </c>
      <c r="E163" t="s">
        <v>341</v>
      </c>
      <c r="F163" s="103"/>
      <c r="G163" s="103">
        <v>23</v>
      </c>
      <c r="H163" s="103"/>
      <c r="I163" s="103"/>
      <c r="J163" s="156">
        <v>317085</v>
      </c>
      <c r="K163" s="88"/>
    </row>
    <row r="164" spans="1:11" ht="12.75" customHeight="1">
      <c r="A164" s="1">
        <v>7</v>
      </c>
      <c r="B164" s="1">
        <v>940</v>
      </c>
      <c r="C164" s="1" t="s">
        <v>1274</v>
      </c>
      <c r="D164" s="1" t="s">
        <v>1119</v>
      </c>
      <c r="E164" t="s">
        <v>342</v>
      </c>
      <c r="F164" s="103">
        <v>2</v>
      </c>
      <c r="G164" s="103">
        <v>24</v>
      </c>
      <c r="H164" s="103">
        <v>6</v>
      </c>
      <c r="I164" s="103"/>
      <c r="J164" s="88"/>
      <c r="K164" s="88"/>
    </row>
    <row r="165" spans="1:11" ht="12.75" customHeight="1">
      <c r="A165" s="1">
        <v>7</v>
      </c>
      <c r="B165" s="1">
        <v>1255</v>
      </c>
      <c r="C165" s="1" t="s">
        <v>1274</v>
      </c>
      <c r="D165" s="1" t="s">
        <v>1120</v>
      </c>
      <c r="E165" t="s">
        <v>343</v>
      </c>
      <c r="F165" s="103"/>
      <c r="G165" s="103"/>
      <c r="H165" s="103"/>
      <c r="I165" s="103"/>
      <c r="J165" s="88"/>
      <c r="K165" s="88"/>
    </row>
    <row r="166" spans="1:11" ht="12.75" customHeight="1">
      <c r="A166" s="1">
        <v>7</v>
      </c>
      <c r="B166" s="1">
        <v>1720</v>
      </c>
      <c r="C166" s="1" t="s">
        <v>1274</v>
      </c>
      <c r="D166" s="1" t="s">
        <v>1121</v>
      </c>
      <c r="E166" t="s">
        <v>344</v>
      </c>
      <c r="F166" s="103"/>
      <c r="G166" s="103">
        <v>12</v>
      </c>
      <c r="H166" s="103"/>
      <c r="I166" s="103">
        <v>3</v>
      </c>
      <c r="J166" s="88"/>
      <c r="K166" s="88"/>
    </row>
    <row r="167" spans="1:11" ht="12.75" customHeight="1">
      <c r="A167" s="1">
        <v>7</v>
      </c>
      <c r="B167" s="1">
        <v>1770</v>
      </c>
      <c r="C167" s="1" t="s">
        <v>1274</v>
      </c>
      <c r="D167" s="1" t="s">
        <v>1122</v>
      </c>
      <c r="E167" t="s">
        <v>345</v>
      </c>
      <c r="F167" s="103">
        <v>252</v>
      </c>
      <c r="G167" s="103"/>
      <c r="H167" s="103">
        <v>10</v>
      </c>
      <c r="I167" s="103"/>
      <c r="J167" s="156">
        <v>1067266</v>
      </c>
      <c r="K167" s="88"/>
    </row>
    <row r="168" spans="1:11" ht="12.75" customHeight="1">
      <c r="A168" s="1">
        <v>7</v>
      </c>
      <c r="B168" s="1">
        <v>1780</v>
      </c>
      <c r="C168" s="1" t="s">
        <v>1274</v>
      </c>
      <c r="D168" s="1" t="s">
        <v>1123</v>
      </c>
      <c r="E168" t="s">
        <v>346</v>
      </c>
      <c r="F168" s="103"/>
      <c r="G168" s="103">
        <v>78</v>
      </c>
      <c r="H168" s="103">
        <v>6</v>
      </c>
      <c r="I168" s="103">
        <v>48</v>
      </c>
      <c r="J168" s="88"/>
      <c r="K168" s="88"/>
    </row>
    <row r="169" spans="1:11" ht="12.75" customHeight="1">
      <c r="A169" s="1">
        <v>7</v>
      </c>
      <c r="B169" s="1">
        <v>1880</v>
      </c>
      <c r="C169" s="1" t="s">
        <v>1274</v>
      </c>
      <c r="D169" s="1" t="s">
        <v>1124</v>
      </c>
      <c r="E169" t="s">
        <v>347</v>
      </c>
      <c r="F169" s="103"/>
      <c r="G169" s="103"/>
      <c r="H169" s="103"/>
      <c r="I169" s="103">
        <v>4</v>
      </c>
      <c r="J169" s="88"/>
      <c r="K169" s="88"/>
    </row>
    <row r="170" spans="1:11" ht="12.75" customHeight="1">
      <c r="A170" s="1">
        <v>7</v>
      </c>
      <c r="B170" s="1">
        <v>1890</v>
      </c>
      <c r="C170" s="1" t="s">
        <v>1274</v>
      </c>
      <c r="D170" s="1" t="s">
        <v>1125</v>
      </c>
      <c r="E170" t="s">
        <v>348</v>
      </c>
      <c r="F170" s="103"/>
      <c r="G170" s="103">
        <v>100</v>
      </c>
      <c r="H170" s="103"/>
      <c r="I170" s="103">
        <v>11</v>
      </c>
      <c r="J170" s="88"/>
      <c r="K170" s="88"/>
    </row>
    <row r="171" spans="1:11" ht="12.75" customHeight="1">
      <c r="A171" s="1">
        <v>7</v>
      </c>
      <c r="B171" s="1">
        <v>1900</v>
      </c>
      <c r="C171" s="1" t="s">
        <v>1274</v>
      </c>
      <c r="D171" s="1" t="s">
        <v>1126</v>
      </c>
      <c r="E171" t="s">
        <v>349</v>
      </c>
      <c r="F171" s="103"/>
      <c r="G171" s="103">
        <v>76</v>
      </c>
      <c r="H171" s="103"/>
      <c r="I171" s="103"/>
      <c r="J171" s="88"/>
      <c r="K171" s="88"/>
    </row>
    <row r="172" spans="1:11" ht="12.75" customHeight="1">
      <c r="A172" s="1">
        <v>7</v>
      </c>
      <c r="B172" s="1">
        <v>2130</v>
      </c>
      <c r="C172" s="1" t="s">
        <v>1274</v>
      </c>
      <c r="D172" s="1" t="s">
        <v>1127</v>
      </c>
      <c r="E172"/>
      <c r="F172" s="103"/>
      <c r="G172" s="103"/>
      <c r="H172" s="103"/>
      <c r="I172" s="103"/>
      <c r="J172" s="88"/>
      <c r="K172" s="88"/>
    </row>
    <row r="173" spans="1:11" ht="12.75" customHeight="1">
      <c r="A173" s="1">
        <v>7</v>
      </c>
      <c r="B173" s="1">
        <v>2540</v>
      </c>
      <c r="C173" s="1" t="s">
        <v>1274</v>
      </c>
      <c r="D173" s="1" t="s">
        <v>1128</v>
      </c>
      <c r="E173" t="s">
        <v>350</v>
      </c>
      <c r="F173" s="103"/>
      <c r="G173" s="103">
        <v>11</v>
      </c>
      <c r="H173" s="103"/>
      <c r="I173" s="103"/>
      <c r="J173" s="88"/>
      <c r="K173" s="88"/>
    </row>
    <row r="174" spans="1:11" ht="12.75" customHeight="1">
      <c r="A174" s="1">
        <v>7</v>
      </c>
      <c r="B174" s="1">
        <v>2560</v>
      </c>
      <c r="C174" s="1" t="s">
        <v>1274</v>
      </c>
      <c r="D174" s="1" t="s">
        <v>1129</v>
      </c>
      <c r="E174" t="s">
        <v>351</v>
      </c>
      <c r="F174" s="103">
        <v>8</v>
      </c>
      <c r="G174" s="103"/>
      <c r="H174" s="103"/>
      <c r="I174" s="103"/>
      <c r="J174" s="156">
        <v>283101</v>
      </c>
      <c r="K174" s="88"/>
    </row>
    <row r="175" spans="1:11" ht="12.75" customHeight="1">
      <c r="A175" s="1">
        <v>7</v>
      </c>
      <c r="B175" s="1">
        <v>2670</v>
      </c>
      <c r="C175" s="1" t="s">
        <v>1274</v>
      </c>
      <c r="D175" s="1" t="s">
        <v>1130</v>
      </c>
      <c r="E175" t="s">
        <v>352</v>
      </c>
      <c r="F175" s="103">
        <v>76</v>
      </c>
      <c r="G175" s="103">
        <v>6</v>
      </c>
      <c r="H175" s="103"/>
      <c r="I175" s="103">
        <v>13</v>
      </c>
      <c r="J175" s="156">
        <v>1130478</v>
      </c>
      <c r="K175" s="88"/>
    </row>
    <row r="176" spans="1:11" ht="12.75" customHeight="1">
      <c r="A176" s="1">
        <v>7</v>
      </c>
      <c r="B176" s="1">
        <v>2890</v>
      </c>
      <c r="C176" s="1" t="s">
        <v>1274</v>
      </c>
      <c r="D176" s="1" t="s">
        <v>1131</v>
      </c>
      <c r="E176" t="s">
        <v>353</v>
      </c>
      <c r="F176" s="103"/>
      <c r="G176" s="103">
        <v>21</v>
      </c>
      <c r="H176" s="103">
        <v>4</v>
      </c>
      <c r="I176" s="103">
        <v>3</v>
      </c>
      <c r="J176" s="156">
        <v>156944</v>
      </c>
      <c r="K176" s="88"/>
    </row>
    <row r="177" spans="1:11" ht="12.75" customHeight="1">
      <c r="A177" s="1">
        <v>7</v>
      </c>
      <c r="B177" s="1">
        <v>3110</v>
      </c>
      <c r="C177" s="1" t="s">
        <v>1274</v>
      </c>
      <c r="D177" s="1" t="s">
        <v>1132</v>
      </c>
      <c r="E177" t="s">
        <v>354</v>
      </c>
      <c r="F177" s="103"/>
      <c r="G177" s="103">
        <v>28</v>
      </c>
      <c r="H177" s="103"/>
      <c r="I177" s="103"/>
      <c r="J177" s="156">
        <v>204379</v>
      </c>
      <c r="K177" s="88"/>
    </row>
    <row r="178" spans="1:11" ht="12.75" customHeight="1">
      <c r="A178" s="1">
        <v>7</v>
      </c>
      <c r="B178" s="1">
        <v>3420</v>
      </c>
      <c r="C178" s="1" t="s">
        <v>1274</v>
      </c>
      <c r="D178" s="1" t="s">
        <v>1133</v>
      </c>
      <c r="E178" t="s">
        <v>355</v>
      </c>
      <c r="F178" s="103"/>
      <c r="G178" s="103">
        <v>29</v>
      </c>
      <c r="H178" s="103"/>
      <c r="I178" s="103"/>
      <c r="J178" s="88"/>
      <c r="K178" s="88"/>
    </row>
    <row r="179" spans="1:11" ht="12.75" customHeight="1">
      <c r="A179" s="1">
        <v>7</v>
      </c>
      <c r="B179" s="1">
        <v>3770</v>
      </c>
      <c r="C179" s="1" t="s">
        <v>1274</v>
      </c>
      <c r="D179" s="1" t="s">
        <v>1134</v>
      </c>
      <c r="E179" t="s">
        <v>356</v>
      </c>
      <c r="F179" s="103"/>
      <c r="G179" s="103"/>
      <c r="H179" s="103">
        <v>5</v>
      </c>
      <c r="I179" s="103"/>
      <c r="J179" s="88"/>
      <c r="K179" s="88"/>
    </row>
    <row r="180" spans="1:11" ht="12.75" customHeight="1">
      <c r="A180" s="1">
        <v>7</v>
      </c>
      <c r="B180" s="1">
        <v>4060</v>
      </c>
      <c r="C180" s="1" t="s">
        <v>1274</v>
      </c>
      <c r="D180" s="1" t="s">
        <v>1135</v>
      </c>
      <c r="E180" t="s">
        <v>357</v>
      </c>
      <c r="F180" s="103"/>
      <c r="G180" s="103">
        <v>141</v>
      </c>
      <c r="H180" s="103">
        <v>5</v>
      </c>
      <c r="I180" s="103">
        <v>34</v>
      </c>
      <c r="J180" s="156">
        <v>2727887</v>
      </c>
      <c r="K180" s="88"/>
    </row>
    <row r="181" spans="1:11" ht="12.75" customHeight="1">
      <c r="A181" s="1">
        <v>7</v>
      </c>
      <c r="B181" s="1">
        <v>4110</v>
      </c>
      <c r="C181" s="1" t="s">
        <v>1274</v>
      </c>
      <c r="D181" s="1" t="s">
        <v>1136</v>
      </c>
      <c r="E181" t="s">
        <v>358</v>
      </c>
      <c r="F181" s="103"/>
      <c r="G181" s="103">
        <v>47</v>
      </c>
      <c r="H181" s="103"/>
      <c r="I181" s="103">
        <v>11</v>
      </c>
      <c r="J181" s="156">
        <v>818556</v>
      </c>
      <c r="K181" s="88"/>
    </row>
    <row r="182" spans="1:11" ht="12.75" customHeight="1">
      <c r="A182" s="1">
        <v>7</v>
      </c>
      <c r="B182" s="1">
        <v>4590</v>
      </c>
      <c r="C182" s="1" t="s">
        <v>1274</v>
      </c>
      <c r="D182" s="1" t="s">
        <v>1137</v>
      </c>
      <c r="E182" t="s">
        <v>359</v>
      </c>
      <c r="F182" s="103"/>
      <c r="G182" s="103"/>
      <c r="H182" s="103"/>
      <c r="I182" s="103">
        <v>9</v>
      </c>
      <c r="J182" s="88"/>
      <c r="K182" s="88"/>
    </row>
    <row r="183" spans="1:11" ht="12.75" customHeight="1">
      <c r="A183" s="1">
        <v>7</v>
      </c>
      <c r="B183" s="1">
        <v>4790</v>
      </c>
      <c r="C183" s="1" t="s">
        <v>1274</v>
      </c>
      <c r="D183" s="1" t="s">
        <v>1138</v>
      </c>
      <c r="E183" t="s">
        <v>360</v>
      </c>
      <c r="F183" s="103"/>
      <c r="G183" s="103">
        <v>16</v>
      </c>
      <c r="H183" s="103"/>
      <c r="I183" s="103">
        <v>6</v>
      </c>
      <c r="J183" s="156">
        <v>256054</v>
      </c>
      <c r="K183" s="88"/>
    </row>
    <row r="184" spans="1:11" ht="12.75" customHeight="1">
      <c r="A184" s="1">
        <v>7</v>
      </c>
      <c r="B184" s="1">
        <v>5035</v>
      </c>
      <c r="C184" s="1" t="s">
        <v>1274</v>
      </c>
      <c r="D184" s="1" t="s">
        <v>1139</v>
      </c>
      <c r="E184" t="s">
        <v>361</v>
      </c>
      <c r="F184" s="103"/>
      <c r="G184" s="103"/>
      <c r="H184" s="103"/>
      <c r="I184" s="103"/>
      <c r="J184" s="88"/>
      <c r="K184" s="88"/>
    </row>
    <row r="185" spans="1:11" ht="12.75" customHeight="1">
      <c r="A185" s="1">
        <v>7</v>
      </c>
      <c r="B185" s="1">
        <v>5080</v>
      </c>
      <c r="C185" s="1" t="s">
        <v>1274</v>
      </c>
      <c r="D185" s="1" t="s">
        <v>1140</v>
      </c>
      <c r="E185" t="s">
        <v>362</v>
      </c>
      <c r="F185" s="103"/>
      <c r="G185" s="103">
        <v>15</v>
      </c>
      <c r="H185" s="103"/>
      <c r="I185" s="103">
        <v>2</v>
      </c>
      <c r="J185" s="88"/>
      <c r="K185" s="88"/>
    </row>
    <row r="186" spans="1:11" ht="12.75" customHeight="1">
      <c r="A186" s="1">
        <v>7</v>
      </c>
      <c r="B186" s="1">
        <v>5400</v>
      </c>
      <c r="C186" s="1" t="s">
        <v>1274</v>
      </c>
      <c r="D186" s="1" t="s">
        <v>1142</v>
      </c>
      <c r="E186" t="s">
        <v>363</v>
      </c>
      <c r="F186" s="103"/>
      <c r="G186" s="103">
        <v>53</v>
      </c>
      <c r="H186" s="103">
        <v>5</v>
      </c>
      <c r="I186" s="103">
        <v>8</v>
      </c>
      <c r="J186" s="88"/>
      <c r="K186" s="88"/>
    </row>
    <row r="187" spans="1:11" ht="12.75" customHeight="1">
      <c r="A187" s="1">
        <v>7</v>
      </c>
      <c r="B187" s="1">
        <v>5560</v>
      </c>
      <c r="C187" s="1" t="s">
        <v>1274</v>
      </c>
      <c r="D187" s="1" t="s">
        <v>1143</v>
      </c>
      <c r="E187" t="s">
        <v>364</v>
      </c>
      <c r="F187" s="103"/>
      <c r="G187" s="103">
        <v>23</v>
      </c>
      <c r="H187" s="103"/>
      <c r="I187" s="103">
        <v>6</v>
      </c>
      <c r="J187" s="88"/>
      <c r="K187" s="88"/>
    </row>
    <row r="188" spans="1:11" ht="12.75" customHeight="1">
      <c r="A188" s="1">
        <v>7</v>
      </c>
      <c r="B188" s="1">
        <v>5820</v>
      </c>
      <c r="C188" s="1" t="s">
        <v>1274</v>
      </c>
      <c r="D188" s="1" t="s">
        <v>1144</v>
      </c>
      <c r="E188" t="s">
        <v>365</v>
      </c>
      <c r="F188" s="103">
        <v>73</v>
      </c>
      <c r="G188" s="103">
        <v>216</v>
      </c>
      <c r="H188" s="103">
        <v>53</v>
      </c>
      <c r="I188" s="103">
        <v>4</v>
      </c>
      <c r="J188" s="156">
        <v>3142789</v>
      </c>
      <c r="K188" s="88"/>
    </row>
    <row r="189" spans="1:11" ht="12.75" customHeight="1">
      <c r="A189" s="1">
        <v>7</v>
      </c>
      <c r="B189" s="1">
        <v>5900</v>
      </c>
      <c r="C189" s="1" t="s">
        <v>1274</v>
      </c>
      <c r="D189" s="1" t="s">
        <v>1145</v>
      </c>
      <c r="E189" t="s">
        <v>366</v>
      </c>
      <c r="F189" s="103"/>
      <c r="G189" s="103">
        <v>20</v>
      </c>
      <c r="H189" s="103"/>
      <c r="I189" s="103">
        <v>4</v>
      </c>
      <c r="J189" s="156">
        <v>351556</v>
      </c>
      <c r="K189" s="88"/>
    </row>
    <row r="190" spans="1:11" ht="12.75" customHeight="1">
      <c r="A190" s="1">
        <v>9</v>
      </c>
      <c r="B190" s="1">
        <v>170</v>
      </c>
      <c r="C190" s="1" t="s">
        <v>1146</v>
      </c>
      <c r="D190" s="1" t="s">
        <v>1147</v>
      </c>
      <c r="E190" t="s">
        <v>367</v>
      </c>
      <c r="F190" s="103"/>
      <c r="G190" s="103"/>
      <c r="H190" s="103"/>
      <c r="I190" s="103"/>
      <c r="J190" s="88"/>
      <c r="K190" s="88"/>
    </row>
    <row r="191" spans="1:11" ht="12.75" customHeight="1">
      <c r="A191" s="1">
        <v>9</v>
      </c>
      <c r="B191" s="1">
        <v>710</v>
      </c>
      <c r="C191" s="1" t="s">
        <v>1146</v>
      </c>
      <c r="D191" s="1" t="s">
        <v>1148</v>
      </c>
      <c r="E191" t="s">
        <v>368</v>
      </c>
      <c r="F191" s="103"/>
      <c r="G191" s="103">
        <v>20</v>
      </c>
      <c r="H191" s="103"/>
      <c r="I191" s="103"/>
      <c r="J191" s="156">
        <v>101706</v>
      </c>
      <c r="K191" s="88"/>
    </row>
    <row r="192" spans="1:11" ht="12.75" customHeight="1">
      <c r="A192" s="1">
        <v>9</v>
      </c>
      <c r="B192" s="1">
        <v>715</v>
      </c>
      <c r="C192" s="1" t="s">
        <v>1146</v>
      </c>
      <c r="D192" s="1" t="s">
        <v>1149</v>
      </c>
      <c r="E192" t="s">
        <v>369</v>
      </c>
      <c r="F192" s="103"/>
      <c r="G192" s="103"/>
      <c r="H192" s="103">
        <v>10</v>
      </c>
      <c r="I192" s="103">
        <v>11</v>
      </c>
      <c r="J192" s="88"/>
      <c r="K192" s="88"/>
    </row>
    <row r="193" spans="1:11" ht="12.75" customHeight="1">
      <c r="A193" s="1">
        <v>9</v>
      </c>
      <c r="B193" s="1">
        <v>720</v>
      </c>
      <c r="C193" s="1" t="s">
        <v>1146</v>
      </c>
      <c r="D193" s="1" t="s">
        <v>1150</v>
      </c>
      <c r="E193" t="s">
        <v>370</v>
      </c>
      <c r="F193" s="103"/>
      <c r="G193" s="103"/>
      <c r="H193" s="103"/>
      <c r="I193" s="103"/>
      <c r="J193" s="88"/>
      <c r="K193" s="88"/>
    </row>
    <row r="194" spans="1:11" ht="12.75" customHeight="1">
      <c r="A194" s="1">
        <v>9</v>
      </c>
      <c r="B194" s="1">
        <v>730</v>
      </c>
      <c r="C194" s="1" t="s">
        <v>1146</v>
      </c>
      <c r="D194" s="1" t="s">
        <v>1151</v>
      </c>
      <c r="E194"/>
      <c r="F194" s="103"/>
      <c r="G194" s="103"/>
      <c r="H194" s="103"/>
      <c r="I194" s="103"/>
      <c r="J194" s="88"/>
      <c r="K194" s="88"/>
    </row>
    <row r="195" spans="1:11" ht="12.75" customHeight="1">
      <c r="A195" s="1">
        <v>9</v>
      </c>
      <c r="B195" s="1">
        <v>1080</v>
      </c>
      <c r="C195" s="1" t="s">
        <v>1146</v>
      </c>
      <c r="D195" s="1" t="s">
        <v>1152</v>
      </c>
      <c r="E195" t="s">
        <v>371</v>
      </c>
      <c r="F195" s="103"/>
      <c r="G195" s="103"/>
      <c r="H195" s="103"/>
      <c r="I195" s="103"/>
      <c r="J195" s="88"/>
      <c r="K195" s="88"/>
    </row>
    <row r="196" spans="1:11" ht="12.75" customHeight="1">
      <c r="A196" s="1">
        <v>9</v>
      </c>
      <c r="B196" s="1">
        <v>2820</v>
      </c>
      <c r="C196" s="1" t="s">
        <v>1146</v>
      </c>
      <c r="D196" s="1" t="s">
        <v>1153</v>
      </c>
      <c r="E196" t="s">
        <v>372</v>
      </c>
      <c r="F196" s="103"/>
      <c r="G196" s="103"/>
      <c r="H196" s="103"/>
      <c r="I196" s="103"/>
      <c r="J196" s="88"/>
      <c r="K196" s="88"/>
    </row>
    <row r="197" spans="1:11" ht="12.75" customHeight="1">
      <c r="A197" s="1">
        <v>9</v>
      </c>
      <c r="B197" s="1">
        <v>2840</v>
      </c>
      <c r="C197" s="1" t="s">
        <v>1146</v>
      </c>
      <c r="D197" s="1" t="s">
        <v>1154</v>
      </c>
      <c r="E197" t="s">
        <v>373</v>
      </c>
      <c r="F197" s="103"/>
      <c r="G197" s="103">
        <v>197</v>
      </c>
      <c r="H197" s="103"/>
      <c r="I197" s="103"/>
      <c r="J197" s="156">
        <v>1008384</v>
      </c>
      <c r="K197" s="88"/>
    </row>
    <row r="198" spans="1:11" ht="12.75" customHeight="1">
      <c r="A198" s="1">
        <v>9</v>
      </c>
      <c r="B198" s="1">
        <v>3130</v>
      </c>
      <c r="C198" s="1" t="s">
        <v>1146</v>
      </c>
      <c r="D198" s="1" t="s">
        <v>1155</v>
      </c>
      <c r="E198" t="s">
        <v>374</v>
      </c>
      <c r="F198" s="103"/>
      <c r="G198" s="103">
        <v>137</v>
      </c>
      <c r="H198" s="103"/>
      <c r="I198" s="103">
        <v>10</v>
      </c>
      <c r="J198" s="156">
        <v>1448672</v>
      </c>
      <c r="K198" s="88"/>
    </row>
    <row r="199" spans="1:11" ht="12.75" customHeight="1">
      <c r="A199" s="1">
        <v>9</v>
      </c>
      <c r="B199" s="1">
        <v>3680</v>
      </c>
      <c r="C199" s="1" t="s">
        <v>1146</v>
      </c>
      <c r="D199" s="1" t="s">
        <v>1156</v>
      </c>
      <c r="E199" t="s">
        <v>375</v>
      </c>
      <c r="F199" s="103">
        <v>35</v>
      </c>
      <c r="G199" s="103"/>
      <c r="H199" s="103"/>
      <c r="I199" s="103"/>
      <c r="J199" s="156">
        <v>309258</v>
      </c>
      <c r="K199" s="88"/>
    </row>
    <row r="200" spans="1:11" ht="12.75" customHeight="1">
      <c r="A200" s="1">
        <v>9</v>
      </c>
      <c r="B200" s="1">
        <v>3780</v>
      </c>
      <c r="C200" s="1" t="s">
        <v>1146</v>
      </c>
      <c r="D200" s="1" t="s">
        <v>1157</v>
      </c>
      <c r="E200" t="s">
        <v>376</v>
      </c>
      <c r="F200" s="103"/>
      <c r="G200" s="103"/>
      <c r="H200" s="103"/>
      <c r="I200" s="103">
        <v>7</v>
      </c>
      <c r="J200" s="88"/>
      <c r="K200" s="88"/>
    </row>
    <row r="201" spans="1:11" ht="12.75" customHeight="1">
      <c r="A201" s="1">
        <v>9</v>
      </c>
      <c r="B201" s="1">
        <v>4700</v>
      </c>
      <c r="C201" s="1" t="s">
        <v>1146</v>
      </c>
      <c r="D201" s="1" t="s">
        <v>1158</v>
      </c>
      <c r="E201" t="s">
        <v>377</v>
      </c>
      <c r="F201" s="103">
        <v>10</v>
      </c>
      <c r="G201" s="103"/>
      <c r="H201" s="103"/>
      <c r="I201" s="103"/>
      <c r="J201" s="88"/>
      <c r="K201" s="88"/>
    </row>
    <row r="202" spans="1:11" ht="12.75" customHeight="1">
      <c r="A202" s="1">
        <v>9</v>
      </c>
      <c r="B202" s="1">
        <v>5060</v>
      </c>
      <c r="C202" s="1" t="s">
        <v>1146</v>
      </c>
      <c r="D202" s="1" t="s">
        <v>1159</v>
      </c>
      <c r="E202" t="s">
        <v>378</v>
      </c>
      <c r="F202" s="103"/>
      <c r="G202" s="103"/>
      <c r="H202" s="103"/>
      <c r="I202" s="103"/>
      <c r="J202" s="88"/>
      <c r="K202" s="88"/>
    </row>
    <row r="203" spans="1:11" ht="12.75" customHeight="1">
      <c r="A203" s="1">
        <v>9</v>
      </c>
      <c r="B203" s="1">
        <v>5340</v>
      </c>
      <c r="C203" s="1" t="s">
        <v>1146</v>
      </c>
      <c r="D203" s="1" t="s">
        <v>1160</v>
      </c>
      <c r="E203" t="s">
        <v>379</v>
      </c>
      <c r="F203" s="103"/>
      <c r="G203" s="103">
        <v>15</v>
      </c>
      <c r="H203" s="103"/>
      <c r="I203" s="103">
        <v>13</v>
      </c>
      <c r="J203" s="88"/>
      <c r="K203" s="88"/>
    </row>
    <row r="204" spans="1:11" ht="12.75" customHeight="1">
      <c r="A204" s="1">
        <v>9</v>
      </c>
      <c r="B204" s="1">
        <v>5610</v>
      </c>
      <c r="C204" s="1" t="s">
        <v>1146</v>
      </c>
      <c r="D204" s="1" t="s">
        <v>1164</v>
      </c>
      <c r="E204" t="s">
        <v>380</v>
      </c>
      <c r="F204" s="103"/>
      <c r="G204" s="103">
        <v>3</v>
      </c>
      <c r="H204" s="103"/>
      <c r="I204" s="103"/>
      <c r="J204" s="88"/>
      <c r="K204" s="88"/>
    </row>
    <row r="205" spans="1:11" ht="12.75" customHeight="1">
      <c r="A205" s="1">
        <v>9</v>
      </c>
      <c r="B205" s="1">
        <v>5700</v>
      </c>
      <c r="C205" s="1" t="s">
        <v>1146</v>
      </c>
      <c r="D205" s="1" t="s">
        <v>1165</v>
      </c>
      <c r="E205"/>
      <c r="F205" s="103"/>
      <c r="G205" s="103"/>
      <c r="H205" s="103"/>
      <c r="I205" s="103"/>
      <c r="J205" s="88"/>
      <c r="K205" s="88"/>
    </row>
    <row r="206" spans="1:11" ht="12.75" customHeight="1">
      <c r="A206" s="1">
        <v>9</v>
      </c>
      <c r="B206" s="1">
        <v>5790</v>
      </c>
      <c r="C206" s="1" t="s">
        <v>1146</v>
      </c>
      <c r="D206" s="1" t="s">
        <v>1166</v>
      </c>
      <c r="E206" t="s">
        <v>381</v>
      </c>
      <c r="F206" s="103">
        <v>44</v>
      </c>
      <c r="G206" s="103"/>
      <c r="H206" s="103"/>
      <c r="I206" s="103"/>
      <c r="J206" s="156">
        <v>677348</v>
      </c>
      <c r="K206" s="88"/>
    </row>
    <row r="207" spans="1:11" ht="12.75" customHeight="1">
      <c r="A207" s="1">
        <v>9</v>
      </c>
      <c r="B207" s="1">
        <v>5800</v>
      </c>
      <c r="C207" s="1" t="s">
        <v>1146</v>
      </c>
      <c r="D207" s="1" t="s">
        <v>1167</v>
      </c>
      <c r="E207" t="s">
        <v>382</v>
      </c>
      <c r="F207" s="103"/>
      <c r="G207" s="103">
        <v>18</v>
      </c>
      <c r="H207" s="103"/>
      <c r="I207" s="103"/>
      <c r="J207" s="156">
        <v>220376</v>
      </c>
      <c r="K207" s="88"/>
    </row>
    <row r="208" spans="1:11" ht="12.75" customHeight="1">
      <c r="A208" s="1">
        <v>9</v>
      </c>
      <c r="B208" s="1">
        <v>5840</v>
      </c>
      <c r="C208" s="1" t="s">
        <v>1146</v>
      </c>
      <c r="D208" s="1" t="s">
        <v>1168</v>
      </c>
      <c r="E208" t="s">
        <v>383</v>
      </c>
      <c r="F208" s="103">
        <v>23</v>
      </c>
      <c r="G208" s="103"/>
      <c r="H208" s="103"/>
      <c r="I208" s="103"/>
      <c r="J208" s="156">
        <v>201092</v>
      </c>
      <c r="K208" s="88"/>
    </row>
    <row r="209" spans="1:11" ht="12.75" customHeight="1">
      <c r="A209" s="1">
        <v>11</v>
      </c>
      <c r="B209" s="1">
        <v>540</v>
      </c>
      <c r="C209" s="1" t="s">
        <v>1169</v>
      </c>
      <c r="D209" s="1" t="s">
        <v>1170</v>
      </c>
      <c r="E209" t="s">
        <v>384</v>
      </c>
      <c r="F209" s="103">
        <v>379</v>
      </c>
      <c r="G209" s="103"/>
      <c r="H209" s="103">
        <v>14</v>
      </c>
      <c r="I209" s="103"/>
      <c r="J209" s="156">
        <v>8103169</v>
      </c>
      <c r="K209" s="88"/>
    </row>
    <row r="210" spans="1:11" ht="12.75" customHeight="1">
      <c r="A210" s="1">
        <v>11</v>
      </c>
      <c r="B210" s="1">
        <v>950</v>
      </c>
      <c r="C210" s="1" t="s">
        <v>1169</v>
      </c>
      <c r="D210" s="1" t="s">
        <v>1171</v>
      </c>
      <c r="E210" t="s">
        <v>385</v>
      </c>
      <c r="F210" s="103">
        <v>50</v>
      </c>
      <c r="G210" s="103"/>
      <c r="H210" s="103"/>
      <c r="I210" s="103"/>
      <c r="J210" s="156">
        <v>587890</v>
      </c>
      <c r="K210" s="88"/>
    </row>
    <row r="211" spans="1:11" ht="12.75" customHeight="1">
      <c r="A211" s="1">
        <v>11</v>
      </c>
      <c r="B211" s="1">
        <v>995</v>
      </c>
      <c r="C211" s="1" t="s">
        <v>1169</v>
      </c>
      <c r="D211" s="1" t="s">
        <v>1172</v>
      </c>
      <c r="E211" t="s">
        <v>386</v>
      </c>
      <c r="F211" s="103"/>
      <c r="G211" s="103"/>
      <c r="H211" s="103"/>
      <c r="I211" s="103"/>
      <c r="J211" s="88"/>
      <c r="K211" s="88"/>
    </row>
    <row r="212" spans="1:11" ht="12.75" customHeight="1">
      <c r="A212" s="1">
        <v>11</v>
      </c>
      <c r="B212" s="1">
        <v>997</v>
      </c>
      <c r="C212" s="1" t="s">
        <v>1169</v>
      </c>
      <c r="D212" s="1" t="s">
        <v>1173</v>
      </c>
      <c r="E212" t="s">
        <v>387</v>
      </c>
      <c r="F212" s="103"/>
      <c r="G212" s="103"/>
      <c r="H212" s="103"/>
      <c r="I212" s="103"/>
      <c r="J212" s="88"/>
      <c r="K212" s="88"/>
    </row>
    <row r="213" spans="1:11" ht="12.75" customHeight="1">
      <c r="A213" s="1">
        <v>11</v>
      </c>
      <c r="B213" s="1">
        <v>1020</v>
      </c>
      <c r="C213" s="1" t="s">
        <v>1169</v>
      </c>
      <c r="D213" s="1" t="s">
        <v>1174</v>
      </c>
      <c r="E213" t="s">
        <v>388</v>
      </c>
      <c r="F213" s="103"/>
      <c r="G213" s="103">
        <v>29</v>
      </c>
      <c r="H213" s="103"/>
      <c r="I213" s="103"/>
      <c r="J213" s="156">
        <v>150918</v>
      </c>
      <c r="K213" s="88"/>
    </row>
    <row r="214" spans="1:11" ht="12.75" customHeight="1">
      <c r="A214" s="1">
        <v>11</v>
      </c>
      <c r="B214" s="1">
        <v>1120</v>
      </c>
      <c r="C214" s="1" t="s">
        <v>1169</v>
      </c>
      <c r="D214" s="1" t="s">
        <v>1175</v>
      </c>
      <c r="E214" t="s">
        <v>389</v>
      </c>
      <c r="F214" s="103"/>
      <c r="G214" s="103">
        <v>9</v>
      </c>
      <c r="H214" s="103">
        <v>2</v>
      </c>
      <c r="I214" s="103"/>
      <c r="J214" s="156">
        <v>197502</v>
      </c>
      <c r="K214" s="88"/>
    </row>
    <row r="215" spans="1:11" ht="12.75" customHeight="1">
      <c r="A215" s="1">
        <v>11</v>
      </c>
      <c r="B215" s="1">
        <v>1460</v>
      </c>
      <c r="C215" s="1" t="s">
        <v>1169</v>
      </c>
      <c r="D215" s="1" t="s">
        <v>1176</v>
      </c>
      <c r="E215" t="s">
        <v>390</v>
      </c>
      <c r="F215" s="103"/>
      <c r="G215" s="103">
        <v>36</v>
      </c>
      <c r="H215" s="103"/>
      <c r="I215" s="103"/>
      <c r="J215" s="156">
        <v>450579</v>
      </c>
      <c r="K215" s="88"/>
    </row>
    <row r="216" spans="1:11" ht="12.75" customHeight="1">
      <c r="A216" s="1">
        <v>11</v>
      </c>
      <c r="B216" s="1">
        <v>1820</v>
      </c>
      <c r="C216" s="1" t="s">
        <v>1169</v>
      </c>
      <c r="D216" s="1" t="s">
        <v>1177</v>
      </c>
      <c r="E216" t="s">
        <v>391</v>
      </c>
      <c r="F216" s="103"/>
      <c r="G216" s="103">
        <v>3</v>
      </c>
      <c r="H216" s="103"/>
      <c r="I216" s="103"/>
      <c r="J216" s="156">
        <v>48249</v>
      </c>
      <c r="K216" s="88"/>
    </row>
    <row r="217" spans="1:11" ht="12.75" customHeight="1">
      <c r="A217" s="1">
        <v>11</v>
      </c>
      <c r="B217" s="1">
        <v>2270</v>
      </c>
      <c r="C217" s="1" t="s">
        <v>1169</v>
      </c>
      <c r="D217" s="1" t="s">
        <v>1178</v>
      </c>
      <c r="E217" t="s">
        <v>392</v>
      </c>
      <c r="F217" s="103"/>
      <c r="G217" s="103"/>
      <c r="H217" s="103">
        <v>1</v>
      </c>
      <c r="I217" s="103"/>
      <c r="J217" s="88"/>
      <c r="K217" s="88"/>
    </row>
    <row r="218" spans="1:11" ht="12.75" customHeight="1">
      <c r="A218" s="1">
        <v>11</v>
      </c>
      <c r="B218" s="1">
        <v>2570</v>
      </c>
      <c r="C218" s="1" t="s">
        <v>1169</v>
      </c>
      <c r="D218" s="1" t="s">
        <v>1179</v>
      </c>
      <c r="E218" t="s">
        <v>393</v>
      </c>
      <c r="F218" s="103"/>
      <c r="G218" s="103">
        <v>30</v>
      </c>
      <c r="H218" s="103"/>
      <c r="I218" s="103"/>
      <c r="J218" s="156">
        <v>195743</v>
      </c>
      <c r="K218" s="88"/>
    </row>
    <row r="219" spans="1:11" ht="12.75" customHeight="1">
      <c r="A219" s="1">
        <v>11</v>
      </c>
      <c r="B219" s="1">
        <v>3050</v>
      </c>
      <c r="C219" s="1" t="s">
        <v>1169</v>
      </c>
      <c r="D219" s="1" t="s">
        <v>1180</v>
      </c>
      <c r="E219" t="s">
        <v>286</v>
      </c>
      <c r="F219" s="103"/>
      <c r="G219" s="103">
        <v>27</v>
      </c>
      <c r="H219" s="103"/>
      <c r="I219" s="103"/>
      <c r="J219" s="156">
        <v>219154</v>
      </c>
      <c r="K219" s="88"/>
    </row>
    <row r="220" spans="1:11" ht="12.75" customHeight="1">
      <c r="A220" s="1">
        <v>11</v>
      </c>
      <c r="B220" s="1">
        <v>3230</v>
      </c>
      <c r="C220" s="1" t="s">
        <v>1169</v>
      </c>
      <c r="D220" s="1" t="s">
        <v>1181</v>
      </c>
      <c r="E220" t="s">
        <v>287</v>
      </c>
      <c r="F220" s="103">
        <v>565</v>
      </c>
      <c r="G220" s="103">
        <v>6</v>
      </c>
      <c r="H220" s="103">
        <v>11</v>
      </c>
      <c r="I220" s="103"/>
      <c r="J220" s="156">
        <v>2830169</v>
      </c>
      <c r="K220" s="156">
        <v>2780876</v>
      </c>
    </row>
    <row r="221" spans="1:11" ht="12.75" customHeight="1">
      <c r="A221" s="1">
        <v>11</v>
      </c>
      <c r="B221" s="1">
        <v>4750</v>
      </c>
      <c r="C221" s="1" t="s">
        <v>1169</v>
      </c>
      <c r="D221" s="1" t="s">
        <v>1182</v>
      </c>
      <c r="E221" t="s">
        <v>288</v>
      </c>
      <c r="F221" s="103"/>
      <c r="G221" s="103"/>
      <c r="H221" s="103"/>
      <c r="I221" s="103"/>
      <c r="J221" s="88"/>
      <c r="K221" s="88"/>
    </row>
    <row r="222" spans="1:11" ht="12.75" customHeight="1">
      <c r="A222" s="1">
        <v>11</v>
      </c>
      <c r="B222" s="1">
        <v>5070</v>
      </c>
      <c r="C222" s="1" t="s">
        <v>1169</v>
      </c>
      <c r="D222" s="1" t="s">
        <v>1183</v>
      </c>
      <c r="E222" t="s">
        <v>289</v>
      </c>
      <c r="F222" s="103"/>
      <c r="G222" s="103"/>
      <c r="H222" s="103"/>
      <c r="I222" s="103"/>
      <c r="J222" s="88"/>
      <c r="K222" s="88"/>
    </row>
    <row r="223" spans="1:11" ht="12.75" customHeight="1">
      <c r="A223" s="1">
        <v>11</v>
      </c>
      <c r="B223" s="1">
        <v>5300</v>
      </c>
      <c r="C223" s="1" t="s">
        <v>1169</v>
      </c>
      <c r="D223" s="1" t="s">
        <v>1184</v>
      </c>
      <c r="E223" t="s">
        <v>290</v>
      </c>
      <c r="F223" s="103"/>
      <c r="G223" s="103">
        <v>78</v>
      </c>
      <c r="H223" s="103"/>
      <c r="I223" s="103"/>
      <c r="J223" s="156">
        <v>739721</v>
      </c>
      <c r="K223" s="88"/>
    </row>
    <row r="224" spans="1:11" ht="12.75" customHeight="1">
      <c r="A224" s="1">
        <v>11</v>
      </c>
      <c r="B224" s="1">
        <v>5390</v>
      </c>
      <c r="C224" s="1" t="s">
        <v>1169</v>
      </c>
      <c r="D224" s="1" t="s">
        <v>1185</v>
      </c>
      <c r="E224" t="s">
        <v>291</v>
      </c>
      <c r="F224" s="103">
        <v>176</v>
      </c>
      <c r="G224" s="103"/>
      <c r="H224" s="103">
        <v>35</v>
      </c>
      <c r="I224" s="103"/>
      <c r="J224" s="156">
        <v>6732292</v>
      </c>
      <c r="K224" s="156">
        <v>6697424</v>
      </c>
    </row>
    <row r="225" spans="1:11" ht="12.75" customHeight="1">
      <c r="A225" s="1">
        <v>13</v>
      </c>
      <c r="B225" s="1">
        <v>250</v>
      </c>
      <c r="C225" s="1" t="s">
        <v>1186</v>
      </c>
      <c r="D225" s="1" t="s">
        <v>1187</v>
      </c>
      <c r="E225" t="s">
        <v>292</v>
      </c>
      <c r="F225" s="103"/>
      <c r="G225" s="103">
        <v>8</v>
      </c>
      <c r="H225" s="103">
        <v>7</v>
      </c>
      <c r="I225" s="103">
        <v>11</v>
      </c>
      <c r="J225" s="88"/>
      <c r="K225" s="88"/>
    </row>
    <row r="226" spans="1:11" ht="12.75" customHeight="1">
      <c r="A226" s="1">
        <v>13</v>
      </c>
      <c r="B226" s="1">
        <v>410</v>
      </c>
      <c r="C226" s="1" t="s">
        <v>1186</v>
      </c>
      <c r="D226" s="1" t="s">
        <v>1188</v>
      </c>
      <c r="E226" t="s">
        <v>293</v>
      </c>
      <c r="F226" s="103"/>
      <c r="G226" s="103">
        <v>116</v>
      </c>
      <c r="H226" s="103">
        <v>9</v>
      </c>
      <c r="I226" s="103">
        <v>26</v>
      </c>
      <c r="J226" s="88"/>
      <c r="K226" s="88"/>
    </row>
    <row r="227" spans="1:11" ht="12.75" customHeight="1">
      <c r="A227" s="1">
        <v>13</v>
      </c>
      <c r="B227" s="1">
        <v>660</v>
      </c>
      <c r="C227" s="1" t="s">
        <v>1186</v>
      </c>
      <c r="D227" s="1" t="s">
        <v>1189</v>
      </c>
      <c r="E227" t="s">
        <v>294</v>
      </c>
      <c r="F227" s="103"/>
      <c r="G227" s="103"/>
      <c r="H227" s="103"/>
      <c r="I227" s="103">
        <v>22</v>
      </c>
      <c r="J227" s="88"/>
      <c r="K227" s="88"/>
    </row>
    <row r="228" spans="1:11" ht="12.75" customHeight="1">
      <c r="A228" s="1">
        <v>13</v>
      </c>
      <c r="B228" s="1">
        <v>760</v>
      </c>
      <c r="C228" s="1" t="s">
        <v>1186</v>
      </c>
      <c r="D228" s="1" t="s">
        <v>1190</v>
      </c>
      <c r="E228" t="s">
        <v>295</v>
      </c>
      <c r="F228" s="103"/>
      <c r="G228" s="103"/>
      <c r="H228" s="103"/>
      <c r="I228" s="103">
        <v>18</v>
      </c>
      <c r="J228" s="88"/>
      <c r="K228" s="88"/>
    </row>
    <row r="229" spans="1:11" ht="12.75" customHeight="1">
      <c r="A229" s="1">
        <v>13</v>
      </c>
      <c r="B229" s="1">
        <v>1210</v>
      </c>
      <c r="C229" s="1" t="s">
        <v>1186</v>
      </c>
      <c r="D229" s="1" t="s">
        <v>1191</v>
      </c>
      <c r="E229" t="s">
        <v>296</v>
      </c>
      <c r="F229" s="103">
        <v>457</v>
      </c>
      <c r="G229" s="103"/>
      <c r="H229" s="103">
        <v>18</v>
      </c>
      <c r="I229" s="103"/>
      <c r="J229" s="156">
        <v>9036873</v>
      </c>
      <c r="K229" s="156">
        <v>4061359</v>
      </c>
    </row>
    <row r="230" spans="1:11" ht="12.75" customHeight="1">
      <c r="A230" s="1">
        <v>13</v>
      </c>
      <c r="B230" s="1">
        <v>1387</v>
      </c>
      <c r="C230" s="1" t="s">
        <v>1186</v>
      </c>
      <c r="D230" s="1" t="s">
        <v>1192</v>
      </c>
      <c r="E230" t="s">
        <v>297</v>
      </c>
      <c r="F230" s="103"/>
      <c r="G230" s="103"/>
      <c r="H230" s="103"/>
      <c r="I230" s="103"/>
      <c r="J230" s="88"/>
      <c r="K230" s="88"/>
    </row>
    <row r="231" spans="1:11" ht="12.75" customHeight="1">
      <c r="A231" s="1">
        <v>13</v>
      </c>
      <c r="B231" s="1">
        <v>1390</v>
      </c>
      <c r="C231" s="1" t="s">
        <v>1186</v>
      </c>
      <c r="D231" s="1" t="s">
        <v>1193</v>
      </c>
      <c r="E231" t="s">
        <v>298</v>
      </c>
      <c r="F231" s="103"/>
      <c r="G231" s="103"/>
      <c r="H231" s="103"/>
      <c r="I231" s="103"/>
      <c r="J231" s="88"/>
      <c r="K231" s="88"/>
    </row>
    <row r="232" spans="1:11" ht="12.75" customHeight="1">
      <c r="A232" s="1">
        <v>13</v>
      </c>
      <c r="B232" s="1">
        <v>1400</v>
      </c>
      <c r="C232" s="1" t="s">
        <v>1186</v>
      </c>
      <c r="D232" s="1" t="s">
        <v>1194</v>
      </c>
      <c r="E232" t="s">
        <v>299</v>
      </c>
      <c r="F232" s="103"/>
      <c r="G232" s="103">
        <v>14</v>
      </c>
      <c r="H232" s="103"/>
      <c r="I232" s="103"/>
      <c r="J232" s="88"/>
      <c r="K232" s="88"/>
    </row>
    <row r="233" spans="1:11" ht="12.75" customHeight="1">
      <c r="A233" s="1">
        <v>13</v>
      </c>
      <c r="B233" s="1">
        <v>1465</v>
      </c>
      <c r="C233" s="1" t="s">
        <v>1186</v>
      </c>
      <c r="D233" s="1" t="s">
        <v>1176</v>
      </c>
      <c r="E233" t="s">
        <v>300</v>
      </c>
      <c r="F233" s="103">
        <v>1</v>
      </c>
      <c r="G233" s="103">
        <v>7</v>
      </c>
      <c r="H233" s="103">
        <v>1</v>
      </c>
      <c r="I233" s="103">
        <v>3</v>
      </c>
      <c r="J233" s="88"/>
      <c r="K233" s="88"/>
    </row>
    <row r="234" spans="1:11" ht="12.75" customHeight="1">
      <c r="A234" s="1">
        <v>13</v>
      </c>
      <c r="B234" s="1">
        <v>1750</v>
      </c>
      <c r="C234" s="1" t="s">
        <v>1186</v>
      </c>
      <c r="D234" s="1" t="s">
        <v>1023</v>
      </c>
      <c r="E234" t="s">
        <v>301</v>
      </c>
      <c r="F234" s="103"/>
      <c r="G234" s="103">
        <v>111</v>
      </c>
      <c r="H234" s="103"/>
      <c r="I234" s="103">
        <v>7</v>
      </c>
      <c r="J234" s="88"/>
      <c r="K234" s="88"/>
    </row>
    <row r="235" spans="1:11" ht="12.75" customHeight="1">
      <c r="A235" s="1">
        <v>13</v>
      </c>
      <c r="B235" s="1">
        <v>2330</v>
      </c>
      <c r="C235" s="1" t="s">
        <v>1186</v>
      </c>
      <c r="D235" s="1" t="s">
        <v>1024</v>
      </c>
      <c r="E235" t="s">
        <v>302</v>
      </c>
      <c r="F235" s="103"/>
      <c r="G235" s="103"/>
      <c r="H235" s="103">
        <v>8</v>
      </c>
      <c r="I235" s="103"/>
      <c r="J235" s="156">
        <v>6150867</v>
      </c>
      <c r="K235" s="156">
        <v>9083320</v>
      </c>
    </row>
    <row r="236" spans="1:11" ht="12.75" customHeight="1">
      <c r="A236" s="1">
        <v>13</v>
      </c>
      <c r="B236" s="1">
        <v>2730</v>
      </c>
      <c r="C236" s="1" t="s">
        <v>1186</v>
      </c>
      <c r="D236" s="1" t="s">
        <v>1025</v>
      </c>
      <c r="E236" t="s">
        <v>303</v>
      </c>
      <c r="F236" s="103"/>
      <c r="G236" s="103">
        <v>6</v>
      </c>
      <c r="H236" s="103"/>
      <c r="I236" s="103"/>
      <c r="J236" s="88"/>
      <c r="K236" s="88"/>
    </row>
    <row r="237" spans="1:11" ht="12.75" customHeight="1">
      <c r="A237" s="1">
        <v>13</v>
      </c>
      <c r="B237" s="1">
        <v>3190</v>
      </c>
      <c r="C237" s="1" t="s">
        <v>1186</v>
      </c>
      <c r="D237" s="1" t="s">
        <v>1026</v>
      </c>
      <c r="E237" t="s">
        <v>304</v>
      </c>
      <c r="F237" s="103"/>
      <c r="G237" s="103">
        <v>73</v>
      </c>
      <c r="H237" s="103">
        <v>3</v>
      </c>
      <c r="I237" s="103"/>
      <c r="J237" s="88"/>
      <c r="K237" s="88"/>
    </row>
    <row r="238" spans="1:11" ht="12.75" customHeight="1">
      <c r="A238" s="1">
        <v>13</v>
      </c>
      <c r="B238" s="1">
        <v>3310</v>
      </c>
      <c r="C238" s="1" t="s">
        <v>1186</v>
      </c>
      <c r="D238" s="1" t="s">
        <v>1027</v>
      </c>
      <c r="E238" t="s">
        <v>305</v>
      </c>
      <c r="F238" s="103"/>
      <c r="G238" s="103"/>
      <c r="H238" s="103">
        <v>10</v>
      </c>
      <c r="I238" s="103">
        <v>39</v>
      </c>
      <c r="J238" s="88"/>
      <c r="K238" s="88"/>
    </row>
    <row r="239" spans="1:11" ht="12.75" customHeight="1">
      <c r="A239" s="1">
        <v>13</v>
      </c>
      <c r="B239" s="1">
        <v>3570</v>
      </c>
      <c r="C239" s="1" t="s">
        <v>1186</v>
      </c>
      <c r="D239" s="1" t="s">
        <v>1028</v>
      </c>
      <c r="E239" s="2" t="s">
        <v>306</v>
      </c>
      <c r="F239" s="103">
        <v>652</v>
      </c>
      <c r="G239" s="103"/>
      <c r="H239" s="103">
        <v>116</v>
      </c>
      <c r="I239" s="103"/>
      <c r="J239" s="156">
        <v>91172495</v>
      </c>
      <c r="K239" s="88"/>
    </row>
    <row r="240" spans="1:11" ht="12.75" customHeight="1">
      <c r="A240" s="1">
        <v>13</v>
      </c>
      <c r="B240" s="1">
        <v>3630</v>
      </c>
      <c r="C240" s="1" t="s">
        <v>1186</v>
      </c>
      <c r="D240" s="1" t="s">
        <v>1029</v>
      </c>
      <c r="E240" t="s">
        <v>307</v>
      </c>
      <c r="F240" s="103"/>
      <c r="G240" s="103">
        <v>22</v>
      </c>
      <c r="H240" s="103"/>
      <c r="I240" s="103"/>
      <c r="J240" s="88"/>
      <c r="K240" s="88"/>
    </row>
    <row r="241" spans="1:11" ht="12.75" customHeight="1">
      <c r="A241" s="1">
        <v>13</v>
      </c>
      <c r="B241" s="1">
        <v>3750</v>
      </c>
      <c r="C241" s="1" t="s">
        <v>1186</v>
      </c>
      <c r="D241" s="1" t="s">
        <v>1030</v>
      </c>
      <c r="E241" t="s">
        <v>308</v>
      </c>
      <c r="F241" s="103"/>
      <c r="G241" s="103"/>
      <c r="H241" s="103"/>
      <c r="I241" s="103">
        <v>29</v>
      </c>
      <c r="J241" s="88"/>
      <c r="K241" s="88"/>
    </row>
    <row r="242" spans="1:11" ht="12.75" customHeight="1">
      <c r="A242" s="1">
        <v>13</v>
      </c>
      <c r="B242" s="1">
        <v>3880</v>
      </c>
      <c r="C242" s="1" t="s">
        <v>1186</v>
      </c>
      <c r="D242" s="1" t="s">
        <v>1031</v>
      </c>
      <c r="E242" t="s">
        <v>309</v>
      </c>
      <c r="F242" s="103">
        <v>91</v>
      </c>
      <c r="G242" s="103"/>
      <c r="H242" s="103">
        <v>16</v>
      </c>
      <c r="I242" s="103"/>
      <c r="J242" s="156">
        <v>7982643</v>
      </c>
      <c r="K242" s="88"/>
    </row>
    <row r="243" spans="1:11" ht="12.75" customHeight="1">
      <c r="A243" s="1">
        <v>13</v>
      </c>
      <c r="B243" s="1">
        <v>4530</v>
      </c>
      <c r="C243" s="1" t="s">
        <v>1186</v>
      </c>
      <c r="D243" s="1" t="s">
        <v>1032</v>
      </c>
      <c r="E243" t="s">
        <v>310</v>
      </c>
      <c r="F243" s="103"/>
      <c r="G243" s="103"/>
      <c r="H243" s="103"/>
      <c r="I243" s="103"/>
      <c r="J243" s="88"/>
      <c r="K243" s="88"/>
    </row>
    <row r="244" spans="1:11" ht="12.75" customHeight="1">
      <c r="A244" s="1">
        <v>13</v>
      </c>
      <c r="B244" s="1">
        <v>4900</v>
      </c>
      <c r="C244" s="1" t="s">
        <v>1186</v>
      </c>
      <c r="D244" s="1" t="s">
        <v>1033</v>
      </c>
      <c r="E244" t="s">
        <v>311</v>
      </c>
      <c r="F244" s="103"/>
      <c r="G244" s="103">
        <v>56</v>
      </c>
      <c r="H244" s="103">
        <v>11</v>
      </c>
      <c r="I244" s="103"/>
      <c r="J244" s="88"/>
      <c r="K244" s="88"/>
    </row>
    <row r="245" spans="1:11" ht="12.75" customHeight="1">
      <c r="A245" s="1">
        <v>13</v>
      </c>
      <c r="B245" s="1">
        <v>5370</v>
      </c>
      <c r="C245" s="1" t="s">
        <v>1186</v>
      </c>
      <c r="D245" s="1" t="s">
        <v>1034</v>
      </c>
      <c r="E245" t="s">
        <v>312</v>
      </c>
      <c r="F245" s="103"/>
      <c r="G245" s="103"/>
      <c r="H245" s="103">
        <v>6</v>
      </c>
      <c r="I245" s="103">
        <v>20</v>
      </c>
      <c r="J245" s="88"/>
      <c r="K245" s="88"/>
    </row>
    <row r="246" spans="1:11" ht="12.75" customHeight="1">
      <c r="A246" s="1">
        <v>13</v>
      </c>
      <c r="B246" s="1">
        <v>5630</v>
      </c>
      <c r="C246" s="1" t="s">
        <v>1186</v>
      </c>
      <c r="D246" s="1" t="s">
        <v>1035</v>
      </c>
      <c r="E246" t="s">
        <v>313</v>
      </c>
      <c r="F246" s="103"/>
      <c r="G246" s="103"/>
      <c r="H246" s="103"/>
      <c r="I246" s="103"/>
      <c r="J246" s="88"/>
      <c r="K246" s="88"/>
    </row>
    <row r="247" spans="1:11" ht="12.75" customHeight="1">
      <c r="A247" s="1">
        <v>13</v>
      </c>
      <c r="B247" s="1">
        <v>5680</v>
      </c>
      <c r="C247" s="1" t="s">
        <v>1186</v>
      </c>
      <c r="D247" s="1" t="s">
        <v>1036</v>
      </c>
      <c r="E247" t="s">
        <v>314</v>
      </c>
      <c r="F247" s="103">
        <v>32</v>
      </c>
      <c r="G247" s="103"/>
      <c r="H247" s="103">
        <v>41</v>
      </c>
      <c r="I247" s="103">
        <v>61</v>
      </c>
      <c r="J247" s="88"/>
      <c r="K247" s="88"/>
    </row>
    <row r="248" spans="1:11" ht="12.75" customHeight="1">
      <c r="A248" s="1">
        <v>15</v>
      </c>
      <c r="B248" s="1">
        <v>860</v>
      </c>
      <c r="C248" s="1" t="s">
        <v>1037</v>
      </c>
      <c r="D248" s="1" t="s">
        <v>1038</v>
      </c>
      <c r="E248" t="s">
        <v>315</v>
      </c>
      <c r="F248" s="103"/>
      <c r="G248" s="103">
        <v>76</v>
      </c>
      <c r="H248" s="103"/>
      <c r="I248" s="103">
        <v>6</v>
      </c>
      <c r="J248" s="156">
        <v>551876</v>
      </c>
      <c r="K248" s="88"/>
    </row>
    <row r="249" spans="1:11" ht="12.75" customHeight="1">
      <c r="A249" s="1">
        <v>15</v>
      </c>
      <c r="B249" s="1">
        <v>870</v>
      </c>
      <c r="C249" s="1" t="s">
        <v>1037</v>
      </c>
      <c r="D249" s="1" t="s">
        <v>1039</v>
      </c>
      <c r="E249" t="s">
        <v>316</v>
      </c>
      <c r="F249" s="103"/>
      <c r="G249" s="103"/>
      <c r="H249" s="103"/>
      <c r="I249" s="103"/>
      <c r="J249" s="88"/>
      <c r="K249" s="88"/>
    </row>
    <row r="250" spans="1:11" ht="12.75" customHeight="1">
      <c r="A250" s="1">
        <v>15</v>
      </c>
      <c r="B250" s="1">
        <v>1100</v>
      </c>
      <c r="C250" s="1" t="s">
        <v>1037</v>
      </c>
      <c r="D250" s="1" t="s">
        <v>1040</v>
      </c>
      <c r="E250" t="s">
        <v>317</v>
      </c>
      <c r="F250" s="103"/>
      <c r="G250" s="103">
        <v>249</v>
      </c>
      <c r="H250" s="103"/>
      <c r="I250" s="103">
        <v>14</v>
      </c>
      <c r="J250" s="156">
        <v>1962878</v>
      </c>
      <c r="K250" s="88"/>
    </row>
    <row r="251" spans="1:11" ht="12.75" customHeight="1">
      <c r="A251" s="1">
        <v>15</v>
      </c>
      <c r="B251" s="1">
        <v>1180</v>
      </c>
      <c r="C251" s="1" t="s">
        <v>1037</v>
      </c>
      <c r="D251" s="1" t="s">
        <v>1041</v>
      </c>
      <c r="E251" t="s">
        <v>318</v>
      </c>
      <c r="F251" s="103"/>
      <c r="G251" s="103"/>
      <c r="H251" s="103"/>
      <c r="I251" s="103">
        <v>17</v>
      </c>
      <c r="J251" s="88"/>
      <c r="K251" s="88"/>
    </row>
    <row r="252" spans="1:11" ht="12.75" customHeight="1">
      <c r="A252" s="1">
        <v>15</v>
      </c>
      <c r="B252" s="1">
        <v>1330</v>
      </c>
      <c r="C252" s="1" t="s">
        <v>1037</v>
      </c>
      <c r="D252" s="1" t="s">
        <v>1042</v>
      </c>
      <c r="E252" t="s">
        <v>319</v>
      </c>
      <c r="F252" s="103"/>
      <c r="G252" s="103">
        <v>39</v>
      </c>
      <c r="H252" s="103"/>
      <c r="I252" s="103"/>
      <c r="J252" s="156">
        <v>172674</v>
      </c>
      <c r="K252" s="88"/>
    </row>
    <row r="253" spans="1:11" ht="12.75" customHeight="1">
      <c r="A253" s="1">
        <v>15</v>
      </c>
      <c r="B253" s="1">
        <v>1590</v>
      </c>
      <c r="C253" s="1" t="s">
        <v>1037</v>
      </c>
      <c r="D253" s="1" t="s">
        <v>1043</v>
      </c>
      <c r="E253" t="s">
        <v>320</v>
      </c>
      <c r="F253" s="103"/>
      <c r="G253" s="103">
        <v>10</v>
      </c>
      <c r="H253" s="103"/>
      <c r="I253" s="103">
        <v>22</v>
      </c>
      <c r="J253" s="88"/>
      <c r="K253" s="88"/>
    </row>
    <row r="254" spans="1:11" ht="12.75" customHeight="1">
      <c r="A254" s="1">
        <v>15</v>
      </c>
      <c r="B254" s="1">
        <v>1715</v>
      </c>
      <c r="C254" s="1" t="s">
        <v>1037</v>
      </c>
      <c r="D254" s="1" t="s">
        <v>1044</v>
      </c>
      <c r="E254" t="s">
        <v>321</v>
      </c>
      <c r="F254" s="103"/>
      <c r="G254" s="103"/>
      <c r="H254" s="103"/>
      <c r="I254" s="103"/>
      <c r="J254" s="88"/>
      <c r="K254" s="88"/>
    </row>
    <row r="255" spans="1:11" ht="12.75" customHeight="1">
      <c r="A255" s="1">
        <v>15</v>
      </c>
      <c r="B255" s="1">
        <v>1730</v>
      </c>
      <c r="C255" s="1" t="s">
        <v>1037</v>
      </c>
      <c r="D255" s="1" t="s">
        <v>1045</v>
      </c>
      <c r="E255" t="s">
        <v>322</v>
      </c>
      <c r="F255" s="103"/>
      <c r="G255" s="103">
        <v>145</v>
      </c>
      <c r="H255" s="103"/>
      <c r="I255" s="103">
        <v>10</v>
      </c>
      <c r="J255" s="156">
        <v>1210402</v>
      </c>
      <c r="K255" s="88"/>
    </row>
    <row r="256" spans="1:11" ht="12.75" customHeight="1">
      <c r="A256" s="1">
        <v>15</v>
      </c>
      <c r="B256" s="1">
        <v>1774</v>
      </c>
      <c r="C256" s="1" t="s">
        <v>1037</v>
      </c>
      <c r="D256" s="1" t="s">
        <v>1046</v>
      </c>
      <c r="E256" t="s">
        <v>323</v>
      </c>
      <c r="F256" s="103"/>
      <c r="G256" s="103"/>
      <c r="H256" s="103">
        <v>25</v>
      </c>
      <c r="I256" s="103"/>
      <c r="J256" s="88"/>
      <c r="K256" s="88"/>
    </row>
    <row r="257" spans="1:11" ht="12.75" customHeight="1">
      <c r="A257" s="1">
        <v>15</v>
      </c>
      <c r="B257" s="1">
        <v>1775</v>
      </c>
      <c r="C257" s="1" t="s">
        <v>1037</v>
      </c>
      <c r="D257" s="1" t="s">
        <v>1047</v>
      </c>
      <c r="E257" t="s">
        <v>324</v>
      </c>
      <c r="F257" s="103"/>
      <c r="G257" s="103"/>
      <c r="H257" s="103"/>
      <c r="I257" s="103"/>
      <c r="J257" s="88"/>
      <c r="K257" s="88"/>
    </row>
    <row r="258" spans="1:11" ht="12.75" customHeight="1">
      <c r="A258" s="1">
        <v>15</v>
      </c>
      <c r="B258" s="1">
        <v>1830</v>
      </c>
      <c r="C258" s="1" t="s">
        <v>1037</v>
      </c>
      <c r="D258" s="1" t="s">
        <v>1177</v>
      </c>
      <c r="E258" t="s">
        <v>325</v>
      </c>
      <c r="F258" s="103"/>
      <c r="G258" s="103"/>
      <c r="H258" s="103">
        <v>7</v>
      </c>
      <c r="I258" s="103">
        <v>6</v>
      </c>
      <c r="J258" s="88"/>
      <c r="K258" s="88"/>
    </row>
    <row r="259" spans="1:11" ht="12.75" customHeight="1">
      <c r="A259" s="1">
        <v>15</v>
      </c>
      <c r="B259" s="1">
        <v>2070</v>
      </c>
      <c r="C259" s="1" t="s">
        <v>1037</v>
      </c>
      <c r="D259" s="1" t="s">
        <v>1048</v>
      </c>
      <c r="E259" t="s">
        <v>326</v>
      </c>
      <c r="F259" s="103"/>
      <c r="G259" s="103"/>
      <c r="H259" s="103">
        <v>8</v>
      </c>
      <c r="I259" s="103">
        <v>7</v>
      </c>
      <c r="J259" s="88"/>
      <c r="K259" s="88"/>
    </row>
    <row r="260" spans="1:11" ht="12.75" customHeight="1">
      <c r="A260" s="1">
        <v>15</v>
      </c>
      <c r="B260" s="1">
        <v>2440</v>
      </c>
      <c r="C260" s="1" t="s">
        <v>1037</v>
      </c>
      <c r="D260" s="1" t="s">
        <v>1049</v>
      </c>
      <c r="E260" t="s">
        <v>327</v>
      </c>
      <c r="F260" s="103"/>
      <c r="G260" s="103"/>
      <c r="H260" s="103"/>
      <c r="I260" s="103"/>
      <c r="J260" s="88"/>
      <c r="K260" s="88"/>
    </row>
    <row r="261" spans="1:11" ht="12.75" customHeight="1">
      <c r="A261" s="1">
        <v>15</v>
      </c>
      <c r="B261" s="1">
        <v>2750</v>
      </c>
      <c r="C261" s="1" t="s">
        <v>1037</v>
      </c>
      <c r="D261" s="1" t="s">
        <v>1050</v>
      </c>
      <c r="E261" t="s">
        <v>328</v>
      </c>
      <c r="F261" s="103"/>
      <c r="G261" s="103">
        <v>36</v>
      </c>
      <c r="H261" s="103"/>
      <c r="I261" s="103">
        <v>2</v>
      </c>
      <c r="J261" s="88"/>
      <c r="K261" s="88"/>
    </row>
    <row r="262" spans="1:11" ht="12.75" customHeight="1">
      <c r="A262" s="1">
        <v>15</v>
      </c>
      <c r="B262" s="1">
        <v>2990</v>
      </c>
      <c r="C262" s="1" t="s">
        <v>1037</v>
      </c>
      <c r="D262" s="1" t="s">
        <v>1051</v>
      </c>
      <c r="E262" t="s">
        <v>329</v>
      </c>
      <c r="F262" s="103">
        <v>4</v>
      </c>
      <c r="G262" s="103">
        <v>36</v>
      </c>
      <c r="H262" s="103"/>
      <c r="I262" s="103">
        <v>34</v>
      </c>
      <c r="J262" s="88"/>
      <c r="K262" s="88"/>
    </row>
    <row r="263" spans="1:11" ht="12.75" customHeight="1">
      <c r="A263" s="1">
        <v>15</v>
      </c>
      <c r="B263" s="1">
        <v>3280</v>
      </c>
      <c r="C263" s="1" t="s">
        <v>1037</v>
      </c>
      <c r="D263" s="1" t="s">
        <v>1052</v>
      </c>
      <c r="E263" t="s">
        <v>330</v>
      </c>
      <c r="F263" s="103"/>
      <c r="G263" s="103"/>
      <c r="H263" s="103"/>
      <c r="I263" s="103">
        <v>50</v>
      </c>
      <c r="J263" s="88"/>
      <c r="K263" s="88"/>
    </row>
    <row r="264" spans="1:11" ht="12.75" customHeight="1">
      <c r="A264" s="1">
        <v>15</v>
      </c>
      <c r="B264" s="1">
        <v>3490</v>
      </c>
      <c r="C264" s="1" t="s">
        <v>1037</v>
      </c>
      <c r="D264" s="1" t="s">
        <v>1053</v>
      </c>
      <c r="E264" t="s">
        <v>331</v>
      </c>
      <c r="F264" s="103"/>
      <c r="G264" s="103">
        <v>24</v>
      </c>
      <c r="H264" s="103"/>
      <c r="I264" s="103"/>
      <c r="J264" s="156">
        <v>125552</v>
      </c>
      <c r="K264" s="88"/>
    </row>
    <row r="265" spans="1:11" ht="12.75" customHeight="1">
      <c r="A265" s="1">
        <v>15</v>
      </c>
      <c r="B265" s="1">
        <v>3580</v>
      </c>
      <c r="C265" s="1" t="s">
        <v>1037</v>
      </c>
      <c r="D265" s="1" t="s">
        <v>1054</v>
      </c>
      <c r="E265"/>
      <c r="F265" s="103"/>
      <c r="G265" s="103"/>
      <c r="H265" s="103"/>
      <c r="I265" s="103"/>
      <c r="J265" s="88"/>
      <c r="K265" s="88"/>
    </row>
    <row r="266" spans="1:11" ht="12.75" customHeight="1">
      <c r="A266" s="1">
        <v>15</v>
      </c>
      <c r="B266" s="1">
        <v>4020</v>
      </c>
      <c r="C266" s="1" t="s">
        <v>1037</v>
      </c>
      <c r="D266" s="1" t="s">
        <v>1055</v>
      </c>
      <c r="E266" t="s">
        <v>332</v>
      </c>
      <c r="F266" s="103">
        <v>64</v>
      </c>
      <c r="G266" s="103"/>
      <c r="H266" s="103"/>
      <c r="I266" s="103">
        <v>7</v>
      </c>
      <c r="J266" s="156">
        <v>1148781</v>
      </c>
      <c r="K266" s="88"/>
    </row>
    <row r="267" spans="1:11" ht="12.75" customHeight="1">
      <c r="A267" s="1">
        <v>15</v>
      </c>
      <c r="B267" s="1">
        <v>4140</v>
      </c>
      <c r="C267" s="1" t="s">
        <v>1037</v>
      </c>
      <c r="D267" s="1" t="s">
        <v>1056</v>
      </c>
      <c r="E267" t="s">
        <v>333</v>
      </c>
      <c r="F267" s="103"/>
      <c r="G267" s="103">
        <v>60</v>
      </c>
      <c r="H267" s="103"/>
      <c r="I267" s="103"/>
      <c r="J267" s="88"/>
      <c r="K267" s="88"/>
    </row>
    <row r="268" spans="1:11" ht="12.75" customHeight="1">
      <c r="A268" s="1">
        <v>15</v>
      </c>
      <c r="B268" s="1">
        <v>4880</v>
      </c>
      <c r="C268" s="1" t="s">
        <v>1037</v>
      </c>
      <c r="D268" s="1" t="s">
        <v>1057</v>
      </c>
      <c r="E268" t="s">
        <v>334</v>
      </c>
      <c r="F268" s="103"/>
      <c r="G268" s="103"/>
      <c r="H268" s="103"/>
      <c r="I268" s="103"/>
      <c r="J268" s="88"/>
      <c r="K268" s="88"/>
    </row>
    <row r="269" spans="1:11" ht="12.75" customHeight="1">
      <c r="A269" s="1">
        <v>15</v>
      </c>
      <c r="B269" s="1">
        <v>4940</v>
      </c>
      <c r="C269" s="1" t="s">
        <v>1037</v>
      </c>
      <c r="D269" s="1" t="s">
        <v>1058</v>
      </c>
      <c r="E269" t="s">
        <v>335</v>
      </c>
      <c r="F269" s="103"/>
      <c r="G269" s="103"/>
      <c r="H269" s="103"/>
      <c r="I269" s="103"/>
      <c r="J269" s="88"/>
      <c r="K269" s="88"/>
    </row>
    <row r="270" spans="1:11" ht="12.75" customHeight="1">
      <c r="A270" s="1">
        <v>15</v>
      </c>
      <c r="B270" s="1">
        <v>5120</v>
      </c>
      <c r="C270" s="1" t="s">
        <v>1037</v>
      </c>
      <c r="D270" s="1" t="s">
        <v>1059</v>
      </c>
      <c r="E270" t="s">
        <v>336</v>
      </c>
      <c r="F270" s="103"/>
      <c r="G270" s="103">
        <v>27</v>
      </c>
      <c r="H270" s="103">
        <v>1</v>
      </c>
      <c r="I270" s="103">
        <v>16</v>
      </c>
      <c r="J270" s="88"/>
      <c r="K270" s="88"/>
    </row>
    <row r="271" spans="1:11" ht="12.75" customHeight="1">
      <c r="A271" s="1">
        <v>15</v>
      </c>
      <c r="B271" s="1">
        <v>5500</v>
      </c>
      <c r="C271" s="1" t="s">
        <v>1037</v>
      </c>
      <c r="D271" s="1" t="s">
        <v>1270</v>
      </c>
      <c r="E271" t="s">
        <v>337</v>
      </c>
      <c r="F271" s="103"/>
      <c r="G271" s="103"/>
      <c r="H271" s="103"/>
      <c r="I271" s="103">
        <v>92</v>
      </c>
      <c r="J271" s="88"/>
      <c r="K271" s="88"/>
    </row>
    <row r="272" spans="1:11" ht="12.75" customHeight="1">
      <c r="A272" s="1">
        <v>15</v>
      </c>
      <c r="B272" s="1">
        <v>5590</v>
      </c>
      <c r="C272" s="1" t="s">
        <v>1037</v>
      </c>
      <c r="D272" s="1" t="s">
        <v>1060</v>
      </c>
      <c r="E272" t="s">
        <v>338</v>
      </c>
      <c r="F272" s="103"/>
      <c r="G272" s="103"/>
      <c r="H272" s="103">
        <v>3</v>
      </c>
      <c r="I272" s="103"/>
      <c r="J272" s="88"/>
      <c r="K272" s="88"/>
    </row>
    <row r="273" spans="1:11" ht="12.75" customHeight="1">
      <c r="A273" s="1">
        <v>15</v>
      </c>
      <c r="B273" s="1">
        <v>5620</v>
      </c>
      <c r="C273" s="1" t="s">
        <v>1037</v>
      </c>
      <c r="D273" s="1" t="s">
        <v>1061</v>
      </c>
      <c r="E273" t="s">
        <v>339</v>
      </c>
      <c r="F273" s="103"/>
      <c r="G273" s="103">
        <v>3</v>
      </c>
      <c r="H273" s="103"/>
      <c r="I273" s="103">
        <v>37</v>
      </c>
      <c r="J273" s="88"/>
      <c r="K273" s="88"/>
    </row>
    <row r="274" spans="1:11" ht="12.75" customHeight="1">
      <c r="A274" s="1">
        <v>15</v>
      </c>
      <c r="B274" s="1">
        <v>5740</v>
      </c>
      <c r="C274" s="1" t="s">
        <v>1037</v>
      </c>
      <c r="D274" s="1" t="s">
        <v>1062</v>
      </c>
      <c r="E274" t="s">
        <v>232</v>
      </c>
      <c r="F274" s="103">
        <v>18</v>
      </c>
      <c r="G274" s="103">
        <v>26</v>
      </c>
      <c r="H274" s="103"/>
      <c r="I274" s="103">
        <v>15</v>
      </c>
      <c r="J274" s="156">
        <v>196970</v>
      </c>
      <c r="K274" s="88"/>
    </row>
    <row r="275" spans="1:11" ht="12.75" customHeight="1">
      <c r="A275" s="1">
        <v>15</v>
      </c>
      <c r="B275" s="1">
        <v>5860</v>
      </c>
      <c r="C275" s="1" t="s">
        <v>1037</v>
      </c>
      <c r="D275" s="1" t="s">
        <v>1063</v>
      </c>
      <c r="E275" t="s">
        <v>233</v>
      </c>
      <c r="F275" s="103"/>
      <c r="G275" s="103">
        <v>59</v>
      </c>
      <c r="H275" s="103"/>
      <c r="I275" s="103">
        <v>10</v>
      </c>
      <c r="J275" s="156">
        <v>750587</v>
      </c>
      <c r="K275" s="88"/>
    </row>
    <row r="276" spans="1:11" ht="12.75" customHeight="1">
      <c r="A276" s="1">
        <v>15</v>
      </c>
      <c r="B276" s="1">
        <v>5870</v>
      </c>
      <c r="C276" s="1" t="s">
        <v>1037</v>
      </c>
      <c r="D276" s="1" t="s">
        <v>1064</v>
      </c>
      <c r="E276" t="s">
        <v>234</v>
      </c>
      <c r="F276" s="103"/>
      <c r="G276" s="103"/>
      <c r="H276" s="103"/>
      <c r="I276" s="103"/>
      <c r="J276" s="88"/>
      <c r="K276" s="88"/>
    </row>
    <row r="277" spans="1:11" ht="12.75" customHeight="1">
      <c r="A277" s="1">
        <v>17</v>
      </c>
      <c r="B277" s="1">
        <v>220</v>
      </c>
      <c r="C277" s="1" t="s">
        <v>1065</v>
      </c>
      <c r="D277" s="1" t="s">
        <v>1066</v>
      </c>
      <c r="E277" t="s">
        <v>235</v>
      </c>
      <c r="F277" s="103">
        <v>58</v>
      </c>
      <c r="G277" s="103">
        <v>256</v>
      </c>
      <c r="H277" s="103">
        <v>14</v>
      </c>
      <c r="I277" s="103"/>
      <c r="J277" s="156">
        <v>3999872</v>
      </c>
      <c r="K277" s="88"/>
    </row>
    <row r="278" spans="1:11" ht="12.75" customHeight="1">
      <c r="A278" s="1">
        <v>17</v>
      </c>
      <c r="B278" s="1">
        <v>1200</v>
      </c>
      <c r="C278" s="1" t="s">
        <v>1065</v>
      </c>
      <c r="D278" s="1" t="s">
        <v>1067</v>
      </c>
      <c r="E278" t="s">
        <v>236</v>
      </c>
      <c r="F278" s="103">
        <v>16</v>
      </c>
      <c r="G278" s="103"/>
      <c r="H278" s="103"/>
      <c r="I278" s="103"/>
      <c r="J278" s="156">
        <v>221560</v>
      </c>
      <c r="K278" s="88"/>
    </row>
    <row r="279" spans="1:11" ht="12.75" customHeight="1">
      <c r="A279" s="1">
        <v>17</v>
      </c>
      <c r="B279" s="1">
        <v>1850</v>
      </c>
      <c r="C279" s="1" t="s">
        <v>1065</v>
      </c>
      <c r="D279" s="1" t="s">
        <v>1068</v>
      </c>
      <c r="E279" t="s">
        <v>237</v>
      </c>
      <c r="F279" s="103"/>
      <c r="G279" s="103">
        <v>39</v>
      </c>
      <c r="H279" s="103"/>
      <c r="I279" s="103">
        <v>7</v>
      </c>
      <c r="J279" s="156">
        <v>746172</v>
      </c>
      <c r="K279" s="88"/>
    </row>
    <row r="280" spans="1:11" ht="12.75" customHeight="1">
      <c r="A280" s="1">
        <v>17</v>
      </c>
      <c r="B280" s="1">
        <v>2060</v>
      </c>
      <c r="C280" s="1" t="s">
        <v>1065</v>
      </c>
      <c r="D280" s="1" t="s">
        <v>1069</v>
      </c>
      <c r="E280" t="s">
        <v>238</v>
      </c>
      <c r="F280" s="103">
        <v>8</v>
      </c>
      <c r="G280" s="103"/>
      <c r="H280" s="103">
        <v>5</v>
      </c>
      <c r="I280" s="103"/>
      <c r="J280" s="156">
        <v>834321</v>
      </c>
      <c r="K280" s="156">
        <v>3331440</v>
      </c>
    </row>
    <row r="281" spans="1:11" ht="12.75" customHeight="1">
      <c r="A281" s="1">
        <v>17</v>
      </c>
      <c r="B281" s="1">
        <v>2210</v>
      </c>
      <c r="C281" s="1" t="s">
        <v>1065</v>
      </c>
      <c r="D281" s="1" t="s">
        <v>1070</v>
      </c>
      <c r="E281" t="s">
        <v>239</v>
      </c>
      <c r="F281" s="103"/>
      <c r="G281" s="103"/>
      <c r="H281" s="103">
        <v>15</v>
      </c>
      <c r="I281" s="103"/>
      <c r="J281" s="156">
        <v>4697389</v>
      </c>
      <c r="K281" s="88"/>
    </row>
    <row r="282" spans="1:11" ht="12.75" customHeight="1">
      <c r="A282" s="1">
        <v>17</v>
      </c>
      <c r="B282" s="1">
        <v>2295</v>
      </c>
      <c r="C282" s="1" t="s">
        <v>1065</v>
      </c>
      <c r="D282" s="1" t="s">
        <v>1071</v>
      </c>
      <c r="E282" t="s">
        <v>240</v>
      </c>
      <c r="F282" s="103"/>
      <c r="G282" s="103"/>
      <c r="H282" s="103"/>
      <c r="I282" s="103"/>
      <c r="J282" s="88"/>
      <c r="K282" s="88"/>
    </row>
    <row r="283" spans="1:11" ht="12.75" customHeight="1">
      <c r="A283" s="1">
        <v>17</v>
      </c>
      <c r="B283" s="1">
        <v>2390</v>
      </c>
      <c r="C283" s="1" t="s">
        <v>1065</v>
      </c>
      <c r="D283" s="1" t="s">
        <v>1072</v>
      </c>
      <c r="E283" s="2" t="s">
        <v>241</v>
      </c>
      <c r="F283" s="103">
        <v>1885</v>
      </c>
      <c r="G283" s="103"/>
      <c r="H283" s="103">
        <v>98</v>
      </c>
      <c r="I283" s="103"/>
      <c r="J283" s="156">
        <v>43977722</v>
      </c>
      <c r="K283" s="88"/>
    </row>
    <row r="284" spans="1:11" ht="12.75" customHeight="1">
      <c r="A284" s="1">
        <v>17</v>
      </c>
      <c r="B284" s="1">
        <v>2410</v>
      </c>
      <c r="C284" s="1" t="s">
        <v>1065</v>
      </c>
      <c r="D284" s="1" t="s">
        <v>1073</v>
      </c>
      <c r="E284" t="s">
        <v>242</v>
      </c>
      <c r="F284" s="103"/>
      <c r="G284" s="103">
        <v>209</v>
      </c>
      <c r="H284" s="103"/>
      <c r="I284" s="103">
        <v>12</v>
      </c>
      <c r="J284" s="156">
        <v>2677009</v>
      </c>
      <c r="K284" s="88"/>
    </row>
    <row r="285" spans="1:11" ht="12.75" customHeight="1">
      <c r="A285" s="1">
        <v>17</v>
      </c>
      <c r="B285" s="1">
        <v>3610</v>
      </c>
      <c r="C285" s="1" t="s">
        <v>1065</v>
      </c>
      <c r="D285" s="1" t="s">
        <v>1074</v>
      </c>
      <c r="E285" t="s">
        <v>243</v>
      </c>
      <c r="F285" s="103"/>
      <c r="G285" s="103">
        <v>198</v>
      </c>
      <c r="H285" s="103"/>
      <c r="I285" s="103">
        <v>33</v>
      </c>
      <c r="J285" s="156">
        <v>6030077</v>
      </c>
      <c r="K285" s="88"/>
    </row>
    <row r="286" spans="1:11" ht="12.75" customHeight="1">
      <c r="A286" s="1">
        <v>17</v>
      </c>
      <c r="B286" s="1">
        <v>4730</v>
      </c>
      <c r="C286" s="1" t="s">
        <v>1065</v>
      </c>
      <c r="D286" s="1" t="s">
        <v>1075</v>
      </c>
      <c r="E286" t="s">
        <v>244</v>
      </c>
      <c r="F286" s="103">
        <v>3</v>
      </c>
      <c r="G286" s="103">
        <v>125</v>
      </c>
      <c r="H286" s="103">
        <v>2</v>
      </c>
      <c r="I286" s="103">
        <v>10</v>
      </c>
      <c r="J286" s="88"/>
      <c r="K286" s="88"/>
    </row>
    <row r="287" spans="1:11" ht="12.75" customHeight="1">
      <c r="A287" s="1">
        <v>17</v>
      </c>
      <c r="B287" s="1">
        <v>5240</v>
      </c>
      <c r="C287" s="1" t="s">
        <v>1065</v>
      </c>
      <c r="D287" s="1" t="s">
        <v>1076</v>
      </c>
      <c r="E287" t="s">
        <v>245</v>
      </c>
      <c r="F287" s="103">
        <v>118</v>
      </c>
      <c r="G287" s="103"/>
      <c r="H287" s="103">
        <v>28</v>
      </c>
      <c r="I287" s="103"/>
      <c r="J287" s="156">
        <v>16603341</v>
      </c>
      <c r="K287" s="88"/>
    </row>
    <row r="288" spans="1:11" ht="12.75" customHeight="1">
      <c r="A288" s="1">
        <v>17</v>
      </c>
      <c r="B288" s="1">
        <v>5580</v>
      </c>
      <c r="C288" s="1" t="s">
        <v>1065</v>
      </c>
      <c r="D288" s="1" t="s">
        <v>1077</v>
      </c>
      <c r="E288" t="s">
        <v>246</v>
      </c>
      <c r="F288" s="103">
        <v>81</v>
      </c>
      <c r="G288" s="103"/>
      <c r="H288" s="103"/>
      <c r="I288" s="103"/>
      <c r="J288" s="156">
        <v>987196</v>
      </c>
      <c r="K288" s="88"/>
    </row>
    <row r="289" spans="1:11" ht="12.75" customHeight="1">
      <c r="A289" s="1">
        <v>17</v>
      </c>
      <c r="B289" s="1">
        <v>5670</v>
      </c>
      <c r="C289" s="1" t="s">
        <v>1065</v>
      </c>
      <c r="D289" s="1" t="s">
        <v>1078</v>
      </c>
      <c r="E289" t="s">
        <v>247</v>
      </c>
      <c r="F289" s="103">
        <v>1016</v>
      </c>
      <c r="G289" s="103"/>
      <c r="H289" s="103">
        <v>20</v>
      </c>
      <c r="I289" s="103"/>
      <c r="J289" s="156">
        <v>11804035</v>
      </c>
      <c r="K289" s="88"/>
    </row>
    <row r="290" spans="1:11" ht="12.75" customHeight="1">
      <c r="A290" s="1">
        <v>19</v>
      </c>
      <c r="B290" s="1">
        <v>20</v>
      </c>
      <c r="C290" s="1" t="s">
        <v>1079</v>
      </c>
      <c r="D290" s="1" t="s">
        <v>1080</v>
      </c>
      <c r="E290" t="s">
        <v>248</v>
      </c>
      <c r="F290" s="103"/>
      <c r="G290" s="103"/>
      <c r="H290" s="103"/>
      <c r="I290" s="103">
        <v>9</v>
      </c>
      <c r="J290" s="88"/>
      <c r="K290" s="88"/>
    </row>
    <row r="291" spans="1:11" ht="12.75" customHeight="1">
      <c r="A291" s="1">
        <v>19</v>
      </c>
      <c r="B291" s="1">
        <v>370</v>
      </c>
      <c r="C291" s="1" t="s">
        <v>1079</v>
      </c>
      <c r="D291" s="1" t="s">
        <v>1081</v>
      </c>
      <c r="E291" t="s">
        <v>249</v>
      </c>
      <c r="F291" s="103"/>
      <c r="G291" s="103"/>
      <c r="H291" s="103"/>
      <c r="I291" s="103">
        <v>3</v>
      </c>
      <c r="J291" s="156">
        <v>1351</v>
      </c>
      <c r="K291" s="88"/>
    </row>
    <row r="292" spans="1:11" ht="12.75" customHeight="1">
      <c r="A292" s="1">
        <v>19</v>
      </c>
      <c r="B292" s="1">
        <v>430</v>
      </c>
      <c r="C292" s="1" t="s">
        <v>1079</v>
      </c>
      <c r="D292" s="1" t="s">
        <v>1082</v>
      </c>
      <c r="E292" t="s">
        <v>250</v>
      </c>
      <c r="F292" s="103"/>
      <c r="G292" s="103">
        <v>13</v>
      </c>
      <c r="H292" s="103"/>
      <c r="I292" s="103"/>
      <c r="J292" s="88"/>
      <c r="K292" s="88"/>
    </row>
    <row r="293" spans="1:11" ht="12.75" customHeight="1">
      <c r="A293" s="1">
        <v>19</v>
      </c>
      <c r="B293" s="1">
        <v>670</v>
      </c>
      <c r="C293" s="1" t="s">
        <v>1079</v>
      </c>
      <c r="D293" s="1" t="s">
        <v>1083</v>
      </c>
      <c r="E293" t="s">
        <v>251</v>
      </c>
      <c r="F293" s="103"/>
      <c r="G293" s="103"/>
      <c r="H293" s="103"/>
      <c r="I293" s="103"/>
      <c r="J293" s="88"/>
      <c r="K293" s="88"/>
    </row>
    <row r="294" spans="1:11" ht="12.75" customHeight="1">
      <c r="A294" s="1">
        <v>19</v>
      </c>
      <c r="B294" s="1">
        <v>910</v>
      </c>
      <c r="C294" s="1" t="s">
        <v>1079</v>
      </c>
      <c r="D294" s="1" t="s">
        <v>1084</v>
      </c>
      <c r="E294" t="s">
        <v>252</v>
      </c>
      <c r="F294" s="103"/>
      <c r="G294" s="103">
        <v>1</v>
      </c>
      <c r="H294" s="103"/>
      <c r="I294" s="103">
        <v>12</v>
      </c>
      <c r="J294" s="88"/>
      <c r="K294" s="88"/>
    </row>
    <row r="295" spans="1:11" ht="12.75" customHeight="1">
      <c r="A295" s="1">
        <v>19</v>
      </c>
      <c r="B295" s="1">
        <v>920</v>
      </c>
      <c r="C295" s="1" t="s">
        <v>1079</v>
      </c>
      <c r="D295" s="1" t="s">
        <v>1085</v>
      </c>
      <c r="E295" t="s">
        <v>253</v>
      </c>
      <c r="F295" s="103"/>
      <c r="G295" s="103">
        <v>59</v>
      </c>
      <c r="H295" s="103"/>
      <c r="I295" s="103"/>
      <c r="J295" s="88"/>
      <c r="K295" s="88"/>
    </row>
    <row r="296" spans="1:11" ht="12.75" customHeight="1">
      <c r="A296" s="1">
        <v>19</v>
      </c>
      <c r="B296" s="1">
        <v>1040</v>
      </c>
      <c r="C296" s="1" t="s">
        <v>1079</v>
      </c>
      <c r="D296" s="1" t="s">
        <v>1086</v>
      </c>
      <c r="E296" t="s">
        <v>254</v>
      </c>
      <c r="F296" s="103"/>
      <c r="G296" s="103"/>
      <c r="H296" s="103"/>
      <c r="I296" s="103">
        <v>4</v>
      </c>
      <c r="J296" s="88"/>
      <c r="K296" s="88"/>
    </row>
    <row r="297" spans="1:11" ht="12.75" customHeight="1">
      <c r="A297" s="1">
        <v>19</v>
      </c>
      <c r="B297" s="1">
        <v>1050</v>
      </c>
      <c r="C297" s="1" t="s">
        <v>1079</v>
      </c>
      <c r="D297" s="1" t="s">
        <v>1087</v>
      </c>
      <c r="E297" t="s">
        <v>255</v>
      </c>
      <c r="F297" s="103"/>
      <c r="G297" s="103"/>
      <c r="H297" s="103"/>
      <c r="I297" s="103"/>
      <c r="J297" s="88"/>
      <c r="K297" s="88"/>
    </row>
    <row r="298" spans="1:11" ht="12.75" customHeight="1">
      <c r="A298" s="1">
        <v>19</v>
      </c>
      <c r="B298" s="1">
        <v>1160</v>
      </c>
      <c r="C298" s="1" t="s">
        <v>1079</v>
      </c>
      <c r="D298" s="1" t="s">
        <v>1088</v>
      </c>
      <c r="E298" t="s">
        <v>256</v>
      </c>
      <c r="F298" s="103"/>
      <c r="G298" s="103"/>
      <c r="H298" s="103">
        <v>1</v>
      </c>
      <c r="I298" s="103">
        <v>14</v>
      </c>
      <c r="J298" s="88"/>
      <c r="K298" s="88"/>
    </row>
    <row r="299" spans="1:11" ht="12.75" customHeight="1">
      <c r="A299" s="1">
        <v>19</v>
      </c>
      <c r="B299" s="1">
        <v>1510</v>
      </c>
      <c r="C299" s="1" t="s">
        <v>1079</v>
      </c>
      <c r="D299" s="1" t="s">
        <v>1089</v>
      </c>
      <c r="E299" t="s">
        <v>257</v>
      </c>
      <c r="F299" s="103">
        <v>1</v>
      </c>
      <c r="G299" s="103">
        <v>3</v>
      </c>
      <c r="H299" s="103">
        <v>5</v>
      </c>
      <c r="I299" s="103">
        <v>19</v>
      </c>
      <c r="J299" s="88"/>
      <c r="K299" s="88"/>
    </row>
    <row r="300" spans="1:11" ht="12.75" customHeight="1">
      <c r="A300" s="1">
        <v>19</v>
      </c>
      <c r="B300" s="1">
        <v>1600</v>
      </c>
      <c r="C300" s="1" t="s">
        <v>1079</v>
      </c>
      <c r="D300" s="1" t="s">
        <v>1043</v>
      </c>
      <c r="E300" t="s">
        <v>258</v>
      </c>
      <c r="F300" s="103"/>
      <c r="G300" s="103"/>
      <c r="H300" s="103"/>
      <c r="I300" s="103"/>
      <c r="J300" s="88"/>
      <c r="K300" s="88"/>
    </row>
    <row r="301" spans="1:11" ht="12.75" customHeight="1">
      <c r="A301" s="1">
        <v>19</v>
      </c>
      <c r="B301" s="1">
        <v>1680</v>
      </c>
      <c r="C301" s="1" t="s">
        <v>1079</v>
      </c>
      <c r="D301" s="1" t="s">
        <v>1090</v>
      </c>
      <c r="E301" t="s">
        <v>259</v>
      </c>
      <c r="F301" s="103"/>
      <c r="G301" s="103">
        <v>17</v>
      </c>
      <c r="H301" s="103"/>
      <c r="I301" s="103"/>
      <c r="J301" s="88"/>
      <c r="K301" s="88"/>
    </row>
    <row r="302" spans="1:11" ht="12.75" customHeight="1">
      <c r="A302" s="1">
        <v>19</v>
      </c>
      <c r="B302" s="1">
        <v>1740</v>
      </c>
      <c r="C302" s="1" t="s">
        <v>1079</v>
      </c>
      <c r="D302" s="1" t="s">
        <v>1091</v>
      </c>
      <c r="E302"/>
      <c r="F302" s="103"/>
      <c r="G302" s="103"/>
      <c r="H302" s="103"/>
      <c r="I302" s="103"/>
      <c r="J302" s="88"/>
      <c r="K302" s="88"/>
    </row>
    <row r="303" spans="1:11" ht="12.75" customHeight="1">
      <c r="A303" s="1">
        <v>19</v>
      </c>
      <c r="B303" s="1">
        <v>1970</v>
      </c>
      <c r="C303" s="1" t="s">
        <v>1079</v>
      </c>
      <c r="D303" s="1" t="s">
        <v>1092</v>
      </c>
      <c r="E303" t="s">
        <v>260</v>
      </c>
      <c r="F303" s="103"/>
      <c r="G303" s="103">
        <v>13</v>
      </c>
      <c r="H303" s="103"/>
      <c r="I303" s="103"/>
      <c r="J303" s="88"/>
      <c r="K303" s="88"/>
    </row>
    <row r="304" spans="1:11" ht="12.75" customHeight="1">
      <c r="A304" s="1">
        <v>19</v>
      </c>
      <c r="B304" s="1">
        <v>2140</v>
      </c>
      <c r="C304" s="1" t="s">
        <v>1079</v>
      </c>
      <c r="D304" s="1" t="s">
        <v>1093</v>
      </c>
      <c r="E304" t="s">
        <v>261</v>
      </c>
      <c r="F304" s="103"/>
      <c r="G304" s="103">
        <v>10</v>
      </c>
      <c r="H304" s="103"/>
      <c r="I304" s="103"/>
      <c r="J304" s="88"/>
      <c r="K304" s="88"/>
    </row>
    <row r="305" spans="1:11" ht="12.75" customHeight="1">
      <c r="A305" s="1">
        <v>19</v>
      </c>
      <c r="B305" s="1">
        <v>2220</v>
      </c>
      <c r="C305" s="1" t="s">
        <v>1079</v>
      </c>
      <c r="D305" s="1" t="s">
        <v>1094</v>
      </c>
      <c r="E305" t="s">
        <v>262</v>
      </c>
      <c r="F305" s="103"/>
      <c r="G305" s="103"/>
      <c r="H305" s="103"/>
      <c r="I305" s="103">
        <v>4</v>
      </c>
      <c r="J305" s="88"/>
      <c r="K305" s="88"/>
    </row>
    <row r="306" spans="1:11" ht="12.75" customHeight="1">
      <c r="A306" s="1">
        <v>19</v>
      </c>
      <c r="B306" s="1">
        <v>2300</v>
      </c>
      <c r="C306" s="1" t="s">
        <v>1079</v>
      </c>
      <c r="D306" s="1" t="s">
        <v>1095</v>
      </c>
      <c r="E306" t="s">
        <v>263</v>
      </c>
      <c r="F306" s="103"/>
      <c r="G306" s="103"/>
      <c r="H306" s="103"/>
      <c r="I306" s="103"/>
      <c r="J306" s="88"/>
      <c r="K306" s="88"/>
    </row>
    <row r="307" spans="1:11" ht="12.75" customHeight="1">
      <c r="A307" s="1">
        <v>19</v>
      </c>
      <c r="B307" s="1">
        <v>2305</v>
      </c>
      <c r="C307" s="1" t="s">
        <v>1079</v>
      </c>
      <c r="D307" s="1" t="s">
        <v>1096</v>
      </c>
      <c r="E307" t="s">
        <v>264</v>
      </c>
      <c r="F307" s="103"/>
      <c r="G307" s="103"/>
      <c r="H307" s="103"/>
      <c r="I307" s="103"/>
      <c r="J307" s="88"/>
      <c r="K307" s="88"/>
    </row>
    <row r="308" spans="1:11" ht="12.75" customHeight="1">
      <c r="A308" s="1">
        <v>19</v>
      </c>
      <c r="B308" s="1">
        <v>2308</v>
      </c>
      <c r="C308" s="1" t="s">
        <v>1079</v>
      </c>
      <c r="D308" s="1" t="s">
        <v>1097</v>
      </c>
      <c r="E308" t="s">
        <v>265</v>
      </c>
      <c r="F308" s="103"/>
      <c r="G308" s="103"/>
      <c r="H308" s="103"/>
      <c r="I308" s="103"/>
      <c r="J308" s="88"/>
      <c r="K308" s="88"/>
    </row>
    <row r="309" spans="1:11" ht="12.75" customHeight="1">
      <c r="A309" s="1">
        <v>19</v>
      </c>
      <c r="B309" s="1">
        <v>2450</v>
      </c>
      <c r="C309" s="1" t="s">
        <v>1079</v>
      </c>
      <c r="D309" s="1" t="s">
        <v>1098</v>
      </c>
      <c r="E309" t="s">
        <v>266</v>
      </c>
      <c r="F309" s="103"/>
      <c r="G309" s="103"/>
      <c r="H309" s="103"/>
      <c r="I309" s="103">
        <v>4</v>
      </c>
      <c r="J309" s="88"/>
      <c r="K309" s="88"/>
    </row>
    <row r="310" spans="1:11" ht="12.75" customHeight="1">
      <c r="A310" s="1">
        <v>19</v>
      </c>
      <c r="B310" s="1">
        <v>2530</v>
      </c>
      <c r="C310" s="1" t="s">
        <v>1079</v>
      </c>
      <c r="D310" s="1" t="s">
        <v>1099</v>
      </c>
      <c r="E310" t="s">
        <v>267</v>
      </c>
      <c r="F310" s="103"/>
      <c r="G310" s="103"/>
      <c r="H310" s="103"/>
      <c r="I310" s="103">
        <v>1</v>
      </c>
      <c r="J310" s="88"/>
      <c r="K310" s="88"/>
    </row>
    <row r="311" spans="1:11" ht="12.75" customHeight="1">
      <c r="A311" s="1">
        <v>19</v>
      </c>
      <c r="B311" s="1">
        <v>2590</v>
      </c>
      <c r="C311" s="1" t="s">
        <v>1079</v>
      </c>
      <c r="D311" s="1" t="s">
        <v>1100</v>
      </c>
      <c r="E311" t="s">
        <v>268</v>
      </c>
      <c r="F311" s="103"/>
      <c r="G311" s="103"/>
      <c r="H311" s="103"/>
      <c r="I311" s="103"/>
      <c r="J311" s="88"/>
      <c r="K311" s="88"/>
    </row>
    <row r="312" spans="1:11" ht="12.75" customHeight="1">
      <c r="A312" s="1">
        <v>19</v>
      </c>
      <c r="B312" s="1">
        <v>2600</v>
      </c>
      <c r="C312" s="1" t="s">
        <v>1079</v>
      </c>
      <c r="D312" s="1" t="s">
        <v>1101</v>
      </c>
      <c r="E312" t="s">
        <v>269</v>
      </c>
      <c r="F312" s="103"/>
      <c r="G312" s="103">
        <v>19</v>
      </c>
      <c r="H312" s="103">
        <v>4</v>
      </c>
      <c r="I312" s="103">
        <v>5</v>
      </c>
      <c r="J312" s="88"/>
      <c r="K312" s="88"/>
    </row>
    <row r="313" spans="1:11" ht="12.75" customHeight="1">
      <c r="A313" s="1">
        <v>19</v>
      </c>
      <c r="B313" s="1">
        <v>3180</v>
      </c>
      <c r="C313" s="1" t="s">
        <v>1079</v>
      </c>
      <c r="D313" s="1" t="s">
        <v>1102</v>
      </c>
      <c r="E313" t="s">
        <v>270</v>
      </c>
      <c r="F313" s="103"/>
      <c r="G313" s="103">
        <v>4</v>
      </c>
      <c r="H313" s="103"/>
      <c r="I313" s="103"/>
      <c r="J313" s="88"/>
      <c r="K313" s="88"/>
    </row>
    <row r="314" spans="1:11" ht="12.75" customHeight="1">
      <c r="A314" s="1">
        <v>19</v>
      </c>
      <c r="B314" s="1">
        <v>3660</v>
      </c>
      <c r="C314" s="1" t="s">
        <v>1079</v>
      </c>
      <c r="D314" s="1" t="s">
        <v>1103</v>
      </c>
      <c r="E314" t="s">
        <v>271</v>
      </c>
      <c r="F314" s="103"/>
      <c r="G314" s="103"/>
      <c r="H314" s="103"/>
      <c r="I314" s="103"/>
      <c r="J314" s="88"/>
      <c r="K314" s="88"/>
    </row>
    <row r="315" spans="1:11" ht="12.75" customHeight="1">
      <c r="A315" s="1">
        <v>19</v>
      </c>
      <c r="B315" s="1">
        <v>4350</v>
      </c>
      <c r="C315" s="1" t="s">
        <v>1079</v>
      </c>
      <c r="D315" s="1" t="s">
        <v>1104</v>
      </c>
      <c r="E315" t="s">
        <v>272</v>
      </c>
      <c r="F315" s="103"/>
      <c r="G315" s="103"/>
      <c r="H315" s="103"/>
      <c r="I315" s="103">
        <v>13</v>
      </c>
      <c r="J315" s="88"/>
      <c r="K315" s="88"/>
    </row>
    <row r="316" spans="1:11" ht="12.75" customHeight="1">
      <c r="A316" s="1">
        <v>19</v>
      </c>
      <c r="B316" s="1">
        <v>4890</v>
      </c>
      <c r="C316" s="1" t="s">
        <v>1079</v>
      </c>
      <c r="D316" s="1" t="s">
        <v>1105</v>
      </c>
      <c r="E316" t="s">
        <v>273</v>
      </c>
      <c r="F316" s="103"/>
      <c r="G316" s="103"/>
      <c r="H316" s="103"/>
      <c r="I316" s="103"/>
      <c r="J316" s="88"/>
      <c r="K316" s="88"/>
    </row>
    <row r="317" spans="1:11" ht="12.75" customHeight="1">
      <c r="A317" s="1">
        <v>19</v>
      </c>
      <c r="B317" s="1">
        <v>5050</v>
      </c>
      <c r="C317" s="1" t="s">
        <v>1079</v>
      </c>
      <c r="D317" s="1" t="s">
        <v>1106</v>
      </c>
      <c r="E317" t="s">
        <v>274</v>
      </c>
      <c r="F317" s="103"/>
      <c r="G317" s="103"/>
      <c r="H317" s="103"/>
      <c r="I317" s="103"/>
      <c r="J317" s="88"/>
      <c r="K317" s="88"/>
    </row>
    <row r="318" spans="1:11" ht="12.75" customHeight="1">
      <c r="A318" s="1">
        <v>19</v>
      </c>
      <c r="B318" s="1">
        <v>5180</v>
      </c>
      <c r="C318" s="1" t="s">
        <v>1079</v>
      </c>
      <c r="D318" s="1" t="s">
        <v>1107</v>
      </c>
      <c r="E318" t="s">
        <v>275</v>
      </c>
      <c r="F318" s="103"/>
      <c r="G318" s="103">
        <v>17</v>
      </c>
      <c r="H318" s="103"/>
      <c r="I318" s="103">
        <v>4</v>
      </c>
      <c r="J318" s="88"/>
      <c r="K318" s="88"/>
    </row>
    <row r="319" spans="1:11" ht="12.75" customHeight="1">
      <c r="A319" s="1">
        <v>19</v>
      </c>
      <c r="B319" s="1">
        <v>5270</v>
      </c>
      <c r="C319" s="1" t="s">
        <v>1079</v>
      </c>
      <c r="D319" s="1" t="s">
        <v>1108</v>
      </c>
      <c r="E319" t="s">
        <v>276</v>
      </c>
      <c r="F319" s="103"/>
      <c r="G319" s="103"/>
      <c r="H319" s="103"/>
      <c r="I319" s="103">
        <v>4</v>
      </c>
      <c r="J319" s="88"/>
      <c r="K319" s="88"/>
    </row>
    <row r="320" spans="1:11" ht="12.75" customHeight="1">
      <c r="A320" s="1">
        <v>19</v>
      </c>
      <c r="B320" s="1">
        <v>5600</v>
      </c>
      <c r="C320" s="1" t="s">
        <v>1079</v>
      </c>
      <c r="D320" s="1" t="s">
        <v>1109</v>
      </c>
      <c r="E320" t="s">
        <v>277</v>
      </c>
      <c r="F320" s="103"/>
      <c r="G320" s="103"/>
      <c r="H320" s="103"/>
      <c r="I320" s="103">
        <v>3</v>
      </c>
      <c r="J320" s="88"/>
      <c r="K320" s="88"/>
    </row>
    <row r="321" spans="1:11" ht="12.75" customHeight="1">
      <c r="A321" s="1">
        <v>21</v>
      </c>
      <c r="B321" s="1">
        <v>1245</v>
      </c>
      <c r="C321" s="1" t="s">
        <v>1110</v>
      </c>
      <c r="D321" s="1" t="s">
        <v>1111</v>
      </c>
      <c r="E321" t="s">
        <v>278</v>
      </c>
      <c r="F321" s="103"/>
      <c r="G321" s="103">
        <v>52</v>
      </c>
      <c r="H321" s="103"/>
      <c r="I321" s="103">
        <v>31</v>
      </c>
      <c r="J321" s="88"/>
      <c r="K321" s="88"/>
    </row>
    <row r="322" spans="1:11" ht="12.75" customHeight="1">
      <c r="A322" s="1">
        <v>21</v>
      </c>
      <c r="B322" s="1">
        <v>1430</v>
      </c>
      <c r="C322" s="1" t="s">
        <v>1110</v>
      </c>
      <c r="D322" s="1" t="s">
        <v>1112</v>
      </c>
      <c r="E322" t="s">
        <v>279</v>
      </c>
      <c r="F322" s="103"/>
      <c r="G322" s="103"/>
      <c r="H322" s="103">
        <v>5</v>
      </c>
      <c r="I322" s="103">
        <v>17</v>
      </c>
      <c r="J322" s="88"/>
      <c r="K322" s="88"/>
    </row>
    <row r="323" spans="1:11" ht="12.75" customHeight="1">
      <c r="A323" s="1">
        <v>21</v>
      </c>
      <c r="B323" s="1">
        <v>1950</v>
      </c>
      <c r="C323" s="1" t="s">
        <v>1110</v>
      </c>
      <c r="D323" s="1" t="s">
        <v>1782</v>
      </c>
      <c r="E323" t="s">
        <v>280</v>
      </c>
      <c r="F323" s="103"/>
      <c r="G323" s="103"/>
      <c r="H323" s="103">
        <v>11</v>
      </c>
      <c r="I323" s="103">
        <v>85</v>
      </c>
      <c r="J323" s="88"/>
      <c r="K323" s="88"/>
    </row>
    <row r="324" spans="1:11" ht="12.75" customHeight="1">
      <c r="A324" s="1">
        <v>21</v>
      </c>
      <c r="B324" s="1">
        <v>2280</v>
      </c>
      <c r="C324" s="1" t="s">
        <v>1110</v>
      </c>
      <c r="D324" s="1" t="s">
        <v>1113</v>
      </c>
      <c r="E324" t="s">
        <v>281</v>
      </c>
      <c r="F324" s="103"/>
      <c r="G324" s="103">
        <v>42</v>
      </c>
      <c r="H324" s="103"/>
      <c r="I324" s="103"/>
      <c r="J324" s="88"/>
      <c r="K324" s="88"/>
    </row>
    <row r="325" spans="1:11" ht="12.75" customHeight="1">
      <c r="A325" s="1">
        <v>21</v>
      </c>
      <c r="B325" s="1">
        <v>2580</v>
      </c>
      <c r="C325" s="1" t="s">
        <v>1110</v>
      </c>
      <c r="D325" s="1" t="s">
        <v>1179</v>
      </c>
      <c r="E325" t="s">
        <v>282</v>
      </c>
      <c r="F325" s="103">
        <v>38</v>
      </c>
      <c r="G325" s="103">
        <v>25</v>
      </c>
      <c r="H325" s="103"/>
      <c r="I325" s="103">
        <v>10</v>
      </c>
      <c r="J325" s="88"/>
      <c r="K325" s="88"/>
    </row>
    <row r="326" spans="1:11" ht="12.75" customHeight="1">
      <c r="A326" s="1">
        <v>21</v>
      </c>
      <c r="B326" s="1">
        <v>3103</v>
      </c>
      <c r="C326" s="1" t="s">
        <v>1110</v>
      </c>
      <c r="D326" s="1" t="s">
        <v>931</v>
      </c>
      <c r="E326" t="s">
        <v>283</v>
      </c>
      <c r="F326" s="103"/>
      <c r="G326" s="103"/>
      <c r="H326" s="103">
        <v>56</v>
      </c>
      <c r="I326" s="103">
        <v>9</v>
      </c>
      <c r="J326" s="88"/>
      <c r="K326" s="88"/>
    </row>
    <row r="327" spans="1:11" ht="12.75" customHeight="1">
      <c r="A327" s="1">
        <v>21</v>
      </c>
      <c r="B327" s="1">
        <v>3105</v>
      </c>
      <c r="C327" s="1" t="s">
        <v>1110</v>
      </c>
      <c r="D327" s="1" t="s">
        <v>932</v>
      </c>
      <c r="E327" t="s">
        <v>284</v>
      </c>
      <c r="F327" s="103"/>
      <c r="G327" s="103"/>
      <c r="H327" s="103"/>
      <c r="I327" s="103"/>
      <c r="J327" s="88"/>
      <c r="K327" s="88"/>
    </row>
    <row r="328" spans="1:11" ht="12.75" customHeight="1">
      <c r="A328" s="1">
        <v>21</v>
      </c>
      <c r="B328" s="1">
        <v>4255</v>
      </c>
      <c r="C328" s="1" t="s">
        <v>1110</v>
      </c>
      <c r="D328" s="1" t="s">
        <v>933</v>
      </c>
      <c r="E328" t="s">
        <v>285</v>
      </c>
      <c r="F328" s="103">
        <v>4</v>
      </c>
      <c r="G328" s="103">
        <v>54</v>
      </c>
      <c r="H328" s="103">
        <v>4</v>
      </c>
      <c r="I328" s="103">
        <v>12</v>
      </c>
      <c r="J328" s="88"/>
      <c r="K328" s="88"/>
    </row>
    <row r="329" spans="1:11" ht="12.75" customHeight="1">
      <c r="A329" s="1">
        <v>21</v>
      </c>
      <c r="B329" s="1">
        <v>5210</v>
      </c>
      <c r="C329" s="1" t="s">
        <v>1110</v>
      </c>
      <c r="D329" s="1" t="s">
        <v>934</v>
      </c>
      <c r="E329" s="2" t="s">
        <v>178</v>
      </c>
      <c r="F329" s="103">
        <v>297</v>
      </c>
      <c r="G329" s="103"/>
      <c r="H329" s="103">
        <v>37</v>
      </c>
      <c r="I329" s="103">
        <v>5</v>
      </c>
      <c r="J329" s="156">
        <v>12497359</v>
      </c>
      <c r="K329" s="88"/>
    </row>
    <row r="330" spans="1:11" ht="12.75" customHeight="1">
      <c r="A330" s="1">
        <v>21</v>
      </c>
      <c r="B330" s="1">
        <v>5510</v>
      </c>
      <c r="C330" s="1" t="s">
        <v>1110</v>
      </c>
      <c r="D330" s="1" t="s">
        <v>935</v>
      </c>
      <c r="E330" t="s">
        <v>179</v>
      </c>
      <c r="F330" s="103"/>
      <c r="G330" s="103"/>
      <c r="H330" s="103"/>
      <c r="I330" s="103">
        <v>23</v>
      </c>
      <c r="J330" s="88"/>
      <c r="K330" s="88"/>
    </row>
    <row r="331" spans="1:11" ht="12.75" customHeight="1">
      <c r="A331" s="1">
        <v>21</v>
      </c>
      <c r="B331" s="1">
        <v>5715</v>
      </c>
      <c r="C331" s="1" t="s">
        <v>1110</v>
      </c>
      <c r="D331" s="1" t="s">
        <v>936</v>
      </c>
      <c r="E331" t="s">
        <v>180</v>
      </c>
      <c r="F331" s="103"/>
      <c r="G331" s="103">
        <v>13</v>
      </c>
      <c r="H331" s="103"/>
      <c r="I331" s="103">
        <v>18</v>
      </c>
      <c r="J331" s="88"/>
      <c r="K331" s="88"/>
    </row>
    <row r="332" spans="1:11" ht="12.75" customHeight="1">
      <c r="A332" s="1">
        <v>23</v>
      </c>
      <c r="B332" s="1">
        <v>750</v>
      </c>
      <c r="C332" s="1" t="s">
        <v>937</v>
      </c>
      <c r="D332" s="1" t="s">
        <v>938</v>
      </c>
      <c r="E332" t="s">
        <v>181</v>
      </c>
      <c r="F332" s="103"/>
      <c r="G332" s="103">
        <v>183</v>
      </c>
      <c r="H332" s="103"/>
      <c r="I332" s="103">
        <v>16</v>
      </c>
      <c r="J332" s="156">
        <v>1771074</v>
      </c>
      <c r="K332" s="88"/>
    </row>
    <row r="333" spans="1:11" ht="12.75" customHeight="1">
      <c r="A333" s="1">
        <v>23</v>
      </c>
      <c r="B333" s="1">
        <v>970</v>
      </c>
      <c r="C333" s="1" t="s">
        <v>937</v>
      </c>
      <c r="D333" s="1" t="s">
        <v>939</v>
      </c>
      <c r="E333" t="s">
        <v>182</v>
      </c>
      <c r="F333" s="103"/>
      <c r="G333" s="103">
        <v>8</v>
      </c>
      <c r="H333" s="103"/>
      <c r="I333" s="103">
        <v>7</v>
      </c>
      <c r="J333" s="88"/>
      <c r="K333" s="88"/>
    </row>
    <row r="334" spans="1:11" ht="12.75" customHeight="1">
      <c r="A334" s="1">
        <v>23</v>
      </c>
      <c r="B334" s="1">
        <v>1140</v>
      </c>
      <c r="C334" s="1" t="s">
        <v>937</v>
      </c>
      <c r="D334" s="1" t="s">
        <v>940</v>
      </c>
      <c r="E334" t="s">
        <v>183</v>
      </c>
      <c r="F334" s="103"/>
      <c r="G334" s="103"/>
      <c r="H334" s="103">
        <v>7</v>
      </c>
      <c r="I334" s="103"/>
      <c r="J334" s="88"/>
      <c r="K334" s="88"/>
    </row>
    <row r="335" spans="1:11" ht="12.75" customHeight="1">
      <c r="A335" s="1">
        <v>23</v>
      </c>
      <c r="B335" s="1">
        <v>1170</v>
      </c>
      <c r="C335" s="1" t="s">
        <v>937</v>
      </c>
      <c r="D335" s="1" t="s">
        <v>941</v>
      </c>
      <c r="E335" t="s">
        <v>184</v>
      </c>
      <c r="F335" s="103"/>
      <c r="G335" s="103">
        <v>10</v>
      </c>
      <c r="H335" s="103">
        <v>24</v>
      </c>
      <c r="I335" s="103">
        <v>37</v>
      </c>
      <c r="J335" s="88"/>
      <c r="K335" s="88"/>
    </row>
    <row r="336" spans="1:11" ht="12.75" customHeight="1">
      <c r="A336" s="1">
        <v>23</v>
      </c>
      <c r="B336" s="1">
        <v>1290</v>
      </c>
      <c r="C336" s="1" t="s">
        <v>937</v>
      </c>
      <c r="D336" s="1" t="s">
        <v>942</v>
      </c>
      <c r="E336" t="s">
        <v>185</v>
      </c>
      <c r="F336" s="103"/>
      <c r="G336" s="103"/>
      <c r="H336" s="103">
        <v>21</v>
      </c>
      <c r="I336" s="103">
        <v>76</v>
      </c>
      <c r="J336" s="88"/>
      <c r="K336" s="88"/>
    </row>
    <row r="337" spans="1:11" ht="12.75" customHeight="1">
      <c r="A337" s="1">
        <v>23</v>
      </c>
      <c r="B337" s="1">
        <v>2110</v>
      </c>
      <c r="C337" s="1" t="s">
        <v>937</v>
      </c>
      <c r="D337" s="1" t="s">
        <v>943</v>
      </c>
      <c r="E337"/>
      <c r="F337" s="103"/>
      <c r="G337" s="103"/>
      <c r="H337" s="103"/>
      <c r="I337" s="103"/>
      <c r="J337" s="88"/>
      <c r="K337" s="88"/>
    </row>
    <row r="338" spans="1:11" ht="12.75" customHeight="1">
      <c r="A338" s="1">
        <v>23</v>
      </c>
      <c r="B338" s="1">
        <v>2150</v>
      </c>
      <c r="C338" s="1" t="s">
        <v>937</v>
      </c>
      <c r="D338" s="1" t="s">
        <v>944</v>
      </c>
      <c r="E338" t="s">
        <v>186</v>
      </c>
      <c r="F338" s="103"/>
      <c r="G338" s="103">
        <v>70</v>
      </c>
      <c r="H338" s="103"/>
      <c r="I338" s="103">
        <v>13</v>
      </c>
      <c r="J338" s="156">
        <v>754825</v>
      </c>
      <c r="K338" s="88"/>
    </row>
    <row r="339" spans="1:11" ht="12.75" customHeight="1">
      <c r="A339" s="1">
        <v>23</v>
      </c>
      <c r="B339" s="1">
        <v>2370</v>
      </c>
      <c r="C339" s="1" t="s">
        <v>937</v>
      </c>
      <c r="D339" s="1" t="s">
        <v>945</v>
      </c>
      <c r="E339" t="s">
        <v>187</v>
      </c>
      <c r="F339" s="103"/>
      <c r="G339" s="103">
        <v>42</v>
      </c>
      <c r="H339" s="103"/>
      <c r="I339" s="103">
        <v>4</v>
      </c>
      <c r="J339" s="156">
        <v>234083</v>
      </c>
      <c r="K339" s="88"/>
    </row>
    <row r="340" spans="1:11" ht="12.75" customHeight="1">
      <c r="A340" s="1">
        <v>23</v>
      </c>
      <c r="B340" s="1">
        <v>3120</v>
      </c>
      <c r="C340" s="1" t="s">
        <v>937</v>
      </c>
      <c r="D340" s="1" t="s">
        <v>946</v>
      </c>
      <c r="E340" t="s">
        <v>188</v>
      </c>
      <c r="F340" s="103"/>
      <c r="G340" s="103"/>
      <c r="H340" s="103">
        <v>4</v>
      </c>
      <c r="I340" s="103">
        <v>16</v>
      </c>
      <c r="J340" s="88"/>
      <c r="K340" s="88"/>
    </row>
    <row r="341" spans="1:11" ht="12.75" customHeight="1">
      <c r="A341" s="1">
        <v>23</v>
      </c>
      <c r="B341" s="1">
        <v>3140</v>
      </c>
      <c r="C341" s="1" t="s">
        <v>937</v>
      </c>
      <c r="D341" s="1" t="s">
        <v>947</v>
      </c>
      <c r="E341" t="s">
        <v>189</v>
      </c>
      <c r="F341" s="103"/>
      <c r="G341" s="103"/>
      <c r="H341" s="103">
        <v>13</v>
      </c>
      <c r="I341" s="103"/>
      <c r="J341" s="88"/>
      <c r="K341" s="88"/>
    </row>
    <row r="342" spans="1:11" ht="12.75" customHeight="1">
      <c r="A342" s="1">
        <v>23</v>
      </c>
      <c r="B342" s="1">
        <v>3145</v>
      </c>
      <c r="C342" s="1" t="s">
        <v>937</v>
      </c>
      <c r="D342" s="1" t="s">
        <v>948</v>
      </c>
      <c r="E342" t="s">
        <v>190</v>
      </c>
      <c r="F342" s="103"/>
      <c r="G342" s="103"/>
      <c r="H342" s="103">
        <v>33</v>
      </c>
      <c r="I342" s="103"/>
      <c r="J342" s="88"/>
      <c r="K342" s="88"/>
    </row>
    <row r="343" spans="1:11" ht="12.75" customHeight="1">
      <c r="A343" s="1">
        <v>23</v>
      </c>
      <c r="B343" s="1">
        <v>3150</v>
      </c>
      <c r="C343" s="1" t="s">
        <v>937</v>
      </c>
      <c r="D343" s="1" t="s">
        <v>949</v>
      </c>
      <c r="E343" t="s">
        <v>191</v>
      </c>
      <c r="F343" s="103"/>
      <c r="G343" s="103"/>
      <c r="H343" s="103"/>
      <c r="I343" s="103"/>
      <c r="J343" s="88"/>
      <c r="K343" s="88"/>
    </row>
    <row r="344" spans="1:11" ht="12.75" customHeight="1">
      <c r="A344" s="1">
        <v>23</v>
      </c>
      <c r="B344" s="1">
        <v>3220</v>
      </c>
      <c r="C344" s="1" t="s">
        <v>937</v>
      </c>
      <c r="D344" s="1" t="s">
        <v>950</v>
      </c>
      <c r="E344" t="s">
        <v>192</v>
      </c>
      <c r="F344" s="103"/>
      <c r="G344" s="103">
        <v>22</v>
      </c>
      <c r="H344" s="103"/>
      <c r="I344" s="103"/>
      <c r="J344" s="88"/>
      <c r="K344" s="88"/>
    </row>
    <row r="345" spans="1:11" ht="12.75" customHeight="1">
      <c r="A345" s="1">
        <v>23</v>
      </c>
      <c r="B345" s="1">
        <v>3290</v>
      </c>
      <c r="C345" s="1" t="s">
        <v>937</v>
      </c>
      <c r="D345" s="1" t="s">
        <v>1052</v>
      </c>
      <c r="E345" t="s">
        <v>193</v>
      </c>
      <c r="F345" s="103"/>
      <c r="G345" s="103"/>
      <c r="H345" s="103">
        <v>10</v>
      </c>
      <c r="I345" s="103">
        <v>32</v>
      </c>
      <c r="J345" s="88"/>
      <c r="K345" s="88"/>
    </row>
    <row r="346" spans="1:11" ht="12.75" customHeight="1">
      <c r="A346" s="1">
        <v>23</v>
      </c>
      <c r="B346" s="1">
        <v>3530</v>
      </c>
      <c r="C346" s="1" t="s">
        <v>937</v>
      </c>
      <c r="D346" s="1" t="s">
        <v>951</v>
      </c>
      <c r="E346" t="s">
        <v>194</v>
      </c>
      <c r="F346" s="103">
        <v>28</v>
      </c>
      <c r="G346" s="103"/>
      <c r="H346" s="103">
        <v>61</v>
      </c>
      <c r="I346" s="103"/>
      <c r="J346" s="156">
        <v>7692009</v>
      </c>
      <c r="K346" s="156">
        <v>7489236</v>
      </c>
    </row>
    <row r="347" spans="1:11" ht="12.75" customHeight="1">
      <c r="A347" s="1">
        <v>23</v>
      </c>
      <c r="B347" s="1">
        <v>3620</v>
      </c>
      <c r="C347" s="1" t="s">
        <v>937</v>
      </c>
      <c r="D347" s="1" t="s">
        <v>952</v>
      </c>
      <c r="E347" t="s">
        <v>195</v>
      </c>
      <c r="F347" s="103"/>
      <c r="G347" s="103"/>
      <c r="H347" s="103"/>
      <c r="I347" s="103"/>
      <c r="J347" s="88"/>
      <c r="K347" s="88"/>
    </row>
    <row r="348" spans="1:11" ht="12.75" customHeight="1">
      <c r="A348" s="1">
        <v>23</v>
      </c>
      <c r="B348" s="1">
        <v>3845</v>
      </c>
      <c r="C348" s="1" t="s">
        <v>937</v>
      </c>
      <c r="D348" s="1" t="s">
        <v>953</v>
      </c>
      <c r="E348" t="s">
        <v>196</v>
      </c>
      <c r="F348" s="103"/>
      <c r="G348" s="103"/>
      <c r="H348" s="103">
        <v>15</v>
      </c>
      <c r="I348" s="103">
        <v>45</v>
      </c>
      <c r="J348" s="88"/>
      <c r="K348" s="88"/>
    </row>
    <row r="349" spans="1:11" ht="12.75" customHeight="1">
      <c r="A349" s="1">
        <v>23</v>
      </c>
      <c r="B349" s="1">
        <v>4090</v>
      </c>
      <c r="C349" s="1" t="s">
        <v>937</v>
      </c>
      <c r="D349" s="1" t="s">
        <v>954</v>
      </c>
      <c r="E349" t="s">
        <v>197</v>
      </c>
      <c r="F349" s="103">
        <v>979</v>
      </c>
      <c r="G349" s="103"/>
      <c r="H349" s="103">
        <v>5</v>
      </c>
      <c r="I349" s="103"/>
      <c r="J349" s="156">
        <v>5167443</v>
      </c>
      <c r="K349" s="156">
        <v>8196527</v>
      </c>
    </row>
    <row r="350" spans="1:11" ht="12.75" customHeight="1">
      <c r="A350" s="1">
        <v>23</v>
      </c>
      <c r="B350" s="1">
        <v>4130</v>
      </c>
      <c r="C350" s="1" t="s">
        <v>937</v>
      </c>
      <c r="D350" s="1" t="s">
        <v>955</v>
      </c>
      <c r="E350" t="s">
        <v>198</v>
      </c>
      <c r="F350" s="103">
        <v>64</v>
      </c>
      <c r="G350" s="103"/>
      <c r="H350" s="103"/>
      <c r="I350" s="103"/>
      <c r="J350" s="88"/>
      <c r="K350" s="88"/>
    </row>
    <row r="351" spans="1:11" ht="12.75" customHeight="1">
      <c r="A351" s="1">
        <v>23</v>
      </c>
      <c r="B351" s="1">
        <v>4660</v>
      </c>
      <c r="C351" s="1" t="s">
        <v>937</v>
      </c>
      <c r="D351" s="1" t="s">
        <v>956</v>
      </c>
      <c r="E351" t="s">
        <v>199</v>
      </c>
      <c r="F351" s="103"/>
      <c r="G351" s="103"/>
      <c r="H351" s="103">
        <v>37</v>
      </c>
      <c r="I351" s="103">
        <v>30</v>
      </c>
      <c r="J351" s="88"/>
      <c r="K351" s="88"/>
    </row>
    <row r="352" spans="1:11" ht="12.75" customHeight="1">
      <c r="A352" s="1">
        <v>23</v>
      </c>
      <c r="B352" s="1">
        <v>4830</v>
      </c>
      <c r="C352" s="1" t="s">
        <v>937</v>
      </c>
      <c r="D352" s="1" t="s">
        <v>957</v>
      </c>
      <c r="E352" t="s">
        <v>200</v>
      </c>
      <c r="F352" s="103"/>
      <c r="G352" s="103">
        <v>30</v>
      </c>
      <c r="H352" s="103"/>
      <c r="I352" s="103">
        <v>1</v>
      </c>
      <c r="J352" s="156">
        <v>578919</v>
      </c>
      <c r="K352" s="88"/>
    </row>
    <row r="353" spans="1:11" ht="12.75" customHeight="1">
      <c r="A353" s="1">
        <v>23</v>
      </c>
      <c r="B353" s="1">
        <v>4860</v>
      </c>
      <c r="C353" s="1" t="s">
        <v>937</v>
      </c>
      <c r="D353" s="1" t="s">
        <v>958</v>
      </c>
      <c r="E353" t="s">
        <v>201</v>
      </c>
      <c r="F353" s="103"/>
      <c r="G353" s="103">
        <v>22</v>
      </c>
      <c r="H353" s="103">
        <v>3</v>
      </c>
      <c r="I353" s="103">
        <v>49</v>
      </c>
      <c r="J353" s="88"/>
      <c r="K353" s="88"/>
    </row>
    <row r="354" spans="1:11" ht="12.75" customHeight="1">
      <c r="A354" s="1">
        <v>23</v>
      </c>
      <c r="B354" s="1">
        <v>4910</v>
      </c>
      <c r="C354" s="1" t="s">
        <v>937</v>
      </c>
      <c r="D354" s="1" t="s">
        <v>959</v>
      </c>
      <c r="E354" t="s">
        <v>202</v>
      </c>
      <c r="F354" s="103"/>
      <c r="G354" s="103">
        <v>41</v>
      </c>
      <c r="H354" s="103"/>
      <c r="I354" s="103">
        <v>25</v>
      </c>
      <c r="J354" s="88"/>
      <c r="K354" s="88"/>
    </row>
    <row r="355" spans="1:11" ht="12.75" customHeight="1">
      <c r="A355" s="1">
        <v>23</v>
      </c>
      <c r="B355" s="1">
        <v>4920</v>
      </c>
      <c r="C355" s="1" t="s">
        <v>937</v>
      </c>
      <c r="D355" s="1" t="s">
        <v>960</v>
      </c>
      <c r="E355" t="s">
        <v>203</v>
      </c>
      <c r="F355" s="103"/>
      <c r="G355" s="103">
        <v>4</v>
      </c>
      <c r="H355" s="103"/>
      <c r="I355" s="103">
        <v>12</v>
      </c>
      <c r="J355" s="88"/>
      <c r="K355" s="88"/>
    </row>
    <row r="356" spans="1:11" ht="12.75" customHeight="1">
      <c r="A356" s="1">
        <v>23</v>
      </c>
      <c r="B356" s="1">
        <v>4970</v>
      </c>
      <c r="C356" s="1" t="s">
        <v>937</v>
      </c>
      <c r="D356" s="1" t="s">
        <v>961</v>
      </c>
      <c r="E356" t="s">
        <v>204</v>
      </c>
      <c r="F356" s="103"/>
      <c r="G356" s="103"/>
      <c r="H356" s="103"/>
      <c r="I356" s="103">
        <v>8</v>
      </c>
      <c r="J356" s="88"/>
      <c r="K356" s="88"/>
    </row>
    <row r="357" spans="1:11" ht="12.75" customHeight="1">
      <c r="A357" s="1">
        <v>23</v>
      </c>
      <c r="B357" s="1">
        <v>5850</v>
      </c>
      <c r="C357" s="1" t="s">
        <v>937</v>
      </c>
      <c r="D357" s="1" t="s">
        <v>962</v>
      </c>
      <c r="E357" t="s">
        <v>205</v>
      </c>
      <c r="F357" s="103"/>
      <c r="G357" s="103"/>
      <c r="H357" s="103">
        <v>6</v>
      </c>
      <c r="I357" s="103">
        <v>84</v>
      </c>
      <c r="J357" s="88"/>
      <c r="K357" s="88"/>
    </row>
    <row r="358" spans="1:11" ht="12.75" customHeight="1">
      <c r="A358" s="1">
        <v>25</v>
      </c>
      <c r="B358" s="1">
        <v>50</v>
      </c>
      <c r="C358" s="1" t="s">
        <v>963</v>
      </c>
      <c r="D358" s="1" t="s">
        <v>964</v>
      </c>
      <c r="E358"/>
      <c r="F358" s="103"/>
      <c r="G358" s="103"/>
      <c r="H358" s="103"/>
      <c r="I358" s="103"/>
      <c r="J358" s="88"/>
      <c r="K358" s="88"/>
    </row>
    <row r="359" spans="1:11" ht="12.75" customHeight="1">
      <c r="A359" s="1">
        <v>25</v>
      </c>
      <c r="B359" s="1">
        <v>100</v>
      </c>
      <c r="C359" s="1" t="s">
        <v>963</v>
      </c>
      <c r="D359" s="1" t="s">
        <v>965</v>
      </c>
      <c r="E359" t="s">
        <v>206</v>
      </c>
      <c r="F359" s="103"/>
      <c r="G359" s="103"/>
      <c r="H359" s="103"/>
      <c r="I359" s="103"/>
      <c r="J359" s="156">
        <v>6937573</v>
      </c>
      <c r="K359" s="88"/>
    </row>
    <row r="360" spans="1:11" ht="12.75" customHeight="1">
      <c r="A360" s="1">
        <v>25</v>
      </c>
      <c r="B360" s="1">
        <v>130</v>
      </c>
      <c r="C360" s="1" t="s">
        <v>963</v>
      </c>
      <c r="D360" s="1" t="s">
        <v>966</v>
      </c>
      <c r="E360" t="s">
        <v>207</v>
      </c>
      <c r="F360" s="103">
        <v>3</v>
      </c>
      <c r="G360" s="103">
        <v>18</v>
      </c>
      <c r="H360" s="103"/>
      <c r="I360" s="103"/>
      <c r="J360" s="88"/>
      <c r="K360" s="88"/>
    </row>
    <row r="361" spans="1:11" ht="12.75" customHeight="1">
      <c r="A361" s="1">
        <v>25</v>
      </c>
      <c r="B361" s="1">
        <v>180</v>
      </c>
      <c r="C361" s="1" t="s">
        <v>963</v>
      </c>
      <c r="D361" s="1" t="s">
        <v>967</v>
      </c>
      <c r="E361" t="s">
        <v>208</v>
      </c>
      <c r="F361" s="103"/>
      <c r="G361" s="103"/>
      <c r="H361" s="103"/>
      <c r="I361" s="103"/>
      <c r="J361" s="88"/>
      <c r="K361" s="88"/>
    </row>
    <row r="362" spans="1:11" ht="12.75" customHeight="1">
      <c r="A362" s="1">
        <v>25</v>
      </c>
      <c r="B362" s="1">
        <v>225</v>
      </c>
      <c r="C362" s="1" t="s">
        <v>963</v>
      </c>
      <c r="D362" s="1" t="s">
        <v>968</v>
      </c>
      <c r="E362" t="s">
        <v>209</v>
      </c>
      <c r="F362" s="103"/>
      <c r="G362" s="103"/>
      <c r="H362" s="103"/>
      <c r="I362" s="103"/>
      <c r="J362" s="88"/>
      <c r="K362" s="88"/>
    </row>
    <row r="363" spans="1:11" ht="12.75" customHeight="1">
      <c r="A363" s="1">
        <v>25</v>
      </c>
      <c r="B363" s="1">
        <v>270</v>
      </c>
      <c r="C363" s="1" t="s">
        <v>963</v>
      </c>
      <c r="D363" s="1" t="s">
        <v>969</v>
      </c>
      <c r="E363" t="s">
        <v>210</v>
      </c>
      <c r="F363" s="103"/>
      <c r="G363" s="103">
        <v>42</v>
      </c>
      <c r="H363" s="103">
        <v>6</v>
      </c>
      <c r="I363" s="103"/>
      <c r="J363" s="156">
        <v>261826</v>
      </c>
      <c r="K363" s="88"/>
    </row>
    <row r="364" spans="1:11" ht="12.75" customHeight="1">
      <c r="A364" s="1">
        <v>25</v>
      </c>
      <c r="B364" s="1">
        <v>500</v>
      </c>
      <c r="C364" s="1" t="s">
        <v>963</v>
      </c>
      <c r="D364" s="1" t="s">
        <v>970</v>
      </c>
      <c r="E364" t="s">
        <v>211</v>
      </c>
      <c r="F364" s="103"/>
      <c r="G364" s="103">
        <v>20</v>
      </c>
      <c r="H364" s="103"/>
      <c r="I364" s="103"/>
      <c r="J364" s="156">
        <v>265634</v>
      </c>
      <c r="K364" s="88"/>
    </row>
    <row r="365" spans="1:11" ht="12.75" customHeight="1">
      <c r="A365" s="1">
        <v>25</v>
      </c>
      <c r="B365" s="1">
        <v>560</v>
      </c>
      <c r="C365" s="1" t="s">
        <v>963</v>
      </c>
      <c r="D365" s="1" t="s">
        <v>971</v>
      </c>
      <c r="E365" t="s">
        <v>212</v>
      </c>
      <c r="F365" s="103"/>
      <c r="G365" s="103"/>
      <c r="H365" s="103"/>
      <c r="I365" s="103">
        <v>8</v>
      </c>
      <c r="J365" s="88"/>
      <c r="K365" s="88"/>
    </row>
    <row r="366" spans="1:11" ht="12.75" customHeight="1">
      <c r="A366" s="1">
        <v>25</v>
      </c>
      <c r="B366" s="1">
        <v>945</v>
      </c>
      <c r="C366" s="1" t="s">
        <v>963</v>
      </c>
      <c r="D366" s="1" t="s">
        <v>972</v>
      </c>
      <c r="E366" t="s">
        <v>213</v>
      </c>
      <c r="F366" s="103"/>
      <c r="G366" s="103">
        <v>2</v>
      </c>
      <c r="H366" s="103">
        <v>4</v>
      </c>
      <c r="I366" s="103">
        <v>7</v>
      </c>
      <c r="J366" s="88"/>
      <c r="K366" s="88"/>
    </row>
    <row r="367" spans="1:11" ht="12.75" customHeight="1">
      <c r="A367" s="1">
        <v>25</v>
      </c>
      <c r="B367" s="1">
        <v>1000</v>
      </c>
      <c r="C367" s="1" t="s">
        <v>963</v>
      </c>
      <c r="D367" s="1" t="s">
        <v>973</v>
      </c>
      <c r="E367" t="s">
        <v>214</v>
      </c>
      <c r="F367" s="103"/>
      <c r="G367" s="103"/>
      <c r="H367" s="103"/>
      <c r="I367" s="103"/>
      <c r="J367" s="88"/>
      <c r="K367" s="88"/>
    </row>
    <row r="368" spans="1:11" ht="12.75" customHeight="1">
      <c r="A368" s="1">
        <v>25</v>
      </c>
      <c r="B368" s="1">
        <v>1260</v>
      </c>
      <c r="C368" s="1" t="s">
        <v>963</v>
      </c>
      <c r="D368" s="1" t="s">
        <v>974</v>
      </c>
      <c r="E368" t="s">
        <v>215</v>
      </c>
      <c r="F368" s="103"/>
      <c r="G368" s="103">
        <v>17</v>
      </c>
      <c r="H368" s="103"/>
      <c r="I368" s="103"/>
      <c r="J368" s="88"/>
      <c r="K368" s="88"/>
    </row>
    <row r="369" spans="1:11" ht="12.75" customHeight="1">
      <c r="A369" s="1">
        <v>25</v>
      </c>
      <c r="B369" s="1">
        <v>1440</v>
      </c>
      <c r="C369" s="1" t="s">
        <v>963</v>
      </c>
      <c r="D369" s="1" t="s">
        <v>975</v>
      </c>
      <c r="E369" t="s">
        <v>216</v>
      </c>
      <c r="F369" s="103"/>
      <c r="G369" s="103">
        <v>7</v>
      </c>
      <c r="H369" s="103"/>
      <c r="I369" s="103">
        <v>3</v>
      </c>
      <c r="J369" s="88"/>
      <c r="K369" s="88"/>
    </row>
    <row r="370" spans="1:11" ht="12.75" customHeight="1">
      <c r="A370" s="1">
        <v>25</v>
      </c>
      <c r="B370" s="1">
        <v>1490</v>
      </c>
      <c r="C370" s="1" t="s">
        <v>963</v>
      </c>
      <c r="D370" s="1" t="s">
        <v>976</v>
      </c>
      <c r="E370" t="s">
        <v>217</v>
      </c>
      <c r="F370" s="103"/>
      <c r="G370" s="103">
        <v>12</v>
      </c>
      <c r="H370" s="103"/>
      <c r="I370" s="103"/>
      <c r="J370" s="88"/>
      <c r="K370" s="88"/>
    </row>
    <row r="371" spans="1:11" ht="12.75" customHeight="1">
      <c r="A371" s="1">
        <v>25</v>
      </c>
      <c r="B371" s="1">
        <v>1640</v>
      </c>
      <c r="C371" s="1" t="s">
        <v>963</v>
      </c>
      <c r="D371" s="1" t="s">
        <v>977</v>
      </c>
      <c r="E371" t="s">
        <v>218</v>
      </c>
      <c r="F371" s="103"/>
      <c r="G371" s="103">
        <v>52</v>
      </c>
      <c r="H371" s="103"/>
      <c r="I371" s="103">
        <v>8</v>
      </c>
      <c r="J371" s="156">
        <v>967856</v>
      </c>
      <c r="K371" s="88"/>
    </row>
    <row r="372" spans="1:11" ht="12.75" customHeight="1">
      <c r="A372" s="1">
        <v>25</v>
      </c>
      <c r="B372" s="1">
        <v>1650</v>
      </c>
      <c r="C372" s="1" t="s">
        <v>963</v>
      </c>
      <c r="D372" s="1" t="s">
        <v>978</v>
      </c>
      <c r="E372" t="s">
        <v>219</v>
      </c>
      <c r="F372" s="103"/>
      <c r="G372" s="103"/>
      <c r="H372" s="103"/>
      <c r="I372" s="103"/>
      <c r="J372" s="88"/>
      <c r="K372" s="88"/>
    </row>
    <row r="373" spans="1:11" ht="12.75" customHeight="1">
      <c r="A373" s="1">
        <v>25</v>
      </c>
      <c r="B373" s="1">
        <v>1660</v>
      </c>
      <c r="C373" s="1" t="s">
        <v>963</v>
      </c>
      <c r="D373" s="1" t="s">
        <v>979</v>
      </c>
      <c r="E373" t="s">
        <v>220</v>
      </c>
      <c r="F373" s="103"/>
      <c r="G373" s="103">
        <v>20</v>
      </c>
      <c r="H373" s="103">
        <v>12</v>
      </c>
      <c r="I373" s="103">
        <v>40</v>
      </c>
      <c r="J373" s="156">
        <v>2599</v>
      </c>
      <c r="K373" s="88"/>
    </row>
    <row r="374" spans="1:11" ht="12.75" customHeight="1">
      <c r="A374" s="1">
        <v>25</v>
      </c>
      <c r="B374" s="1">
        <v>2105</v>
      </c>
      <c r="C374" s="1" t="s">
        <v>963</v>
      </c>
      <c r="D374" s="1" t="s">
        <v>980</v>
      </c>
      <c r="E374" t="s">
        <v>221</v>
      </c>
      <c r="F374" s="103"/>
      <c r="G374" s="103"/>
      <c r="H374" s="103"/>
      <c r="I374" s="103">
        <v>31</v>
      </c>
      <c r="J374" s="88"/>
      <c r="K374" s="88"/>
    </row>
    <row r="375" spans="1:11" ht="12.75" customHeight="1">
      <c r="A375" s="1">
        <v>25</v>
      </c>
      <c r="B375" s="1">
        <v>2120</v>
      </c>
      <c r="C375" s="1" t="s">
        <v>963</v>
      </c>
      <c r="D375" s="1" t="s">
        <v>981</v>
      </c>
      <c r="E375" t="s">
        <v>222</v>
      </c>
      <c r="F375" s="103"/>
      <c r="G375" s="103"/>
      <c r="H375" s="103"/>
      <c r="I375" s="103"/>
      <c r="J375" s="88"/>
      <c r="K375" s="88"/>
    </row>
    <row r="376" spans="1:11" ht="12.75" customHeight="1">
      <c r="A376" s="1">
        <v>25</v>
      </c>
      <c r="B376" s="1">
        <v>2160</v>
      </c>
      <c r="C376" s="1" t="s">
        <v>963</v>
      </c>
      <c r="D376" s="1" t="s">
        <v>982</v>
      </c>
      <c r="E376" t="s">
        <v>223</v>
      </c>
      <c r="F376" s="103"/>
      <c r="G376" s="103">
        <v>12</v>
      </c>
      <c r="H376" s="103"/>
      <c r="I376" s="103">
        <v>3</v>
      </c>
      <c r="J376" s="156">
        <v>139102</v>
      </c>
      <c r="K376" s="88"/>
    </row>
    <row r="377" spans="1:11" ht="12.75" customHeight="1">
      <c r="A377" s="1">
        <v>25</v>
      </c>
      <c r="B377" s="1">
        <v>2230</v>
      </c>
      <c r="C377" s="1" t="s">
        <v>963</v>
      </c>
      <c r="D377" s="1" t="s">
        <v>983</v>
      </c>
      <c r="E377" t="s">
        <v>224</v>
      </c>
      <c r="F377" s="103">
        <v>9</v>
      </c>
      <c r="G377" s="103">
        <v>20</v>
      </c>
      <c r="H377" s="103"/>
      <c r="I377" s="103"/>
      <c r="J377" s="88"/>
      <c r="K377" s="88"/>
    </row>
    <row r="378" spans="1:11" ht="12.75" customHeight="1">
      <c r="A378" s="1">
        <v>25</v>
      </c>
      <c r="B378" s="1">
        <v>2290</v>
      </c>
      <c r="C378" s="1" t="s">
        <v>963</v>
      </c>
      <c r="D378" s="1" t="s">
        <v>984</v>
      </c>
      <c r="E378" t="s">
        <v>225</v>
      </c>
      <c r="F378" s="103"/>
      <c r="G378" s="103">
        <v>29</v>
      </c>
      <c r="H378" s="103"/>
      <c r="I378" s="103">
        <v>71</v>
      </c>
      <c r="J378" s="88"/>
      <c r="K378" s="88"/>
    </row>
    <row r="379" spans="1:11" ht="12.75" customHeight="1">
      <c r="A379" s="1">
        <v>25</v>
      </c>
      <c r="B379" s="1">
        <v>2400</v>
      </c>
      <c r="C379" s="1" t="s">
        <v>963</v>
      </c>
      <c r="D379" s="1" t="s">
        <v>985</v>
      </c>
      <c r="E379" t="s">
        <v>226</v>
      </c>
      <c r="F379" s="103">
        <v>249</v>
      </c>
      <c r="G379" s="103"/>
      <c r="H379" s="103">
        <v>8</v>
      </c>
      <c r="I379" s="103"/>
      <c r="J379" s="156">
        <v>1412563</v>
      </c>
      <c r="K379" s="88"/>
    </row>
    <row r="380" spans="1:11" ht="12.75" customHeight="1">
      <c r="A380" s="1">
        <v>25</v>
      </c>
      <c r="B380" s="1">
        <v>2430</v>
      </c>
      <c r="C380" s="1" t="s">
        <v>963</v>
      </c>
      <c r="D380" s="1" t="s">
        <v>986</v>
      </c>
      <c r="E380" t="s">
        <v>227</v>
      </c>
      <c r="F380" s="103">
        <v>47</v>
      </c>
      <c r="G380" s="103"/>
      <c r="H380" s="103">
        <v>2</v>
      </c>
      <c r="I380" s="103">
        <v>1</v>
      </c>
      <c r="J380" s="156">
        <v>569545</v>
      </c>
      <c r="K380" s="88"/>
    </row>
    <row r="381" spans="1:11" ht="12.75" customHeight="1">
      <c r="A381" s="1">
        <v>25</v>
      </c>
      <c r="B381" s="1">
        <v>2720</v>
      </c>
      <c r="C381" s="1" t="s">
        <v>963</v>
      </c>
      <c r="D381" s="1" t="s">
        <v>987</v>
      </c>
      <c r="E381" t="s">
        <v>228</v>
      </c>
      <c r="F381" s="103"/>
      <c r="G381" s="103"/>
      <c r="H381" s="103"/>
      <c r="I381" s="103"/>
      <c r="J381" s="88"/>
      <c r="K381" s="88"/>
    </row>
    <row r="382" spans="1:11" ht="12.75" customHeight="1">
      <c r="A382" s="1">
        <v>25</v>
      </c>
      <c r="B382" s="1">
        <v>2770</v>
      </c>
      <c r="C382" s="1" t="s">
        <v>963</v>
      </c>
      <c r="D382" s="1" t="s">
        <v>988</v>
      </c>
      <c r="E382" t="s">
        <v>229</v>
      </c>
      <c r="F382" s="103">
        <v>745</v>
      </c>
      <c r="G382" s="103">
        <v>6</v>
      </c>
      <c r="H382" s="103"/>
      <c r="I382" s="103"/>
      <c r="J382" s="156">
        <v>3871128</v>
      </c>
      <c r="K382" s="156">
        <v>2849270</v>
      </c>
    </row>
    <row r="383" spans="1:11" ht="12.75" customHeight="1">
      <c r="A383" s="1">
        <v>25</v>
      </c>
      <c r="B383" s="1">
        <v>2920</v>
      </c>
      <c r="C383" s="1" t="s">
        <v>963</v>
      </c>
      <c r="D383" s="1" t="s">
        <v>989</v>
      </c>
      <c r="E383" t="s">
        <v>230</v>
      </c>
      <c r="F383" s="103"/>
      <c r="G383" s="103"/>
      <c r="H383" s="103">
        <v>22</v>
      </c>
      <c r="I383" s="103">
        <v>36</v>
      </c>
      <c r="J383" s="88"/>
      <c r="K383" s="88"/>
    </row>
    <row r="384" spans="1:11" ht="12.75" customHeight="1">
      <c r="A384" s="1">
        <v>25</v>
      </c>
      <c r="B384" s="1">
        <v>2930</v>
      </c>
      <c r="C384" s="1" t="s">
        <v>963</v>
      </c>
      <c r="D384" s="1" t="s">
        <v>990</v>
      </c>
      <c r="E384" t="s">
        <v>231</v>
      </c>
      <c r="F384" s="103"/>
      <c r="G384" s="103"/>
      <c r="H384" s="103"/>
      <c r="I384" s="103">
        <v>4</v>
      </c>
      <c r="J384" s="88"/>
      <c r="K384" s="88"/>
    </row>
    <row r="385" spans="1:11" ht="12.75" customHeight="1">
      <c r="A385" s="1">
        <v>25</v>
      </c>
      <c r="B385" s="1">
        <v>3030</v>
      </c>
      <c r="C385" s="1" t="s">
        <v>963</v>
      </c>
      <c r="D385" s="1" t="s">
        <v>991</v>
      </c>
      <c r="E385" t="s">
        <v>124</v>
      </c>
      <c r="F385" s="103"/>
      <c r="G385" s="103">
        <v>26</v>
      </c>
      <c r="H385" s="103">
        <v>16</v>
      </c>
      <c r="I385" s="103">
        <v>51</v>
      </c>
      <c r="J385" s="88"/>
      <c r="K385" s="88"/>
    </row>
    <row r="386" spans="1:11" ht="12.75" customHeight="1">
      <c r="A386" s="1">
        <v>25</v>
      </c>
      <c r="B386" s="1">
        <v>3040</v>
      </c>
      <c r="C386" s="1" t="s">
        <v>963</v>
      </c>
      <c r="D386" s="1" t="s">
        <v>992</v>
      </c>
      <c r="E386" t="s">
        <v>125</v>
      </c>
      <c r="F386" s="103"/>
      <c r="G386" s="103">
        <v>87</v>
      </c>
      <c r="H386" s="103"/>
      <c r="I386" s="103">
        <v>24</v>
      </c>
      <c r="J386" s="88"/>
      <c r="K386" s="88"/>
    </row>
    <row r="387" spans="1:11" ht="12.75" customHeight="1">
      <c r="A387" s="1">
        <v>25</v>
      </c>
      <c r="B387" s="1">
        <v>3160</v>
      </c>
      <c r="C387" s="1" t="s">
        <v>963</v>
      </c>
      <c r="D387" s="1" t="s">
        <v>993</v>
      </c>
      <c r="E387" t="s">
        <v>126</v>
      </c>
      <c r="F387" s="103"/>
      <c r="G387" s="103"/>
      <c r="H387" s="103">
        <v>29</v>
      </c>
      <c r="I387" s="103">
        <v>52</v>
      </c>
      <c r="J387" s="88"/>
      <c r="K387" s="88"/>
    </row>
    <row r="388" spans="1:11" ht="12.75" customHeight="1">
      <c r="A388" s="1">
        <v>25</v>
      </c>
      <c r="B388" s="1">
        <v>3200</v>
      </c>
      <c r="C388" s="1" t="s">
        <v>963</v>
      </c>
      <c r="D388" s="1" t="s">
        <v>994</v>
      </c>
      <c r="E388" t="s">
        <v>127</v>
      </c>
      <c r="F388" s="103"/>
      <c r="G388" s="103"/>
      <c r="H388" s="103"/>
      <c r="I388" s="103">
        <v>18</v>
      </c>
      <c r="J388" s="88"/>
      <c r="K388" s="88"/>
    </row>
    <row r="389" spans="1:11" ht="12.75" customHeight="1">
      <c r="A389" s="1">
        <v>25</v>
      </c>
      <c r="B389" s="1">
        <v>3250</v>
      </c>
      <c r="C389" s="1" t="s">
        <v>963</v>
      </c>
      <c r="D389" s="1" t="s">
        <v>995</v>
      </c>
      <c r="E389" t="s">
        <v>128</v>
      </c>
      <c r="F389" s="103"/>
      <c r="G389" s="103"/>
      <c r="H389" s="103"/>
      <c r="I389" s="103"/>
      <c r="J389" s="88"/>
      <c r="K389" s="88"/>
    </row>
    <row r="390" spans="1:11" ht="12.75" customHeight="1">
      <c r="A390" s="1">
        <v>25</v>
      </c>
      <c r="B390" s="1">
        <v>3255</v>
      </c>
      <c r="C390" s="1" t="s">
        <v>963</v>
      </c>
      <c r="D390" s="1" t="s">
        <v>996</v>
      </c>
      <c r="E390" t="s">
        <v>129</v>
      </c>
      <c r="F390" s="103"/>
      <c r="G390" s="103"/>
      <c r="H390" s="103"/>
      <c r="I390" s="103"/>
      <c r="J390" s="88"/>
      <c r="K390" s="88"/>
    </row>
    <row r="391" spans="1:11" ht="12.75" customHeight="1">
      <c r="A391" s="1">
        <v>25</v>
      </c>
      <c r="B391" s="1">
        <v>3260</v>
      </c>
      <c r="C391" s="1" t="s">
        <v>963</v>
      </c>
      <c r="D391" s="1" t="s">
        <v>997</v>
      </c>
      <c r="E391" t="s">
        <v>130</v>
      </c>
      <c r="F391" s="103"/>
      <c r="G391" s="103"/>
      <c r="H391" s="103"/>
      <c r="I391" s="103"/>
      <c r="J391" s="88"/>
      <c r="K391" s="88"/>
    </row>
    <row r="392" spans="1:11" ht="12.75" customHeight="1">
      <c r="A392" s="1">
        <v>25</v>
      </c>
      <c r="B392" s="1">
        <v>3270</v>
      </c>
      <c r="C392" s="1" t="s">
        <v>963</v>
      </c>
      <c r="D392" s="1" t="s">
        <v>998</v>
      </c>
      <c r="E392" t="s">
        <v>131</v>
      </c>
      <c r="F392" s="103"/>
      <c r="G392" s="103"/>
      <c r="H392" s="103"/>
      <c r="I392" s="103"/>
      <c r="J392" s="88"/>
      <c r="K392" s="88"/>
    </row>
    <row r="393" spans="1:11" ht="12.75" customHeight="1">
      <c r="A393" s="1">
        <v>25</v>
      </c>
      <c r="B393" s="1">
        <v>3500</v>
      </c>
      <c r="C393" s="1" t="s">
        <v>963</v>
      </c>
      <c r="D393" s="1" t="s">
        <v>999</v>
      </c>
      <c r="E393" t="s">
        <v>132</v>
      </c>
      <c r="F393" s="103"/>
      <c r="G393" s="103"/>
      <c r="H393" s="103">
        <v>4</v>
      </c>
      <c r="I393" s="103"/>
      <c r="J393" s="88"/>
      <c r="K393" s="88"/>
    </row>
    <row r="394" spans="1:11" ht="12.75" customHeight="1">
      <c r="A394" s="1">
        <v>25</v>
      </c>
      <c r="B394" s="1">
        <v>3510</v>
      </c>
      <c r="C394" s="1" t="s">
        <v>963</v>
      </c>
      <c r="D394" s="1" t="s">
        <v>1000</v>
      </c>
      <c r="E394" t="s">
        <v>133</v>
      </c>
      <c r="F394" s="103">
        <v>575</v>
      </c>
      <c r="G394" s="103"/>
      <c r="H394" s="103">
        <v>25</v>
      </c>
      <c r="I394" s="103"/>
      <c r="J394" s="156">
        <v>1924493</v>
      </c>
      <c r="K394" s="88"/>
    </row>
    <row r="395" spans="1:11" ht="12.75" customHeight="1">
      <c r="A395" s="1">
        <v>25</v>
      </c>
      <c r="B395" s="1">
        <v>3810</v>
      </c>
      <c r="C395" s="1" t="s">
        <v>963</v>
      </c>
      <c r="D395" s="1" t="s">
        <v>1001</v>
      </c>
      <c r="E395" t="s">
        <v>134</v>
      </c>
      <c r="F395" s="103"/>
      <c r="G395" s="103">
        <v>21</v>
      </c>
      <c r="H395" s="103">
        <v>5</v>
      </c>
      <c r="I395" s="103">
        <v>48</v>
      </c>
      <c r="J395" s="88"/>
      <c r="K395" s="88"/>
    </row>
    <row r="396" spans="1:11" ht="12.75" customHeight="1">
      <c r="A396" s="1">
        <v>25</v>
      </c>
      <c r="B396" s="1">
        <v>3830</v>
      </c>
      <c r="C396" s="1" t="s">
        <v>963</v>
      </c>
      <c r="D396" s="1" t="s">
        <v>1002</v>
      </c>
      <c r="E396" t="s">
        <v>135</v>
      </c>
      <c r="F396" s="103"/>
      <c r="G396" s="103"/>
      <c r="H396" s="103">
        <v>11</v>
      </c>
      <c r="I396" s="103"/>
      <c r="J396" s="88"/>
      <c r="K396" s="88"/>
    </row>
    <row r="397" spans="1:11" ht="12.75" customHeight="1">
      <c r="A397" s="1">
        <v>25</v>
      </c>
      <c r="B397" s="1">
        <v>4360</v>
      </c>
      <c r="C397" s="1" t="s">
        <v>963</v>
      </c>
      <c r="D397" s="1" t="s">
        <v>1003</v>
      </c>
      <c r="E397" t="s">
        <v>136</v>
      </c>
      <c r="F397" s="103">
        <v>95</v>
      </c>
      <c r="G397" s="103"/>
      <c r="H397" s="103">
        <v>3</v>
      </c>
      <c r="I397" s="103"/>
      <c r="J397" s="156">
        <v>665734</v>
      </c>
      <c r="K397" s="88"/>
    </row>
    <row r="398" spans="1:11" ht="12.75" customHeight="1">
      <c r="A398" s="1">
        <v>25</v>
      </c>
      <c r="B398" s="1">
        <v>4365</v>
      </c>
      <c r="C398" s="1" t="s">
        <v>963</v>
      </c>
      <c r="D398" s="1" t="s">
        <v>1004</v>
      </c>
      <c r="E398" t="s">
        <v>137</v>
      </c>
      <c r="F398" s="103"/>
      <c r="G398" s="103"/>
      <c r="H398" s="103"/>
      <c r="I398" s="103"/>
      <c r="J398" s="88"/>
      <c r="K398" s="88"/>
    </row>
    <row r="399" spans="1:11" ht="12.75" customHeight="1">
      <c r="A399" s="1">
        <v>25</v>
      </c>
      <c r="B399" s="1">
        <v>4520</v>
      </c>
      <c r="C399" s="1" t="s">
        <v>963</v>
      </c>
      <c r="D399" s="1" t="s">
        <v>1005</v>
      </c>
      <c r="E399" t="s">
        <v>138</v>
      </c>
      <c r="F399" s="103">
        <v>17</v>
      </c>
      <c r="G399" s="103"/>
      <c r="H399" s="103"/>
      <c r="I399" s="103"/>
      <c r="J399" s="88"/>
      <c r="K399" s="88"/>
    </row>
    <row r="400" spans="1:11" ht="12.75" customHeight="1">
      <c r="A400" s="1">
        <v>25</v>
      </c>
      <c r="B400" s="1">
        <v>4570</v>
      </c>
      <c r="C400" s="1" t="s">
        <v>963</v>
      </c>
      <c r="D400" s="1" t="s">
        <v>1006</v>
      </c>
      <c r="E400" t="s">
        <v>139</v>
      </c>
      <c r="F400" s="103"/>
      <c r="G400" s="103"/>
      <c r="H400" s="103"/>
      <c r="I400" s="103">
        <v>9</v>
      </c>
      <c r="J400" s="88"/>
      <c r="K400" s="88"/>
    </row>
    <row r="401" spans="1:11" ht="12.75" customHeight="1">
      <c r="A401" s="1">
        <v>25</v>
      </c>
      <c r="B401" s="1">
        <v>4580</v>
      </c>
      <c r="C401" s="1" t="s">
        <v>963</v>
      </c>
      <c r="D401" s="1" t="s">
        <v>1007</v>
      </c>
      <c r="E401" t="s">
        <v>140</v>
      </c>
      <c r="F401" s="103"/>
      <c r="G401" s="103"/>
      <c r="H401" s="103"/>
      <c r="I401" s="103"/>
      <c r="J401" s="88"/>
      <c r="K401" s="88"/>
    </row>
    <row r="402" spans="1:11" ht="12.75" customHeight="1">
      <c r="A402" s="1">
        <v>25</v>
      </c>
      <c r="B402" s="1">
        <v>4690</v>
      </c>
      <c r="C402" s="1" t="s">
        <v>963</v>
      </c>
      <c r="D402" s="1" t="s">
        <v>1008</v>
      </c>
      <c r="E402" t="s">
        <v>141</v>
      </c>
      <c r="F402" s="103"/>
      <c r="G402" s="103"/>
      <c r="H402" s="103"/>
      <c r="I402" s="103"/>
      <c r="J402" s="88"/>
      <c r="K402" s="88"/>
    </row>
    <row r="403" spans="1:11" ht="12.75" customHeight="1">
      <c r="A403" s="1">
        <v>25</v>
      </c>
      <c r="B403" s="1">
        <v>4760</v>
      </c>
      <c r="C403" s="1" t="s">
        <v>963</v>
      </c>
      <c r="D403" s="1" t="s">
        <v>1009</v>
      </c>
      <c r="E403" t="s">
        <v>142</v>
      </c>
      <c r="F403" s="103"/>
      <c r="G403" s="103"/>
      <c r="H403" s="103"/>
      <c r="I403" s="103"/>
      <c r="J403" s="88"/>
      <c r="K403" s="88"/>
    </row>
    <row r="404" spans="1:11" ht="12.75" customHeight="1">
      <c r="A404" s="1">
        <v>25</v>
      </c>
      <c r="B404" s="1">
        <v>4770</v>
      </c>
      <c r="C404" s="1" t="s">
        <v>963</v>
      </c>
      <c r="D404" s="1" t="s">
        <v>1010</v>
      </c>
      <c r="E404" t="s">
        <v>143</v>
      </c>
      <c r="F404" s="103"/>
      <c r="G404" s="103"/>
      <c r="H404" s="103"/>
      <c r="I404" s="103">
        <v>7</v>
      </c>
      <c r="J404" s="88"/>
      <c r="K404" s="88"/>
    </row>
    <row r="405" spans="1:11" ht="12.75" customHeight="1">
      <c r="A405" s="1">
        <v>25</v>
      </c>
      <c r="B405" s="1">
        <v>4840</v>
      </c>
      <c r="C405" s="1" t="s">
        <v>963</v>
      </c>
      <c r="D405" s="1" t="s">
        <v>1011</v>
      </c>
      <c r="E405"/>
      <c r="F405" s="103"/>
      <c r="G405" s="103"/>
      <c r="H405" s="103"/>
      <c r="I405" s="103"/>
      <c r="J405" s="88"/>
      <c r="K405" s="88"/>
    </row>
    <row r="406" spans="1:11" ht="12.75" customHeight="1">
      <c r="A406" s="1">
        <v>25</v>
      </c>
      <c r="B406" s="1">
        <v>4980</v>
      </c>
      <c r="C406" s="1" t="s">
        <v>963</v>
      </c>
      <c r="D406" s="1" t="s">
        <v>1012</v>
      </c>
      <c r="E406" t="s">
        <v>144</v>
      </c>
      <c r="F406" s="103"/>
      <c r="G406" s="103">
        <v>12</v>
      </c>
      <c r="H406" s="103"/>
      <c r="I406" s="103"/>
      <c r="J406" s="88"/>
      <c r="K406" s="88"/>
    </row>
    <row r="407" spans="1:11" ht="12.75" customHeight="1">
      <c r="A407" s="1">
        <v>25</v>
      </c>
      <c r="B407" s="1">
        <v>4990</v>
      </c>
      <c r="C407" s="1" t="s">
        <v>963</v>
      </c>
      <c r="D407" s="1" t="s">
        <v>1013</v>
      </c>
      <c r="E407" t="s">
        <v>145</v>
      </c>
      <c r="F407" s="103"/>
      <c r="G407" s="103"/>
      <c r="H407" s="103"/>
      <c r="I407" s="103"/>
      <c r="J407" s="88"/>
      <c r="K407" s="88"/>
    </row>
    <row r="408" spans="1:11" ht="12.75" customHeight="1">
      <c r="A408" s="1">
        <v>25</v>
      </c>
      <c r="B408" s="1">
        <v>5185</v>
      </c>
      <c r="C408" s="1" t="s">
        <v>963</v>
      </c>
      <c r="D408" s="1" t="s">
        <v>1014</v>
      </c>
      <c r="E408" t="s">
        <v>146</v>
      </c>
      <c r="F408" s="103"/>
      <c r="G408" s="103"/>
      <c r="H408" s="103">
        <v>7</v>
      </c>
      <c r="I408" s="103">
        <v>16</v>
      </c>
      <c r="J408" s="88"/>
      <c r="K408" s="88"/>
    </row>
    <row r="409" spans="1:11" ht="12.75" customHeight="1">
      <c r="A409" s="1">
        <v>25</v>
      </c>
      <c r="B409" s="1">
        <v>5230</v>
      </c>
      <c r="C409" s="1" t="s">
        <v>963</v>
      </c>
      <c r="D409" s="1" t="s">
        <v>1015</v>
      </c>
      <c r="E409" t="s">
        <v>147</v>
      </c>
      <c r="F409" s="103"/>
      <c r="G409" s="103">
        <v>45</v>
      </c>
      <c r="H409" s="103"/>
      <c r="I409" s="103">
        <v>15</v>
      </c>
      <c r="J409" s="156">
        <v>376020</v>
      </c>
      <c r="K409" s="88"/>
    </row>
    <row r="410" spans="1:11" ht="12.75" customHeight="1">
      <c r="A410" s="1">
        <v>25</v>
      </c>
      <c r="B410" s="1">
        <v>5310</v>
      </c>
      <c r="C410" s="1" t="s">
        <v>963</v>
      </c>
      <c r="D410" s="1" t="s">
        <v>1016</v>
      </c>
      <c r="E410" t="s">
        <v>148</v>
      </c>
      <c r="F410" s="103"/>
      <c r="G410" s="103">
        <v>23</v>
      </c>
      <c r="H410" s="103"/>
      <c r="I410" s="103"/>
      <c r="J410" s="88"/>
      <c r="K410" s="88"/>
    </row>
    <row r="411" spans="1:11" ht="12.75" customHeight="1">
      <c r="A411" s="1">
        <v>25</v>
      </c>
      <c r="B411" s="1">
        <v>5420</v>
      </c>
      <c r="C411" s="1" t="s">
        <v>963</v>
      </c>
      <c r="D411" s="1" t="s">
        <v>1017</v>
      </c>
      <c r="E411" t="s">
        <v>149</v>
      </c>
      <c r="F411" s="103"/>
      <c r="G411" s="103">
        <v>88</v>
      </c>
      <c r="H411" s="103"/>
      <c r="I411" s="103">
        <v>2</v>
      </c>
      <c r="J411" s="88"/>
      <c r="K411" s="88"/>
    </row>
    <row r="412" spans="1:11" ht="12.75" customHeight="1">
      <c r="A412" s="1">
        <v>25</v>
      </c>
      <c r="B412" s="1">
        <v>5640</v>
      </c>
      <c r="C412" s="1" t="s">
        <v>963</v>
      </c>
      <c r="D412" s="1" t="s">
        <v>1018</v>
      </c>
      <c r="E412" t="s">
        <v>150</v>
      </c>
      <c r="F412" s="103"/>
      <c r="G412" s="103">
        <v>23</v>
      </c>
      <c r="H412" s="103"/>
      <c r="I412" s="103"/>
      <c r="J412" s="88"/>
      <c r="K412" s="88"/>
    </row>
    <row r="413" spans="1:11" ht="12.75" customHeight="1">
      <c r="A413" s="1">
        <v>27</v>
      </c>
      <c r="B413" s="1">
        <v>450</v>
      </c>
      <c r="C413" s="1" t="s">
        <v>1019</v>
      </c>
      <c r="D413" s="1" t="s">
        <v>1020</v>
      </c>
      <c r="E413" t="s">
        <v>151</v>
      </c>
      <c r="F413" s="103"/>
      <c r="G413" s="103"/>
      <c r="H413" s="103"/>
      <c r="I413" s="103">
        <v>9</v>
      </c>
      <c r="J413" s="88"/>
      <c r="K413" s="88"/>
    </row>
    <row r="414" spans="1:11" ht="12.75" customHeight="1">
      <c r="A414" s="1">
        <v>27</v>
      </c>
      <c r="B414" s="1">
        <v>460</v>
      </c>
      <c r="C414" s="1" t="s">
        <v>1019</v>
      </c>
      <c r="D414" s="1" t="s">
        <v>1021</v>
      </c>
      <c r="E414" t="s">
        <v>152</v>
      </c>
      <c r="F414" s="103"/>
      <c r="G414" s="103"/>
      <c r="H414" s="103">
        <v>7</v>
      </c>
      <c r="I414" s="103"/>
      <c r="J414" s="88"/>
      <c r="K414" s="88"/>
    </row>
    <row r="415" spans="1:11" ht="12.75" customHeight="1">
      <c r="A415" s="1">
        <v>27</v>
      </c>
      <c r="B415" s="1">
        <v>630</v>
      </c>
      <c r="C415" s="1" t="s">
        <v>1019</v>
      </c>
      <c r="D415" s="1" t="s">
        <v>840</v>
      </c>
      <c r="E415" t="s">
        <v>153</v>
      </c>
      <c r="F415" s="103"/>
      <c r="G415" s="103"/>
      <c r="H415" s="103">
        <v>6</v>
      </c>
      <c r="I415" s="103">
        <v>8</v>
      </c>
      <c r="J415" s="88"/>
      <c r="K415" s="88"/>
    </row>
    <row r="416" spans="1:11" ht="12.75" customHeight="1">
      <c r="A416" s="1">
        <v>27</v>
      </c>
      <c r="B416" s="1">
        <v>785</v>
      </c>
      <c r="C416" s="1" t="s">
        <v>1019</v>
      </c>
      <c r="D416" s="1" t="s">
        <v>841</v>
      </c>
      <c r="E416" t="s">
        <v>154</v>
      </c>
      <c r="F416" s="103"/>
      <c r="G416" s="103"/>
      <c r="H416" s="103"/>
      <c r="I416" s="103">
        <v>27</v>
      </c>
      <c r="J416" s="88"/>
      <c r="K416" s="88"/>
    </row>
    <row r="417" spans="1:11" ht="12.75" customHeight="1">
      <c r="A417" s="1">
        <v>27</v>
      </c>
      <c r="B417" s="1">
        <v>820</v>
      </c>
      <c r="C417" s="1" t="s">
        <v>1019</v>
      </c>
      <c r="D417" s="1" t="s">
        <v>842</v>
      </c>
      <c r="E417" t="s">
        <v>155</v>
      </c>
      <c r="F417" s="103"/>
      <c r="G417" s="103">
        <v>2</v>
      </c>
      <c r="H417" s="103"/>
      <c r="I417" s="103">
        <v>12</v>
      </c>
      <c r="J417" s="88"/>
      <c r="K417" s="88"/>
    </row>
    <row r="418" spans="1:11" ht="12.75" customHeight="1">
      <c r="A418" s="1">
        <v>27</v>
      </c>
      <c r="B418" s="1">
        <v>1090</v>
      </c>
      <c r="C418" s="1" t="s">
        <v>1019</v>
      </c>
      <c r="D418" s="1" t="s">
        <v>843</v>
      </c>
      <c r="E418" t="s">
        <v>156</v>
      </c>
      <c r="F418" s="103"/>
      <c r="G418" s="103"/>
      <c r="H418" s="103"/>
      <c r="I418" s="103">
        <v>32</v>
      </c>
      <c r="J418" s="88"/>
      <c r="K418" s="88"/>
    </row>
    <row r="419" spans="1:11" ht="12.75" customHeight="1">
      <c r="A419" s="1">
        <v>27</v>
      </c>
      <c r="B419" s="1">
        <v>1110</v>
      </c>
      <c r="C419" s="1" t="s">
        <v>1019</v>
      </c>
      <c r="D419" s="1" t="s">
        <v>844</v>
      </c>
      <c r="E419" t="s">
        <v>157</v>
      </c>
      <c r="F419" s="103"/>
      <c r="G419" s="103">
        <v>47</v>
      </c>
      <c r="H419" s="103"/>
      <c r="I419" s="103"/>
      <c r="J419" s="156">
        <v>1532457</v>
      </c>
      <c r="K419" s="88"/>
    </row>
    <row r="420" spans="1:11" ht="12.75" customHeight="1">
      <c r="A420" s="1">
        <v>27</v>
      </c>
      <c r="B420" s="1">
        <v>1190</v>
      </c>
      <c r="C420" s="1" t="s">
        <v>1019</v>
      </c>
      <c r="D420" s="1" t="s">
        <v>845</v>
      </c>
      <c r="E420" t="s">
        <v>158</v>
      </c>
      <c r="F420" s="103"/>
      <c r="G420" s="103"/>
      <c r="H420" s="103">
        <v>4</v>
      </c>
      <c r="I420" s="103">
        <v>13</v>
      </c>
      <c r="J420" s="88"/>
      <c r="K420" s="88"/>
    </row>
    <row r="421" spans="1:11" ht="12.75" customHeight="1">
      <c r="A421" s="1">
        <v>27</v>
      </c>
      <c r="B421" s="1">
        <v>1530</v>
      </c>
      <c r="C421" s="1" t="s">
        <v>1019</v>
      </c>
      <c r="D421" s="1" t="s">
        <v>846</v>
      </c>
      <c r="E421" t="s">
        <v>159</v>
      </c>
      <c r="F421" s="103"/>
      <c r="G421" s="103"/>
      <c r="H421" s="103">
        <v>8</v>
      </c>
      <c r="I421" s="103">
        <v>11</v>
      </c>
      <c r="J421" s="88"/>
      <c r="K421" s="88"/>
    </row>
    <row r="422" spans="1:11" ht="12.75" customHeight="1">
      <c r="A422" s="1">
        <v>27</v>
      </c>
      <c r="B422" s="1">
        <v>1990</v>
      </c>
      <c r="C422" s="1" t="s">
        <v>1019</v>
      </c>
      <c r="D422" s="1" t="s">
        <v>847</v>
      </c>
      <c r="E422" t="s">
        <v>160</v>
      </c>
      <c r="F422" s="103"/>
      <c r="G422" s="103"/>
      <c r="H422" s="103"/>
      <c r="I422" s="103"/>
      <c r="J422" s="88"/>
      <c r="K422" s="88"/>
    </row>
    <row r="423" spans="1:11" ht="12.75" customHeight="1">
      <c r="A423" s="1">
        <v>27</v>
      </c>
      <c r="B423" s="1">
        <v>2000</v>
      </c>
      <c r="C423" s="1" t="s">
        <v>1019</v>
      </c>
      <c r="D423" s="1" t="s">
        <v>848</v>
      </c>
      <c r="E423" t="s">
        <v>161</v>
      </c>
      <c r="F423" s="103"/>
      <c r="G423" s="103"/>
      <c r="H423" s="103"/>
      <c r="I423" s="103">
        <v>22</v>
      </c>
      <c r="J423" s="88"/>
      <c r="K423" s="88"/>
    </row>
    <row r="424" spans="1:11" ht="12.75" customHeight="1">
      <c r="A424" s="1">
        <v>27</v>
      </c>
      <c r="B424" s="1">
        <v>2010</v>
      </c>
      <c r="C424" s="1" t="s">
        <v>1019</v>
      </c>
      <c r="D424" s="1" t="s">
        <v>849</v>
      </c>
      <c r="E424" t="s">
        <v>162</v>
      </c>
      <c r="F424" s="103"/>
      <c r="G424" s="103"/>
      <c r="H424" s="103"/>
      <c r="I424" s="103"/>
      <c r="J424" s="88"/>
      <c r="K424" s="88"/>
    </row>
    <row r="425" spans="1:11" ht="12.75" customHeight="1">
      <c r="A425" s="1">
        <v>27</v>
      </c>
      <c r="B425" s="1">
        <v>2380</v>
      </c>
      <c r="C425" s="1" t="s">
        <v>1019</v>
      </c>
      <c r="D425" s="1" t="s">
        <v>850</v>
      </c>
      <c r="E425" t="s">
        <v>163</v>
      </c>
      <c r="F425" s="103"/>
      <c r="G425" s="103"/>
      <c r="H425" s="103">
        <v>7</v>
      </c>
      <c r="I425" s="103">
        <v>32</v>
      </c>
      <c r="J425" s="88"/>
      <c r="K425" s="88"/>
    </row>
    <row r="426" spans="1:11" ht="12.75" customHeight="1">
      <c r="A426" s="1">
        <v>27</v>
      </c>
      <c r="B426" s="1">
        <v>2460</v>
      </c>
      <c r="C426" s="1" t="s">
        <v>1019</v>
      </c>
      <c r="D426" s="1" t="s">
        <v>851</v>
      </c>
      <c r="E426" t="s">
        <v>164</v>
      </c>
      <c r="F426" s="103"/>
      <c r="G426" s="103"/>
      <c r="H426" s="103"/>
      <c r="I426" s="103">
        <v>18</v>
      </c>
      <c r="J426" s="88"/>
      <c r="K426" s="88"/>
    </row>
    <row r="427" spans="1:11" ht="12.75" customHeight="1">
      <c r="A427" s="1">
        <v>27</v>
      </c>
      <c r="B427" s="1">
        <v>2650</v>
      </c>
      <c r="C427" s="1" t="s">
        <v>1019</v>
      </c>
      <c r="D427" s="1" t="s">
        <v>852</v>
      </c>
      <c r="E427" t="s">
        <v>165</v>
      </c>
      <c r="F427" s="103"/>
      <c r="G427" s="103">
        <v>7</v>
      </c>
      <c r="H427" s="103"/>
      <c r="I427" s="103">
        <v>9</v>
      </c>
      <c r="J427" s="88"/>
      <c r="K427" s="88"/>
    </row>
    <row r="428" spans="1:11" ht="12.75" customHeight="1">
      <c r="A428" s="1">
        <v>27</v>
      </c>
      <c r="B428" s="1">
        <v>2870</v>
      </c>
      <c r="C428" s="1" t="s">
        <v>1019</v>
      </c>
      <c r="D428" s="1" t="s">
        <v>853</v>
      </c>
      <c r="E428" t="s">
        <v>166</v>
      </c>
      <c r="F428" s="103"/>
      <c r="G428" s="103"/>
      <c r="H428" s="103"/>
      <c r="I428" s="103">
        <v>22</v>
      </c>
      <c r="J428" s="88"/>
      <c r="K428" s="88"/>
    </row>
    <row r="429" spans="1:11" ht="12.75" customHeight="1">
      <c r="A429" s="1">
        <v>27</v>
      </c>
      <c r="B429" s="1">
        <v>3090</v>
      </c>
      <c r="C429" s="1" t="s">
        <v>1019</v>
      </c>
      <c r="D429" s="1" t="s">
        <v>854</v>
      </c>
      <c r="E429" t="s">
        <v>167</v>
      </c>
      <c r="F429" s="103"/>
      <c r="G429" s="103"/>
      <c r="H429" s="103"/>
      <c r="I429" s="103"/>
      <c r="J429" s="88"/>
      <c r="K429" s="88"/>
    </row>
    <row r="430" spans="1:11" ht="12.75" customHeight="1">
      <c r="A430" s="1">
        <v>27</v>
      </c>
      <c r="B430" s="1">
        <v>3100</v>
      </c>
      <c r="C430" s="1" t="s">
        <v>1019</v>
      </c>
      <c r="D430" s="1" t="s">
        <v>855</v>
      </c>
      <c r="E430" t="s">
        <v>168</v>
      </c>
      <c r="F430" s="103"/>
      <c r="G430" s="103"/>
      <c r="H430" s="103"/>
      <c r="I430" s="103">
        <v>6</v>
      </c>
      <c r="J430" s="88"/>
      <c r="K430" s="88"/>
    </row>
    <row r="431" spans="1:11" ht="12.75" customHeight="1">
      <c r="A431" s="1">
        <v>27</v>
      </c>
      <c r="B431" s="1">
        <v>3240</v>
      </c>
      <c r="C431" s="1" t="s">
        <v>1019</v>
      </c>
      <c r="D431" s="1" t="s">
        <v>856</v>
      </c>
      <c r="E431" t="s">
        <v>169</v>
      </c>
      <c r="F431" s="103"/>
      <c r="G431" s="103"/>
      <c r="H431" s="103"/>
      <c r="I431" s="103"/>
      <c r="J431" s="88"/>
      <c r="K431" s="88"/>
    </row>
    <row r="432" spans="1:11" ht="12.75" customHeight="1">
      <c r="A432" s="1">
        <v>27</v>
      </c>
      <c r="B432" s="1">
        <v>3340</v>
      </c>
      <c r="C432" s="1" t="s">
        <v>1019</v>
      </c>
      <c r="D432" s="1" t="s">
        <v>857</v>
      </c>
      <c r="E432" t="s">
        <v>170</v>
      </c>
      <c r="F432" s="103"/>
      <c r="G432" s="103"/>
      <c r="H432" s="103">
        <v>1</v>
      </c>
      <c r="I432" s="103">
        <v>32</v>
      </c>
      <c r="J432" s="88"/>
      <c r="K432" s="88"/>
    </row>
    <row r="433" spans="1:11" ht="12.75" customHeight="1">
      <c r="A433" s="1">
        <v>27</v>
      </c>
      <c r="B433" s="1">
        <v>3364</v>
      </c>
      <c r="C433" s="1" t="s">
        <v>1019</v>
      </c>
      <c r="D433" s="1" t="s">
        <v>858</v>
      </c>
      <c r="E433" t="s">
        <v>171</v>
      </c>
      <c r="F433" s="103"/>
      <c r="G433" s="103"/>
      <c r="H433" s="103">
        <v>17</v>
      </c>
      <c r="I433" s="103"/>
      <c r="J433" s="88"/>
      <c r="K433" s="88"/>
    </row>
    <row r="434" spans="1:11" ht="12.75" customHeight="1">
      <c r="A434" s="1">
        <v>27</v>
      </c>
      <c r="B434" s="1">
        <v>3365</v>
      </c>
      <c r="C434" s="1" t="s">
        <v>1019</v>
      </c>
      <c r="D434" s="1" t="s">
        <v>859</v>
      </c>
      <c r="E434" t="s">
        <v>172</v>
      </c>
      <c r="F434" s="103"/>
      <c r="G434" s="103"/>
      <c r="H434" s="103"/>
      <c r="I434" s="103"/>
      <c r="J434" s="88"/>
      <c r="K434" s="88"/>
    </row>
    <row r="435" spans="1:11" ht="12.75" customHeight="1">
      <c r="A435" s="1">
        <v>27</v>
      </c>
      <c r="B435" s="1">
        <v>3370</v>
      </c>
      <c r="C435" s="1" t="s">
        <v>1019</v>
      </c>
      <c r="D435" s="1" t="s">
        <v>860</v>
      </c>
      <c r="E435" t="s">
        <v>173</v>
      </c>
      <c r="F435" s="103"/>
      <c r="G435" s="103"/>
      <c r="H435" s="103"/>
      <c r="I435" s="103"/>
      <c r="J435" s="88"/>
      <c r="K435" s="88"/>
    </row>
    <row r="436" spans="1:11" ht="12.75" customHeight="1">
      <c r="A436" s="1">
        <v>27</v>
      </c>
      <c r="B436" s="1">
        <v>3380</v>
      </c>
      <c r="C436" s="1" t="s">
        <v>1019</v>
      </c>
      <c r="D436" s="1" t="s">
        <v>861</v>
      </c>
      <c r="E436" t="s">
        <v>174</v>
      </c>
      <c r="F436" s="103"/>
      <c r="G436" s="103">
        <v>5</v>
      </c>
      <c r="H436" s="103"/>
      <c r="I436" s="103">
        <v>6</v>
      </c>
      <c r="J436" s="88"/>
      <c r="K436" s="88"/>
    </row>
    <row r="437" spans="1:11" ht="12.75" customHeight="1">
      <c r="A437" s="1">
        <v>27</v>
      </c>
      <c r="B437" s="1">
        <v>3385</v>
      </c>
      <c r="C437" s="1" t="s">
        <v>1019</v>
      </c>
      <c r="D437" s="1" t="s">
        <v>862</v>
      </c>
      <c r="E437" t="s">
        <v>175</v>
      </c>
      <c r="F437" s="103">
        <v>40</v>
      </c>
      <c r="G437" s="103"/>
      <c r="H437" s="103">
        <v>5</v>
      </c>
      <c r="I437" s="103">
        <v>41</v>
      </c>
      <c r="J437" s="88"/>
      <c r="K437" s="88"/>
    </row>
    <row r="438" spans="1:11" ht="12.75" customHeight="1">
      <c r="A438" s="1">
        <v>27</v>
      </c>
      <c r="B438" s="1">
        <v>3410</v>
      </c>
      <c r="C438" s="1" t="s">
        <v>1019</v>
      </c>
      <c r="D438" s="1" t="s">
        <v>863</v>
      </c>
      <c r="E438" t="s">
        <v>176</v>
      </c>
      <c r="F438" s="103"/>
      <c r="G438" s="103"/>
      <c r="H438" s="103">
        <v>5</v>
      </c>
      <c r="I438" s="103"/>
      <c r="J438" s="88"/>
      <c r="K438" s="88"/>
    </row>
    <row r="439" spans="1:11" ht="12.75" customHeight="1">
      <c r="A439" s="1">
        <v>27</v>
      </c>
      <c r="B439" s="1">
        <v>3450</v>
      </c>
      <c r="C439" s="1" t="s">
        <v>1019</v>
      </c>
      <c r="D439" s="1" t="s">
        <v>864</v>
      </c>
      <c r="E439" t="s">
        <v>177</v>
      </c>
      <c r="F439" s="103"/>
      <c r="G439" s="103"/>
      <c r="H439" s="103">
        <v>5</v>
      </c>
      <c r="I439" s="103">
        <v>37</v>
      </c>
      <c r="J439" s="88"/>
      <c r="K439" s="88"/>
    </row>
    <row r="440" spans="1:11" ht="12.75" customHeight="1">
      <c r="A440" s="1">
        <v>27</v>
      </c>
      <c r="B440" s="1">
        <v>3460</v>
      </c>
      <c r="C440" s="1" t="s">
        <v>1019</v>
      </c>
      <c r="D440" s="1" t="s">
        <v>865</v>
      </c>
      <c r="E440" t="s">
        <v>62</v>
      </c>
      <c r="F440" s="103">
        <v>18</v>
      </c>
      <c r="G440" s="103">
        <v>2</v>
      </c>
      <c r="H440" s="103">
        <v>18</v>
      </c>
      <c r="I440" s="103">
        <v>2</v>
      </c>
      <c r="J440" s="88"/>
      <c r="K440" s="88"/>
    </row>
    <row r="441" spans="1:11" ht="12.75" customHeight="1">
      <c r="A441" s="1">
        <v>27</v>
      </c>
      <c r="B441" s="1">
        <v>3520</v>
      </c>
      <c r="C441" s="1" t="s">
        <v>1019</v>
      </c>
      <c r="D441" s="1" t="s">
        <v>866</v>
      </c>
      <c r="E441" t="s">
        <v>63</v>
      </c>
      <c r="F441" s="103"/>
      <c r="G441" s="103">
        <v>25</v>
      </c>
      <c r="H441" s="103"/>
      <c r="I441" s="103"/>
      <c r="J441" s="88"/>
      <c r="K441" s="88"/>
    </row>
    <row r="442" spans="1:11" ht="12.75" customHeight="1">
      <c r="A442" s="1">
        <v>27</v>
      </c>
      <c r="B442" s="1">
        <v>3950</v>
      </c>
      <c r="C442" s="1" t="s">
        <v>1019</v>
      </c>
      <c r="D442" s="1" t="s">
        <v>867</v>
      </c>
      <c r="E442" t="s">
        <v>64</v>
      </c>
      <c r="F442" s="103">
        <v>10</v>
      </c>
      <c r="G442" s="103"/>
      <c r="H442" s="103">
        <v>53</v>
      </c>
      <c r="I442" s="103"/>
      <c r="J442" s="88"/>
      <c r="K442" s="88"/>
    </row>
    <row r="443" spans="1:11" ht="12.75" customHeight="1">
      <c r="A443" s="1">
        <v>27</v>
      </c>
      <c r="B443" s="1">
        <v>4000</v>
      </c>
      <c r="C443" s="1" t="s">
        <v>1019</v>
      </c>
      <c r="D443" s="1" t="s">
        <v>868</v>
      </c>
      <c r="E443" t="s">
        <v>65</v>
      </c>
      <c r="F443" s="103"/>
      <c r="G443" s="103">
        <v>4</v>
      </c>
      <c r="H443" s="103"/>
      <c r="I443" s="103"/>
      <c r="J443" s="88"/>
      <c r="K443" s="88"/>
    </row>
    <row r="444" spans="1:11" ht="12.75" customHeight="1">
      <c r="A444" s="1">
        <v>27</v>
      </c>
      <c r="B444" s="1">
        <v>4080</v>
      </c>
      <c r="C444" s="1" t="s">
        <v>1019</v>
      </c>
      <c r="D444" s="1" t="s">
        <v>869</v>
      </c>
      <c r="E444" t="s">
        <v>66</v>
      </c>
      <c r="F444" s="103"/>
      <c r="G444" s="103"/>
      <c r="H444" s="103"/>
      <c r="I444" s="103">
        <v>18</v>
      </c>
      <c r="J444" s="88"/>
      <c r="K444" s="88"/>
    </row>
    <row r="445" spans="1:11" ht="12.75" customHeight="1">
      <c r="A445" s="1">
        <v>27</v>
      </c>
      <c r="B445" s="1">
        <v>4330</v>
      </c>
      <c r="C445" s="1" t="s">
        <v>1019</v>
      </c>
      <c r="D445" s="1" t="s">
        <v>870</v>
      </c>
      <c r="E445" t="s">
        <v>67</v>
      </c>
      <c r="F445" s="103"/>
      <c r="G445" s="103">
        <v>11</v>
      </c>
      <c r="H445" s="103">
        <v>6</v>
      </c>
      <c r="I445" s="103">
        <v>47</v>
      </c>
      <c r="J445" s="88"/>
      <c r="K445" s="88"/>
    </row>
    <row r="446" spans="1:11" ht="12.75" customHeight="1">
      <c r="A446" s="1">
        <v>27</v>
      </c>
      <c r="B446" s="1">
        <v>4440</v>
      </c>
      <c r="C446" s="1" t="s">
        <v>1019</v>
      </c>
      <c r="D446" s="1" t="s">
        <v>871</v>
      </c>
      <c r="E446" t="s">
        <v>68</v>
      </c>
      <c r="F446" s="103"/>
      <c r="G446" s="103">
        <v>8</v>
      </c>
      <c r="H446" s="103"/>
      <c r="I446" s="103"/>
      <c r="J446" s="88"/>
      <c r="K446" s="88"/>
    </row>
    <row r="447" spans="1:11" ht="12.75" customHeight="1">
      <c r="A447" s="1">
        <v>27</v>
      </c>
      <c r="B447" s="1">
        <v>4480</v>
      </c>
      <c r="C447" s="1" t="s">
        <v>1019</v>
      </c>
      <c r="D447" s="1" t="s">
        <v>872</v>
      </c>
      <c r="E447" t="s">
        <v>69</v>
      </c>
      <c r="F447" s="103"/>
      <c r="G447" s="103"/>
      <c r="H447" s="103"/>
      <c r="I447" s="103">
        <v>11</v>
      </c>
      <c r="J447" s="88"/>
      <c r="K447" s="88"/>
    </row>
    <row r="448" spans="1:11" ht="12.75" customHeight="1">
      <c r="A448" s="1">
        <v>27</v>
      </c>
      <c r="B448" s="1">
        <v>4490</v>
      </c>
      <c r="C448" s="1" t="s">
        <v>1019</v>
      </c>
      <c r="D448" s="1" t="s">
        <v>873</v>
      </c>
      <c r="E448" t="s">
        <v>70</v>
      </c>
      <c r="F448" s="103"/>
      <c r="G448" s="103"/>
      <c r="H448" s="103">
        <v>11</v>
      </c>
      <c r="I448" s="103">
        <v>32</v>
      </c>
      <c r="J448" s="88"/>
      <c r="K448" s="88"/>
    </row>
    <row r="449" spans="1:11" ht="12.75" customHeight="1">
      <c r="A449" s="1">
        <v>27</v>
      </c>
      <c r="B449" s="1">
        <v>4560</v>
      </c>
      <c r="C449" s="1" t="s">
        <v>1019</v>
      </c>
      <c r="D449" s="1" t="s">
        <v>874</v>
      </c>
      <c r="E449" t="s">
        <v>71</v>
      </c>
      <c r="F449" s="103"/>
      <c r="G449" s="103"/>
      <c r="H449" s="103">
        <v>28</v>
      </c>
      <c r="I449" s="103"/>
      <c r="J449" s="88"/>
      <c r="K449" s="88"/>
    </row>
    <row r="450" spans="1:11" ht="12.75" customHeight="1">
      <c r="A450" s="1">
        <v>27</v>
      </c>
      <c r="B450" s="1">
        <v>5380</v>
      </c>
      <c r="C450" s="1" t="s">
        <v>1019</v>
      </c>
      <c r="D450" s="1" t="s">
        <v>875</v>
      </c>
      <c r="E450"/>
      <c r="F450" s="103"/>
      <c r="G450" s="103"/>
      <c r="H450" s="103"/>
      <c r="I450" s="103"/>
      <c r="J450" s="88"/>
      <c r="K450" s="88"/>
    </row>
    <row r="451" spans="1:11" ht="12.75" customHeight="1">
      <c r="A451" s="1">
        <v>27</v>
      </c>
      <c r="B451" s="1">
        <v>5520</v>
      </c>
      <c r="C451" s="1" t="s">
        <v>1019</v>
      </c>
      <c r="D451" s="1" t="s">
        <v>1270</v>
      </c>
      <c r="E451" t="s">
        <v>72</v>
      </c>
      <c r="F451" s="103"/>
      <c r="G451" s="103"/>
      <c r="H451" s="103"/>
      <c r="I451" s="103">
        <v>34</v>
      </c>
      <c r="J451" s="88"/>
      <c r="K451" s="88"/>
    </row>
    <row r="452" spans="1:11" ht="12.75" customHeight="1">
      <c r="A452" s="1">
        <v>27</v>
      </c>
      <c r="B452" s="1">
        <v>5660</v>
      </c>
      <c r="C452" s="1" t="s">
        <v>1019</v>
      </c>
      <c r="D452" s="1" t="s">
        <v>876</v>
      </c>
      <c r="E452" t="s">
        <v>73</v>
      </c>
      <c r="F452" s="103"/>
      <c r="G452" s="103"/>
      <c r="H452" s="103"/>
      <c r="I452" s="103"/>
      <c r="J452" s="88"/>
      <c r="K452" s="88"/>
    </row>
    <row r="453" spans="1:11" ht="12.75" customHeight="1">
      <c r="A453" s="1">
        <v>27</v>
      </c>
      <c r="B453" s="1">
        <v>5770</v>
      </c>
      <c r="C453" s="1" t="s">
        <v>1019</v>
      </c>
      <c r="D453" s="1" t="s">
        <v>877</v>
      </c>
      <c r="E453" t="s">
        <v>74</v>
      </c>
      <c r="F453" s="103">
        <v>20</v>
      </c>
      <c r="G453" s="103">
        <v>29</v>
      </c>
      <c r="H453" s="103">
        <v>10</v>
      </c>
      <c r="I453" s="103"/>
      <c r="J453" s="156">
        <v>385386</v>
      </c>
      <c r="K453" s="88"/>
    </row>
    <row r="454" spans="1:11" ht="12.75" customHeight="1">
      <c r="A454" s="1">
        <v>29</v>
      </c>
      <c r="B454" s="1">
        <v>185</v>
      </c>
      <c r="C454" s="1" t="s">
        <v>878</v>
      </c>
      <c r="D454" s="1" t="s">
        <v>879</v>
      </c>
      <c r="E454" t="s">
        <v>1892</v>
      </c>
      <c r="F454" s="103"/>
      <c r="G454" s="103"/>
      <c r="H454" s="103">
        <v>28</v>
      </c>
      <c r="I454" s="103"/>
      <c r="J454" s="88"/>
      <c r="K454" s="88"/>
    </row>
    <row r="455" spans="1:11" ht="12.75" customHeight="1">
      <c r="A455" s="1">
        <v>29</v>
      </c>
      <c r="B455" s="1">
        <v>210</v>
      </c>
      <c r="C455" s="1" t="s">
        <v>878</v>
      </c>
      <c r="D455" s="1" t="s">
        <v>880</v>
      </c>
      <c r="E455" t="s">
        <v>1893</v>
      </c>
      <c r="F455" s="103"/>
      <c r="G455" s="103"/>
      <c r="H455" s="103"/>
      <c r="I455" s="103"/>
      <c r="J455" s="88"/>
      <c r="K455" s="88"/>
    </row>
    <row r="456" spans="1:11" ht="12.75" customHeight="1">
      <c r="A456" s="1">
        <v>29</v>
      </c>
      <c r="B456" s="1">
        <v>230</v>
      </c>
      <c r="C456" s="1" t="s">
        <v>878</v>
      </c>
      <c r="D456" s="1" t="s">
        <v>881</v>
      </c>
      <c r="E456" t="s">
        <v>1894</v>
      </c>
      <c r="F456" s="103"/>
      <c r="G456" s="103">
        <v>7</v>
      </c>
      <c r="H456" s="103"/>
      <c r="I456" s="103"/>
      <c r="J456" s="88"/>
      <c r="K456" s="88"/>
    </row>
    <row r="457" spans="1:11" ht="12.75" customHeight="1">
      <c r="A457" s="1">
        <v>29</v>
      </c>
      <c r="B457" s="1">
        <v>320</v>
      </c>
      <c r="C457" s="1" t="s">
        <v>878</v>
      </c>
      <c r="D457" s="1" t="s">
        <v>882</v>
      </c>
      <c r="E457" t="s">
        <v>1895</v>
      </c>
      <c r="F457" s="103"/>
      <c r="G457" s="103"/>
      <c r="H457" s="103"/>
      <c r="I457" s="103">
        <v>29</v>
      </c>
      <c r="J457" s="88"/>
      <c r="K457" s="88"/>
    </row>
    <row r="458" spans="1:11" ht="12.75" customHeight="1">
      <c r="A458" s="1">
        <v>29</v>
      </c>
      <c r="B458" s="1">
        <v>530</v>
      </c>
      <c r="C458" s="1" t="s">
        <v>878</v>
      </c>
      <c r="D458" s="1" t="s">
        <v>883</v>
      </c>
      <c r="E458" t="s">
        <v>1896</v>
      </c>
      <c r="F458" s="103"/>
      <c r="G458" s="103">
        <v>54</v>
      </c>
      <c r="H458" s="103">
        <v>31</v>
      </c>
      <c r="I458" s="103">
        <v>53</v>
      </c>
      <c r="J458" s="88"/>
      <c r="K458" s="88"/>
    </row>
    <row r="459" spans="1:11" ht="12.75" customHeight="1">
      <c r="A459" s="1">
        <v>29</v>
      </c>
      <c r="B459" s="1">
        <v>770</v>
      </c>
      <c r="C459" s="1" t="s">
        <v>878</v>
      </c>
      <c r="D459" s="1" t="s">
        <v>884</v>
      </c>
      <c r="E459" t="s">
        <v>1897</v>
      </c>
      <c r="F459" s="103"/>
      <c r="G459" s="103"/>
      <c r="H459" s="103"/>
      <c r="I459" s="103"/>
      <c r="J459" s="88"/>
      <c r="K459" s="88"/>
    </row>
    <row r="460" spans="1:11" ht="12.75" customHeight="1">
      <c r="A460" s="1">
        <v>29</v>
      </c>
      <c r="B460" s="1">
        <v>1150</v>
      </c>
      <c r="C460" s="1" t="s">
        <v>878</v>
      </c>
      <c r="D460" s="1" t="s">
        <v>885</v>
      </c>
      <c r="E460" t="s">
        <v>1898</v>
      </c>
      <c r="F460" s="103">
        <v>12</v>
      </c>
      <c r="G460" s="103"/>
      <c r="H460" s="103"/>
      <c r="I460" s="103"/>
      <c r="J460" s="156">
        <v>72936</v>
      </c>
      <c r="K460" s="88"/>
    </row>
    <row r="461" spans="1:11" ht="12.75" customHeight="1">
      <c r="A461" s="1">
        <v>29</v>
      </c>
      <c r="B461" s="1">
        <v>2350</v>
      </c>
      <c r="C461" s="1" t="s">
        <v>878</v>
      </c>
      <c r="D461" s="1" t="s">
        <v>886</v>
      </c>
      <c r="E461" t="s">
        <v>1899</v>
      </c>
      <c r="F461" s="103"/>
      <c r="G461" s="103"/>
      <c r="H461" s="103"/>
      <c r="I461" s="103"/>
      <c r="J461" s="88"/>
      <c r="K461" s="88"/>
    </row>
    <row r="462" spans="1:11" ht="12.75" customHeight="1">
      <c r="A462" s="1">
        <v>29</v>
      </c>
      <c r="B462" s="1">
        <v>2360</v>
      </c>
      <c r="C462" s="1" t="s">
        <v>878</v>
      </c>
      <c r="D462" s="1" t="s">
        <v>887</v>
      </c>
      <c r="E462" t="s">
        <v>1900</v>
      </c>
      <c r="F462" s="103"/>
      <c r="G462" s="103"/>
      <c r="H462" s="103">
        <v>9</v>
      </c>
      <c r="I462" s="103">
        <v>38</v>
      </c>
      <c r="J462" s="88"/>
      <c r="K462" s="88"/>
    </row>
    <row r="463" spans="1:11" ht="12.75" customHeight="1">
      <c r="A463" s="1">
        <v>29</v>
      </c>
      <c r="B463" s="1">
        <v>2480</v>
      </c>
      <c r="C463" s="1" t="s">
        <v>878</v>
      </c>
      <c r="D463" s="1" t="s">
        <v>888</v>
      </c>
      <c r="E463" t="s">
        <v>1901</v>
      </c>
      <c r="F463" s="103"/>
      <c r="G463" s="103"/>
      <c r="H463" s="103"/>
      <c r="I463" s="103">
        <v>36</v>
      </c>
      <c r="J463" s="88"/>
      <c r="K463" s="88"/>
    </row>
    <row r="464" spans="1:11" ht="12.75" customHeight="1">
      <c r="A464" s="1">
        <v>29</v>
      </c>
      <c r="B464" s="1">
        <v>2500</v>
      </c>
      <c r="C464" s="1" t="s">
        <v>878</v>
      </c>
      <c r="D464" s="1" t="s">
        <v>889</v>
      </c>
      <c r="E464" t="s">
        <v>1902</v>
      </c>
      <c r="F464" s="103">
        <v>26</v>
      </c>
      <c r="G464" s="103"/>
      <c r="H464" s="103">
        <v>8</v>
      </c>
      <c r="I464" s="103"/>
      <c r="J464" s="156">
        <v>252904</v>
      </c>
      <c r="K464" s="88"/>
    </row>
    <row r="465" spans="1:11" ht="12.75" customHeight="1">
      <c r="A465" s="1">
        <v>29</v>
      </c>
      <c r="B465" s="1">
        <v>2520</v>
      </c>
      <c r="C465" s="1" t="s">
        <v>878</v>
      </c>
      <c r="D465" s="1" t="s">
        <v>890</v>
      </c>
      <c r="E465" t="s">
        <v>1903</v>
      </c>
      <c r="F465" s="103">
        <v>10</v>
      </c>
      <c r="G465" s="103">
        <v>194</v>
      </c>
      <c r="H465" s="103">
        <v>46</v>
      </c>
      <c r="I465" s="103"/>
      <c r="J465" s="156">
        <v>4232532</v>
      </c>
      <c r="K465" s="88"/>
    </row>
    <row r="466" spans="1:11" ht="12.75" customHeight="1">
      <c r="A466" s="1">
        <v>29</v>
      </c>
      <c r="B466" s="1">
        <v>2550</v>
      </c>
      <c r="C466" s="1" t="s">
        <v>878</v>
      </c>
      <c r="D466" s="1" t="s">
        <v>891</v>
      </c>
      <c r="E466" t="s">
        <v>1904</v>
      </c>
      <c r="F466" s="103"/>
      <c r="G466" s="103"/>
      <c r="H466" s="103"/>
      <c r="I466" s="103"/>
      <c r="J466" s="88"/>
      <c r="K466" s="88"/>
    </row>
    <row r="467" spans="1:11" ht="12.75" customHeight="1">
      <c r="A467" s="1">
        <v>29</v>
      </c>
      <c r="B467" s="1">
        <v>2690</v>
      </c>
      <c r="C467" s="1" t="s">
        <v>878</v>
      </c>
      <c r="D467" s="1" t="s">
        <v>892</v>
      </c>
      <c r="E467" t="s">
        <v>1905</v>
      </c>
      <c r="F467" s="103"/>
      <c r="G467" s="103">
        <v>170</v>
      </c>
      <c r="H467" s="103">
        <v>5</v>
      </c>
      <c r="I467" s="103">
        <v>16</v>
      </c>
      <c r="J467" s="156">
        <v>851768</v>
      </c>
      <c r="K467" s="88"/>
    </row>
    <row r="468" spans="1:11" ht="12.75" customHeight="1">
      <c r="A468" s="1">
        <v>29</v>
      </c>
      <c r="B468" s="1">
        <v>2760</v>
      </c>
      <c r="C468" s="1" t="s">
        <v>878</v>
      </c>
      <c r="D468" s="1" t="s">
        <v>893</v>
      </c>
      <c r="E468" t="s">
        <v>1906</v>
      </c>
      <c r="F468" s="103"/>
      <c r="G468" s="103">
        <v>16</v>
      </c>
      <c r="H468" s="103"/>
      <c r="I468" s="103">
        <v>8</v>
      </c>
      <c r="J468" s="88"/>
      <c r="K468" s="88"/>
    </row>
    <row r="469" spans="1:11" ht="12.75" customHeight="1">
      <c r="A469" s="1">
        <v>29</v>
      </c>
      <c r="B469" s="1">
        <v>2940</v>
      </c>
      <c r="C469" s="1" t="s">
        <v>878</v>
      </c>
      <c r="D469" s="1" t="s">
        <v>894</v>
      </c>
      <c r="E469" t="s">
        <v>1907</v>
      </c>
      <c r="F469" s="103"/>
      <c r="G469" s="103"/>
      <c r="H469" s="103"/>
      <c r="I469" s="103">
        <v>48</v>
      </c>
      <c r="J469" s="88"/>
      <c r="K469" s="88"/>
    </row>
    <row r="470" spans="1:11" ht="12.75" customHeight="1">
      <c r="A470" s="1">
        <v>29</v>
      </c>
      <c r="B470" s="1">
        <v>2980</v>
      </c>
      <c r="C470" s="1" t="s">
        <v>878</v>
      </c>
      <c r="D470" s="1" t="s">
        <v>895</v>
      </c>
      <c r="E470"/>
      <c r="F470" s="103"/>
      <c r="G470" s="103"/>
      <c r="H470" s="103"/>
      <c r="I470" s="103"/>
      <c r="J470" s="88"/>
      <c r="K470" s="88"/>
    </row>
    <row r="471" spans="1:11" ht="12.75" customHeight="1">
      <c r="A471" s="1">
        <v>29</v>
      </c>
      <c r="B471" s="1">
        <v>3790</v>
      </c>
      <c r="C471" s="1" t="s">
        <v>878</v>
      </c>
      <c r="D471" s="1" t="s">
        <v>896</v>
      </c>
      <c r="E471" t="s">
        <v>1909</v>
      </c>
      <c r="F471" s="103"/>
      <c r="G471" s="103"/>
      <c r="H471" s="103"/>
      <c r="I471" s="103"/>
      <c r="J471" s="88"/>
      <c r="K471" s="88"/>
    </row>
    <row r="472" spans="1:11" ht="12.75" customHeight="1">
      <c r="A472" s="1">
        <v>29</v>
      </c>
      <c r="B472" s="1">
        <v>3800</v>
      </c>
      <c r="C472" s="1" t="s">
        <v>878</v>
      </c>
      <c r="D472" s="1" t="s">
        <v>897</v>
      </c>
      <c r="E472" t="s">
        <v>1910</v>
      </c>
      <c r="F472" s="103">
        <v>23</v>
      </c>
      <c r="G472" s="103"/>
      <c r="H472" s="103"/>
      <c r="I472" s="103"/>
      <c r="J472" s="156">
        <v>104228</v>
      </c>
      <c r="K472" s="88"/>
    </row>
    <row r="473" spans="1:11" ht="12.75" customHeight="1">
      <c r="A473" s="1">
        <v>29</v>
      </c>
      <c r="B473" s="1">
        <v>3820</v>
      </c>
      <c r="C473" s="1" t="s">
        <v>878</v>
      </c>
      <c r="D473" s="1" t="s">
        <v>1001</v>
      </c>
      <c r="E473" t="s">
        <v>1911</v>
      </c>
      <c r="F473" s="103"/>
      <c r="G473" s="103">
        <v>31</v>
      </c>
      <c r="H473" s="103">
        <v>3</v>
      </c>
      <c r="I473" s="103">
        <v>6</v>
      </c>
      <c r="J473" s="88"/>
      <c r="K473" s="88"/>
    </row>
    <row r="474" spans="1:11" ht="12.75" customHeight="1">
      <c r="A474" s="1">
        <v>29</v>
      </c>
      <c r="B474" s="1">
        <v>4105</v>
      </c>
      <c r="C474" s="1" t="s">
        <v>878</v>
      </c>
      <c r="D474" s="1" t="s">
        <v>898</v>
      </c>
      <c r="E474" t="s">
        <v>1912</v>
      </c>
      <c r="F474" s="103"/>
      <c r="G474" s="103"/>
      <c r="H474" s="103"/>
      <c r="I474" s="103"/>
      <c r="J474" s="88"/>
      <c r="K474" s="88"/>
    </row>
    <row r="475" spans="1:11" ht="12.75" customHeight="1">
      <c r="A475" s="1">
        <v>29</v>
      </c>
      <c r="B475" s="1">
        <v>4190</v>
      </c>
      <c r="C475" s="1" t="s">
        <v>878</v>
      </c>
      <c r="D475" s="1" t="s">
        <v>899</v>
      </c>
      <c r="E475" t="s">
        <v>1913</v>
      </c>
      <c r="F475" s="103"/>
      <c r="G475" s="103"/>
      <c r="H475" s="103">
        <v>3</v>
      </c>
      <c r="I475" s="103">
        <v>18</v>
      </c>
      <c r="J475" s="88"/>
      <c r="K475" s="88"/>
    </row>
    <row r="476" spans="1:11" ht="12.75" customHeight="1">
      <c r="A476" s="1">
        <v>29</v>
      </c>
      <c r="B476" s="1">
        <v>4210</v>
      </c>
      <c r="C476" s="1" t="s">
        <v>878</v>
      </c>
      <c r="D476" s="1" t="s">
        <v>900</v>
      </c>
      <c r="E476" t="s">
        <v>1914</v>
      </c>
      <c r="F476" s="103">
        <v>12</v>
      </c>
      <c r="G476" s="103"/>
      <c r="H476" s="103">
        <v>21</v>
      </c>
      <c r="I476" s="103"/>
      <c r="J476" s="88"/>
      <c r="K476" s="88"/>
    </row>
    <row r="477" spans="1:11" ht="12.75" customHeight="1">
      <c r="A477" s="1">
        <v>29</v>
      </c>
      <c r="B477" s="1">
        <v>4220</v>
      </c>
      <c r="C477" s="1" t="s">
        <v>878</v>
      </c>
      <c r="D477" s="1" t="s">
        <v>901</v>
      </c>
      <c r="E477" t="s">
        <v>1915</v>
      </c>
      <c r="F477" s="103">
        <v>5</v>
      </c>
      <c r="G477" s="103"/>
      <c r="H477" s="103"/>
      <c r="I477" s="103"/>
      <c r="J477" s="88"/>
      <c r="K477" s="88"/>
    </row>
    <row r="478" spans="1:11" ht="12.75" customHeight="1">
      <c r="A478" s="1">
        <v>29</v>
      </c>
      <c r="B478" s="1">
        <v>4710</v>
      </c>
      <c r="C478" s="1" t="s">
        <v>878</v>
      </c>
      <c r="D478" s="1" t="s">
        <v>902</v>
      </c>
      <c r="E478" t="s">
        <v>1916</v>
      </c>
      <c r="F478" s="103"/>
      <c r="G478" s="103">
        <v>23</v>
      </c>
      <c r="H478" s="103"/>
      <c r="I478" s="103"/>
      <c r="J478" s="156">
        <v>203899</v>
      </c>
      <c r="K478" s="88"/>
    </row>
    <row r="479" spans="1:11" ht="12.75" customHeight="1">
      <c r="A479" s="1">
        <v>29</v>
      </c>
      <c r="B479" s="1">
        <v>4720</v>
      </c>
      <c r="C479" s="1" t="s">
        <v>878</v>
      </c>
      <c r="D479" s="1" t="s">
        <v>903</v>
      </c>
      <c r="E479" t="s">
        <v>1917</v>
      </c>
      <c r="F479" s="103"/>
      <c r="G479" s="103">
        <v>7</v>
      </c>
      <c r="H479" s="103"/>
      <c r="I479" s="103"/>
      <c r="J479" s="156">
        <v>76768</v>
      </c>
      <c r="K479" s="88"/>
    </row>
    <row r="480" spans="1:11" ht="12.75" customHeight="1">
      <c r="A480" s="1">
        <v>29</v>
      </c>
      <c r="B480" s="1">
        <v>4950</v>
      </c>
      <c r="C480" s="1" t="s">
        <v>878</v>
      </c>
      <c r="D480" s="1" t="s">
        <v>904</v>
      </c>
      <c r="E480" t="s">
        <v>1918</v>
      </c>
      <c r="F480" s="103"/>
      <c r="G480" s="103"/>
      <c r="H480" s="103"/>
      <c r="I480" s="103"/>
      <c r="J480" s="88"/>
      <c r="K480" s="88"/>
    </row>
    <row r="481" spans="1:11" ht="12.75" customHeight="1">
      <c r="A481" s="1">
        <v>29</v>
      </c>
      <c r="B481" s="1">
        <v>5020</v>
      </c>
      <c r="C481" s="1" t="s">
        <v>878</v>
      </c>
      <c r="D481" s="1" t="s">
        <v>905</v>
      </c>
      <c r="E481" t="s">
        <v>1919</v>
      </c>
      <c r="F481" s="103"/>
      <c r="G481" s="103"/>
      <c r="H481" s="103">
        <v>2</v>
      </c>
      <c r="I481" s="103">
        <v>33</v>
      </c>
      <c r="J481" s="88"/>
      <c r="K481" s="88"/>
    </row>
    <row r="482" spans="1:11" ht="12.75" customHeight="1">
      <c r="A482" s="1">
        <v>29</v>
      </c>
      <c r="B482" s="1">
        <v>5190</v>
      </c>
      <c r="C482" s="1" t="s">
        <v>878</v>
      </c>
      <c r="D482" s="1" t="s">
        <v>906</v>
      </c>
      <c r="E482" t="s">
        <v>1920</v>
      </c>
      <c r="F482" s="103"/>
      <c r="G482" s="103"/>
      <c r="H482" s="103">
        <v>24</v>
      </c>
      <c r="I482" s="103">
        <v>103</v>
      </c>
      <c r="J482" s="88"/>
      <c r="K482" s="88"/>
    </row>
    <row r="483" spans="1:11" ht="12.75" customHeight="1">
      <c r="A483" s="1">
        <v>29</v>
      </c>
      <c r="B483" s="1">
        <v>5220</v>
      </c>
      <c r="C483" s="1" t="s">
        <v>878</v>
      </c>
      <c r="D483" s="1" t="s">
        <v>907</v>
      </c>
      <c r="E483" t="s">
        <v>1921</v>
      </c>
      <c r="F483" s="103">
        <v>27</v>
      </c>
      <c r="G483" s="103">
        <v>2</v>
      </c>
      <c r="H483" s="103"/>
      <c r="I483" s="103"/>
      <c r="J483" s="156">
        <v>154557</v>
      </c>
      <c r="K483" s="88"/>
    </row>
    <row r="484" spans="1:11" ht="12.75" customHeight="1">
      <c r="A484" s="1">
        <v>31</v>
      </c>
      <c r="B484" s="1">
        <v>420</v>
      </c>
      <c r="C484" s="1" t="s">
        <v>908</v>
      </c>
      <c r="D484" s="1" t="s">
        <v>909</v>
      </c>
      <c r="E484" t="s">
        <v>1922</v>
      </c>
      <c r="F484" s="103">
        <v>1</v>
      </c>
      <c r="G484" s="103"/>
      <c r="H484" s="103">
        <v>7</v>
      </c>
      <c r="I484" s="103"/>
      <c r="J484" s="88"/>
      <c r="K484" s="88"/>
    </row>
    <row r="485" spans="1:11" ht="12.75" customHeight="1">
      <c r="A485" s="1">
        <v>31</v>
      </c>
      <c r="B485" s="1">
        <v>900</v>
      </c>
      <c r="C485" s="1" t="s">
        <v>908</v>
      </c>
      <c r="D485" s="1" t="s">
        <v>910</v>
      </c>
      <c r="E485" t="s">
        <v>1923</v>
      </c>
      <c r="F485" s="103"/>
      <c r="G485" s="103"/>
      <c r="H485" s="103">
        <v>17</v>
      </c>
      <c r="I485" s="103">
        <v>49</v>
      </c>
      <c r="J485" s="88"/>
      <c r="K485" s="88"/>
    </row>
    <row r="486" spans="1:11" ht="12.75" customHeight="1">
      <c r="A486" s="1">
        <v>31</v>
      </c>
      <c r="B486" s="1">
        <v>1920</v>
      </c>
      <c r="C486" s="1" t="s">
        <v>908</v>
      </c>
      <c r="D486" s="1" t="s">
        <v>911</v>
      </c>
      <c r="E486" t="s">
        <v>1924</v>
      </c>
      <c r="F486" s="103"/>
      <c r="G486" s="103">
        <v>51</v>
      </c>
      <c r="H486" s="103"/>
      <c r="I486" s="103">
        <v>10</v>
      </c>
      <c r="J486" s="156">
        <v>459173</v>
      </c>
      <c r="K486" s="88"/>
    </row>
    <row r="487" spans="1:11" ht="12.75" customHeight="1">
      <c r="A487" s="1">
        <v>31</v>
      </c>
      <c r="B487" s="1">
        <v>2100</v>
      </c>
      <c r="C487" s="1" t="s">
        <v>908</v>
      </c>
      <c r="D487" s="1" t="s">
        <v>912</v>
      </c>
      <c r="E487" t="s">
        <v>1925</v>
      </c>
      <c r="F487" s="103"/>
      <c r="G487" s="103"/>
      <c r="H487" s="103">
        <v>19</v>
      </c>
      <c r="I487" s="103">
        <v>22</v>
      </c>
      <c r="J487" s="88"/>
      <c r="K487" s="88"/>
    </row>
    <row r="488" spans="1:11" ht="12.75" customHeight="1">
      <c r="A488" s="1">
        <v>31</v>
      </c>
      <c r="B488" s="1">
        <v>2510</v>
      </c>
      <c r="C488" s="1" t="s">
        <v>908</v>
      </c>
      <c r="D488" s="1" t="s">
        <v>913</v>
      </c>
      <c r="E488" t="s">
        <v>1926</v>
      </c>
      <c r="F488" s="103"/>
      <c r="G488" s="103"/>
      <c r="H488" s="103"/>
      <c r="I488" s="103"/>
      <c r="J488" s="88"/>
      <c r="K488" s="88"/>
    </row>
    <row r="489" spans="1:11" ht="12.75" customHeight="1">
      <c r="A489" s="1">
        <v>31</v>
      </c>
      <c r="B489" s="1">
        <v>2700</v>
      </c>
      <c r="C489" s="1" t="s">
        <v>908</v>
      </c>
      <c r="D489" s="1" t="s">
        <v>914</v>
      </c>
      <c r="E489" t="s">
        <v>1931</v>
      </c>
      <c r="F489" s="103"/>
      <c r="G489" s="103"/>
      <c r="H489" s="103">
        <v>4</v>
      </c>
      <c r="I489" s="103">
        <v>9</v>
      </c>
      <c r="J489" s="88"/>
      <c r="K489" s="88"/>
    </row>
    <row r="490" spans="1:11" ht="12.75" customHeight="1">
      <c r="A490" s="1">
        <v>31</v>
      </c>
      <c r="B490" s="1">
        <v>3640</v>
      </c>
      <c r="C490" s="1" t="s">
        <v>908</v>
      </c>
      <c r="D490" s="1" t="s">
        <v>915</v>
      </c>
      <c r="E490" t="s">
        <v>1932</v>
      </c>
      <c r="F490" s="103"/>
      <c r="G490" s="103"/>
      <c r="H490" s="103"/>
      <c r="I490" s="103">
        <v>12</v>
      </c>
      <c r="J490" s="88"/>
      <c r="K490" s="88"/>
    </row>
    <row r="491" spans="1:11" ht="12.75" customHeight="1">
      <c r="A491" s="1">
        <v>31</v>
      </c>
      <c r="B491" s="1">
        <v>3970</v>
      </c>
      <c r="C491" s="1" t="s">
        <v>908</v>
      </c>
      <c r="D491" s="1" t="s">
        <v>916</v>
      </c>
      <c r="E491" t="s">
        <v>1933</v>
      </c>
      <c r="F491" s="103">
        <v>1300</v>
      </c>
      <c r="G491" s="103"/>
      <c r="H491" s="103">
        <v>28</v>
      </c>
      <c r="I491" s="103"/>
      <c r="J491" s="156">
        <v>23308045</v>
      </c>
      <c r="K491" s="88"/>
    </row>
    <row r="492" spans="1:11" ht="12.75" customHeight="1">
      <c r="A492" s="1">
        <v>31</v>
      </c>
      <c r="B492" s="1">
        <v>3975</v>
      </c>
      <c r="C492" s="1" t="s">
        <v>908</v>
      </c>
      <c r="D492" s="1" t="s">
        <v>917</v>
      </c>
      <c r="E492" t="s">
        <v>1934</v>
      </c>
      <c r="F492" s="103"/>
      <c r="G492" s="103"/>
      <c r="H492" s="103">
        <v>35</v>
      </c>
      <c r="I492" s="103"/>
      <c r="J492" s="88"/>
      <c r="K492" s="88"/>
    </row>
    <row r="493" spans="1:11" ht="12.75" customHeight="1">
      <c r="A493" s="1">
        <v>31</v>
      </c>
      <c r="B493" s="1">
        <v>3980</v>
      </c>
      <c r="C493" s="1" t="s">
        <v>908</v>
      </c>
      <c r="D493" s="1" t="s">
        <v>918</v>
      </c>
      <c r="E493" t="s">
        <v>1935</v>
      </c>
      <c r="F493" s="103"/>
      <c r="G493" s="103"/>
      <c r="H493" s="103"/>
      <c r="I493" s="103"/>
      <c r="J493" s="88"/>
      <c r="K493" s="88"/>
    </row>
    <row r="494" spans="1:11" ht="12.75" customHeight="1">
      <c r="A494" s="1">
        <v>31</v>
      </c>
      <c r="B494" s="1">
        <v>3990</v>
      </c>
      <c r="C494" s="1" t="s">
        <v>908</v>
      </c>
      <c r="D494" s="1" t="s">
        <v>919</v>
      </c>
      <c r="E494" t="s">
        <v>1936</v>
      </c>
      <c r="F494" s="103"/>
      <c r="G494" s="103"/>
      <c r="H494" s="103"/>
      <c r="I494" s="103"/>
      <c r="J494" s="88"/>
      <c r="K494" s="88"/>
    </row>
    <row r="495" spans="1:11" ht="12.75" customHeight="1">
      <c r="A495" s="1">
        <v>31</v>
      </c>
      <c r="B495" s="1">
        <v>3995</v>
      </c>
      <c r="C495" s="1" t="s">
        <v>908</v>
      </c>
      <c r="D495" s="1" t="s">
        <v>920</v>
      </c>
      <c r="E495" t="s">
        <v>1937</v>
      </c>
      <c r="F495" s="103"/>
      <c r="G495" s="103"/>
      <c r="H495" s="103"/>
      <c r="I495" s="103"/>
      <c r="J495" s="88"/>
      <c r="K495" s="88"/>
    </row>
    <row r="496" spans="1:11" ht="12.75" customHeight="1">
      <c r="A496" s="1">
        <v>31</v>
      </c>
      <c r="B496" s="1">
        <v>4010</v>
      </c>
      <c r="C496" s="1" t="s">
        <v>908</v>
      </c>
      <c r="D496" s="1" t="s">
        <v>921</v>
      </c>
      <c r="E496" t="s">
        <v>1938</v>
      </c>
      <c r="F496" s="103">
        <v>79</v>
      </c>
      <c r="G496" s="103"/>
      <c r="H496" s="103">
        <v>22</v>
      </c>
      <c r="I496" s="103"/>
      <c r="J496" s="156">
        <v>43192987</v>
      </c>
      <c r="K496" s="88"/>
    </row>
    <row r="497" spans="1:11" ht="12.75" customHeight="1">
      <c r="A497" s="1">
        <v>31</v>
      </c>
      <c r="B497" s="1">
        <v>4230</v>
      </c>
      <c r="C497" s="1" t="s">
        <v>908</v>
      </c>
      <c r="D497" s="1" t="s">
        <v>922</v>
      </c>
      <c r="E497" t="s">
        <v>1939</v>
      </c>
      <c r="F497" s="103"/>
      <c r="G497" s="103"/>
      <c r="H497" s="103"/>
      <c r="I497" s="103">
        <v>10</v>
      </c>
      <c r="J497" s="88"/>
      <c r="K497" s="88"/>
    </row>
    <row r="498" spans="1:11" ht="12.75" customHeight="1">
      <c r="A498" s="1">
        <v>31</v>
      </c>
      <c r="B498" s="1">
        <v>4270</v>
      </c>
      <c r="C498" s="1" t="s">
        <v>908</v>
      </c>
      <c r="D498" s="1" t="s">
        <v>923</v>
      </c>
      <c r="E498" t="s">
        <v>1940</v>
      </c>
      <c r="F498" s="103">
        <v>35</v>
      </c>
      <c r="G498" s="103"/>
      <c r="H498" s="103"/>
      <c r="I498" s="103"/>
      <c r="J498" s="156">
        <v>576482</v>
      </c>
      <c r="K498" s="88"/>
    </row>
    <row r="499" spans="1:11" ht="12.75" customHeight="1">
      <c r="A499" s="1">
        <v>31</v>
      </c>
      <c r="B499" s="1">
        <v>4400</v>
      </c>
      <c r="C499" s="1" t="s">
        <v>908</v>
      </c>
      <c r="D499" s="1" t="s">
        <v>924</v>
      </c>
      <c r="E499" t="s">
        <v>1941</v>
      </c>
      <c r="F499" s="103"/>
      <c r="G499" s="103"/>
      <c r="H499" s="103"/>
      <c r="I499" s="103">
        <v>10</v>
      </c>
      <c r="J499" s="88"/>
      <c r="K499" s="88"/>
    </row>
    <row r="500" spans="1:11" ht="12.75" customHeight="1">
      <c r="A500" s="1">
        <v>31</v>
      </c>
      <c r="B500" s="1">
        <v>5200</v>
      </c>
      <c r="C500" s="1" t="s">
        <v>908</v>
      </c>
      <c r="D500" s="1" t="s">
        <v>925</v>
      </c>
      <c r="E500" t="s">
        <v>1838</v>
      </c>
      <c r="F500" s="103"/>
      <c r="G500" s="103">
        <v>13</v>
      </c>
      <c r="H500" s="103"/>
      <c r="I500" s="103"/>
      <c r="J500" s="88"/>
      <c r="K500" s="88"/>
    </row>
    <row r="501" spans="1:11" ht="12.75" customHeight="1">
      <c r="A501" s="1">
        <v>31</v>
      </c>
      <c r="B501" s="1">
        <v>5440</v>
      </c>
      <c r="C501" s="1" t="s">
        <v>908</v>
      </c>
      <c r="D501" s="1" t="s">
        <v>926</v>
      </c>
      <c r="E501" t="s">
        <v>1839</v>
      </c>
      <c r="F501" s="103"/>
      <c r="G501" s="103"/>
      <c r="H501" s="103"/>
      <c r="I501" s="103">
        <v>9</v>
      </c>
      <c r="J501" s="88"/>
      <c r="K501" s="88"/>
    </row>
    <row r="502" spans="1:11" ht="12.75" customHeight="1">
      <c r="A502" s="1">
        <v>31</v>
      </c>
      <c r="B502" s="1">
        <v>5570</v>
      </c>
      <c r="C502" s="1" t="s">
        <v>908</v>
      </c>
      <c r="D502" s="1" t="s">
        <v>927</v>
      </c>
      <c r="E502" t="s">
        <v>1840</v>
      </c>
      <c r="F502" s="103"/>
      <c r="G502" s="103"/>
      <c r="H502" s="103">
        <v>16</v>
      </c>
      <c r="I502" s="103">
        <v>51</v>
      </c>
      <c r="J502" s="88"/>
      <c r="K502" s="88"/>
    </row>
    <row r="503" spans="1:11" ht="12.75" customHeight="1">
      <c r="A503" s="1">
        <v>31</v>
      </c>
      <c r="B503" s="1">
        <v>5650</v>
      </c>
      <c r="C503" s="1" t="s">
        <v>908</v>
      </c>
      <c r="D503" s="1" t="s">
        <v>928</v>
      </c>
      <c r="E503" t="s">
        <v>1841</v>
      </c>
      <c r="F503" s="103"/>
      <c r="G503" s="103"/>
      <c r="H503" s="103"/>
      <c r="I503" s="103">
        <v>47</v>
      </c>
      <c r="J503" s="88"/>
      <c r="K503" s="88"/>
    </row>
    <row r="504" spans="1:11" ht="12.75" customHeight="1">
      <c r="A504" s="1">
        <v>31</v>
      </c>
      <c r="B504" s="1">
        <v>5690</v>
      </c>
      <c r="C504" s="1" t="s">
        <v>908</v>
      </c>
      <c r="D504" s="1" t="s">
        <v>929</v>
      </c>
      <c r="E504" t="s">
        <v>1842</v>
      </c>
      <c r="F504" s="103"/>
      <c r="G504" s="103"/>
      <c r="H504" s="103"/>
      <c r="I504" s="103">
        <v>7</v>
      </c>
      <c r="J504" s="88"/>
      <c r="K504" s="88"/>
    </row>
    <row r="505" spans="1:11" ht="12.75" customHeight="1">
      <c r="A505" s="1">
        <v>33</v>
      </c>
      <c r="B505" s="1">
        <v>60</v>
      </c>
      <c r="C505" s="1" t="s">
        <v>930</v>
      </c>
      <c r="D505" s="1" t="s">
        <v>750</v>
      </c>
      <c r="E505" t="s">
        <v>1843</v>
      </c>
      <c r="F505" s="103"/>
      <c r="G505" s="103">
        <v>27</v>
      </c>
      <c r="H505" s="103"/>
      <c r="I505" s="103"/>
      <c r="J505" s="88"/>
      <c r="K505" s="88"/>
    </row>
    <row r="506" spans="1:11" ht="12.75" customHeight="1">
      <c r="A506" s="1">
        <v>33</v>
      </c>
      <c r="B506" s="1">
        <v>1340</v>
      </c>
      <c r="C506" s="1" t="s">
        <v>930</v>
      </c>
      <c r="D506" s="1" t="s">
        <v>751</v>
      </c>
      <c r="E506" t="s">
        <v>1844</v>
      </c>
      <c r="F506" s="103"/>
      <c r="G506" s="103"/>
      <c r="H506" s="103"/>
      <c r="I506" s="103"/>
      <c r="J506" s="88"/>
      <c r="K506" s="88"/>
    </row>
    <row r="507" spans="1:11" ht="12.75" customHeight="1">
      <c r="A507" s="1">
        <v>33</v>
      </c>
      <c r="B507" s="1">
        <v>1350</v>
      </c>
      <c r="C507" s="1" t="s">
        <v>930</v>
      </c>
      <c r="D507" s="1" t="s">
        <v>752</v>
      </c>
      <c r="E507" t="s">
        <v>1845</v>
      </c>
      <c r="F507" s="103"/>
      <c r="G507" s="103"/>
      <c r="H507" s="103"/>
      <c r="I507" s="103"/>
      <c r="J507" s="88"/>
      <c r="K507" s="88"/>
    </row>
    <row r="508" spans="1:11" ht="12.75" customHeight="1">
      <c r="A508" s="1">
        <v>33</v>
      </c>
      <c r="B508" s="1">
        <v>2800</v>
      </c>
      <c r="C508" s="1" t="s">
        <v>930</v>
      </c>
      <c r="D508" s="1" t="s">
        <v>753</v>
      </c>
      <c r="E508" t="s">
        <v>1846</v>
      </c>
      <c r="F508" s="103"/>
      <c r="G508" s="103">
        <v>18</v>
      </c>
      <c r="H508" s="103"/>
      <c r="I508" s="103"/>
      <c r="J508" s="88"/>
      <c r="K508" s="88"/>
    </row>
    <row r="509" spans="1:11" ht="12.75" customHeight="1">
      <c r="A509" s="1">
        <v>33</v>
      </c>
      <c r="B509" s="1">
        <v>2950</v>
      </c>
      <c r="C509" s="1" t="s">
        <v>930</v>
      </c>
      <c r="D509" s="1" t="s">
        <v>754</v>
      </c>
      <c r="E509" t="s">
        <v>1847</v>
      </c>
      <c r="F509" s="103">
        <v>14</v>
      </c>
      <c r="G509" s="103"/>
      <c r="H509" s="103"/>
      <c r="I509" s="103"/>
      <c r="J509" s="156">
        <v>92092</v>
      </c>
      <c r="K509" s="88"/>
    </row>
    <row r="510" spans="1:11" ht="12.75" customHeight="1">
      <c r="A510" s="1">
        <v>33</v>
      </c>
      <c r="B510" s="1">
        <v>3860</v>
      </c>
      <c r="C510" s="1" t="s">
        <v>930</v>
      </c>
      <c r="D510" s="1" t="s">
        <v>755</v>
      </c>
      <c r="E510" t="s">
        <v>1848</v>
      </c>
      <c r="F510" s="103"/>
      <c r="G510" s="103"/>
      <c r="H510" s="103"/>
      <c r="I510" s="103"/>
      <c r="J510" s="88"/>
      <c r="K510" s="88"/>
    </row>
    <row r="511" spans="1:11" ht="12.75" customHeight="1">
      <c r="A511" s="1">
        <v>33</v>
      </c>
      <c r="B511" s="1">
        <v>4070</v>
      </c>
      <c r="C511" s="1" t="s">
        <v>930</v>
      </c>
      <c r="D511" s="1" t="s">
        <v>756</v>
      </c>
      <c r="E511" t="s">
        <v>1849</v>
      </c>
      <c r="F511" s="103"/>
      <c r="G511" s="103">
        <v>173</v>
      </c>
      <c r="H511" s="103"/>
      <c r="I511" s="103"/>
      <c r="J511" s="156">
        <v>1852653</v>
      </c>
      <c r="K511" s="88"/>
    </row>
    <row r="512" spans="1:11" ht="12.75" customHeight="1">
      <c r="A512" s="1">
        <v>33</v>
      </c>
      <c r="B512" s="1">
        <v>4075</v>
      </c>
      <c r="C512" s="1" t="s">
        <v>930</v>
      </c>
      <c r="D512" s="1" t="s">
        <v>757</v>
      </c>
      <c r="E512" t="s">
        <v>1850</v>
      </c>
      <c r="F512" s="103"/>
      <c r="G512" s="103">
        <v>43</v>
      </c>
      <c r="H512" s="103"/>
      <c r="I512" s="103"/>
      <c r="J512" s="88"/>
      <c r="K512" s="88"/>
    </row>
    <row r="513" spans="1:11" ht="12.75" customHeight="1">
      <c r="A513" s="1">
        <v>33</v>
      </c>
      <c r="B513" s="1">
        <v>4150</v>
      </c>
      <c r="C513" s="1" t="s">
        <v>930</v>
      </c>
      <c r="D513" s="1" t="s">
        <v>758</v>
      </c>
      <c r="E513" t="s">
        <v>1851</v>
      </c>
      <c r="F513" s="103"/>
      <c r="G513" s="103">
        <v>67</v>
      </c>
      <c r="H513" s="103"/>
      <c r="I513" s="103">
        <v>5</v>
      </c>
      <c r="J513" s="88"/>
      <c r="K513" s="88"/>
    </row>
    <row r="514" spans="1:11" ht="12.75" customHeight="1">
      <c r="A514" s="1">
        <v>33</v>
      </c>
      <c r="B514" s="1">
        <v>4280</v>
      </c>
      <c r="C514" s="1" t="s">
        <v>930</v>
      </c>
      <c r="D514" s="1" t="s">
        <v>759</v>
      </c>
      <c r="E514" t="s">
        <v>1852</v>
      </c>
      <c r="F514" s="103">
        <v>33</v>
      </c>
      <c r="G514" s="103"/>
      <c r="H514" s="103"/>
      <c r="I514" s="103"/>
      <c r="J514" s="156">
        <v>173004</v>
      </c>
      <c r="K514" s="88"/>
    </row>
    <row r="515" spans="1:11" ht="12.75" customHeight="1">
      <c r="A515" s="1">
        <v>33</v>
      </c>
      <c r="B515" s="1">
        <v>4630</v>
      </c>
      <c r="C515" s="1" t="s">
        <v>930</v>
      </c>
      <c r="D515" s="1" t="s">
        <v>760</v>
      </c>
      <c r="E515" t="s">
        <v>1853</v>
      </c>
      <c r="F515" s="103">
        <v>114</v>
      </c>
      <c r="G515" s="103"/>
      <c r="H515" s="103">
        <v>10</v>
      </c>
      <c r="I515" s="103"/>
      <c r="J515" s="156">
        <v>1134354</v>
      </c>
      <c r="K515" s="156">
        <v>88467</v>
      </c>
    </row>
    <row r="516" spans="1:11" ht="12.75" customHeight="1">
      <c r="A516" s="1">
        <v>33</v>
      </c>
      <c r="B516" s="1">
        <v>4635</v>
      </c>
      <c r="C516" s="1" t="s">
        <v>930</v>
      </c>
      <c r="D516" s="1" t="s">
        <v>761</v>
      </c>
      <c r="E516" t="s">
        <v>1854</v>
      </c>
      <c r="F516" s="103"/>
      <c r="G516" s="103"/>
      <c r="H516" s="103"/>
      <c r="I516" s="103"/>
      <c r="J516" s="88"/>
      <c r="K516" s="88"/>
    </row>
    <row r="517" spans="1:11" ht="12.75" customHeight="1">
      <c r="A517" s="1">
        <v>33</v>
      </c>
      <c r="B517" s="1">
        <v>4640</v>
      </c>
      <c r="C517" s="1" t="s">
        <v>930</v>
      </c>
      <c r="D517" s="1" t="s">
        <v>762</v>
      </c>
      <c r="E517" t="s">
        <v>1855</v>
      </c>
      <c r="F517" s="103"/>
      <c r="G517" s="103"/>
      <c r="H517" s="103"/>
      <c r="I517" s="103"/>
      <c r="J517" s="88"/>
      <c r="K517" s="88"/>
    </row>
    <row r="518" spans="1:11" ht="12.75" customHeight="1">
      <c r="A518" s="1">
        <v>33</v>
      </c>
      <c r="B518" s="1">
        <v>5320</v>
      </c>
      <c r="C518" s="1" t="s">
        <v>930</v>
      </c>
      <c r="D518" s="1" t="s">
        <v>763</v>
      </c>
      <c r="E518" t="s">
        <v>1856</v>
      </c>
      <c r="F518" s="103"/>
      <c r="G518" s="103">
        <v>23</v>
      </c>
      <c r="H518" s="103"/>
      <c r="I518" s="103"/>
      <c r="J518" s="88"/>
      <c r="K518" s="88"/>
    </row>
    <row r="519" spans="1:11" ht="12.75" customHeight="1">
      <c r="A519" s="1">
        <v>33</v>
      </c>
      <c r="B519" s="1">
        <v>5910</v>
      </c>
      <c r="C519" s="1" t="s">
        <v>930</v>
      </c>
      <c r="D519" s="1" t="s">
        <v>764</v>
      </c>
      <c r="E519" t="s">
        <v>1857</v>
      </c>
      <c r="F519" s="103">
        <v>2</v>
      </c>
      <c r="G519" s="103">
        <v>44</v>
      </c>
      <c r="H519" s="103"/>
      <c r="I519" s="103"/>
      <c r="J519" s="88"/>
      <c r="K519" s="88"/>
    </row>
    <row r="520" spans="1:11" ht="12.75" customHeight="1">
      <c r="A520" s="1">
        <v>35</v>
      </c>
      <c r="B520" s="1">
        <v>240</v>
      </c>
      <c r="C520" s="1" t="s">
        <v>765</v>
      </c>
      <c r="D520" s="1" t="s">
        <v>766</v>
      </c>
      <c r="E520" t="s">
        <v>1858</v>
      </c>
      <c r="F520" s="103"/>
      <c r="G520" s="103"/>
      <c r="H520" s="103"/>
      <c r="I520" s="103">
        <v>7</v>
      </c>
      <c r="J520" s="88"/>
      <c r="K520" s="88"/>
    </row>
    <row r="521" spans="1:11" ht="12.75" customHeight="1">
      <c r="A521" s="1">
        <v>35</v>
      </c>
      <c r="B521" s="1">
        <v>350</v>
      </c>
      <c r="C521" s="1" t="s">
        <v>765</v>
      </c>
      <c r="D521" s="1" t="s">
        <v>767</v>
      </c>
      <c r="E521" t="s">
        <v>1859</v>
      </c>
      <c r="F521" s="103">
        <v>34</v>
      </c>
      <c r="G521" s="103">
        <v>14</v>
      </c>
      <c r="H521" s="103">
        <v>18</v>
      </c>
      <c r="I521" s="103"/>
      <c r="J521" s="88"/>
      <c r="K521" s="88"/>
    </row>
    <row r="522" spans="1:11" ht="12.75" customHeight="1">
      <c r="A522" s="1">
        <v>35</v>
      </c>
      <c r="B522" s="1">
        <v>490</v>
      </c>
      <c r="C522" s="1" t="s">
        <v>765</v>
      </c>
      <c r="D522" s="1" t="s">
        <v>768</v>
      </c>
      <c r="E522" t="s">
        <v>1860</v>
      </c>
      <c r="F522" s="103"/>
      <c r="G522" s="103">
        <v>56</v>
      </c>
      <c r="H522" s="103">
        <v>4</v>
      </c>
      <c r="I522" s="103">
        <v>5</v>
      </c>
      <c r="J522" s="156">
        <v>798782</v>
      </c>
      <c r="K522" s="88"/>
    </row>
    <row r="523" spans="1:11" ht="12.75" customHeight="1">
      <c r="A523" s="1">
        <v>35</v>
      </c>
      <c r="B523" s="1">
        <v>510</v>
      </c>
      <c r="C523" s="1" t="s">
        <v>765</v>
      </c>
      <c r="D523" s="1" t="s">
        <v>769</v>
      </c>
      <c r="E523" t="s">
        <v>1861</v>
      </c>
      <c r="F523" s="103"/>
      <c r="G523" s="103"/>
      <c r="H523" s="103"/>
      <c r="I523" s="103">
        <v>5</v>
      </c>
      <c r="J523" s="88"/>
      <c r="K523" s="88"/>
    </row>
    <row r="524" spans="1:11" ht="12.75" customHeight="1">
      <c r="A524" s="1">
        <v>35</v>
      </c>
      <c r="B524" s="1">
        <v>555</v>
      </c>
      <c r="C524" s="1" t="s">
        <v>765</v>
      </c>
      <c r="D524" s="1" t="s">
        <v>770</v>
      </c>
      <c r="E524" t="s">
        <v>1862</v>
      </c>
      <c r="F524" s="103"/>
      <c r="G524" s="103"/>
      <c r="H524" s="103"/>
      <c r="I524" s="103">
        <v>61</v>
      </c>
      <c r="J524" s="88"/>
      <c r="K524" s="88"/>
    </row>
    <row r="525" spans="1:11" ht="12.75" customHeight="1">
      <c r="A525" s="1">
        <v>35</v>
      </c>
      <c r="B525" s="1">
        <v>1610</v>
      </c>
      <c r="C525" s="1" t="s">
        <v>765</v>
      </c>
      <c r="D525" s="1" t="s">
        <v>1043</v>
      </c>
      <c r="E525" t="s">
        <v>1863</v>
      </c>
      <c r="F525" s="103"/>
      <c r="G525" s="103">
        <v>322</v>
      </c>
      <c r="H525" s="103"/>
      <c r="I525" s="103">
        <v>44</v>
      </c>
      <c r="J525" s="156">
        <v>3206716</v>
      </c>
      <c r="K525" s="88"/>
    </row>
    <row r="526" spans="1:11" ht="12.75" customHeight="1">
      <c r="A526" s="1">
        <v>35</v>
      </c>
      <c r="B526" s="1">
        <v>1810</v>
      </c>
      <c r="C526" s="1" t="s">
        <v>765</v>
      </c>
      <c r="D526" s="1" t="s">
        <v>771</v>
      </c>
      <c r="E526" t="s">
        <v>1864</v>
      </c>
      <c r="F526" s="103"/>
      <c r="G526" s="103"/>
      <c r="H526" s="103">
        <v>2</v>
      </c>
      <c r="I526" s="103"/>
      <c r="J526" s="88"/>
      <c r="K526" s="88"/>
    </row>
    <row r="527" spans="1:11" ht="12.75" customHeight="1">
      <c r="A527" s="1">
        <v>35</v>
      </c>
      <c r="B527" s="1">
        <v>2170</v>
      </c>
      <c r="C527" s="1" t="s">
        <v>765</v>
      </c>
      <c r="D527" s="1" t="s">
        <v>772</v>
      </c>
      <c r="E527" t="s">
        <v>1865</v>
      </c>
      <c r="F527" s="103"/>
      <c r="G527" s="103"/>
      <c r="H527" s="103">
        <v>16</v>
      </c>
      <c r="I527" s="103">
        <v>35</v>
      </c>
      <c r="J527" s="88"/>
      <c r="K527" s="88"/>
    </row>
    <row r="528" spans="1:11" ht="12.75" customHeight="1">
      <c r="A528" s="1">
        <v>35</v>
      </c>
      <c r="B528" s="1">
        <v>3000</v>
      </c>
      <c r="C528" s="1" t="s">
        <v>765</v>
      </c>
      <c r="D528" s="1" t="s">
        <v>773</v>
      </c>
      <c r="E528" t="s">
        <v>1866</v>
      </c>
      <c r="F528" s="103"/>
      <c r="G528" s="103">
        <v>7</v>
      </c>
      <c r="H528" s="103"/>
      <c r="I528" s="103">
        <v>10</v>
      </c>
      <c r="J528" s="88"/>
      <c r="K528" s="88"/>
    </row>
    <row r="529" spans="1:11" ht="12.75" customHeight="1">
      <c r="A529" s="1">
        <v>35</v>
      </c>
      <c r="B529" s="1">
        <v>3210</v>
      </c>
      <c r="C529" s="1" t="s">
        <v>765</v>
      </c>
      <c r="D529" s="1" t="s">
        <v>774</v>
      </c>
      <c r="E529"/>
      <c r="F529" s="103"/>
      <c r="G529" s="103"/>
      <c r="H529" s="103"/>
      <c r="I529" s="103"/>
      <c r="J529" s="88"/>
      <c r="K529" s="88"/>
    </row>
    <row r="530" spans="1:11" ht="12.75" customHeight="1">
      <c r="A530" s="1">
        <v>35</v>
      </c>
      <c r="B530" s="1">
        <v>3320</v>
      </c>
      <c r="C530" s="1" t="s">
        <v>765</v>
      </c>
      <c r="D530" s="1" t="s">
        <v>775</v>
      </c>
      <c r="E530" t="s">
        <v>1867</v>
      </c>
      <c r="F530" s="103"/>
      <c r="G530" s="103"/>
      <c r="H530" s="103"/>
      <c r="I530" s="103">
        <v>21</v>
      </c>
      <c r="J530" s="88"/>
      <c r="K530" s="88"/>
    </row>
    <row r="531" spans="1:11" ht="12.75" customHeight="1">
      <c r="A531" s="1">
        <v>35</v>
      </c>
      <c r="B531" s="1">
        <v>3670</v>
      </c>
      <c r="C531" s="1" t="s">
        <v>765</v>
      </c>
      <c r="D531" s="1" t="s">
        <v>776</v>
      </c>
      <c r="E531" t="s">
        <v>1868</v>
      </c>
      <c r="F531" s="103"/>
      <c r="G531" s="103">
        <v>10</v>
      </c>
      <c r="H531" s="103"/>
      <c r="I531" s="103">
        <v>17</v>
      </c>
      <c r="J531" s="156">
        <v>1456166</v>
      </c>
      <c r="K531" s="88"/>
    </row>
    <row r="532" spans="1:11" ht="12.75" customHeight="1">
      <c r="A532" s="1">
        <v>35</v>
      </c>
      <c r="B532" s="1">
        <v>4510</v>
      </c>
      <c r="C532" s="1" t="s">
        <v>765</v>
      </c>
      <c r="D532" s="1" t="s">
        <v>777</v>
      </c>
      <c r="E532"/>
      <c r="F532" s="103"/>
      <c r="G532" s="103"/>
      <c r="H532" s="103"/>
      <c r="I532" s="103"/>
      <c r="J532" s="88"/>
      <c r="K532" s="88"/>
    </row>
    <row r="533" spans="1:11" ht="12.75" customHeight="1">
      <c r="A533" s="1">
        <v>35</v>
      </c>
      <c r="B533" s="1">
        <v>4805</v>
      </c>
      <c r="C533" s="1" t="s">
        <v>765</v>
      </c>
      <c r="D533" s="1" t="s">
        <v>778</v>
      </c>
      <c r="E533" t="s">
        <v>1869</v>
      </c>
      <c r="F533" s="103"/>
      <c r="G533" s="103"/>
      <c r="H533" s="103"/>
      <c r="I533" s="103"/>
      <c r="J533" s="88"/>
      <c r="K533" s="88"/>
    </row>
    <row r="534" spans="1:11" ht="12.75" customHeight="1">
      <c r="A534" s="1">
        <v>35</v>
      </c>
      <c r="B534" s="1">
        <v>4810</v>
      </c>
      <c r="C534" s="1" t="s">
        <v>765</v>
      </c>
      <c r="D534" s="1" t="s">
        <v>779</v>
      </c>
      <c r="E534" t="s">
        <v>1870</v>
      </c>
      <c r="F534" s="103"/>
      <c r="G534" s="103"/>
      <c r="H534" s="103"/>
      <c r="I534" s="103"/>
      <c r="J534" s="88"/>
      <c r="K534" s="88"/>
    </row>
    <row r="535" spans="1:11" ht="12.75" customHeight="1">
      <c r="A535" s="1">
        <v>35</v>
      </c>
      <c r="B535" s="1">
        <v>4815</v>
      </c>
      <c r="C535" s="1" t="s">
        <v>765</v>
      </c>
      <c r="D535" s="1" t="s">
        <v>780</v>
      </c>
      <c r="E535" t="s">
        <v>1871</v>
      </c>
      <c r="F535" s="103"/>
      <c r="G535" s="103"/>
      <c r="H535" s="103">
        <v>4</v>
      </c>
      <c r="I535" s="103">
        <v>16</v>
      </c>
      <c r="J535" s="88"/>
      <c r="K535" s="88"/>
    </row>
    <row r="536" spans="1:11" ht="12.75" customHeight="1">
      <c r="A536" s="1">
        <v>35</v>
      </c>
      <c r="B536" s="1">
        <v>4820</v>
      </c>
      <c r="C536" s="1" t="s">
        <v>765</v>
      </c>
      <c r="D536" s="1" t="s">
        <v>781</v>
      </c>
      <c r="E536" t="s">
        <v>1872</v>
      </c>
      <c r="F536" s="103"/>
      <c r="G536" s="103">
        <v>72</v>
      </c>
      <c r="H536" s="103">
        <v>3</v>
      </c>
      <c r="I536" s="103">
        <v>6</v>
      </c>
      <c r="J536" s="156">
        <v>1088223</v>
      </c>
      <c r="K536" s="88"/>
    </row>
    <row r="537" spans="1:11" ht="12.75" customHeight="1">
      <c r="A537" s="1">
        <v>35</v>
      </c>
      <c r="B537" s="1">
        <v>4850</v>
      </c>
      <c r="C537" s="1" t="s">
        <v>765</v>
      </c>
      <c r="D537" s="1" t="s">
        <v>782</v>
      </c>
      <c r="E537" t="s">
        <v>1873</v>
      </c>
      <c r="F537" s="103"/>
      <c r="G537" s="103">
        <v>28</v>
      </c>
      <c r="H537" s="103"/>
      <c r="I537" s="103">
        <v>3</v>
      </c>
      <c r="J537" s="88"/>
      <c r="K537" s="88"/>
    </row>
    <row r="538" spans="1:11" ht="12.75" customHeight="1">
      <c r="A538" s="1">
        <v>35</v>
      </c>
      <c r="B538" s="1">
        <v>5470</v>
      </c>
      <c r="C538" s="1" t="s">
        <v>765</v>
      </c>
      <c r="D538" s="1" t="s">
        <v>783</v>
      </c>
      <c r="E538" t="s">
        <v>1874</v>
      </c>
      <c r="F538" s="103"/>
      <c r="G538" s="103"/>
      <c r="H538" s="103">
        <v>16</v>
      </c>
      <c r="I538" s="103"/>
      <c r="J538" s="88"/>
      <c r="K538" s="88"/>
    </row>
    <row r="539" spans="1:11" ht="12.75" customHeight="1">
      <c r="A539" s="1">
        <v>35</v>
      </c>
      <c r="B539" s="1">
        <v>5540</v>
      </c>
      <c r="C539" s="1" t="s">
        <v>765</v>
      </c>
      <c r="D539" s="1" t="s">
        <v>784</v>
      </c>
      <c r="E539" t="s">
        <v>1875</v>
      </c>
      <c r="F539" s="103"/>
      <c r="G539" s="103"/>
      <c r="H539" s="103">
        <v>5</v>
      </c>
      <c r="I539" s="103"/>
      <c r="J539" s="88"/>
      <c r="K539" s="88"/>
    </row>
    <row r="540" spans="1:11" ht="12.75" customHeight="1">
      <c r="A540" s="1">
        <v>35</v>
      </c>
      <c r="B540" s="1">
        <v>5550</v>
      </c>
      <c r="C540" s="1" t="s">
        <v>765</v>
      </c>
      <c r="D540" s="1" t="s">
        <v>785</v>
      </c>
      <c r="E540" t="s">
        <v>1876</v>
      </c>
      <c r="F540" s="103"/>
      <c r="G540" s="103"/>
      <c r="H540" s="103"/>
      <c r="I540" s="103"/>
      <c r="J540" s="88"/>
      <c r="K540" s="88"/>
    </row>
    <row r="541" spans="1:11" ht="12.75" customHeight="1">
      <c r="A541" s="1">
        <v>37</v>
      </c>
      <c r="B541" s="1">
        <v>90</v>
      </c>
      <c r="C541" s="1" t="s">
        <v>786</v>
      </c>
      <c r="D541" s="1" t="s">
        <v>787</v>
      </c>
      <c r="E541" t="s">
        <v>1877</v>
      </c>
      <c r="F541" s="103"/>
      <c r="G541" s="103"/>
      <c r="H541" s="103"/>
      <c r="I541" s="103">
        <v>8</v>
      </c>
      <c r="J541" s="88"/>
      <c r="K541" s="88"/>
    </row>
    <row r="542" spans="1:11" ht="12.75" customHeight="1">
      <c r="A542" s="1">
        <v>37</v>
      </c>
      <c r="B542" s="1">
        <v>520</v>
      </c>
      <c r="C542" s="1" t="s">
        <v>786</v>
      </c>
      <c r="D542" s="1" t="s">
        <v>788</v>
      </c>
      <c r="E542"/>
      <c r="F542" s="103"/>
      <c r="G542" s="103"/>
      <c r="H542" s="103"/>
      <c r="I542" s="103"/>
      <c r="J542" s="88"/>
      <c r="K542" s="88"/>
    </row>
    <row r="543" spans="1:11" ht="12.75" customHeight="1">
      <c r="A543" s="1">
        <v>37</v>
      </c>
      <c r="B543" s="1">
        <v>640</v>
      </c>
      <c r="C543" s="1" t="s">
        <v>786</v>
      </c>
      <c r="D543" s="1" t="s">
        <v>789</v>
      </c>
      <c r="E543" t="s">
        <v>1878</v>
      </c>
      <c r="F543" s="103"/>
      <c r="G543" s="103"/>
      <c r="H543" s="103">
        <v>2</v>
      </c>
      <c r="I543" s="103">
        <v>8</v>
      </c>
      <c r="J543" s="88"/>
      <c r="K543" s="88"/>
    </row>
    <row r="544" spans="1:11" ht="12.75" customHeight="1">
      <c r="A544" s="1">
        <v>37</v>
      </c>
      <c r="B544" s="1">
        <v>1560</v>
      </c>
      <c r="C544" s="1" t="s">
        <v>786</v>
      </c>
      <c r="D544" s="1" t="s">
        <v>790</v>
      </c>
      <c r="E544" t="s">
        <v>1879</v>
      </c>
      <c r="F544" s="103"/>
      <c r="G544" s="103">
        <v>37</v>
      </c>
      <c r="H544" s="103"/>
      <c r="I544" s="103"/>
      <c r="J544" s="88"/>
      <c r="K544" s="88"/>
    </row>
    <row r="545" spans="1:11" ht="12.75" customHeight="1">
      <c r="A545" s="1">
        <v>37</v>
      </c>
      <c r="B545" s="1">
        <v>1570</v>
      </c>
      <c r="C545" s="1" t="s">
        <v>786</v>
      </c>
      <c r="D545" s="1" t="s">
        <v>791</v>
      </c>
      <c r="E545" t="s">
        <v>1880</v>
      </c>
      <c r="F545" s="103"/>
      <c r="G545" s="103"/>
      <c r="H545" s="103"/>
      <c r="I545" s="103">
        <v>7</v>
      </c>
      <c r="J545" s="88"/>
      <c r="K545" s="88"/>
    </row>
    <row r="546" spans="1:11" ht="12.75" customHeight="1">
      <c r="A546" s="1">
        <v>37</v>
      </c>
      <c r="B546" s="1">
        <v>1630</v>
      </c>
      <c r="C546" s="1" t="s">
        <v>786</v>
      </c>
      <c r="D546" s="1" t="s">
        <v>792</v>
      </c>
      <c r="E546" t="s">
        <v>1881</v>
      </c>
      <c r="F546" s="103"/>
      <c r="G546" s="103"/>
      <c r="H546" s="103"/>
      <c r="I546" s="103"/>
      <c r="J546" s="88"/>
      <c r="K546" s="88"/>
    </row>
    <row r="547" spans="1:11" ht="12.75" customHeight="1">
      <c r="A547" s="1">
        <v>37</v>
      </c>
      <c r="B547" s="1">
        <v>1800</v>
      </c>
      <c r="C547" s="1" t="s">
        <v>786</v>
      </c>
      <c r="D547" s="1" t="s">
        <v>793</v>
      </c>
      <c r="E547" t="s">
        <v>1882</v>
      </c>
      <c r="F547" s="103"/>
      <c r="G547" s="103"/>
      <c r="H547" s="103"/>
      <c r="I547" s="103">
        <v>8</v>
      </c>
      <c r="J547" s="88"/>
      <c r="K547" s="88"/>
    </row>
    <row r="548" spans="1:11" ht="12.75" customHeight="1">
      <c r="A548" s="1">
        <v>37</v>
      </c>
      <c r="B548" s="1">
        <v>1930</v>
      </c>
      <c r="C548" s="1" t="s">
        <v>786</v>
      </c>
      <c r="D548" s="1" t="s">
        <v>794</v>
      </c>
      <c r="E548" t="s">
        <v>1883</v>
      </c>
      <c r="F548" s="103"/>
      <c r="G548" s="103"/>
      <c r="H548" s="103">
        <v>2</v>
      </c>
      <c r="I548" s="103">
        <v>6</v>
      </c>
      <c r="J548" s="88"/>
      <c r="K548" s="88"/>
    </row>
    <row r="549" spans="1:11" ht="12.75" customHeight="1">
      <c r="A549" s="1">
        <v>37</v>
      </c>
      <c r="B549" s="1">
        <v>1980</v>
      </c>
      <c r="C549" s="1" t="s">
        <v>786</v>
      </c>
      <c r="D549" s="1" t="s">
        <v>795</v>
      </c>
      <c r="E549" t="s">
        <v>1884</v>
      </c>
      <c r="F549" s="103"/>
      <c r="G549" s="103"/>
      <c r="H549" s="103"/>
      <c r="I549" s="103">
        <v>6</v>
      </c>
      <c r="J549" s="88"/>
      <c r="K549" s="88"/>
    </row>
    <row r="550" spans="1:11" ht="12.75" customHeight="1">
      <c r="A550" s="1">
        <v>37</v>
      </c>
      <c r="B550" s="1">
        <v>2030</v>
      </c>
      <c r="C550" s="1" t="s">
        <v>786</v>
      </c>
      <c r="D550" s="1" t="s">
        <v>796</v>
      </c>
      <c r="E550" t="s">
        <v>1885</v>
      </c>
      <c r="F550" s="103"/>
      <c r="G550" s="103"/>
      <c r="H550" s="103">
        <v>1</v>
      </c>
      <c r="I550" s="103">
        <v>8</v>
      </c>
      <c r="J550" s="88"/>
      <c r="K550" s="88"/>
    </row>
    <row r="551" spans="1:11" ht="12.75" customHeight="1">
      <c r="A551" s="1">
        <v>37</v>
      </c>
      <c r="B551" s="1">
        <v>2165</v>
      </c>
      <c r="C551" s="1" t="s">
        <v>786</v>
      </c>
      <c r="D551" s="1" t="s">
        <v>797</v>
      </c>
      <c r="E551" t="s">
        <v>1886</v>
      </c>
      <c r="F551" s="103"/>
      <c r="G551" s="103"/>
      <c r="H551" s="103"/>
      <c r="I551" s="103"/>
      <c r="J551" s="88"/>
      <c r="K551" s="88"/>
    </row>
    <row r="552" spans="1:11" ht="12.75" customHeight="1">
      <c r="A552" s="1">
        <v>37</v>
      </c>
      <c r="B552" s="1">
        <v>2240</v>
      </c>
      <c r="C552" s="1" t="s">
        <v>786</v>
      </c>
      <c r="D552" s="1" t="s">
        <v>798</v>
      </c>
      <c r="E552" t="s">
        <v>1887</v>
      </c>
      <c r="F552" s="103"/>
      <c r="G552" s="103"/>
      <c r="H552" s="103">
        <v>2</v>
      </c>
      <c r="I552" s="103">
        <v>16</v>
      </c>
      <c r="J552" s="88"/>
      <c r="K552" s="88"/>
    </row>
    <row r="553" spans="1:11" ht="12.75" customHeight="1">
      <c r="A553" s="1">
        <v>37</v>
      </c>
      <c r="B553" s="1">
        <v>2465</v>
      </c>
      <c r="C553" s="1" t="s">
        <v>786</v>
      </c>
      <c r="D553" s="1" t="s">
        <v>799</v>
      </c>
      <c r="E553" t="s">
        <v>1888</v>
      </c>
      <c r="F553" s="103"/>
      <c r="G553" s="103"/>
      <c r="H553" s="103"/>
      <c r="I553" s="103"/>
      <c r="J553" s="88"/>
      <c r="K553" s="88"/>
    </row>
    <row r="554" spans="1:11" ht="12.75" customHeight="1">
      <c r="A554" s="1">
        <v>37</v>
      </c>
      <c r="B554" s="1">
        <v>2490</v>
      </c>
      <c r="C554" s="1" t="s">
        <v>786</v>
      </c>
      <c r="D554" s="1" t="s">
        <v>800</v>
      </c>
      <c r="E554" t="s">
        <v>1889</v>
      </c>
      <c r="F554" s="103"/>
      <c r="G554" s="103"/>
      <c r="H554" s="103"/>
      <c r="I554" s="103">
        <v>3</v>
      </c>
      <c r="J554" s="88"/>
      <c r="K554" s="88"/>
    </row>
    <row r="555" spans="1:11" ht="12.75" customHeight="1">
      <c r="A555" s="1">
        <v>37</v>
      </c>
      <c r="B555" s="1">
        <v>2615</v>
      </c>
      <c r="C555" s="1" t="s">
        <v>786</v>
      </c>
      <c r="D555" s="1" t="s">
        <v>801</v>
      </c>
      <c r="E555" t="s">
        <v>1890</v>
      </c>
      <c r="F555" s="103"/>
      <c r="G555" s="103"/>
      <c r="H555" s="103"/>
      <c r="I555" s="103"/>
      <c r="J555" s="88"/>
      <c r="K555" s="88"/>
    </row>
    <row r="556" spans="1:11" ht="12.75" customHeight="1">
      <c r="A556" s="1">
        <v>37</v>
      </c>
      <c r="B556" s="1">
        <v>3300</v>
      </c>
      <c r="C556" s="1" t="s">
        <v>786</v>
      </c>
      <c r="D556" s="1" t="s">
        <v>802</v>
      </c>
      <c r="E556" t="s">
        <v>1891</v>
      </c>
      <c r="F556" s="103"/>
      <c r="G556" s="103"/>
      <c r="H556" s="103"/>
      <c r="I556" s="103">
        <v>10</v>
      </c>
      <c r="J556" s="88"/>
      <c r="K556" s="88"/>
    </row>
    <row r="557" spans="1:11" ht="12.75" customHeight="1">
      <c r="A557" s="1">
        <v>37</v>
      </c>
      <c r="B557" s="1">
        <v>3590</v>
      </c>
      <c r="C557" s="1" t="s">
        <v>786</v>
      </c>
      <c r="D557" s="1" t="s">
        <v>803</v>
      </c>
      <c r="E557" t="s">
        <v>1784</v>
      </c>
      <c r="F557" s="103"/>
      <c r="G557" s="103"/>
      <c r="H557" s="103"/>
      <c r="I557" s="103">
        <v>7</v>
      </c>
      <c r="J557" s="88"/>
      <c r="K557" s="88"/>
    </row>
    <row r="558" spans="1:11" ht="12.75" customHeight="1">
      <c r="A558" s="1">
        <v>37</v>
      </c>
      <c r="B558" s="1">
        <v>3840</v>
      </c>
      <c r="C558" s="1" t="s">
        <v>786</v>
      </c>
      <c r="D558" s="1" t="s">
        <v>804</v>
      </c>
      <c r="E558" t="s">
        <v>1785</v>
      </c>
      <c r="F558" s="103"/>
      <c r="G558" s="103"/>
      <c r="H558" s="103">
        <v>3</v>
      </c>
      <c r="I558" s="103">
        <v>2</v>
      </c>
      <c r="J558" s="88"/>
      <c r="K558" s="88"/>
    </row>
    <row r="559" spans="1:11" ht="12.75" customHeight="1">
      <c r="A559" s="1">
        <v>37</v>
      </c>
      <c r="B559" s="1">
        <v>4650</v>
      </c>
      <c r="C559" s="1" t="s">
        <v>786</v>
      </c>
      <c r="D559" s="1" t="s">
        <v>805</v>
      </c>
      <c r="E559" t="s">
        <v>1786</v>
      </c>
      <c r="F559" s="103"/>
      <c r="G559" s="103"/>
      <c r="H559" s="103"/>
      <c r="I559" s="103"/>
      <c r="J559" s="88"/>
      <c r="K559" s="88"/>
    </row>
    <row r="560" spans="1:11" ht="12.75" customHeight="1">
      <c r="A560" s="1">
        <v>37</v>
      </c>
      <c r="B560" s="1">
        <v>4960</v>
      </c>
      <c r="C560" s="1" t="s">
        <v>786</v>
      </c>
      <c r="D560" s="1" t="s">
        <v>806</v>
      </c>
      <c r="E560" t="s">
        <v>1787</v>
      </c>
      <c r="F560" s="103"/>
      <c r="G560" s="103"/>
      <c r="H560" s="103">
        <v>8</v>
      </c>
      <c r="I560" s="103">
        <v>17</v>
      </c>
      <c r="J560" s="88"/>
      <c r="K560" s="88"/>
    </row>
    <row r="561" spans="1:11" ht="12.75" customHeight="1">
      <c r="A561" s="1">
        <v>37</v>
      </c>
      <c r="B561" s="1">
        <v>5030</v>
      </c>
      <c r="C561" s="1" t="s">
        <v>786</v>
      </c>
      <c r="D561" s="1" t="s">
        <v>807</v>
      </c>
      <c r="E561" t="s">
        <v>1788</v>
      </c>
      <c r="F561" s="103"/>
      <c r="G561" s="103"/>
      <c r="H561" s="103"/>
      <c r="I561" s="103"/>
      <c r="J561" s="88"/>
      <c r="K561" s="88"/>
    </row>
    <row r="562" spans="1:11" ht="12.75" customHeight="1">
      <c r="A562" s="1">
        <v>37</v>
      </c>
      <c r="B562" s="1">
        <v>5040</v>
      </c>
      <c r="C562" s="1" t="s">
        <v>786</v>
      </c>
      <c r="D562" s="1" t="s">
        <v>808</v>
      </c>
      <c r="E562" t="s">
        <v>1789</v>
      </c>
      <c r="F562" s="103"/>
      <c r="G562" s="103">
        <v>6</v>
      </c>
      <c r="H562" s="103"/>
      <c r="I562" s="103"/>
      <c r="J562" s="88"/>
      <c r="K562" s="88"/>
    </row>
    <row r="563" spans="1:11" ht="12.75" customHeight="1">
      <c r="A563" s="1">
        <v>37</v>
      </c>
      <c r="B563" s="1">
        <v>5100</v>
      </c>
      <c r="C563" s="1" t="s">
        <v>786</v>
      </c>
      <c r="D563" s="1" t="s">
        <v>809</v>
      </c>
      <c r="E563" t="s">
        <v>1790</v>
      </c>
      <c r="F563" s="103"/>
      <c r="G563" s="103"/>
      <c r="H563" s="103"/>
      <c r="I563" s="103">
        <v>13</v>
      </c>
      <c r="J563" s="88"/>
      <c r="K563" s="88"/>
    </row>
    <row r="564" spans="1:11" ht="12.75" customHeight="1">
      <c r="A564" s="1">
        <v>37</v>
      </c>
      <c r="B564" s="1">
        <v>5105</v>
      </c>
      <c r="C564" s="1" t="s">
        <v>786</v>
      </c>
      <c r="D564" s="1" t="s">
        <v>810</v>
      </c>
      <c r="E564" t="s">
        <v>1791</v>
      </c>
      <c r="F564" s="103"/>
      <c r="G564" s="103"/>
      <c r="H564" s="103"/>
      <c r="I564" s="103"/>
      <c r="J564" s="88"/>
      <c r="K564" s="88"/>
    </row>
    <row r="565" spans="1:11" ht="12.75" customHeight="1">
      <c r="A565" s="1">
        <v>37</v>
      </c>
      <c r="B565" s="1">
        <v>5110</v>
      </c>
      <c r="C565" s="1" t="s">
        <v>786</v>
      </c>
      <c r="D565" s="1" t="s">
        <v>811</v>
      </c>
      <c r="E565" t="s">
        <v>1792</v>
      </c>
      <c r="F565" s="103"/>
      <c r="G565" s="103"/>
      <c r="H565" s="103"/>
      <c r="I565" s="103"/>
      <c r="J565" s="88"/>
      <c r="K565" s="88"/>
    </row>
    <row r="566" spans="1:11" ht="12.75" customHeight="1">
      <c r="A566" s="1">
        <v>37</v>
      </c>
      <c r="B566" s="1">
        <v>5360</v>
      </c>
      <c r="C566" s="1" t="s">
        <v>786</v>
      </c>
      <c r="D566" s="1" t="s">
        <v>812</v>
      </c>
      <c r="E566" t="s">
        <v>1793</v>
      </c>
      <c r="F566" s="103"/>
      <c r="G566" s="103">
        <v>11</v>
      </c>
      <c r="H566" s="103"/>
      <c r="I566" s="103">
        <v>40</v>
      </c>
      <c r="J566" s="88"/>
      <c r="K566" s="88"/>
    </row>
    <row r="567" spans="1:11" ht="12.75" customHeight="1">
      <c r="A567" s="1">
        <v>37</v>
      </c>
      <c r="B567" s="1">
        <v>5435</v>
      </c>
      <c r="C567" s="1" t="s">
        <v>786</v>
      </c>
      <c r="D567" s="1" t="s">
        <v>813</v>
      </c>
      <c r="E567" t="s">
        <v>1794</v>
      </c>
      <c r="F567" s="103"/>
      <c r="G567" s="103"/>
      <c r="H567" s="103"/>
      <c r="I567" s="103"/>
      <c r="J567" s="88"/>
      <c r="K567" s="88"/>
    </row>
    <row r="568" spans="1:11" ht="12.75" customHeight="1">
      <c r="A568" s="1">
        <v>39</v>
      </c>
      <c r="B568" s="1">
        <v>310</v>
      </c>
      <c r="C568" s="1" t="s">
        <v>814</v>
      </c>
      <c r="D568" s="1" t="s">
        <v>815</v>
      </c>
      <c r="E568" t="s">
        <v>1795</v>
      </c>
      <c r="F568" s="103"/>
      <c r="G568" s="103">
        <v>40</v>
      </c>
      <c r="H568" s="103"/>
      <c r="I568" s="103">
        <v>4</v>
      </c>
      <c r="J568" s="88"/>
      <c r="K568" s="88"/>
    </row>
    <row r="569" spans="1:11" ht="12.75" customHeight="1">
      <c r="A569" s="1">
        <v>39</v>
      </c>
      <c r="B569" s="1">
        <v>850</v>
      </c>
      <c r="C569" s="1" t="s">
        <v>814</v>
      </c>
      <c r="D569" s="1" t="s">
        <v>816</v>
      </c>
      <c r="E569" t="s">
        <v>1796</v>
      </c>
      <c r="F569" s="103"/>
      <c r="G569" s="103"/>
      <c r="H569" s="103">
        <v>5</v>
      </c>
      <c r="I569" s="103">
        <v>10</v>
      </c>
      <c r="J569" s="88"/>
      <c r="K569" s="88"/>
    </row>
    <row r="570" spans="1:11" ht="12.75" customHeight="1">
      <c r="A570" s="1">
        <v>39</v>
      </c>
      <c r="B570" s="1">
        <v>980</v>
      </c>
      <c r="C570" s="1" t="s">
        <v>814</v>
      </c>
      <c r="D570" s="1" t="s">
        <v>817</v>
      </c>
      <c r="E570" t="s">
        <v>1797</v>
      </c>
      <c r="F570" s="103"/>
      <c r="G570" s="103">
        <v>16</v>
      </c>
      <c r="H570" s="103"/>
      <c r="I570" s="103">
        <v>35</v>
      </c>
      <c r="J570" s="88"/>
      <c r="K570" s="88"/>
    </row>
    <row r="571" spans="1:11" ht="12.75" customHeight="1">
      <c r="A571" s="1">
        <v>39</v>
      </c>
      <c r="B571" s="1">
        <v>1320</v>
      </c>
      <c r="C571" s="1" t="s">
        <v>814</v>
      </c>
      <c r="D571" s="1" t="s">
        <v>818</v>
      </c>
      <c r="E571" t="s">
        <v>1798</v>
      </c>
      <c r="F571" s="103">
        <v>2086</v>
      </c>
      <c r="G571" s="103"/>
      <c r="H571" s="103">
        <v>25</v>
      </c>
      <c r="I571" s="103"/>
      <c r="J571" s="156">
        <v>34564237</v>
      </c>
      <c r="K571" s="88"/>
    </row>
    <row r="572" spans="1:11" ht="12.75" customHeight="1">
      <c r="A572" s="1">
        <v>39</v>
      </c>
      <c r="B572" s="1">
        <v>1710</v>
      </c>
      <c r="C572" s="1" t="s">
        <v>814</v>
      </c>
      <c r="D572" s="1" t="s">
        <v>819</v>
      </c>
      <c r="E572" t="s">
        <v>1799</v>
      </c>
      <c r="F572" s="103"/>
      <c r="G572" s="103">
        <v>29</v>
      </c>
      <c r="H572" s="103"/>
      <c r="I572" s="103"/>
      <c r="J572" s="88"/>
      <c r="K572" s="88"/>
    </row>
    <row r="573" spans="1:11" ht="12.75" customHeight="1">
      <c r="A573" s="1">
        <v>39</v>
      </c>
      <c r="B573" s="1">
        <v>2190</v>
      </c>
      <c r="C573" s="1" t="s">
        <v>814</v>
      </c>
      <c r="D573" s="1" t="s">
        <v>820</v>
      </c>
      <c r="E573" t="s">
        <v>1800</v>
      </c>
      <c r="F573" s="103">
        <v>108</v>
      </c>
      <c r="G573" s="103"/>
      <c r="H573" s="103">
        <v>25</v>
      </c>
      <c r="I573" s="103"/>
      <c r="J573" s="156">
        <v>1606053</v>
      </c>
      <c r="K573" s="88"/>
    </row>
    <row r="574" spans="1:11" ht="12.75" customHeight="1">
      <c r="A574" s="1">
        <v>39</v>
      </c>
      <c r="B574" s="1">
        <v>2420</v>
      </c>
      <c r="C574" s="1" t="s">
        <v>814</v>
      </c>
      <c r="D574" s="1" t="s">
        <v>821</v>
      </c>
      <c r="E574" t="s">
        <v>1801</v>
      </c>
      <c r="F574" s="103"/>
      <c r="G574" s="103">
        <v>45</v>
      </c>
      <c r="H574" s="103"/>
      <c r="I574" s="103">
        <v>8</v>
      </c>
      <c r="J574" s="88"/>
      <c r="K574" s="88"/>
    </row>
    <row r="575" spans="1:11" ht="12.75" customHeight="1">
      <c r="A575" s="1">
        <v>39</v>
      </c>
      <c r="B575" s="1">
        <v>2660</v>
      </c>
      <c r="C575" s="1" t="s">
        <v>814</v>
      </c>
      <c r="D575" s="1" t="s">
        <v>822</v>
      </c>
      <c r="E575" t="s">
        <v>1802</v>
      </c>
      <c r="F575" s="103"/>
      <c r="G575" s="103">
        <v>223</v>
      </c>
      <c r="H575" s="103">
        <v>8</v>
      </c>
      <c r="I575" s="103">
        <v>24</v>
      </c>
      <c r="J575" s="156">
        <v>3047743</v>
      </c>
      <c r="K575" s="88"/>
    </row>
    <row r="576" spans="1:11" ht="12.75" customHeight="1">
      <c r="A576" s="1">
        <v>39</v>
      </c>
      <c r="B576" s="1">
        <v>3395</v>
      </c>
      <c r="C576" s="1" t="s">
        <v>814</v>
      </c>
      <c r="D576" s="1" t="s">
        <v>823</v>
      </c>
      <c r="E576" t="s">
        <v>1803</v>
      </c>
      <c r="F576" s="103"/>
      <c r="G576" s="103"/>
      <c r="H576" s="103">
        <v>28</v>
      </c>
      <c r="I576" s="103"/>
      <c r="J576" s="88"/>
      <c r="K576" s="88"/>
    </row>
    <row r="577" spans="1:11" ht="12.75" customHeight="1">
      <c r="A577" s="1">
        <v>39</v>
      </c>
      <c r="B577" s="1">
        <v>3470</v>
      </c>
      <c r="C577" s="1" t="s">
        <v>814</v>
      </c>
      <c r="D577" s="1" t="s">
        <v>824</v>
      </c>
      <c r="E577" t="s">
        <v>1804</v>
      </c>
      <c r="F577" s="103"/>
      <c r="G577" s="103">
        <v>22</v>
      </c>
      <c r="H577" s="103"/>
      <c r="I577" s="103"/>
      <c r="J577" s="88"/>
      <c r="K577" s="88"/>
    </row>
    <row r="578" spans="1:11" ht="12.75" customHeight="1">
      <c r="A578" s="1">
        <v>39</v>
      </c>
      <c r="B578" s="1">
        <v>3560</v>
      </c>
      <c r="C578" s="1" t="s">
        <v>814</v>
      </c>
      <c r="D578" s="1" t="s">
        <v>826</v>
      </c>
      <c r="E578" t="s">
        <v>1805</v>
      </c>
      <c r="F578" s="103"/>
      <c r="G578" s="103">
        <v>15</v>
      </c>
      <c r="H578" s="103">
        <v>6</v>
      </c>
      <c r="I578" s="103">
        <v>18</v>
      </c>
      <c r="J578" s="88"/>
      <c r="K578" s="88"/>
    </row>
    <row r="579" spans="1:11" ht="12.75" customHeight="1">
      <c r="A579" s="1">
        <v>39</v>
      </c>
      <c r="B579" s="1">
        <v>4160</v>
      </c>
      <c r="C579" s="1" t="s">
        <v>814</v>
      </c>
      <c r="D579" s="1" t="s">
        <v>827</v>
      </c>
      <c r="E579" t="s">
        <v>1806</v>
      </c>
      <c r="F579" s="103">
        <v>27</v>
      </c>
      <c r="G579" s="103"/>
      <c r="H579" s="103">
        <v>9</v>
      </c>
      <c r="I579" s="103"/>
      <c r="J579" s="156">
        <v>6170896</v>
      </c>
      <c r="K579" s="156">
        <v>7404850</v>
      </c>
    </row>
    <row r="580" spans="1:11" ht="12.75" customHeight="1">
      <c r="A580" s="1">
        <v>39</v>
      </c>
      <c r="B580" s="1">
        <v>4290</v>
      </c>
      <c r="C580" s="1" t="s">
        <v>814</v>
      </c>
      <c r="D580" s="1" t="s">
        <v>828</v>
      </c>
      <c r="E580" t="s">
        <v>1807</v>
      </c>
      <c r="F580" s="103"/>
      <c r="G580" s="103">
        <v>133</v>
      </c>
      <c r="H580" s="103">
        <v>6</v>
      </c>
      <c r="I580" s="103">
        <v>17</v>
      </c>
      <c r="J580" s="156">
        <v>1874684</v>
      </c>
      <c r="K580" s="88"/>
    </row>
    <row r="581" spans="1:11" ht="12.75" customHeight="1">
      <c r="A581" s="1">
        <v>39</v>
      </c>
      <c r="B581" s="1">
        <v>4540</v>
      </c>
      <c r="C581" s="1" t="s">
        <v>814</v>
      </c>
      <c r="D581" s="1" t="s">
        <v>829</v>
      </c>
      <c r="E581" t="s">
        <v>1808</v>
      </c>
      <c r="F581" s="103"/>
      <c r="G581" s="103"/>
      <c r="H581" s="103">
        <v>2</v>
      </c>
      <c r="I581" s="103"/>
      <c r="J581" s="156">
        <v>1459613</v>
      </c>
      <c r="K581" s="88"/>
    </row>
    <row r="582" spans="1:11" ht="12.75" customHeight="1">
      <c r="A582" s="1">
        <v>39</v>
      </c>
      <c r="B582" s="1">
        <v>4550</v>
      </c>
      <c r="C582" s="1" t="s">
        <v>814</v>
      </c>
      <c r="D582" s="1" t="s">
        <v>830</v>
      </c>
      <c r="E582" t="s">
        <v>1809</v>
      </c>
      <c r="F582" s="103"/>
      <c r="G582" s="103"/>
      <c r="H582" s="103"/>
      <c r="I582" s="103">
        <v>12</v>
      </c>
      <c r="J582" s="88"/>
      <c r="K582" s="88"/>
    </row>
    <row r="583" spans="1:11" ht="12.75" customHeight="1">
      <c r="A583" s="1">
        <v>39</v>
      </c>
      <c r="B583" s="1">
        <v>4670</v>
      </c>
      <c r="C583" s="1" t="s">
        <v>814</v>
      </c>
      <c r="D583" s="1" t="s">
        <v>831</v>
      </c>
      <c r="E583" t="s">
        <v>1810</v>
      </c>
      <c r="F583" s="103"/>
      <c r="G583" s="103">
        <v>71</v>
      </c>
      <c r="H583" s="103">
        <v>22</v>
      </c>
      <c r="I583" s="103">
        <v>56</v>
      </c>
      <c r="J583" s="88"/>
      <c r="K583" s="88"/>
    </row>
    <row r="584" spans="1:11" ht="12.75" customHeight="1">
      <c r="A584" s="1">
        <v>39</v>
      </c>
      <c r="B584" s="1">
        <v>5000</v>
      </c>
      <c r="C584" s="1" t="s">
        <v>814</v>
      </c>
      <c r="D584" s="1" t="s">
        <v>1268</v>
      </c>
      <c r="E584" t="s">
        <v>1811</v>
      </c>
      <c r="F584" s="103"/>
      <c r="G584" s="103">
        <v>114</v>
      </c>
      <c r="H584" s="103"/>
      <c r="I584" s="103">
        <v>16</v>
      </c>
      <c r="J584" s="88"/>
      <c r="K584" s="88"/>
    </row>
    <row r="585" spans="1:11" ht="12.75" customHeight="1">
      <c r="A585" s="1">
        <v>39</v>
      </c>
      <c r="B585" s="1">
        <v>5090</v>
      </c>
      <c r="C585" s="1" t="s">
        <v>814</v>
      </c>
      <c r="D585" s="1" t="s">
        <v>832</v>
      </c>
      <c r="E585" t="s">
        <v>1812</v>
      </c>
      <c r="F585" s="103">
        <v>2</v>
      </c>
      <c r="G585" s="103">
        <v>38</v>
      </c>
      <c r="H585" s="103">
        <v>5</v>
      </c>
      <c r="I585" s="103">
        <v>9</v>
      </c>
      <c r="J585" s="88"/>
      <c r="K585" s="88"/>
    </row>
    <row r="586" spans="1:11" ht="12.75" customHeight="1">
      <c r="A586" s="1">
        <v>39</v>
      </c>
      <c r="B586" s="1">
        <v>5245</v>
      </c>
      <c r="C586" s="1" t="s">
        <v>814</v>
      </c>
      <c r="D586" s="1" t="s">
        <v>833</v>
      </c>
      <c r="E586" t="s">
        <v>1813</v>
      </c>
      <c r="F586" s="103"/>
      <c r="G586" s="103"/>
      <c r="H586" s="103">
        <v>9</v>
      </c>
      <c r="I586" s="103"/>
      <c r="J586" s="88"/>
      <c r="K586" s="88"/>
    </row>
    <row r="587" spans="1:11" ht="12.75" customHeight="1">
      <c r="A587" s="1">
        <v>39</v>
      </c>
      <c r="B587" s="1">
        <v>5260</v>
      </c>
      <c r="C587" s="1" t="s">
        <v>814</v>
      </c>
      <c r="D587" s="1" t="s">
        <v>834</v>
      </c>
      <c r="E587" t="s">
        <v>1814</v>
      </c>
      <c r="F587" s="103"/>
      <c r="G587" s="103"/>
      <c r="H587" s="103"/>
      <c r="I587" s="103"/>
      <c r="J587" s="88"/>
      <c r="K587" s="88"/>
    </row>
    <row r="588" spans="1:11" ht="12.75" customHeight="1">
      <c r="A588" s="1">
        <v>39</v>
      </c>
      <c r="B588" s="1">
        <v>5290</v>
      </c>
      <c r="C588" s="1" t="s">
        <v>814</v>
      </c>
      <c r="D588" s="1" t="s">
        <v>1108</v>
      </c>
      <c r="E588" t="s">
        <v>1815</v>
      </c>
      <c r="F588" s="103"/>
      <c r="G588" s="103">
        <v>269</v>
      </c>
      <c r="H588" s="103">
        <v>3</v>
      </c>
      <c r="I588" s="103">
        <v>34</v>
      </c>
      <c r="J588" s="88"/>
      <c r="K588" s="88"/>
    </row>
    <row r="589" spans="1:11" ht="12.75" customHeight="1">
      <c r="A589" s="1">
        <v>39</v>
      </c>
      <c r="B589" s="1">
        <v>5730</v>
      </c>
      <c r="C589" s="1" t="s">
        <v>814</v>
      </c>
      <c r="D589" s="1" t="s">
        <v>835</v>
      </c>
      <c r="E589" t="s">
        <v>1816</v>
      </c>
      <c r="F589" s="103"/>
      <c r="G589" s="103"/>
      <c r="H589" s="103"/>
      <c r="I589" s="103">
        <v>38</v>
      </c>
      <c r="J589" s="88"/>
      <c r="K589" s="88"/>
    </row>
    <row r="590" spans="1:11" ht="12.75" customHeight="1">
      <c r="A590" s="1">
        <v>39</v>
      </c>
      <c r="B590" s="1">
        <v>5810</v>
      </c>
      <c r="C590" s="1" t="s">
        <v>814</v>
      </c>
      <c r="D590" s="1" t="s">
        <v>836</v>
      </c>
      <c r="E590" t="s">
        <v>1817</v>
      </c>
      <c r="F590" s="103"/>
      <c r="G590" s="103">
        <v>13</v>
      </c>
      <c r="H590" s="103"/>
      <c r="I590" s="103"/>
      <c r="J590" s="88"/>
      <c r="K590" s="88"/>
    </row>
    <row r="591" spans="1:11" ht="12.75" customHeight="1">
      <c r="A591" s="1">
        <v>41</v>
      </c>
      <c r="B591" s="1">
        <v>30</v>
      </c>
      <c r="C591" s="1" t="s">
        <v>837</v>
      </c>
      <c r="D591" s="1" t="s">
        <v>838</v>
      </c>
      <c r="E591" t="s">
        <v>1818</v>
      </c>
      <c r="F591" s="103"/>
      <c r="G591" s="103"/>
      <c r="H591" s="103"/>
      <c r="I591" s="103">
        <v>4</v>
      </c>
      <c r="J591" s="88"/>
      <c r="K591" s="88"/>
    </row>
    <row r="592" spans="1:11" ht="12.75" customHeight="1">
      <c r="A592" s="1">
        <v>41</v>
      </c>
      <c r="B592" s="1">
        <v>70</v>
      </c>
      <c r="C592" s="1" t="s">
        <v>837</v>
      </c>
      <c r="D592" s="1" t="s">
        <v>839</v>
      </c>
      <c r="E592" t="s">
        <v>1819</v>
      </c>
      <c r="F592" s="103"/>
      <c r="G592" s="103"/>
      <c r="H592" s="103"/>
      <c r="I592" s="103"/>
      <c r="J592" s="88"/>
      <c r="K592" s="88"/>
    </row>
    <row r="593" spans="1:11" ht="12.75" customHeight="1">
      <c r="A593" s="1">
        <v>41</v>
      </c>
      <c r="B593" s="1">
        <v>280</v>
      </c>
      <c r="C593" s="1" t="s">
        <v>837</v>
      </c>
      <c r="D593" s="1" t="s">
        <v>676</v>
      </c>
      <c r="E593" t="s">
        <v>1820</v>
      </c>
      <c r="F593" s="103"/>
      <c r="G593" s="103"/>
      <c r="H593" s="103"/>
      <c r="I593" s="103">
        <v>3</v>
      </c>
      <c r="J593" s="88"/>
      <c r="K593" s="88"/>
    </row>
    <row r="594" spans="1:11" ht="12.75" customHeight="1">
      <c r="A594" s="1">
        <v>41</v>
      </c>
      <c r="B594" s="1">
        <v>400</v>
      </c>
      <c r="C594" s="1" t="s">
        <v>837</v>
      </c>
      <c r="D594" s="1" t="s">
        <v>677</v>
      </c>
      <c r="E594" t="s">
        <v>1821</v>
      </c>
      <c r="F594" s="103"/>
      <c r="G594" s="103"/>
      <c r="H594" s="103">
        <v>4</v>
      </c>
      <c r="I594" s="103">
        <v>10</v>
      </c>
      <c r="J594" s="88"/>
      <c r="K594" s="88"/>
    </row>
    <row r="595" spans="1:11" ht="12.75" customHeight="1">
      <c r="A595" s="1">
        <v>41</v>
      </c>
      <c r="B595" s="1">
        <v>1620</v>
      </c>
      <c r="C595" s="1" t="s">
        <v>837</v>
      </c>
      <c r="D595" s="1" t="s">
        <v>1043</v>
      </c>
      <c r="E595" t="s">
        <v>1822</v>
      </c>
      <c r="F595" s="103">
        <v>4</v>
      </c>
      <c r="G595" s="103">
        <v>51</v>
      </c>
      <c r="H595" s="103"/>
      <c r="I595" s="103"/>
      <c r="J595" s="88"/>
      <c r="K595" s="88"/>
    </row>
    <row r="596" spans="1:11" ht="12.75" customHeight="1">
      <c r="A596" s="1">
        <v>41</v>
      </c>
      <c r="B596" s="1">
        <v>1670</v>
      </c>
      <c r="C596" s="1" t="s">
        <v>837</v>
      </c>
      <c r="D596" s="1" t="s">
        <v>678</v>
      </c>
      <c r="E596" t="s">
        <v>1823</v>
      </c>
      <c r="F596" s="103"/>
      <c r="G596" s="103">
        <v>12</v>
      </c>
      <c r="H596" s="103"/>
      <c r="I596" s="103"/>
      <c r="J596" s="88"/>
      <c r="K596" s="88"/>
    </row>
    <row r="597" spans="1:11" ht="12.75" customHeight="1">
      <c r="A597" s="1">
        <v>41</v>
      </c>
      <c r="B597" s="1">
        <v>1785</v>
      </c>
      <c r="C597" s="1" t="s">
        <v>837</v>
      </c>
      <c r="D597" s="1" t="s">
        <v>679</v>
      </c>
      <c r="E597" t="s">
        <v>1824</v>
      </c>
      <c r="F597" s="103"/>
      <c r="G597" s="103"/>
      <c r="H597" s="103"/>
      <c r="I597" s="103">
        <v>11</v>
      </c>
      <c r="J597" s="88"/>
      <c r="K597" s="88"/>
    </row>
    <row r="598" spans="1:11" ht="12.75" customHeight="1">
      <c r="A598" s="1">
        <v>41</v>
      </c>
      <c r="B598" s="1">
        <v>1840</v>
      </c>
      <c r="C598" s="1" t="s">
        <v>837</v>
      </c>
      <c r="D598" s="1" t="s">
        <v>1177</v>
      </c>
      <c r="E598" t="s">
        <v>1825</v>
      </c>
      <c r="F598" s="103"/>
      <c r="G598" s="103">
        <v>8</v>
      </c>
      <c r="H598" s="103"/>
      <c r="I598" s="103">
        <v>10</v>
      </c>
      <c r="J598" s="88"/>
      <c r="K598" s="88"/>
    </row>
    <row r="599" spans="1:11" ht="12.75" customHeight="1">
      <c r="A599" s="1">
        <v>41</v>
      </c>
      <c r="B599" s="1">
        <v>1870</v>
      </c>
      <c r="C599" s="1" t="s">
        <v>837</v>
      </c>
      <c r="D599" s="1" t="s">
        <v>680</v>
      </c>
      <c r="E599" t="s">
        <v>1826</v>
      </c>
      <c r="F599" s="103"/>
      <c r="G599" s="103"/>
      <c r="H599" s="103"/>
      <c r="I599" s="103">
        <v>8</v>
      </c>
      <c r="J599" s="88"/>
      <c r="K599" s="88"/>
    </row>
    <row r="600" spans="1:11" ht="12.75" customHeight="1">
      <c r="A600" s="1">
        <v>41</v>
      </c>
      <c r="B600" s="1">
        <v>2020</v>
      </c>
      <c r="C600" s="1" t="s">
        <v>837</v>
      </c>
      <c r="D600" s="1" t="s">
        <v>681</v>
      </c>
      <c r="E600"/>
      <c r="F600" s="103"/>
      <c r="G600" s="103"/>
      <c r="H600" s="103"/>
      <c r="I600" s="103"/>
      <c r="J600" s="88"/>
      <c r="K600" s="88"/>
    </row>
    <row r="601" spans="1:11" ht="12.75" customHeight="1">
      <c r="A601" s="1">
        <v>41</v>
      </c>
      <c r="B601" s="1">
        <v>2040</v>
      </c>
      <c r="C601" s="1" t="s">
        <v>837</v>
      </c>
      <c r="D601" s="1" t="s">
        <v>682</v>
      </c>
      <c r="E601" t="s">
        <v>1827</v>
      </c>
      <c r="F601" s="103"/>
      <c r="G601" s="103"/>
      <c r="H601" s="103"/>
      <c r="I601" s="103">
        <v>6</v>
      </c>
      <c r="J601" s="88"/>
      <c r="K601" s="88"/>
    </row>
    <row r="602" spans="1:11" ht="12.75" customHeight="1">
      <c r="A602" s="1">
        <v>41</v>
      </c>
      <c r="B602" s="1">
        <v>2250</v>
      </c>
      <c r="C602" s="1" t="s">
        <v>837</v>
      </c>
      <c r="D602" s="1" t="s">
        <v>683</v>
      </c>
      <c r="E602" t="s">
        <v>1828</v>
      </c>
      <c r="F602" s="103"/>
      <c r="G602" s="103">
        <v>18</v>
      </c>
      <c r="H602" s="103">
        <v>2</v>
      </c>
      <c r="I602" s="103"/>
      <c r="J602" s="88"/>
      <c r="K602" s="88"/>
    </row>
    <row r="603" spans="1:11" ht="12.75" customHeight="1">
      <c r="A603" s="1">
        <v>41</v>
      </c>
      <c r="B603" s="1">
        <v>2470</v>
      </c>
      <c r="C603" s="1" t="s">
        <v>837</v>
      </c>
      <c r="D603" s="1" t="s">
        <v>684</v>
      </c>
      <c r="E603" t="s">
        <v>1829</v>
      </c>
      <c r="F603" s="103"/>
      <c r="G603" s="103"/>
      <c r="H603" s="103"/>
      <c r="I603" s="103">
        <v>5</v>
      </c>
      <c r="J603" s="88"/>
      <c r="K603" s="88"/>
    </row>
    <row r="604" spans="1:11" ht="12.75" customHeight="1">
      <c r="A604" s="1">
        <v>41</v>
      </c>
      <c r="B604" s="1">
        <v>2790</v>
      </c>
      <c r="C604" s="1" t="s">
        <v>837</v>
      </c>
      <c r="D604" s="1" t="s">
        <v>685</v>
      </c>
      <c r="E604" t="s">
        <v>1830</v>
      </c>
      <c r="F604" s="103"/>
      <c r="G604" s="103">
        <v>11</v>
      </c>
      <c r="H604" s="103"/>
      <c r="I604" s="103">
        <v>6</v>
      </c>
      <c r="J604" s="88"/>
      <c r="K604" s="88"/>
    </row>
    <row r="605" spans="1:11" ht="12.75" customHeight="1">
      <c r="A605" s="1">
        <v>41</v>
      </c>
      <c r="B605" s="1">
        <v>2970</v>
      </c>
      <c r="C605" s="1" t="s">
        <v>837</v>
      </c>
      <c r="D605" s="1" t="s">
        <v>1468</v>
      </c>
      <c r="E605" t="s">
        <v>1831</v>
      </c>
      <c r="F605" s="103"/>
      <c r="G605" s="103">
        <v>9</v>
      </c>
      <c r="H605" s="103">
        <v>2</v>
      </c>
      <c r="I605" s="103">
        <v>1</v>
      </c>
      <c r="J605" s="88"/>
      <c r="K605" s="88"/>
    </row>
    <row r="606" spans="1:11" ht="12.75" customHeight="1">
      <c r="A606" s="1">
        <v>41</v>
      </c>
      <c r="B606" s="1">
        <v>3675</v>
      </c>
      <c r="C606" s="1" t="s">
        <v>837</v>
      </c>
      <c r="D606" s="1" t="s">
        <v>686</v>
      </c>
      <c r="E606" t="s">
        <v>1832</v>
      </c>
      <c r="F606" s="103"/>
      <c r="G606" s="103"/>
      <c r="H606" s="103"/>
      <c r="I606" s="103"/>
      <c r="J606" s="88"/>
      <c r="K606" s="88"/>
    </row>
    <row r="607" spans="1:11" ht="12.75" customHeight="1">
      <c r="A607" s="1">
        <v>41</v>
      </c>
      <c r="B607" s="1">
        <v>3890</v>
      </c>
      <c r="C607" s="1" t="s">
        <v>837</v>
      </c>
      <c r="D607" s="1" t="s">
        <v>687</v>
      </c>
      <c r="E607" t="s">
        <v>1833</v>
      </c>
      <c r="F607" s="103"/>
      <c r="G607" s="103"/>
      <c r="H607" s="103"/>
      <c r="I607" s="103">
        <v>5</v>
      </c>
      <c r="J607" s="88"/>
      <c r="K607" s="88"/>
    </row>
    <row r="608" spans="1:11" ht="12.75" customHeight="1">
      <c r="A608" s="1">
        <v>41</v>
      </c>
      <c r="B608" s="1">
        <v>4100</v>
      </c>
      <c r="C608" s="1" t="s">
        <v>837</v>
      </c>
      <c r="D608" s="1" t="s">
        <v>688</v>
      </c>
      <c r="E608" t="s">
        <v>1834</v>
      </c>
      <c r="F608" s="103">
        <v>192</v>
      </c>
      <c r="G608" s="103"/>
      <c r="H608" s="103"/>
      <c r="I608" s="103"/>
      <c r="J608" s="156">
        <v>3319524</v>
      </c>
      <c r="K608" s="88"/>
    </row>
    <row r="609" spans="1:11" ht="12.75" customHeight="1">
      <c r="A609" s="1">
        <v>41</v>
      </c>
      <c r="B609" s="1">
        <v>4200</v>
      </c>
      <c r="C609" s="1" t="s">
        <v>837</v>
      </c>
      <c r="D609" s="1" t="s">
        <v>689</v>
      </c>
      <c r="E609" t="s">
        <v>1835</v>
      </c>
      <c r="F609" s="103"/>
      <c r="G609" s="103"/>
      <c r="H609" s="103"/>
      <c r="I609" s="103"/>
      <c r="J609" s="88"/>
      <c r="K609" s="88"/>
    </row>
    <row r="610" spans="1:11" ht="12.75" customHeight="1">
      <c r="A610" s="1">
        <v>41</v>
      </c>
      <c r="B610" s="1">
        <v>5450</v>
      </c>
      <c r="C610" s="1" t="s">
        <v>837</v>
      </c>
      <c r="D610" s="1" t="s">
        <v>690</v>
      </c>
      <c r="E610" t="s">
        <v>1836</v>
      </c>
      <c r="F610" s="103"/>
      <c r="G610" s="103"/>
      <c r="H610" s="103"/>
      <c r="I610" s="103"/>
      <c r="J610" s="88"/>
      <c r="K610" s="88"/>
    </row>
    <row r="611" spans="1:11" ht="12.75" customHeight="1">
      <c r="A611" s="1">
        <v>41</v>
      </c>
      <c r="B611" s="1">
        <v>5460</v>
      </c>
      <c r="C611" s="1" t="s">
        <v>837</v>
      </c>
      <c r="D611" s="1" t="s">
        <v>691</v>
      </c>
      <c r="E611" t="s">
        <v>1837</v>
      </c>
      <c r="F611" s="103"/>
      <c r="G611" s="103"/>
      <c r="H611" s="103"/>
      <c r="I611" s="103"/>
      <c r="J611" s="88"/>
      <c r="K611" s="88"/>
    </row>
    <row r="612" spans="1:11" ht="12.75" customHeight="1">
      <c r="A612" s="1">
        <v>41</v>
      </c>
      <c r="B612" s="1">
        <v>5465</v>
      </c>
      <c r="C612" s="1" t="s">
        <v>837</v>
      </c>
      <c r="D612" s="1" t="s">
        <v>692</v>
      </c>
      <c r="E612" t="s">
        <v>1624</v>
      </c>
      <c r="F612" s="103"/>
      <c r="G612" s="103"/>
      <c r="H612" s="103"/>
      <c r="I612" s="103"/>
      <c r="J612" s="88"/>
      <c r="K612" s="88"/>
    </row>
    <row r="613" spans="1:11" ht="12.75" customHeight="1">
      <c r="A613" s="1">
        <v>41</v>
      </c>
      <c r="B613" s="1">
        <v>5480</v>
      </c>
      <c r="C613" s="1" t="s">
        <v>837</v>
      </c>
      <c r="D613" s="1" t="s">
        <v>693</v>
      </c>
      <c r="E613" t="s">
        <v>1625</v>
      </c>
      <c r="F613" s="103"/>
      <c r="G613" s="103"/>
      <c r="H613" s="103"/>
      <c r="I613" s="103">
        <v>4</v>
      </c>
      <c r="J613" s="88"/>
      <c r="K613" s="88"/>
    </row>
    <row r="614" spans="1:11" ht="12.75" customHeight="1">
      <c r="A614" s="1">
        <v>41</v>
      </c>
      <c r="B614" s="1">
        <v>5530</v>
      </c>
      <c r="C614" s="1" t="s">
        <v>837</v>
      </c>
      <c r="D614" s="1" t="s">
        <v>1270</v>
      </c>
      <c r="E614" t="s">
        <v>1626</v>
      </c>
      <c r="F614" s="103"/>
      <c r="G614" s="103">
        <v>14</v>
      </c>
      <c r="H614" s="103"/>
      <c r="I614" s="103">
        <v>8</v>
      </c>
      <c r="J614" s="88"/>
      <c r="K614" s="88"/>
    </row>
    <row r="615" spans="1:11" ht="12.75" customHeight="1">
      <c r="A615" s="1">
        <v>41</v>
      </c>
      <c r="B615" s="1">
        <v>5780</v>
      </c>
      <c r="C615" s="1" t="s">
        <v>837</v>
      </c>
      <c r="D615" s="1" t="s">
        <v>694</v>
      </c>
      <c r="E615" t="s">
        <v>1627</v>
      </c>
      <c r="F615" s="103"/>
      <c r="G615" s="103"/>
      <c r="H615" s="103"/>
      <c r="I615" s="103"/>
      <c r="J615" s="88"/>
      <c r="K615" s="88"/>
    </row>
    <row r="616" spans="1:11" ht="12.75" customHeight="1">
      <c r="A616" s="1">
        <v>80</v>
      </c>
      <c r="B616" s="1">
        <v>6010</v>
      </c>
      <c r="C616" s="9" t="s">
        <v>652</v>
      </c>
      <c r="D616" s="9" t="s">
        <v>651</v>
      </c>
      <c r="E616" s="14"/>
      <c r="F616" s="102"/>
      <c r="G616" s="102"/>
      <c r="H616" s="102"/>
      <c r="I616" s="102"/>
    </row>
    <row r="617" spans="1:11">
      <c r="A617" s="1">
        <v>80</v>
      </c>
      <c r="B617" s="1">
        <v>6018</v>
      </c>
      <c r="C617" s="9" t="s">
        <v>765</v>
      </c>
      <c r="D617" s="9" t="s">
        <v>660</v>
      </c>
      <c r="E617" s="15"/>
      <c r="F617" s="102"/>
      <c r="G617" s="102"/>
      <c r="H617" s="102"/>
      <c r="I617" s="102"/>
    </row>
    <row r="618" spans="1:11">
      <c r="A618" s="1">
        <v>80</v>
      </c>
      <c r="B618" s="1">
        <v>6212</v>
      </c>
      <c r="C618" s="9" t="s">
        <v>653</v>
      </c>
      <c r="D618" s="9" t="s">
        <v>654</v>
      </c>
      <c r="E618" s="15"/>
      <c r="F618" s="102"/>
      <c r="G618" s="102"/>
      <c r="H618" s="102"/>
      <c r="I618" s="102"/>
    </row>
    <row r="619" spans="1:11">
      <c r="A619" s="1">
        <v>80</v>
      </c>
      <c r="B619" s="1">
        <v>6215</v>
      </c>
      <c r="C619" s="9" t="s">
        <v>653</v>
      </c>
      <c r="D619" s="9" t="s">
        <v>655</v>
      </c>
      <c r="E619" s="15"/>
      <c r="F619" s="102"/>
      <c r="G619" s="102"/>
      <c r="H619" s="102"/>
      <c r="I619" s="102"/>
    </row>
    <row r="620" spans="1:11">
      <c r="A620" s="1">
        <v>80</v>
      </c>
      <c r="B620" s="1">
        <v>6217</v>
      </c>
      <c r="C620" s="9" t="s">
        <v>659</v>
      </c>
      <c r="D620" s="9" t="s">
        <v>658</v>
      </c>
      <c r="E620" s="15"/>
      <c r="F620" s="102"/>
      <c r="G620" s="102"/>
      <c r="H620" s="102"/>
      <c r="I620" s="102"/>
    </row>
    <row r="621" spans="1:11">
      <c r="A621" s="1">
        <v>80</v>
      </c>
      <c r="B621" s="1">
        <v>6220</v>
      </c>
      <c r="C621" s="2" t="s">
        <v>657</v>
      </c>
      <c r="D621" s="2" t="s">
        <v>656</v>
      </c>
      <c r="E621" s="22"/>
    </row>
    <row r="622" spans="1:11">
      <c r="A622" s="1">
        <v>80</v>
      </c>
      <c r="B622" s="1">
        <v>6230</v>
      </c>
      <c r="C622" s="14" t="s">
        <v>663</v>
      </c>
      <c r="D622" s="14" t="s">
        <v>664</v>
      </c>
      <c r="E622" s="15"/>
    </row>
    <row r="623" spans="1:11">
      <c r="A623" s="1">
        <v>80</v>
      </c>
      <c r="B623" s="1">
        <v>6232</v>
      </c>
      <c r="C623" s="9" t="s">
        <v>653</v>
      </c>
      <c r="D623" s="9" t="s">
        <v>559</v>
      </c>
      <c r="E623" s="15"/>
      <c r="J623" s="80">
        <v>141128</v>
      </c>
    </row>
    <row r="624" spans="1:11">
      <c r="A624" s="1">
        <v>80</v>
      </c>
      <c r="B624" s="1">
        <v>6235</v>
      </c>
      <c r="C624" s="2" t="s">
        <v>657</v>
      </c>
      <c r="D624" s="2" t="s">
        <v>576</v>
      </c>
      <c r="E624" s="22"/>
    </row>
    <row r="625" spans="1:10">
      <c r="A625" s="1">
        <v>80</v>
      </c>
      <c r="B625" s="1">
        <v>6240</v>
      </c>
      <c r="C625" s="9" t="s">
        <v>653</v>
      </c>
      <c r="D625" s="9" t="s">
        <v>560</v>
      </c>
      <c r="E625" s="15"/>
    </row>
    <row r="626" spans="1:10">
      <c r="A626" s="1">
        <v>80</v>
      </c>
      <c r="B626" s="1">
        <v>6320</v>
      </c>
      <c r="C626" s="16" t="s">
        <v>667</v>
      </c>
      <c r="D626" s="16" t="s">
        <v>666</v>
      </c>
      <c r="E626" s="22"/>
    </row>
    <row r="627" spans="1:10">
      <c r="A627" s="1">
        <v>80</v>
      </c>
      <c r="B627" s="1">
        <v>6325</v>
      </c>
      <c r="C627" s="14" t="s">
        <v>653</v>
      </c>
      <c r="D627" s="14" t="s">
        <v>665</v>
      </c>
      <c r="E627" s="22"/>
    </row>
    <row r="628" spans="1:10">
      <c r="A628" s="1">
        <v>80</v>
      </c>
      <c r="B628" s="1">
        <v>6410</v>
      </c>
      <c r="C628" s="14" t="s">
        <v>669</v>
      </c>
      <c r="D628" s="14" t="s">
        <v>668</v>
      </c>
      <c r="E628" s="22"/>
    </row>
    <row r="629" spans="1:10">
      <c r="A629" s="1">
        <v>80</v>
      </c>
      <c r="B629" s="1">
        <v>6420</v>
      </c>
      <c r="C629" s="14" t="s">
        <v>671</v>
      </c>
      <c r="D629" s="14" t="s">
        <v>670</v>
      </c>
      <c r="E629" s="22"/>
    </row>
    <row r="630" spans="1:10">
      <c r="A630" s="1">
        <v>80</v>
      </c>
      <c r="B630" s="1">
        <v>6425</v>
      </c>
      <c r="C630" s="18" t="s">
        <v>673</v>
      </c>
      <c r="D630" s="18" t="s">
        <v>672</v>
      </c>
      <c r="E630" s="22"/>
    </row>
    <row r="631" spans="1:10">
      <c r="A631" s="1">
        <v>80</v>
      </c>
      <c r="B631" s="1">
        <v>6430</v>
      </c>
      <c r="C631" s="14" t="s">
        <v>675</v>
      </c>
      <c r="D631" s="14" t="s">
        <v>674</v>
      </c>
      <c r="E631" s="15"/>
      <c r="J631" s="80">
        <v>118130</v>
      </c>
    </row>
    <row r="632" spans="1:10">
      <c r="A632" s="1">
        <v>80</v>
      </c>
      <c r="B632" s="1">
        <v>6612</v>
      </c>
      <c r="C632" s="14" t="s">
        <v>562</v>
      </c>
      <c r="D632" s="14" t="s">
        <v>561</v>
      </c>
      <c r="E632" s="15"/>
    </row>
    <row r="633" spans="1:10">
      <c r="A633" s="1">
        <v>80</v>
      </c>
      <c r="B633" s="1">
        <v>6635</v>
      </c>
      <c r="C633" s="14" t="s">
        <v>565</v>
      </c>
      <c r="D633" s="14" t="s">
        <v>564</v>
      </c>
      <c r="E633" s="22"/>
    </row>
    <row r="634" spans="1:10">
      <c r="A634" s="1">
        <v>80</v>
      </c>
      <c r="B634" s="1">
        <v>6665</v>
      </c>
      <c r="C634" s="16" t="s">
        <v>667</v>
      </c>
      <c r="D634" s="16" t="s">
        <v>563</v>
      </c>
      <c r="E634" s="22"/>
    </row>
    <row r="635" spans="1:10">
      <c r="A635" s="1">
        <v>80</v>
      </c>
      <c r="B635" s="1">
        <v>6720</v>
      </c>
      <c r="C635" s="14" t="s">
        <v>671</v>
      </c>
      <c r="D635" s="14" t="s">
        <v>567</v>
      </c>
      <c r="E635" s="22"/>
    </row>
    <row r="636" spans="1:10">
      <c r="A636" s="1">
        <v>80</v>
      </c>
      <c r="B636" s="1">
        <v>6740</v>
      </c>
      <c r="C636" s="14" t="s">
        <v>569</v>
      </c>
      <c r="D636" s="14" t="s">
        <v>568</v>
      </c>
      <c r="E636" s="22"/>
    </row>
    <row r="637" spans="1:10">
      <c r="A637" s="1">
        <v>80</v>
      </c>
      <c r="B637" s="1">
        <v>6810</v>
      </c>
      <c r="C637" s="18" t="s">
        <v>673</v>
      </c>
      <c r="D637" s="18" t="s">
        <v>570</v>
      </c>
      <c r="E637" s="22"/>
    </row>
    <row r="638" spans="1:10">
      <c r="A638" s="1">
        <v>80</v>
      </c>
      <c r="B638" s="1">
        <v>6910</v>
      </c>
      <c r="C638" s="2" t="s">
        <v>657</v>
      </c>
      <c r="D638" s="2" t="s">
        <v>571</v>
      </c>
      <c r="E638" s="22"/>
    </row>
    <row r="639" spans="1:10">
      <c r="A639" s="1">
        <v>80</v>
      </c>
      <c r="B639" s="1">
        <v>6915</v>
      </c>
      <c r="C639" s="2" t="s">
        <v>657</v>
      </c>
      <c r="D639" s="2" t="s">
        <v>572</v>
      </c>
      <c r="E639" s="22"/>
    </row>
    <row r="640" spans="1:10">
      <c r="A640" s="1">
        <v>80</v>
      </c>
      <c r="B640" s="1">
        <v>7100</v>
      </c>
      <c r="C640" s="16" t="s">
        <v>667</v>
      </c>
      <c r="D640" s="16" t="s">
        <v>573</v>
      </c>
      <c r="E640" s="22"/>
    </row>
    <row r="641" spans="1:10">
      <c r="A641" s="1">
        <v>80</v>
      </c>
      <c r="B641" s="1">
        <v>7109</v>
      </c>
      <c r="C641" s="14" t="s">
        <v>653</v>
      </c>
      <c r="D641" s="14" t="s">
        <v>574</v>
      </c>
      <c r="E641" s="22"/>
      <c r="J641" s="80">
        <v>582624</v>
      </c>
    </row>
    <row r="642" spans="1:10">
      <c r="A642" s="1">
        <v>80</v>
      </c>
      <c r="B642" s="1">
        <v>7115</v>
      </c>
      <c r="C642" s="2" t="s">
        <v>657</v>
      </c>
      <c r="D642" s="2" t="s">
        <v>575</v>
      </c>
      <c r="E642" s="26"/>
    </row>
    <row r="643" spans="1:10">
      <c r="A643" s="1">
        <v>80</v>
      </c>
      <c r="B643" s="1">
        <v>7210</v>
      </c>
      <c r="C643" s="16" t="s">
        <v>667</v>
      </c>
      <c r="D643" s="16" t="s">
        <v>578</v>
      </c>
      <c r="E643" s="26"/>
    </row>
    <row r="644" spans="1:10">
      <c r="A644" s="1">
        <v>80</v>
      </c>
      <c r="B644" s="1">
        <v>7280</v>
      </c>
      <c r="C644" s="16" t="s">
        <v>667</v>
      </c>
      <c r="D644" s="16" t="s">
        <v>566</v>
      </c>
      <c r="E644" s="22"/>
    </row>
    <row r="645" spans="1:10">
      <c r="A645" s="1">
        <v>80</v>
      </c>
      <c r="B645" s="1">
        <v>7290</v>
      </c>
      <c r="C645" s="16" t="s">
        <v>667</v>
      </c>
      <c r="D645" s="16" t="s">
        <v>579</v>
      </c>
      <c r="E645" s="22"/>
    </row>
    <row r="646" spans="1:10">
      <c r="A646" s="1">
        <v>80</v>
      </c>
      <c r="B646" s="1">
        <v>7320</v>
      </c>
      <c r="C646" s="16" t="s">
        <v>667</v>
      </c>
      <c r="D646" s="16" t="s">
        <v>580</v>
      </c>
      <c r="E646" s="22"/>
    </row>
    <row r="647" spans="1:10">
      <c r="A647" s="1">
        <v>80</v>
      </c>
      <c r="B647" s="1">
        <v>7325</v>
      </c>
      <c r="C647" s="16" t="s">
        <v>667</v>
      </c>
      <c r="D647" s="16" t="s">
        <v>600</v>
      </c>
      <c r="E647" s="22"/>
    </row>
    <row r="648" spans="1:10">
      <c r="A648" s="1">
        <v>80</v>
      </c>
      <c r="B648" s="1">
        <v>7410</v>
      </c>
      <c r="C648" s="14" t="s">
        <v>662</v>
      </c>
      <c r="D648" s="14" t="s">
        <v>661</v>
      </c>
      <c r="E648" s="15"/>
    </row>
    <row r="649" spans="1:10">
      <c r="A649" s="1">
        <v>80</v>
      </c>
      <c r="B649" s="1">
        <v>7420</v>
      </c>
      <c r="C649" s="14" t="s">
        <v>582</v>
      </c>
      <c r="D649" s="14" t="s">
        <v>581</v>
      </c>
      <c r="E649" s="15"/>
      <c r="F649" s="101">
        <v>19</v>
      </c>
    </row>
    <row r="650" spans="1:10">
      <c r="A650" s="1">
        <v>80</v>
      </c>
      <c r="B650" s="1">
        <v>7500</v>
      </c>
      <c r="C650" s="14" t="s">
        <v>584</v>
      </c>
      <c r="D650" s="14" t="s">
        <v>583</v>
      </c>
      <c r="E650" s="15"/>
    </row>
    <row r="651" spans="1:10">
      <c r="A651" s="1">
        <v>80</v>
      </c>
      <c r="B651" s="1">
        <v>7503</v>
      </c>
      <c r="C651" s="14" t="s">
        <v>548</v>
      </c>
      <c r="D651" s="14" t="s">
        <v>585</v>
      </c>
      <c r="E651" s="15"/>
    </row>
    <row r="652" spans="1:10">
      <c r="A652" s="1">
        <v>80</v>
      </c>
      <c r="B652" s="1">
        <v>7520</v>
      </c>
      <c r="C652" s="14" t="s">
        <v>587</v>
      </c>
      <c r="D652" s="14" t="s">
        <v>586</v>
      </c>
      <c r="E652" s="15"/>
    </row>
    <row r="653" spans="1:10">
      <c r="A653" s="1">
        <v>80</v>
      </c>
      <c r="B653" s="1">
        <v>7540</v>
      </c>
      <c r="C653" s="14" t="s">
        <v>589</v>
      </c>
      <c r="D653" s="14" t="s">
        <v>588</v>
      </c>
      <c r="E653" s="15"/>
    </row>
    <row r="654" spans="1:10">
      <c r="A654" s="1">
        <v>80</v>
      </c>
      <c r="B654" s="1">
        <v>7600</v>
      </c>
      <c r="C654" s="14" t="s">
        <v>659</v>
      </c>
      <c r="D654" s="14" t="s">
        <v>590</v>
      </c>
      <c r="E654" s="15"/>
    </row>
    <row r="655" spans="1:10">
      <c r="A655" s="1">
        <v>80</v>
      </c>
      <c r="B655" s="1">
        <v>7720</v>
      </c>
      <c r="C655" s="14" t="s">
        <v>592</v>
      </c>
      <c r="D655" s="14" t="s">
        <v>591</v>
      </c>
      <c r="E655" s="15"/>
      <c r="J655" s="80">
        <v>79189</v>
      </c>
    </row>
    <row r="656" spans="1:10">
      <c r="A656" s="1">
        <v>80</v>
      </c>
      <c r="B656" s="1">
        <v>7727</v>
      </c>
      <c r="C656" s="14" t="s">
        <v>594</v>
      </c>
      <c r="D656" s="14" t="s">
        <v>593</v>
      </c>
      <c r="E656" s="15"/>
    </row>
    <row r="657" spans="1:10">
      <c r="A657" s="1">
        <v>80</v>
      </c>
      <c r="B657" s="1">
        <v>7730</v>
      </c>
      <c r="C657" s="16" t="s">
        <v>667</v>
      </c>
      <c r="D657" s="16" t="s">
        <v>595</v>
      </c>
      <c r="E657" s="22"/>
      <c r="J657" s="80">
        <v>365036</v>
      </c>
    </row>
    <row r="658" spans="1:10">
      <c r="A658" s="1">
        <v>80</v>
      </c>
      <c r="B658" s="1">
        <v>7735</v>
      </c>
      <c r="C658" s="16" t="s">
        <v>667</v>
      </c>
      <c r="D658" s="16" t="s">
        <v>577</v>
      </c>
      <c r="E658" s="22"/>
    </row>
    <row r="659" spans="1:10">
      <c r="A659" s="1">
        <v>80</v>
      </c>
      <c r="B659" s="1">
        <v>7820</v>
      </c>
      <c r="C659" s="2" t="s">
        <v>657</v>
      </c>
      <c r="D659" s="2" t="s">
        <v>596</v>
      </c>
      <c r="E659" s="22"/>
    </row>
    <row r="660" spans="1:10">
      <c r="A660" s="1">
        <v>80</v>
      </c>
      <c r="B660" s="1">
        <v>7830</v>
      </c>
      <c r="C660" s="2" t="s">
        <v>657</v>
      </c>
      <c r="D660" s="2" t="s">
        <v>597</v>
      </c>
      <c r="E660" s="22"/>
    </row>
    <row r="661" spans="1:10">
      <c r="A661" s="1">
        <v>80</v>
      </c>
      <c r="B661" s="1">
        <v>7850</v>
      </c>
      <c r="C661" s="14" t="s">
        <v>599</v>
      </c>
      <c r="D661" s="14" t="s">
        <v>598</v>
      </c>
      <c r="E661" s="15"/>
    </row>
    <row r="662" spans="1:10">
      <c r="A662" s="1">
        <v>80</v>
      </c>
      <c r="B662" s="1">
        <v>7890</v>
      </c>
      <c r="C662" s="14" t="s">
        <v>602</v>
      </c>
      <c r="D662" s="14" t="s">
        <v>601</v>
      </c>
      <c r="E662" s="15"/>
    </row>
    <row r="663" spans="1:10">
      <c r="A663" s="1">
        <v>80</v>
      </c>
      <c r="B663" s="1">
        <v>7901</v>
      </c>
      <c r="C663" s="18" t="s">
        <v>673</v>
      </c>
      <c r="D663" s="18" t="s">
        <v>603</v>
      </c>
      <c r="E663" s="22"/>
    </row>
    <row r="664" spans="1:10">
      <c r="A664" s="1">
        <v>80</v>
      </c>
      <c r="B664" s="1">
        <v>8010</v>
      </c>
      <c r="C664" s="14" t="s">
        <v>659</v>
      </c>
      <c r="D664" s="14" t="s">
        <v>604</v>
      </c>
      <c r="E664" s="15"/>
    </row>
    <row r="665" spans="1:10">
      <c r="A665" s="1">
        <v>80</v>
      </c>
      <c r="B665" s="1">
        <v>8050</v>
      </c>
      <c r="C665" s="14" t="s">
        <v>606</v>
      </c>
      <c r="D665" s="14" t="s">
        <v>605</v>
      </c>
      <c r="E665" s="15"/>
    </row>
    <row r="666" spans="1:10">
      <c r="A666" s="1">
        <v>80</v>
      </c>
      <c r="B666" s="1">
        <v>8060</v>
      </c>
      <c r="C666" s="2" t="s">
        <v>657</v>
      </c>
      <c r="D666" s="2" t="s">
        <v>607</v>
      </c>
      <c r="E666" s="22"/>
    </row>
    <row r="667" spans="1:10">
      <c r="A667" s="1">
        <v>80</v>
      </c>
      <c r="B667" s="1">
        <v>8065</v>
      </c>
      <c r="C667" s="16" t="s">
        <v>667</v>
      </c>
      <c r="D667" s="16" t="s">
        <v>608</v>
      </c>
      <c r="E667" s="22"/>
    </row>
    <row r="668" spans="1:10">
      <c r="A668" s="1">
        <v>80</v>
      </c>
      <c r="B668" s="1">
        <v>8140</v>
      </c>
      <c r="C668" s="18" t="s">
        <v>673</v>
      </c>
      <c r="D668" s="18" t="s">
        <v>609</v>
      </c>
      <c r="E668" s="22"/>
    </row>
    <row r="669" spans="1:10" ht="25.5" customHeight="1">
      <c r="A669" s="2"/>
      <c r="B669" s="2"/>
      <c r="C669" s="2"/>
      <c r="D669" s="2"/>
      <c r="E669" s="22"/>
    </row>
    <row r="670" spans="1:10">
      <c r="E670" s="22"/>
    </row>
    <row r="671" spans="1:10">
      <c r="C671" s="13" t="s">
        <v>504</v>
      </c>
      <c r="D671" s="13"/>
      <c r="E671" s="22"/>
      <c r="F671" s="103"/>
      <c r="G671" s="103"/>
      <c r="H671" s="103"/>
      <c r="I671" s="103"/>
    </row>
    <row r="672" spans="1:10">
      <c r="C672" s="20" t="s">
        <v>503</v>
      </c>
      <c r="D672" s="20"/>
      <c r="E672" s="22"/>
      <c r="F672" s="103" t="s">
        <v>1942</v>
      </c>
      <c r="G672" s="103"/>
      <c r="H672" s="103"/>
      <c r="I672" s="103"/>
    </row>
    <row r="673" spans="3:3">
      <c r="C673" t="s">
        <v>825</v>
      </c>
    </row>
  </sheetData>
  <autoFilter ref="A2:I668"/>
  <phoneticPr fontId="2" type="noConversion"/>
  <pageMargins left="0.75" right="0.75" top="1" bottom="1" header="0.5" footer="0.5"/>
  <headerFooter alignWithMargins="0"/>
  <legacyDrawing r:id="rId1"/>
  <extLst>
    <ext xmlns:mx="http://schemas.microsoft.com/office/mac/excel/2008/main" uri="http://schemas.microsoft.com/office/mac/excel/2008/main">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EL672"/>
  <sheetViews>
    <sheetView workbookViewId="0">
      <pane ySplit="2" topLeftCell="A3" activePane="bottomLeft" state="frozen"/>
      <selection pane="bottomLeft" activeCell="B1" sqref="B1"/>
    </sheetView>
  </sheetViews>
  <sheetFormatPr baseColWidth="10" defaultColWidth="8.7109375" defaultRowHeight="13"/>
  <cols>
    <col min="1" max="1" width="3.5703125" style="26" hidden="1" customWidth="1"/>
    <col min="2" max="3" width="4.7109375" style="26" customWidth="1"/>
    <col min="4" max="4" width="28.5703125" style="22" customWidth="1"/>
    <col min="5" max="6" width="10.28515625" style="22" customWidth="1"/>
    <col min="7" max="18" width="8.140625" style="26" customWidth="1"/>
    <col min="19" max="27" width="8.7109375" style="26"/>
    <col min="28" max="28" width="10.28515625" style="26" customWidth="1"/>
    <col min="29" max="31" width="8.7109375" style="26"/>
    <col min="32" max="32" width="10.28515625" style="26" customWidth="1"/>
    <col min="33" max="57" width="8.7109375" style="26"/>
    <col min="58" max="58" width="13.85546875" style="26" customWidth="1"/>
    <col min="59" max="61" width="8.7109375" style="26"/>
    <col min="62" max="62" width="14.140625" style="26" customWidth="1"/>
    <col min="63" max="64" width="8.7109375" style="26"/>
    <col min="65" max="65" width="11" style="26" customWidth="1"/>
    <col min="66" max="84" width="8.7109375" style="26"/>
    <col min="85" max="85" width="11.42578125" style="26" customWidth="1"/>
    <col min="86" max="89" width="8.7109375" style="26"/>
    <col min="90" max="90" width="11" style="26" customWidth="1"/>
    <col min="91" max="16384" width="8.7109375" style="26"/>
  </cols>
  <sheetData>
    <row r="1" spans="1:142">
      <c r="R1" s="79"/>
      <c r="AG1" s="79"/>
      <c r="AK1" s="79"/>
      <c r="AR1" s="79"/>
      <c r="AT1" s="79"/>
      <c r="AY1" s="79"/>
      <c r="BT1" s="79"/>
      <c r="BV1" s="79"/>
      <c r="BW1" s="79"/>
      <c r="CB1" s="79"/>
      <c r="CC1" s="79"/>
      <c r="CH1" s="79"/>
      <c r="CK1" s="79"/>
      <c r="CT1" s="79"/>
      <c r="CU1" s="79"/>
      <c r="DB1" s="79"/>
      <c r="DF1" s="79"/>
      <c r="DN1" s="79"/>
      <c r="DO1" s="79"/>
      <c r="DP1" s="79"/>
      <c r="DR1" s="79"/>
      <c r="DS1" s="79"/>
      <c r="DU1" s="79"/>
      <c r="DV1" s="79"/>
      <c r="DW1" s="79"/>
      <c r="DX1" s="79"/>
      <c r="EC1" s="79"/>
      <c r="EF1" s="79"/>
      <c r="EI1" s="79"/>
      <c r="EL1" s="79"/>
    </row>
    <row r="2" spans="1:142">
      <c r="A2" s="80"/>
      <c r="B2" s="80"/>
      <c r="C2" s="80"/>
      <c r="D2" s="104"/>
      <c r="F2" s="8"/>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c r="CM2" s="79"/>
      <c r="CN2" s="79"/>
      <c r="CO2" s="79"/>
      <c r="CP2" s="79"/>
      <c r="CQ2" s="79"/>
      <c r="CT2" s="79"/>
      <c r="CU2" s="79"/>
      <c r="CV2" s="79"/>
      <c r="CW2" s="79"/>
      <c r="CX2" s="79"/>
      <c r="CY2" s="79"/>
      <c r="CZ2" s="79"/>
      <c r="DA2" s="80"/>
      <c r="DB2" s="79"/>
      <c r="DC2" s="79"/>
      <c r="DD2" s="79"/>
      <c r="DE2" s="79"/>
      <c r="DF2" s="79"/>
      <c r="DG2" s="79"/>
      <c r="DH2" s="79"/>
      <c r="DI2" s="79"/>
      <c r="DJ2" s="79"/>
      <c r="DK2" s="79"/>
      <c r="DL2" s="79"/>
      <c r="DM2" s="79"/>
      <c r="DN2" s="79"/>
      <c r="DO2" s="79"/>
      <c r="DP2" s="79"/>
      <c r="DQ2" s="79"/>
      <c r="DR2" s="79"/>
      <c r="DS2" s="79"/>
      <c r="DT2" s="79"/>
      <c r="DU2" s="79"/>
      <c r="DV2" s="79"/>
      <c r="DW2" s="79"/>
      <c r="DX2" s="79"/>
      <c r="DY2" s="79"/>
      <c r="DZ2" s="79"/>
      <c r="EA2" s="79"/>
      <c r="EB2" s="79"/>
      <c r="EC2" s="79"/>
      <c r="ED2" s="79"/>
      <c r="EE2" s="79"/>
      <c r="EF2" s="79"/>
      <c r="EG2" s="79"/>
      <c r="EH2" s="79"/>
      <c r="EI2" s="79"/>
      <c r="EJ2" s="79"/>
      <c r="EK2" s="79"/>
      <c r="EL2" s="79"/>
    </row>
    <row r="3" spans="1:142">
      <c r="A3" s="80"/>
      <c r="B3" s="80"/>
      <c r="C3" s="80"/>
      <c r="D3" s="104"/>
      <c r="F3" s="8"/>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80"/>
      <c r="BK3" s="80"/>
      <c r="BL3" s="80"/>
      <c r="BM3" s="80"/>
      <c r="BN3" s="80"/>
      <c r="BO3" s="80"/>
      <c r="BP3" s="80"/>
      <c r="BQ3" s="80"/>
      <c r="BR3" s="80"/>
      <c r="BS3" s="80"/>
      <c r="BT3" s="80"/>
      <c r="BU3" s="80"/>
      <c r="BV3" s="80"/>
      <c r="BW3" s="80"/>
      <c r="BX3" s="80"/>
      <c r="BY3" s="80"/>
      <c r="BZ3" s="80"/>
      <c r="CA3" s="80"/>
      <c r="CB3" s="80"/>
      <c r="CC3" s="80"/>
      <c r="CD3" s="80"/>
      <c r="CE3" s="80"/>
      <c r="CF3" s="80"/>
      <c r="CG3" s="80"/>
      <c r="CH3" s="80"/>
      <c r="CI3" s="80"/>
      <c r="CJ3" s="80"/>
      <c r="CK3" s="80"/>
      <c r="CL3" s="80"/>
      <c r="CM3" s="80"/>
      <c r="CN3" s="80"/>
      <c r="CO3" s="80"/>
      <c r="CP3" s="80"/>
      <c r="CQ3" s="80"/>
      <c r="CR3" s="80"/>
      <c r="CS3" s="80"/>
      <c r="CT3" s="80"/>
      <c r="CU3" s="80"/>
      <c r="CV3" s="80"/>
      <c r="CW3" s="80"/>
      <c r="CX3" s="80"/>
      <c r="CY3" s="80"/>
      <c r="CZ3" s="80"/>
      <c r="DA3" s="80"/>
      <c r="DB3" s="80"/>
      <c r="DC3" s="80"/>
      <c r="DD3" s="80"/>
      <c r="DE3" s="80"/>
      <c r="DF3" s="80"/>
      <c r="DG3" s="80"/>
      <c r="DH3" s="80"/>
      <c r="DI3" s="80"/>
      <c r="DJ3" s="80"/>
      <c r="DK3" s="80"/>
      <c r="DL3" s="80"/>
      <c r="DM3" s="80"/>
      <c r="DN3" s="80"/>
      <c r="DO3" s="80"/>
      <c r="DP3" s="80"/>
      <c r="DQ3" s="80"/>
      <c r="DR3" s="80"/>
      <c r="DS3" s="80"/>
      <c r="DT3" s="80"/>
      <c r="DU3" s="80"/>
      <c r="DV3" s="80"/>
      <c r="DW3" s="80"/>
      <c r="DX3" s="80"/>
      <c r="DY3" s="80"/>
      <c r="DZ3" s="80"/>
      <c r="EA3" s="80"/>
      <c r="EB3" s="80"/>
      <c r="EC3" s="80"/>
      <c r="ED3" s="80"/>
      <c r="EE3" s="80"/>
      <c r="EF3" s="80"/>
      <c r="EG3" s="80"/>
      <c r="EH3" s="80"/>
      <c r="EI3" s="80"/>
      <c r="EJ3" s="80"/>
      <c r="EK3" s="80"/>
      <c r="EL3" s="80"/>
    </row>
    <row r="4" spans="1:142" ht="12.75" customHeight="1">
      <c r="A4" s="80"/>
      <c r="B4" s="80"/>
      <c r="C4" s="80"/>
      <c r="D4" s="104"/>
      <c r="E4" s="26"/>
      <c r="F4" s="26"/>
      <c r="G4" s="80"/>
      <c r="H4" s="80"/>
      <c r="I4" s="80"/>
      <c r="J4" s="80"/>
      <c r="K4" s="80"/>
      <c r="L4" s="158"/>
      <c r="M4" s="80"/>
      <c r="N4" s="80"/>
      <c r="O4" s="80"/>
      <c r="P4" s="80"/>
      <c r="Q4" s="158"/>
      <c r="AB4" s="80"/>
      <c r="AF4" s="80"/>
      <c r="AL4" s="80"/>
      <c r="AP4" s="80"/>
      <c r="AW4" s="80"/>
      <c r="AX4" s="80"/>
      <c r="AZ4" s="80"/>
      <c r="BF4" s="159"/>
      <c r="BJ4" s="80"/>
      <c r="BQ4" s="80"/>
      <c r="BR4" s="80"/>
      <c r="BS4" s="80"/>
      <c r="BZ4" s="80"/>
      <c r="CA4" s="80"/>
      <c r="CD4" s="80"/>
      <c r="CE4" s="80"/>
      <c r="CF4" s="80"/>
      <c r="CG4" s="159"/>
      <c r="CL4" s="158"/>
      <c r="CW4" s="80"/>
      <c r="CY4" s="80"/>
      <c r="CZ4" s="158"/>
      <c r="DA4" s="80"/>
      <c r="DE4" s="80"/>
      <c r="DI4" s="80"/>
      <c r="DJ4" s="158"/>
      <c r="DN4" s="158"/>
      <c r="DR4" s="80"/>
      <c r="DS4" s="80"/>
      <c r="DU4" s="80"/>
      <c r="DV4" s="159"/>
      <c r="DW4" s="80"/>
      <c r="DX4" s="159"/>
      <c r="EC4" s="158"/>
      <c r="EF4" s="80"/>
      <c r="EI4" s="80"/>
      <c r="EK4" s="160"/>
      <c r="EL4" s="80"/>
    </row>
    <row r="5" spans="1:142" ht="12.75" customHeight="1">
      <c r="A5" s="80"/>
      <c r="B5" s="80"/>
      <c r="C5" s="80"/>
      <c r="D5" s="104"/>
      <c r="E5" s="26"/>
      <c r="F5" s="26"/>
      <c r="H5" s="80"/>
      <c r="I5" s="80"/>
      <c r="J5" s="80"/>
      <c r="K5" s="80"/>
      <c r="L5" s="80"/>
      <c r="M5" s="80"/>
      <c r="O5" s="80"/>
      <c r="P5" s="80"/>
      <c r="Q5" s="80"/>
      <c r="R5" s="80"/>
      <c r="AF5" s="80"/>
      <c r="AK5" s="80"/>
      <c r="AP5" s="80"/>
      <c r="AZ5" s="80"/>
      <c r="BF5" s="80"/>
      <c r="BQ5" s="80"/>
      <c r="BR5" s="80"/>
      <c r="BS5" s="80"/>
      <c r="BW5" s="80"/>
      <c r="BZ5" s="80"/>
      <c r="CA5" s="80"/>
      <c r="CB5" s="80"/>
      <c r="CC5" s="80"/>
      <c r="CD5" s="80"/>
      <c r="CE5" s="80"/>
      <c r="CG5" s="80"/>
      <c r="CH5" s="80"/>
      <c r="CK5" s="80"/>
      <c r="CL5" s="80"/>
      <c r="CT5" s="80"/>
      <c r="CU5" s="80"/>
      <c r="CY5" s="80"/>
      <c r="CZ5" s="80"/>
      <c r="DA5" s="80"/>
      <c r="DB5" s="80"/>
      <c r="DE5" s="80"/>
      <c r="DF5" s="80"/>
      <c r="DI5" s="80"/>
      <c r="DJ5" s="80"/>
      <c r="DN5" s="80"/>
      <c r="DO5" s="80"/>
      <c r="DP5" s="80"/>
      <c r="DR5" s="80"/>
      <c r="DV5" s="80"/>
      <c r="DW5" s="80"/>
      <c r="DX5" s="80"/>
      <c r="EC5" s="80"/>
      <c r="EL5" s="80"/>
    </row>
    <row r="6" spans="1:142" ht="12.75" customHeight="1">
      <c r="A6" s="80"/>
      <c r="B6" s="80"/>
      <c r="C6" s="80"/>
      <c r="D6" s="104"/>
      <c r="E6" s="26"/>
      <c r="F6" s="26"/>
      <c r="H6" s="80"/>
      <c r="I6" s="80"/>
      <c r="J6" s="80"/>
      <c r="L6" s="80"/>
      <c r="M6" s="80"/>
      <c r="N6" s="80"/>
      <c r="Q6" s="80"/>
      <c r="AG6" s="80"/>
      <c r="AR6" s="80"/>
      <c r="AT6" s="80"/>
      <c r="AY6" s="80"/>
      <c r="AZ6" s="80"/>
      <c r="BF6" s="80"/>
      <c r="BJ6" s="80"/>
      <c r="BR6" s="80"/>
      <c r="BT6" s="80"/>
      <c r="BV6" s="80"/>
      <c r="BW6" s="80"/>
      <c r="BX6" s="80"/>
      <c r="CA6" s="80"/>
      <c r="CB6" s="80"/>
      <c r="CD6" s="80"/>
      <c r="CE6" s="80"/>
      <c r="CG6" s="80"/>
      <c r="CL6" s="80"/>
      <c r="CN6" s="80"/>
      <c r="CO6" s="80"/>
      <c r="CU6" s="80"/>
      <c r="CY6" s="80"/>
      <c r="CZ6" s="80"/>
      <c r="DA6" s="80"/>
      <c r="DF6" s="80"/>
      <c r="DG6" s="80"/>
      <c r="DI6" s="80"/>
      <c r="DJ6" s="80"/>
      <c r="DN6" s="80"/>
      <c r="EG6" s="80"/>
      <c r="EK6" s="80"/>
      <c r="EL6" s="80"/>
    </row>
    <row r="7" spans="1:142" ht="12.75" customHeight="1">
      <c r="A7" s="80"/>
      <c r="B7" s="80"/>
      <c r="C7" s="80"/>
      <c r="D7" s="104"/>
      <c r="E7" s="26"/>
      <c r="F7" s="26"/>
      <c r="H7" s="80"/>
      <c r="K7" s="80"/>
      <c r="L7" s="80"/>
      <c r="M7" s="80"/>
      <c r="N7" s="80"/>
      <c r="O7" s="80"/>
      <c r="Q7" s="80"/>
      <c r="AG7" s="80"/>
      <c r="AR7" s="80"/>
      <c r="AT7" s="80"/>
      <c r="AU7" s="80"/>
      <c r="AZ7" s="80"/>
      <c r="BF7" s="80"/>
      <c r="CD7" s="80"/>
      <c r="CE7" s="80"/>
      <c r="CG7" s="80"/>
      <c r="CI7" s="80"/>
      <c r="CK7" s="80"/>
      <c r="CL7" s="80"/>
      <c r="CN7" s="80"/>
      <c r="CO7" s="80"/>
      <c r="CY7" s="80"/>
      <c r="CZ7" s="80"/>
      <c r="DE7" s="80"/>
      <c r="DJ7" s="80"/>
      <c r="DN7" s="80"/>
      <c r="EL7" s="80"/>
    </row>
    <row r="8" spans="1:142" ht="12.75" customHeight="1">
      <c r="A8" s="80"/>
      <c r="B8" s="80"/>
      <c r="C8" s="80"/>
      <c r="D8" s="104"/>
      <c r="E8" s="26"/>
      <c r="F8" s="26"/>
      <c r="I8" s="80"/>
      <c r="J8" s="80"/>
      <c r="K8" s="80"/>
      <c r="L8" s="80"/>
      <c r="M8" s="80"/>
      <c r="Q8" s="80"/>
      <c r="AF8" s="80"/>
      <c r="AZ8" s="80"/>
      <c r="BF8" s="80"/>
      <c r="BQ8" s="80"/>
      <c r="BR8" s="80"/>
      <c r="BS8" s="80"/>
      <c r="CA8" s="80"/>
      <c r="CB8" s="80"/>
      <c r="CD8" s="80"/>
      <c r="CE8" s="80"/>
      <c r="CF8" s="80"/>
      <c r="CG8" s="80"/>
      <c r="CL8" s="80"/>
      <c r="CN8" s="80"/>
      <c r="CO8" s="80"/>
      <c r="CT8" s="80"/>
      <c r="CU8" s="80"/>
      <c r="CY8" s="80"/>
      <c r="CZ8" s="80"/>
      <c r="DA8" s="80"/>
      <c r="DE8" s="80"/>
      <c r="DI8" s="80"/>
      <c r="DJ8" s="80"/>
      <c r="DN8" s="80"/>
      <c r="EG8" s="80"/>
      <c r="EK8" s="80"/>
      <c r="EL8" s="80"/>
    </row>
    <row r="9" spans="1:142" ht="12.75" customHeight="1">
      <c r="A9" s="80"/>
      <c r="B9" s="80"/>
      <c r="C9" s="80"/>
      <c r="D9" s="104"/>
      <c r="E9" s="26"/>
      <c r="F9" s="26"/>
      <c r="H9" s="80"/>
      <c r="I9" s="80"/>
      <c r="K9" s="80"/>
      <c r="L9" s="80"/>
      <c r="M9" s="80"/>
      <c r="N9" s="80"/>
      <c r="O9" s="80"/>
      <c r="P9" s="80"/>
      <c r="Q9" s="80"/>
      <c r="AF9" s="80"/>
      <c r="AL9" s="80"/>
      <c r="AN9" s="80"/>
      <c r="AP9" s="80"/>
      <c r="AW9" s="80"/>
      <c r="AX9" s="80"/>
      <c r="AZ9" s="80"/>
      <c r="BF9" s="80"/>
      <c r="BJ9" s="80"/>
      <c r="BQ9" s="80"/>
      <c r="BR9" s="80"/>
      <c r="BS9" s="80"/>
      <c r="BT9" s="80"/>
      <c r="BZ9" s="80"/>
      <c r="CA9" s="80"/>
      <c r="CB9" s="80"/>
      <c r="CD9" s="80"/>
      <c r="CE9" s="80"/>
      <c r="CF9" s="80"/>
      <c r="CG9" s="80"/>
      <c r="CI9" s="80"/>
      <c r="CK9" s="80"/>
      <c r="CL9" s="80"/>
      <c r="CN9" s="80"/>
      <c r="CO9" s="80"/>
      <c r="CT9" s="80"/>
      <c r="CU9" s="80"/>
      <c r="CY9" s="80"/>
      <c r="CZ9" s="80"/>
      <c r="DA9" s="80"/>
      <c r="DE9" s="80"/>
      <c r="DI9" s="80"/>
      <c r="DJ9" s="80"/>
      <c r="DN9" s="80"/>
      <c r="DO9" s="80"/>
      <c r="DR9" s="80"/>
      <c r="DV9" s="80"/>
      <c r="DW9" s="80"/>
      <c r="DX9" s="80"/>
      <c r="EC9" s="80"/>
      <c r="EJ9" s="80"/>
      <c r="EK9" s="80"/>
      <c r="EL9" s="80"/>
    </row>
    <row r="10" spans="1:142" ht="12.75" customHeight="1">
      <c r="A10" s="80"/>
      <c r="B10" s="80"/>
      <c r="C10" s="80"/>
      <c r="D10" s="104"/>
      <c r="E10" s="26"/>
      <c r="F10" s="26"/>
      <c r="I10" s="80"/>
      <c r="L10" s="80"/>
      <c r="M10" s="80"/>
      <c r="N10" s="80"/>
      <c r="Q10" s="80"/>
      <c r="AE10" s="80"/>
      <c r="AF10" s="80"/>
      <c r="AZ10" s="80"/>
      <c r="BA10" s="80"/>
      <c r="BF10" s="80"/>
      <c r="BJ10" s="80"/>
      <c r="BQ10" s="80"/>
      <c r="BR10" s="80"/>
      <c r="CA10" s="80"/>
      <c r="CB10" s="80"/>
      <c r="CD10" s="80"/>
      <c r="CG10" s="80"/>
      <c r="CL10" s="80"/>
      <c r="EL10" s="80"/>
    </row>
    <row r="11" spans="1:142" ht="12.75" customHeight="1">
      <c r="A11" s="80"/>
      <c r="B11" s="80"/>
      <c r="C11" s="80"/>
      <c r="D11" s="104"/>
      <c r="E11" s="26"/>
      <c r="F11" s="26"/>
      <c r="H11" s="80"/>
      <c r="I11" s="80"/>
      <c r="J11" s="80"/>
      <c r="K11" s="80"/>
      <c r="L11" s="80"/>
      <c r="M11" s="80"/>
      <c r="P11" s="80"/>
      <c r="Q11" s="80"/>
      <c r="R11" s="80"/>
      <c r="AF11" s="80"/>
      <c r="AL11" s="80"/>
      <c r="AP11" s="80"/>
      <c r="AX11" s="80"/>
      <c r="AZ11" s="80"/>
      <c r="BF11" s="80"/>
      <c r="BJ11" s="80"/>
      <c r="BK11" s="80"/>
      <c r="BQ11" s="80"/>
      <c r="BR11" s="80"/>
      <c r="BS11" s="80"/>
      <c r="BT11" s="80"/>
      <c r="BZ11" s="80"/>
      <c r="CA11" s="80"/>
      <c r="CB11" s="80"/>
      <c r="CC11" s="80"/>
      <c r="CD11" s="80"/>
      <c r="CE11" s="80"/>
      <c r="CG11" s="80"/>
      <c r="CI11" s="80"/>
      <c r="CK11" s="80"/>
      <c r="CL11" s="80"/>
      <c r="CT11" s="80"/>
      <c r="CU11" s="80"/>
      <c r="CY11" s="80"/>
      <c r="CZ11" s="80"/>
      <c r="DA11" s="80"/>
      <c r="DE11" s="80"/>
      <c r="DI11" s="80"/>
      <c r="DJ11" s="80"/>
      <c r="DN11" s="80"/>
      <c r="EL11" s="80"/>
    </row>
    <row r="12" spans="1:142" ht="12.75" customHeight="1">
      <c r="A12" s="80"/>
      <c r="B12" s="80"/>
      <c r="C12" s="80"/>
      <c r="D12" s="104"/>
      <c r="E12" s="26"/>
      <c r="F12" s="26"/>
      <c r="H12" s="80"/>
      <c r="I12" s="80"/>
      <c r="J12" s="80"/>
      <c r="K12" s="80"/>
      <c r="L12" s="80"/>
      <c r="M12" s="80"/>
      <c r="N12" s="80"/>
      <c r="O12" s="80"/>
      <c r="P12" s="80"/>
      <c r="Q12" s="80"/>
      <c r="R12" s="80"/>
      <c r="AC12" s="80"/>
      <c r="AF12" s="80"/>
      <c r="AK12" s="80"/>
      <c r="AP12" s="80"/>
      <c r="AZ12" s="80"/>
      <c r="BF12" s="80"/>
      <c r="BJ12" s="80"/>
      <c r="BQ12" s="80"/>
      <c r="BR12" s="80"/>
      <c r="BS12" s="80"/>
      <c r="CA12" s="80"/>
      <c r="CB12" s="80"/>
      <c r="CC12" s="80"/>
      <c r="CD12" s="80"/>
      <c r="CE12" s="80"/>
      <c r="CG12" s="80"/>
      <c r="CI12" s="80"/>
      <c r="CK12" s="80"/>
      <c r="CL12" s="80"/>
      <c r="CN12" s="80"/>
      <c r="CO12" s="80"/>
      <c r="CU12" s="80"/>
      <c r="CW12" s="80"/>
      <c r="CY12" s="80"/>
      <c r="CZ12" s="80"/>
      <c r="DA12" s="80"/>
      <c r="DE12" s="80"/>
      <c r="DF12" s="80"/>
      <c r="DI12" s="80"/>
      <c r="DJ12" s="80"/>
      <c r="DN12" s="80"/>
      <c r="DR12" s="80"/>
      <c r="DV12" s="80"/>
      <c r="DW12" s="80"/>
      <c r="DX12" s="80"/>
      <c r="EC12" s="80"/>
      <c r="EI12" s="80"/>
      <c r="EJ12" s="80"/>
      <c r="EK12" s="80"/>
      <c r="EL12" s="80"/>
    </row>
    <row r="13" spans="1:142" ht="12.75" customHeight="1">
      <c r="A13" s="80"/>
      <c r="B13" s="80"/>
      <c r="C13" s="80"/>
      <c r="D13" s="104"/>
      <c r="E13" s="26"/>
      <c r="F13" s="26"/>
      <c r="H13" s="80"/>
      <c r="I13" s="80"/>
      <c r="J13" s="80"/>
      <c r="K13" s="80"/>
      <c r="L13" s="80"/>
      <c r="M13" s="80"/>
      <c r="N13" s="80"/>
      <c r="O13" s="80"/>
      <c r="P13" s="80"/>
      <c r="Q13" s="80"/>
      <c r="AB13" s="80"/>
      <c r="AF13" s="80"/>
      <c r="AX13" s="80"/>
      <c r="AZ13" s="80"/>
      <c r="BF13" s="80"/>
      <c r="BJ13" s="80"/>
      <c r="BQ13" s="80"/>
      <c r="BR13" s="80"/>
      <c r="CA13" s="80"/>
      <c r="CB13" s="80"/>
      <c r="CD13" s="80"/>
      <c r="CE13" s="80"/>
      <c r="CG13" s="80"/>
      <c r="CL13" s="80"/>
      <c r="CW13" s="80"/>
      <c r="CZ13" s="80"/>
      <c r="DA13" s="80"/>
      <c r="DE13" s="80"/>
      <c r="DI13" s="80"/>
      <c r="DJ13" s="80"/>
      <c r="DN13" s="80"/>
      <c r="DR13" s="80"/>
      <c r="DV13" s="80"/>
      <c r="DW13" s="80"/>
      <c r="DX13" s="80"/>
      <c r="EC13" s="80"/>
      <c r="EI13" s="80"/>
      <c r="EK13" s="80"/>
      <c r="EL13" s="80"/>
    </row>
    <row r="14" spans="1:142" ht="12.75" customHeight="1">
      <c r="A14" s="80"/>
      <c r="B14" s="80"/>
      <c r="C14" s="80"/>
      <c r="D14" s="104"/>
      <c r="E14" s="26"/>
      <c r="F14" s="26"/>
      <c r="H14" s="80"/>
      <c r="I14" s="80"/>
      <c r="J14" s="80"/>
      <c r="K14" s="80"/>
      <c r="L14" s="80"/>
      <c r="M14" s="80"/>
      <c r="N14" s="80"/>
      <c r="O14" s="80"/>
      <c r="P14" s="80"/>
      <c r="Q14" s="80"/>
      <c r="AB14" s="80"/>
      <c r="AF14" s="80"/>
      <c r="AZ14" s="80"/>
      <c r="BF14" s="80"/>
      <c r="BJ14" s="80"/>
      <c r="BL14" s="80"/>
      <c r="BQ14" s="80"/>
      <c r="BR14" s="80"/>
      <c r="BT14" s="80"/>
      <c r="BZ14" s="80"/>
      <c r="CA14" s="80"/>
      <c r="CB14" s="80"/>
      <c r="CC14" s="80"/>
      <c r="CD14" s="80"/>
      <c r="CE14" s="80"/>
      <c r="CG14" s="80"/>
      <c r="CL14" s="80"/>
      <c r="CT14" s="80"/>
      <c r="CU14" s="80"/>
      <c r="CW14" s="80"/>
      <c r="CY14" s="80"/>
      <c r="CZ14" s="80"/>
      <c r="DA14" s="80"/>
      <c r="DB14" s="80"/>
      <c r="DE14" s="80"/>
      <c r="DI14" s="80"/>
      <c r="DJ14" s="80"/>
      <c r="DN14" s="80"/>
      <c r="DR14" s="80"/>
      <c r="DV14" s="80"/>
      <c r="DX14" s="80"/>
      <c r="EC14" s="80"/>
      <c r="ED14" s="80"/>
      <c r="EI14" s="80"/>
      <c r="EK14" s="80"/>
      <c r="EL14" s="80"/>
    </row>
    <row r="15" spans="1:142" ht="12.75" customHeight="1">
      <c r="A15" s="80"/>
      <c r="B15" s="80"/>
      <c r="C15" s="80"/>
      <c r="D15" s="104"/>
      <c r="E15" s="26"/>
      <c r="F15" s="26"/>
      <c r="H15" s="80"/>
      <c r="I15" s="80"/>
      <c r="J15" s="80"/>
      <c r="K15" s="80"/>
      <c r="L15" s="80"/>
      <c r="M15" s="80"/>
      <c r="N15" s="80"/>
      <c r="O15" s="80"/>
      <c r="P15" s="80"/>
      <c r="Q15" s="80"/>
      <c r="R15" s="80"/>
      <c r="S15" s="80"/>
      <c r="X15" s="80"/>
      <c r="AB15" s="80"/>
      <c r="AF15" s="80"/>
      <c r="AL15" s="80"/>
      <c r="AP15" s="80"/>
      <c r="AX15" s="80"/>
      <c r="AZ15" s="80"/>
      <c r="BF15" s="80"/>
      <c r="BJ15" s="80"/>
      <c r="BQ15" s="80"/>
      <c r="BR15" s="80"/>
      <c r="BS15" s="80"/>
      <c r="BT15" s="80"/>
      <c r="BZ15" s="80"/>
      <c r="CA15" s="80"/>
      <c r="CB15" s="80"/>
      <c r="CD15" s="80"/>
      <c r="CE15" s="80"/>
      <c r="CF15" s="80"/>
      <c r="CG15" s="80"/>
      <c r="CI15" s="80"/>
      <c r="CK15" s="80"/>
      <c r="CL15" s="80"/>
      <c r="CN15" s="80"/>
      <c r="CO15" s="80"/>
      <c r="CU15" s="80"/>
      <c r="CW15" s="80"/>
      <c r="CY15" s="80"/>
      <c r="CZ15" s="80"/>
      <c r="DA15" s="80"/>
      <c r="DE15" s="80"/>
      <c r="DI15" s="80"/>
      <c r="DJ15" s="80"/>
      <c r="DN15" s="80"/>
      <c r="DR15" s="80"/>
      <c r="DV15" s="80"/>
      <c r="DW15" s="80"/>
      <c r="DX15" s="80"/>
      <c r="EC15" s="80"/>
      <c r="EI15" s="80"/>
      <c r="EJ15" s="80"/>
      <c r="EK15" s="80"/>
      <c r="EL15" s="80"/>
    </row>
    <row r="16" spans="1:142" ht="12.75" customHeight="1">
      <c r="A16" s="80"/>
      <c r="B16" s="80"/>
      <c r="C16" s="80"/>
      <c r="D16" s="104"/>
      <c r="E16" s="26"/>
      <c r="F16" s="26"/>
      <c r="H16" s="80"/>
      <c r="I16" s="80"/>
      <c r="J16" s="80"/>
      <c r="K16" s="80"/>
      <c r="L16" s="80"/>
      <c r="M16" s="80"/>
      <c r="N16" s="80"/>
      <c r="O16" s="80"/>
      <c r="P16" s="80"/>
      <c r="Q16" s="80"/>
      <c r="AF16" s="80"/>
      <c r="AL16" s="80"/>
      <c r="AP16" s="80"/>
      <c r="AX16" s="80"/>
      <c r="AZ16" s="80"/>
      <c r="BF16" s="80"/>
      <c r="BJ16" s="80"/>
      <c r="BQ16" s="80"/>
      <c r="BR16" s="80"/>
      <c r="BS16" s="80"/>
      <c r="BZ16" s="80"/>
      <c r="CA16" s="80"/>
      <c r="CD16" s="80"/>
      <c r="CE16" s="80"/>
      <c r="CF16" s="80"/>
      <c r="CG16" s="80"/>
      <c r="CL16" s="80"/>
      <c r="CN16" s="80"/>
      <c r="CO16" s="80"/>
      <c r="CW16" s="80"/>
      <c r="CY16" s="80"/>
      <c r="CZ16" s="80"/>
      <c r="DA16" s="80"/>
      <c r="DE16" s="80"/>
      <c r="DF16" s="80"/>
      <c r="DI16" s="80"/>
      <c r="DJ16" s="80"/>
      <c r="DN16" s="80"/>
      <c r="DO16" s="80"/>
      <c r="DR16" s="80"/>
      <c r="DV16" s="80"/>
      <c r="DW16" s="80"/>
      <c r="DX16" s="80"/>
      <c r="EC16" s="80"/>
      <c r="EF16" s="80"/>
      <c r="EI16" s="80"/>
      <c r="EL16" s="80"/>
    </row>
    <row r="17" spans="1:142" ht="12.75" customHeight="1">
      <c r="A17" s="80"/>
      <c r="B17" s="80"/>
      <c r="C17" s="80"/>
      <c r="D17" s="104"/>
      <c r="E17" s="26"/>
      <c r="F17" s="26"/>
      <c r="H17" s="80"/>
      <c r="J17" s="80"/>
      <c r="K17" s="80"/>
      <c r="L17" s="80"/>
      <c r="M17" s="80"/>
      <c r="N17" s="80"/>
      <c r="O17" s="80"/>
      <c r="P17" s="80"/>
      <c r="Q17" s="80"/>
      <c r="AB17" s="80"/>
      <c r="AC17" s="80"/>
      <c r="AF17" s="80"/>
      <c r="AL17" s="80"/>
      <c r="AP17" s="80"/>
      <c r="AX17" s="80"/>
      <c r="AZ17" s="80"/>
      <c r="BF17" s="80"/>
      <c r="BJ17" s="80"/>
      <c r="BP17" s="80"/>
      <c r="BQ17" s="80"/>
      <c r="BR17" s="80"/>
      <c r="BS17" s="80"/>
      <c r="BZ17" s="80"/>
      <c r="CA17" s="80"/>
      <c r="CB17" s="80"/>
      <c r="CD17" s="80"/>
      <c r="CE17" s="80"/>
      <c r="CF17" s="80"/>
      <c r="CG17" s="80"/>
      <c r="CI17" s="80"/>
      <c r="CK17" s="80"/>
      <c r="CL17" s="80"/>
      <c r="CT17" s="80"/>
      <c r="CU17" s="80"/>
      <c r="CY17" s="80"/>
      <c r="CZ17" s="80"/>
      <c r="DA17" s="80"/>
      <c r="DE17" s="80"/>
      <c r="DI17" s="80"/>
      <c r="DJ17" s="80"/>
      <c r="DN17" s="80"/>
      <c r="DR17" s="80"/>
      <c r="DV17" s="80"/>
      <c r="DW17" s="80"/>
      <c r="DX17" s="80"/>
      <c r="EC17" s="80"/>
      <c r="EI17" s="80"/>
      <c r="EK17" s="80"/>
      <c r="EL17" s="80"/>
    </row>
    <row r="18" spans="1:142" ht="12.75" customHeight="1">
      <c r="A18" s="80"/>
      <c r="B18" s="80"/>
      <c r="C18" s="80"/>
      <c r="D18" s="104"/>
      <c r="E18" s="26"/>
      <c r="F18" s="26"/>
      <c r="K18" s="80"/>
      <c r="L18" s="80"/>
      <c r="M18" s="80"/>
      <c r="O18" s="80"/>
      <c r="P18" s="80"/>
      <c r="Q18" s="80"/>
      <c r="AC18" s="80"/>
      <c r="AF18" s="80"/>
      <c r="AL18" s="80"/>
      <c r="AP18" s="80"/>
      <c r="AX18" s="80"/>
      <c r="AY18" s="80"/>
      <c r="BF18" s="80"/>
      <c r="BJ18" s="80"/>
      <c r="BQ18" s="80"/>
      <c r="BR18" s="80"/>
      <c r="BS18" s="80"/>
      <c r="BY18" s="80"/>
      <c r="BZ18" s="80"/>
      <c r="CA18" s="80"/>
      <c r="CB18" s="80"/>
      <c r="CC18" s="80"/>
      <c r="CD18" s="80"/>
      <c r="CE18" s="80"/>
      <c r="CG18" s="80"/>
      <c r="CL18" s="80"/>
      <c r="CT18" s="80"/>
      <c r="CU18" s="80"/>
      <c r="CY18" s="80"/>
      <c r="CZ18" s="80"/>
      <c r="DA18" s="80"/>
      <c r="DE18" s="80"/>
      <c r="DF18" s="80"/>
      <c r="DI18" s="80"/>
      <c r="DJ18" s="80"/>
      <c r="DN18" s="80"/>
      <c r="DO18" s="80"/>
      <c r="DR18" s="80"/>
      <c r="DV18" s="80"/>
      <c r="DW18" s="80"/>
      <c r="DX18" s="80"/>
      <c r="EC18" s="80"/>
      <c r="EF18" s="80"/>
      <c r="EI18" s="80"/>
      <c r="EL18" s="80"/>
    </row>
    <row r="19" spans="1:142" ht="12.75" customHeight="1">
      <c r="A19" s="80"/>
      <c r="B19" s="80"/>
      <c r="C19" s="80"/>
      <c r="D19" s="104"/>
      <c r="E19" s="26"/>
      <c r="F19" s="26"/>
      <c r="H19" s="80"/>
      <c r="I19" s="80"/>
      <c r="J19" s="80"/>
      <c r="K19" s="80"/>
      <c r="L19" s="80"/>
      <c r="M19" s="80"/>
      <c r="N19" s="80"/>
      <c r="O19" s="80"/>
      <c r="Q19" s="80"/>
      <c r="AF19" s="80"/>
      <c r="AZ19" s="80"/>
      <c r="BF19" s="80"/>
      <c r="BJ19" s="80"/>
      <c r="BQ19" s="80"/>
      <c r="BR19" s="80"/>
      <c r="BS19" s="80"/>
      <c r="BZ19" s="80"/>
      <c r="CA19" s="80"/>
      <c r="CB19" s="80"/>
      <c r="CC19" s="80"/>
      <c r="CD19" s="80"/>
      <c r="CE19" s="80"/>
      <c r="CG19" s="80"/>
      <c r="CL19" s="80"/>
      <c r="CN19" s="80"/>
      <c r="CO19" s="80"/>
      <c r="DA19" s="80"/>
      <c r="DE19" s="80"/>
      <c r="DI19" s="80"/>
      <c r="DJ19" s="80"/>
      <c r="DN19" s="80"/>
      <c r="EL19" s="80"/>
    </row>
    <row r="20" spans="1:142" ht="12.75" customHeight="1">
      <c r="A20" s="80"/>
      <c r="B20" s="80"/>
      <c r="C20" s="80"/>
      <c r="D20" s="104"/>
      <c r="E20" s="26"/>
      <c r="F20" s="26"/>
      <c r="M20" s="80"/>
      <c r="Q20" s="80"/>
      <c r="AF20" s="80"/>
      <c r="AY20" s="80"/>
      <c r="BF20" s="80"/>
      <c r="BQ20" s="80"/>
      <c r="BR20" s="80"/>
      <c r="BT20" s="80"/>
      <c r="CA20" s="80"/>
      <c r="CB20" s="80"/>
      <c r="CC20" s="80"/>
      <c r="CE20" s="80"/>
      <c r="CG20" s="80"/>
      <c r="CL20" s="80"/>
      <c r="EL20" s="80"/>
    </row>
    <row r="21" spans="1:142" ht="12.75" customHeight="1">
      <c r="A21" s="80"/>
      <c r="B21" s="80"/>
      <c r="C21" s="80"/>
      <c r="D21" s="104"/>
      <c r="E21" s="26"/>
      <c r="F21" s="26"/>
      <c r="H21" s="80"/>
      <c r="I21" s="80"/>
      <c r="J21" s="80"/>
      <c r="L21" s="80"/>
      <c r="M21" s="80"/>
      <c r="N21" s="80"/>
      <c r="O21" s="80"/>
      <c r="P21" s="80"/>
      <c r="Q21" s="80"/>
      <c r="AC21" s="80"/>
      <c r="AF21" s="80"/>
      <c r="AW21" s="80"/>
      <c r="AZ21" s="80"/>
      <c r="BF21" s="80"/>
      <c r="BJ21" s="80"/>
      <c r="BQ21" s="80"/>
      <c r="BR21" s="80"/>
      <c r="BS21" s="80"/>
      <c r="BZ21" s="80"/>
      <c r="CA21" s="80"/>
      <c r="CB21" s="80"/>
      <c r="CD21" s="80"/>
      <c r="CE21" s="80"/>
      <c r="CF21" s="80"/>
      <c r="CG21" s="80"/>
      <c r="CL21" s="80"/>
      <c r="CW21" s="80"/>
      <c r="CY21" s="80"/>
      <c r="CZ21" s="80"/>
      <c r="DA21" s="80"/>
      <c r="DE21" s="80"/>
      <c r="DF21" s="80"/>
      <c r="DI21" s="80"/>
      <c r="DJ21" s="80"/>
      <c r="DN21" s="80"/>
      <c r="DO21" s="80"/>
      <c r="DR21" s="80"/>
      <c r="DV21" s="80"/>
      <c r="DW21" s="80"/>
      <c r="DX21" s="80"/>
      <c r="EC21" s="80"/>
      <c r="EI21" s="80"/>
      <c r="EJ21" s="80"/>
      <c r="EL21" s="80"/>
    </row>
    <row r="22" spans="1:142" ht="12.75" customHeight="1">
      <c r="A22" s="80"/>
      <c r="B22" s="80"/>
      <c r="C22" s="80"/>
      <c r="D22" s="104"/>
      <c r="E22" s="26"/>
      <c r="F22" s="26"/>
      <c r="H22" s="80"/>
      <c r="I22" s="80"/>
      <c r="J22" s="80"/>
      <c r="L22" s="80"/>
      <c r="M22" s="80"/>
      <c r="N22" s="80"/>
      <c r="Q22" s="80"/>
      <c r="R22" s="80"/>
      <c r="AF22" s="80"/>
      <c r="AK22" s="80"/>
      <c r="AL22" s="80"/>
      <c r="AP22" s="80"/>
      <c r="AZ22" s="80"/>
      <c r="BF22" s="80"/>
      <c r="BQ22" s="80"/>
      <c r="BR22" s="80"/>
      <c r="BS22" s="80"/>
      <c r="BZ22" s="80"/>
      <c r="CA22" s="80"/>
      <c r="CB22" s="80"/>
      <c r="CC22" s="80"/>
      <c r="CD22" s="80"/>
      <c r="CE22" s="80"/>
      <c r="CG22" s="80"/>
      <c r="CL22" s="80"/>
      <c r="CN22" s="80"/>
      <c r="CO22" s="80"/>
      <c r="CW22" s="80"/>
      <c r="CY22" s="80"/>
      <c r="CZ22" s="80"/>
      <c r="DA22" s="80"/>
      <c r="DE22" s="80"/>
      <c r="DI22" s="80"/>
      <c r="DJ22" s="80"/>
      <c r="DN22" s="80"/>
      <c r="EL22" s="80"/>
    </row>
    <row r="23" spans="1:142" ht="12.75" customHeight="1">
      <c r="A23" s="80"/>
      <c r="B23" s="80"/>
      <c r="C23" s="80"/>
      <c r="D23" s="104"/>
      <c r="E23" s="26"/>
      <c r="F23" s="26"/>
      <c r="H23" s="80"/>
      <c r="L23" s="80"/>
      <c r="M23" s="80"/>
      <c r="N23" s="80"/>
      <c r="O23" s="80"/>
      <c r="Q23" s="80"/>
      <c r="AB23" s="80"/>
      <c r="AF23" s="80"/>
      <c r="AL23" s="80"/>
      <c r="AP23" s="80"/>
      <c r="AZ23" s="80"/>
      <c r="BF23" s="80"/>
      <c r="BJ23" s="80"/>
      <c r="BP23" s="80"/>
      <c r="BQ23" s="80"/>
      <c r="BR23" s="80"/>
      <c r="BS23" s="80"/>
      <c r="CA23" s="80"/>
      <c r="CB23" s="80"/>
      <c r="CC23" s="80"/>
      <c r="CD23" s="80"/>
      <c r="CE23" s="80"/>
      <c r="CG23" s="80"/>
      <c r="CI23" s="80"/>
      <c r="CK23" s="80"/>
      <c r="CL23" s="80"/>
      <c r="CT23" s="80"/>
      <c r="CU23" s="80"/>
      <c r="CY23" s="80"/>
      <c r="CZ23" s="80"/>
      <c r="DA23" s="80"/>
      <c r="DE23" s="80"/>
      <c r="DI23" s="80"/>
      <c r="DJ23" s="80"/>
      <c r="DN23" s="80"/>
      <c r="DR23" s="80"/>
      <c r="DV23" s="80"/>
      <c r="DW23" s="80"/>
      <c r="DX23" s="80"/>
      <c r="EC23" s="80"/>
      <c r="EL23" s="80"/>
    </row>
    <row r="24" spans="1:142" ht="12.75" customHeight="1">
      <c r="A24" s="80"/>
      <c r="B24" s="80"/>
      <c r="C24" s="80"/>
      <c r="D24" s="104"/>
      <c r="E24" s="26"/>
      <c r="F24" s="26"/>
      <c r="H24" s="80"/>
      <c r="I24" s="80"/>
      <c r="J24" s="80"/>
      <c r="K24" s="80"/>
      <c r="L24" s="80"/>
      <c r="M24" s="80"/>
      <c r="P24" s="80"/>
      <c r="Q24" s="80"/>
      <c r="AF24" s="80"/>
      <c r="AK24" s="80"/>
      <c r="AP24" s="80"/>
      <c r="AZ24" s="80"/>
      <c r="BF24" s="80"/>
      <c r="BJ24" s="80"/>
      <c r="BQ24" s="80"/>
      <c r="BR24" s="80"/>
      <c r="BS24" s="80"/>
      <c r="BZ24" s="80"/>
      <c r="CA24" s="80"/>
      <c r="CB24" s="80"/>
      <c r="CC24" s="80"/>
      <c r="CD24" s="80"/>
      <c r="CE24" s="80"/>
      <c r="CG24" s="80"/>
      <c r="CL24" s="80"/>
      <c r="CN24" s="80"/>
      <c r="CO24" s="80"/>
      <c r="CW24" s="80"/>
      <c r="CY24" s="80"/>
      <c r="CZ24" s="80"/>
      <c r="DA24" s="80"/>
      <c r="DB24" s="80"/>
      <c r="DE24" s="80"/>
      <c r="DI24" s="80"/>
      <c r="DJ24" s="80"/>
      <c r="DN24" s="80"/>
      <c r="DR24" s="80"/>
      <c r="DV24" s="80"/>
      <c r="DW24" s="80"/>
      <c r="DX24" s="80"/>
      <c r="EC24" s="80"/>
      <c r="EL24" s="80"/>
    </row>
    <row r="25" spans="1:142" ht="12.75" customHeight="1">
      <c r="A25" s="80"/>
      <c r="B25" s="80"/>
      <c r="C25" s="80"/>
      <c r="D25" s="104"/>
      <c r="E25" s="26"/>
      <c r="F25" s="26"/>
      <c r="H25" s="80"/>
      <c r="I25" s="80"/>
      <c r="K25" s="80"/>
      <c r="L25" s="80"/>
      <c r="M25" s="80"/>
      <c r="N25" s="80"/>
      <c r="O25" s="80"/>
      <c r="P25" s="80"/>
      <c r="Q25" s="80"/>
      <c r="AF25" s="80"/>
      <c r="AK25" s="80"/>
      <c r="AP25" s="80"/>
      <c r="AQ25" s="80"/>
      <c r="AZ25" s="80"/>
      <c r="BF25" s="80"/>
      <c r="BJ25" s="80"/>
      <c r="BK25" s="80"/>
      <c r="BM25" s="80"/>
      <c r="BQ25" s="80"/>
      <c r="BR25" s="80"/>
      <c r="BS25" s="80"/>
      <c r="BZ25" s="80"/>
      <c r="CA25" s="80"/>
      <c r="CC25" s="80"/>
      <c r="CD25" s="80"/>
      <c r="CE25" s="80"/>
      <c r="CG25" s="80"/>
      <c r="CI25" s="80"/>
      <c r="CK25" s="80"/>
      <c r="CL25" s="80"/>
      <c r="CN25" s="80"/>
      <c r="CO25" s="80"/>
      <c r="CT25" s="80"/>
      <c r="CU25" s="80"/>
      <c r="CX25" s="80"/>
      <c r="CY25" s="80"/>
      <c r="CZ25" s="80"/>
      <c r="DA25" s="80"/>
      <c r="DE25" s="80"/>
      <c r="DF25" s="80"/>
      <c r="DG25" s="80"/>
      <c r="DI25" s="80"/>
      <c r="DJ25" s="80"/>
      <c r="DK25" s="80"/>
      <c r="DN25" s="80"/>
      <c r="DR25" s="80"/>
      <c r="DV25" s="80"/>
      <c r="DW25" s="80"/>
      <c r="DX25" s="80"/>
      <c r="EA25" s="80"/>
      <c r="EB25" s="80"/>
      <c r="EC25" s="80"/>
      <c r="EF25" s="80"/>
      <c r="EK25" s="80"/>
      <c r="EL25" s="80"/>
    </row>
    <row r="26" spans="1:142" ht="12.75" customHeight="1">
      <c r="A26" s="80"/>
      <c r="B26" s="80"/>
      <c r="C26" s="80"/>
      <c r="D26" s="104"/>
      <c r="E26" s="26"/>
      <c r="F26" s="26"/>
      <c r="H26" s="80"/>
      <c r="J26" s="80"/>
      <c r="K26" s="80"/>
      <c r="L26" s="80"/>
      <c r="M26" s="80"/>
      <c r="Q26" s="80"/>
      <c r="AF26" s="80"/>
      <c r="AK26" s="80"/>
      <c r="AP26" s="80"/>
      <c r="AX26" s="80"/>
      <c r="AY26" s="80"/>
      <c r="BF26" s="80"/>
      <c r="BQ26" s="80"/>
      <c r="BR26" s="80"/>
      <c r="BT26" s="80"/>
      <c r="CA26" s="80"/>
      <c r="CB26" s="80"/>
      <c r="CD26" s="80"/>
      <c r="CE26" s="80"/>
      <c r="CG26" s="80"/>
      <c r="CL26" s="80"/>
      <c r="CW26" s="80"/>
      <c r="CY26" s="80"/>
      <c r="CZ26" s="80"/>
      <c r="DE26" s="80"/>
      <c r="DI26" s="80"/>
      <c r="DJ26" s="80"/>
      <c r="DN26" s="80"/>
      <c r="EL26" s="80"/>
    </row>
    <row r="27" spans="1:142" ht="12.75" customHeight="1">
      <c r="A27" s="80"/>
      <c r="B27" s="80"/>
      <c r="C27" s="80"/>
      <c r="D27" s="104"/>
      <c r="E27" s="26"/>
      <c r="F27" s="26"/>
      <c r="H27" s="80"/>
      <c r="I27" s="80"/>
      <c r="K27" s="80"/>
      <c r="L27" s="80"/>
      <c r="M27" s="80"/>
      <c r="N27" s="80"/>
      <c r="O27" s="80"/>
      <c r="P27" s="80"/>
      <c r="Q27" s="80"/>
      <c r="AF27" s="80"/>
      <c r="AL27" s="80"/>
      <c r="AP27" s="80"/>
      <c r="AZ27" s="80"/>
      <c r="BF27" s="80"/>
      <c r="BJ27" s="80"/>
      <c r="BQ27" s="80"/>
      <c r="BR27" s="80"/>
      <c r="BS27" s="80"/>
      <c r="BT27" s="80"/>
      <c r="CA27" s="80"/>
      <c r="CC27" s="80"/>
      <c r="CD27" s="80"/>
      <c r="CE27" s="80"/>
      <c r="CG27" s="80"/>
      <c r="CI27" s="80"/>
      <c r="CK27" s="80"/>
      <c r="CL27" s="80"/>
      <c r="CT27" s="80"/>
      <c r="CU27" s="80"/>
      <c r="CY27" s="80"/>
      <c r="CZ27" s="80"/>
      <c r="DA27" s="80"/>
      <c r="DE27" s="80"/>
      <c r="DI27" s="80"/>
      <c r="DJ27" s="80"/>
      <c r="DN27" s="80"/>
      <c r="DO27" s="80"/>
      <c r="DR27" s="80"/>
      <c r="DV27" s="80"/>
      <c r="DW27" s="80"/>
      <c r="DX27" s="80"/>
      <c r="EC27" s="80"/>
      <c r="EF27" s="80"/>
      <c r="EI27" s="80"/>
      <c r="EL27" s="80"/>
    </row>
    <row r="28" spans="1:142" ht="12.75" customHeight="1">
      <c r="A28" s="80"/>
      <c r="B28" s="80"/>
      <c r="C28" s="80"/>
      <c r="D28" s="104"/>
      <c r="E28" s="26"/>
      <c r="F28" s="26"/>
      <c r="H28" s="80"/>
      <c r="I28" s="80"/>
      <c r="J28" s="80"/>
      <c r="L28" s="80"/>
      <c r="M28" s="80"/>
      <c r="N28" s="80"/>
      <c r="O28" s="80"/>
      <c r="Q28" s="80"/>
      <c r="R28" s="80"/>
      <c r="AC28" s="80"/>
      <c r="AF28" s="80"/>
      <c r="AW28" s="80"/>
      <c r="AZ28" s="80"/>
      <c r="BF28" s="80"/>
      <c r="BQ28" s="80"/>
      <c r="BR28" s="80"/>
      <c r="BS28" s="80"/>
      <c r="BT28" s="80"/>
      <c r="BZ28" s="80"/>
      <c r="CA28" s="80"/>
      <c r="CB28" s="80"/>
      <c r="CC28" s="80"/>
      <c r="CD28" s="80"/>
      <c r="CE28" s="80"/>
      <c r="CG28" s="80"/>
      <c r="CI28" s="80"/>
      <c r="CK28" s="80"/>
      <c r="CL28" s="80"/>
      <c r="CT28" s="80"/>
      <c r="CU28" s="80"/>
      <c r="CV28" s="80"/>
      <c r="CY28" s="80"/>
      <c r="CZ28" s="80"/>
      <c r="DA28" s="80"/>
      <c r="DE28" s="80"/>
      <c r="DI28" s="80"/>
      <c r="DJ28" s="80"/>
      <c r="DN28" s="80"/>
      <c r="EL28" s="80"/>
    </row>
    <row r="29" spans="1:142" ht="12.75" customHeight="1">
      <c r="A29" s="80"/>
      <c r="B29" s="80"/>
      <c r="C29" s="80"/>
      <c r="D29" s="104"/>
      <c r="E29" s="26"/>
      <c r="F29" s="26"/>
      <c r="H29" s="80"/>
      <c r="I29" s="80"/>
      <c r="J29" s="80"/>
      <c r="K29" s="80"/>
      <c r="L29" s="80"/>
      <c r="M29" s="80"/>
      <c r="N29" s="80"/>
      <c r="O29" s="80"/>
      <c r="Q29" s="80"/>
      <c r="R29" s="80"/>
      <c r="AF29" s="80"/>
      <c r="AX29" s="80"/>
      <c r="AY29" s="80"/>
      <c r="BF29" s="80"/>
      <c r="BJ29" s="80"/>
      <c r="BQ29" s="80"/>
      <c r="BR29" s="80"/>
      <c r="BS29" s="80"/>
      <c r="BT29" s="80"/>
      <c r="CA29" s="80"/>
      <c r="CB29" s="80"/>
      <c r="CC29" s="80"/>
      <c r="CD29" s="80"/>
      <c r="CE29" s="80"/>
      <c r="CG29" s="80"/>
      <c r="CL29" s="80"/>
      <c r="CT29" s="80"/>
      <c r="CU29" s="80"/>
      <c r="CZ29" s="80"/>
      <c r="DA29" s="80"/>
      <c r="DE29" s="80"/>
      <c r="DI29" s="80"/>
      <c r="DJ29" s="80"/>
      <c r="DN29" s="80"/>
      <c r="DR29" s="80"/>
      <c r="DV29" s="80"/>
      <c r="DW29" s="80"/>
      <c r="DX29" s="80"/>
      <c r="EC29" s="80"/>
      <c r="EL29" s="80"/>
    </row>
    <row r="30" spans="1:142" ht="12.75" customHeight="1">
      <c r="A30" s="80"/>
      <c r="B30" s="80"/>
      <c r="C30" s="80"/>
      <c r="D30" s="104"/>
      <c r="E30" s="26"/>
      <c r="F30" s="26"/>
      <c r="H30" s="80"/>
      <c r="I30" s="80"/>
      <c r="J30" s="80"/>
      <c r="K30" s="80"/>
      <c r="L30" s="80"/>
      <c r="M30" s="80"/>
      <c r="N30" s="80"/>
      <c r="O30" s="80"/>
      <c r="P30" s="80"/>
      <c r="Q30" s="80"/>
      <c r="R30" s="80"/>
      <c r="AF30" s="80"/>
      <c r="AK30" s="80"/>
      <c r="AP30" s="80"/>
      <c r="AX30" s="80"/>
      <c r="AY30" s="80"/>
      <c r="BF30" s="80"/>
      <c r="BP30" s="80"/>
      <c r="BR30" s="80"/>
      <c r="BZ30" s="80"/>
      <c r="CA30" s="80"/>
      <c r="CB30" s="80"/>
      <c r="CD30" s="80"/>
      <c r="CE30" s="80"/>
      <c r="CG30" s="80"/>
      <c r="CL30" s="80"/>
      <c r="DE30" s="80"/>
      <c r="DI30" s="80"/>
      <c r="DJ30" s="80"/>
      <c r="DN30" s="80"/>
      <c r="DO30" s="80"/>
      <c r="DR30" s="80"/>
      <c r="DV30" s="80"/>
      <c r="DW30" s="80"/>
      <c r="DX30" s="80"/>
      <c r="EC30" s="80"/>
      <c r="EF30" s="80"/>
      <c r="EI30" s="80"/>
      <c r="EL30" s="80"/>
    </row>
    <row r="31" spans="1:142" ht="12.75" customHeight="1">
      <c r="A31" s="80"/>
      <c r="B31" s="80"/>
      <c r="C31" s="80"/>
      <c r="D31" s="104"/>
      <c r="E31" s="26"/>
      <c r="F31" s="26"/>
      <c r="H31" s="80"/>
      <c r="K31" s="80"/>
      <c r="L31" s="80"/>
      <c r="M31" s="80"/>
      <c r="N31" s="80"/>
      <c r="Q31" s="80"/>
      <c r="AF31" s="80"/>
      <c r="AK31" s="80"/>
      <c r="AP31" s="80"/>
      <c r="AX31" s="80"/>
      <c r="AZ31" s="80"/>
      <c r="BF31" s="80"/>
      <c r="BQ31" s="80"/>
      <c r="BR31" s="80"/>
      <c r="BS31" s="80"/>
      <c r="BZ31" s="80"/>
      <c r="CA31" s="80"/>
      <c r="CB31" s="80"/>
      <c r="CD31" s="80"/>
      <c r="CE31" s="80"/>
      <c r="CF31" s="80"/>
      <c r="CG31" s="80"/>
      <c r="CL31" s="80"/>
      <c r="DE31" s="80"/>
      <c r="DI31" s="80"/>
      <c r="DJ31" s="80"/>
      <c r="DN31" s="80"/>
      <c r="EL31" s="80"/>
    </row>
    <row r="32" spans="1:142" ht="12.75" customHeight="1">
      <c r="A32" s="80"/>
      <c r="B32" s="80"/>
      <c r="C32" s="80"/>
      <c r="D32" s="104"/>
      <c r="E32" s="26"/>
      <c r="F32" s="26"/>
      <c r="H32" s="80"/>
      <c r="K32" s="80"/>
      <c r="L32" s="80"/>
      <c r="M32" s="80"/>
      <c r="O32" s="80"/>
      <c r="Q32" s="80"/>
      <c r="AB32" s="80"/>
      <c r="AG32" s="80"/>
      <c r="AR32" s="80"/>
      <c r="AU32" s="80"/>
      <c r="AZ32" s="80"/>
      <c r="BF32" s="80"/>
      <c r="BP32" s="80"/>
      <c r="CD32" s="80"/>
      <c r="CE32" s="80"/>
      <c r="CG32" s="80"/>
      <c r="CI32" s="80"/>
      <c r="CK32" s="80"/>
      <c r="CL32" s="80"/>
      <c r="CY32" s="80"/>
      <c r="CZ32" s="80"/>
      <c r="DI32" s="80"/>
      <c r="DJ32" s="80"/>
      <c r="DN32" s="80"/>
      <c r="ED32" s="80"/>
      <c r="EJ32" s="80"/>
      <c r="EK32" s="80"/>
      <c r="EL32" s="80"/>
    </row>
    <row r="33" spans="1:142" ht="12.75" customHeight="1">
      <c r="A33" s="80"/>
      <c r="B33" s="80"/>
      <c r="C33" s="80"/>
      <c r="D33" s="104"/>
      <c r="E33" s="26"/>
      <c r="F33" s="26"/>
      <c r="H33" s="80"/>
      <c r="K33" s="80"/>
      <c r="L33" s="80"/>
      <c r="M33" s="80"/>
      <c r="O33" s="80"/>
      <c r="Q33" s="80"/>
      <c r="AB33" s="80"/>
      <c r="AG33" s="80"/>
      <c r="AR33" s="80"/>
      <c r="AZ33" s="80"/>
      <c r="BF33" s="80"/>
      <c r="BP33" s="80"/>
      <c r="BR33" s="80"/>
      <c r="BV33" s="80"/>
      <c r="CA33" s="80"/>
      <c r="CB33" s="80"/>
      <c r="CC33" s="80"/>
      <c r="CD33" s="80"/>
      <c r="CE33" s="80"/>
      <c r="CG33" s="80"/>
      <c r="CI33" s="80"/>
      <c r="CK33" s="80"/>
      <c r="CL33" s="80"/>
      <c r="CN33" s="80"/>
      <c r="CO33" s="80"/>
      <c r="CQ33" s="80"/>
      <c r="CU33" s="80"/>
      <c r="CW33" s="80"/>
      <c r="CY33" s="80"/>
      <c r="CZ33" s="80"/>
      <c r="DA33" s="80"/>
      <c r="DE33" s="80"/>
      <c r="DG33" s="80"/>
      <c r="DI33" s="80"/>
      <c r="DJ33" s="80"/>
      <c r="DN33" s="80"/>
      <c r="ED33" s="80"/>
      <c r="EJ33" s="80"/>
      <c r="EK33" s="80"/>
      <c r="EL33" s="80"/>
    </row>
    <row r="34" spans="1:142" ht="12.75" customHeight="1">
      <c r="A34" s="80"/>
      <c r="B34" s="80"/>
      <c r="C34" s="80"/>
      <c r="D34" s="104"/>
      <c r="E34" s="26"/>
      <c r="F34" s="26"/>
      <c r="H34" s="80"/>
      <c r="J34" s="80"/>
      <c r="L34" s="80"/>
      <c r="M34" s="80"/>
      <c r="N34" s="80"/>
      <c r="O34" s="80"/>
      <c r="P34" s="80"/>
      <c r="Q34" s="80"/>
      <c r="R34" s="80"/>
      <c r="AB34" s="80"/>
      <c r="AF34" s="80"/>
      <c r="AL34" s="80"/>
      <c r="AP34" s="80"/>
      <c r="AW34" s="80"/>
      <c r="AZ34" s="80"/>
      <c r="BF34" s="80"/>
      <c r="BJ34" s="80"/>
      <c r="BQ34" s="80"/>
      <c r="BR34" s="80"/>
      <c r="BS34" s="80"/>
      <c r="BZ34" s="80"/>
      <c r="CA34" s="80"/>
      <c r="CC34" s="80"/>
      <c r="CD34" s="80"/>
      <c r="CE34" s="80"/>
      <c r="CG34" s="80"/>
      <c r="CJ34" s="80"/>
      <c r="CL34" s="80"/>
      <c r="CN34" s="80"/>
      <c r="CO34" s="80"/>
      <c r="CU34" s="80"/>
      <c r="CW34" s="80"/>
      <c r="CY34" s="80"/>
      <c r="CZ34" s="80"/>
      <c r="DA34" s="80"/>
      <c r="DB34" s="80"/>
      <c r="DE34" s="80"/>
      <c r="DI34" s="80"/>
      <c r="DJ34" s="80"/>
      <c r="DN34" s="80"/>
      <c r="EI34" s="80"/>
      <c r="EK34" s="80"/>
      <c r="EL34" s="80"/>
    </row>
    <row r="35" spans="1:142" ht="12.75" customHeight="1">
      <c r="A35" s="80"/>
      <c r="B35" s="80"/>
      <c r="C35" s="80"/>
      <c r="D35" s="104"/>
      <c r="E35" s="26"/>
      <c r="F35" s="26"/>
      <c r="H35" s="80"/>
      <c r="K35" s="80"/>
      <c r="L35" s="80"/>
      <c r="M35" s="80"/>
      <c r="O35" s="80"/>
      <c r="P35" s="80"/>
      <c r="Q35" s="80"/>
      <c r="AB35" s="80"/>
      <c r="AF35" s="80"/>
      <c r="AL35" s="80"/>
      <c r="AP35" s="80"/>
      <c r="AX35" s="80"/>
      <c r="AY35" s="80"/>
      <c r="AZ35" s="80"/>
      <c r="BF35" s="80"/>
      <c r="BJ35" s="80"/>
      <c r="BP35" s="80"/>
      <c r="BQ35" s="80"/>
      <c r="BR35" s="80"/>
      <c r="BS35" s="80"/>
      <c r="BT35" s="80"/>
      <c r="BZ35" s="80"/>
      <c r="CA35" s="80"/>
      <c r="CB35" s="80"/>
      <c r="CC35" s="80"/>
      <c r="CD35" s="80"/>
      <c r="CE35" s="80"/>
      <c r="CG35" s="80"/>
      <c r="CL35" s="80"/>
      <c r="CW35" s="80"/>
      <c r="CY35" s="80"/>
      <c r="CZ35" s="80"/>
      <c r="DA35" s="80"/>
      <c r="DE35" s="80"/>
      <c r="DI35" s="80"/>
      <c r="DJ35" s="80"/>
      <c r="DN35" s="80"/>
      <c r="DR35" s="80"/>
      <c r="DV35" s="80"/>
      <c r="DW35" s="80"/>
      <c r="DX35" s="80"/>
      <c r="EC35" s="80"/>
      <c r="ED35" s="80"/>
      <c r="EK35" s="80"/>
      <c r="EL35" s="80"/>
    </row>
    <row r="36" spans="1:142" ht="12.75" customHeight="1">
      <c r="A36" s="80"/>
      <c r="B36" s="80"/>
      <c r="C36" s="80"/>
      <c r="D36" s="104"/>
      <c r="E36" s="26"/>
      <c r="F36" s="26"/>
      <c r="H36" s="80"/>
      <c r="I36" s="80"/>
      <c r="K36" s="80"/>
      <c r="L36" s="80"/>
      <c r="M36" s="80"/>
      <c r="O36" s="80"/>
      <c r="P36" s="80"/>
      <c r="Q36" s="80"/>
      <c r="AB36" s="80"/>
      <c r="AC36" s="80"/>
      <c r="AF36" s="80"/>
      <c r="AZ36" s="80"/>
      <c r="BF36" s="80"/>
      <c r="BQ36" s="80"/>
      <c r="BR36" s="80"/>
      <c r="BS36" s="80"/>
      <c r="BZ36" s="80"/>
      <c r="CA36" s="80"/>
      <c r="CB36" s="80"/>
      <c r="CD36" s="80"/>
      <c r="CE36" s="80"/>
      <c r="CG36" s="80"/>
      <c r="CL36" s="80"/>
      <c r="CN36" s="80"/>
      <c r="CO36" s="80"/>
      <c r="CY36" s="80"/>
      <c r="CZ36" s="80"/>
      <c r="DA36" s="80"/>
      <c r="DE36" s="80"/>
      <c r="DI36" s="80"/>
      <c r="DJ36" s="80"/>
      <c r="DN36" s="80"/>
      <c r="DR36" s="80"/>
      <c r="DV36" s="80"/>
      <c r="DX36" s="80"/>
      <c r="EC36" s="80"/>
      <c r="ED36" s="80"/>
      <c r="EF36" s="80"/>
      <c r="EI36" s="80"/>
      <c r="EK36" s="80"/>
      <c r="EL36" s="80"/>
    </row>
    <row r="37" spans="1:142" ht="12.75" customHeight="1">
      <c r="A37" s="80"/>
      <c r="B37" s="80"/>
      <c r="C37" s="80"/>
      <c r="D37" s="104"/>
      <c r="E37" s="26"/>
      <c r="F37" s="26"/>
      <c r="H37" s="80"/>
      <c r="I37" s="80"/>
      <c r="J37" s="80"/>
      <c r="K37" s="80"/>
      <c r="L37" s="80"/>
      <c r="M37" s="80"/>
      <c r="N37" s="80"/>
      <c r="O37" s="80"/>
      <c r="P37" s="80"/>
      <c r="Q37" s="80"/>
      <c r="AF37" s="80"/>
      <c r="AX37" s="80"/>
      <c r="AY37" s="80"/>
      <c r="AZ37" s="80"/>
      <c r="BF37" s="80"/>
      <c r="BQ37" s="80"/>
      <c r="BR37" s="80"/>
      <c r="BS37" s="80"/>
      <c r="BT37" s="80"/>
      <c r="BZ37" s="80"/>
      <c r="CA37" s="80"/>
      <c r="CB37" s="80"/>
      <c r="CC37" s="80"/>
      <c r="CD37" s="80"/>
      <c r="CE37" s="80"/>
      <c r="CG37" s="80"/>
      <c r="CL37" s="80"/>
      <c r="CW37" s="80"/>
      <c r="CZ37" s="80"/>
      <c r="DA37" s="80"/>
      <c r="DE37" s="80"/>
      <c r="DI37" s="80"/>
      <c r="DJ37" s="80"/>
      <c r="DN37" s="80"/>
      <c r="DO37" s="80"/>
      <c r="DX37" s="80"/>
      <c r="EC37" s="80"/>
      <c r="EF37" s="80"/>
      <c r="EI37" s="80"/>
      <c r="EL37" s="80"/>
    </row>
    <row r="38" spans="1:142" ht="12.75" customHeight="1">
      <c r="A38" s="80"/>
      <c r="B38" s="80"/>
      <c r="C38" s="80"/>
      <c r="D38" s="104"/>
      <c r="E38" s="26"/>
      <c r="F38" s="26"/>
      <c r="H38" s="80"/>
      <c r="I38" s="80"/>
      <c r="L38" s="80"/>
      <c r="M38" s="80"/>
      <c r="N38" s="80"/>
      <c r="O38" s="80"/>
      <c r="P38" s="80"/>
      <c r="Q38" s="80"/>
      <c r="AC38" s="80"/>
      <c r="AF38" s="80"/>
      <c r="AK38" s="80"/>
      <c r="AP38" s="80"/>
      <c r="AW38" s="80"/>
      <c r="AX38" s="80"/>
      <c r="AY38" s="80"/>
      <c r="BF38" s="80"/>
      <c r="BQ38" s="80"/>
      <c r="BR38" s="80"/>
      <c r="BS38" s="80"/>
      <c r="BZ38" s="80"/>
      <c r="CA38" s="80"/>
      <c r="CB38" s="80"/>
      <c r="CC38" s="80"/>
      <c r="CD38" s="80"/>
      <c r="CE38" s="80"/>
      <c r="CG38" s="80"/>
      <c r="CL38" s="80"/>
      <c r="CP38" s="80"/>
      <c r="CQ38" s="80"/>
      <c r="CT38" s="80"/>
      <c r="CU38" s="80"/>
      <c r="CY38" s="80"/>
      <c r="CZ38" s="80"/>
      <c r="DA38" s="80"/>
      <c r="DE38" s="80"/>
      <c r="DI38" s="80"/>
      <c r="DJ38" s="80"/>
      <c r="DN38" s="80"/>
      <c r="DP38" s="80"/>
      <c r="DR38" s="80"/>
      <c r="DV38" s="80"/>
      <c r="DW38" s="80"/>
      <c r="DX38" s="80"/>
      <c r="EC38" s="80"/>
      <c r="EL38" s="80"/>
    </row>
    <row r="39" spans="1:142" ht="12.75" customHeight="1">
      <c r="A39" s="80"/>
      <c r="B39" s="80"/>
      <c r="C39" s="80"/>
      <c r="D39" s="104"/>
      <c r="E39" s="26"/>
      <c r="F39" s="26"/>
      <c r="H39" s="80"/>
      <c r="I39" s="80"/>
      <c r="J39" s="80"/>
      <c r="K39" s="80"/>
      <c r="L39" s="80"/>
      <c r="M39" s="80"/>
      <c r="N39" s="80"/>
      <c r="O39" s="80"/>
      <c r="P39" s="80"/>
      <c r="Q39" s="80"/>
      <c r="AB39" s="80"/>
      <c r="AF39" s="80"/>
      <c r="AL39" s="80"/>
      <c r="AP39" s="80"/>
      <c r="AX39" s="80"/>
      <c r="AZ39" s="80"/>
      <c r="BF39" s="80"/>
      <c r="BP39" s="80"/>
      <c r="BR39" s="80"/>
      <c r="BZ39" s="80"/>
      <c r="CA39" s="80"/>
      <c r="CB39" s="80"/>
      <c r="CC39" s="80"/>
      <c r="CD39" s="80"/>
      <c r="CE39" s="80"/>
      <c r="CG39" s="80"/>
      <c r="CL39" s="80"/>
      <c r="CN39" s="80"/>
      <c r="CO39" s="80"/>
      <c r="CY39" s="80"/>
      <c r="CZ39" s="80"/>
      <c r="DE39" s="80"/>
      <c r="DJ39" s="80"/>
      <c r="DN39" s="80"/>
      <c r="DO39" s="80"/>
      <c r="DR39" s="80"/>
      <c r="DV39" s="80"/>
      <c r="DX39" s="80"/>
      <c r="EC39" s="80"/>
      <c r="ED39" s="80"/>
      <c r="EF39" s="80"/>
      <c r="EI39" s="80"/>
      <c r="EK39" s="80"/>
      <c r="EL39" s="80"/>
    </row>
    <row r="40" spans="1:142" ht="12.75" customHeight="1">
      <c r="A40" s="80"/>
      <c r="B40" s="80"/>
      <c r="C40" s="80"/>
      <c r="D40" s="104"/>
      <c r="E40" s="26"/>
      <c r="F40" s="26"/>
      <c r="H40" s="80"/>
      <c r="I40" s="80"/>
      <c r="J40" s="80"/>
      <c r="K40" s="80"/>
      <c r="L40" s="80"/>
      <c r="M40" s="80"/>
      <c r="N40" s="80"/>
      <c r="O40" s="80"/>
      <c r="P40" s="80"/>
      <c r="Q40" s="80"/>
      <c r="AB40" s="80"/>
      <c r="AC40" s="80"/>
      <c r="AF40" s="80"/>
      <c r="AK40" s="80"/>
      <c r="AL40" s="80"/>
      <c r="AP40" s="80"/>
      <c r="AX40" s="80"/>
      <c r="AZ40" s="80"/>
      <c r="BA40" s="80"/>
      <c r="BF40" s="80"/>
      <c r="BR40" s="80"/>
      <c r="BZ40" s="80"/>
      <c r="CA40" s="80"/>
      <c r="CB40" s="80"/>
      <c r="CC40" s="80"/>
      <c r="CD40" s="80"/>
      <c r="CE40" s="80"/>
      <c r="CG40" s="80"/>
      <c r="CL40" s="80"/>
      <c r="CN40" s="80"/>
      <c r="CO40" s="80"/>
      <c r="CY40" s="80"/>
      <c r="CZ40" s="80"/>
      <c r="DE40" s="80"/>
      <c r="DI40" s="80"/>
      <c r="DJ40" s="80"/>
      <c r="DN40" s="80"/>
      <c r="DR40" s="80"/>
      <c r="DV40" s="80"/>
      <c r="DW40" s="80"/>
      <c r="DX40" s="80"/>
      <c r="EC40" s="80"/>
      <c r="ED40" s="80"/>
      <c r="EF40" s="80"/>
      <c r="EI40" s="80"/>
      <c r="EK40" s="80"/>
      <c r="EL40" s="80"/>
    </row>
    <row r="41" spans="1:142" ht="12.75" customHeight="1">
      <c r="A41" s="80"/>
      <c r="B41" s="80"/>
      <c r="C41" s="80"/>
      <c r="D41" s="104"/>
      <c r="E41" s="26"/>
      <c r="F41" s="26"/>
      <c r="H41" s="80"/>
      <c r="J41" s="80"/>
      <c r="K41" s="80"/>
      <c r="L41" s="80"/>
      <c r="M41" s="80"/>
      <c r="N41" s="80"/>
      <c r="O41" s="80"/>
      <c r="Q41" s="80"/>
      <c r="AB41" s="80"/>
      <c r="AF41" s="80"/>
      <c r="AL41" s="80"/>
      <c r="AP41" s="80"/>
      <c r="AZ41" s="80"/>
      <c r="BF41" s="80"/>
      <c r="BR41" s="80"/>
      <c r="BZ41" s="80"/>
      <c r="CA41" s="80"/>
      <c r="CB41" s="80"/>
      <c r="CC41" s="80"/>
      <c r="CD41" s="80"/>
      <c r="CE41" s="80"/>
      <c r="CG41" s="80"/>
      <c r="CL41" s="80"/>
      <c r="CY41" s="80"/>
      <c r="CZ41" s="80"/>
      <c r="DE41" s="80"/>
      <c r="DJ41" s="80"/>
      <c r="DN41" s="80"/>
      <c r="DR41" s="80"/>
      <c r="DV41" s="80"/>
      <c r="DX41" s="80"/>
      <c r="EC41" s="80"/>
      <c r="EI41" s="80"/>
      <c r="EK41" s="80"/>
      <c r="EL41" s="80"/>
    </row>
    <row r="42" spans="1:142" ht="12.75" customHeight="1">
      <c r="A42" s="80"/>
      <c r="B42" s="80"/>
      <c r="C42" s="80"/>
      <c r="D42" s="104"/>
      <c r="E42" s="26"/>
      <c r="F42" s="26"/>
      <c r="H42" s="80"/>
      <c r="K42" s="80"/>
      <c r="L42" s="80"/>
      <c r="M42" s="80"/>
      <c r="N42" s="80"/>
      <c r="O42" s="80"/>
      <c r="P42" s="80"/>
      <c r="Q42" s="80"/>
      <c r="R42" s="80"/>
      <c r="AB42" s="80"/>
      <c r="AC42" s="80"/>
      <c r="AF42" s="80"/>
      <c r="AK42" s="80"/>
      <c r="AP42" s="80"/>
      <c r="AZ42" s="80"/>
      <c r="BF42" s="80"/>
      <c r="BJ42" s="80"/>
      <c r="BP42" s="80"/>
      <c r="BQ42" s="80"/>
      <c r="BR42" s="80"/>
      <c r="BS42" s="80"/>
      <c r="BZ42" s="80"/>
      <c r="CA42" s="80"/>
      <c r="CB42" s="80"/>
      <c r="CC42" s="80"/>
      <c r="CD42" s="80"/>
      <c r="CE42" s="80"/>
      <c r="CG42" s="80"/>
      <c r="CL42" s="80"/>
      <c r="DA42" s="80"/>
      <c r="DE42" s="80"/>
      <c r="DI42" s="80"/>
      <c r="DJ42" s="80"/>
      <c r="DN42" s="80"/>
      <c r="DO42" s="80"/>
      <c r="DR42" s="80"/>
      <c r="DV42" s="80"/>
      <c r="DX42" s="80"/>
      <c r="EC42" s="80"/>
      <c r="EI42" s="80"/>
      <c r="EK42" s="80"/>
      <c r="EL42" s="80"/>
    </row>
    <row r="43" spans="1:142" ht="12.75" customHeight="1">
      <c r="A43" s="80"/>
      <c r="B43" s="80"/>
      <c r="C43" s="80"/>
      <c r="D43" s="104"/>
      <c r="E43" s="26"/>
      <c r="F43" s="26"/>
      <c r="H43" s="80"/>
      <c r="K43" s="80"/>
      <c r="L43" s="80"/>
      <c r="M43" s="80"/>
      <c r="O43" s="80"/>
      <c r="P43" s="80"/>
      <c r="Q43" s="80"/>
      <c r="AF43" s="80"/>
      <c r="AZ43" s="80"/>
      <c r="BF43" s="80"/>
      <c r="BQ43" s="80"/>
      <c r="BR43" s="80"/>
      <c r="BS43" s="80"/>
      <c r="BZ43" s="80"/>
      <c r="CA43" s="80"/>
      <c r="CB43" s="80"/>
      <c r="CD43" s="80"/>
      <c r="CE43" s="80"/>
      <c r="CG43" s="80"/>
      <c r="CL43" s="80"/>
      <c r="CN43" s="80"/>
      <c r="CO43" s="80"/>
      <c r="CU43" s="80"/>
      <c r="CW43" s="80"/>
      <c r="CY43" s="80"/>
      <c r="CZ43" s="80"/>
      <c r="DA43" s="80"/>
      <c r="DE43" s="80"/>
      <c r="DI43" s="80"/>
      <c r="DJ43" s="80"/>
      <c r="DN43" s="80"/>
      <c r="DR43" s="80"/>
      <c r="DV43" s="80"/>
      <c r="DX43" s="80"/>
      <c r="EC43" s="80"/>
      <c r="EF43" s="80"/>
      <c r="EJ43" s="80"/>
      <c r="EK43" s="80"/>
      <c r="EL43" s="80"/>
    </row>
    <row r="44" spans="1:142" ht="12.75" customHeight="1">
      <c r="A44" s="80"/>
      <c r="B44" s="80"/>
      <c r="C44" s="80"/>
      <c r="D44" s="104"/>
      <c r="E44" s="26"/>
      <c r="F44" s="26"/>
      <c r="H44" s="80"/>
      <c r="I44" s="80"/>
      <c r="J44" s="80"/>
      <c r="K44" s="80"/>
      <c r="L44" s="80"/>
      <c r="M44" s="80"/>
      <c r="N44" s="80"/>
      <c r="O44" s="80"/>
      <c r="Q44" s="80"/>
      <c r="AD44" s="80"/>
      <c r="AF44" s="80"/>
      <c r="AX44" s="80"/>
      <c r="AZ44" s="80"/>
      <c r="BF44" s="80"/>
      <c r="BP44" s="80"/>
      <c r="BQ44" s="80"/>
      <c r="BR44" s="80"/>
      <c r="BS44" s="80"/>
      <c r="BZ44" s="80"/>
      <c r="CA44" s="80"/>
      <c r="CB44" s="80"/>
      <c r="CC44" s="80"/>
      <c r="CD44" s="80"/>
      <c r="CE44" s="80"/>
      <c r="CG44" s="80"/>
      <c r="CL44" s="80"/>
      <c r="CT44" s="80"/>
      <c r="CU44" s="80"/>
      <c r="CY44" s="80"/>
      <c r="CZ44" s="80"/>
      <c r="DA44" s="80"/>
      <c r="DE44" s="80"/>
      <c r="DI44" s="80"/>
      <c r="DJ44" s="80"/>
      <c r="DN44" s="80"/>
      <c r="DR44" s="80"/>
      <c r="DV44" s="80"/>
      <c r="DX44" s="80"/>
      <c r="EC44" s="80"/>
      <c r="EF44" s="80"/>
      <c r="EI44" s="80"/>
      <c r="EL44" s="80"/>
    </row>
    <row r="45" spans="1:142" ht="12.75" customHeight="1">
      <c r="A45" s="80"/>
      <c r="B45" s="80"/>
      <c r="C45" s="80"/>
      <c r="D45" s="104"/>
      <c r="E45" s="26"/>
      <c r="F45" s="26"/>
      <c r="H45" s="80"/>
      <c r="K45" s="80"/>
      <c r="L45" s="80"/>
      <c r="M45" s="80"/>
      <c r="N45" s="80"/>
      <c r="O45" s="80"/>
      <c r="P45" s="80"/>
      <c r="Q45" s="80"/>
      <c r="AB45" s="80"/>
      <c r="AF45" s="80"/>
      <c r="AZ45" s="80"/>
      <c r="BF45" s="80"/>
      <c r="BR45" s="80"/>
      <c r="BS45" s="80"/>
      <c r="BZ45" s="80"/>
      <c r="CA45" s="80"/>
      <c r="CB45" s="80"/>
      <c r="CC45" s="80"/>
      <c r="CD45" s="80"/>
      <c r="CE45" s="80"/>
      <c r="CG45" s="80"/>
      <c r="CL45" s="80"/>
      <c r="CN45" s="80"/>
      <c r="CO45" s="80"/>
      <c r="CW45" s="80"/>
      <c r="CY45" s="80"/>
      <c r="CZ45" s="80"/>
      <c r="DA45" s="80"/>
      <c r="DE45" s="80"/>
      <c r="DI45" s="80"/>
      <c r="DJ45" s="80"/>
      <c r="DN45" s="80"/>
      <c r="DR45" s="80"/>
      <c r="DV45" s="80"/>
      <c r="DX45" s="80"/>
      <c r="EC45" s="80"/>
      <c r="EF45" s="80"/>
      <c r="EI45" s="80"/>
      <c r="EK45" s="80"/>
      <c r="EL45" s="80"/>
    </row>
    <row r="46" spans="1:142" ht="12.75" customHeight="1">
      <c r="A46" s="80"/>
      <c r="B46" s="80"/>
      <c r="C46" s="80"/>
      <c r="D46" s="104"/>
      <c r="E46" s="26"/>
      <c r="F46" s="26"/>
      <c r="H46" s="80"/>
      <c r="K46" s="80"/>
      <c r="L46" s="80"/>
      <c r="M46" s="80"/>
      <c r="N46" s="80"/>
      <c r="P46" s="80"/>
      <c r="Q46" s="80"/>
      <c r="R46" s="80"/>
      <c r="AF46" s="80"/>
      <c r="AJ46" s="80"/>
      <c r="AL46" s="80"/>
      <c r="AP46" s="80"/>
      <c r="AZ46" s="80"/>
      <c r="BF46" s="80"/>
      <c r="BR46" s="80"/>
      <c r="BS46" s="80"/>
      <c r="BZ46" s="80"/>
      <c r="CD46" s="80"/>
      <c r="CE46" s="80"/>
      <c r="CG46" s="80"/>
      <c r="CL46" s="80"/>
      <c r="CY46" s="80"/>
      <c r="CZ46" s="80"/>
      <c r="DE46" s="80"/>
      <c r="DI46" s="80"/>
      <c r="DJ46" s="80"/>
      <c r="DN46" s="80"/>
      <c r="DR46" s="80"/>
      <c r="DV46" s="80"/>
      <c r="DX46" s="80"/>
      <c r="EC46" s="80"/>
      <c r="EL46" s="80"/>
    </row>
    <row r="47" spans="1:142" ht="12.75" customHeight="1">
      <c r="A47" s="80"/>
      <c r="B47" s="80"/>
      <c r="C47" s="80"/>
      <c r="D47" s="104"/>
      <c r="E47" s="26"/>
      <c r="F47" s="26"/>
      <c r="H47" s="80"/>
      <c r="I47" s="80"/>
      <c r="L47" s="80"/>
      <c r="M47" s="80"/>
      <c r="N47" s="80"/>
      <c r="O47" s="80"/>
      <c r="P47" s="80"/>
      <c r="Q47" s="80"/>
      <c r="AB47" s="80"/>
      <c r="AF47" s="80"/>
      <c r="AL47" s="80"/>
      <c r="AP47" s="80"/>
      <c r="AZ47" s="80"/>
      <c r="BA47" s="80"/>
      <c r="BF47" s="80"/>
      <c r="BL47" s="80"/>
      <c r="BQ47" s="80"/>
      <c r="BR47" s="80"/>
      <c r="BS47" s="80"/>
      <c r="BT47" s="80"/>
      <c r="BZ47" s="80"/>
      <c r="CA47" s="80"/>
      <c r="CB47" s="80"/>
      <c r="CC47" s="80"/>
      <c r="CD47" s="80"/>
      <c r="CE47" s="80"/>
      <c r="CG47" s="80"/>
      <c r="CL47" s="80"/>
      <c r="CN47" s="80"/>
      <c r="CO47" s="80"/>
      <c r="CP47" s="80"/>
      <c r="CQ47" s="80"/>
      <c r="CT47" s="80"/>
      <c r="CU47" s="80"/>
      <c r="CY47" s="80"/>
      <c r="CZ47" s="80"/>
      <c r="DA47" s="80"/>
      <c r="DE47" s="80"/>
      <c r="DI47" s="80"/>
      <c r="DJ47" s="80"/>
      <c r="DN47" s="80"/>
      <c r="DR47" s="80"/>
      <c r="DV47" s="80"/>
      <c r="DX47" s="80"/>
      <c r="EC47" s="80"/>
      <c r="ED47" s="80"/>
      <c r="EF47" s="80"/>
      <c r="EI47" s="80"/>
      <c r="EK47" s="80"/>
      <c r="EL47" s="80"/>
    </row>
    <row r="48" spans="1:142" ht="12.75" customHeight="1">
      <c r="A48" s="80"/>
      <c r="B48" s="80"/>
      <c r="C48" s="80"/>
      <c r="D48" s="104"/>
      <c r="E48" s="26"/>
      <c r="F48" s="26"/>
      <c r="H48" s="80"/>
      <c r="I48" s="80"/>
      <c r="K48" s="80"/>
      <c r="L48" s="80"/>
      <c r="M48" s="80"/>
      <c r="O48" s="80"/>
      <c r="Q48" s="80"/>
      <c r="AF48" s="80"/>
      <c r="AL48" s="80"/>
      <c r="AP48" s="80"/>
      <c r="AZ48" s="80"/>
      <c r="BF48" s="80"/>
      <c r="BQ48" s="80"/>
      <c r="BR48" s="80"/>
      <c r="BS48" s="80"/>
      <c r="BT48" s="80"/>
      <c r="BZ48" s="80"/>
      <c r="CA48" s="80"/>
      <c r="CB48" s="80"/>
      <c r="CC48" s="80"/>
      <c r="CD48" s="80"/>
      <c r="CE48" s="80"/>
      <c r="CG48" s="80"/>
      <c r="CL48" s="80"/>
      <c r="DE48" s="80"/>
      <c r="DI48" s="80"/>
      <c r="DJ48" s="80"/>
      <c r="DN48" s="80"/>
      <c r="DO48" s="80"/>
      <c r="DR48" s="80"/>
      <c r="DV48" s="80"/>
      <c r="DX48" s="80"/>
      <c r="EC48" s="80"/>
      <c r="EF48" s="80"/>
      <c r="EG48" s="80"/>
      <c r="EI48" s="80"/>
      <c r="EK48" s="80"/>
      <c r="EL48" s="80"/>
    </row>
    <row r="49" spans="1:142" ht="12.75" customHeight="1">
      <c r="A49" s="80"/>
      <c r="B49" s="80"/>
      <c r="C49" s="80"/>
      <c r="D49" s="104"/>
      <c r="E49" s="26"/>
      <c r="F49" s="26"/>
      <c r="H49" s="80"/>
      <c r="I49" s="80"/>
      <c r="K49" s="80"/>
      <c r="L49" s="80"/>
      <c r="M49" s="80"/>
      <c r="O49" s="80"/>
      <c r="P49" s="80"/>
      <c r="Q49" s="80"/>
      <c r="AF49" s="80"/>
      <c r="AK49" s="80"/>
      <c r="AP49" s="80"/>
      <c r="AV49" s="80"/>
      <c r="AX49" s="80"/>
      <c r="AY49" s="80"/>
      <c r="BF49" s="80"/>
      <c r="BP49" s="80"/>
      <c r="BQ49" s="80"/>
      <c r="BR49" s="80"/>
      <c r="BS49" s="80"/>
      <c r="BZ49" s="80"/>
      <c r="CA49" s="80"/>
      <c r="CB49" s="80"/>
      <c r="CC49" s="80"/>
      <c r="CD49" s="80"/>
      <c r="CE49" s="80"/>
      <c r="CG49" s="80"/>
      <c r="CL49" s="80"/>
      <c r="CN49" s="80"/>
      <c r="CO49" s="80"/>
      <c r="CY49" s="80"/>
      <c r="CZ49" s="80"/>
      <c r="DA49" s="80"/>
      <c r="DE49" s="80"/>
      <c r="DI49" s="80"/>
      <c r="DJ49" s="80"/>
      <c r="DN49" s="80"/>
      <c r="DO49" s="80"/>
      <c r="DR49" s="80"/>
      <c r="DV49" s="80"/>
      <c r="DX49" s="80"/>
      <c r="EC49" s="80"/>
      <c r="EL49" s="80"/>
    </row>
    <row r="50" spans="1:142" ht="12.75" customHeight="1">
      <c r="A50" s="80"/>
      <c r="B50" s="80"/>
      <c r="C50" s="80"/>
      <c r="D50" s="104"/>
      <c r="E50" s="26"/>
      <c r="F50" s="26"/>
      <c r="G50" s="80"/>
      <c r="H50" s="80"/>
      <c r="I50" s="80"/>
      <c r="J50" s="80"/>
      <c r="L50" s="80"/>
      <c r="M50" s="80"/>
      <c r="N50" s="80"/>
      <c r="P50" s="80"/>
      <c r="Q50" s="80"/>
      <c r="AC50" s="80"/>
      <c r="AE50" s="80"/>
      <c r="AF50" s="80"/>
      <c r="AH50" s="80"/>
      <c r="AZ50" s="80"/>
      <c r="BF50" s="80"/>
      <c r="BJ50" s="80"/>
      <c r="BQ50" s="80"/>
      <c r="BR50" s="80"/>
      <c r="BS50" s="80"/>
      <c r="BT50" s="80"/>
      <c r="BZ50" s="80"/>
      <c r="CA50" s="80"/>
      <c r="CB50" s="80"/>
      <c r="CC50" s="80"/>
      <c r="CD50" s="80"/>
      <c r="CE50" s="80"/>
      <c r="CG50" s="80"/>
      <c r="CL50" s="80"/>
      <c r="CT50" s="80"/>
      <c r="CU50" s="80"/>
      <c r="CY50" s="80"/>
      <c r="CZ50" s="80"/>
      <c r="DA50" s="80"/>
      <c r="DE50" s="80"/>
      <c r="DI50" s="80"/>
      <c r="DJ50" s="80"/>
      <c r="DN50" s="80"/>
      <c r="DR50" s="80"/>
      <c r="DV50" s="80"/>
      <c r="DW50" s="80"/>
      <c r="DX50" s="80"/>
      <c r="EC50" s="80"/>
      <c r="EL50" s="80"/>
    </row>
    <row r="51" spans="1:142" ht="12.75" customHeight="1">
      <c r="A51" s="80"/>
      <c r="B51" s="80"/>
      <c r="C51" s="80"/>
      <c r="D51" s="104"/>
      <c r="E51" s="26"/>
      <c r="F51" s="26"/>
      <c r="H51" s="80"/>
      <c r="I51" s="80"/>
      <c r="J51" s="80"/>
      <c r="K51" s="80"/>
      <c r="L51" s="80"/>
      <c r="M51" s="80"/>
      <c r="O51" s="80"/>
      <c r="Q51" s="80"/>
      <c r="T51" s="80"/>
      <c r="X51" s="80"/>
      <c r="AF51" s="80"/>
      <c r="AX51" s="80"/>
      <c r="AY51" s="80"/>
      <c r="AZ51" s="80"/>
      <c r="BF51" s="80"/>
      <c r="BQ51" s="80"/>
      <c r="BR51" s="80"/>
      <c r="BS51" s="80"/>
      <c r="BZ51" s="80"/>
      <c r="CA51" s="80"/>
      <c r="CB51" s="80"/>
      <c r="CC51" s="80"/>
      <c r="CD51" s="80"/>
      <c r="CE51" s="80"/>
      <c r="CG51" s="80"/>
      <c r="CL51" s="80"/>
      <c r="CN51" s="80"/>
      <c r="CO51" s="80"/>
      <c r="CY51" s="80"/>
      <c r="CZ51" s="80"/>
      <c r="DA51" s="80"/>
      <c r="DE51" s="80"/>
      <c r="DI51" s="80"/>
      <c r="DJ51" s="80"/>
      <c r="DN51" s="80"/>
      <c r="ED51" s="80"/>
      <c r="EK51" s="80"/>
      <c r="EL51" s="80"/>
    </row>
    <row r="52" spans="1:142" ht="12.75" customHeight="1">
      <c r="A52" s="80"/>
      <c r="B52" s="80"/>
      <c r="C52" s="80"/>
      <c r="D52" s="104"/>
      <c r="E52" s="26"/>
      <c r="F52" s="26"/>
      <c r="H52" s="80"/>
      <c r="I52" s="80"/>
      <c r="K52" s="80"/>
      <c r="L52" s="80"/>
      <c r="M52" s="80"/>
      <c r="O52" s="80"/>
      <c r="P52" s="80"/>
      <c r="Q52" s="80"/>
      <c r="AB52" s="80"/>
      <c r="AF52" s="80"/>
      <c r="AL52" s="80"/>
      <c r="AP52" s="80"/>
      <c r="AV52" s="80"/>
      <c r="AZ52" s="80"/>
      <c r="BF52" s="80"/>
      <c r="BP52" s="80"/>
      <c r="BQ52" s="80"/>
      <c r="BR52" s="80"/>
      <c r="BZ52" s="80"/>
      <c r="CA52" s="80"/>
      <c r="CB52" s="80"/>
      <c r="CC52" s="80"/>
      <c r="CD52" s="80"/>
      <c r="CE52" s="80"/>
      <c r="CG52" s="80"/>
      <c r="CL52" s="80"/>
      <c r="CN52" s="80"/>
      <c r="CO52" s="80"/>
      <c r="CY52" s="80"/>
      <c r="CZ52" s="80"/>
      <c r="DE52" s="80"/>
      <c r="DI52" s="80"/>
      <c r="DJ52" s="80"/>
      <c r="DN52" s="80"/>
      <c r="DR52" s="80"/>
      <c r="DT52" s="80"/>
      <c r="DU52" s="80"/>
      <c r="DV52" s="80"/>
      <c r="DX52" s="80"/>
      <c r="EC52" s="80"/>
      <c r="ED52" s="80"/>
      <c r="EF52" s="80"/>
      <c r="EI52" s="80"/>
      <c r="EJ52" s="80"/>
      <c r="EK52" s="80"/>
      <c r="EL52" s="80"/>
    </row>
    <row r="53" spans="1:142" ht="12.75" customHeight="1">
      <c r="A53" s="80"/>
      <c r="B53" s="80"/>
      <c r="C53" s="80"/>
      <c r="D53" s="104"/>
      <c r="E53" s="26"/>
      <c r="F53" s="26"/>
      <c r="H53" s="80"/>
      <c r="K53" s="80"/>
      <c r="L53" s="80"/>
      <c r="M53" s="80"/>
      <c r="N53" s="80"/>
      <c r="O53" s="80"/>
      <c r="P53" s="80"/>
      <c r="Q53" s="80"/>
      <c r="R53" s="80"/>
      <c r="AC53" s="80"/>
      <c r="AF53" s="80"/>
      <c r="AZ53" s="80"/>
      <c r="BF53" s="80"/>
      <c r="BJ53" s="80"/>
      <c r="BM53" s="80"/>
      <c r="BN53" s="80"/>
      <c r="BQ53" s="80"/>
      <c r="BR53" s="80"/>
      <c r="BS53" s="80"/>
      <c r="BZ53" s="80"/>
      <c r="CA53" s="80"/>
      <c r="CD53" s="80"/>
      <c r="CE53" s="80"/>
      <c r="CG53" s="80"/>
      <c r="CI53" s="80"/>
      <c r="CK53" s="80"/>
      <c r="CL53" s="80"/>
      <c r="CN53" s="80"/>
      <c r="CO53" s="80"/>
      <c r="CT53" s="80"/>
      <c r="CU53" s="80"/>
      <c r="CX53" s="80"/>
      <c r="CY53" s="80"/>
      <c r="CZ53" s="80"/>
      <c r="DA53" s="80"/>
      <c r="DE53" s="80"/>
      <c r="DI53" s="80"/>
      <c r="DJ53" s="80"/>
      <c r="DK53" s="80"/>
      <c r="DN53" s="80"/>
      <c r="DO53" s="80"/>
      <c r="DR53" s="80"/>
      <c r="DV53" s="80"/>
      <c r="DW53" s="80"/>
      <c r="DX53" s="80"/>
      <c r="EC53" s="80"/>
      <c r="ED53" s="80"/>
      <c r="EF53" s="80"/>
      <c r="EI53" s="80"/>
      <c r="EK53" s="80"/>
      <c r="EL53" s="80"/>
    </row>
    <row r="54" spans="1:142" ht="12.75" customHeight="1">
      <c r="A54" s="80"/>
      <c r="B54" s="80"/>
      <c r="C54" s="80"/>
      <c r="D54" s="104"/>
      <c r="E54" s="26"/>
      <c r="F54" s="26"/>
      <c r="H54" s="80"/>
      <c r="I54" s="80"/>
      <c r="J54" s="80"/>
      <c r="K54" s="80"/>
      <c r="L54" s="80"/>
      <c r="M54" s="80"/>
      <c r="N54" s="80"/>
      <c r="O54" s="80"/>
      <c r="P54" s="80"/>
      <c r="Q54" s="80"/>
      <c r="X54" s="80"/>
      <c r="AF54" s="80"/>
      <c r="AK54" s="80"/>
      <c r="AP54" s="80"/>
      <c r="AZ54" s="80"/>
      <c r="BF54" s="80"/>
      <c r="BQ54" s="80"/>
      <c r="BR54" s="80"/>
      <c r="BS54" s="80"/>
      <c r="BT54" s="80"/>
      <c r="BZ54" s="80"/>
      <c r="CA54" s="80"/>
      <c r="CB54" s="80"/>
      <c r="CD54" s="80"/>
      <c r="CE54" s="80"/>
      <c r="CG54" s="80"/>
      <c r="CL54" s="80"/>
      <c r="CY54" s="80"/>
      <c r="CZ54" s="80"/>
      <c r="DC54" s="80"/>
      <c r="DE54" s="80"/>
      <c r="DI54" s="80"/>
      <c r="DJ54" s="80"/>
      <c r="DN54" s="80"/>
      <c r="DR54" s="80"/>
      <c r="DV54" s="80"/>
      <c r="DX54" s="80"/>
      <c r="EC54" s="80"/>
      <c r="EI54" s="80"/>
      <c r="EK54" s="80"/>
      <c r="EL54" s="80"/>
    </row>
    <row r="55" spans="1:142" ht="12.75" customHeight="1">
      <c r="A55" s="80"/>
      <c r="B55" s="80"/>
      <c r="C55" s="80"/>
      <c r="D55" s="104"/>
      <c r="E55" s="26"/>
      <c r="F55" s="26"/>
      <c r="H55" s="80"/>
      <c r="I55" s="80"/>
      <c r="J55" s="80"/>
      <c r="K55" s="80"/>
      <c r="L55" s="80"/>
      <c r="M55" s="80"/>
      <c r="N55" s="80"/>
      <c r="O55" s="80"/>
      <c r="P55" s="80"/>
      <c r="Q55" s="80"/>
      <c r="AB55" s="80"/>
      <c r="AF55" s="80"/>
      <c r="AL55" s="80"/>
      <c r="AP55" s="80"/>
      <c r="AX55" s="80"/>
      <c r="AZ55" s="80"/>
      <c r="BF55" s="80"/>
      <c r="BQ55" s="80"/>
      <c r="BR55" s="80"/>
      <c r="BS55" s="80"/>
      <c r="BT55" s="80"/>
      <c r="BZ55" s="80"/>
      <c r="CA55" s="80"/>
      <c r="CB55" s="80"/>
      <c r="CC55" s="80"/>
      <c r="CD55" s="80"/>
      <c r="CE55" s="80"/>
      <c r="CG55" s="80"/>
      <c r="CI55" s="80"/>
      <c r="CK55" s="80"/>
      <c r="CL55" s="80"/>
      <c r="CN55" s="80"/>
      <c r="CO55" s="80"/>
      <c r="CT55" s="80"/>
      <c r="CU55" s="80"/>
      <c r="CY55" s="80"/>
      <c r="CZ55" s="80"/>
      <c r="DA55" s="80"/>
      <c r="DE55" s="80"/>
      <c r="DF55" s="80"/>
      <c r="DI55" s="80"/>
      <c r="DJ55" s="80"/>
      <c r="DN55" s="80"/>
      <c r="DP55" s="80"/>
      <c r="DR55" s="80"/>
      <c r="DV55" s="80"/>
      <c r="DX55" s="80"/>
      <c r="EC55" s="80"/>
      <c r="EI55" s="80"/>
      <c r="EK55" s="80"/>
      <c r="EL55" s="80"/>
    </row>
    <row r="56" spans="1:142" ht="12.75" customHeight="1">
      <c r="A56" s="80"/>
      <c r="B56" s="80"/>
      <c r="C56" s="80"/>
      <c r="D56" s="104"/>
      <c r="E56" s="26"/>
      <c r="F56" s="26"/>
      <c r="H56" s="80"/>
      <c r="I56" s="80"/>
      <c r="J56" s="80"/>
      <c r="K56" s="80"/>
      <c r="L56" s="80"/>
      <c r="M56" s="80"/>
      <c r="O56" s="80"/>
      <c r="P56" s="80"/>
      <c r="Q56" s="80"/>
      <c r="AF56" s="80"/>
      <c r="AZ56" s="80"/>
      <c r="BF56" s="80"/>
      <c r="BQ56" s="80"/>
      <c r="BR56" s="80"/>
      <c r="BS56" s="80"/>
      <c r="BZ56" s="80"/>
      <c r="CA56" s="80"/>
      <c r="CB56" s="80"/>
      <c r="CC56" s="80"/>
      <c r="CD56" s="80"/>
      <c r="CE56" s="80"/>
      <c r="CG56" s="80"/>
      <c r="CL56" s="80"/>
      <c r="CN56" s="80"/>
      <c r="CO56" s="80"/>
      <c r="CY56" s="80"/>
      <c r="CZ56" s="80"/>
      <c r="DE56" s="80"/>
      <c r="DI56" s="80"/>
      <c r="DJ56" s="80"/>
      <c r="DN56" s="80"/>
      <c r="DR56" s="80"/>
      <c r="DV56" s="80"/>
      <c r="DX56" s="80"/>
      <c r="EC56" s="80"/>
      <c r="EL56" s="80"/>
    </row>
    <row r="57" spans="1:142" ht="12.75" customHeight="1">
      <c r="A57" s="80"/>
      <c r="B57" s="80"/>
      <c r="C57" s="80"/>
      <c r="D57" s="104"/>
      <c r="E57" s="26"/>
      <c r="F57" s="26"/>
      <c r="H57" s="80"/>
      <c r="K57" s="80"/>
      <c r="L57" s="80"/>
      <c r="M57" s="80"/>
      <c r="P57" s="80"/>
      <c r="Q57" s="80"/>
      <c r="AC57" s="80"/>
      <c r="AF57" s="80"/>
      <c r="AK57" s="80"/>
      <c r="AP57" s="80"/>
      <c r="AZ57" s="80"/>
      <c r="BF57" s="80"/>
      <c r="BQ57" s="80"/>
      <c r="BR57" s="80"/>
      <c r="BS57" s="80"/>
      <c r="BZ57" s="80"/>
      <c r="CA57" s="80"/>
      <c r="CB57" s="80"/>
      <c r="CC57" s="80"/>
      <c r="CD57" s="80"/>
      <c r="CE57" s="80"/>
      <c r="CG57" s="80"/>
      <c r="CL57" s="80"/>
      <c r="CN57" s="80"/>
      <c r="CO57" s="80"/>
      <c r="CY57" s="80"/>
      <c r="CZ57" s="80"/>
      <c r="DE57" s="80"/>
      <c r="DI57" s="80"/>
      <c r="DJ57" s="80"/>
      <c r="DN57" s="80"/>
      <c r="DR57" s="80"/>
      <c r="DV57" s="80"/>
      <c r="DW57" s="80"/>
      <c r="DX57" s="80"/>
      <c r="EC57" s="80"/>
      <c r="EL57" s="80"/>
    </row>
    <row r="58" spans="1:142" ht="12.75" customHeight="1">
      <c r="A58" s="80"/>
      <c r="B58" s="80"/>
      <c r="C58" s="80"/>
      <c r="D58" s="104"/>
      <c r="E58" s="26"/>
      <c r="F58" s="26"/>
      <c r="H58" s="80"/>
      <c r="I58" s="80"/>
      <c r="K58" s="80"/>
      <c r="L58" s="80"/>
      <c r="M58" s="80"/>
      <c r="N58" s="80"/>
      <c r="O58" s="80"/>
      <c r="P58" s="80"/>
      <c r="Q58" s="80"/>
      <c r="AF58" s="80"/>
      <c r="AK58" s="80"/>
      <c r="AP58" s="80"/>
      <c r="AZ58" s="80"/>
      <c r="BF58" s="80"/>
      <c r="BQ58" s="80"/>
      <c r="BR58" s="80"/>
      <c r="BS58" s="80"/>
      <c r="BT58" s="80"/>
      <c r="CA58" s="80"/>
      <c r="CB58" s="80"/>
      <c r="CC58" s="80"/>
      <c r="CD58" s="80"/>
      <c r="CE58" s="80"/>
      <c r="CG58" s="80"/>
      <c r="CI58" s="80"/>
      <c r="CK58" s="80"/>
      <c r="CL58" s="80"/>
      <c r="CN58" s="80"/>
      <c r="CO58" s="80"/>
      <c r="DE58" s="80"/>
      <c r="DI58" s="80"/>
      <c r="DJ58" s="80"/>
      <c r="DN58" s="80"/>
      <c r="DO58" s="80"/>
      <c r="DR58" s="80"/>
      <c r="DV58" s="80"/>
      <c r="DW58" s="80"/>
      <c r="DX58" s="80"/>
      <c r="EC58" s="80"/>
      <c r="EL58" s="80"/>
    </row>
    <row r="59" spans="1:142" ht="12.75" customHeight="1">
      <c r="A59" s="80"/>
      <c r="B59" s="80"/>
      <c r="C59" s="80"/>
      <c r="D59" s="104"/>
      <c r="E59" s="26"/>
      <c r="F59" s="26"/>
      <c r="H59" s="80"/>
      <c r="K59" s="80"/>
      <c r="L59" s="80"/>
      <c r="M59" s="80"/>
      <c r="N59" s="80"/>
      <c r="O59" s="80"/>
      <c r="P59" s="80"/>
      <c r="Q59" s="80"/>
      <c r="AB59" s="80"/>
      <c r="AF59" s="80"/>
      <c r="AK59" s="80"/>
      <c r="AP59" s="80"/>
      <c r="AZ59" s="80"/>
      <c r="BF59" s="80"/>
      <c r="BR59" s="80"/>
      <c r="BZ59" s="80"/>
      <c r="CA59" s="80"/>
      <c r="CB59" s="80"/>
      <c r="CC59" s="80"/>
      <c r="CD59" s="80"/>
      <c r="CE59" s="80"/>
      <c r="CG59" s="80"/>
      <c r="CL59" s="80"/>
      <c r="CN59" s="80"/>
      <c r="CO59" s="80"/>
      <c r="CY59" s="80"/>
      <c r="CZ59" s="80"/>
      <c r="DA59" s="80"/>
      <c r="DE59" s="80"/>
      <c r="DI59" s="80"/>
      <c r="DJ59" s="80"/>
      <c r="DN59" s="80"/>
      <c r="DR59" s="80"/>
      <c r="DV59" s="80"/>
      <c r="DW59" s="80"/>
      <c r="DX59" s="80"/>
      <c r="EC59" s="80"/>
      <c r="EF59" s="80"/>
      <c r="EI59" s="80"/>
      <c r="EL59" s="80"/>
    </row>
    <row r="60" spans="1:142" ht="12.75" customHeight="1">
      <c r="A60" s="80"/>
      <c r="B60" s="80"/>
      <c r="C60" s="80"/>
      <c r="D60" s="104"/>
      <c r="E60" s="26"/>
      <c r="F60" s="26"/>
      <c r="H60" s="80"/>
      <c r="I60" s="80"/>
      <c r="J60" s="80"/>
      <c r="K60" s="80"/>
      <c r="L60" s="80"/>
      <c r="M60" s="80"/>
      <c r="N60" s="80"/>
      <c r="O60" s="80"/>
      <c r="Q60" s="80"/>
      <c r="S60" s="80"/>
      <c r="AF60" s="80"/>
      <c r="AK60" s="80"/>
      <c r="AL60" s="80"/>
      <c r="AP60" s="80"/>
      <c r="AX60" s="80"/>
      <c r="AZ60" s="80"/>
      <c r="BF60" s="80"/>
      <c r="BR60" s="80"/>
      <c r="BZ60" s="80"/>
      <c r="CA60" s="80"/>
      <c r="CB60" s="80"/>
      <c r="CD60" s="80"/>
      <c r="CE60" s="80"/>
      <c r="CF60" s="80"/>
      <c r="CG60" s="80"/>
      <c r="CL60" s="80"/>
      <c r="CN60" s="80"/>
      <c r="CO60" s="80"/>
      <c r="CY60" s="80"/>
      <c r="CZ60" s="80"/>
      <c r="DE60" s="80"/>
      <c r="DI60" s="80"/>
      <c r="DJ60" s="80"/>
      <c r="DN60" s="80"/>
      <c r="DO60" s="80"/>
      <c r="DR60" s="80"/>
      <c r="DV60" s="80"/>
      <c r="DW60" s="80"/>
      <c r="DX60" s="80"/>
      <c r="EC60" s="80"/>
      <c r="EL60" s="80"/>
    </row>
    <row r="61" spans="1:142" ht="12.75" customHeight="1">
      <c r="A61" s="80"/>
      <c r="B61" s="80"/>
      <c r="C61" s="80"/>
      <c r="D61" s="104"/>
      <c r="E61" s="26"/>
      <c r="F61" s="26"/>
      <c r="H61" s="80"/>
      <c r="J61" s="80"/>
      <c r="L61" s="80"/>
      <c r="M61" s="80"/>
      <c r="N61" s="80"/>
      <c r="O61" s="80"/>
      <c r="P61" s="80"/>
      <c r="Q61" s="80"/>
      <c r="AF61" s="80"/>
      <c r="AL61" s="80"/>
      <c r="AP61" s="80"/>
      <c r="AZ61" s="80"/>
      <c r="BF61" s="80"/>
      <c r="BJ61" s="80"/>
      <c r="BQ61" s="80"/>
      <c r="BR61" s="80"/>
      <c r="BS61" s="80"/>
      <c r="BZ61" s="80"/>
      <c r="CA61" s="80"/>
      <c r="CB61" s="80"/>
      <c r="CC61" s="80"/>
      <c r="CD61" s="80"/>
      <c r="CE61" s="80"/>
      <c r="CG61" s="80"/>
      <c r="CL61" s="80"/>
      <c r="CY61" s="80"/>
      <c r="CZ61" s="80"/>
      <c r="DA61" s="80"/>
      <c r="DC61" s="80"/>
      <c r="DE61" s="80"/>
      <c r="DI61" s="80"/>
      <c r="DJ61" s="80"/>
      <c r="DN61" s="80"/>
      <c r="DR61" s="80"/>
      <c r="DS61" s="80"/>
      <c r="DU61" s="80"/>
      <c r="DV61" s="80"/>
      <c r="DW61" s="80"/>
      <c r="DX61" s="80"/>
      <c r="EC61" s="80"/>
      <c r="EL61" s="80"/>
    </row>
    <row r="62" spans="1:142" ht="12.75" customHeight="1">
      <c r="A62" s="80"/>
      <c r="B62" s="80"/>
      <c r="C62" s="80"/>
      <c r="D62" s="104"/>
      <c r="E62" s="26"/>
      <c r="F62" s="26"/>
      <c r="G62" s="80"/>
      <c r="H62" s="80"/>
      <c r="I62" s="80"/>
      <c r="J62" s="80"/>
      <c r="K62" s="80"/>
      <c r="L62" s="80"/>
      <c r="M62" s="80"/>
      <c r="N62" s="80"/>
      <c r="O62" s="80"/>
      <c r="Q62" s="80"/>
      <c r="AF62" s="80"/>
      <c r="AK62" s="80"/>
      <c r="AP62" s="80"/>
      <c r="AX62" s="80"/>
      <c r="AZ62" s="80"/>
      <c r="BF62" s="80"/>
      <c r="BQ62" s="80"/>
      <c r="BR62" s="80"/>
      <c r="BS62" s="80"/>
      <c r="BZ62" s="80"/>
      <c r="CA62" s="80"/>
      <c r="CB62" s="80"/>
      <c r="CC62" s="80"/>
      <c r="CD62" s="80"/>
      <c r="CE62" s="80"/>
      <c r="CG62" s="80"/>
      <c r="CL62" s="80"/>
      <c r="CT62" s="80"/>
      <c r="CZ62" s="80"/>
      <c r="DA62" s="80"/>
      <c r="DC62" s="80"/>
      <c r="DE62" s="80"/>
      <c r="DI62" s="80"/>
      <c r="DJ62" s="80"/>
      <c r="DN62" s="80"/>
      <c r="DW62" s="80"/>
      <c r="DX62" s="80"/>
      <c r="EC62" s="80"/>
      <c r="EL62" s="80"/>
    </row>
    <row r="63" spans="1:142" ht="12.75" customHeight="1">
      <c r="A63" s="80"/>
      <c r="B63" s="80"/>
      <c r="C63" s="80"/>
      <c r="D63" s="104"/>
      <c r="E63" s="26"/>
      <c r="F63" s="26"/>
      <c r="H63" s="80"/>
      <c r="I63" s="80"/>
      <c r="J63" s="80"/>
      <c r="K63" s="80"/>
      <c r="L63" s="80"/>
      <c r="M63" s="80"/>
      <c r="N63" s="80"/>
      <c r="O63" s="80"/>
      <c r="P63" s="80"/>
      <c r="Q63" s="80"/>
      <c r="R63" s="80"/>
      <c r="AF63" s="80"/>
      <c r="AL63" s="80"/>
      <c r="AP63" s="80"/>
      <c r="AX63" s="80"/>
      <c r="AZ63" s="80"/>
      <c r="BF63" s="80"/>
      <c r="BJ63" s="80"/>
      <c r="BQ63" s="80"/>
      <c r="BR63" s="80"/>
      <c r="BS63" s="80"/>
      <c r="BZ63" s="80"/>
      <c r="CA63" s="80"/>
      <c r="CB63" s="80"/>
      <c r="CC63" s="80"/>
      <c r="CD63" s="80"/>
      <c r="CE63" s="80"/>
      <c r="CG63" s="80"/>
      <c r="CI63" s="80"/>
      <c r="CK63" s="80"/>
      <c r="CL63" s="80"/>
      <c r="CT63" s="80"/>
      <c r="CU63" s="80"/>
      <c r="CY63" s="80"/>
      <c r="CZ63" s="80"/>
      <c r="DA63" s="80"/>
      <c r="DE63" s="80"/>
      <c r="DI63" s="80"/>
      <c r="DJ63" s="80"/>
      <c r="DN63" s="80"/>
      <c r="DR63" s="80"/>
      <c r="DV63" s="80"/>
      <c r="DW63" s="80"/>
      <c r="DX63" s="80"/>
      <c r="EC63" s="80"/>
      <c r="EF63" s="80"/>
      <c r="EK63" s="80"/>
      <c r="EL63" s="80"/>
    </row>
    <row r="64" spans="1:142" ht="12.75" customHeight="1">
      <c r="A64" s="80"/>
      <c r="B64" s="80"/>
      <c r="C64" s="80"/>
      <c r="D64" s="104"/>
      <c r="E64" s="26"/>
      <c r="F64" s="26"/>
      <c r="H64" s="80"/>
      <c r="L64" s="80"/>
      <c r="M64" s="80"/>
      <c r="N64" s="80"/>
      <c r="P64" s="80"/>
      <c r="Q64" s="80"/>
      <c r="AF64" s="80"/>
      <c r="AL64" s="80"/>
      <c r="AP64" s="80"/>
      <c r="AZ64" s="80"/>
      <c r="BF64" s="80"/>
      <c r="BQ64" s="80"/>
      <c r="BR64" s="80"/>
      <c r="BS64" s="80"/>
      <c r="BT64" s="80"/>
      <c r="BZ64" s="80"/>
      <c r="CA64" s="80"/>
      <c r="CB64" s="80"/>
      <c r="CC64" s="80"/>
      <c r="CD64" s="80"/>
      <c r="CE64" s="80"/>
      <c r="CG64" s="80"/>
      <c r="CI64" s="80"/>
      <c r="CK64" s="80"/>
      <c r="CL64" s="80"/>
      <c r="CW64" s="80"/>
      <c r="CY64" s="80"/>
      <c r="CZ64" s="80"/>
      <c r="DA64" s="80"/>
      <c r="DE64" s="80"/>
      <c r="DI64" s="80"/>
      <c r="DJ64" s="80"/>
      <c r="DN64" s="80"/>
      <c r="DR64" s="80"/>
      <c r="DV64" s="80"/>
      <c r="DX64" s="80"/>
      <c r="EC64" s="80"/>
      <c r="EL64" s="80"/>
    </row>
    <row r="65" spans="1:142" ht="12.75" customHeight="1">
      <c r="A65" s="80"/>
      <c r="B65" s="80"/>
      <c r="C65" s="80"/>
      <c r="D65" s="104"/>
      <c r="E65" s="26"/>
      <c r="F65" s="26"/>
      <c r="H65" s="80"/>
      <c r="I65" s="80"/>
      <c r="J65" s="80"/>
      <c r="K65" s="80"/>
      <c r="L65" s="80"/>
      <c r="M65" s="80"/>
      <c r="N65" s="80"/>
      <c r="O65" s="80"/>
      <c r="P65" s="80"/>
      <c r="Q65" s="80"/>
      <c r="S65" s="80"/>
      <c r="T65" s="80"/>
      <c r="AF65" s="80"/>
      <c r="AK65" s="80"/>
      <c r="AP65" s="80"/>
      <c r="AW65" s="80"/>
      <c r="AX65" s="80"/>
      <c r="AZ65" s="80"/>
      <c r="BF65" s="80"/>
      <c r="BQ65" s="80"/>
      <c r="BR65" s="80"/>
      <c r="BS65" s="80"/>
      <c r="BZ65" s="80"/>
      <c r="CA65" s="80"/>
      <c r="CB65" s="80"/>
      <c r="CC65" s="80"/>
      <c r="CD65" s="80"/>
      <c r="CE65" s="80"/>
      <c r="CG65" s="80"/>
      <c r="CL65" s="80"/>
      <c r="CY65" s="80"/>
      <c r="CZ65" s="80"/>
      <c r="DA65" s="80"/>
      <c r="DE65" s="80"/>
      <c r="DI65" s="80"/>
      <c r="DJ65" s="80"/>
      <c r="DN65" s="80"/>
      <c r="DO65" s="80"/>
      <c r="DR65" s="80"/>
      <c r="DV65" s="80"/>
      <c r="DX65" s="80"/>
      <c r="EC65" s="80"/>
      <c r="EI65" s="80"/>
      <c r="EK65" s="80"/>
      <c r="EL65" s="80"/>
    </row>
    <row r="66" spans="1:142" ht="12.75" customHeight="1">
      <c r="A66" s="80"/>
      <c r="B66" s="80"/>
      <c r="C66" s="80"/>
      <c r="D66" s="104"/>
      <c r="E66" s="26"/>
      <c r="F66" s="26"/>
      <c r="G66" s="80"/>
      <c r="H66" s="80"/>
      <c r="I66" s="80"/>
      <c r="J66" s="80"/>
      <c r="K66" s="80"/>
      <c r="L66" s="80"/>
      <c r="M66" s="80"/>
      <c r="N66" s="80"/>
      <c r="O66" s="80"/>
      <c r="P66" s="80"/>
      <c r="Q66" s="80"/>
      <c r="AB66" s="80"/>
      <c r="AE66" s="80"/>
      <c r="AF66" s="80"/>
      <c r="AH66" s="80"/>
      <c r="AX66" s="80"/>
      <c r="AY66" s="80"/>
      <c r="BF66" s="80"/>
      <c r="BP66" s="80"/>
      <c r="BR66" s="80"/>
      <c r="BS66" s="80"/>
      <c r="BZ66" s="80"/>
      <c r="CA66" s="80"/>
      <c r="CB66" s="80"/>
      <c r="CC66" s="80"/>
      <c r="CD66" s="80"/>
      <c r="CE66" s="80"/>
      <c r="CG66" s="80"/>
      <c r="CL66" s="80"/>
      <c r="CN66" s="80"/>
      <c r="CO66" s="80"/>
      <c r="CW66" s="80"/>
      <c r="CY66" s="80"/>
      <c r="CZ66" s="80"/>
      <c r="DA66" s="80"/>
      <c r="DE66" s="80"/>
      <c r="DI66" s="80"/>
      <c r="DJ66" s="80"/>
      <c r="DN66" s="80"/>
      <c r="DR66" s="80"/>
      <c r="DV66" s="80"/>
      <c r="DX66" s="80"/>
      <c r="EC66" s="80"/>
      <c r="ED66" s="80"/>
      <c r="EF66" s="80"/>
      <c r="EG66" s="80"/>
      <c r="EH66" s="80"/>
      <c r="EI66" s="80"/>
      <c r="EK66" s="80"/>
      <c r="EL66" s="80"/>
    </row>
    <row r="67" spans="1:142" ht="12.75" customHeight="1">
      <c r="A67" s="80"/>
      <c r="B67" s="80"/>
      <c r="C67" s="80"/>
      <c r="D67" s="104"/>
      <c r="E67" s="26"/>
      <c r="F67" s="26"/>
      <c r="I67" s="80"/>
      <c r="J67" s="80"/>
      <c r="K67" s="80"/>
      <c r="L67" s="80"/>
      <c r="M67" s="80"/>
      <c r="N67" s="80"/>
      <c r="O67" s="80"/>
      <c r="Q67" s="80"/>
      <c r="AB67" s="80"/>
      <c r="AF67" s="80"/>
      <c r="AL67" s="80"/>
      <c r="AP67" s="80"/>
      <c r="AX67" s="80"/>
      <c r="AY67" s="80"/>
      <c r="AZ67" s="80"/>
      <c r="BF67" s="80"/>
      <c r="BP67" s="80"/>
      <c r="BR67" s="80"/>
      <c r="BZ67" s="80"/>
      <c r="CA67" s="80"/>
      <c r="CB67" s="80"/>
      <c r="CC67" s="80"/>
      <c r="CD67" s="80"/>
      <c r="CE67" s="80"/>
      <c r="CG67" s="80"/>
      <c r="CJ67" s="80"/>
      <c r="CL67" s="80"/>
      <c r="CY67" s="80"/>
      <c r="CZ67" s="80"/>
      <c r="DA67" s="80"/>
      <c r="DE67" s="80"/>
      <c r="DI67" s="80"/>
      <c r="DJ67" s="80"/>
      <c r="DN67" s="80"/>
      <c r="DR67" s="80"/>
      <c r="DV67" s="80"/>
      <c r="DX67" s="80"/>
      <c r="EC67" s="80"/>
      <c r="ED67" s="80"/>
      <c r="EF67" s="80"/>
      <c r="EI67" s="80"/>
      <c r="EK67" s="80"/>
      <c r="EL67" s="80"/>
    </row>
    <row r="68" spans="1:142" ht="12.75" customHeight="1">
      <c r="A68" s="80"/>
      <c r="B68" s="80"/>
      <c r="C68" s="80"/>
      <c r="D68" s="104"/>
      <c r="E68" s="26"/>
      <c r="F68" s="26"/>
      <c r="H68" s="80"/>
      <c r="I68" s="80"/>
      <c r="J68" s="80"/>
      <c r="K68" s="80"/>
      <c r="L68" s="80"/>
      <c r="M68" s="80"/>
      <c r="N68" s="80"/>
      <c r="O68" s="80"/>
      <c r="P68" s="80"/>
      <c r="Q68" s="80"/>
      <c r="AD68" s="80"/>
      <c r="AF68" s="80"/>
      <c r="AK68" s="80"/>
      <c r="AP68" s="80"/>
      <c r="AV68" s="80"/>
      <c r="AX68" s="80"/>
      <c r="AZ68" s="80"/>
      <c r="BF68" s="80"/>
      <c r="BR68" s="80"/>
      <c r="BZ68" s="80"/>
      <c r="CA68" s="80"/>
      <c r="CB68" s="80"/>
      <c r="CC68" s="80"/>
      <c r="CD68" s="80"/>
      <c r="CE68" s="80"/>
      <c r="CG68" s="80"/>
      <c r="CL68" s="80"/>
      <c r="CN68" s="80"/>
      <c r="CO68" s="80"/>
      <c r="CT68" s="80"/>
      <c r="CZ68" s="80"/>
      <c r="DE68" s="80"/>
      <c r="DI68" s="80"/>
      <c r="DJ68" s="80"/>
      <c r="DN68" s="80"/>
      <c r="DO68" s="80"/>
      <c r="DR68" s="80"/>
      <c r="DV68" s="80"/>
      <c r="DX68" s="80"/>
      <c r="EC68" s="80"/>
      <c r="EJ68" s="80"/>
      <c r="EK68" s="80"/>
      <c r="EL68" s="80"/>
    </row>
    <row r="69" spans="1:142" ht="12.75" customHeight="1">
      <c r="A69" s="80"/>
      <c r="B69" s="80"/>
      <c r="C69" s="80"/>
      <c r="D69" s="104"/>
      <c r="E69" s="26"/>
      <c r="F69" s="26"/>
      <c r="G69" s="80"/>
      <c r="H69" s="80"/>
      <c r="I69" s="80"/>
      <c r="J69" s="80"/>
      <c r="K69" s="80"/>
      <c r="L69" s="80"/>
      <c r="M69" s="80"/>
      <c r="N69" s="80"/>
      <c r="O69" s="80"/>
      <c r="P69" s="80"/>
      <c r="Q69" s="80"/>
      <c r="AD69" s="80"/>
      <c r="AF69" s="80"/>
      <c r="AH69" s="80"/>
      <c r="AL69" s="80"/>
      <c r="AP69" s="80"/>
      <c r="AX69" s="80"/>
      <c r="AY69" s="80"/>
      <c r="BF69" s="80"/>
      <c r="BQ69" s="80"/>
      <c r="BR69" s="80"/>
      <c r="BS69" s="80"/>
      <c r="BZ69" s="80"/>
      <c r="CA69" s="80"/>
      <c r="CB69" s="80"/>
      <c r="CC69" s="80"/>
      <c r="CD69" s="80"/>
      <c r="CE69" s="80"/>
      <c r="CG69" s="80"/>
      <c r="CL69" s="80"/>
      <c r="CW69" s="80"/>
      <c r="CY69" s="80"/>
      <c r="CZ69" s="80"/>
      <c r="DA69" s="80"/>
      <c r="DE69" s="80"/>
      <c r="DI69" s="80"/>
      <c r="DJ69" s="80"/>
      <c r="DN69" s="80"/>
      <c r="DR69" s="80"/>
      <c r="DV69" s="80"/>
      <c r="DX69" s="80"/>
      <c r="EC69" s="80"/>
      <c r="EI69" s="80"/>
      <c r="EK69" s="80"/>
      <c r="EL69" s="80"/>
    </row>
    <row r="70" spans="1:142" ht="12.75" customHeight="1">
      <c r="A70" s="80"/>
      <c r="B70" s="80"/>
      <c r="C70" s="80"/>
      <c r="D70" s="104"/>
      <c r="E70" s="26"/>
      <c r="F70" s="26"/>
      <c r="H70" s="80"/>
      <c r="I70" s="80"/>
      <c r="J70" s="80"/>
      <c r="K70" s="80"/>
      <c r="L70" s="80"/>
      <c r="M70" s="80"/>
      <c r="O70" s="80"/>
      <c r="Q70" s="80"/>
      <c r="AB70" s="80"/>
      <c r="AC70" s="80"/>
      <c r="AF70" s="80"/>
      <c r="AK70" s="80"/>
      <c r="AP70" s="80"/>
      <c r="AV70" s="80"/>
      <c r="AX70" s="80"/>
      <c r="AY70" s="80"/>
      <c r="AZ70" s="80"/>
      <c r="BF70" s="80"/>
      <c r="BQ70" s="80"/>
      <c r="BR70" s="80"/>
      <c r="BS70" s="80"/>
      <c r="BZ70" s="80"/>
      <c r="CA70" s="80"/>
      <c r="CB70" s="80"/>
      <c r="CD70" s="80"/>
      <c r="CE70" s="80"/>
      <c r="CF70" s="80"/>
      <c r="CG70" s="80"/>
      <c r="CL70" s="80"/>
      <c r="CW70" s="80"/>
      <c r="CY70" s="80"/>
      <c r="CZ70" s="80"/>
      <c r="DA70" s="80"/>
      <c r="DB70" s="80"/>
      <c r="DE70" s="80"/>
      <c r="DI70" s="80"/>
      <c r="DJ70" s="80"/>
      <c r="DN70" s="80"/>
      <c r="DR70" s="80"/>
      <c r="DV70" s="80"/>
      <c r="DX70" s="80"/>
      <c r="EC70" s="80"/>
      <c r="ED70" s="80"/>
      <c r="EF70" s="80"/>
      <c r="EI70" s="80"/>
      <c r="EK70" s="80"/>
      <c r="EL70" s="80"/>
    </row>
    <row r="71" spans="1:142" ht="12.75" customHeight="1">
      <c r="A71" s="80"/>
      <c r="B71" s="80"/>
      <c r="C71" s="80"/>
      <c r="D71" s="104"/>
      <c r="E71" s="26"/>
      <c r="F71" s="26"/>
      <c r="H71" s="80"/>
      <c r="I71" s="80"/>
      <c r="J71" s="80"/>
      <c r="K71" s="80"/>
      <c r="L71" s="80"/>
      <c r="M71" s="80"/>
      <c r="N71" s="80"/>
      <c r="O71" s="80"/>
      <c r="P71" s="80"/>
      <c r="Q71" s="80"/>
      <c r="AC71" s="80"/>
      <c r="AF71" s="80"/>
      <c r="AX71" s="80"/>
      <c r="AZ71" s="80"/>
      <c r="BF71" s="80"/>
      <c r="BP71" s="80"/>
      <c r="BQ71" s="80"/>
      <c r="BR71" s="80"/>
      <c r="BS71" s="80"/>
      <c r="BZ71" s="80"/>
      <c r="CA71" s="80"/>
      <c r="CB71" s="80"/>
      <c r="CC71" s="80"/>
      <c r="CD71" s="80"/>
      <c r="CE71" s="80"/>
      <c r="CG71" s="80"/>
      <c r="CL71" s="80"/>
      <c r="CN71" s="80"/>
      <c r="CO71" s="80"/>
      <c r="CW71" s="80"/>
      <c r="CY71" s="80"/>
      <c r="CZ71" s="80"/>
      <c r="DA71" s="80"/>
      <c r="DE71" s="80"/>
      <c r="DH71" s="80"/>
      <c r="DI71" s="80"/>
      <c r="DJ71" s="80"/>
      <c r="DN71" s="80"/>
      <c r="DR71" s="80"/>
      <c r="DV71" s="80"/>
      <c r="DX71" s="80"/>
      <c r="EC71" s="80"/>
      <c r="ED71" s="80"/>
      <c r="EI71" s="80"/>
      <c r="EK71" s="80"/>
      <c r="EL71" s="80"/>
    </row>
    <row r="72" spans="1:142" ht="12.75" customHeight="1">
      <c r="A72" s="80"/>
      <c r="B72" s="80"/>
      <c r="C72" s="80"/>
      <c r="D72" s="104"/>
      <c r="E72" s="26"/>
      <c r="F72" s="26"/>
      <c r="H72" s="80"/>
      <c r="I72" s="80"/>
      <c r="J72" s="80"/>
      <c r="K72" s="80"/>
      <c r="L72" s="80"/>
      <c r="M72" s="80"/>
      <c r="N72" s="80"/>
      <c r="O72" s="80"/>
      <c r="Q72" s="80"/>
      <c r="R72" s="80"/>
      <c r="S72" s="80"/>
      <c r="AB72" s="80"/>
      <c r="AF72" s="80"/>
      <c r="AL72" s="80"/>
      <c r="AP72" s="80"/>
      <c r="AX72" s="80"/>
      <c r="AZ72" s="80"/>
      <c r="BF72" s="80"/>
      <c r="BQ72" s="80"/>
      <c r="BR72" s="80"/>
      <c r="BS72" s="80"/>
      <c r="BZ72" s="80"/>
      <c r="CA72" s="80"/>
      <c r="CB72" s="80"/>
      <c r="CC72" s="80"/>
      <c r="CD72" s="80"/>
      <c r="CE72" s="80"/>
      <c r="CF72" s="80"/>
      <c r="CG72" s="80"/>
      <c r="CL72" s="80"/>
      <c r="DE72" s="80"/>
      <c r="DI72" s="80"/>
      <c r="DJ72" s="80"/>
      <c r="DN72" s="80"/>
      <c r="DR72" s="80"/>
      <c r="DV72" s="80"/>
      <c r="DX72" s="80"/>
      <c r="EC72" s="80"/>
      <c r="EL72" s="80"/>
    </row>
    <row r="73" spans="1:142" ht="12.75" customHeight="1">
      <c r="A73" s="80"/>
      <c r="B73" s="80"/>
      <c r="C73" s="80"/>
      <c r="D73" s="104"/>
      <c r="E73" s="26"/>
      <c r="F73" s="26"/>
      <c r="H73" s="80"/>
      <c r="K73" s="80"/>
      <c r="L73" s="80"/>
      <c r="M73" s="80"/>
      <c r="N73" s="80"/>
      <c r="O73" s="80"/>
      <c r="P73" s="80"/>
      <c r="Q73" s="80"/>
      <c r="AB73" s="80"/>
      <c r="AF73" s="80"/>
      <c r="AK73" s="80"/>
      <c r="AP73" s="80"/>
      <c r="AX73" s="80"/>
      <c r="AZ73" s="80"/>
      <c r="BF73" s="80"/>
      <c r="BP73" s="80"/>
      <c r="BQ73" s="80"/>
      <c r="BR73" s="80"/>
      <c r="BS73" s="80"/>
      <c r="BT73" s="80"/>
      <c r="BZ73" s="80"/>
      <c r="CA73" s="80"/>
      <c r="CB73" s="80"/>
      <c r="CC73" s="80"/>
      <c r="CD73" s="80"/>
      <c r="CE73" s="80"/>
      <c r="CG73" s="80"/>
      <c r="CL73" s="80"/>
      <c r="CY73" s="80"/>
      <c r="CZ73" s="80"/>
      <c r="DA73" s="80"/>
      <c r="DE73" s="80"/>
      <c r="DI73" s="80"/>
      <c r="DJ73" s="80"/>
      <c r="DN73" s="80"/>
      <c r="DO73" s="80"/>
      <c r="DR73" s="80"/>
      <c r="DV73" s="80"/>
      <c r="DX73" s="80"/>
      <c r="EC73" s="80"/>
      <c r="EF73" s="80"/>
      <c r="EK73" s="80"/>
      <c r="EL73" s="80"/>
    </row>
    <row r="74" spans="1:142" ht="12.75" customHeight="1">
      <c r="A74" s="80"/>
      <c r="B74" s="80"/>
      <c r="C74" s="80"/>
      <c r="D74" s="104"/>
      <c r="E74" s="26"/>
      <c r="F74" s="26"/>
      <c r="H74" s="80"/>
      <c r="J74" s="80"/>
      <c r="L74" s="80"/>
      <c r="M74" s="80"/>
      <c r="O74" s="80"/>
      <c r="Q74" s="80"/>
      <c r="AB74" s="80"/>
      <c r="AF74" s="80"/>
      <c r="AL74" s="80"/>
      <c r="AP74" s="80"/>
      <c r="AZ74" s="80"/>
      <c r="BF74" s="80"/>
      <c r="BP74" s="80"/>
      <c r="BQ74" s="80"/>
      <c r="BR74" s="80"/>
      <c r="BS74" s="80"/>
      <c r="BT74" s="80"/>
      <c r="BZ74" s="80"/>
      <c r="CA74" s="80"/>
      <c r="CB74" s="80"/>
      <c r="CC74" s="80"/>
      <c r="CD74" s="80"/>
      <c r="CE74" s="80"/>
      <c r="CG74" s="80"/>
      <c r="CL74" s="80"/>
      <c r="CN74" s="80"/>
      <c r="CO74" s="80"/>
      <c r="DE74" s="80"/>
      <c r="DI74" s="80"/>
      <c r="DJ74" s="80"/>
      <c r="DN74" s="80"/>
      <c r="DR74" s="80"/>
      <c r="DV74" s="80"/>
      <c r="DX74" s="80"/>
      <c r="EC74" s="80"/>
      <c r="EE74" s="80"/>
      <c r="EF74" s="80"/>
      <c r="EI74" s="80"/>
      <c r="EK74" s="80"/>
      <c r="EL74" s="80"/>
    </row>
    <row r="75" spans="1:142" ht="12.75" customHeight="1">
      <c r="A75" s="80"/>
      <c r="B75" s="80"/>
      <c r="C75" s="80"/>
      <c r="D75" s="104"/>
      <c r="E75" s="26"/>
      <c r="F75" s="26"/>
      <c r="I75" s="80"/>
      <c r="J75" s="80"/>
      <c r="K75" s="80"/>
      <c r="L75" s="80"/>
      <c r="M75" s="80"/>
      <c r="O75" s="80"/>
      <c r="P75" s="80"/>
      <c r="Q75" s="80"/>
      <c r="AF75" s="80"/>
      <c r="AL75" s="80"/>
      <c r="AP75" s="80"/>
      <c r="AX75" s="80"/>
      <c r="AZ75" s="80"/>
      <c r="BF75" s="80"/>
      <c r="BQ75" s="80"/>
      <c r="BR75" s="80"/>
      <c r="BT75" s="80"/>
      <c r="BZ75" s="80"/>
      <c r="CA75" s="80"/>
      <c r="CB75" s="80"/>
      <c r="CC75" s="80"/>
      <c r="CD75" s="80"/>
      <c r="CE75" s="80"/>
      <c r="CG75" s="80"/>
      <c r="CL75" s="80"/>
      <c r="CY75" s="80"/>
      <c r="CZ75" s="80"/>
      <c r="DE75" s="80"/>
      <c r="DJ75" s="80"/>
      <c r="DN75" s="80"/>
      <c r="DO75" s="80"/>
      <c r="DR75" s="80"/>
      <c r="DV75" s="80"/>
      <c r="DX75" s="80"/>
      <c r="EC75" s="80"/>
      <c r="ED75" s="80"/>
      <c r="EF75" s="80"/>
      <c r="EI75" s="80"/>
      <c r="EK75" s="80"/>
      <c r="EL75" s="80"/>
    </row>
    <row r="76" spans="1:142" ht="12.75" customHeight="1">
      <c r="A76" s="80"/>
      <c r="B76" s="80"/>
      <c r="C76" s="80"/>
      <c r="D76" s="104"/>
      <c r="E76" s="26"/>
      <c r="F76" s="26"/>
      <c r="H76" s="80"/>
      <c r="I76" s="80"/>
      <c r="J76" s="80"/>
      <c r="K76" s="80"/>
      <c r="L76" s="80"/>
      <c r="M76" s="80"/>
      <c r="O76" s="80"/>
      <c r="Q76" s="80"/>
      <c r="AF76" s="80"/>
      <c r="AW76" s="80"/>
      <c r="AY76" s="80"/>
      <c r="BF76" s="80"/>
      <c r="BR76" s="80"/>
      <c r="BZ76" s="80"/>
      <c r="CA76" s="80"/>
      <c r="CB76" s="80"/>
      <c r="CC76" s="80"/>
      <c r="CD76" s="80"/>
      <c r="CE76" s="80"/>
      <c r="CG76" s="80"/>
      <c r="CL76" s="80"/>
      <c r="CY76" s="80"/>
      <c r="CZ76" s="80"/>
      <c r="DE76" s="80"/>
      <c r="DI76" s="80"/>
      <c r="DJ76" s="80"/>
      <c r="DN76" s="80"/>
      <c r="DO76" s="80"/>
      <c r="DX76" s="80"/>
      <c r="EC76" s="80"/>
      <c r="EF76" s="80"/>
      <c r="EG76" s="80"/>
      <c r="EI76" s="80"/>
      <c r="EK76" s="80"/>
      <c r="EL76" s="80"/>
    </row>
    <row r="77" spans="1:142" ht="12.75" customHeight="1">
      <c r="A77" s="80"/>
      <c r="B77" s="80"/>
      <c r="C77" s="80"/>
      <c r="D77" s="104"/>
      <c r="E77" s="26"/>
      <c r="F77" s="26"/>
      <c r="H77" s="80"/>
      <c r="I77" s="80"/>
      <c r="J77" s="80"/>
      <c r="K77" s="80"/>
      <c r="L77" s="80"/>
      <c r="M77" s="80"/>
      <c r="O77" s="80"/>
      <c r="P77" s="80"/>
      <c r="Q77" s="80"/>
      <c r="AF77" s="80"/>
      <c r="AL77" s="80"/>
      <c r="AP77" s="80"/>
      <c r="AZ77" s="80"/>
      <c r="BF77" s="80"/>
      <c r="BP77" s="80"/>
      <c r="BQ77" s="80"/>
      <c r="BR77" s="80"/>
      <c r="BS77" s="80"/>
      <c r="BT77" s="80"/>
      <c r="BZ77" s="80"/>
      <c r="CA77" s="80"/>
      <c r="CB77" s="80"/>
      <c r="CC77" s="80"/>
      <c r="CD77" s="80"/>
      <c r="CE77" s="80"/>
      <c r="CG77" s="80"/>
      <c r="CL77" s="80"/>
      <c r="CN77" s="80"/>
      <c r="CO77" s="80"/>
      <c r="CY77" s="80"/>
      <c r="CZ77" s="80"/>
      <c r="DE77" s="80"/>
      <c r="DI77" s="80"/>
      <c r="DJ77" s="80"/>
      <c r="DN77" s="80"/>
      <c r="DO77" s="80"/>
      <c r="DR77" s="80"/>
      <c r="DV77" s="80"/>
      <c r="DW77" s="80"/>
      <c r="DX77" s="80"/>
      <c r="EC77" s="80"/>
      <c r="ED77" s="80"/>
      <c r="EF77" s="80"/>
      <c r="EI77" s="80"/>
      <c r="EK77" s="80"/>
      <c r="EL77" s="80"/>
    </row>
    <row r="78" spans="1:142" ht="12.75" customHeight="1">
      <c r="A78" s="80"/>
      <c r="B78" s="80"/>
      <c r="C78" s="80"/>
      <c r="D78" s="104"/>
      <c r="E78" s="26"/>
      <c r="F78" s="26"/>
      <c r="H78" s="80"/>
      <c r="I78" s="80"/>
      <c r="J78" s="80"/>
      <c r="K78" s="80"/>
      <c r="L78" s="80"/>
      <c r="M78" s="80"/>
      <c r="N78" s="80"/>
      <c r="O78" s="80"/>
      <c r="P78" s="80"/>
      <c r="Q78" s="80"/>
      <c r="AB78" s="80"/>
      <c r="AF78" s="80"/>
      <c r="AL78" s="80"/>
      <c r="AP78" s="80"/>
      <c r="AX78" s="80"/>
      <c r="AZ78" s="80"/>
      <c r="BF78" s="80"/>
      <c r="BQ78" s="80"/>
      <c r="BR78" s="80"/>
      <c r="BS78" s="80"/>
      <c r="BZ78" s="80"/>
      <c r="CA78" s="80"/>
      <c r="CB78" s="80"/>
      <c r="CC78" s="80"/>
      <c r="CD78" s="80"/>
      <c r="CE78" s="80"/>
      <c r="CG78" s="80"/>
      <c r="CL78" s="80"/>
      <c r="CY78" s="80"/>
      <c r="CZ78" s="80"/>
      <c r="DE78" s="80"/>
      <c r="DI78" s="80"/>
      <c r="DJ78" s="80"/>
      <c r="DN78" s="80"/>
      <c r="DR78" s="80"/>
      <c r="DV78" s="80"/>
      <c r="DX78" s="80"/>
      <c r="EC78" s="80"/>
      <c r="ED78" s="80"/>
      <c r="EF78" s="80"/>
      <c r="EI78" s="80"/>
      <c r="EK78" s="80"/>
      <c r="EL78" s="80"/>
    </row>
    <row r="79" spans="1:142" ht="12.75" customHeight="1">
      <c r="A79" s="80"/>
      <c r="B79" s="80"/>
      <c r="C79" s="80"/>
      <c r="D79" s="104"/>
      <c r="E79" s="26"/>
      <c r="F79" s="26"/>
      <c r="H79" s="80"/>
      <c r="I79" s="80"/>
      <c r="J79" s="80"/>
      <c r="K79" s="80"/>
      <c r="L79" s="80"/>
      <c r="M79" s="80"/>
      <c r="N79" s="80"/>
      <c r="O79" s="80"/>
      <c r="P79" s="80"/>
      <c r="Q79" s="80"/>
      <c r="S79" s="80"/>
      <c r="AF79" s="80"/>
      <c r="AK79" s="80"/>
      <c r="AP79" s="80"/>
      <c r="AX79" s="80"/>
      <c r="AZ79" s="80"/>
      <c r="BF79" s="80"/>
      <c r="BP79" s="80"/>
      <c r="BQ79" s="80"/>
      <c r="BR79" s="80"/>
      <c r="BS79" s="80"/>
      <c r="BT79" s="80"/>
      <c r="BZ79" s="80"/>
      <c r="CA79" s="80"/>
      <c r="CB79" s="80"/>
      <c r="CC79" s="80"/>
      <c r="CD79" s="80"/>
      <c r="CE79" s="80"/>
      <c r="CG79" s="80"/>
      <c r="CL79" s="80"/>
      <c r="CU79" s="80"/>
      <c r="CW79" s="80"/>
      <c r="CY79" s="80"/>
      <c r="CZ79" s="80"/>
      <c r="DA79" s="80"/>
      <c r="DE79" s="80"/>
      <c r="DI79" s="80"/>
      <c r="DJ79" s="80"/>
      <c r="DN79" s="80"/>
      <c r="DO79" s="80"/>
      <c r="DR79" s="80"/>
      <c r="DV79" s="80"/>
      <c r="DX79" s="80"/>
      <c r="EC79" s="80"/>
      <c r="EF79" s="80"/>
      <c r="EI79" s="80"/>
      <c r="EK79" s="80"/>
      <c r="EL79" s="80"/>
    </row>
    <row r="80" spans="1:142" ht="12.75" customHeight="1">
      <c r="A80" s="80"/>
      <c r="B80" s="80"/>
      <c r="C80" s="80"/>
      <c r="D80" s="104"/>
      <c r="E80" s="26"/>
      <c r="F80" s="26"/>
      <c r="H80" s="80"/>
      <c r="I80" s="80"/>
      <c r="J80" s="80"/>
      <c r="K80" s="80"/>
      <c r="L80" s="80"/>
      <c r="M80" s="80"/>
      <c r="N80" s="80"/>
      <c r="O80" s="80"/>
      <c r="P80" s="80"/>
      <c r="Q80" s="80"/>
      <c r="AB80" s="80"/>
      <c r="AF80" s="80"/>
      <c r="AK80" s="80"/>
      <c r="AL80" s="80"/>
      <c r="AP80" s="80"/>
      <c r="AY80" s="80"/>
      <c r="AZ80" s="80"/>
      <c r="BF80" s="80"/>
      <c r="BQ80" s="80"/>
      <c r="BR80" s="80"/>
      <c r="BS80" s="80"/>
      <c r="BZ80" s="80"/>
      <c r="CA80" s="80"/>
      <c r="CB80" s="80"/>
      <c r="CC80" s="80"/>
      <c r="CD80" s="80"/>
      <c r="CE80" s="80"/>
      <c r="CG80" s="80"/>
      <c r="CL80" s="80"/>
      <c r="CN80" s="80"/>
      <c r="CO80" s="80"/>
      <c r="CY80" s="80"/>
      <c r="CZ80" s="80"/>
      <c r="DA80" s="80"/>
      <c r="DE80" s="80"/>
      <c r="DI80" s="80"/>
      <c r="DJ80" s="80"/>
      <c r="DN80" s="80"/>
      <c r="DR80" s="80"/>
      <c r="DV80" s="80"/>
      <c r="DW80" s="80"/>
      <c r="DX80" s="80"/>
      <c r="EC80" s="80"/>
      <c r="ED80" s="80"/>
      <c r="EF80" s="80"/>
      <c r="EI80" s="80"/>
      <c r="EJ80" s="80"/>
      <c r="EK80" s="80"/>
      <c r="EL80" s="80"/>
    </row>
    <row r="81" spans="1:142" ht="12.75" customHeight="1">
      <c r="A81" s="80"/>
      <c r="B81" s="80"/>
      <c r="C81" s="80"/>
      <c r="D81" s="104"/>
      <c r="E81" s="26"/>
      <c r="F81" s="26"/>
      <c r="H81" s="80"/>
      <c r="K81" s="80"/>
      <c r="L81" s="80"/>
      <c r="M81" s="80"/>
      <c r="N81" s="80"/>
      <c r="O81" s="80"/>
      <c r="P81" s="80"/>
      <c r="Q81" s="80"/>
      <c r="AB81" s="80"/>
      <c r="AF81" s="80"/>
      <c r="AL81" s="80"/>
      <c r="AP81" s="80"/>
      <c r="AZ81" s="80"/>
      <c r="BF81" s="80"/>
      <c r="BR81" s="80"/>
      <c r="BZ81" s="80"/>
      <c r="CA81" s="80"/>
      <c r="CB81" s="80"/>
      <c r="CD81" s="80"/>
      <c r="CE81" s="80"/>
      <c r="CG81" s="80"/>
      <c r="CL81" s="80"/>
      <c r="CN81" s="80"/>
      <c r="CO81" s="80"/>
      <c r="CY81" s="80"/>
      <c r="CZ81" s="80"/>
      <c r="DE81" s="80"/>
      <c r="DI81" s="80"/>
      <c r="DJ81" s="80"/>
      <c r="DN81" s="80"/>
      <c r="DR81" s="80"/>
      <c r="DV81" s="80"/>
      <c r="DX81" s="80"/>
      <c r="EC81" s="80"/>
      <c r="EF81" s="80"/>
      <c r="EK81" s="80"/>
      <c r="EL81" s="80"/>
    </row>
    <row r="82" spans="1:142" ht="12.75" customHeight="1">
      <c r="A82" s="80"/>
      <c r="B82" s="80"/>
      <c r="C82" s="80"/>
      <c r="D82" s="104"/>
      <c r="E82" s="26"/>
      <c r="F82" s="26"/>
      <c r="H82" s="80"/>
      <c r="J82" s="80"/>
      <c r="K82" s="80"/>
      <c r="L82" s="80"/>
      <c r="M82" s="80"/>
      <c r="N82" s="80"/>
      <c r="O82" s="80"/>
      <c r="P82" s="80"/>
      <c r="Q82" s="80"/>
      <c r="AB82" s="80"/>
      <c r="AF82" s="80"/>
      <c r="AL82" s="80"/>
      <c r="AP82" s="80"/>
      <c r="AZ82" s="80"/>
      <c r="BF82" s="80"/>
      <c r="BQ82" s="80"/>
      <c r="BR82" s="80"/>
      <c r="BS82" s="80"/>
      <c r="BZ82" s="80"/>
      <c r="CA82" s="80"/>
      <c r="CB82" s="80"/>
      <c r="CC82" s="80"/>
      <c r="CD82" s="80"/>
      <c r="CE82" s="80"/>
      <c r="CG82" s="80"/>
      <c r="CL82" s="80"/>
      <c r="CY82" s="80"/>
      <c r="CZ82" s="80"/>
      <c r="DA82" s="80"/>
      <c r="DI82" s="80"/>
      <c r="DJ82" s="80"/>
      <c r="DN82" s="80"/>
      <c r="DR82" s="80"/>
      <c r="DV82" s="80"/>
      <c r="DX82" s="80"/>
      <c r="EC82" s="80"/>
      <c r="EF82" s="80"/>
      <c r="EI82" s="80"/>
      <c r="EL82" s="80"/>
    </row>
    <row r="83" spans="1:142" ht="12.75" customHeight="1">
      <c r="A83" s="80"/>
      <c r="B83" s="80"/>
      <c r="C83" s="80"/>
      <c r="D83" s="104"/>
      <c r="E83" s="26"/>
      <c r="F83" s="26"/>
      <c r="H83" s="80"/>
      <c r="I83" s="80"/>
      <c r="J83" s="80"/>
      <c r="K83" s="80"/>
      <c r="L83" s="80"/>
      <c r="M83" s="80"/>
      <c r="N83" s="80"/>
      <c r="O83" s="80"/>
      <c r="P83" s="80"/>
      <c r="Q83" s="80"/>
      <c r="R83" s="80"/>
      <c r="AF83" s="80"/>
      <c r="AL83" s="80"/>
      <c r="AP83" s="80"/>
      <c r="AV83" s="80"/>
      <c r="AX83" s="80"/>
      <c r="AY83" s="80"/>
      <c r="AZ83" s="80"/>
      <c r="BF83" s="80"/>
      <c r="BP83" s="80"/>
      <c r="BQ83" s="80"/>
      <c r="BR83" s="80"/>
      <c r="BS83" s="80"/>
      <c r="BZ83" s="80"/>
      <c r="CA83" s="80"/>
      <c r="CB83" s="80"/>
      <c r="CC83" s="80"/>
      <c r="CD83" s="80"/>
      <c r="CE83" s="80"/>
      <c r="CG83" s="80"/>
      <c r="CL83" s="80"/>
      <c r="CN83" s="80"/>
      <c r="CO83" s="80"/>
      <c r="CY83" s="80"/>
      <c r="CZ83" s="80"/>
      <c r="DA83" s="80"/>
      <c r="DE83" s="80"/>
      <c r="DI83" s="80"/>
      <c r="DJ83" s="80"/>
      <c r="DN83" s="80"/>
      <c r="DR83" s="80"/>
      <c r="DV83" s="80"/>
      <c r="DX83" s="80"/>
      <c r="EC83" s="80"/>
      <c r="ED83" s="80"/>
      <c r="EK83" s="80"/>
      <c r="EL83" s="80"/>
    </row>
    <row r="84" spans="1:142" ht="12.75" customHeight="1">
      <c r="A84" s="80"/>
      <c r="B84" s="80"/>
      <c r="C84" s="80"/>
      <c r="D84" s="104"/>
      <c r="E84" s="26"/>
      <c r="F84" s="26"/>
      <c r="I84" s="80"/>
      <c r="J84" s="80"/>
      <c r="K84" s="80"/>
      <c r="L84" s="80"/>
      <c r="M84" s="80"/>
      <c r="N84" s="80"/>
      <c r="O84" s="80"/>
      <c r="P84" s="80"/>
      <c r="Q84" s="80"/>
      <c r="AF84" s="80"/>
      <c r="AL84" s="80"/>
      <c r="AP84" s="80"/>
      <c r="AV84" s="80"/>
      <c r="AY84" s="80"/>
      <c r="AZ84" s="80"/>
      <c r="BF84" s="80"/>
      <c r="BQ84" s="80"/>
      <c r="BR84" s="80"/>
      <c r="BS84" s="80"/>
      <c r="BZ84" s="80"/>
      <c r="CA84" s="80"/>
      <c r="CB84" s="80"/>
      <c r="CC84" s="80"/>
      <c r="CD84" s="80"/>
      <c r="CE84" s="80"/>
      <c r="CG84" s="80"/>
      <c r="CI84" s="80"/>
      <c r="CK84" s="80"/>
      <c r="CL84" s="80"/>
      <c r="CY84" s="80"/>
      <c r="CZ84" s="80"/>
      <c r="DE84" s="80"/>
      <c r="DI84" s="80"/>
      <c r="DJ84" s="80"/>
      <c r="DN84" s="80"/>
      <c r="DO84" s="80"/>
      <c r="DR84" s="80"/>
      <c r="DV84" s="80"/>
      <c r="DX84" s="80"/>
      <c r="EC84" s="80"/>
      <c r="EF84" s="80"/>
      <c r="EI84" s="80"/>
      <c r="EJ84" s="80"/>
      <c r="EK84" s="80"/>
      <c r="EL84" s="80"/>
    </row>
    <row r="85" spans="1:142" ht="12.75" customHeight="1">
      <c r="A85" s="80"/>
      <c r="B85" s="80"/>
      <c r="C85" s="80"/>
      <c r="D85" s="104"/>
      <c r="E85" s="26"/>
      <c r="F85" s="26"/>
      <c r="H85" s="80"/>
      <c r="I85" s="80"/>
      <c r="K85" s="80"/>
      <c r="L85" s="80"/>
      <c r="M85" s="80"/>
      <c r="O85" s="80"/>
      <c r="Q85" s="80"/>
      <c r="R85" s="80"/>
      <c r="AB85" s="80"/>
      <c r="AE85" s="80"/>
      <c r="AF85" s="80"/>
      <c r="AL85" s="80"/>
      <c r="AP85" s="80"/>
      <c r="AY85" s="80"/>
      <c r="AZ85" s="80"/>
      <c r="BF85" s="80"/>
      <c r="BJ85" s="80"/>
      <c r="BP85" s="80"/>
      <c r="BQ85" s="80"/>
      <c r="BR85" s="80"/>
      <c r="BS85" s="80"/>
      <c r="BZ85" s="80"/>
      <c r="CA85" s="80"/>
      <c r="CB85" s="80"/>
      <c r="CC85" s="80"/>
      <c r="CD85" s="80"/>
      <c r="CE85" s="80"/>
      <c r="CG85" s="80"/>
      <c r="CL85" s="80"/>
      <c r="CN85" s="80"/>
      <c r="CO85" s="80"/>
      <c r="CU85" s="80"/>
      <c r="CW85" s="80"/>
      <c r="CY85" s="80"/>
      <c r="CZ85" s="80"/>
      <c r="DA85" s="80"/>
      <c r="DE85" s="80"/>
      <c r="DI85" s="80"/>
      <c r="DJ85" s="80"/>
      <c r="DN85" s="80"/>
      <c r="DO85" s="80"/>
      <c r="DX85" s="80"/>
      <c r="EC85" s="80"/>
      <c r="EF85" s="80"/>
      <c r="EG85" s="80"/>
      <c r="EI85" s="80"/>
      <c r="EK85" s="80"/>
      <c r="EL85" s="80"/>
    </row>
    <row r="86" spans="1:142" ht="12.75" customHeight="1">
      <c r="A86" s="80"/>
      <c r="B86" s="80"/>
      <c r="C86" s="80"/>
      <c r="D86" s="104"/>
      <c r="E86" s="26"/>
      <c r="F86" s="26"/>
      <c r="I86" s="80"/>
      <c r="J86" s="80"/>
      <c r="K86" s="80"/>
      <c r="L86" s="80"/>
      <c r="M86" s="80"/>
      <c r="N86" s="80"/>
      <c r="P86" s="80"/>
      <c r="Q86" s="80"/>
      <c r="AF86" s="80"/>
      <c r="AL86" s="80"/>
      <c r="AP86" s="80"/>
      <c r="AX86" s="80"/>
      <c r="AZ86" s="80"/>
      <c r="BF86" s="80"/>
      <c r="BJ86" s="80"/>
      <c r="BQ86" s="80"/>
      <c r="BR86" s="80"/>
      <c r="BS86" s="80"/>
      <c r="BT86" s="80"/>
      <c r="BZ86" s="80"/>
      <c r="CA86" s="80"/>
      <c r="CB86" s="80"/>
      <c r="CC86" s="80"/>
      <c r="CD86" s="80"/>
      <c r="CE86" s="80"/>
      <c r="CG86" s="80"/>
      <c r="CL86" s="80"/>
      <c r="CU86" s="80"/>
      <c r="CW86" s="80"/>
      <c r="CY86" s="80"/>
      <c r="CZ86" s="80"/>
      <c r="DA86" s="80"/>
      <c r="DE86" s="80"/>
      <c r="DI86" s="80"/>
      <c r="DJ86" s="80"/>
      <c r="DN86" s="80"/>
      <c r="DR86" s="80"/>
      <c r="DV86" s="80"/>
      <c r="DW86" s="80"/>
      <c r="DX86" s="80"/>
      <c r="EC86" s="80"/>
      <c r="EL86" s="80"/>
    </row>
    <row r="87" spans="1:142" ht="12.75" customHeight="1">
      <c r="A87" s="80"/>
      <c r="B87" s="80"/>
      <c r="C87" s="80"/>
      <c r="D87" s="104"/>
      <c r="E87" s="26"/>
      <c r="F87" s="26"/>
      <c r="H87" s="80"/>
      <c r="I87" s="80"/>
      <c r="J87" s="80"/>
      <c r="K87" s="80"/>
      <c r="L87" s="80"/>
      <c r="M87" s="80"/>
      <c r="N87" s="80"/>
      <c r="O87" s="80"/>
      <c r="P87" s="80"/>
      <c r="Q87" s="80"/>
      <c r="R87" s="80"/>
      <c r="AC87" s="80"/>
      <c r="AF87" s="80"/>
      <c r="AJ87" s="80"/>
      <c r="AK87" s="80"/>
      <c r="AL87" s="80"/>
      <c r="AO87" s="80"/>
      <c r="AP87" s="80"/>
      <c r="AV87" s="80"/>
      <c r="AX87" s="80"/>
      <c r="AY87" s="80"/>
      <c r="AZ87" s="80"/>
      <c r="BA87" s="80"/>
      <c r="BC87" s="80"/>
      <c r="BE87" s="80"/>
      <c r="BF87" s="80"/>
      <c r="BP87" s="80"/>
      <c r="BR87" s="80"/>
      <c r="BS87" s="80"/>
      <c r="BZ87" s="80"/>
      <c r="CA87" s="80"/>
      <c r="CB87" s="80"/>
      <c r="CC87" s="80"/>
      <c r="CD87" s="80"/>
      <c r="CE87" s="80"/>
      <c r="CG87" s="80"/>
      <c r="CL87" s="80"/>
      <c r="CN87" s="80"/>
      <c r="CO87" s="80"/>
      <c r="CY87" s="80"/>
      <c r="CZ87" s="80"/>
      <c r="DA87" s="80"/>
      <c r="DE87" s="80"/>
      <c r="DI87" s="80"/>
      <c r="DJ87" s="80"/>
      <c r="DN87" s="80"/>
      <c r="DR87" s="80"/>
      <c r="DV87" s="80"/>
      <c r="DW87" s="80"/>
      <c r="DX87" s="80"/>
      <c r="EC87" s="80"/>
      <c r="EL87" s="80"/>
    </row>
    <row r="88" spans="1:142" ht="12.75" customHeight="1">
      <c r="A88" s="80"/>
      <c r="B88" s="80"/>
      <c r="C88" s="80"/>
      <c r="D88" s="104"/>
      <c r="E88" s="26"/>
      <c r="F88" s="26"/>
      <c r="H88" s="80"/>
      <c r="I88" s="80"/>
      <c r="J88" s="80"/>
      <c r="K88" s="80"/>
      <c r="L88" s="80"/>
      <c r="M88" s="80"/>
      <c r="O88" s="80"/>
      <c r="P88" s="80"/>
      <c r="Q88" s="80"/>
      <c r="V88" s="80"/>
      <c r="AB88" s="80"/>
      <c r="AC88" s="80"/>
      <c r="AF88" s="80"/>
      <c r="AL88" s="80"/>
      <c r="AP88" s="80"/>
      <c r="AX88" s="80"/>
      <c r="AY88" s="80"/>
      <c r="AZ88" s="80"/>
      <c r="BF88" s="80"/>
      <c r="BP88" s="80"/>
      <c r="BQ88" s="80"/>
      <c r="BR88" s="80"/>
      <c r="BS88" s="80"/>
      <c r="BT88" s="80"/>
      <c r="BZ88" s="80"/>
      <c r="CA88" s="80"/>
      <c r="CC88" s="80"/>
      <c r="CD88" s="80"/>
      <c r="CE88" s="80"/>
      <c r="CG88" s="80"/>
      <c r="CL88" s="80"/>
      <c r="CN88" s="80"/>
      <c r="CO88" s="80"/>
      <c r="CY88" s="80"/>
      <c r="CZ88" s="80"/>
      <c r="DE88" s="80"/>
      <c r="DI88" s="80"/>
      <c r="DJ88" s="80"/>
      <c r="DN88" s="80"/>
      <c r="DR88" s="80"/>
      <c r="DV88" s="80"/>
      <c r="DX88" s="80"/>
      <c r="EC88" s="80"/>
      <c r="EF88" s="80"/>
      <c r="EI88" s="80"/>
      <c r="EL88" s="80"/>
    </row>
    <row r="89" spans="1:142" ht="12.75" customHeight="1">
      <c r="A89" s="80"/>
      <c r="B89" s="80"/>
      <c r="C89" s="80"/>
      <c r="D89" s="104"/>
      <c r="E89" s="26"/>
      <c r="F89" s="26"/>
      <c r="H89" s="80"/>
      <c r="I89" s="80"/>
      <c r="J89" s="80"/>
      <c r="K89" s="80"/>
      <c r="L89" s="80"/>
      <c r="M89" s="80"/>
      <c r="O89" s="80"/>
      <c r="P89" s="80"/>
      <c r="Q89" s="80"/>
      <c r="AF89" s="80"/>
      <c r="AK89" s="80"/>
      <c r="AP89" s="80"/>
      <c r="AY89" s="80"/>
      <c r="AZ89" s="80"/>
      <c r="BF89" s="80"/>
      <c r="BP89" s="80"/>
      <c r="BQ89" s="80"/>
      <c r="BR89" s="80"/>
      <c r="BS89" s="80"/>
      <c r="BZ89" s="80"/>
      <c r="CA89" s="80"/>
      <c r="CB89" s="80"/>
      <c r="CC89" s="80"/>
      <c r="CD89" s="80"/>
      <c r="CE89" s="80"/>
      <c r="CG89" s="80"/>
      <c r="CL89" s="80"/>
      <c r="CY89" s="80"/>
      <c r="CZ89" s="80"/>
      <c r="DE89" s="80"/>
      <c r="DI89" s="80"/>
      <c r="DJ89" s="80"/>
      <c r="DN89" s="80"/>
      <c r="DO89" s="80"/>
      <c r="DR89" s="80"/>
      <c r="DV89" s="80"/>
      <c r="DX89" s="80"/>
      <c r="EC89" s="80"/>
      <c r="EE89" s="80"/>
      <c r="EF89" s="80"/>
      <c r="EI89" s="80"/>
      <c r="EJ89" s="80"/>
      <c r="EK89" s="80"/>
      <c r="EL89" s="80"/>
    </row>
    <row r="90" spans="1:142" ht="12.75" customHeight="1">
      <c r="A90" s="80"/>
      <c r="B90" s="80"/>
      <c r="C90" s="80"/>
      <c r="D90" s="104"/>
      <c r="E90" s="26"/>
      <c r="F90" s="26"/>
      <c r="H90" s="80"/>
      <c r="I90" s="80"/>
      <c r="J90" s="80"/>
      <c r="K90" s="80"/>
      <c r="L90" s="80"/>
      <c r="M90" s="80"/>
      <c r="O90" s="80"/>
      <c r="P90" s="80"/>
      <c r="Q90" s="80"/>
      <c r="AB90" s="80"/>
      <c r="AF90" s="80"/>
      <c r="AK90" s="80"/>
      <c r="AP90" s="80"/>
      <c r="AX90" s="80"/>
      <c r="AY90" s="80"/>
      <c r="BF90" s="80"/>
      <c r="BP90" s="80"/>
      <c r="BQ90" s="80"/>
      <c r="BR90" s="80"/>
      <c r="BS90" s="80"/>
      <c r="BZ90" s="80"/>
      <c r="CA90" s="80"/>
      <c r="CB90" s="80"/>
      <c r="CC90" s="80"/>
      <c r="CD90" s="80"/>
      <c r="CE90" s="80"/>
      <c r="CG90" s="80"/>
      <c r="CL90" s="80"/>
      <c r="CM90" s="80"/>
      <c r="CO90" s="80"/>
      <c r="CY90" s="80"/>
      <c r="CZ90" s="80"/>
      <c r="DE90" s="80"/>
      <c r="DI90" s="80"/>
      <c r="DJ90" s="80"/>
      <c r="DN90" s="80"/>
      <c r="DR90" s="80"/>
      <c r="DV90" s="80"/>
      <c r="DX90" s="80"/>
      <c r="EC90" s="80"/>
      <c r="EF90" s="80"/>
      <c r="EI90" s="80"/>
      <c r="EK90" s="80"/>
      <c r="EL90" s="80"/>
    </row>
    <row r="91" spans="1:142" ht="12.75" customHeight="1">
      <c r="A91" s="80"/>
      <c r="B91" s="80"/>
      <c r="C91" s="80"/>
      <c r="D91" s="104"/>
      <c r="E91" s="26"/>
      <c r="F91" s="26"/>
      <c r="H91" s="80"/>
      <c r="I91" s="80"/>
      <c r="J91" s="80"/>
      <c r="K91" s="80"/>
      <c r="L91" s="80"/>
      <c r="M91" s="80"/>
      <c r="O91" s="80"/>
      <c r="P91" s="80"/>
      <c r="Q91" s="80"/>
      <c r="AF91" s="80"/>
      <c r="AL91" s="80"/>
      <c r="AP91" s="80"/>
      <c r="AX91" s="80"/>
      <c r="AZ91" s="80"/>
      <c r="BF91" s="80"/>
      <c r="BQ91" s="80"/>
      <c r="BR91" s="80"/>
      <c r="BS91" s="80"/>
      <c r="BZ91" s="80"/>
      <c r="CA91" s="80"/>
      <c r="CB91" s="80"/>
      <c r="CD91" s="80"/>
      <c r="CE91" s="80"/>
      <c r="CG91" s="80"/>
      <c r="CL91" s="80"/>
      <c r="CN91" s="80"/>
      <c r="CO91" s="80"/>
      <c r="CW91" s="80"/>
      <c r="CZ91" s="80"/>
      <c r="DA91" s="80"/>
      <c r="DE91" s="80"/>
      <c r="DI91" s="80"/>
      <c r="DJ91" s="80"/>
      <c r="DN91" s="80"/>
      <c r="DR91" s="80"/>
      <c r="DT91" s="80"/>
      <c r="DU91" s="80"/>
      <c r="DV91" s="80"/>
      <c r="DX91" s="80"/>
      <c r="EC91" s="80"/>
      <c r="EL91" s="80"/>
    </row>
    <row r="92" spans="1:142" ht="12.75" customHeight="1">
      <c r="A92" s="80"/>
      <c r="B92" s="80"/>
      <c r="C92" s="80"/>
      <c r="D92" s="104"/>
      <c r="E92" s="26"/>
      <c r="F92" s="26"/>
      <c r="I92" s="80"/>
      <c r="J92" s="80"/>
      <c r="L92" s="80"/>
      <c r="M92" s="80"/>
      <c r="N92" s="80"/>
      <c r="Q92" s="80"/>
      <c r="AF92" s="80"/>
      <c r="AY92" s="80"/>
      <c r="BF92" s="80"/>
      <c r="BQ92" s="80"/>
      <c r="BR92" s="80"/>
      <c r="BZ92" s="80"/>
      <c r="CA92" s="80"/>
      <c r="CB92" s="80"/>
      <c r="CC92" s="80"/>
      <c r="CE92" s="80"/>
      <c r="CG92" s="80"/>
      <c r="CL92" s="80"/>
      <c r="EL92" s="80"/>
    </row>
    <row r="93" spans="1:142" ht="12.75" customHeight="1">
      <c r="A93" s="80"/>
      <c r="B93" s="80"/>
      <c r="C93" s="80"/>
      <c r="D93" s="104"/>
      <c r="E93" s="26"/>
      <c r="F93" s="26"/>
      <c r="H93" s="80"/>
      <c r="I93" s="80"/>
      <c r="K93" s="80"/>
      <c r="L93" s="80"/>
      <c r="M93" s="80"/>
      <c r="N93" s="80"/>
      <c r="O93" s="80"/>
      <c r="P93" s="80"/>
      <c r="Q93" s="80"/>
      <c r="AB93" s="80"/>
      <c r="AC93" s="80"/>
      <c r="AF93" s="80"/>
      <c r="AL93" s="80"/>
      <c r="AP93" s="80"/>
      <c r="AX93" s="80"/>
      <c r="AZ93" s="80"/>
      <c r="BF93" s="80"/>
      <c r="BQ93" s="80"/>
      <c r="BR93" s="80"/>
      <c r="BS93" s="80"/>
      <c r="BT93" s="80"/>
      <c r="BZ93" s="80"/>
      <c r="CA93" s="80"/>
      <c r="CB93" s="80"/>
      <c r="CD93" s="80"/>
      <c r="CE93" s="80"/>
      <c r="CG93" s="80"/>
      <c r="CL93" s="80"/>
      <c r="CY93" s="80"/>
      <c r="CZ93" s="80"/>
      <c r="DE93" s="80"/>
      <c r="DI93" s="80"/>
      <c r="DJ93" s="80"/>
      <c r="DN93" s="80"/>
      <c r="DO93" s="80"/>
      <c r="DR93" s="80"/>
      <c r="DV93" s="80"/>
      <c r="DX93" s="80"/>
      <c r="EC93" s="80"/>
      <c r="EF93" s="80"/>
      <c r="EK93" s="80"/>
      <c r="EL93" s="80"/>
    </row>
    <row r="94" spans="1:142" ht="12.75" customHeight="1">
      <c r="A94" s="80"/>
      <c r="B94" s="80"/>
      <c r="C94" s="80"/>
      <c r="D94" s="104"/>
      <c r="E94" s="26"/>
      <c r="F94" s="26"/>
      <c r="H94" s="80"/>
      <c r="L94" s="80"/>
      <c r="M94" s="80"/>
      <c r="N94" s="80"/>
      <c r="O94" s="80"/>
      <c r="Q94" s="80"/>
      <c r="AB94" s="80"/>
      <c r="AF94" s="80"/>
      <c r="AL94" s="80"/>
      <c r="AP94" s="80"/>
      <c r="AY94" s="80"/>
      <c r="BF94" s="80"/>
      <c r="BP94" s="80"/>
      <c r="BQ94" s="80"/>
      <c r="BR94" s="80"/>
      <c r="BS94" s="80"/>
      <c r="BZ94" s="80"/>
      <c r="CA94" s="80"/>
      <c r="CB94" s="80"/>
      <c r="CC94" s="80"/>
      <c r="CD94" s="80"/>
      <c r="CE94" s="80"/>
      <c r="CG94" s="80"/>
      <c r="CL94" s="80"/>
      <c r="CN94" s="80"/>
      <c r="CO94" s="80"/>
      <c r="CY94" s="80"/>
      <c r="CZ94" s="80"/>
      <c r="DA94" s="80"/>
      <c r="DE94" s="80"/>
      <c r="DI94" s="80"/>
      <c r="DJ94" s="80"/>
      <c r="DN94" s="80"/>
      <c r="DR94" s="80"/>
      <c r="DV94" s="80"/>
      <c r="DX94" s="80"/>
      <c r="EC94" s="80"/>
      <c r="ED94" s="80"/>
      <c r="EF94" s="80"/>
      <c r="EI94" s="80"/>
      <c r="EK94" s="80"/>
      <c r="EL94" s="80"/>
    </row>
    <row r="95" spans="1:142" ht="12.75" customHeight="1">
      <c r="A95" s="80"/>
      <c r="B95" s="80"/>
      <c r="C95" s="80"/>
      <c r="D95" s="104"/>
      <c r="E95" s="26"/>
      <c r="F95" s="26"/>
      <c r="H95" s="80"/>
      <c r="I95" s="80"/>
      <c r="J95" s="80"/>
      <c r="K95" s="80"/>
      <c r="L95" s="80"/>
      <c r="M95" s="80"/>
      <c r="N95" s="80"/>
      <c r="O95" s="80"/>
      <c r="P95" s="80"/>
      <c r="Q95" s="80"/>
      <c r="AB95" s="80"/>
      <c r="AF95" s="80"/>
      <c r="AL95" s="80"/>
      <c r="AP95" s="80"/>
      <c r="AX95" s="80"/>
      <c r="AY95" s="80"/>
      <c r="AZ95" s="80"/>
      <c r="BF95" s="80"/>
      <c r="BP95" s="80"/>
      <c r="BQ95" s="80"/>
      <c r="BR95" s="80"/>
      <c r="BS95" s="80"/>
      <c r="BZ95" s="80"/>
      <c r="CA95" s="80"/>
      <c r="CB95" s="80"/>
      <c r="CC95" s="80"/>
      <c r="CD95" s="80"/>
      <c r="CE95" s="80"/>
      <c r="CG95" s="80"/>
      <c r="CL95" s="80"/>
      <c r="CN95" s="80"/>
      <c r="CO95" s="80"/>
      <c r="CY95" s="80"/>
      <c r="CZ95" s="80"/>
      <c r="DB95" s="80"/>
      <c r="DE95" s="80"/>
      <c r="DI95" s="80"/>
      <c r="DJ95" s="80"/>
      <c r="DN95" s="80"/>
      <c r="DR95" s="80"/>
      <c r="DV95" s="80"/>
      <c r="DX95" s="80"/>
      <c r="EC95" s="80"/>
      <c r="ED95" s="80"/>
      <c r="EF95" s="80"/>
      <c r="EI95" s="80"/>
      <c r="EK95" s="80"/>
      <c r="EL95" s="80"/>
    </row>
    <row r="96" spans="1:142" ht="12.75" customHeight="1">
      <c r="A96" s="80"/>
      <c r="B96" s="80"/>
      <c r="C96" s="80"/>
      <c r="D96" s="104"/>
      <c r="E96" s="26"/>
      <c r="F96" s="26"/>
      <c r="H96" s="80"/>
      <c r="L96" s="80"/>
      <c r="M96" s="80"/>
      <c r="Q96" s="80"/>
      <c r="AK96" s="80"/>
      <c r="AP96" s="80"/>
      <c r="AW96" s="80"/>
      <c r="AY96" s="80"/>
      <c r="AZ96" s="80"/>
      <c r="BF96" s="80"/>
      <c r="CD96" s="80"/>
      <c r="CE96" s="80"/>
      <c r="CG96" s="80"/>
      <c r="CL96" s="80"/>
      <c r="EL96" s="80"/>
    </row>
    <row r="97" spans="1:142" ht="12.75" customHeight="1">
      <c r="A97" s="80"/>
      <c r="B97" s="80"/>
      <c r="C97" s="80"/>
      <c r="D97" s="104"/>
      <c r="E97" s="26"/>
      <c r="F97" s="26"/>
      <c r="I97" s="80"/>
      <c r="L97" s="80"/>
      <c r="M97" s="80"/>
      <c r="N97" s="80"/>
      <c r="O97" s="80"/>
      <c r="P97" s="80"/>
      <c r="Q97" s="80"/>
      <c r="AF97" s="80"/>
      <c r="AL97" s="80"/>
      <c r="AP97" s="80"/>
      <c r="AZ97" s="80"/>
      <c r="BF97" s="80"/>
      <c r="BQ97" s="80"/>
      <c r="BR97" s="80"/>
      <c r="BS97" s="80"/>
      <c r="BZ97" s="80"/>
      <c r="CA97" s="80"/>
      <c r="CB97" s="80"/>
      <c r="CD97" s="80"/>
      <c r="CE97" s="80"/>
      <c r="CG97" s="80"/>
      <c r="CI97" s="80"/>
      <c r="CK97" s="80"/>
      <c r="CL97" s="80"/>
      <c r="CW97" s="80"/>
      <c r="CZ97" s="80"/>
      <c r="DA97" s="80"/>
      <c r="DE97" s="80"/>
      <c r="DI97" s="80"/>
      <c r="DJ97" s="80"/>
      <c r="DN97" s="80"/>
      <c r="DR97" s="80"/>
      <c r="DT97" s="80"/>
      <c r="DU97" s="80"/>
      <c r="DV97" s="80"/>
      <c r="DX97" s="80"/>
      <c r="EC97" s="80"/>
      <c r="EL97" s="80"/>
    </row>
    <row r="98" spans="1:142" ht="12.75" customHeight="1">
      <c r="A98" s="80"/>
      <c r="B98" s="80"/>
      <c r="C98" s="80"/>
      <c r="D98" s="104"/>
      <c r="E98" s="26"/>
      <c r="F98" s="26"/>
      <c r="H98" s="80"/>
      <c r="I98" s="80"/>
      <c r="J98" s="80"/>
      <c r="K98" s="80"/>
      <c r="L98" s="80"/>
      <c r="M98" s="80"/>
      <c r="N98" s="80"/>
      <c r="O98" s="80"/>
      <c r="Q98" s="80"/>
      <c r="AB98" s="80"/>
      <c r="AF98" s="80"/>
      <c r="AK98" s="80"/>
      <c r="AL98" s="80"/>
      <c r="AP98" s="80"/>
      <c r="AW98" s="80"/>
      <c r="AX98" s="80"/>
      <c r="AZ98" s="80"/>
      <c r="BF98" s="80"/>
      <c r="BP98" s="80"/>
      <c r="BQ98" s="80"/>
      <c r="BR98" s="80"/>
      <c r="BS98" s="80"/>
      <c r="BZ98" s="80"/>
      <c r="CA98" s="80"/>
      <c r="CB98" s="80"/>
      <c r="CC98" s="80"/>
      <c r="CD98" s="80"/>
      <c r="CE98" s="80"/>
      <c r="CG98" s="80"/>
      <c r="CL98" s="80"/>
      <c r="CN98" s="80"/>
      <c r="CO98" s="80"/>
      <c r="CW98" s="80"/>
      <c r="CY98" s="80"/>
      <c r="CZ98" s="80"/>
      <c r="DA98" s="80"/>
      <c r="DE98" s="80"/>
      <c r="DI98" s="80"/>
      <c r="DJ98" s="80"/>
      <c r="DN98" s="80"/>
      <c r="DR98" s="80"/>
      <c r="DV98" s="80"/>
      <c r="DX98" s="80"/>
      <c r="EC98" s="80"/>
      <c r="ED98" s="80"/>
      <c r="EF98" s="80"/>
      <c r="EJ98" s="80"/>
      <c r="EK98" s="80"/>
      <c r="EL98" s="80"/>
    </row>
    <row r="99" spans="1:142" ht="12.75" customHeight="1">
      <c r="A99" s="80"/>
      <c r="B99" s="80"/>
      <c r="C99" s="80"/>
      <c r="D99" s="104"/>
      <c r="E99" s="26"/>
      <c r="F99" s="26"/>
      <c r="H99" s="80"/>
      <c r="I99" s="80"/>
      <c r="J99" s="80"/>
      <c r="K99" s="80"/>
      <c r="L99" s="80"/>
      <c r="M99" s="80"/>
      <c r="O99" s="80"/>
      <c r="P99" s="80"/>
      <c r="Q99" s="80"/>
      <c r="AF99" s="80"/>
      <c r="AK99" s="80"/>
      <c r="AL99" s="80"/>
      <c r="AP99" s="80"/>
      <c r="AX99" s="80"/>
      <c r="AZ99" s="80"/>
      <c r="BF99" s="80"/>
      <c r="BP99" s="80"/>
      <c r="BQ99" s="80"/>
      <c r="BR99" s="80"/>
      <c r="BS99" s="80"/>
      <c r="BZ99" s="80"/>
      <c r="CA99" s="80"/>
      <c r="CB99" s="80"/>
      <c r="CC99" s="80"/>
      <c r="CD99" s="80"/>
      <c r="CE99" s="80"/>
      <c r="CG99" s="80"/>
      <c r="CL99" s="80"/>
      <c r="CN99" s="80"/>
      <c r="CO99" s="80"/>
      <c r="CY99" s="80"/>
      <c r="CZ99" s="80"/>
      <c r="DE99" s="80"/>
      <c r="DI99" s="80"/>
      <c r="DJ99" s="80"/>
      <c r="DN99" s="80"/>
      <c r="DO99" s="80"/>
      <c r="DR99" s="80"/>
      <c r="DV99" s="80"/>
      <c r="DX99" s="80"/>
      <c r="EC99" s="80"/>
      <c r="EF99" s="80"/>
      <c r="EG99" s="80"/>
      <c r="EH99" s="80"/>
      <c r="EI99" s="80"/>
      <c r="EK99" s="80"/>
      <c r="EL99" s="80"/>
    </row>
    <row r="100" spans="1:142" ht="12.75" customHeight="1">
      <c r="A100" s="80"/>
      <c r="B100" s="80"/>
      <c r="C100" s="80"/>
      <c r="D100" s="104"/>
      <c r="E100" s="26"/>
      <c r="F100" s="26"/>
      <c r="I100" s="80"/>
      <c r="J100" s="80"/>
      <c r="L100" s="80"/>
      <c r="M100" s="80"/>
      <c r="Q100" s="80"/>
      <c r="AF100" s="80"/>
      <c r="AY100" s="80"/>
      <c r="BF100" s="80"/>
      <c r="BT100" s="80"/>
      <c r="CA100" s="80"/>
      <c r="CB100" s="80"/>
      <c r="CG100" s="80"/>
      <c r="CL100" s="80"/>
      <c r="EL100" s="80"/>
    </row>
    <row r="101" spans="1:142" ht="12.75" customHeight="1">
      <c r="A101" s="80"/>
      <c r="B101" s="80"/>
      <c r="C101" s="80"/>
      <c r="D101" s="104"/>
      <c r="E101" s="26"/>
      <c r="F101" s="26"/>
      <c r="H101" s="80"/>
      <c r="I101" s="80"/>
      <c r="J101" s="80"/>
      <c r="K101" s="80"/>
      <c r="L101" s="80"/>
      <c r="M101" s="80"/>
      <c r="N101" s="80"/>
      <c r="O101" s="80"/>
      <c r="P101" s="80"/>
      <c r="Q101" s="80"/>
      <c r="AC101" s="80"/>
      <c r="AF101" s="80"/>
      <c r="AL101" s="80"/>
      <c r="AP101" s="80"/>
      <c r="AX101" s="80"/>
      <c r="AZ101" s="80"/>
      <c r="BF101" s="80"/>
      <c r="BP101" s="80"/>
      <c r="BQ101" s="80"/>
      <c r="BR101" s="80"/>
      <c r="BS101" s="80"/>
      <c r="BZ101" s="80"/>
      <c r="CA101" s="80"/>
      <c r="CB101" s="80"/>
      <c r="CC101" s="80"/>
      <c r="CD101" s="80"/>
      <c r="CE101" s="80"/>
      <c r="CG101" s="80"/>
      <c r="CL101" s="80"/>
      <c r="CY101" s="80"/>
      <c r="CZ101" s="80"/>
      <c r="DE101" s="80"/>
      <c r="DI101" s="80"/>
      <c r="DJ101" s="80"/>
      <c r="DN101" s="80"/>
      <c r="DR101" s="80"/>
      <c r="DV101" s="80"/>
      <c r="DW101" s="80"/>
      <c r="DX101" s="80"/>
      <c r="EC101" s="80"/>
      <c r="EF101" s="80"/>
      <c r="EK101" s="80"/>
      <c r="EL101" s="80"/>
    </row>
    <row r="102" spans="1:142" ht="12.75" customHeight="1">
      <c r="A102" s="80"/>
      <c r="B102" s="80"/>
      <c r="C102" s="80"/>
      <c r="D102" s="104"/>
      <c r="E102" s="26"/>
      <c r="F102" s="26"/>
      <c r="H102" s="80"/>
      <c r="I102" s="80"/>
      <c r="J102" s="80"/>
      <c r="K102" s="80"/>
      <c r="L102" s="80"/>
      <c r="M102" s="80"/>
      <c r="O102" s="80"/>
      <c r="P102" s="80"/>
      <c r="Q102" s="80"/>
      <c r="AB102" s="80"/>
      <c r="AC102" s="80"/>
      <c r="AF102" s="80"/>
      <c r="AK102" s="80"/>
      <c r="AP102" s="80"/>
      <c r="AZ102" s="80"/>
      <c r="BF102" s="80"/>
      <c r="BP102" s="80"/>
      <c r="BQ102" s="80"/>
      <c r="BR102" s="80"/>
      <c r="BS102" s="80"/>
      <c r="BZ102" s="80"/>
      <c r="CA102" s="80"/>
      <c r="CB102" s="80"/>
      <c r="CC102" s="80"/>
      <c r="CD102" s="80"/>
      <c r="CE102" s="80"/>
      <c r="CG102" s="80"/>
      <c r="CL102" s="80"/>
      <c r="CY102" s="80"/>
      <c r="CZ102" s="80"/>
      <c r="DE102" s="80"/>
      <c r="DI102" s="80"/>
      <c r="DJ102" s="80"/>
      <c r="DN102" s="80"/>
      <c r="DR102" s="80"/>
      <c r="DV102" s="80"/>
      <c r="DX102" s="80"/>
      <c r="EC102" s="80"/>
      <c r="EF102" s="80"/>
      <c r="EI102" s="80"/>
      <c r="EK102" s="80"/>
      <c r="EL102" s="80"/>
    </row>
    <row r="103" spans="1:142" ht="12.75" customHeight="1">
      <c r="A103" s="80"/>
      <c r="B103" s="80"/>
      <c r="C103" s="80"/>
      <c r="D103" s="104"/>
      <c r="E103" s="26"/>
      <c r="F103" s="26"/>
      <c r="H103" s="80"/>
      <c r="I103" s="80"/>
      <c r="J103" s="80"/>
      <c r="K103" s="80"/>
      <c r="L103" s="80"/>
      <c r="M103" s="80"/>
      <c r="N103" s="80"/>
      <c r="O103" s="80"/>
      <c r="P103" s="80"/>
      <c r="Q103" s="80"/>
      <c r="AF103" s="80"/>
      <c r="AX103" s="80"/>
      <c r="AZ103" s="80"/>
      <c r="BF103" s="80"/>
      <c r="BJ103" s="80"/>
      <c r="BQ103" s="80"/>
      <c r="BR103" s="80"/>
      <c r="BS103" s="80"/>
      <c r="BT103" s="80"/>
      <c r="BZ103" s="80"/>
      <c r="CA103" s="80"/>
      <c r="CB103" s="80"/>
      <c r="CC103" s="80"/>
      <c r="CD103" s="80"/>
      <c r="CE103" s="80"/>
      <c r="CG103" s="80"/>
      <c r="CL103" s="80"/>
      <c r="CN103" s="80"/>
      <c r="CO103" s="80"/>
      <c r="CW103" s="80"/>
      <c r="CY103" s="80"/>
      <c r="CZ103" s="80"/>
      <c r="DA103" s="80"/>
      <c r="DE103" s="80"/>
      <c r="DI103" s="80"/>
      <c r="DJ103" s="80"/>
      <c r="DN103" s="80"/>
      <c r="DR103" s="80"/>
      <c r="DV103" s="80"/>
      <c r="DW103" s="80"/>
      <c r="DX103" s="80"/>
      <c r="EC103" s="80"/>
      <c r="ED103" s="80"/>
      <c r="EK103" s="80"/>
      <c r="EL103" s="80"/>
    </row>
    <row r="104" spans="1:142" ht="12.75" customHeight="1">
      <c r="A104" s="80"/>
      <c r="B104" s="80"/>
      <c r="C104" s="80"/>
      <c r="D104" s="104"/>
      <c r="E104" s="26"/>
      <c r="F104" s="26"/>
      <c r="H104" s="80"/>
      <c r="I104" s="80"/>
      <c r="K104" s="80"/>
      <c r="L104" s="80"/>
      <c r="M104" s="80"/>
      <c r="N104" s="80"/>
      <c r="O104" s="80"/>
      <c r="P104" s="80"/>
      <c r="Q104" s="80"/>
      <c r="AC104" s="80"/>
      <c r="AF104" s="80"/>
      <c r="AX104" s="80"/>
      <c r="AZ104" s="80"/>
      <c r="BF104" s="80"/>
      <c r="BQ104" s="80"/>
      <c r="BR104" s="80"/>
      <c r="BS104" s="80"/>
      <c r="BZ104" s="80"/>
      <c r="CA104" s="80"/>
      <c r="CB104" s="80"/>
      <c r="CC104" s="80"/>
      <c r="CD104" s="80"/>
      <c r="CE104" s="80"/>
      <c r="CG104" s="80"/>
      <c r="CL104" s="80"/>
      <c r="CN104" s="80"/>
      <c r="CO104" s="80"/>
      <c r="CY104" s="80"/>
      <c r="CZ104" s="80"/>
      <c r="DA104" s="80"/>
      <c r="DE104" s="80"/>
      <c r="DI104" s="80"/>
      <c r="DJ104" s="80"/>
      <c r="DN104" s="80"/>
      <c r="DR104" s="80"/>
      <c r="DV104" s="80"/>
      <c r="DW104" s="80"/>
      <c r="DX104" s="80"/>
      <c r="EC104" s="80"/>
      <c r="ED104" s="80"/>
      <c r="EK104" s="80"/>
      <c r="EL104" s="80"/>
    </row>
    <row r="105" spans="1:142" ht="12.75" customHeight="1">
      <c r="A105" s="80"/>
      <c r="B105" s="80"/>
      <c r="C105" s="80"/>
      <c r="D105" s="104"/>
      <c r="E105" s="26"/>
      <c r="F105" s="26"/>
      <c r="H105" s="80"/>
      <c r="I105" s="80"/>
      <c r="J105" s="80"/>
      <c r="K105" s="80"/>
      <c r="L105" s="80"/>
      <c r="M105" s="80"/>
      <c r="N105" s="80"/>
      <c r="O105" s="80"/>
      <c r="P105" s="80"/>
      <c r="Q105" s="80"/>
      <c r="T105" s="80"/>
      <c r="AC105" s="80"/>
      <c r="AF105" s="80"/>
      <c r="AN105" s="80"/>
      <c r="AP105" s="80"/>
      <c r="AX105" s="80"/>
      <c r="AY105" s="80"/>
      <c r="AZ105" s="80"/>
      <c r="BF105" s="80"/>
      <c r="BP105" s="80"/>
      <c r="BR105" s="80"/>
      <c r="BZ105" s="80"/>
      <c r="CA105" s="80"/>
      <c r="CB105" s="80"/>
      <c r="CC105" s="80"/>
      <c r="CD105" s="80"/>
      <c r="CE105" s="80"/>
      <c r="CG105" s="80"/>
      <c r="CI105" s="80"/>
      <c r="CK105" s="80"/>
      <c r="CL105" s="80"/>
      <c r="CW105" s="80"/>
      <c r="CY105" s="80"/>
      <c r="CZ105" s="80"/>
      <c r="DA105" s="80"/>
      <c r="DE105" s="80"/>
      <c r="DI105" s="80"/>
      <c r="DJ105" s="80"/>
      <c r="DN105" s="80"/>
      <c r="DO105" s="80"/>
      <c r="DR105" s="80"/>
      <c r="DV105" s="80"/>
      <c r="DX105" s="80"/>
      <c r="EC105" s="80"/>
      <c r="EL105" s="80"/>
    </row>
    <row r="106" spans="1:142" ht="12.75" customHeight="1">
      <c r="A106" s="80"/>
      <c r="B106" s="80"/>
      <c r="C106" s="80"/>
      <c r="D106" s="104"/>
      <c r="E106" s="26"/>
      <c r="F106" s="26"/>
      <c r="H106" s="80"/>
      <c r="I106" s="80"/>
      <c r="J106" s="80"/>
      <c r="K106" s="80"/>
      <c r="L106" s="80"/>
      <c r="M106" s="80"/>
      <c r="N106" s="80"/>
      <c r="O106" s="80"/>
      <c r="P106" s="80"/>
      <c r="Q106" s="80"/>
      <c r="AF106" s="80"/>
      <c r="AK106" s="80"/>
      <c r="AL106" s="80"/>
      <c r="AP106" s="80"/>
      <c r="AX106" s="80"/>
      <c r="AZ106" s="80"/>
      <c r="BF106" s="80"/>
      <c r="BP106" s="80"/>
      <c r="BQ106" s="80"/>
      <c r="BR106" s="80"/>
      <c r="BS106" s="80"/>
      <c r="BT106" s="80"/>
      <c r="BZ106" s="80"/>
      <c r="CA106" s="80"/>
      <c r="CB106" s="80"/>
      <c r="CC106" s="80"/>
      <c r="CD106" s="80"/>
      <c r="CE106" s="80"/>
      <c r="CG106" s="80"/>
      <c r="CL106" s="80"/>
      <c r="CN106" s="80"/>
      <c r="CO106" s="80"/>
      <c r="DE106" s="80"/>
      <c r="DI106" s="80"/>
      <c r="DJ106" s="80"/>
      <c r="DN106" s="80"/>
      <c r="DR106" s="80"/>
      <c r="DS106" s="80"/>
      <c r="DT106" s="80"/>
      <c r="DU106" s="80"/>
      <c r="DV106" s="80"/>
      <c r="DW106" s="80"/>
      <c r="DX106" s="80"/>
      <c r="EC106" s="80"/>
      <c r="ED106" s="80"/>
      <c r="EI106" s="80"/>
      <c r="EK106" s="80"/>
      <c r="EL106" s="80"/>
    </row>
    <row r="107" spans="1:142" ht="12.75" customHeight="1">
      <c r="A107" s="80"/>
      <c r="B107" s="80"/>
      <c r="C107" s="80"/>
      <c r="D107" s="104"/>
      <c r="E107" s="26"/>
      <c r="F107" s="26"/>
      <c r="H107" s="80"/>
      <c r="I107" s="80"/>
      <c r="J107" s="80"/>
      <c r="K107" s="80"/>
      <c r="L107" s="80"/>
      <c r="M107" s="80"/>
      <c r="N107" s="80"/>
      <c r="O107" s="80"/>
      <c r="P107" s="80"/>
      <c r="Q107" s="80"/>
      <c r="AI107" s="80"/>
      <c r="AX107" s="80"/>
      <c r="AZ107" s="80"/>
      <c r="BA107" s="80"/>
      <c r="BF107" s="80"/>
      <c r="BP107" s="80"/>
      <c r="BQ107" s="80"/>
      <c r="BR107" s="80"/>
      <c r="BS107" s="80"/>
      <c r="BZ107" s="80"/>
      <c r="CA107" s="80"/>
      <c r="CB107" s="80"/>
      <c r="CC107" s="80"/>
      <c r="CD107" s="80"/>
      <c r="CE107" s="80"/>
      <c r="CG107" s="80"/>
      <c r="CL107" s="80"/>
      <c r="CN107" s="80"/>
      <c r="CO107" s="80"/>
      <c r="CY107" s="80"/>
      <c r="CZ107" s="80"/>
      <c r="DE107" s="80"/>
      <c r="DI107" s="80"/>
      <c r="DJ107" s="80"/>
      <c r="DN107" s="80"/>
      <c r="DO107" s="80"/>
      <c r="DR107" s="80"/>
      <c r="DV107" s="80"/>
      <c r="DX107" s="80"/>
      <c r="EC107" s="80"/>
      <c r="ED107" s="80"/>
      <c r="EF107" s="80"/>
      <c r="EI107" s="80"/>
      <c r="EJ107" s="80"/>
      <c r="EK107" s="80"/>
      <c r="EL107" s="80"/>
    </row>
    <row r="108" spans="1:142" ht="12.75" customHeight="1">
      <c r="A108" s="80"/>
      <c r="B108" s="80"/>
      <c r="C108" s="80"/>
      <c r="D108" s="104"/>
      <c r="E108" s="26"/>
      <c r="F108" s="26"/>
      <c r="H108" s="80"/>
      <c r="I108" s="80"/>
      <c r="K108" s="80"/>
      <c r="L108" s="80"/>
      <c r="M108" s="80"/>
      <c r="N108" s="80"/>
      <c r="Q108" s="80"/>
      <c r="AF108" s="80"/>
      <c r="AZ108" s="80"/>
      <c r="BF108" s="80"/>
      <c r="BJ108" s="80"/>
      <c r="BQ108" s="80"/>
      <c r="BR108" s="80"/>
      <c r="BS108" s="80"/>
      <c r="BT108" s="80"/>
      <c r="CA108" s="80"/>
      <c r="CB108" s="80"/>
      <c r="CD108" s="80"/>
      <c r="CE108" s="80"/>
      <c r="CG108" s="80"/>
      <c r="CL108" s="80"/>
      <c r="CW108" s="80"/>
      <c r="CY108" s="80"/>
      <c r="CZ108" s="80"/>
      <c r="DA108" s="80"/>
      <c r="DC108" s="80"/>
      <c r="DE108" s="80"/>
      <c r="DI108" s="80"/>
      <c r="DJ108" s="80"/>
      <c r="DN108" s="80"/>
      <c r="DR108" s="80"/>
      <c r="DV108" s="80"/>
      <c r="DW108" s="80"/>
      <c r="DX108" s="80"/>
      <c r="EC108" s="80"/>
      <c r="EL108" s="80"/>
    </row>
    <row r="109" spans="1:142" ht="12.75" customHeight="1">
      <c r="A109" s="80"/>
      <c r="B109" s="80"/>
      <c r="C109" s="80"/>
      <c r="D109" s="104"/>
      <c r="E109" s="26"/>
      <c r="F109" s="26"/>
      <c r="K109" s="80"/>
      <c r="L109" s="80"/>
      <c r="M109" s="80"/>
      <c r="Q109" s="80"/>
      <c r="AF109" s="80"/>
      <c r="AL109" s="80"/>
      <c r="AP109" s="80"/>
      <c r="AW109" s="80"/>
      <c r="AZ109" s="80"/>
      <c r="BF109" s="80"/>
      <c r="BJ109" s="80"/>
      <c r="BK109" s="80"/>
      <c r="BQ109" s="80"/>
      <c r="BR109" s="80"/>
      <c r="BS109" s="80"/>
      <c r="BT109" s="80"/>
      <c r="BZ109" s="80"/>
      <c r="CA109" s="80"/>
      <c r="CB109" s="80"/>
      <c r="CC109" s="80"/>
      <c r="CD109" s="80"/>
      <c r="CE109" s="80"/>
      <c r="CG109" s="80"/>
      <c r="CI109" s="80"/>
      <c r="CK109" s="80"/>
      <c r="CL109" s="80"/>
      <c r="CT109" s="80"/>
      <c r="CU109" s="80"/>
      <c r="CY109" s="80"/>
      <c r="CZ109" s="80"/>
      <c r="DA109" s="80"/>
      <c r="DE109" s="80"/>
      <c r="DI109" s="80"/>
      <c r="DJ109" s="80"/>
      <c r="DN109" s="80"/>
      <c r="EL109" s="80"/>
    </row>
    <row r="110" spans="1:142" ht="12.75" customHeight="1">
      <c r="A110" s="80"/>
      <c r="B110" s="80"/>
      <c r="C110" s="80"/>
      <c r="D110" s="104"/>
      <c r="E110" s="26"/>
      <c r="F110" s="26"/>
      <c r="H110" s="80"/>
      <c r="K110" s="80"/>
      <c r="L110" s="80"/>
      <c r="M110" s="80"/>
      <c r="N110" s="80"/>
      <c r="O110" s="80"/>
      <c r="P110" s="80"/>
      <c r="Q110" s="80"/>
      <c r="AB110" s="80"/>
      <c r="AC110" s="80"/>
      <c r="AF110" s="80"/>
      <c r="AK110" s="80"/>
      <c r="AP110" s="80"/>
      <c r="AW110" s="80"/>
      <c r="AX110" s="80"/>
      <c r="AZ110" s="80"/>
      <c r="BF110" s="80"/>
      <c r="BJ110" s="80"/>
      <c r="BP110" s="80"/>
      <c r="BQ110" s="80"/>
      <c r="BR110" s="80"/>
      <c r="BS110" s="80"/>
      <c r="BT110" s="80"/>
      <c r="BZ110" s="80"/>
      <c r="CA110" s="80"/>
      <c r="CB110" s="80"/>
      <c r="CC110" s="80"/>
      <c r="CD110" s="80"/>
      <c r="CE110" s="80"/>
      <c r="CG110" s="80"/>
      <c r="CL110" s="80"/>
      <c r="CN110" s="80"/>
      <c r="CO110" s="80"/>
      <c r="CW110" s="80"/>
      <c r="CY110" s="80"/>
      <c r="CZ110" s="80"/>
      <c r="DA110" s="80"/>
      <c r="DE110" s="80"/>
      <c r="DI110" s="80"/>
      <c r="DJ110" s="80"/>
      <c r="DN110" s="80"/>
      <c r="DR110" s="80"/>
      <c r="DV110" s="80"/>
      <c r="DW110" s="80"/>
      <c r="DX110" s="80"/>
      <c r="EC110" s="80"/>
      <c r="ED110" s="80"/>
      <c r="EF110" s="80"/>
      <c r="EK110" s="80"/>
      <c r="EL110" s="80"/>
    </row>
    <row r="111" spans="1:142" ht="12.75" customHeight="1">
      <c r="A111" s="80"/>
      <c r="B111" s="80"/>
      <c r="C111" s="80"/>
      <c r="D111" s="104"/>
      <c r="E111" s="26"/>
      <c r="F111" s="26"/>
      <c r="M111" s="80"/>
      <c r="N111" s="80"/>
      <c r="Q111" s="80"/>
      <c r="AF111" s="80"/>
      <c r="AL111" s="80"/>
      <c r="AP111" s="80"/>
      <c r="AW111" s="80"/>
      <c r="AZ111" s="80"/>
      <c r="BF111" s="80"/>
      <c r="BJ111" s="80"/>
      <c r="BQ111" s="80"/>
      <c r="BR111" s="80"/>
      <c r="BS111" s="80"/>
      <c r="BT111" s="80"/>
      <c r="BZ111" s="80"/>
      <c r="CA111" s="80"/>
      <c r="CC111" s="80"/>
      <c r="CD111" s="80"/>
      <c r="CE111" s="80"/>
      <c r="CG111" s="80"/>
      <c r="CI111" s="80"/>
      <c r="CK111" s="80"/>
      <c r="CL111" s="80"/>
      <c r="CP111" s="80"/>
      <c r="CT111" s="80"/>
      <c r="CU111" s="80"/>
      <c r="CX111" s="80"/>
      <c r="CY111" s="80"/>
      <c r="CZ111" s="80"/>
      <c r="DA111" s="80"/>
      <c r="DE111" s="80"/>
      <c r="DI111" s="80"/>
      <c r="DJ111" s="80"/>
      <c r="DK111" s="80"/>
      <c r="DN111" s="80"/>
      <c r="DR111" s="80"/>
      <c r="DV111" s="80"/>
      <c r="DX111" s="80"/>
      <c r="EC111" s="80"/>
      <c r="EL111" s="80"/>
    </row>
    <row r="112" spans="1:142" ht="12.75" customHeight="1">
      <c r="A112" s="80"/>
      <c r="B112" s="80"/>
      <c r="C112" s="80"/>
      <c r="D112" s="104"/>
      <c r="E112" s="26"/>
      <c r="F112" s="26"/>
      <c r="K112" s="80"/>
      <c r="L112" s="80"/>
      <c r="M112" s="80"/>
      <c r="Q112" s="80"/>
      <c r="AG112" s="80"/>
      <c r="AR112" s="80"/>
      <c r="AT112" s="80"/>
      <c r="AU112" s="80"/>
      <c r="AZ112" s="80"/>
      <c r="BF112" s="80"/>
      <c r="CD112" s="80"/>
      <c r="CE112" s="80"/>
      <c r="CG112" s="80"/>
      <c r="CI112" s="80"/>
      <c r="CK112" s="80"/>
      <c r="CL112" s="80"/>
      <c r="CN112" s="80"/>
      <c r="CO112" s="80"/>
      <c r="CY112" s="80"/>
      <c r="CZ112" s="80"/>
      <c r="DI112" s="80"/>
      <c r="DJ112" s="80"/>
      <c r="DN112" s="80"/>
      <c r="EL112" s="80"/>
    </row>
    <row r="113" spans="1:142" ht="12.75" customHeight="1">
      <c r="A113" s="80"/>
      <c r="B113" s="80"/>
      <c r="C113" s="80"/>
      <c r="D113" s="104"/>
      <c r="E113" s="26"/>
      <c r="F113" s="26"/>
      <c r="H113" s="80"/>
      <c r="L113" s="80"/>
      <c r="M113" s="80"/>
      <c r="N113" s="80"/>
      <c r="O113" s="80"/>
      <c r="Q113" s="80"/>
      <c r="AG113" s="80"/>
      <c r="AR113" s="80"/>
      <c r="AT113" s="80"/>
      <c r="AZ113" s="80"/>
      <c r="BF113" s="80"/>
      <c r="BJ113" s="80"/>
      <c r="BP113" s="80"/>
      <c r="BR113" s="80"/>
      <c r="BT113" s="80"/>
      <c r="BV113" s="80"/>
      <c r="BX113" s="80"/>
      <c r="CA113" s="80"/>
      <c r="CB113" s="80"/>
      <c r="CD113" s="80"/>
      <c r="CE113" s="80"/>
      <c r="CG113" s="80"/>
      <c r="CL113" s="80"/>
      <c r="CW113" s="80"/>
      <c r="CY113" s="80"/>
      <c r="CZ113" s="80"/>
      <c r="DA113" s="80"/>
      <c r="DE113" s="80"/>
      <c r="DI113" s="80"/>
      <c r="DJ113" s="80"/>
      <c r="DN113" s="80"/>
      <c r="EL113" s="80"/>
    </row>
    <row r="114" spans="1:142" ht="12.75" customHeight="1">
      <c r="A114" s="80"/>
      <c r="B114" s="80"/>
      <c r="C114" s="80"/>
      <c r="D114" s="104"/>
      <c r="E114" s="26"/>
      <c r="F114" s="26"/>
      <c r="H114" s="80"/>
      <c r="I114" s="80"/>
      <c r="J114" s="80"/>
      <c r="K114" s="80"/>
      <c r="L114" s="80"/>
      <c r="M114" s="80"/>
      <c r="N114" s="80"/>
      <c r="O114" s="80"/>
      <c r="P114" s="80"/>
      <c r="Q114" s="80"/>
      <c r="AF114" s="80"/>
      <c r="AK114" s="80"/>
      <c r="AL114" s="80"/>
      <c r="AP114" s="80"/>
      <c r="AW114" s="80"/>
      <c r="AX114" s="80"/>
      <c r="AZ114" s="80"/>
      <c r="BF114" s="80"/>
      <c r="BJ114" s="80"/>
      <c r="BP114" s="80"/>
      <c r="BQ114" s="80"/>
      <c r="BR114" s="80"/>
      <c r="BS114" s="80"/>
      <c r="BZ114" s="80"/>
      <c r="CA114" s="80"/>
      <c r="CB114" s="80"/>
      <c r="CC114" s="80"/>
      <c r="CD114" s="80"/>
      <c r="CE114" s="80"/>
      <c r="CG114" s="80"/>
      <c r="CL114" s="80"/>
      <c r="CN114" s="80"/>
      <c r="CO114" s="80"/>
      <c r="CW114" s="80"/>
      <c r="CZ114" s="80"/>
      <c r="DA114" s="80"/>
      <c r="DE114" s="80"/>
      <c r="DI114" s="80"/>
      <c r="DJ114" s="80"/>
      <c r="DN114" s="80"/>
      <c r="DR114" s="80"/>
      <c r="DT114" s="80"/>
      <c r="DU114" s="80"/>
      <c r="DV114" s="80"/>
      <c r="DW114" s="80"/>
      <c r="DX114" s="80"/>
      <c r="EC114" s="80"/>
      <c r="EI114" s="80"/>
      <c r="EJ114" s="80"/>
      <c r="EK114" s="80"/>
      <c r="EL114" s="80"/>
    </row>
    <row r="115" spans="1:142" ht="12.75" customHeight="1">
      <c r="A115" s="80"/>
      <c r="B115" s="80"/>
      <c r="C115" s="80"/>
      <c r="D115" s="104"/>
      <c r="E115" s="26"/>
      <c r="F115" s="26"/>
      <c r="I115" s="80"/>
      <c r="J115" s="80"/>
      <c r="K115" s="80"/>
      <c r="L115" s="80"/>
      <c r="M115" s="80"/>
      <c r="N115" s="80"/>
      <c r="Q115" s="80"/>
      <c r="AF115" s="80"/>
      <c r="AK115" s="80"/>
      <c r="AN115" s="80"/>
      <c r="AP115" s="80"/>
      <c r="AX115" s="80"/>
      <c r="AZ115" s="80"/>
      <c r="BF115" s="80"/>
      <c r="BJ115" s="80"/>
      <c r="BQ115" s="80"/>
      <c r="BR115" s="80"/>
      <c r="BT115" s="80"/>
      <c r="BZ115" s="80"/>
      <c r="CA115" s="80"/>
      <c r="CB115" s="80"/>
      <c r="CC115" s="80"/>
      <c r="CD115" s="80"/>
      <c r="CE115" s="80"/>
      <c r="CG115" s="80"/>
      <c r="CL115" s="80"/>
      <c r="CY115" s="80"/>
      <c r="CZ115" s="80"/>
      <c r="DC115" s="80"/>
      <c r="DE115" s="80"/>
      <c r="DI115" s="80"/>
      <c r="DJ115" s="80"/>
      <c r="DN115" s="80"/>
      <c r="DR115" s="80"/>
      <c r="DV115" s="80"/>
      <c r="DW115" s="80"/>
      <c r="DX115" s="80"/>
      <c r="EC115" s="80"/>
      <c r="EL115" s="80"/>
    </row>
    <row r="116" spans="1:142" ht="12.75" customHeight="1">
      <c r="A116" s="80"/>
      <c r="B116" s="80"/>
      <c r="C116" s="80"/>
      <c r="D116" s="104"/>
      <c r="E116" s="26"/>
      <c r="F116" s="26"/>
      <c r="H116" s="80"/>
      <c r="I116" s="80"/>
      <c r="J116" s="80"/>
      <c r="K116" s="80"/>
      <c r="L116" s="80"/>
      <c r="M116" s="80"/>
      <c r="N116" s="80"/>
      <c r="O116" s="80"/>
      <c r="P116" s="80"/>
      <c r="Q116" s="80"/>
      <c r="AC116" s="80"/>
      <c r="AF116" s="80"/>
      <c r="AK116" s="80"/>
      <c r="AL116" s="80"/>
      <c r="AP116" s="80"/>
      <c r="AW116" s="80"/>
      <c r="AX116" s="80"/>
      <c r="AY116" s="80"/>
      <c r="AZ116" s="80"/>
      <c r="BF116" s="80"/>
      <c r="BJ116" s="80"/>
      <c r="BQ116" s="80"/>
      <c r="BR116" s="80"/>
      <c r="BS116" s="80"/>
      <c r="BZ116" s="80"/>
      <c r="CA116" s="80"/>
      <c r="CB116" s="80"/>
      <c r="CC116" s="80"/>
      <c r="CD116" s="80"/>
      <c r="CE116" s="80"/>
      <c r="CG116" s="80"/>
      <c r="CL116" s="80"/>
      <c r="CN116" s="80"/>
      <c r="CO116" s="80"/>
      <c r="CY116" s="80"/>
      <c r="CZ116" s="80"/>
      <c r="DA116" s="80"/>
      <c r="DE116" s="80"/>
      <c r="DI116" s="80"/>
      <c r="DJ116" s="80"/>
      <c r="DN116" s="80"/>
      <c r="DR116" s="80"/>
      <c r="DS116" s="80"/>
      <c r="DU116" s="80"/>
      <c r="DV116" s="80"/>
      <c r="DW116" s="80"/>
      <c r="DX116" s="80"/>
      <c r="EC116" s="80"/>
      <c r="EJ116" s="80"/>
      <c r="EK116" s="80"/>
      <c r="EL116" s="80"/>
    </row>
    <row r="117" spans="1:142" ht="12.75" customHeight="1">
      <c r="A117" s="80"/>
      <c r="B117" s="80"/>
      <c r="C117" s="80"/>
      <c r="D117" s="104"/>
      <c r="E117" s="26"/>
      <c r="F117" s="26"/>
      <c r="H117" s="80"/>
      <c r="I117" s="80"/>
      <c r="J117" s="80"/>
      <c r="K117" s="80"/>
      <c r="L117" s="80"/>
      <c r="M117" s="80"/>
      <c r="N117" s="80"/>
      <c r="O117" s="80"/>
      <c r="P117" s="80"/>
      <c r="Q117" s="80"/>
      <c r="S117" s="80"/>
      <c r="AF117" s="80"/>
      <c r="AK117" s="80"/>
      <c r="AP117" s="80"/>
      <c r="AX117" s="80"/>
      <c r="AY117" s="80"/>
      <c r="AZ117" s="80"/>
      <c r="BF117" s="80"/>
      <c r="BJ117" s="80"/>
      <c r="BP117" s="80"/>
      <c r="BQ117" s="80"/>
      <c r="BR117" s="80"/>
      <c r="CA117" s="80"/>
      <c r="CB117" s="80"/>
      <c r="CC117" s="80"/>
      <c r="CD117" s="80"/>
      <c r="CE117" s="80"/>
      <c r="CG117" s="80"/>
      <c r="CL117" s="80"/>
      <c r="CW117" s="80"/>
      <c r="CZ117" s="80"/>
      <c r="DA117" s="80"/>
      <c r="DE117" s="80"/>
      <c r="DI117" s="80"/>
      <c r="DJ117" s="80"/>
      <c r="DN117" s="80"/>
      <c r="DO117" s="80"/>
      <c r="DR117" s="80"/>
      <c r="DV117" s="80"/>
      <c r="DX117" s="80"/>
      <c r="EC117" s="80"/>
      <c r="EF117" s="80"/>
      <c r="EI117" s="80"/>
      <c r="EL117" s="80"/>
    </row>
    <row r="118" spans="1:142" ht="12.75" customHeight="1">
      <c r="A118" s="80"/>
      <c r="B118" s="80"/>
      <c r="C118" s="80"/>
      <c r="D118" s="104"/>
      <c r="E118" s="26"/>
      <c r="F118" s="26"/>
      <c r="H118" s="80"/>
      <c r="I118" s="80"/>
      <c r="J118" s="80"/>
      <c r="L118" s="80"/>
      <c r="M118" s="80"/>
      <c r="O118" s="80"/>
      <c r="P118" s="80"/>
      <c r="Q118" s="80"/>
      <c r="AF118" s="80"/>
      <c r="AK118" s="80"/>
      <c r="AL118" s="80"/>
      <c r="AP118" s="80"/>
      <c r="AZ118" s="80"/>
      <c r="BF118" s="80"/>
      <c r="BJ118" s="80"/>
      <c r="BK118" s="80"/>
      <c r="BQ118" s="80"/>
      <c r="BR118" s="80"/>
      <c r="BS118" s="80"/>
      <c r="BZ118" s="80"/>
      <c r="CA118" s="80"/>
      <c r="CB118" s="80"/>
      <c r="CC118" s="80"/>
      <c r="CD118" s="80"/>
      <c r="CE118" s="80"/>
      <c r="CG118" s="80"/>
      <c r="CL118" s="80"/>
      <c r="CN118" s="80"/>
      <c r="CO118" s="80"/>
      <c r="CW118" s="80"/>
      <c r="CY118" s="80"/>
      <c r="CZ118" s="80"/>
      <c r="DA118" s="80"/>
      <c r="DE118" s="80"/>
      <c r="DI118" s="80"/>
      <c r="DJ118" s="80"/>
      <c r="DN118" s="80"/>
      <c r="DR118" s="80"/>
      <c r="DS118" s="80"/>
      <c r="DT118" s="80"/>
      <c r="DU118" s="80"/>
      <c r="DV118" s="80"/>
      <c r="DW118" s="80"/>
      <c r="DX118" s="80"/>
      <c r="EC118" s="80"/>
      <c r="EF118" s="80"/>
      <c r="EK118" s="80"/>
      <c r="EL118" s="80"/>
    </row>
    <row r="119" spans="1:142" ht="12.75" customHeight="1">
      <c r="A119" s="80"/>
      <c r="B119" s="80"/>
      <c r="C119" s="80"/>
      <c r="D119" s="104"/>
      <c r="E119" s="26"/>
      <c r="F119" s="26"/>
      <c r="H119" s="80"/>
      <c r="I119" s="80"/>
      <c r="K119" s="80"/>
      <c r="L119" s="80"/>
      <c r="M119" s="80"/>
      <c r="N119" s="80"/>
      <c r="O119" s="80"/>
      <c r="P119" s="80"/>
      <c r="Q119" s="80"/>
      <c r="S119" s="80"/>
      <c r="AB119" s="80"/>
      <c r="AC119" s="80"/>
      <c r="AF119" s="80"/>
      <c r="AX119" s="80"/>
      <c r="AZ119" s="80"/>
      <c r="BF119" s="80"/>
      <c r="BJ119" s="80"/>
      <c r="BK119" s="80"/>
      <c r="BQ119" s="80"/>
      <c r="BR119" s="80"/>
      <c r="BS119" s="80"/>
      <c r="BT119" s="80"/>
      <c r="BZ119" s="80"/>
      <c r="CA119" s="80"/>
      <c r="CB119" s="80"/>
      <c r="CC119" s="80"/>
      <c r="CD119" s="80"/>
      <c r="CE119" s="80"/>
      <c r="CG119" s="80"/>
      <c r="CL119" s="80"/>
      <c r="CY119" s="80"/>
      <c r="CZ119" s="80"/>
      <c r="DA119" s="80"/>
      <c r="DE119" s="80"/>
      <c r="DI119" s="80"/>
      <c r="DJ119" s="80"/>
      <c r="DN119" s="80"/>
      <c r="DO119" s="80"/>
      <c r="DR119" s="80"/>
      <c r="DV119" s="80"/>
      <c r="DW119" s="80"/>
      <c r="DX119" s="80"/>
      <c r="EC119" s="80"/>
      <c r="EF119" s="80"/>
      <c r="EI119" s="80"/>
      <c r="EJ119" s="80"/>
      <c r="EK119" s="80"/>
      <c r="EL119" s="80"/>
    </row>
    <row r="120" spans="1:142" ht="12.75" customHeight="1">
      <c r="A120" s="80"/>
      <c r="B120" s="80"/>
      <c r="C120" s="80"/>
      <c r="D120" s="104"/>
      <c r="E120" s="26"/>
      <c r="F120" s="26"/>
      <c r="I120" s="80"/>
      <c r="K120" s="80"/>
      <c r="L120" s="80"/>
      <c r="M120" s="80"/>
      <c r="N120" s="80"/>
      <c r="O120" s="80"/>
      <c r="Q120" s="80"/>
      <c r="AF120" s="80"/>
      <c r="AX120" s="80"/>
      <c r="AZ120" s="80"/>
      <c r="BF120" s="80"/>
      <c r="BJ120" s="80"/>
      <c r="BK120" s="80"/>
      <c r="BQ120" s="80"/>
      <c r="BR120" s="80"/>
      <c r="BS120" s="80"/>
      <c r="BZ120" s="80"/>
      <c r="CA120" s="80"/>
      <c r="CB120" s="80"/>
      <c r="CC120" s="80"/>
      <c r="CD120" s="80"/>
      <c r="CE120" s="80"/>
      <c r="CG120" s="80"/>
      <c r="CL120" s="80"/>
      <c r="CT120" s="80"/>
      <c r="CU120" s="80"/>
      <c r="CY120" s="80"/>
      <c r="CZ120" s="80"/>
      <c r="DA120" s="80"/>
      <c r="DE120" s="80"/>
      <c r="DI120" s="80"/>
      <c r="DJ120" s="80"/>
      <c r="DN120" s="80"/>
      <c r="DO120" s="80"/>
      <c r="DP120" s="80"/>
      <c r="DX120" s="80"/>
      <c r="EC120" s="80"/>
      <c r="EL120" s="80"/>
    </row>
    <row r="121" spans="1:142" ht="12.75" customHeight="1">
      <c r="A121" s="80"/>
      <c r="B121" s="80"/>
      <c r="C121" s="80"/>
      <c r="D121" s="104"/>
      <c r="E121" s="26"/>
      <c r="F121" s="26"/>
      <c r="H121" s="80"/>
      <c r="I121" s="80"/>
      <c r="J121" s="80"/>
      <c r="K121" s="80"/>
      <c r="L121" s="80"/>
      <c r="M121" s="80"/>
      <c r="N121" s="80"/>
      <c r="O121" s="80"/>
      <c r="P121" s="80"/>
      <c r="Q121" s="80"/>
      <c r="R121" s="80"/>
      <c r="S121" s="80"/>
      <c r="AC121" s="80"/>
      <c r="AD121" s="80"/>
      <c r="AF121" s="80"/>
      <c r="AL121" s="80"/>
      <c r="AP121" s="80"/>
      <c r="AX121" s="80"/>
      <c r="AZ121" s="80"/>
      <c r="BF121" s="80"/>
      <c r="BJ121" s="80"/>
      <c r="BP121" s="80"/>
      <c r="BQ121" s="80"/>
      <c r="BR121" s="80"/>
      <c r="BS121" s="80"/>
      <c r="BZ121" s="80"/>
      <c r="CA121" s="80"/>
      <c r="CB121" s="80"/>
      <c r="CC121" s="80"/>
      <c r="CD121" s="80"/>
      <c r="CE121" s="80"/>
      <c r="CG121" s="80"/>
      <c r="CL121" s="80"/>
      <c r="CN121" s="80"/>
      <c r="CO121" s="80"/>
      <c r="CY121" s="80"/>
      <c r="CZ121" s="80"/>
      <c r="DA121" s="80"/>
      <c r="DE121" s="80"/>
      <c r="DI121" s="80"/>
      <c r="DJ121" s="80"/>
      <c r="DN121" s="80"/>
      <c r="DR121" s="80"/>
      <c r="DT121" s="80"/>
      <c r="DU121" s="80"/>
      <c r="DV121" s="80"/>
      <c r="DW121" s="80"/>
      <c r="DX121" s="80"/>
      <c r="EC121" s="80"/>
      <c r="EI121" s="80"/>
      <c r="EK121" s="80"/>
      <c r="EL121" s="80"/>
    </row>
    <row r="122" spans="1:142" ht="12.75" customHeight="1">
      <c r="A122" s="80"/>
      <c r="B122" s="80"/>
      <c r="C122" s="80"/>
      <c r="D122" s="104"/>
      <c r="E122" s="26"/>
      <c r="F122" s="26"/>
      <c r="H122" s="80"/>
      <c r="J122" s="80"/>
      <c r="K122" s="80"/>
      <c r="L122" s="80"/>
      <c r="M122" s="80"/>
      <c r="N122" s="80"/>
      <c r="O122" s="80"/>
      <c r="Q122" s="80"/>
      <c r="AC122" s="80"/>
      <c r="AF122" s="80"/>
      <c r="AL122" s="80"/>
      <c r="AN122" s="80"/>
      <c r="AP122" s="80"/>
      <c r="AX122" s="80"/>
      <c r="AZ122" s="80"/>
      <c r="BF122" s="80"/>
      <c r="BJ122" s="80"/>
      <c r="BK122" s="80"/>
      <c r="BQ122" s="80"/>
      <c r="BR122" s="80"/>
      <c r="BS122" s="80"/>
      <c r="BT122" s="80"/>
      <c r="BZ122" s="80"/>
      <c r="CA122" s="80"/>
      <c r="CB122" s="80"/>
      <c r="CC122" s="80"/>
      <c r="CD122" s="80"/>
      <c r="CE122" s="80"/>
      <c r="CG122" s="80"/>
      <c r="CI122" s="80"/>
      <c r="CK122" s="80"/>
      <c r="CL122" s="80"/>
      <c r="CN122" s="80"/>
      <c r="CO122" s="80"/>
      <c r="CU122" s="80"/>
      <c r="CW122" s="80"/>
      <c r="CY122" s="80"/>
      <c r="CZ122" s="80"/>
      <c r="DA122" s="80"/>
      <c r="DE122" s="80"/>
      <c r="DI122" s="80"/>
      <c r="DJ122" s="80"/>
      <c r="DN122" s="80"/>
      <c r="DO122" s="80"/>
      <c r="DR122" s="80"/>
      <c r="DV122" s="80"/>
      <c r="DW122" s="80"/>
      <c r="DX122" s="80"/>
      <c r="EC122" s="80"/>
      <c r="ED122" s="80"/>
      <c r="EF122" s="80"/>
      <c r="EJ122" s="80"/>
      <c r="EK122" s="80"/>
      <c r="EL122" s="80"/>
    </row>
    <row r="123" spans="1:142" ht="12.75" customHeight="1">
      <c r="A123" s="80"/>
      <c r="B123" s="80"/>
      <c r="C123" s="80"/>
      <c r="D123" s="104"/>
      <c r="E123" s="26"/>
      <c r="F123" s="26"/>
      <c r="J123" s="80"/>
      <c r="K123" s="80"/>
      <c r="L123" s="80"/>
      <c r="M123" s="80"/>
      <c r="N123" s="80"/>
      <c r="O123" s="80"/>
      <c r="P123" s="80"/>
      <c r="Q123" s="80"/>
      <c r="AF123" s="80"/>
      <c r="AK123" s="80"/>
      <c r="AP123" s="80"/>
      <c r="AX123" s="80"/>
      <c r="AZ123" s="80"/>
      <c r="BF123" s="80"/>
      <c r="BJ123" s="80"/>
      <c r="BQ123" s="80"/>
      <c r="BR123" s="80"/>
      <c r="BT123" s="80"/>
      <c r="BZ123" s="80"/>
      <c r="CA123" s="80"/>
      <c r="CB123" s="80"/>
      <c r="CC123" s="80"/>
      <c r="CD123" s="80"/>
      <c r="CE123" s="80"/>
      <c r="CG123" s="80"/>
      <c r="CI123" s="80"/>
      <c r="CK123" s="80"/>
      <c r="CL123" s="80"/>
      <c r="CY123" s="80"/>
      <c r="CZ123" s="80"/>
      <c r="DA123" s="80"/>
      <c r="DE123" s="80"/>
      <c r="DI123" s="80"/>
      <c r="DJ123" s="80"/>
      <c r="DN123" s="80"/>
      <c r="DO123" s="80"/>
      <c r="DR123" s="80"/>
      <c r="DV123" s="80"/>
      <c r="DW123" s="80"/>
      <c r="DX123" s="80"/>
      <c r="EC123" s="80"/>
      <c r="EF123" s="80"/>
      <c r="EK123" s="80"/>
      <c r="EL123" s="80"/>
    </row>
    <row r="124" spans="1:142" ht="12.75" customHeight="1">
      <c r="A124" s="80"/>
      <c r="B124" s="80"/>
      <c r="C124" s="80"/>
      <c r="D124" s="104"/>
      <c r="E124" s="26"/>
      <c r="F124" s="26"/>
      <c r="H124" s="80"/>
      <c r="L124" s="80"/>
      <c r="M124" s="80"/>
      <c r="N124" s="80"/>
      <c r="O124" s="80"/>
      <c r="P124" s="80"/>
      <c r="Q124" s="80"/>
      <c r="AB124" s="80"/>
      <c r="AC124" s="80"/>
      <c r="AF124" s="80"/>
      <c r="AZ124" s="80"/>
      <c r="BF124" s="80"/>
      <c r="BJ124" s="80"/>
      <c r="BK124" s="80"/>
      <c r="BP124" s="80"/>
      <c r="BQ124" s="80"/>
      <c r="BR124" s="80"/>
      <c r="BS124" s="80"/>
      <c r="BZ124" s="80"/>
      <c r="CA124" s="80"/>
      <c r="CB124" s="80"/>
      <c r="CC124" s="80"/>
      <c r="CD124" s="80"/>
      <c r="CE124" s="80"/>
      <c r="CG124" s="80"/>
      <c r="CL124" s="80"/>
      <c r="CN124" s="80"/>
      <c r="CO124" s="80"/>
      <c r="CY124" s="80"/>
      <c r="CZ124" s="80"/>
      <c r="DA124" s="80"/>
      <c r="DE124" s="80"/>
      <c r="DI124" s="80"/>
      <c r="DJ124" s="80"/>
      <c r="DN124" s="80"/>
      <c r="DR124" s="80"/>
      <c r="DV124" s="80"/>
      <c r="DW124" s="80"/>
      <c r="DX124" s="80"/>
      <c r="EC124" s="80"/>
      <c r="EJ124" s="80"/>
      <c r="EK124" s="80"/>
      <c r="EL124" s="80"/>
    </row>
    <row r="125" spans="1:142" ht="12.75" customHeight="1">
      <c r="A125" s="80"/>
      <c r="B125" s="80"/>
      <c r="C125" s="80"/>
      <c r="D125" s="104"/>
      <c r="E125" s="26"/>
      <c r="F125" s="26"/>
      <c r="H125" s="80"/>
      <c r="I125" s="80"/>
      <c r="J125" s="80"/>
      <c r="K125" s="80"/>
      <c r="L125" s="80"/>
      <c r="M125" s="80"/>
      <c r="O125" s="80"/>
      <c r="P125" s="80"/>
      <c r="Q125" s="80"/>
      <c r="AF125" s="80"/>
      <c r="AK125" s="80"/>
      <c r="AP125" s="80"/>
      <c r="AX125" s="80"/>
      <c r="AZ125" s="80"/>
      <c r="BF125" s="80"/>
      <c r="BJ125" s="80"/>
      <c r="BP125" s="80"/>
      <c r="BQ125" s="80"/>
      <c r="BR125" s="80"/>
      <c r="BS125" s="80"/>
      <c r="BZ125" s="80"/>
      <c r="CA125" s="80"/>
      <c r="CB125" s="80"/>
      <c r="CD125" s="80"/>
      <c r="CE125" s="80"/>
      <c r="CF125" s="80"/>
      <c r="CG125" s="80"/>
      <c r="CL125" s="80"/>
      <c r="CW125" s="80"/>
      <c r="CY125" s="80"/>
      <c r="CZ125" s="80"/>
      <c r="DA125" s="80"/>
      <c r="DE125" s="80"/>
      <c r="DI125" s="80"/>
      <c r="DJ125" s="80"/>
      <c r="DN125" s="80"/>
      <c r="DR125" s="80"/>
      <c r="DV125" s="80"/>
      <c r="DW125" s="80"/>
      <c r="DX125" s="80"/>
      <c r="EC125" s="80"/>
      <c r="EL125" s="80"/>
    </row>
    <row r="126" spans="1:142" ht="12.75" customHeight="1">
      <c r="A126" s="80"/>
      <c r="B126" s="80"/>
      <c r="C126" s="80"/>
      <c r="D126" s="104"/>
      <c r="E126" s="26"/>
      <c r="F126" s="26"/>
      <c r="H126" s="80"/>
      <c r="I126" s="80"/>
      <c r="J126" s="80"/>
      <c r="K126" s="80"/>
      <c r="L126" s="80"/>
      <c r="M126" s="80"/>
      <c r="N126" s="80"/>
      <c r="O126" s="80"/>
      <c r="P126" s="80"/>
      <c r="Q126" s="80"/>
      <c r="AF126" s="80"/>
      <c r="AL126" s="80"/>
      <c r="AP126" s="80"/>
      <c r="AZ126" s="80"/>
      <c r="BF126" s="80"/>
      <c r="BJ126" s="80"/>
      <c r="BQ126" s="80"/>
      <c r="BR126" s="80"/>
      <c r="BS126" s="80"/>
      <c r="BZ126" s="80"/>
      <c r="CA126" s="80"/>
      <c r="CB126" s="80"/>
      <c r="CC126" s="80"/>
      <c r="CD126" s="80"/>
      <c r="CE126" s="80"/>
      <c r="CG126" s="80"/>
      <c r="CL126" s="80"/>
      <c r="CN126" s="80"/>
      <c r="CO126" s="80"/>
      <c r="CY126" s="80"/>
      <c r="CZ126" s="80"/>
      <c r="DA126" s="80"/>
      <c r="DE126" s="80"/>
      <c r="DI126" s="80"/>
      <c r="DJ126" s="80"/>
      <c r="DN126" s="80"/>
      <c r="DR126" s="80"/>
      <c r="DS126" s="80"/>
      <c r="DU126" s="80"/>
      <c r="DV126" s="80"/>
      <c r="DX126" s="80"/>
      <c r="EC126" s="80"/>
      <c r="EL126" s="80"/>
    </row>
    <row r="127" spans="1:142" ht="12.75" customHeight="1">
      <c r="A127" s="80"/>
      <c r="B127" s="80"/>
      <c r="C127" s="80"/>
      <c r="D127" s="104"/>
      <c r="E127" s="26"/>
      <c r="F127" s="26"/>
      <c r="H127" s="80"/>
      <c r="I127" s="80"/>
      <c r="J127" s="80"/>
      <c r="K127" s="80"/>
      <c r="L127" s="80"/>
      <c r="M127" s="80"/>
      <c r="O127" s="80"/>
      <c r="P127" s="80"/>
      <c r="Q127" s="80"/>
      <c r="AF127" s="80"/>
      <c r="AL127" s="80"/>
      <c r="AP127" s="80"/>
      <c r="AW127" s="80"/>
      <c r="AX127" s="80"/>
      <c r="AZ127" s="80"/>
      <c r="BF127" s="80"/>
      <c r="BJ127" s="80"/>
      <c r="BK127" s="80"/>
      <c r="BQ127" s="80"/>
      <c r="BR127" s="80"/>
      <c r="BS127" s="80"/>
      <c r="BZ127" s="80"/>
      <c r="CA127" s="80"/>
      <c r="CB127" s="80"/>
      <c r="CC127" s="80"/>
      <c r="CD127" s="80"/>
      <c r="CE127" s="80"/>
      <c r="CG127" s="80"/>
      <c r="CL127" s="80"/>
      <c r="CW127" s="80"/>
      <c r="CY127" s="80"/>
      <c r="CZ127" s="80"/>
      <c r="DA127" s="80"/>
      <c r="DE127" s="80"/>
      <c r="DI127" s="80"/>
      <c r="DJ127" s="80"/>
      <c r="DN127" s="80"/>
      <c r="DR127" s="80"/>
      <c r="DS127" s="80"/>
      <c r="DU127" s="80"/>
      <c r="DV127" s="80"/>
      <c r="DW127" s="80"/>
      <c r="DX127" s="80"/>
      <c r="EC127" s="80"/>
      <c r="EL127" s="80"/>
    </row>
    <row r="128" spans="1:142" ht="12.75" customHeight="1">
      <c r="A128" s="80"/>
      <c r="B128" s="80"/>
      <c r="C128" s="80"/>
      <c r="D128" s="104"/>
      <c r="E128" s="26"/>
      <c r="F128" s="26"/>
      <c r="H128" s="80"/>
      <c r="I128" s="80"/>
      <c r="J128" s="80"/>
      <c r="K128" s="80"/>
      <c r="L128" s="80"/>
      <c r="M128" s="80"/>
      <c r="O128" s="80"/>
      <c r="P128" s="80"/>
      <c r="Q128" s="80"/>
      <c r="AF128" s="80"/>
      <c r="AL128" s="80"/>
      <c r="AP128" s="80"/>
      <c r="AZ128" s="80"/>
      <c r="BF128" s="80"/>
      <c r="BJ128" s="80"/>
      <c r="BQ128" s="80"/>
      <c r="BR128" s="80"/>
      <c r="BS128" s="80"/>
      <c r="BZ128" s="80"/>
      <c r="CA128" s="80"/>
      <c r="CB128" s="80"/>
      <c r="CC128" s="80"/>
      <c r="CD128" s="80"/>
      <c r="CE128" s="80"/>
      <c r="CG128" s="80"/>
      <c r="CL128" s="80"/>
      <c r="CN128" s="80"/>
      <c r="CO128" s="80"/>
      <c r="CY128" s="80"/>
      <c r="CZ128" s="80"/>
      <c r="DE128" s="80"/>
      <c r="DI128" s="80"/>
      <c r="DJ128" s="80"/>
      <c r="DN128" s="80"/>
      <c r="DO128" s="80"/>
      <c r="DR128" s="80"/>
      <c r="DV128" s="80"/>
      <c r="DW128" s="80"/>
      <c r="DX128" s="80"/>
      <c r="EC128" s="80"/>
      <c r="EL128" s="80"/>
    </row>
    <row r="129" spans="1:142" ht="12.75" customHeight="1">
      <c r="A129" s="80"/>
      <c r="B129" s="80"/>
      <c r="C129" s="80"/>
      <c r="D129" s="104"/>
      <c r="E129" s="26"/>
      <c r="F129" s="26"/>
      <c r="H129" s="80"/>
      <c r="I129" s="80"/>
      <c r="J129" s="80"/>
      <c r="L129" s="80"/>
      <c r="M129" s="80"/>
      <c r="N129" s="80"/>
      <c r="O129" s="80"/>
      <c r="P129" s="80"/>
      <c r="Q129" s="80"/>
      <c r="AF129" s="80"/>
      <c r="AZ129" s="80"/>
      <c r="BF129" s="80"/>
      <c r="BQ129" s="80"/>
      <c r="BR129" s="80"/>
      <c r="BS129" s="80"/>
      <c r="BT129" s="80"/>
      <c r="BZ129" s="80"/>
      <c r="CA129" s="80"/>
      <c r="CB129" s="80"/>
      <c r="CC129" s="80"/>
      <c r="CD129" s="80"/>
      <c r="CE129" s="80"/>
      <c r="CG129" s="80"/>
      <c r="CL129" s="80"/>
      <c r="CY129" s="80"/>
      <c r="CZ129" s="80"/>
      <c r="DA129" s="80"/>
      <c r="DE129" s="80"/>
      <c r="DI129" s="80"/>
      <c r="DJ129" s="80"/>
      <c r="DN129" s="80"/>
      <c r="DO129" s="80"/>
      <c r="DR129" s="80"/>
      <c r="DV129" s="80"/>
      <c r="DX129" s="80"/>
      <c r="EC129" s="80"/>
      <c r="EF129" s="80"/>
      <c r="EK129" s="80"/>
      <c r="EL129" s="80"/>
    </row>
    <row r="130" spans="1:142" ht="12.75" customHeight="1">
      <c r="A130" s="80"/>
      <c r="B130" s="80"/>
      <c r="C130" s="80"/>
      <c r="D130" s="104"/>
      <c r="E130" s="26"/>
      <c r="F130" s="26"/>
      <c r="H130" s="80"/>
      <c r="I130" s="80"/>
      <c r="J130" s="80"/>
      <c r="K130" s="80"/>
      <c r="L130" s="80"/>
      <c r="M130" s="80"/>
      <c r="N130" s="80"/>
      <c r="O130" s="80"/>
      <c r="P130" s="80"/>
      <c r="Q130" s="80"/>
      <c r="AC130" s="80"/>
      <c r="AF130" s="80"/>
      <c r="AK130" s="80"/>
      <c r="AL130" s="80"/>
      <c r="AP130" s="80"/>
      <c r="AW130" s="80"/>
      <c r="AX130" s="80"/>
      <c r="AZ130" s="80"/>
      <c r="BF130" s="80"/>
      <c r="BQ130" s="80"/>
      <c r="BR130" s="80"/>
      <c r="BS130" s="80"/>
      <c r="BZ130" s="80"/>
      <c r="CA130" s="80"/>
      <c r="CD130" s="80"/>
      <c r="CE130" s="80"/>
      <c r="CF130" s="80"/>
      <c r="CG130" s="80"/>
      <c r="CI130" s="80"/>
      <c r="CK130" s="80"/>
      <c r="CL130" s="80"/>
      <c r="CN130" s="80"/>
      <c r="CO130" s="80"/>
      <c r="CY130" s="80"/>
      <c r="CZ130" s="80"/>
      <c r="DA130" s="80"/>
      <c r="DE130" s="80"/>
      <c r="DI130" s="80"/>
      <c r="DJ130" s="80"/>
      <c r="DN130" s="80"/>
      <c r="DR130" s="80"/>
      <c r="DS130" s="80"/>
      <c r="DT130" s="80"/>
      <c r="DU130" s="80"/>
      <c r="DV130" s="80"/>
      <c r="DW130" s="80"/>
      <c r="DX130" s="80"/>
      <c r="EC130" s="80"/>
      <c r="EJ130" s="80"/>
      <c r="EK130" s="80"/>
      <c r="EL130" s="80"/>
    </row>
    <row r="131" spans="1:142" ht="12.75" customHeight="1">
      <c r="A131" s="80"/>
      <c r="B131" s="80"/>
      <c r="C131" s="80"/>
      <c r="D131" s="104"/>
      <c r="E131" s="26"/>
      <c r="F131" s="26"/>
      <c r="I131" s="80"/>
      <c r="J131" s="80"/>
      <c r="K131" s="80"/>
      <c r="L131" s="80"/>
      <c r="M131" s="80"/>
      <c r="N131" s="80"/>
      <c r="Q131" s="80"/>
      <c r="AF131" s="80"/>
      <c r="AL131" s="80"/>
      <c r="AP131" s="80"/>
      <c r="AX131" s="80"/>
      <c r="AY131" s="80"/>
      <c r="AZ131" s="80"/>
      <c r="BF131" s="80"/>
      <c r="BJ131" s="80"/>
      <c r="BK131" s="80"/>
      <c r="BQ131" s="80"/>
      <c r="BR131" s="80"/>
      <c r="BS131" s="80"/>
      <c r="BT131" s="80"/>
      <c r="BZ131" s="80"/>
      <c r="CA131" s="80"/>
      <c r="CB131" s="80"/>
      <c r="CC131" s="80"/>
      <c r="CD131" s="80"/>
      <c r="CE131" s="80"/>
      <c r="CG131" s="80"/>
      <c r="CI131" s="80"/>
      <c r="CK131" s="80"/>
      <c r="CL131" s="80"/>
      <c r="CT131" s="80"/>
      <c r="CU131" s="80"/>
      <c r="CY131" s="80"/>
      <c r="CZ131" s="80"/>
      <c r="DA131" s="80"/>
      <c r="DE131" s="80"/>
      <c r="DI131" s="80"/>
      <c r="DJ131" s="80"/>
      <c r="DN131" s="80"/>
      <c r="EL131" s="80"/>
    </row>
    <row r="132" spans="1:142" ht="12.75" customHeight="1">
      <c r="A132" s="80"/>
      <c r="B132" s="80"/>
      <c r="C132" s="80"/>
      <c r="D132" s="104"/>
      <c r="E132" s="26"/>
      <c r="F132" s="26"/>
      <c r="H132" s="80"/>
      <c r="I132" s="80"/>
      <c r="J132" s="80"/>
      <c r="K132" s="80"/>
      <c r="L132" s="80"/>
      <c r="M132" s="80"/>
      <c r="N132" s="80"/>
      <c r="O132" s="80"/>
      <c r="P132" s="80"/>
      <c r="Q132" s="80"/>
      <c r="AC132" s="80"/>
      <c r="AF132" s="80"/>
      <c r="AL132" s="80"/>
      <c r="AP132" s="80"/>
      <c r="AW132" s="80"/>
      <c r="AX132" s="80"/>
      <c r="AY132" s="80"/>
      <c r="AZ132" s="80"/>
      <c r="BF132" s="80"/>
      <c r="BP132" s="80"/>
      <c r="BQ132" s="80"/>
      <c r="BR132" s="80"/>
      <c r="BS132" s="80"/>
      <c r="BZ132" s="80"/>
      <c r="CA132" s="80"/>
      <c r="CB132" s="80"/>
      <c r="CC132" s="80"/>
      <c r="CD132" s="80"/>
      <c r="CE132" s="80"/>
      <c r="CG132" s="80"/>
      <c r="CJ132" s="80"/>
      <c r="CL132" s="80"/>
      <c r="CY132" s="80"/>
      <c r="CZ132" s="80"/>
      <c r="DA132" s="80"/>
      <c r="DE132" s="80"/>
      <c r="DI132" s="80"/>
      <c r="DJ132" s="80"/>
      <c r="DN132" s="80"/>
      <c r="DO132" s="80"/>
      <c r="DR132" s="80"/>
      <c r="DV132" s="80"/>
      <c r="DW132" s="80"/>
      <c r="DX132" s="80"/>
      <c r="EC132" s="80"/>
      <c r="EF132" s="80"/>
      <c r="EI132" s="80"/>
      <c r="EL132" s="80"/>
    </row>
    <row r="133" spans="1:142" ht="12.75" customHeight="1">
      <c r="A133" s="80"/>
      <c r="B133" s="80"/>
      <c r="C133" s="80"/>
      <c r="D133" s="104"/>
      <c r="E133" s="26"/>
      <c r="F133" s="26"/>
      <c r="H133" s="80"/>
      <c r="I133" s="80"/>
      <c r="J133" s="80"/>
      <c r="K133" s="80"/>
      <c r="L133" s="80"/>
      <c r="M133" s="80"/>
      <c r="N133" s="80"/>
      <c r="O133" s="80"/>
      <c r="Q133" s="80"/>
      <c r="R133" s="80"/>
      <c r="S133" s="80"/>
      <c r="AF133" s="80"/>
      <c r="AX133" s="80"/>
      <c r="AZ133" s="80"/>
      <c r="BF133" s="80"/>
      <c r="BJ133" s="80"/>
      <c r="BQ133" s="80"/>
      <c r="BR133" s="80"/>
      <c r="BS133" s="80"/>
      <c r="CA133" s="80"/>
      <c r="CB133" s="80"/>
      <c r="CC133" s="80"/>
      <c r="CD133" s="80"/>
      <c r="CE133" s="80"/>
      <c r="CG133" s="80"/>
      <c r="CH133" s="80"/>
      <c r="CK133" s="80"/>
      <c r="CL133" s="80"/>
      <c r="CN133" s="80"/>
      <c r="CO133" s="80"/>
      <c r="CT133" s="80"/>
      <c r="CU133" s="80"/>
      <c r="CY133" s="80"/>
      <c r="CZ133" s="80"/>
      <c r="DA133" s="80"/>
      <c r="DE133" s="80"/>
      <c r="DI133" s="80"/>
      <c r="DJ133" s="80"/>
      <c r="DN133" s="80"/>
      <c r="EJ133" s="80"/>
      <c r="EK133" s="80"/>
      <c r="EL133" s="80"/>
    </row>
    <row r="134" spans="1:142" ht="12.75" customHeight="1">
      <c r="A134" s="80"/>
      <c r="B134" s="80"/>
      <c r="C134" s="80"/>
      <c r="D134" s="104"/>
      <c r="E134" s="26"/>
      <c r="F134" s="26"/>
      <c r="H134" s="80"/>
      <c r="K134" s="80"/>
      <c r="L134" s="80"/>
      <c r="M134" s="80"/>
      <c r="Q134" s="80"/>
      <c r="R134" s="80"/>
      <c r="AF134" s="80"/>
      <c r="AK134" s="80"/>
      <c r="AP134" s="80"/>
      <c r="AV134" s="80"/>
      <c r="AX134" s="80"/>
      <c r="AZ134" s="80"/>
      <c r="BF134" s="80"/>
      <c r="BJ134" s="80"/>
      <c r="BQ134" s="80"/>
      <c r="BR134" s="80"/>
      <c r="BZ134" s="80"/>
      <c r="CA134" s="80"/>
      <c r="CB134" s="80"/>
      <c r="CC134" s="80"/>
      <c r="CD134" s="80"/>
      <c r="CE134" s="80"/>
      <c r="CG134" s="80"/>
      <c r="CH134" s="80"/>
      <c r="CI134" s="80"/>
      <c r="CK134" s="80"/>
      <c r="CL134" s="80"/>
      <c r="CW134" s="80"/>
      <c r="CZ134" s="80"/>
      <c r="DA134" s="80"/>
      <c r="DE134" s="80"/>
      <c r="DI134" s="80"/>
      <c r="DJ134" s="80"/>
      <c r="DN134" s="80"/>
      <c r="EL134" s="80"/>
    </row>
    <row r="135" spans="1:142" ht="12.75" customHeight="1">
      <c r="A135" s="80"/>
      <c r="B135" s="80"/>
      <c r="C135" s="80"/>
      <c r="D135" s="104"/>
      <c r="E135" s="26"/>
      <c r="F135" s="26"/>
      <c r="H135" s="80"/>
      <c r="I135" s="80"/>
      <c r="J135" s="80"/>
      <c r="K135" s="80"/>
      <c r="L135" s="80"/>
      <c r="M135" s="80"/>
      <c r="N135" s="80"/>
      <c r="O135" s="80"/>
      <c r="Q135" s="80"/>
      <c r="R135" s="80"/>
      <c r="AF135" s="80"/>
      <c r="AL135" s="80"/>
      <c r="AP135" s="80"/>
      <c r="AV135" s="80"/>
      <c r="AX135" s="80"/>
      <c r="AZ135" s="80"/>
      <c r="BF135" s="80"/>
      <c r="BJ135" s="80"/>
      <c r="BP135" s="80"/>
      <c r="BQ135" s="80"/>
      <c r="BR135" s="80"/>
      <c r="BS135" s="80"/>
      <c r="BZ135" s="80"/>
      <c r="CA135" s="80"/>
      <c r="CB135" s="80"/>
      <c r="CC135" s="80"/>
      <c r="CD135" s="80"/>
      <c r="CE135" s="80"/>
      <c r="CG135" s="80"/>
      <c r="CH135" s="80"/>
      <c r="CK135" s="80"/>
      <c r="CL135" s="80"/>
      <c r="CY135" s="80"/>
      <c r="CZ135" s="80"/>
      <c r="DE135" s="80"/>
      <c r="DI135" s="80"/>
      <c r="DJ135" s="80"/>
      <c r="DN135" s="80"/>
      <c r="DR135" s="80"/>
      <c r="DV135" s="80"/>
      <c r="DW135" s="80"/>
      <c r="DX135" s="80"/>
      <c r="EC135" s="80"/>
      <c r="EL135" s="80"/>
    </row>
    <row r="136" spans="1:142" ht="12.75" customHeight="1">
      <c r="A136" s="80"/>
      <c r="B136" s="80"/>
      <c r="C136" s="80"/>
      <c r="D136" s="104"/>
      <c r="E136" s="26"/>
      <c r="F136" s="26"/>
      <c r="J136" s="80"/>
      <c r="K136" s="80"/>
      <c r="L136" s="80"/>
      <c r="M136" s="80"/>
      <c r="N136" s="80"/>
      <c r="O136" s="80"/>
      <c r="Q136" s="80"/>
      <c r="AB136" s="80"/>
      <c r="AF136" s="80"/>
      <c r="AK136" s="80"/>
      <c r="AP136" s="80"/>
      <c r="AX136" s="80"/>
      <c r="AZ136" s="80"/>
      <c r="BF136" s="80"/>
      <c r="BJ136" s="80"/>
      <c r="BQ136" s="80"/>
      <c r="BR136" s="80"/>
      <c r="BS136" s="80"/>
      <c r="BT136" s="80"/>
      <c r="BZ136" s="80"/>
      <c r="CA136" s="80"/>
      <c r="CB136" s="80"/>
      <c r="CD136" s="80"/>
      <c r="CE136" s="80"/>
      <c r="CG136" s="80"/>
      <c r="CL136" s="80"/>
      <c r="CW136" s="80"/>
      <c r="CZ136" s="80"/>
      <c r="DA136" s="80"/>
      <c r="DE136" s="80"/>
      <c r="DI136" s="80"/>
      <c r="DJ136" s="80"/>
      <c r="DN136" s="80"/>
      <c r="DR136" s="80"/>
      <c r="DS136" s="80"/>
      <c r="DU136" s="80"/>
      <c r="DV136" s="80"/>
      <c r="DW136" s="80"/>
      <c r="DX136" s="80"/>
      <c r="EC136" s="80"/>
      <c r="EF136" s="80"/>
      <c r="EK136" s="80"/>
      <c r="EL136" s="80"/>
    </row>
    <row r="137" spans="1:142" ht="12.75" customHeight="1">
      <c r="A137" s="80"/>
      <c r="B137" s="80"/>
      <c r="C137" s="80"/>
      <c r="D137" s="104"/>
      <c r="E137" s="26"/>
      <c r="F137" s="26"/>
      <c r="I137" s="80"/>
      <c r="J137" s="80"/>
      <c r="K137" s="80"/>
      <c r="L137" s="80"/>
      <c r="M137" s="80"/>
      <c r="N137" s="80"/>
      <c r="Q137" s="80"/>
      <c r="AF137" s="80"/>
      <c r="AZ137" s="80"/>
      <c r="BF137" s="80"/>
      <c r="BJ137" s="80"/>
      <c r="BK137" s="80"/>
      <c r="BQ137" s="80"/>
      <c r="BR137" s="80"/>
      <c r="BT137" s="80"/>
      <c r="CA137" s="80"/>
      <c r="CB137" s="80"/>
      <c r="CC137" s="80"/>
      <c r="CD137" s="80"/>
      <c r="CE137" s="80"/>
      <c r="CG137" s="80"/>
      <c r="CL137" s="80"/>
      <c r="CT137" s="80"/>
      <c r="CU137" s="80"/>
      <c r="CW137" s="80"/>
      <c r="CZ137" s="80"/>
      <c r="DA137" s="80"/>
      <c r="DE137" s="80"/>
      <c r="DI137" s="80"/>
      <c r="DJ137" s="80"/>
      <c r="DN137" s="80"/>
      <c r="EL137" s="80"/>
    </row>
    <row r="138" spans="1:142" ht="12.75" customHeight="1">
      <c r="A138" s="80"/>
      <c r="B138" s="80"/>
      <c r="C138" s="80"/>
      <c r="D138" s="104"/>
      <c r="E138" s="26"/>
      <c r="F138" s="26"/>
      <c r="H138" s="80"/>
      <c r="K138" s="80"/>
      <c r="L138" s="80"/>
      <c r="M138" s="80"/>
      <c r="N138" s="80"/>
      <c r="P138" s="80"/>
      <c r="Q138" s="80"/>
      <c r="R138" s="80"/>
      <c r="AE138" s="80"/>
      <c r="AF138" s="80"/>
      <c r="AK138" s="80"/>
      <c r="AP138" s="80"/>
      <c r="AQ138" s="80"/>
      <c r="AW138" s="80"/>
      <c r="AZ138" s="80"/>
      <c r="BF138" s="80"/>
      <c r="BJ138" s="80"/>
      <c r="BK138" s="80"/>
      <c r="BM138" s="80"/>
      <c r="BN138" s="80"/>
      <c r="BQ138" s="80"/>
      <c r="BR138" s="80"/>
      <c r="BS138" s="80"/>
      <c r="BT138" s="80"/>
      <c r="BZ138" s="80"/>
      <c r="CA138" s="80"/>
      <c r="CD138" s="80"/>
      <c r="CE138" s="80"/>
      <c r="CG138" s="80"/>
      <c r="CH138" s="80"/>
      <c r="CI138" s="80"/>
      <c r="CK138" s="80"/>
      <c r="CL138" s="80"/>
      <c r="CT138" s="80"/>
      <c r="CU138" s="80"/>
      <c r="CY138" s="80"/>
      <c r="CZ138" s="80"/>
      <c r="DA138" s="80"/>
      <c r="DE138" s="80"/>
      <c r="DI138" s="80"/>
      <c r="DJ138" s="80"/>
      <c r="DK138" s="80"/>
      <c r="DN138" s="80"/>
      <c r="DR138" s="80"/>
      <c r="DV138" s="80"/>
      <c r="DW138" s="80"/>
      <c r="DX138" s="80"/>
      <c r="EC138" s="80"/>
      <c r="EJ138" s="80"/>
      <c r="EK138" s="80"/>
      <c r="EL138" s="80"/>
    </row>
    <row r="139" spans="1:142" ht="12.75" customHeight="1">
      <c r="A139" s="80"/>
      <c r="B139" s="80"/>
      <c r="C139" s="80"/>
      <c r="D139" s="104"/>
      <c r="E139" s="26"/>
      <c r="F139" s="26"/>
      <c r="H139" s="80"/>
      <c r="I139" s="80"/>
      <c r="J139" s="80"/>
      <c r="K139" s="80"/>
      <c r="L139" s="80"/>
      <c r="M139" s="80"/>
      <c r="N139" s="80"/>
      <c r="O139" s="80"/>
      <c r="P139" s="80"/>
      <c r="Q139" s="80"/>
      <c r="AF139" s="80"/>
      <c r="AK139" s="80"/>
      <c r="AP139" s="80"/>
      <c r="AX139" s="80"/>
      <c r="AZ139" s="80"/>
      <c r="BF139" s="80"/>
      <c r="BJ139" s="80"/>
      <c r="BQ139" s="80"/>
      <c r="BR139" s="80"/>
      <c r="BS139" s="80"/>
      <c r="BW139" s="80"/>
      <c r="BZ139" s="80"/>
      <c r="CA139" s="80"/>
      <c r="CB139" s="80"/>
      <c r="CC139" s="80"/>
      <c r="CD139" s="80"/>
      <c r="CE139" s="80"/>
      <c r="CG139" s="80"/>
      <c r="CL139" s="80"/>
      <c r="CW139" s="80"/>
      <c r="CZ139" s="80"/>
      <c r="DA139" s="80"/>
      <c r="DE139" s="80"/>
      <c r="DG139" s="80"/>
      <c r="DI139" s="80"/>
      <c r="DJ139" s="80"/>
      <c r="DN139" s="80"/>
      <c r="DO139" s="80"/>
      <c r="DR139" s="80"/>
      <c r="DV139" s="80"/>
      <c r="DW139" s="80"/>
      <c r="DX139" s="80"/>
      <c r="EC139" s="80"/>
      <c r="EF139" s="80"/>
      <c r="EI139" s="80"/>
      <c r="EL139" s="80"/>
    </row>
    <row r="140" spans="1:142" ht="12.75" customHeight="1">
      <c r="A140" s="80"/>
      <c r="B140" s="80"/>
      <c r="C140" s="80"/>
      <c r="D140" s="104"/>
      <c r="E140" s="26"/>
      <c r="F140" s="26"/>
      <c r="H140" s="80"/>
      <c r="I140" s="80"/>
      <c r="K140" s="80"/>
      <c r="L140" s="80"/>
      <c r="M140" s="80"/>
      <c r="N140" s="80"/>
      <c r="O140" s="80"/>
      <c r="P140" s="80"/>
      <c r="Q140" s="80"/>
      <c r="AF140" s="80"/>
      <c r="AL140" s="80"/>
      <c r="AP140" s="80"/>
      <c r="AW140" s="80"/>
      <c r="AZ140" s="80"/>
      <c r="BF140" s="80"/>
      <c r="BJ140" s="80"/>
      <c r="BQ140" s="80"/>
      <c r="BR140" s="80"/>
      <c r="BS140" s="80"/>
      <c r="BZ140" s="80"/>
      <c r="CA140" s="80"/>
      <c r="CB140" s="80"/>
      <c r="CC140" s="80"/>
      <c r="CD140" s="80"/>
      <c r="CE140" s="80"/>
      <c r="CG140" s="80"/>
      <c r="CL140" s="80"/>
      <c r="CT140" s="80"/>
      <c r="CU140" s="80"/>
      <c r="CZ140" s="80"/>
      <c r="DA140" s="80"/>
      <c r="DE140" s="80"/>
      <c r="DI140" s="80"/>
      <c r="DJ140" s="80"/>
      <c r="DN140" s="80"/>
      <c r="DO140" s="80"/>
      <c r="DR140" s="80"/>
      <c r="DV140" s="80"/>
      <c r="DW140" s="80"/>
      <c r="DX140" s="80"/>
      <c r="EC140" s="80"/>
      <c r="EF140" s="80"/>
      <c r="EI140" s="80"/>
      <c r="EL140" s="80"/>
    </row>
    <row r="141" spans="1:142" ht="12.75" customHeight="1">
      <c r="A141" s="80"/>
      <c r="B141" s="80"/>
      <c r="C141" s="80"/>
      <c r="D141" s="104"/>
      <c r="E141" s="26"/>
      <c r="F141" s="26"/>
      <c r="H141" s="80"/>
      <c r="I141" s="80"/>
      <c r="L141" s="80"/>
      <c r="M141" s="80"/>
      <c r="Q141" s="80"/>
      <c r="AF141" s="80"/>
      <c r="AZ141" s="80"/>
      <c r="BF141" s="80"/>
      <c r="BK141" s="80"/>
      <c r="BQ141" s="80"/>
      <c r="BR141" s="80"/>
      <c r="BS141" s="80"/>
      <c r="BZ141" s="80"/>
      <c r="CA141" s="80"/>
      <c r="CB141" s="80"/>
      <c r="CD141" s="80"/>
      <c r="CE141" s="80"/>
      <c r="CG141" s="80"/>
      <c r="CL141" s="80"/>
      <c r="CW141" s="80"/>
      <c r="CZ141" s="80"/>
      <c r="DA141" s="80"/>
      <c r="DE141" s="80"/>
      <c r="DI141" s="80"/>
      <c r="DJ141" s="80"/>
      <c r="DN141" s="80"/>
      <c r="DR141" s="80"/>
      <c r="DV141" s="80"/>
      <c r="DX141" s="80"/>
      <c r="EC141" s="80"/>
      <c r="EL141" s="80"/>
    </row>
    <row r="142" spans="1:142" ht="12.75" customHeight="1">
      <c r="A142" s="80"/>
      <c r="B142" s="80"/>
      <c r="C142" s="80"/>
      <c r="D142" s="104"/>
      <c r="E142" s="26"/>
      <c r="F142" s="26"/>
      <c r="H142" s="80"/>
      <c r="I142" s="80"/>
      <c r="J142" s="80"/>
      <c r="K142" s="80"/>
      <c r="L142" s="80"/>
      <c r="M142" s="80"/>
      <c r="N142" s="80"/>
      <c r="O142" s="80"/>
      <c r="Q142" s="80"/>
      <c r="AF142" s="80"/>
      <c r="AL142" s="80"/>
      <c r="AP142" s="80"/>
      <c r="AX142" s="80"/>
      <c r="AZ142" s="80"/>
      <c r="BF142" s="80"/>
      <c r="BJ142" s="80"/>
      <c r="BK142" s="80"/>
      <c r="BP142" s="80"/>
      <c r="BQ142" s="80"/>
      <c r="BR142" s="80"/>
      <c r="BS142" s="80"/>
      <c r="BT142" s="80"/>
      <c r="BZ142" s="80"/>
      <c r="CA142" s="80"/>
      <c r="CB142" s="80"/>
      <c r="CC142" s="80"/>
      <c r="CD142" s="80"/>
      <c r="CE142" s="80"/>
      <c r="CG142" s="80"/>
      <c r="CL142" s="80"/>
      <c r="CN142" s="80"/>
      <c r="CO142" s="80"/>
      <c r="CY142" s="80"/>
      <c r="CZ142" s="80"/>
      <c r="DA142" s="80"/>
      <c r="DE142" s="80"/>
      <c r="DI142" s="80"/>
      <c r="DJ142" s="80"/>
      <c r="DN142" s="80"/>
      <c r="DO142" s="80"/>
      <c r="DR142" s="80"/>
      <c r="DV142" s="80"/>
      <c r="DW142" s="80"/>
      <c r="DX142" s="80"/>
      <c r="EC142" s="80"/>
      <c r="EG142" s="80"/>
      <c r="EK142" s="80"/>
      <c r="EL142" s="80"/>
    </row>
    <row r="143" spans="1:142" ht="12.75" customHeight="1">
      <c r="A143" s="80"/>
      <c r="B143" s="80"/>
      <c r="C143" s="80"/>
      <c r="D143" s="104"/>
      <c r="E143" s="26"/>
      <c r="F143" s="26"/>
      <c r="H143" s="80"/>
      <c r="I143" s="80"/>
      <c r="J143" s="80"/>
      <c r="K143" s="80"/>
      <c r="L143" s="80"/>
      <c r="M143" s="80"/>
      <c r="N143" s="80"/>
      <c r="O143" s="80"/>
      <c r="P143" s="80"/>
      <c r="Q143" s="80"/>
      <c r="AB143" s="80"/>
      <c r="AF143" s="80"/>
      <c r="AK143" s="80"/>
      <c r="AP143" s="80"/>
      <c r="AX143" s="80"/>
      <c r="AZ143" s="80"/>
      <c r="BF143" s="80"/>
      <c r="BJ143" s="80"/>
      <c r="BP143" s="80"/>
      <c r="BQ143" s="80"/>
      <c r="BR143" s="80"/>
      <c r="BS143" s="80"/>
      <c r="BZ143" s="80"/>
      <c r="CA143" s="80"/>
      <c r="CB143" s="80"/>
      <c r="CC143" s="80"/>
      <c r="CD143" s="80"/>
      <c r="CE143" s="80"/>
      <c r="CG143" s="80"/>
      <c r="CL143" s="80"/>
      <c r="CN143" s="80"/>
      <c r="CO143" s="80"/>
      <c r="CW143" s="80"/>
      <c r="CY143" s="80"/>
      <c r="CZ143" s="80"/>
      <c r="DA143" s="80"/>
      <c r="DE143" s="80"/>
      <c r="DI143" s="80"/>
      <c r="DJ143" s="80"/>
      <c r="DN143" s="80"/>
      <c r="DR143" s="80"/>
      <c r="DT143" s="80"/>
      <c r="DU143" s="80"/>
      <c r="DV143" s="80"/>
      <c r="DW143" s="80"/>
      <c r="DX143" s="80"/>
      <c r="EC143" s="80"/>
      <c r="EJ143" s="80"/>
      <c r="EK143" s="80"/>
      <c r="EL143" s="80"/>
    </row>
    <row r="144" spans="1:142" ht="12.75" customHeight="1">
      <c r="A144" s="80"/>
      <c r="B144" s="80"/>
      <c r="C144" s="80"/>
      <c r="D144" s="104"/>
      <c r="E144" s="26"/>
      <c r="F144" s="26"/>
      <c r="H144" s="80"/>
      <c r="J144" s="80"/>
      <c r="K144" s="80"/>
      <c r="L144" s="80"/>
      <c r="M144" s="80"/>
      <c r="N144" s="80"/>
      <c r="Q144" s="80"/>
      <c r="AB144" s="80"/>
      <c r="AF144" s="80"/>
      <c r="AK144" s="80"/>
      <c r="AP144" s="80"/>
      <c r="AX144" s="80"/>
      <c r="AZ144" s="80"/>
      <c r="BF144" s="80"/>
      <c r="BJ144" s="80"/>
      <c r="BP144" s="80"/>
      <c r="BQ144" s="80"/>
      <c r="BR144" s="80"/>
      <c r="BT144" s="80"/>
      <c r="BZ144" s="80"/>
      <c r="CA144" s="80"/>
      <c r="CB144" s="80"/>
      <c r="CD144" s="80"/>
      <c r="CE144" s="80"/>
      <c r="CF144" s="80"/>
      <c r="CG144" s="80"/>
      <c r="CL144" s="80"/>
      <c r="CW144" s="80"/>
      <c r="CY144" s="80"/>
      <c r="CZ144" s="80"/>
      <c r="DA144" s="80"/>
      <c r="DE144" s="80"/>
      <c r="DI144" s="80"/>
      <c r="DJ144" s="80"/>
      <c r="DN144" s="80"/>
      <c r="DR144" s="80"/>
      <c r="DV144" s="80"/>
      <c r="DW144" s="80"/>
      <c r="DX144" s="80"/>
      <c r="EC144" s="80"/>
      <c r="EL144" s="80"/>
    </row>
    <row r="145" spans="1:142" ht="12.75" customHeight="1">
      <c r="A145" s="80"/>
      <c r="B145" s="80"/>
      <c r="C145" s="80"/>
      <c r="D145" s="104"/>
      <c r="E145" s="26"/>
      <c r="F145" s="26"/>
      <c r="H145" s="80"/>
      <c r="I145" s="80"/>
      <c r="J145" s="80"/>
      <c r="K145" s="80"/>
      <c r="L145" s="80"/>
      <c r="M145" s="80"/>
      <c r="N145" s="80"/>
      <c r="O145" s="80"/>
      <c r="P145" s="80"/>
      <c r="Q145" s="80"/>
      <c r="AC145" s="80"/>
      <c r="AF145" s="80"/>
      <c r="AL145" s="80"/>
      <c r="AP145" s="80"/>
      <c r="AX145" s="80"/>
      <c r="AZ145" s="80"/>
      <c r="BF145" s="80"/>
      <c r="BJ145" s="80"/>
      <c r="BK145" s="80"/>
      <c r="BQ145" s="80"/>
      <c r="BR145" s="80"/>
      <c r="BT145" s="80"/>
      <c r="CA145" s="80"/>
      <c r="CB145" s="80"/>
      <c r="CC145" s="80"/>
      <c r="CD145" s="80"/>
      <c r="CE145" s="80"/>
      <c r="CG145" s="80"/>
      <c r="CL145" s="80"/>
      <c r="CY145" s="80"/>
      <c r="CZ145" s="80"/>
      <c r="DA145" s="80"/>
      <c r="DE145" s="80"/>
      <c r="DI145" s="80"/>
      <c r="DJ145" s="80"/>
      <c r="DN145" s="80"/>
      <c r="DR145" s="80"/>
      <c r="DS145" s="80"/>
      <c r="DU145" s="80"/>
      <c r="DV145" s="80"/>
      <c r="DW145" s="80"/>
      <c r="DX145" s="80"/>
      <c r="EC145" s="80"/>
      <c r="EL145" s="80"/>
    </row>
    <row r="146" spans="1:142" ht="12.75" customHeight="1">
      <c r="A146" s="80"/>
      <c r="B146" s="80"/>
      <c r="C146" s="80"/>
      <c r="D146" s="104"/>
      <c r="E146" s="26"/>
      <c r="F146" s="26"/>
      <c r="H146" s="80"/>
      <c r="I146" s="80"/>
      <c r="L146" s="80"/>
      <c r="M146" s="80"/>
      <c r="N146" s="80"/>
      <c r="O146" s="80"/>
      <c r="Q146" s="80"/>
      <c r="R146" s="80"/>
      <c r="AF146" s="80"/>
      <c r="AK146" s="80"/>
      <c r="AP146" s="80"/>
      <c r="AZ146" s="80"/>
      <c r="BF146" s="80"/>
      <c r="BJ146" s="80"/>
      <c r="BL146" s="80"/>
      <c r="BP146" s="80"/>
      <c r="BQ146" s="80"/>
      <c r="BR146" s="80"/>
      <c r="BZ146" s="80"/>
      <c r="CA146" s="80"/>
      <c r="CB146" s="80"/>
      <c r="CC146" s="80"/>
      <c r="CD146" s="80"/>
      <c r="CE146" s="80"/>
      <c r="CG146" s="80"/>
      <c r="CL146" s="80"/>
      <c r="CN146" s="80"/>
      <c r="CO146" s="80"/>
      <c r="CW146" s="80"/>
      <c r="CY146" s="80"/>
      <c r="CZ146" s="80"/>
      <c r="DA146" s="80"/>
      <c r="DE146" s="80"/>
      <c r="DI146" s="80"/>
      <c r="DJ146" s="80"/>
      <c r="DN146" s="80"/>
      <c r="EL146" s="80"/>
    </row>
    <row r="147" spans="1:142" ht="12.75" customHeight="1">
      <c r="A147" s="80"/>
      <c r="B147" s="80"/>
      <c r="C147" s="80"/>
      <c r="D147" s="104"/>
      <c r="E147" s="26"/>
      <c r="F147" s="26"/>
      <c r="H147" s="80"/>
      <c r="I147" s="80"/>
      <c r="L147" s="80"/>
      <c r="M147" s="80"/>
      <c r="N147" s="80"/>
      <c r="O147" s="80"/>
      <c r="P147" s="80"/>
      <c r="Q147" s="80"/>
      <c r="AF147" s="80"/>
      <c r="AZ147" s="80"/>
      <c r="BF147" s="80"/>
      <c r="BJ147" s="80"/>
      <c r="BK147" s="80"/>
      <c r="BQ147" s="80"/>
      <c r="BR147" s="80"/>
      <c r="BT147" s="80"/>
      <c r="BZ147" s="80"/>
      <c r="CA147" s="80"/>
      <c r="CB147" s="80"/>
      <c r="CC147" s="80"/>
      <c r="CD147" s="80"/>
      <c r="CE147" s="80"/>
      <c r="CG147" s="80"/>
      <c r="CL147" s="80"/>
      <c r="CY147" s="80"/>
      <c r="CZ147" s="80"/>
      <c r="DA147" s="80"/>
      <c r="DE147" s="80"/>
      <c r="DI147" s="80"/>
      <c r="DJ147" s="80"/>
      <c r="DN147" s="80"/>
      <c r="DO147" s="80"/>
      <c r="DR147" s="80"/>
      <c r="DV147" s="80"/>
      <c r="DW147" s="80"/>
      <c r="DX147" s="80"/>
      <c r="EC147" s="80"/>
      <c r="EF147" s="80"/>
      <c r="EK147" s="80"/>
      <c r="EL147" s="80"/>
    </row>
    <row r="148" spans="1:142" ht="12.75" customHeight="1">
      <c r="A148" s="80"/>
      <c r="B148" s="80"/>
      <c r="C148" s="80"/>
      <c r="D148" s="104"/>
      <c r="E148" s="26"/>
      <c r="F148" s="26"/>
      <c r="M148" s="80"/>
      <c r="O148" s="80"/>
      <c r="P148" s="80"/>
      <c r="Q148" s="80"/>
      <c r="AB148" s="80"/>
      <c r="AF148" s="80"/>
      <c r="AL148" s="80"/>
      <c r="AP148" s="80"/>
      <c r="AY148" s="80"/>
      <c r="BF148" s="80"/>
      <c r="BJ148" s="80"/>
      <c r="BK148" s="80"/>
      <c r="BQ148" s="80"/>
      <c r="BR148" s="80"/>
      <c r="BS148" s="80"/>
      <c r="BZ148" s="80"/>
      <c r="CA148" s="80"/>
      <c r="CB148" s="80"/>
      <c r="CC148" s="80"/>
      <c r="CD148" s="80"/>
      <c r="CE148" s="80"/>
      <c r="CG148" s="80"/>
      <c r="CI148" s="80"/>
      <c r="CK148" s="80"/>
      <c r="CL148" s="80"/>
      <c r="CN148" s="80"/>
      <c r="CO148" s="80"/>
      <c r="CT148" s="80"/>
      <c r="CU148" s="80"/>
      <c r="CY148" s="80"/>
      <c r="CZ148" s="80"/>
      <c r="DA148" s="80"/>
      <c r="DE148" s="80"/>
      <c r="DG148" s="80"/>
      <c r="DI148" s="80"/>
      <c r="DJ148" s="80"/>
      <c r="DN148" s="80"/>
      <c r="DR148" s="80"/>
      <c r="DV148" s="80"/>
      <c r="DW148" s="80"/>
      <c r="DX148" s="80"/>
      <c r="EC148" s="80"/>
      <c r="EF148" s="80"/>
      <c r="EK148" s="80"/>
      <c r="EL148" s="80"/>
    </row>
    <row r="149" spans="1:142" ht="12.75" customHeight="1">
      <c r="A149" s="80"/>
      <c r="B149" s="80"/>
      <c r="C149" s="80"/>
      <c r="D149" s="104"/>
      <c r="E149" s="26"/>
      <c r="F149" s="26"/>
      <c r="H149" s="80"/>
      <c r="I149" s="80"/>
      <c r="J149" s="80"/>
      <c r="K149" s="80"/>
      <c r="L149" s="80"/>
      <c r="M149" s="80"/>
      <c r="N149" s="80"/>
      <c r="Q149" s="80"/>
      <c r="AC149" s="80"/>
      <c r="AF149" s="80"/>
      <c r="AZ149" s="80"/>
      <c r="BF149" s="80"/>
      <c r="BQ149" s="80"/>
      <c r="BR149" s="80"/>
      <c r="BT149" s="80"/>
      <c r="CA149" s="80"/>
      <c r="CB149" s="80"/>
      <c r="CC149" s="80"/>
      <c r="CD149" s="80"/>
      <c r="CE149" s="80"/>
      <c r="CG149" s="80"/>
      <c r="CL149" s="80"/>
      <c r="CW149" s="80"/>
      <c r="CZ149" s="80"/>
      <c r="DA149" s="80"/>
      <c r="DE149" s="80"/>
      <c r="DI149" s="80"/>
      <c r="DJ149" s="80"/>
      <c r="DN149" s="80"/>
      <c r="EL149" s="80"/>
    </row>
    <row r="150" spans="1:142" ht="12.75" customHeight="1">
      <c r="A150" s="80"/>
      <c r="B150" s="80"/>
      <c r="C150" s="80"/>
      <c r="D150" s="104"/>
      <c r="E150" s="26"/>
      <c r="F150" s="26"/>
      <c r="J150" s="80"/>
      <c r="K150" s="80"/>
      <c r="L150" s="80"/>
      <c r="M150" s="80"/>
      <c r="N150" s="80"/>
      <c r="O150" s="80"/>
      <c r="Q150" s="80"/>
      <c r="AC150" s="80"/>
      <c r="AF150" s="80"/>
      <c r="AK150" s="80"/>
      <c r="AP150" s="80"/>
      <c r="AX150" s="80"/>
      <c r="AZ150" s="80"/>
      <c r="BF150" s="80"/>
      <c r="BJ150" s="80"/>
      <c r="BQ150" s="80"/>
      <c r="BR150" s="80"/>
      <c r="BS150" s="80"/>
      <c r="BT150" s="80"/>
      <c r="BZ150" s="80"/>
      <c r="CA150" s="80"/>
      <c r="CB150" s="80"/>
      <c r="CC150" s="80"/>
      <c r="CD150" s="80"/>
      <c r="CE150" s="80"/>
      <c r="CG150" s="80"/>
      <c r="CL150" s="80"/>
      <c r="CW150" s="80"/>
      <c r="CY150" s="80"/>
      <c r="CZ150" s="80"/>
      <c r="DA150" s="80"/>
      <c r="DE150" s="80"/>
      <c r="DI150" s="80"/>
      <c r="DJ150" s="80"/>
      <c r="DN150" s="80"/>
      <c r="DO150" s="80"/>
      <c r="DR150" s="80"/>
      <c r="DT150" s="80"/>
      <c r="DU150" s="80"/>
      <c r="DV150" s="80"/>
      <c r="DW150" s="80"/>
      <c r="DX150" s="80"/>
      <c r="EC150" s="80"/>
      <c r="EF150" s="80"/>
      <c r="EJ150" s="80"/>
      <c r="EK150" s="80"/>
      <c r="EL150" s="80"/>
    </row>
    <row r="151" spans="1:142" ht="12.75" customHeight="1">
      <c r="A151" s="80"/>
      <c r="B151" s="80"/>
      <c r="C151" s="80"/>
      <c r="D151" s="104"/>
      <c r="E151" s="26"/>
      <c r="F151" s="26"/>
      <c r="I151" s="80"/>
      <c r="J151" s="80"/>
      <c r="L151" s="80"/>
      <c r="M151" s="80"/>
      <c r="N151" s="80"/>
      <c r="Q151" s="80"/>
      <c r="S151" s="80"/>
      <c r="AF151" s="80"/>
      <c r="AZ151" s="80"/>
      <c r="BF151" s="80"/>
      <c r="BJ151" s="80"/>
      <c r="BK151" s="80"/>
      <c r="BQ151" s="80"/>
      <c r="BR151" s="80"/>
      <c r="BT151" s="80"/>
      <c r="CA151" s="80"/>
      <c r="CB151" s="80"/>
      <c r="CG151" s="80"/>
      <c r="CL151" s="80"/>
      <c r="EL151" s="80"/>
    </row>
    <row r="152" spans="1:142" ht="12.75" customHeight="1">
      <c r="A152" s="80"/>
      <c r="B152" s="80"/>
      <c r="C152" s="80"/>
      <c r="D152" s="104"/>
      <c r="E152" s="26"/>
      <c r="F152" s="26"/>
      <c r="H152" s="80"/>
      <c r="I152" s="80"/>
      <c r="K152" s="80"/>
      <c r="L152" s="80"/>
      <c r="M152" s="80"/>
      <c r="N152" s="80"/>
      <c r="O152" s="80"/>
      <c r="P152" s="80"/>
      <c r="Q152" s="80"/>
      <c r="AF152" s="80"/>
      <c r="AL152" s="80"/>
      <c r="AP152" s="80"/>
      <c r="AX152" s="80"/>
      <c r="AZ152" s="80"/>
      <c r="BF152" s="80"/>
      <c r="BJ152" s="80"/>
      <c r="BK152" s="80"/>
      <c r="BQ152" s="80"/>
      <c r="BR152" s="80"/>
      <c r="BS152" s="80"/>
      <c r="BZ152" s="80"/>
      <c r="CA152" s="80"/>
      <c r="CB152" s="80"/>
      <c r="CD152" s="80"/>
      <c r="CE152" s="80"/>
      <c r="CF152" s="80"/>
      <c r="CG152" s="80"/>
      <c r="CL152" s="80"/>
      <c r="CW152" s="80"/>
      <c r="CY152" s="80"/>
      <c r="CZ152" s="80"/>
      <c r="DA152" s="80"/>
      <c r="DE152" s="80"/>
      <c r="DI152" s="80"/>
      <c r="DJ152" s="80"/>
      <c r="DN152" s="80"/>
      <c r="DP152" s="80"/>
      <c r="DR152" s="80"/>
      <c r="DV152" s="80"/>
      <c r="DW152" s="80"/>
      <c r="DX152" s="80"/>
      <c r="EC152" s="80"/>
      <c r="EJ152" s="80"/>
      <c r="EK152" s="80"/>
      <c r="EL152" s="80"/>
    </row>
    <row r="153" spans="1:142" ht="12.75" customHeight="1">
      <c r="A153" s="80"/>
      <c r="B153" s="80"/>
      <c r="C153" s="80"/>
      <c r="D153" s="104"/>
      <c r="E153" s="26"/>
      <c r="F153" s="26"/>
      <c r="H153" s="80"/>
      <c r="I153" s="80"/>
      <c r="J153" s="80"/>
      <c r="K153" s="80"/>
      <c r="L153" s="80"/>
      <c r="M153" s="80"/>
      <c r="N153" s="80"/>
      <c r="O153" s="80"/>
      <c r="Q153" s="80"/>
      <c r="T153" s="80"/>
      <c r="AF153" s="80"/>
      <c r="AZ153" s="80"/>
      <c r="BF153" s="80"/>
      <c r="BJ153" s="80"/>
      <c r="BK153" s="80"/>
      <c r="BQ153" s="80"/>
      <c r="BR153" s="80"/>
      <c r="BS153" s="80"/>
      <c r="BT153" s="80"/>
      <c r="BZ153" s="80"/>
      <c r="CA153" s="80"/>
      <c r="CB153" s="80"/>
      <c r="CC153" s="80"/>
      <c r="CD153" s="80"/>
      <c r="CE153" s="80"/>
      <c r="CG153" s="80"/>
      <c r="CI153" s="80"/>
      <c r="CK153" s="80"/>
      <c r="CL153" s="80"/>
      <c r="CT153" s="80"/>
      <c r="CU153" s="80"/>
      <c r="CY153" s="80"/>
      <c r="CZ153" s="80"/>
      <c r="DA153" s="80"/>
      <c r="DE153" s="80"/>
      <c r="DI153" s="80"/>
      <c r="DJ153" s="80"/>
      <c r="DK153" s="80"/>
      <c r="DN153" s="80"/>
      <c r="DO153" s="80"/>
      <c r="DR153" s="80"/>
      <c r="DV153" s="80"/>
      <c r="DW153" s="80"/>
      <c r="DX153" s="80"/>
      <c r="EC153" s="80"/>
      <c r="EL153" s="80"/>
    </row>
    <row r="154" spans="1:142" ht="12.75" customHeight="1">
      <c r="A154" s="80"/>
      <c r="B154" s="80"/>
      <c r="C154" s="80"/>
      <c r="D154" s="104"/>
      <c r="E154" s="26"/>
      <c r="F154" s="26"/>
      <c r="I154" s="80"/>
      <c r="J154" s="80"/>
      <c r="L154" s="80"/>
      <c r="M154" s="80"/>
      <c r="N154" s="80"/>
      <c r="O154" s="80"/>
      <c r="P154" s="80"/>
      <c r="Q154" s="80"/>
      <c r="AF154" s="80"/>
      <c r="AZ154" s="80"/>
      <c r="BF154" s="80"/>
      <c r="BJ154" s="80"/>
      <c r="BQ154" s="80"/>
      <c r="BR154" s="80"/>
      <c r="BS154" s="80"/>
      <c r="BZ154" s="80"/>
      <c r="CA154" s="80"/>
      <c r="CB154" s="80"/>
      <c r="CC154" s="80"/>
      <c r="CD154" s="80"/>
      <c r="CE154" s="80"/>
      <c r="CG154" s="80"/>
      <c r="CL154" s="80"/>
      <c r="CW154" s="80"/>
      <c r="CY154" s="80"/>
      <c r="CZ154" s="80"/>
      <c r="DA154" s="80"/>
      <c r="DE154" s="80"/>
      <c r="DI154" s="80"/>
      <c r="DJ154" s="80"/>
      <c r="DN154" s="80"/>
      <c r="DR154" s="80"/>
      <c r="DS154" s="80"/>
      <c r="DU154" s="80"/>
      <c r="DV154" s="80"/>
      <c r="DW154" s="80"/>
      <c r="DX154" s="80"/>
      <c r="EC154" s="80"/>
      <c r="EL154" s="80"/>
    </row>
    <row r="155" spans="1:142" ht="12.75" customHeight="1">
      <c r="A155" s="80"/>
      <c r="B155" s="80"/>
      <c r="C155" s="80"/>
      <c r="D155" s="104"/>
      <c r="E155" s="26"/>
      <c r="F155" s="26"/>
      <c r="H155" s="80"/>
      <c r="I155" s="80"/>
      <c r="L155" s="80"/>
      <c r="M155" s="80"/>
      <c r="N155" s="80"/>
      <c r="Q155" s="80"/>
      <c r="AE155" s="80"/>
      <c r="AF155" s="80"/>
      <c r="AL155" s="80"/>
      <c r="AP155" s="80"/>
      <c r="AZ155" s="80"/>
      <c r="BF155" s="80"/>
      <c r="BJ155" s="80"/>
      <c r="BQ155" s="80"/>
      <c r="BR155" s="80"/>
      <c r="BS155" s="80"/>
      <c r="BT155" s="80"/>
      <c r="BZ155" s="80"/>
      <c r="CA155" s="80"/>
      <c r="CB155" s="80"/>
      <c r="CC155" s="80"/>
      <c r="CD155" s="80"/>
      <c r="CE155" s="80"/>
      <c r="CG155" s="80"/>
      <c r="CL155" s="80"/>
      <c r="CT155" s="80"/>
      <c r="CU155" s="80"/>
      <c r="CY155" s="80"/>
      <c r="CZ155" s="80"/>
      <c r="DA155" s="80"/>
      <c r="DE155" s="80"/>
      <c r="DI155" s="80"/>
      <c r="DJ155" s="80"/>
      <c r="DN155" s="80"/>
      <c r="DR155" s="80"/>
      <c r="DV155" s="80"/>
      <c r="DW155" s="80"/>
      <c r="DX155" s="80"/>
      <c r="EC155" s="80"/>
      <c r="EL155" s="80"/>
    </row>
    <row r="156" spans="1:142" ht="12.75" customHeight="1">
      <c r="A156" s="80"/>
      <c r="B156" s="80"/>
      <c r="C156" s="80"/>
      <c r="D156" s="104"/>
      <c r="E156" s="26"/>
      <c r="F156" s="26"/>
      <c r="H156" s="80"/>
      <c r="I156" s="80"/>
      <c r="J156" s="80"/>
      <c r="K156" s="80"/>
      <c r="L156" s="80"/>
      <c r="M156" s="80"/>
      <c r="N156" s="80"/>
      <c r="P156" s="80"/>
      <c r="Q156" s="80"/>
      <c r="R156" s="80"/>
      <c r="AF156" s="80"/>
      <c r="AW156" s="80"/>
      <c r="AZ156" s="80"/>
      <c r="BF156" s="80"/>
      <c r="BJ156" s="80"/>
      <c r="BK156" s="80"/>
      <c r="BQ156" s="80"/>
      <c r="BR156" s="80"/>
      <c r="BS156" s="80"/>
      <c r="BT156" s="80"/>
      <c r="CA156" s="80"/>
      <c r="CB156" s="80"/>
      <c r="CC156" s="80"/>
      <c r="CD156" s="80"/>
      <c r="CE156" s="80"/>
      <c r="CG156" s="80"/>
      <c r="CL156" s="80"/>
      <c r="CW156" s="80"/>
      <c r="CZ156" s="80"/>
      <c r="DA156" s="80"/>
      <c r="DE156" s="80"/>
      <c r="DF156" s="80"/>
      <c r="DI156" s="80"/>
      <c r="DJ156" s="80"/>
      <c r="DN156" s="80"/>
      <c r="DR156" s="80"/>
      <c r="DV156" s="80"/>
      <c r="DW156" s="80"/>
      <c r="DX156" s="80"/>
      <c r="EC156" s="80"/>
      <c r="EL156" s="80"/>
    </row>
    <row r="157" spans="1:142" ht="12.75" customHeight="1">
      <c r="A157" s="80"/>
      <c r="B157" s="80"/>
      <c r="C157" s="80"/>
      <c r="D157" s="104"/>
      <c r="E157" s="26"/>
      <c r="F157" s="26"/>
      <c r="I157" s="80"/>
      <c r="K157" s="80"/>
      <c r="L157" s="80"/>
      <c r="M157" s="80"/>
      <c r="N157" s="80"/>
      <c r="O157" s="80"/>
      <c r="P157" s="80"/>
      <c r="Q157" s="80"/>
      <c r="AE157" s="80"/>
      <c r="AF157" s="80"/>
      <c r="AZ157" s="80"/>
      <c r="BF157" s="80"/>
      <c r="BJ157" s="80"/>
      <c r="BL157" s="80"/>
      <c r="BQ157" s="80"/>
      <c r="BR157" s="80"/>
      <c r="CA157" s="80"/>
      <c r="CB157" s="80"/>
      <c r="CC157" s="80"/>
      <c r="CD157" s="80"/>
      <c r="CE157" s="80"/>
      <c r="CG157" s="80"/>
      <c r="CL157" s="80"/>
      <c r="CN157" s="80"/>
      <c r="CO157" s="80"/>
      <c r="CT157" s="80"/>
      <c r="CU157" s="80"/>
      <c r="CY157" s="80"/>
      <c r="CZ157" s="80"/>
      <c r="DA157" s="80"/>
      <c r="DE157" s="80"/>
      <c r="DI157" s="80"/>
      <c r="DJ157" s="80"/>
      <c r="DN157" s="80"/>
      <c r="DO157" s="80"/>
      <c r="DR157" s="80"/>
      <c r="DV157" s="80"/>
      <c r="DX157" s="80"/>
      <c r="EC157" s="80"/>
      <c r="EF157" s="80"/>
      <c r="EK157" s="80"/>
      <c r="EL157" s="80"/>
    </row>
    <row r="158" spans="1:142" ht="12.75" customHeight="1">
      <c r="A158" s="80"/>
      <c r="B158" s="80"/>
      <c r="C158" s="80"/>
      <c r="D158" s="104"/>
      <c r="E158" s="26"/>
      <c r="F158" s="26"/>
      <c r="H158" s="80"/>
      <c r="K158" s="80"/>
      <c r="L158" s="80"/>
      <c r="M158" s="80"/>
      <c r="N158" s="80"/>
      <c r="O158" s="80"/>
      <c r="P158" s="80"/>
      <c r="Q158" s="80"/>
      <c r="AD158" s="80"/>
      <c r="AF158" s="80"/>
      <c r="AN158" s="80"/>
      <c r="AP158" s="80"/>
      <c r="AX158" s="80"/>
      <c r="AZ158" s="80"/>
      <c r="BF158" s="80"/>
      <c r="BJ158" s="80"/>
      <c r="BK158" s="80"/>
      <c r="BM158" s="80"/>
      <c r="BN158" s="80"/>
      <c r="BQ158" s="80"/>
      <c r="BR158" s="80"/>
      <c r="BS158" s="80"/>
      <c r="BT158" s="80"/>
      <c r="BW158" s="80"/>
      <c r="BZ158" s="80"/>
      <c r="CA158" s="80"/>
      <c r="CC158" s="80"/>
      <c r="CD158" s="80"/>
      <c r="CE158" s="80"/>
      <c r="CG158" s="80"/>
      <c r="CH158" s="80"/>
      <c r="CI158" s="80"/>
      <c r="CK158" s="80"/>
      <c r="CL158" s="80"/>
      <c r="CN158" s="80"/>
      <c r="CO158" s="80"/>
      <c r="CT158" s="80"/>
      <c r="CU158" s="80"/>
      <c r="CX158" s="80"/>
      <c r="CY158" s="80"/>
      <c r="CZ158" s="80"/>
      <c r="DA158" s="80"/>
      <c r="DE158" s="80"/>
      <c r="DF158" s="80"/>
      <c r="DI158" s="80"/>
      <c r="DJ158" s="80"/>
      <c r="DN158" s="80"/>
      <c r="DR158" s="80"/>
      <c r="DV158" s="80"/>
      <c r="DW158" s="80"/>
      <c r="DX158" s="80"/>
      <c r="EC158" s="80"/>
      <c r="ED158" s="80"/>
      <c r="EJ158" s="80"/>
      <c r="EK158" s="80"/>
      <c r="EL158" s="80"/>
    </row>
    <row r="159" spans="1:142" ht="12.75" customHeight="1">
      <c r="A159" s="80"/>
      <c r="B159" s="80"/>
      <c r="C159" s="80"/>
      <c r="D159" s="104"/>
      <c r="E159" s="26"/>
      <c r="F159" s="26"/>
      <c r="M159" s="80"/>
      <c r="O159" s="80"/>
      <c r="Q159" s="80"/>
      <c r="AL159" s="80"/>
      <c r="AP159" s="80"/>
      <c r="AW159" s="80"/>
      <c r="AZ159" s="80"/>
      <c r="BF159" s="80"/>
      <c r="CD159" s="80"/>
      <c r="CE159" s="80"/>
      <c r="CG159" s="80"/>
      <c r="CL159" s="80"/>
      <c r="CY159" s="80"/>
      <c r="CZ159" s="80"/>
      <c r="DA159" s="80"/>
      <c r="DJ159" s="80"/>
      <c r="DN159" s="80"/>
      <c r="DO159" s="80"/>
      <c r="DX159" s="80"/>
      <c r="EC159" s="80"/>
      <c r="EF159" s="80"/>
      <c r="EI159" s="80"/>
      <c r="EJ159" s="80"/>
      <c r="EK159" s="80"/>
      <c r="EL159" s="80"/>
    </row>
    <row r="160" spans="1:142" ht="12.75" customHeight="1">
      <c r="A160" s="80"/>
      <c r="B160" s="80"/>
      <c r="C160" s="80"/>
      <c r="D160" s="104"/>
      <c r="E160" s="26"/>
      <c r="F160" s="26"/>
      <c r="H160" s="80"/>
      <c r="I160" s="80"/>
      <c r="J160" s="80"/>
      <c r="K160" s="80"/>
      <c r="L160" s="80"/>
      <c r="M160" s="80"/>
      <c r="O160" s="80"/>
      <c r="Q160" s="80"/>
      <c r="AG160" s="80"/>
      <c r="AY160" s="80"/>
      <c r="AZ160" s="80"/>
      <c r="BF160" s="80"/>
      <c r="BJ160" s="80"/>
      <c r="BR160" s="80"/>
      <c r="BS160" s="80"/>
      <c r="BV160" s="80"/>
      <c r="BX160" s="80"/>
      <c r="CA160" s="80"/>
      <c r="CB160" s="80"/>
      <c r="CC160" s="80"/>
      <c r="CD160" s="80"/>
      <c r="CE160" s="80"/>
      <c r="CG160" s="80"/>
      <c r="CI160" s="80"/>
      <c r="CK160" s="80"/>
      <c r="CL160" s="80"/>
      <c r="CN160" s="80"/>
      <c r="CO160" s="80"/>
      <c r="CU160" s="80"/>
      <c r="CY160" s="80"/>
      <c r="CZ160" s="80"/>
      <c r="DA160" s="80"/>
      <c r="DE160" s="80"/>
      <c r="DF160" s="80"/>
      <c r="DI160" s="80"/>
      <c r="DJ160" s="80"/>
      <c r="DN160" s="80"/>
      <c r="EJ160" s="80"/>
      <c r="EK160" s="80"/>
      <c r="EL160" s="80"/>
    </row>
    <row r="161" spans="1:142" ht="12.75" customHeight="1">
      <c r="A161" s="80"/>
      <c r="B161" s="80"/>
      <c r="C161" s="80"/>
      <c r="D161" s="104"/>
      <c r="E161" s="26"/>
      <c r="F161" s="26"/>
      <c r="H161" s="80"/>
      <c r="I161" s="80"/>
      <c r="J161" s="80"/>
      <c r="K161" s="80"/>
      <c r="L161" s="80"/>
      <c r="M161" s="80"/>
      <c r="O161" s="80"/>
      <c r="P161" s="80"/>
      <c r="Q161" s="80"/>
      <c r="R161" s="80"/>
      <c r="AB161" s="80"/>
      <c r="AF161" s="80"/>
      <c r="AL161" s="80"/>
      <c r="AP161" s="80"/>
      <c r="AX161" s="80"/>
      <c r="AZ161" s="80"/>
      <c r="BF161" s="80"/>
      <c r="BJ161" s="80"/>
      <c r="BP161" s="80"/>
      <c r="BQ161" s="80"/>
      <c r="BR161" s="80"/>
      <c r="BS161" s="80"/>
      <c r="BU161" s="80"/>
      <c r="BZ161" s="80"/>
      <c r="CA161" s="80"/>
      <c r="CB161" s="80"/>
      <c r="CC161" s="80"/>
      <c r="CD161" s="80"/>
      <c r="CE161" s="80"/>
      <c r="CG161" s="80"/>
      <c r="CL161" s="80"/>
      <c r="CN161" s="80"/>
      <c r="CO161" s="80"/>
      <c r="CY161" s="80"/>
      <c r="CZ161" s="80"/>
      <c r="DA161" s="80"/>
      <c r="DE161" s="80"/>
      <c r="DI161" s="80"/>
      <c r="DJ161" s="80"/>
      <c r="DN161" s="80"/>
      <c r="DO161" s="80"/>
      <c r="DR161" s="80"/>
      <c r="DV161" s="80"/>
      <c r="DW161" s="80"/>
      <c r="DX161" s="80"/>
      <c r="EC161" s="80"/>
      <c r="EF161" s="80"/>
      <c r="EK161" s="80"/>
      <c r="EL161" s="80"/>
    </row>
    <row r="162" spans="1:142" ht="12.75" customHeight="1">
      <c r="A162" s="80"/>
      <c r="B162" s="80"/>
      <c r="C162" s="80"/>
      <c r="D162" s="104"/>
      <c r="E162" s="26"/>
      <c r="F162" s="26"/>
      <c r="H162" s="80"/>
      <c r="I162" s="80"/>
      <c r="J162" s="80"/>
      <c r="L162" s="80"/>
      <c r="M162" s="80"/>
      <c r="O162" s="80"/>
      <c r="Q162" s="80"/>
      <c r="AF162" s="80"/>
      <c r="AZ162" s="80"/>
      <c r="BF162" s="80"/>
      <c r="BJ162" s="80"/>
      <c r="BK162" s="80"/>
      <c r="BQ162" s="80"/>
      <c r="BR162" s="80"/>
      <c r="BS162" s="80"/>
      <c r="BT162" s="80"/>
      <c r="BZ162" s="80"/>
      <c r="CA162" s="80"/>
      <c r="CB162" s="80"/>
      <c r="CC162" s="80"/>
      <c r="CD162" s="80"/>
      <c r="CE162" s="80"/>
      <c r="CG162" s="80"/>
      <c r="CL162" s="80"/>
      <c r="CT162" s="80"/>
      <c r="CU162" s="80"/>
      <c r="CY162" s="80"/>
      <c r="CZ162" s="80"/>
      <c r="DA162" s="80"/>
      <c r="DE162" s="80"/>
      <c r="DI162" s="80"/>
      <c r="DJ162" s="80"/>
      <c r="DN162" s="80"/>
      <c r="EL162" s="80"/>
    </row>
    <row r="163" spans="1:142" ht="12.75" customHeight="1">
      <c r="A163" s="80"/>
      <c r="B163" s="80"/>
      <c r="C163" s="80"/>
      <c r="D163" s="104"/>
      <c r="E163" s="26"/>
      <c r="F163" s="26"/>
      <c r="H163" s="80"/>
      <c r="I163" s="80"/>
      <c r="K163" s="80"/>
      <c r="L163" s="80"/>
      <c r="M163" s="80"/>
      <c r="N163" s="80"/>
      <c r="O163" s="80"/>
      <c r="P163" s="80"/>
      <c r="Q163" s="80"/>
      <c r="AF163" s="80"/>
      <c r="AX163" s="80"/>
      <c r="AZ163" s="80"/>
      <c r="BF163" s="80"/>
      <c r="BJ163" s="80"/>
      <c r="BK163" s="80"/>
      <c r="BQ163" s="80"/>
      <c r="BR163" s="80"/>
      <c r="BS163" s="80"/>
      <c r="BT163" s="80"/>
      <c r="BZ163" s="80"/>
      <c r="CA163" s="80"/>
      <c r="CB163" s="80"/>
      <c r="CC163" s="80"/>
      <c r="CD163" s="80"/>
      <c r="CE163" s="80"/>
      <c r="CG163" s="80"/>
      <c r="CI163" s="80"/>
      <c r="CK163" s="80"/>
      <c r="CL163" s="80"/>
      <c r="CT163" s="80"/>
      <c r="CU163" s="80"/>
      <c r="CY163" s="80"/>
      <c r="CZ163" s="80"/>
      <c r="DA163" s="80"/>
      <c r="DE163" s="80"/>
      <c r="DI163" s="80"/>
      <c r="DJ163" s="80"/>
      <c r="DN163" s="80"/>
      <c r="DO163" s="80"/>
      <c r="DR163" s="80"/>
      <c r="DV163" s="80"/>
      <c r="DW163" s="80"/>
      <c r="DX163" s="80"/>
      <c r="EC163" s="80"/>
      <c r="EF163" s="80"/>
      <c r="EK163" s="80"/>
      <c r="EL163" s="80"/>
    </row>
    <row r="164" spans="1:142" ht="12.75" customHeight="1">
      <c r="A164" s="80"/>
      <c r="B164" s="80"/>
      <c r="C164" s="80"/>
      <c r="D164" s="104"/>
      <c r="E164" s="26"/>
      <c r="F164" s="26"/>
      <c r="I164" s="80"/>
      <c r="K164" s="80"/>
      <c r="L164" s="80"/>
      <c r="M164" s="80"/>
      <c r="N164" s="80"/>
      <c r="O164" s="80"/>
      <c r="P164" s="80"/>
      <c r="Q164" s="80"/>
      <c r="AF164" s="80"/>
      <c r="AK164" s="80"/>
      <c r="AP164" s="80"/>
      <c r="AX164" s="80"/>
      <c r="AZ164" s="80"/>
      <c r="BF164" s="80"/>
      <c r="BJ164" s="80"/>
      <c r="BK164" s="80"/>
      <c r="BQ164" s="80"/>
      <c r="BR164" s="80"/>
      <c r="BS164" s="80"/>
      <c r="BZ164" s="80"/>
      <c r="CA164" s="80"/>
      <c r="CB164" s="80"/>
      <c r="CC164" s="80"/>
      <c r="CD164" s="80"/>
      <c r="CE164" s="80"/>
      <c r="CG164" s="80"/>
      <c r="CI164" s="80"/>
      <c r="CK164" s="80"/>
      <c r="CL164" s="80"/>
      <c r="CU164" s="80"/>
      <c r="CW164" s="80"/>
      <c r="CY164" s="80"/>
      <c r="CZ164" s="80"/>
      <c r="DA164" s="80"/>
      <c r="DE164" s="80"/>
      <c r="DI164" s="80"/>
      <c r="DJ164" s="80"/>
      <c r="DN164" s="80"/>
      <c r="DO164" s="80"/>
      <c r="DR164" s="80"/>
      <c r="DV164" s="80"/>
      <c r="DX164" s="80"/>
      <c r="EC164" s="80"/>
      <c r="EF164" s="80"/>
      <c r="EK164" s="80"/>
      <c r="EL164" s="80"/>
    </row>
    <row r="165" spans="1:142" ht="12.75" customHeight="1">
      <c r="A165" s="80"/>
      <c r="B165" s="80"/>
      <c r="C165" s="80"/>
      <c r="D165" s="104"/>
      <c r="E165" s="26"/>
      <c r="F165" s="26"/>
      <c r="H165" s="80"/>
      <c r="I165" s="80"/>
      <c r="J165" s="80"/>
      <c r="K165" s="80"/>
      <c r="L165" s="80"/>
      <c r="M165" s="80"/>
      <c r="N165" s="80"/>
      <c r="P165" s="80"/>
      <c r="Q165" s="80"/>
      <c r="AF165" s="80"/>
      <c r="AK165" s="80"/>
      <c r="AL165" s="80"/>
      <c r="AP165" s="80"/>
      <c r="AW165" s="80"/>
      <c r="AZ165" s="80"/>
      <c r="BF165" s="80"/>
      <c r="BJ165" s="80"/>
      <c r="BK165" s="80"/>
      <c r="BQ165" s="80"/>
      <c r="BR165" s="80"/>
      <c r="BS165" s="80"/>
      <c r="BZ165" s="80"/>
      <c r="CA165" s="80"/>
      <c r="CB165" s="80"/>
      <c r="CC165" s="80"/>
      <c r="CD165" s="80"/>
      <c r="CE165" s="80"/>
      <c r="CG165" s="80"/>
      <c r="CL165" s="80"/>
      <c r="CN165" s="80"/>
      <c r="CO165" s="80"/>
      <c r="CY165" s="80"/>
      <c r="CZ165" s="80"/>
      <c r="DA165" s="80"/>
      <c r="DB165" s="80"/>
      <c r="DE165" s="80"/>
      <c r="DI165" s="80"/>
      <c r="DJ165" s="80"/>
      <c r="DN165" s="80"/>
      <c r="DR165" s="80"/>
      <c r="DV165" s="80"/>
      <c r="DW165" s="80"/>
      <c r="DX165" s="80"/>
      <c r="EC165" s="80"/>
      <c r="EL165" s="80"/>
    </row>
    <row r="166" spans="1:142" ht="12.75" customHeight="1">
      <c r="A166" s="80"/>
      <c r="B166" s="80"/>
      <c r="C166" s="80"/>
      <c r="D166" s="104"/>
      <c r="E166" s="26"/>
      <c r="F166" s="26"/>
      <c r="H166" s="80"/>
      <c r="I166" s="80"/>
      <c r="J166" s="80"/>
      <c r="K166" s="80"/>
      <c r="L166" s="80"/>
      <c r="M166" s="80"/>
      <c r="N166" s="80"/>
      <c r="O166" s="80"/>
      <c r="P166" s="80"/>
      <c r="Q166" s="80"/>
      <c r="AF166" s="80"/>
      <c r="AK166" s="80"/>
      <c r="AP166" s="80"/>
      <c r="AZ166" s="80"/>
      <c r="BF166" s="80"/>
      <c r="BJ166" s="80"/>
      <c r="BP166" s="80"/>
      <c r="BQ166" s="80"/>
      <c r="BR166" s="80"/>
      <c r="BT166" s="80"/>
      <c r="CA166" s="80"/>
      <c r="CB166" s="80"/>
      <c r="CD166" s="80"/>
      <c r="CE166" s="80"/>
      <c r="CF166" s="80"/>
      <c r="CG166" s="80"/>
      <c r="CL166" s="80"/>
      <c r="CW166" s="80"/>
      <c r="CY166" s="80"/>
      <c r="CZ166" s="80"/>
      <c r="DA166" s="80"/>
      <c r="DE166" s="80"/>
      <c r="DI166" s="80"/>
      <c r="DJ166" s="80"/>
      <c r="DN166" s="80"/>
      <c r="DR166" s="80"/>
      <c r="DV166" s="80"/>
      <c r="DW166" s="80"/>
      <c r="DX166" s="80"/>
      <c r="EC166" s="80"/>
      <c r="EL166" s="80"/>
    </row>
    <row r="167" spans="1:142" ht="12.75" customHeight="1">
      <c r="A167" s="80"/>
      <c r="B167" s="80"/>
      <c r="C167" s="80"/>
      <c r="D167" s="104"/>
      <c r="E167" s="26"/>
      <c r="F167" s="26"/>
      <c r="H167" s="80"/>
      <c r="L167" s="80"/>
      <c r="M167" s="80"/>
      <c r="N167" s="80"/>
      <c r="P167" s="80"/>
      <c r="Q167" s="80"/>
      <c r="AF167" s="80"/>
      <c r="AL167" s="80"/>
      <c r="AP167" s="80"/>
      <c r="AV167" s="80"/>
      <c r="AZ167" s="80"/>
      <c r="BF167" s="80"/>
      <c r="BJ167" s="80"/>
      <c r="BK167" s="80"/>
      <c r="BM167" s="80"/>
      <c r="BQ167" s="80"/>
      <c r="BR167" s="80"/>
      <c r="BS167" s="80"/>
      <c r="BT167" s="80"/>
      <c r="BZ167" s="80"/>
      <c r="CA167" s="80"/>
      <c r="CC167" s="80"/>
      <c r="CD167" s="80"/>
      <c r="CE167" s="80"/>
      <c r="CG167" s="80"/>
      <c r="CI167" s="80"/>
      <c r="CK167" s="80"/>
      <c r="CL167" s="80"/>
      <c r="CT167" s="80"/>
      <c r="CU167" s="80"/>
      <c r="CY167" s="80"/>
      <c r="CZ167" s="80"/>
      <c r="DA167" s="80"/>
      <c r="DE167" s="80"/>
      <c r="DI167" s="80"/>
      <c r="DJ167" s="80"/>
      <c r="DK167" s="80"/>
      <c r="DN167" s="80"/>
      <c r="DR167" s="80"/>
      <c r="DV167" s="80"/>
      <c r="DW167" s="80"/>
      <c r="DX167" s="80"/>
      <c r="EC167" s="80"/>
      <c r="EL167" s="80"/>
    </row>
    <row r="168" spans="1:142" ht="12.75" customHeight="1">
      <c r="A168" s="80"/>
      <c r="B168" s="80"/>
      <c r="C168" s="80"/>
      <c r="D168" s="104"/>
      <c r="E168" s="26"/>
      <c r="F168" s="26"/>
      <c r="G168" s="80"/>
      <c r="H168" s="80"/>
      <c r="I168" s="80"/>
      <c r="J168" s="80"/>
      <c r="K168" s="80"/>
      <c r="L168" s="80"/>
      <c r="M168" s="80"/>
      <c r="N168" s="80"/>
      <c r="O168" s="80"/>
      <c r="P168" s="80"/>
      <c r="Q168" s="80"/>
      <c r="R168" s="80"/>
      <c r="AE168" s="80"/>
      <c r="AF168" s="80"/>
      <c r="AL168" s="80"/>
      <c r="AP168" s="80"/>
      <c r="AX168" s="80"/>
      <c r="AZ168" s="80"/>
      <c r="BF168" s="80"/>
      <c r="BJ168" s="80"/>
      <c r="BK168" s="80"/>
      <c r="BQ168" s="80"/>
      <c r="BR168" s="80"/>
      <c r="BS168" s="80"/>
      <c r="BZ168" s="80"/>
      <c r="CA168" s="80"/>
      <c r="CB168" s="80"/>
      <c r="CC168" s="80"/>
      <c r="CD168" s="80"/>
      <c r="CE168" s="80"/>
      <c r="CG168" s="80"/>
      <c r="CI168" s="80"/>
      <c r="CK168" s="80"/>
      <c r="CL168" s="80"/>
      <c r="CU168" s="80"/>
      <c r="CW168" s="80"/>
      <c r="CY168" s="80"/>
      <c r="CZ168" s="80"/>
      <c r="DA168" s="80"/>
      <c r="DE168" s="80"/>
      <c r="DI168" s="80"/>
      <c r="DJ168" s="80"/>
      <c r="DN168" s="80"/>
      <c r="DR168" s="80"/>
      <c r="DS168" s="80"/>
      <c r="DT168" s="80"/>
      <c r="DU168" s="80"/>
      <c r="DV168" s="80"/>
      <c r="DW168" s="80"/>
      <c r="DX168" s="80"/>
      <c r="EC168" s="80"/>
      <c r="EG168" s="80"/>
      <c r="EK168" s="80"/>
      <c r="EL168" s="80"/>
    </row>
    <row r="169" spans="1:142" ht="12.75" customHeight="1">
      <c r="A169" s="80"/>
      <c r="B169" s="80"/>
      <c r="C169" s="80"/>
      <c r="D169" s="104"/>
      <c r="E169" s="26"/>
      <c r="F169" s="26"/>
      <c r="I169" s="80"/>
      <c r="L169" s="80"/>
      <c r="M169" s="80"/>
      <c r="N169" s="80"/>
      <c r="O169" s="80"/>
      <c r="P169" s="80"/>
      <c r="Q169" s="80"/>
      <c r="AB169" s="80"/>
      <c r="AF169" s="80"/>
      <c r="AK169" s="80"/>
      <c r="AP169" s="80"/>
      <c r="AZ169" s="80"/>
      <c r="BF169" s="80"/>
      <c r="BK169" s="80"/>
      <c r="BQ169" s="80"/>
      <c r="BR169" s="80"/>
      <c r="BT169" s="80"/>
      <c r="BZ169" s="80"/>
      <c r="CA169" s="80"/>
      <c r="CB169" s="80"/>
      <c r="CC169" s="80"/>
      <c r="CD169" s="80"/>
      <c r="CE169" s="80"/>
      <c r="CG169" s="80"/>
      <c r="CL169" s="80"/>
      <c r="CY169" s="80"/>
      <c r="CZ169" s="80"/>
      <c r="DA169" s="80"/>
      <c r="DE169" s="80"/>
      <c r="DI169" s="80"/>
      <c r="DJ169" s="80"/>
      <c r="DN169" s="80"/>
      <c r="DR169" s="80"/>
      <c r="DV169" s="80"/>
      <c r="DW169" s="80"/>
      <c r="DX169" s="80"/>
      <c r="EC169" s="80"/>
      <c r="EF169" s="80"/>
      <c r="EK169" s="80"/>
      <c r="EL169" s="80"/>
    </row>
    <row r="170" spans="1:142" ht="12.75" customHeight="1">
      <c r="A170" s="80"/>
      <c r="B170" s="80"/>
      <c r="C170" s="80"/>
      <c r="D170" s="104"/>
      <c r="E170" s="26"/>
      <c r="F170" s="26"/>
      <c r="H170" s="80"/>
      <c r="I170" s="80"/>
      <c r="J170" s="80"/>
      <c r="K170" s="80"/>
      <c r="L170" s="80"/>
      <c r="M170" s="80"/>
      <c r="N170" s="80"/>
      <c r="O170" s="80"/>
      <c r="P170" s="80"/>
      <c r="Q170" s="80"/>
      <c r="R170" s="80"/>
      <c r="AF170" s="80"/>
      <c r="AK170" s="80"/>
      <c r="AP170" s="80"/>
      <c r="AZ170" s="80"/>
      <c r="BF170" s="80"/>
      <c r="BJ170" s="80"/>
      <c r="BK170" s="80"/>
      <c r="BQ170" s="80"/>
      <c r="BR170" s="80"/>
      <c r="BS170" s="80"/>
      <c r="BZ170" s="80"/>
      <c r="CA170" s="80"/>
      <c r="CB170" s="80"/>
      <c r="CC170" s="80"/>
      <c r="CD170" s="80"/>
      <c r="CE170" s="80"/>
      <c r="CG170" s="80"/>
      <c r="CL170" s="80"/>
      <c r="CN170" s="80"/>
      <c r="CO170" s="80"/>
      <c r="CY170" s="80"/>
      <c r="CZ170" s="80"/>
      <c r="DA170" s="80"/>
      <c r="DE170" s="80"/>
      <c r="DI170" s="80"/>
      <c r="DJ170" s="80"/>
      <c r="DN170" s="80"/>
      <c r="DR170" s="80"/>
      <c r="DS170" s="80"/>
      <c r="DU170" s="80"/>
      <c r="DV170" s="80"/>
      <c r="DW170" s="80"/>
      <c r="DX170" s="80"/>
      <c r="EC170" s="80"/>
      <c r="EL170" s="80"/>
    </row>
    <row r="171" spans="1:142" ht="12.75" customHeight="1">
      <c r="A171" s="80"/>
      <c r="B171" s="80"/>
      <c r="C171" s="80"/>
      <c r="D171" s="104"/>
      <c r="E171" s="26"/>
      <c r="F171" s="26"/>
      <c r="I171" s="80"/>
      <c r="J171" s="80"/>
      <c r="K171" s="80"/>
      <c r="L171" s="80"/>
      <c r="M171" s="80"/>
      <c r="O171" s="80"/>
      <c r="P171" s="80"/>
      <c r="Q171" s="80"/>
      <c r="AC171" s="80"/>
      <c r="AF171" s="80"/>
      <c r="AK171" s="80"/>
      <c r="AL171" s="80"/>
      <c r="AP171" s="80"/>
      <c r="AZ171" s="80"/>
      <c r="BF171" s="80"/>
      <c r="BR171" s="80"/>
      <c r="BZ171" s="80"/>
      <c r="CA171" s="80"/>
      <c r="CB171" s="80"/>
      <c r="CC171" s="80"/>
      <c r="CD171" s="80"/>
      <c r="CE171" s="80"/>
      <c r="CG171" s="80"/>
      <c r="CL171" s="80"/>
      <c r="CY171" s="80"/>
      <c r="CZ171" s="80"/>
      <c r="DE171" s="80"/>
      <c r="DI171" s="80"/>
      <c r="DJ171" s="80"/>
      <c r="DN171" s="80"/>
      <c r="DO171" s="80"/>
      <c r="DR171" s="80"/>
      <c r="DS171" s="80"/>
      <c r="DU171" s="80"/>
      <c r="DV171" s="80"/>
      <c r="DW171" s="80"/>
      <c r="DX171" s="80"/>
      <c r="EC171" s="80"/>
      <c r="EI171" s="80"/>
      <c r="EK171" s="80"/>
      <c r="EL171" s="80"/>
    </row>
    <row r="172" spans="1:142" ht="12.75" customHeight="1">
      <c r="A172" s="80"/>
      <c r="B172" s="80"/>
      <c r="C172" s="80"/>
      <c r="D172" s="104"/>
      <c r="E172" s="26"/>
      <c r="F172" s="26"/>
      <c r="I172" s="80"/>
      <c r="L172" s="80"/>
      <c r="M172" s="80"/>
      <c r="N172" s="80"/>
      <c r="Q172" s="80"/>
      <c r="AF172" s="80"/>
      <c r="AZ172" s="80"/>
      <c r="BF172" s="80"/>
      <c r="BJ172" s="80"/>
      <c r="BK172" s="80"/>
      <c r="BQ172" s="80"/>
      <c r="BR172" s="80"/>
      <c r="CA172" s="80"/>
      <c r="CB172" s="80"/>
      <c r="CC172" s="80"/>
      <c r="CG172" s="80"/>
      <c r="CL172" s="80"/>
      <c r="EL172" s="80"/>
    </row>
    <row r="173" spans="1:142" ht="12.75" customHeight="1">
      <c r="A173" s="80"/>
      <c r="B173" s="80"/>
      <c r="C173" s="80"/>
      <c r="D173" s="104"/>
      <c r="E173" s="26"/>
      <c r="F173" s="26"/>
      <c r="H173" s="80"/>
      <c r="I173" s="80"/>
      <c r="J173" s="80"/>
      <c r="K173" s="80"/>
      <c r="L173" s="80"/>
      <c r="M173" s="80"/>
      <c r="Q173" s="80"/>
      <c r="R173" s="80"/>
      <c r="AB173" s="80"/>
      <c r="AF173" s="80"/>
      <c r="AV173" s="80"/>
      <c r="AZ173" s="80"/>
      <c r="BF173" s="80"/>
      <c r="BJ173" s="80"/>
      <c r="BK173" s="80"/>
      <c r="BQ173" s="80"/>
      <c r="BR173" s="80"/>
      <c r="BS173" s="80"/>
      <c r="BT173" s="80"/>
      <c r="CA173" s="80"/>
      <c r="CB173" s="80"/>
      <c r="CD173" s="80"/>
      <c r="CE173" s="80"/>
      <c r="CF173" s="80"/>
      <c r="CG173" s="80"/>
      <c r="CL173" s="80"/>
      <c r="CN173" s="80"/>
      <c r="CO173" s="80"/>
      <c r="CW173" s="80"/>
      <c r="CY173" s="80"/>
      <c r="CZ173" s="80"/>
      <c r="DA173" s="80"/>
      <c r="DE173" s="80"/>
      <c r="DI173" s="80"/>
      <c r="DJ173" s="80"/>
      <c r="DN173" s="80"/>
      <c r="EF173" s="80"/>
      <c r="EI173" s="80"/>
      <c r="EL173" s="80"/>
    </row>
    <row r="174" spans="1:142" ht="12.75" customHeight="1">
      <c r="A174" s="80"/>
      <c r="B174" s="80"/>
      <c r="C174" s="80"/>
      <c r="D174" s="104"/>
      <c r="E174" s="26"/>
      <c r="F174" s="26"/>
      <c r="H174" s="80"/>
      <c r="I174" s="80"/>
      <c r="K174" s="80"/>
      <c r="L174" s="80"/>
      <c r="M174" s="80"/>
      <c r="N174" s="80"/>
      <c r="O174" s="80"/>
      <c r="P174" s="80"/>
      <c r="Q174" s="80"/>
      <c r="AF174" s="80"/>
      <c r="AX174" s="80"/>
      <c r="AZ174" s="80"/>
      <c r="BF174" s="80"/>
      <c r="BJ174" s="80"/>
      <c r="BQ174" s="80"/>
      <c r="BR174" s="80"/>
      <c r="BT174" s="80"/>
      <c r="BZ174" s="80"/>
      <c r="CA174" s="80"/>
      <c r="CB174" s="80"/>
      <c r="CC174" s="80"/>
      <c r="CD174" s="80"/>
      <c r="CE174" s="80"/>
      <c r="CG174" s="80"/>
      <c r="CL174" s="80"/>
      <c r="CT174" s="80"/>
      <c r="CU174" s="80"/>
      <c r="CY174" s="80"/>
      <c r="CZ174" s="80"/>
      <c r="DA174" s="80"/>
      <c r="DE174" s="80"/>
      <c r="DI174" s="80"/>
      <c r="DJ174" s="80"/>
      <c r="DN174" s="80"/>
      <c r="DR174" s="80"/>
      <c r="DV174" s="80"/>
      <c r="DW174" s="80"/>
      <c r="DX174" s="80"/>
      <c r="EC174" s="80"/>
      <c r="EL174" s="80"/>
    </row>
    <row r="175" spans="1:142" ht="12.75" customHeight="1">
      <c r="A175" s="80"/>
      <c r="B175" s="80"/>
      <c r="C175" s="80"/>
      <c r="D175" s="104"/>
      <c r="E175" s="26"/>
      <c r="F175" s="26"/>
      <c r="H175" s="80"/>
      <c r="J175" s="80"/>
      <c r="K175" s="80"/>
      <c r="L175" s="80"/>
      <c r="M175" s="80"/>
      <c r="N175" s="80"/>
      <c r="O175" s="80"/>
      <c r="P175" s="80"/>
      <c r="Q175" s="80"/>
      <c r="AF175" s="80"/>
      <c r="AZ175" s="80"/>
      <c r="BF175" s="80"/>
      <c r="BJ175" s="80"/>
      <c r="BK175" s="80"/>
      <c r="BQ175" s="80"/>
      <c r="BR175" s="80"/>
      <c r="BS175" s="80"/>
      <c r="BT175" s="80"/>
      <c r="BZ175" s="80"/>
      <c r="CA175" s="80"/>
      <c r="CB175" s="80"/>
      <c r="CC175" s="80"/>
      <c r="CD175" s="80"/>
      <c r="CE175" s="80"/>
      <c r="CF175" s="80"/>
      <c r="CG175" s="80"/>
      <c r="CI175" s="80"/>
      <c r="CK175" s="80"/>
      <c r="CL175" s="80"/>
      <c r="CT175" s="80"/>
      <c r="CU175" s="80"/>
      <c r="CY175" s="80"/>
      <c r="CZ175" s="80"/>
      <c r="DA175" s="80"/>
      <c r="DE175" s="80"/>
      <c r="DI175" s="80"/>
      <c r="DJ175" s="80"/>
      <c r="DN175" s="80"/>
      <c r="DR175" s="80"/>
      <c r="DV175" s="80"/>
      <c r="DW175" s="80"/>
      <c r="DX175" s="80"/>
      <c r="EC175" s="80"/>
      <c r="EI175" s="80"/>
      <c r="EK175" s="80"/>
      <c r="EL175" s="80"/>
    </row>
    <row r="176" spans="1:142" ht="12.75" customHeight="1">
      <c r="A176" s="80"/>
      <c r="B176" s="80"/>
      <c r="C176" s="80"/>
      <c r="D176" s="104"/>
      <c r="E176" s="26"/>
      <c r="F176" s="26"/>
      <c r="H176" s="80"/>
      <c r="I176" s="80"/>
      <c r="J176" s="80"/>
      <c r="K176" s="80"/>
      <c r="L176" s="80"/>
      <c r="M176" s="80"/>
      <c r="N176" s="80"/>
      <c r="O176" s="80"/>
      <c r="P176" s="80"/>
      <c r="Q176" s="80"/>
      <c r="AF176" s="80"/>
      <c r="AX176" s="80"/>
      <c r="AZ176" s="80"/>
      <c r="BF176" s="80"/>
      <c r="BJ176" s="80"/>
      <c r="BK176" s="80"/>
      <c r="BQ176" s="80"/>
      <c r="BR176" s="80"/>
      <c r="BS176" s="80"/>
      <c r="BT176" s="80"/>
      <c r="CA176" s="80"/>
      <c r="CB176" s="80"/>
      <c r="CD176" s="80"/>
      <c r="CE176" s="80"/>
      <c r="CG176" s="80"/>
      <c r="CL176" s="80"/>
      <c r="CT176" s="80"/>
      <c r="CU176" s="80"/>
      <c r="CY176" s="80"/>
      <c r="CZ176" s="80"/>
      <c r="DA176" s="80"/>
      <c r="DE176" s="80"/>
      <c r="DI176" s="80"/>
      <c r="DJ176" s="80"/>
      <c r="DN176" s="80"/>
      <c r="DR176" s="80"/>
      <c r="DV176" s="80"/>
      <c r="DW176" s="80"/>
      <c r="DX176" s="80"/>
      <c r="EC176" s="80"/>
      <c r="EL176" s="80"/>
    </row>
    <row r="177" spans="1:142" ht="12.75" customHeight="1">
      <c r="A177" s="80"/>
      <c r="B177" s="80"/>
      <c r="C177" s="80"/>
      <c r="D177" s="104"/>
      <c r="E177" s="26"/>
      <c r="F177" s="26"/>
      <c r="G177" s="80"/>
      <c r="H177" s="80"/>
      <c r="I177" s="80"/>
      <c r="J177" s="80"/>
      <c r="L177" s="80"/>
      <c r="M177" s="80"/>
      <c r="O177" s="80"/>
      <c r="P177" s="80"/>
      <c r="Q177" s="80"/>
      <c r="AF177" s="80"/>
      <c r="AI177" s="80"/>
      <c r="AK177" s="80"/>
      <c r="AP177" s="80"/>
      <c r="AZ177" s="80"/>
      <c r="BF177" s="80"/>
      <c r="BJ177" s="80"/>
      <c r="BK177" s="80"/>
      <c r="BP177" s="80"/>
      <c r="BQ177" s="80"/>
      <c r="BR177" s="80"/>
      <c r="BS177" s="80"/>
      <c r="CA177" s="80"/>
      <c r="CB177" s="80"/>
      <c r="CC177" s="80"/>
      <c r="CD177" s="80"/>
      <c r="CE177" s="80"/>
      <c r="CG177" s="80"/>
      <c r="CL177" s="80"/>
      <c r="CT177" s="80"/>
      <c r="CU177" s="80"/>
      <c r="CY177" s="80"/>
      <c r="CZ177" s="80"/>
      <c r="DA177" s="80"/>
      <c r="DB177" s="80"/>
      <c r="DE177" s="80"/>
      <c r="DI177" s="80"/>
      <c r="DJ177" s="80"/>
      <c r="DN177" s="80"/>
      <c r="DR177" s="80"/>
      <c r="DV177" s="80"/>
      <c r="DW177" s="80"/>
      <c r="DX177" s="80"/>
      <c r="EC177" s="80"/>
      <c r="EL177" s="80"/>
    </row>
    <row r="178" spans="1:142" ht="12.75" customHeight="1">
      <c r="A178" s="80"/>
      <c r="B178" s="80"/>
      <c r="C178" s="80"/>
      <c r="D178" s="104"/>
      <c r="E178" s="26"/>
      <c r="F178" s="26"/>
      <c r="I178" s="80"/>
      <c r="K178" s="80"/>
      <c r="L178" s="80"/>
      <c r="M178" s="80"/>
      <c r="N178" s="80"/>
      <c r="O178" s="80"/>
      <c r="P178" s="80"/>
      <c r="Q178" s="80"/>
      <c r="AF178" s="80"/>
      <c r="AK178" s="80"/>
      <c r="AP178" s="80"/>
      <c r="AX178" s="80"/>
      <c r="AZ178" s="80"/>
      <c r="BF178" s="80"/>
      <c r="BJ178" s="80"/>
      <c r="BQ178" s="80"/>
      <c r="BR178" s="80"/>
      <c r="BS178" s="80"/>
      <c r="BZ178" s="80"/>
      <c r="CA178" s="80"/>
      <c r="CB178" s="80"/>
      <c r="CC178" s="80"/>
      <c r="CD178" s="80"/>
      <c r="CE178" s="80"/>
      <c r="CG178" s="80"/>
      <c r="CL178" s="80"/>
      <c r="CW178" s="80"/>
      <c r="CZ178" s="80"/>
      <c r="DA178" s="80"/>
      <c r="DE178" s="80"/>
      <c r="DI178" s="80"/>
      <c r="DJ178" s="80"/>
      <c r="DN178" s="80"/>
      <c r="DO178" s="80"/>
      <c r="DR178" s="80"/>
      <c r="DV178" s="80"/>
      <c r="DW178" s="80"/>
      <c r="DX178" s="80"/>
      <c r="EC178" s="80"/>
      <c r="EF178" s="80"/>
      <c r="EK178" s="80"/>
      <c r="EL178" s="80"/>
    </row>
    <row r="179" spans="1:142" ht="12.75" customHeight="1">
      <c r="A179" s="80"/>
      <c r="B179" s="80"/>
      <c r="C179" s="80"/>
      <c r="D179" s="104"/>
      <c r="E179" s="26"/>
      <c r="F179" s="26"/>
      <c r="K179" s="80"/>
      <c r="L179" s="80"/>
      <c r="M179" s="80"/>
      <c r="N179" s="80"/>
      <c r="Q179" s="80"/>
      <c r="AE179" s="80"/>
      <c r="AF179" s="80"/>
      <c r="AK179" s="80"/>
      <c r="AP179" s="80"/>
      <c r="AX179" s="80"/>
      <c r="AZ179" s="80"/>
      <c r="BF179" s="80"/>
      <c r="BJ179" s="80"/>
      <c r="BK179" s="80"/>
      <c r="BQ179" s="80"/>
      <c r="BR179" s="80"/>
      <c r="BT179" s="80"/>
      <c r="BZ179" s="80"/>
      <c r="CA179" s="80"/>
      <c r="CB179" s="80"/>
      <c r="CC179" s="80"/>
      <c r="CD179" s="80"/>
      <c r="CE179" s="80"/>
      <c r="CG179" s="80"/>
      <c r="CL179" s="80"/>
      <c r="CW179" s="80"/>
      <c r="CZ179" s="80"/>
      <c r="DA179" s="80"/>
      <c r="DE179" s="80"/>
      <c r="DI179" s="80"/>
      <c r="DJ179" s="80"/>
      <c r="DN179" s="80"/>
      <c r="DR179" s="80"/>
      <c r="DV179" s="80"/>
      <c r="DW179" s="80"/>
      <c r="DX179" s="80"/>
      <c r="EC179" s="80"/>
      <c r="EL179" s="80"/>
    </row>
    <row r="180" spans="1:142" ht="12.75" customHeight="1">
      <c r="A180" s="80"/>
      <c r="B180" s="80"/>
      <c r="C180" s="80"/>
      <c r="D180" s="104"/>
      <c r="E180" s="26"/>
      <c r="F180" s="26"/>
      <c r="H180" s="80"/>
      <c r="I180" s="80"/>
      <c r="J180" s="80"/>
      <c r="K180" s="80"/>
      <c r="L180" s="80"/>
      <c r="M180" s="80"/>
      <c r="N180" s="80"/>
      <c r="O180" s="80"/>
      <c r="P180" s="80"/>
      <c r="Q180" s="80"/>
      <c r="R180" s="80"/>
      <c r="S180" s="80"/>
      <c r="AB180" s="80"/>
      <c r="AD180" s="80"/>
      <c r="AF180" s="80"/>
      <c r="AL180" s="80"/>
      <c r="AP180" s="80"/>
      <c r="AZ180" s="80"/>
      <c r="BF180" s="80"/>
      <c r="BJ180" s="80"/>
      <c r="BQ180" s="80"/>
      <c r="BR180" s="80"/>
      <c r="BS180" s="80"/>
      <c r="BT180" s="80"/>
      <c r="BZ180" s="80"/>
      <c r="CA180" s="80"/>
      <c r="CB180" s="80"/>
      <c r="CC180" s="80"/>
      <c r="CD180" s="80"/>
      <c r="CE180" s="80"/>
      <c r="CG180" s="80"/>
      <c r="CI180" s="80"/>
      <c r="CK180" s="80"/>
      <c r="CL180" s="80"/>
      <c r="CN180" s="80"/>
      <c r="CO180" s="80"/>
      <c r="CT180" s="80"/>
      <c r="CU180" s="80"/>
      <c r="CY180" s="80"/>
      <c r="CZ180" s="80"/>
      <c r="DA180" s="80"/>
      <c r="DE180" s="80"/>
      <c r="DI180" s="80"/>
      <c r="DJ180" s="80"/>
      <c r="DN180" s="80"/>
      <c r="DR180" s="80"/>
      <c r="DV180" s="80"/>
      <c r="DW180" s="80"/>
      <c r="DX180" s="80"/>
      <c r="EC180" s="80"/>
      <c r="EI180" s="80"/>
      <c r="EJ180" s="80"/>
      <c r="EL180" s="80"/>
    </row>
    <row r="181" spans="1:142" ht="12.75" customHeight="1">
      <c r="A181" s="80"/>
      <c r="B181" s="80"/>
      <c r="C181" s="80"/>
      <c r="D181" s="104"/>
      <c r="E181" s="26"/>
      <c r="F181" s="26"/>
      <c r="K181" s="80"/>
      <c r="L181" s="80"/>
      <c r="M181" s="80"/>
      <c r="N181" s="80"/>
      <c r="O181" s="80"/>
      <c r="P181" s="80"/>
      <c r="Q181" s="80"/>
      <c r="AF181" s="80"/>
      <c r="AL181" s="80"/>
      <c r="AP181" s="80"/>
      <c r="AW181" s="80"/>
      <c r="AX181" s="80"/>
      <c r="AZ181" s="80"/>
      <c r="BF181" s="80"/>
      <c r="BJ181" s="80"/>
      <c r="BK181" s="80"/>
      <c r="BQ181" s="80"/>
      <c r="BR181" s="80"/>
      <c r="BS181" s="80"/>
      <c r="BT181" s="80"/>
      <c r="BZ181" s="80"/>
      <c r="CA181" s="80"/>
      <c r="CB181" s="80"/>
      <c r="CC181" s="80"/>
      <c r="CD181" s="80"/>
      <c r="CE181" s="80"/>
      <c r="CG181" s="80"/>
      <c r="CI181" s="80"/>
      <c r="CK181" s="80"/>
      <c r="CL181" s="80"/>
      <c r="CT181" s="80"/>
      <c r="CU181" s="80"/>
      <c r="CZ181" s="80"/>
      <c r="DA181" s="80"/>
      <c r="DE181" s="80"/>
      <c r="DI181" s="80"/>
      <c r="DJ181" s="80"/>
      <c r="DN181" s="80"/>
      <c r="DR181" s="80"/>
      <c r="DV181" s="80"/>
      <c r="DW181" s="80"/>
      <c r="DX181" s="80"/>
      <c r="EC181" s="80"/>
      <c r="EL181" s="80"/>
    </row>
    <row r="182" spans="1:142" ht="12.75" customHeight="1">
      <c r="A182" s="80"/>
      <c r="B182" s="80"/>
      <c r="C182" s="80"/>
      <c r="D182" s="104"/>
      <c r="E182" s="26"/>
      <c r="F182" s="26"/>
      <c r="I182" s="80"/>
      <c r="L182" s="80"/>
      <c r="M182" s="80"/>
      <c r="N182" s="80"/>
      <c r="Q182" s="80"/>
      <c r="AF182" s="80"/>
      <c r="AZ182" s="80"/>
      <c r="BF182" s="80"/>
      <c r="BJ182" s="80"/>
      <c r="BK182" s="80"/>
      <c r="BQ182" s="80"/>
      <c r="BR182" s="80"/>
      <c r="BZ182" s="80"/>
      <c r="CA182" s="80"/>
      <c r="CB182" s="80"/>
      <c r="CC182" s="80"/>
      <c r="CD182" s="80"/>
      <c r="CE182" s="80"/>
      <c r="CG182" s="80"/>
      <c r="CI182" s="80"/>
      <c r="CK182" s="80"/>
      <c r="CL182" s="80"/>
      <c r="CU182" s="80"/>
      <c r="CW182" s="80"/>
      <c r="CY182" s="80"/>
      <c r="CZ182" s="80"/>
      <c r="DA182" s="80"/>
      <c r="DE182" s="80"/>
      <c r="DI182" s="80"/>
      <c r="DJ182" s="80"/>
      <c r="DN182" s="80"/>
      <c r="DR182" s="80"/>
      <c r="DV182" s="80"/>
      <c r="DW182" s="80"/>
      <c r="DX182" s="80"/>
      <c r="EC182" s="80"/>
      <c r="EL182" s="80"/>
    </row>
    <row r="183" spans="1:142" ht="12.75" customHeight="1">
      <c r="A183" s="80"/>
      <c r="B183" s="80"/>
      <c r="C183" s="80"/>
      <c r="D183" s="104"/>
      <c r="E183" s="26"/>
      <c r="F183" s="26"/>
      <c r="H183" s="80"/>
      <c r="I183" s="80"/>
      <c r="K183" s="80"/>
      <c r="L183" s="80"/>
      <c r="M183" s="80"/>
      <c r="N183" s="80"/>
      <c r="O183" s="80"/>
      <c r="P183" s="80"/>
      <c r="Q183" s="80"/>
      <c r="AF183" s="80"/>
      <c r="AL183" s="80"/>
      <c r="AP183" s="80"/>
      <c r="AZ183" s="80"/>
      <c r="BF183" s="80"/>
      <c r="BJ183" s="80"/>
      <c r="BQ183" s="80"/>
      <c r="BR183" s="80"/>
      <c r="BS183" s="80"/>
      <c r="BZ183" s="80"/>
      <c r="CA183" s="80"/>
      <c r="CB183" s="80"/>
      <c r="CD183" s="80"/>
      <c r="CE183" s="80"/>
      <c r="CG183" s="80"/>
      <c r="CL183" s="80"/>
      <c r="CT183" s="80"/>
      <c r="CU183" s="80"/>
      <c r="CY183" s="80"/>
      <c r="CZ183" s="80"/>
      <c r="DA183" s="80"/>
      <c r="DE183" s="80"/>
      <c r="DI183" s="80"/>
      <c r="DJ183" s="80"/>
      <c r="DN183" s="80"/>
      <c r="DR183" s="80"/>
      <c r="DV183" s="80"/>
      <c r="DW183" s="80"/>
      <c r="DX183" s="80"/>
      <c r="EC183" s="80"/>
      <c r="EL183" s="80"/>
    </row>
    <row r="184" spans="1:142" ht="12.75" customHeight="1">
      <c r="A184" s="80"/>
      <c r="B184" s="80"/>
      <c r="C184" s="80"/>
      <c r="D184" s="104"/>
      <c r="E184" s="26"/>
      <c r="F184" s="26"/>
      <c r="J184" s="80"/>
      <c r="K184" s="80"/>
      <c r="L184" s="80"/>
      <c r="M184" s="80"/>
      <c r="N184" s="80"/>
      <c r="Q184" s="80"/>
      <c r="AF184" s="80"/>
      <c r="AL184" s="80"/>
      <c r="AP184" s="80"/>
      <c r="AX184" s="80"/>
      <c r="AZ184" s="80"/>
      <c r="BF184" s="80"/>
      <c r="BJ184" s="80"/>
      <c r="BK184" s="80"/>
      <c r="BQ184" s="80"/>
      <c r="BR184" s="80"/>
      <c r="BT184" s="80"/>
      <c r="BZ184" s="80"/>
      <c r="CA184" s="80"/>
      <c r="CB184" s="80"/>
      <c r="CD184" s="80"/>
      <c r="CE184" s="80"/>
      <c r="CG184" s="80"/>
      <c r="CL184" s="80"/>
      <c r="CW184" s="80"/>
      <c r="CY184" s="80"/>
      <c r="CZ184" s="80"/>
      <c r="DA184" s="80"/>
      <c r="DE184" s="80"/>
      <c r="DI184" s="80"/>
      <c r="DJ184" s="80"/>
      <c r="DN184" s="80"/>
      <c r="DR184" s="80"/>
      <c r="DV184" s="80"/>
      <c r="DW184" s="80"/>
      <c r="DX184" s="80"/>
      <c r="EC184" s="80"/>
      <c r="EI184" s="80"/>
      <c r="EJ184" s="80"/>
      <c r="EK184" s="80"/>
      <c r="EL184" s="80"/>
    </row>
    <row r="185" spans="1:142" ht="12.75" customHeight="1">
      <c r="A185" s="80"/>
      <c r="B185" s="80"/>
      <c r="C185" s="80"/>
      <c r="D185" s="104"/>
      <c r="E185" s="26"/>
      <c r="F185" s="26"/>
      <c r="I185" s="80"/>
      <c r="K185" s="80"/>
      <c r="L185" s="80"/>
      <c r="M185" s="80"/>
      <c r="N185" s="80"/>
      <c r="O185" s="80"/>
      <c r="Q185" s="80"/>
      <c r="AB185" s="80"/>
      <c r="AC185" s="80"/>
      <c r="AF185" s="80"/>
      <c r="AK185" s="80"/>
      <c r="AP185" s="80"/>
      <c r="AX185" s="80"/>
      <c r="AZ185" s="80"/>
      <c r="BF185" s="80"/>
      <c r="BJ185" s="80"/>
      <c r="BK185" s="80"/>
      <c r="BQ185" s="80"/>
      <c r="BR185" s="80"/>
      <c r="BS185" s="80"/>
      <c r="BZ185" s="80"/>
      <c r="CA185" s="80"/>
      <c r="CB185" s="80"/>
      <c r="CC185" s="80"/>
      <c r="CD185" s="80"/>
      <c r="CE185" s="80"/>
      <c r="CG185" s="80"/>
      <c r="CI185" s="80"/>
      <c r="CK185" s="80"/>
      <c r="CL185" s="80"/>
      <c r="CW185" s="80"/>
      <c r="CY185" s="80"/>
      <c r="CZ185" s="80"/>
      <c r="DA185" s="80"/>
      <c r="DE185" s="80"/>
      <c r="DI185" s="80"/>
      <c r="DJ185" s="80"/>
      <c r="DN185" s="80"/>
      <c r="DR185" s="80"/>
      <c r="DV185" s="80"/>
      <c r="DW185" s="80"/>
      <c r="DX185" s="80"/>
      <c r="EC185" s="80"/>
      <c r="EL185" s="80"/>
    </row>
    <row r="186" spans="1:142" ht="12.75" customHeight="1">
      <c r="A186" s="80"/>
      <c r="B186" s="80"/>
      <c r="C186" s="80"/>
      <c r="D186" s="104"/>
      <c r="E186" s="26"/>
      <c r="F186" s="26"/>
      <c r="I186" s="80"/>
      <c r="J186" s="80"/>
      <c r="K186" s="80"/>
      <c r="L186" s="80"/>
      <c r="M186" s="80"/>
      <c r="N186" s="80"/>
      <c r="O186" s="80"/>
      <c r="P186" s="80"/>
      <c r="Q186" s="80"/>
      <c r="R186" s="80"/>
      <c r="AF186" s="80"/>
      <c r="AZ186" s="80"/>
      <c r="BF186" s="80"/>
      <c r="BJ186" s="80"/>
      <c r="BP186" s="80"/>
      <c r="BQ186" s="80"/>
      <c r="BR186" s="80"/>
      <c r="BS186" s="80"/>
      <c r="BT186" s="80"/>
      <c r="BZ186" s="80"/>
      <c r="CA186" s="80"/>
      <c r="CB186" s="80"/>
      <c r="CC186" s="80"/>
      <c r="CD186" s="80"/>
      <c r="CE186" s="80"/>
      <c r="CG186" s="80"/>
      <c r="CI186" s="80"/>
      <c r="CK186" s="80"/>
      <c r="CL186" s="80"/>
      <c r="CY186" s="80"/>
      <c r="CZ186" s="80"/>
      <c r="DA186" s="80"/>
      <c r="DE186" s="80"/>
      <c r="DI186" s="80"/>
      <c r="DJ186" s="80"/>
      <c r="DN186" s="80"/>
      <c r="DR186" s="80"/>
      <c r="DS186" s="80"/>
      <c r="DU186" s="80"/>
      <c r="DV186" s="80"/>
      <c r="DW186" s="80"/>
      <c r="DX186" s="80"/>
      <c r="EC186" s="80"/>
      <c r="EL186" s="80"/>
    </row>
    <row r="187" spans="1:142" ht="12.75" customHeight="1">
      <c r="A187" s="80"/>
      <c r="B187" s="80"/>
      <c r="C187" s="80"/>
      <c r="D187" s="104"/>
      <c r="E187" s="26"/>
      <c r="F187" s="26"/>
      <c r="H187" s="80"/>
      <c r="I187" s="80"/>
      <c r="J187" s="80"/>
      <c r="K187" s="80"/>
      <c r="L187" s="80"/>
      <c r="M187" s="80"/>
      <c r="N187" s="80"/>
      <c r="O187" s="80"/>
      <c r="Q187" s="80"/>
      <c r="AF187" s="80"/>
      <c r="AK187" s="80"/>
      <c r="AP187" s="80"/>
      <c r="AX187" s="80"/>
      <c r="AZ187" s="80"/>
      <c r="BF187" s="80"/>
      <c r="BJ187" s="80"/>
      <c r="BK187" s="80"/>
      <c r="BQ187" s="80"/>
      <c r="BR187" s="80"/>
      <c r="BS187" s="80"/>
      <c r="BT187" s="80"/>
      <c r="BZ187" s="80"/>
      <c r="CA187" s="80"/>
      <c r="CB187" s="80"/>
      <c r="CC187" s="80"/>
      <c r="CD187" s="80"/>
      <c r="CE187" s="80"/>
      <c r="CG187" s="80"/>
      <c r="CL187" s="80"/>
      <c r="CW187" s="80"/>
      <c r="CY187" s="80"/>
      <c r="CZ187" s="80"/>
      <c r="DA187" s="80"/>
      <c r="DE187" s="80"/>
      <c r="DI187" s="80"/>
      <c r="DJ187" s="80"/>
      <c r="DN187" s="80"/>
      <c r="DR187" s="80"/>
      <c r="DV187" s="80"/>
      <c r="DX187" s="80"/>
      <c r="EC187" s="80"/>
      <c r="EL187" s="80"/>
    </row>
    <row r="188" spans="1:142" ht="12.75" customHeight="1">
      <c r="A188" s="80"/>
      <c r="B188" s="80"/>
      <c r="C188" s="80"/>
      <c r="D188" s="104"/>
      <c r="E188" s="26"/>
      <c r="F188" s="26"/>
      <c r="H188" s="80"/>
      <c r="L188" s="80"/>
      <c r="M188" s="80"/>
      <c r="N188" s="80"/>
      <c r="O188" s="80"/>
      <c r="P188" s="80"/>
      <c r="Q188" s="80"/>
      <c r="AF188" s="80"/>
      <c r="AL188" s="80"/>
      <c r="AP188" s="80"/>
      <c r="AW188" s="80"/>
      <c r="AZ188" s="80"/>
      <c r="BF188" s="80"/>
      <c r="BJ188" s="80"/>
      <c r="BQ188" s="80"/>
      <c r="BR188" s="80"/>
      <c r="BS188" s="80"/>
      <c r="BT188" s="80"/>
      <c r="BZ188" s="80"/>
      <c r="CA188" s="80"/>
      <c r="CB188" s="80"/>
      <c r="CC188" s="80"/>
      <c r="CD188" s="80"/>
      <c r="CE188" s="80"/>
      <c r="CG188" s="80"/>
      <c r="CI188" s="80"/>
      <c r="CK188" s="80"/>
      <c r="CL188" s="80"/>
      <c r="CN188" s="80"/>
      <c r="CO188" s="80"/>
      <c r="CT188" s="80"/>
      <c r="CU188" s="80"/>
      <c r="CY188" s="80"/>
      <c r="CZ188" s="80"/>
      <c r="DA188" s="80"/>
      <c r="DC188" s="80"/>
      <c r="DE188" s="80"/>
      <c r="DF188" s="80"/>
      <c r="DI188" s="80"/>
      <c r="DJ188" s="80"/>
      <c r="DN188" s="80"/>
      <c r="DR188" s="80"/>
      <c r="DV188" s="80"/>
      <c r="DW188" s="80"/>
      <c r="DX188" s="80"/>
      <c r="EC188" s="80"/>
      <c r="EL188" s="80"/>
    </row>
    <row r="189" spans="1:142" ht="12.75" customHeight="1">
      <c r="A189" s="80"/>
      <c r="B189" s="80"/>
      <c r="C189" s="80"/>
      <c r="D189" s="104"/>
      <c r="E189" s="26"/>
      <c r="F189" s="26"/>
      <c r="G189" s="80"/>
      <c r="H189" s="80"/>
      <c r="I189" s="80"/>
      <c r="J189" s="80"/>
      <c r="K189" s="80"/>
      <c r="L189" s="80"/>
      <c r="M189" s="80"/>
      <c r="N189" s="80"/>
      <c r="O189" s="80"/>
      <c r="Q189" s="80"/>
      <c r="S189" s="80"/>
      <c r="AF189" s="80"/>
      <c r="AX189" s="80"/>
      <c r="AZ189" s="80"/>
      <c r="BF189" s="80"/>
      <c r="BJ189" s="80"/>
      <c r="BK189" s="80"/>
      <c r="BQ189" s="80"/>
      <c r="BR189" s="80"/>
      <c r="BS189" s="80"/>
      <c r="BT189" s="80"/>
      <c r="BZ189" s="80"/>
      <c r="CA189" s="80"/>
      <c r="CB189" s="80"/>
      <c r="CC189" s="80"/>
      <c r="CD189" s="80"/>
      <c r="CE189" s="80"/>
      <c r="CG189" s="80"/>
      <c r="CI189" s="80"/>
      <c r="CK189" s="80"/>
      <c r="CL189" s="80"/>
      <c r="CT189" s="80"/>
      <c r="CU189" s="80"/>
      <c r="CZ189" s="80"/>
      <c r="DA189" s="80"/>
      <c r="DE189" s="80"/>
      <c r="DI189" s="80"/>
      <c r="DJ189" s="80"/>
      <c r="DN189" s="80"/>
      <c r="DR189" s="80"/>
      <c r="DV189" s="80"/>
      <c r="DW189" s="80"/>
      <c r="DX189" s="80"/>
      <c r="EC189" s="80"/>
      <c r="EI189" s="80"/>
      <c r="EK189" s="80"/>
      <c r="EL189" s="80"/>
    </row>
    <row r="190" spans="1:142" ht="12.75" customHeight="1">
      <c r="A190" s="80"/>
      <c r="B190" s="80"/>
      <c r="C190" s="80"/>
      <c r="D190" s="104"/>
      <c r="E190" s="26"/>
      <c r="F190" s="26"/>
      <c r="H190" s="80"/>
      <c r="I190" s="80"/>
      <c r="K190" s="80"/>
      <c r="L190" s="80"/>
      <c r="M190" s="80"/>
      <c r="O190" s="80"/>
      <c r="P190" s="80"/>
      <c r="Q190" s="80"/>
      <c r="AF190" s="80"/>
      <c r="AL190" s="80"/>
      <c r="AP190" s="80"/>
      <c r="AW190" s="80"/>
      <c r="AZ190" s="80"/>
      <c r="BF190" s="80"/>
      <c r="BQ190" s="80"/>
      <c r="BR190" s="80"/>
      <c r="BS190" s="80"/>
      <c r="BT190" s="80"/>
      <c r="CA190" s="80"/>
      <c r="CB190" s="80"/>
      <c r="CD190" s="80"/>
      <c r="CE190" s="80"/>
      <c r="CF190" s="80"/>
      <c r="CG190" s="80"/>
      <c r="CL190" s="80"/>
      <c r="CW190" s="80"/>
      <c r="CY190" s="80"/>
      <c r="CZ190" s="80"/>
      <c r="DB190" s="80"/>
      <c r="DE190" s="80"/>
      <c r="DI190" s="80"/>
      <c r="DJ190" s="80"/>
      <c r="DN190" s="80"/>
      <c r="DO190" s="80"/>
      <c r="DR190" s="80"/>
      <c r="DT190" s="80"/>
      <c r="DU190" s="80"/>
      <c r="DV190" s="80"/>
      <c r="DX190" s="80"/>
      <c r="EC190" s="80"/>
      <c r="EI190" s="80"/>
      <c r="EJ190" s="80"/>
      <c r="EL190" s="80"/>
    </row>
    <row r="191" spans="1:142" ht="12.75" customHeight="1">
      <c r="A191" s="80"/>
      <c r="B191" s="80"/>
      <c r="C191" s="80"/>
      <c r="D191" s="104"/>
      <c r="E191" s="26"/>
      <c r="F191" s="26"/>
      <c r="H191" s="80"/>
      <c r="K191" s="80"/>
      <c r="L191" s="80"/>
      <c r="M191" s="80"/>
      <c r="N191" s="80"/>
      <c r="Q191" s="80"/>
      <c r="AF191" s="80"/>
      <c r="AL191" s="80"/>
      <c r="AP191" s="80"/>
      <c r="AX191" s="80"/>
      <c r="AZ191" s="80"/>
      <c r="BF191" s="80"/>
      <c r="BQ191" s="80"/>
      <c r="BR191" s="80"/>
      <c r="BS191" s="80"/>
      <c r="BT191" s="80"/>
      <c r="CA191" s="80"/>
      <c r="CB191" s="80"/>
      <c r="CC191" s="80"/>
      <c r="CD191" s="80"/>
      <c r="CE191" s="80"/>
      <c r="CG191" s="80"/>
      <c r="CH191" s="80"/>
      <c r="CK191" s="80"/>
      <c r="CL191" s="80"/>
      <c r="CT191" s="80"/>
      <c r="CU191" s="80"/>
      <c r="CW191" s="80"/>
      <c r="CY191" s="80"/>
      <c r="CZ191" s="80"/>
      <c r="DA191" s="80"/>
      <c r="DE191" s="80"/>
      <c r="DI191" s="80"/>
      <c r="DJ191" s="80"/>
      <c r="DN191" s="80"/>
      <c r="EL191" s="80"/>
    </row>
    <row r="192" spans="1:142" ht="12.75" customHeight="1">
      <c r="A192" s="80"/>
      <c r="B192" s="80"/>
      <c r="C192" s="80"/>
      <c r="D192" s="104"/>
      <c r="E192" s="26"/>
      <c r="F192" s="26"/>
      <c r="H192" s="80"/>
      <c r="K192" s="80"/>
      <c r="L192" s="80"/>
      <c r="M192" s="80"/>
      <c r="N192" s="80"/>
      <c r="O192" s="80"/>
      <c r="Q192" s="80"/>
      <c r="AB192" s="80"/>
      <c r="AG192" s="80"/>
      <c r="AR192" s="80"/>
      <c r="AU192" s="80"/>
      <c r="AZ192" s="80"/>
      <c r="BF192" s="80"/>
      <c r="CD192" s="80"/>
      <c r="CE192" s="80"/>
      <c r="CG192" s="80"/>
      <c r="CI192" s="80"/>
      <c r="CK192" s="80"/>
      <c r="CL192" s="80"/>
      <c r="CN192" s="80"/>
      <c r="CO192" s="80"/>
      <c r="CY192" s="80"/>
      <c r="CZ192" s="80"/>
      <c r="DI192" s="80"/>
      <c r="DJ192" s="80"/>
      <c r="DN192" s="80"/>
      <c r="EL192" s="80"/>
    </row>
    <row r="193" spans="1:142" ht="12.75" customHeight="1">
      <c r="A193" s="80"/>
      <c r="B193" s="80"/>
      <c r="C193" s="80"/>
      <c r="D193" s="104"/>
      <c r="E193" s="26"/>
      <c r="F193" s="26"/>
      <c r="H193" s="80"/>
      <c r="I193" s="80"/>
      <c r="J193" s="80"/>
      <c r="K193" s="80"/>
      <c r="L193" s="80"/>
      <c r="M193" s="80"/>
      <c r="N193" s="80"/>
      <c r="O193" s="80"/>
      <c r="Q193" s="80"/>
      <c r="AG193" s="80"/>
      <c r="AR193" s="80"/>
      <c r="AU193" s="80"/>
      <c r="AX193" s="80"/>
      <c r="AY193" s="80"/>
      <c r="AZ193" s="80"/>
      <c r="BF193" s="80"/>
      <c r="BP193" s="80"/>
      <c r="BR193" s="80"/>
      <c r="BT193" s="80"/>
      <c r="BV193" s="80"/>
      <c r="BX193" s="80"/>
      <c r="CA193" s="80"/>
      <c r="CB193" s="80"/>
      <c r="CD193" s="80"/>
      <c r="CE193" s="80"/>
      <c r="CG193" s="80"/>
      <c r="CL193" s="80"/>
      <c r="CN193" s="80"/>
      <c r="CO193" s="80"/>
      <c r="CW193" s="80"/>
      <c r="CY193" s="80"/>
      <c r="CZ193" s="80"/>
      <c r="DA193" s="80"/>
      <c r="DB193" s="80"/>
      <c r="DE193" s="80"/>
      <c r="DF193" s="80"/>
      <c r="DG193" s="80"/>
      <c r="DI193" s="80"/>
      <c r="DJ193" s="80"/>
      <c r="DN193" s="80"/>
      <c r="EL193" s="80"/>
    </row>
    <row r="194" spans="1:142" ht="12.75" customHeight="1">
      <c r="A194" s="80"/>
      <c r="B194" s="80"/>
      <c r="C194" s="80"/>
      <c r="D194" s="104"/>
      <c r="E194" s="26"/>
      <c r="F194" s="26"/>
      <c r="M194" s="80"/>
      <c r="N194" s="80"/>
      <c r="Q194" s="80"/>
      <c r="AF194" s="80"/>
      <c r="AZ194" s="80"/>
      <c r="BF194" s="80"/>
      <c r="BQ194" s="80"/>
      <c r="BR194" s="80"/>
      <c r="BT194" s="80"/>
      <c r="BU194" s="80"/>
      <c r="CA194" s="80"/>
      <c r="CB194" s="80"/>
      <c r="CC194" s="80"/>
      <c r="CD194" s="80"/>
      <c r="CE194" s="80"/>
      <c r="CG194" s="80"/>
      <c r="CL194" s="80"/>
      <c r="EL194" s="80"/>
    </row>
    <row r="195" spans="1:142" ht="12.75" customHeight="1">
      <c r="A195" s="80"/>
      <c r="B195" s="80"/>
      <c r="C195" s="80"/>
      <c r="D195" s="104"/>
      <c r="E195" s="26"/>
      <c r="F195" s="26"/>
      <c r="H195" s="80"/>
      <c r="I195" s="80"/>
      <c r="K195" s="80"/>
      <c r="L195" s="80"/>
      <c r="M195" s="80"/>
      <c r="O195" s="80"/>
      <c r="P195" s="80"/>
      <c r="Q195" s="80"/>
      <c r="AF195" s="80"/>
      <c r="AK195" s="80"/>
      <c r="AP195" s="80"/>
      <c r="AW195" s="80"/>
      <c r="AX195" s="80"/>
      <c r="AZ195" s="80"/>
      <c r="BF195" s="80"/>
      <c r="BJ195" s="80"/>
      <c r="BQ195" s="80"/>
      <c r="BR195" s="80"/>
      <c r="BT195" s="80"/>
      <c r="CA195" s="80"/>
      <c r="CB195" s="80"/>
      <c r="CC195" s="80"/>
      <c r="CD195" s="80"/>
      <c r="CE195" s="80"/>
      <c r="CG195" s="80"/>
      <c r="CL195" s="80"/>
      <c r="CN195" s="80"/>
      <c r="CO195" s="80"/>
      <c r="CW195" s="80"/>
      <c r="CY195" s="80"/>
      <c r="CZ195" s="80"/>
      <c r="DA195" s="80"/>
      <c r="DE195" s="80"/>
      <c r="DI195" s="80"/>
      <c r="DJ195" s="80"/>
      <c r="DN195" s="80"/>
      <c r="DO195" s="80"/>
      <c r="DR195" s="80"/>
      <c r="DV195" s="80"/>
      <c r="DW195" s="80"/>
      <c r="DX195" s="80"/>
      <c r="EC195" s="80"/>
      <c r="EL195" s="80"/>
    </row>
    <row r="196" spans="1:142" ht="12.75" customHeight="1">
      <c r="A196" s="80"/>
      <c r="B196" s="80"/>
      <c r="C196" s="80"/>
      <c r="D196" s="104"/>
      <c r="E196" s="26"/>
      <c r="F196" s="26"/>
      <c r="H196" s="80"/>
      <c r="I196" s="80"/>
      <c r="J196" s="80"/>
      <c r="K196" s="80"/>
      <c r="L196" s="80"/>
      <c r="M196" s="80"/>
      <c r="O196" s="80"/>
      <c r="P196" s="80"/>
      <c r="Q196" s="80"/>
      <c r="AF196" s="80"/>
      <c r="AL196" s="80"/>
      <c r="AP196" s="80"/>
      <c r="AW196" s="80"/>
      <c r="AX196" s="80"/>
      <c r="AZ196" s="80"/>
      <c r="BF196" s="80"/>
      <c r="BJ196" s="80"/>
      <c r="BQ196" s="80"/>
      <c r="BR196" s="80"/>
      <c r="BS196" s="80"/>
      <c r="BT196" s="80"/>
      <c r="BZ196" s="80"/>
      <c r="CA196" s="80"/>
      <c r="CB196" s="80"/>
      <c r="CC196" s="80"/>
      <c r="CD196" s="80"/>
      <c r="CE196" s="80"/>
      <c r="CG196" s="80"/>
      <c r="CI196" s="80"/>
      <c r="CK196" s="80"/>
      <c r="CL196" s="80"/>
      <c r="CN196" s="80"/>
      <c r="CO196" s="80"/>
      <c r="CQ196" s="80"/>
      <c r="CU196" s="80"/>
      <c r="CY196" s="80"/>
      <c r="CZ196" s="80"/>
      <c r="DA196" s="80"/>
      <c r="DE196" s="80"/>
      <c r="DI196" s="80"/>
      <c r="DJ196" s="80"/>
      <c r="DN196" s="80"/>
      <c r="DR196" s="80"/>
      <c r="DS196" s="80"/>
      <c r="DU196" s="80"/>
      <c r="DV196" s="80"/>
      <c r="DW196" s="80"/>
      <c r="DX196" s="80"/>
      <c r="EC196" s="80"/>
      <c r="EG196" s="80"/>
      <c r="EK196" s="80"/>
      <c r="EL196" s="80"/>
    </row>
    <row r="197" spans="1:142" ht="12.75" customHeight="1">
      <c r="A197" s="80"/>
      <c r="B197" s="80"/>
      <c r="C197" s="80"/>
      <c r="D197" s="104"/>
      <c r="E197" s="26"/>
      <c r="F197" s="26"/>
      <c r="H197" s="80"/>
      <c r="I197" s="80"/>
      <c r="J197" s="80"/>
      <c r="K197" s="80"/>
      <c r="L197" s="80"/>
      <c r="M197" s="80"/>
      <c r="P197" s="80"/>
      <c r="Q197" s="80"/>
      <c r="AF197" s="80"/>
      <c r="AL197" s="80"/>
      <c r="AP197" s="80"/>
      <c r="AZ197" s="80"/>
      <c r="BF197" s="80"/>
      <c r="BJ197" s="80"/>
      <c r="BL197" s="80"/>
      <c r="BQ197" s="80"/>
      <c r="BR197" s="80"/>
      <c r="BS197" s="80"/>
      <c r="CA197" s="80"/>
      <c r="CB197" s="80"/>
      <c r="CC197" s="80"/>
      <c r="CD197" s="80"/>
      <c r="CE197" s="80"/>
      <c r="CG197" s="80"/>
      <c r="CI197" s="80"/>
      <c r="CK197" s="80"/>
      <c r="CL197" s="80"/>
      <c r="CN197" s="80"/>
      <c r="CO197" s="80"/>
      <c r="CT197" s="80"/>
      <c r="CU197" s="80"/>
      <c r="CY197" s="80"/>
      <c r="CZ197" s="80"/>
      <c r="DA197" s="80"/>
      <c r="DB197" s="80"/>
      <c r="DE197" s="80"/>
      <c r="DI197" s="80"/>
      <c r="DJ197" s="80"/>
      <c r="DN197" s="80"/>
      <c r="DR197" s="80"/>
      <c r="DT197" s="80"/>
      <c r="DU197" s="80"/>
      <c r="DV197" s="80"/>
      <c r="DW197" s="80"/>
      <c r="DX197" s="80"/>
      <c r="EC197" s="80"/>
      <c r="EL197" s="80"/>
    </row>
    <row r="198" spans="1:142" ht="12.75" customHeight="1">
      <c r="A198" s="80"/>
      <c r="B198" s="80"/>
      <c r="C198" s="80"/>
      <c r="D198" s="104"/>
      <c r="E198" s="26"/>
      <c r="F198" s="26"/>
      <c r="H198" s="80"/>
      <c r="I198" s="80"/>
      <c r="J198" s="80"/>
      <c r="K198" s="80"/>
      <c r="L198" s="80"/>
      <c r="M198" s="80"/>
      <c r="N198" s="80"/>
      <c r="O198" s="80"/>
      <c r="P198" s="80"/>
      <c r="Q198" s="80"/>
      <c r="AC198" s="80"/>
      <c r="AF198" s="80"/>
      <c r="AH198" s="80"/>
      <c r="AL198" s="80"/>
      <c r="AP198" s="80"/>
      <c r="AW198" s="80"/>
      <c r="AX198" s="80"/>
      <c r="AY198" s="80"/>
      <c r="AZ198" s="80"/>
      <c r="BF198" s="80"/>
      <c r="BJ198" s="80"/>
      <c r="BQ198" s="80"/>
      <c r="BR198" s="80"/>
      <c r="BS198" s="80"/>
      <c r="BZ198" s="80"/>
      <c r="CA198" s="80"/>
      <c r="CB198" s="80"/>
      <c r="CD198" s="80"/>
      <c r="CE198" s="80"/>
      <c r="CF198" s="80"/>
      <c r="CG198" s="80"/>
      <c r="CI198" s="80"/>
      <c r="CK198" s="80"/>
      <c r="CL198" s="80"/>
      <c r="CN198" s="80"/>
      <c r="CO198" s="80"/>
      <c r="CT198" s="80"/>
      <c r="CU198" s="80"/>
      <c r="CY198" s="80"/>
      <c r="CZ198" s="80"/>
      <c r="DA198" s="80"/>
      <c r="DE198" s="80"/>
      <c r="DI198" s="80"/>
      <c r="DJ198" s="80"/>
      <c r="DK198" s="80"/>
      <c r="DN198" s="80"/>
      <c r="DR198" s="80"/>
      <c r="DS198" s="80"/>
      <c r="DT198" s="80"/>
      <c r="DU198" s="80"/>
      <c r="DV198" s="80"/>
      <c r="DW198" s="80"/>
      <c r="DX198" s="80"/>
      <c r="EC198" s="80"/>
      <c r="EI198" s="80"/>
      <c r="EJ198" s="80"/>
      <c r="EK198" s="80"/>
      <c r="EL198" s="80"/>
    </row>
    <row r="199" spans="1:142" ht="12.75" customHeight="1">
      <c r="A199" s="80"/>
      <c r="B199" s="80"/>
      <c r="C199" s="80"/>
      <c r="D199" s="104"/>
      <c r="E199" s="26"/>
      <c r="F199" s="26"/>
      <c r="G199" s="80"/>
      <c r="H199" s="80"/>
      <c r="I199" s="80"/>
      <c r="J199" s="80"/>
      <c r="K199" s="80"/>
      <c r="L199" s="80"/>
      <c r="M199" s="80"/>
      <c r="N199" s="80"/>
      <c r="O199" s="80"/>
      <c r="Q199" s="80"/>
      <c r="AE199" s="80"/>
      <c r="AF199" s="80"/>
      <c r="AH199" s="80"/>
      <c r="AL199" s="80"/>
      <c r="AP199" s="80"/>
      <c r="AX199" s="80"/>
      <c r="AZ199" s="80"/>
      <c r="BF199" s="80"/>
      <c r="BQ199" s="80"/>
      <c r="BR199" s="80"/>
      <c r="BS199" s="80"/>
      <c r="BT199" s="80"/>
      <c r="CA199" s="80"/>
      <c r="CB199" s="80"/>
      <c r="CD199" s="80"/>
      <c r="CE199" s="80"/>
      <c r="CF199" s="80"/>
      <c r="CG199" s="80"/>
      <c r="CL199" s="80"/>
      <c r="CN199" s="80"/>
      <c r="CO199" s="80"/>
      <c r="CR199" s="80"/>
      <c r="CT199" s="80"/>
      <c r="CU199" s="80"/>
      <c r="CY199" s="80"/>
      <c r="CZ199" s="80"/>
      <c r="DA199" s="80"/>
      <c r="DB199" s="80"/>
      <c r="DE199" s="80"/>
      <c r="DI199" s="80"/>
      <c r="DJ199" s="80"/>
      <c r="DN199" s="80"/>
      <c r="DR199" s="80"/>
      <c r="DV199" s="80"/>
      <c r="DX199" s="80"/>
      <c r="EC199" s="80"/>
      <c r="EL199" s="80"/>
    </row>
    <row r="200" spans="1:142" ht="12.75" customHeight="1">
      <c r="A200" s="80"/>
      <c r="B200" s="80"/>
      <c r="C200" s="80"/>
      <c r="D200" s="104"/>
      <c r="E200" s="26"/>
      <c r="F200" s="26"/>
      <c r="H200" s="80"/>
      <c r="I200" s="80"/>
      <c r="J200" s="80"/>
      <c r="K200" s="80"/>
      <c r="L200" s="80"/>
      <c r="M200" s="80"/>
      <c r="N200" s="80"/>
      <c r="O200" s="80"/>
      <c r="P200" s="80"/>
      <c r="Q200" s="80"/>
      <c r="AF200" s="80"/>
      <c r="AL200" s="80"/>
      <c r="AP200" s="80"/>
      <c r="AZ200" s="80"/>
      <c r="BF200" s="80"/>
      <c r="BQ200" s="80"/>
      <c r="BR200" s="80"/>
      <c r="BS200" s="80"/>
      <c r="BT200" s="80"/>
      <c r="BZ200" s="80"/>
      <c r="CA200" s="80"/>
      <c r="CB200" s="80"/>
      <c r="CD200" s="80"/>
      <c r="CE200" s="80"/>
      <c r="CF200" s="80"/>
      <c r="CG200" s="80"/>
      <c r="CL200" s="80"/>
      <c r="CN200" s="80"/>
      <c r="CO200" s="80"/>
      <c r="CU200" s="80"/>
      <c r="CW200" s="80"/>
      <c r="CY200" s="80"/>
      <c r="CZ200" s="80"/>
      <c r="DA200" s="80"/>
      <c r="DB200" s="80"/>
      <c r="DE200" s="80"/>
      <c r="DI200" s="80"/>
      <c r="DJ200" s="80"/>
      <c r="DN200" s="80"/>
      <c r="DO200" s="80"/>
      <c r="DR200" s="80"/>
      <c r="DV200" s="80"/>
      <c r="DX200" s="80"/>
      <c r="EC200" s="80"/>
      <c r="EF200" s="80"/>
      <c r="EI200" s="80"/>
      <c r="EL200" s="80"/>
    </row>
    <row r="201" spans="1:142" ht="12.75" customHeight="1">
      <c r="A201" s="80"/>
      <c r="B201" s="80"/>
      <c r="C201" s="80"/>
      <c r="D201" s="104"/>
      <c r="E201" s="26"/>
      <c r="F201" s="26"/>
      <c r="H201" s="80"/>
      <c r="I201" s="80"/>
      <c r="J201" s="80"/>
      <c r="K201" s="80"/>
      <c r="L201" s="80"/>
      <c r="M201" s="80"/>
      <c r="Q201" s="80"/>
      <c r="AF201" s="80"/>
      <c r="AK201" s="80"/>
      <c r="AP201" s="80"/>
      <c r="AX201" s="80"/>
      <c r="AZ201" s="80"/>
      <c r="BF201" s="80"/>
      <c r="BQ201" s="80"/>
      <c r="BR201" s="80"/>
      <c r="BT201" s="80"/>
      <c r="CA201" s="80"/>
      <c r="CC201" s="80"/>
      <c r="CD201" s="80"/>
      <c r="CE201" s="80"/>
      <c r="CG201" s="80"/>
      <c r="CL201" s="80"/>
      <c r="CY201" s="80"/>
      <c r="CZ201" s="80"/>
      <c r="DA201" s="80"/>
      <c r="DE201" s="80"/>
      <c r="DI201" s="80"/>
      <c r="DJ201" s="80"/>
      <c r="DN201" s="80"/>
      <c r="EL201" s="80"/>
    </row>
    <row r="202" spans="1:142" ht="12.75" customHeight="1">
      <c r="A202" s="80"/>
      <c r="B202" s="80"/>
      <c r="C202" s="80"/>
      <c r="D202" s="104"/>
      <c r="E202" s="26"/>
      <c r="F202" s="26"/>
      <c r="H202" s="80"/>
      <c r="I202" s="80"/>
      <c r="J202" s="80"/>
      <c r="K202" s="80"/>
      <c r="L202" s="80"/>
      <c r="M202" s="80"/>
      <c r="N202" s="80"/>
      <c r="O202" s="80"/>
      <c r="Q202" s="80"/>
      <c r="AF202" s="80"/>
      <c r="AK202" s="80"/>
      <c r="AP202" s="80"/>
      <c r="AX202" s="80"/>
      <c r="AZ202" s="80"/>
      <c r="BF202" s="80"/>
      <c r="BR202" s="80"/>
      <c r="CA202" s="80"/>
      <c r="CB202" s="80"/>
      <c r="CD202" s="80"/>
      <c r="CE202" s="80"/>
      <c r="CG202" s="80"/>
      <c r="CL202" s="80"/>
      <c r="CY202" s="80"/>
      <c r="CZ202" s="80"/>
      <c r="DB202" s="80"/>
      <c r="DE202" s="80"/>
      <c r="DI202" s="80"/>
      <c r="DJ202" s="80"/>
      <c r="DN202" s="80"/>
      <c r="DR202" s="80"/>
      <c r="DV202" s="80"/>
      <c r="DX202" s="80"/>
      <c r="EC202" s="80"/>
      <c r="EL202" s="80"/>
    </row>
    <row r="203" spans="1:142" ht="12.75" customHeight="1">
      <c r="A203" s="80"/>
      <c r="B203" s="80"/>
      <c r="C203" s="80"/>
      <c r="D203" s="104"/>
      <c r="E203" s="26"/>
      <c r="F203" s="26"/>
      <c r="H203" s="80"/>
      <c r="I203" s="80"/>
      <c r="J203" s="80"/>
      <c r="K203" s="80"/>
      <c r="L203" s="80"/>
      <c r="M203" s="80"/>
      <c r="N203" s="80"/>
      <c r="O203" s="80"/>
      <c r="Q203" s="80"/>
      <c r="AB203" s="80"/>
      <c r="AE203" s="80"/>
      <c r="AF203" s="80"/>
      <c r="AL203" s="80"/>
      <c r="AP203" s="80"/>
      <c r="AW203" s="80"/>
      <c r="AZ203" s="80"/>
      <c r="BF203" s="80"/>
      <c r="BJ203" s="80"/>
      <c r="BQ203" s="80"/>
      <c r="BR203" s="80"/>
      <c r="CA203" s="80"/>
      <c r="CB203" s="80"/>
      <c r="CD203" s="80"/>
      <c r="CE203" s="80"/>
      <c r="CG203" s="80"/>
      <c r="CL203" s="80"/>
      <c r="CY203" s="80"/>
      <c r="CZ203" s="80"/>
      <c r="DA203" s="80"/>
      <c r="DE203" s="80"/>
      <c r="DH203" s="80"/>
      <c r="DI203" s="80"/>
      <c r="DJ203" s="80"/>
      <c r="DN203" s="80"/>
      <c r="DR203" s="80"/>
      <c r="DV203" s="80"/>
      <c r="DW203" s="80"/>
      <c r="DX203" s="80"/>
      <c r="EC203" s="80"/>
      <c r="EL203" s="80"/>
    </row>
    <row r="204" spans="1:142" ht="12.75" customHeight="1">
      <c r="A204" s="80"/>
      <c r="B204" s="80"/>
      <c r="C204" s="80"/>
      <c r="D204" s="104"/>
      <c r="E204" s="26"/>
      <c r="F204" s="26"/>
      <c r="J204" s="80"/>
      <c r="K204" s="80"/>
      <c r="L204" s="80"/>
      <c r="M204" s="80"/>
      <c r="N204" s="80"/>
      <c r="Q204" s="80"/>
      <c r="AF204" s="80"/>
      <c r="AK204" s="80"/>
      <c r="AP204" s="80"/>
      <c r="AX204" s="80"/>
      <c r="AZ204" s="80"/>
      <c r="BF204" s="80"/>
      <c r="BQ204" s="80"/>
      <c r="BR204" s="80"/>
      <c r="BT204" s="80"/>
      <c r="BZ204" s="80"/>
      <c r="CA204" s="80"/>
      <c r="CB204" s="80"/>
      <c r="CC204" s="80"/>
      <c r="CD204" s="80"/>
      <c r="CE204" s="80"/>
      <c r="CG204" s="80"/>
      <c r="CL204" s="80"/>
      <c r="CN204" s="80"/>
      <c r="CO204" s="80"/>
      <c r="CY204" s="80"/>
      <c r="CZ204" s="80"/>
      <c r="DE204" s="80"/>
      <c r="DJ204" s="80"/>
      <c r="DN204" s="80"/>
      <c r="DR204" s="80"/>
      <c r="DV204" s="80"/>
      <c r="DW204" s="80"/>
      <c r="DX204" s="80"/>
      <c r="EC204" s="80"/>
      <c r="EL204" s="80"/>
    </row>
    <row r="205" spans="1:142" ht="12.75" customHeight="1">
      <c r="A205" s="80"/>
      <c r="B205" s="80"/>
      <c r="C205" s="80"/>
      <c r="D205" s="104"/>
      <c r="E205" s="26"/>
      <c r="F205" s="26"/>
      <c r="G205" s="80"/>
      <c r="L205" s="80"/>
      <c r="M205" s="80"/>
      <c r="N205" s="80"/>
      <c r="Q205" s="80"/>
      <c r="AF205" s="80"/>
      <c r="AZ205" s="80"/>
      <c r="BF205" s="80"/>
      <c r="BR205" s="80"/>
      <c r="BS205" s="80"/>
      <c r="CA205" s="80"/>
      <c r="CB205" s="80"/>
      <c r="CG205" s="80"/>
      <c r="CL205" s="80"/>
      <c r="EL205" s="80"/>
    </row>
    <row r="206" spans="1:142" ht="12.75" customHeight="1">
      <c r="A206" s="80"/>
      <c r="B206" s="80"/>
      <c r="C206" s="80"/>
      <c r="D206" s="104"/>
      <c r="E206" s="26"/>
      <c r="F206" s="26"/>
      <c r="H206" s="80"/>
      <c r="I206" s="80"/>
      <c r="K206" s="80"/>
      <c r="L206" s="80"/>
      <c r="M206" s="80"/>
      <c r="N206" s="80"/>
      <c r="Q206" s="80"/>
      <c r="AF206" s="80"/>
      <c r="AL206" s="80"/>
      <c r="AP206" s="80"/>
      <c r="AZ206" s="80"/>
      <c r="BF206" s="80"/>
      <c r="BJ206" s="80"/>
      <c r="BQ206" s="80"/>
      <c r="BR206" s="80"/>
      <c r="BS206" s="80"/>
      <c r="BT206" s="80"/>
      <c r="CA206" s="80"/>
      <c r="CB206" s="80"/>
      <c r="CD206" s="80"/>
      <c r="CE206" s="80"/>
      <c r="CG206" s="80"/>
      <c r="CL206" s="80"/>
      <c r="CT206" s="80"/>
      <c r="CU206" s="80"/>
      <c r="CY206" s="80"/>
      <c r="CZ206" s="80"/>
      <c r="DA206" s="80"/>
      <c r="DE206" s="80"/>
      <c r="DI206" s="80"/>
      <c r="DJ206" s="80"/>
      <c r="DN206" s="80"/>
      <c r="DR206" s="80"/>
      <c r="DV206" s="80"/>
      <c r="DW206" s="80"/>
      <c r="DX206" s="80"/>
      <c r="EC206" s="80"/>
      <c r="EL206" s="80"/>
    </row>
    <row r="207" spans="1:142" ht="12.75" customHeight="1">
      <c r="A207" s="80"/>
      <c r="B207" s="80"/>
      <c r="C207" s="80"/>
      <c r="D207" s="104"/>
      <c r="E207" s="26"/>
      <c r="F207" s="26"/>
      <c r="H207" s="80"/>
      <c r="J207" s="80"/>
      <c r="L207" s="80"/>
      <c r="M207" s="80"/>
      <c r="O207" s="80"/>
      <c r="Q207" s="80"/>
      <c r="AF207" s="80"/>
      <c r="AZ207" s="80"/>
      <c r="BF207" s="80"/>
      <c r="BQ207" s="80"/>
      <c r="BR207" s="80"/>
      <c r="BS207" s="80"/>
      <c r="BT207" s="80"/>
      <c r="BZ207" s="80"/>
      <c r="CA207" s="80"/>
      <c r="CB207" s="80"/>
      <c r="CD207" s="80"/>
      <c r="CE207" s="80"/>
      <c r="CG207" s="80"/>
      <c r="CL207" s="80"/>
      <c r="CN207" s="80"/>
      <c r="CO207" s="80"/>
      <c r="CT207" s="80"/>
      <c r="CU207" s="80"/>
      <c r="CZ207" s="80"/>
      <c r="DA207" s="80"/>
      <c r="DE207" s="80"/>
      <c r="DI207" s="80"/>
      <c r="DJ207" s="80"/>
      <c r="DN207" s="80"/>
      <c r="EL207" s="80"/>
    </row>
    <row r="208" spans="1:142" ht="12.75" customHeight="1">
      <c r="A208" s="80"/>
      <c r="B208" s="80"/>
      <c r="C208" s="80"/>
      <c r="D208" s="104"/>
      <c r="E208" s="26"/>
      <c r="F208" s="26"/>
      <c r="H208" s="80"/>
      <c r="L208" s="80"/>
      <c r="M208" s="80"/>
      <c r="O208" s="80"/>
      <c r="Q208" s="80"/>
      <c r="AF208" s="80"/>
      <c r="AZ208" s="80"/>
      <c r="BF208" s="80"/>
      <c r="BJ208" s="80"/>
      <c r="BK208" s="80"/>
      <c r="BQ208" s="80"/>
      <c r="BR208" s="80"/>
      <c r="BS208" s="80"/>
      <c r="BT208" s="80"/>
      <c r="CA208" s="80"/>
      <c r="CB208" s="80"/>
      <c r="CD208" s="80"/>
      <c r="CE208" s="80"/>
      <c r="CF208" s="80"/>
      <c r="CG208" s="80"/>
      <c r="CL208" s="80"/>
      <c r="CN208" s="80"/>
      <c r="CO208" s="80"/>
      <c r="CT208" s="80"/>
      <c r="CU208" s="80"/>
      <c r="CY208" s="80"/>
      <c r="CZ208" s="80"/>
      <c r="DA208" s="80"/>
      <c r="DE208" s="80"/>
      <c r="DI208" s="80"/>
      <c r="DJ208" s="80"/>
      <c r="DN208" s="80"/>
      <c r="EJ208" s="80"/>
      <c r="EK208" s="80"/>
      <c r="EL208" s="80"/>
    </row>
    <row r="209" spans="1:142" ht="12.75" customHeight="1">
      <c r="A209" s="80"/>
      <c r="B209" s="80"/>
      <c r="C209" s="80"/>
      <c r="D209" s="104"/>
      <c r="E209" s="26"/>
      <c r="F209" s="26"/>
      <c r="M209" s="80"/>
      <c r="N209" s="80"/>
      <c r="P209" s="80"/>
      <c r="Q209" s="80"/>
      <c r="AF209" s="80"/>
      <c r="AL209" s="80"/>
      <c r="AP209" s="80"/>
      <c r="AZ209" s="80"/>
      <c r="BF209" s="80"/>
      <c r="BJ209" s="80"/>
      <c r="BK209" s="80"/>
      <c r="BM209" s="80"/>
      <c r="BN209" s="80"/>
      <c r="BQ209" s="80"/>
      <c r="BR209" s="80"/>
      <c r="BS209" s="80"/>
      <c r="BW209" s="80"/>
      <c r="CA209" s="80"/>
      <c r="CD209" s="80"/>
      <c r="CE209" s="80"/>
      <c r="CF209" s="80"/>
      <c r="CG209" s="80"/>
      <c r="CI209" s="80"/>
      <c r="CK209" s="80"/>
      <c r="CL209" s="80"/>
      <c r="CN209" s="80"/>
      <c r="CO209" s="80"/>
      <c r="CT209" s="80"/>
      <c r="CU209" s="80"/>
      <c r="CY209" s="80"/>
      <c r="CZ209" s="80"/>
      <c r="DA209" s="80"/>
      <c r="DE209" s="80"/>
      <c r="DF209" s="80"/>
      <c r="DG209" s="80"/>
      <c r="DI209" s="80"/>
      <c r="DJ209" s="80"/>
      <c r="DN209" s="80"/>
      <c r="DR209" s="80"/>
      <c r="DV209" s="80"/>
      <c r="DW209" s="80"/>
      <c r="DX209" s="80"/>
      <c r="EC209" s="80"/>
      <c r="ED209" s="80"/>
      <c r="EK209" s="80"/>
      <c r="EL209" s="80"/>
    </row>
    <row r="210" spans="1:142" ht="12.75" customHeight="1">
      <c r="A210" s="80"/>
      <c r="B210" s="80"/>
      <c r="C210" s="80"/>
      <c r="D210" s="104"/>
      <c r="E210" s="26"/>
      <c r="F210" s="26"/>
      <c r="H210" s="80"/>
      <c r="I210" s="80"/>
      <c r="J210" s="80"/>
      <c r="K210" s="80"/>
      <c r="L210" s="80"/>
      <c r="M210" s="80"/>
      <c r="N210" s="80"/>
      <c r="O210" s="80"/>
      <c r="P210" s="80"/>
      <c r="Q210" s="80"/>
      <c r="AB210" s="80"/>
      <c r="AF210" s="80"/>
      <c r="AX210" s="80"/>
      <c r="AZ210" s="80"/>
      <c r="BF210" s="80"/>
      <c r="BJ210" s="80"/>
      <c r="BK210" s="80"/>
      <c r="BQ210" s="80"/>
      <c r="BR210" s="80"/>
      <c r="BS210" s="80"/>
      <c r="BZ210" s="80"/>
      <c r="CA210" s="80"/>
      <c r="CB210" s="80"/>
      <c r="CC210" s="80"/>
      <c r="CD210" s="80"/>
      <c r="CE210" s="80"/>
      <c r="CG210" s="80"/>
      <c r="CI210" s="80"/>
      <c r="CK210" s="80"/>
      <c r="CL210" s="80"/>
      <c r="CN210" s="80"/>
      <c r="CO210" s="80"/>
      <c r="CT210" s="80"/>
      <c r="CU210" s="80"/>
      <c r="CY210" s="80"/>
      <c r="CZ210" s="80"/>
      <c r="DA210" s="80"/>
      <c r="DB210" s="80"/>
      <c r="DC210" s="80"/>
      <c r="DE210" s="80"/>
      <c r="DI210" s="80"/>
      <c r="DJ210" s="80"/>
      <c r="DN210" s="80"/>
      <c r="DO210" s="80"/>
      <c r="DR210" s="80"/>
      <c r="DV210" s="80"/>
      <c r="DW210" s="80"/>
      <c r="DX210" s="80"/>
      <c r="EC210" s="80"/>
      <c r="EF210" s="80"/>
      <c r="EI210" s="80"/>
      <c r="EK210" s="80"/>
      <c r="EL210" s="80"/>
    </row>
    <row r="211" spans="1:142" ht="12.75" customHeight="1">
      <c r="A211" s="80"/>
      <c r="B211" s="80"/>
      <c r="C211" s="80"/>
      <c r="D211" s="104"/>
      <c r="E211" s="26"/>
      <c r="F211" s="26"/>
      <c r="H211" s="80"/>
      <c r="I211" s="80"/>
      <c r="J211" s="80"/>
      <c r="K211" s="80"/>
      <c r="L211" s="80"/>
      <c r="M211" s="80"/>
      <c r="N211" s="80"/>
      <c r="O211" s="80"/>
      <c r="Q211" s="80"/>
      <c r="AB211" s="80"/>
      <c r="AG211" s="80"/>
      <c r="AR211" s="80"/>
      <c r="AU211" s="80"/>
      <c r="AX211" s="80"/>
      <c r="AY211" s="80"/>
      <c r="AZ211" s="80"/>
      <c r="BF211" s="80"/>
      <c r="BJ211" s="80"/>
      <c r="BR211" s="80"/>
      <c r="BT211" s="80"/>
      <c r="BV211" s="80"/>
      <c r="BX211" s="80"/>
      <c r="CA211" s="80"/>
      <c r="CB211" s="80"/>
      <c r="CD211" s="80"/>
      <c r="CE211" s="80"/>
      <c r="CF211" s="80"/>
      <c r="CG211" s="80"/>
      <c r="CL211" s="80"/>
      <c r="CN211" s="80"/>
      <c r="CO211" s="80"/>
      <c r="CU211" s="80"/>
      <c r="CY211" s="80"/>
      <c r="CZ211" s="80"/>
      <c r="DA211" s="80"/>
      <c r="DB211" s="80"/>
      <c r="DE211" s="80"/>
      <c r="DI211" s="80"/>
      <c r="DJ211" s="80"/>
      <c r="DN211" s="80"/>
      <c r="EF211" s="80"/>
      <c r="EI211" s="80"/>
      <c r="EL211" s="80"/>
    </row>
    <row r="212" spans="1:142" ht="12.75" customHeight="1">
      <c r="A212" s="80"/>
      <c r="B212" s="80"/>
      <c r="C212" s="80"/>
      <c r="D212" s="104"/>
      <c r="E212" s="26"/>
      <c r="F212" s="26"/>
      <c r="H212" s="80"/>
      <c r="I212" s="80"/>
      <c r="J212" s="80"/>
      <c r="K212" s="80"/>
      <c r="L212" s="80"/>
      <c r="M212" s="80"/>
      <c r="N212" s="80"/>
      <c r="O212" s="80"/>
      <c r="P212" s="80"/>
      <c r="Q212" s="80"/>
      <c r="S212" s="80"/>
      <c r="AF212" s="80"/>
      <c r="AL212" s="80"/>
      <c r="AP212" s="80"/>
      <c r="AW212" s="80"/>
      <c r="AZ212" s="80"/>
      <c r="BF212" s="80"/>
      <c r="BJ212" s="80"/>
      <c r="BL212" s="80"/>
      <c r="BQ212" s="80"/>
      <c r="BR212" s="80"/>
      <c r="BS212" s="80"/>
      <c r="BT212" s="80"/>
      <c r="BZ212" s="80"/>
      <c r="CA212" s="80"/>
      <c r="CB212" s="80"/>
      <c r="CC212" s="80"/>
      <c r="CD212" s="80"/>
      <c r="CE212" s="80"/>
      <c r="CG212" s="80"/>
      <c r="CI212" s="80"/>
      <c r="CK212" s="80"/>
      <c r="CL212" s="80"/>
      <c r="CS212" s="80"/>
      <c r="CW212" s="80"/>
      <c r="CY212" s="80"/>
      <c r="CZ212" s="80"/>
      <c r="DA212" s="80"/>
      <c r="DE212" s="80"/>
      <c r="DF212" s="80"/>
      <c r="DH212" s="80"/>
      <c r="DI212" s="80"/>
      <c r="DJ212" s="80"/>
      <c r="DN212" s="80"/>
      <c r="DP212" s="80"/>
      <c r="DR212" s="80"/>
      <c r="DV212" s="80"/>
      <c r="DW212" s="80"/>
      <c r="DX212" s="80"/>
      <c r="EC212" s="80"/>
      <c r="ED212" s="80"/>
      <c r="EF212" s="80"/>
      <c r="EI212" s="80"/>
      <c r="EK212" s="80"/>
      <c r="EL212" s="80"/>
    </row>
    <row r="213" spans="1:142" ht="12.75" customHeight="1">
      <c r="A213" s="80"/>
      <c r="B213" s="80"/>
      <c r="C213" s="80"/>
      <c r="D213" s="104"/>
      <c r="E213" s="26"/>
      <c r="F213" s="26"/>
      <c r="H213" s="80"/>
      <c r="I213" s="80"/>
      <c r="J213" s="80"/>
      <c r="K213" s="80"/>
      <c r="L213" s="80"/>
      <c r="M213" s="80"/>
      <c r="N213" s="80"/>
      <c r="O213" s="80"/>
      <c r="P213" s="80"/>
      <c r="Q213" s="80"/>
      <c r="S213" s="80"/>
      <c r="T213" s="80"/>
      <c r="AF213" s="80"/>
      <c r="AX213" s="80"/>
      <c r="AZ213" s="80"/>
      <c r="BF213" s="80"/>
      <c r="BJ213" s="80"/>
      <c r="BQ213" s="80"/>
      <c r="BR213" s="80"/>
      <c r="BT213" s="80"/>
      <c r="CA213" s="80"/>
      <c r="CB213" s="80"/>
      <c r="CC213" s="80"/>
      <c r="CD213" s="80"/>
      <c r="CE213" s="80"/>
      <c r="CG213" s="80"/>
      <c r="CL213" s="80"/>
      <c r="CP213" s="80"/>
      <c r="CQ213" s="80"/>
      <c r="CT213" s="80"/>
      <c r="CU213" s="80"/>
      <c r="CY213" s="80"/>
      <c r="CZ213" s="80"/>
      <c r="DA213" s="80"/>
      <c r="DB213" s="80"/>
      <c r="DE213" s="80"/>
      <c r="DI213" s="80"/>
      <c r="DJ213" s="80"/>
      <c r="DN213" s="80"/>
      <c r="DP213" s="80"/>
      <c r="DR213" s="80"/>
      <c r="DV213" s="80"/>
      <c r="DW213" s="80"/>
      <c r="DX213" s="80"/>
      <c r="EC213" s="80"/>
      <c r="EF213" s="80"/>
      <c r="EI213" s="80"/>
      <c r="EL213" s="80"/>
    </row>
    <row r="214" spans="1:142" ht="12.75" customHeight="1">
      <c r="A214" s="80"/>
      <c r="B214" s="80"/>
      <c r="C214" s="80"/>
      <c r="D214" s="104"/>
      <c r="E214" s="26"/>
      <c r="F214" s="26"/>
      <c r="H214" s="80"/>
      <c r="I214" s="80"/>
      <c r="J214" s="80"/>
      <c r="K214" s="80"/>
      <c r="L214" s="80"/>
      <c r="M214" s="80"/>
      <c r="N214" s="80"/>
      <c r="Q214" s="80"/>
      <c r="AC214" s="80"/>
      <c r="AF214" s="80"/>
      <c r="AL214" s="80"/>
      <c r="AP214" s="80"/>
      <c r="AW214" s="80"/>
      <c r="AX214" s="80"/>
      <c r="AZ214" s="80"/>
      <c r="BF214" s="80"/>
      <c r="BJ214" s="80"/>
      <c r="BQ214" s="80"/>
      <c r="BR214" s="80"/>
      <c r="BT214" s="80"/>
      <c r="BZ214" s="80"/>
      <c r="CA214" s="80"/>
      <c r="CB214" s="80"/>
      <c r="CC214" s="80"/>
      <c r="CD214" s="80"/>
      <c r="CE214" s="80"/>
      <c r="CG214" s="80"/>
      <c r="CI214" s="80"/>
      <c r="CK214" s="80"/>
      <c r="CL214" s="80"/>
      <c r="CP214" s="80"/>
      <c r="CQ214" s="80"/>
      <c r="CT214" s="80"/>
      <c r="CU214" s="80"/>
      <c r="CY214" s="80"/>
      <c r="CZ214" s="80"/>
      <c r="DA214" s="80"/>
      <c r="DE214" s="80"/>
      <c r="DI214" s="80"/>
      <c r="DJ214" s="80"/>
      <c r="DN214" s="80"/>
      <c r="DR214" s="80"/>
      <c r="DV214" s="80"/>
      <c r="DW214" s="80"/>
      <c r="DX214" s="80"/>
      <c r="EC214" s="80"/>
      <c r="EL214" s="80"/>
    </row>
    <row r="215" spans="1:142" ht="12.75" customHeight="1">
      <c r="A215" s="80"/>
      <c r="B215" s="80"/>
      <c r="C215" s="80"/>
      <c r="D215" s="104"/>
      <c r="E215" s="26"/>
      <c r="F215" s="26"/>
      <c r="H215" s="80"/>
      <c r="K215" s="80"/>
      <c r="L215" s="80"/>
      <c r="M215" s="80"/>
      <c r="N215" s="80"/>
      <c r="O215" s="80"/>
      <c r="Q215" s="80"/>
      <c r="AB215" s="80"/>
      <c r="AF215" s="80"/>
      <c r="AL215" s="80"/>
      <c r="AP215" s="80"/>
      <c r="AX215" s="80"/>
      <c r="AZ215" s="80"/>
      <c r="BF215" s="80"/>
      <c r="BJ215" s="80"/>
      <c r="BK215" s="80"/>
      <c r="BQ215" s="80"/>
      <c r="BR215" s="80"/>
      <c r="BS215" s="80"/>
      <c r="BT215" s="80"/>
      <c r="BZ215" s="80"/>
      <c r="CA215" s="80"/>
      <c r="CB215" s="80"/>
      <c r="CC215" s="80"/>
      <c r="CD215" s="80"/>
      <c r="CE215" s="80"/>
      <c r="CG215" s="80"/>
      <c r="CI215" s="80"/>
      <c r="CK215" s="80"/>
      <c r="CL215" s="80"/>
      <c r="CT215" s="80"/>
      <c r="CU215" s="80"/>
      <c r="CY215" s="80"/>
      <c r="CZ215" s="80"/>
      <c r="DA215" s="80"/>
      <c r="DE215" s="80"/>
      <c r="DI215" s="80"/>
      <c r="DJ215" s="80"/>
      <c r="DN215" s="80"/>
      <c r="DR215" s="80"/>
      <c r="DV215" s="80"/>
      <c r="DX215" s="80"/>
      <c r="EC215" s="80"/>
      <c r="EL215" s="80"/>
    </row>
    <row r="216" spans="1:142" ht="12.75" customHeight="1">
      <c r="A216" s="80"/>
      <c r="B216" s="80"/>
      <c r="C216" s="80"/>
      <c r="D216" s="104"/>
      <c r="E216" s="26"/>
      <c r="F216" s="26"/>
      <c r="H216" s="80"/>
      <c r="I216" s="80"/>
      <c r="J216" s="80"/>
      <c r="K216" s="80"/>
      <c r="L216" s="80"/>
      <c r="M216" s="80"/>
      <c r="N216" s="80"/>
      <c r="O216" s="80"/>
      <c r="Q216" s="80"/>
      <c r="AF216" s="80"/>
      <c r="AK216" s="80"/>
      <c r="AP216" s="80"/>
      <c r="AX216" s="80"/>
      <c r="AZ216" s="80"/>
      <c r="BF216" s="80"/>
      <c r="BJ216" s="80"/>
      <c r="BQ216" s="80"/>
      <c r="BR216" s="80"/>
      <c r="BS216" s="80"/>
      <c r="CA216" s="80"/>
      <c r="CB216" s="80"/>
      <c r="CD216" s="80"/>
      <c r="CE216" s="80"/>
      <c r="CF216" s="80"/>
      <c r="CG216" s="80"/>
      <c r="CL216" s="80"/>
      <c r="CT216" s="80"/>
      <c r="CU216" s="80"/>
      <c r="CZ216" s="80"/>
      <c r="DA216" s="80"/>
      <c r="DE216" s="80"/>
      <c r="DI216" s="80"/>
      <c r="DJ216" s="80"/>
      <c r="DN216" s="80"/>
      <c r="EL216" s="80"/>
    </row>
    <row r="217" spans="1:142" ht="12.75" customHeight="1">
      <c r="A217" s="80"/>
      <c r="B217" s="80"/>
      <c r="C217" s="80"/>
      <c r="D217" s="104"/>
      <c r="E217" s="26"/>
      <c r="F217" s="26"/>
      <c r="H217" s="80"/>
      <c r="K217" s="80"/>
      <c r="L217" s="80"/>
      <c r="M217" s="80"/>
      <c r="O217" s="80"/>
      <c r="P217" s="80"/>
      <c r="Q217" s="80"/>
      <c r="T217" s="80"/>
      <c r="AF217" s="80"/>
      <c r="AL217" s="80"/>
      <c r="AP217" s="80"/>
      <c r="AX217" s="80"/>
      <c r="AZ217" s="80"/>
      <c r="BF217" s="80"/>
      <c r="BJ217" s="80"/>
      <c r="BQ217" s="80"/>
      <c r="BR217" s="80"/>
      <c r="BS217" s="80"/>
      <c r="CA217" s="80"/>
      <c r="CB217" s="80"/>
      <c r="CD217" s="80"/>
      <c r="CE217" s="80"/>
      <c r="CG217" s="80"/>
      <c r="CL217" s="80"/>
      <c r="CW217" s="80"/>
      <c r="CY217" s="80"/>
      <c r="CZ217" s="80"/>
      <c r="DA217" s="80"/>
      <c r="DE217" s="80"/>
      <c r="DI217" s="80"/>
      <c r="DJ217" s="80"/>
      <c r="DN217" s="80"/>
      <c r="DR217" s="80"/>
      <c r="DV217" s="80"/>
      <c r="DW217" s="80"/>
      <c r="DX217" s="80"/>
      <c r="EC217" s="80"/>
      <c r="EL217" s="80"/>
    </row>
    <row r="218" spans="1:142" ht="12.75" customHeight="1">
      <c r="A218" s="80"/>
      <c r="B218" s="80"/>
      <c r="C218" s="80"/>
      <c r="D218" s="104"/>
      <c r="E218" s="26"/>
      <c r="F218" s="26"/>
      <c r="H218" s="80"/>
      <c r="I218" s="80"/>
      <c r="J218" s="80"/>
      <c r="K218" s="80"/>
      <c r="L218" s="80"/>
      <c r="M218" s="80"/>
      <c r="N218" s="80"/>
      <c r="P218" s="80"/>
      <c r="Q218" s="80"/>
      <c r="S218" s="80"/>
      <c r="T218" s="80"/>
      <c r="AB218" s="80"/>
      <c r="AF218" s="80"/>
      <c r="AK218" s="80"/>
      <c r="AP218" s="80"/>
      <c r="AX218" s="80"/>
      <c r="AZ218" s="80"/>
      <c r="BF218" s="80"/>
      <c r="BJ218" s="80"/>
      <c r="BK218" s="80"/>
      <c r="BQ218" s="80"/>
      <c r="BR218" s="80"/>
      <c r="BS218" s="80"/>
      <c r="BT218" s="80"/>
      <c r="CA218" s="80"/>
      <c r="CB218" s="80"/>
      <c r="CC218" s="80"/>
      <c r="CD218" s="80"/>
      <c r="CE218" s="80"/>
      <c r="CG218" s="80"/>
      <c r="CL218" s="80"/>
      <c r="CP218" s="80"/>
      <c r="CQ218" s="80"/>
      <c r="CT218" s="80"/>
      <c r="CU218" s="80"/>
      <c r="CZ218" s="80"/>
      <c r="DA218" s="80"/>
      <c r="DE218" s="80"/>
      <c r="DI218" s="80"/>
      <c r="DJ218" s="80"/>
      <c r="DN218" s="80"/>
      <c r="DR218" s="80"/>
      <c r="DV218" s="80"/>
      <c r="DW218" s="80"/>
      <c r="DX218" s="80"/>
      <c r="EC218" s="80"/>
      <c r="EL218" s="80"/>
    </row>
    <row r="219" spans="1:142" ht="12.75" customHeight="1">
      <c r="A219" s="80"/>
      <c r="B219" s="80"/>
      <c r="C219" s="80"/>
      <c r="D219" s="104"/>
      <c r="E219" s="26"/>
      <c r="F219" s="26"/>
      <c r="H219" s="80"/>
      <c r="I219" s="80"/>
      <c r="J219" s="80"/>
      <c r="L219" s="80"/>
      <c r="M219" s="80"/>
      <c r="N219" s="80"/>
      <c r="Q219" s="80"/>
      <c r="AF219" s="80"/>
      <c r="AL219" s="80"/>
      <c r="AP219" s="80"/>
      <c r="AW219" s="80"/>
      <c r="AZ219" s="80"/>
      <c r="BF219" s="80"/>
      <c r="BJ219" s="80"/>
      <c r="BQ219" s="80"/>
      <c r="BR219" s="80"/>
      <c r="BT219" s="80"/>
      <c r="BZ219" s="80"/>
      <c r="CA219" s="80"/>
      <c r="CB219" s="80"/>
      <c r="CC219" s="80"/>
      <c r="CD219" s="80"/>
      <c r="CE219" s="80"/>
      <c r="CG219" s="80"/>
      <c r="CL219" s="80"/>
      <c r="CT219" s="80"/>
      <c r="CU219" s="80"/>
      <c r="CZ219" s="80"/>
      <c r="DA219" s="80"/>
      <c r="DE219" s="80"/>
      <c r="DI219" s="80"/>
      <c r="DJ219" s="80"/>
      <c r="DN219" s="80"/>
      <c r="DR219" s="80"/>
      <c r="DV219" s="80"/>
      <c r="DW219" s="80"/>
      <c r="DX219" s="80"/>
      <c r="EC219" s="80"/>
      <c r="EL219" s="80"/>
    </row>
    <row r="220" spans="1:142" ht="12.75" customHeight="1">
      <c r="A220" s="80"/>
      <c r="B220" s="80"/>
      <c r="C220" s="80"/>
      <c r="D220" s="104"/>
      <c r="E220" s="26"/>
      <c r="F220" s="26"/>
      <c r="H220" s="80"/>
      <c r="J220" s="80"/>
      <c r="L220" s="80"/>
      <c r="M220" s="80"/>
      <c r="O220" s="80"/>
      <c r="P220" s="80"/>
      <c r="Q220" s="80"/>
      <c r="AF220" s="80"/>
      <c r="AL220" s="80"/>
      <c r="AP220" s="80"/>
      <c r="AY220" s="80"/>
      <c r="AZ220" s="80"/>
      <c r="BF220" s="80"/>
      <c r="BJ220" s="80"/>
      <c r="BK220" s="80"/>
      <c r="BM220" s="80"/>
      <c r="BN220" s="80"/>
      <c r="BQ220" s="80"/>
      <c r="BR220" s="80"/>
      <c r="BS220" s="80"/>
      <c r="BT220" s="80"/>
      <c r="BZ220" s="80"/>
      <c r="CA220" s="80"/>
      <c r="CE220" s="80"/>
      <c r="CF220" s="80"/>
      <c r="CG220" s="80"/>
      <c r="CI220" s="80"/>
      <c r="CK220" s="80"/>
      <c r="CL220" s="80"/>
      <c r="CN220" s="80"/>
      <c r="CO220" s="80"/>
      <c r="CT220" s="80"/>
      <c r="CU220" s="80"/>
      <c r="CX220" s="80"/>
      <c r="CY220" s="80"/>
      <c r="CZ220" s="80"/>
      <c r="DA220" s="80"/>
      <c r="DE220" s="80"/>
      <c r="DF220" s="80"/>
      <c r="DG220" s="80"/>
      <c r="DI220" s="80"/>
      <c r="DJ220" s="80"/>
      <c r="DK220" s="80"/>
      <c r="DN220" s="80"/>
      <c r="DR220" s="80"/>
      <c r="DV220" s="80"/>
      <c r="DW220" s="80"/>
      <c r="DX220" s="80"/>
      <c r="EC220" s="80"/>
      <c r="EJ220" s="80"/>
      <c r="EK220" s="80"/>
      <c r="EL220" s="80"/>
    </row>
    <row r="221" spans="1:142" ht="12.75" customHeight="1">
      <c r="A221" s="80"/>
      <c r="B221" s="80"/>
      <c r="C221" s="80"/>
      <c r="D221" s="104"/>
      <c r="E221" s="26"/>
      <c r="F221" s="26"/>
      <c r="H221" s="80"/>
      <c r="I221" s="80"/>
      <c r="J221" s="80"/>
      <c r="K221" s="80"/>
      <c r="L221" s="80"/>
      <c r="M221" s="80"/>
      <c r="N221" s="80"/>
      <c r="Q221" s="80"/>
      <c r="AF221" s="80"/>
      <c r="AK221" s="80"/>
      <c r="AP221" s="80"/>
      <c r="AX221" s="80"/>
      <c r="AZ221" s="80"/>
      <c r="BF221" s="80"/>
      <c r="BJ221" s="80"/>
      <c r="BK221" s="80"/>
      <c r="BQ221" s="80"/>
      <c r="BR221" s="80"/>
      <c r="BT221" s="80"/>
      <c r="CA221" s="80"/>
      <c r="CB221" s="80"/>
      <c r="CC221" s="80"/>
      <c r="CD221" s="80"/>
      <c r="CE221" s="80"/>
      <c r="CG221" s="80"/>
      <c r="CL221" s="80"/>
      <c r="CR221" s="80"/>
      <c r="CS221" s="80"/>
      <c r="CY221" s="80"/>
      <c r="CZ221" s="80"/>
      <c r="DA221" s="80"/>
      <c r="DE221" s="80"/>
      <c r="DI221" s="80"/>
      <c r="DJ221" s="80"/>
      <c r="DN221" s="80"/>
      <c r="EL221" s="80"/>
    </row>
    <row r="222" spans="1:142" ht="12.75" customHeight="1">
      <c r="A222" s="80"/>
      <c r="B222" s="80"/>
      <c r="C222" s="80"/>
      <c r="D222" s="104"/>
      <c r="E222" s="26"/>
      <c r="F222" s="26"/>
      <c r="I222" s="80"/>
      <c r="J222" s="80"/>
      <c r="K222" s="80"/>
      <c r="L222" s="80"/>
      <c r="M222" s="80"/>
      <c r="N222" s="80"/>
      <c r="Q222" s="80"/>
      <c r="AF222" s="80"/>
      <c r="AL222" s="80"/>
      <c r="AP222" s="80"/>
      <c r="AW222" s="80"/>
      <c r="AX222" s="80"/>
      <c r="AZ222" s="80"/>
      <c r="BF222" s="80"/>
      <c r="BJ222" s="80"/>
      <c r="BK222" s="80"/>
      <c r="BQ222" s="80"/>
      <c r="BR222" s="80"/>
      <c r="BT222" s="80"/>
      <c r="CA222" s="80"/>
      <c r="CB222" s="80"/>
      <c r="CC222" s="80"/>
      <c r="CD222" s="80"/>
      <c r="CE222" s="80"/>
      <c r="CG222" s="80"/>
      <c r="CL222" s="80"/>
      <c r="CN222" s="80"/>
      <c r="CO222" s="80"/>
      <c r="CR222" s="80"/>
      <c r="CS222" s="80"/>
      <c r="CY222" s="80"/>
      <c r="CZ222" s="80"/>
      <c r="DA222" s="80"/>
      <c r="DE222" s="80"/>
      <c r="DI222" s="80"/>
      <c r="DJ222" s="80"/>
      <c r="DN222" s="80"/>
      <c r="EL222" s="80"/>
    </row>
    <row r="223" spans="1:142" ht="12.75" customHeight="1">
      <c r="A223" s="80"/>
      <c r="B223" s="80"/>
      <c r="C223" s="80"/>
      <c r="D223" s="104"/>
      <c r="E223" s="26"/>
      <c r="F223" s="26"/>
      <c r="H223" s="80"/>
      <c r="I223" s="80"/>
      <c r="J223" s="80"/>
      <c r="K223" s="80"/>
      <c r="L223" s="80"/>
      <c r="M223" s="80"/>
      <c r="N223" s="80"/>
      <c r="P223" s="80"/>
      <c r="Q223" s="80"/>
      <c r="AF223" s="80"/>
      <c r="AK223" s="80"/>
      <c r="AP223" s="80"/>
      <c r="AX223" s="80"/>
      <c r="AZ223" s="80"/>
      <c r="BF223" s="80"/>
      <c r="BJ223" s="80"/>
      <c r="BK223" s="80"/>
      <c r="BP223" s="80"/>
      <c r="BQ223" s="80"/>
      <c r="BR223" s="80"/>
      <c r="BS223" s="80"/>
      <c r="BT223" s="80"/>
      <c r="CA223" s="80"/>
      <c r="CB223" s="80"/>
      <c r="CC223" s="80"/>
      <c r="CD223" s="80"/>
      <c r="CE223" s="80"/>
      <c r="CG223" s="80"/>
      <c r="CI223" s="80"/>
      <c r="CK223" s="80"/>
      <c r="CL223" s="80"/>
      <c r="CT223" s="80"/>
      <c r="CU223" s="80"/>
      <c r="CY223" s="80"/>
      <c r="CZ223" s="80"/>
      <c r="DA223" s="80"/>
      <c r="DE223" s="80"/>
      <c r="DI223" s="80"/>
      <c r="DJ223" s="80"/>
      <c r="DN223" s="80"/>
      <c r="DP223" s="80"/>
      <c r="DR223" s="80"/>
      <c r="DV223" s="80"/>
      <c r="DW223" s="80"/>
      <c r="DX223" s="80"/>
      <c r="EC223" s="80"/>
      <c r="EL223" s="80"/>
    </row>
    <row r="224" spans="1:142" ht="12.75" customHeight="1">
      <c r="A224" s="80"/>
      <c r="B224" s="80"/>
      <c r="C224" s="80"/>
      <c r="D224" s="104"/>
      <c r="E224" s="26"/>
      <c r="F224" s="26"/>
      <c r="H224" s="80"/>
      <c r="I224" s="80"/>
      <c r="K224" s="80"/>
      <c r="L224" s="80"/>
      <c r="M224" s="80"/>
      <c r="N224" s="80"/>
      <c r="Q224" s="80"/>
      <c r="AF224" s="80"/>
      <c r="AK224" s="80"/>
      <c r="AP224" s="80"/>
      <c r="AQ224" s="80"/>
      <c r="AS224" s="80"/>
      <c r="AZ224" s="80"/>
      <c r="BF224" s="80"/>
      <c r="BJ224" s="80"/>
      <c r="BK224" s="80"/>
      <c r="BM224" s="80"/>
      <c r="BQ224" s="80"/>
      <c r="BR224" s="80"/>
      <c r="BS224" s="80"/>
      <c r="BT224" s="80"/>
      <c r="BZ224" s="80"/>
      <c r="CA224" s="80"/>
      <c r="CC224" s="80"/>
      <c r="CD224" s="80"/>
      <c r="CE224" s="80"/>
      <c r="CG224" s="80"/>
      <c r="CI224" s="80"/>
      <c r="CK224" s="80"/>
      <c r="CL224" s="80"/>
      <c r="CN224" s="80"/>
      <c r="CO224" s="80"/>
      <c r="CT224" s="80"/>
      <c r="CU224" s="80"/>
      <c r="CX224" s="80"/>
      <c r="CY224" s="80"/>
      <c r="CZ224" s="80"/>
      <c r="DA224" s="80"/>
      <c r="DF224" s="80"/>
      <c r="DG224" s="80"/>
      <c r="DI224" s="80"/>
      <c r="DJ224" s="80"/>
      <c r="DK224" s="80"/>
      <c r="DN224" s="80"/>
      <c r="EL224" s="80"/>
    </row>
    <row r="225" spans="1:142" ht="12.75" customHeight="1">
      <c r="A225" s="80"/>
      <c r="B225" s="80"/>
      <c r="C225" s="80"/>
      <c r="D225" s="104"/>
      <c r="E225" s="26"/>
      <c r="F225" s="26"/>
      <c r="H225" s="80"/>
      <c r="K225" s="80"/>
      <c r="L225" s="80"/>
      <c r="M225" s="80"/>
      <c r="N225" s="80"/>
      <c r="O225" s="80"/>
      <c r="Q225" s="80"/>
      <c r="AB225" s="80"/>
      <c r="AF225" s="80"/>
      <c r="AK225" s="80"/>
      <c r="AL225" s="80"/>
      <c r="AN225" s="80"/>
      <c r="AP225" s="80"/>
      <c r="AZ225" s="80"/>
      <c r="BF225" s="80"/>
      <c r="BJ225" s="80"/>
      <c r="BP225" s="80"/>
      <c r="BQ225" s="80"/>
      <c r="BR225" s="80"/>
      <c r="BS225" s="80"/>
      <c r="BZ225" s="80"/>
      <c r="CA225" s="80"/>
      <c r="CB225" s="80"/>
      <c r="CC225" s="80"/>
      <c r="CD225" s="80"/>
      <c r="CE225" s="80"/>
      <c r="CG225" s="80"/>
      <c r="CI225" s="80"/>
      <c r="CK225" s="80"/>
      <c r="CL225" s="80"/>
      <c r="CN225" s="80"/>
      <c r="CO225" s="80"/>
      <c r="CU225" s="80"/>
      <c r="CW225" s="80"/>
      <c r="CY225" s="80"/>
      <c r="CZ225" s="80"/>
      <c r="DA225" s="80"/>
      <c r="DE225" s="80"/>
      <c r="DF225" s="80"/>
      <c r="DH225" s="80"/>
      <c r="DI225" s="80"/>
      <c r="DJ225" s="80"/>
      <c r="DN225" s="80"/>
      <c r="EL225" s="80"/>
    </row>
    <row r="226" spans="1:142" ht="12.75" customHeight="1">
      <c r="A226" s="80"/>
      <c r="B226" s="80"/>
      <c r="C226" s="80"/>
      <c r="D226" s="104"/>
      <c r="E226" s="26"/>
      <c r="F226" s="26"/>
      <c r="H226" s="80"/>
      <c r="K226" s="80"/>
      <c r="L226" s="80"/>
      <c r="M226" s="80"/>
      <c r="N226" s="80"/>
      <c r="O226" s="80"/>
      <c r="P226" s="80"/>
      <c r="Q226" s="80"/>
      <c r="AB226" s="80"/>
      <c r="AF226" s="80"/>
      <c r="AL226" s="80"/>
      <c r="AO226" s="80"/>
      <c r="AP226" s="80"/>
      <c r="AX226" s="80"/>
      <c r="AZ226" s="80"/>
      <c r="BA226" s="80"/>
      <c r="BF226" s="80"/>
      <c r="BJ226" s="80"/>
      <c r="BP226" s="80"/>
      <c r="BQ226" s="80"/>
      <c r="BR226" s="80"/>
      <c r="BS226" s="80"/>
      <c r="BZ226" s="80"/>
      <c r="CA226" s="80"/>
      <c r="CB226" s="80"/>
      <c r="CD226" s="80"/>
      <c r="CE226" s="80"/>
      <c r="CG226" s="80"/>
      <c r="CI226" s="80"/>
      <c r="CK226" s="80"/>
      <c r="CL226" s="80"/>
      <c r="CU226" s="80"/>
      <c r="CW226" s="80"/>
      <c r="CY226" s="80"/>
      <c r="CZ226" s="80"/>
      <c r="DA226" s="80"/>
      <c r="DC226" s="80"/>
      <c r="DE226" s="80"/>
      <c r="DF226" s="80"/>
      <c r="DI226" s="80"/>
      <c r="DJ226" s="80"/>
      <c r="DN226" s="80"/>
      <c r="DR226" s="80"/>
      <c r="DV226" s="80"/>
      <c r="DW226" s="80"/>
      <c r="DX226" s="80"/>
      <c r="EC226" s="80"/>
      <c r="EF226" s="80"/>
      <c r="EI226" s="80"/>
      <c r="EK226" s="80"/>
      <c r="EL226" s="80"/>
    </row>
    <row r="227" spans="1:142" ht="12.75" customHeight="1">
      <c r="A227" s="80"/>
      <c r="B227" s="80"/>
      <c r="C227" s="80"/>
      <c r="D227" s="104"/>
      <c r="E227" s="26"/>
      <c r="F227" s="26"/>
      <c r="H227" s="80"/>
      <c r="K227" s="80"/>
      <c r="L227" s="80"/>
      <c r="M227" s="80"/>
      <c r="N227" s="80"/>
      <c r="O227" s="80"/>
      <c r="Q227" s="80"/>
      <c r="T227" s="80"/>
      <c r="AB227" s="80"/>
      <c r="AF227" s="80"/>
      <c r="AV227" s="80"/>
      <c r="AX227" s="80"/>
      <c r="AZ227" s="80"/>
      <c r="BF227" s="80"/>
      <c r="BQ227" s="80"/>
      <c r="BR227" s="80"/>
      <c r="BZ227" s="80"/>
      <c r="CA227" s="80"/>
      <c r="CB227" s="80"/>
      <c r="CC227" s="80"/>
      <c r="CD227" s="80"/>
      <c r="CE227" s="80"/>
      <c r="CG227" s="80"/>
      <c r="CL227" s="80"/>
      <c r="CY227" s="80"/>
      <c r="CZ227" s="80"/>
      <c r="DE227" s="80"/>
      <c r="DI227" s="80"/>
      <c r="DJ227" s="80"/>
      <c r="DN227" s="80"/>
      <c r="DO227" s="80"/>
      <c r="DR227" s="80"/>
      <c r="DV227" s="80"/>
      <c r="DW227" s="80"/>
      <c r="DX227" s="80"/>
      <c r="EC227" s="80"/>
      <c r="EI227" s="80"/>
      <c r="EK227" s="80"/>
      <c r="EL227" s="80"/>
    </row>
    <row r="228" spans="1:142" ht="12.75" customHeight="1">
      <c r="A228" s="80"/>
      <c r="B228" s="80"/>
      <c r="C228" s="80"/>
      <c r="D228" s="104"/>
      <c r="E228" s="26"/>
      <c r="F228" s="26"/>
      <c r="H228" s="80"/>
      <c r="I228" s="80"/>
      <c r="J228" s="80"/>
      <c r="K228" s="80"/>
      <c r="L228" s="80"/>
      <c r="M228" s="80"/>
      <c r="N228" s="80"/>
      <c r="O228" s="80"/>
      <c r="P228" s="80"/>
      <c r="Q228" s="80"/>
      <c r="AB228" s="80"/>
      <c r="AF228" s="80"/>
      <c r="AL228" s="80"/>
      <c r="AP228" s="80"/>
      <c r="AY228" s="80"/>
      <c r="BF228" s="80"/>
      <c r="BP228" s="80"/>
      <c r="BQ228" s="80"/>
      <c r="BR228" s="80"/>
      <c r="BZ228" s="80"/>
      <c r="CA228" s="80"/>
      <c r="CB228" s="80"/>
      <c r="CC228" s="80"/>
      <c r="CD228" s="80"/>
      <c r="CE228" s="80"/>
      <c r="CG228" s="80"/>
      <c r="CL228" s="80"/>
      <c r="CN228" s="80"/>
      <c r="CO228" s="80"/>
      <c r="CY228" s="80"/>
      <c r="CZ228" s="80"/>
      <c r="DE228" s="80"/>
      <c r="DI228" s="80"/>
      <c r="DJ228" s="80"/>
      <c r="DN228" s="80"/>
      <c r="DR228" s="80"/>
      <c r="DS228" s="80"/>
      <c r="DU228" s="80"/>
      <c r="DV228" s="80"/>
      <c r="DX228" s="80"/>
      <c r="EC228" s="80"/>
      <c r="ED228" s="80"/>
      <c r="EE228" s="80"/>
      <c r="EF228" s="80"/>
      <c r="EI228" s="80"/>
      <c r="EK228" s="80"/>
      <c r="EL228" s="80"/>
    </row>
    <row r="229" spans="1:142" ht="12.75" customHeight="1">
      <c r="A229" s="80"/>
      <c r="B229" s="80"/>
      <c r="C229" s="80"/>
      <c r="D229" s="104"/>
      <c r="E229" s="26"/>
      <c r="F229" s="26"/>
      <c r="H229" s="80"/>
      <c r="K229" s="80"/>
      <c r="L229" s="80"/>
      <c r="M229" s="80"/>
      <c r="N229" s="80"/>
      <c r="O229" s="80"/>
      <c r="P229" s="80"/>
      <c r="Q229" s="80"/>
      <c r="R229" s="80"/>
      <c r="AF229" s="80"/>
      <c r="AZ229" s="80"/>
      <c r="BF229" s="80"/>
      <c r="BJ229" s="80"/>
      <c r="BK229" s="80"/>
      <c r="BM229" s="80"/>
      <c r="BP229" s="80"/>
      <c r="BQ229" s="80"/>
      <c r="BR229" s="80"/>
      <c r="BS229" s="80"/>
      <c r="BW229" s="80"/>
      <c r="BZ229" s="80"/>
      <c r="CA229" s="80"/>
      <c r="CD229" s="80"/>
      <c r="CE229" s="80"/>
      <c r="CG229" s="80"/>
      <c r="CI229" s="80"/>
      <c r="CK229" s="80"/>
      <c r="CL229" s="80"/>
      <c r="CN229" s="80"/>
      <c r="CO229" s="80"/>
      <c r="CT229" s="80"/>
      <c r="CU229" s="80"/>
      <c r="CX229" s="80"/>
      <c r="CY229" s="80"/>
      <c r="CZ229" s="80"/>
      <c r="DA229" s="80"/>
      <c r="DE229" s="80"/>
      <c r="DF229" s="80"/>
      <c r="DG229" s="80"/>
      <c r="DI229" s="80"/>
      <c r="DJ229" s="80"/>
      <c r="DK229" s="80"/>
      <c r="DN229" s="80"/>
      <c r="DO229" s="80"/>
      <c r="DR229" s="80"/>
      <c r="DV229" s="80"/>
      <c r="DW229" s="80"/>
      <c r="DX229" s="80"/>
      <c r="EC229" s="80"/>
      <c r="ED229" s="80"/>
      <c r="EF229" s="80"/>
      <c r="EI229" s="80"/>
      <c r="EK229" s="80"/>
      <c r="EL229" s="80"/>
    </row>
    <row r="230" spans="1:142" ht="12.75" customHeight="1">
      <c r="A230" s="80"/>
      <c r="B230" s="80"/>
      <c r="C230" s="80"/>
      <c r="D230" s="104"/>
      <c r="E230" s="26"/>
      <c r="F230" s="26"/>
      <c r="M230" s="80"/>
      <c r="Q230" s="80"/>
      <c r="AC230" s="80"/>
      <c r="AL230" s="80"/>
      <c r="AP230" s="80"/>
      <c r="AW230" s="80"/>
      <c r="AZ230" s="80"/>
      <c r="BF230" s="80"/>
      <c r="CD230" s="80"/>
      <c r="CE230" s="80"/>
      <c r="CG230" s="80"/>
      <c r="CL230" s="80"/>
      <c r="CN230" s="80"/>
      <c r="CO230" s="80"/>
      <c r="CY230" s="80"/>
      <c r="CZ230" s="80"/>
      <c r="DA230" s="80"/>
      <c r="DI230" s="80"/>
      <c r="DJ230" s="80"/>
      <c r="DN230" s="80"/>
      <c r="EL230" s="80"/>
    </row>
    <row r="231" spans="1:142" ht="12.75" customHeight="1">
      <c r="A231" s="80"/>
      <c r="B231" s="80"/>
      <c r="C231" s="80"/>
      <c r="D231" s="104"/>
      <c r="E231" s="26"/>
      <c r="F231" s="26"/>
      <c r="H231" s="80"/>
      <c r="L231" s="80"/>
      <c r="M231" s="80"/>
      <c r="O231" s="80"/>
      <c r="Q231" s="80"/>
      <c r="AG231" s="80"/>
      <c r="AR231" s="80"/>
      <c r="AT231" s="80"/>
      <c r="AZ231" s="80"/>
      <c r="BF231" s="80"/>
      <c r="BJ231" s="80"/>
      <c r="BP231" s="80"/>
      <c r="BR231" s="80"/>
      <c r="BS231" s="80"/>
      <c r="BV231" s="80"/>
      <c r="BX231" s="80"/>
      <c r="CA231" s="80"/>
      <c r="CB231" s="80"/>
      <c r="CC231" s="80"/>
      <c r="CD231" s="80"/>
      <c r="CE231" s="80"/>
      <c r="CG231" s="80"/>
      <c r="CI231" s="80"/>
      <c r="CK231" s="80"/>
      <c r="CL231" s="80"/>
      <c r="CU231" s="80"/>
      <c r="CV231" s="80"/>
      <c r="CY231" s="80"/>
      <c r="CZ231" s="80"/>
      <c r="DA231" s="80"/>
      <c r="DE231" s="80"/>
      <c r="DF231" s="80"/>
      <c r="DG231" s="80"/>
      <c r="DI231" s="80"/>
      <c r="DJ231" s="80"/>
      <c r="DN231" s="80"/>
      <c r="EJ231" s="80"/>
      <c r="EK231" s="80"/>
      <c r="EL231" s="80"/>
    </row>
    <row r="232" spans="1:142" ht="12.75" customHeight="1">
      <c r="A232" s="80"/>
      <c r="B232" s="80"/>
      <c r="C232" s="80"/>
      <c r="D232" s="104"/>
      <c r="E232" s="26"/>
      <c r="F232" s="26"/>
      <c r="H232" s="80"/>
      <c r="J232" s="80"/>
      <c r="K232" s="80"/>
      <c r="L232" s="80"/>
      <c r="M232" s="80"/>
      <c r="O232" s="80"/>
      <c r="P232" s="80"/>
      <c r="Q232" s="80"/>
      <c r="AF232" s="80"/>
      <c r="AY232" s="80"/>
      <c r="BF232" s="80"/>
      <c r="BQ232" s="80"/>
      <c r="BR232" s="80"/>
      <c r="BS232" s="80"/>
      <c r="BT232" s="80"/>
      <c r="BZ232" s="80"/>
      <c r="CA232" s="80"/>
      <c r="CB232" s="80"/>
      <c r="CD232" s="80"/>
      <c r="CE232" s="80"/>
      <c r="CG232" s="80"/>
      <c r="CL232" s="80"/>
      <c r="CY232" s="80"/>
      <c r="CZ232" s="80"/>
      <c r="DE232" s="80"/>
      <c r="DI232" s="80"/>
      <c r="DJ232" s="80"/>
      <c r="DN232" s="80"/>
      <c r="DR232" s="80"/>
      <c r="DV232" s="80"/>
      <c r="DX232" s="80"/>
      <c r="EC232" s="80"/>
      <c r="EL232" s="80"/>
    </row>
    <row r="233" spans="1:142" ht="12.75" customHeight="1">
      <c r="A233" s="80"/>
      <c r="B233" s="80"/>
      <c r="C233" s="80"/>
      <c r="D233" s="104"/>
      <c r="E233" s="26"/>
      <c r="F233" s="26"/>
      <c r="H233" s="80"/>
      <c r="I233" s="80"/>
      <c r="L233" s="80"/>
      <c r="M233" s="80"/>
      <c r="N233" s="80"/>
      <c r="O233" s="80"/>
      <c r="P233" s="80"/>
      <c r="Q233" s="80"/>
      <c r="AF233" s="80"/>
      <c r="AL233" s="80"/>
      <c r="AP233" s="80"/>
      <c r="AY233" s="80"/>
      <c r="AZ233" s="80"/>
      <c r="BF233" s="80"/>
      <c r="BQ233" s="80"/>
      <c r="BR233" s="80"/>
      <c r="BS233" s="80"/>
      <c r="BT233" s="80"/>
      <c r="BZ233" s="80"/>
      <c r="CA233" s="80"/>
      <c r="CB233" s="80"/>
      <c r="CC233" s="80"/>
      <c r="CD233" s="80"/>
      <c r="CE233" s="80"/>
      <c r="CG233" s="80"/>
      <c r="CL233" s="80"/>
      <c r="DE233" s="80"/>
      <c r="DI233" s="80"/>
      <c r="DJ233" s="80"/>
      <c r="DN233" s="80"/>
      <c r="DR233" s="80"/>
      <c r="DV233" s="80"/>
      <c r="DX233" s="80"/>
      <c r="EC233" s="80"/>
      <c r="EF233" s="80"/>
      <c r="EJ233" s="80"/>
      <c r="EK233" s="80"/>
      <c r="EL233" s="80"/>
    </row>
    <row r="234" spans="1:142" ht="12.75" customHeight="1">
      <c r="A234" s="80"/>
      <c r="B234" s="80"/>
      <c r="C234" s="80"/>
      <c r="D234" s="104"/>
      <c r="E234" s="26"/>
      <c r="F234" s="26"/>
      <c r="H234" s="80"/>
      <c r="I234" s="80"/>
      <c r="J234" s="80"/>
      <c r="K234" s="80"/>
      <c r="L234" s="80"/>
      <c r="M234" s="80"/>
      <c r="O234" s="80"/>
      <c r="P234" s="80"/>
      <c r="Q234" s="80"/>
      <c r="AF234" s="80"/>
      <c r="AK234" s="80"/>
      <c r="AP234" s="80"/>
      <c r="AZ234" s="80"/>
      <c r="BF234" s="80"/>
      <c r="BQ234" s="80"/>
      <c r="BR234" s="80"/>
      <c r="BS234" s="80"/>
      <c r="BT234" s="80"/>
      <c r="BZ234" s="80"/>
      <c r="CA234" s="80"/>
      <c r="CB234" s="80"/>
      <c r="CC234" s="80"/>
      <c r="CD234" s="80"/>
      <c r="CE234" s="80"/>
      <c r="CG234" s="80"/>
      <c r="CL234" s="80"/>
      <c r="CN234" s="80"/>
      <c r="CO234" s="80"/>
      <c r="DE234" s="80"/>
      <c r="DI234" s="80"/>
      <c r="DJ234" s="80"/>
      <c r="DN234" s="80"/>
      <c r="DO234" s="80"/>
      <c r="DR234" s="80"/>
      <c r="DV234" s="80"/>
      <c r="DX234" s="80"/>
      <c r="EC234" s="80"/>
      <c r="ED234" s="80"/>
      <c r="EF234" s="80"/>
      <c r="EI234" s="80"/>
      <c r="EK234" s="80"/>
      <c r="EL234" s="80"/>
    </row>
    <row r="235" spans="1:142" ht="12.75" customHeight="1">
      <c r="A235" s="80"/>
      <c r="B235" s="80"/>
      <c r="C235" s="80"/>
      <c r="D235" s="104"/>
      <c r="E235" s="26"/>
      <c r="F235" s="26"/>
      <c r="H235" s="80"/>
      <c r="J235" s="80"/>
      <c r="L235" s="80"/>
      <c r="M235" s="80"/>
      <c r="Q235" s="80"/>
      <c r="AF235" s="80"/>
      <c r="AQ235" s="80"/>
      <c r="AY235" s="80"/>
      <c r="BF235" s="80"/>
      <c r="BJ235" s="80"/>
      <c r="BK235" s="80"/>
      <c r="BM235" s="80"/>
      <c r="BQ235" s="80"/>
      <c r="BR235" s="80"/>
      <c r="BS235" s="80"/>
      <c r="BZ235" s="80"/>
      <c r="CA235" s="80"/>
      <c r="CD235" s="80"/>
      <c r="CE235" s="80"/>
      <c r="CG235" s="80"/>
      <c r="CI235" s="80"/>
      <c r="CK235" s="80"/>
      <c r="CL235" s="80"/>
      <c r="CN235" s="80"/>
      <c r="CO235" s="80"/>
      <c r="CT235" s="80"/>
      <c r="CU235" s="80"/>
      <c r="CX235" s="80"/>
      <c r="CY235" s="80"/>
      <c r="CZ235" s="80"/>
      <c r="DA235" s="80"/>
      <c r="DE235" s="80"/>
      <c r="DI235" s="80"/>
      <c r="DJ235" s="80"/>
      <c r="DK235" s="80"/>
      <c r="DN235" s="80"/>
      <c r="EL235" s="80"/>
    </row>
    <row r="236" spans="1:142" ht="12.75" customHeight="1">
      <c r="A236" s="80"/>
      <c r="B236" s="80"/>
      <c r="C236" s="80"/>
      <c r="D236" s="104"/>
      <c r="E236" s="26"/>
      <c r="F236" s="26"/>
      <c r="H236" s="80"/>
      <c r="J236" s="80"/>
      <c r="K236" s="80"/>
      <c r="L236" s="80"/>
      <c r="M236" s="80"/>
      <c r="N236" s="80"/>
      <c r="O236" s="80"/>
      <c r="Q236" s="80"/>
      <c r="AC236" s="80"/>
      <c r="AF236" s="80"/>
      <c r="AL236" s="80"/>
      <c r="AP236" s="80"/>
      <c r="AW236" s="80"/>
      <c r="AZ236" s="80"/>
      <c r="BF236" s="80"/>
      <c r="BR236" s="80"/>
      <c r="BZ236" s="80"/>
      <c r="CA236" s="80"/>
      <c r="CB236" s="80"/>
      <c r="CC236" s="80"/>
      <c r="CD236" s="80"/>
      <c r="CE236" s="80"/>
      <c r="CG236" s="80"/>
      <c r="CL236" s="80"/>
      <c r="CN236" s="80"/>
      <c r="CO236" s="80"/>
      <c r="CY236" s="80"/>
      <c r="CZ236" s="80"/>
      <c r="DE236" s="80"/>
      <c r="DI236" s="80"/>
      <c r="DJ236" s="80"/>
      <c r="DN236" s="80"/>
      <c r="DO236" s="80"/>
      <c r="DR236" s="80"/>
      <c r="DV236" s="80"/>
      <c r="DX236" s="80"/>
      <c r="EC236" s="80"/>
      <c r="EF236" s="80"/>
      <c r="EI236" s="80"/>
      <c r="EL236" s="80"/>
    </row>
    <row r="237" spans="1:142" ht="12.75" customHeight="1">
      <c r="A237" s="80"/>
      <c r="B237" s="80"/>
      <c r="C237" s="80"/>
      <c r="D237" s="104"/>
      <c r="E237" s="26"/>
      <c r="F237" s="26"/>
      <c r="H237" s="80"/>
      <c r="I237" s="80"/>
      <c r="J237" s="80"/>
      <c r="K237" s="80"/>
      <c r="L237" s="80"/>
      <c r="M237" s="80"/>
      <c r="N237" s="80"/>
      <c r="O237" s="80"/>
      <c r="P237" s="80"/>
      <c r="Q237" s="80"/>
      <c r="AB237" s="80"/>
      <c r="AF237" s="80"/>
      <c r="AL237" s="80"/>
      <c r="AP237" s="80"/>
      <c r="AX237" s="80"/>
      <c r="AY237" s="80"/>
      <c r="BF237" s="80"/>
      <c r="BQ237" s="80"/>
      <c r="BR237" s="80"/>
      <c r="BZ237" s="80"/>
      <c r="CA237" s="80"/>
      <c r="CB237" s="80"/>
      <c r="CC237" s="80"/>
      <c r="CD237" s="80"/>
      <c r="CE237" s="80"/>
      <c r="CG237" s="80"/>
      <c r="CL237" s="80"/>
      <c r="CN237" s="80"/>
      <c r="CO237" s="80"/>
      <c r="CY237" s="80"/>
      <c r="CZ237" s="80"/>
      <c r="DE237" s="80"/>
      <c r="DI237" s="80"/>
      <c r="DJ237" s="80"/>
      <c r="DN237" s="80"/>
      <c r="DO237" s="80"/>
      <c r="DR237" s="80"/>
      <c r="DT237" s="80"/>
      <c r="DU237" s="80"/>
      <c r="DV237" s="80"/>
      <c r="DW237" s="80"/>
      <c r="DX237" s="80"/>
      <c r="EC237" s="80"/>
      <c r="EG237" s="80"/>
      <c r="EK237" s="80"/>
      <c r="EL237" s="80"/>
    </row>
    <row r="238" spans="1:142" ht="12.75" customHeight="1">
      <c r="A238" s="80"/>
      <c r="B238" s="80"/>
      <c r="C238" s="80"/>
      <c r="D238" s="104"/>
      <c r="E238" s="26"/>
      <c r="F238" s="26"/>
      <c r="H238" s="80"/>
      <c r="I238" s="80"/>
      <c r="J238" s="80"/>
      <c r="K238" s="80"/>
      <c r="L238" s="80"/>
      <c r="M238" s="80"/>
      <c r="N238" s="80"/>
      <c r="O238" s="80"/>
      <c r="Q238" s="80"/>
      <c r="R238" s="80"/>
      <c r="AF238" s="80"/>
      <c r="AM238" s="80"/>
      <c r="AP238" s="80"/>
      <c r="AY238" s="80"/>
      <c r="AZ238" s="80"/>
      <c r="BF238" s="80"/>
      <c r="BQ238" s="80"/>
      <c r="BR238" s="80"/>
      <c r="BS238" s="80"/>
      <c r="BT238" s="80"/>
      <c r="BZ238" s="80"/>
      <c r="CA238" s="80"/>
      <c r="CB238" s="80"/>
      <c r="CC238" s="80"/>
      <c r="CD238" s="80"/>
      <c r="CE238" s="80"/>
      <c r="CG238" s="80"/>
      <c r="CJ238" s="80"/>
      <c r="CL238" s="80"/>
      <c r="CN238" s="80"/>
      <c r="CO238" s="80"/>
      <c r="CU238" s="80"/>
      <c r="CW238" s="80"/>
      <c r="CY238" s="80"/>
      <c r="CZ238" s="80"/>
      <c r="DA238" s="80"/>
      <c r="DE238" s="80"/>
      <c r="DF238" s="80"/>
      <c r="DH238" s="80"/>
      <c r="DI238" s="80"/>
      <c r="DJ238" s="80"/>
      <c r="DN238" s="80"/>
      <c r="EJ238" s="80"/>
      <c r="EK238" s="80"/>
      <c r="EL238" s="80"/>
    </row>
    <row r="239" spans="1:142" ht="12.75" customHeight="1">
      <c r="A239" s="80"/>
      <c r="B239" s="80"/>
      <c r="C239" s="80"/>
      <c r="D239" s="104"/>
      <c r="E239" s="26"/>
      <c r="F239" s="26"/>
      <c r="H239" s="80"/>
      <c r="L239" s="80"/>
      <c r="M239" s="80"/>
      <c r="N239" s="80"/>
      <c r="O239" s="80"/>
      <c r="Q239" s="80"/>
      <c r="S239" s="80"/>
      <c r="AF239" s="80"/>
      <c r="AL239" s="80"/>
      <c r="AP239" s="80"/>
      <c r="AX239" s="80"/>
      <c r="AZ239" s="80"/>
      <c r="BF239" s="80"/>
      <c r="BJ239" s="80"/>
      <c r="BK239" s="80"/>
      <c r="BM239" s="80"/>
      <c r="BP239" s="80"/>
      <c r="BQ239" s="80"/>
      <c r="BR239" s="80"/>
      <c r="BS239" s="80"/>
      <c r="BZ239" s="80"/>
      <c r="CA239" s="80"/>
      <c r="CC239" s="80"/>
      <c r="CD239" s="80"/>
      <c r="CE239" s="80"/>
      <c r="CG239" s="80"/>
      <c r="CH239" s="80"/>
      <c r="CI239" s="80"/>
      <c r="CK239" s="80"/>
      <c r="CL239" s="80"/>
      <c r="CN239" s="80"/>
      <c r="CO239" s="80"/>
      <c r="CT239" s="80"/>
      <c r="CU239" s="80"/>
      <c r="CY239" s="80"/>
      <c r="CZ239" s="80"/>
      <c r="DA239" s="80"/>
      <c r="DE239" s="80"/>
      <c r="DI239" s="80"/>
      <c r="DJ239" s="80"/>
      <c r="DN239" s="80"/>
      <c r="EJ239" s="80"/>
      <c r="EK239" s="80"/>
      <c r="EL239" s="80"/>
    </row>
    <row r="240" spans="1:142" ht="12.75" customHeight="1">
      <c r="A240" s="80"/>
      <c r="B240" s="80"/>
      <c r="C240" s="80"/>
      <c r="D240" s="104"/>
      <c r="E240" s="26"/>
      <c r="F240" s="26"/>
      <c r="H240" s="80"/>
      <c r="I240" s="80"/>
      <c r="J240" s="80"/>
      <c r="K240" s="80"/>
      <c r="L240" s="80"/>
      <c r="M240" s="80"/>
      <c r="O240" s="80"/>
      <c r="P240" s="80"/>
      <c r="Q240" s="80"/>
      <c r="AB240" s="80"/>
      <c r="AF240" s="80"/>
      <c r="AZ240" s="80"/>
      <c r="BF240" s="80"/>
      <c r="BP240" s="80"/>
      <c r="BR240" s="80"/>
      <c r="BZ240" s="80"/>
      <c r="CA240" s="80"/>
      <c r="CB240" s="80"/>
      <c r="CC240" s="80"/>
      <c r="CD240" s="80"/>
      <c r="CE240" s="80"/>
      <c r="CG240" s="80"/>
      <c r="CL240" s="80"/>
      <c r="DE240" s="80"/>
      <c r="DI240" s="80"/>
      <c r="DJ240" s="80"/>
      <c r="DN240" s="80"/>
      <c r="DR240" s="80"/>
      <c r="DV240" s="80"/>
      <c r="DX240" s="80"/>
      <c r="EC240" s="80"/>
      <c r="ED240" s="80"/>
      <c r="EF240" s="80"/>
      <c r="EI240" s="80"/>
      <c r="EK240" s="80"/>
      <c r="EL240" s="80"/>
    </row>
    <row r="241" spans="1:142" ht="12.75" customHeight="1">
      <c r="A241" s="80"/>
      <c r="B241" s="80"/>
      <c r="C241" s="80"/>
      <c r="D241" s="104"/>
      <c r="E241" s="26"/>
      <c r="F241" s="26"/>
      <c r="H241" s="80"/>
      <c r="I241" s="80"/>
      <c r="J241" s="80"/>
      <c r="K241" s="80"/>
      <c r="L241" s="80"/>
      <c r="M241" s="80"/>
      <c r="N241" s="80"/>
      <c r="O241" s="80"/>
      <c r="P241" s="80"/>
      <c r="Q241" s="80"/>
      <c r="AC241" s="80"/>
      <c r="AF241" s="80"/>
      <c r="AL241" s="80"/>
      <c r="AP241" s="80"/>
      <c r="AW241" s="80"/>
      <c r="AX241" s="80"/>
      <c r="AY241" s="80"/>
      <c r="AZ241" s="80"/>
      <c r="BF241" s="80"/>
      <c r="BJ241" s="80"/>
      <c r="BQ241" s="80"/>
      <c r="BR241" s="80"/>
      <c r="BS241" s="80"/>
      <c r="BZ241" s="80"/>
      <c r="CA241" s="80"/>
      <c r="CB241" s="80"/>
      <c r="CD241" s="80"/>
      <c r="CE241" s="80"/>
      <c r="CG241" s="80"/>
      <c r="CL241" s="80"/>
      <c r="CN241" s="80"/>
      <c r="CO241" s="80"/>
      <c r="CY241" s="80"/>
      <c r="CZ241" s="80"/>
      <c r="DA241" s="80"/>
      <c r="DE241" s="80"/>
      <c r="DI241" s="80"/>
      <c r="DJ241" s="80"/>
      <c r="DN241" s="80"/>
      <c r="DR241" s="80"/>
      <c r="DV241" s="80"/>
      <c r="DW241" s="80"/>
      <c r="DX241" s="80"/>
      <c r="EC241" s="80"/>
      <c r="ED241" s="80"/>
      <c r="EI241" s="80"/>
      <c r="EK241" s="80"/>
      <c r="EL241" s="80"/>
    </row>
    <row r="242" spans="1:142" ht="12.75" customHeight="1">
      <c r="A242" s="80"/>
      <c r="B242" s="80"/>
      <c r="C242" s="80"/>
      <c r="D242" s="104"/>
      <c r="E242" s="26"/>
      <c r="F242" s="26"/>
      <c r="H242" s="80"/>
      <c r="L242" s="80"/>
      <c r="M242" s="80"/>
      <c r="N242" s="80"/>
      <c r="O242" s="80"/>
      <c r="Q242" s="80"/>
      <c r="AF242" s="80"/>
      <c r="AL242" s="80"/>
      <c r="AP242" s="80"/>
      <c r="AX242" s="80"/>
      <c r="AZ242" s="80"/>
      <c r="BF242" s="80"/>
      <c r="BJ242" s="80"/>
      <c r="BK242" s="80"/>
      <c r="BM242" s="80"/>
      <c r="BQ242" s="80"/>
      <c r="BR242" s="80"/>
      <c r="BS242" s="80"/>
      <c r="BZ242" s="80"/>
      <c r="CA242" s="80"/>
      <c r="CE242" s="80"/>
      <c r="CG242" s="80"/>
      <c r="CI242" s="80"/>
      <c r="CK242" s="80"/>
      <c r="CL242" s="80"/>
      <c r="CN242" s="80"/>
      <c r="CO242" s="80"/>
      <c r="CT242" s="80"/>
      <c r="CU242" s="80"/>
      <c r="CY242" s="80"/>
      <c r="CZ242" s="80"/>
      <c r="DA242" s="80"/>
      <c r="DC242" s="80"/>
      <c r="DE242" s="80"/>
      <c r="DI242" s="80"/>
      <c r="DJ242" s="80"/>
      <c r="DK242" s="80"/>
      <c r="DN242" s="80"/>
      <c r="EJ242" s="80"/>
      <c r="EK242" s="80"/>
      <c r="EL242" s="80"/>
    </row>
    <row r="243" spans="1:142" ht="12.75" customHeight="1">
      <c r="A243" s="80"/>
      <c r="B243" s="80"/>
      <c r="C243" s="80"/>
      <c r="D243" s="104"/>
      <c r="E243" s="26"/>
      <c r="F243" s="26"/>
      <c r="H243" s="80"/>
      <c r="I243" s="80"/>
      <c r="J243" s="80"/>
      <c r="K243" s="80"/>
      <c r="L243" s="80"/>
      <c r="M243" s="80"/>
      <c r="N243" s="80"/>
      <c r="O243" s="80"/>
      <c r="P243" s="80"/>
      <c r="Q243" s="80"/>
      <c r="AB243" s="80"/>
      <c r="AF243" s="80"/>
      <c r="AX243" s="80"/>
      <c r="AY243" s="80"/>
      <c r="BF243" s="80"/>
      <c r="BQ243" s="80"/>
      <c r="BR243" s="80"/>
      <c r="BS243" s="80"/>
      <c r="BZ243" s="80"/>
      <c r="CA243" s="80"/>
      <c r="CB243" s="80"/>
      <c r="CD243" s="80"/>
      <c r="CE243" s="80"/>
      <c r="CG243" s="80"/>
      <c r="CL243" s="80"/>
      <c r="DE243" s="80"/>
      <c r="DI243" s="80"/>
      <c r="DJ243" s="80"/>
      <c r="DN243" s="80"/>
      <c r="DR243" s="80"/>
      <c r="DV243" s="80"/>
      <c r="DW243" s="80"/>
      <c r="DX243" s="80"/>
      <c r="EC243" s="80"/>
      <c r="EF243" s="80"/>
      <c r="EI243" s="80"/>
      <c r="EK243" s="80"/>
      <c r="EL243" s="80"/>
    </row>
    <row r="244" spans="1:142" ht="12.75" customHeight="1">
      <c r="A244" s="80"/>
      <c r="B244" s="80"/>
      <c r="C244" s="80"/>
      <c r="D244" s="104"/>
      <c r="E244" s="26"/>
      <c r="F244" s="26"/>
      <c r="H244" s="80"/>
      <c r="I244" s="80"/>
      <c r="J244" s="80"/>
      <c r="K244" s="80"/>
      <c r="L244" s="80"/>
      <c r="M244" s="80"/>
      <c r="O244" s="80"/>
      <c r="P244" s="80"/>
      <c r="Q244" s="80"/>
      <c r="AD244" s="80"/>
      <c r="AF244" s="80"/>
      <c r="AX244" s="80"/>
      <c r="AZ244" s="80"/>
      <c r="BA244" s="80"/>
      <c r="BF244" s="80"/>
      <c r="BP244" s="80"/>
      <c r="BQ244" s="80"/>
      <c r="BR244" s="80"/>
      <c r="BS244" s="80"/>
      <c r="BT244" s="80"/>
      <c r="CA244" s="80"/>
      <c r="CB244" s="80"/>
      <c r="CC244" s="80"/>
      <c r="CD244" s="80"/>
      <c r="CE244" s="80"/>
      <c r="CG244" s="80"/>
      <c r="CL244" s="80"/>
      <c r="CN244" s="80"/>
      <c r="CO244" s="80"/>
      <c r="CQ244" s="80"/>
      <c r="CR244" s="80"/>
      <c r="CW244" s="80"/>
      <c r="CY244" s="80"/>
      <c r="CZ244" s="80"/>
      <c r="DA244" s="80"/>
      <c r="DE244" s="80"/>
      <c r="DF244" s="80"/>
      <c r="DI244" s="80"/>
      <c r="DJ244" s="80"/>
      <c r="DN244" s="80"/>
      <c r="DR244" s="80"/>
      <c r="DV244" s="80"/>
      <c r="DX244" s="80"/>
      <c r="EC244" s="80"/>
      <c r="EL244" s="80"/>
    </row>
    <row r="245" spans="1:142" ht="12.75" customHeight="1">
      <c r="A245" s="80"/>
      <c r="B245" s="80"/>
      <c r="C245" s="80"/>
      <c r="D245" s="104"/>
      <c r="E245" s="26"/>
      <c r="F245" s="26"/>
      <c r="I245" s="80"/>
      <c r="K245" s="80"/>
      <c r="L245" s="80"/>
      <c r="M245" s="80"/>
      <c r="O245" s="80"/>
      <c r="P245" s="80"/>
      <c r="Q245" s="80"/>
      <c r="AF245" s="80"/>
      <c r="AK245" s="80"/>
      <c r="AL245" s="80"/>
      <c r="AP245" s="80"/>
      <c r="AX245" s="80"/>
      <c r="AZ245" s="80"/>
      <c r="BF245" s="80"/>
      <c r="BP245" s="80"/>
      <c r="BQ245" s="80"/>
      <c r="BR245" s="80"/>
      <c r="BS245" s="80"/>
      <c r="BZ245" s="80"/>
      <c r="CA245" s="80"/>
      <c r="CB245" s="80"/>
      <c r="CD245" s="80"/>
      <c r="CE245" s="80"/>
      <c r="CG245" s="80"/>
      <c r="CL245" s="80"/>
      <c r="CN245" s="80"/>
      <c r="CO245" s="80"/>
      <c r="CY245" s="80"/>
      <c r="CZ245" s="80"/>
      <c r="DE245" s="80"/>
      <c r="DI245" s="80"/>
      <c r="DJ245" s="80"/>
      <c r="DN245" s="80"/>
      <c r="DP245" s="80"/>
      <c r="DR245" s="80"/>
      <c r="DV245" s="80"/>
      <c r="DW245" s="80"/>
      <c r="DX245" s="80"/>
      <c r="EC245" s="80"/>
      <c r="EF245" s="80"/>
      <c r="EI245" s="80"/>
      <c r="EL245" s="80"/>
    </row>
    <row r="246" spans="1:142" ht="12.75" customHeight="1">
      <c r="A246" s="80"/>
      <c r="B246" s="80"/>
      <c r="C246" s="80"/>
      <c r="D246" s="104"/>
      <c r="E246" s="26"/>
      <c r="F246" s="26"/>
      <c r="H246" s="80"/>
      <c r="I246" s="80"/>
      <c r="J246" s="80"/>
      <c r="K246" s="80"/>
      <c r="L246" s="80"/>
      <c r="M246" s="80"/>
      <c r="N246" s="80"/>
      <c r="O246" s="80"/>
      <c r="Q246" s="80"/>
      <c r="AD246" s="80"/>
      <c r="AF246" s="80"/>
      <c r="AL246" s="80"/>
      <c r="AP246" s="80"/>
      <c r="AZ246" s="80"/>
      <c r="BF246" s="80"/>
      <c r="BQ246" s="80"/>
      <c r="BR246" s="80"/>
      <c r="BS246" s="80"/>
      <c r="BT246" s="80"/>
      <c r="BZ246" s="80"/>
      <c r="CA246" s="80"/>
      <c r="CB246" s="80"/>
      <c r="CC246" s="80"/>
      <c r="CD246" s="80"/>
      <c r="CE246" s="80"/>
      <c r="CG246" s="80"/>
      <c r="CL246" s="80"/>
      <c r="CN246" s="80"/>
      <c r="CO246" s="80"/>
      <c r="DA246" s="80"/>
      <c r="DE246" s="80"/>
      <c r="DI246" s="80"/>
      <c r="DJ246" s="80"/>
      <c r="DN246" s="80"/>
      <c r="DR246" s="80"/>
      <c r="DV246" s="80"/>
      <c r="DX246" s="80"/>
      <c r="EC246" s="80"/>
      <c r="EF246" s="80"/>
      <c r="EI246" s="80"/>
      <c r="EL246" s="80"/>
    </row>
    <row r="247" spans="1:142" ht="12.75" customHeight="1">
      <c r="A247" s="80"/>
      <c r="B247" s="80"/>
      <c r="C247" s="80"/>
      <c r="D247" s="104"/>
      <c r="E247" s="26"/>
      <c r="F247" s="26"/>
      <c r="H247" s="80"/>
      <c r="I247" s="80"/>
      <c r="J247" s="80"/>
      <c r="K247" s="80"/>
      <c r="L247" s="80"/>
      <c r="M247" s="80"/>
      <c r="N247" s="80"/>
      <c r="O247" s="80"/>
      <c r="P247" s="80"/>
      <c r="Q247" s="80"/>
      <c r="AB247" s="80"/>
      <c r="AC247" s="80"/>
      <c r="AF247" s="80"/>
      <c r="AK247" s="80"/>
      <c r="AL247" s="80"/>
      <c r="AP247" s="80"/>
      <c r="AZ247" s="80"/>
      <c r="BF247" s="80"/>
      <c r="BP247" s="80"/>
      <c r="BQ247" s="80"/>
      <c r="BR247" s="80"/>
      <c r="BS247" s="80"/>
      <c r="BZ247" s="80"/>
      <c r="CA247" s="80"/>
      <c r="CB247" s="80"/>
      <c r="CC247" s="80"/>
      <c r="CD247" s="80"/>
      <c r="CE247" s="80"/>
      <c r="CG247" s="80"/>
      <c r="CL247" s="80"/>
      <c r="CQ247" s="80"/>
      <c r="CS247" s="80"/>
      <c r="CU247" s="80"/>
      <c r="CW247" s="80"/>
      <c r="CY247" s="80"/>
      <c r="CZ247" s="80"/>
      <c r="DA247" s="80"/>
      <c r="DE247" s="80"/>
      <c r="DI247" s="80"/>
      <c r="DJ247" s="80"/>
      <c r="DN247" s="80"/>
      <c r="DR247" s="80"/>
      <c r="DT247" s="80"/>
      <c r="DU247" s="80"/>
      <c r="DV247" s="80"/>
      <c r="DW247" s="80"/>
      <c r="DX247" s="80"/>
      <c r="EC247" s="80"/>
      <c r="EF247" s="80"/>
      <c r="EG247" s="80"/>
      <c r="EI247" s="80"/>
      <c r="EK247" s="80"/>
      <c r="EL247" s="80"/>
    </row>
    <row r="248" spans="1:142" ht="12.75" customHeight="1">
      <c r="A248" s="80"/>
      <c r="B248" s="80"/>
      <c r="C248" s="80"/>
      <c r="D248" s="104"/>
      <c r="E248" s="26"/>
      <c r="F248" s="26"/>
      <c r="H248" s="80"/>
      <c r="I248" s="80"/>
      <c r="J248" s="80"/>
      <c r="K248" s="80"/>
      <c r="L248" s="80"/>
      <c r="M248" s="80"/>
      <c r="O248" s="80"/>
      <c r="P248" s="80"/>
      <c r="Q248" s="80"/>
      <c r="R248" s="80"/>
      <c r="AB248" s="80"/>
      <c r="AC248" s="80"/>
      <c r="AF248" s="80"/>
      <c r="AK248" s="80"/>
      <c r="AP248" s="80"/>
      <c r="AZ248" s="80"/>
      <c r="BF248" s="80"/>
      <c r="BJ248" s="80"/>
      <c r="BK248" s="80"/>
      <c r="BQ248" s="80"/>
      <c r="BR248" s="80"/>
      <c r="BS248" s="80"/>
      <c r="BT248" s="80"/>
      <c r="BZ248" s="80"/>
      <c r="CA248" s="80"/>
      <c r="CB248" s="80"/>
      <c r="CC248" s="80"/>
      <c r="CD248" s="80"/>
      <c r="CE248" s="80"/>
      <c r="CG248" s="80"/>
      <c r="CI248" s="80"/>
      <c r="CK248" s="80"/>
      <c r="CL248" s="80"/>
      <c r="CT248" s="80"/>
      <c r="CU248" s="80"/>
      <c r="CY248" s="80"/>
      <c r="CZ248" s="80"/>
      <c r="DA248" s="80"/>
      <c r="DE248" s="80"/>
      <c r="DI248" s="80"/>
      <c r="DJ248" s="80"/>
      <c r="DN248" s="80"/>
      <c r="DR248" s="80"/>
      <c r="DV248" s="80"/>
      <c r="DW248" s="80"/>
      <c r="DX248" s="80"/>
      <c r="EC248" s="80"/>
      <c r="EF248" s="80"/>
      <c r="EI248" s="80"/>
      <c r="EL248" s="80"/>
    </row>
    <row r="249" spans="1:142" ht="12.75" customHeight="1">
      <c r="A249" s="80"/>
      <c r="B249" s="80"/>
      <c r="C249" s="80"/>
      <c r="D249" s="104"/>
      <c r="E249" s="26"/>
      <c r="F249" s="26"/>
      <c r="H249" s="80"/>
      <c r="I249" s="80"/>
      <c r="J249" s="80"/>
      <c r="K249" s="80"/>
      <c r="L249" s="80"/>
      <c r="M249" s="80"/>
      <c r="N249" s="80"/>
      <c r="O249" s="80"/>
      <c r="P249" s="80"/>
      <c r="Q249" s="80"/>
      <c r="AC249" s="80"/>
      <c r="AF249" s="80"/>
      <c r="AK249" s="80"/>
      <c r="AL249" s="80"/>
      <c r="AP249" s="80"/>
      <c r="AW249" s="80"/>
      <c r="AX249" s="80"/>
      <c r="AZ249" s="80"/>
      <c r="BA249" s="80"/>
      <c r="BF249" s="80"/>
      <c r="BJ249" s="80"/>
      <c r="BK249" s="80"/>
      <c r="BP249" s="80"/>
      <c r="BQ249" s="80"/>
      <c r="BR249" s="80"/>
      <c r="BS249" s="80"/>
      <c r="BZ249" s="80"/>
      <c r="CA249" s="80"/>
      <c r="CB249" s="80"/>
      <c r="CC249" s="80"/>
      <c r="CD249" s="80"/>
      <c r="CE249" s="80"/>
      <c r="CG249" s="80"/>
      <c r="CL249" s="80"/>
      <c r="CY249" s="80"/>
      <c r="CZ249" s="80"/>
      <c r="DA249" s="80"/>
      <c r="DB249" s="80"/>
      <c r="DE249" s="80"/>
      <c r="DF249" s="80"/>
      <c r="DI249" s="80"/>
      <c r="DJ249" s="80"/>
      <c r="DN249" s="80"/>
      <c r="DR249" s="80"/>
      <c r="DV249" s="80"/>
      <c r="DW249" s="80"/>
      <c r="DX249" s="80"/>
      <c r="EC249" s="80"/>
      <c r="EL249" s="80"/>
    </row>
    <row r="250" spans="1:142" ht="12.75" customHeight="1">
      <c r="A250" s="80"/>
      <c r="B250" s="80"/>
      <c r="C250" s="80"/>
      <c r="D250" s="104"/>
      <c r="E250" s="26"/>
      <c r="F250" s="26"/>
      <c r="H250" s="80"/>
      <c r="I250" s="80"/>
      <c r="J250" s="80"/>
      <c r="K250" s="80"/>
      <c r="L250" s="80"/>
      <c r="M250" s="80"/>
      <c r="N250" s="80"/>
      <c r="O250" s="80"/>
      <c r="P250" s="80"/>
      <c r="Q250" s="80"/>
      <c r="AF250" s="80"/>
      <c r="AL250" s="80"/>
      <c r="AP250" s="80"/>
      <c r="AZ250" s="80"/>
      <c r="BF250" s="80"/>
      <c r="BJ250" s="80"/>
      <c r="BP250" s="80"/>
      <c r="BQ250" s="80"/>
      <c r="BR250" s="80"/>
      <c r="BS250" s="80"/>
      <c r="BT250" s="80"/>
      <c r="BZ250" s="80"/>
      <c r="CA250" s="80"/>
      <c r="CB250" s="80"/>
      <c r="CC250" s="80"/>
      <c r="CD250" s="80"/>
      <c r="CE250" s="80"/>
      <c r="CG250" s="80"/>
      <c r="CL250" s="80"/>
      <c r="CN250" s="80"/>
      <c r="CO250" s="80"/>
      <c r="CT250" s="80"/>
      <c r="CU250" s="80"/>
      <c r="CY250" s="80"/>
      <c r="CZ250" s="80"/>
      <c r="DA250" s="80"/>
      <c r="DE250" s="80"/>
      <c r="DI250" s="80"/>
      <c r="DJ250" s="80"/>
      <c r="DN250" s="80"/>
      <c r="DR250" s="80"/>
      <c r="DV250" s="80"/>
      <c r="DW250" s="80"/>
      <c r="DX250" s="80"/>
      <c r="EC250" s="80"/>
      <c r="EL250" s="80"/>
    </row>
    <row r="251" spans="1:142" ht="12.75" customHeight="1">
      <c r="A251" s="80"/>
      <c r="B251" s="80"/>
      <c r="C251" s="80"/>
      <c r="D251" s="104"/>
      <c r="E251" s="26"/>
      <c r="F251" s="26"/>
      <c r="H251" s="80"/>
      <c r="I251" s="80"/>
      <c r="J251" s="80"/>
      <c r="K251" s="80"/>
      <c r="L251" s="80"/>
      <c r="M251" s="80"/>
      <c r="N251" s="80"/>
      <c r="O251" s="80"/>
      <c r="P251" s="80"/>
      <c r="Q251" s="80"/>
      <c r="AB251" s="80"/>
      <c r="AF251" s="80"/>
      <c r="AX251" s="80"/>
      <c r="AZ251" s="80"/>
      <c r="BF251" s="80"/>
      <c r="BJ251" s="80"/>
      <c r="BP251" s="80"/>
      <c r="BQ251" s="80"/>
      <c r="BR251" s="80"/>
      <c r="BT251" s="80"/>
      <c r="CA251" s="80"/>
      <c r="CB251" s="80"/>
      <c r="CC251" s="80"/>
      <c r="CD251" s="80"/>
      <c r="CE251" s="80"/>
      <c r="CG251" s="80"/>
      <c r="CL251" s="80"/>
      <c r="DA251" s="80"/>
      <c r="DE251" s="80"/>
      <c r="DI251" s="80"/>
      <c r="DJ251" s="80"/>
      <c r="DN251" s="80"/>
      <c r="DR251" s="80"/>
      <c r="DV251" s="80"/>
      <c r="DW251" s="80"/>
      <c r="DX251" s="80"/>
      <c r="EC251" s="80"/>
      <c r="EF251" s="80"/>
      <c r="EI251" s="80"/>
      <c r="EL251" s="80"/>
    </row>
    <row r="252" spans="1:142" ht="12.75" customHeight="1">
      <c r="A252" s="80"/>
      <c r="B252" s="80"/>
      <c r="C252" s="80"/>
      <c r="D252" s="104"/>
      <c r="E252" s="26"/>
      <c r="F252" s="26"/>
      <c r="H252" s="80"/>
      <c r="I252" s="80"/>
      <c r="J252" s="80"/>
      <c r="K252" s="80"/>
      <c r="L252" s="80"/>
      <c r="M252" s="80"/>
      <c r="N252" s="80"/>
      <c r="O252" s="80"/>
      <c r="P252" s="80"/>
      <c r="Q252" s="80"/>
      <c r="AF252" s="80"/>
      <c r="AL252" s="80"/>
      <c r="AP252" s="80"/>
      <c r="AW252" s="80"/>
      <c r="AX252" s="80"/>
      <c r="AY252" s="80"/>
      <c r="AZ252" s="80"/>
      <c r="BF252" s="80"/>
      <c r="BJ252" s="80"/>
      <c r="BK252" s="80"/>
      <c r="BQ252" s="80"/>
      <c r="BR252" s="80"/>
      <c r="BT252" s="80"/>
      <c r="BZ252" s="80"/>
      <c r="CA252" s="80"/>
      <c r="CD252" s="80"/>
      <c r="CE252" s="80"/>
      <c r="CF252" s="80"/>
      <c r="CG252" s="80"/>
      <c r="CL252" s="80"/>
      <c r="CT252" s="80"/>
      <c r="CU252" s="80"/>
      <c r="CY252" s="80"/>
      <c r="CZ252" s="80"/>
      <c r="DA252" s="80"/>
      <c r="DE252" s="80"/>
      <c r="DI252" s="80"/>
      <c r="DJ252" s="80"/>
      <c r="DN252" s="80"/>
      <c r="DS252" s="80"/>
      <c r="DU252" s="80"/>
      <c r="DV252" s="80"/>
      <c r="DW252" s="80"/>
      <c r="DX252" s="80"/>
      <c r="EC252" s="80"/>
      <c r="EG252" s="80"/>
      <c r="EK252" s="80"/>
      <c r="EL252" s="80"/>
    </row>
    <row r="253" spans="1:142" ht="12.75" customHeight="1">
      <c r="A253" s="80"/>
      <c r="B253" s="80"/>
      <c r="C253" s="80"/>
      <c r="D253" s="104"/>
      <c r="E253" s="26"/>
      <c r="F253" s="26"/>
      <c r="H253" s="80"/>
      <c r="I253" s="80"/>
      <c r="J253" s="80"/>
      <c r="K253" s="80"/>
      <c r="L253" s="80"/>
      <c r="M253" s="80"/>
      <c r="N253" s="80"/>
      <c r="O253" s="80"/>
      <c r="Q253" s="80"/>
      <c r="AB253" s="80"/>
      <c r="AF253" s="80"/>
      <c r="AK253" s="80"/>
      <c r="AL253" s="80"/>
      <c r="AP253" s="80"/>
      <c r="AW253" s="80"/>
      <c r="AX253" s="80"/>
      <c r="AZ253" s="80"/>
      <c r="BA253" s="80"/>
      <c r="BF253" s="80"/>
      <c r="BJ253" s="80"/>
      <c r="BK253" s="80"/>
      <c r="BP253" s="80"/>
      <c r="BQ253" s="80"/>
      <c r="BR253" s="80"/>
      <c r="BZ253" s="80"/>
      <c r="CA253" s="80"/>
      <c r="CB253" s="80"/>
      <c r="CC253" s="80"/>
      <c r="CD253" s="80"/>
      <c r="CE253" s="80"/>
      <c r="CG253" s="80"/>
      <c r="CI253" s="80"/>
      <c r="CK253" s="80"/>
      <c r="CL253" s="80"/>
      <c r="CU253" s="80"/>
      <c r="CW253" s="80"/>
      <c r="CZ253" s="80"/>
      <c r="DA253" s="80"/>
      <c r="DE253" s="80"/>
      <c r="DI253" s="80"/>
      <c r="DJ253" s="80"/>
      <c r="DN253" s="80"/>
      <c r="DR253" s="80"/>
      <c r="DV253" s="80"/>
      <c r="DW253" s="80"/>
      <c r="DX253" s="80"/>
      <c r="EC253" s="80"/>
      <c r="ED253" s="80"/>
      <c r="EF253" s="80"/>
      <c r="EG253" s="80"/>
      <c r="EH253" s="80"/>
      <c r="EI253" s="80"/>
      <c r="EK253" s="80"/>
      <c r="EL253" s="80"/>
    </row>
    <row r="254" spans="1:142" ht="12.75" customHeight="1">
      <c r="A254" s="80"/>
      <c r="B254" s="80"/>
      <c r="C254" s="80"/>
      <c r="D254" s="104"/>
      <c r="E254" s="26"/>
      <c r="F254" s="26"/>
      <c r="H254" s="80"/>
      <c r="I254" s="80"/>
      <c r="J254" s="80"/>
      <c r="K254" s="80"/>
      <c r="L254" s="80"/>
      <c r="M254" s="80"/>
      <c r="N254" s="80"/>
      <c r="O254" s="80"/>
      <c r="P254" s="80"/>
      <c r="Q254" s="80"/>
      <c r="S254" s="80"/>
      <c r="T254" s="80"/>
      <c r="AF254" s="80"/>
      <c r="AN254" s="80"/>
      <c r="AP254" s="80"/>
      <c r="AW254" s="80"/>
      <c r="AZ254" s="80"/>
      <c r="BF254" s="80"/>
      <c r="BJ254" s="80"/>
      <c r="BK254" s="80"/>
      <c r="BQ254" s="80"/>
      <c r="BR254" s="80"/>
      <c r="BS254" s="80"/>
      <c r="BZ254" s="80"/>
      <c r="CA254" s="80"/>
      <c r="CB254" s="80"/>
      <c r="CC254" s="80"/>
      <c r="CD254" s="80"/>
      <c r="CE254" s="80"/>
      <c r="CG254" s="80"/>
      <c r="CL254" s="80"/>
      <c r="CW254" s="80"/>
      <c r="CY254" s="80"/>
      <c r="CZ254" s="80"/>
      <c r="DA254" s="80"/>
      <c r="DE254" s="80"/>
      <c r="DI254" s="80"/>
      <c r="DJ254" s="80"/>
      <c r="DN254" s="80"/>
      <c r="DR254" s="80"/>
      <c r="DV254" s="80"/>
      <c r="DX254" s="80"/>
      <c r="EC254" s="80"/>
      <c r="EL254" s="80"/>
    </row>
    <row r="255" spans="1:142" ht="12.75" customHeight="1">
      <c r="A255" s="80"/>
      <c r="B255" s="80"/>
      <c r="C255" s="80"/>
      <c r="D255" s="104"/>
      <c r="E255" s="26"/>
      <c r="F255" s="26"/>
      <c r="H255" s="80"/>
      <c r="I255" s="80"/>
      <c r="J255" s="80"/>
      <c r="K255" s="80"/>
      <c r="L255" s="80"/>
      <c r="M255" s="80"/>
      <c r="N255" s="80"/>
      <c r="O255" s="80"/>
      <c r="P255" s="80"/>
      <c r="Q255" s="80"/>
      <c r="AC255" s="80"/>
      <c r="AD255" s="80"/>
      <c r="AF255" s="80"/>
      <c r="AJ255" s="80"/>
      <c r="AL255" s="80"/>
      <c r="AN255" s="80"/>
      <c r="AO255" s="80"/>
      <c r="AP255" s="80"/>
      <c r="AW255" s="80"/>
      <c r="AX255" s="80"/>
      <c r="AZ255" s="80"/>
      <c r="BA255" s="80"/>
      <c r="BB255" s="80"/>
      <c r="BF255" s="80"/>
      <c r="BJ255" s="80"/>
      <c r="BK255" s="80"/>
      <c r="BQ255" s="80"/>
      <c r="BR255" s="80"/>
      <c r="BS255" s="80"/>
      <c r="BZ255" s="80"/>
      <c r="CA255" s="80"/>
      <c r="CB255" s="80"/>
      <c r="CC255" s="80"/>
      <c r="CD255" s="80"/>
      <c r="CE255" s="80"/>
      <c r="CG255" s="80"/>
      <c r="CI255" s="80"/>
      <c r="CK255" s="80"/>
      <c r="CL255" s="80"/>
      <c r="CN255" s="80"/>
      <c r="CO255" s="80"/>
      <c r="CP255" s="80"/>
      <c r="CQ255" s="80"/>
      <c r="CT255" s="80"/>
      <c r="CU255" s="80"/>
      <c r="CY255" s="80"/>
      <c r="CZ255" s="80"/>
      <c r="DA255" s="80"/>
      <c r="DE255" s="80"/>
      <c r="DI255" s="80"/>
      <c r="DJ255" s="80"/>
      <c r="DN255" s="80"/>
      <c r="DO255" s="80"/>
      <c r="DR255" s="80"/>
      <c r="DT255" s="80"/>
      <c r="DU255" s="80"/>
      <c r="DV255" s="80"/>
      <c r="DW255" s="80"/>
      <c r="DX255" s="80"/>
      <c r="EC255" s="80"/>
      <c r="EF255" s="80"/>
      <c r="EI255" s="80"/>
      <c r="EL255" s="80"/>
    </row>
    <row r="256" spans="1:142" ht="12.75" customHeight="1">
      <c r="A256" s="80"/>
      <c r="B256" s="80"/>
      <c r="C256" s="80"/>
      <c r="D256" s="104"/>
      <c r="E256" s="26"/>
      <c r="F256" s="26"/>
      <c r="H256" s="80"/>
      <c r="K256" s="80"/>
      <c r="L256" s="80"/>
      <c r="M256" s="80"/>
      <c r="N256" s="80"/>
      <c r="O256" s="80"/>
      <c r="Q256" s="80"/>
      <c r="AG256" s="80"/>
      <c r="AR256" s="80"/>
      <c r="AU256" s="80"/>
      <c r="AX256" s="80"/>
      <c r="AZ256" s="80"/>
      <c r="BF256" s="80"/>
      <c r="BP256" s="80"/>
      <c r="CD256" s="80"/>
      <c r="CE256" s="80"/>
      <c r="CG256" s="80"/>
      <c r="CI256" s="80"/>
      <c r="CK256" s="80"/>
      <c r="CL256" s="80"/>
      <c r="CN256" s="80"/>
      <c r="CO256" s="80"/>
      <c r="CY256" s="80"/>
      <c r="CZ256" s="80"/>
      <c r="DA256" s="80"/>
      <c r="DI256" s="80"/>
      <c r="DJ256" s="80"/>
      <c r="DN256" s="80"/>
      <c r="EL256" s="80"/>
    </row>
    <row r="257" spans="1:142" ht="12.75" customHeight="1">
      <c r="A257" s="80"/>
      <c r="B257" s="80"/>
      <c r="C257" s="80"/>
      <c r="D257" s="104"/>
      <c r="E257" s="26"/>
      <c r="F257" s="26"/>
      <c r="H257" s="80"/>
      <c r="I257" s="80"/>
      <c r="J257" s="80"/>
      <c r="K257" s="80"/>
      <c r="L257" s="80"/>
      <c r="M257" s="80"/>
      <c r="N257" s="80"/>
      <c r="O257" s="80"/>
      <c r="Q257" s="80"/>
      <c r="AG257" s="80"/>
      <c r="AT257" s="80"/>
      <c r="AU257" s="80"/>
      <c r="AZ257" s="80"/>
      <c r="BF257" s="80"/>
      <c r="BJ257" s="80"/>
      <c r="BP257" s="80"/>
      <c r="BR257" s="80"/>
      <c r="BT257" s="80"/>
      <c r="BV257" s="80"/>
      <c r="BX257" s="80"/>
      <c r="CA257" s="80"/>
      <c r="CB257" s="80"/>
      <c r="CC257" s="80"/>
      <c r="CD257" s="80"/>
      <c r="CE257" s="80"/>
      <c r="CG257" s="80"/>
      <c r="CL257" s="80"/>
      <c r="CN257" s="80"/>
      <c r="CO257" s="80"/>
      <c r="CW257" s="80"/>
      <c r="CY257" s="80"/>
      <c r="CZ257" s="80"/>
      <c r="DA257" s="80"/>
      <c r="DE257" s="80"/>
      <c r="DF257" s="80"/>
      <c r="DG257" s="80"/>
      <c r="DI257" s="80"/>
      <c r="DJ257" s="80"/>
      <c r="DN257" s="80"/>
      <c r="EJ257" s="80"/>
      <c r="EK257" s="80"/>
      <c r="EL257" s="80"/>
    </row>
    <row r="258" spans="1:142" ht="12.75" customHeight="1">
      <c r="A258" s="80"/>
      <c r="B258" s="80"/>
      <c r="C258" s="80"/>
      <c r="D258" s="104"/>
      <c r="E258" s="26"/>
      <c r="F258" s="26"/>
      <c r="H258" s="80"/>
      <c r="I258" s="80"/>
      <c r="J258" s="80"/>
      <c r="K258" s="80"/>
      <c r="L258" s="80"/>
      <c r="M258" s="80"/>
      <c r="N258" s="80"/>
      <c r="Q258" s="80"/>
      <c r="AC258" s="80"/>
      <c r="AF258" s="80"/>
      <c r="AL258" s="80"/>
      <c r="AP258" s="80"/>
      <c r="AX258" s="80"/>
      <c r="AZ258" s="80"/>
      <c r="BF258" s="80"/>
      <c r="BQ258" s="80"/>
      <c r="BR258" s="80"/>
      <c r="BT258" s="80"/>
      <c r="BZ258" s="80"/>
      <c r="CA258" s="80"/>
      <c r="CB258" s="80"/>
      <c r="CD258" s="80"/>
      <c r="CE258" s="80"/>
      <c r="CF258" s="80"/>
      <c r="CG258" s="80"/>
      <c r="CL258" s="80"/>
      <c r="CS258" s="80"/>
      <c r="CW258" s="80"/>
      <c r="CY258" s="80"/>
      <c r="CZ258" s="80"/>
      <c r="DA258" s="80"/>
      <c r="DE258" s="80"/>
      <c r="DI258" s="80"/>
      <c r="DJ258" s="80"/>
      <c r="DN258" s="80"/>
      <c r="EL258" s="80"/>
    </row>
    <row r="259" spans="1:142" ht="12.75" customHeight="1">
      <c r="A259" s="80"/>
      <c r="B259" s="80"/>
      <c r="C259" s="80"/>
      <c r="D259" s="104"/>
      <c r="E259" s="26"/>
      <c r="F259" s="26"/>
      <c r="H259" s="80"/>
      <c r="I259" s="80"/>
      <c r="J259" s="80"/>
      <c r="K259" s="80"/>
      <c r="L259" s="80"/>
      <c r="M259" s="80"/>
      <c r="P259" s="80"/>
      <c r="Q259" s="80"/>
      <c r="AC259" s="80"/>
      <c r="AF259" s="80"/>
      <c r="AL259" s="80"/>
      <c r="AP259" s="80"/>
      <c r="AW259" s="80"/>
      <c r="AX259" s="80"/>
      <c r="AZ259" s="80"/>
      <c r="BF259" s="80"/>
      <c r="BJ259" s="80"/>
      <c r="BQ259" s="80"/>
      <c r="BR259" s="80"/>
      <c r="BS259" s="80"/>
      <c r="BZ259" s="80"/>
      <c r="CA259" s="80"/>
      <c r="CB259" s="80"/>
      <c r="CC259" s="80"/>
      <c r="CD259" s="80"/>
      <c r="CE259" s="80"/>
      <c r="CG259" s="80"/>
      <c r="CL259" s="80"/>
      <c r="CY259" s="80"/>
      <c r="CZ259" s="80"/>
      <c r="DA259" s="80"/>
      <c r="DE259" s="80"/>
      <c r="DI259" s="80"/>
      <c r="DJ259" s="80"/>
      <c r="DN259" s="80"/>
      <c r="DR259" s="80"/>
      <c r="DT259" s="80"/>
      <c r="DU259" s="80"/>
      <c r="DV259" s="80"/>
      <c r="DW259" s="80"/>
      <c r="DX259" s="80"/>
      <c r="EC259" s="80"/>
      <c r="EL259" s="80"/>
    </row>
    <row r="260" spans="1:142" ht="12.75" customHeight="1">
      <c r="A260" s="80"/>
      <c r="B260" s="80"/>
      <c r="C260" s="80"/>
      <c r="D260" s="104"/>
      <c r="E260" s="26"/>
      <c r="F260" s="26"/>
      <c r="H260" s="80"/>
      <c r="I260" s="80"/>
      <c r="J260" s="80"/>
      <c r="K260" s="80"/>
      <c r="L260" s="80"/>
      <c r="M260" s="80"/>
      <c r="N260" s="80"/>
      <c r="O260" s="80"/>
      <c r="P260" s="80"/>
      <c r="Q260" s="80"/>
      <c r="AB260" s="80"/>
      <c r="AF260" s="80"/>
      <c r="AL260" s="80"/>
      <c r="AP260" s="80"/>
      <c r="AW260" s="80"/>
      <c r="AZ260" s="80"/>
      <c r="BF260" s="80"/>
      <c r="BJ260" s="80"/>
      <c r="BP260" s="80"/>
      <c r="BQ260" s="80"/>
      <c r="BR260" s="80"/>
      <c r="BZ260" s="80"/>
      <c r="CA260" s="80"/>
      <c r="CB260" s="80"/>
      <c r="CC260" s="80"/>
      <c r="CD260" s="80"/>
      <c r="CE260" s="80"/>
      <c r="CG260" s="80"/>
      <c r="CL260" s="80"/>
      <c r="CN260" s="80"/>
      <c r="CO260" s="80"/>
      <c r="CW260" s="80"/>
      <c r="CZ260" s="80"/>
      <c r="DA260" s="80"/>
      <c r="DE260" s="80"/>
      <c r="DI260" s="80"/>
      <c r="DJ260" s="80"/>
      <c r="DN260" s="80"/>
      <c r="DR260" s="80"/>
      <c r="DT260" s="80"/>
      <c r="DU260" s="80"/>
      <c r="DV260" s="80"/>
      <c r="DW260" s="80"/>
      <c r="DX260" s="80"/>
      <c r="EC260" s="80"/>
      <c r="EL260" s="80"/>
    </row>
    <row r="261" spans="1:142" ht="12.75" customHeight="1">
      <c r="A261" s="80"/>
      <c r="B261" s="80"/>
      <c r="C261" s="80"/>
      <c r="D261" s="104"/>
      <c r="E261" s="26"/>
      <c r="F261" s="26"/>
      <c r="H261" s="80"/>
      <c r="I261" s="80"/>
      <c r="J261" s="80"/>
      <c r="K261" s="80"/>
      <c r="L261" s="80"/>
      <c r="M261" s="80"/>
      <c r="N261" s="80"/>
      <c r="P261" s="80"/>
      <c r="Q261" s="80"/>
      <c r="AC261" s="80"/>
      <c r="AF261" s="80"/>
      <c r="AK261" s="80"/>
      <c r="AP261" s="80"/>
      <c r="AZ261" s="80"/>
      <c r="BF261" s="80"/>
      <c r="BJ261" s="80"/>
      <c r="BP261" s="80"/>
      <c r="BQ261" s="80"/>
      <c r="BR261" s="80"/>
      <c r="BS261" s="80"/>
      <c r="BT261" s="80"/>
      <c r="BZ261" s="80"/>
      <c r="CA261" s="80"/>
      <c r="CC261" s="80"/>
      <c r="CD261" s="80"/>
      <c r="CE261" s="80"/>
      <c r="CG261" s="80"/>
      <c r="CL261" s="80"/>
      <c r="CN261" s="80"/>
      <c r="CO261" s="80"/>
      <c r="CY261" s="80"/>
      <c r="CZ261" s="80"/>
      <c r="DA261" s="80"/>
      <c r="DE261" s="80"/>
      <c r="DI261" s="80"/>
      <c r="DJ261" s="80"/>
      <c r="DN261" s="80"/>
      <c r="DR261" s="80"/>
      <c r="DT261" s="80"/>
      <c r="DU261" s="80"/>
      <c r="DV261" s="80"/>
      <c r="DW261" s="80"/>
      <c r="DX261" s="80"/>
      <c r="EC261" s="80"/>
      <c r="EL261" s="80"/>
    </row>
    <row r="262" spans="1:142" ht="12.75" customHeight="1">
      <c r="A262" s="80"/>
      <c r="B262" s="80"/>
      <c r="C262" s="80"/>
      <c r="D262" s="104"/>
      <c r="E262" s="26"/>
      <c r="F262" s="26"/>
      <c r="H262" s="80"/>
      <c r="I262" s="80"/>
      <c r="J262" s="80"/>
      <c r="K262" s="80"/>
      <c r="L262" s="80"/>
      <c r="M262" s="80"/>
      <c r="N262" s="80"/>
      <c r="P262" s="80"/>
      <c r="Q262" s="80"/>
      <c r="AF262" s="80"/>
      <c r="AK262" s="80"/>
      <c r="AL262" s="80"/>
      <c r="AP262" s="80"/>
      <c r="AX262" s="80"/>
      <c r="AZ262" s="80"/>
      <c r="BF262" s="80"/>
      <c r="BJ262" s="80"/>
      <c r="BQ262" s="80"/>
      <c r="BR262" s="80"/>
      <c r="BT262" s="80"/>
      <c r="BZ262" s="80"/>
      <c r="CA262" s="80"/>
      <c r="CB262" s="80"/>
      <c r="CD262" s="80"/>
      <c r="CE262" s="80"/>
      <c r="CF262" s="80"/>
      <c r="CG262" s="80"/>
      <c r="CI262" s="80"/>
      <c r="CK262" s="80"/>
      <c r="CL262" s="80"/>
      <c r="CW262" s="80"/>
      <c r="CY262" s="80"/>
      <c r="CZ262" s="80"/>
      <c r="DA262" s="80"/>
      <c r="DE262" s="80"/>
      <c r="DI262" s="80"/>
      <c r="DJ262" s="80"/>
      <c r="DN262" s="80"/>
      <c r="DR262" s="80"/>
      <c r="DV262" s="80"/>
      <c r="DW262" s="80"/>
      <c r="DX262" s="80"/>
      <c r="EC262" s="80"/>
      <c r="EL262" s="80"/>
    </row>
    <row r="263" spans="1:142" ht="12.75" customHeight="1">
      <c r="A263" s="80"/>
      <c r="B263" s="80"/>
      <c r="C263" s="80"/>
      <c r="D263" s="104"/>
      <c r="E263" s="26"/>
      <c r="F263" s="26"/>
      <c r="H263" s="80"/>
      <c r="I263" s="80"/>
      <c r="J263" s="80"/>
      <c r="K263" s="80"/>
      <c r="L263" s="80"/>
      <c r="M263" s="80"/>
      <c r="O263" s="80"/>
      <c r="P263" s="80"/>
      <c r="Q263" s="80"/>
      <c r="AF263" s="80"/>
      <c r="AL263" s="80"/>
      <c r="AP263" s="80"/>
      <c r="AZ263" s="80"/>
      <c r="BF263" s="80"/>
      <c r="BJ263" s="80"/>
      <c r="BQ263" s="80"/>
      <c r="BR263" s="80"/>
      <c r="BS263" s="80"/>
      <c r="BZ263" s="80"/>
      <c r="CA263" s="80"/>
      <c r="CB263" s="80"/>
      <c r="CC263" s="80"/>
      <c r="CD263" s="80"/>
      <c r="CE263" s="80"/>
      <c r="CG263" s="80"/>
      <c r="CL263" s="80"/>
      <c r="CN263" s="80"/>
      <c r="CO263" s="80"/>
      <c r="CU263" s="80"/>
      <c r="CW263" s="80"/>
      <c r="CY263" s="80"/>
      <c r="CZ263" s="80"/>
      <c r="DA263" s="80"/>
      <c r="DE263" s="80"/>
      <c r="DI263" s="80"/>
      <c r="DJ263" s="80"/>
      <c r="DN263" s="80"/>
      <c r="DR263" s="80"/>
      <c r="DV263" s="80"/>
      <c r="DW263" s="80"/>
      <c r="DX263" s="80"/>
      <c r="EC263" s="80"/>
      <c r="EG263" s="80"/>
      <c r="EK263" s="80"/>
      <c r="EL263" s="80"/>
    </row>
    <row r="264" spans="1:142" ht="12.75" customHeight="1">
      <c r="A264" s="80"/>
      <c r="B264" s="80"/>
      <c r="C264" s="80"/>
      <c r="D264" s="104"/>
      <c r="E264" s="26"/>
      <c r="F264" s="26"/>
      <c r="H264" s="80"/>
      <c r="I264" s="80"/>
      <c r="J264" s="80"/>
      <c r="K264" s="80"/>
      <c r="L264" s="80"/>
      <c r="M264" s="80"/>
      <c r="N264" s="80"/>
      <c r="Q264" s="80"/>
      <c r="AB264" s="80"/>
      <c r="AF264" s="80"/>
      <c r="AX264" s="80"/>
      <c r="AZ264" s="80"/>
      <c r="BF264" s="80"/>
      <c r="BJ264" s="80"/>
      <c r="BK264" s="80"/>
      <c r="BQ264" s="80"/>
      <c r="BR264" s="80"/>
      <c r="BT264" s="80"/>
      <c r="BZ264" s="80"/>
      <c r="CA264" s="80"/>
      <c r="CB264" s="80"/>
      <c r="CC264" s="80"/>
      <c r="CD264" s="80"/>
      <c r="CE264" s="80"/>
      <c r="CG264" s="80"/>
      <c r="CL264" s="80"/>
      <c r="CP264" s="80"/>
      <c r="CT264" s="80"/>
      <c r="CU264" s="80"/>
      <c r="CY264" s="80"/>
      <c r="CZ264" s="80"/>
      <c r="DA264" s="80"/>
      <c r="DE264" s="80"/>
      <c r="DI264" s="80"/>
      <c r="DJ264" s="80"/>
      <c r="DK264" s="80"/>
      <c r="DN264" s="80"/>
      <c r="DR264" s="80"/>
      <c r="DT264" s="80"/>
      <c r="DU264" s="80"/>
      <c r="DV264" s="80"/>
      <c r="DW264" s="80"/>
      <c r="DX264" s="80"/>
      <c r="EC264" s="80"/>
      <c r="EL264" s="80"/>
    </row>
    <row r="265" spans="1:142" ht="12.75" customHeight="1">
      <c r="A265" s="80"/>
      <c r="B265" s="80"/>
      <c r="C265" s="80"/>
      <c r="D265" s="104"/>
      <c r="E265" s="26"/>
      <c r="F265" s="26"/>
      <c r="G265" s="80"/>
      <c r="H265" s="80"/>
      <c r="J265" s="80"/>
      <c r="K265" s="80"/>
      <c r="L265" s="80"/>
      <c r="M265" s="80"/>
      <c r="N265" s="80"/>
      <c r="Q265" s="80"/>
      <c r="AE265" s="80"/>
      <c r="AF265" s="80"/>
      <c r="AX265" s="80"/>
      <c r="AZ265" s="80"/>
      <c r="BA265" s="80"/>
      <c r="BF265" s="80"/>
      <c r="BJ265" s="80"/>
      <c r="BK265" s="80"/>
      <c r="BQ265" s="80"/>
      <c r="BR265" s="80"/>
      <c r="BZ265" s="80"/>
      <c r="CA265" s="80"/>
      <c r="CB265" s="80"/>
      <c r="CC265" s="80"/>
      <c r="CD265" s="80"/>
      <c r="CG265" s="80"/>
      <c r="CL265" s="80"/>
      <c r="CY265" s="80"/>
      <c r="CZ265" s="80"/>
      <c r="DE265" s="80"/>
      <c r="DJ265" s="80"/>
      <c r="DN265" s="80"/>
      <c r="EL265" s="80"/>
    </row>
    <row r="266" spans="1:142" ht="12.75" customHeight="1">
      <c r="A266" s="80"/>
      <c r="B266" s="80"/>
      <c r="C266" s="80"/>
      <c r="D266" s="104"/>
      <c r="E266" s="26"/>
      <c r="F266" s="26"/>
      <c r="H266" s="80"/>
      <c r="I266" s="80"/>
      <c r="J266" s="80"/>
      <c r="K266" s="80"/>
      <c r="L266" s="80"/>
      <c r="M266" s="80"/>
      <c r="N266" s="80"/>
      <c r="P266" s="80"/>
      <c r="Q266" s="80"/>
      <c r="AF266" s="80"/>
      <c r="AL266" s="80"/>
      <c r="AP266" s="80"/>
      <c r="AX266" s="80"/>
      <c r="AZ266" s="80"/>
      <c r="BF266" s="80"/>
      <c r="BJ266" s="80"/>
      <c r="BK266" s="80"/>
      <c r="BQ266" s="80"/>
      <c r="BR266" s="80"/>
      <c r="BZ266" s="80"/>
      <c r="CA266" s="80"/>
      <c r="CB266" s="80"/>
      <c r="CC266" s="80"/>
      <c r="CD266" s="80"/>
      <c r="CE266" s="80"/>
      <c r="CG266" s="80"/>
      <c r="CI266" s="80"/>
      <c r="CK266" s="80"/>
      <c r="CL266" s="80"/>
      <c r="CN266" s="80"/>
      <c r="CO266" s="80"/>
      <c r="CT266" s="80"/>
      <c r="CU266" s="80"/>
      <c r="CY266" s="80"/>
      <c r="CZ266" s="80"/>
      <c r="DA266" s="80"/>
      <c r="DE266" s="80"/>
      <c r="DF266" s="80"/>
      <c r="DH266" s="80"/>
      <c r="DI266" s="80"/>
      <c r="DJ266" s="80"/>
      <c r="DN266" s="80"/>
      <c r="DO266" s="80"/>
      <c r="DR266" s="80"/>
      <c r="DV266" s="80"/>
      <c r="DW266" s="80"/>
      <c r="DX266" s="80"/>
      <c r="EC266" s="80"/>
      <c r="EL266" s="80"/>
    </row>
    <row r="267" spans="1:142" ht="12.75" customHeight="1">
      <c r="A267" s="80"/>
      <c r="B267" s="80"/>
      <c r="C267" s="80"/>
      <c r="D267" s="104"/>
      <c r="E267" s="26"/>
      <c r="F267" s="26"/>
      <c r="H267" s="80"/>
      <c r="I267" s="80"/>
      <c r="K267" s="80"/>
      <c r="L267" s="80"/>
      <c r="M267" s="80"/>
      <c r="O267" s="80"/>
      <c r="P267" s="80"/>
      <c r="Q267" s="80"/>
      <c r="AC267" s="80"/>
      <c r="AF267" s="80"/>
      <c r="AN267" s="80"/>
      <c r="AP267" s="80"/>
      <c r="AX267" s="80"/>
      <c r="AZ267" s="80"/>
      <c r="BF267" s="80"/>
      <c r="BJ267" s="80"/>
      <c r="BK267" s="80"/>
      <c r="BQ267" s="80"/>
      <c r="BR267" s="80"/>
      <c r="BS267" s="80"/>
      <c r="BZ267" s="80"/>
      <c r="CA267" s="80"/>
      <c r="CB267" s="80"/>
      <c r="CD267" s="80"/>
      <c r="CE267" s="80"/>
      <c r="CG267" s="80"/>
      <c r="CI267" s="80"/>
      <c r="CK267" s="80"/>
      <c r="CL267" s="80"/>
      <c r="CV267" s="80"/>
      <c r="CW267" s="80"/>
      <c r="CY267" s="80"/>
      <c r="CZ267" s="80"/>
      <c r="DA267" s="80"/>
      <c r="DE267" s="80"/>
      <c r="DI267" s="80"/>
      <c r="DJ267" s="80"/>
      <c r="DN267" s="80"/>
      <c r="DO267" s="80"/>
      <c r="DR267" s="80"/>
      <c r="DV267" s="80"/>
      <c r="DW267" s="80"/>
      <c r="DX267" s="80"/>
      <c r="EC267" s="80"/>
      <c r="EL267" s="80"/>
    </row>
    <row r="268" spans="1:142" ht="12.75" customHeight="1">
      <c r="A268" s="80"/>
      <c r="B268" s="80"/>
      <c r="C268" s="80"/>
      <c r="D268" s="104"/>
      <c r="E268" s="26"/>
      <c r="F268" s="26"/>
      <c r="H268" s="80"/>
      <c r="I268" s="80"/>
      <c r="J268" s="80"/>
      <c r="K268" s="80"/>
      <c r="L268" s="80"/>
      <c r="M268" s="80"/>
      <c r="N268" s="80"/>
      <c r="O268" s="80"/>
      <c r="P268" s="80"/>
      <c r="Q268" s="80"/>
      <c r="AB268" s="80"/>
      <c r="AF268" s="80"/>
      <c r="AI268" s="80"/>
      <c r="AX268" s="80"/>
      <c r="AZ268" s="80"/>
      <c r="BF268" s="80"/>
      <c r="BJ268" s="80"/>
      <c r="BL268" s="80"/>
      <c r="BP268" s="80"/>
      <c r="BQ268" s="80"/>
      <c r="BR268" s="80"/>
      <c r="BS268" s="80"/>
      <c r="BT268" s="80"/>
      <c r="BZ268" s="80"/>
      <c r="CA268" s="80"/>
      <c r="CB268" s="80"/>
      <c r="CC268" s="80"/>
      <c r="CD268" s="80"/>
      <c r="CE268" s="80"/>
      <c r="CG268" s="80"/>
      <c r="CL268" s="80"/>
      <c r="CW268" s="80"/>
      <c r="CZ268" s="80"/>
      <c r="DA268" s="80"/>
      <c r="DB268" s="80"/>
      <c r="DE268" s="80"/>
      <c r="DI268" s="80"/>
      <c r="DJ268" s="80"/>
      <c r="DN268" s="80"/>
      <c r="DO268" s="80"/>
      <c r="DR268" s="80"/>
      <c r="DV268" s="80"/>
      <c r="DW268" s="80"/>
      <c r="DX268" s="80"/>
      <c r="EC268" s="80"/>
      <c r="EF268" s="80"/>
      <c r="EG268" s="80"/>
      <c r="EI268" s="80"/>
      <c r="EK268" s="80"/>
      <c r="EL268" s="80"/>
    </row>
    <row r="269" spans="1:142" ht="12.75" customHeight="1">
      <c r="A269" s="80"/>
      <c r="B269" s="80"/>
      <c r="C269" s="80"/>
      <c r="D269" s="104"/>
      <c r="E269" s="26"/>
      <c r="F269" s="26"/>
      <c r="H269" s="80"/>
      <c r="I269" s="80"/>
      <c r="J269" s="80"/>
      <c r="K269" s="80"/>
      <c r="L269" s="80"/>
      <c r="M269" s="80"/>
      <c r="N269" s="80"/>
      <c r="P269" s="80"/>
      <c r="Q269" s="80"/>
      <c r="AB269" s="80"/>
      <c r="AF269" s="80"/>
      <c r="AL269" s="80"/>
      <c r="AP269" s="80"/>
      <c r="AV269" s="80"/>
      <c r="AW269" s="80"/>
      <c r="AY269" s="80"/>
      <c r="AZ269" s="80"/>
      <c r="BF269" s="80"/>
      <c r="BJ269" s="80"/>
      <c r="BK269" s="80"/>
      <c r="BQ269" s="80"/>
      <c r="BR269" s="80"/>
      <c r="BS269" s="80"/>
      <c r="BT269" s="80"/>
      <c r="BZ269" s="80"/>
      <c r="CA269" s="80"/>
      <c r="CB269" s="80"/>
      <c r="CC269" s="80"/>
      <c r="CD269" s="80"/>
      <c r="CE269" s="80"/>
      <c r="CG269" s="80"/>
      <c r="CI269" s="80"/>
      <c r="CK269" s="80"/>
      <c r="CL269" s="80"/>
      <c r="CN269" s="80"/>
      <c r="CO269" s="80"/>
      <c r="CW269" s="80"/>
      <c r="CY269" s="80"/>
      <c r="CZ269" s="80"/>
      <c r="DA269" s="80"/>
      <c r="DE269" s="80"/>
      <c r="DI269" s="80"/>
      <c r="DJ269" s="80"/>
      <c r="DN269" s="80"/>
      <c r="DR269" s="80"/>
      <c r="DS269" s="80"/>
      <c r="DU269" s="80"/>
      <c r="DV269" s="80"/>
      <c r="DW269" s="80"/>
      <c r="DX269" s="80"/>
      <c r="EC269" s="80"/>
      <c r="EL269" s="80"/>
    </row>
    <row r="270" spans="1:142" ht="12.75" customHeight="1">
      <c r="A270" s="80"/>
      <c r="B270" s="80"/>
      <c r="C270" s="80"/>
      <c r="D270" s="104"/>
      <c r="E270" s="26"/>
      <c r="F270" s="26"/>
      <c r="H270" s="80"/>
      <c r="I270" s="80"/>
      <c r="J270" s="80"/>
      <c r="K270" s="80"/>
      <c r="L270" s="80"/>
      <c r="M270" s="80"/>
      <c r="N270" s="80"/>
      <c r="O270" s="80"/>
      <c r="P270" s="80"/>
      <c r="Q270" s="80"/>
      <c r="AF270" s="80"/>
      <c r="AX270" s="80"/>
      <c r="AY270" s="80"/>
      <c r="BF270" s="80"/>
      <c r="BJ270" s="80"/>
      <c r="BP270" s="80"/>
      <c r="BQ270" s="80"/>
      <c r="BR270" s="80"/>
      <c r="BZ270" s="80"/>
      <c r="CA270" s="80"/>
      <c r="CB270" s="80"/>
      <c r="CC270" s="80"/>
      <c r="CD270" s="80"/>
      <c r="CE270" s="80"/>
      <c r="CG270" s="80"/>
      <c r="CL270" s="80"/>
      <c r="CN270" s="80"/>
      <c r="CO270" s="80"/>
      <c r="CU270" s="80"/>
      <c r="CW270" s="80"/>
      <c r="CZ270" s="80"/>
      <c r="DA270" s="80"/>
      <c r="DE270" s="80"/>
      <c r="DI270" s="80"/>
      <c r="DJ270" s="80"/>
      <c r="DN270" s="80"/>
      <c r="DO270" s="80"/>
      <c r="DR270" s="80"/>
      <c r="DV270" s="80"/>
      <c r="DW270" s="80"/>
      <c r="DX270" s="80"/>
      <c r="EC270" s="80"/>
      <c r="EF270" s="80"/>
      <c r="EG270" s="80"/>
      <c r="EI270" s="80"/>
      <c r="EK270" s="80"/>
      <c r="EL270" s="80"/>
    </row>
    <row r="271" spans="1:142" ht="12.75" customHeight="1">
      <c r="A271" s="80"/>
      <c r="B271" s="80"/>
      <c r="C271" s="80"/>
      <c r="D271" s="104"/>
      <c r="E271" s="26"/>
      <c r="F271" s="26"/>
      <c r="H271" s="80"/>
      <c r="I271" s="80"/>
      <c r="J271" s="80"/>
      <c r="K271" s="80"/>
      <c r="L271" s="80"/>
      <c r="M271" s="80"/>
      <c r="N271" s="80"/>
      <c r="O271" s="80"/>
      <c r="P271" s="80"/>
      <c r="Q271" s="80"/>
      <c r="AB271" s="80"/>
      <c r="AC271" s="80"/>
      <c r="AD271" s="80"/>
      <c r="AF271" s="80"/>
      <c r="AL271" s="80"/>
      <c r="AP271" s="80"/>
      <c r="AZ271" s="80"/>
      <c r="BF271" s="80"/>
      <c r="BJ271" s="80"/>
      <c r="BK271" s="80"/>
      <c r="BQ271" s="80"/>
      <c r="BR271" s="80"/>
      <c r="BS271" s="80"/>
      <c r="BZ271" s="80"/>
      <c r="CA271" s="80"/>
      <c r="CB271" s="80"/>
      <c r="CD271" s="80"/>
      <c r="CE271" s="80"/>
      <c r="CG271" s="80"/>
      <c r="CL271" s="80"/>
      <c r="CN271" s="80"/>
      <c r="CO271" s="80"/>
      <c r="CW271" s="80"/>
      <c r="CY271" s="80"/>
      <c r="CZ271" s="80"/>
      <c r="DA271" s="80"/>
      <c r="DE271" s="80"/>
      <c r="DF271" s="80"/>
      <c r="DI271" s="80"/>
      <c r="DJ271" s="80"/>
      <c r="DN271" s="80"/>
      <c r="DR271" s="80"/>
      <c r="DV271" s="80"/>
      <c r="DW271" s="80"/>
      <c r="DX271" s="80"/>
      <c r="EC271" s="80"/>
      <c r="EL271" s="80"/>
    </row>
    <row r="272" spans="1:142" ht="12.75" customHeight="1">
      <c r="A272" s="80"/>
      <c r="B272" s="80"/>
      <c r="C272" s="80"/>
      <c r="D272" s="104"/>
      <c r="E272" s="26"/>
      <c r="F272" s="26"/>
      <c r="H272" s="80"/>
      <c r="J272" s="80"/>
      <c r="K272" s="80"/>
      <c r="L272" s="80"/>
      <c r="M272" s="80"/>
      <c r="O272" s="80"/>
      <c r="P272" s="80"/>
      <c r="Q272" s="80"/>
      <c r="AF272" s="80"/>
      <c r="AK272" s="80"/>
      <c r="AP272" s="80"/>
      <c r="AX272" s="80"/>
      <c r="AZ272" s="80"/>
      <c r="BF272" s="80"/>
      <c r="BJ272" s="80"/>
      <c r="BQ272" s="80"/>
      <c r="BR272" s="80"/>
      <c r="BT272" s="80"/>
      <c r="CA272" s="80"/>
      <c r="CB272" s="80"/>
      <c r="CC272" s="80"/>
      <c r="CD272" s="80"/>
      <c r="CE272" s="80"/>
      <c r="CG272" s="80"/>
      <c r="CL272" s="80"/>
      <c r="CS272" s="80"/>
      <c r="CZ272" s="80"/>
      <c r="DE272" s="80"/>
      <c r="DI272" s="80"/>
      <c r="DJ272" s="80"/>
      <c r="DN272" s="80"/>
      <c r="DR272" s="80"/>
      <c r="DV272" s="80"/>
      <c r="DX272" s="80"/>
      <c r="EC272" s="80"/>
      <c r="EL272" s="80"/>
    </row>
    <row r="273" spans="1:142" ht="12.75" customHeight="1">
      <c r="A273" s="80"/>
      <c r="B273" s="80"/>
      <c r="C273" s="80"/>
      <c r="D273" s="104"/>
      <c r="E273" s="26"/>
      <c r="F273" s="26"/>
      <c r="H273" s="80"/>
      <c r="I273" s="80"/>
      <c r="J273" s="80"/>
      <c r="K273" s="80"/>
      <c r="L273" s="80"/>
      <c r="M273" s="80"/>
      <c r="N273" s="80"/>
      <c r="O273" s="80"/>
      <c r="P273" s="80"/>
      <c r="Q273" s="80"/>
      <c r="AB273" s="80"/>
      <c r="AF273" s="80"/>
      <c r="AM273" s="80"/>
      <c r="AN273" s="80"/>
      <c r="AP273" s="80"/>
      <c r="AX273" s="80"/>
      <c r="AY273" s="80"/>
      <c r="AZ273" s="80"/>
      <c r="BF273" s="80"/>
      <c r="BJ273" s="80"/>
      <c r="BP273" s="80"/>
      <c r="BQ273" s="80"/>
      <c r="BR273" s="80"/>
      <c r="BS273" s="80"/>
      <c r="BT273" s="80"/>
      <c r="BZ273" s="80"/>
      <c r="CA273" s="80"/>
      <c r="CB273" s="80"/>
      <c r="CC273" s="80"/>
      <c r="CD273" s="80"/>
      <c r="CE273" s="80"/>
      <c r="CG273" s="80"/>
      <c r="CL273" s="80"/>
      <c r="CW273" s="80"/>
      <c r="CY273" s="80"/>
      <c r="CZ273" s="80"/>
      <c r="DA273" s="80"/>
      <c r="DE273" s="80"/>
      <c r="DI273" s="80"/>
      <c r="DJ273" s="80"/>
      <c r="DN273" s="80"/>
      <c r="DR273" s="80"/>
      <c r="DV273" s="80"/>
      <c r="DW273" s="80"/>
      <c r="DX273" s="80"/>
      <c r="EC273" s="80"/>
      <c r="EL273" s="80"/>
    </row>
    <row r="274" spans="1:142" ht="12.75" customHeight="1">
      <c r="A274" s="80"/>
      <c r="B274" s="80"/>
      <c r="C274" s="80"/>
      <c r="D274" s="104"/>
      <c r="E274" s="26"/>
      <c r="F274" s="26"/>
      <c r="H274" s="80"/>
      <c r="I274" s="80"/>
      <c r="J274" s="80"/>
      <c r="L274" s="80"/>
      <c r="M274" s="80"/>
      <c r="O274" s="80"/>
      <c r="Q274" s="80"/>
      <c r="AF274" s="80"/>
      <c r="AL274" s="80"/>
      <c r="AP274" s="80"/>
      <c r="AS274" s="80"/>
      <c r="AZ274" s="80"/>
      <c r="BF274" s="80"/>
      <c r="BJ274" s="80"/>
      <c r="BQ274" s="80"/>
      <c r="BR274" s="80"/>
      <c r="BS274" s="80"/>
      <c r="BT274" s="80"/>
      <c r="BZ274" s="80"/>
      <c r="CA274" s="80"/>
      <c r="CB274" s="80"/>
      <c r="CC274" s="80"/>
      <c r="CD274" s="80"/>
      <c r="CE274" s="80"/>
      <c r="CF274" s="80"/>
      <c r="CG274" s="80"/>
      <c r="CL274" s="80"/>
      <c r="CT274" s="80"/>
      <c r="CU274" s="80"/>
      <c r="CY274" s="80"/>
      <c r="CZ274" s="80"/>
      <c r="DA274" s="80"/>
      <c r="DE274" s="80"/>
      <c r="DI274" s="80"/>
      <c r="DJ274" s="80"/>
      <c r="DN274" s="80"/>
      <c r="DR274" s="80"/>
      <c r="DV274" s="80"/>
      <c r="DW274" s="80"/>
      <c r="DX274" s="80"/>
      <c r="EC274" s="80"/>
      <c r="EL274" s="80"/>
    </row>
    <row r="275" spans="1:142" ht="12.75" customHeight="1">
      <c r="A275" s="80"/>
      <c r="B275" s="80"/>
      <c r="C275" s="80"/>
      <c r="D275" s="104"/>
      <c r="E275" s="26"/>
      <c r="F275" s="26"/>
      <c r="H275" s="80"/>
      <c r="I275" s="80"/>
      <c r="J275" s="80"/>
      <c r="K275" s="80"/>
      <c r="L275" s="80"/>
      <c r="M275" s="80"/>
      <c r="N275" s="80"/>
      <c r="O275" s="80"/>
      <c r="P275" s="80"/>
      <c r="Q275" s="80"/>
      <c r="AF275" s="80"/>
      <c r="AL275" s="80"/>
      <c r="AP275" s="80"/>
      <c r="AX275" s="80"/>
      <c r="AZ275" s="80"/>
      <c r="BF275" s="80"/>
      <c r="BJ275" s="80"/>
      <c r="BK275" s="80"/>
      <c r="BP275" s="80"/>
      <c r="BQ275" s="80"/>
      <c r="BR275" s="80"/>
      <c r="BS275" s="80"/>
      <c r="BT275" s="80"/>
      <c r="BZ275" s="80"/>
      <c r="CA275" s="80"/>
      <c r="CB275" s="80"/>
      <c r="CC275" s="80"/>
      <c r="CD275" s="80"/>
      <c r="CE275" s="80"/>
      <c r="CF275" s="80"/>
      <c r="CG275" s="80"/>
      <c r="CI275" s="80"/>
      <c r="CK275" s="80"/>
      <c r="CL275" s="80"/>
      <c r="CN275" s="80"/>
      <c r="CO275" s="80"/>
      <c r="CP275" s="80"/>
      <c r="CR275" s="80"/>
      <c r="CT275" s="80"/>
      <c r="CU275" s="80"/>
      <c r="CY275" s="80"/>
      <c r="CZ275" s="80"/>
      <c r="DA275" s="80"/>
      <c r="DE275" s="80"/>
      <c r="DI275" s="80"/>
      <c r="DJ275" s="80"/>
      <c r="DN275" s="80"/>
      <c r="DR275" s="80"/>
      <c r="DS275" s="80"/>
      <c r="DT275" s="80"/>
      <c r="DU275" s="80"/>
      <c r="DV275" s="80"/>
      <c r="DW275" s="80"/>
      <c r="DX275" s="80"/>
      <c r="EC275" s="80"/>
      <c r="EI275" s="80"/>
      <c r="EK275" s="80"/>
      <c r="EL275" s="80"/>
    </row>
    <row r="276" spans="1:142" ht="12.75" customHeight="1">
      <c r="A276" s="80"/>
      <c r="B276" s="80"/>
      <c r="C276" s="80"/>
      <c r="D276" s="104"/>
      <c r="E276" s="26"/>
      <c r="F276" s="26"/>
      <c r="H276" s="80"/>
      <c r="I276" s="80"/>
      <c r="J276" s="80"/>
      <c r="K276" s="80"/>
      <c r="L276" s="80"/>
      <c r="M276" s="80"/>
      <c r="N276" s="80"/>
      <c r="Q276" s="80"/>
      <c r="AF276" s="80"/>
      <c r="AK276" s="80"/>
      <c r="AP276" s="80"/>
      <c r="AZ276" s="80"/>
      <c r="BF276" s="80"/>
      <c r="BJ276" s="80"/>
      <c r="BQ276" s="80"/>
      <c r="BR276" s="80"/>
      <c r="BT276" s="80"/>
      <c r="BZ276" s="80"/>
      <c r="CA276" s="80"/>
      <c r="CB276" s="80"/>
      <c r="CD276" s="80"/>
      <c r="CE276" s="80"/>
      <c r="CG276" s="80"/>
      <c r="CL276" s="80"/>
      <c r="CY276" s="80"/>
      <c r="CZ276" s="80"/>
      <c r="DA276" s="80"/>
      <c r="DE276" s="80"/>
      <c r="DI276" s="80"/>
      <c r="DJ276" s="80"/>
      <c r="DN276" s="80"/>
      <c r="EL276" s="80"/>
    </row>
    <row r="277" spans="1:142" ht="12.75" customHeight="1">
      <c r="A277" s="80"/>
      <c r="B277" s="80"/>
      <c r="C277" s="80"/>
      <c r="D277" s="104"/>
      <c r="E277" s="26"/>
      <c r="F277" s="26"/>
      <c r="H277" s="80"/>
      <c r="L277" s="80"/>
      <c r="N277" s="80"/>
      <c r="Q277" s="80"/>
      <c r="R277" s="80"/>
      <c r="AC277" s="80"/>
      <c r="AD277" s="80"/>
      <c r="AF277" s="80"/>
      <c r="AK277" s="80"/>
      <c r="AP277" s="80"/>
      <c r="AZ277" s="80"/>
      <c r="BF277" s="80"/>
      <c r="BJ277" s="80"/>
      <c r="BK277" s="80"/>
      <c r="BP277" s="80"/>
      <c r="BQ277" s="80"/>
      <c r="BR277" s="80"/>
      <c r="BS277" s="80"/>
      <c r="BT277" s="80"/>
      <c r="BZ277" s="80"/>
      <c r="CA277" s="80"/>
      <c r="CB277" s="80"/>
      <c r="CC277" s="80"/>
      <c r="CD277" s="80"/>
      <c r="CE277" s="80"/>
      <c r="CG277" s="80"/>
      <c r="CI277" s="80"/>
      <c r="CK277" s="80"/>
      <c r="CL277" s="80"/>
      <c r="CN277" s="80"/>
      <c r="CO277" s="80"/>
      <c r="CT277" s="80"/>
      <c r="CU277" s="80"/>
      <c r="CY277" s="80"/>
      <c r="CZ277" s="80"/>
      <c r="DA277" s="80"/>
      <c r="DE277" s="80"/>
      <c r="DI277" s="80"/>
      <c r="DJ277" s="80"/>
      <c r="DN277" s="80"/>
      <c r="EL277" s="80"/>
    </row>
    <row r="278" spans="1:142" ht="12.75" customHeight="1">
      <c r="A278" s="80"/>
      <c r="B278" s="80"/>
      <c r="C278" s="80"/>
      <c r="D278" s="104"/>
      <c r="E278" s="26"/>
      <c r="F278" s="26"/>
      <c r="H278" s="80"/>
      <c r="I278" s="80"/>
      <c r="J278" s="80"/>
      <c r="K278" s="80"/>
      <c r="L278" s="80"/>
      <c r="M278" s="80"/>
      <c r="N278" s="80"/>
      <c r="Q278" s="80"/>
      <c r="AF278" s="80"/>
      <c r="AX278" s="80"/>
      <c r="AY278" s="80"/>
      <c r="BF278" s="80"/>
      <c r="BJ278" s="80"/>
      <c r="BQ278" s="80"/>
      <c r="BR278" s="80"/>
      <c r="BS278" s="80"/>
      <c r="BZ278" s="80"/>
      <c r="CA278" s="80"/>
      <c r="CB278" s="80"/>
      <c r="CC278" s="80"/>
      <c r="CD278" s="80"/>
      <c r="CE278" s="80"/>
      <c r="CG278" s="80"/>
      <c r="CL278" s="80"/>
      <c r="CT278" s="80"/>
      <c r="CU278" s="80"/>
      <c r="CZ278" s="80"/>
      <c r="DA278" s="80"/>
      <c r="DE278" s="80"/>
      <c r="DI278" s="80"/>
      <c r="DJ278" s="80"/>
      <c r="DN278" s="80"/>
      <c r="EL278" s="80"/>
    </row>
    <row r="279" spans="1:142" ht="12.75" customHeight="1">
      <c r="A279" s="80"/>
      <c r="B279" s="80"/>
      <c r="C279" s="80"/>
      <c r="D279" s="104"/>
      <c r="E279" s="26"/>
      <c r="F279" s="26"/>
      <c r="H279" s="80"/>
      <c r="I279" s="80"/>
      <c r="K279" s="80"/>
      <c r="L279" s="80"/>
      <c r="M279" s="80"/>
      <c r="N279" s="80"/>
      <c r="P279" s="80"/>
      <c r="Q279" s="80"/>
      <c r="AE279" s="80"/>
      <c r="AF279" s="80"/>
      <c r="AZ279" s="80"/>
      <c r="BF279" s="80"/>
      <c r="BJ279" s="80"/>
      <c r="BK279" s="80"/>
      <c r="BQ279" s="80"/>
      <c r="BR279" s="80"/>
      <c r="BS279" s="80"/>
      <c r="BT279" s="80"/>
      <c r="BZ279" s="80"/>
      <c r="CA279" s="80"/>
      <c r="CB279" s="80"/>
      <c r="CC279" s="80"/>
      <c r="CD279" s="80"/>
      <c r="CE279" s="80"/>
      <c r="CG279" s="80"/>
      <c r="CL279" s="80"/>
      <c r="CT279" s="80"/>
      <c r="CU279" s="80"/>
      <c r="CY279" s="80"/>
      <c r="CZ279" s="80"/>
      <c r="DA279" s="80"/>
      <c r="DB279" s="80"/>
      <c r="DE279" s="80"/>
      <c r="DI279" s="80"/>
      <c r="DJ279" s="80"/>
      <c r="DN279" s="80"/>
      <c r="DR279" s="80"/>
      <c r="DV279" s="80"/>
      <c r="DW279" s="80"/>
      <c r="DX279" s="80"/>
      <c r="EC279" s="80"/>
      <c r="EL279" s="80"/>
    </row>
    <row r="280" spans="1:142" ht="12.75" customHeight="1">
      <c r="A280" s="80"/>
      <c r="B280" s="80"/>
      <c r="C280" s="80"/>
      <c r="D280" s="104"/>
      <c r="E280" s="26"/>
      <c r="F280" s="26"/>
      <c r="H280" s="80"/>
      <c r="I280" s="80"/>
      <c r="J280" s="80"/>
      <c r="K280" s="80"/>
      <c r="L280" s="80"/>
      <c r="M280" s="80"/>
      <c r="O280" s="80"/>
      <c r="Q280" s="80"/>
      <c r="AF280" s="80"/>
      <c r="AL280" s="80"/>
      <c r="AP280" s="80"/>
      <c r="AW280" s="80"/>
      <c r="AZ280" s="80"/>
      <c r="BF280" s="80"/>
      <c r="BJ280" s="80"/>
      <c r="BM280" s="80"/>
      <c r="BQ280" s="80"/>
      <c r="BR280" s="80"/>
      <c r="BS280" s="80"/>
      <c r="BT280" s="80"/>
      <c r="BZ280" s="80"/>
      <c r="CA280" s="80"/>
      <c r="CC280" s="80"/>
      <c r="CD280" s="80"/>
      <c r="CE280" s="80"/>
      <c r="CG280" s="80"/>
      <c r="CI280" s="80"/>
      <c r="CK280" s="80"/>
      <c r="CL280" s="80"/>
      <c r="CT280" s="80"/>
      <c r="CU280" s="80"/>
      <c r="CX280" s="80"/>
      <c r="CY280" s="80"/>
      <c r="CZ280" s="80"/>
      <c r="DA280" s="80"/>
      <c r="DE280" s="80"/>
      <c r="DI280" s="80"/>
      <c r="DJ280" s="80"/>
      <c r="DK280" s="80"/>
      <c r="DN280" s="80"/>
      <c r="EL280" s="80"/>
    </row>
    <row r="281" spans="1:142" ht="12.75" customHeight="1">
      <c r="A281" s="80"/>
      <c r="B281" s="80"/>
      <c r="C281" s="80"/>
      <c r="D281" s="104"/>
      <c r="E281" s="26"/>
      <c r="F281" s="26"/>
      <c r="H281" s="80"/>
      <c r="I281" s="80"/>
      <c r="J281" s="80"/>
      <c r="K281" s="80"/>
      <c r="L281" s="80"/>
      <c r="M281" s="80"/>
      <c r="O281" s="80"/>
      <c r="P281" s="80"/>
      <c r="Q281" s="80"/>
      <c r="AF281" s="80"/>
      <c r="AK281" s="80"/>
      <c r="AL281" s="80"/>
      <c r="AN281" s="80"/>
      <c r="AP281" s="80"/>
      <c r="AZ281" s="80"/>
      <c r="BF281" s="80"/>
      <c r="BL281" s="80"/>
      <c r="BP281" s="80"/>
      <c r="BQ281" s="80"/>
      <c r="BR281" s="80"/>
      <c r="BS281" s="80"/>
      <c r="BT281" s="80"/>
      <c r="BZ281" s="80"/>
      <c r="CA281" s="80"/>
      <c r="CD281" s="80"/>
      <c r="CE281" s="80"/>
      <c r="CG281" s="80"/>
      <c r="CH281" s="80"/>
      <c r="CI281" s="80"/>
      <c r="CK281" s="80"/>
      <c r="CL281" s="80"/>
      <c r="CT281" s="80"/>
      <c r="CU281" s="80"/>
      <c r="CY281" s="80"/>
      <c r="CZ281" s="80"/>
      <c r="DA281" s="80"/>
      <c r="DE281" s="80"/>
      <c r="DI281" s="80"/>
      <c r="DJ281" s="80"/>
      <c r="DK281" s="80"/>
      <c r="DN281" s="80"/>
      <c r="DR281" s="80"/>
      <c r="DV281" s="80"/>
      <c r="DX281" s="80"/>
      <c r="EC281" s="80"/>
      <c r="ED281" s="80"/>
      <c r="EK281" s="80"/>
      <c r="EL281" s="80"/>
    </row>
    <row r="282" spans="1:142" ht="12.75" customHeight="1">
      <c r="A282" s="80"/>
      <c r="B282" s="80"/>
      <c r="C282" s="80"/>
      <c r="D282" s="104"/>
      <c r="E282" s="26"/>
      <c r="F282" s="26"/>
      <c r="H282" s="80"/>
      <c r="K282" s="80"/>
      <c r="L282" s="80"/>
      <c r="M282" s="80"/>
      <c r="O282" s="80"/>
      <c r="Q282" s="80"/>
      <c r="R282" s="80"/>
      <c r="AB282" s="80"/>
      <c r="AG282" s="80"/>
      <c r="AR282" s="80"/>
      <c r="AZ282" s="80"/>
      <c r="BF282" s="80"/>
      <c r="BJ282" s="80"/>
      <c r="BP282" s="80"/>
      <c r="BQ282" s="80"/>
      <c r="BR282" s="80"/>
      <c r="BT282" s="80"/>
      <c r="BV282" s="80"/>
      <c r="BW282" s="80"/>
      <c r="BX282" s="80"/>
      <c r="CA282" s="80"/>
      <c r="CB282" s="80"/>
      <c r="CC282" s="80"/>
      <c r="CD282" s="80"/>
      <c r="CE282" s="80"/>
      <c r="CG282" s="80"/>
      <c r="CL282" s="80"/>
      <c r="CU282" s="80"/>
      <c r="CY282" s="80"/>
      <c r="CZ282" s="80"/>
      <c r="DA282" s="80"/>
      <c r="DE282" s="80"/>
      <c r="DF282" s="80"/>
      <c r="DI282" s="80"/>
      <c r="DJ282" s="80"/>
      <c r="DN282" s="80"/>
      <c r="EG282" s="80"/>
      <c r="EK282" s="80"/>
      <c r="EL282" s="80"/>
    </row>
    <row r="283" spans="1:142" ht="12.75" customHeight="1">
      <c r="A283" s="80"/>
      <c r="B283" s="80"/>
      <c r="C283" s="80"/>
      <c r="D283" s="104"/>
      <c r="E283" s="26"/>
      <c r="F283" s="26"/>
      <c r="H283" s="80"/>
      <c r="I283" s="80"/>
      <c r="K283" s="80"/>
      <c r="L283" s="80"/>
      <c r="M283" s="80"/>
      <c r="N283" s="80"/>
      <c r="O283" s="80"/>
      <c r="Q283" s="80"/>
      <c r="AB283" s="80"/>
      <c r="AF283" s="80"/>
      <c r="AK283" s="80"/>
      <c r="AP283" s="80"/>
      <c r="AX283" s="80"/>
      <c r="AZ283" s="80"/>
      <c r="BF283" s="80"/>
      <c r="BJ283" s="80"/>
      <c r="BK283" s="80"/>
      <c r="BM283" s="80"/>
      <c r="BQ283" s="80"/>
      <c r="BR283" s="80"/>
      <c r="BS283" s="80"/>
      <c r="BT283" s="80"/>
      <c r="BZ283" s="80"/>
      <c r="CA283" s="80"/>
      <c r="CC283" s="80"/>
      <c r="CD283" s="80"/>
      <c r="CE283" s="80"/>
      <c r="CG283" s="80"/>
      <c r="CI283" s="80"/>
      <c r="CK283" s="80"/>
      <c r="CL283" s="80"/>
      <c r="CN283" s="80"/>
      <c r="CO283" s="80"/>
      <c r="CT283" s="80"/>
      <c r="CU283" s="80"/>
      <c r="CY283" s="80"/>
      <c r="CZ283" s="80"/>
      <c r="DA283" s="80"/>
      <c r="DE283" s="80"/>
      <c r="DI283" s="80"/>
      <c r="DJ283" s="80"/>
      <c r="DK283" s="80"/>
      <c r="DN283" s="80"/>
      <c r="ED283" s="80"/>
      <c r="EE283" s="80"/>
      <c r="EF283" s="80"/>
      <c r="EI283" s="80"/>
      <c r="EK283" s="80"/>
      <c r="EL283" s="80"/>
    </row>
    <row r="284" spans="1:142" ht="12.75" customHeight="1">
      <c r="A284" s="80"/>
      <c r="B284" s="80"/>
      <c r="C284" s="80"/>
      <c r="D284" s="104"/>
      <c r="E284" s="26"/>
      <c r="F284" s="26"/>
      <c r="I284" s="80"/>
      <c r="J284" s="80"/>
      <c r="K284" s="80"/>
      <c r="L284" s="80"/>
      <c r="M284" s="80"/>
      <c r="N284" s="80"/>
      <c r="O284" s="80"/>
      <c r="Q284" s="80"/>
      <c r="AB284" s="80"/>
      <c r="AF284" s="80"/>
      <c r="AZ284" s="80"/>
      <c r="BF284" s="80"/>
      <c r="BG284" s="80"/>
      <c r="BI284" s="80"/>
      <c r="BJ284" s="80"/>
      <c r="BO284" s="80"/>
      <c r="BP284" s="80"/>
      <c r="BQ284" s="80"/>
      <c r="BR284" s="80"/>
      <c r="BS284" s="80"/>
      <c r="BZ284" s="80"/>
      <c r="CA284" s="80"/>
      <c r="CB284" s="80"/>
      <c r="CC284" s="80"/>
      <c r="CD284" s="80"/>
      <c r="CE284" s="80"/>
      <c r="CG284" s="80"/>
      <c r="CJ284" s="80"/>
      <c r="CL284" s="80"/>
      <c r="CT284" s="80"/>
      <c r="CU284" s="80"/>
      <c r="CY284" s="80"/>
      <c r="CZ284" s="80"/>
      <c r="DA284" s="80"/>
      <c r="DE284" s="80"/>
      <c r="DI284" s="80"/>
      <c r="DJ284" s="80"/>
      <c r="DN284" s="80"/>
      <c r="DR284" s="80"/>
      <c r="DV284" s="80"/>
      <c r="DW284" s="80"/>
      <c r="DX284" s="80"/>
      <c r="EC284" s="80"/>
      <c r="ED284" s="80"/>
      <c r="EF284" s="80"/>
      <c r="EI284" s="80"/>
      <c r="EJ284" s="80"/>
      <c r="EK284" s="80"/>
      <c r="EL284" s="80"/>
    </row>
    <row r="285" spans="1:142" ht="12.75" customHeight="1">
      <c r="A285" s="80"/>
      <c r="B285" s="80"/>
      <c r="C285" s="80"/>
      <c r="D285" s="104"/>
      <c r="E285" s="26"/>
      <c r="F285" s="26"/>
      <c r="H285" s="80"/>
      <c r="I285" s="80"/>
      <c r="K285" s="80"/>
      <c r="L285" s="80"/>
      <c r="M285" s="80"/>
      <c r="N285" s="80"/>
      <c r="O285" s="80"/>
      <c r="P285" s="80"/>
      <c r="Q285" s="80"/>
      <c r="AB285" s="80"/>
      <c r="AC285" s="80"/>
      <c r="AF285" s="80"/>
      <c r="AL285" s="80"/>
      <c r="AP285" s="80"/>
      <c r="AZ285" s="80"/>
      <c r="BF285" s="80"/>
      <c r="BJ285" s="80"/>
      <c r="BO285" s="80"/>
      <c r="BP285" s="80"/>
      <c r="BQ285" s="80"/>
      <c r="BR285" s="80"/>
      <c r="BS285" s="80"/>
      <c r="BT285" s="80"/>
      <c r="BZ285" s="80"/>
      <c r="CA285" s="80"/>
      <c r="CB285" s="80"/>
      <c r="CC285" s="80"/>
      <c r="CD285" s="80"/>
      <c r="CE285" s="80"/>
      <c r="CG285" s="80"/>
      <c r="CI285" s="80"/>
      <c r="CK285" s="80"/>
      <c r="CL285" s="80"/>
      <c r="CN285" s="80"/>
      <c r="CO285" s="80"/>
      <c r="CT285" s="80"/>
      <c r="CU285" s="80"/>
      <c r="CY285" s="80"/>
      <c r="CZ285" s="80"/>
      <c r="DA285" s="80"/>
      <c r="DE285" s="80"/>
      <c r="DI285" s="80"/>
      <c r="DJ285" s="80"/>
      <c r="DK285" s="80"/>
      <c r="DN285" s="80"/>
      <c r="DO285" s="80"/>
      <c r="DR285" s="80"/>
      <c r="DT285" s="80"/>
      <c r="DU285" s="80"/>
      <c r="DV285" s="80"/>
      <c r="DW285" s="80"/>
      <c r="DX285" s="80"/>
      <c r="EC285" s="80"/>
      <c r="EF285" s="80"/>
      <c r="EI285" s="80"/>
      <c r="EJ285" s="80"/>
      <c r="EK285" s="80"/>
      <c r="EL285" s="80"/>
    </row>
    <row r="286" spans="1:142" ht="12.75" customHeight="1">
      <c r="A286" s="80"/>
      <c r="B286" s="80"/>
      <c r="C286" s="80"/>
      <c r="D286" s="104"/>
      <c r="E286" s="26"/>
      <c r="F286" s="26"/>
      <c r="H286" s="80"/>
      <c r="I286" s="80"/>
      <c r="J286" s="80"/>
      <c r="K286" s="80"/>
      <c r="L286" s="80"/>
      <c r="M286" s="80"/>
      <c r="N286" s="80"/>
      <c r="O286" s="80"/>
      <c r="P286" s="80"/>
      <c r="Q286" s="80"/>
      <c r="AB286" s="80"/>
      <c r="AF286" s="80"/>
      <c r="AJ286" s="80"/>
      <c r="AL286" s="80"/>
      <c r="AP286" s="80"/>
      <c r="AY286" s="80"/>
      <c r="AZ286" s="80"/>
      <c r="BF286" s="80"/>
      <c r="BG286" s="80"/>
      <c r="BI286" s="80"/>
      <c r="BQ286" s="80"/>
      <c r="BR286" s="80"/>
      <c r="BS286" s="80"/>
      <c r="CA286" s="80"/>
      <c r="CB286" s="80"/>
      <c r="CD286" s="80"/>
      <c r="CE286" s="80"/>
      <c r="CF286" s="80"/>
      <c r="CG286" s="80"/>
      <c r="CL286" s="80"/>
      <c r="CN286" s="80"/>
      <c r="CO286" s="80"/>
      <c r="CW286" s="80"/>
      <c r="CY286" s="80"/>
      <c r="CZ286" s="80"/>
      <c r="DA286" s="80"/>
      <c r="DE286" s="80"/>
      <c r="DI286" s="80"/>
      <c r="DJ286" s="80"/>
      <c r="DN286" s="80"/>
      <c r="DR286" s="80"/>
      <c r="DV286" s="80"/>
      <c r="DX286" s="80"/>
      <c r="EC286" s="80"/>
      <c r="ED286" s="80"/>
      <c r="EF286" s="80"/>
      <c r="EI286" s="80"/>
      <c r="EJ286" s="80"/>
      <c r="EK286" s="80"/>
      <c r="EL286" s="80"/>
    </row>
    <row r="287" spans="1:142" ht="12.75" customHeight="1">
      <c r="A287" s="80"/>
      <c r="B287" s="80"/>
      <c r="C287" s="80"/>
      <c r="D287" s="104"/>
      <c r="E287" s="26"/>
      <c r="F287" s="26"/>
      <c r="H287" s="80"/>
      <c r="I287" s="80"/>
      <c r="J287" s="80"/>
      <c r="K287" s="80"/>
      <c r="L287" s="80"/>
      <c r="M287" s="80"/>
      <c r="O287" s="80"/>
      <c r="Q287" s="80"/>
      <c r="AC287" s="80"/>
      <c r="AD287" s="80"/>
      <c r="AF287" s="80"/>
      <c r="AZ287" s="80"/>
      <c r="BF287" s="80"/>
      <c r="BJ287" s="80"/>
      <c r="BK287" s="80"/>
      <c r="BM287" s="80"/>
      <c r="BP287" s="80"/>
      <c r="BQ287" s="80"/>
      <c r="BR287" s="80"/>
      <c r="BS287" s="80"/>
      <c r="BZ287" s="80"/>
      <c r="CA287" s="80"/>
      <c r="CD287" s="80"/>
      <c r="CE287" s="80"/>
      <c r="CG287" s="80"/>
      <c r="CL287" s="80"/>
      <c r="CT287" s="80"/>
      <c r="CU287" s="80"/>
      <c r="CY287" s="80"/>
      <c r="CZ287" s="80"/>
      <c r="DA287" s="80"/>
      <c r="DE287" s="80"/>
      <c r="DF287" s="80"/>
      <c r="DG287" s="80"/>
      <c r="DI287" s="80"/>
      <c r="DJ287" s="80"/>
      <c r="DN287" s="80"/>
      <c r="EL287" s="80"/>
    </row>
    <row r="288" spans="1:142" ht="12.75" customHeight="1">
      <c r="A288" s="80"/>
      <c r="B288" s="80"/>
      <c r="C288" s="80"/>
      <c r="D288" s="104"/>
      <c r="E288" s="26"/>
      <c r="F288" s="26"/>
      <c r="H288" s="80"/>
      <c r="I288" s="80"/>
      <c r="L288" s="80"/>
      <c r="M288" s="80"/>
      <c r="O288" s="80"/>
      <c r="P288" s="80"/>
      <c r="Q288" s="80"/>
      <c r="R288" s="80"/>
      <c r="AF288" s="80"/>
      <c r="AK288" s="80"/>
      <c r="AP288" s="80"/>
      <c r="AZ288" s="80"/>
      <c r="BF288" s="80"/>
      <c r="BO288" s="80"/>
      <c r="BQ288" s="80"/>
      <c r="BR288" s="80"/>
      <c r="BS288" s="80"/>
      <c r="BZ288" s="80"/>
      <c r="CA288" s="80"/>
      <c r="CB288" s="80"/>
      <c r="CD288" s="80"/>
      <c r="CE288" s="80"/>
      <c r="CG288" s="80"/>
      <c r="CI288" s="80"/>
      <c r="CK288" s="80"/>
      <c r="CL288" s="80"/>
      <c r="CT288" s="80"/>
      <c r="CU288" s="80"/>
      <c r="CY288" s="80"/>
      <c r="CZ288" s="80"/>
      <c r="DA288" s="80"/>
      <c r="DE288" s="80"/>
      <c r="DI288" s="80"/>
      <c r="DJ288" s="80"/>
      <c r="DN288" s="80"/>
      <c r="DR288" s="80"/>
      <c r="DS288" s="80"/>
      <c r="DU288" s="80"/>
      <c r="DV288" s="80"/>
      <c r="DX288" s="80"/>
      <c r="EC288" s="80"/>
      <c r="EL288" s="80"/>
    </row>
    <row r="289" spans="1:142" ht="12.75" customHeight="1">
      <c r="A289" s="80"/>
      <c r="B289" s="80"/>
      <c r="C289" s="80"/>
      <c r="D289" s="104"/>
      <c r="E289" s="26"/>
      <c r="F289" s="26"/>
      <c r="I289" s="80"/>
      <c r="L289" s="80"/>
      <c r="M289" s="80"/>
      <c r="Q289" s="80"/>
      <c r="R289" s="80"/>
      <c r="AB289" s="80"/>
      <c r="AF289" s="80"/>
      <c r="AZ289" s="80"/>
      <c r="BF289" s="80"/>
      <c r="BJ289" s="80"/>
      <c r="BK289" s="80"/>
      <c r="BM289" s="80"/>
      <c r="BQ289" s="80"/>
      <c r="BR289" s="80"/>
      <c r="BS289" s="80"/>
      <c r="BZ289" s="80"/>
      <c r="CA289" s="80"/>
      <c r="CC289" s="80"/>
      <c r="CD289" s="80"/>
      <c r="CE289" s="80"/>
      <c r="CG289" s="80"/>
      <c r="CI289" s="80"/>
      <c r="CK289" s="80"/>
      <c r="CL289" s="80"/>
      <c r="CT289" s="80"/>
      <c r="CU289" s="80"/>
      <c r="CY289" s="80"/>
      <c r="CZ289" s="80"/>
      <c r="DA289" s="80"/>
      <c r="DE289" s="80"/>
      <c r="DF289" s="80"/>
      <c r="DI289" s="80"/>
      <c r="DJ289" s="80"/>
      <c r="DK289" s="80"/>
      <c r="DN289" s="80"/>
      <c r="EL289" s="80"/>
    </row>
    <row r="290" spans="1:142" ht="12.75" customHeight="1">
      <c r="A290" s="80"/>
      <c r="B290" s="80"/>
      <c r="C290" s="80"/>
      <c r="D290" s="104"/>
      <c r="E290" s="26"/>
      <c r="F290" s="26"/>
      <c r="H290" s="80"/>
      <c r="I290" s="80"/>
      <c r="J290" s="80"/>
      <c r="K290" s="80"/>
      <c r="L290" s="80"/>
      <c r="M290" s="80"/>
      <c r="O290" s="80"/>
      <c r="P290" s="80"/>
      <c r="Q290" s="80"/>
      <c r="S290" s="80"/>
      <c r="V290" s="80"/>
      <c r="AF290" s="80"/>
      <c r="AL290" s="80"/>
      <c r="AP290" s="80"/>
      <c r="AX290" s="80"/>
      <c r="AZ290" s="80"/>
      <c r="BF290" s="80"/>
      <c r="BJ290" s="80"/>
      <c r="BQ290" s="80"/>
      <c r="BR290" s="80"/>
      <c r="BT290" s="80"/>
      <c r="BZ290" s="80"/>
      <c r="CA290" s="80"/>
      <c r="CB290" s="80"/>
      <c r="CC290" s="80"/>
      <c r="CD290" s="80"/>
      <c r="CE290" s="80"/>
      <c r="CG290" s="80"/>
      <c r="CL290" s="80"/>
      <c r="DE290" s="80"/>
      <c r="DI290" s="80"/>
      <c r="DJ290" s="80"/>
      <c r="DN290" s="80"/>
      <c r="DO290" s="80"/>
      <c r="DR290" s="80"/>
      <c r="DV290" s="80"/>
      <c r="DX290" s="80"/>
      <c r="EC290" s="80"/>
      <c r="EF290" s="80"/>
      <c r="EI290" s="80"/>
      <c r="EK290" s="80"/>
      <c r="EL290" s="80"/>
    </row>
    <row r="291" spans="1:142" ht="12.75" customHeight="1">
      <c r="A291" s="80"/>
      <c r="B291" s="80"/>
      <c r="C291" s="80"/>
      <c r="D291" s="104"/>
      <c r="E291" s="26"/>
      <c r="F291" s="26"/>
      <c r="H291" s="80"/>
      <c r="I291" s="80"/>
      <c r="K291" s="80"/>
      <c r="L291" s="80"/>
      <c r="M291" s="80"/>
      <c r="N291" s="80"/>
      <c r="O291" s="80"/>
      <c r="P291" s="80"/>
      <c r="Q291" s="80"/>
      <c r="AF291" s="80"/>
      <c r="AY291" s="80"/>
      <c r="BF291" s="80"/>
      <c r="BJ291" s="80"/>
      <c r="BQ291" s="80"/>
      <c r="BR291" s="80"/>
      <c r="CA291" s="80"/>
      <c r="CB291" s="80"/>
      <c r="CC291" s="80"/>
      <c r="CD291" s="80"/>
      <c r="CE291" s="80"/>
      <c r="CG291" s="80"/>
      <c r="CL291" s="80"/>
      <c r="CN291" s="80"/>
      <c r="CO291" s="80"/>
      <c r="CT291" s="80"/>
      <c r="CZ291" s="80"/>
      <c r="DE291" s="80"/>
      <c r="DI291" s="80"/>
      <c r="DJ291" s="80"/>
      <c r="DN291" s="80"/>
      <c r="DR291" s="80"/>
      <c r="DV291" s="80"/>
      <c r="DX291" s="80"/>
      <c r="EC291" s="80"/>
      <c r="EL291" s="80"/>
    </row>
    <row r="292" spans="1:142" ht="12.75" customHeight="1">
      <c r="A292" s="80"/>
      <c r="B292" s="80"/>
      <c r="C292" s="80"/>
      <c r="D292" s="104"/>
      <c r="E292" s="26"/>
      <c r="F292" s="26"/>
      <c r="H292" s="80"/>
      <c r="J292" s="80"/>
      <c r="K292" s="80"/>
      <c r="L292" s="80"/>
      <c r="M292" s="80"/>
      <c r="N292" s="80"/>
      <c r="O292" s="80"/>
      <c r="Q292" s="80"/>
      <c r="S292" s="80"/>
      <c r="AF292" s="80"/>
      <c r="AL292" s="80"/>
      <c r="AP292" s="80"/>
      <c r="AX292" s="80"/>
      <c r="AZ292" s="80"/>
      <c r="BF292" s="80"/>
      <c r="BJ292" s="80"/>
      <c r="BK292" s="80"/>
      <c r="BL292" s="80"/>
      <c r="BQ292" s="80"/>
      <c r="BR292" s="80"/>
      <c r="BT292" s="80"/>
      <c r="BZ292" s="80"/>
      <c r="CA292" s="80"/>
      <c r="CB292" s="80"/>
      <c r="CC292" s="80"/>
      <c r="CD292" s="80"/>
      <c r="CE292" s="80"/>
      <c r="CG292" s="80"/>
      <c r="CL292" s="80"/>
      <c r="CY292" s="80"/>
      <c r="CZ292" s="80"/>
      <c r="DA292" s="80"/>
      <c r="DE292" s="80"/>
      <c r="DI292" s="80"/>
      <c r="DJ292" s="80"/>
      <c r="DN292" s="80"/>
      <c r="ED292" s="80"/>
      <c r="EK292" s="80"/>
      <c r="EL292" s="80"/>
    </row>
    <row r="293" spans="1:142" ht="12.75" customHeight="1">
      <c r="A293" s="80"/>
      <c r="B293" s="80"/>
      <c r="C293" s="80"/>
      <c r="D293" s="104"/>
      <c r="E293" s="26"/>
      <c r="F293" s="26"/>
      <c r="H293" s="80"/>
      <c r="I293" s="80"/>
      <c r="K293" s="80"/>
      <c r="L293" s="80"/>
      <c r="M293" s="80"/>
      <c r="O293" s="80"/>
      <c r="Q293" s="80"/>
      <c r="AF293" s="80"/>
      <c r="AK293" s="80"/>
      <c r="AP293" s="80"/>
      <c r="AZ293" s="80"/>
      <c r="BF293" s="80"/>
      <c r="BJ293" s="80"/>
      <c r="BQ293" s="80"/>
      <c r="BR293" s="80"/>
      <c r="BT293" s="80"/>
      <c r="BZ293" s="80"/>
      <c r="CA293" s="80"/>
      <c r="CB293" s="80"/>
      <c r="CD293" s="80"/>
      <c r="CE293" s="80"/>
      <c r="CG293" s="80"/>
      <c r="CL293" s="80"/>
      <c r="CY293" s="80"/>
      <c r="CZ293" s="80"/>
      <c r="DE293" s="80"/>
      <c r="DI293" s="80"/>
      <c r="DJ293" s="80"/>
      <c r="DN293" s="80"/>
      <c r="DR293" s="80"/>
      <c r="DV293" s="80"/>
      <c r="DX293" s="80"/>
      <c r="EC293" s="80"/>
      <c r="EF293" s="80"/>
      <c r="EG293" s="80"/>
      <c r="EK293" s="80"/>
      <c r="EL293" s="80"/>
    </row>
    <row r="294" spans="1:142" ht="12.75" customHeight="1">
      <c r="A294" s="80"/>
      <c r="B294" s="80"/>
      <c r="C294" s="80"/>
      <c r="D294" s="104"/>
      <c r="E294" s="26"/>
      <c r="F294" s="26"/>
      <c r="G294" s="80"/>
      <c r="H294" s="80"/>
      <c r="I294" s="80"/>
      <c r="J294" s="80"/>
      <c r="K294" s="80"/>
      <c r="L294" s="80"/>
      <c r="M294" s="80"/>
      <c r="P294" s="80"/>
      <c r="Q294" s="80"/>
      <c r="S294" s="80"/>
      <c r="AF294" s="80"/>
      <c r="AK294" s="80"/>
      <c r="AL294" s="80"/>
      <c r="AP294" s="80"/>
      <c r="AZ294" s="80"/>
      <c r="BF294" s="80"/>
      <c r="BR294" s="80"/>
      <c r="BS294" s="80"/>
      <c r="BZ294" s="80"/>
      <c r="CA294" s="80"/>
      <c r="CB294" s="80"/>
      <c r="CC294" s="80"/>
      <c r="CD294" s="80"/>
      <c r="CE294" s="80"/>
      <c r="CG294" s="80"/>
      <c r="CL294" s="80"/>
      <c r="CN294" s="80"/>
      <c r="CO294" s="80"/>
      <c r="CY294" s="80"/>
      <c r="CZ294" s="80"/>
      <c r="DA294" s="80"/>
      <c r="DE294" s="80"/>
      <c r="DI294" s="80"/>
      <c r="DJ294" s="80"/>
      <c r="DN294" s="80"/>
      <c r="DR294" s="80"/>
      <c r="DV294" s="80"/>
      <c r="DW294" s="80"/>
      <c r="DX294" s="80"/>
      <c r="EC294" s="80"/>
      <c r="EL294" s="80"/>
    </row>
    <row r="295" spans="1:142" ht="12.75" customHeight="1">
      <c r="A295" s="80"/>
      <c r="B295" s="80"/>
      <c r="C295" s="80"/>
      <c r="D295" s="104"/>
      <c r="E295" s="26"/>
      <c r="F295" s="26"/>
      <c r="H295" s="80"/>
      <c r="J295" s="80"/>
      <c r="K295" s="80"/>
      <c r="L295" s="80"/>
      <c r="M295" s="80"/>
      <c r="N295" s="80"/>
      <c r="O295" s="80"/>
      <c r="P295" s="80"/>
      <c r="Q295" s="80"/>
      <c r="S295" s="80"/>
      <c r="AB295" s="80"/>
      <c r="AF295" s="80"/>
      <c r="AK295" s="80"/>
      <c r="AL295" s="80"/>
      <c r="AP295" s="80"/>
      <c r="AW295" s="80"/>
      <c r="AX295" s="80"/>
      <c r="AZ295" s="80"/>
      <c r="BF295" s="80"/>
      <c r="BP295" s="80"/>
      <c r="BQ295" s="80"/>
      <c r="BR295" s="80"/>
      <c r="BS295" s="80"/>
      <c r="BZ295" s="80"/>
      <c r="CA295" s="80"/>
      <c r="CB295" s="80"/>
      <c r="CC295" s="80"/>
      <c r="CD295" s="80"/>
      <c r="CE295" s="80"/>
      <c r="CG295" s="80"/>
      <c r="CL295" s="80"/>
      <c r="CN295" s="80"/>
      <c r="CO295" s="80"/>
      <c r="CY295" s="80"/>
      <c r="CZ295" s="80"/>
      <c r="DE295" s="80"/>
      <c r="DI295" s="80"/>
      <c r="DJ295" s="80"/>
      <c r="DN295" s="80"/>
      <c r="DO295" s="80"/>
      <c r="DR295" s="80"/>
      <c r="DV295" s="80"/>
      <c r="DX295" s="80"/>
      <c r="EC295" s="80"/>
      <c r="ED295" s="80"/>
      <c r="EF295" s="80"/>
      <c r="EG295" s="80"/>
      <c r="EH295" s="80"/>
      <c r="EI295" s="80"/>
      <c r="EK295" s="80"/>
      <c r="EL295" s="80"/>
    </row>
    <row r="296" spans="1:142" ht="12.75" customHeight="1">
      <c r="A296" s="80"/>
      <c r="B296" s="80"/>
      <c r="C296" s="80"/>
      <c r="D296" s="104"/>
      <c r="E296" s="26"/>
      <c r="F296" s="26"/>
      <c r="H296" s="80"/>
      <c r="J296" s="80"/>
      <c r="L296" s="80"/>
      <c r="M296" s="80"/>
      <c r="N296" s="80"/>
      <c r="O296" s="80"/>
      <c r="P296" s="80"/>
      <c r="Q296" s="80"/>
      <c r="AF296" s="80"/>
      <c r="AL296" s="80"/>
      <c r="AP296" s="80"/>
      <c r="AZ296" s="80"/>
      <c r="BF296" s="80"/>
      <c r="BQ296" s="80"/>
      <c r="BR296" s="80"/>
      <c r="BS296" s="80"/>
      <c r="BT296" s="80"/>
      <c r="BZ296" s="80"/>
      <c r="CA296" s="80"/>
      <c r="CB296" s="80"/>
      <c r="CD296" s="80"/>
      <c r="CE296" s="80"/>
      <c r="CG296" s="80"/>
      <c r="CL296" s="80"/>
      <c r="CY296" s="80"/>
      <c r="CZ296" s="80"/>
      <c r="DA296" s="80"/>
      <c r="DE296" s="80"/>
      <c r="DI296" s="80"/>
      <c r="DJ296" s="80"/>
      <c r="DN296" s="80"/>
      <c r="DR296" s="80"/>
      <c r="DS296" s="80"/>
      <c r="DU296" s="80"/>
      <c r="DV296" s="80"/>
      <c r="DX296" s="80"/>
      <c r="EC296" s="80"/>
      <c r="EI296" s="80"/>
      <c r="EK296" s="80"/>
      <c r="EL296" s="80"/>
    </row>
    <row r="297" spans="1:142" ht="12.75" customHeight="1">
      <c r="A297" s="80"/>
      <c r="B297" s="80"/>
      <c r="C297" s="80"/>
      <c r="D297" s="104"/>
      <c r="E297" s="26"/>
      <c r="F297" s="26"/>
      <c r="I297" s="80"/>
      <c r="J297" s="80"/>
      <c r="K297" s="80"/>
      <c r="L297" s="80"/>
      <c r="M297" s="80"/>
      <c r="O297" s="80"/>
      <c r="P297" s="80"/>
      <c r="Q297" s="80"/>
      <c r="R297" s="80"/>
      <c r="AB297" s="80"/>
      <c r="AF297" s="80"/>
      <c r="AX297" s="80"/>
      <c r="AZ297" s="80"/>
      <c r="BF297" s="80"/>
      <c r="BJ297" s="80"/>
      <c r="BQ297" s="80"/>
      <c r="BR297" s="80"/>
      <c r="BT297" s="80"/>
      <c r="BZ297" s="80"/>
      <c r="CA297" s="80"/>
      <c r="CB297" s="80"/>
      <c r="CC297" s="80"/>
      <c r="CD297" s="80"/>
      <c r="CE297" s="80"/>
      <c r="CG297" s="80"/>
      <c r="CL297" s="80"/>
      <c r="DE297" s="80"/>
      <c r="DI297" s="80"/>
      <c r="DJ297" s="80"/>
      <c r="DN297" s="80"/>
      <c r="DO297" s="80"/>
      <c r="DR297" s="80"/>
      <c r="DV297" s="80"/>
      <c r="DX297" s="80"/>
      <c r="EC297" s="80"/>
      <c r="EF297" s="80"/>
      <c r="EI297" s="80"/>
      <c r="EJ297" s="80"/>
      <c r="EK297" s="80"/>
      <c r="EL297" s="80"/>
    </row>
    <row r="298" spans="1:142" ht="12.75" customHeight="1">
      <c r="A298" s="80"/>
      <c r="B298" s="80"/>
      <c r="C298" s="80"/>
      <c r="D298" s="104"/>
      <c r="E298" s="26"/>
      <c r="F298" s="26"/>
      <c r="H298" s="80"/>
      <c r="I298" s="80"/>
      <c r="J298" s="80"/>
      <c r="K298" s="80"/>
      <c r="L298" s="80"/>
      <c r="M298" s="80"/>
      <c r="O298" s="80"/>
      <c r="Q298" s="80"/>
      <c r="S298" s="80"/>
      <c r="T298" s="80"/>
      <c r="AB298" s="80"/>
      <c r="AF298" s="80"/>
      <c r="AL298" s="80"/>
      <c r="AP298" s="80"/>
      <c r="AZ298" s="80"/>
      <c r="BF298" s="80"/>
      <c r="BQ298" s="80"/>
      <c r="BR298" s="80"/>
      <c r="BT298" s="80"/>
      <c r="BZ298" s="80"/>
      <c r="CA298" s="80"/>
      <c r="CB298" s="80"/>
      <c r="CC298" s="80"/>
      <c r="CD298" s="80"/>
      <c r="CE298" s="80"/>
      <c r="CG298" s="80"/>
      <c r="CL298" s="80"/>
      <c r="CY298" s="80"/>
      <c r="CZ298" s="80"/>
      <c r="DE298" s="80"/>
      <c r="DI298" s="80"/>
      <c r="DJ298" s="80"/>
      <c r="DN298" s="80"/>
      <c r="DR298" s="80"/>
      <c r="DT298" s="80"/>
      <c r="DU298" s="80"/>
      <c r="DV298" s="80"/>
      <c r="DX298" s="80"/>
      <c r="EC298" s="80"/>
      <c r="ED298" s="80"/>
      <c r="EG298" s="80"/>
      <c r="EH298" s="80"/>
      <c r="EI298" s="80"/>
      <c r="EJ298" s="80"/>
      <c r="EK298" s="80"/>
      <c r="EL298" s="80"/>
    </row>
    <row r="299" spans="1:142" ht="12.75" customHeight="1">
      <c r="A299" s="80"/>
      <c r="B299" s="80"/>
      <c r="C299" s="80"/>
      <c r="D299" s="104"/>
      <c r="E299" s="26"/>
      <c r="F299" s="26"/>
      <c r="H299" s="80"/>
      <c r="I299" s="80"/>
      <c r="J299" s="80"/>
      <c r="K299" s="80"/>
      <c r="L299" s="80"/>
      <c r="M299" s="80"/>
      <c r="N299" s="80"/>
      <c r="O299" s="80"/>
      <c r="P299" s="80"/>
      <c r="Q299" s="80"/>
      <c r="S299" s="80"/>
      <c r="AF299" s="80"/>
      <c r="AX299" s="80"/>
      <c r="AZ299" s="80"/>
      <c r="BF299" s="80"/>
      <c r="BJ299" s="80"/>
      <c r="BP299" s="80"/>
      <c r="BQ299" s="80"/>
      <c r="BR299" s="80"/>
      <c r="BS299" s="80"/>
      <c r="BT299" s="80"/>
      <c r="BZ299" s="80"/>
      <c r="CA299" s="80"/>
      <c r="CB299" s="80"/>
      <c r="CC299" s="80"/>
      <c r="CD299" s="80"/>
      <c r="CE299" s="80"/>
      <c r="CG299" s="80"/>
      <c r="CL299" s="80"/>
      <c r="CN299" s="80"/>
      <c r="CO299" s="80"/>
      <c r="CY299" s="80"/>
      <c r="CZ299" s="80"/>
      <c r="DA299" s="80"/>
      <c r="DE299" s="80"/>
      <c r="DI299" s="80"/>
      <c r="DJ299" s="80"/>
      <c r="DN299" s="80"/>
      <c r="DR299" s="80"/>
      <c r="DS299" s="80"/>
      <c r="DU299" s="80"/>
      <c r="DV299" s="80"/>
      <c r="DW299" s="80"/>
      <c r="DX299" s="80"/>
      <c r="EC299" s="80"/>
      <c r="EL299" s="80"/>
    </row>
    <row r="300" spans="1:142" ht="12.75" customHeight="1">
      <c r="A300" s="80"/>
      <c r="B300" s="80"/>
      <c r="C300" s="80"/>
      <c r="D300" s="104"/>
      <c r="E300" s="26"/>
      <c r="F300" s="26"/>
      <c r="H300" s="80"/>
      <c r="I300" s="80"/>
      <c r="J300" s="80"/>
      <c r="K300" s="80"/>
      <c r="L300" s="80"/>
      <c r="M300" s="80"/>
      <c r="N300" s="80"/>
      <c r="O300" s="80"/>
      <c r="Q300" s="80"/>
      <c r="S300" s="80"/>
      <c r="AF300" s="80"/>
      <c r="AZ300" s="80"/>
      <c r="BF300" s="80"/>
      <c r="BQ300" s="80"/>
      <c r="BR300" s="80"/>
      <c r="BS300" s="80"/>
      <c r="BZ300" s="80"/>
      <c r="CA300" s="80"/>
      <c r="CB300" s="80"/>
      <c r="CC300" s="80"/>
      <c r="CD300" s="80"/>
      <c r="CE300" s="80"/>
      <c r="CG300" s="80"/>
      <c r="CL300" s="80"/>
      <c r="CY300" s="80"/>
      <c r="CZ300" s="80"/>
      <c r="DA300" s="80"/>
      <c r="DE300" s="80"/>
      <c r="DI300" s="80"/>
      <c r="DJ300" s="80"/>
      <c r="DN300" s="80"/>
      <c r="DR300" s="80"/>
      <c r="DV300" s="80"/>
      <c r="DX300" s="80"/>
      <c r="EC300" s="80"/>
      <c r="ED300" s="80"/>
      <c r="EF300" s="80"/>
      <c r="EK300" s="80"/>
      <c r="EL300" s="80"/>
    </row>
    <row r="301" spans="1:142" ht="12.75" customHeight="1">
      <c r="A301" s="80"/>
      <c r="B301" s="80"/>
      <c r="C301" s="80"/>
      <c r="D301" s="104"/>
      <c r="E301" s="26"/>
      <c r="F301" s="26"/>
      <c r="H301" s="80"/>
      <c r="I301" s="80"/>
      <c r="J301" s="80"/>
      <c r="K301" s="80"/>
      <c r="L301" s="80"/>
      <c r="M301" s="80"/>
      <c r="O301" s="80"/>
      <c r="P301" s="80"/>
      <c r="Q301" s="80"/>
      <c r="S301" s="80"/>
      <c r="AF301" s="80"/>
      <c r="AI301" s="80"/>
      <c r="AK301" s="80"/>
      <c r="AL301" s="80"/>
      <c r="AP301" s="80"/>
      <c r="AX301" s="80"/>
      <c r="AZ301" s="80"/>
      <c r="BF301" s="80"/>
      <c r="BQ301" s="80"/>
      <c r="BR301" s="80"/>
      <c r="BS301" s="80"/>
      <c r="BT301" s="80"/>
      <c r="CA301" s="80"/>
      <c r="CB301" s="80"/>
      <c r="CC301" s="80"/>
      <c r="CD301" s="80"/>
      <c r="CE301" s="80"/>
      <c r="CG301" s="80"/>
      <c r="CL301" s="80"/>
      <c r="CN301" s="80"/>
      <c r="CO301" s="80"/>
      <c r="CW301" s="80"/>
      <c r="CY301" s="80"/>
      <c r="CZ301" s="80"/>
      <c r="DA301" s="80"/>
      <c r="DE301" s="80"/>
      <c r="DI301" s="80"/>
      <c r="DJ301" s="80"/>
      <c r="DN301" s="80"/>
      <c r="DO301" s="80"/>
      <c r="DR301" s="80"/>
      <c r="DV301" s="80"/>
      <c r="DX301" s="80"/>
      <c r="EC301" s="80"/>
      <c r="ED301" s="80"/>
      <c r="EF301" s="80"/>
      <c r="EI301" s="80"/>
      <c r="EK301" s="80"/>
      <c r="EL301" s="80"/>
    </row>
    <row r="302" spans="1:142" ht="12.75" customHeight="1">
      <c r="A302" s="80"/>
      <c r="B302" s="80"/>
      <c r="C302" s="80"/>
      <c r="D302" s="104"/>
      <c r="E302" s="26"/>
      <c r="F302" s="26"/>
      <c r="G302" s="80"/>
      <c r="L302" s="80"/>
      <c r="M302" s="80"/>
      <c r="N302" s="80"/>
      <c r="Q302" s="80"/>
      <c r="S302" s="80"/>
      <c r="AA302" s="80"/>
      <c r="AE302" s="80"/>
      <c r="AF302" s="80"/>
      <c r="AH302" s="80"/>
      <c r="AW302" s="80"/>
      <c r="AZ302" s="80"/>
      <c r="BF302" s="80"/>
      <c r="BJ302" s="80"/>
      <c r="BK302" s="80"/>
      <c r="BQ302" s="80"/>
      <c r="BR302" s="80"/>
      <c r="BT302" s="80"/>
      <c r="BZ302" s="80"/>
      <c r="CA302" s="80"/>
      <c r="CB302" s="80"/>
      <c r="CC302" s="80"/>
      <c r="CD302" s="80"/>
      <c r="CE302" s="80"/>
      <c r="CG302" s="80"/>
      <c r="CL302" s="80"/>
      <c r="EL302" s="80"/>
    </row>
    <row r="303" spans="1:142" ht="12.75" customHeight="1">
      <c r="A303" s="80"/>
      <c r="B303" s="80"/>
      <c r="C303" s="80"/>
      <c r="D303" s="104"/>
      <c r="E303" s="26"/>
      <c r="F303" s="26"/>
      <c r="H303" s="80"/>
      <c r="I303" s="80"/>
      <c r="J303" s="80"/>
      <c r="K303" s="80"/>
      <c r="L303" s="80"/>
      <c r="M303" s="80"/>
      <c r="Q303" s="80"/>
      <c r="AF303" s="80"/>
      <c r="AZ303" s="80"/>
      <c r="BF303" s="80"/>
      <c r="BJ303" s="80"/>
      <c r="BQ303" s="80"/>
      <c r="BR303" s="80"/>
      <c r="BS303" s="80"/>
      <c r="BZ303" s="80"/>
      <c r="CA303" s="80"/>
      <c r="CB303" s="80"/>
      <c r="CC303" s="80"/>
      <c r="CD303" s="80"/>
      <c r="CE303" s="80"/>
      <c r="CG303" s="80"/>
      <c r="CL303" s="80"/>
      <c r="CN303" s="80"/>
      <c r="CO303" s="80"/>
      <c r="CW303" s="80"/>
      <c r="CY303" s="80"/>
      <c r="CZ303" s="80"/>
      <c r="DA303" s="80"/>
      <c r="DE303" s="80"/>
      <c r="DI303" s="80"/>
      <c r="DJ303" s="80"/>
      <c r="DN303" s="80"/>
      <c r="EL303" s="80"/>
    </row>
    <row r="304" spans="1:142" ht="12.75" customHeight="1">
      <c r="A304" s="80"/>
      <c r="B304" s="80"/>
      <c r="C304" s="80"/>
      <c r="D304" s="104"/>
      <c r="E304" s="26"/>
      <c r="F304" s="26"/>
      <c r="H304" s="80"/>
      <c r="K304" s="80"/>
      <c r="L304" s="80"/>
      <c r="M304" s="80"/>
      <c r="O304" s="80"/>
      <c r="Q304" s="80"/>
      <c r="AF304" s="80"/>
      <c r="AL304" s="80"/>
      <c r="AP304" s="80"/>
      <c r="AX304" s="80"/>
      <c r="AZ304" s="80"/>
      <c r="BF304" s="80"/>
      <c r="BJ304" s="80"/>
      <c r="BK304" s="80"/>
      <c r="BQ304" s="80"/>
      <c r="BR304" s="80"/>
      <c r="BS304" s="80"/>
      <c r="BT304" s="80"/>
      <c r="BZ304" s="80"/>
      <c r="CA304" s="80"/>
      <c r="CB304" s="80"/>
      <c r="CC304" s="80"/>
      <c r="CD304" s="80"/>
      <c r="CE304" s="80"/>
      <c r="CG304" s="80"/>
      <c r="CL304" s="80"/>
      <c r="CN304" s="80"/>
      <c r="CO304" s="80"/>
      <c r="CY304" s="80"/>
      <c r="CZ304" s="80"/>
      <c r="DA304" s="80"/>
      <c r="DB304" s="80"/>
      <c r="DE304" s="80"/>
      <c r="DI304" s="80"/>
      <c r="DJ304" s="80"/>
      <c r="DN304" s="80"/>
      <c r="DR304" s="80"/>
      <c r="DV304" s="80"/>
      <c r="DW304" s="80"/>
      <c r="DX304" s="80"/>
      <c r="EC304" s="80"/>
      <c r="EL304" s="80"/>
    </row>
    <row r="305" spans="1:142" ht="12.75" customHeight="1">
      <c r="A305" s="80"/>
      <c r="B305" s="80"/>
      <c r="C305" s="80"/>
      <c r="D305" s="104"/>
      <c r="E305" s="26"/>
      <c r="F305" s="26"/>
      <c r="H305" s="80"/>
      <c r="I305" s="80"/>
      <c r="J305" s="80"/>
      <c r="K305" s="80"/>
      <c r="L305" s="80"/>
      <c r="M305" s="80"/>
      <c r="O305" s="80"/>
      <c r="Q305" s="80"/>
      <c r="S305" s="80"/>
      <c r="AF305" s="80"/>
      <c r="AK305" s="80"/>
      <c r="AP305" s="80"/>
      <c r="AX305" s="80"/>
      <c r="AZ305" s="80"/>
      <c r="BF305" s="80"/>
      <c r="BJ305" s="80"/>
      <c r="BP305" s="80"/>
      <c r="BQ305" s="80"/>
      <c r="BR305" s="80"/>
      <c r="BT305" s="80"/>
      <c r="BZ305" s="80"/>
      <c r="CA305" s="80"/>
      <c r="CB305" s="80"/>
      <c r="CC305" s="80"/>
      <c r="CD305" s="80"/>
      <c r="CE305" s="80"/>
      <c r="CG305" s="80"/>
      <c r="CL305" s="80"/>
      <c r="CN305" s="80"/>
      <c r="CO305" s="80"/>
      <c r="DA305" s="80"/>
      <c r="DE305" s="80"/>
      <c r="DI305" s="80"/>
      <c r="DJ305" s="80"/>
      <c r="DN305" s="80"/>
      <c r="DO305" s="80"/>
      <c r="DR305" s="80"/>
      <c r="DV305" s="80"/>
      <c r="DX305" s="80"/>
      <c r="EC305" s="80"/>
      <c r="EI305" s="80"/>
      <c r="EK305" s="80"/>
      <c r="EL305" s="80"/>
    </row>
    <row r="306" spans="1:142" ht="12.75" customHeight="1">
      <c r="A306" s="80"/>
      <c r="B306" s="80"/>
      <c r="C306" s="80"/>
      <c r="D306" s="104"/>
      <c r="E306" s="26"/>
      <c r="F306" s="26"/>
      <c r="H306" s="80"/>
      <c r="I306" s="80"/>
      <c r="J306" s="80"/>
      <c r="K306" s="80"/>
      <c r="L306" s="80"/>
      <c r="M306" s="80"/>
      <c r="O306" s="80"/>
      <c r="P306" s="80"/>
      <c r="Q306" s="80"/>
      <c r="S306" s="80"/>
      <c r="AB306" s="80"/>
      <c r="AF306" s="80"/>
      <c r="AK306" s="80"/>
      <c r="AL306" s="80"/>
      <c r="AP306" s="80"/>
      <c r="AX306" s="80"/>
      <c r="AZ306" s="80"/>
      <c r="BF306" s="80"/>
      <c r="BJ306" s="80"/>
      <c r="BP306" s="80"/>
      <c r="BQ306" s="80"/>
      <c r="BR306" s="80"/>
      <c r="BS306" s="80"/>
      <c r="BT306" s="80"/>
      <c r="BZ306" s="80"/>
      <c r="CA306" s="80"/>
      <c r="CB306" s="80"/>
      <c r="CC306" s="80"/>
      <c r="CD306" s="80"/>
      <c r="CE306" s="80"/>
      <c r="CG306" s="80"/>
      <c r="CL306" s="80"/>
      <c r="CN306" s="80"/>
      <c r="CO306" s="80"/>
      <c r="CY306" s="80"/>
      <c r="CZ306" s="80"/>
      <c r="DE306" s="80"/>
      <c r="DI306" s="80"/>
      <c r="DJ306" s="80"/>
      <c r="DN306" s="80"/>
      <c r="DR306" s="80"/>
      <c r="DV306" s="80"/>
      <c r="DW306" s="80"/>
      <c r="DX306" s="80"/>
      <c r="EC306" s="80"/>
      <c r="EF306" s="80"/>
      <c r="EI306" s="80"/>
      <c r="EL306" s="80"/>
    </row>
    <row r="307" spans="1:142" ht="12.75" customHeight="1">
      <c r="A307" s="80"/>
      <c r="B307" s="80"/>
      <c r="C307" s="80"/>
      <c r="D307" s="104"/>
      <c r="E307" s="26"/>
      <c r="F307" s="26"/>
      <c r="M307" s="80"/>
      <c r="O307" s="80"/>
      <c r="Q307" s="80"/>
      <c r="AB307" s="80"/>
      <c r="AD307" s="80"/>
      <c r="AK307" s="80"/>
      <c r="AP307" s="80"/>
      <c r="AZ307" s="80"/>
      <c r="BF307" s="80"/>
      <c r="CD307" s="80"/>
      <c r="CE307" s="80"/>
      <c r="CG307" s="80"/>
      <c r="CL307" s="80"/>
      <c r="CN307" s="80"/>
      <c r="CO307" s="80"/>
      <c r="CY307" s="80"/>
      <c r="CZ307" s="80"/>
      <c r="DG307" s="80"/>
      <c r="DI307" s="80"/>
      <c r="DJ307" s="80"/>
      <c r="DN307" s="80"/>
      <c r="EI307" s="80"/>
      <c r="EJ307" s="80"/>
      <c r="EK307" s="80"/>
      <c r="EL307" s="80"/>
    </row>
    <row r="308" spans="1:142" ht="12.75" customHeight="1">
      <c r="A308" s="80"/>
      <c r="B308" s="80"/>
      <c r="C308" s="80"/>
      <c r="D308" s="104"/>
      <c r="E308" s="26"/>
      <c r="F308" s="26"/>
      <c r="H308" s="80"/>
      <c r="I308" s="80"/>
      <c r="J308" s="80"/>
      <c r="K308" s="80"/>
      <c r="L308" s="80"/>
      <c r="M308" s="80"/>
      <c r="N308" s="80"/>
      <c r="O308" s="80"/>
      <c r="Q308" s="80"/>
      <c r="S308" s="80"/>
      <c r="AB308" s="80"/>
      <c r="AG308" s="80"/>
      <c r="AR308" s="80"/>
      <c r="AT308" s="80"/>
      <c r="AX308" s="80"/>
      <c r="AZ308" s="80"/>
      <c r="BF308" s="80"/>
      <c r="BJ308" s="80"/>
      <c r="BR308" s="80"/>
      <c r="BT308" s="80"/>
      <c r="BV308" s="80"/>
      <c r="BX308" s="80"/>
      <c r="CA308" s="80"/>
      <c r="CB308" s="80"/>
      <c r="CD308" s="80"/>
      <c r="CE308" s="80"/>
      <c r="CG308" s="80"/>
      <c r="CL308" s="80"/>
      <c r="CN308" s="80"/>
      <c r="CO308" s="80"/>
      <c r="CY308" s="80"/>
      <c r="CZ308" s="80"/>
      <c r="DB308" s="80"/>
      <c r="DF308" s="80"/>
      <c r="DI308" s="80"/>
      <c r="DJ308" s="80"/>
      <c r="DN308" s="80"/>
      <c r="ED308" s="80"/>
      <c r="EF308" s="80"/>
      <c r="EI308" s="80"/>
      <c r="EK308" s="80"/>
      <c r="EL308" s="80"/>
    </row>
    <row r="309" spans="1:142" ht="12.75" customHeight="1">
      <c r="A309" s="80"/>
      <c r="B309" s="80"/>
      <c r="C309" s="80"/>
      <c r="D309" s="104"/>
      <c r="E309" s="26"/>
      <c r="F309" s="26"/>
      <c r="H309" s="80"/>
      <c r="I309" s="80"/>
      <c r="J309" s="80"/>
      <c r="K309" s="80"/>
      <c r="L309" s="80"/>
      <c r="M309" s="80"/>
      <c r="N309" s="80"/>
      <c r="O309" s="80"/>
      <c r="Q309" s="80"/>
      <c r="R309" s="80"/>
      <c r="S309" s="80"/>
      <c r="T309" s="80"/>
      <c r="AF309" s="80"/>
      <c r="AL309" s="80"/>
      <c r="AP309" s="80"/>
      <c r="AX309" s="80"/>
      <c r="AZ309" s="80"/>
      <c r="BF309" s="80"/>
      <c r="BJ309" s="80"/>
      <c r="BQ309" s="80"/>
      <c r="BR309" s="80"/>
      <c r="BZ309" s="80"/>
      <c r="CA309" s="80"/>
      <c r="CB309" s="80"/>
      <c r="CC309" s="80"/>
      <c r="CD309" s="80"/>
      <c r="CE309" s="80"/>
      <c r="CG309" s="80"/>
      <c r="CL309" s="80"/>
      <c r="CN309" s="80"/>
      <c r="CO309" s="80"/>
      <c r="CW309" s="80"/>
      <c r="CY309" s="80"/>
      <c r="CZ309" s="80"/>
      <c r="DA309" s="80"/>
      <c r="DE309" s="80"/>
      <c r="DI309" s="80"/>
      <c r="DJ309" s="80"/>
      <c r="DN309" s="80"/>
      <c r="DO309" s="80"/>
      <c r="DR309" s="80"/>
      <c r="DV309" s="80"/>
      <c r="DX309" s="80"/>
      <c r="EC309" s="80"/>
      <c r="EF309" s="80"/>
      <c r="EI309" s="80"/>
      <c r="EJ309" s="80"/>
      <c r="EK309" s="80"/>
      <c r="EL309" s="80"/>
    </row>
    <row r="310" spans="1:142" ht="12.75" customHeight="1">
      <c r="A310" s="80"/>
      <c r="B310" s="80"/>
      <c r="C310" s="80"/>
      <c r="D310" s="104"/>
      <c r="E310" s="26"/>
      <c r="F310" s="26"/>
      <c r="H310" s="80"/>
      <c r="I310" s="80"/>
      <c r="J310" s="80"/>
      <c r="K310" s="80"/>
      <c r="L310" s="80"/>
      <c r="M310" s="80"/>
      <c r="Q310" s="80"/>
      <c r="S310" s="80"/>
      <c r="AF310" s="80"/>
      <c r="AK310" s="80"/>
      <c r="AP310" s="80"/>
      <c r="AX310" s="80"/>
      <c r="AZ310" s="80"/>
      <c r="BF310" s="80"/>
      <c r="BQ310" s="80"/>
      <c r="BR310" s="80"/>
      <c r="BS310" s="80"/>
      <c r="BT310" s="80"/>
      <c r="BZ310" s="80"/>
      <c r="CA310" s="80"/>
      <c r="CB310" s="80"/>
      <c r="CC310" s="80"/>
      <c r="CD310" s="80"/>
      <c r="CE310" s="80"/>
      <c r="CG310" s="80"/>
      <c r="CL310" s="80"/>
      <c r="CW310" s="80"/>
      <c r="CY310" s="80"/>
      <c r="CZ310" s="80"/>
      <c r="DA310" s="80"/>
      <c r="DE310" s="80"/>
      <c r="DI310" s="80"/>
      <c r="DJ310" s="80"/>
      <c r="DN310" s="80"/>
      <c r="DR310" s="80"/>
      <c r="DV310" s="80"/>
      <c r="DX310" s="80"/>
      <c r="EC310" s="80"/>
      <c r="EL310" s="80"/>
    </row>
    <row r="311" spans="1:142" ht="12.75" customHeight="1">
      <c r="A311" s="80"/>
      <c r="B311" s="80"/>
      <c r="C311" s="80"/>
      <c r="D311" s="104"/>
      <c r="E311" s="26"/>
      <c r="F311" s="26"/>
      <c r="H311" s="80"/>
      <c r="I311" s="80"/>
      <c r="J311" s="80"/>
      <c r="K311" s="80"/>
      <c r="L311" s="80"/>
      <c r="M311" s="80"/>
      <c r="N311" s="80"/>
      <c r="Q311" s="80"/>
      <c r="S311" s="80"/>
      <c r="AF311" s="80"/>
      <c r="AZ311" s="80"/>
      <c r="BF311" s="80"/>
      <c r="BQ311" s="80"/>
      <c r="BR311" s="80"/>
      <c r="BS311" s="80"/>
      <c r="BT311" s="80"/>
      <c r="CA311" s="80"/>
      <c r="CB311" s="80"/>
      <c r="CC311" s="80"/>
      <c r="CD311" s="80"/>
      <c r="CE311" s="80"/>
      <c r="CG311" s="80"/>
      <c r="CL311" s="80"/>
      <c r="CN311" s="80"/>
      <c r="CO311" s="80"/>
      <c r="CY311" s="80"/>
      <c r="CZ311" s="80"/>
      <c r="DE311" s="80"/>
      <c r="DI311" s="80"/>
      <c r="DJ311" s="80"/>
      <c r="DN311" s="80"/>
      <c r="DR311" s="80"/>
      <c r="DV311" s="80"/>
      <c r="DX311" s="80"/>
      <c r="EC311" s="80"/>
      <c r="EL311" s="80"/>
    </row>
    <row r="312" spans="1:142" ht="12.75" customHeight="1">
      <c r="A312" s="80"/>
      <c r="B312" s="80"/>
      <c r="C312" s="80"/>
      <c r="D312" s="104"/>
      <c r="E312" s="26"/>
      <c r="F312" s="26"/>
      <c r="H312" s="80"/>
      <c r="I312" s="80"/>
      <c r="J312" s="80"/>
      <c r="K312" s="80"/>
      <c r="L312" s="80"/>
      <c r="M312" s="80"/>
      <c r="N312" s="80"/>
      <c r="Q312" s="80"/>
      <c r="S312" s="80"/>
      <c r="T312" s="80"/>
      <c r="V312" s="80"/>
      <c r="AF312" s="80"/>
      <c r="AK312" s="80"/>
      <c r="AL312" s="80"/>
      <c r="AP312" s="80"/>
      <c r="AX312" s="80"/>
      <c r="AZ312" s="80"/>
      <c r="BF312" s="80"/>
      <c r="BJ312" s="80"/>
      <c r="BQ312" s="80"/>
      <c r="BR312" s="80"/>
      <c r="BZ312" s="80"/>
      <c r="CA312" s="80"/>
      <c r="CB312" s="80"/>
      <c r="CC312" s="80"/>
      <c r="CD312" s="80"/>
      <c r="CE312" s="80"/>
      <c r="CG312" s="80"/>
      <c r="CI312" s="80"/>
      <c r="CK312" s="80"/>
      <c r="CL312" s="80"/>
      <c r="CN312" s="80"/>
      <c r="CO312" s="80"/>
      <c r="CY312" s="80"/>
      <c r="CZ312" s="80"/>
      <c r="DE312" s="80"/>
      <c r="DI312" s="80"/>
      <c r="DJ312" s="80"/>
      <c r="DN312" s="80"/>
      <c r="DR312" s="80"/>
      <c r="DV312" s="80"/>
      <c r="DW312" s="80"/>
      <c r="DX312" s="80"/>
      <c r="EC312" s="80"/>
      <c r="EI312" s="80"/>
      <c r="EK312" s="80"/>
      <c r="EL312" s="80"/>
    </row>
    <row r="313" spans="1:142" ht="12.75" customHeight="1">
      <c r="A313" s="80"/>
      <c r="B313" s="80"/>
      <c r="C313" s="80"/>
      <c r="D313" s="104"/>
      <c r="E313" s="26"/>
      <c r="F313" s="26"/>
      <c r="H313" s="80"/>
      <c r="I313" s="80"/>
      <c r="J313" s="80"/>
      <c r="K313" s="80"/>
      <c r="L313" s="80"/>
      <c r="M313" s="80"/>
      <c r="P313" s="80"/>
      <c r="Q313" s="80"/>
      <c r="AF313" s="80"/>
      <c r="AL313" s="80"/>
      <c r="AP313" s="80"/>
      <c r="AZ313" s="80"/>
      <c r="BF313" s="80"/>
      <c r="BJ313" s="80"/>
      <c r="BQ313" s="80"/>
      <c r="BR313" s="80"/>
      <c r="BZ313" s="80"/>
      <c r="CA313" s="80"/>
      <c r="CB313" s="80"/>
      <c r="CC313" s="80"/>
      <c r="CD313" s="80"/>
      <c r="CE313" s="80"/>
      <c r="CG313" s="80"/>
      <c r="CL313" s="80"/>
      <c r="CW313" s="80"/>
      <c r="CY313" s="80"/>
      <c r="CZ313" s="80"/>
      <c r="DE313" s="80"/>
      <c r="DI313" s="80"/>
      <c r="DJ313" s="80"/>
      <c r="DN313" s="80"/>
      <c r="DR313" s="80"/>
      <c r="DV313" s="80"/>
      <c r="DW313" s="80"/>
      <c r="DX313" s="80"/>
      <c r="EC313" s="80"/>
      <c r="EL313" s="80"/>
    </row>
    <row r="314" spans="1:142" ht="12.75" customHeight="1">
      <c r="A314" s="80"/>
      <c r="B314" s="80"/>
      <c r="C314" s="80"/>
      <c r="D314" s="104"/>
      <c r="E314" s="26"/>
      <c r="F314" s="26"/>
      <c r="H314" s="80"/>
      <c r="I314" s="80"/>
      <c r="J314" s="80"/>
      <c r="K314" s="80"/>
      <c r="L314" s="80"/>
      <c r="M314" s="80"/>
      <c r="N314" s="80"/>
      <c r="O314" s="80"/>
      <c r="P314" s="80"/>
      <c r="Q314" s="80"/>
      <c r="S314" s="80"/>
      <c r="T314" s="80"/>
      <c r="AC314" s="80"/>
      <c r="AF314" s="80"/>
      <c r="AY314" s="80"/>
      <c r="BF314" s="80"/>
      <c r="BJ314" s="80"/>
      <c r="BQ314" s="80"/>
      <c r="BR314" s="80"/>
      <c r="BS314" s="80"/>
      <c r="BT314" s="80"/>
      <c r="BZ314" s="80"/>
      <c r="CA314" s="80"/>
      <c r="CB314" s="80"/>
      <c r="CC314" s="80"/>
      <c r="CD314" s="80"/>
      <c r="CE314" s="80"/>
      <c r="CG314" s="80"/>
      <c r="CL314" s="80"/>
      <c r="CN314" s="80"/>
      <c r="CO314" s="80"/>
      <c r="CY314" s="80"/>
      <c r="CZ314" s="80"/>
      <c r="DE314" s="80"/>
      <c r="DI314" s="80"/>
      <c r="DJ314" s="80"/>
      <c r="DN314" s="80"/>
      <c r="DR314" s="80"/>
      <c r="DV314" s="80"/>
      <c r="DX314" s="80"/>
      <c r="EC314" s="80"/>
      <c r="EL314" s="80"/>
    </row>
    <row r="315" spans="1:142" ht="12.75" customHeight="1">
      <c r="A315" s="80"/>
      <c r="B315" s="80"/>
      <c r="C315" s="80"/>
      <c r="D315" s="104"/>
      <c r="E315" s="26"/>
      <c r="F315" s="26"/>
      <c r="H315" s="80"/>
      <c r="I315" s="80"/>
      <c r="K315" s="80"/>
      <c r="L315" s="80"/>
      <c r="M315" s="80"/>
      <c r="O315" s="80"/>
      <c r="P315" s="80"/>
      <c r="Q315" s="80"/>
      <c r="AB315" s="80"/>
      <c r="AF315" s="80"/>
      <c r="AW315" s="80"/>
      <c r="AX315" s="80"/>
      <c r="AZ315" s="80"/>
      <c r="BF315" s="80"/>
      <c r="BQ315" s="80"/>
      <c r="BR315" s="80"/>
      <c r="BS315" s="80"/>
      <c r="BZ315" s="80"/>
      <c r="CA315" s="80"/>
      <c r="CB315" s="80"/>
      <c r="CC315" s="80"/>
      <c r="CD315" s="80"/>
      <c r="CE315" s="80"/>
      <c r="CG315" s="80"/>
      <c r="CI315" s="80"/>
      <c r="CK315" s="80"/>
      <c r="CL315" s="80"/>
      <c r="CN315" s="80"/>
      <c r="CO315" s="80"/>
      <c r="CY315" s="80"/>
      <c r="CZ315" s="80"/>
      <c r="DB315" s="80"/>
      <c r="DE315" s="80"/>
      <c r="DI315" s="80"/>
      <c r="DJ315" s="80"/>
      <c r="DN315" s="80"/>
      <c r="DO315" s="80"/>
      <c r="DR315" s="80"/>
      <c r="DV315" s="80"/>
      <c r="DW315" s="80"/>
      <c r="DX315" s="80"/>
      <c r="EC315" s="80"/>
      <c r="EF315" s="80"/>
      <c r="EG315" s="80"/>
      <c r="EH315" s="80"/>
      <c r="EI315" s="80"/>
      <c r="EK315" s="80"/>
      <c r="EL315" s="80"/>
    </row>
    <row r="316" spans="1:142" ht="12.75" customHeight="1">
      <c r="A316" s="80"/>
      <c r="B316" s="80"/>
      <c r="C316" s="80"/>
      <c r="D316" s="104"/>
      <c r="E316" s="26"/>
      <c r="F316" s="26"/>
      <c r="H316" s="80"/>
      <c r="I316" s="80"/>
      <c r="J316" s="80"/>
      <c r="K316" s="80"/>
      <c r="L316" s="80"/>
      <c r="M316" s="80"/>
      <c r="O316" s="80"/>
      <c r="P316" s="80"/>
      <c r="Q316" s="80"/>
      <c r="S316" s="80"/>
      <c r="V316" s="80"/>
      <c r="AC316" s="80"/>
      <c r="AF316" s="80"/>
      <c r="AK316" s="80"/>
      <c r="AL316" s="80"/>
      <c r="AP316" s="80"/>
      <c r="AX316" s="80"/>
      <c r="AZ316" s="80"/>
      <c r="BF316" s="80"/>
      <c r="BQ316" s="80"/>
      <c r="BR316" s="80"/>
      <c r="BS316" s="80"/>
      <c r="BT316" s="80"/>
      <c r="BZ316" s="80"/>
      <c r="CA316" s="80"/>
      <c r="CB316" s="80"/>
      <c r="CC316" s="80"/>
      <c r="CD316" s="80"/>
      <c r="CE316" s="80"/>
      <c r="CG316" s="80"/>
      <c r="CL316" s="80"/>
      <c r="CN316" s="80"/>
      <c r="CO316" s="80"/>
      <c r="CW316" s="80"/>
      <c r="CY316" s="80"/>
      <c r="CZ316" s="80"/>
      <c r="DA316" s="80"/>
      <c r="DE316" s="80"/>
      <c r="DI316" s="80"/>
      <c r="DJ316" s="80"/>
      <c r="DN316" s="80"/>
      <c r="DO316" s="80"/>
      <c r="DR316" s="80"/>
      <c r="DV316" s="80"/>
      <c r="DX316" s="80"/>
      <c r="EC316" s="80"/>
      <c r="EF316" s="80"/>
      <c r="EI316" s="80"/>
      <c r="EK316" s="80"/>
      <c r="EL316" s="80"/>
    </row>
    <row r="317" spans="1:142" ht="12.75" customHeight="1">
      <c r="A317" s="80"/>
      <c r="B317" s="80"/>
      <c r="C317" s="80"/>
      <c r="D317" s="104"/>
      <c r="E317" s="26"/>
      <c r="F317" s="26"/>
      <c r="H317" s="80"/>
      <c r="K317" s="80"/>
      <c r="L317" s="80"/>
      <c r="M317" s="80"/>
      <c r="Q317" s="80"/>
      <c r="AF317" s="80"/>
      <c r="AK317" s="80"/>
      <c r="AP317" s="80"/>
      <c r="AZ317" s="80"/>
      <c r="BF317" s="80"/>
      <c r="BQ317" s="80"/>
      <c r="BR317" s="80"/>
      <c r="BT317" s="80"/>
      <c r="CA317" s="80"/>
      <c r="CB317" s="80"/>
      <c r="CD317" s="80"/>
      <c r="CE317" s="80"/>
      <c r="CG317" s="80"/>
      <c r="CL317" s="80"/>
      <c r="CY317" s="80"/>
      <c r="CZ317" s="80"/>
      <c r="DE317" s="80"/>
      <c r="DI317" s="80"/>
      <c r="DJ317" s="80"/>
      <c r="DN317" s="80"/>
      <c r="EL317" s="80"/>
    </row>
    <row r="318" spans="1:142" ht="12.75" customHeight="1">
      <c r="A318" s="80"/>
      <c r="B318" s="80"/>
      <c r="C318" s="80"/>
      <c r="D318" s="104"/>
      <c r="E318" s="26"/>
      <c r="F318" s="26"/>
      <c r="H318" s="80"/>
      <c r="I318" s="80"/>
      <c r="J318" s="80"/>
      <c r="K318" s="80"/>
      <c r="L318" s="80"/>
      <c r="M318" s="80"/>
      <c r="N318" s="80"/>
      <c r="O318" s="80"/>
      <c r="P318" s="80"/>
      <c r="Q318" s="80"/>
      <c r="S318" s="80"/>
      <c r="AF318" s="80"/>
      <c r="AL318" s="80"/>
      <c r="AP318" s="80"/>
      <c r="AZ318" s="80"/>
      <c r="BF318" s="80"/>
      <c r="BP318" s="80"/>
      <c r="BQ318" s="80"/>
      <c r="BR318" s="80"/>
      <c r="BS318" s="80"/>
      <c r="BZ318" s="80"/>
      <c r="CA318" s="80"/>
      <c r="CB318" s="80"/>
      <c r="CC318" s="80"/>
      <c r="CD318" s="80"/>
      <c r="CE318" s="80"/>
      <c r="CG318" s="80"/>
      <c r="CL318" s="80"/>
      <c r="CN318" s="80"/>
      <c r="CO318" s="80"/>
      <c r="CY318" s="80"/>
      <c r="CZ318" s="80"/>
      <c r="DE318" s="80"/>
      <c r="DI318" s="80"/>
      <c r="DJ318" s="80"/>
      <c r="DN318" s="80"/>
      <c r="DR318" s="80"/>
      <c r="DT318" s="80"/>
      <c r="DU318" s="80"/>
      <c r="DV318" s="80"/>
      <c r="DX318" s="80"/>
      <c r="EC318" s="80"/>
      <c r="EF318" s="80"/>
      <c r="EH318" s="80"/>
      <c r="EK318" s="80"/>
      <c r="EL318" s="80"/>
    </row>
    <row r="319" spans="1:142" ht="12.75" customHeight="1">
      <c r="A319" s="80"/>
      <c r="B319" s="80"/>
      <c r="C319" s="80"/>
      <c r="D319" s="104"/>
      <c r="E319" s="26"/>
      <c r="F319" s="26"/>
      <c r="H319" s="80"/>
      <c r="I319" s="80"/>
      <c r="K319" s="80"/>
      <c r="L319" s="80"/>
      <c r="M319" s="80"/>
      <c r="O319" s="80"/>
      <c r="P319" s="80"/>
      <c r="Q319" s="80"/>
      <c r="S319" s="80"/>
      <c r="AB319" s="80"/>
      <c r="AF319" s="80"/>
      <c r="AK319" s="80"/>
      <c r="AP319" s="80"/>
      <c r="AZ319" s="80"/>
      <c r="BF319" s="80"/>
      <c r="BJ319" s="80"/>
      <c r="BQ319" s="80"/>
      <c r="BR319" s="80"/>
      <c r="BS319" s="80"/>
      <c r="BT319" s="80"/>
      <c r="BZ319" s="80"/>
      <c r="CA319" s="80"/>
      <c r="CB319" s="80"/>
      <c r="CC319" s="80"/>
      <c r="CD319" s="80"/>
      <c r="CE319" s="80"/>
      <c r="CG319" s="80"/>
      <c r="CL319" s="80"/>
      <c r="CY319" s="80"/>
      <c r="CZ319" s="80"/>
      <c r="DA319" s="80"/>
      <c r="DE319" s="80"/>
      <c r="DI319" s="80"/>
      <c r="DJ319" s="80"/>
      <c r="DN319" s="80"/>
      <c r="DO319" s="80"/>
      <c r="DR319" s="80"/>
      <c r="DV319" s="80"/>
      <c r="DW319" s="80"/>
      <c r="DX319" s="80"/>
      <c r="EC319" s="80"/>
      <c r="ED319" s="80"/>
      <c r="EF319" s="80"/>
      <c r="EG319" s="80"/>
      <c r="EI319" s="80"/>
      <c r="EK319" s="80"/>
      <c r="EL319" s="80"/>
    </row>
    <row r="320" spans="1:142" ht="12.75" customHeight="1">
      <c r="A320" s="80"/>
      <c r="B320" s="80"/>
      <c r="C320" s="80"/>
      <c r="D320" s="104"/>
      <c r="E320" s="26"/>
      <c r="F320" s="26"/>
      <c r="H320" s="80"/>
      <c r="I320" s="80"/>
      <c r="J320" s="80"/>
      <c r="K320" s="80"/>
      <c r="L320" s="80"/>
      <c r="M320" s="80"/>
      <c r="N320" s="80"/>
      <c r="O320" s="80"/>
      <c r="P320" s="80"/>
      <c r="Q320" s="80"/>
      <c r="S320" s="80"/>
      <c r="AF320" s="80"/>
      <c r="AK320" s="80"/>
      <c r="AP320" s="80"/>
      <c r="AX320" s="80"/>
      <c r="AZ320" s="80"/>
      <c r="BF320" s="80"/>
      <c r="BQ320" s="80"/>
      <c r="BR320" s="80"/>
      <c r="BZ320" s="80"/>
      <c r="CA320" s="80"/>
      <c r="CB320" s="80"/>
      <c r="CC320" s="80"/>
      <c r="CD320" s="80"/>
      <c r="CE320" s="80"/>
      <c r="CG320" s="80"/>
      <c r="CL320" s="80"/>
      <c r="CN320" s="80"/>
      <c r="CO320" s="80"/>
      <c r="CY320" s="80"/>
      <c r="CZ320" s="80"/>
      <c r="DA320" s="80"/>
      <c r="DB320" s="80"/>
      <c r="DE320" s="80"/>
      <c r="DI320" s="80"/>
      <c r="DJ320" s="80"/>
      <c r="DN320" s="80"/>
      <c r="DR320" s="80"/>
      <c r="DV320" s="80"/>
      <c r="DX320" s="80"/>
      <c r="EC320" s="80"/>
      <c r="EL320" s="80"/>
    </row>
    <row r="321" spans="1:142" ht="12.75" customHeight="1">
      <c r="A321" s="80"/>
      <c r="B321" s="80"/>
      <c r="C321" s="80"/>
      <c r="D321" s="104"/>
      <c r="E321" s="26"/>
      <c r="F321" s="26"/>
      <c r="H321" s="80"/>
      <c r="J321" s="80"/>
      <c r="K321" s="80"/>
      <c r="L321" s="80"/>
      <c r="M321" s="80"/>
      <c r="N321" s="80"/>
      <c r="O321" s="80"/>
      <c r="P321" s="80"/>
      <c r="Q321" s="80"/>
      <c r="AF321" s="80"/>
      <c r="AL321" s="80"/>
      <c r="AP321" s="80"/>
      <c r="AV321" s="80"/>
      <c r="AZ321" s="80"/>
      <c r="BA321" s="80"/>
      <c r="BF321" s="80"/>
      <c r="BJ321" s="80"/>
      <c r="BK321" s="80"/>
      <c r="BP321" s="80"/>
      <c r="BQ321" s="80"/>
      <c r="BR321" s="80"/>
      <c r="BS321" s="80"/>
      <c r="BW321" s="80"/>
      <c r="BZ321" s="80"/>
      <c r="CA321" s="80"/>
      <c r="CB321" s="80"/>
      <c r="CC321" s="80"/>
      <c r="CD321" s="80"/>
      <c r="CE321" s="80"/>
      <c r="CG321" s="80"/>
      <c r="CL321" s="80"/>
      <c r="CN321" s="80"/>
      <c r="CO321" s="80"/>
      <c r="CW321" s="80"/>
      <c r="CY321" s="80"/>
      <c r="CZ321" s="80"/>
      <c r="DA321" s="80"/>
      <c r="DE321" s="80"/>
      <c r="DI321" s="80"/>
      <c r="DJ321" s="80"/>
      <c r="DN321" s="80"/>
      <c r="DR321" s="80"/>
      <c r="DS321" s="80"/>
      <c r="DU321" s="80"/>
      <c r="DV321" s="80"/>
      <c r="DW321" s="80"/>
      <c r="DX321" s="80"/>
      <c r="EC321" s="80"/>
      <c r="EI321" s="80"/>
      <c r="EK321" s="80"/>
      <c r="EL321" s="80"/>
    </row>
    <row r="322" spans="1:142" ht="12.75" customHeight="1">
      <c r="A322" s="80"/>
      <c r="B322" s="80"/>
      <c r="C322" s="80"/>
      <c r="D322" s="104"/>
      <c r="E322" s="26"/>
      <c r="F322" s="26"/>
      <c r="H322" s="80"/>
      <c r="I322" s="80"/>
      <c r="K322" s="80"/>
      <c r="L322" s="80"/>
      <c r="M322" s="80"/>
      <c r="N322" s="80"/>
      <c r="O322" s="80"/>
      <c r="P322" s="80"/>
      <c r="Q322" s="80"/>
      <c r="R322" s="80"/>
      <c r="AB322" s="80"/>
      <c r="AC322" s="80"/>
      <c r="AF322" s="80"/>
      <c r="AK322" s="80"/>
      <c r="AP322" s="80"/>
      <c r="AV322" s="80"/>
      <c r="AZ322" s="80"/>
      <c r="BF322" s="80"/>
      <c r="BQ322" s="80"/>
      <c r="BR322" s="80"/>
      <c r="BS322" s="80"/>
      <c r="BT322" s="80"/>
      <c r="BZ322" s="80"/>
      <c r="CA322" s="80"/>
      <c r="CB322" s="80"/>
      <c r="CC322" s="80"/>
      <c r="CD322" s="80"/>
      <c r="CE322" s="80"/>
      <c r="CG322" s="80"/>
      <c r="CL322" s="80"/>
      <c r="CN322" s="80"/>
      <c r="CO322" s="80"/>
      <c r="CW322" s="80"/>
      <c r="CY322" s="80"/>
      <c r="CZ322" s="80"/>
      <c r="DA322" s="80"/>
      <c r="DE322" s="80"/>
      <c r="DI322" s="80"/>
      <c r="DJ322" s="80"/>
      <c r="DN322" s="80"/>
      <c r="DR322" s="80"/>
      <c r="DS322" s="80"/>
      <c r="DT322" s="80"/>
      <c r="DU322" s="80"/>
      <c r="DV322" s="80"/>
      <c r="DW322" s="80"/>
      <c r="DX322" s="80"/>
      <c r="EC322" s="80"/>
      <c r="EL322" s="80"/>
    </row>
    <row r="323" spans="1:142" ht="12.75" customHeight="1">
      <c r="A323" s="80"/>
      <c r="B323" s="80"/>
      <c r="C323" s="80"/>
      <c r="D323" s="104"/>
      <c r="E323" s="26"/>
      <c r="F323" s="26"/>
      <c r="H323" s="80"/>
      <c r="I323" s="80"/>
      <c r="K323" s="80"/>
      <c r="L323" s="80"/>
      <c r="M323" s="80"/>
      <c r="N323" s="80"/>
      <c r="O323" s="80"/>
      <c r="P323" s="80"/>
      <c r="Q323" s="80"/>
      <c r="AB323" s="80"/>
      <c r="AF323" s="80"/>
      <c r="AK323" s="80"/>
      <c r="AP323" s="80"/>
      <c r="AX323" s="80"/>
      <c r="AY323" s="80"/>
      <c r="AZ323" s="80"/>
      <c r="BF323" s="80"/>
      <c r="BJ323" s="80"/>
      <c r="BQ323" s="80"/>
      <c r="BR323" s="80"/>
      <c r="BS323" s="80"/>
      <c r="BU323" s="80"/>
      <c r="BY323" s="80"/>
      <c r="BZ323" s="80"/>
      <c r="CA323" s="80"/>
      <c r="CB323" s="80"/>
      <c r="CC323" s="80"/>
      <c r="CD323" s="80"/>
      <c r="CE323" s="80"/>
      <c r="CG323" s="80"/>
      <c r="CL323" s="80"/>
      <c r="CN323" s="80"/>
      <c r="CO323" s="80"/>
      <c r="CU323" s="80"/>
      <c r="CW323" s="80"/>
      <c r="CY323" s="80"/>
      <c r="CZ323" s="80"/>
      <c r="DA323" s="80"/>
      <c r="DB323" s="80"/>
      <c r="DE323" s="80"/>
      <c r="DI323" s="80"/>
      <c r="DJ323" s="80"/>
      <c r="DN323" s="80"/>
      <c r="DR323" s="80"/>
      <c r="DT323" s="80"/>
      <c r="DU323" s="80"/>
      <c r="DV323" s="80"/>
      <c r="DW323" s="80"/>
      <c r="DX323" s="80"/>
      <c r="EC323" s="80"/>
      <c r="ED323" s="80"/>
      <c r="EI323" s="80"/>
      <c r="EJ323" s="80"/>
      <c r="EK323" s="80"/>
      <c r="EL323" s="80"/>
    </row>
    <row r="324" spans="1:142" ht="12.75" customHeight="1">
      <c r="A324" s="80"/>
      <c r="B324" s="80"/>
      <c r="C324" s="80"/>
      <c r="D324" s="104"/>
      <c r="E324" s="26"/>
      <c r="F324" s="26"/>
      <c r="H324" s="80"/>
      <c r="I324" s="80"/>
      <c r="J324" s="80"/>
      <c r="K324" s="80"/>
      <c r="L324" s="80"/>
      <c r="M324" s="80"/>
      <c r="N324" s="80"/>
      <c r="O324" s="80"/>
      <c r="P324" s="80"/>
      <c r="Q324" s="80"/>
      <c r="AC324" s="80"/>
      <c r="AF324" s="80"/>
      <c r="AL324" s="80"/>
      <c r="AP324" s="80"/>
      <c r="AZ324" s="80"/>
      <c r="BF324" s="80"/>
      <c r="BQ324" s="80"/>
      <c r="BR324" s="80"/>
      <c r="BS324" s="80"/>
      <c r="BZ324" s="80"/>
      <c r="CA324" s="80"/>
      <c r="CB324" s="80"/>
      <c r="CC324" s="80"/>
      <c r="CD324" s="80"/>
      <c r="CE324" s="80"/>
      <c r="CG324" s="80"/>
      <c r="CL324" s="80"/>
      <c r="CN324" s="80"/>
      <c r="CO324" s="80"/>
      <c r="CY324" s="80"/>
      <c r="CZ324" s="80"/>
      <c r="DB324" s="80"/>
      <c r="DE324" s="80"/>
      <c r="DI324" s="80"/>
      <c r="DJ324" s="80"/>
      <c r="DN324" s="80"/>
      <c r="DO324" s="80"/>
      <c r="DR324" s="80"/>
      <c r="DS324" s="80"/>
      <c r="DU324" s="80"/>
      <c r="DV324" s="80"/>
      <c r="DX324" s="80"/>
      <c r="EC324" s="80"/>
      <c r="EL324" s="80"/>
    </row>
    <row r="325" spans="1:142" ht="12.75" customHeight="1">
      <c r="A325" s="80"/>
      <c r="B325" s="80"/>
      <c r="C325" s="80"/>
      <c r="D325" s="104"/>
      <c r="E325" s="26"/>
      <c r="F325" s="26"/>
      <c r="H325" s="80"/>
      <c r="I325" s="80"/>
      <c r="K325" s="80"/>
      <c r="L325" s="80"/>
      <c r="M325" s="80"/>
      <c r="N325" s="80"/>
      <c r="O325" s="80"/>
      <c r="P325" s="80"/>
      <c r="Q325" s="80"/>
      <c r="AB325" s="80"/>
      <c r="AF325" s="80"/>
      <c r="AK325" s="80"/>
      <c r="AL325" s="80"/>
      <c r="AN325" s="80"/>
      <c r="AP325" s="80"/>
      <c r="AZ325" s="80"/>
      <c r="BF325" s="80"/>
      <c r="BQ325" s="80"/>
      <c r="BR325" s="80"/>
      <c r="BS325" s="80"/>
      <c r="BZ325" s="80"/>
      <c r="CA325" s="80"/>
      <c r="CB325" s="80"/>
      <c r="CC325" s="80"/>
      <c r="CD325" s="80"/>
      <c r="CE325" s="80"/>
      <c r="CG325" s="80"/>
      <c r="CL325" s="80"/>
      <c r="CN325" s="80"/>
      <c r="CO325" s="80"/>
      <c r="CW325" s="80"/>
      <c r="CY325" s="80"/>
      <c r="CZ325" s="80"/>
      <c r="DA325" s="80"/>
      <c r="DE325" s="80"/>
      <c r="DI325" s="80"/>
      <c r="DJ325" s="80"/>
      <c r="DN325" s="80"/>
      <c r="DO325" s="80"/>
      <c r="DR325" s="80"/>
      <c r="DS325" s="80"/>
      <c r="DU325" s="80"/>
      <c r="DV325" s="80"/>
      <c r="DX325" s="80"/>
      <c r="EC325" s="80"/>
      <c r="EF325" s="80"/>
      <c r="EG325" s="80"/>
      <c r="EJ325" s="80"/>
      <c r="EK325" s="80"/>
      <c r="EL325" s="80"/>
    </row>
    <row r="326" spans="1:142" ht="12.75" customHeight="1">
      <c r="A326" s="80"/>
      <c r="B326" s="80"/>
      <c r="C326" s="80"/>
      <c r="D326" s="104"/>
      <c r="E326" s="26"/>
      <c r="F326" s="26"/>
      <c r="H326" s="80"/>
      <c r="K326" s="80"/>
      <c r="L326" s="80"/>
      <c r="M326" s="80"/>
      <c r="O326" s="80"/>
      <c r="Q326" s="80"/>
      <c r="V326" s="80"/>
      <c r="AG326" s="80"/>
      <c r="AR326" s="80"/>
      <c r="AU326" s="80"/>
      <c r="AX326" s="80"/>
      <c r="AY326" s="80"/>
      <c r="AZ326" s="80"/>
      <c r="BF326" s="80"/>
      <c r="CD326" s="80"/>
      <c r="CE326" s="80"/>
      <c r="CG326" s="80"/>
      <c r="CI326" s="80"/>
      <c r="CK326" s="80"/>
      <c r="CL326" s="80"/>
      <c r="CN326" s="80"/>
      <c r="CO326" s="80"/>
      <c r="CY326" s="80"/>
      <c r="CZ326" s="80"/>
      <c r="DA326" s="80"/>
      <c r="DI326" s="80"/>
      <c r="DJ326" s="80"/>
      <c r="DN326" s="80"/>
      <c r="EL326" s="80"/>
    </row>
    <row r="327" spans="1:142" ht="12.75" customHeight="1">
      <c r="A327" s="80"/>
      <c r="B327" s="80"/>
      <c r="C327" s="80"/>
      <c r="D327" s="104"/>
      <c r="E327" s="26"/>
      <c r="F327" s="26"/>
      <c r="I327" s="80"/>
      <c r="J327" s="80"/>
      <c r="L327" s="80"/>
      <c r="M327" s="80"/>
      <c r="N327" s="80"/>
      <c r="Q327" s="80"/>
      <c r="AG327" s="80"/>
      <c r="AR327" s="80"/>
      <c r="AT327" s="80"/>
      <c r="AU327" s="80"/>
      <c r="AZ327" s="80"/>
      <c r="BF327" s="80"/>
      <c r="BJ327" s="80"/>
      <c r="BR327" s="80"/>
      <c r="BV327" s="80"/>
      <c r="BX327" s="80"/>
      <c r="CA327" s="80"/>
      <c r="CB327" s="80"/>
      <c r="CD327" s="80"/>
      <c r="CE327" s="80"/>
      <c r="CG327" s="80"/>
      <c r="CL327" s="80"/>
      <c r="CN327" s="80"/>
      <c r="CO327" s="80"/>
      <c r="CU327" s="80"/>
      <c r="CW327" s="80"/>
      <c r="CY327" s="80"/>
      <c r="CZ327" s="80"/>
      <c r="DI327" s="80"/>
      <c r="DJ327" s="80"/>
      <c r="DN327" s="80"/>
      <c r="EL327" s="80"/>
    </row>
    <row r="328" spans="1:142" ht="12.75" customHeight="1">
      <c r="A328" s="80"/>
      <c r="B328" s="80"/>
      <c r="C328" s="80"/>
      <c r="D328" s="104"/>
      <c r="E328" s="26"/>
      <c r="F328" s="26"/>
      <c r="H328" s="80"/>
      <c r="I328" s="80"/>
      <c r="J328" s="80"/>
      <c r="K328" s="80"/>
      <c r="L328" s="80"/>
      <c r="M328" s="80"/>
      <c r="N328" s="80"/>
      <c r="O328" s="80"/>
      <c r="P328" s="80"/>
      <c r="Q328" s="80"/>
      <c r="AC328" s="80"/>
      <c r="AF328" s="80"/>
      <c r="AL328" s="80"/>
      <c r="AP328" s="80"/>
      <c r="AV328" s="80"/>
      <c r="AZ328" s="80"/>
      <c r="BF328" s="80"/>
      <c r="BP328" s="80"/>
      <c r="BQ328" s="80"/>
      <c r="BR328" s="80"/>
      <c r="BS328" s="80"/>
      <c r="BZ328" s="80"/>
      <c r="CA328" s="80"/>
      <c r="CB328" s="80"/>
      <c r="CC328" s="80"/>
      <c r="CD328" s="80"/>
      <c r="CE328" s="80"/>
      <c r="CG328" s="80"/>
      <c r="CL328" s="80"/>
      <c r="CN328" s="80"/>
      <c r="CO328" s="80"/>
      <c r="CU328" s="80"/>
      <c r="CW328" s="80"/>
      <c r="CY328" s="80"/>
      <c r="CZ328" s="80"/>
      <c r="DA328" s="80"/>
      <c r="DE328" s="80"/>
      <c r="DI328" s="80"/>
      <c r="DJ328" s="80"/>
      <c r="DN328" s="80"/>
      <c r="DO328" s="80"/>
      <c r="DR328" s="80"/>
      <c r="DV328" s="80"/>
      <c r="DX328" s="80"/>
      <c r="EC328" s="80"/>
      <c r="EF328" s="80"/>
      <c r="EI328" s="80"/>
      <c r="EK328" s="80"/>
      <c r="EL328" s="80"/>
    </row>
    <row r="329" spans="1:142" ht="12.75" customHeight="1">
      <c r="A329" s="80"/>
      <c r="B329" s="80"/>
      <c r="C329" s="80"/>
      <c r="D329" s="104"/>
      <c r="E329" s="26"/>
      <c r="F329" s="26"/>
      <c r="H329" s="80"/>
      <c r="L329" s="80"/>
      <c r="M329" s="80"/>
      <c r="Q329" s="80"/>
      <c r="AF329" s="80"/>
      <c r="AS329" s="80"/>
      <c r="AX329" s="80"/>
      <c r="AZ329" s="80"/>
      <c r="BF329" s="80"/>
      <c r="BJ329" s="80"/>
      <c r="BK329" s="80"/>
      <c r="BM329" s="80"/>
      <c r="BP329" s="80"/>
      <c r="BQ329" s="80"/>
      <c r="BR329" s="80"/>
      <c r="BS329" s="80"/>
      <c r="BW329" s="80"/>
      <c r="BZ329" s="80"/>
      <c r="CA329" s="80"/>
      <c r="CC329" s="80"/>
      <c r="CD329" s="80"/>
      <c r="CE329" s="80"/>
      <c r="CG329" s="80"/>
      <c r="CH329" s="80"/>
      <c r="CI329" s="80"/>
      <c r="CK329" s="80"/>
      <c r="CL329" s="80"/>
      <c r="CN329" s="80"/>
      <c r="CO329" s="80"/>
      <c r="CT329" s="80"/>
      <c r="CU329" s="80"/>
      <c r="CY329" s="80"/>
      <c r="CZ329" s="80"/>
      <c r="DA329" s="80"/>
      <c r="DE329" s="80"/>
      <c r="DI329" s="80"/>
      <c r="DJ329" s="80"/>
      <c r="DK329" s="80"/>
      <c r="DN329" s="80"/>
      <c r="ED329" s="80"/>
      <c r="EJ329" s="80"/>
      <c r="EK329" s="80"/>
      <c r="EL329" s="80"/>
    </row>
    <row r="330" spans="1:142" ht="12.75" customHeight="1">
      <c r="A330" s="80"/>
      <c r="B330" s="80"/>
      <c r="C330" s="80"/>
      <c r="D330" s="104"/>
      <c r="E330" s="26"/>
      <c r="F330" s="26"/>
      <c r="H330" s="80"/>
      <c r="I330" s="80"/>
      <c r="K330" s="80"/>
      <c r="L330" s="80"/>
      <c r="M330" s="80"/>
      <c r="O330" s="80"/>
      <c r="P330" s="80"/>
      <c r="Q330" s="80"/>
      <c r="AF330" s="80"/>
      <c r="AK330" s="80"/>
      <c r="AP330" s="80"/>
      <c r="AX330" s="80"/>
      <c r="AZ330" s="80"/>
      <c r="BF330" s="80"/>
      <c r="BP330" s="80"/>
      <c r="BQ330" s="80"/>
      <c r="BR330" s="80"/>
      <c r="BS330" s="80"/>
      <c r="BZ330" s="80"/>
      <c r="CA330" s="80"/>
      <c r="CB330" s="80"/>
      <c r="CC330" s="80"/>
      <c r="CD330" s="80"/>
      <c r="CE330" s="80"/>
      <c r="CG330" s="80"/>
      <c r="CL330" s="80"/>
      <c r="CY330" s="80"/>
      <c r="CZ330" s="80"/>
      <c r="DE330" s="80"/>
      <c r="DI330" s="80"/>
      <c r="DJ330" s="80"/>
      <c r="DN330" s="80"/>
      <c r="DO330" s="80"/>
      <c r="DR330" s="80"/>
      <c r="DV330" s="80"/>
      <c r="DW330" s="80"/>
      <c r="DX330" s="80"/>
      <c r="EC330" s="80"/>
      <c r="EL330" s="80"/>
    </row>
    <row r="331" spans="1:142" ht="12.75" customHeight="1">
      <c r="A331" s="80"/>
      <c r="B331" s="80"/>
      <c r="C331" s="80"/>
      <c r="D331" s="104"/>
      <c r="E331" s="26"/>
      <c r="F331" s="26"/>
      <c r="H331" s="80"/>
      <c r="I331" s="80"/>
      <c r="J331" s="80"/>
      <c r="K331" s="80"/>
      <c r="L331" s="80"/>
      <c r="M331" s="80"/>
      <c r="N331" s="80"/>
      <c r="O331" s="80"/>
      <c r="P331" s="80"/>
      <c r="Q331" s="80"/>
      <c r="AF331" s="80"/>
      <c r="AL331" s="80"/>
      <c r="AP331" s="80"/>
      <c r="AX331" s="80"/>
      <c r="AZ331" s="80"/>
      <c r="BF331" s="80"/>
      <c r="BJ331" s="80"/>
      <c r="BP331" s="80"/>
      <c r="BQ331" s="80"/>
      <c r="BR331" s="80"/>
      <c r="BS331" s="80"/>
      <c r="BT331" s="80"/>
      <c r="BZ331" s="80"/>
      <c r="CA331" s="80"/>
      <c r="CB331" s="80"/>
      <c r="CC331" s="80"/>
      <c r="CD331" s="80"/>
      <c r="CE331" s="80"/>
      <c r="CG331" s="80"/>
      <c r="CI331" s="80"/>
      <c r="CK331" s="80"/>
      <c r="CL331" s="80"/>
      <c r="CN331" s="80"/>
      <c r="CO331" s="80"/>
      <c r="CY331" s="80"/>
      <c r="CZ331" s="80"/>
      <c r="DA331" s="80"/>
      <c r="DE331" s="80"/>
      <c r="DI331" s="80"/>
      <c r="DJ331" s="80"/>
      <c r="DN331" s="80"/>
      <c r="DO331" s="80"/>
      <c r="DP331" s="80"/>
      <c r="DR331" s="80"/>
      <c r="DV331" s="80"/>
      <c r="DW331" s="80"/>
      <c r="DX331" s="80"/>
      <c r="EC331" s="80"/>
      <c r="ED331" s="80"/>
      <c r="EF331" s="80"/>
      <c r="EG331" s="80"/>
      <c r="EI331" s="80"/>
      <c r="EK331" s="80"/>
      <c r="EL331" s="80"/>
    </row>
    <row r="332" spans="1:142" ht="12.75" customHeight="1">
      <c r="A332" s="80"/>
      <c r="B332" s="80"/>
      <c r="C332" s="80"/>
      <c r="D332" s="104"/>
      <c r="E332" s="26"/>
      <c r="F332" s="26"/>
      <c r="H332" s="80"/>
      <c r="L332" s="80"/>
      <c r="M332" s="80"/>
      <c r="N332" s="80"/>
      <c r="O332" s="80"/>
      <c r="P332" s="80"/>
      <c r="Q332" s="80"/>
      <c r="AF332" s="80"/>
      <c r="AZ332" s="80"/>
      <c r="BF332" s="80"/>
      <c r="BJ332" s="80"/>
      <c r="BQ332" s="80"/>
      <c r="BR332" s="80"/>
      <c r="BS332" s="80"/>
      <c r="BT332" s="80"/>
      <c r="BZ332" s="80"/>
      <c r="CA332" s="80"/>
      <c r="CB332" s="80"/>
      <c r="CC332" s="80"/>
      <c r="CD332" s="80"/>
      <c r="CE332" s="80"/>
      <c r="CG332" s="80"/>
      <c r="CL332" s="80"/>
      <c r="CT332" s="80"/>
      <c r="CU332" s="80"/>
      <c r="CY332" s="80"/>
      <c r="CZ332" s="80"/>
      <c r="DA332" s="80"/>
      <c r="DE332" s="80"/>
      <c r="DI332" s="80"/>
      <c r="DJ332" s="80"/>
      <c r="DN332" s="80"/>
      <c r="DR332" s="80"/>
      <c r="DV332" s="80"/>
      <c r="DW332" s="80"/>
      <c r="DX332" s="80"/>
      <c r="EC332" s="80"/>
      <c r="EF332" s="80"/>
      <c r="EK332" s="80"/>
      <c r="EL332" s="80"/>
    </row>
    <row r="333" spans="1:142" ht="12.75" customHeight="1">
      <c r="A333" s="80"/>
      <c r="B333" s="80"/>
      <c r="C333" s="80"/>
      <c r="D333" s="104"/>
      <c r="E333" s="26"/>
      <c r="F333" s="26"/>
      <c r="G333" s="80"/>
      <c r="I333" s="80"/>
      <c r="K333" s="80"/>
      <c r="L333" s="80"/>
      <c r="M333" s="80"/>
      <c r="N333" s="80"/>
      <c r="O333" s="80"/>
      <c r="P333" s="80"/>
      <c r="Q333" s="80"/>
      <c r="AE333" s="80"/>
      <c r="AF333" s="80"/>
      <c r="AH333" s="80"/>
      <c r="AZ333" s="80"/>
      <c r="BF333" s="80"/>
      <c r="BQ333" s="80"/>
      <c r="BR333" s="80"/>
      <c r="BS333" s="80"/>
      <c r="BZ333" s="80"/>
      <c r="CA333" s="80"/>
      <c r="CB333" s="80"/>
      <c r="CC333" s="80"/>
      <c r="CD333" s="80"/>
      <c r="CE333" s="80"/>
      <c r="CG333" s="80"/>
      <c r="CL333" s="80"/>
      <c r="CY333" s="80"/>
      <c r="CZ333" s="80"/>
      <c r="DE333" s="80"/>
      <c r="DI333" s="80"/>
      <c r="DJ333" s="80"/>
      <c r="DN333" s="80"/>
      <c r="DR333" s="80"/>
      <c r="DV333" s="80"/>
      <c r="DX333" s="80"/>
      <c r="EC333" s="80"/>
      <c r="EI333" s="80"/>
      <c r="EK333" s="80"/>
      <c r="EL333" s="80"/>
    </row>
    <row r="334" spans="1:142" ht="12.75" customHeight="1">
      <c r="A334" s="80"/>
      <c r="B334" s="80"/>
      <c r="C334" s="80"/>
      <c r="D334" s="104"/>
      <c r="E334" s="26"/>
      <c r="F334" s="26"/>
      <c r="H334" s="80"/>
      <c r="K334" s="80"/>
      <c r="L334" s="80"/>
      <c r="M334" s="80"/>
      <c r="O334" s="80"/>
      <c r="P334" s="80"/>
      <c r="Q334" s="80"/>
      <c r="AB334" s="80"/>
      <c r="AF334" s="80"/>
      <c r="AY334" s="80"/>
      <c r="AZ334" s="80"/>
      <c r="BF334" s="80"/>
      <c r="BJ334" s="80"/>
      <c r="BK334" s="80"/>
      <c r="BQ334" s="80"/>
      <c r="BR334" s="80"/>
      <c r="BS334" s="80"/>
      <c r="BZ334" s="80"/>
      <c r="CA334" s="80"/>
      <c r="CB334" s="80"/>
      <c r="CC334" s="80"/>
      <c r="CD334" s="80"/>
      <c r="CE334" s="80"/>
      <c r="CF334" s="80"/>
      <c r="CG334" s="80"/>
      <c r="CL334" s="80"/>
      <c r="CN334" s="80"/>
      <c r="CO334" s="80"/>
      <c r="CW334" s="80"/>
      <c r="CY334" s="80"/>
      <c r="CZ334" s="80"/>
      <c r="DA334" s="80"/>
      <c r="DE334" s="80"/>
      <c r="DI334" s="80"/>
      <c r="DJ334" s="80"/>
      <c r="DN334" s="80"/>
      <c r="DR334" s="80"/>
      <c r="DV334" s="80"/>
      <c r="DW334" s="80"/>
      <c r="DX334" s="80"/>
      <c r="EC334" s="80"/>
      <c r="EL334" s="80"/>
    </row>
    <row r="335" spans="1:142" ht="12.75" customHeight="1">
      <c r="A335" s="80"/>
      <c r="B335" s="80"/>
      <c r="C335" s="80"/>
      <c r="D335" s="104"/>
      <c r="E335" s="26"/>
      <c r="F335" s="26"/>
      <c r="H335" s="80"/>
      <c r="I335" s="80"/>
      <c r="J335" s="80"/>
      <c r="K335" s="80"/>
      <c r="L335" s="80"/>
      <c r="M335" s="80"/>
      <c r="N335" s="80"/>
      <c r="O335" s="80"/>
      <c r="P335" s="80"/>
      <c r="Q335" s="80"/>
      <c r="AF335" s="80"/>
      <c r="AK335" s="80"/>
      <c r="AP335" s="80"/>
      <c r="AZ335" s="80"/>
      <c r="BF335" s="80"/>
      <c r="BJ335" s="80"/>
      <c r="BP335" s="80"/>
      <c r="BQ335" s="80"/>
      <c r="BR335" s="80"/>
      <c r="BS335" s="80"/>
      <c r="BZ335" s="80"/>
      <c r="CA335" s="80"/>
      <c r="CB335" s="80"/>
      <c r="CC335" s="80"/>
      <c r="CD335" s="80"/>
      <c r="CE335" s="80"/>
      <c r="CG335" s="80"/>
      <c r="CL335" s="80"/>
      <c r="CN335" s="80"/>
      <c r="CO335" s="80"/>
      <c r="CY335" s="80"/>
      <c r="CZ335" s="80"/>
      <c r="DA335" s="80"/>
      <c r="DE335" s="80"/>
      <c r="DG335" s="80"/>
      <c r="DI335" s="80"/>
      <c r="DJ335" s="80"/>
      <c r="DN335" s="80"/>
      <c r="DR335" s="80"/>
      <c r="DS335" s="80"/>
      <c r="DU335" s="80"/>
      <c r="DV335" s="80"/>
      <c r="DX335" s="80"/>
      <c r="DZ335" s="80"/>
      <c r="EB335" s="80"/>
      <c r="EC335" s="80"/>
      <c r="ED335" s="80"/>
      <c r="EI335" s="80"/>
      <c r="EJ335" s="80"/>
      <c r="EK335" s="80"/>
      <c r="EL335" s="80"/>
    </row>
    <row r="336" spans="1:142" ht="12.75" customHeight="1">
      <c r="A336" s="80"/>
      <c r="B336" s="80"/>
      <c r="C336" s="80"/>
      <c r="D336" s="104"/>
      <c r="E336" s="26"/>
      <c r="F336" s="26"/>
      <c r="K336" s="80"/>
      <c r="L336" s="80"/>
      <c r="M336" s="80"/>
      <c r="O336" s="80"/>
      <c r="P336" s="80"/>
      <c r="Q336" s="80"/>
      <c r="S336" s="80"/>
      <c r="AB336" s="80"/>
      <c r="AC336" s="80"/>
      <c r="AF336" s="80"/>
      <c r="AK336" s="80"/>
      <c r="AP336" s="80"/>
      <c r="AV336" s="80"/>
      <c r="AX336" s="80"/>
      <c r="AY336" s="80"/>
      <c r="BF336" s="80"/>
      <c r="BQ336" s="80"/>
      <c r="BR336" s="80"/>
      <c r="BS336" s="80"/>
      <c r="BT336" s="80"/>
      <c r="BU336" s="80"/>
      <c r="BZ336" s="80"/>
      <c r="CA336" s="80"/>
      <c r="CB336" s="80"/>
      <c r="CC336" s="80"/>
      <c r="CD336" s="80"/>
      <c r="CE336" s="80"/>
      <c r="CG336" s="80"/>
      <c r="CL336" s="80"/>
      <c r="CN336" s="80"/>
      <c r="CO336" s="80"/>
      <c r="CW336" s="80"/>
      <c r="CY336" s="80"/>
      <c r="CZ336" s="80"/>
      <c r="DA336" s="80"/>
      <c r="DE336" s="80"/>
      <c r="DI336" s="80"/>
      <c r="DJ336" s="80"/>
      <c r="DN336" s="80"/>
      <c r="DR336" s="80"/>
      <c r="DT336" s="80"/>
      <c r="DU336" s="80"/>
      <c r="DV336" s="80"/>
      <c r="DX336" s="80"/>
      <c r="EC336" s="80"/>
      <c r="EG336" s="80"/>
      <c r="EI336" s="80"/>
      <c r="EJ336" s="80"/>
      <c r="EK336" s="80"/>
      <c r="EL336" s="80"/>
    </row>
    <row r="337" spans="1:142" ht="12.75" customHeight="1">
      <c r="A337" s="80"/>
      <c r="B337" s="80"/>
      <c r="C337" s="80"/>
      <c r="D337" s="104"/>
      <c r="E337" s="26"/>
      <c r="F337" s="26"/>
      <c r="I337" s="80"/>
      <c r="L337" s="80"/>
      <c r="M337" s="80"/>
      <c r="N337" s="80"/>
      <c r="Q337" s="80"/>
      <c r="R337" s="80"/>
      <c r="AF337" s="80"/>
      <c r="AZ337" s="80"/>
      <c r="BD337" s="80"/>
      <c r="BF337" s="80"/>
      <c r="BJ337" s="80"/>
      <c r="BQ337" s="80"/>
      <c r="BR337" s="80"/>
      <c r="BS337" s="80"/>
      <c r="BZ337" s="80"/>
      <c r="CA337" s="80"/>
      <c r="CB337" s="80"/>
      <c r="CC337" s="80"/>
      <c r="CD337" s="80"/>
      <c r="CE337" s="80"/>
      <c r="CG337" s="80"/>
      <c r="CL337" s="80"/>
      <c r="CY337" s="80"/>
      <c r="CZ337" s="80"/>
      <c r="DE337" s="80"/>
      <c r="DJ337" s="80"/>
      <c r="DN337" s="80"/>
      <c r="EL337" s="80"/>
    </row>
    <row r="338" spans="1:142" ht="12.75" customHeight="1">
      <c r="A338" s="80"/>
      <c r="B338" s="80"/>
      <c r="C338" s="80"/>
      <c r="D338" s="104"/>
      <c r="E338" s="26"/>
      <c r="F338" s="26"/>
      <c r="H338" s="80"/>
      <c r="I338" s="80"/>
      <c r="J338" s="80"/>
      <c r="K338" s="80"/>
      <c r="L338" s="80"/>
      <c r="M338" s="80"/>
      <c r="O338" s="80"/>
      <c r="P338" s="80"/>
      <c r="Q338" s="80"/>
      <c r="S338" s="80"/>
      <c r="AB338" s="80"/>
      <c r="AF338" s="80"/>
      <c r="AK338" s="80"/>
      <c r="AL338" s="80"/>
      <c r="AP338" s="80"/>
      <c r="AX338" s="80"/>
      <c r="AZ338" s="80"/>
      <c r="BF338" s="80"/>
      <c r="BK338" s="80"/>
      <c r="BP338" s="80"/>
      <c r="BQ338" s="80"/>
      <c r="BR338" s="80"/>
      <c r="BS338" s="80"/>
      <c r="BT338" s="80"/>
      <c r="BZ338" s="80"/>
      <c r="CA338" s="80"/>
      <c r="CB338" s="80"/>
      <c r="CC338" s="80"/>
      <c r="CD338" s="80"/>
      <c r="CE338" s="80"/>
      <c r="CG338" s="80"/>
      <c r="CL338" s="80"/>
      <c r="CN338" s="80"/>
      <c r="CO338" s="80"/>
      <c r="CP338" s="80"/>
      <c r="CT338" s="80"/>
      <c r="CU338" s="80"/>
      <c r="CY338" s="80"/>
      <c r="CZ338" s="80"/>
      <c r="DA338" s="80"/>
      <c r="DE338" s="80"/>
      <c r="DI338" s="80"/>
      <c r="DJ338" s="80"/>
      <c r="DN338" s="80"/>
      <c r="DR338" s="80"/>
      <c r="DV338" s="80"/>
      <c r="DW338" s="80"/>
      <c r="DX338" s="80"/>
      <c r="EC338" s="80"/>
      <c r="EF338" s="80"/>
      <c r="EG338" s="80"/>
      <c r="EH338" s="80"/>
      <c r="EI338" s="80"/>
      <c r="EK338" s="80"/>
      <c r="EL338" s="80"/>
    </row>
    <row r="339" spans="1:142" ht="12.75" customHeight="1">
      <c r="A339" s="80"/>
      <c r="B339" s="80"/>
      <c r="C339" s="80"/>
      <c r="D339" s="104"/>
      <c r="E339" s="26"/>
      <c r="F339" s="26"/>
      <c r="H339" s="80"/>
      <c r="I339" s="80"/>
      <c r="J339" s="80"/>
      <c r="L339" s="80"/>
      <c r="M339" s="80"/>
      <c r="O339" s="80"/>
      <c r="P339" s="80"/>
      <c r="Q339" s="80"/>
      <c r="AF339" s="80"/>
      <c r="AZ339" s="80"/>
      <c r="BF339" s="80"/>
      <c r="BJ339" s="80"/>
      <c r="BK339" s="80"/>
      <c r="BQ339" s="80"/>
      <c r="BR339" s="80"/>
      <c r="BS339" s="80"/>
      <c r="BT339" s="80"/>
      <c r="BZ339" s="80"/>
      <c r="CA339" s="80"/>
      <c r="CB339" s="80"/>
      <c r="CD339" s="80"/>
      <c r="CE339" s="80"/>
      <c r="CF339" s="80"/>
      <c r="CG339" s="80"/>
      <c r="CL339" s="80"/>
      <c r="CN339" s="80"/>
      <c r="CO339" s="80"/>
      <c r="CP339" s="80"/>
      <c r="CQ339" s="80"/>
      <c r="CT339" s="80"/>
      <c r="CU339" s="80"/>
      <c r="CY339" s="80"/>
      <c r="CZ339" s="80"/>
      <c r="DA339" s="80"/>
      <c r="DE339" s="80"/>
      <c r="DI339" s="80"/>
      <c r="DJ339" s="80"/>
      <c r="DN339" s="80"/>
      <c r="DR339" s="80"/>
      <c r="DV339" s="80"/>
      <c r="DW339" s="80"/>
      <c r="DX339" s="80"/>
      <c r="EC339" s="80"/>
      <c r="EL339" s="80"/>
    </row>
    <row r="340" spans="1:142" ht="12.75" customHeight="1">
      <c r="A340" s="80"/>
      <c r="B340" s="80"/>
      <c r="C340" s="80"/>
      <c r="D340" s="104"/>
      <c r="E340" s="26"/>
      <c r="F340" s="26"/>
      <c r="H340" s="80"/>
      <c r="I340" s="80"/>
      <c r="K340" s="80"/>
      <c r="L340" s="80"/>
      <c r="M340" s="80"/>
      <c r="N340" s="80"/>
      <c r="O340" s="80"/>
      <c r="P340" s="80"/>
      <c r="Q340" s="80"/>
      <c r="AF340" s="80"/>
      <c r="AK340" s="80"/>
      <c r="AP340" s="80"/>
      <c r="AZ340" s="80"/>
      <c r="BF340" s="80"/>
      <c r="BR340" s="80"/>
      <c r="BZ340" s="80"/>
      <c r="CA340" s="80"/>
      <c r="CB340" s="80"/>
      <c r="CD340" s="80"/>
      <c r="CE340" s="80"/>
      <c r="CG340" s="80"/>
      <c r="CJ340" s="80"/>
      <c r="CL340" s="80"/>
      <c r="CY340" s="80"/>
      <c r="CZ340" s="80"/>
      <c r="DA340" s="80"/>
      <c r="DE340" s="80"/>
      <c r="DI340" s="80"/>
      <c r="DJ340" s="80"/>
      <c r="DN340" s="80"/>
      <c r="DR340" s="80"/>
      <c r="DV340" s="80"/>
      <c r="DW340" s="80"/>
      <c r="DX340" s="80"/>
      <c r="EC340" s="80"/>
      <c r="EF340" s="80"/>
      <c r="EK340" s="80"/>
      <c r="EL340" s="80"/>
    </row>
    <row r="341" spans="1:142" ht="12.75" customHeight="1">
      <c r="A341" s="80"/>
      <c r="B341" s="80"/>
      <c r="C341" s="80"/>
      <c r="D341" s="104"/>
      <c r="E341" s="26"/>
      <c r="F341" s="26"/>
      <c r="H341" s="80"/>
      <c r="J341" s="80"/>
      <c r="K341" s="80"/>
      <c r="L341" s="80"/>
      <c r="M341" s="80"/>
      <c r="N341" s="80"/>
      <c r="P341" s="80"/>
      <c r="Q341" s="80"/>
      <c r="R341" s="80"/>
      <c r="AF341" s="80"/>
      <c r="AK341" s="80"/>
      <c r="AL341" s="80"/>
      <c r="AP341" s="80"/>
      <c r="AW341" s="80"/>
      <c r="AX341" s="80"/>
      <c r="AZ341" s="80"/>
      <c r="BF341" s="80"/>
      <c r="BJ341" s="80"/>
      <c r="BP341" s="80"/>
      <c r="BQ341" s="80"/>
      <c r="BR341" s="80"/>
      <c r="BS341" s="80"/>
      <c r="BT341" s="80"/>
      <c r="BZ341" s="80"/>
      <c r="CA341" s="80"/>
      <c r="CB341" s="80"/>
      <c r="CC341" s="80"/>
      <c r="CD341" s="80"/>
      <c r="CE341" s="80"/>
      <c r="CG341" s="80"/>
      <c r="CL341" s="80"/>
      <c r="CN341" s="80"/>
      <c r="CO341" s="80"/>
      <c r="CW341" s="80"/>
      <c r="CY341" s="80"/>
      <c r="CZ341" s="80"/>
      <c r="DA341" s="80"/>
      <c r="DE341" s="80"/>
      <c r="DI341" s="80"/>
      <c r="DJ341" s="80"/>
      <c r="DN341" s="80"/>
      <c r="DR341" s="80"/>
      <c r="DV341" s="80"/>
      <c r="DW341" s="80"/>
      <c r="DX341" s="80"/>
      <c r="EC341" s="80"/>
      <c r="EJ341" s="80"/>
      <c r="EK341" s="80"/>
      <c r="EL341" s="80"/>
    </row>
    <row r="342" spans="1:142" ht="12.75" customHeight="1">
      <c r="A342" s="80"/>
      <c r="B342" s="80"/>
      <c r="C342" s="80"/>
      <c r="D342" s="104"/>
      <c r="E342" s="26"/>
      <c r="F342" s="26"/>
      <c r="H342" s="80"/>
      <c r="K342" s="80"/>
      <c r="L342" s="80"/>
      <c r="M342" s="80"/>
      <c r="O342" s="80"/>
      <c r="P342" s="80"/>
      <c r="Q342" s="80"/>
      <c r="R342" s="80"/>
      <c r="AB342" s="80"/>
      <c r="AJ342" s="80"/>
      <c r="AL342" s="80"/>
      <c r="AP342" s="80"/>
      <c r="AW342" s="80"/>
      <c r="AX342" s="80"/>
      <c r="AZ342" s="80"/>
      <c r="BF342" s="80"/>
      <c r="CD342" s="80"/>
      <c r="CE342" s="80"/>
      <c r="CG342" s="80"/>
      <c r="CL342" s="80"/>
      <c r="CY342" s="80"/>
      <c r="CZ342" s="80"/>
      <c r="DA342" s="80"/>
      <c r="DE342" s="80"/>
      <c r="DI342" s="80"/>
      <c r="DJ342" s="80"/>
      <c r="DN342" s="80"/>
      <c r="DO342" s="80"/>
      <c r="DS342" s="80"/>
      <c r="DU342" s="80"/>
      <c r="DV342" s="80"/>
      <c r="DX342" s="80"/>
      <c r="EC342" s="80"/>
      <c r="EF342" s="80"/>
      <c r="EG342" s="80"/>
      <c r="EI342" s="80"/>
      <c r="EK342" s="80"/>
      <c r="EL342" s="80"/>
    </row>
    <row r="343" spans="1:142" ht="12.75" customHeight="1">
      <c r="A343" s="80"/>
      <c r="B343" s="80"/>
      <c r="C343" s="80"/>
      <c r="D343" s="104"/>
      <c r="E343" s="26"/>
      <c r="F343" s="26"/>
      <c r="H343" s="80"/>
      <c r="I343" s="80"/>
      <c r="K343" s="80"/>
      <c r="L343" s="80"/>
      <c r="M343" s="80"/>
      <c r="N343" s="80"/>
      <c r="O343" s="80"/>
      <c r="Q343" s="80"/>
      <c r="AG343" s="80"/>
      <c r="AR343" s="80"/>
      <c r="AX343" s="80"/>
      <c r="AZ343" s="80"/>
      <c r="BF343" s="80"/>
      <c r="BJ343" s="80"/>
      <c r="BP343" s="80"/>
      <c r="BR343" s="80"/>
      <c r="BS343" s="80"/>
      <c r="BT343" s="80"/>
      <c r="BV343" s="80"/>
      <c r="BX343" s="80"/>
      <c r="CA343" s="80"/>
      <c r="CD343" s="80"/>
      <c r="CE343" s="80"/>
      <c r="CG343" s="80"/>
      <c r="CL343" s="80"/>
      <c r="CN343" s="80"/>
      <c r="CO343" s="80"/>
      <c r="CU343" s="80"/>
      <c r="CY343" s="80"/>
      <c r="CZ343" s="80"/>
      <c r="DA343" s="80"/>
      <c r="DE343" s="80"/>
      <c r="DF343" s="80"/>
      <c r="DI343" s="80"/>
      <c r="DJ343" s="80"/>
      <c r="DN343" s="80"/>
      <c r="EL343" s="80"/>
    </row>
    <row r="344" spans="1:142" ht="12.75" customHeight="1">
      <c r="A344" s="80"/>
      <c r="B344" s="80"/>
      <c r="C344" s="80"/>
      <c r="D344" s="104"/>
      <c r="E344" s="26"/>
      <c r="F344" s="26"/>
      <c r="H344" s="80"/>
      <c r="J344" s="80"/>
      <c r="K344" s="80"/>
      <c r="L344" s="80"/>
      <c r="M344" s="80"/>
      <c r="O344" s="80"/>
      <c r="P344" s="80"/>
      <c r="Q344" s="80"/>
      <c r="AB344" s="80"/>
      <c r="AE344" s="80"/>
      <c r="AF344" s="80"/>
      <c r="AZ344" s="80"/>
      <c r="BF344" s="80"/>
      <c r="BJ344" s="80"/>
      <c r="BQ344" s="80"/>
      <c r="BR344" s="80"/>
      <c r="BS344" s="80"/>
      <c r="BT344" s="80"/>
      <c r="BZ344" s="80"/>
      <c r="CA344" s="80"/>
      <c r="CB344" s="80"/>
      <c r="CC344" s="80"/>
      <c r="CD344" s="80"/>
      <c r="CE344" s="80"/>
      <c r="CG344" s="80"/>
      <c r="CL344" s="80"/>
      <c r="CY344" s="80"/>
      <c r="CZ344" s="80"/>
      <c r="DA344" s="80"/>
      <c r="DE344" s="80"/>
      <c r="DI344" s="80"/>
      <c r="DJ344" s="80"/>
      <c r="DN344" s="80"/>
      <c r="DR344" s="80"/>
      <c r="DT344" s="80"/>
      <c r="DU344" s="80"/>
      <c r="DV344" s="80"/>
      <c r="DW344" s="80"/>
      <c r="DX344" s="80"/>
      <c r="EC344" s="80"/>
      <c r="EF344" s="80"/>
      <c r="EK344" s="80"/>
      <c r="EL344" s="80"/>
    </row>
    <row r="345" spans="1:142" ht="12.75" customHeight="1">
      <c r="A345" s="80"/>
      <c r="B345" s="80"/>
      <c r="C345" s="80"/>
      <c r="D345" s="104"/>
      <c r="E345" s="26"/>
      <c r="F345" s="26"/>
      <c r="H345" s="80"/>
      <c r="I345" s="80"/>
      <c r="J345" s="80"/>
      <c r="K345" s="80"/>
      <c r="L345" s="80"/>
      <c r="M345" s="80"/>
      <c r="O345" s="80"/>
      <c r="P345" s="80"/>
      <c r="Q345" s="80"/>
      <c r="AB345" s="80"/>
      <c r="AC345" s="80"/>
      <c r="AF345" s="80"/>
      <c r="AK345" s="80"/>
      <c r="AP345" s="80"/>
      <c r="AV345" s="80"/>
      <c r="AX345" s="80"/>
      <c r="AZ345" s="80"/>
      <c r="BF345" s="80"/>
      <c r="BP345" s="80"/>
      <c r="BQ345" s="80"/>
      <c r="BR345" s="80"/>
      <c r="BS345" s="80"/>
      <c r="BZ345" s="80"/>
      <c r="CA345" s="80"/>
      <c r="CB345" s="80"/>
      <c r="CC345" s="80"/>
      <c r="CD345" s="80"/>
      <c r="CE345" s="80"/>
      <c r="CG345" s="80"/>
      <c r="CI345" s="80"/>
      <c r="CK345" s="80"/>
      <c r="CL345" s="80"/>
      <c r="CN345" s="80"/>
      <c r="CO345" s="80"/>
      <c r="DA345" s="80"/>
      <c r="DE345" s="80"/>
      <c r="DI345" s="80"/>
      <c r="DJ345" s="80"/>
      <c r="DN345" s="80"/>
      <c r="DO345" s="80"/>
      <c r="DR345" s="80"/>
      <c r="DV345" s="80"/>
      <c r="DW345" s="80"/>
      <c r="DX345" s="80"/>
      <c r="EC345" s="80"/>
      <c r="EL345" s="80"/>
    </row>
    <row r="346" spans="1:142" ht="12.75" customHeight="1">
      <c r="A346" s="80"/>
      <c r="B346" s="80"/>
      <c r="C346" s="80"/>
      <c r="D346" s="104"/>
      <c r="E346" s="26"/>
      <c r="F346" s="26"/>
      <c r="H346" s="80"/>
      <c r="K346" s="80"/>
      <c r="L346" s="80"/>
      <c r="M346" s="80"/>
      <c r="N346" s="80"/>
      <c r="Q346" s="80"/>
      <c r="S346" s="80"/>
      <c r="AF346" s="80"/>
      <c r="AQ346" s="80"/>
      <c r="AZ346" s="80"/>
      <c r="BF346" s="80"/>
      <c r="BJ346" s="80"/>
      <c r="BK346" s="80"/>
      <c r="BM346" s="80"/>
      <c r="BQ346" s="80"/>
      <c r="BR346" s="80"/>
      <c r="BS346" s="80"/>
      <c r="BZ346" s="80"/>
      <c r="CA346" s="80"/>
      <c r="CC346" s="80"/>
      <c r="CD346" s="80"/>
      <c r="CE346" s="80"/>
      <c r="CG346" s="80"/>
      <c r="CI346" s="80"/>
      <c r="CK346" s="80"/>
      <c r="CL346" s="80"/>
      <c r="CP346" s="80"/>
      <c r="CT346" s="80"/>
      <c r="CU346" s="80"/>
      <c r="CX346" s="80"/>
      <c r="CY346" s="80"/>
      <c r="CZ346" s="80"/>
      <c r="DA346" s="80"/>
      <c r="DE346" s="80"/>
      <c r="DG346" s="80"/>
      <c r="DI346" s="80"/>
      <c r="DJ346" s="80"/>
      <c r="DN346" s="80"/>
      <c r="EL346" s="80"/>
    </row>
    <row r="347" spans="1:142" ht="12.75" customHeight="1">
      <c r="A347" s="80"/>
      <c r="B347" s="80"/>
      <c r="C347" s="80"/>
      <c r="D347" s="104"/>
      <c r="E347" s="26"/>
      <c r="F347" s="26"/>
      <c r="H347" s="80"/>
      <c r="I347" s="80"/>
      <c r="K347" s="80"/>
      <c r="L347" s="80"/>
      <c r="M347" s="80"/>
      <c r="N347" s="80"/>
      <c r="O347" s="80"/>
      <c r="P347" s="80"/>
      <c r="Q347" s="80"/>
      <c r="AB347" s="80"/>
      <c r="AF347" s="80"/>
      <c r="AX347" s="80"/>
      <c r="AZ347" s="80"/>
      <c r="BF347" s="80"/>
      <c r="BJ347" s="80"/>
      <c r="BP347" s="80"/>
      <c r="BQ347" s="80"/>
      <c r="BR347" s="80"/>
      <c r="BS347" s="80"/>
      <c r="BT347" s="80"/>
      <c r="BZ347" s="80"/>
      <c r="CA347" s="80"/>
      <c r="CB347" s="80"/>
      <c r="CC347" s="80"/>
      <c r="CD347" s="80"/>
      <c r="CE347" s="80"/>
      <c r="CG347" s="80"/>
      <c r="CI347" s="80"/>
      <c r="CK347" s="80"/>
      <c r="CL347" s="80"/>
      <c r="CN347" s="80"/>
      <c r="CO347" s="80"/>
      <c r="CQ347" s="80"/>
      <c r="CU347" s="80"/>
      <c r="CW347" s="80"/>
      <c r="CY347" s="80"/>
      <c r="CZ347" s="80"/>
      <c r="DA347" s="80"/>
      <c r="DE347" s="80"/>
      <c r="DI347" s="80"/>
      <c r="DJ347" s="80"/>
      <c r="DN347" s="80"/>
      <c r="DP347" s="80"/>
      <c r="DR347" s="80"/>
      <c r="DV347" s="80"/>
      <c r="DX347" s="80"/>
      <c r="EC347" s="80"/>
      <c r="EJ347" s="80"/>
      <c r="EK347" s="80"/>
      <c r="EL347" s="80"/>
    </row>
    <row r="348" spans="1:142" ht="12.75" customHeight="1">
      <c r="A348" s="80"/>
      <c r="B348" s="80"/>
      <c r="C348" s="80"/>
      <c r="D348" s="104"/>
      <c r="E348" s="26"/>
      <c r="F348" s="26"/>
      <c r="H348" s="80"/>
      <c r="K348" s="80"/>
      <c r="L348" s="80"/>
      <c r="M348" s="80"/>
      <c r="N348" s="80"/>
      <c r="O348" s="80"/>
      <c r="P348" s="80"/>
      <c r="Q348" s="80"/>
      <c r="AF348" s="80"/>
      <c r="AL348" s="80"/>
      <c r="AP348" s="80"/>
      <c r="AZ348" s="80"/>
      <c r="BF348" s="80"/>
      <c r="BJ348" s="80"/>
      <c r="BK348" s="80"/>
      <c r="BQ348" s="80"/>
      <c r="BR348" s="80"/>
      <c r="BS348" s="80"/>
      <c r="BT348" s="80"/>
      <c r="BW348" s="80"/>
      <c r="BZ348" s="80"/>
      <c r="CA348" s="80"/>
      <c r="CB348" s="80"/>
      <c r="CD348" s="80"/>
      <c r="CE348" s="80"/>
      <c r="CF348" s="80"/>
      <c r="CG348" s="80"/>
      <c r="CL348" s="80"/>
      <c r="CN348" s="80"/>
      <c r="CO348" s="80"/>
      <c r="CU348" s="80"/>
      <c r="CW348" s="80"/>
      <c r="CY348" s="80"/>
      <c r="CZ348" s="80"/>
      <c r="DA348" s="80"/>
      <c r="DE348" s="80"/>
      <c r="DI348" s="80"/>
      <c r="DJ348" s="80"/>
      <c r="DN348" s="80"/>
      <c r="DR348" s="80"/>
      <c r="DV348" s="80"/>
      <c r="DX348" s="80"/>
      <c r="EC348" s="80"/>
      <c r="EJ348" s="80"/>
      <c r="EK348" s="80"/>
      <c r="EL348" s="80"/>
    </row>
    <row r="349" spans="1:142" ht="12.75" customHeight="1">
      <c r="A349" s="80"/>
      <c r="B349" s="80"/>
      <c r="C349" s="80"/>
      <c r="D349" s="104"/>
      <c r="E349" s="26"/>
      <c r="F349" s="26"/>
      <c r="H349" s="80"/>
      <c r="I349" s="80"/>
      <c r="J349" s="80"/>
      <c r="K349" s="80"/>
      <c r="L349" s="80"/>
      <c r="M349" s="80"/>
      <c r="N349" s="80"/>
      <c r="P349" s="80"/>
      <c r="Q349" s="80"/>
      <c r="S349" s="80"/>
      <c r="AF349" s="80"/>
      <c r="AQ349" s="80"/>
      <c r="AS349" s="80"/>
      <c r="AZ349" s="80"/>
      <c r="BF349" s="80"/>
      <c r="BJ349" s="80"/>
      <c r="BK349" s="80"/>
      <c r="BM349" s="80"/>
      <c r="BQ349" s="80"/>
      <c r="BR349" s="80"/>
      <c r="BS349" s="80"/>
      <c r="BW349" s="80"/>
      <c r="BZ349" s="80"/>
      <c r="CA349" s="80"/>
      <c r="CD349" s="80"/>
      <c r="CE349" s="80"/>
      <c r="CG349" s="80"/>
      <c r="CH349" s="80"/>
      <c r="CI349" s="80"/>
      <c r="CK349" s="80"/>
      <c r="CL349" s="80"/>
      <c r="CN349" s="80"/>
      <c r="CO349" s="80"/>
      <c r="CP349" s="80"/>
      <c r="CQ349" s="80"/>
      <c r="CT349" s="80"/>
      <c r="CU349" s="80"/>
      <c r="CX349" s="80"/>
      <c r="CY349" s="80"/>
      <c r="CZ349" s="80"/>
      <c r="DA349" s="80"/>
      <c r="DE349" s="80"/>
      <c r="DG349" s="80"/>
      <c r="DI349" s="80"/>
      <c r="DJ349" s="80"/>
      <c r="DN349" s="80"/>
      <c r="DR349" s="80"/>
      <c r="DS349" s="80"/>
      <c r="DU349" s="80"/>
      <c r="DV349" s="80"/>
      <c r="DW349" s="80"/>
      <c r="DX349" s="80"/>
      <c r="EC349" s="80"/>
      <c r="ED349" s="80"/>
      <c r="EK349" s="80"/>
      <c r="EL349" s="80"/>
    </row>
    <row r="350" spans="1:142" ht="12.75" customHeight="1">
      <c r="A350" s="80"/>
      <c r="B350" s="80"/>
      <c r="C350" s="80"/>
      <c r="D350" s="104"/>
      <c r="E350" s="26"/>
      <c r="F350" s="26"/>
      <c r="H350" s="80"/>
      <c r="I350" s="80"/>
      <c r="J350" s="80"/>
      <c r="K350" s="80"/>
      <c r="L350" s="80"/>
      <c r="M350" s="80"/>
      <c r="N350" s="80"/>
      <c r="O350" s="80"/>
      <c r="P350" s="80"/>
      <c r="Q350" s="80"/>
      <c r="AB350" s="80"/>
      <c r="AF350" s="80"/>
      <c r="AW350" s="80"/>
      <c r="AZ350" s="80"/>
      <c r="BF350" s="80"/>
      <c r="BJ350" s="80"/>
      <c r="BQ350" s="80"/>
      <c r="BR350" s="80"/>
      <c r="BS350" s="80"/>
      <c r="BT350" s="80"/>
      <c r="BZ350" s="80"/>
      <c r="CA350" s="80"/>
      <c r="CB350" s="80"/>
      <c r="CC350" s="80"/>
      <c r="CD350" s="80"/>
      <c r="CE350" s="80"/>
      <c r="CG350" s="80"/>
      <c r="CL350" s="80"/>
      <c r="CN350" s="80"/>
      <c r="CO350" s="80"/>
      <c r="CQ350" s="80"/>
      <c r="CS350" s="80"/>
      <c r="CU350" s="80"/>
      <c r="CW350" s="80"/>
      <c r="CY350" s="80"/>
      <c r="CZ350" s="80"/>
      <c r="DA350" s="80"/>
      <c r="DE350" s="80"/>
      <c r="DF350" s="80"/>
      <c r="DI350" s="80"/>
      <c r="DJ350" s="80"/>
      <c r="DN350" s="80"/>
      <c r="DR350" s="80"/>
      <c r="DS350" s="80"/>
      <c r="DU350" s="80"/>
      <c r="DV350" s="80"/>
      <c r="DW350" s="80"/>
      <c r="DX350" s="80"/>
      <c r="EC350" s="80"/>
      <c r="ED350" s="80"/>
      <c r="EI350" s="80"/>
      <c r="EK350" s="80"/>
      <c r="EL350" s="80"/>
    </row>
    <row r="351" spans="1:142" ht="12.75" customHeight="1">
      <c r="A351" s="80"/>
      <c r="B351" s="80"/>
      <c r="C351" s="80"/>
      <c r="D351" s="104"/>
      <c r="E351" s="26"/>
      <c r="F351" s="26"/>
      <c r="H351" s="80"/>
      <c r="K351" s="80"/>
      <c r="L351" s="80"/>
      <c r="M351" s="80"/>
      <c r="N351" s="80"/>
      <c r="O351" s="80"/>
      <c r="P351" s="80"/>
      <c r="Q351" s="80"/>
      <c r="R351" s="80"/>
      <c r="AB351" s="80"/>
      <c r="AF351" s="80"/>
      <c r="BA351" s="80"/>
      <c r="BF351" s="80"/>
      <c r="BJ351" s="80"/>
      <c r="BP351" s="80"/>
      <c r="BQ351" s="80"/>
      <c r="BR351" s="80"/>
      <c r="BS351" s="80"/>
      <c r="BZ351" s="80"/>
      <c r="CA351" s="80"/>
      <c r="CB351" s="80"/>
      <c r="CC351" s="80"/>
      <c r="CD351" s="80"/>
      <c r="CE351" s="80"/>
      <c r="CG351" s="80"/>
      <c r="CJ351" s="80"/>
      <c r="CL351" s="80"/>
      <c r="CN351" s="80"/>
      <c r="CO351" s="80"/>
      <c r="CW351" s="80"/>
      <c r="CY351" s="80"/>
      <c r="CZ351" s="80"/>
      <c r="DA351" s="80"/>
      <c r="DB351" s="80"/>
      <c r="DE351" s="80"/>
      <c r="DI351" s="80"/>
      <c r="DJ351" s="80"/>
      <c r="DN351" s="80"/>
      <c r="DO351" s="80"/>
      <c r="DR351" s="80"/>
      <c r="DV351" s="80"/>
      <c r="DW351" s="80"/>
      <c r="DX351" s="80"/>
      <c r="EC351" s="80"/>
      <c r="ED351" s="80"/>
      <c r="EF351" s="80"/>
      <c r="EI351" s="80"/>
      <c r="EK351" s="80"/>
      <c r="EL351" s="80"/>
    </row>
    <row r="352" spans="1:142" ht="12.75" customHeight="1">
      <c r="A352" s="80"/>
      <c r="B352" s="80"/>
      <c r="C352" s="80"/>
      <c r="D352" s="104"/>
      <c r="E352" s="26"/>
      <c r="F352" s="26"/>
      <c r="H352" s="80"/>
      <c r="J352" s="80"/>
      <c r="L352" s="80"/>
      <c r="M352" s="80"/>
      <c r="N352" s="80"/>
      <c r="P352" s="80"/>
      <c r="Q352" s="80"/>
      <c r="AF352" s="80"/>
      <c r="AZ352" s="80"/>
      <c r="BF352" s="80"/>
      <c r="BJ352" s="80"/>
      <c r="BK352" s="80"/>
      <c r="BQ352" s="80"/>
      <c r="BR352" s="80"/>
      <c r="BS352" s="80"/>
      <c r="BZ352" s="80"/>
      <c r="CA352" s="80"/>
      <c r="CB352" s="80"/>
      <c r="CC352" s="80"/>
      <c r="CD352" s="80"/>
      <c r="CE352" s="80"/>
      <c r="CG352" s="80"/>
      <c r="CL352" s="80"/>
      <c r="CP352" s="80"/>
      <c r="CT352" s="80"/>
      <c r="CU352" s="80"/>
      <c r="CY352" s="80"/>
      <c r="CZ352" s="80"/>
      <c r="DA352" s="80"/>
      <c r="DE352" s="80"/>
      <c r="DI352" s="80"/>
      <c r="DJ352" s="80"/>
      <c r="DN352" s="80"/>
      <c r="DR352" s="80"/>
      <c r="DT352" s="80"/>
      <c r="DU352" s="80"/>
      <c r="DV352" s="80"/>
      <c r="DW352" s="80"/>
      <c r="DX352" s="80"/>
      <c r="EC352" s="80"/>
      <c r="EL352" s="80"/>
    </row>
    <row r="353" spans="1:142" ht="12.75" customHeight="1">
      <c r="A353" s="80"/>
      <c r="B353" s="80"/>
      <c r="C353" s="80"/>
      <c r="D353" s="104"/>
      <c r="E353" s="26"/>
      <c r="F353" s="26"/>
      <c r="H353" s="80"/>
      <c r="J353" s="80"/>
      <c r="K353" s="80"/>
      <c r="L353" s="80"/>
      <c r="M353" s="80"/>
      <c r="N353" s="80"/>
      <c r="O353" s="80"/>
      <c r="P353" s="80"/>
      <c r="Q353" s="80"/>
      <c r="AC353" s="80"/>
      <c r="AF353" s="80"/>
      <c r="AK353" s="80"/>
      <c r="AP353" s="80"/>
      <c r="AX353" s="80"/>
      <c r="AZ353" s="80"/>
      <c r="BF353" s="80"/>
      <c r="BJ353" s="80"/>
      <c r="BP353" s="80"/>
      <c r="BQ353" s="80"/>
      <c r="BR353" s="80"/>
      <c r="BS353" s="80"/>
      <c r="BZ353" s="80"/>
      <c r="CA353" s="80"/>
      <c r="CB353" s="80"/>
      <c r="CC353" s="80"/>
      <c r="CD353" s="80"/>
      <c r="CE353" s="80"/>
      <c r="CF353" s="80"/>
      <c r="CG353" s="80"/>
      <c r="CL353" s="80"/>
      <c r="CM353" s="80"/>
      <c r="CN353" s="80"/>
      <c r="CO353" s="80"/>
      <c r="CY353" s="80"/>
      <c r="CZ353" s="80"/>
      <c r="DA353" s="80"/>
      <c r="DE353" s="80"/>
      <c r="DI353" s="80"/>
      <c r="DJ353" s="80"/>
      <c r="DN353" s="80"/>
      <c r="DR353" s="80"/>
      <c r="DS353" s="80"/>
      <c r="DU353" s="80"/>
      <c r="DV353" s="80"/>
      <c r="DW353" s="80"/>
      <c r="DX353" s="80"/>
      <c r="EC353" s="80"/>
      <c r="EI353" s="80"/>
      <c r="EJ353" s="80"/>
      <c r="EK353" s="80"/>
      <c r="EL353" s="80"/>
    </row>
    <row r="354" spans="1:142" ht="12.75" customHeight="1">
      <c r="A354" s="80"/>
      <c r="B354" s="80"/>
      <c r="C354" s="80"/>
      <c r="D354" s="104"/>
      <c r="E354" s="26"/>
      <c r="F354" s="26"/>
      <c r="H354" s="80"/>
      <c r="J354" s="80"/>
      <c r="L354" s="80"/>
      <c r="M354" s="80"/>
      <c r="N354" s="80"/>
      <c r="O354" s="80"/>
      <c r="P354" s="80"/>
      <c r="Q354" s="80"/>
      <c r="AB354" s="80"/>
      <c r="AC354" s="80"/>
      <c r="AD354" s="80"/>
      <c r="AF354" s="80"/>
      <c r="AK354" s="80"/>
      <c r="AP354" s="80"/>
      <c r="AZ354" s="80"/>
      <c r="BF354" s="80"/>
      <c r="BJ354" s="80"/>
      <c r="BQ354" s="80"/>
      <c r="BR354" s="80"/>
      <c r="BS354" s="80"/>
      <c r="BZ354" s="80"/>
      <c r="CA354" s="80"/>
      <c r="CB354" s="80"/>
      <c r="CC354" s="80"/>
      <c r="CD354" s="80"/>
      <c r="CE354" s="80"/>
      <c r="CG354" s="80"/>
      <c r="CL354" s="80"/>
      <c r="CN354" s="80"/>
      <c r="CO354" s="80"/>
      <c r="CU354" s="80"/>
      <c r="CW354" s="80"/>
      <c r="CY354" s="80"/>
      <c r="CZ354" s="80"/>
      <c r="DA354" s="80"/>
      <c r="DE354" s="80"/>
      <c r="DI354" s="80"/>
      <c r="DJ354" s="80"/>
      <c r="DN354" s="80"/>
      <c r="DR354" s="80"/>
      <c r="DV354" s="80"/>
      <c r="DW354" s="80"/>
      <c r="DX354" s="80"/>
      <c r="EC354" s="80"/>
      <c r="EI354" s="80"/>
      <c r="EK354" s="80"/>
      <c r="EL354" s="80"/>
    </row>
    <row r="355" spans="1:142" ht="12.75" customHeight="1">
      <c r="A355" s="80"/>
      <c r="B355" s="80"/>
      <c r="C355" s="80"/>
      <c r="D355" s="104"/>
      <c r="E355" s="26"/>
      <c r="F355" s="26"/>
      <c r="H355" s="80"/>
      <c r="I355" s="80"/>
      <c r="J355" s="80"/>
      <c r="K355" s="80"/>
      <c r="L355" s="80"/>
      <c r="M355" s="80"/>
      <c r="N355" s="80"/>
      <c r="P355" s="80"/>
      <c r="Q355" s="80"/>
      <c r="AB355" s="80"/>
      <c r="AF355" s="80"/>
      <c r="AZ355" s="80"/>
      <c r="BF355" s="80"/>
      <c r="BJ355" s="80"/>
      <c r="BQ355" s="80"/>
      <c r="BR355" s="80"/>
      <c r="BS355" s="80"/>
      <c r="BZ355" s="80"/>
      <c r="CA355" s="80"/>
      <c r="CB355" s="80"/>
      <c r="CC355" s="80"/>
      <c r="CD355" s="80"/>
      <c r="CE355" s="80"/>
      <c r="CG355" s="80"/>
      <c r="CI355" s="80"/>
      <c r="CK355" s="80"/>
      <c r="CL355" s="80"/>
      <c r="CQ355" s="80"/>
      <c r="CU355" s="80"/>
      <c r="CW355" s="80"/>
      <c r="CY355" s="80"/>
      <c r="CZ355" s="80"/>
      <c r="DA355" s="80"/>
      <c r="DE355" s="80"/>
      <c r="DG355" s="80"/>
      <c r="DI355" s="80"/>
      <c r="DJ355" s="80"/>
      <c r="DN355" s="80"/>
      <c r="DR355" s="80"/>
      <c r="DV355" s="80"/>
      <c r="DW355" s="80"/>
      <c r="DX355" s="80"/>
      <c r="EC355" s="80"/>
      <c r="EL355" s="80"/>
    </row>
    <row r="356" spans="1:142" ht="12.75" customHeight="1">
      <c r="A356" s="80"/>
      <c r="B356" s="80"/>
      <c r="C356" s="80"/>
      <c r="D356" s="104"/>
      <c r="E356" s="26"/>
      <c r="F356" s="26"/>
      <c r="G356" s="80"/>
      <c r="H356" s="80"/>
      <c r="I356" s="80"/>
      <c r="J356" s="80"/>
      <c r="K356" s="80"/>
      <c r="L356" s="80"/>
      <c r="M356" s="80"/>
      <c r="N356" s="80"/>
      <c r="O356" s="80"/>
      <c r="P356" s="80"/>
      <c r="Q356" s="80"/>
      <c r="AB356" s="80"/>
      <c r="AF356" s="80"/>
      <c r="AL356" s="80"/>
      <c r="AP356" s="80"/>
      <c r="AY356" s="80"/>
      <c r="BF356" s="80"/>
      <c r="BJ356" s="80"/>
      <c r="BK356" s="80"/>
      <c r="BP356" s="80"/>
      <c r="BQ356" s="80"/>
      <c r="BR356" s="80"/>
      <c r="BS356" s="80"/>
      <c r="BZ356" s="80"/>
      <c r="CA356" s="80"/>
      <c r="CB356" s="80"/>
      <c r="CC356" s="80"/>
      <c r="CD356" s="80"/>
      <c r="CE356" s="80"/>
      <c r="CG356" s="80"/>
      <c r="CL356" s="80"/>
      <c r="CN356" s="80"/>
      <c r="CO356" s="80"/>
      <c r="CY356" s="80"/>
      <c r="CZ356" s="80"/>
      <c r="DA356" s="80"/>
      <c r="DE356" s="80"/>
      <c r="DF356" s="80"/>
      <c r="DI356" s="80"/>
      <c r="DJ356" s="80"/>
      <c r="DN356" s="80"/>
      <c r="DR356" s="80"/>
      <c r="DV356" s="80"/>
      <c r="DW356" s="80"/>
      <c r="DX356" s="80"/>
      <c r="EC356" s="80"/>
      <c r="EF356" s="80"/>
      <c r="EI356" s="80"/>
      <c r="EL356" s="80"/>
    </row>
    <row r="357" spans="1:142" ht="12.75" customHeight="1">
      <c r="A357" s="80"/>
      <c r="B357" s="80"/>
      <c r="C357" s="80"/>
      <c r="D357" s="104"/>
      <c r="E357" s="26"/>
      <c r="F357" s="26"/>
      <c r="H357" s="80"/>
      <c r="I357" s="80"/>
      <c r="J357" s="80"/>
      <c r="K357" s="80"/>
      <c r="L357" s="80"/>
      <c r="M357" s="80"/>
      <c r="N357" s="80"/>
      <c r="O357" s="80"/>
      <c r="P357" s="80"/>
      <c r="Q357" s="80"/>
      <c r="AB357" s="80"/>
      <c r="AC357" s="80"/>
      <c r="AF357" s="80"/>
      <c r="AZ357" s="80"/>
      <c r="BF357" s="80"/>
      <c r="BJ357" s="80"/>
      <c r="BQ357" s="80"/>
      <c r="BR357" s="80"/>
      <c r="BS357" s="80"/>
      <c r="BU357" s="80"/>
      <c r="BZ357" s="80"/>
      <c r="CA357" s="80"/>
      <c r="CB357" s="80"/>
      <c r="CC357" s="80"/>
      <c r="CD357" s="80"/>
      <c r="CE357" s="80"/>
      <c r="CG357" s="80"/>
      <c r="CI357" s="80"/>
      <c r="CK357" s="80"/>
      <c r="CL357" s="80"/>
      <c r="CN357" s="80"/>
      <c r="CO357" s="80"/>
      <c r="CQ357" s="80"/>
      <c r="CU357" s="80"/>
      <c r="CW357" s="80"/>
      <c r="CY357" s="80"/>
      <c r="CZ357" s="80"/>
      <c r="DA357" s="80"/>
      <c r="DE357" s="80"/>
      <c r="DF357" s="80"/>
      <c r="DI357" s="80"/>
      <c r="DJ357" s="80"/>
      <c r="DN357" s="80"/>
      <c r="DR357" s="80"/>
      <c r="DV357" s="80"/>
      <c r="DW357" s="80"/>
      <c r="DX357" s="80"/>
      <c r="EC357" s="80"/>
      <c r="EL357" s="80"/>
    </row>
    <row r="358" spans="1:142" ht="12.75" customHeight="1">
      <c r="A358" s="80"/>
      <c r="B358" s="80"/>
      <c r="C358" s="80"/>
      <c r="D358" s="104"/>
      <c r="E358" s="26"/>
      <c r="F358" s="26"/>
      <c r="I358" s="80"/>
      <c r="L358" s="80"/>
      <c r="M358" s="80"/>
      <c r="N358" s="80"/>
      <c r="Q358" s="80"/>
      <c r="AF358" s="80"/>
      <c r="AK358" s="80"/>
      <c r="AP358" s="80"/>
      <c r="AZ358" s="80"/>
      <c r="BF358" s="80"/>
      <c r="BQ358" s="80"/>
      <c r="BR358" s="80"/>
      <c r="BT358" s="80"/>
      <c r="CA358" s="80"/>
      <c r="CC358" s="80"/>
      <c r="CD358" s="80"/>
      <c r="CE358" s="80"/>
      <c r="CG358" s="80"/>
      <c r="CL358" s="80"/>
      <c r="EL358" s="80"/>
    </row>
    <row r="359" spans="1:142" ht="12.75" customHeight="1">
      <c r="A359" s="80"/>
      <c r="B359" s="80"/>
      <c r="C359" s="80"/>
      <c r="D359" s="104"/>
      <c r="E359" s="26"/>
      <c r="F359" s="26"/>
      <c r="H359" s="80"/>
      <c r="I359" s="80"/>
      <c r="L359" s="80"/>
      <c r="M359" s="80"/>
      <c r="N359" s="80"/>
      <c r="O359" s="80"/>
      <c r="P359" s="80"/>
      <c r="Q359" s="80"/>
      <c r="AF359" s="80"/>
      <c r="AK359" s="80"/>
      <c r="AP359" s="80"/>
      <c r="AS359" s="80"/>
      <c r="AZ359" s="80"/>
      <c r="BF359" s="80"/>
      <c r="BJ359" s="80"/>
      <c r="BK359" s="80"/>
      <c r="BM359" s="80"/>
      <c r="BQ359" s="80"/>
      <c r="BR359" s="80"/>
      <c r="BS359" s="80"/>
      <c r="BZ359" s="80"/>
      <c r="CA359" s="80"/>
      <c r="CC359" s="80"/>
      <c r="CD359" s="80"/>
      <c r="CE359" s="80"/>
      <c r="CG359" s="80"/>
      <c r="CI359" s="80"/>
      <c r="CK359" s="80"/>
      <c r="CL359" s="80"/>
      <c r="CN359" s="80"/>
      <c r="CO359" s="80"/>
      <c r="CT359" s="80"/>
      <c r="CU359" s="80"/>
      <c r="CY359" s="80"/>
      <c r="CZ359" s="80"/>
      <c r="DA359" s="80"/>
      <c r="DE359" s="80"/>
      <c r="DG359" s="80"/>
      <c r="DI359" s="80"/>
      <c r="DJ359" s="80"/>
      <c r="DN359" s="80"/>
      <c r="DP359" s="80"/>
      <c r="DR359" s="80"/>
      <c r="DS359" s="80"/>
      <c r="DU359" s="80"/>
      <c r="DV359" s="80"/>
      <c r="DW359" s="80"/>
      <c r="DX359" s="80"/>
      <c r="EC359" s="80"/>
      <c r="EL359" s="80"/>
    </row>
    <row r="360" spans="1:142" ht="12.75" customHeight="1">
      <c r="A360" s="80"/>
      <c r="B360" s="80"/>
      <c r="C360" s="80"/>
      <c r="D360" s="104"/>
      <c r="E360" s="26"/>
      <c r="F360" s="26"/>
      <c r="H360" s="80"/>
      <c r="I360" s="80"/>
      <c r="J360" s="80"/>
      <c r="K360" s="80"/>
      <c r="L360" s="80"/>
      <c r="M360" s="80"/>
      <c r="N360" s="80"/>
      <c r="O360" s="80"/>
      <c r="Q360" s="80"/>
      <c r="AF360" s="80"/>
      <c r="AN360" s="80"/>
      <c r="AP360" s="80"/>
      <c r="AY360" s="80"/>
      <c r="AZ360" s="80"/>
      <c r="BF360" s="80"/>
      <c r="BR360" s="80"/>
      <c r="BZ360" s="80"/>
      <c r="CA360" s="80"/>
      <c r="CB360" s="80"/>
      <c r="CC360" s="80"/>
      <c r="CD360" s="80"/>
      <c r="CE360" s="80"/>
      <c r="CG360" s="80"/>
      <c r="CL360" s="80"/>
      <c r="CW360" s="80"/>
      <c r="CY360" s="80"/>
      <c r="CZ360" s="80"/>
      <c r="DA360" s="80"/>
      <c r="DB360" s="80"/>
      <c r="DE360" s="80"/>
      <c r="DI360" s="80"/>
      <c r="DJ360" s="80"/>
      <c r="DN360" s="80"/>
      <c r="DO360" s="80"/>
      <c r="DR360" s="80"/>
      <c r="DV360" s="80"/>
      <c r="DX360" s="80"/>
      <c r="EC360" s="80"/>
      <c r="EL360" s="80"/>
    </row>
    <row r="361" spans="1:142" ht="12.75" customHeight="1">
      <c r="A361" s="80"/>
      <c r="B361" s="80"/>
      <c r="C361" s="80"/>
      <c r="D361" s="104"/>
      <c r="E361" s="26"/>
      <c r="F361" s="26"/>
      <c r="H361" s="80"/>
      <c r="I361" s="80"/>
      <c r="K361" s="80"/>
      <c r="L361" s="80"/>
      <c r="M361" s="80"/>
      <c r="N361" s="80"/>
      <c r="O361" s="80"/>
      <c r="P361" s="80"/>
      <c r="Q361" s="80"/>
      <c r="AF361" s="80"/>
      <c r="AK361" s="80"/>
      <c r="AP361" s="80"/>
      <c r="AW361" s="80"/>
      <c r="AX361" s="80"/>
      <c r="AZ361" s="80"/>
      <c r="BF361" s="80"/>
      <c r="BQ361" s="80"/>
      <c r="BR361" s="80"/>
      <c r="BS361" s="80"/>
      <c r="BT361" s="80"/>
      <c r="BZ361" s="80"/>
      <c r="CA361" s="80"/>
      <c r="CB361" s="80"/>
      <c r="CD361" s="80"/>
      <c r="CE361" s="80"/>
      <c r="CG361" s="80"/>
      <c r="CL361" s="80"/>
      <c r="CY361" s="80"/>
      <c r="CZ361" s="80"/>
      <c r="DE361" s="80"/>
      <c r="DI361" s="80"/>
      <c r="DJ361" s="80"/>
      <c r="DN361" s="80"/>
      <c r="DO361" s="80"/>
      <c r="DR361" s="80"/>
      <c r="DV361" s="80"/>
      <c r="DX361" s="80"/>
      <c r="EC361" s="80"/>
      <c r="EL361" s="80"/>
    </row>
    <row r="362" spans="1:142" ht="12.75" customHeight="1">
      <c r="A362" s="80"/>
      <c r="B362" s="80"/>
      <c r="C362" s="80"/>
      <c r="D362" s="104"/>
      <c r="E362" s="26"/>
      <c r="F362" s="26"/>
      <c r="H362" s="80"/>
      <c r="L362" s="80"/>
      <c r="M362" s="80"/>
      <c r="N362" s="80"/>
      <c r="Q362" s="80"/>
      <c r="AL362" s="80"/>
      <c r="AP362" s="80"/>
      <c r="AZ362" s="80"/>
      <c r="BF362" s="80"/>
      <c r="CD362" s="80"/>
      <c r="CE362" s="80"/>
      <c r="CG362" s="80"/>
      <c r="CL362" s="80"/>
      <c r="CN362" s="80"/>
      <c r="CO362" s="80"/>
      <c r="CY362" s="80"/>
      <c r="CZ362" s="80"/>
      <c r="DN362" s="80"/>
      <c r="EL362" s="80"/>
    </row>
    <row r="363" spans="1:142" ht="12.75" customHeight="1">
      <c r="A363" s="80"/>
      <c r="B363" s="80"/>
      <c r="C363" s="80"/>
      <c r="D363" s="104"/>
      <c r="E363" s="26"/>
      <c r="F363" s="26"/>
      <c r="G363" s="80"/>
      <c r="H363" s="80"/>
      <c r="I363" s="80"/>
      <c r="K363" s="80"/>
      <c r="L363" s="80"/>
      <c r="M363" s="80"/>
      <c r="N363" s="80"/>
      <c r="O363" s="80"/>
      <c r="P363" s="80"/>
      <c r="Q363" s="80"/>
      <c r="AE363" s="80"/>
      <c r="AF363" s="80"/>
      <c r="AH363" s="80"/>
      <c r="AL363" s="80"/>
      <c r="AP363" s="80"/>
      <c r="AY363" s="80"/>
      <c r="AZ363" s="80"/>
      <c r="BF363" s="80"/>
      <c r="BQ363" s="80"/>
      <c r="BR363" s="80"/>
      <c r="BS363" s="80"/>
      <c r="BZ363" s="80"/>
      <c r="CA363" s="80"/>
      <c r="CB363" s="80"/>
      <c r="CC363" s="80"/>
      <c r="CD363" s="80"/>
      <c r="CE363" s="80"/>
      <c r="CG363" s="80"/>
      <c r="CI363" s="80"/>
      <c r="CK363" s="80"/>
      <c r="CL363" s="80"/>
      <c r="CN363" s="80"/>
      <c r="CO363" s="80"/>
      <c r="CT363" s="80"/>
      <c r="CU363" s="80"/>
      <c r="CY363" s="80"/>
      <c r="CZ363" s="80"/>
      <c r="DA363" s="80"/>
      <c r="DE363" s="80"/>
      <c r="DI363" s="80"/>
      <c r="DJ363" s="80"/>
      <c r="DN363" s="80"/>
      <c r="DP363" s="80"/>
      <c r="DR363" s="80"/>
      <c r="DV363" s="80"/>
      <c r="DX363" s="80"/>
      <c r="EC363" s="80"/>
      <c r="EF363" s="80"/>
      <c r="EK363" s="80"/>
      <c r="EL363" s="80"/>
    </row>
    <row r="364" spans="1:142" ht="12.75" customHeight="1">
      <c r="A364" s="80"/>
      <c r="B364" s="80"/>
      <c r="C364" s="80"/>
      <c r="D364" s="104"/>
      <c r="E364" s="26"/>
      <c r="F364" s="26"/>
      <c r="H364" s="80"/>
      <c r="I364" s="80"/>
      <c r="J364" s="80"/>
      <c r="K364" s="80"/>
      <c r="L364" s="80"/>
      <c r="M364" s="80"/>
      <c r="N364" s="80"/>
      <c r="O364" s="80"/>
      <c r="P364" s="80"/>
      <c r="Q364" s="80"/>
      <c r="AB364" s="80"/>
      <c r="AF364" s="80"/>
      <c r="AX364" s="80"/>
      <c r="AZ364" s="80"/>
      <c r="BF364" s="80"/>
      <c r="BQ364" s="80"/>
      <c r="BR364" s="80"/>
      <c r="BS364" s="80"/>
      <c r="BZ364" s="80"/>
      <c r="CA364" s="80"/>
      <c r="CB364" s="80"/>
      <c r="CC364" s="80"/>
      <c r="CD364" s="80"/>
      <c r="CE364" s="80"/>
      <c r="CG364" s="80"/>
      <c r="CL364" s="80"/>
      <c r="CT364" s="80"/>
      <c r="CU364" s="80"/>
      <c r="CZ364" s="80"/>
      <c r="DA364" s="80"/>
      <c r="DE364" s="80"/>
      <c r="DI364" s="80"/>
      <c r="DJ364" s="80"/>
      <c r="DN364" s="80"/>
      <c r="DR364" s="80"/>
      <c r="DV364" s="80"/>
      <c r="DX364" s="80"/>
      <c r="EC364" s="80"/>
      <c r="EL364" s="80"/>
    </row>
    <row r="365" spans="1:142" ht="12.75" customHeight="1">
      <c r="A365" s="80"/>
      <c r="B365" s="80"/>
      <c r="C365" s="80"/>
      <c r="D365" s="104"/>
      <c r="E365" s="26"/>
      <c r="F365" s="26"/>
      <c r="H365" s="80"/>
      <c r="I365" s="80"/>
      <c r="K365" s="80"/>
      <c r="L365" s="80"/>
      <c r="M365" s="80"/>
      <c r="N365" s="80"/>
      <c r="P365" s="80"/>
      <c r="Q365" s="80"/>
      <c r="AC365" s="80"/>
      <c r="AD365" s="80"/>
      <c r="AF365" s="80"/>
      <c r="AK365" s="80"/>
      <c r="AP365" s="80"/>
      <c r="AZ365" s="80"/>
      <c r="BF365" s="80"/>
      <c r="BQ365" s="80"/>
      <c r="BR365" s="80"/>
      <c r="BZ365" s="80"/>
      <c r="CA365" s="80"/>
      <c r="CB365" s="80"/>
      <c r="CC365" s="80"/>
      <c r="CD365" s="80"/>
      <c r="CE365" s="80"/>
      <c r="CG365" s="80"/>
      <c r="CL365" s="80"/>
      <c r="CY365" s="80"/>
      <c r="CZ365" s="80"/>
      <c r="DA365" s="80"/>
      <c r="DE365" s="80"/>
      <c r="DI365" s="80"/>
      <c r="DJ365" s="80"/>
      <c r="DN365" s="80"/>
      <c r="DR365" s="80"/>
      <c r="DV365" s="80"/>
      <c r="DX365" s="80"/>
      <c r="EC365" s="80"/>
      <c r="EL365" s="80"/>
    </row>
    <row r="366" spans="1:142" ht="12.75" customHeight="1">
      <c r="A366" s="80"/>
      <c r="B366" s="80"/>
      <c r="C366" s="80"/>
      <c r="D366" s="104"/>
      <c r="E366" s="26"/>
      <c r="F366" s="26"/>
      <c r="H366" s="80"/>
      <c r="K366" s="80"/>
      <c r="L366" s="80"/>
      <c r="M366" s="80"/>
      <c r="N366" s="80"/>
      <c r="O366" s="80"/>
      <c r="P366" s="80"/>
      <c r="Q366" s="80"/>
      <c r="AB366" s="80"/>
      <c r="AF366" s="80"/>
      <c r="AX366" s="80"/>
      <c r="AZ366" s="80"/>
      <c r="BF366" s="80"/>
      <c r="BR366" s="80"/>
      <c r="BS366" s="80"/>
      <c r="BZ366" s="80"/>
      <c r="CA366" s="80"/>
      <c r="CB366" s="80"/>
      <c r="CC366" s="80"/>
      <c r="CD366" s="80"/>
      <c r="CE366" s="80"/>
      <c r="CG366" s="80"/>
      <c r="CH366" s="80"/>
      <c r="CK366" s="80"/>
      <c r="CL366" s="80"/>
      <c r="CN366" s="80"/>
      <c r="CO366" s="80"/>
      <c r="DE366" s="80"/>
      <c r="DI366" s="80"/>
      <c r="DJ366" s="80"/>
      <c r="DN366" s="80"/>
      <c r="DR366" s="80"/>
      <c r="DT366" s="80"/>
      <c r="DU366" s="80"/>
      <c r="DV366" s="80"/>
      <c r="DW366" s="80"/>
      <c r="DX366" s="80"/>
      <c r="EC366" s="80"/>
      <c r="EF366" s="80"/>
      <c r="EJ366" s="80"/>
      <c r="EK366" s="80"/>
      <c r="EL366" s="80"/>
    </row>
    <row r="367" spans="1:142" ht="12.75" customHeight="1">
      <c r="A367" s="80"/>
      <c r="B367" s="80"/>
      <c r="C367" s="80"/>
      <c r="D367" s="104"/>
      <c r="E367" s="26"/>
      <c r="F367" s="26"/>
      <c r="I367" s="80"/>
      <c r="K367" s="80"/>
      <c r="L367" s="80"/>
      <c r="M367" s="80"/>
      <c r="N367" s="80"/>
      <c r="Q367" s="80"/>
      <c r="AB367" s="80"/>
      <c r="AF367" s="80"/>
      <c r="AK367" s="80"/>
      <c r="AP367" s="80"/>
      <c r="AX367" s="80"/>
      <c r="AZ367" s="80"/>
      <c r="BF367" s="80"/>
      <c r="BQ367" s="80"/>
      <c r="BR367" s="80"/>
      <c r="BS367" s="80"/>
      <c r="BT367" s="80"/>
      <c r="BZ367" s="80"/>
      <c r="CA367" s="80"/>
      <c r="CB367" s="80"/>
      <c r="CC367" s="80"/>
      <c r="CD367" s="80"/>
      <c r="CE367" s="80"/>
      <c r="CG367" s="80"/>
      <c r="CL367" s="80"/>
      <c r="CY367" s="80"/>
      <c r="CZ367" s="80"/>
      <c r="DE367" s="80"/>
      <c r="DI367" s="80"/>
      <c r="DJ367" s="80"/>
      <c r="DN367" s="80"/>
      <c r="EL367" s="80"/>
    </row>
    <row r="368" spans="1:142" ht="12.75" customHeight="1">
      <c r="A368" s="80"/>
      <c r="B368" s="80"/>
      <c r="C368" s="80"/>
      <c r="D368" s="104"/>
      <c r="E368" s="26"/>
      <c r="F368" s="26"/>
      <c r="H368" s="80"/>
      <c r="I368" s="80"/>
      <c r="J368" s="80"/>
      <c r="K368" s="80"/>
      <c r="L368" s="80"/>
      <c r="M368" s="80"/>
      <c r="N368" s="80"/>
      <c r="Q368" s="80"/>
      <c r="AD368" s="80"/>
      <c r="AF368" s="80"/>
      <c r="AX368" s="80"/>
      <c r="AZ368" s="80"/>
      <c r="BF368" s="80"/>
      <c r="BQ368" s="80"/>
      <c r="BR368" s="80"/>
      <c r="BS368" s="80"/>
      <c r="BT368" s="80"/>
      <c r="BZ368" s="80"/>
      <c r="CA368" s="80"/>
      <c r="CC368" s="80"/>
      <c r="CD368" s="80"/>
      <c r="CE368" s="80"/>
      <c r="CG368" s="80"/>
      <c r="CH368" s="80"/>
      <c r="CK368" s="80"/>
      <c r="CL368" s="80"/>
      <c r="CN368" s="80"/>
      <c r="CO368" s="80"/>
      <c r="CS368" s="80"/>
      <c r="CW368" s="80"/>
      <c r="CY368" s="80"/>
      <c r="CZ368" s="80"/>
      <c r="DA368" s="80"/>
      <c r="DE368" s="80"/>
      <c r="DI368" s="80"/>
      <c r="DJ368" s="80"/>
      <c r="DN368" s="80"/>
      <c r="DP368" s="80"/>
      <c r="DX368" s="80"/>
      <c r="EC368" s="80"/>
      <c r="EG368" s="80"/>
      <c r="EK368" s="80"/>
      <c r="EL368" s="80"/>
    </row>
    <row r="369" spans="1:142" ht="12.75" customHeight="1">
      <c r="A369" s="80"/>
      <c r="B369" s="80"/>
      <c r="C369" s="80"/>
      <c r="D369" s="104"/>
      <c r="E369" s="26"/>
      <c r="F369" s="26"/>
      <c r="H369" s="80"/>
      <c r="I369" s="80"/>
      <c r="J369" s="80"/>
      <c r="K369" s="80"/>
      <c r="L369" s="80"/>
      <c r="M369" s="80"/>
      <c r="N369" s="80"/>
      <c r="O369" s="80"/>
      <c r="P369" s="80"/>
      <c r="Q369" s="80"/>
      <c r="S369" s="80"/>
      <c r="AD369" s="80"/>
      <c r="AF369" s="80"/>
      <c r="AL369" s="80"/>
      <c r="AP369" s="80"/>
      <c r="AX369" s="80"/>
      <c r="AZ369" s="80"/>
      <c r="BF369" s="80"/>
      <c r="BQ369" s="80"/>
      <c r="BR369" s="80"/>
      <c r="BT369" s="80"/>
      <c r="BZ369" s="80"/>
      <c r="CA369" s="80"/>
      <c r="CB369" s="80"/>
      <c r="CC369" s="80"/>
      <c r="CD369" s="80"/>
      <c r="CE369" s="80"/>
      <c r="CG369" s="80"/>
      <c r="CL369" s="80"/>
      <c r="DE369" s="80"/>
      <c r="DI369" s="80"/>
      <c r="DJ369" s="80"/>
      <c r="DN369" s="80"/>
      <c r="DR369" s="80"/>
      <c r="DV369" s="80"/>
      <c r="DW369" s="80"/>
      <c r="DX369" s="80"/>
      <c r="EC369" s="80"/>
      <c r="EF369" s="80"/>
      <c r="EI369" s="80"/>
      <c r="EL369" s="80"/>
    </row>
    <row r="370" spans="1:142" ht="12.75" customHeight="1">
      <c r="A370" s="80"/>
      <c r="B370" s="80"/>
      <c r="C370" s="80"/>
      <c r="D370" s="104"/>
      <c r="E370" s="26"/>
      <c r="F370" s="26"/>
      <c r="H370" s="80"/>
      <c r="I370" s="80"/>
      <c r="K370" s="80"/>
      <c r="L370" s="80"/>
      <c r="M370" s="80"/>
      <c r="N370" s="80"/>
      <c r="Q370" s="80"/>
      <c r="AF370" s="80"/>
      <c r="AX370" s="80"/>
      <c r="AZ370" s="80"/>
      <c r="BF370" s="80"/>
      <c r="BJ370" s="80"/>
      <c r="BK370" s="80"/>
      <c r="BQ370" s="80"/>
      <c r="BR370" s="80"/>
      <c r="BS370" s="80"/>
      <c r="BT370" s="80"/>
      <c r="BZ370" s="80"/>
      <c r="CA370" s="80"/>
      <c r="CB370" s="80"/>
      <c r="CC370" s="80"/>
      <c r="CD370" s="80"/>
      <c r="CE370" s="80"/>
      <c r="CG370" s="80"/>
      <c r="CL370" s="80"/>
      <c r="DA370" s="80"/>
      <c r="DE370" s="80"/>
      <c r="DI370" s="80"/>
      <c r="DJ370" s="80"/>
      <c r="DN370" s="80"/>
      <c r="DR370" s="80"/>
      <c r="DV370" s="80"/>
      <c r="DW370" s="80"/>
      <c r="DX370" s="80"/>
      <c r="EC370" s="80"/>
      <c r="EL370" s="80"/>
    </row>
    <row r="371" spans="1:142" ht="12.75" customHeight="1">
      <c r="A371" s="80"/>
      <c r="B371" s="80"/>
      <c r="C371" s="80"/>
      <c r="D371" s="104"/>
      <c r="E371" s="26"/>
      <c r="F371" s="26"/>
      <c r="H371" s="80"/>
      <c r="J371" s="80"/>
      <c r="K371" s="80"/>
      <c r="L371" s="80"/>
      <c r="M371" s="80"/>
      <c r="O371" s="80"/>
      <c r="Q371" s="80"/>
      <c r="AB371" s="80"/>
      <c r="AF371" s="80"/>
      <c r="AK371" s="80"/>
      <c r="AL371" s="80"/>
      <c r="AN371" s="80"/>
      <c r="AP371" s="80"/>
      <c r="AZ371" s="80"/>
      <c r="BF371" s="80"/>
      <c r="BJ371" s="80"/>
      <c r="BK371" s="80"/>
      <c r="BQ371" s="80"/>
      <c r="BR371" s="80"/>
      <c r="BS371" s="80"/>
      <c r="BZ371" s="80"/>
      <c r="CA371" s="80"/>
      <c r="CB371" s="80"/>
      <c r="CC371" s="80"/>
      <c r="CD371" s="80"/>
      <c r="CE371" s="80"/>
      <c r="CF371" s="80"/>
      <c r="CG371" s="80"/>
      <c r="CI371" s="80"/>
      <c r="CK371" s="80"/>
      <c r="CL371" s="80"/>
      <c r="CN371" s="80"/>
      <c r="CO371" s="80"/>
      <c r="CT371" s="80"/>
      <c r="CU371" s="80"/>
      <c r="CY371" s="80"/>
      <c r="CZ371" s="80"/>
      <c r="DA371" s="80"/>
      <c r="DE371" s="80"/>
      <c r="DI371" s="80"/>
      <c r="DJ371" s="80"/>
      <c r="DN371" s="80"/>
      <c r="DR371" s="80"/>
      <c r="DV371" s="80"/>
      <c r="DW371" s="80"/>
      <c r="DX371" s="80"/>
      <c r="EC371" s="80"/>
      <c r="EL371" s="80"/>
    </row>
    <row r="372" spans="1:142" ht="12.75" customHeight="1">
      <c r="A372" s="80"/>
      <c r="B372" s="80"/>
      <c r="C372" s="80"/>
      <c r="D372" s="104"/>
      <c r="E372" s="26"/>
      <c r="F372" s="26"/>
      <c r="H372" s="80"/>
      <c r="I372" s="80"/>
      <c r="J372" s="80"/>
      <c r="L372" s="80"/>
      <c r="M372" s="80"/>
      <c r="N372" s="80"/>
      <c r="P372" s="80"/>
      <c r="Q372" s="80"/>
      <c r="AF372" s="80"/>
      <c r="AK372" s="80"/>
      <c r="AL372" s="80"/>
      <c r="AO372" s="80"/>
      <c r="AP372" s="80"/>
      <c r="AZ372" s="80"/>
      <c r="BA372" s="80"/>
      <c r="BF372" s="80"/>
      <c r="BJ372" s="80"/>
      <c r="BQ372" s="80"/>
      <c r="BR372" s="80"/>
      <c r="BS372" s="80"/>
      <c r="BT372" s="80"/>
      <c r="BZ372" s="80"/>
      <c r="CA372" s="80"/>
      <c r="CB372" s="80"/>
      <c r="CD372" s="80"/>
      <c r="CE372" s="80"/>
      <c r="CF372" s="80"/>
      <c r="CG372" s="80"/>
      <c r="CL372" s="80"/>
      <c r="CN372" s="80"/>
      <c r="CO372" s="80"/>
      <c r="CY372" s="80"/>
      <c r="CZ372" s="80"/>
      <c r="DA372" s="80"/>
      <c r="DE372" s="80"/>
      <c r="DF372" s="80"/>
      <c r="DI372" s="80"/>
      <c r="DJ372" s="80"/>
      <c r="DN372" s="80"/>
      <c r="DR372" s="80"/>
      <c r="DV372" s="80"/>
      <c r="DW372" s="80"/>
      <c r="DX372" s="80"/>
      <c r="EC372" s="80"/>
      <c r="EL372" s="80"/>
    </row>
    <row r="373" spans="1:142" ht="12.75" customHeight="1">
      <c r="A373" s="80"/>
      <c r="B373" s="80"/>
      <c r="C373" s="80"/>
      <c r="D373" s="104"/>
      <c r="E373" s="26"/>
      <c r="F373" s="26"/>
      <c r="H373" s="80"/>
      <c r="I373" s="80"/>
      <c r="K373" s="80"/>
      <c r="L373" s="80"/>
      <c r="M373" s="80"/>
      <c r="N373" s="80"/>
      <c r="O373" s="80"/>
      <c r="Q373" s="80"/>
      <c r="AF373" s="80"/>
      <c r="AX373" s="80"/>
      <c r="AY373" s="80"/>
      <c r="AZ373" s="80"/>
      <c r="BF373" s="80"/>
      <c r="BJ373" s="80"/>
      <c r="BQ373" s="80"/>
      <c r="BR373" s="80"/>
      <c r="BS373" s="80"/>
      <c r="BZ373" s="80"/>
      <c r="CA373" s="80"/>
      <c r="CB373" s="80"/>
      <c r="CC373" s="80"/>
      <c r="CD373" s="80"/>
      <c r="CE373" s="80"/>
      <c r="CG373" s="80"/>
      <c r="CL373" s="80"/>
      <c r="CN373" s="80"/>
      <c r="CO373" s="80"/>
      <c r="CT373" s="80"/>
      <c r="CY373" s="80"/>
      <c r="CZ373" s="80"/>
      <c r="DA373" s="80"/>
      <c r="DB373" s="80"/>
      <c r="DE373" s="80"/>
      <c r="DI373" s="80"/>
      <c r="DJ373" s="80"/>
      <c r="DN373" s="80"/>
      <c r="DR373" s="80"/>
      <c r="DV373" s="80"/>
      <c r="DW373" s="80"/>
      <c r="DX373" s="80"/>
      <c r="EC373" s="80"/>
      <c r="EL373" s="80"/>
    </row>
    <row r="374" spans="1:142" ht="12.75" customHeight="1">
      <c r="A374" s="80"/>
      <c r="B374" s="80"/>
      <c r="C374" s="80"/>
      <c r="D374" s="104"/>
      <c r="E374" s="26"/>
      <c r="F374" s="26"/>
      <c r="H374" s="80"/>
      <c r="K374" s="80"/>
      <c r="L374" s="80"/>
      <c r="M374" s="80"/>
      <c r="N374" s="80"/>
      <c r="O374" s="80"/>
      <c r="P374" s="80"/>
      <c r="Q374" s="80"/>
      <c r="AF374" s="80"/>
      <c r="AV374" s="80"/>
      <c r="AW374" s="80"/>
      <c r="AX374" s="80"/>
      <c r="AY374" s="80"/>
      <c r="AZ374" s="80"/>
      <c r="BF374" s="80"/>
      <c r="BJ374" s="80"/>
      <c r="BK374" s="80"/>
      <c r="BP374" s="80"/>
      <c r="BQ374" s="80"/>
      <c r="BR374" s="80"/>
      <c r="BS374" s="80"/>
      <c r="BT374" s="80"/>
      <c r="BZ374" s="80"/>
      <c r="CA374" s="80"/>
      <c r="CB374" s="80"/>
      <c r="CC374" s="80"/>
      <c r="CD374" s="80"/>
      <c r="CE374" s="80"/>
      <c r="CG374" s="80"/>
      <c r="CL374" s="80"/>
      <c r="CN374" s="80"/>
      <c r="CO374" s="80"/>
      <c r="CY374" s="80"/>
      <c r="CZ374" s="80"/>
      <c r="DA374" s="80"/>
      <c r="DE374" s="80"/>
      <c r="DI374" s="80"/>
      <c r="DJ374" s="80"/>
      <c r="DN374" s="80"/>
      <c r="DR374" s="80"/>
      <c r="DV374" s="80"/>
      <c r="DW374" s="80"/>
      <c r="DX374" s="80"/>
      <c r="EC374" s="80"/>
      <c r="EL374" s="80"/>
    </row>
    <row r="375" spans="1:142" ht="12.75" customHeight="1">
      <c r="A375" s="80"/>
      <c r="B375" s="80"/>
      <c r="C375" s="80"/>
      <c r="D375" s="104"/>
      <c r="E375" s="26"/>
      <c r="F375" s="26"/>
      <c r="I375" s="80"/>
      <c r="J375" s="80"/>
      <c r="K375" s="80"/>
      <c r="L375" s="80"/>
      <c r="M375" s="80"/>
      <c r="O375" s="80"/>
      <c r="P375" s="80"/>
      <c r="Q375" s="80"/>
      <c r="AF375" s="80"/>
      <c r="AZ375" s="80"/>
      <c r="BF375" s="80"/>
      <c r="BQ375" s="80"/>
      <c r="BR375" s="80"/>
      <c r="BZ375" s="80"/>
      <c r="CA375" s="80"/>
      <c r="CB375" s="80"/>
      <c r="CC375" s="80"/>
      <c r="CD375" s="80"/>
      <c r="CE375" s="80"/>
      <c r="CG375" s="80"/>
      <c r="CL375" s="80"/>
      <c r="CN375" s="80"/>
      <c r="CO375" s="80"/>
      <c r="CU375" s="80"/>
      <c r="CY375" s="80"/>
      <c r="CZ375" s="80"/>
      <c r="DA375" s="80"/>
      <c r="DE375" s="80"/>
      <c r="DI375" s="80"/>
      <c r="DJ375" s="80"/>
      <c r="DN375" s="80"/>
      <c r="DO375" s="80"/>
      <c r="DR375" s="80"/>
      <c r="DV375" s="80"/>
      <c r="DX375" s="80"/>
      <c r="EC375" s="80"/>
      <c r="EL375" s="80"/>
    </row>
    <row r="376" spans="1:142" ht="12.75" customHeight="1">
      <c r="A376" s="80"/>
      <c r="B376" s="80"/>
      <c r="C376" s="80"/>
      <c r="D376" s="104"/>
      <c r="E376" s="26"/>
      <c r="F376" s="26"/>
      <c r="I376" s="80"/>
      <c r="K376" s="80"/>
      <c r="L376" s="80"/>
      <c r="M376" s="80"/>
      <c r="N376" s="80"/>
      <c r="O376" s="80"/>
      <c r="P376" s="80"/>
      <c r="Q376" s="80"/>
      <c r="S376" s="80"/>
      <c r="AC376" s="80"/>
      <c r="AF376" s="80"/>
      <c r="AX376" s="80"/>
      <c r="AZ376" s="80"/>
      <c r="BF376" s="80"/>
      <c r="BQ376" s="80"/>
      <c r="BR376" s="80"/>
      <c r="BS376" s="80"/>
      <c r="CA376" s="80"/>
      <c r="CB376" s="80"/>
      <c r="CC376" s="80"/>
      <c r="CD376" s="80"/>
      <c r="CE376" s="80"/>
      <c r="CG376" s="80"/>
      <c r="CL376" s="80"/>
      <c r="CT376" s="80"/>
      <c r="CU376" s="80"/>
      <c r="CY376" s="80"/>
      <c r="CZ376" s="80"/>
      <c r="DA376" s="80"/>
      <c r="DE376" s="80"/>
      <c r="DI376" s="80"/>
      <c r="DJ376" s="80"/>
      <c r="DN376" s="80"/>
      <c r="DR376" s="80"/>
      <c r="DV376" s="80"/>
      <c r="DX376" s="80"/>
      <c r="EC376" s="80"/>
      <c r="EJ376" s="80"/>
      <c r="EK376" s="80"/>
      <c r="EL376" s="80"/>
    </row>
    <row r="377" spans="1:142" ht="12.75" customHeight="1">
      <c r="A377" s="80"/>
      <c r="B377" s="80"/>
      <c r="C377" s="80"/>
      <c r="D377" s="104"/>
      <c r="E377" s="26"/>
      <c r="F377" s="26"/>
      <c r="H377" s="80"/>
      <c r="I377" s="80"/>
      <c r="J377" s="80"/>
      <c r="L377" s="80"/>
      <c r="M377" s="80"/>
      <c r="N377" s="80"/>
      <c r="O377" s="80"/>
      <c r="P377" s="80"/>
      <c r="Q377" s="80"/>
      <c r="AF377" s="80"/>
      <c r="AK377" s="80"/>
      <c r="AP377" s="80"/>
      <c r="AY377" s="80"/>
      <c r="AZ377" s="80"/>
      <c r="BF377" s="80"/>
      <c r="BQ377" s="80"/>
      <c r="BR377" s="80"/>
      <c r="BS377" s="80"/>
      <c r="BT377" s="80"/>
      <c r="BZ377" s="80"/>
      <c r="CA377" s="80"/>
      <c r="CB377" s="80"/>
      <c r="CC377" s="80"/>
      <c r="CD377" s="80"/>
      <c r="CE377" s="80"/>
      <c r="CG377" s="80"/>
      <c r="CL377" s="80"/>
      <c r="CN377" s="80"/>
      <c r="CO377" s="80"/>
      <c r="CY377" s="80"/>
      <c r="CZ377" s="80"/>
      <c r="DE377" s="80"/>
      <c r="DI377" s="80"/>
      <c r="DJ377" s="80"/>
      <c r="DN377" s="80"/>
      <c r="DR377" s="80"/>
      <c r="DV377" s="80"/>
      <c r="DX377" s="80"/>
      <c r="EC377" s="80"/>
      <c r="EL377" s="80"/>
    </row>
    <row r="378" spans="1:142" ht="12.75" customHeight="1">
      <c r="A378" s="80"/>
      <c r="B378" s="80"/>
      <c r="C378" s="80"/>
      <c r="D378" s="104"/>
      <c r="E378" s="26"/>
      <c r="F378" s="26"/>
      <c r="H378" s="80"/>
      <c r="I378" s="80"/>
      <c r="K378" s="80"/>
      <c r="L378" s="80"/>
      <c r="M378" s="80"/>
      <c r="N378" s="80"/>
      <c r="O378" s="80"/>
      <c r="P378" s="80"/>
      <c r="Q378" s="80"/>
      <c r="R378" s="80"/>
      <c r="AC378" s="80"/>
      <c r="AF378" s="80"/>
      <c r="AL378" s="80"/>
      <c r="AP378" s="80"/>
      <c r="AX378" s="80"/>
      <c r="AZ378" s="80"/>
      <c r="BF378" s="80"/>
      <c r="BJ378" s="80"/>
      <c r="BK378" s="80"/>
      <c r="BQ378" s="80"/>
      <c r="BR378" s="80"/>
      <c r="BS378" s="80"/>
      <c r="BZ378" s="80"/>
      <c r="CA378" s="80"/>
      <c r="CB378" s="80"/>
      <c r="CC378" s="80"/>
      <c r="CD378" s="80"/>
      <c r="CE378" s="80"/>
      <c r="CG378" s="80"/>
      <c r="CL378" s="80"/>
      <c r="CN378" s="80"/>
      <c r="CO378" s="80"/>
      <c r="CW378" s="80"/>
      <c r="CY378" s="80"/>
      <c r="CZ378" s="80"/>
      <c r="DA378" s="80"/>
      <c r="DE378" s="80"/>
      <c r="DI378" s="80"/>
      <c r="DJ378" s="80"/>
      <c r="DN378" s="80"/>
      <c r="DR378" s="80"/>
      <c r="DV378" s="80"/>
      <c r="DW378" s="80"/>
      <c r="DX378" s="80"/>
      <c r="EC378" s="80"/>
      <c r="EJ378" s="80"/>
      <c r="EK378" s="80"/>
      <c r="EL378" s="80"/>
    </row>
    <row r="379" spans="1:142" ht="12.75" customHeight="1">
      <c r="A379" s="80"/>
      <c r="B379" s="80"/>
      <c r="C379" s="80"/>
      <c r="D379" s="104"/>
      <c r="E379" s="26"/>
      <c r="F379" s="26"/>
      <c r="H379" s="80"/>
      <c r="J379" s="80"/>
      <c r="L379" s="80"/>
      <c r="M379" s="80"/>
      <c r="Q379" s="80"/>
      <c r="AB379" s="80"/>
      <c r="AF379" s="80"/>
      <c r="AK379" s="80"/>
      <c r="AP379" s="80"/>
      <c r="AZ379" s="80"/>
      <c r="BF379" s="80"/>
      <c r="BJ379" s="80"/>
      <c r="BK379" s="80"/>
      <c r="BM379" s="80"/>
      <c r="BQ379" s="80"/>
      <c r="BR379" s="80"/>
      <c r="BS379" s="80"/>
      <c r="BZ379" s="80"/>
      <c r="CA379" s="80"/>
      <c r="CD379" s="80"/>
      <c r="CE379" s="80"/>
      <c r="CG379" s="80"/>
      <c r="CI379" s="80"/>
      <c r="CK379" s="80"/>
      <c r="CL379" s="80"/>
      <c r="CN379" s="80"/>
      <c r="CO379" s="80"/>
      <c r="CP379" s="80"/>
      <c r="CT379" s="80"/>
      <c r="CU379" s="80"/>
      <c r="CY379" s="80"/>
      <c r="CZ379" s="80"/>
      <c r="DA379" s="80"/>
      <c r="DE379" s="80"/>
      <c r="DF379" s="80"/>
      <c r="DI379" s="80"/>
      <c r="DJ379" s="80"/>
      <c r="DK379" s="80"/>
      <c r="DN379" s="80"/>
      <c r="DR379" s="80"/>
      <c r="DV379" s="80"/>
      <c r="DW379" s="80"/>
      <c r="DX379" s="80"/>
      <c r="EC379" s="80"/>
      <c r="EL379" s="80"/>
    </row>
    <row r="380" spans="1:142" ht="12.75" customHeight="1">
      <c r="A380" s="80"/>
      <c r="B380" s="80"/>
      <c r="C380" s="80"/>
      <c r="D380" s="104"/>
      <c r="E380" s="26"/>
      <c r="F380" s="26"/>
      <c r="H380" s="80"/>
      <c r="L380" s="80"/>
      <c r="M380" s="80"/>
      <c r="N380" s="80"/>
      <c r="O380" s="80"/>
      <c r="P380" s="80"/>
      <c r="Q380" s="80"/>
      <c r="AF380" s="80"/>
      <c r="AI380" s="80"/>
      <c r="AL380" s="80"/>
      <c r="AP380" s="80"/>
      <c r="AZ380" s="80"/>
      <c r="BF380" s="80"/>
      <c r="BJ380" s="80"/>
      <c r="BQ380" s="80"/>
      <c r="BR380" s="80"/>
      <c r="BS380" s="80"/>
      <c r="BT380" s="80"/>
      <c r="BZ380" s="80"/>
      <c r="CA380" s="80"/>
      <c r="CB380" s="80"/>
      <c r="CD380" s="80"/>
      <c r="CE380" s="80"/>
      <c r="CG380" s="80"/>
      <c r="CL380" s="80"/>
      <c r="CT380" s="80"/>
      <c r="CU380" s="80"/>
      <c r="CY380" s="80"/>
      <c r="CZ380" s="80"/>
      <c r="DA380" s="80"/>
      <c r="DE380" s="80"/>
      <c r="DI380" s="80"/>
      <c r="DJ380" s="80"/>
      <c r="DN380" s="80"/>
      <c r="DR380" s="80"/>
      <c r="DV380" s="80"/>
      <c r="DW380" s="80"/>
      <c r="DX380" s="80"/>
      <c r="EC380" s="80"/>
      <c r="EL380" s="80"/>
    </row>
    <row r="381" spans="1:142" ht="12.75" customHeight="1">
      <c r="A381" s="80"/>
      <c r="B381" s="80"/>
      <c r="C381" s="80"/>
      <c r="D381" s="104"/>
      <c r="E381" s="26"/>
      <c r="F381" s="26"/>
      <c r="H381" s="80"/>
      <c r="I381" s="80"/>
      <c r="K381" s="80"/>
      <c r="L381" s="80"/>
      <c r="M381" s="80"/>
      <c r="N381" s="80"/>
      <c r="O381" s="80"/>
      <c r="P381" s="80"/>
      <c r="Q381" s="80"/>
      <c r="AD381" s="80"/>
      <c r="AF381" s="80"/>
      <c r="AK381" s="80"/>
      <c r="AP381" s="80"/>
      <c r="AZ381" s="80"/>
      <c r="BF381" s="80"/>
      <c r="BQ381" s="80"/>
      <c r="BR381" s="80"/>
      <c r="BZ381" s="80"/>
      <c r="CA381" s="80"/>
      <c r="CB381" s="80"/>
      <c r="CC381" s="80"/>
      <c r="CD381" s="80"/>
      <c r="CE381" s="80"/>
      <c r="CG381" s="80"/>
      <c r="CL381" s="80"/>
      <c r="CN381" s="80"/>
      <c r="CO381" s="80"/>
      <c r="CY381" s="80"/>
      <c r="CZ381" s="80"/>
      <c r="DE381" s="80"/>
      <c r="DI381" s="80"/>
      <c r="DJ381" s="80"/>
      <c r="DN381" s="80"/>
      <c r="DP381" s="80"/>
      <c r="DR381" s="80"/>
      <c r="DV381" s="80"/>
      <c r="DX381" s="80"/>
      <c r="EC381" s="80"/>
      <c r="EL381" s="80"/>
    </row>
    <row r="382" spans="1:142" ht="12.75" customHeight="1">
      <c r="A382" s="80"/>
      <c r="B382" s="80"/>
      <c r="C382" s="80"/>
      <c r="D382" s="104"/>
      <c r="E382" s="26"/>
      <c r="F382" s="26"/>
      <c r="H382" s="80"/>
      <c r="I382" s="80"/>
      <c r="K382" s="80"/>
      <c r="L382" s="80"/>
      <c r="M382" s="80"/>
      <c r="N382" s="80"/>
      <c r="Q382" s="80"/>
      <c r="R382" s="80"/>
      <c r="AD382" s="80"/>
      <c r="AF382" s="80"/>
      <c r="AL382" s="80"/>
      <c r="AP382" s="80"/>
      <c r="AS382" s="80"/>
      <c r="AZ382" s="80"/>
      <c r="BF382" s="80"/>
      <c r="BJ382" s="80"/>
      <c r="BK382" s="80"/>
      <c r="BM382" s="80"/>
      <c r="BQ382" s="80"/>
      <c r="BR382" s="80"/>
      <c r="BS382" s="80"/>
      <c r="BT382" s="80"/>
      <c r="BZ382" s="80"/>
      <c r="CA382" s="80"/>
      <c r="CC382" s="80"/>
      <c r="CD382" s="80"/>
      <c r="CE382" s="80"/>
      <c r="CG382" s="80"/>
      <c r="CH382" s="80"/>
      <c r="CI382" s="80"/>
      <c r="CK382" s="80"/>
      <c r="CL382" s="80"/>
      <c r="CN382" s="80"/>
      <c r="CO382" s="80"/>
      <c r="CT382" s="80"/>
      <c r="CU382" s="80"/>
      <c r="CX382" s="80"/>
      <c r="CY382" s="80"/>
      <c r="CZ382" s="80"/>
      <c r="DA382" s="80"/>
      <c r="DE382" s="80"/>
      <c r="DF382" s="80"/>
      <c r="DI382" s="80"/>
      <c r="DJ382" s="80"/>
      <c r="DK382" s="80"/>
      <c r="DN382" s="80"/>
      <c r="EL382" s="80"/>
    </row>
    <row r="383" spans="1:142" ht="12.75" customHeight="1">
      <c r="A383" s="80"/>
      <c r="B383" s="80"/>
      <c r="C383" s="80"/>
      <c r="D383" s="104"/>
      <c r="E383" s="26"/>
      <c r="F383" s="26"/>
      <c r="H383" s="80"/>
      <c r="I383" s="80"/>
      <c r="K383" s="80"/>
      <c r="L383" s="80"/>
      <c r="M383" s="80"/>
      <c r="N383" s="80"/>
      <c r="O383" s="80"/>
      <c r="P383" s="80"/>
      <c r="Q383" s="80"/>
      <c r="AC383" s="80"/>
      <c r="AF383" s="80"/>
      <c r="AK383" s="80"/>
      <c r="AP383" s="80"/>
      <c r="AX383" s="80"/>
      <c r="AY383" s="80"/>
      <c r="BF383" s="80"/>
      <c r="BJ383" s="80"/>
      <c r="BP383" s="80"/>
      <c r="BQ383" s="80"/>
      <c r="BR383" s="80"/>
      <c r="BS383" s="80"/>
      <c r="BZ383" s="80"/>
      <c r="CA383" s="80"/>
      <c r="CB383" s="80"/>
      <c r="CC383" s="80"/>
      <c r="CD383" s="80"/>
      <c r="CE383" s="80"/>
      <c r="CG383" s="80"/>
      <c r="CL383" s="80"/>
      <c r="CN383" s="80"/>
      <c r="CO383" s="80"/>
      <c r="CY383" s="80"/>
      <c r="CZ383" s="80"/>
      <c r="DA383" s="80"/>
      <c r="DE383" s="80"/>
      <c r="DI383" s="80"/>
      <c r="DJ383" s="80"/>
      <c r="DN383" s="80"/>
      <c r="DQ383" s="80"/>
      <c r="DR383" s="80"/>
      <c r="DT383" s="80"/>
      <c r="DU383" s="80"/>
      <c r="DV383" s="80"/>
      <c r="DW383" s="80"/>
      <c r="DX383" s="80"/>
      <c r="EC383" s="80"/>
      <c r="EF383" s="80"/>
      <c r="EI383" s="80"/>
      <c r="EK383" s="80"/>
      <c r="EL383" s="80"/>
    </row>
    <row r="384" spans="1:142" ht="12.75" customHeight="1">
      <c r="A384" s="80"/>
      <c r="B384" s="80"/>
      <c r="C384" s="80"/>
      <c r="D384" s="104"/>
      <c r="E384" s="26"/>
      <c r="F384" s="26"/>
      <c r="G384" s="80"/>
      <c r="I384" s="80"/>
      <c r="K384" s="80"/>
      <c r="L384" s="80"/>
      <c r="M384" s="80"/>
      <c r="N384" s="80"/>
      <c r="O384" s="80"/>
      <c r="P384" s="80"/>
      <c r="Q384" s="80"/>
      <c r="AC384" s="80"/>
      <c r="AE384" s="80"/>
      <c r="AF384" s="80"/>
      <c r="AI384" s="80"/>
      <c r="AK384" s="80"/>
      <c r="AL384" s="80"/>
      <c r="AP384" s="80"/>
      <c r="AZ384" s="80"/>
      <c r="BF384" s="80"/>
      <c r="BQ384" s="80"/>
      <c r="BR384" s="80"/>
      <c r="BS384" s="80"/>
      <c r="BT384" s="80"/>
      <c r="BZ384" s="80"/>
      <c r="CA384" s="80"/>
      <c r="CB384" s="80"/>
      <c r="CC384" s="80"/>
      <c r="CD384" s="80"/>
      <c r="CE384" s="80"/>
      <c r="CG384" s="80"/>
      <c r="CL384" s="80"/>
      <c r="CN384" s="80"/>
      <c r="CO384" s="80"/>
      <c r="CY384" s="80"/>
      <c r="CZ384" s="80"/>
      <c r="DA384" s="80"/>
      <c r="DE384" s="80"/>
      <c r="DI384" s="80"/>
      <c r="DJ384" s="80"/>
      <c r="DN384" s="80"/>
      <c r="DO384" s="80"/>
      <c r="DR384" s="80"/>
      <c r="DV384" s="80"/>
      <c r="DX384" s="80"/>
      <c r="EC384" s="80"/>
      <c r="EF384" s="80"/>
      <c r="EK384" s="80"/>
      <c r="EL384" s="80"/>
    </row>
    <row r="385" spans="1:142" ht="12.75" customHeight="1">
      <c r="A385" s="80"/>
      <c r="B385" s="80"/>
      <c r="C385" s="80"/>
      <c r="D385" s="104"/>
      <c r="E385" s="26"/>
      <c r="F385" s="26"/>
      <c r="H385" s="80"/>
      <c r="I385" s="80"/>
      <c r="K385" s="80"/>
      <c r="L385" s="80"/>
      <c r="M385" s="80"/>
      <c r="N385" s="80"/>
      <c r="O385" s="80"/>
      <c r="P385" s="80"/>
      <c r="Q385" s="80"/>
      <c r="AB385" s="80"/>
      <c r="AC385" s="80"/>
      <c r="AF385" s="80"/>
      <c r="AK385" s="80"/>
      <c r="AP385" s="80"/>
      <c r="AX385" s="80"/>
      <c r="AZ385" s="80"/>
      <c r="BD385" s="80"/>
      <c r="BF385" s="80"/>
      <c r="BJ385" s="80"/>
      <c r="BP385" s="80"/>
      <c r="BQ385" s="80"/>
      <c r="BR385" s="80"/>
      <c r="BS385" s="80"/>
      <c r="BT385" s="80"/>
      <c r="BZ385" s="80"/>
      <c r="CA385" s="80"/>
      <c r="CB385" s="80"/>
      <c r="CC385" s="80"/>
      <c r="CD385" s="80"/>
      <c r="CE385" s="80"/>
      <c r="CG385" s="80"/>
      <c r="CL385" s="80"/>
      <c r="CN385" s="80"/>
      <c r="CO385" s="80"/>
      <c r="CY385" s="80"/>
      <c r="CZ385" s="80"/>
      <c r="DA385" s="80"/>
      <c r="DE385" s="80"/>
      <c r="DI385" s="80"/>
      <c r="DJ385" s="80"/>
      <c r="DN385" s="80"/>
      <c r="DR385" s="80"/>
      <c r="DV385" s="80"/>
      <c r="DW385" s="80"/>
      <c r="DX385" s="80"/>
      <c r="EC385" s="80"/>
      <c r="EF385" s="80"/>
      <c r="EI385" s="80"/>
      <c r="EL385" s="80"/>
    </row>
    <row r="386" spans="1:142" ht="12.75" customHeight="1">
      <c r="A386" s="80"/>
      <c r="B386" s="80"/>
      <c r="C386" s="80"/>
      <c r="D386" s="104"/>
      <c r="E386" s="26"/>
      <c r="F386" s="26"/>
      <c r="H386" s="80"/>
      <c r="I386" s="80"/>
      <c r="J386" s="80"/>
      <c r="K386" s="80"/>
      <c r="L386" s="80"/>
      <c r="M386" s="80"/>
      <c r="N386" s="80"/>
      <c r="O386" s="80"/>
      <c r="Q386" s="80"/>
      <c r="AC386" s="80"/>
      <c r="AF386" s="80"/>
      <c r="AV386" s="80"/>
      <c r="AW386" s="80"/>
      <c r="AX386" s="80"/>
      <c r="AZ386" s="80"/>
      <c r="BF386" s="80"/>
      <c r="BJ386" s="80"/>
      <c r="BK386" s="80"/>
      <c r="BQ386" s="80"/>
      <c r="BR386" s="80"/>
      <c r="BS386" s="80"/>
      <c r="BZ386" s="80"/>
      <c r="CA386" s="80"/>
      <c r="CB386" s="80"/>
      <c r="CC386" s="80"/>
      <c r="CD386" s="80"/>
      <c r="CE386" s="80"/>
      <c r="CG386" s="80"/>
      <c r="CL386" s="80"/>
      <c r="CN386" s="80"/>
      <c r="CO386" s="80"/>
      <c r="CQ386" s="80"/>
      <c r="CU386" s="80"/>
      <c r="CW386" s="80"/>
      <c r="CY386" s="80"/>
      <c r="CZ386" s="80"/>
      <c r="DA386" s="80"/>
      <c r="DE386" s="80"/>
      <c r="DI386" s="80"/>
      <c r="DJ386" s="80"/>
      <c r="DN386" s="80"/>
      <c r="DR386" s="80"/>
      <c r="DT386" s="80"/>
      <c r="DU386" s="80"/>
      <c r="DV386" s="80"/>
      <c r="DW386" s="80"/>
      <c r="DX386" s="80"/>
      <c r="EC386" s="80"/>
      <c r="EL386" s="80"/>
    </row>
    <row r="387" spans="1:142" ht="12.75" customHeight="1">
      <c r="A387" s="80"/>
      <c r="B387" s="80"/>
      <c r="C387" s="80"/>
      <c r="D387" s="104"/>
      <c r="E387" s="26"/>
      <c r="F387" s="26"/>
      <c r="H387" s="80"/>
      <c r="I387" s="80"/>
      <c r="J387" s="80"/>
      <c r="L387" s="80"/>
      <c r="M387" s="80"/>
      <c r="N387" s="80"/>
      <c r="O387" s="80"/>
      <c r="P387" s="80"/>
      <c r="Q387" s="80"/>
      <c r="AC387" s="80"/>
      <c r="AF387" s="80"/>
      <c r="AL387" s="80"/>
      <c r="AP387" s="80"/>
      <c r="AZ387" s="80"/>
      <c r="BF387" s="80"/>
      <c r="BP387" s="80"/>
      <c r="BQ387" s="80"/>
      <c r="BR387" s="80"/>
      <c r="BS387" s="80"/>
      <c r="BT387" s="80"/>
      <c r="BU387" s="80"/>
      <c r="BZ387" s="80"/>
      <c r="CA387" s="80"/>
      <c r="CB387" s="80"/>
      <c r="CC387" s="80"/>
      <c r="CD387" s="80"/>
      <c r="CE387" s="80"/>
      <c r="CG387" s="80"/>
      <c r="CI387" s="80"/>
      <c r="CK387" s="80"/>
      <c r="CL387" s="80"/>
      <c r="CN387" s="80"/>
      <c r="CO387" s="80"/>
      <c r="CY387" s="80"/>
      <c r="CZ387" s="80"/>
      <c r="DA387" s="80"/>
      <c r="DE387" s="80"/>
      <c r="DI387" s="80"/>
      <c r="DJ387" s="80"/>
      <c r="DN387" s="80"/>
      <c r="DO387" s="80"/>
      <c r="DR387" s="80"/>
      <c r="DV387" s="80"/>
      <c r="DW387" s="80"/>
      <c r="DX387" s="80"/>
      <c r="EC387" s="80"/>
      <c r="EL387" s="80"/>
    </row>
    <row r="388" spans="1:142" ht="12.75" customHeight="1">
      <c r="A388" s="80"/>
      <c r="B388" s="80"/>
      <c r="C388" s="80"/>
      <c r="D388" s="104"/>
      <c r="E388" s="26"/>
      <c r="F388" s="26"/>
      <c r="H388" s="80"/>
      <c r="K388" s="80"/>
      <c r="L388" s="80"/>
      <c r="M388" s="80"/>
      <c r="N388" s="80"/>
      <c r="O388" s="80"/>
      <c r="P388" s="80"/>
      <c r="Q388" s="80"/>
      <c r="X388" s="80"/>
      <c r="AC388" s="80"/>
      <c r="AF388" s="80"/>
      <c r="AJ388" s="80"/>
      <c r="AV388" s="80"/>
      <c r="AW388" s="80"/>
      <c r="AX388" s="80"/>
      <c r="AY388" s="80"/>
      <c r="AZ388" s="80"/>
      <c r="BF388" s="80"/>
      <c r="BJ388" s="80"/>
      <c r="BQ388" s="80"/>
      <c r="BR388" s="80"/>
      <c r="BS388" s="80"/>
      <c r="BZ388" s="80"/>
      <c r="CA388" s="80"/>
      <c r="CB388" s="80"/>
      <c r="CC388" s="80"/>
      <c r="CD388" s="80"/>
      <c r="CE388" s="80"/>
      <c r="CG388" s="80"/>
      <c r="CL388" s="80"/>
      <c r="CN388" s="80"/>
      <c r="CO388" s="80"/>
      <c r="CY388" s="80"/>
      <c r="CZ388" s="80"/>
      <c r="DE388" s="80"/>
      <c r="DI388" s="80"/>
      <c r="DJ388" s="80"/>
      <c r="DN388" s="80"/>
      <c r="DO388" s="80"/>
      <c r="DR388" s="80"/>
      <c r="DS388" s="80"/>
      <c r="DT388" s="80"/>
      <c r="DU388" s="80"/>
      <c r="DV388" s="80"/>
      <c r="DW388" s="80"/>
      <c r="DX388" s="80"/>
      <c r="EC388" s="80"/>
      <c r="EL388" s="80"/>
    </row>
    <row r="389" spans="1:142" ht="12.75" customHeight="1">
      <c r="A389" s="80"/>
      <c r="B389" s="80"/>
      <c r="C389" s="80"/>
      <c r="D389" s="104"/>
      <c r="E389" s="26"/>
      <c r="F389" s="26"/>
      <c r="H389" s="80"/>
      <c r="I389" s="80"/>
      <c r="J389" s="80"/>
      <c r="K389" s="80"/>
      <c r="L389" s="80"/>
      <c r="M389" s="80"/>
      <c r="N389" s="80"/>
      <c r="O389" s="80"/>
      <c r="P389" s="80"/>
      <c r="Q389" s="80"/>
      <c r="AD389" s="80"/>
      <c r="AF389" s="80"/>
      <c r="AX389" s="80"/>
      <c r="AZ389" s="80"/>
      <c r="BF389" s="80"/>
      <c r="BQ389" s="80"/>
      <c r="BR389" s="80"/>
      <c r="BT389" s="80"/>
      <c r="BZ389" s="80"/>
      <c r="CA389" s="80"/>
      <c r="CB389" s="80"/>
      <c r="CC389" s="80"/>
      <c r="CD389" s="80"/>
      <c r="CE389" s="80"/>
      <c r="CG389" s="80"/>
      <c r="CL389" s="80"/>
      <c r="CY389" s="80"/>
      <c r="CZ389" s="80"/>
      <c r="DB389" s="80"/>
      <c r="DE389" s="80"/>
      <c r="DI389" s="80"/>
      <c r="DJ389" s="80"/>
      <c r="DN389" s="80"/>
      <c r="DR389" s="80"/>
      <c r="DV389" s="80"/>
      <c r="DX389" s="80"/>
      <c r="EC389" s="80"/>
      <c r="EL389" s="80"/>
    </row>
    <row r="390" spans="1:142" ht="12.75" customHeight="1">
      <c r="A390" s="80"/>
      <c r="B390" s="80"/>
      <c r="C390" s="80"/>
      <c r="D390" s="104"/>
      <c r="E390" s="26"/>
      <c r="F390" s="26"/>
      <c r="M390" s="80"/>
      <c r="O390" s="80"/>
      <c r="Q390" s="80"/>
      <c r="AB390" s="80"/>
      <c r="AL390" s="80"/>
      <c r="AP390" s="80"/>
      <c r="AW390" s="80"/>
      <c r="AZ390" s="80"/>
      <c r="BF390" s="80"/>
      <c r="CD390" s="80"/>
      <c r="CE390" s="80"/>
      <c r="CG390" s="80"/>
      <c r="CL390" s="80"/>
      <c r="CN390" s="80"/>
      <c r="CO390" s="80"/>
      <c r="CY390" s="80"/>
      <c r="CZ390" s="80"/>
      <c r="DN390" s="80"/>
      <c r="EI390" s="80"/>
      <c r="EK390" s="80"/>
      <c r="EL390" s="80"/>
    </row>
    <row r="391" spans="1:142" ht="12.75" customHeight="1">
      <c r="A391" s="80"/>
      <c r="B391" s="80"/>
      <c r="C391" s="80"/>
      <c r="D391" s="104"/>
      <c r="E391" s="26"/>
      <c r="F391" s="26"/>
      <c r="H391" s="80"/>
      <c r="J391" s="80"/>
      <c r="K391" s="80"/>
      <c r="L391" s="80"/>
      <c r="M391" s="80"/>
      <c r="N391" s="80"/>
      <c r="Q391" s="80"/>
      <c r="S391" s="80"/>
      <c r="AG391" s="80"/>
      <c r="AR391" s="80"/>
      <c r="AU391" s="80"/>
      <c r="AX391" s="80"/>
      <c r="AZ391" s="80"/>
      <c r="BF391" s="80"/>
      <c r="BJ391" s="80"/>
      <c r="BR391" s="80"/>
      <c r="BT391" s="80"/>
      <c r="BV391" s="80"/>
      <c r="BX391" s="80"/>
      <c r="CA391" s="80"/>
      <c r="CB391" s="80"/>
      <c r="CC391" s="80"/>
      <c r="CD391" s="80"/>
      <c r="CE391" s="80"/>
      <c r="CG391" s="80"/>
      <c r="CL391" s="80"/>
      <c r="CN391" s="80"/>
      <c r="CO391" s="80"/>
      <c r="CU391" s="80"/>
      <c r="CW391" s="80"/>
      <c r="CY391" s="80"/>
      <c r="CZ391" s="80"/>
      <c r="DA391" s="80"/>
      <c r="DF391" s="80"/>
      <c r="DG391" s="80"/>
      <c r="DI391" s="80"/>
      <c r="DJ391" s="80"/>
      <c r="DN391" s="80"/>
      <c r="ED391" s="80"/>
      <c r="EJ391" s="80"/>
      <c r="EK391" s="80"/>
      <c r="EL391" s="80"/>
    </row>
    <row r="392" spans="1:142" ht="12.75" customHeight="1">
      <c r="A392" s="80"/>
      <c r="B392" s="80"/>
      <c r="C392" s="80"/>
      <c r="D392" s="104"/>
      <c r="E392" s="26"/>
      <c r="F392" s="26"/>
      <c r="H392" s="80"/>
      <c r="I392" s="80"/>
      <c r="J392" s="80"/>
      <c r="K392" s="80"/>
      <c r="L392" s="80"/>
      <c r="M392" s="80"/>
      <c r="N392" s="80"/>
      <c r="P392" s="80"/>
      <c r="Q392" s="80"/>
      <c r="S392" s="80"/>
      <c r="T392" s="80"/>
      <c r="AC392" s="80"/>
      <c r="AF392" s="80"/>
      <c r="AL392" s="80"/>
      <c r="AP392" s="80"/>
      <c r="AV392" s="80"/>
      <c r="AW392" s="80"/>
      <c r="AX392" s="80"/>
      <c r="AZ392" s="80"/>
      <c r="BF392" s="80"/>
      <c r="BJ392" s="80"/>
      <c r="BQ392" s="80"/>
      <c r="BR392" s="80"/>
      <c r="BS392" s="80"/>
      <c r="BT392" s="80"/>
      <c r="BZ392" s="80"/>
      <c r="CA392" s="80"/>
      <c r="CB392" s="80"/>
      <c r="CC392" s="80"/>
      <c r="CD392" s="80"/>
      <c r="CE392" s="80"/>
      <c r="CG392" s="80"/>
      <c r="CH392" s="80"/>
      <c r="CK392" s="80"/>
      <c r="CL392" s="80"/>
      <c r="CN392" s="80"/>
      <c r="CO392" s="80"/>
      <c r="CW392" s="80"/>
      <c r="CY392" s="80"/>
      <c r="CZ392" s="80"/>
      <c r="DA392" s="80"/>
      <c r="DE392" s="80"/>
      <c r="DI392" s="80"/>
      <c r="DJ392" s="80"/>
      <c r="DN392" s="80"/>
      <c r="DR392" s="80"/>
      <c r="DV392" s="80"/>
      <c r="DW392" s="80"/>
      <c r="DX392" s="80"/>
      <c r="EC392" s="80"/>
      <c r="EL392" s="80"/>
    </row>
    <row r="393" spans="1:142" ht="12.75" customHeight="1">
      <c r="A393" s="80"/>
      <c r="B393" s="80"/>
      <c r="C393" s="80"/>
      <c r="D393" s="104"/>
      <c r="E393" s="26"/>
      <c r="F393" s="26"/>
      <c r="H393" s="80"/>
      <c r="I393" s="80"/>
      <c r="J393" s="80"/>
      <c r="K393" s="80"/>
      <c r="L393" s="80"/>
      <c r="M393" s="80"/>
      <c r="N393" s="80"/>
      <c r="O393" s="80"/>
      <c r="P393" s="80"/>
      <c r="Q393" s="80"/>
      <c r="AF393" s="80"/>
      <c r="AX393" s="80"/>
      <c r="AZ393" s="80"/>
      <c r="BF393" s="80"/>
      <c r="BJ393" s="80"/>
      <c r="BP393" s="80"/>
      <c r="BQ393" s="80"/>
      <c r="BR393" s="80"/>
      <c r="BZ393" s="80"/>
      <c r="CA393" s="80"/>
      <c r="CB393" s="80"/>
      <c r="CD393" s="80"/>
      <c r="CE393" s="80"/>
      <c r="CG393" s="80"/>
      <c r="CI393" s="80"/>
      <c r="CK393" s="80"/>
      <c r="CL393" s="80"/>
      <c r="CW393" s="80"/>
      <c r="CY393" s="80"/>
      <c r="CZ393" s="80"/>
      <c r="DA393" s="80"/>
      <c r="DE393" s="80"/>
      <c r="DI393" s="80"/>
      <c r="DJ393" s="80"/>
      <c r="DN393" s="80"/>
      <c r="DO393" s="80"/>
      <c r="DR393" s="80"/>
      <c r="DV393" s="80"/>
      <c r="DX393" s="80"/>
      <c r="EC393" s="80"/>
      <c r="EL393" s="80"/>
    </row>
    <row r="394" spans="1:142" ht="12.75" customHeight="1">
      <c r="A394" s="80"/>
      <c r="B394" s="80"/>
      <c r="C394" s="80"/>
      <c r="D394" s="104"/>
      <c r="E394" s="26"/>
      <c r="F394" s="26"/>
      <c r="H394" s="80"/>
      <c r="L394" s="80"/>
      <c r="M394" s="80"/>
      <c r="N394" s="80"/>
      <c r="P394" s="80"/>
      <c r="Q394" s="80"/>
      <c r="AF394" s="80"/>
      <c r="AL394" s="80"/>
      <c r="AP394" s="80"/>
      <c r="AQ394" s="80"/>
      <c r="AW394" s="80"/>
      <c r="AZ394" s="80"/>
      <c r="BF394" s="80"/>
      <c r="BJ394" s="80"/>
      <c r="BM394" s="80"/>
      <c r="BQ394" s="80"/>
      <c r="BR394" s="80"/>
      <c r="BS394" s="80"/>
      <c r="BT394" s="80"/>
      <c r="BZ394" s="80"/>
      <c r="CA394" s="80"/>
      <c r="CD394" s="80"/>
      <c r="CE394" s="80"/>
      <c r="CF394" s="80"/>
      <c r="CG394" s="80"/>
      <c r="CI394" s="80"/>
      <c r="CK394" s="80"/>
      <c r="CL394" s="80"/>
      <c r="CN394" s="80"/>
      <c r="CO394" s="80"/>
      <c r="CP394" s="80"/>
      <c r="CT394" s="80"/>
      <c r="CU394" s="80"/>
      <c r="CY394" s="80"/>
      <c r="CZ394" s="80"/>
      <c r="DA394" s="80"/>
      <c r="DE394" s="80"/>
      <c r="DF394" s="80"/>
      <c r="DH394" s="80"/>
      <c r="DI394" s="80"/>
      <c r="DJ394" s="80"/>
      <c r="DK394" s="80"/>
      <c r="DN394" s="80"/>
      <c r="DR394" s="80"/>
      <c r="DV394" s="80"/>
      <c r="DW394" s="80"/>
      <c r="DX394" s="80"/>
      <c r="EC394" s="80"/>
      <c r="ED394" s="80"/>
      <c r="EK394" s="80"/>
      <c r="EL394" s="80"/>
    </row>
    <row r="395" spans="1:142" ht="12.75" customHeight="1">
      <c r="A395" s="80"/>
      <c r="B395" s="80"/>
      <c r="C395" s="80"/>
      <c r="D395" s="104"/>
      <c r="E395" s="26"/>
      <c r="F395" s="26"/>
      <c r="H395" s="80"/>
      <c r="I395" s="80"/>
      <c r="J395" s="80"/>
      <c r="K395" s="80"/>
      <c r="L395" s="80"/>
      <c r="M395" s="80"/>
      <c r="N395" s="80"/>
      <c r="O395" s="80"/>
      <c r="P395" s="80"/>
      <c r="Q395" s="80"/>
      <c r="AB395" s="80"/>
      <c r="AF395" s="80"/>
      <c r="AL395" s="80"/>
      <c r="AO395" s="80"/>
      <c r="AP395" s="80"/>
      <c r="AV395" s="80"/>
      <c r="AX395" s="80"/>
      <c r="AZ395" s="80"/>
      <c r="BA395" s="80"/>
      <c r="BF395" s="80"/>
      <c r="BJ395" s="80"/>
      <c r="BP395" s="80"/>
      <c r="BQ395" s="80"/>
      <c r="BR395" s="80"/>
      <c r="BS395" s="80"/>
      <c r="BT395" s="80"/>
      <c r="BZ395" s="80"/>
      <c r="CA395" s="80"/>
      <c r="CB395" s="80"/>
      <c r="CC395" s="80"/>
      <c r="CD395" s="80"/>
      <c r="CE395" s="80"/>
      <c r="CG395" s="80"/>
      <c r="CL395" s="80"/>
      <c r="CW395" s="80"/>
      <c r="CY395" s="80"/>
      <c r="CZ395" s="80"/>
      <c r="DA395" s="80"/>
      <c r="DE395" s="80"/>
      <c r="DI395" s="80"/>
      <c r="DJ395" s="80"/>
      <c r="DN395" s="80"/>
      <c r="DR395" s="80"/>
      <c r="DV395" s="80"/>
      <c r="DX395" s="80"/>
      <c r="EC395" s="80"/>
      <c r="EL395" s="80"/>
    </row>
    <row r="396" spans="1:142" ht="12.75" customHeight="1">
      <c r="A396" s="80"/>
      <c r="B396" s="80"/>
      <c r="C396" s="80"/>
      <c r="D396" s="104"/>
      <c r="E396" s="26"/>
      <c r="F396" s="26"/>
      <c r="K396" s="80"/>
      <c r="L396" s="80"/>
      <c r="M396" s="80"/>
      <c r="P396" s="80"/>
      <c r="Q396" s="80"/>
      <c r="AB396" s="80"/>
      <c r="AC396" s="80"/>
      <c r="AF396" s="80"/>
      <c r="AK396" s="80"/>
      <c r="AP396" s="80"/>
      <c r="AV396" s="80"/>
      <c r="AZ396" s="80"/>
      <c r="BF396" s="80"/>
      <c r="BR396" s="80"/>
      <c r="BS396" s="80"/>
      <c r="BZ396" s="80"/>
      <c r="CA396" s="80"/>
      <c r="CB396" s="80"/>
      <c r="CD396" s="80"/>
      <c r="CE396" s="80"/>
      <c r="CF396" s="80"/>
      <c r="CG396" s="80"/>
      <c r="CI396" s="80"/>
      <c r="CK396" s="80"/>
      <c r="CL396" s="80"/>
      <c r="CN396" s="80"/>
      <c r="CO396" s="80"/>
      <c r="CY396" s="80"/>
      <c r="CZ396" s="80"/>
      <c r="DA396" s="80"/>
      <c r="DE396" s="80"/>
      <c r="DI396" s="80"/>
      <c r="DJ396" s="80"/>
      <c r="DN396" s="80"/>
      <c r="DR396" s="80"/>
      <c r="DV396" s="80"/>
      <c r="DX396" s="80"/>
      <c r="EC396" s="80"/>
      <c r="EI396" s="80"/>
      <c r="EK396" s="80"/>
      <c r="EL396" s="80"/>
    </row>
    <row r="397" spans="1:142" ht="12.75" customHeight="1">
      <c r="A397" s="80"/>
      <c r="B397" s="80"/>
      <c r="C397" s="80"/>
      <c r="D397" s="104"/>
      <c r="E397" s="26"/>
      <c r="F397" s="26"/>
      <c r="H397" s="80"/>
      <c r="I397" s="80"/>
      <c r="J397" s="80"/>
      <c r="K397" s="80"/>
      <c r="L397" s="80"/>
      <c r="M397" s="80"/>
      <c r="N397" s="80"/>
      <c r="O397" s="80"/>
      <c r="P397" s="80"/>
      <c r="Q397" s="80"/>
      <c r="AF397" s="80"/>
      <c r="AL397" s="80"/>
      <c r="AP397" s="80"/>
      <c r="AX397" s="80"/>
      <c r="AZ397" s="80"/>
      <c r="BF397" s="80"/>
      <c r="BQ397" s="80"/>
      <c r="BR397" s="80"/>
      <c r="BS397" s="80"/>
      <c r="BZ397" s="80"/>
      <c r="CA397" s="80"/>
      <c r="CB397" s="80"/>
      <c r="CC397" s="80"/>
      <c r="CD397" s="80"/>
      <c r="CE397" s="80"/>
      <c r="CG397" s="80"/>
      <c r="CI397" s="80"/>
      <c r="CK397" s="80"/>
      <c r="CL397" s="80"/>
      <c r="CN397" s="80"/>
      <c r="CO397" s="80"/>
      <c r="CP397" s="80"/>
      <c r="CT397" s="80"/>
      <c r="CU397" s="80"/>
      <c r="CY397" s="80"/>
      <c r="CZ397" s="80"/>
      <c r="DA397" s="80"/>
      <c r="DB397" s="80"/>
      <c r="DE397" s="80"/>
      <c r="DI397" s="80"/>
      <c r="DJ397" s="80"/>
      <c r="DN397" s="80"/>
      <c r="DR397" s="80"/>
      <c r="DV397" s="80"/>
      <c r="DX397" s="80"/>
      <c r="EC397" s="80"/>
      <c r="EL397" s="80"/>
    </row>
    <row r="398" spans="1:142" ht="12.75" customHeight="1">
      <c r="A398" s="80"/>
      <c r="B398" s="80"/>
      <c r="C398" s="80"/>
      <c r="D398" s="104"/>
      <c r="E398" s="26"/>
      <c r="F398" s="26"/>
      <c r="H398" s="80"/>
      <c r="I398" s="80"/>
      <c r="J398" s="80"/>
      <c r="L398" s="80"/>
      <c r="M398" s="80"/>
      <c r="N398" s="80"/>
      <c r="O398" s="80"/>
      <c r="P398" s="80"/>
      <c r="Q398" s="80"/>
      <c r="AB398" s="80"/>
      <c r="AF398" s="80"/>
      <c r="AK398" s="80"/>
      <c r="AL398" s="80"/>
      <c r="AN398" s="80"/>
      <c r="AO398" s="80"/>
      <c r="AP398" s="80"/>
      <c r="AW398" s="80"/>
      <c r="AY398" s="80"/>
      <c r="AZ398" s="80"/>
      <c r="BF398" s="80"/>
      <c r="BQ398" s="80"/>
      <c r="BR398" s="80"/>
      <c r="BS398" s="80"/>
      <c r="BT398" s="80"/>
      <c r="BZ398" s="80"/>
      <c r="CA398" s="80"/>
      <c r="CB398" s="80"/>
      <c r="CC398" s="80"/>
      <c r="CD398" s="80"/>
      <c r="CE398" s="80"/>
      <c r="CG398" s="80"/>
      <c r="CL398" s="80"/>
      <c r="CN398" s="80"/>
      <c r="CO398" s="80"/>
      <c r="CS398" s="80"/>
      <c r="CW398" s="80"/>
      <c r="CY398" s="80"/>
      <c r="CZ398" s="80"/>
      <c r="DA398" s="80"/>
      <c r="DE398" s="80"/>
      <c r="DI398" s="80"/>
      <c r="DJ398" s="80"/>
      <c r="DN398" s="80"/>
      <c r="DR398" s="80"/>
      <c r="DV398" s="80"/>
      <c r="DX398" s="80"/>
      <c r="EC398" s="80"/>
      <c r="ED398" s="80"/>
      <c r="EK398" s="80"/>
      <c r="EL398" s="80"/>
    </row>
    <row r="399" spans="1:142" ht="12.75" customHeight="1">
      <c r="A399" s="80"/>
      <c r="B399" s="80"/>
      <c r="C399" s="80"/>
      <c r="D399" s="104"/>
      <c r="E399" s="26"/>
      <c r="F399" s="26"/>
      <c r="I399" s="80"/>
      <c r="J399" s="80"/>
      <c r="K399" s="80"/>
      <c r="L399" s="80"/>
      <c r="M399" s="80"/>
      <c r="Q399" s="80"/>
      <c r="AF399" s="80"/>
      <c r="AK399" s="80"/>
      <c r="AP399" s="80"/>
      <c r="AX399" s="80"/>
      <c r="AY399" s="80"/>
      <c r="AZ399" s="80"/>
      <c r="BF399" s="80"/>
      <c r="BJ399" s="80"/>
      <c r="BK399" s="80"/>
      <c r="BQ399" s="80"/>
      <c r="BR399" s="80"/>
      <c r="BT399" s="80"/>
      <c r="CA399" s="80"/>
      <c r="CC399" s="80"/>
      <c r="CD399" s="80"/>
      <c r="CE399" s="80"/>
      <c r="CG399" s="80"/>
      <c r="CL399" s="80"/>
      <c r="CY399" s="80"/>
      <c r="CZ399" s="80"/>
      <c r="DE399" s="80"/>
      <c r="DI399" s="80"/>
      <c r="DJ399" s="80"/>
      <c r="DN399" s="80"/>
      <c r="DR399" s="80"/>
      <c r="DV399" s="80"/>
      <c r="DW399" s="80"/>
      <c r="DX399" s="80"/>
      <c r="EC399" s="80"/>
      <c r="EJ399" s="80"/>
      <c r="EK399" s="80"/>
      <c r="EL399" s="80"/>
    </row>
    <row r="400" spans="1:142" ht="12.75" customHeight="1">
      <c r="A400" s="80"/>
      <c r="B400" s="80"/>
      <c r="C400" s="80"/>
      <c r="D400" s="104"/>
      <c r="E400" s="26"/>
      <c r="F400" s="26"/>
      <c r="H400" s="80"/>
      <c r="I400" s="80"/>
      <c r="K400" s="80"/>
      <c r="L400" s="80"/>
      <c r="M400" s="80"/>
      <c r="N400" s="80"/>
      <c r="O400" s="80"/>
      <c r="P400" s="80"/>
      <c r="Q400" s="80"/>
      <c r="AF400" s="80"/>
      <c r="AK400" s="80"/>
      <c r="AP400" s="80"/>
      <c r="AX400" s="80"/>
      <c r="AZ400" s="80"/>
      <c r="BF400" s="80"/>
      <c r="BQ400" s="80"/>
      <c r="BR400" s="80"/>
      <c r="CA400" s="80"/>
      <c r="CB400" s="80"/>
      <c r="CC400" s="80"/>
      <c r="CD400" s="80"/>
      <c r="CE400" s="80"/>
      <c r="CG400" s="80"/>
      <c r="CL400" s="80"/>
      <c r="CY400" s="80"/>
      <c r="CZ400" s="80"/>
      <c r="DE400" s="80"/>
      <c r="DI400" s="80"/>
      <c r="DJ400" s="80"/>
      <c r="DN400" s="80"/>
      <c r="DO400" s="80"/>
      <c r="DR400" s="80"/>
      <c r="DV400" s="80"/>
      <c r="DW400" s="80"/>
      <c r="DX400" s="80"/>
      <c r="EC400" s="80"/>
      <c r="EJ400" s="80"/>
      <c r="EK400" s="80"/>
      <c r="EL400" s="80"/>
    </row>
    <row r="401" spans="1:142" ht="12.75" customHeight="1">
      <c r="A401" s="80"/>
      <c r="B401" s="80"/>
      <c r="C401" s="80"/>
      <c r="D401" s="104"/>
      <c r="E401" s="26"/>
      <c r="F401" s="26"/>
      <c r="H401" s="80"/>
      <c r="I401" s="80"/>
      <c r="J401" s="80"/>
      <c r="K401" s="80"/>
      <c r="L401" s="80"/>
      <c r="M401" s="80"/>
      <c r="N401" s="80"/>
      <c r="O401" s="80"/>
      <c r="P401" s="80"/>
      <c r="Q401" s="80"/>
      <c r="AF401" s="80"/>
      <c r="AK401" s="80"/>
      <c r="AP401" s="80"/>
      <c r="AV401" s="80"/>
      <c r="AX401" s="80"/>
      <c r="AZ401" s="80"/>
      <c r="BF401" s="80"/>
      <c r="BQ401" s="80"/>
      <c r="BR401" s="80"/>
      <c r="BS401" s="80"/>
      <c r="BZ401" s="80"/>
      <c r="CA401" s="80"/>
      <c r="CB401" s="80"/>
      <c r="CC401" s="80"/>
      <c r="CD401" s="80"/>
      <c r="CE401" s="80"/>
      <c r="CG401" s="80"/>
      <c r="CL401" s="80"/>
      <c r="CN401" s="80"/>
      <c r="CO401" s="80"/>
      <c r="DB401" s="80"/>
      <c r="DE401" s="80"/>
      <c r="DI401" s="80"/>
      <c r="DJ401" s="80"/>
      <c r="DN401" s="80"/>
      <c r="DR401" s="80"/>
      <c r="DT401" s="80"/>
      <c r="DU401" s="80"/>
      <c r="DV401" s="80"/>
      <c r="DX401" s="80"/>
      <c r="EC401" s="80"/>
      <c r="EL401" s="80"/>
    </row>
    <row r="402" spans="1:142" ht="12.75" customHeight="1">
      <c r="A402" s="80"/>
      <c r="B402" s="80"/>
      <c r="C402" s="80"/>
      <c r="D402" s="104"/>
      <c r="E402" s="26"/>
      <c r="F402" s="26"/>
      <c r="H402" s="80"/>
      <c r="K402" s="80"/>
      <c r="L402" s="80"/>
      <c r="M402" s="80"/>
      <c r="N402" s="80"/>
      <c r="P402" s="80"/>
      <c r="Q402" s="80"/>
      <c r="AF402" s="80"/>
      <c r="AX402" s="80"/>
      <c r="AZ402" s="80"/>
      <c r="BF402" s="80"/>
      <c r="BP402" s="80"/>
      <c r="BQ402" s="80"/>
      <c r="BR402" s="80"/>
      <c r="BZ402" s="80"/>
      <c r="CC402" s="80"/>
      <c r="CD402" s="80"/>
      <c r="CE402" s="80"/>
      <c r="CG402" s="80"/>
      <c r="CL402" s="80"/>
      <c r="CY402" s="80"/>
      <c r="CZ402" s="80"/>
      <c r="DE402" s="80"/>
      <c r="DI402" s="80"/>
      <c r="DJ402" s="80"/>
      <c r="DN402" s="80"/>
      <c r="DR402" s="80"/>
      <c r="DT402" s="80"/>
      <c r="DU402" s="80"/>
      <c r="DV402" s="80"/>
      <c r="DX402" s="80"/>
      <c r="EC402" s="80"/>
      <c r="EJ402" s="80"/>
      <c r="EK402" s="80"/>
      <c r="EL402" s="80"/>
    </row>
    <row r="403" spans="1:142" ht="12.75" customHeight="1">
      <c r="A403" s="80"/>
      <c r="B403" s="80"/>
      <c r="C403" s="80"/>
      <c r="D403" s="104"/>
      <c r="E403" s="26"/>
      <c r="F403" s="26"/>
      <c r="H403" s="80"/>
      <c r="I403" s="80"/>
      <c r="J403" s="80"/>
      <c r="K403" s="80"/>
      <c r="L403" s="80"/>
      <c r="M403" s="80"/>
      <c r="N403" s="80"/>
      <c r="O403" s="80"/>
      <c r="Q403" s="80"/>
      <c r="R403" s="80"/>
      <c r="AC403" s="80"/>
      <c r="AD403" s="80"/>
      <c r="AF403" s="80"/>
      <c r="AK403" s="80"/>
      <c r="AP403" s="80"/>
      <c r="AW403" s="80"/>
      <c r="AX403" s="80"/>
      <c r="AZ403" s="80"/>
      <c r="BF403" s="80"/>
      <c r="BQ403" s="80"/>
      <c r="BR403" s="80"/>
      <c r="BS403" s="80"/>
      <c r="BZ403" s="80"/>
      <c r="CA403" s="80"/>
      <c r="CB403" s="80"/>
      <c r="CC403" s="80"/>
      <c r="CD403" s="80"/>
      <c r="CE403" s="80"/>
      <c r="CG403" s="80"/>
      <c r="CL403" s="80"/>
      <c r="CY403" s="80"/>
      <c r="CZ403" s="80"/>
      <c r="DA403" s="80"/>
      <c r="DE403" s="80"/>
      <c r="DI403" s="80"/>
      <c r="DJ403" s="80"/>
      <c r="DN403" s="80"/>
      <c r="EL403" s="80"/>
    </row>
    <row r="404" spans="1:142" ht="12.75" customHeight="1">
      <c r="A404" s="80"/>
      <c r="B404" s="80"/>
      <c r="C404" s="80"/>
      <c r="D404" s="104"/>
      <c r="E404" s="26"/>
      <c r="F404" s="26"/>
      <c r="H404" s="80"/>
      <c r="I404" s="80"/>
      <c r="K404" s="80"/>
      <c r="L404" s="80"/>
      <c r="M404" s="80"/>
      <c r="N404" s="80"/>
      <c r="P404" s="80"/>
      <c r="Q404" s="80"/>
      <c r="AF404" s="80"/>
      <c r="AZ404" s="80"/>
      <c r="BF404" s="80"/>
      <c r="BQ404" s="80"/>
      <c r="BR404" s="80"/>
      <c r="BT404" s="80"/>
      <c r="BZ404" s="80"/>
      <c r="CA404" s="80"/>
      <c r="CB404" s="80"/>
      <c r="CC404" s="80"/>
      <c r="CD404" s="80"/>
      <c r="CE404" s="80"/>
      <c r="CG404" s="80"/>
      <c r="CL404" s="80"/>
      <c r="CN404" s="80"/>
      <c r="CO404" s="80"/>
      <c r="CY404" s="80"/>
      <c r="CZ404" s="80"/>
      <c r="DE404" s="80"/>
      <c r="DI404" s="80"/>
      <c r="DJ404" s="80"/>
      <c r="DN404" s="80"/>
      <c r="DR404" s="80"/>
      <c r="DV404" s="80"/>
      <c r="DX404" s="80"/>
      <c r="EC404" s="80"/>
      <c r="EL404" s="80"/>
    </row>
    <row r="405" spans="1:142" ht="12.75" customHeight="1">
      <c r="A405" s="80"/>
      <c r="B405" s="80"/>
      <c r="C405" s="80"/>
      <c r="D405" s="104"/>
      <c r="E405" s="26"/>
      <c r="F405" s="26"/>
      <c r="K405" s="80"/>
      <c r="L405" s="80"/>
      <c r="M405" s="80"/>
      <c r="Q405" s="80"/>
      <c r="AF405" s="80"/>
      <c r="AZ405" s="80"/>
      <c r="BF405" s="80"/>
      <c r="BQ405" s="80"/>
      <c r="BR405" s="80"/>
      <c r="BT405" s="80"/>
      <c r="BZ405" s="80"/>
      <c r="CA405" s="80"/>
      <c r="CB405" s="80"/>
      <c r="CC405" s="80"/>
      <c r="CD405" s="80"/>
      <c r="CG405" s="80"/>
      <c r="CL405" s="80"/>
      <c r="EL405" s="80"/>
    </row>
    <row r="406" spans="1:142" ht="12.75" customHeight="1">
      <c r="A406" s="80"/>
      <c r="B406" s="80"/>
      <c r="C406" s="80"/>
      <c r="D406" s="104"/>
      <c r="E406" s="26"/>
      <c r="F406" s="26"/>
      <c r="G406" s="80"/>
      <c r="H406" s="80"/>
      <c r="I406" s="80"/>
      <c r="J406" s="80"/>
      <c r="K406" s="80"/>
      <c r="L406" s="80"/>
      <c r="M406" s="80"/>
      <c r="O406" s="80"/>
      <c r="P406" s="80"/>
      <c r="Q406" s="80"/>
      <c r="S406" s="80"/>
      <c r="AE406" s="80"/>
      <c r="AF406" s="80"/>
      <c r="AK406" s="80"/>
      <c r="AP406" s="80"/>
      <c r="AX406" s="80"/>
      <c r="AY406" s="80"/>
      <c r="BF406" s="80"/>
      <c r="BQ406" s="80"/>
      <c r="BR406" s="80"/>
      <c r="BT406" s="80"/>
      <c r="BZ406" s="80"/>
      <c r="CA406" s="80"/>
      <c r="CB406" s="80"/>
      <c r="CC406" s="80"/>
      <c r="CD406" s="80"/>
      <c r="CE406" s="80"/>
      <c r="CG406" s="80"/>
      <c r="CL406" s="80"/>
      <c r="CN406" s="80"/>
      <c r="CO406" s="80"/>
      <c r="CY406" s="80"/>
      <c r="CZ406" s="80"/>
      <c r="DE406" s="80"/>
      <c r="DI406" s="80"/>
      <c r="DJ406" s="80"/>
      <c r="DN406" s="80"/>
      <c r="DR406" s="80"/>
      <c r="DT406" s="80"/>
      <c r="DU406" s="80"/>
      <c r="DV406" s="80"/>
      <c r="DW406" s="80"/>
      <c r="DX406" s="80"/>
      <c r="EC406" s="80"/>
      <c r="EL406" s="80"/>
    </row>
    <row r="407" spans="1:142" ht="12.75" customHeight="1">
      <c r="A407" s="80"/>
      <c r="B407" s="80"/>
      <c r="C407" s="80"/>
      <c r="D407" s="104"/>
      <c r="E407" s="26"/>
      <c r="F407" s="26"/>
      <c r="H407" s="80"/>
      <c r="J407" s="80"/>
      <c r="K407" s="80"/>
      <c r="L407" s="80"/>
      <c r="M407" s="80"/>
      <c r="N407" s="80"/>
      <c r="O407" s="80"/>
      <c r="P407" s="80"/>
      <c r="Q407" s="80"/>
      <c r="AD407" s="80"/>
      <c r="AF407" s="80"/>
      <c r="AK407" s="80"/>
      <c r="AP407" s="80"/>
      <c r="AZ407" s="80"/>
      <c r="BF407" s="80"/>
      <c r="BQ407" s="80"/>
      <c r="BR407" s="80"/>
      <c r="BS407" s="80"/>
      <c r="BT407" s="80"/>
      <c r="BZ407" s="80"/>
      <c r="CA407" s="80"/>
      <c r="CB407" s="80"/>
      <c r="CC407" s="80"/>
      <c r="CD407" s="80"/>
      <c r="CE407" s="80"/>
      <c r="CG407" s="80"/>
      <c r="CL407" s="80"/>
      <c r="CR407" s="80"/>
      <c r="CW407" s="80"/>
      <c r="CZ407" s="80"/>
      <c r="DA407" s="80"/>
      <c r="DE407" s="80"/>
      <c r="DI407" s="80"/>
      <c r="DJ407" s="80"/>
      <c r="DN407" s="80"/>
      <c r="DR407" s="80"/>
      <c r="DV407" s="80"/>
      <c r="DX407" s="80"/>
      <c r="EC407" s="80"/>
      <c r="EL407" s="80"/>
    </row>
    <row r="408" spans="1:142" ht="12.75" customHeight="1">
      <c r="A408" s="80"/>
      <c r="B408" s="80"/>
      <c r="C408" s="80"/>
      <c r="D408" s="104"/>
      <c r="E408" s="26"/>
      <c r="F408" s="26"/>
      <c r="H408" s="80"/>
      <c r="I408" s="80"/>
      <c r="J408" s="80"/>
      <c r="K408" s="80"/>
      <c r="L408" s="80"/>
      <c r="M408" s="80"/>
      <c r="N408" s="80"/>
      <c r="O408" s="80"/>
      <c r="P408" s="80"/>
      <c r="Q408" s="80"/>
      <c r="S408" s="80"/>
      <c r="T408" s="80"/>
      <c r="AB408" s="80"/>
      <c r="AF408" s="80"/>
      <c r="AK408" s="80"/>
      <c r="AP408" s="80"/>
      <c r="AX408" s="80"/>
      <c r="AY408" s="80"/>
      <c r="BF408" s="80"/>
      <c r="BJ408" s="80"/>
      <c r="BQ408" s="80"/>
      <c r="BR408" s="80"/>
      <c r="BS408" s="80"/>
      <c r="BT408" s="80"/>
      <c r="BZ408" s="80"/>
      <c r="CA408" s="80"/>
      <c r="CB408" s="80"/>
      <c r="CC408" s="80"/>
      <c r="CD408" s="80"/>
      <c r="CE408" s="80"/>
      <c r="CG408" s="80"/>
      <c r="CH408" s="80"/>
      <c r="CK408" s="80"/>
      <c r="CL408" s="80"/>
      <c r="CS408" s="80"/>
      <c r="CV408" s="80"/>
      <c r="CY408" s="80"/>
      <c r="CZ408" s="80"/>
      <c r="DA408" s="80"/>
      <c r="DB408" s="80"/>
      <c r="DE408" s="80"/>
      <c r="DI408" s="80"/>
      <c r="DJ408" s="80"/>
      <c r="DN408" s="80"/>
      <c r="DO408" s="80"/>
      <c r="DR408" s="80"/>
      <c r="DV408" s="80"/>
      <c r="DW408" s="80"/>
      <c r="DX408" s="80"/>
      <c r="EC408" s="80"/>
      <c r="ED408" s="80"/>
      <c r="EF408" s="80"/>
      <c r="EI408" s="80"/>
      <c r="EK408" s="80"/>
      <c r="EL408" s="80"/>
    </row>
    <row r="409" spans="1:142" ht="12.75" customHeight="1">
      <c r="A409" s="80"/>
      <c r="B409" s="80"/>
      <c r="C409" s="80"/>
      <c r="D409" s="104"/>
      <c r="E409" s="26"/>
      <c r="F409" s="26"/>
      <c r="G409" s="80"/>
      <c r="H409" s="80"/>
      <c r="I409" s="80"/>
      <c r="J409" s="80"/>
      <c r="K409" s="80"/>
      <c r="L409" s="80"/>
      <c r="M409" s="80"/>
      <c r="N409" s="80"/>
      <c r="O409" s="80"/>
      <c r="Q409" s="80"/>
      <c r="S409" s="80"/>
      <c r="T409" s="80"/>
      <c r="AB409" s="80"/>
      <c r="AE409" s="80"/>
      <c r="AF409" s="80"/>
      <c r="AX409" s="80"/>
      <c r="AZ409" s="80"/>
      <c r="BF409" s="80"/>
      <c r="BJ409" s="80"/>
      <c r="BQ409" s="80"/>
      <c r="BR409" s="80"/>
      <c r="BT409" s="80"/>
      <c r="BW409" s="80"/>
      <c r="BZ409" s="80"/>
      <c r="CA409" s="80"/>
      <c r="CB409" s="80"/>
      <c r="CC409" s="80"/>
      <c r="CD409" s="80"/>
      <c r="CE409" s="80"/>
      <c r="CG409" s="80"/>
      <c r="CL409" s="80"/>
      <c r="CT409" s="80"/>
      <c r="CY409" s="80"/>
      <c r="CZ409" s="80"/>
      <c r="DA409" s="80"/>
      <c r="DE409" s="80"/>
      <c r="DI409" s="80"/>
      <c r="DJ409" s="80"/>
      <c r="DN409" s="80"/>
      <c r="EI409" s="80"/>
      <c r="EK409" s="80"/>
      <c r="EL409" s="80"/>
    </row>
    <row r="410" spans="1:142" ht="12.75" customHeight="1">
      <c r="A410" s="80"/>
      <c r="B410" s="80"/>
      <c r="C410" s="80"/>
      <c r="D410" s="104"/>
      <c r="E410" s="26"/>
      <c r="F410" s="26"/>
      <c r="H410" s="80"/>
      <c r="I410" s="80"/>
      <c r="K410" s="80"/>
      <c r="L410" s="80"/>
      <c r="M410" s="80"/>
      <c r="N410" s="80"/>
      <c r="O410" s="80"/>
      <c r="P410" s="80"/>
      <c r="Q410" s="80"/>
      <c r="AB410" s="80"/>
      <c r="AF410" s="80"/>
      <c r="AI410" s="80"/>
      <c r="AK410" s="80"/>
      <c r="AL410" s="80"/>
      <c r="AP410" s="80"/>
      <c r="AW410" s="80"/>
      <c r="AX410" s="80"/>
      <c r="AY410" s="80"/>
      <c r="AZ410" s="80"/>
      <c r="BF410" s="80"/>
      <c r="BJ410" s="80"/>
      <c r="BL410" s="80"/>
      <c r="BP410" s="80"/>
      <c r="BQ410" s="80"/>
      <c r="BR410" s="80"/>
      <c r="BS410" s="80"/>
      <c r="BZ410" s="80"/>
      <c r="CA410" s="80"/>
      <c r="CB410" s="80"/>
      <c r="CC410" s="80"/>
      <c r="CD410" s="80"/>
      <c r="CE410" s="80"/>
      <c r="CG410" s="80"/>
      <c r="CI410" s="80"/>
      <c r="CK410" s="80"/>
      <c r="CL410" s="80"/>
      <c r="CN410" s="80"/>
      <c r="CO410" s="80"/>
      <c r="CY410" s="80"/>
      <c r="CZ410" s="80"/>
      <c r="DE410" s="80"/>
      <c r="DF410" s="80"/>
      <c r="DI410" s="80"/>
      <c r="DJ410" s="80"/>
      <c r="DN410" s="80"/>
      <c r="DO410" s="80"/>
      <c r="DR410" s="80"/>
      <c r="DV410" s="80"/>
      <c r="DW410" s="80"/>
      <c r="DX410" s="80"/>
      <c r="EC410" s="80"/>
      <c r="EF410" s="80"/>
      <c r="EI410" s="80"/>
      <c r="EK410" s="80"/>
      <c r="EL410" s="80"/>
    </row>
    <row r="411" spans="1:142" ht="12.75" customHeight="1">
      <c r="A411" s="80"/>
      <c r="B411" s="80"/>
      <c r="C411" s="80"/>
      <c r="D411" s="104"/>
      <c r="E411" s="26"/>
      <c r="F411" s="26"/>
      <c r="H411" s="80"/>
      <c r="I411" s="80"/>
      <c r="J411" s="80"/>
      <c r="K411" s="80"/>
      <c r="L411" s="80"/>
      <c r="M411" s="80"/>
      <c r="N411" s="80"/>
      <c r="P411" s="80"/>
      <c r="Q411" s="80"/>
      <c r="AF411" s="80"/>
      <c r="AL411" s="80"/>
      <c r="AP411" s="80"/>
      <c r="AW411" s="80"/>
      <c r="AZ411" s="80"/>
      <c r="BA411" s="80"/>
      <c r="BF411" s="80"/>
      <c r="BQ411" s="80"/>
      <c r="BR411" s="80"/>
      <c r="BS411" s="80"/>
      <c r="BT411" s="80"/>
      <c r="BZ411" s="80"/>
      <c r="CA411" s="80"/>
      <c r="CB411" s="80"/>
      <c r="CC411" s="80"/>
      <c r="CD411" s="80"/>
      <c r="CE411" s="80"/>
      <c r="CG411" s="80"/>
      <c r="CL411" s="80"/>
      <c r="CN411" s="80"/>
      <c r="CO411" s="80"/>
      <c r="CY411" s="80"/>
      <c r="CZ411" s="80"/>
      <c r="DE411" s="80"/>
      <c r="DI411" s="80"/>
      <c r="DJ411" s="80"/>
      <c r="DN411" s="80"/>
      <c r="DP411" s="80"/>
      <c r="DR411" s="80"/>
      <c r="DV411" s="80"/>
      <c r="DW411" s="80"/>
      <c r="DX411" s="80"/>
      <c r="EC411" s="80"/>
      <c r="EL411" s="80"/>
    </row>
    <row r="412" spans="1:142" ht="12.75" customHeight="1">
      <c r="A412" s="80"/>
      <c r="B412" s="80"/>
      <c r="C412" s="80"/>
      <c r="D412" s="104"/>
      <c r="E412" s="26"/>
      <c r="F412" s="26"/>
      <c r="H412" s="80"/>
      <c r="I412" s="80"/>
      <c r="J412" s="80"/>
      <c r="K412" s="80"/>
      <c r="L412" s="80"/>
      <c r="M412" s="80"/>
      <c r="N412" s="80"/>
      <c r="O412" s="80"/>
      <c r="P412" s="80"/>
      <c r="Q412" s="80"/>
      <c r="AB412" s="80"/>
      <c r="AF412" s="80"/>
      <c r="AK412" s="80"/>
      <c r="AP412" s="80"/>
      <c r="AX412" s="80"/>
      <c r="AZ412" s="80"/>
      <c r="BF412" s="80"/>
      <c r="BP412" s="80"/>
      <c r="BQ412" s="80"/>
      <c r="BR412" s="80"/>
      <c r="BZ412" s="80"/>
      <c r="CA412" s="80"/>
      <c r="CB412" s="80"/>
      <c r="CD412" s="80"/>
      <c r="CE412" s="80"/>
      <c r="CG412" s="80"/>
      <c r="CL412" s="80"/>
      <c r="CY412" s="80"/>
      <c r="CZ412" s="80"/>
      <c r="DA412" s="80"/>
      <c r="DE412" s="80"/>
      <c r="DI412" s="80"/>
      <c r="DJ412" s="80"/>
      <c r="DN412" s="80"/>
      <c r="DR412" s="80"/>
      <c r="DV412" s="80"/>
      <c r="DX412" s="80"/>
      <c r="EC412" s="80"/>
      <c r="EL412" s="80"/>
    </row>
    <row r="413" spans="1:142" ht="12.75" customHeight="1">
      <c r="A413" s="80"/>
      <c r="B413" s="80"/>
      <c r="C413" s="80"/>
      <c r="D413" s="104"/>
      <c r="E413" s="26"/>
      <c r="F413" s="26"/>
      <c r="H413" s="80"/>
      <c r="K413" s="80"/>
      <c r="L413" s="80"/>
      <c r="M413" s="80"/>
      <c r="O413" s="80"/>
      <c r="Q413" s="80"/>
      <c r="AB413" s="80"/>
      <c r="AC413" s="80"/>
      <c r="AF413" s="80"/>
      <c r="AL413" s="80"/>
      <c r="AP413" s="80"/>
      <c r="AX413" s="80"/>
      <c r="AY413" s="80"/>
      <c r="AZ413" s="80"/>
      <c r="BF413" s="80"/>
      <c r="BQ413" s="80"/>
      <c r="BR413" s="80"/>
      <c r="BS413" s="80"/>
      <c r="BT413" s="80"/>
      <c r="BZ413" s="80"/>
      <c r="CA413" s="80"/>
      <c r="CB413" s="80"/>
      <c r="CC413" s="80"/>
      <c r="CD413" s="80"/>
      <c r="CE413" s="80"/>
      <c r="CG413" s="80"/>
      <c r="CL413" s="80"/>
      <c r="CN413" s="80"/>
      <c r="CO413" s="80"/>
      <c r="CU413" s="80"/>
      <c r="CW413" s="80"/>
      <c r="CY413" s="80"/>
      <c r="CZ413" s="80"/>
      <c r="DA413" s="80"/>
      <c r="DE413" s="80"/>
      <c r="DI413" s="80"/>
      <c r="DJ413" s="80"/>
      <c r="DN413" s="80"/>
      <c r="EJ413" s="80"/>
      <c r="EK413" s="80"/>
      <c r="EL413" s="80"/>
    </row>
    <row r="414" spans="1:142" ht="12.75" customHeight="1">
      <c r="A414" s="80"/>
      <c r="B414" s="80"/>
      <c r="C414" s="80"/>
      <c r="D414" s="104"/>
      <c r="E414" s="26"/>
      <c r="F414" s="26"/>
      <c r="H414" s="80"/>
      <c r="I414" s="80"/>
      <c r="J414" s="80"/>
      <c r="L414" s="80"/>
      <c r="M414" s="80"/>
      <c r="N414" s="80"/>
      <c r="P414" s="80"/>
      <c r="Q414" s="80"/>
      <c r="AF414" s="80"/>
      <c r="AL414" s="80"/>
      <c r="AP414" s="80"/>
      <c r="AX414" s="80"/>
      <c r="AZ414" s="80"/>
      <c r="BF414" s="80"/>
      <c r="BQ414" s="80"/>
      <c r="BR414" s="80"/>
      <c r="BS414" s="80"/>
      <c r="BZ414" s="80"/>
      <c r="CA414" s="80"/>
      <c r="CB414" s="80"/>
      <c r="CC414" s="80"/>
      <c r="CD414" s="80"/>
      <c r="CE414" s="80"/>
      <c r="CG414" s="80"/>
      <c r="CL414" s="80"/>
      <c r="DE414" s="80"/>
      <c r="DI414" s="80"/>
      <c r="DJ414" s="80"/>
      <c r="DN414" s="80"/>
      <c r="DR414" s="80"/>
      <c r="DV414" s="80"/>
      <c r="DW414" s="80"/>
      <c r="DX414" s="80"/>
      <c r="EC414" s="80"/>
      <c r="EL414" s="80"/>
    </row>
    <row r="415" spans="1:142" ht="12.75" customHeight="1">
      <c r="A415" s="80"/>
      <c r="B415" s="80"/>
      <c r="C415" s="80"/>
      <c r="D415" s="104"/>
      <c r="E415" s="26"/>
      <c r="F415" s="26"/>
      <c r="H415" s="80"/>
      <c r="I415" s="80"/>
      <c r="J415" s="80"/>
      <c r="K415" s="80"/>
      <c r="L415" s="80"/>
      <c r="M415" s="80"/>
      <c r="N415" s="80"/>
      <c r="O415" s="80"/>
      <c r="P415" s="80"/>
      <c r="Q415" s="80"/>
      <c r="AF415" s="80"/>
      <c r="AK415" s="80"/>
      <c r="AL415" s="80"/>
      <c r="AP415" s="80"/>
      <c r="AX415" s="80"/>
      <c r="AZ415" s="80"/>
      <c r="BF415" s="80"/>
      <c r="BQ415" s="80"/>
      <c r="BR415" s="80"/>
      <c r="BT415" s="80"/>
      <c r="BZ415" s="80"/>
      <c r="CA415" s="80"/>
      <c r="CB415" s="80"/>
      <c r="CC415" s="80"/>
      <c r="CD415" s="80"/>
      <c r="CE415" s="80"/>
      <c r="CG415" s="80"/>
      <c r="CI415" s="80"/>
      <c r="CK415" s="80"/>
      <c r="CL415" s="80"/>
      <c r="CN415" s="80"/>
      <c r="CO415" s="80"/>
      <c r="CW415" s="80"/>
      <c r="CY415" s="80"/>
      <c r="CZ415" s="80"/>
      <c r="DA415" s="80"/>
      <c r="DE415" s="80"/>
      <c r="DI415" s="80"/>
      <c r="DJ415" s="80"/>
      <c r="DN415" s="80"/>
      <c r="DO415" s="80"/>
      <c r="DR415" s="80"/>
      <c r="DV415" s="80"/>
      <c r="DX415" s="80"/>
      <c r="EC415" s="80"/>
      <c r="EJ415" s="80"/>
      <c r="EK415" s="80"/>
      <c r="EL415" s="80"/>
    </row>
    <row r="416" spans="1:142" ht="12.75" customHeight="1">
      <c r="A416" s="80"/>
      <c r="B416" s="80"/>
      <c r="C416" s="80"/>
      <c r="D416" s="104"/>
      <c r="E416" s="26"/>
      <c r="F416" s="26"/>
      <c r="H416" s="80"/>
      <c r="I416" s="80"/>
      <c r="K416" s="80"/>
      <c r="L416" s="80"/>
      <c r="M416" s="80"/>
      <c r="N416" s="80"/>
      <c r="O416" s="80"/>
      <c r="P416" s="80"/>
      <c r="Q416" s="80"/>
      <c r="AC416" s="80"/>
      <c r="AD416" s="80"/>
      <c r="AF416" s="80"/>
      <c r="AL416" s="80"/>
      <c r="AP416" s="80"/>
      <c r="AV416" s="80"/>
      <c r="AX416" s="80"/>
      <c r="AY416" s="80"/>
      <c r="BF416" s="80"/>
      <c r="BP416" s="80"/>
      <c r="BR416" s="80"/>
      <c r="BZ416" s="80"/>
      <c r="CA416" s="80"/>
      <c r="CB416" s="80"/>
      <c r="CC416" s="80"/>
      <c r="CD416" s="80"/>
      <c r="CE416" s="80"/>
      <c r="CF416" s="80"/>
      <c r="CG416" s="80"/>
      <c r="CL416" s="80"/>
      <c r="CN416" s="80"/>
      <c r="CO416" s="80"/>
      <c r="CY416" s="80"/>
      <c r="CZ416" s="80"/>
      <c r="DE416" s="80"/>
      <c r="DI416" s="80"/>
      <c r="DJ416" s="80"/>
      <c r="DN416" s="80"/>
      <c r="DR416" s="80"/>
      <c r="DV416" s="80"/>
      <c r="DX416" s="80"/>
      <c r="EC416" s="80"/>
      <c r="ED416" s="80"/>
      <c r="EF416" s="80"/>
      <c r="EI416" s="80"/>
      <c r="EK416" s="80"/>
      <c r="EL416" s="80"/>
    </row>
    <row r="417" spans="1:142" ht="12.75" customHeight="1">
      <c r="A417" s="80"/>
      <c r="B417" s="80"/>
      <c r="C417" s="80"/>
      <c r="D417" s="104"/>
      <c r="E417" s="26"/>
      <c r="F417" s="26"/>
      <c r="H417" s="80"/>
      <c r="I417" s="80"/>
      <c r="K417" s="80"/>
      <c r="L417" s="80"/>
      <c r="M417" s="80"/>
      <c r="N417" s="80"/>
      <c r="O417" s="80"/>
      <c r="P417" s="80"/>
      <c r="Q417" s="80"/>
      <c r="S417" s="80"/>
      <c r="T417" s="80"/>
      <c r="AC417" s="80"/>
      <c r="AF417" s="80"/>
      <c r="AL417" s="80"/>
      <c r="AP417" s="80"/>
      <c r="AX417" s="80"/>
      <c r="AY417" s="80"/>
      <c r="BF417" s="80"/>
      <c r="BQ417" s="80"/>
      <c r="BR417" s="80"/>
      <c r="BS417" s="80"/>
      <c r="BZ417" s="80"/>
      <c r="CA417" s="80"/>
      <c r="CB417" s="80"/>
      <c r="CC417" s="80"/>
      <c r="CD417" s="80"/>
      <c r="CE417" s="80"/>
      <c r="CG417" s="80"/>
      <c r="CL417" s="80"/>
      <c r="CY417" s="80"/>
      <c r="CZ417" s="80"/>
      <c r="DE417" s="80"/>
      <c r="DI417" s="80"/>
      <c r="DJ417" s="80"/>
      <c r="DN417" s="80"/>
      <c r="DR417" s="80"/>
      <c r="DV417" s="80"/>
      <c r="DX417" s="80"/>
      <c r="EC417" s="80"/>
      <c r="EL417" s="80"/>
    </row>
    <row r="418" spans="1:142" ht="12.75" customHeight="1">
      <c r="A418" s="80"/>
      <c r="B418" s="80"/>
      <c r="C418" s="80"/>
      <c r="D418" s="104"/>
      <c r="E418" s="26"/>
      <c r="F418" s="26"/>
      <c r="K418" s="80"/>
      <c r="L418" s="80"/>
      <c r="M418" s="80"/>
      <c r="N418" s="80"/>
      <c r="P418" s="80"/>
      <c r="Q418" s="80"/>
      <c r="AF418" s="80"/>
      <c r="AL418" s="80"/>
      <c r="AP418" s="80"/>
      <c r="AX418" s="80"/>
      <c r="AZ418" s="80"/>
      <c r="BF418" s="80"/>
      <c r="BR418" s="80"/>
      <c r="BZ418" s="80"/>
      <c r="CA418" s="80"/>
      <c r="CB418" s="80"/>
      <c r="CD418" s="80"/>
      <c r="CE418" s="80"/>
      <c r="CF418" s="80"/>
      <c r="CG418" s="80"/>
      <c r="CL418" s="80"/>
      <c r="CN418" s="80"/>
      <c r="CO418" s="80"/>
      <c r="CY418" s="80"/>
      <c r="CZ418" s="80"/>
      <c r="DA418" s="80"/>
      <c r="DI418" s="80"/>
      <c r="DJ418" s="80"/>
      <c r="DN418" s="80"/>
      <c r="DR418" s="80"/>
      <c r="DV418" s="80"/>
      <c r="DW418" s="80"/>
      <c r="DX418" s="80"/>
      <c r="EC418" s="80"/>
      <c r="EL418" s="80"/>
    </row>
    <row r="419" spans="1:142" ht="12.75" customHeight="1">
      <c r="A419" s="80"/>
      <c r="B419" s="80"/>
      <c r="C419" s="80"/>
      <c r="D419" s="104"/>
      <c r="E419" s="26"/>
      <c r="F419" s="26"/>
      <c r="H419" s="80"/>
      <c r="I419" s="80"/>
      <c r="J419" s="80"/>
      <c r="K419" s="80"/>
      <c r="L419" s="80"/>
      <c r="M419" s="80"/>
      <c r="N419" s="80"/>
      <c r="O419" s="80"/>
      <c r="Q419" s="80"/>
      <c r="AB419" s="80"/>
      <c r="AF419" s="80"/>
      <c r="AK419" s="80"/>
      <c r="AP419" s="80"/>
      <c r="AX419" s="80"/>
      <c r="AZ419" s="80"/>
      <c r="BF419" s="80"/>
      <c r="BJ419" s="80"/>
      <c r="BP419" s="80"/>
      <c r="BQ419" s="80"/>
      <c r="BR419" s="80"/>
      <c r="BS419" s="80"/>
      <c r="BZ419" s="80"/>
      <c r="CA419" s="80"/>
      <c r="CB419" s="80"/>
      <c r="CC419" s="80"/>
      <c r="CD419" s="80"/>
      <c r="CE419" s="80"/>
      <c r="CG419" s="80"/>
      <c r="CL419" s="80"/>
      <c r="CT419" s="80"/>
      <c r="CU419" s="80"/>
      <c r="CY419" s="80"/>
      <c r="CZ419" s="80"/>
      <c r="DA419" s="80"/>
      <c r="DE419" s="80"/>
      <c r="DI419" s="80"/>
      <c r="DJ419" s="80"/>
      <c r="DN419" s="80"/>
      <c r="DR419" s="80"/>
      <c r="DV419" s="80"/>
      <c r="DW419" s="80"/>
      <c r="DX419" s="80"/>
      <c r="EC419" s="80"/>
      <c r="EL419" s="80"/>
    </row>
    <row r="420" spans="1:142" ht="12.75" customHeight="1">
      <c r="A420" s="80"/>
      <c r="B420" s="80"/>
      <c r="C420" s="80"/>
      <c r="D420" s="104"/>
      <c r="E420" s="26"/>
      <c r="F420" s="26"/>
      <c r="H420" s="80"/>
      <c r="I420" s="80"/>
      <c r="J420" s="80"/>
      <c r="K420" s="80"/>
      <c r="L420" s="80"/>
      <c r="M420" s="80"/>
      <c r="N420" s="80"/>
      <c r="O420" s="80"/>
      <c r="Q420" s="80"/>
      <c r="AB420" s="80"/>
      <c r="AC420" s="80"/>
      <c r="AF420" s="80"/>
      <c r="AX420" s="80"/>
      <c r="AY420" s="80"/>
      <c r="BF420" s="80"/>
      <c r="BP420" s="80"/>
      <c r="BR420" s="80"/>
      <c r="BS420" s="80"/>
      <c r="BZ420" s="80"/>
      <c r="CA420" s="80"/>
      <c r="CB420" s="80"/>
      <c r="CC420" s="80"/>
      <c r="CD420" s="80"/>
      <c r="CE420" s="80"/>
      <c r="CG420" s="80"/>
      <c r="CL420" s="80"/>
      <c r="CY420" s="80"/>
      <c r="CZ420" s="80"/>
      <c r="DB420" s="80"/>
      <c r="DE420" s="80"/>
      <c r="DI420" s="80"/>
      <c r="DJ420" s="80"/>
      <c r="DN420" s="80"/>
      <c r="DR420" s="80"/>
      <c r="DT420" s="80"/>
      <c r="DU420" s="80"/>
      <c r="DV420" s="80"/>
      <c r="DX420" s="80"/>
      <c r="EC420" s="80"/>
      <c r="EF420" s="80"/>
      <c r="EG420" s="80"/>
      <c r="EI420" s="80"/>
      <c r="EK420" s="80"/>
      <c r="EL420" s="80"/>
    </row>
    <row r="421" spans="1:142" ht="12.75" customHeight="1">
      <c r="A421" s="80"/>
      <c r="B421" s="80"/>
      <c r="C421" s="80"/>
      <c r="D421" s="104"/>
      <c r="E421" s="26"/>
      <c r="F421" s="26"/>
      <c r="H421" s="80"/>
      <c r="K421" s="80"/>
      <c r="L421" s="80"/>
      <c r="M421" s="80"/>
      <c r="N421" s="80"/>
      <c r="O421" s="80"/>
      <c r="P421" s="80"/>
      <c r="Q421" s="80"/>
      <c r="AB421" s="80"/>
      <c r="AF421" s="80"/>
      <c r="AV421" s="80"/>
      <c r="AW421" s="80"/>
      <c r="AX421" s="80"/>
      <c r="AY421" s="80"/>
      <c r="BF421" s="80"/>
      <c r="BQ421" s="80"/>
      <c r="BR421" s="80"/>
      <c r="BS421" s="80"/>
      <c r="BZ421" s="80"/>
      <c r="CA421" s="80"/>
      <c r="CB421" s="80"/>
      <c r="CC421" s="80"/>
      <c r="CD421" s="80"/>
      <c r="CE421" s="80"/>
      <c r="CG421" s="80"/>
      <c r="CL421" s="80"/>
      <c r="CN421" s="80"/>
      <c r="CO421" s="80"/>
      <c r="CY421" s="80"/>
      <c r="CZ421" s="80"/>
      <c r="DE421" s="80"/>
      <c r="DI421" s="80"/>
      <c r="DJ421" s="80"/>
      <c r="DN421" s="80"/>
      <c r="DR421" s="80"/>
      <c r="DV421" s="80"/>
      <c r="DX421" s="80"/>
      <c r="EC421" s="80"/>
      <c r="EF421" s="80"/>
      <c r="EI421" s="80"/>
      <c r="EL421" s="80"/>
    </row>
    <row r="422" spans="1:142" ht="12.75" customHeight="1">
      <c r="A422" s="80"/>
      <c r="B422" s="80"/>
      <c r="C422" s="80"/>
      <c r="D422" s="104"/>
      <c r="E422" s="26"/>
      <c r="F422" s="26"/>
      <c r="H422" s="80"/>
      <c r="I422" s="80"/>
      <c r="J422" s="80"/>
      <c r="K422" s="80"/>
      <c r="L422" s="80"/>
      <c r="M422" s="80"/>
      <c r="N422" s="80"/>
      <c r="O422" s="80"/>
      <c r="P422" s="80"/>
      <c r="Q422" s="80"/>
      <c r="AB422" s="80"/>
      <c r="AF422" s="80"/>
      <c r="AX422" s="80"/>
      <c r="AZ422" s="80"/>
      <c r="BF422" s="80"/>
      <c r="BP422" s="80"/>
      <c r="BQ422" s="80"/>
      <c r="BR422" s="80"/>
      <c r="BS422" s="80"/>
      <c r="BZ422" s="80"/>
      <c r="CA422" s="80"/>
      <c r="CB422" s="80"/>
      <c r="CC422" s="80"/>
      <c r="CD422" s="80"/>
      <c r="CE422" s="80"/>
      <c r="CG422" s="80"/>
      <c r="CL422" s="80"/>
      <c r="DE422" s="80"/>
      <c r="DI422" s="80"/>
      <c r="DJ422" s="80"/>
      <c r="DN422" s="80"/>
      <c r="DR422" s="80"/>
      <c r="DV422" s="80"/>
      <c r="DX422" s="80"/>
      <c r="EC422" s="80"/>
      <c r="EF422" s="80"/>
      <c r="EI422" s="80"/>
      <c r="EL422" s="80"/>
    </row>
    <row r="423" spans="1:142" ht="12.75" customHeight="1">
      <c r="A423" s="80"/>
      <c r="B423" s="80"/>
      <c r="C423" s="80"/>
      <c r="D423" s="104"/>
      <c r="E423" s="26"/>
      <c r="F423" s="26"/>
      <c r="H423" s="80"/>
      <c r="I423" s="80"/>
      <c r="J423" s="80"/>
      <c r="K423" s="80"/>
      <c r="L423" s="80"/>
      <c r="M423" s="80"/>
      <c r="N423" s="80"/>
      <c r="O423" s="80"/>
      <c r="P423" s="80"/>
      <c r="Q423" s="80"/>
      <c r="AB423" s="80"/>
      <c r="AF423" s="80"/>
      <c r="AL423" s="80"/>
      <c r="AP423" s="80"/>
      <c r="AX423" s="80"/>
      <c r="AZ423" s="80"/>
      <c r="BF423" s="80"/>
      <c r="BQ423" s="80"/>
      <c r="BR423" s="80"/>
      <c r="BS423" s="80"/>
      <c r="BZ423" s="80"/>
      <c r="CA423" s="80"/>
      <c r="CB423" s="80"/>
      <c r="CC423" s="80"/>
      <c r="CD423" s="80"/>
      <c r="CE423" s="80"/>
      <c r="CG423" s="80"/>
      <c r="CL423" s="80"/>
      <c r="CY423" s="80"/>
      <c r="CZ423" s="80"/>
      <c r="DE423" s="80"/>
      <c r="DI423" s="80"/>
      <c r="DJ423" s="80"/>
      <c r="DN423" s="80"/>
      <c r="DO423" s="80"/>
      <c r="DR423" s="80"/>
      <c r="DV423" s="80"/>
      <c r="DX423" s="80"/>
      <c r="EC423" s="80"/>
      <c r="EF423" s="80"/>
      <c r="EI423" s="80"/>
      <c r="EK423" s="80"/>
      <c r="EL423" s="80"/>
    </row>
    <row r="424" spans="1:142" ht="12.75" customHeight="1">
      <c r="A424" s="80"/>
      <c r="B424" s="80"/>
      <c r="C424" s="80"/>
      <c r="D424" s="104"/>
      <c r="E424" s="26"/>
      <c r="F424" s="26"/>
      <c r="H424" s="80"/>
      <c r="I424" s="80"/>
      <c r="J424" s="80"/>
      <c r="K424" s="80"/>
      <c r="L424" s="80"/>
      <c r="M424" s="80"/>
      <c r="N424" s="80"/>
      <c r="O424" s="80"/>
      <c r="P424" s="80"/>
      <c r="Q424" s="80"/>
      <c r="AB424" s="80"/>
      <c r="AF424" s="80"/>
      <c r="AK424" s="80"/>
      <c r="AP424" s="80"/>
      <c r="AV424" s="80"/>
      <c r="AX424" s="80"/>
      <c r="AY424" s="80"/>
      <c r="BF424" s="80"/>
      <c r="BQ424" s="80"/>
      <c r="BR424" s="80"/>
      <c r="BS424" s="80"/>
      <c r="BZ424" s="80"/>
      <c r="CA424" s="80"/>
      <c r="CB424" s="80"/>
      <c r="CC424" s="80"/>
      <c r="CD424" s="80"/>
      <c r="CE424" s="80"/>
      <c r="CG424" s="80"/>
      <c r="CL424" s="80"/>
      <c r="CN424" s="80"/>
      <c r="CO424" s="80"/>
      <c r="CY424" s="80"/>
      <c r="CZ424" s="80"/>
      <c r="DE424" s="80"/>
      <c r="DI424" s="80"/>
      <c r="DJ424" s="80"/>
      <c r="DN424" s="80"/>
      <c r="DP424" s="80"/>
      <c r="DR424" s="80"/>
      <c r="DV424" s="80"/>
      <c r="DX424" s="80"/>
      <c r="EC424" s="80"/>
      <c r="EI424" s="80"/>
      <c r="EK424" s="80"/>
      <c r="EL424" s="80"/>
    </row>
    <row r="425" spans="1:142" ht="12.75" customHeight="1">
      <c r="A425" s="80"/>
      <c r="B425" s="80"/>
      <c r="C425" s="80"/>
      <c r="D425" s="104"/>
      <c r="E425" s="26"/>
      <c r="F425" s="26"/>
      <c r="H425" s="80"/>
      <c r="I425" s="80"/>
      <c r="J425" s="80"/>
      <c r="K425" s="80"/>
      <c r="L425" s="80"/>
      <c r="M425" s="80"/>
      <c r="N425" s="80"/>
      <c r="O425" s="80"/>
      <c r="P425" s="80"/>
      <c r="Q425" s="80"/>
      <c r="AF425" s="80"/>
      <c r="AK425" s="80"/>
      <c r="AP425" s="80"/>
      <c r="AX425" s="80"/>
      <c r="AY425" s="80"/>
      <c r="AZ425" s="80"/>
      <c r="BF425" s="80"/>
      <c r="BJ425" s="80"/>
      <c r="BQ425" s="80"/>
      <c r="BR425" s="80"/>
      <c r="BS425" s="80"/>
      <c r="BZ425" s="80"/>
      <c r="CA425" s="80"/>
      <c r="CB425" s="80"/>
      <c r="CC425" s="80"/>
      <c r="CD425" s="80"/>
      <c r="CE425" s="80"/>
      <c r="CG425" s="80"/>
      <c r="CL425" s="80"/>
      <c r="CY425" s="80"/>
      <c r="CZ425" s="80"/>
      <c r="DB425" s="80"/>
      <c r="DE425" s="80"/>
      <c r="DI425" s="80"/>
      <c r="DJ425" s="80"/>
      <c r="DN425" s="80"/>
      <c r="DO425" s="80"/>
      <c r="DR425" s="80"/>
      <c r="DT425" s="80"/>
      <c r="DU425" s="80"/>
      <c r="DV425" s="80"/>
      <c r="DW425" s="80"/>
      <c r="DX425" s="80"/>
      <c r="EC425" s="80"/>
      <c r="EE425" s="80"/>
      <c r="EF425" s="80"/>
      <c r="EI425" s="80"/>
      <c r="EK425" s="80"/>
      <c r="EL425" s="80"/>
    </row>
    <row r="426" spans="1:142" ht="12.75" customHeight="1">
      <c r="A426" s="80"/>
      <c r="B426" s="80"/>
      <c r="C426" s="80"/>
      <c r="D426" s="104"/>
      <c r="E426" s="26"/>
      <c r="F426" s="26"/>
      <c r="H426" s="80"/>
      <c r="J426" s="80"/>
      <c r="K426" s="80"/>
      <c r="L426" s="80"/>
      <c r="M426" s="80"/>
      <c r="N426" s="80"/>
      <c r="O426" s="80"/>
      <c r="P426" s="80"/>
      <c r="Q426" s="80"/>
      <c r="AB426" s="80"/>
      <c r="AF426" s="80"/>
      <c r="AK426" s="80"/>
      <c r="AP426" s="80"/>
      <c r="AX426" s="80"/>
      <c r="AY426" s="80"/>
      <c r="BF426" s="80"/>
      <c r="BQ426" s="80"/>
      <c r="BR426" s="80"/>
      <c r="BZ426" s="80"/>
      <c r="CA426" s="80"/>
      <c r="CB426" s="80"/>
      <c r="CC426" s="80"/>
      <c r="CD426" s="80"/>
      <c r="CE426" s="80"/>
      <c r="CG426" s="80"/>
      <c r="CL426" s="80"/>
      <c r="CN426" s="80"/>
      <c r="CO426" s="80"/>
      <c r="CY426" s="80"/>
      <c r="CZ426" s="80"/>
      <c r="DE426" s="80"/>
      <c r="DI426" s="80"/>
      <c r="DJ426" s="80"/>
      <c r="DN426" s="80"/>
      <c r="DR426" s="80"/>
      <c r="DV426" s="80"/>
      <c r="DX426" s="80"/>
      <c r="EC426" s="80"/>
      <c r="ED426" s="80"/>
      <c r="EF426" s="80"/>
      <c r="EG426" s="80"/>
      <c r="EI426" s="80"/>
      <c r="EK426" s="80"/>
      <c r="EL426" s="80"/>
    </row>
    <row r="427" spans="1:142" ht="12.75" customHeight="1">
      <c r="A427" s="80"/>
      <c r="B427" s="80"/>
      <c r="C427" s="80"/>
      <c r="D427" s="104"/>
      <c r="E427" s="26"/>
      <c r="F427" s="26"/>
      <c r="I427" s="80"/>
      <c r="J427" s="80"/>
      <c r="K427" s="80"/>
      <c r="L427" s="80"/>
      <c r="M427" s="80"/>
      <c r="O427" s="80"/>
      <c r="Q427" s="80"/>
      <c r="AB427" s="80"/>
      <c r="AF427" s="80"/>
      <c r="AK427" s="80"/>
      <c r="AP427" s="80"/>
      <c r="AX427" s="80"/>
      <c r="AZ427" s="80"/>
      <c r="BA427" s="80"/>
      <c r="BF427" s="80"/>
      <c r="BQ427" s="80"/>
      <c r="BR427" s="80"/>
      <c r="BS427" s="80"/>
      <c r="BT427" s="80"/>
      <c r="BZ427" s="80"/>
      <c r="CA427" s="80"/>
      <c r="CB427" s="80"/>
      <c r="CC427" s="80"/>
      <c r="CD427" s="80"/>
      <c r="CE427" s="80"/>
      <c r="CG427" s="80"/>
      <c r="CL427" s="80"/>
      <c r="CW427" s="80"/>
      <c r="CY427" s="80"/>
      <c r="CZ427" s="80"/>
      <c r="DA427" s="80"/>
      <c r="DE427" s="80"/>
      <c r="DI427" s="80"/>
      <c r="DJ427" s="80"/>
      <c r="DN427" s="80"/>
      <c r="DR427" s="80"/>
      <c r="DV427" s="80"/>
      <c r="DX427" s="80"/>
      <c r="EC427" s="80"/>
      <c r="EI427" s="80"/>
      <c r="EK427" s="80"/>
      <c r="EL427" s="80"/>
    </row>
    <row r="428" spans="1:142" ht="12.75" customHeight="1">
      <c r="A428" s="80"/>
      <c r="B428" s="80"/>
      <c r="C428" s="80"/>
      <c r="D428" s="104"/>
      <c r="E428" s="26"/>
      <c r="F428" s="26"/>
      <c r="H428" s="80"/>
      <c r="I428" s="80"/>
      <c r="J428" s="80"/>
      <c r="K428" s="80"/>
      <c r="L428" s="80"/>
      <c r="M428" s="80"/>
      <c r="O428" s="80"/>
      <c r="P428" s="80"/>
      <c r="Q428" s="80"/>
      <c r="AB428" s="80"/>
      <c r="AF428" s="80"/>
      <c r="AK428" s="80"/>
      <c r="AL428" s="80"/>
      <c r="AP428" s="80"/>
      <c r="AX428" s="80"/>
      <c r="AZ428" s="80"/>
      <c r="BF428" s="80"/>
      <c r="BQ428" s="80"/>
      <c r="BR428" s="80"/>
      <c r="BS428" s="80"/>
      <c r="BZ428" s="80"/>
      <c r="CA428" s="80"/>
      <c r="CB428" s="80"/>
      <c r="CC428" s="80"/>
      <c r="CD428" s="80"/>
      <c r="CE428" s="80"/>
      <c r="CG428" s="80"/>
      <c r="CL428" s="80"/>
      <c r="CN428" s="80"/>
      <c r="CO428" s="80"/>
      <c r="CY428" s="80"/>
      <c r="CZ428" s="80"/>
      <c r="DA428" s="80"/>
      <c r="DE428" s="80"/>
      <c r="DI428" s="80"/>
      <c r="DJ428" s="80"/>
      <c r="DN428" s="80"/>
      <c r="DO428" s="80"/>
      <c r="DR428" s="80"/>
      <c r="DV428" s="80"/>
      <c r="DX428" s="80"/>
      <c r="EC428" s="80"/>
      <c r="ED428" s="80"/>
      <c r="EF428" s="80"/>
      <c r="EI428" s="80"/>
      <c r="EJ428" s="80"/>
      <c r="EK428" s="80"/>
      <c r="EL428" s="80"/>
    </row>
    <row r="429" spans="1:142" ht="12.75" customHeight="1">
      <c r="A429" s="80"/>
      <c r="B429" s="80"/>
      <c r="C429" s="80"/>
      <c r="D429" s="104"/>
      <c r="E429" s="26"/>
      <c r="F429" s="26"/>
      <c r="H429" s="80"/>
      <c r="I429" s="80"/>
      <c r="J429" s="80"/>
      <c r="K429" s="80"/>
      <c r="L429" s="80"/>
      <c r="M429" s="80"/>
      <c r="N429" s="80"/>
      <c r="O429" s="80"/>
      <c r="P429" s="80"/>
      <c r="Q429" s="80"/>
      <c r="AB429" s="80"/>
      <c r="AF429" s="80"/>
      <c r="AK429" s="80"/>
      <c r="AP429" s="80"/>
      <c r="AX429" s="80"/>
      <c r="AY429" s="80"/>
      <c r="AZ429" s="80"/>
      <c r="BF429" s="80"/>
      <c r="BQ429" s="80"/>
      <c r="BR429" s="80"/>
      <c r="BT429" s="80"/>
      <c r="BZ429" s="80"/>
      <c r="CA429" s="80"/>
      <c r="CB429" s="80"/>
      <c r="CC429" s="80"/>
      <c r="CD429" s="80"/>
      <c r="CE429" s="80"/>
      <c r="CF429" s="80"/>
      <c r="CG429" s="80"/>
      <c r="CL429" s="80"/>
      <c r="CY429" s="80"/>
      <c r="CZ429" s="80"/>
      <c r="DE429" s="80"/>
      <c r="DI429" s="80"/>
      <c r="DJ429" s="80"/>
      <c r="DN429" s="80"/>
      <c r="DR429" s="80"/>
      <c r="DV429" s="80"/>
      <c r="DX429" s="80"/>
      <c r="EC429" s="80"/>
      <c r="EF429" s="80"/>
      <c r="EI429" s="80"/>
      <c r="EK429" s="80"/>
      <c r="EL429" s="80"/>
    </row>
    <row r="430" spans="1:142" ht="12.75" customHeight="1">
      <c r="A430" s="80"/>
      <c r="B430" s="80"/>
      <c r="C430" s="80"/>
      <c r="D430" s="104"/>
      <c r="E430" s="26"/>
      <c r="F430" s="26"/>
      <c r="H430" s="80"/>
      <c r="I430" s="80"/>
      <c r="J430" s="80"/>
      <c r="K430" s="80"/>
      <c r="L430" s="80"/>
      <c r="M430" s="80"/>
      <c r="N430" s="80"/>
      <c r="O430" s="80"/>
      <c r="P430" s="80"/>
      <c r="Q430" s="80"/>
      <c r="AB430" s="80"/>
      <c r="AC430" s="80"/>
      <c r="AD430" s="80"/>
      <c r="AF430" s="80"/>
      <c r="AL430" s="80"/>
      <c r="AP430" s="80"/>
      <c r="AW430" s="80"/>
      <c r="AX430" s="80"/>
      <c r="AZ430" s="80"/>
      <c r="BF430" s="80"/>
      <c r="BP430" s="80"/>
      <c r="BQ430" s="80"/>
      <c r="BR430" s="80"/>
      <c r="BS430" s="80"/>
      <c r="BT430" s="80"/>
      <c r="BZ430" s="80"/>
      <c r="CA430" s="80"/>
      <c r="CB430" s="80"/>
      <c r="CC430" s="80"/>
      <c r="CD430" s="80"/>
      <c r="CE430" s="80"/>
      <c r="CG430" s="80"/>
      <c r="CL430" s="80"/>
      <c r="CY430" s="80"/>
      <c r="CZ430" s="80"/>
      <c r="DE430" s="80"/>
      <c r="DI430" s="80"/>
      <c r="DJ430" s="80"/>
      <c r="DN430" s="80"/>
      <c r="DR430" s="80"/>
      <c r="DV430" s="80"/>
      <c r="DX430" s="80"/>
      <c r="EC430" s="80"/>
      <c r="EF430" s="80"/>
      <c r="EI430" s="80"/>
      <c r="EL430" s="80"/>
    </row>
    <row r="431" spans="1:142" ht="12.75" customHeight="1">
      <c r="A431" s="80"/>
      <c r="B431" s="80"/>
      <c r="C431" s="80"/>
      <c r="D431" s="104"/>
      <c r="E431" s="26"/>
      <c r="F431" s="26"/>
      <c r="H431" s="80"/>
      <c r="I431" s="80"/>
      <c r="J431" s="80"/>
      <c r="K431" s="80"/>
      <c r="L431" s="80"/>
      <c r="M431" s="80"/>
      <c r="N431" s="80"/>
      <c r="P431" s="80"/>
      <c r="Q431" s="80"/>
      <c r="AF431" s="80"/>
      <c r="AL431" s="80"/>
      <c r="AP431" s="80"/>
      <c r="AZ431" s="80"/>
      <c r="BF431" s="80"/>
      <c r="BJ431" s="80"/>
      <c r="BL431" s="80"/>
      <c r="BQ431" s="80"/>
      <c r="BR431" s="80"/>
      <c r="BS431" s="80"/>
      <c r="BT431" s="80"/>
      <c r="BZ431" s="80"/>
      <c r="CA431" s="80"/>
      <c r="CB431" s="80"/>
      <c r="CC431" s="80"/>
      <c r="CD431" s="80"/>
      <c r="CE431" s="80"/>
      <c r="CG431" s="80"/>
      <c r="CL431" s="80"/>
      <c r="DR431" s="80"/>
      <c r="DV431" s="80"/>
      <c r="DX431" s="80"/>
      <c r="EC431" s="80"/>
      <c r="EL431" s="80"/>
    </row>
    <row r="432" spans="1:142" ht="12.75" customHeight="1">
      <c r="A432" s="80"/>
      <c r="B432" s="80"/>
      <c r="C432" s="80"/>
      <c r="D432" s="104"/>
      <c r="E432" s="26"/>
      <c r="F432" s="26"/>
      <c r="H432" s="80"/>
      <c r="I432" s="80"/>
      <c r="J432" s="80"/>
      <c r="K432" s="80"/>
      <c r="L432" s="80"/>
      <c r="M432" s="80"/>
      <c r="N432" s="80"/>
      <c r="O432" s="80"/>
      <c r="P432" s="80"/>
      <c r="Q432" s="80"/>
      <c r="AB432" s="80"/>
      <c r="AF432" s="80"/>
      <c r="AJ432" s="80"/>
      <c r="AL432" s="80"/>
      <c r="AP432" s="80"/>
      <c r="AV432" s="80"/>
      <c r="AX432" s="80"/>
      <c r="AZ432" s="80"/>
      <c r="BF432" s="80"/>
      <c r="BP432" s="80"/>
      <c r="BQ432" s="80"/>
      <c r="BR432" s="80"/>
      <c r="BS432" s="80"/>
      <c r="BT432" s="80"/>
      <c r="BZ432" s="80"/>
      <c r="CA432" s="80"/>
      <c r="CB432" s="80"/>
      <c r="CC432" s="80"/>
      <c r="CD432" s="80"/>
      <c r="CE432" s="80"/>
      <c r="CG432" s="80"/>
      <c r="CL432" s="80"/>
      <c r="CN432" s="80"/>
      <c r="CO432" s="80"/>
      <c r="CY432" s="80"/>
      <c r="CZ432" s="80"/>
      <c r="DA432" s="80"/>
      <c r="DE432" s="80"/>
      <c r="DI432" s="80"/>
      <c r="DJ432" s="80"/>
      <c r="DN432" s="80"/>
      <c r="DR432" s="80"/>
      <c r="DV432" s="80"/>
      <c r="DW432" s="80"/>
      <c r="DX432" s="80"/>
      <c r="EC432" s="80"/>
      <c r="ED432" s="80"/>
      <c r="EF432" s="80"/>
      <c r="EI432" s="80"/>
      <c r="EK432" s="80"/>
      <c r="EL432" s="80"/>
    </row>
    <row r="433" spans="1:142" ht="12.75" customHeight="1">
      <c r="A433" s="80"/>
      <c r="B433" s="80"/>
      <c r="C433" s="80"/>
      <c r="D433" s="104"/>
      <c r="E433" s="26"/>
      <c r="F433" s="26"/>
      <c r="H433" s="80"/>
      <c r="L433" s="80"/>
      <c r="M433" s="80"/>
      <c r="O433" s="80"/>
      <c r="Q433" s="80"/>
      <c r="AB433" s="80"/>
      <c r="AI433" s="80"/>
      <c r="AL433" s="80"/>
      <c r="AP433" s="80"/>
      <c r="AW433" s="80"/>
      <c r="AZ433" s="80"/>
      <c r="BF433" s="80"/>
      <c r="CD433" s="80"/>
      <c r="CE433" s="80"/>
      <c r="CG433" s="80"/>
      <c r="CL433" s="80"/>
      <c r="CY433" s="80"/>
      <c r="CZ433" s="80"/>
      <c r="DE433" s="80"/>
      <c r="DJ433" s="80"/>
      <c r="DN433" s="80"/>
      <c r="EF433" s="80"/>
      <c r="EK433" s="80"/>
      <c r="EL433" s="80"/>
    </row>
    <row r="434" spans="1:142" ht="12.75" customHeight="1">
      <c r="A434" s="80"/>
      <c r="B434" s="80"/>
      <c r="C434" s="80"/>
      <c r="D434" s="104"/>
      <c r="E434" s="26"/>
      <c r="F434" s="26"/>
      <c r="H434" s="80"/>
      <c r="I434" s="80"/>
      <c r="J434" s="80"/>
      <c r="K434" s="80"/>
      <c r="L434" s="80"/>
      <c r="M434" s="80"/>
      <c r="N434" s="80"/>
      <c r="O434" s="80"/>
      <c r="Q434" s="80"/>
      <c r="AB434" s="80"/>
      <c r="AG434" s="80"/>
      <c r="AR434" s="80"/>
      <c r="AT434" s="80"/>
      <c r="AX434" s="80"/>
      <c r="AZ434" s="80"/>
      <c r="BF434" s="80"/>
      <c r="BP434" s="80"/>
      <c r="BR434" s="80"/>
      <c r="BT434" s="80"/>
      <c r="BV434" s="80"/>
      <c r="BX434" s="80"/>
      <c r="CA434" s="80"/>
      <c r="CB434" s="80"/>
      <c r="CC434" s="80"/>
      <c r="CD434" s="80"/>
      <c r="CE434" s="80"/>
      <c r="CG434" s="80"/>
      <c r="CL434" s="80"/>
      <c r="CY434" s="80"/>
      <c r="CZ434" s="80"/>
      <c r="DA434" s="80"/>
      <c r="DE434" s="80"/>
      <c r="DF434" s="80"/>
      <c r="DG434" s="80"/>
      <c r="DI434" s="80"/>
      <c r="DJ434" s="80"/>
      <c r="DN434" s="80"/>
      <c r="EI434" s="80"/>
      <c r="EK434" s="80"/>
      <c r="EL434" s="80"/>
    </row>
    <row r="435" spans="1:142" ht="12.75" customHeight="1">
      <c r="A435" s="80"/>
      <c r="B435" s="80"/>
      <c r="C435" s="80"/>
      <c r="D435" s="104"/>
      <c r="E435" s="26"/>
      <c r="F435" s="26"/>
      <c r="H435" s="80"/>
      <c r="I435" s="80"/>
      <c r="J435" s="80"/>
      <c r="K435" s="80"/>
      <c r="L435" s="80"/>
      <c r="M435" s="80"/>
      <c r="N435" s="80"/>
      <c r="O435" s="80"/>
      <c r="P435" s="80"/>
      <c r="Q435" s="80"/>
      <c r="AF435" s="80"/>
      <c r="AN435" s="80"/>
      <c r="AP435" s="80"/>
      <c r="AZ435" s="80"/>
      <c r="BF435" s="80"/>
      <c r="BJ435" s="80"/>
      <c r="BP435" s="80"/>
      <c r="BQ435" s="80"/>
      <c r="BR435" s="80"/>
      <c r="BS435" s="80"/>
      <c r="BT435" s="80"/>
      <c r="BZ435" s="80"/>
      <c r="CA435" s="80"/>
      <c r="CB435" s="80"/>
      <c r="CC435" s="80"/>
      <c r="CD435" s="80"/>
      <c r="CE435" s="80"/>
      <c r="CG435" s="80"/>
      <c r="CL435" s="80"/>
      <c r="CY435" s="80"/>
      <c r="CZ435" s="80"/>
      <c r="DE435" s="80"/>
      <c r="DI435" s="80"/>
      <c r="DJ435" s="80"/>
      <c r="DN435" s="80"/>
      <c r="DO435" s="80"/>
      <c r="DR435" s="80"/>
      <c r="DV435" s="80"/>
      <c r="DX435" s="80"/>
      <c r="EC435" s="80"/>
      <c r="EF435" s="80"/>
      <c r="EI435" s="80"/>
      <c r="EJ435" s="80"/>
      <c r="EL435" s="80"/>
    </row>
    <row r="436" spans="1:142" ht="12.75" customHeight="1">
      <c r="A436" s="80"/>
      <c r="B436" s="80"/>
      <c r="C436" s="80"/>
      <c r="D436" s="104"/>
      <c r="E436" s="26"/>
      <c r="F436" s="26"/>
      <c r="G436" s="80"/>
      <c r="H436" s="80"/>
      <c r="J436" s="80"/>
      <c r="K436" s="80"/>
      <c r="L436" s="80"/>
      <c r="M436" s="80"/>
      <c r="N436" s="80"/>
      <c r="O436" s="80"/>
      <c r="Q436" s="80"/>
      <c r="S436" s="80"/>
      <c r="T436" s="80"/>
      <c r="AA436" s="80"/>
      <c r="AB436" s="80"/>
      <c r="AE436" s="80"/>
      <c r="AF436" s="80"/>
      <c r="AH436" s="80"/>
      <c r="AL436" s="80"/>
      <c r="AP436" s="80"/>
      <c r="AX436" s="80"/>
      <c r="AZ436" s="80"/>
      <c r="BB436" s="80"/>
      <c r="BF436" s="80"/>
      <c r="BP436" s="80"/>
      <c r="BQ436" s="80"/>
      <c r="BR436" s="80"/>
      <c r="BS436" s="80"/>
      <c r="BT436" s="80"/>
      <c r="BZ436" s="80"/>
      <c r="CA436" s="80"/>
      <c r="CB436" s="80"/>
      <c r="CC436" s="80"/>
      <c r="CD436" s="80"/>
      <c r="CE436" s="80"/>
      <c r="CG436" s="80"/>
      <c r="CL436" s="80"/>
      <c r="DE436" s="80"/>
      <c r="DI436" s="80"/>
      <c r="DJ436" s="80"/>
      <c r="DN436" s="80"/>
      <c r="DR436" s="80"/>
      <c r="DV436" s="80"/>
      <c r="DX436" s="80"/>
      <c r="EC436" s="80"/>
      <c r="EL436" s="80"/>
    </row>
    <row r="437" spans="1:142" ht="12.75" customHeight="1">
      <c r="A437" s="80"/>
      <c r="B437" s="80"/>
      <c r="C437" s="80"/>
      <c r="D437" s="104"/>
      <c r="E437" s="26"/>
      <c r="F437" s="26"/>
      <c r="H437" s="80"/>
      <c r="I437" s="80"/>
      <c r="J437" s="80"/>
      <c r="K437" s="80"/>
      <c r="L437" s="80"/>
      <c r="M437" s="80"/>
      <c r="N437" s="80"/>
      <c r="O437" s="80"/>
      <c r="P437" s="80"/>
      <c r="Q437" s="80"/>
      <c r="U437" s="80"/>
      <c r="V437" s="80"/>
      <c r="X437" s="80"/>
      <c r="AC437" s="80"/>
      <c r="AF437" s="80"/>
      <c r="AL437" s="80"/>
      <c r="AP437" s="80"/>
      <c r="AX437" s="80"/>
      <c r="AZ437" s="80"/>
      <c r="BF437" s="80"/>
      <c r="BP437" s="80"/>
      <c r="BQ437" s="80"/>
      <c r="BR437" s="80"/>
      <c r="BS437" s="80"/>
      <c r="BZ437" s="80"/>
      <c r="CA437" s="80"/>
      <c r="CB437" s="80"/>
      <c r="CC437" s="80"/>
      <c r="CD437" s="80"/>
      <c r="CE437" s="80"/>
      <c r="CG437" s="80"/>
      <c r="CH437" s="80"/>
      <c r="CK437" s="80"/>
      <c r="CL437" s="80"/>
      <c r="CN437" s="80"/>
      <c r="CO437" s="80"/>
      <c r="CQ437" s="80"/>
      <c r="CS437" s="80"/>
      <c r="CU437" s="80"/>
      <c r="CW437" s="80"/>
      <c r="CY437" s="80"/>
      <c r="CZ437" s="80"/>
      <c r="DA437" s="80"/>
      <c r="DB437" s="80"/>
      <c r="DE437" s="80"/>
      <c r="DI437" s="80"/>
      <c r="DJ437" s="80"/>
      <c r="DN437" s="80"/>
      <c r="DR437" s="80"/>
      <c r="DS437" s="80"/>
      <c r="DU437" s="80"/>
      <c r="DV437" s="80"/>
      <c r="DW437" s="80"/>
      <c r="DX437" s="80"/>
      <c r="EC437" s="80"/>
      <c r="EI437" s="80"/>
      <c r="EK437" s="80"/>
      <c r="EL437" s="80"/>
    </row>
    <row r="438" spans="1:142" ht="12.75" customHeight="1">
      <c r="A438" s="80"/>
      <c r="B438" s="80"/>
      <c r="C438" s="80"/>
      <c r="D438" s="104"/>
      <c r="E438" s="26"/>
      <c r="F438" s="26"/>
      <c r="I438" s="80"/>
      <c r="J438" s="80"/>
      <c r="K438" s="80"/>
      <c r="L438" s="80"/>
      <c r="M438" s="80"/>
      <c r="N438" s="80"/>
      <c r="O438" s="80"/>
      <c r="P438" s="80"/>
      <c r="Q438" s="80"/>
      <c r="AF438" s="80"/>
      <c r="AL438" s="80"/>
      <c r="AP438" s="80"/>
      <c r="AX438" s="80"/>
      <c r="AZ438" s="80"/>
      <c r="BF438" s="80"/>
      <c r="BQ438" s="80"/>
      <c r="BR438" s="80"/>
      <c r="BT438" s="80"/>
      <c r="BZ438" s="80"/>
      <c r="CA438" s="80"/>
      <c r="CB438" s="80"/>
      <c r="CC438" s="80"/>
      <c r="CD438" s="80"/>
      <c r="CE438" s="80"/>
      <c r="CG438" s="80"/>
      <c r="CH438" s="80"/>
      <c r="CK438" s="80"/>
      <c r="CL438" s="80"/>
      <c r="CN438" s="80"/>
      <c r="CO438" s="80"/>
      <c r="CW438" s="80"/>
      <c r="CY438" s="80"/>
      <c r="CZ438" s="80"/>
      <c r="DA438" s="80"/>
      <c r="DE438" s="80"/>
      <c r="DI438" s="80"/>
      <c r="DJ438" s="80"/>
      <c r="DN438" s="80"/>
      <c r="DO438" s="80"/>
      <c r="DR438" s="80"/>
      <c r="DV438" s="80"/>
      <c r="DX438" s="80"/>
      <c r="EC438" s="80"/>
      <c r="EI438" s="80"/>
      <c r="EK438" s="80"/>
      <c r="EL438" s="80"/>
    </row>
    <row r="439" spans="1:142" ht="12.75" customHeight="1">
      <c r="A439" s="80"/>
      <c r="B439" s="80"/>
      <c r="C439" s="80"/>
      <c r="D439" s="104"/>
      <c r="E439" s="26"/>
      <c r="F439" s="26"/>
      <c r="H439" s="80"/>
      <c r="J439" s="80"/>
      <c r="K439" s="80"/>
      <c r="L439" s="80"/>
      <c r="M439" s="80"/>
      <c r="N439" s="80"/>
      <c r="O439" s="80"/>
      <c r="P439" s="80"/>
      <c r="Q439" s="80"/>
      <c r="AB439" s="80"/>
      <c r="AC439" s="80"/>
      <c r="AF439" s="80"/>
      <c r="AL439" s="80"/>
      <c r="AP439" s="80"/>
      <c r="AW439" s="80"/>
      <c r="AX439" s="80"/>
      <c r="AZ439" s="80"/>
      <c r="BF439" s="80"/>
      <c r="BJ439" s="80"/>
      <c r="BP439" s="80"/>
      <c r="BQ439" s="80"/>
      <c r="BR439" s="80"/>
      <c r="BS439" s="80"/>
      <c r="BT439" s="80"/>
      <c r="BZ439" s="80"/>
      <c r="CA439" s="80"/>
      <c r="CB439" s="80"/>
      <c r="CC439" s="80"/>
      <c r="CD439" s="80"/>
      <c r="CE439" s="80"/>
      <c r="CG439" s="80"/>
      <c r="CL439" s="80"/>
      <c r="CY439" s="80"/>
      <c r="CZ439" s="80"/>
      <c r="DA439" s="80"/>
      <c r="DE439" s="80"/>
      <c r="DF439" s="80"/>
      <c r="DI439" s="80"/>
      <c r="DJ439" s="80"/>
      <c r="DN439" s="80"/>
      <c r="DO439" s="80"/>
      <c r="DP439" s="80"/>
      <c r="DR439" s="80"/>
      <c r="DS439" s="80"/>
      <c r="DT439" s="80"/>
      <c r="DU439" s="80"/>
      <c r="DV439" s="80"/>
      <c r="DW439" s="80"/>
      <c r="DX439" s="80"/>
      <c r="EC439" s="80"/>
      <c r="ED439" s="80"/>
      <c r="EF439" s="80"/>
      <c r="EI439" s="80"/>
      <c r="EK439" s="80"/>
      <c r="EL439" s="80"/>
    </row>
    <row r="440" spans="1:142" ht="12.75" customHeight="1">
      <c r="A440" s="80"/>
      <c r="B440" s="80"/>
      <c r="C440" s="80"/>
      <c r="D440" s="104"/>
      <c r="E440" s="26"/>
      <c r="F440" s="26"/>
      <c r="G440" s="80"/>
      <c r="H440" s="80"/>
      <c r="K440" s="80"/>
      <c r="L440" s="80"/>
      <c r="M440" s="80"/>
      <c r="N440" s="80"/>
      <c r="O440" s="80"/>
      <c r="P440" s="80"/>
      <c r="Q440" s="80"/>
      <c r="AF440" s="80"/>
      <c r="AH440" s="80"/>
      <c r="AK440" s="80"/>
      <c r="AL440" s="80"/>
      <c r="AO440" s="80"/>
      <c r="AP440" s="80"/>
      <c r="AX440" s="80"/>
      <c r="AY440" s="80"/>
      <c r="BF440" s="80"/>
      <c r="BQ440" s="80"/>
      <c r="BR440" s="80"/>
      <c r="BZ440" s="80"/>
      <c r="CA440" s="80"/>
      <c r="CB440" s="80"/>
      <c r="CC440" s="80"/>
      <c r="CD440" s="80"/>
      <c r="CE440" s="80"/>
      <c r="CG440" s="80"/>
      <c r="CL440" s="80"/>
      <c r="CN440" s="80"/>
      <c r="CO440" s="80"/>
      <c r="CU440" s="80"/>
      <c r="CY440" s="80"/>
      <c r="CZ440" s="80"/>
      <c r="DA440" s="80"/>
      <c r="DE440" s="80"/>
      <c r="DI440" s="80"/>
      <c r="DJ440" s="80"/>
      <c r="DN440" s="80"/>
      <c r="DR440" s="80"/>
      <c r="DV440" s="80"/>
      <c r="DW440" s="80"/>
      <c r="DX440" s="80"/>
      <c r="EC440" s="80"/>
      <c r="EI440" s="80"/>
      <c r="EK440" s="80"/>
      <c r="EL440" s="80"/>
    </row>
    <row r="441" spans="1:142" ht="12.75" customHeight="1">
      <c r="A441" s="80"/>
      <c r="B441" s="80"/>
      <c r="C441" s="80"/>
      <c r="D441" s="104"/>
      <c r="E441" s="26"/>
      <c r="F441" s="26"/>
      <c r="H441" s="80"/>
      <c r="I441" s="80"/>
      <c r="J441" s="80"/>
      <c r="K441" s="80"/>
      <c r="L441" s="80"/>
      <c r="M441" s="80"/>
      <c r="N441" s="80"/>
      <c r="O441" s="80"/>
      <c r="Q441" s="80"/>
      <c r="AB441" s="80"/>
      <c r="AF441" s="80"/>
      <c r="AX441" s="80"/>
      <c r="AZ441" s="80"/>
      <c r="BF441" s="80"/>
      <c r="BJ441" s="80"/>
      <c r="BP441" s="80"/>
      <c r="BQ441" s="80"/>
      <c r="BR441" s="80"/>
      <c r="BS441" s="80"/>
      <c r="BT441" s="80"/>
      <c r="BZ441" s="80"/>
      <c r="CA441" s="80"/>
      <c r="CB441" s="80"/>
      <c r="CC441" s="80"/>
      <c r="CD441" s="80"/>
      <c r="CE441" s="80"/>
      <c r="CG441" s="80"/>
      <c r="CL441" s="80"/>
      <c r="CN441" s="80"/>
      <c r="CO441" s="80"/>
      <c r="CW441" s="80"/>
      <c r="CY441" s="80"/>
      <c r="CZ441" s="80"/>
      <c r="DA441" s="80"/>
      <c r="DE441" s="80"/>
      <c r="DI441" s="80"/>
      <c r="DJ441" s="80"/>
      <c r="DN441" s="80"/>
      <c r="EI441" s="80"/>
      <c r="EK441" s="80"/>
      <c r="EL441" s="80"/>
    </row>
    <row r="442" spans="1:142" ht="12.75" customHeight="1">
      <c r="A442" s="80"/>
      <c r="B442" s="80"/>
      <c r="C442" s="80"/>
      <c r="D442" s="104"/>
      <c r="E442" s="26"/>
      <c r="F442" s="26"/>
      <c r="H442" s="80"/>
      <c r="I442" s="80"/>
      <c r="J442" s="80"/>
      <c r="K442" s="80"/>
      <c r="L442" s="80"/>
      <c r="M442" s="80"/>
      <c r="N442" s="80"/>
      <c r="O442" s="80"/>
      <c r="P442" s="80"/>
      <c r="Q442" s="80"/>
      <c r="AB442" s="80"/>
      <c r="AC442" s="80"/>
      <c r="AF442" s="80"/>
      <c r="AK442" s="80"/>
      <c r="AP442" s="80"/>
      <c r="AX442" s="80"/>
      <c r="AZ442" s="80"/>
      <c r="BF442" s="80"/>
      <c r="BP442" s="80"/>
      <c r="BQ442" s="80"/>
      <c r="BR442" s="80"/>
      <c r="BS442" s="80"/>
      <c r="BZ442" s="80"/>
      <c r="CA442" s="80"/>
      <c r="CB442" s="80"/>
      <c r="CC442" s="80"/>
      <c r="CD442" s="80"/>
      <c r="CE442" s="80"/>
      <c r="CG442" s="80"/>
      <c r="CJ442" s="80"/>
      <c r="CL442" s="80"/>
      <c r="CN442" s="80"/>
      <c r="CO442" s="80"/>
      <c r="CY442" s="80"/>
      <c r="CZ442" s="80"/>
      <c r="DA442" s="80"/>
      <c r="DE442" s="80"/>
      <c r="DI442" s="80"/>
      <c r="DJ442" s="80"/>
      <c r="DN442" s="80"/>
      <c r="DO442" s="80"/>
      <c r="DR442" s="80"/>
      <c r="DV442" s="80"/>
      <c r="DX442" s="80"/>
      <c r="EC442" s="80"/>
      <c r="EG442" s="80"/>
      <c r="EI442" s="80"/>
      <c r="EK442" s="80"/>
      <c r="EL442" s="80"/>
    </row>
    <row r="443" spans="1:142" ht="12.75" customHeight="1">
      <c r="A443" s="80"/>
      <c r="B443" s="80"/>
      <c r="C443" s="80"/>
      <c r="D443" s="104"/>
      <c r="E443" s="26"/>
      <c r="F443" s="26"/>
      <c r="H443" s="80"/>
      <c r="I443" s="80"/>
      <c r="K443" s="80"/>
      <c r="L443" s="80"/>
      <c r="M443" s="80"/>
      <c r="N443" s="80"/>
      <c r="O443" s="80"/>
      <c r="Q443" s="80"/>
      <c r="S443" s="80"/>
      <c r="T443" s="80"/>
      <c r="AF443" s="80"/>
      <c r="AL443" s="80"/>
      <c r="AP443" s="80"/>
      <c r="AX443" s="80"/>
      <c r="AZ443" s="80"/>
      <c r="BF443" s="80"/>
      <c r="BQ443" s="80"/>
      <c r="BR443" s="80"/>
      <c r="BS443" s="80"/>
      <c r="BT443" s="80"/>
      <c r="BZ443" s="80"/>
      <c r="CA443" s="80"/>
      <c r="CB443" s="80"/>
      <c r="CC443" s="80"/>
      <c r="CD443" s="80"/>
      <c r="CE443" s="80"/>
      <c r="CG443" s="80"/>
      <c r="CL443" s="80"/>
      <c r="CY443" s="80"/>
      <c r="CZ443" s="80"/>
      <c r="DE443" s="80"/>
      <c r="DI443" s="80"/>
      <c r="DJ443" s="80"/>
      <c r="DN443" s="80"/>
      <c r="DR443" s="80"/>
      <c r="DV443" s="80"/>
      <c r="DX443" s="80"/>
      <c r="EC443" s="80"/>
      <c r="EL443" s="80"/>
    </row>
    <row r="444" spans="1:142" ht="12.75" customHeight="1">
      <c r="A444" s="80"/>
      <c r="B444" s="80"/>
      <c r="C444" s="80"/>
      <c r="D444" s="104"/>
      <c r="E444" s="26"/>
      <c r="F444" s="26"/>
      <c r="H444" s="80"/>
      <c r="I444" s="80"/>
      <c r="J444" s="80"/>
      <c r="K444" s="80"/>
      <c r="L444" s="80"/>
      <c r="M444" s="80"/>
      <c r="O444" s="80"/>
      <c r="P444" s="80"/>
      <c r="Q444" s="80"/>
      <c r="R444" s="80"/>
      <c r="AB444" s="80"/>
      <c r="AF444" s="80"/>
      <c r="AK444" s="80"/>
      <c r="AP444" s="80"/>
      <c r="AV444" s="80"/>
      <c r="AX444" s="80"/>
      <c r="AZ444" s="80"/>
      <c r="BF444" s="80"/>
      <c r="BQ444" s="80"/>
      <c r="BR444" s="80"/>
      <c r="BS444" s="80"/>
      <c r="BT444" s="80"/>
      <c r="BZ444" s="80"/>
      <c r="CA444" s="80"/>
      <c r="CB444" s="80"/>
      <c r="CC444" s="80"/>
      <c r="CD444" s="80"/>
      <c r="CE444" s="80"/>
      <c r="CG444" s="80"/>
      <c r="CL444" s="80"/>
      <c r="CY444" s="80"/>
      <c r="CZ444" s="80"/>
      <c r="DE444" s="80"/>
      <c r="DI444" s="80"/>
      <c r="DJ444" s="80"/>
      <c r="DN444" s="80"/>
      <c r="DO444" s="80"/>
      <c r="DR444" s="80"/>
      <c r="DS444" s="80"/>
      <c r="DU444" s="80"/>
      <c r="DV444" s="80"/>
      <c r="DW444" s="80"/>
      <c r="DX444" s="80"/>
      <c r="EC444" s="80"/>
      <c r="EI444" s="80"/>
      <c r="EK444" s="80"/>
      <c r="EL444" s="80"/>
    </row>
    <row r="445" spans="1:142" ht="12.75" customHeight="1">
      <c r="A445" s="80"/>
      <c r="B445" s="80"/>
      <c r="C445" s="80"/>
      <c r="D445" s="104"/>
      <c r="E445" s="26"/>
      <c r="F445" s="26"/>
      <c r="H445" s="80"/>
      <c r="I445" s="80"/>
      <c r="J445" s="80"/>
      <c r="K445" s="80"/>
      <c r="L445" s="80"/>
      <c r="M445" s="80"/>
      <c r="N445" s="80"/>
      <c r="O445" s="80"/>
      <c r="P445" s="80"/>
      <c r="Q445" s="80"/>
      <c r="AB445" s="80"/>
      <c r="AC445" s="80"/>
      <c r="AF445" s="80"/>
      <c r="AK445" s="80"/>
      <c r="AP445" s="80"/>
      <c r="AX445" s="80"/>
      <c r="AY445" s="80"/>
      <c r="AZ445" s="80"/>
      <c r="BF445" s="80"/>
      <c r="BJ445" s="80"/>
      <c r="BP445" s="80"/>
      <c r="BQ445" s="80"/>
      <c r="BR445" s="80"/>
      <c r="BS445" s="80"/>
      <c r="BT445" s="80"/>
      <c r="BZ445" s="80"/>
      <c r="CA445" s="80"/>
      <c r="CB445" s="80"/>
      <c r="CC445" s="80"/>
      <c r="CD445" s="80"/>
      <c r="CE445" s="80"/>
      <c r="CG445" s="80"/>
      <c r="CL445" s="80"/>
      <c r="CN445" s="80"/>
      <c r="CO445" s="80"/>
      <c r="CY445" s="80"/>
      <c r="CZ445" s="80"/>
      <c r="DE445" s="80"/>
      <c r="DI445" s="80"/>
      <c r="DJ445" s="80"/>
      <c r="DN445" s="80"/>
      <c r="DR445" s="80"/>
      <c r="DT445" s="80"/>
      <c r="DU445" s="80"/>
      <c r="DV445" s="80"/>
      <c r="DW445" s="80"/>
      <c r="DX445" s="80"/>
      <c r="EC445" s="80"/>
      <c r="EF445" s="80"/>
      <c r="EI445" s="80"/>
      <c r="EL445" s="80"/>
    </row>
    <row r="446" spans="1:142" ht="12.75" customHeight="1">
      <c r="A446" s="80"/>
      <c r="B446" s="80"/>
      <c r="C446" s="80"/>
      <c r="D446" s="104"/>
      <c r="E446" s="26"/>
      <c r="F446" s="26"/>
      <c r="I446" s="80"/>
      <c r="J446" s="80"/>
      <c r="K446" s="80"/>
      <c r="L446" s="80"/>
      <c r="M446" s="80"/>
      <c r="N446" s="80"/>
      <c r="O446" s="80"/>
      <c r="P446" s="80"/>
      <c r="Q446" s="80"/>
      <c r="AB446" s="80"/>
      <c r="AF446" s="80"/>
      <c r="AY446" s="80"/>
      <c r="BF446" s="80"/>
      <c r="BR446" s="80"/>
      <c r="BZ446" s="80"/>
      <c r="CA446" s="80"/>
      <c r="CB446" s="80"/>
      <c r="CC446" s="80"/>
      <c r="CD446" s="80"/>
      <c r="CE446" s="80"/>
      <c r="CG446" s="80"/>
      <c r="CL446" s="80"/>
      <c r="CN446" s="80"/>
      <c r="CO446" s="80"/>
      <c r="DA446" s="80"/>
      <c r="DE446" s="80"/>
      <c r="DI446" s="80"/>
      <c r="DJ446" s="80"/>
      <c r="DN446" s="80"/>
      <c r="DR446" s="80"/>
      <c r="DT446" s="80"/>
      <c r="DU446" s="80"/>
      <c r="DV446" s="80"/>
      <c r="DX446" s="80"/>
      <c r="EC446" s="80"/>
      <c r="ED446" s="80"/>
      <c r="EF446" s="80"/>
      <c r="EI446" s="80"/>
      <c r="EK446" s="80"/>
      <c r="EL446" s="80"/>
    </row>
    <row r="447" spans="1:142" ht="12.75" customHeight="1">
      <c r="A447" s="80"/>
      <c r="B447" s="80"/>
      <c r="C447" s="80"/>
      <c r="D447" s="104"/>
      <c r="E447" s="26"/>
      <c r="F447" s="26"/>
      <c r="H447" s="80"/>
      <c r="I447" s="80"/>
      <c r="K447" s="80"/>
      <c r="L447" s="80"/>
      <c r="M447" s="80"/>
      <c r="N447" s="80"/>
      <c r="Q447" s="80"/>
      <c r="AF447" s="80"/>
      <c r="AX447" s="80"/>
      <c r="AZ447" s="80"/>
      <c r="BF447" s="80"/>
      <c r="BR447" s="80"/>
      <c r="BZ447" s="80"/>
      <c r="CA447" s="80"/>
      <c r="CB447" s="80"/>
      <c r="CC447" s="80"/>
      <c r="CD447" s="80"/>
      <c r="CE447" s="80"/>
      <c r="CG447" s="80"/>
      <c r="CL447" s="80"/>
      <c r="CN447" s="80"/>
      <c r="CO447" s="80"/>
      <c r="CW447" s="80"/>
      <c r="CY447" s="80"/>
      <c r="CZ447" s="80"/>
      <c r="DA447" s="80"/>
      <c r="DE447" s="80"/>
      <c r="DI447" s="80"/>
      <c r="DJ447" s="80"/>
      <c r="DN447" s="80"/>
      <c r="EL447" s="80"/>
    </row>
    <row r="448" spans="1:142" ht="12.75" customHeight="1">
      <c r="A448" s="80"/>
      <c r="B448" s="80"/>
      <c r="C448" s="80"/>
      <c r="D448" s="104"/>
      <c r="E448" s="26"/>
      <c r="F448" s="26"/>
      <c r="H448" s="80"/>
      <c r="I448" s="80"/>
      <c r="J448" s="80"/>
      <c r="K448" s="80"/>
      <c r="L448" s="80"/>
      <c r="M448" s="80"/>
      <c r="N448" s="80"/>
      <c r="P448" s="80"/>
      <c r="Q448" s="80"/>
      <c r="AC448" s="80"/>
      <c r="AF448" s="80"/>
      <c r="AL448" s="80"/>
      <c r="AP448" s="80"/>
      <c r="AW448" s="80"/>
      <c r="AX448" s="80"/>
      <c r="AZ448" s="80"/>
      <c r="BF448" s="80"/>
      <c r="BQ448" s="80"/>
      <c r="BR448" s="80"/>
      <c r="BS448" s="80"/>
      <c r="BT448" s="80"/>
      <c r="BZ448" s="80"/>
      <c r="CA448" s="80"/>
      <c r="CB448" s="80"/>
      <c r="CC448" s="80"/>
      <c r="CD448" s="80"/>
      <c r="CE448" s="80"/>
      <c r="CG448" s="80"/>
      <c r="CH448" s="80"/>
      <c r="CK448" s="80"/>
      <c r="CL448" s="80"/>
      <c r="CN448" s="80"/>
      <c r="CO448" s="80"/>
      <c r="CY448" s="80"/>
      <c r="CZ448" s="80"/>
      <c r="DA448" s="80"/>
      <c r="DE448" s="80"/>
      <c r="DI448" s="80"/>
      <c r="DJ448" s="80"/>
      <c r="DN448" s="80"/>
      <c r="DR448" s="80"/>
      <c r="DV448" s="80"/>
      <c r="DW448" s="80"/>
      <c r="DX448" s="80"/>
      <c r="EC448" s="80"/>
      <c r="EL448" s="80"/>
    </row>
    <row r="449" spans="1:142" ht="12.75" customHeight="1">
      <c r="A449" s="80"/>
      <c r="B449" s="80"/>
      <c r="C449" s="80"/>
      <c r="D449" s="104"/>
      <c r="E449" s="26"/>
      <c r="F449" s="26"/>
      <c r="H449" s="80"/>
      <c r="I449" s="80"/>
      <c r="J449" s="80"/>
      <c r="K449" s="80"/>
      <c r="L449" s="80"/>
      <c r="M449" s="80"/>
      <c r="N449" s="80"/>
      <c r="O449" s="80"/>
      <c r="P449" s="80"/>
      <c r="Q449" s="80"/>
      <c r="AB449" s="80"/>
      <c r="AC449" s="80"/>
      <c r="AF449" s="80"/>
      <c r="AL449" s="80"/>
      <c r="AP449" s="80"/>
      <c r="AV449" s="80"/>
      <c r="AX449" s="80"/>
      <c r="AY449" s="80"/>
      <c r="AZ449" s="80"/>
      <c r="BF449" s="80"/>
      <c r="BJ449" s="80"/>
      <c r="BP449" s="80"/>
      <c r="BQ449" s="80"/>
      <c r="BR449" s="80"/>
      <c r="BS449" s="80"/>
      <c r="BT449" s="80"/>
      <c r="BZ449" s="80"/>
      <c r="CA449" s="80"/>
      <c r="CB449" s="80"/>
      <c r="CC449" s="80"/>
      <c r="CD449" s="80"/>
      <c r="CE449" s="80"/>
      <c r="CG449" s="80"/>
      <c r="CL449" s="80"/>
      <c r="CN449" s="80"/>
      <c r="CO449" s="80"/>
      <c r="CY449" s="80"/>
      <c r="CZ449" s="80"/>
      <c r="DA449" s="80"/>
      <c r="DE449" s="80"/>
      <c r="DI449" s="80"/>
      <c r="DJ449" s="80"/>
      <c r="DN449" s="80"/>
      <c r="DO449" s="80"/>
      <c r="DR449" s="80"/>
      <c r="DV449" s="80"/>
      <c r="DW449" s="80"/>
      <c r="DX449" s="80"/>
      <c r="EC449" s="80"/>
      <c r="EF449" s="80"/>
      <c r="EI449" s="80"/>
      <c r="EJ449" s="80"/>
      <c r="EK449" s="80"/>
      <c r="EL449" s="80"/>
    </row>
    <row r="450" spans="1:142" ht="12.75" customHeight="1">
      <c r="A450" s="80"/>
      <c r="B450" s="80"/>
      <c r="C450" s="80"/>
      <c r="D450" s="104"/>
      <c r="E450" s="26"/>
      <c r="F450" s="26"/>
      <c r="I450" s="80"/>
      <c r="L450" s="80"/>
      <c r="M450" s="80"/>
      <c r="N450" s="80"/>
      <c r="Q450" s="80"/>
      <c r="S450" s="80"/>
      <c r="AF450" s="80"/>
      <c r="AZ450" s="80"/>
      <c r="BF450" s="80"/>
      <c r="BJ450" s="80"/>
      <c r="BQ450" s="80"/>
      <c r="BR450" s="80"/>
      <c r="BS450" s="80"/>
      <c r="BT450" s="80"/>
      <c r="BZ450" s="80"/>
      <c r="CA450" s="80"/>
      <c r="CB450" s="80"/>
      <c r="CF450" s="80"/>
      <c r="CG450" s="80"/>
      <c r="CL450" s="80"/>
      <c r="DE450" s="80"/>
      <c r="DJ450" s="80"/>
      <c r="DN450" s="80"/>
      <c r="EL450" s="80"/>
    </row>
    <row r="451" spans="1:142" ht="12.75" customHeight="1">
      <c r="A451" s="80"/>
      <c r="B451" s="80"/>
      <c r="C451" s="80"/>
      <c r="D451" s="104"/>
      <c r="E451" s="26"/>
      <c r="F451" s="26"/>
      <c r="H451" s="80"/>
      <c r="J451" s="80"/>
      <c r="K451" s="80"/>
      <c r="L451" s="80"/>
      <c r="M451" s="80"/>
      <c r="N451" s="80"/>
      <c r="O451" s="80"/>
      <c r="P451" s="80"/>
      <c r="Q451" s="80"/>
      <c r="AB451" s="80"/>
      <c r="AF451" s="80"/>
      <c r="AX451" s="80"/>
      <c r="AZ451" s="80"/>
      <c r="BF451" s="80"/>
      <c r="BJ451" s="80"/>
      <c r="BQ451" s="80"/>
      <c r="BR451" s="80"/>
      <c r="BS451" s="80"/>
      <c r="BT451" s="80"/>
      <c r="BZ451" s="80"/>
      <c r="CA451" s="80"/>
      <c r="CB451" s="80"/>
      <c r="CC451" s="80"/>
      <c r="CD451" s="80"/>
      <c r="CE451" s="80"/>
      <c r="CG451" s="80"/>
      <c r="CL451" s="80"/>
      <c r="CN451" s="80"/>
      <c r="CO451" s="80"/>
      <c r="DE451" s="80"/>
      <c r="DI451" s="80"/>
      <c r="DJ451" s="80"/>
      <c r="DN451" s="80"/>
      <c r="DR451" s="80"/>
      <c r="DV451" s="80"/>
      <c r="DX451" s="80"/>
      <c r="EC451" s="80"/>
      <c r="EF451" s="80"/>
      <c r="EI451" s="80"/>
      <c r="EL451" s="80"/>
    </row>
    <row r="452" spans="1:142" ht="12.75" customHeight="1">
      <c r="A452" s="80"/>
      <c r="B452" s="80"/>
      <c r="C452" s="80"/>
      <c r="D452" s="104"/>
      <c r="E452" s="26"/>
      <c r="F452" s="26"/>
      <c r="H452" s="80"/>
      <c r="I452" s="80"/>
      <c r="K452" s="80"/>
      <c r="L452" s="80"/>
      <c r="M452" s="80"/>
      <c r="N452" s="80"/>
      <c r="O452" s="80"/>
      <c r="P452" s="80"/>
      <c r="Q452" s="80"/>
      <c r="R452" s="80"/>
      <c r="AB452" s="80"/>
      <c r="AF452" s="80"/>
      <c r="AK452" s="80"/>
      <c r="AP452" s="80"/>
      <c r="AX452" s="80"/>
      <c r="AZ452" s="80"/>
      <c r="BF452" s="80"/>
      <c r="BP452" s="80"/>
      <c r="BQ452" s="80"/>
      <c r="BR452" s="80"/>
      <c r="BS452" s="80"/>
      <c r="BT452" s="80"/>
      <c r="BZ452" s="80"/>
      <c r="CA452" s="80"/>
      <c r="CB452" s="80"/>
      <c r="CC452" s="80"/>
      <c r="CD452" s="80"/>
      <c r="CE452" s="80"/>
      <c r="CG452" s="80"/>
      <c r="CL452" s="80"/>
      <c r="CN452" s="80"/>
      <c r="CO452" s="80"/>
      <c r="CY452" s="80"/>
      <c r="CZ452" s="80"/>
      <c r="DE452" s="80"/>
      <c r="DI452" s="80"/>
      <c r="DJ452" s="80"/>
      <c r="DN452" s="80"/>
      <c r="DO452" s="80"/>
      <c r="DR452" s="80"/>
      <c r="DV452" s="80"/>
      <c r="DX452" s="80"/>
      <c r="EC452" s="80"/>
      <c r="EF452" s="80"/>
      <c r="EI452" s="80"/>
      <c r="EL452" s="80"/>
    </row>
    <row r="453" spans="1:142" ht="12.75" customHeight="1">
      <c r="A453" s="80"/>
      <c r="B453" s="80"/>
      <c r="C453" s="80"/>
      <c r="D453" s="104"/>
      <c r="E453" s="26"/>
      <c r="F453" s="26"/>
      <c r="H453" s="80"/>
      <c r="K453" s="80"/>
      <c r="L453" s="80"/>
      <c r="M453" s="80"/>
      <c r="O453" s="80"/>
      <c r="P453" s="80"/>
      <c r="Q453" s="80"/>
      <c r="AB453" s="80"/>
      <c r="AF453" s="80"/>
      <c r="AX453" s="80"/>
      <c r="AZ453" s="80"/>
      <c r="BF453" s="80"/>
      <c r="BJ453" s="80"/>
      <c r="BQ453" s="80"/>
      <c r="BR453" s="80"/>
      <c r="BS453" s="80"/>
      <c r="BZ453" s="80"/>
      <c r="CA453" s="80"/>
      <c r="CB453" s="80"/>
      <c r="CC453" s="80"/>
      <c r="CD453" s="80"/>
      <c r="CE453" s="80"/>
      <c r="CG453" s="80"/>
      <c r="CI453" s="80"/>
      <c r="CK453" s="80"/>
      <c r="CL453" s="80"/>
      <c r="CN453" s="80"/>
      <c r="CO453" s="80"/>
      <c r="CT453" s="80"/>
      <c r="CU453" s="80"/>
      <c r="CY453" s="80"/>
      <c r="CZ453" s="80"/>
      <c r="DA453" s="80"/>
      <c r="DE453" s="80"/>
      <c r="DI453" s="80"/>
      <c r="DJ453" s="80"/>
      <c r="DN453" s="80"/>
      <c r="DR453" s="80"/>
      <c r="DV453" s="80"/>
      <c r="DW453" s="80"/>
      <c r="DX453" s="80"/>
      <c r="EC453" s="80"/>
      <c r="EI453" s="80"/>
      <c r="EJ453" s="80"/>
      <c r="EL453" s="80"/>
    </row>
    <row r="454" spans="1:142" ht="12.75" customHeight="1">
      <c r="A454" s="80"/>
      <c r="B454" s="80"/>
      <c r="C454" s="80"/>
      <c r="D454" s="104"/>
      <c r="E454" s="26"/>
      <c r="F454" s="26"/>
      <c r="H454" s="80"/>
      <c r="K454" s="80"/>
      <c r="L454" s="80"/>
      <c r="M454" s="80"/>
      <c r="N454" s="80"/>
      <c r="O454" s="80"/>
      <c r="P454" s="80"/>
      <c r="Q454" s="80"/>
      <c r="AF454" s="80"/>
      <c r="AZ454" s="80"/>
      <c r="BF454" s="80"/>
      <c r="BJ454" s="80"/>
      <c r="BQ454" s="80"/>
      <c r="BR454" s="80"/>
      <c r="BS454" s="80"/>
      <c r="BZ454" s="80"/>
      <c r="CA454" s="80"/>
      <c r="CB454" s="80"/>
      <c r="CD454" s="80"/>
      <c r="CE454" s="80"/>
      <c r="CF454" s="80"/>
      <c r="CG454" s="80"/>
      <c r="CL454" s="80"/>
      <c r="CU454" s="80"/>
      <c r="CW454" s="80"/>
      <c r="CZ454" s="80"/>
      <c r="DA454" s="80"/>
      <c r="DE454" s="80"/>
      <c r="DI454" s="80"/>
      <c r="DJ454" s="80"/>
      <c r="DN454" s="80"/>
      <c r="DO454" s="80"/>
      <c r="DR454" s="80"/>
      <c r="DV454" s="80"/>
      <c r="DW454" s="80"/>
      <c r="DX454" s="80"/>
      <c r="EC454" s="80"/>
      <c r="EI454" s="80"/>
      <c r="EJ454" s="80"/>
      <c r="EK454" s="80"/>
      <c r="EL454" s="80"/>
    </row>
    <row r="455" spans="1:142" ht="12.75" customHeight="1">
      <c r="A455" s="80"/>
      <c r="B455" s="80"/>
      <c r="C455" s="80"/>
      <c r="D455" s="104"/>
      <c r="E455" s="26"/>
      <c r="F455" s="26"/>
      <c r="L455" s="80"/>
      <c r="M455" s="80"/>
      <c r="Q455" s="80"/>
      <c r="AD455" s="80"/>
      <c r="AF455" s="80"/>
      <c r="AK455" s="80"/>
      <c r="AP455" s="80"/>
      <c r="AZ455" s="80"/>
      <c r="BF455" s="80"/>
      <c r="BQ455" s="80"/>
      <c r="BR455" s="80"/>
      <c r="BS455" s="80"/>
      <c r="BT455" s="80"/>
      <c r="BZ455" s="80"/>
      <c r="CA455" s="80"/>
      <c r="CB455" s="80"/>
      <c r="CD455" s="80"/>
      <c r="CE455" s="80"/>
      <c r="CG455" s="80"/>
      <c r="CL455" s="80"/>
      <c r="DB455" s="80"/>
      <c r="DE455" s="80"/>
      <c r="DI455" s="80"/>
      <c r="DJ455" s="80"/>
      <c r="DN455" s="80"/>
      <c r="EH455" s="80"/>
      <c r="EK455" s="80"/>
      <c r="EL455" s="80"/>
    </row>
    <row r="456" spans="1:142" ht="12.75" customHeight="1">
      <c r="A456" s="80"/>
      <c r="B456" s="80"/>
      <c r="C456" s="80"/>
      <c r="D456" s="104"/>
      <c r="E456" s="26"/>
      <c r="F456" s="26"/>
      <c r="H456" s="80"/>
      <c r="I456" s="80"/>
      <c r="K456" s="80"/>
      <c r="L456" s="80"/>
      <c r="M456" s="80"/>
      <c r="N456" s="80"/>
      <c r="Q456" s="80"/>
      <c r="AF456" s="80"/>
      <c r="AX456" s="80"/>
      <c r="AZ456" s="80"/>
      <c r="BF456" s="80"/>
      <c r="BR456" s="80"/>
      <c r="BS456" s="80"/>
      <c r="BT456" s="80"/>
      <c r="CA456" s="80"/>
      <c r="CB456" s="80"/>
      <c r="CC456" s="80"/>
      <c r="CD456" s="80"/>
      <c r="CE456" s="80"/>
      <c r="CG456" s="80"/>
      <c r="CL456" s="80"/>
      <c r="DE456" s="80"/>
      <c r="DJ456" s="80"/>
      <c r="DN456" s="80"/>
      <c r="EL456" s="80"/>
    </row>
    <row r="457" spans="1:142" ht="12.75" customHeight="1">
      <c r="A457" s="80"/>
      <c r="B457" s="80"/>
      <c r="C457" s="80"/>
      <c r="D457" s="104"/>
      <c r="E457" s="26"/>
      <c r="F457" s="26"/>
      <c r="H457" s="80"/>
      <c r="I457" s="80"/>
      <c r="J457" s="80"/>
      <c r="K457" s="80"/>
      <c r="L457" s="80"/>
      <c r="M457" s="80"/>
      <c r="N457" s="80"/>
      <c r="O457" s="80"/>
      <c r="P457" s="80"/>
      <c r="Q457" s="80"/>
      <c r="AB457" s="80"/>
      <c r="AF457" s="80"/>
      <c r="AZ457" s="80"/>
      <c r="BF457" s="80"/>
      <c r="BP457" s="80"/>
      <c r="BQ457" s="80"/>
      <c r="BR457" s="80"/>
      <c r="BS457" s="80"/>
      <c r="BU457" s="80"/>
      <c r="BZ457" s="80"/>
      <c r="CA457" s="80"/>
      <c r="CC457" s="80"/>
      <c r="CD457" s="80"/>
      <c r="CE457" s="80"/>
      <c r="CG457" s="80"/>
      <c r="CL457" s="80"/>
      <c r="CN457" s="80"/>
      <c r="CO457" s="80"/>
      <c r="CU457" s="80"/>
      <c r="CW457" s="80"/>
      <c r="CY457" s="80"/>
      <c r="CZ457" s="80"/>
      <c r="DA457" s="80"/>
      <c r="DE457" s="80"/>
      <c r="DI457" s="80"/>
      <c r="DJ457" s="80"/>
      <c r="DN457" s="80"/>
      <c r="DR457" s="80"/>
      <c r="DV457" s="80"/>
      <c r="DX457" s="80"/>
      <c r="EC457" s="80"/>
      <c r="EL457" s="80"/>
    </row>
    <row r="458" spans="1:142" ht="12.75" customHeight="1">
      <c r="A458" s="80"/>
      <c r="B458" s="80"/>
      <c r="C458" s="80"/>
      <c r="D458" s="104"/>
      <c r="E458" s="26"/>
      <c r="F458" s="26"/>
      <c r="H458" s="80"/>
      <c r="I458" s="80"/>
      <c r="J458" s="80"/>
      <c r="K458" s="80"/>
      <c r="L458" s="80"/>
      <c r="M458" s="80"/>
      <c r="N458" s="80"/>
      <c r="O458" s="80"/>
      <c r="P458" s="80"/>
      <c r="Q458" s="80"/>
      <c r="S458" s="80"/>
      <c r="V458" s="80"/>
      <c r="AC458" s="80"/>
      <c r="AF458" s="80"/>
      <c r="AL458" s="80"/>
      <c r="AP458" s="80"/>
      <c r="AX458" s="80"/>
      <c r="AZ458" s="80"/>
      <c r="BF458" s="80"/>
      <c r="BJ458" s="80"/>
      <c r="BQ458" s="80"/>
      <c r="BR458" s="80"/>
      <c r="BS458" s="80"/>
      <c r="BU458" s="80"/>
      <c r="BZ458" s="80"/>
      <c r="CA458" s="80"/>
      <c r="CB458" s="80"/>
      <c r="CC458" s="80"/>
      <c r="CD458" s="80"/>
      <c r="CE458" s="80"/>
      <c r="CG458" s="80"/>
      <c r="CI458" s="80"/>
      <c r="CK458" s="80"/>
      <c r="CL458" s="80"/>
      <c r="CN458" s="80"/>
      <c r="CO458" s="80"/>
      <c r="CW458" s="80"/>
      <c r="CY458" s="80"/>
      <c r="CZ458" s="80"/>
      <c r="DA458" s="80"/>
      <c r="DE458" s="80"/>
      <c r="DI458" s="80"/>
      <c r="DJ458" s="80"/>
      <c r="DN458" s="80"/>
      <c r="DR458" s="80"/>
      <c r="DV458" s="80"/>
      <c r="DW458" s="80"/>
      <c r="DX458" s="80"/>
      <c r="EC458" s="80"/>
      <c r="EL458" s="80"/>
    </row>
    <row r="459" spans="1:142" ht="12.75" customHeight="1">
      <c r="A459" s="80"/>
      <c r="B459" s="80"/>
      <c r="C459" s="80"/>
      <c r="D459" s="104"/>
      <c r="E459" s="26"/>
      <c r="F459" s="26"/>
      <c r="H459" s="80"/>
      <c r="I459" s="80"/>
      <c r="J459" s="80"/>
      <c r="L459" s="80"/>
      <c r="M459" s="80"/>
      <c r="N459" s="80"/>
      <c r="O459" s="80"/>
      <c r="P459" s="80"/>
      <c r="Q459" s="80"/>
      <c r="S459" s="80"/>
      <c r="AF459" s="80"/>
      <c r="AL459" s="80"/>
      <c r="AP459" s="80"/>
      <c r="AZ459" s="80"/>
      <c r="BF459" s="80"/>
      <c r="BJ459" s="80"/>
      <c r="BQ459" s="80"/>
      <c r="BR459" s="80"/>
      <c r="BS459" s="80"/>
      <c r="BU459" s="80"/>
      <c r="BZ459" s="80"/>
      <c r="CA459" s="80"/>
      <c r="CB459" s="80"/>
      <c r="CC459" s="80"/>
      <c r="CD459" s="80"/>
      <c r="CE459" s="80"/>
      <c r="CG459" s="80"/>
      <c r="CL459" s="80"/>
      <c r="CN459" s="80"/>
      <c r="CO459" s="80"/>
      <c r="CS459" s="80"/>
      <c r="CW459" s="80"/>
      <c r="CY459" s="80"/>
      <c r="CZ459" s="80"/>
      <c r="DA459" s="80"/>
      <c r="DB459" s="80"/>
      <c r="DE459" s="80"/>
      <c r="DI459" s="80"/>
      <c r="DJ459" s="80"/>
      <c r="DN459" s="80"/>
      <c r="DR459" s="80"/>
      <c r="DT459" s="80"/>
      <c r="DU459" s="80"/>
      <c r="DV459" s="80"/>
      <c r="DX459" s="80"/>
      <c r="EC459" s="80"/>
      <c r="EJ459" s="80"/>
      <c r="EK459" s="80"/>
      <c r="EL459" s="80"/>
    </row>
    <row r="460" spans="1:142" ht="12.75" customHeight="1">
      <c r="A460" s="80"/>
      <c r="B460" s="80"/>
      <c r="C460" s="80"/>
      <c r="D460" s="104"/>
      <c r="E460" s="26"/>
      <c r="F460" s="26"/>
      <c r="M460" s="80"/>
      <c r="O460" s="80"/>
      <c r="Q460" s="80"/>
      <c r="AF460" s="80"/>
      <c r="AZ460" s="80"/>
      <c r="BF460" s="80"/>
      <c r="BJ460" s="80"/>
      <c r="BQ460" s="80"/>
      <c r="BR460" s="80"/>
      <c r="BT460" s="80"/>
      <c r="BZ460" s="80"/>
      <c r="CA460" s="80"/>
      <c r="CB460" s="80"/>
      <c r="CC460" s="80"/>
      <c r="CD460" s="80"/>
      <c r="CE460" s="80"/>
      <c r="CG460" s="80"/>
      <c r="CL460" s="80"/>
      <c r="CT460" s="80"/>
      <c r="CU460" s="80"/>
      <c r="CZ460" s="80"/>
      <c r="DA460" s="80"/>
      <c r="DE460" s="80"/>
      <c r="DI460" s="80"/>
      <c r="DJ460" s="80"/>
      <c r="DN460" s="80"/>
      <c r="DR460" s="80"/>
      <c r="DT460" s="80"/>
      <c r="DU460" s="80"/>
      <c r="DV460" s="80"/>
      <c r="DW460" s="80"/>
      <c r="DX460" s="80"/>
      <c r="EC460" s="80"/>
      <c r="EG460" s="80"/>
      <c r="EJ460" s="80"/>
      <c r="EK460" s="80"/>
      <c r="EL460" s="80"/>
    </row>
    <row r="461" spans="1:142" ht="12.75" customHeight="1">
      <c r="A461" s="80"/>
      <c r="B461" s="80"/>
      <c r="C461" s="80"/>
      <c r="D461" s="104"/>
      <c r="E461" s="26"/>
      <c r="F461" s="26"/>
      <c r="H461" s="80"/>
      <c r="I461" s="80"/>
      <c r="K461" s="80"/>
      <c r="L461" s="80"/>
      <c r="M461" s="80"/>
      <c r="N461" s="80"/>
      <c r="P461" s="80"/>
      <c r="Q461" s="80"/>
      <c r="AD461" s="80"/>
      <c r="AF461" s="80"/>
      <c r="AZ461" s="80"/>
      <c r="BF461" s="80"/>
      <c r="BQ461" s="80"/>
      <c r="BR461" s="80"/>
      <c r="BT461" s="80"/>
      <c r="CA461" s="80"/>
      <c r="CB461" s="80"/>
      <c r="CC461" s="80"/>
      <c r="CD461" s="80"/>
      <c r="CE461" s="80"/>
      <c r="CG461" s="80"/>
      <c r="CL461" s="80"/>
      <c r="CN461" s="80"/>
      <c r="CO461" s="80"/>
      <c r="CW461" s="80"/>
      <c r="CZ461" s="80"/>
      <c r="DB461" s="80"/>
      <c r="DE461" s="80"/>
      <c r="DI461" s="80"/>
      <c r="DJ461" s="80"/>
      <c r="DN461" s="80"/>
      <c r="DR461" s="80"/>
      <c r="DT461" s="80"/>
      <c r="DU461" s="80"/>
      <c r="DV461" s="80"/>
      <c r="DX461" s="80"/>
      <c r="EC461" s="80"/>
      <c r="EF461" s="80"/>
      <c r="EK461" s="80"/>
      <c r="EL461" s="80"/>
    </row>
    <row r="462" spans="1:142" ht="12.75" customHeight="1">
      <c r="A462" s="80"/>
      <c r="B462" s="80"/>
      <c r="C462" s="80"/>
      <c r="D462" s="104"/>
      <c r="E462" s="26"/>
      <c r="F462" s="26"/>
      <c r="H462" s="80"/>
      <c r="I462" s="80"/>
      <c r="J462" s="80"/>
      <c r="K462" s="80"/>
      <c r="L462" s="80"/>
      <c r="M462" s="80"/>
      <c r="N462" s="80"/>
      <c r="O462" s="80"/>
      <c r="P462" s="80"/>
      <c r="Q462" s="80"/>
      <c r="AC462" s="80"/>
      <c r="AD462" s="80"/>
      <c r="AF462" s="80"/>
      <c r="AK462" s="80"/>
      <c r="AP462" s="80"/>
      <c r="AZ462" s="80"/>
      <c r="BF462" s="80"/>
      <c r="BJ462" s="80"/>
      <c r="BP462" s="80"/>
      <c r="BQ462" s="80"/>
      <c r="BR462" s="80"/>
      <c r="BS462" s="80"/>
      <c r="BZ462" s="80"/>
      <c r="CA462" s="80"/>
      <c r="CB462" s="80"/>
      <c r="CC462" s="80"/>
      <c r="CD462" s="80"/>
      <c r="CE462" s="80"/>
      <c r="CF462" s="80"/>
      <c r="CG462" s="80"/>
      <c r="CL462" s="80"/>
      <c r="CN462" s="80"/>
      <c r="CO462" s="80"/>
      <c r="CW462" s="80"/>
      <c r="CY462" s="80"/>
      <c r="CZ462" s="80"/>
      <c r="DA462" s="80"/>
      <c r="DC462" s="80"/>
      <c r="DE462" s="80"/>
      <c r="DF462" s="80"/>
      <c r="DH462" s="80"/>
      <c r="DI462" s="80"/>
      <c r="DJ462" s="80"/>
      <c r="DN462" s="80"/>
      <c r="DP462" s="80"/>
      <c r="DR462" s="80"/>
      <c r="DS462" s="80"/>
      <c r="DU462" s="80"/>
      <c r="DV462" s="80"/>
      <c r="DW462" s="80"/>
      <c r="DX462" s="80"/>
      <c r="EC462" s="80"/>
      <c r="EG462" s="80"/>
      <c r="EK462" s="80"/>
      <c r="EL462" s="80"/>
    </row>
    <row r="463" spans="1:142" ht="12.75" customHeight="1">
      <c r="A463" s="80"/>
      <c r="B463" s="80"/>
      <c r="C463" s="80"/>
      <c r="D463" s="104"/>
      <c r="E463" s="26"/>
      <c r="F463" s="26"/>
      <c r="H463" s="80"/>
      <c r="L463" s="80"/>
      <c r="M463" s="80"/>
      <c r="N463" s="80"/>
      <c r="O463" s="80"/>
      <c r="P463" s="80"/>
      <c r="Q463" s="80"/>
      <c r="AF463" s="80"/>
      <c r="AL463" s="80"/>
      <c r="AP463" s="80"/>
      <c r="AZ463" s="80"/>
      <c r="BF463" s="80"/>
      <c r="BJ463" s="80"/>
      <c r="BP463" s="80"/>
      <c r="BQ463" s="80"/>
      <c r="BR463" s="80"/>
      <c r="BS463" s="80"/>
      <c r="BZ463" s="80"/>
      <c r="CA463" s="80"/>
      <c r="CB463" s="80"/>
      <c r="CC463" s="80"/>
      <c r="CD463" s="80"/>
      <c r="CE463" s="80"/>
      <c r="CG463" s="80"/>
      <c r="CL463" s="80"/>
      <c r="CN463" s="80"/>
      <c r="CO463" s="80"/>
      <c r="CW463" s="80"/>
      <c r="CY463" s="80"/>
      <c r="CZ463" s="80"/>
      <c r="DA463" s="80"/>
      <c r="DE463" s="80"/>
      <c r="DI463" s="80"/>
      <c r="DJ463" s="80"/>
      <c r="DN463" s="80"/>
      <c r="DR463" s="80"/>
      <c r="DV463" s="80"/>
      <c r="DW463" s="80"/>
      <c r="DX463" s="80"/>
      <c r="EC463" s="80"/>
      <c r="EL463" s="80"/>
    </row>
    <row r="464" spans="1:142" ht="12.75" customHeight="1">
      <c r="A464" s="80"/>
      <c r="B464" s="80"/>
      <c r="C464" s="80"/>
      <c r="D464" s="104"/>
      <c r="E464" s="26"/>
      <c r="F464" s="26"/>
      <c r="I464" s="80"/>
      <c r="J464" s="80"/>
      <c r="L464" s="80"/>
      <c r="M464" s="80"/>
      <c r="N464" s="80"/>
      <c r="Q464" s="80"/>
      <c r="AF464" s="80"/>
      <c r="AK464" s="80"/>
      <c r="AP464" s="80"/>
      <c r="AZ464" s="80"/>
      <c r="BF464" s="80"/>
      <c r="BJ464" s="80"/>
      <c r="BK464" s="80"/>
      <c r="BQ464" s="80"/>
      <c r="BR464" s="80"/>
      <c r="BT464" s="80"/>
      <c r="BZ464" s="80"/>
      <c r="CA464" s="80"/>
      <c r="CB464" s="80"/>
      <c r="CC464" s="80"/>
      <c r="CD464" s="80"/>
      <c r="CE464" s="80"/>
      <c r="CG464" s="80"/>
      <c r="CH464" s="80"/>
      <c r="CK464" s="80"/>
      <c r="CL464" s="80"/>
      <c r="CT464" s="80"/>
      <c r="CU464" s="80"/>
      <c r="CY464" s="80"/>
      <c r="CZ464" s="80"/>
      <c r="DA464" s="80"/>
      <c r="DE464" s="80"/>
      <c r="DI464" s="80"/>
      <c r="DJ464" s="80"/>
      <c r="DN464" s="80"/>
      <c r="EL464" s="80"/>
    </row>
    <row r="465" spans="1:142" ht="12.75" customHeight="1">
      <c r="A465" s="80"/>
      <c r="B465" s="80"/>
      <c r="C465" s="80"/>
      <c r="D465" s="104"/>
      <c r="E465" s="26"/>
      <c r="F465" s="26"/>
      <c r="H465" s="80"/>
      <c r="L465" s="80"/>
      <c r="M465" s="80"/>
      <c r="Q465" s="80"/>
      <c r="AB465" s="80"/>
      <c r="AD465" s="80"/>
      <c r="AF465" s="80"/>
      <c r="AL465" s="80"/>
      <c r="AP465" s="80"/>
      <c r="AZ465" s="80"/>
      <c r="BE465" s="80"/>
      <c r="BF465" s="80"/>
      <c r="BJ465" s="80"/>
      <c r="BQ465" s="80"/>
      <c r="BR465" s="80"/>
      <c r="BS465" s="80"/>
      <c r="BT465" s="80"/>
      <c r="BZ465" s="80"/>
      <c r="CA465" s="80"/>
      <c r="CB465" s="80"/>
      <c r="CD465" s="80"/>
      <c r="CE465" s="80"/>
      <c r="CF465" s="80"/>
      <c r="CG465" s="80"/>
      <c r="CI465" s="80"/>
      <c r="CK465" s="80"/>
      <c r="CL465" s="80"/>
      <c r="CT465" s="80"/>
      <c r="CU465" s="80"/>
      <c r="CY465" s="80"/>
      <c r="CZ465" s="80"/>
      <c r="DA465" s="80"/>
      <c r="DE465" s="80"/>
      <c r="DF465" s="80"/>
      <c r="DI465" s="80"/>
      <c r="DJ465" s="80"/>
      <c r="DN465" s="80"/>
      <c r="DR465" s="80"/>
      <c r="DV465" s="80"/>
      <c r="DW465" s="80"/>
      <c r="DX465" s="80"/>
      <c r="EC465" s="80"/>
      <c r="EJ465" s="80"/>
      <c r="EK465" s="80"/>
      <c r="EL465" s="80"/>
    </row>
    <row r="466" spans="1:142" ht="12.75" customHeight="1">
      <c r="A466" s="80"/>
      <c r="B466" s="80"/>
      <c r="C466" s="80"/>
      <c r="D466" s="104"/>
      <c r="E466" s="26"/>
      <c r="F466" s="26"/>
      <c r="H466" s="80"/>
      <c r="I466" s="80"/>
      <c r="K466" s="80"/>
      <c r="L466" s="80"/>
      <c r="M466" s="80"/>
      <c r="N466" s="80"/>
      <c r="O466" s="80"/>
      <c r="P466" s="80"/>
      <c r="Q466" s="80"/>
      <c r="AF466" s="80"/>
      <c r="AK466" s="80"/>
      <c r="AP466" s="80"/>
      <c r="AX466" s="80"/>
      <c r="AY466" s="80"/>
      <c r="AZ466" s="80"/>
      <c r="BF466" s="80"/>
      <c r="BQ466" s="80"/>
      <c r="BR466" s="80"/>
      <c r="BT466" s="80"/>
      <c r="BZ466" s="80"/>
      <c r="CA466" s="80"/>
      <c r="CB466" s="80"/>
      <c r="CD466" s="80"/>
      <c r="CE466" s="80"/>
      <c r="CF466" s="80"/>
      <c r="CG466" s="80"/>
      <c r="CL466" s="80"/>
      <c r="CN466" s="80"/>
      <c r="CO466" s="80"/>
      <c r="CY466" s="80"/>
      <c r="CZ466" s="80"/>
      <c r="DA466" s="80"/>
      <c r="DB466" s="80"/>
      <c r="DE466" s="80"/>
      <c r="DI466" s="80"/>
      <c r="DJ466" s="80"/>
      <c r="DN466" s="80"/>
      <c r="DR466" s="80"/>
      <c r="DV466" s="80"/>
      <c r="DW466" s="80"/>
      <c r="DX466" s="80"/>
      <c r="EC466" s="80"/>
      <c r="EL466" s="80"/>
    </row>
    <row r="467" spans="1:142" ht="12.75" customHeight="1">
      <c r="A467" s="80"/>
      <c r="B467" s="80"/>
      <c r="C467" s="80"/>
      <c r="D467" s="104"/>
      <c r="E467" s="26"/>
      <c r="F467" s="26"/>
      <c r="H467" s="80"/>
      <c r="I467" s="80"/>
      <c r="J467" s="80"/>
      <c r="K467" s="80"/>
      <c r="L467" s="80"/>
      <c r="M467" s="80"/>
      <c r="N467" s="80"/>
      <c r="O467" s="80"/>
      <c r="P467" s="80"/>
      <c r="Q467" s="80"/>
      <c r="AB467" s="80"/>
      <c r="AF467" s="80"/>
      <c r="AL467" s="80"/>
      <c r="AP467" s="80"/>
      <c r="AX467" s="80"/>
      <c r="AY467" s="80"/>
      <c r="BF467" s="80"/>
      <c r="BJ467" s="80"/>
      <c r="BQ467" s="80"/>
      <c r="BR467" s="80"/>
      <c r="BS467" s="80"/>
      <c r="BZ467" s="80"/>
      <c r="CA467" s="80"/>
      <c r="CD467" s="80"/>
      <c r="CE467" s="80"/>
      <c r="CF467" s="80"/>
      <c r="CG467" s="80"/>
      <c r="CI467" s="80"/>
      <c r="CK467" s="80"/>
      <c r="CL467" s="80"/>
      <c r="CN467" s="80"/>
      <c r="CO467" s="80"/>
      <c r="CT467" s="80"/>
      <c r="CU467" s="80"/>
      <c r="CY467" s="80"/>
      <c r="CZ467" s="80"/>
      <c r="DA467" s="80"/>
      <c r="DB467" s="80"/>
      <c r="DE467" s="80"/>
      <c r="DI467" s="80"/>
      <c r="DJ467" s="80"/>
      <c r="DN467" s="80"/>
      <c r="DO467" s="80"/>
      <c r="DR467" s="80"/>
      <c r="DS467" s="80"/>
      <c r="DU467" s="80"/>
      <c r="DV467" s="80"/>
      <c r="DW467" s="80"/>
      <c r="DX467" s="80"/>
      <c r="EC467" s="80"/>
      <c r="EF467" s="80"/>
      <c r="EG467" s="80"/>
      <c r="EI467" s="80"/>
      <c r="EK467" s="80"/>
      <c r="EL467" s="80"/>
    </row>
    <row r="468" spans="1:142" ht="12.75" customHeight="1">
      <c r="A468" s="80"/>
      <c r="B468" s="80"/>
      <c r="C468" s="80"/>
      <c r="D468" s="104"/>
      <c r="E468" s="26"/>
      <c r="F468" s="26"/>
      <c r="H468" s="80"/>
      <c r="I468" s="80"/>
      <c r="J468" s="80"/>
      <c r="K468" s="80"/>
      <c r="L468" s="80"/>
      <c r="M468" s="80"/>
      <c r="Q468" s="80"/>
      <c r="R468" s="80"/>
      <c r="AF468" s="80"/>
      <c r="AX468" s="80"/>
      <c r="AY468" s="80"/>
      <c r="AZ468" s="80"/>
      <c r="BF468" s="80"/>
      <c r="BQ468" s="80"/>
      <c r="BR468" s="80"/>
      <c r="BS468" s="80"/>
      <c r="BZ468" s="80"/>
      <c r="CA468" s="80"/>
      <c r="CD468" s="80"/>
      <c r="CE468" s="80"/>
      <c r="CG468" s="80"/>
      <c r="CL468" s="80"/>
      <c r="CW468" s="80"/>
      <c r="CY468" s="80"/>
      <c r="CZ468" s="80"/>
      <c r="DA468" s="80"/>
      <c r="DE468" s="80"/>
      <c r="DI468" s="80"/>
      <c r="DJ468" s="80"/>
      <c r="DN468" s="80"/>
      <c r="EL468" s="80"/>
    </row>
    <row r="469" spans="1:142" ht="12.75" customHeight="1">
      <c r="A469" s="80"/>
      <c r="B469" s="80"/>
      <c r="C469" s="80"/>
      <c r="D469" s="104"/>
      <c r="E469" s="26"/>
      <c r="F469" s="26"/>
      <c r="H469" s="80"/>
      <c r="I469" s="80"/>
      <c r="J469" s="80"/>
      <c r="L469" s="80"/>
      <c r="M469" s="80"/>
      <c r="N469" s="80"/>
      <c r="O469" s="80"/>
      <c r="P469" s="80"/>
      <c r="Q469" s="80"/>
      <c r="AC469" s="80"/>
      <c r="AF469" s="80"/>
      <c r="AL469" s="80"/>
      <c r="AP469" s="80"/>
      <c r="AZ469" s="80"/>
      <c r="BF469" s="80"/>
      <c r="BJ469" s="80"/>
      <c r="BQ469" s="80"/>
      <c r="BR469" s="80"/>
      <c r="BS469" s="80"/>
      <c r="BU469" s="80"/>
      <c r="BZ469" s="80"/>
      <c r="CA469" s="80"/>
      <c r="CB469" s="80"/>
      <c r="CC469" s="80"/>
      <c r="CD469" s="80"/>
      <c r="CE469" s="80"/>
      <c r="CG469" s="80"/>
      <c r="CI469" s="80"/>
      <c r="CK469" s="80"/>
      <c r="CL469" s="80"/>
      <c r="CN469" s="80"/>
      <c r="CO469" s="80"/>
      <c r="CW469" s="80"/>
      <c r="CY469" s="80"/>
      <c r="CZ469" s="80"/>
      <c r="DA469" s="80"/>
      <c r="DE469" s="80"/>
      <c r="DI469" s="80"/>
      <c r="DJ469" s="80"/>
      <c r="DN469" s="80"/>
      <c r="DO469" s="80"/>
      <c r="DR469" s="80"/>
      <c r="DV469" s="80"/>
      <c r="DW469" s="80"/>
      <c r="DX469" s="80"/>
      <c r="EC469" s="80"/>
      <c r="ED469" s="80"/>
      <c r="EF469" s="80"/>
      <c r="EI469" s="80"/>
      <c r="EK469" s="80"/>
      <c r="EL469" s="80"/>
    </row>
    <row r="470" spans="1:142" ht="12.75" customHeight="1">
      <c r="A470" s="80"/>
      <c r="B470" s="80"/>
      <c r="C470" s="80"/>
      <c r="D470" s="104"/>
      <c r="E470" s="26"/>
      <c r="F470" s="26"/>
      <c r="H470" s="80"/>
      <c r="I470" s="80"/>
      <c r="J470" s="80"/>
      <c r="L470" s="80"/>
      <c r="M470" s="80"/>
      <c r="N470" s="80"/>
      <c r="Q470" s="80"/>
      <c r="AF470" s="80"/>
      <c r="AZ470" s="80"/>
      <c r="BF470" s="80"/>
      <c r="BQ470" s="80"/>
      <c r="BR470" s="80"/>
      <c r="BT470" s="80"/>
      <c r="CD470" s="80"/>
      <c r="CE470" s="80"/>
      <c r="CG470" s="80"/>
      <c r="CL470" s="80"/>
      <c r="EL470" s="80"/>
    </row>
    <row r="471" spans="1:142" ht="12.75" customHeight="1">
      <c r="A471" s="80"/>
      <c r="B471" s="80"/>
      <c r="C471" s="80"/>
      <c r="D471" s="104"/>
      <c r="E471" s="26"/>
      <c r="F471" s="26"/>
      <c r="H471" s="80"/>
      <c r="I471" s="80"/>
      <c r="J471" s="80"/>
      <c r="K471" s="80"/>
      <c r="L471" s="80"/>
      <c r="M471" s="80"/>
      <c r="O471" s="80"/>
      <c r="Q471" s="80"/>
      <c r="AG471" s="80"/>
      <c r="AR471" s="80"/>
      <c r="AX471" s="80"/>
      <c r="AZ471" s="80"/>
      <c r="BF471" s="80"/>
      <c r="BJ471" s="80"/>
      <c r="BR471" s="80"/>
      <c r="BT471" s="80"/>
      <c r="BV471" s="80"/>
      <c r="BX471" s="80"/>
      <c r="CC471" s="80"/>
      <c r="CD471" s="80"/>
      <c r="CE471" s="80"/>
      <c r="CG471" s="80"/>
      <c r="CL471" s="80"/>
      <c r="CN471" s="80"/>
      <c r="CO471" s="80"/>
      <c r="CW471" s="80"/>
      <c r="CY471" s="80"/>
      <c r="CZ471" s="80"/>
      <c r="DA471" s="80"/>
      <c r="DB471" s="80"/>
      <c r="DI471" s="80"/>
      <c r="DJ471" s="80"/>
      <c r="DN471" s="80"/>
      <c r="EL471" s="80"/>
    </row>
    <row r="472" spans="1:142" ht="12.75" customHeight="1">
      <c r="A472" s="80"/>
      <c r="B472" s="80"/>
      <c r="C472" s="80"/>
      <c r="D472" s="104"/>
      <c r="E472" s="26"/>
      <c r="F472" s="26"/>
      <c r="H472" s="80"/>
      <c r="I472" s="80"/>
      <c r="J472" s="80"/>
      <c r="L472" s="80"/>
      <c r="M472" s="80"/>
      <c r="P472" s="80"/>
      <c r="Q472" s="80"/>
      <c r="AF472" s="80"/>
      <c r="AZ472" s="80"/>
      <c r="BF472" s="80"/>
      <c r="BJ472" s="80"/>
      <c r="BQ472" s="80"/>
      <c r="BR472" s="80"/>
      <c r="BZ472" s="80"/>
      <c r="CA472" s="80"/>
      <c r="CB472" s="80"/>
      <c r="CC472" s="80"/>
      <c r="CD472" s="80"/>
      <c r="CE472" s="80"/>
      <c r="CG472" s="80"/>
      <c r="CL472" s="80"/>
      <c r="CT472" s="80"/>
      <c r="CU472" s="80"/>
      <c r="CY472" s="80"/>
      <c r="CZ472" s="80"/>
      <c r="DA472" s="80"/>
      <c r="DE472" s="80"/>
      <c r="DI472" s="80"/>
      <c r="DJ472" s="80"/>
      <c r="DN472" s="80"/>
      <c r="DP472" s="80"/>
      <c r="DR472" s="80"/>
      <c r="DV472" s="80"/>
      <c r="DW472" s="80"/>
      <c r="DX472" s="80"/>
      <c r="EC472" s="80"/>
      <c r="EG472" s="80"/>
      <c r="EH472" s="80"/>
      <c r="EK472" s="80"/>
      <c r="EL472" s="80"/>
    </row>
    <row r="473" spans="1:142" ht="12.75" customHeight="1">
      <c r="A473" s="80"/>
      <c r="B473" s="80"/>
      <c r="C473" s="80"/>
      <c r="D473" s="104"/>
      <c r="E473" s="26"/>
      <c r="F473" s="26"/>
      <c r="H473" s="80"/>
      <c r="I473" s="80"/>
      <c r="J473" s="80"/>
      <c r="K473" s="80"/>
      <c r="L473" s="80"/>
      <c r="M473" s="80"/>
      <c r="N473" s="80"/>
      <c r="P473" s="80"/>
      <c r="Q473" s="80"/>
      <c r="AF473" s="80"/>
      <c r="AZ473" s="80"/>
      <c r="BA473" s="80"/>
      <c r="BF473" s="80"/>
      <c r="BJ473" s="80"/>
      <c r="BQ473" s="80"/>
      <c r="BR473" s="80"/>
      <c r="BT473" s="80"/>
      <c r="BZ473" s="80"/>
      <c r="CA473" s="80"/>
      <c r="CB473" s="80"/>
      <c r="CC473" s="80"/>
      <c r="CD473" s="80"/>
      <c r="CE473" s="80"/>
      <c r="CG473" s="80"/>
      <c r="CI473" s="80"/>
      <c r="CK473" s="80"/>
      <c r="CL473" s="80"/>
      <c r="CN473" s="80"/>
      <c r="CO473" s="80"/>
      <c r="CW473" s="80"/>
      <c r="CZ473" s="80"/>
      <c r="DA473" s="80"/>
      <c r="DB473" s="80"/>
      <c r="DE473" s="80"/>
      <c r="DI473" s="80"/>
      <c r="DJ473" s="80"/>
      <c r="DN473" s="80"/>
      <c r="DP473" s="80"/>
      <c r="DR473" s="80"/>
      <c r="DV473" s="80"/>
      <c r="DW473" s="80"/>
      <c r="DX473" s="80"/>
      <c r="EC473" s="80"/>
      <c r="EF473" s="80"/>
      <c r="EJ473" s="80"/>
      <c r="EK473" s="80"/>
      <c r="EL473" s="80"/>
    </row>
    <row r="474" spans="1:142" ht="12.75" customHeight="1">
      <c r="A474" s="80"/>
      <c r="B474" s="80"/>
      <c r="C474" s="80"/>
      <c r="D474" s="104"/>
      <c r="E474" s="26"/>
      <c r="F474" s="26"/>
      <c r="H474" s="80"/>
      <c r="I474" s="80"/>
      <c r="J474" s="80"/>
      <c r="K474" s="80"/>
      <c r="L474" s="80"/>
      <c r="M474" s="80"/>
      <c r="N474" s="80"/>
      <c r="O474" s="80"/>
      <c r="P474" s="80"/>
      <c r="Q474" s="80"/>
      <c r="AB474" s="80"/>
      <c r="AF474" s="80"/>
      <c r="AX474" s="80"/>
      <c r="AZ474" s="80"/>
      <c r="BF474" s="80"/>
      <c r="BJ474" s="80"/>
      <c r="BQ474" s="80"/>
      <c r="BR474" s="80"/>
      <c r="BS474" s="80"/>
      <c r="BT474" s="80"/>
      <c r="BZ474" s="80"/>
      <c r="CA474" s="80"/>
      <c r="CB474" s="80"/>
      <c r="CD474" s="80"/>
      <c r="CE474" s="80"/>
      <c r="CF474" s="80"/>
      <c r="CG474" s="80"/>
      <c r="CL474" s="80"/>
      <c r="CU474" s="80"/>
      <c r="CW474" s="80"/>
      <c r="CY474" s="80"/>
      <c r="CZ474" s="80"/>
      <c r="DA474" s="80"/>
      <c r="DE474" s="80"/>
      <c r="DI474" s="80"/>
      <c r="DJ474" s="80"/>
      <c r="DN474" s="80"/>
      <c r="DR474" s="80"/>
      <c r="DV474" s="80"/>
      <c r="DW474" s="80"/>
      <c r="DX474" s="80"/>
      <c r="EC474" s="80"/>
      <c r="EF474" s="80"/>
      <c r="EI474" s="80"/>
      <c r="EL474" s="80"/>
    </row>
    <row r="475" spans="1:142" ht="12.75" customHeight="1">
      <c r="A475" s="80"/>
      <c r="B475" s="80"/>
      <c r="C475" s="80"/>
      <c r="D475" s="104"/>
      <c r="E475" s="26"/>
      <c r="F475" s="26"/>
      <c r="H475" s="80"/>
      <c r="K475" s="80"/>
      <c r="L475" s="80"/>
      <c r="M475" s="80"/>
      <c r="N475" s="80"/>
      <c r="O475" s="80"/>
      <c r="P475" s="80"/>
      <c r="Q475" s="80"/>
      <c r="R475" s="80"/>
      <c r="AF475" s="80"/>
      <c r="AK475" s="80"/>
      <c r="AP475" s="80"/>
      <c r="AX475" s="80"/>
      <c r="AY475" s="80"/>
      <c r="AZ475" s="80"/>
      <c r="BF475" s="80"/>
      <c r="BJ475" s="80"/>
      <c r="BQ475" s="80"/>
      <c r="BR475" s="80"/>
      <c r="BS475" s="80"/>
      <c r="BZ475" s="80"/>
      <c r="CA475" s="80"/>
      <c r="CB475" s="80"/>
      <c r="CC475" s="80"/>
      <c r="CD475" s="80"/>
      <c r="CE475" s="80"/>
      <c r="CG475" s="80"/>
      <c r="CH475" s="80"/>
      <c r="CI475" s="80"/>
      <c r="CK475" s="80"/>
      <c r="CL475" s="80"/>
      <c r="CN475" s="80"/>
      <c r="CO475" s="80"/>
      <c r="CW475" s="80"/>
      <c r="CY475" s="80"/>
      <c r="CZ475" s="80"/>
      <c r="DA475" s="80"/>
      <c r="DE475" s="80"/>
      <c r="DI475" s="80"/>
      <c r="DJ475" s="80"/>
      <c r="DN475" s="80"/>
      <c r="DO475" s="80"/>
      <c r="DR475" s="80"/>
      <c r="DT475" s="80"/>
      <c r="DU475" s="80"/>
      <c r="DV475" s="80"/>
      <c r="DX475" s="80"/>
      <c r="DY475" s="80"/>
      <c r="EB475" s="80"/>
      <c r="EC475" s="80"/>
      <c r="EJ475" s="80"/>
      <c r="EK475" s="80"/>
      <c r="EL475" s="80"/>
    </row>
    <row r="476" spans="1:142" ht="12.75" customHeight="1">
      <c r="A476" s="80"/>
      <c r="B476" s="80"/>
      <c r="C476" s="80"/>
      <c r="D476" s="104"/>
      <c r="E476" s="26"/>
      <c r="F476" s="26"/>
      <c r="H476" s="80"/>
      <c r="K476" s="80"/>
      <c r="L476" s="80"/>
      <c r="M476" s="80"/>
      <c r="N476" s="80"/>
      <c r="O476" s="80"/>
      <c r="P476" s="80"/>
      <c r="Q476" s="80"/>
      <c r="AF476" s="80"/>
      <c r="AK476" s="80"/>
      <c r="AL476" s="80"/>
      <c r="AP476" s="80"/>
      <c r="AW476" s="80"/>
      <c r="AX476" s="80"/>
      <c r="AZ476" s="80"/>
      <c r="BA476" s="80"/>
      <c r="BF476" s="80"/>
      <c r="BJ476" s="80"/>
      <c r="BQ476" s="80"/>
      <c r="BR476" s="80"/>
      <c r="BS476" s="80"/>
      <c r="BT476" s="80"/>
      <c r="BZ476" s="80"/>
      <c r="CA476" s="80"/>
      <c r="CB476" s="80"/>
      <c r="CC476" s="80"/>
      <c r="CD476" s="80"/>
      <c r="CE476" s="80"/>
      <c r="CG476" s="80"/>
      <c r="CI476" s="80"/>
      <c r="CK476" s="80"/>
      <c r="CL476" s="80"/>
      <c r="CN476" s="80"/>
      <c r="CO476" s="80"/>
      <c r="CY476" s="80"/>
      <c r="CZ476" s="80"/>
      <c r="DA476" s="80"/>
      <c r="DB476" s="80"/>
      <c r="DE476" s="80"/>
      <c r="DI476" s="80"/>
      <c r="DJ476" s="80"/>
      <c r="DN476" s="80"/>
      <c r="DR476" s="80"/>
      <c r="DV476" s="80"/>
      <c r="DW476" s="80"/>
      <c r="DX476" s="80"/>
      <c r="EC476" s="80"/>
      <c r="EL476" s="80"/>
    </row>
    <row r="477" spans="1:142" ht="12.75" customHeight="1">
      <c r="A477" s="80"/>
      <c r="B477" s="80"/>
      <c r="C477" s="80"/>
      <c r="D477" s="104"/>
      <c r="E477" s="26"/>
      <c r="F477" s="26"/>
      <c r="I477" s="80"/>
      <c r="J477" s="80"/>
      <c r="L477" s="80"/>
      <c r="M477" s="80"/>
      <c r="Q477" s="80"/>
      <c r="AB477" s="80"/>
      <c r="AF477" s="80"/>
      <c r="AN477" s="80"/>
      <c r="AP477" s="80"/>
      <c r="AY477" s="80"/>
      <c r="BF477" s="80"/>
      <c r="BP477" s="80"/>
      <c r="BQ477" s="80"/>
      <c r="BR477" s="80"/>
      <c r="BS477" s="80"/>
      <c r="BZ477" s="80"/>
      <c r="CA477" s="80"/>
      <c r="CB477" s="80"/>
      <c r="CD477" s="80"/>
      <c r="CE477" s="80"/>
      <c r="CG477" s="80"/>
      <c r="CL477" s="80"/>
      <c r="CN477" s="80"/>
      <c r="CO477" s="80"/>
      <c r="CW477" s="80"/>
      <c r="CY477" s="80"/>
      <c r="CZ477" s="80"/>
      <c r="DA477" s="80"/>
      <c r="DE477" s="80"/>
      <c r="DI477" s="80"/>
      <c r="DJ477" s="80"/>
      <c r="DN477" s="80"/>
      <c r="DR477" s="80"/>
      <c r="DV477" s="80"/>
      <c r="DX477" s="80"/>
      <c r="EC477" s="80"/>
      <c r="EF477" s="80"/>
      <c r="EK477" s="80"/>
      <c r="EL477" s="80"/>
    </row>
    <row r="478" spans="1:142" ht="12.75" customHeight="1">
      <c r="A478" s="80"/>
      <c r="B478" s="80"/>
      <c r="C478" s="80"/>
      <c r="D478" s="104"/>
      <c r="E478" s="26"/>
      <c r="F478" s="26"/>
      <c r="H478" s="80"/>
      <c r="I478" s="80"/>
      <c r="J478" s="80"/>
      <c r="K478" s="80"/>
      <c r="L478" s="80"/>
      <c r="M478" s="80"/>
      <c r="N478" s="80"/>
      <c r="O478" s="80"/>
      <c r="P478" s="80"/>
      <c r="Q478" s="80"/>
      <c r="AF478" s="80"/>
      <c r="AK478" s="80"/>
      <c r="AP478" s="80"/>
      <c r="AX478" s="80"/>
      <c r="AZ478" s="80"/>
      <c r="BF478" s="80"/>
      <c r="BJ478" s="80"/>
      <c r="BQ478" s="80"/>
      <c r="BR478" s="80"/>
      <c r="BS478" s="80"/>
      <c r="BZ478" s="80"/>
      <c r="CA478" s="80"/>
      <c r="CB478" s="80"/>
      <c r="CC478" s="80"/>
      <c r="CD478" s="80"/>
      <c r="CE478" s="80"/>
      <c r="CG478" s="80"/>
      <c r="CI478" s="80"/>
      <c r="CK478" s="80"/>
      <c r="CL478" s="80"/>
      <c r="CN478" s="80"/>
      <c r="CO478" s="80"/>
      <c r="CT478" s="80"/>
      <c r="CU478" s="80"/>
      <c r="CY478" s="80"/>
      <c r="CZ478" s="80"/>
      <c r="DA478" s="80"/>
      <c r="DB478" s="80"/>
      <c r="DE478" s="80"/>
      <c r="DI478" s="80"/>
      <c r="DJ478" s="80"/>
      <c r="DN478" s="80"/>
      <c r="DR478" s="80"/>
      <c r="DV478" s="80"/>
      <c r="DW478" s="80"/>
      <c r="DX478" s="80"/>
      <c r="EC478" s="80"/>
      <c r="EL478" s="80"/>
    </row>
    <row r="479" spans="1:142" ht="12.75" customHeight="1">
      <c r="A479" s="80"/>
      <c r="B479" s="80"/>
      <c r="C479" s="80"/>
      <c r="D479" s="104"/>
      <c r="E479" s="26"/>
      <c r="F479" s="26"/>
      <c r="I479" s="80"/>
      <c r="J479" s="80"/>
      <c r="L479" s="80"/>
      <c r="M479" s="80"/>
      <c r="N479" s="80"/>
      <c r="Q479" s="80"/>
      <c r="AF479" s="80"/>
      <c r="AK479" s="80"/>
      <c r="AP479" s="80"/>
      <c r="AZ479" s="80"/>
      <c r="BF479" s="80"/>
      <c r="BR479" s="80"/>
      <c r="CA479" s="80"/>
      <c r="CB479" s="80"/>
      <c r="CD479" s="80"/>
      <c r="CE479" s="80"/>
      <c r="CF479" s="80"/>
      <c r="CG479" s="80"/>
      <c r="CL479" s="80"/>
      <c r="CT479" s="80"/>
      <c r="CU479" s="80"/>
      <c r="CZ479" s="80"/>
      <c r="DA479" s="80"/>
      <c r="DE479" s="80"/>
      <c r="DI479" s="80"/>
      <c r="DJ479" s="80"/>
      <c r="DN479" s="80"/>
      <c r="EL479" s="80"/>
    </row>
    <row r="480" spans="1:142" ht="12.75" customHeight="1">
      <c r="A480" s="80"/>
      <c r="B480" s="80"/>
      <c r="C480" s="80"/>
      <c r="D480" s="104"/>
      <c r="E480" s="26"/>
      <c r="F480" s="26"/>
      <c r="H480" s="80"/>
      <c r="J480" s="80"/>
      <c r="K480" s="80"/>
      <c r="L480" s="80"/>
      <c r="M480" s="80"/>
      <c r="N480" s="80"/>
      <c r="O480" s="80"/>
      <c r="P480" s="80"/>
      <c r="Q480" s="80"/>
      <c r="AF480" s="80"/>
      <c r="AK480" s="80"/>
      <c r="AP480" s="80"/>
      <c r="AW480" s="80"/>
      <c r="AX480" s="80"/>
      <c r="AZ480" s="80"/>
      <c r="BF480" s="80"/>
      <c r="BP480" s="80"/>
      <c r="BQ480" s="80"/>
      <c r="BR480" s="80"/>
      <c r="BS480" s="80"/>
      <c r="BZ480" s="80"/>
      <c r="CA480" s="80"/>
      <c r="CB480" s="80"/>
      <c r="CC480" s="80"/>
      <c r="CD480" s="80"/>
      <c r="CE480" s="80"/>
      <c r="CG480" s="80"/>
      <c r="CL480" s="80"/>
      <c r="CW480" s="80"/>
      <c r="CY480" s="80"/>
      <c r="CZ480" s="80"/>
      <c r="DA480" s="80"/>
      <c r="DE480" s="80"/>
      <c r="DI480" s="80"/>
      <c r="DJ480" s="80"/>
      <c r="DN480" s="80"/>
      <c r="DR480" s="80"/>
      <c r="DT480" s="80"/>
      <c r="DU480" s="80"/>
      <c r="DV480" s="80"/>
      <c r="DX480" s="80"/>
      <c r="EC480" s="80"/>
      <c r="EI480" s="80"/>
      <c r="EK480" s="80"/>
      <c r="EL480" s="80"/>
    </row>
    <row r="481" spans="1:142" ht="12.75" customHeight="1">
      <c r="A481" s="80"/>
      <c r="B481" s="80"/>
      <c r="C481" s="80"/>
      <c r="D481" s="104"/>
      <c r="E481" s="26"/>
      <c r="F481" s="26"/>
      <c r="H481" s="80"/>
      <c r="K481" s="80"/>
      <c r="L481" s="80"/>
      <c r="M481" s="80"/>
      <c r="P481" s="80"/>
      <c r="Q481" s="80"/>
      <c r="AF481" s="80"/>
      <c r="AL481" s="80"/>
      <c r="AP481" s="80"/>
      <c r="AZ481" s="80"/>
      <c r="BF481" s="80"/>
      <c r="BJ481" s="80"/>
      <c r="BL481" s="80"/>
      <c r="BQ481" s="80"/>
      <c r="BR481" s="80"/>
      <c r="BS481" s="80"/>
      <c r="BT481" s="80"/>
      <c r="BZ481" s="80"/>
      <c r="CA481" s="80"/>
      <c r="CB481" s="80"/>
      <c r="CD481" s="80"/>
      <c r="CE481" s="80"/>
      <c r="CF481" s="80"/>
      <c r="CG481" s="80"/>
      <c r="CI481" s="80"/>
      <c r="CK481" s="80"/>
      <c r="CL481" s="80"/>
      <c r="CW481" s="80"/>
      <c r="CY481" s="80"/>
      <c r="CZ481" s="80"/>
      <c r="DA481" s="80"/>
      <c r="DE481" s="80"/>
      <c r="DI481" s="80"/>
      <c r="DJ481" s="80"/>
      <c r="DN481" s="80"/>
      <c r="DO481" s="80"/>
      <c r="DR481" s="80"/>
      <c r="DV481" s="80"/>
      <c r="DW481" s="80"/>
      <c r="DX481" s="80"/>
      <c r="EC481" s="80"/>
      <c r="EF481" s="80"/>
      <c r="EI481" s="80"/>
      <c r="EL481" s="80"/>
    </row>
    <row r="482" spans="1:142" ht="12.75" customHeight="1">
      <c r="A482" s="80"/>
      <c r="B482" s="80"/>
      <c r="C482" s="80"/>
      <c r="D482" s="104"/>
      <c r="E482" s="26"/>
      <c r="F482" s="26"/>
      <c r="H482" s="80"/>
      <c r="I482" s="80"/>
      <c r="J482" s="80"/>
      <c r="K482" s="80"/>
      <c r="L482" s="80"/>
      <c r="M482" s="80"/>
      <c r="N482" s="80"/>
      <c r="O482" s="80"/>
      <c r="P482" s="80"/>
      <c r="Q482" s="80"/>
      <c r="S482" s="80"/>
      <c r="AB482" s="80"/>
      <c r="AF482" s="80"/>
      <c r="AL482" s="80"/>
      <c r="AP482" s="80"/>
      <c r="AW482" s="80"/>
      <c r="AX482" s="80"/>
      <c r="AZ482" s="80"/>
      <c r="BA482" s="80"/>
      <c r="BD482" s="80"/>
      <c r="BF482" s="80"/>
      <c r="BG482" s="80"/>
      <c r="BI482" s="80"/>
      <c r="BJ482" s="80"/>
      <c r="BP482" s="80"/>
      <c r="BQ482" s="80"/>
      <c r="BR482" s="80"/>
      <c r="BS482" s="80"/>
      <c r="BU482" s="80"/>
      <c r="BW482" s="80"/>
      <c r="BZ482" s="80"/>
      <c r="CA482" s="80"/>
      <c r="CB482" s="80"/>
      <c r="CC482" s="80"/>
      <c r="CD482" s="80"/>
      <c r="CE482" s="80"/>
      <c r="CG482" s="80"/>
      <c r="CI482" s="80"/>
      <c r="CK482" s="80"/>
      <c r="CL482" s="80"/>
      <c r="CU482" s="80"/>
      <c r="CW482" s="80"/>
      <c r="CY482" s="80"/>
      <c r="CZ482" s="80"/>
      <c r="DA482" s="80"/>
      <c r="DB482" s="80"/>
      <c r="DC482" s="80"/>
      <c r="DE482" s="80"/>
      <c r="DI482" s="80"/>
      <c r="DJ482" s="80"/>
      <c r="DN482" s="80"/>
      <c r="DQ482" s="80"/>
      <c r="DR482" s="80"/>
      <c r="DV482" s="80"/>
      <c r="DW482" s="80"/>
      <c r="DX482" s="80"/>
      <c r="EC482" s="80"/>
      <c r="EF482" s="80"/>
      <c r="EG482" s="80"/>
      <c r="EI482" s="80"/>
      <c r="EJ482" s="80"/>
      <c r="EK482" s="80"/>
      <c r="EL482" s="80"/>
    </row>
    <row r="483" spans="1:142" ht="12.75" customHeight="1">
      <c r="A483" s="80"/>
      <c r="B483" s="80"/>
      <c r="C483" s="80"/>
      <c r="D483" s="104"/>
      <c r="E483" s="26"/>
      <c r="F483" s="26"/>
      <c r="H483" s="80"/>
      <c r="I483" s="80"/>
      <c r="J483" s="80"/>
      <c r="L483" s="80"/>
      <c r="M483" s="80"/>
      <c r="N483" s="80"/>
      <c r="O483" s="80"/>
      <c r="P483" s="80"/>
      <c r="Q483" s="80"/>
      <c r="AF483" s="80"/>
      <c r="AK483" s="80"/>
      <c r="AP483" s="80"/>
      <c r="AZ483" s="80"/>
      <c r="BF483" s="80"/>
      <c r="BJ483" s="80"/>
      <c r="BQ483" s="80"/>
      <c r="BR483" s="80"/>
      <c r="BT483" s="80"/>
      <c r="BZ483" s="80"/>
      <c r="CA483" s="80"/>
      <c r="CB483" s="80"/>
      <c r="CC483" s="80"/>
      <c r="CD483" s="80"/>
      <c r="CE483" s="80"/>
      <c r="CG483" s="80"/>
      <c r="CL483" s="80"/>
      <c r="CT483" s="80"/>
      <c r="CU483" s="80"/>
      <c r="CY483" s="80"/>
      <c r="CZ483" s="80"/>
      <c r="DA483" s="80"/>
      <c r="DE483" s="80"/>
      <c r="DI483" s="80"/>
      <c r="DJ483" s="80"/>
      <c r="DN483" s="80"/>
      <c r="DO483" s="80"/>
      <c r="DR483" s="80"/>
      <c r="DV483" s="80"/>
      <c r="DW483" s="80"/>
      <c r="DX483" s="80"/>
      <c r="EC483" s="80"/>
      <c r="EF483" s="80"/>
      <c r="EK483" s="80"/>
      <c r="EL483" s="80"/>
    </row>
    <row r="484" spans="1:142" ht="12.75" customHeight="1">
      <c r="A484" s="80"/>
      <c r="B484" s="80"/>
      <c r="C484" s="80"/>
      <c r="D484" s="104"/>
      <c r="E484" s="26"/>
      <c r="F484" s="26"/>
      <c r="H484" s="80"/>
      <c r="I484" s="80"/>
      <c r="K484" s="80"/>
      <c r="L484" s="80"/>
      <c r="M484" s="80"/>
      <c r="N484" s="80"/>
      <c r="Q484" s="80"/>
      <c r="AF484" s="80"/>
      <c r="AX484" s="80"/>
      <c r="AZ484" s="80"/>
      <c r="BF484" s="80"/>
      <c r="BQ484" s="80"/>
      <c r="BR484" s="80"/>
      <c r="BS484" s="80"/>
      <c r="BT484" s="80"/>
      <c r="BZ484" s="80"/>
      <c r="CA484" s="80"/>
      <c r="CB484" s="80"/>
      <c r="CD484" s="80"/>
      <c r="CE484" s="80"/>
      <c r="CG484" s="80"/>
      <c r="CL484" s="80"/>
      <c r="CW484" s="80"/>
      <c r="CZ484" s="80"/>
      <c r="DA484" s="80"/>
      <c r="DE484" s="80"/>
      <c r="DI484" s="80"/>
      <c r="DJ484" s="80"/>
      <c r="DN484" s="80"/>
      <c r="EI484" s="80"/>
      <c r="EK484" s="80"/>
      <c r="EL484" s="80"/>
    </row>
    <row r="485" spans="1:142" ht="12.75" customHeight="1">
      <c r="A485" s="80"/>
      <c r="B485" s="80"/>
      <c r="C485" s="80"/>
      <c r="D485" s="104"/>
      <c r="E485" s="26"/>
      <c r="F485" s="26"/>
      <c r="H485" s="80"/>
      <c r="I485" s="80"/>
      <c r="K485" s="80"/>
      <c r="L485" s="80"/>
      <c r="M485" s="80"/>
      <c r="N485" s="80"/>
      <c r="O485" s="80"/>
      <c r="P485" s="80"/>
      <c r="Q485" s="80"/>
      <c r="AC485" s="80"/>
      <c r="AF485" s="80"/>
      <c r="AK485" s="80"/>
      <c r="AP485" s="80"/>
      <c r="AY485" s="80"/>
      <c r="BF485" s="80"/>
      <c r="BJ485" s="80"/>
      <c r="BP485" s="80"/>
      <c r="BQ485" s="80"/>
      <c r="BR485" s="80"/>
      <c r="BS485" s="80"/>
      <c r="BZ485" s="80"/>
      <c r="CA485" s="80"/>
      <c r="CB485" s="80"/>
      <c r="CC485" s="80"/>
      <c r="CD485" s="80"/>
      <c r="CE485" s="80"/>
      <c r="CG485" s="80"/>
      <c r="CI485" s="80"/>
      <c r="CK485" s="80"/>
      <c r="CL485" s="80"/>
      <c r="CN485" s="80"/>
      <c r="CO485" s="80"/>
      <c r="CU485" s="80"/>
      <c r="CW485" s="80"/>
      <c r="CY485" s="80"/>
      <c r="CZ485" s="80"/>
      <c r="DA485" s="80"/>
      <c r="DE485" s="80"/>
      <c r="DI485" s="80"/>
      <c r="DJ485" s="80"/>
      <c r="DN485" s="80"/>
      <c r="DO485" s="80"/>
      <c r="DR485" s="80"/>
      <c r="DV485" s="80"/>
      <c r="DW485" s="80"/>
      <c r="DX485" s="80"/>
      <c r="EC485" s="80"/>
      <c r="EF485" s="80"/>
      <c r="EG485" s="80"/>
      <c r="EI485" s="80"/>
      <c r="EK485" s="80"/>
      <c r="EL485" s="80"/>
    </row>
    <row r="486" spans="1:142" ht="12.75" customHeight="1">
      <c r="A486" s="80"/>
      <c r="B486" s="80"/>
      <c r="C486" s="80"/>
      <c r="D486" s="104"/>
      <c r="E486" s="26"/>
      <c r="F486" s="26"/>
      <c r="H486" s="80"/>
      <c r="I486" s="80"/>
      <c r="J486" s="80"/>
      <c r="K486" s="80"/>
      <c r="L486" s="80"/>
      <c r="M486" s="80"/>
      <c r="O486" s="80"/>
      <c r="P486" s="80"/>
      <c r="Q486" s="80"/>
      <c r="AB486" s="80"/>
      <c r="AF486" s="80"/>
      <c r="AL486" s="80"/>
      <c r="AP486" s="80"/>
      <c r="AX486" s="80"/>
      <c r="AY486" s="80"/>
      <c r="AZ486" s="80"/>
      <c r="BF486" s="80"/>
      <c r="BJ486" s="80"/>
      <c r="BQ486" s="80"/>
      <c r="BR486" s="80"/>
      <c r="BS486" s="80"/>
      <c r="BZ486" s="80"/>
      <c r="CA486" s="80"/>
      <c r="CB486" s="80"/>
      <c r="CC486" s="80"/>
      <c r="CD486" s="80"/>
      <c r="CE486" s="80"/>
      <c r="CG486" s="80"/>
      <c r="CI486" s="80"/>
      <c r="CK486" s="80"/>
      <c r="CL486" s="80"/>
      <c r="CN486" s="80"/>
      <c r="CO486" s="80"/>
      <c r="CT486" s="80"/>
      <c r="CU486" s="80"/>
      <c r="CY486" s="80"/>
      <c r="CZ486" s="80"/>
      <c r="DA486" s="80"/>
      <c r="DE486" s="80"/>
      <c r="DI486" s="80"/>
      <c r="DJ486" s="80"/>
      <c r="DN486" s="80"/>
      <c r="DR486" s="80"/>
      <c r="DV486" s="80"/>
      <c r="DW486" s="80"/>
      <c r="DX486" s="80"/>
      <c r="EC486" s="80"/>
      <c r="EI486" s="80"/>
      <c r="EK486" s="80"/>
      <c r="EL486" s="80"/>
    </row>
    <row r="487" spans="1:142" ht="12.75" customHeight="1">
      <c r="A487" s="80"/>
      <c r="B487" s="80"/>
      <c r="C487" s="80"/>
      <c r="D487" s="104"/>
      <c r="E487" s="26"/>
      <c r="F487" s="26"/>
      <c r="H487" s="80"/>
      <c r="J487" s="80"/>
      <c r="K487" s="80"/>
      <c r="L487" s="80"/>
      <c r="M487" s="80"/>
      <c r="N487" s="80"/>
      <c r="O487" s="80"/>
      <c r="Q487" s="80"/>
      <c r="AC487" s="80"/>
      <c r="AF487" s="80"/>
      <c r="AY487" s="80"/>
      <c r="BF487" s="80"/>
      <c r="BQ487" s="80"/>
      <c r="BR487" s="80"/>
      <c r="BS487" s="80"/>
      <c r="BZ487" s="80"/>
      <c r="CA487" s="80"/>
      <c r="CB487" s="80"/>
      <c r="CD487" s="80"/>
      <c r="CE487" s="80"/>
      <c r="CF487" s="80"/>
      <c r="CG487" s="80"/>
      <c r="CL487" s="80"/>
      <c r="CN487" s="80"/>
      <c r="CO487" s="80"/>
      <c r="CW487" s="80"/>
      <c r="CY487" s="80"/>
      <c r="CZ487" s="80"/>
      <c r="DA487" s="80"/>
      <c r="DE487" s="80"/>
      <c r="DI487" s="80"/>
      <c r="DJ487" s="80"/>
      <c r="DN487" s="80"/>
      <c r="DQ487" s="80"/>
      <c r="DR487" s="80"/>
      <c r="DV487" s="80"/>
      <c r="DW487" s="80"/>
      <c r="DX487" s="80"/>
      <c r="EC487" s="80"/>
      <c r="EL487" s="80"/>
    </row>
    <row r="488" spans="1:142" ht="12.75" customHeight="1">
      <c r="A488" s="80"/>
      <c r="B488" s="80"/>
      <c r="C488" s="80"/>
      <c r="D488" s="104"/>
      <c r="E488" s="26"/>
      <c r="F488" s="26"/>
      <c r="H488" s="80"/>
      <c r="K488" s="80"/>
      <c r="L488" s="80"/>
      <c r="M488" s="80"/>
      <c r="N488" s="80"/>
      <c r="O488" s="80"/>
      <c r="Q488" s="80"/>
      <c r="AF488" s="80"/>
      <c r="AZ488" s="80"/>
      <c r="BF488" s="80"/>
      <c r="BJ488" s="80"/>
      <c r="BK488" s="80"/>
      <c r="BP488" s="80"/>
      <c r="BQ488" s="80"/>
      <c r="BR488" s="80"/>
      <c r="BS488" s="80"/>
      <c r="BT488" s="80"/>
      <c r="BZ488" s="80"/>
      <c r="CA488" s="80"/>
      <c r="CB488" s="80"/>
      <c r="CC488" s="80"/>
      <c r="CD488" s="80"/>
      <c r="CE488" s="80"/>
      <c r="CG488" s="80"/>
      <c r="CL488" s="80"/>
      <c r="CY488" s="80"/>
      <c r="CZ488" s="80"/>
      <c r="DA488" s="80"/>
      <c r="DE488" s="80"/>
      <c r="DF488" s="80"/>
      <c r="DI488" s="80"/>
      <c r="DJ488" s="80"/>
      <c r="DN488" s="80"/>
      <c r="DR488" s="80"/>
      <c r="DV488" s="80"/>
      <c r="DX488" s="80"/>
      <c r="EC488" s="80"/>
      <c r="EL488" s="80"/>
    </row>
    <row r="489" spans="1:142" ht="12.75" customHeight="1">
      <c r="A489" s="80"/>
      <c r="B489" s="80"/>
      <c r="C489" s="80"/>
      <c r="D489" s="104"/>
      <c r="E489" s="26"/>
      <c r="F489" s="26"/>
      <c r="H489" s="80"/>
      <c r="I489" s="80"/>
      <c r="J489" s="80"/>
      <c r="K489" s="80"/>
      <c r="L489" s="80"/>
      <c r="M489" s="80"/>
      <c r="N489" s="80"/>
      <c r="O489" s="80"/>
      <c r="Q489" s="80"/>
      <c r="AB489" s="80"/>
      <c r="AC489" s="80"/>
      <c r="AF489" s="80"/>
      <c r="AL489" s="80"/>
      <c r="AP489" s="80"/>
      <c r="AX489" s="80"/>
      <c r="AZ489" s="80"/>
      <c r="BF489" s="80"/>
      <c r="BP489" s="80"/>
      <c r="BQ489" s="80"/>
      <c r="BR489" s="80"/>
      <c r="BS489" s="80"/>
      <c r="BZ489" s="80"/>
      <c r="CA489" s="80"/>
      <c r="CB489" s="80"/>
      <c r="CC489" s="80"/>
      <c r="CD489" s="80"/>
      <c r="CE489" s="80"/>
      <c r="CG489" s="80"/>
      <c r="CL489" s="80"/>
      <c r="CW489" s="80"/>
      <c r="CY489" s="80"/>
      <c r="CZ489" s="80"/>
      <c r="DA489" s="80"/>
      <c r="DE489" s="80"/>
      <c r="DI489" s="80"/>
      <c r="DJ489" s="80"/>
      <c r="DN489" s="80"/>
      <c r="DR489" s="80"/>
      <c r="DV489" s="80"/>
      <c r="DX489" s="80"/>
      <c r="EC489" s="80"/>
      <c r="ED489" s="80"/>
      <c r="EF489" s="80"/>
      <c r="EI489" s="80"/>
      <c r="EK489" s="80"/>
      <c r="EL489" s="80"/>
    </row>
    <row r="490" spans="1:142" ht="12.75" customHeight="1">
      <c r="A490" s="80"/>
      <c r="B490" s="80"/>
      <c r="C490" s="80"/>
      <c r="D490" s="104"/>
      <c r="E490" s="26"/>
      <c r="F490" s="26"/>
      <c r="H490" s="80"/>
      <c r="I490" s="80"/>
      <c r="J490" s="80"/>
      <c r="K490" s="80"/>
      <c r="L490" s="80"/>
      <c r="M490" s="80"/>
      <c r="N490" s="80"/>
      <c r="O490" s="80"/>
      <c r="P490" s="80"/>
      <c r="Q490" s="80"/>
      <c r="AF490" s="80"/>
      <c r="AL490" s="80"/>
      <c r="AP490" s="80"/>
      <c r="AX490" s="80"/>
      <c r="AY490" s="80"/>
      <c r="BF490" s="80"/>
      <c r="BP490" s="80"/>
      <c r="BQ490" s="80"/>
      <c r="BR490" s="80"/>
      <c r="BS490" s="80"/>
      <c r="BZ490" s="80"/>
      <c r="CA490" s="80"/>
      <c r="CB490" s="80"/>
      <c r="CC490" s="80"/>
      <c r="CD490" s="80"/>
      <c r="CE490" s="80"/>
      <c r="CG490" s="80"/>
      <c r="CI490" s="80"/>
      <c r="CK490" s="80"/>
      <c r="CL490" s="80"/>
      <c r="CW490" s="80"/>
      <c r="CY490" s="80"/>
      <c r="CZ490" s="80"/>
      <c r="DA490" s="80"/>
      <c r="DE490" s="80"/>
      <c r="DI490" s="80"/>
      <c r="DJ490" s="80"/>
      <c r="DN490" s="80"/>
      <c r="DP490" s="80"/>
      <c r="DR490" s="80"/>
      <c r="DV490" s="80"/>
      <c r="DX490" s="80"/>
      <c r="EC490" s="80"/>
      <c r="ED490" s="80"/>
      <c r="EF490" s="80"/>
      <c r="EI490" s="80"/>
      <c r="EK490" s="80"/>
      <c r="EL490" s="80"/>
    </row>
    <row r="491" spans="1:142" ht="12.75" customHeight="1">
      <c r="A491" s="80"/>
      <c r="B491" s="80"/>
      <c r="C491" s="80"/>
      <c r="D491" s="104"/>
      <c r="E491" s="26"/>
      <c r="F491" s="26"/>
      <c r="H491" s="80"/>
      <c r="K491" s="80"/>
      <c r="L491" s="80"/>
      <c r="M491" s="80"/>
      <c r="N491" s="80"/>
      <c r="O491" s="80"/>
      <c r="P491" s="80"/>
      <c r="Q491" s="80"/>
      <c r="R491" s="80"/>
      <c r="AB491" s="80"/>
      <c r="AF491" s="80"/>
      <c r="AK491" s="80"/>
      <c r="AP491" s="80"/>
      <c r="AZ491" s="80"/>
      <c r="BF491" s="80"/>
      <c r="BJ491" s="80"/>
      <c r="BK491" s="80"/>
      <c r="BM491" s="80"/>
      <c r="BN491" s="80"/>
      <c r="BQ491" s="80"/>
      <c r="BR491" s="80"/>
      <c r="BS491" s="80"/>
      <c r="BZ491" s="80"/>
      <c r="CA491" s="80"/>
      <c r="CD491" s="80"/>
      <c r="CE491" s="80"/>
      <c r="CG491" s="80"/>
      <c r="CI491" s="80"/>
      <c r="CK491" s="80"/>
      <c r="CL491" s="80"/>
      <c r="CN491" s="80"/>
      <c r="CO491" s="80"/>
      <c r="CT491" s="80"/>
      <c r="CU491" s="80"/>
      <c r="CY491" s="80"/>
      <c r="CZ491" s="80"/>
      <c r="DA491" s="80"/>
      <c r="DE491" s="80"/>
      <c r="DG491" s="80"/>
      <c r="DI491" s="80"/>
      <c r="DJ491" s="80"/>
      <c r="DK491" s="80"/>
      <c r="DN491" s="80"/>
      <c r="DR491" s="80"/>
      <c r="DV491" s="80"/>
      <c r="DW491" s="80"/>
      <c r="DX491" s="80"/>
      <c r="EC491" s="80"/>
      <c r="ED491" s="80"/>
      <c r="EF491" s="80"/>
      <c r="EI491" s="80"/>
      <c r="EK491" s="80"/>
      <c r="EL491" s="80"/>
    </row>
    <row r="492" spans="1:142" ht="12.75" customHeight="1">
      <c r="A492" s="80"/>
      <c r="B492" s="80"/>
      <c r="C492" s="80"/>
      <c r="D492" s="104"/>
      <c r="E492" s="26"/>
      <c r="F492" s="26"/>
      <c r="M492" s="80"/>
      <c r="Q492" s="80"/>
      <c r="AF492" s="80"/>
      <c r="AW492" s="80"/>
      <c r="AY492" s="80"/>
      <c r="BF492" s="80"/>
      <c r="CD492" s="80"/>
      <c r="CE492" s="80"/>
      <c r="CG492" s="80"/>
      <c r="CL492" s="80"/>
      <c r="EL492" s="80"/>
    </row>
    <row r="493" spans="1:142" ht="12.75" customHeight="1">
      <c r="A493" s="80"/>
      <c r="B493" s="80"/>
      <c r="C493" s="80"/>
      <c r="D493" s="104"/>
      <c r="E493" s="26"/>
      <c r="F493" s="26"/>
      <c r="H493" s="80"/>
      <c r="I493" s="80"/>
      <c r="J493" s="80"/>
      <c r="K493" s="80"/>
      <c r="L493" s="80"/>
      <c r="M493" s="80"/>
      <c r="N493" s="80"/>
      <c r="O493" s="80"/>
      <c r="Q493" s="80"/>
      <c r="X493" s="80"/>
      <c r="AB493" s="80"/>
      <c r="AF493" s="80"/>
      <c r="AJ493" s="80"/>
      <c r="AW493" s="80"/>
      <c r="AX493" s="80"/>
      <c r="AZ493" s="80"/>
      <c r="BF493" s="80"/>
      <c r="BJ493" s="80"/>
      <c r="BK493" s="80"/>
      <c r="BL493" s="80"/>
      <c r="BQ493" s="80"/>
      <c r="BR493" s="80"/>
      <c r="BS493" s="80"/>
      <c r="BZ493" s="80"/>
      <c r="CA493" s="80"/>
      <c r="CB493" s="80"/>
      <c r="CC493" s="80"/>
      <c r="CD493" s="80"/>
      <c r="CE493" s="80"/>
      <c r="CG493" s="80"/>
      <c r="CL493" s="80"/>
      <c r="CN493" s="80"/>
      <c r="CO493" s="80"/>
      <c r="CU493" s="80"/>
      <c r="CY493" s="80"/>
      <c r="CZ493" s="80"/>
      <c r="DA493" s="80"/>
      <c r="DE493" s="80"/>
      <c r="DI493" s="80"/>
      <c r="DJ493" s="80"/>
      <c r="DN493" s="80"/>
      <c r="EI493" s="80"/>
      <c r="EJ493" s="80"/>
      <c r="EK493" s="80"/>
      <c r="EL493" s="80"/>
    </row>
    <row r="494" spans="1:142" ht="12.75" customHeight="1">
      <c r="A494" s="80"/>
      <c r="B494" s="80"/>
      <c r="C494" s="80"/>
      <c r="D494" s="104"/>
      <c r="E494" s="26"/>
      <c r="F494" s="26"/>
      <c r="H494" s="80"/>
      <c r="J494" s="80"/>
      <c r="K494" s="80"/>
      <c r="L494" s="80"/>
      <c r="M494" s="80"/>
      <c r="N494" s="80"/>
      <c r="O494" s="80"/>
      <c r="P494" s="80"/>
      <c r="Q494" s="80"/>
      <c r="AF494" s="80"/>
      <c r="AW494" s="80"/>
      <c r="AZ494" s="80"/>
      <c r="BF494" s="80"/>
      <c r="BP494" s="80"/>
      <c r="BQ494" s="80"/>
      <c r="BR494" s="80"/>
      <c r="BS494" s="80"/>
      <c r="BT494" s="80"/>
      <c r="BZ494" s="80"/>
      <c r="CA494" s="80"/>
      <c r="CB494" s="80"/>
      <c r="CC494" s="80"/>
      <c r="CD494" s="80"/>
      <c r="CE494" s="80"/>
      <c r="CG494" s="80"/>
      <c r="CL494" s="80"/>
      <c r="DA494" s="80"/>
      <c r="DE494" s="80"/>
      <c r="DI494" s="80"/>
      <c r="DJ494" s="80"/>
      <c r="DN494" s="80"/>
      <c r="DO494" s="80"/>
      <c r="DR494" s="80"/>
      <c r="DV494" s="80"/>
      <c r="DX494" s="80"/>
      <c r="EC494" s="80"/>
      <c r="ED494" s="80"/>
      <c r="EF494" s="80"/>
      <c r="EI494" s="80"/>
      <c r="EK494" s="80"/>
      <c r="EL494" s="80"/>
    </row>
    <row r="495" spans="1:142" ht="12.75" customHeight="1">
      <c r="A495" s="80"/>
      <c r="B495" s="80"/>
      <c r="C495" s="80"/>
      <c r="D495" s="104"/>
      <c r="E495" s="26"/>
      <c r="F495" s="26"/>
      <c r="H495" s="80"/>
      <c r="K495" s="80"/>
      <c r="L495" s="80"/>
      <c r="M495" s="80"/>
      <c r="O495" s="80"/>
      <c r="Q495" s="80"/>
      <c r="R495" s="80"/>
      <c r="AG495" s="80"/>
      <c r="AR495" s="80"/>
      <c r="AT495" s="80"/>
      <c r="AZ495" s="80"/>
      <c r="BF495" s="80"/>
      <c r="BJ495" s="80"/>
      <c r="BR495" s="80"/>
      <c r="BS495" s="80"/>
      <c r="BV495" s="80"/>
      <c r="BX495" s="80"/>
      <c r="CA495" s="80"/>
      <c r="CB495" s="80"/>
      <c r="CC495" s="80"/>
      <c r="CD495" s="80"/>
      <c r="CE495" s="80"/>
      <c r="CG495" s="80"/>
      <c r="CI495" s="80"/>
      <c r="CK495" s="80"/>
      <c r="CL495" s="80"/>
      <c r="CN495" s="80"/>
      <c r="CO495" s="80"/>
      <c r="CU495" s="80"/>
      <c r="CY495" s="80"/>
      <c r="CZ495" s="80"/>
      <c r="DA495" s="80"/>
      <c r="DE495" s="80"/>
      <c r="DG495" s="80"/>
      <c r="DI495" s="80"/>
      <c r="DJ495" s="80"/>
      <c r="DN495" s="80"/>
      <c r="EL495" s="80"/>
    </row>
    <row r="496" spans="1:142" ht="12.75" customHeight="1">
      <c r="A496" s="80"/>
      <c r="B496" s="80"/>
      <c r="C496" s="80"/>
      <c r="D496" s="104"/>
      <c r="E496" s="26"/>
      <c r="F496" s="26"/>
      <c r="H496" s="80"/>
      <c r="K496" s="80"/>
      <c r="L496" s="80"/>
      <c r="M496" s="80"/>
      <c r="N496" s="80"/>
      <c r="O496" s="80"/>
      <c r="P496" s="80"/>
      <c r="Q496" s="80"/>
      <c r="AF496" s="80"/>
      <c r="AK496" s="80"/>
      <c r="AP496" s="80"/>
      <c r="AZ496" s="80"/>
      <c r="BF496" s="80"/>
      <c r="BJ496" s="80"/>
      <c r="BK496" s="80"/>
      <c r="BM496" s="80"/>
      <c r="BQ496" s="80"/>
      <c r="BR496" s="80"/>
      <c r="BS496" s="80"/>
      <c r="BZ496" s="80"/>
      <c r="CA496" s="80"/>
      <c r="CC496" s="80"/>
      <c r="CD496" s="80"/>
      <c r="CE496" s="80"/>
      <c r="CG496" s="80"/>
      <c r="CI496" s="80"/>
      <c r="CK496" s="80"/>
      <c r="CL496" s="80"/>
      <c r="CN496" s="80"/>
      <c r="CO496" s="80"/>
      <c r="CT496" s="80"/>
      <c r="CU496" s="80"/>
      <c r="CY496" s="80"/>
      <c r="CZ496" s="80"/>
      <c r="DA496" s="80"/>
      <c r="DE496" s="80"/>
      <c r="DF496" s="80"/>
      <c r="DG496" s="80"/>
      <c r="DI496" s="80"/>
      <c r="DJ496" s="80"/>
      <c r="DN496" s="80"/>
      <c r="DR496" s="80"/>
      <c r="DV496" s="80"/>
      <c r="DW496" s="80"/>
      <c r="DX496" s="80"/>
      <c r="EC496" s="80"/>
      <c r="ED496" s="80"/>
      <c r="EF496" s="80"/>
      <c r="EK496" s="80"/>
      <c r="EL496" s="80"/>
    </row>
    <row r="497" spans="1:142" ht="12.75" customHeight="1">
      <c r="A497" s="80"/>
      <c r="B497" s="80"/>
      <c r="C497" s="80"/>
      <c r="D497" s="104"/>
      <c r="E497" s="26"/>
      <c r="F497" s="26"/>
      <c r="H497" s="80"/>
      <c r="I497" s="80"/>
      <c r="J497" s="80"/>
      <c r="K497" s="80"/>
      <c r="L497" s="80"/>
      <c r="M497" s="80"/>
      <c r="N497" s="80"/>
      <c r="Q497" s="80"/>
      <c r="AF497" s="80"/>
      <c r="AK497" s="80"/>
      <c r="AP497" s="80"/>
      <c r="AX497" s="80"/>
      <c r="AY497" s="80"/>
      <c r="BF497" s="80"/>
      <c r="BJ497" s="80"/>
      <c r="BK497" s="80"/>
      <c r="BQ497" s="80"/>
      <c r="BR497" s="80"/>
      <c r="BS497" s="80"/>
      <c r="BZ497" s="80"/>
      <c r="CA497" s="80"/>
      <c r="CB497" s="80"/>
      <c r="CD497" s="80"/>
      <c r="CE497" s="80"/>
      <c r="CG497" s="80"/>
      <c r="CL497" s="80"/>
      <c r="CN497" s="80"/>
      <c r="CO497" s="80"/>
      <c r="CY497" s="80"/>
      <c r="CZ497" s="80"/>
      <c r="DA497" s="80"/>
      <c r="DE497" s="80"/>
      <c r="DI497" s="80"/>
      <c r="DJ497" s="80"/>
      <c r="DN497" s="80"/>
      <c r="DR497" s="80"/>
      <c r="DV497" s="80"/>
      <c r="DW497" s="80"/>
      <c r="DX497" s="80"/>
      <c r="EC497" s="80"/>
      <c r="EL497" s="80"/>
    </row>
    <row r="498" spans="1:142" ht="12.75" customHeight="1">
      <c r="A498" s="80"/>
      <c r="B498" s="80"/>
      <c r="C498" s="80"/>
      <c r="D498" s="104"/>
      <c r="E498" s="26"/>
      <c r="F498" s="26"/>
      <c r="H498" s="80"/>
      <c r="I498" s="80"/>
      <c r="J498" s="80"/>
      <c r="K498" s="80"/>
      <c r="L498" s="80"/>
      <c r="M498" s="80"/>
      <c r="N498" s="80"/>
      <c r="P498" s="80"/>
      <c r="Q498" s="80"/>
      <c r="AF498" s="80"/>
      <c r="AX498" s="80"/>
      <c r="AY498" s="80"/>
      <c r="BF498" s="80"/>
      <c r="BJ498" s="80"/>
      <c r="BK498" s="80"/>
      <c r="BQ498" s="80"/>
      <c r="BR498" s="80"/>
      <c r="BS498" s="80"/>
      <c r="BZ498" s="80"/>
      <c r="CA498" s="80"/>
      <c r="CB498" s="80"/>
      <c r="CC498" s="80"/>
      <c r="CD498" s="80"/>
      <c r="CE498" s="80"/>
      <c r="CG498" s="80"/>
      <c r="CL498" s="80"/>
      <c r="CT498" s="80"/>
      <c r="CU498" s="80"/>
      <c r="CY498" s="80"/>
      <c r="CZ498" s="80"/>
      <c r="DA498" s="80"/>
      <c r="DE498" s="80"/>
      <c r="DI498" s="80"/>
      <c r="DJ498" s="80"/>
      <c r="DN498" s="80"/>
      <c r="DR498" s="80"/>
      <c r="DV498" s="80"/>
      <c r="DX498" s="80"/>
      <c r="EC498" s="80"/>
      <c r="EL498" s="80"/>
    </row>
    <row r="499" spans="1:142" ht="12.75" customHeight="1">
      <c r="A499" s="80"/>
      <c r="B499" s="80"/>
      <c r="C499" s="80"/>
      <c r="D499" s="104"/>
      <c r="E499" s="26"/>
      <c r="F499" s="26"/>
      <c r="H499" s="80"/>
      <c r="I499" s="80"/>
      <c r="J499" s="80"/>
      <c r="K499" s="80"/>
      <c r="L499" s="80"/>
      <c r="M499" s="80"/>
      <c r="N499" s="80"/>
      <c r="Q499" s="80"/>
      <c r="AC499" s="80"/>
      <c r="AF499" s="80"/>
      <c r="AK499" s="80"/>
      <c r="AP499" s="80"/>
      <c r="AV499" s="80"/>
      <c r="AX499" s="80"/>
      <c r="AZ499" s="80"/>
      <c r="BF499" s="80"/>
      <c r="BJ499" s="80"/>
      <c r="BQ499" s="80"/>
      <c r="BR499" s="80"/>
      <c r="BS499" s="80"/>
      <c r="BT499" s="80"/>
      <c r="BZ499" s="80"/>
      <c r="CA499" s="80"/>
      <c r="CB499" s="80"/>
      <c r="CC499" s="80"/>
      <c r="CD499" s="80"/>
      <c r="CE499" s="80"/>
      <c r="CG499" s="80"/>
      <c r="CL499" s="80"/>
      <c r="CY499" s="80"/>
      <c r="CZ499" s="80"/>
      <c r="DA499" s="80"/>
      <c r="DE499" s="80"/>
      <c r="DI499" s="80"/>
      <c r="DJ499" s="80"/>
      <c r="DN499" s="80"/>
      <c r="EL499" s="80"/>
    </row>
    <row r="500" spans="1:142" ht="12.75" customHeight="1">
      <c r="A500" s="80"/>
      <c r="B500" s="80"/>
      <c r="C500" s="80"/>
      <c r="D500" s="104"/>
      <c r="E500" s="26"/>
      <c r="F500" s="26"/>
      <c r="H500" s="80"/>
      <c r="I500" s="80"/>
      <c r="J500" s="80"/>
      <c r="K500" s="80"/>
      <c r="L500" s="80"/>
      <c r="M500" s="80"/>
      <c r="N500" s="80"/>
      <c r="P500" s="80"/>
      <c r="Q500" s="80"/>
      <c r="AB500" s="80"/>
      <c r="AF500" s="80"/>
      <c r="AL500" s="80"/>
      <c r="AP500" s="80"/>
      <c r="AX500" s="80"/>
      <c r="AY500" s="80"/>
      <c r="AZ500" s="80"/>
      <c r="BF500" s="80"/>
      <c r="BP500" s="80"/>
      <c r="BR500" s="80"/>
      <c r="BZ500" s="80"/>
      <c r="CA500" s="80"/>
      <c r="CB500" s="80"/>
      <c r="CC500" s="80"/>
      <c r="CD500" s="80"/>
      <c r="CE500" s="80"/>
      <c r="CG500" s="80"/>
      <c r="CI500" s="80"/>
      <c r="CK500" s="80"/>
      <c r="CL500" s="80"/>
      <c r="CN500" s="80"/>
      <c r="CO500" s="80"/>
      <c r="CY500" s="80"/>
      <c r="CZ500" s="80"/>
      <c r="DA500" s="80"/>
      <c r="DE500" s="80"/>
      <c r="DI500" s="80"/>
      <c r="DJ500" s="80"/>
      <c r="DN500" s="80"/>
      <c r="DR500" s="80"/>
      <c r="DV500" s="80"/>
      <c r="DX500" s="80"/>
      <c r="EC500" s="80"/>
      <c r="ED500" s="80"/>
      <c r="EF500" s="80"/>
      <c r="EI500" s="80"/>
      <c r="EJ500" s="80"/>
      <c r="EK500" s="80"/>
      <c r="EL500" s="80"/>
    </row>
    <row r="501" spans="1:142" ht="12.75" customHeight="1">
      <c r="A501" s="80"/>
      <c r="B501" s="80"/>
      <c r="C501" s="80"/>
      <c r="D501" s="104"/>
      <c r="E501" s="26"/>
      <c r="F501" s="26"/>
      <c r="H501" s="80"/>
      <c r="I501" s="80"/>
      <c r="J501" s="80"/>
      <c r="K501" s="80"/>
      <c r="L501" s="80"/>
      <c r="M501" s="80"/>
      <c r="N501" s="80"/>
      <c r="O501" s="80"/>
      <c r="P501" s="80"/>
      <c r="Q501" s="80"/>
      <c r="AC501" s="80"/>
      <c r="AF501" s="80"/>
      <c r="AX501" s="80"/>
      <c r="AZ501" s="80"/>
      <c r="BF501" s="80"/>
      <c r="BJ501" s="80"/>
      <c r="BQ501" s="80"/>
      <c r="BR501" s="80"/>
      <c r="BS501" s="80"/>
      <c r="BT501" s="80"/>
      <c r="BZ501" s="80"/>
      <c r="CA501" s="80"/>
      <c r="CB501" s="80"/>
      <c r="CC501" s="80"/>
      <c r="CD501" s="80"/>
      <c r="CE501" s="80"/>
      <c r="CG501" s="80"/>
      <c r="CL501" s="80"/>
      <c r="CW501" s="80"/>
      <c r="CY501" s="80"/>
      <c r="CZ501" s="80"/>
      <c r="DA501" s="80"/>
      <c r="DE501" s="80"/>
      <c r="DI501" s="80"/>
      <c r="DJ501" s="80"/>
      <c r="DN501" s="80"/>
      <c r="DO501" s="80"/>
      <c r="DR501" s="80"/>
      <c r="DV501" s="80"/>
      <c r="DW501" s="80"/>
      <c r="DX501" s="80"/>
      <c r="EC501" s="80"/>
      <c r="EF501" s="80"/>
      <c r="EK501" s="80"/>
      <c r="EL501" s="80"/>
    </row>
    <row r="502" spans="1:142" ht="12.75" customHeight="1">
      <c r="A502" s="80"/>
      <c r="B502" s="80"/>
      <c r="C502" s="80"/>
      <c r="D502" s="104"/>
      <c r="E502" s="26"/>
      <c r="F502" s="26"/>
      <c r="H502" s="80"/>
      <c r="I502" s="80"/>
      <c r="J502" s="80"/>
      <c r="K502" s="80"/>
      <c r="L502" s="80"/>
      <c r="M502" s="80"/>
      <c r="N502" s="80"/>
      <c r="O502" s="80"/>
      <c r="P502" s="80"/>
      <c r="Q502" s="80"/>
      <c r="AB502" s="80"/>
      <c r="AC502" s="80"/>
      <c r="AF502" s="80"/>
      <c r="AK502" s="80"/>
      <c r="AO502" s="80"/>
      <c r="AP502" s="80"/>
      <c r="AX502" s="80"/>
      <c r="AZ502" s="80"/>
      <c r="BF502" s="80"/>
      <c r="BP502" s="80"/>
      <c r="BQ502" s="80"/>
      <c r="BR502" s="80"/>
      <c r="BS502" s="80"/>
      <c r="BZ502" s="80"/>
      <c r="CA502" s="80"/>
      <c r="CB502" s="80"/>
      <c r="CD502" s="80"/>
      <c r="CE502" s="80"/>
      <c r="CF502" s="80"/>
      <c r="CG502" s="80"/>
      <c r="CL502" s="80"/>
      <c r="CN502" s="80"/>
      <c r="CO502" s="80"/>
      <c r="CU502" s="80"/>
      <c r="CY502" s="80"/>
      <c r="CZ502" s="80"/>
      <c r="DA502" s="80"/>
      <c r="DE502" s="80"/>
      <c r="DI502" s="80"/>
      <c r="DJ502" s="80"/>
      <c r="DN502" s="80"/>
      <c r="DR502" s="80"/>
      <c r="DV502" s="80"/>
      <c r="DX502" s="80"/>
      <c r="EC502" s="80"/>
      <c r="ED502" s="80"/>
      <c r="EF502" s="80"/>
      <c r="EI502" s="80"/>
      <c r="EJ502" s="80"/>
      <c r="EK502" s="80"/>
      <c r="EL502" s="80"/>
    </row>
    <row r="503" spans="1:142" ht="12.75" customHeight="1">
      <c r="A503" s="80"/>
      <c r="B503" s="80"/>
      <c r="C503" s="80"/>
      <c r="D503" s="104"/>
      <c r="E503" s="26"/>
      <c r="F503" s="26"/>
      <c r="H503" s="80"/>
      <c r="I503" s="80"/>
      <c r="J503" s="80"/>
      <c r="K503" s="80"/>
      <c r="L503" s="80"/>
      <c r="M503" s="80"/>
      <c r="N503" s="80"/>
      <c r="O503" s="80"/>
      <c r="P503" s="80"/>
      <c r="Q503" s="80"/>
      <c r="AC503" s="80"/>
      <c r="AF503" s="80"/>
      <c r="AL503" s="80"/>
      <c r="AP503" s="80"/>
      <c r="AW503" s="80"/>
      <c r="AX503" s="80"/>
      <c r="AZ503" s="80"/>
      <c r="BF503" s="80"/>
      <c r="BJ503" s="80"/>
      <c r="BQ503" s="80"/>
      <c r="BR503" s="80"/>
      <c r="BS503" s="80"/>
      <c r="BT503" s="80"/>
      <c r="BZ503" s="80"/>
      <c r="CA503" s="80"/>
      <c r="CB503" s="80"/>
      <c r="CC503" s="80"/>
      <c r="CD503" s="80"/>
      <c r="CE503" s="80"/>
      <c r="CG503" s="80"/>
      <c r="CI503" s="80"/>
      <c r="CK503" s="80"/>
      <c r="CL503" s="80"/>
      <c r="CY503" s="80"/>
      <c r="CZ503" s="80"/>
      <c r="DA503" s="80"/>
      <c r="DE503" s="80"/>
      <c r="DI503" s="80"/>
      <c r="DJ503" s="80"/>
      <c r="DN503" s="80"/>
      <c r="DR503" s="80"/>
      <c r="DV503" s="80"/>
      <c r="DW503" s="80"/>
      <c r="DX503" s="80"/>
      <c r="EC503" s="80"/>
      <c r="EL503" s="80"/>
    </row>
    <row r="504" spans="1:142" ht="12.75" customHeight="1">
      <c r="A504" s="80"/>
      <c r="B504" s="80"/>
      <c r="C504" s="80"/>
      <c r="D504" s="104"/>
      <c r="E504" s="26"/>
      <c r="F504" s="26"/>
      <c r="H504" s="80"/>
      <c r="I504" s="80"/>
      <c r="J504" s="80"/>
      <c r="K504" s="80"/>
      <c r="L504" s="80"/>
      <c r="M504" s="80"/>
      <c r="N504" s="80"/>
      <c r="P504" s="80"/>
      <c r="Q504" s="80"/>
      <c r="AF504" s="80"/>
      <c r="AZ504" s="80"/>
      <c r="BF504" s="80"/>
      <c r="BR504" s="80"/>
      <c r="BZ504" s="80"/>
      <c r="CA504" s="80"/>
      <c r="CB504" s="80"/>
      <c r="CC504" s="80"/>
      <c r="CD504" s="80"/>
      <c r="CE504" s="80"/>
      <c r="CG504" s="80"/>
      <c r="CL504" s="80"/>
      <c r="CW504" s="80"/>
      <c r="CY504" s="80"/>
      <c r="CZ504" s="80"/>
      <c r="DA504" s="80"/>
      <c r="DE504" s="80"/>
      <c r="DI504" s="80"/>
      <c r="DJ504" s="80"/>
      <c r="DN504" s="80"/>
      <c r="DR504" s="80"/>
      <c r="DV504" s="80"/>
      <c r="DX504" s="80"/>
      <c r="EC504" s="80"/>
      <c r="EL504" s="80"/>
    </row>
    <row r="505" spans="1:142" ht="12.75" customHeight="1">
      <c r="A505" s="80"/>
      <c r="B505" s="80"/>
      <c r="C505" s="80"/>
      <c r="D505" s="104"/>
      <c r="E505" s="26"/>
      <c r="F505" s="26"/>
      <c r="H505" s="80"/>
      <c r="I505" s="80"/>
      <c r="J505" s="80"/>
      <c r="K505" s="80"/>
      <c r="L505" s="80"/>
      <c r="M505" s="80"/>
      <c r="N505" s="80"/>
      <c r="O505" s="80"/>
      <c r="P505" s="80"/>
      <c r="Q505" s="80"/>
      <c r="AB505" s="80"/>
      <c r="AF505" s="80"/>
      <c r="AK505" s="80"/>
      <c r="AL505" s="80"/>
      <c r="AP505" s="80"/>
      <c r="AX505" s="80"/>
      <c r="AZ505" s="80"/>
      <c r="BF505" s="80"/>
      <c r="BJ505" s="80"/>
      <c r="BP505" s="80"/>
      <c r="BQ505" s="80"/>
      <c r="BR505" s="80"/>
      <c r="BT505" s="80"/>
      <c r="CA505" s="80"/>
      <c r="CB505" s="80"/>
      <c r="CC505" s="80"/>
      <c r="CD505" s="80"/>
      <c r="CE505" s="80"/>
      <c r="CG505" s="80"/>
      <c r="CL505" s="80"/>
      <c r="CW505" s="80"/>
      <c r="CY505" s="80"/>
      <c r="CZ505" s="80"/>
      <c r="DA505" s="80"/>
      <c r="DE505" s="80"/>
      <c r="DI505" s="80"/>
      <c r="DJ505" s="80"/>
      <c r="DN505" s="80"/>
      <c r="DR505" s="80"/>
      <c r="DV505" s="80"/>
      <c r="DX505" s="80"/>
      <c r="EC505" s="80"/>
      <c r="EF505" s="80"/>
      <c r="EI505" s="80"/>
      <c r="EL505" s="80"/>
    </row>
    <row r="506" spans="1:142" ht="12.75" customHeight="1">
      <c r="A506" s="80"/>
      <c r="B506" s="80"/>
      <c r="C506" s="80"/>
      <c r="D506" s="104"/>
      <c r="E506" s="26"/>
      <c r="F506" s="26"/>
      <c r="G506" s="80"/>
      <c r="H506" s="80"/>
      <c r="I506" s="80"/>
      <c r="J506" s="80"/>
      <c r="K506" s="80"/>
      <c r="L506" s="80"/>
      <c r="M506" s="80"/>
      <c r="N506" s="80"/>
      <c r="O506" s="80"/>
      <c r="Q506" s="80"/>
      <c r="AE506" s="80"/>
      <c r="AF506" s="80"/>
      <c r="AH506" s="80"/>
      <c r="AL506" s="80"/>
      <c r="AP506" s="80"/>
      <c r="AX506" s="80"/>
      <c r="AZ506" s="80"/>
      <c r="BF506" s="80"/>
      <c r="BJ506" s="80"/>
      <c r="BQ506" s="80"/>
      <c r="BR506" s="80"/>
      <c r="BT506" s="80"/>
      <c r="CA506" s="80"/>
      <c r="CB506" s="80"/>
      <c r="CD506" s="80"/>
      <c r="CE506" s="80"/>
      <c r="CF506" s="80"/>
      <c r="CG506" s="80"/>
      <c r="CL506" s="80"/>
      <c r="CN506" s="80"/>
      <c r="CO506" s="80"/>
      <c r="CW506" s="80"/>
      <c r="CZ506" s="80"/>
      <c r="DA506" s="80"/>
      <c r="DB506" s="80"/>
      <c r="DE506" s="80"/>
      <c r="DI506" s="80"/>
      <c r="DJ506" s="80"/>
      <c r="DN506" s="80"/>
      <c r="EL506" s="80"/>
    </row>
    <row r="507" spans="1:142" ht="12.75" customHeight="1">
      <c r="A507" s="80"/>
      <c r="B507" s="80"/>
      <c r="C507" s="80"/>
      <c r="D507" s="104"/>
      <c r="E507" s="26"/>
      <c r="F507" s="26"/>
      <c r="H507" s="80"/>
      <c r="I507" s="80"/>
      <c r="J507" s="80"/>
      <c r="L507" s="80"/>
      <c r="M507" s="80"/>
      <c r="N507" s="80"/>
      <c r="P507" s="80"/>
      <c r="Q507" s="80"/>
      <c r="AF507" s="80"/>
      <c r="AK507" s="80"/>
      <c r="AP507" s="80"/>
      <c r="AZ507" s="80"/>
      <c r="BF507" s="80"/>
      <c r="BJ507" s="80"/>
      <c r="BQ507" s="80"/>
      <c r="BR507" s="80"/>
      <c r="BZ507" s="80"/>
      <c r="CA507" s="80"/>
      <c r="CB507" s="80"/>
      <c r="CC507" s="80"/>
      <c r="CD507" s="80"/>
      <c r="CE507" s="80"/>
      <c r="CG507" s="80"/>
      <c r="CL507" s="80"/>
      <c r="CN507" s="80"/>
      <c r="CO507" s="80"/>
      <c r="CW507" s="80"/>
      <c r="CY507" s="80"/>
      <c r="CZ507" s="80"/>
      <c r="DA507" s="80"/>
      <c r="DE507" s="80"/>
      <c r="DI507" s="80"/>
      <c r="DJ507" s="80"/>
      <c r="DN507" s="80"/>
      <c r="DR507" s="80"/>
      <c r="DV507" s="80"/>
      <c r="DW507" s="80"/>
      <c r="DX507" s="80"/>
      <c r="EC507" s="80"/>
      <c r="EL507" s="80"/>
    </row>
    <row r="508" spans="1:142" ht="12.75" customHeight="1">
      <c r="A508" s="80"/>
      <c r="B508" s="80"/>
      <c r="C508" s="80"/>
      <c r="D508" s="104"/>
      <c r="E508" s="26"/>
      <c r="F508" s="26"/>
      <c r="H508" s="80"/>
      <c r="I508" s="80"/>
      <c r="J508" s="80"/>
      <c r="K508" s="80"/>
      <c r="L508" s="80"/>
      <c r="M508" s="80"/>
      <c r="N508" s="80"/>
      <c r="Q508" s="80"/>
      <c r="AF508" s="80"/>
      <c r="AK508" s="80"/>
      <c r="AL508" s="80"/>
      <c r="AP508" s="80"/>
      <c r="AW508" s="80"/>
      <c r="AX508" s="80"/>
      <c r="AZ508" s="80"/>
      <c r="BF508" s="80"/>
      <c r="BQ508" s="80"/>
      <c r="BR508" s="80"/>
      <c r="BT508" s="80"/>
      <c r="BZ508" s="80"/>
      <c r="CA508" s="80"/>
      <c r="CB508" s="80"/>
      <c r="CC508" s="80"/>
      <c r="CD508" s="80"/>
      <c r="CE508" s="80"/>
      <c r="CG508" s="80"/>
      <c r="CI508" s="80"/>
      <c r="CK508" s="80"/>
      <c r="CL508" s="80"/>
      <c r="CN508" s="80"/>
      <c r="CO508" s="80"/>
      <c r="CW508" s="80"/>
      <c r="CZ508" s="80"/>
      <c r="DA508" s="80"/>
      <c r="DE508" s="80"/>
      <c r="DI508" s="80"/>
      <c r="DJ508" s="80"/>
      <c r="DN508" s="80"/>
      <c r="EL508" s="80"/>
    </row>
    <row r="509" spans="1:142" ht="12.75" customHeight="1">
      <c r="A509" s="80"/>
      <c r="B509" s="80"/>
      <c r="C509" s="80"/>
      <c r="D509" s="104"/>
      <c r="E509" s="26"/>
      <c r="F509" s="26"/>
      <c r="I509" s="80"/>
      <c r="J509" s="80"/>
      <c r="K509" s="80"/>
      <c r="L509" s="80"/>
      <c r="M509" s="80"/>
      <c r="N509" s="80"/>
      <c r="O509" s="80"/>
      <c r="Q509" s="80"/>
      <c r="AB509" s="80"/>
      <c r="AF509" s="80"/>
      <c r="AK509" s="80"/>
      <c r="AL509" s="80"/>
      <c r="AP509" s="80"/>
      <c r="AX509" s="80"/>
      <c r="AZ509" s="80"/>
      <c r="BF509" s="80"/>
      <c r="BJ509" s="80"/>
      <c r="BP509" s="80"/>
      <c r="BQ509" s="80"/>
      <c r="BR509" s="80"/>
      <c r="BT509" s="80"/>
      <c r="CA509" s="80"/>
      <c r="CB509" s="80"/>
      <c r="CC509" s="80"/>
      <c r="CD509" s="80"/>
      <c r="CE509" s="80"/>
      <c r="CG509" s="80"/>
      <c r="CL509" s="80"/>
      <c r="CN509" s="80"/>
      <c r="CO509" s="80"/>
      <c r="CT509" s="80"/>
      <c r="CU509" s="80"/>
      <c r="CW509" s="80"/>
      <c r="CY509" s="80"/>
      <c r="CZ509" s="80"/>
      <c r="DA509" s="80"/>
      <c r="DE509" s="80"/>
      <c r="DI509" s="80"/>
      <c r="DJ509" s="80"/>
      <c r="DN509" s="80"/>
      <c r="DR509" s="80"/>
      <c r="DV509" s="80"/>
      <c r="DW509" s="80"/>
      <c r="DX509" s="80"/>
      <c r="EC509" s="80"/>
      <c r="EF509" s="80"/>
      <c r="EI509" s="80"/>
      <c r="EL509" s="80"/>
    </row>
    <row r="510" spans="1:142" ht="12.75" customHeight="1">
      <c r="A510" s="80"/>
      <c r="B510" s="80"/>
      <c r="C510" s="80"/>
      <c r="D510" s="104"/>
      <c r="E510" s="26"/>
      <c r="F510" s="26"/>
      <c r="H510" s="80"/>
      <c r="I510" s="80"/>
      <c r="J510" s="80"/>
      <c r="L510" s="80"/>
      <c r="M510" s="80"/>
      <c r="N510" s="80"/>
      <c r="O510" s="80"/>
      <c r="P510" s="80"/>
      <c r="Q510" s="80"/>
      <c r="AF510" s="80"/>
      <c r="AW510" s="80"/>
      <c r="AZ510" s="80"/>
      <c r="BF510" s="80"/>
      <c r="BJ510" s="80"/>
      <c r="BQ510" s="80"/>
      <c r="BR510" s="80"/>
      <c r="BT510" s="80"/>
      <c r="BZ510" s="80"/>
      <c r="CA510" s="80"/>
      <c r="CB510" s="80"/>
      <c r="CC510" s="80"/>
      <c r="CD510" s="80"/>
      <c r="CE510" s="80"/>
      <c r="CG510" s="80"/>
      <c r="CL510" s="80"/>
      <c r="CW510" s="80"/>
      <c r="CY510" s="80"/>
      <c r="CZ510" s="80"/>
      <c r="DA510" s="80"/>
      <c r="DE510" s="80"/>
      <c r="DI510" s="80"/>
      <c r="DJ510" s="80"/>
      <c r="DN510" s="80"/>
      <c r="DO510" s="80"/>
      <c r="DR510" s="80"/>
      <c r="DV510" s="80"/>
      <c r="DW510" s="80"/>
      <c r="DX510" s="80"/>
      <c r="EC510" s="80"/>
      <c r="EL510" s="80"/>
    </row>
    <row r="511" spans="1:142" ht="12.75" customHeight="1">
      <c r="A511" s="80"/>
      <c r="B511" s="80"/>
      <c r="C511" s="80"/>
      <c r="D511" s="104"/>
      <c r="E511" s="26"/>
      <c r="F511" s="26"/>
      <c r="H511" s="80"/>
      <c r="I511" s="80"/>
      <c r="J511" s="80"/>
      <c r="K511" s="80"/>
      <c r="L511" s="80"/>
      <c r="M511" s="80"/>
      <c r="N511" s="80"/>
      <c r="O511" s="80"/>
      <c r="P511" s="80"/>
      <c r="Q511" s="80"/>
      <c r="AF511" s="80"/>
      <c r="AK511" s="80"/>
      <c r="AL511" s="80"/>
      <c r="AP511" s="80"/>
      <c r="AZ511" s="80"/>
      <c r="BF511" s="80"/>
      <c r="BJ511" s="80"/>
      <c r="BK511" s="80"/>
      <c r="BQ511" s="80"/>
      <c r="BR511" s="80"/>
      <c r="BS511" s="80"/>
      <c r="BT511" s="80"/>
      <c r="BZ511" s="80"/>
      <c r="CA511" s="80"/>
      <c r="CB511" s="80"/>
      <c r="CC511" s="80"/>
      <c r="CD511" s="80"/>
      <c r="CE511" s="80"/>
      <c r="CG511" s="80"/>
      <c r="CL511" s="80"/>
      <c r="CT511" s="80"/>
      <c r="CU511" s="80"/>
      <c r="CY511" s="80"/>
      <c r="CZ511" s="80"/>
      <c r="DA511" s="80"/>
      <c r="DE511" s="80"/>
      <c r="DF511" s="80"/>
      <c r="DI511" s="80"/>
      <c r="DJ511" s="80"/>
      <c r="DN511" s="80"/>
      <c r="DR511" s="80"/>
      <c r="DV511" s="80"/>
      <c r="DW511" s="80"/>
      <c r="DX511" s="80"/>
      <c r="EC511" s="80"/>
      <c r="EL511" s="80"/>
    </row>
    <row r="512" spans="1:142" ht="12.75" customHeight="1">
      <c r="A512" s="80"/>
      <c r="B512" s="80"/>
      <c r="C512" s="80"/>
      <c r="D512" s="104"/>
      <c r="E512" s="26"/>
      <c r="F512" s="26"/>
      <c r="H512" s="80"/>
      <c r="I512" s="80"/>
      <c r="J512" s="80"/>
      <c r="K512" s="80"/>
      <c r="L512" s="80"/>
      <c r="M512" s="80"/>
      <c r="N512" s="80"/>
      <c r="Q512" s="80"/>
      <c r="AF512" s="80"/>
      <c r="AL512" s="80"/>
      <c r="AP512" s="80"/>
      <c r="AV512" s="80"/>
      <c r="AZ512" s="80"/>
      <c r="BF512" s="80"/>
      <c r="BJ512" s="80"/>
      <c r="BQ512" s="80"/>
      <c r="BR512" s="80"/>
      <c r="BS512" s="80"/>
      <c r="BT512" s="80"/>
      <c r="BZ512" s="80"/>
      <c r="CA512" s="80"/>
      <c r="CB512" s="80"/>
      <c r="CC512" s="80"/>
      <c r="CD512" s="80"/>
      <c r="CE512" s="80"/>
      <c r="CG512" s="80"/>
      <c r="CL512" s="80"/>
      <c r="CN512" s="80"/>
      <c r="CO512" s="80"/>
      <c r="CW512" s="80"/>
      <c r="CY512" s="80"/>
      <c r="CZ512" s="80"/>
      <c r="DA512" s="80"/>
      <c r="DE512" s="80"/>
      <c r="DI512" s="80"/>
      <c r="DJ512" s="80"/>
      <c r="DN512" s="80"/>
      <c r="DR512" s="80"/>
      <c r="DV512" s="80"/>
      <c r="DW512" s="80"/>
      <c r="DX512" s="80"/>
      <c r="EC512" s="80"/>
      <c r="EL512" s="80"/>
    </row>
    <row r="513" spans="1:142" ht="12.75" customHeight="1">
      <c r="A513" s="80"/>
      <c r="B513" s="80"/>
      <c r="C513" s="80"/>
      <c r="D513" s="104"/>
      <c r="E513" s="26"/>
      <c r="F513" s="26"/>
      <c r="H513" s="80"/>
      <c r="I513" s="80"/>
      <c r="J513" s="80"/>
      <c r="K513" s="80"/>
      <c r="L513" s="80"/>
      <c r="M513" s="80"/>
      <c r="N513" s="80"/>
      <c r="O513" s="80"/>
      <c r="P513" s="80"/>
      <c r="Q513" s="80"/>
      <c r="AB513" s="80"/>
      <c r="AC513" s="80"/>
      <c r="AF513" s="80"/>
      <c r="AK513" s="80"/>
      <c r="AL513" s="80"/>
      <c r="AP513" s="80"/>
      <c r="AX513" s="80"/>
      <c r="AZ513" s="80"/>
      <c r="BF513" s="80"/>
      <c r="BJ513" s="80"/>
      <c r="BP513" s="80"/>
      <c r="BQ513" s="80"/>
      <c r="BR513" s="80"/>
      <c r="BS513" s="80"/>
      <c r="BT513" s="80"/>
      <c r="BZ513" s="80"/>
      <c r="CA513" s="80"/>
      <c r="CB513" s="80"/>
      <c r="CC513" s="80"/>
      <c r="CD513" s="80"/>
      <c r="CE513" s="80"/>
      <c r="CG513" s="80"/>
      <c r="CL513" s="80"/>
      <c r="CN513" s="80"/>
      <c r="CO513" s="80"/>
      <c r="CU513" s="80"/>
      <c r="CW513" s="80"/>
      <c r="CY513" s="80"/>
      <c r="CZ513" s="80"/>
      <c r="DA513" s="80"/>
      <c r="DB513" s="80"/>
      <c r="DE513" s="80"/>
      <c r="DI513" s="80"/>
      <c r="DJ513" s="80"/>
      <c r="DN513" s="80"/>
      <c r="DO513" s="80"/>
      <c r="DR513" s="80"/>
      <c r="DV513" s="80"/>
      <c r="DW513" s="80"/>
      <c r="DX513" s="80"/>
      <c r="EC513" s="80"/>
      <c r="EF513" s="80"/>
      <c r="EI513" s="80"/>
      <c r="EL513" s="80"/>
    </row>
    <row r="514" spans="1:142" ht="12.75" customHeight="1">
      <c r="A514" s="80"/>
      <c r="B514" s="80"/>
      <c r="C514" s="80"/>
      <c r="D514" s="104"/>
      <c r="E514" s="26"/>
      <c r="F514" s="26"/>
      <c r="H514" s="80"/>
      <c r="I514" s="80"/>
      <c r="J514" s="80"/>
      <c r="K514" s="80"/>
      <c r="L514" s="80"/>
      <c r="M514" s="80"/>
      <c r="N514" s="80"/>
      <c r="Q514" s="80"/>
      <c r="AF514" s="80"/>
      <c r="AK514" s="80"/>
      <c r="AL514" s="80"/>
      <c r="AP514" s="80"/>
      <c r="AX514" s="80"/>
      <c r="AZ514" s="80"/>
      <c r="BF514" s="80"/>
      <c r="BJ514" s="80"/>
      <c r="BQ514" s="80"/>
      <c r="BR514" s="80"/>
      <c r="BT514" s="80"/>
      <c r="CA514" s="80"/>
      <c r="CB514" s="80"/>
      <c r="CC514" s="80"/>
      <c r="CD514" s="80"/>
      <c r="CE514" s="80"/>
      <c r="CG514" s="80"/>
      <c r="CL514" s="80"/>
      <c r="CQ514" s="80"/>
      <c r="CT514" s="80"/>
      <c r="CU514" s="80"/>
      <c r="CY514" s="80"/>
      <c r="CZ514" s="80"/>
      <c r="DA514" s="80"/>
      <c r="DI514" s="80"/>
      <c r="DJ514" s="80"/>
      <c r="DN514" s="80"/>
      <c r="DR514" s="80"/>
      <c r="DV514" s="80"/>
      <c r="DW514" s="80"/>
      <c r="DX514" s="80"/>
      <c r="EC514" s="80"/>
      <c r="EL514" s="80"/>
    </row>
    <row r="515" spans="1:142" ht="12.75" customHeight="1">
      <c r="A515" s="80"/>
      <c r="B515" s="80"/>
      <c r="C515" s="80"/>
      <c r="D515" s="104"/>
      <c r="E515" s="26"/>
      <c r="F515" s="26"/>
      <c r="H515" s="80"/>
      <c r="I515" s="80"/>
      <c r="K515" s="80"/>
      <c r="L515" s="80"/>
      <c r="M515" s="80"/>
      <c r="N515" s="80"/>
      <c r="O515" s="80"/>
      <c r="Q515" s="80"/>
      <c r="AB515" s="80"/>
      <c r="AF515" s="80"/>
      <c r="AL515" s="80"/>
      <c r="AP515" s="80"/>
      <c r="AZ515" s="80"/>
      <c r="BF515" s="80"/>
      <c r="BJ515" s="80"/>
      <c r="BK515" s="80"/>
      <c r="BL515" s="80"/>
      <c r="BM515" s="80"/>
      <c r="BQ515" s="80"/>
      <c r="BR515" s="80"/>
      <c r="BS515" s="80"/>
      <c r="BT515" s="80"/>
      <c r="BZ515" s="80"/>
      <c r="CA515" s="80"/>
      <c r="CD515" s="80"/>
      <c r="CE515" s="80"/>
      <c r="CF515" s="80"/>
      <c r="CG515" s="80"/>
      <c r="CH515" s="80"/>
      <c r="CI515" s="80"/>
      <c r="CK515" s="80"/>
      <c r="CL515" s="80"/>
      <c r="CP515" s="80"/>
      <c r="CT515" s="80"/>
      <c r="CU515" s="80"/>
      <c r="CX515" s="80"/>
      <c r="CY515" s="80"/>
      <c r="CZ515" s="80"/>
      <c r="DA515" s="80"/>
      <c r="DE515" s="80"/>
      <c r="DF515" s="80"/>
      <c r="DI515" s="80"/>
      <c r="DJ515" s="80"/>
      <c r="DK515" s="80"/>
      <c r="DN515" s="80"/>
      <c r="DO515" s="80"/>
      <c r="DR515" s="80"/>
      <c r="DV515" s="80"/>
      <c r="DW515" s="80"/>
      <c r="DX515" s="80"/>
      <c r="EC515" s="80"/>
      <c r="EI515" s="80"/>
      <c r="EJ515" s="80"/>
      <c r="EK515" s="80"/>
      <c r="EL515" s="80"/>
    </row>
    <row r="516" spans="1:142" ht="12.75" customHeight="1">
      <c r="A516" s="80"/>
      <c r="B516" s="80"/>
      <c r="C516" s="80"/>
      <c r="D516" s="104"/>
      <c r="E516" s="26"/>
      <c r="F516" s="26"/>
      <c r="H516" s="80"/>
      <c r="L516" s="80"/>
      <c r="M516" s="80"/>
      <c r="Q516" s="80"/>
      <c r="AG516" s="80"/>
      <c r="AR516" s="80"/>
      <c r="AZ516" s="80"/>
      <c r="BF516" s="80"/>
      <c r="CD516" s="80"/>
      <c r="CE516" s="80"/>
      <c r="CF516" s="80"/>
      <c r="CG516" s="80"/>
      <c r="CI516" s="80"/>
      <c r="CK516" s="80"/>
      <c r="CL516" s="80"/>
      <c r="CY516" s="80"/>
      <c r="CZ516" s="80"/>
      <c r="DB516" s="80"/>
      <c r="DI516" s="80"/>
      <c r="DJ516" s="80"/>
      <c r="DN516" s="80"/>
      <c r="EL516" s="80"/>
    </row>
    <row r="517" spans="1:142" ht="12.75" customHeight="1">
      <c r="A517" s="80"/>
      <c r="B517" s="80"/>
      <c r="C517" s="80"/>
      <c r="D517" s="104"/>
      <c r="E517" s="26"/>
      <c r="F517" s="26"/>
      <c r="H517" s="80"/>
      <c r="I517" s="80"/>
      <c r="J517" s="80"/>
      <c r="K517" s="80"/>
      <c r="L517" s="80"/>
      <c r="M517" s="80"/>
      <c r="Q517" s="80"/>
      <c r="AG517" s="80"/>
      <c r="AR517" s="80"/>
      <c r="AX517" s="80"/>
      <c r="AZ517" s="80"/>
      <c r="BF517" s="80"/>
      <c r="BJ517" s="80"/>
      <c r="BR517" s="80"/>
      <c r="BV517" s="80"/>
      <c r="CA517" s="80"/>
      <c r="CB517" s="80"/>
      <c r="CC517" s="80"/>
      <c r="CD517" s="80"/>
      <c r="CE517" s="80"/>
      <c r="CG517" s="80"/>
      <c r="CL517" s="80"/>
      <c r="CN517" s="80"/>
      <c r="CO517" s="80"/>
      <c r="CU517" s="80"/>
      <c r="CW517" s="80"/>
      <c r="CY517" s="80"/>
      <c r="CZ517" s="80"/>
      <c r="DA517" s="80"/>
      <c r="DC517" s="80"/>
      <c r="DE517" s="80"/>
      <c r="DG517" s="80"/>
      <c r="DI517" s="80"/>
      <c r="DJ517" s="80"/>
      <c r="DN517" s="80"/>
      <c r="EL517" s="80"/>
    </row>
    <row r="518" spans="1:142" ht="12.75" customHeight="1">
      <c r="A518" s="80"/>
      <c r="B518" s="80"/>
      <c r="C518" s="80"/>
      <c r="D518" s="104"/>
      <c r="E518" s="26"/>
      <c r="F518" s="26"/>
      <c r="H518" s="80"/>
      <c r="I518" s="80"/>
      <c r="J518" s="80"/>
      <c r="K518" s="80"/>
      <c r="L518" s="80"/>
      <c r="M518" s="80"/>
      <c r="N518" s="80"/>
      <c r="O518" s="80"/>
      <c r="P518" s="80"/>
      <c r="Q518" s="80"/>
      <c r="AB518" s="80"/>
      <c r="AC518" s="80"/>
      <c r="AF518" s="80"/>
      <c r="AK518" s="80"/>
      <c r="AP518" s="80"/>
      <c r="AW518" s="80"/>
      <c r="AX518" s="80"/>
      <c r="AY518" s="80"/>
      <c r="BA518" s="80"/>
      <c r="BF518" s="80"/>
      <c r="BJ518" s="80"/>
      <c r="BP518" s="80"/>
      <c r="BQ518" s="80"/>
      <c r="BR518" s="80"/>
      <c r="BS518" s="80"/>
      <c r="BT518" s="80"/>
      <c r="CA518" s="80"/>
      <c r="CB518" s="80"/>
      <c r="CC518" s="80"/>
      <c r="CD518" s="80"/>
      <c r="CE518" s="80"/>
      <c r="CG518" s="80"/>
      <c r="CL518" s="80"/>
      <c r="CW518" s="80"/>
      <c r="CY518" s="80"/>
      <c r="CZ518" s="80"/>
      <c r="DA518" s="80"/>
      <c r="DE518" s="80"/>
      <c r="DI518" s="80"/>
      <c r="DJ518" s="80"/>
      <c r="DN518" s="80"/>
      <c r="DR518" s="80"/>
      <c r="DV518" s="80"/>
      <c r="DW518" s="80"/>
      <c r="DX518" s="80"/>
      <c r="EC518" s="80"/>
      <c r="EL518" s="80"/>
    </row>
    <row r="519" spans="1:142" ht="12.75" customHeight="1">
      <c r="A519" s="80"/>
      <c r="B519" s="80"/>
      <c r="C519" s="80"/>
      <c r="D519" s="104"/>
      <c r="E519" s="26"/>
      <c r="F519" s="26"/>
      <c r="H519" s="80"/>
      <c r="I519" s="80"/>
      <c r="J519" s="80"/>
      <c r="K519" s="80"/>
      <c r="L519" s="80"/>
      <c r="M519" s="80"/>
      <c r="N519" s="80"/>
      <c r="O519" s="80"/>
      <c r="P519" s="80"/>
      <c r="Q519" s="80"/>
      <c r="AC519" s="80"/>
      <c r="AF519" s="80"/>
      <c r="AL519" s="80"/>
      <c r="AP519" s="80"/>
      <c r="AX519" s="80"/>
      <c r="AZ519" s="80"/>
      <c r="BF519" s="80"/>
      <c r="BJ519" s="80"/>
      <c r="BQ519" s="80"/>
      <c r="BR519" s="80"/>
      <c r="BS519" s="80"/>
      <c r="BT519" s="80"/>
      <c r="BZ519" s="80"/>
      <c r="CA519" s="80"/>
      <c r="CB519" s="80"/>
      <c r="CD519" s="80"/>
      <c r="CE519" s="80"/>
      <c r="CF519" s="80"/>
      <c r="CG519" s="80"/>
      <c r="CL519" s="80"/>
      <c r="CW519" s="80"/>
      <c r="CY519" s="80"/>
      <c r="CZ519" s="80"/>
      <c r="DA519" s="80"/>
      <c r="DE519" s="80"/>
      <c r="DI519" s="80"/>
      <c r="DJ519" s="80"/>
      <c r="DN519" s="80"/>
      <c r="DS519" s="80"/>
      <c r="DU519" s="80"/>
      <c r="DV519" s="80"/>
      <c r="DX519" s="80"/>
      <c r="EC519" s="80"/>
      <c r="EL519" s="80"/>
    </row>
    <row r="520" spans="1:142" ht="12.75" customHeight="1">
      <c r="A520" s="80"/>
      <c r="B520" s="80"/>
      <c r="C520" s="80"/>
      <c r="D520" s="104"/>
      <c r="E520" s="26"/>
      <c r="F520" s="26"/>
      <c r="G520" s="80"/>
      <c r="H520" s="80"/>
      <c r="J520" s="80"/>
      <c r="K520" s="80"/>
      <c r="L520" s="80"/>
      <c r="M520" s="80"/>
      <c r="N520" s="80"/>
      <c r="P520" s="80"/>
      <c r="Q520" s="80"/>
      <c r="AE520" s="80"/>
      <c r="AF520" s="80"/>
      <c r="AL520" s="80"/>
      <c r="AP520" s="80"/>
      <c r="AX520" s="80"/>
      <c r="AZ520" s="80"/>
      <c r="BF520" s="80"/>
      <c r="BQ520" s="80"/>
      <c r="BR520" s="80"/>
      <c r="BS520" s="80"/>
      <c r="BZ520" s="80"/>
      <c r="CA520" s="80"/>
      <c r="CB520" s="80"/>
      <c r="CD520" s="80"/>
      <c r="CE520" s="80"/>
      <c r="CG520" s="80"/>
      <c r="CL520" s="80"/>
      <c r="CN520" s="80"/>
      <c r="CO520" s="80"/>
      <c r="CY520" s="80"/>
      <c r="CZ520" s="80"/>
      <c r="DA520" s="80"/>
      <c r="DE520" s="80"/>
      <c r="DI520" s="80"/>
      <c r="DJ520" s="80"/>
      <c r="DN520" s="80"/>
      <c r="DR520" s="80"/>
      <c r="DV520" s="80"/>
      <c r="DX520" s="80"/>
      <c r="EC520" s="80"/>
      <c r="EL520" s="80"/>
    </row>
    <row r="521" spans="1:142" ht="12.75" customHeight="1">
      <c r="A521" s="80"/>
      <c r="B521" s="80"/>
      <c r="C521" s="80"/>
      <c r="D521" s="104"/>
      <c r="E521" s="26"/>
      <c r="F521" s="26"/>
      <c r="I521" s="80"/>
      <c r="J521" s="80"/>
      <c r="K521" s="80"/>
      <c r="L521" s="80"/>
      <c r="M521" s="80"/>
      <c r="N521" s="80"/>
      <c r="O521" s="80"/>
      <c r="P521" s="80"/>
      <c r="Q521" s="80"/>
      <c r="AB521" s="80"/>
      <c r="AF521" s="80"/>
      <c r="AL521" s="80"/>
      <c r="AP521" s="80"/>
      <c r="AV521" s="80"/>
      <c r="AZ521" s="80"/>
      <c r="BF521" s="80"/>
      <c r="BQ521" s="80"/>
      <c r="BR521" s="80"/>
      <c r="BS521" s="80"/>
      <c r="BZ521" s="80"/>
      <c r="CA521" s="80"/>
      <c r="CB521" s="80"/>
      <c r="CC521" s="80"/>
      <c r="CD521" s="80"/>
      <c r="CE521" s="80"/>
      <c r="CG521" s="80"/>
      <c r="CL521" s="80"/>
      <c r="CN521" s="80"/>
      <c r="CO521" s="80"/>
      <c r="CY521" s="80"/>
      <c r="CZ521" s="80"/>
      <c r="DE521" s="80"/>
      <c r="DI521" s="80"/>
      <c r="DJ521" s="80"/>
      <c r="DN521" s="80"/>
      <c r="DP521" s="80"/>
      <c r="DR521" s="80"/>
      <c r="DV521" s="80"/>
      <c r="DX521" s="80"/>
      <c r="EC521" s="80"/>
      <c r="EF521" s="80"/>
      <c r="EI521" s="80"/>
      <c r="EL521" s="80"/>
    </row>
    <row r="522" spans="1:142" ht="12.75" customHeight="1">
      <c r="A522" s="80"/>
      <c r="B522" s="80"/>
      <c r="C522" s="80"/>
      <c r="D522" s="104"/>
      <c r="E522" s="26"/>
      <c r="F522" s="26"/>
      <c r="H522" s="80"/>
      <c r="I522" s="80"/>
      <c r="J522" s="80"/>
      <c r="K522" s="80"/>
      <c r="L522" s="80"/>
      <c r="M522" s="80"/>
      <c r="N522" s="80"/>
      <c r="O522" s="80"/>
      <c r="P522" s="80"/>
      <c r="Q522" s="80"/>
      <c r="AF522" s="80"/>
      <c r="AL522" s="80"/>
      <c r="AP522" s="80"/>
      <c r="AW522" s="80"/>
      <c r="AZ522" s="80"/>
      <c r="BF522" s="80"/>
      <c r="BJ522" s="80"/>
      <c r="BK522" s="80"/>
      <c r="BQ522" s="80"/>
      <c r="BR522" s="80"/>
      <c r="BS522" s="80"/>
      <c r="BZ522" s="80"/>
      <c r="CA522" s="80"/>
      <c r="CB522" s="80"/>
      <c r="CC522" s="80"/>
      <c r="CD522" s="80"/>
      <c r="CE522" s="80"/>
      <c r="CG522" s="80"/>
      <c r="CL522" s="80"/>
      <c r="CN522" s="80"/>
      <c r="CO522" s="80"/>
      <c r="CT522" s="80"/>
      <c r="CU522" s="80"/>
      <c r="CY522" s="80"/>
      <c r="CZ522" s="80"/>
      <c r="DA522" s="80"/>
      <c r="DE522" s="80"/>
      <c r="DI522" s="80"/>
      <c r="DJ522" s="80"/>
      <c r="DN522" s="80"/>
      <c r="DR522" s="80"/>
      <c r="DV522" s="80"/>
      <c r="DW522" s="80"/>
      <c r="DX522" s="80"/>
      <c r="EC522" s="80"/>
      <c r="EL522" s="80"/>
    </row>
    <row r="523" spans="1:142" ht="12.75" customHeight="1">
      <c r="A523" s="80"/>
      <c r="B523" s="80"/>
      <c r="C523" s="80"/>
      <c r="D523" s="104"/>
      <c r="E523" s="26"/>
      <c r="F523" s="26"/>
      <c r="G523" s="80"/>
      <c r="H523" s="80"/>
      <c r="K523" s="80"/>
      <c r="L523" s="80"/>
      <c r="M523" s="80"/>
      <c r="O523" s="80"/>
      <c r="P523" s="80"/>
      <c r="Q523" s="80"/>
      <c r="AC523" s="80"/>
      <c r="AE523" s="80"/>
      <c r="AF523" s="80"/>
      <c r="AH523" s="80"/>
      <c r="AX523" s="80"/>
      <c r="AZ523" s="80"/>
      <c r="BF523" s="80"/>
      <c r="BP523" s="80"/>
      <c r="BQ523" s="80"/>
      <c r="BR523" s="80"/>
      <c r="BS523" s="80"/>
      <c r="BZ523" s="80"/>
      <c r="CA523" s="80"/>
      <c r="CB523" s="80"/>
      <c r="CC523" s="80"/>
      <c r="CD523" s="80"/>
      <c r="CE523" s="80"/>
      <c r="CG523" s="80"/>
      <c r="CL523" s="80"/>
      <c r="CN523" s="80"/>
      <c r="CO523" s="80"/>
      <c r="CY523" s="80"/>
      <c r="CZ523" s="80"/>
      <c r="DE523" s="80"/>
      <c r="DI523" s="80"/>
      <c r="DJ523" s="80"/>
      <c r="DN523" s="80"/>
      <c r="DR523" s="80"/>
      <c r="DV523" s="80"/>
      <c r="DX523" s="80"/>
      <c r="EC523" s="80"/>
      <c r="EF523" s="80"/>
      <c r="EI523" s="80"/>
      <c r="EK523" s="80"/>
      <c r="EL523" s="80"/>
    </row>
    <row r="524" spans="1:142" ht="12.75" customHeight="1">
      <c r="A524" s="80"/>
      <c r="B524" s="80"/>
      <c r="C524" s="80"/>
      <c r="D524" s="104"/>
      <c r="E524" s="26"/>
      <c r="F524" s="26"/>
      <c r="H524" s="80"/>
      <c r="I524" s="80"/>
      <c r="J524" s="80"/>
      <c r="K524" s="80"/>
      <c r="L524" s="80"/>
      <c r="M524" s="80"/>
      <c r="N524" s="80"/>
      <c r="O524" s="80"/>
      <c r="P524" s="80"/>
      <c r="Q524" s="80"/>
      <c r="AB524" s="80"/>
      <c r="AC524" s="80"/>
      <c r="AF524" s="80"/>
      <c r="AJ524" s="80"/>
      <c r="AL524" s="80"/>
      <c r="AP524" s="80"/>
      <c r="AW524" s="80"/>
      <c r="AX524" s="80"/>
      <c r="AZ524" s="80"/>
      <c r="BA524" s="80"/>
      <c r="BF524" s="80"/>
      <c r="BQ524" s="80"/>
      <c r="BR524" s="80"/>
      <c r="BS524" s="80"/>
      <c r="BZ524" s="80"/>
      <c r="CA524" s="80"/>
      <c r="CB524" s="80"/>
      <c r="CC524" s="80"/>
      <c r="CD524" s="80"/>
      <c r="CE524" s="80"/>
      <c r="CG524" s="80"/>
      <c r="CL524" s="80"/>
      <c r="CN524" s="80"/>
      <c r="CO524" s="80"/>
      <c r="CY524" s="80"/>
      <c r="CZ524" s="80"/>
      <c r="DA524" s="80"/>
      <c r="DE524" s="80"/>
      <c r="DI524" s="80"/>
      <c r="DJ524" s="80"/>
      <c r="DN524" s="80"/>
      <c r="DR524" s="80"/>
      <c r="DV524" s="80"/>
      <c r="DX524" s="80"/>
      <c r="EC524" s="80"/>
      <c r="EL524" s="80"/>
    </row>
    <row r="525" spans="1:142" ht="12.75" customHeight="1">
      <c r="A525" s="80"/>
      <c r="B525" s="80"/>
      <c r="C525" s="80"/>
      <c r="D525" s="104"/>
      <c r="E525" s="26"/>
      <c r="F525" s="26"/>
      <c r="H525" s="80"/>
      <c r="I525" s="80"/>
      <c r="J525" s="80"/>
      <c r="K525" s="80"/>
      <c r="L525" s="80"/>
      <c r="M525" s="80"/>
      <c r="N525" s="80"/>
      <c r="O525" s="80"/>
      <c r="Q525" s="80"/>
      <c r="AB525" s="80"/>
      <c r="AF525" s="80"/>
      <c r="AW525" s="80"/>
      <c r="AX525" s="80"/>
      <c r="AZ525" s="80"/>
      <c r="BF525" s="80"/>
      <c r="BP525" s="80"/>
      <c r="BQ525" s="80"/>
      <c r="BR525" s="80"/>
      <c r="BS525" s="80"/>
      <c r="BZ525" s="80"/>
      <c r="CA525" s="80"/>
      <c r="CB525" s="80"/>
      <c r="CC525" s="80"/>
      <c r="CD525" s="80"/>
      <c r="CE525" s="80"/>
      <c r="CG525" s="80"/>
      <c r="CL525" s="80"/>
      <c r="CN525" s="80"/>
      <c r="CO525" s="80"/>
      <c r="CP525" s="80"/>
      <c r="CQ525" s="80"/>
      <c r="CT525" s="80"/>
      <c r="CU525" s="80"/>
      <c r="CY525" s="80"/>
      <c r="CZ525" s="80"/>
      <c r="DA525" s="80"/>
      <c r="DE525" s="80"/>
      <c r="DI525" s="80"/>
      <c r="DJ525" s="80"/>
      <c r="DN525" s="80"/>
      <c r="DR525" s="80"/>
      <c r="DT525" s="80"/>
      <c r="DU525" s="80"/>
      <c r="DV525" s="80"/>
      <c r="DX525" s="80"/>
      <c r="EC525" s="80"/>
      <c r="ED525" s="80"/>
      <c r="EF525" s="80"/>
      <c r="EI525" s="80"/>
      <c r="EK525" s="80"/>
      <c r="EL525" s="80"/>
    </row>
    <row r="526" spans="1:142" ht="12.75" customHeight="1">
      <c r="A526" s="80"/>
      <c r="B526" s="80"/>
      <c r="C526" s="80"/>
      <c r="D526" s="104"/>
      <c r="E526" s="26"/>
      <c r="F526" s="26"/>
      <c r="H526" s="80"/>
      <c r="K526" s="80"/>
      <c r="L526" s="80"/>
      <c r="M526" s="80"/>
      <c r="O526" s="80"/>
      <c r="P526" s="80"/>
      <c r="Q526" s="80"/>
      <c r="AD526" s="80"/>
      <c r="AF526" s="80"/>
      <c r="AK526" s="80"/>
      <c r="AP526" s="80"/>
      <c r="AW526" s="80"/>
      <c r="AX526" s="80"/>
      <c r="AZ526" s="80"/>
      <c r="BF526" s="80"/>
      <c r="BP526" s="80"/>
      <c r="BQ526" s="80"/>
      <c r="BR526" s="80"/>
      <c r="BS526" s="80"/>
      <c r="BT526" s="80"/>
      <c r="BZ526" s="80"/>
      <c r="CA526" s="80"/>
      <c r="CB526" s="80"/>
      <c r="CC526" s="80"/>
      <c r="CD526" s="80"/>
      <c r="CE526" s="80"/>
      <c r="CG526" s="80"/>
      <c r="CL526" s="80"/>
      <c r="CN526" s="80"/>
      <c r="CO526" s="80"/>
      <c r="DE526" s="80"/>
      <c r="DI526" s="80"/>
      <c r="DJ526" s="80"/>
      <c r="DN526" s="80"/>
      <c r="DR526" s="80"/>
      <c r="DV526" s="80"/>
      <c r="DW526" s="80"/>
      <c r="DX526" s="80"/>
      <c r="EC526" s="80"/>
      <c r="EJ526" s="80"/>
      <c r="EK526" s="80"/>
      <c r="EL526" s="80"/>
    </row>
    <row r="527" spans="1:142" ht="12.75" customHeight="1">
      <c r="A527" s="80"/>
      <c r="B527" s="80"/>
      <c r="C527" s="80"/>
      <c r="D527" s="104"/>
      <c r="E527" s="26"/>
      <c r="F527" s="26"/>
      <c r="I527" s="80"/>
      <c r="J527" s="80"/>
      <c r="K527" s="80"/>
      <c r="L527" s="80"/>
      <c r="M527" s="80"/>
      <c r="N527" s="80"/>
      <c r="O527" s="80"/>
      <c r="P527" s="80"/>
      <c r="Q527" s="80"/>
      <c r="R527" s="80"/>
      <c r="AB527" s="80"/>
      <c r="AF527" s="80"/>
      <c r="AL527" s="80"/>
      <c r="AP527" s="80"/>
      <c r="AW527" s="80"/>
      <c r="AY527" s="80"/>
      <c r="BF527" s="80"/>
      <c r="BJ527" s="80"/>
      <c r="BP527" s="80"/>
      <c r="BQ527" s="80"/>
      <c r="BR527" s="80"/>
      <c r="BS527" s="80"/>
      <c r="BZ527" s="80"/>
      <c r="CA527" s="80"/>
      <c r="CB527" s="80"/>
      <c r="CC527" s="80"/>
      <c r="CD527" s="80"/>
      <c r="CE527" s="80"/>
      <c r="CG527" s="80"/>
      <c r="CL527" s="80"/>
      <c r="CN527" s="80"/>
      <c r="CO527" s="80"/>
      <c r="CV527" s="80"/>
      <c r="CY527" s="80"/>
      <c r="CZ527" s="80"/>
      <c r="DA527" s="80"/>
      <c r="DE527" s="80"/>
      <c r="DI527" s="80"/>
      <c r="DJ527" s="80"/>
      <c r="DN527" s="80"/>
      <c r="DO527" s="80"/>
      <c r="DR527" s="80"/>
      <c r="DV527" s="80"/>
      <c r="DW527" s="80"/>
      <c r="DX527" s="80"/>
      <c r="EC527" s="80"/>
      <c r="EI527" s="80"/>
      <c r="EK527" s="80"/>
      <c r="EL527" s="80"/>
    </row>
    <row r="528" spans="1:142" ht="12.75" customHeight="1">
      <c r="A528" s="80"/>
      <c r="B528" s="80"/>
      <c r="C528" s="80"/>
      <c r="D528" s="104"/>
      <c r="E528" s="26"/>
      <c r="F528" s="26"/>
      <c r="H528" s="80"/>
      <c r="I528" s="80"/>
      <c r="K528" s="80"/>
      <c r="L528" s="80"/>
      <c r="M528" s="80"/>
      <c r="O528" s="80"/>
      <c r="P528" s="80"/>
      <c r="Q528" s="80"/>
      <c r="AF528" s="80"/>
      <c r="AX528" s="80"/>
      <c r="AZ528" s="80"/>
      <c r="BF528" s="80"/>
      <c r="BJ528" s="80"/>
      <c r="BQ528" s="80"/>
      <c r="BR528" s="80"/>
      <c r="BS528" s="80"/>
      <c r="BZ528" s="80"/>
      <c r="CA528" s="80"/>
      <c r="CB528" s="80"/>
      <c r="CD528" s="80"/>
      <c r="CE528" s="80"/>
      <c r="CG528" s="80"/>
      <c r="CL528" s="80"/>
      <c r="CN528" s="80"/>
      <c r="CO528" s="80"/>
      <c r="CW528" s="80"/>
      <c r="CY528" s="80"/>
      <c r="CZ528" s="80"/>
      <c r="DA528" s="80"/>
      <c r="DE528" s="80"/>
      <c r="DI528" s="80"/>
      <c r="DJ528" s="80"/>
      <c r="DN528" s="80"/>
      <c r="DO528" s="80"/>
      <c r="DR528" s="80"/>
      <c r="DV528" s="80"/>
      <c r="DW528" s="80"/>
      <c r="DX528" s="80"/>
      <c r="EC528" s="80"/>
      <c r="EI528" s="80"/>
      <c r="EK528" s="80"/>
      <c r="EL528" s="80"/>
    </row>
    <row r="529" spans="1:142" ht="12.75" customHeight="1">
      <c r="A529" s="80"/>
      <c r="B529" s="80"/>
      <c r="C529" s="80"/>
      <c r="D529" s="104"/>
      <c r="E529" s="26"/>
      <c r="F529" s="26"/>
      <c r="H529" s="80"/>
      <c r="I529" s="80"/>
      <c r="J529" s="80"/>
      <c r="L529" s="80"/>
      <c r="M529" s="80"/>
      <c r="Q529" s="80"/>
      <c r="AF529" s="80"/>
      <c r="AY529" s="80"/>
      <c r="BF529" s="80"/>
      <c r="BQ529" s="80"/>
      <c r="BR529" s="80"/>
      <c r="CA529" s="80"/>
      <c r="CB529" s="80"/>
      <c r="CC529" s="80"/>
      <c r="CG529" s="80"/>
      <c r="CL529" s="80"/>
      <c r="EL529" s="80"/>
    </row>
    <row r="530" spans="1:142" ht="12.75" customHeight="1">
      <c r="A530" s="80"/>
      <c r="B530" s="80"/>
      <c r="C530" s="80"/>
      <c r="D530" s="104"/>
      <c r="E530" s="26"/>
      <c r="F530" s="26"/>
      <c r="H530" s="80"/>
      <c r="I530" s="80"/>
      <c r="J530" s="80"/>
      <c r="K530" s="80"/>
      <c r="L530" s="80"/>
      <c r="M530" s="80"/>
      <c r="N530" s="80"/>
      <c r="O530" s="80"/>
      <c r="P530" s="80"/>
      <c r="Q530" s="80"/>
      <c r="S530" s="80"/>
      <c r="AB530" s="80"/>
      <c r="AC530" s="80"/>
      <c r="AF530" s="80"/>
      <c r="AL530" s="80"/>
      <c r="AP530" s="80"/>
      <c r="AW530" s="80"/>
      <c r="AX530" s="80"/>
      <c r="AZ530" s="80"/>
      <c r="BF530" s="80"/>
      <c r="BP530" s="80"/>
      <c r="BQ530" s="80"/>
      <c r="BR530" s="80"/>
      <c r="BS530" s="80"/>
      <c r="BT530" s="80"/>
      <c r="BZ530" s="80"/>
      <c r="CA530" s="80"/>
      <c r="CB530" s="80"/>
      <c r="CC530" s="80"/>
      <c r="CD530" s="80"/>
      <c r="CE530" s="80"/>
      <c r="CG530" s="80"/>
      <c r="CL530" s="80"/>
      <c r="CN530" s="80"/>
      <c r="CO530" s="80"/>
      <c r="CY530" s="80"/>
      <c r="CZ530" s="80"/>
      <c r="DE530" s="80"/>
      <c r="DI530" s="80"/>
      <c r="DJ530" s="80"/>
      <c r="DN530" s="80"/>
      <c r="DO530" s="80"/>
      <c r="DR530" s="80"/>
      <c r="DS530" s="80"/>
      <c r="DU530" s="80"/>
      <c r="DV530" s="80"/>
      <c r="DW530" s="80"/>
      <c r="DX530" s="80"/>
      <c r="EC530" s="80"/>
      <c r="EF530" s="80"/>
      <c r="EI530" s="80"/>
      <c r="EJ530" s="80"/>
      <c r="EK530" s="80"/>
      <c r="EL530" s="80"/>
    </row>
    <row r="531" spans="1:142" ht="12.75" customHeight="1">
      <c r="A531" s="80"/>
      <c r="B531" s="80"/>
      <c r="C531" s="80"/>
      <c r="D531" s="104"/>
      <c r="E531" s="26"/>
      <c r="F531" s="26"/>
      <c r="H531" s="80"/>
      <c r="I531" s="80"/>
      <c r="J531" s="80"/>
      <c r="K531" s="80"/>
      <c r="L531" s="80"/>
      <c r="M531" s="80"/>
      <c r="O531" s="80"/>
      <c r="P531" s="80"/>
      <c r="Q531" s="80"/>
      <c r="AF531" s="80"/>
      <c r="AX531" s="80"/>
      <c r="AZ531" s="80"/>
      <c r="BF531" s="80"/>
      <c r="BJ531" s="80"/>
      <c r="BK531" s="80"/>
      <c r="BP531" s="80"/>
      <c r="BQ531" s="80"/>
      <c r="BR531" s="80"/>
      <c r="BS531" s="80"/>
      <c r="BW531" s="80"/>
      <c r="BZ531" s="80"/>
      <c r="CA531" s="80"/>
      <c r="CB531" s="80"/>
      <c r="CD531" s="80"/>
      <c r="CE531" s="80"/>
      <c r="CG531" s="80"/>
      <c r="CL531" s="80"/>
      <c r="CN531" s="80"/>
      <c r="CO531" s="80"/>
      <c r="CP531" s="80"/>
      <c r="CT531" s="80"/>
      <c r="CU531" s="80"/>
      <c r="CY531" s="80"/>
      <c r="CZ531" s="80"/>
      <c r="DA531" s="80"/>
      <c r="DE531" s="80"/>
      <c r="DI531" s="80"/>
      <c r="DJ531" s="80"/>
      <c r="DN531" s="80"/>
      <c r="DR531" s="80"/>
      <c r="DS531" s="80"/>
      <c r="DU531" s="80"/>
      <c r="DV531" s="80"/>
      <c r="DX531" s="80"/>
      <c r="EC531" s="80"/>
      <c r="EL531" s="80"/>
    </row>
    <row r="532" spans="1:142" ht="12.75" customHeight="1">
      <c r="A532" s="80"/>
      <c r="B532" s="80"/>
      <c r="C532" s="80"/>
      <c r="D532" s="104"/>
      <c r="E532" s="26"/>
      <c r="F532" s="26"/>
      <c r="H532" s="80"/>
      <c r="J532" s="80"/>
      <c r="L532" s="80"/>
      <c r="M532" s="80"/>
      <c r="N532" s="80"/>
      <c r="Q532" s="80"/>
      <c r="AF532" s="80"/>
      <c r="AZ532" s="80"/>
      <c r="BF532" s="80"/>
      <c r="BQ532" s="80"/>
      <c r="BR532" s="80"/>
      <c r="CA532" s="80"/>
      <c r="CB532" s="80"/>
      <c r="CC532" s="80"/>
      <c r="CG532" s="80"/>
      <c r="CL532" s="80"/>
      <c r="EL532" s="80"/>
    </row>
    <row r="533" spans="1:142" ht="12.75" customHeight="1">
      <c r="A533" s="80"/>
      <c r="B533" s="80"/>
      <c r="C533" s="80"/>
      <c r="D533" s="104"/>
      <c r="E533" s="26"/>
      <c r="F533" s="26"/>
      <c r="H533" s="80"/>
      <c r="L533" s="80"/>
      <c r="M533" s="80"/>
      <c r="Q533" s="80"/>
      <c r="AC533" s="80"/>
      <c r="AD533" s="80"/>
      <c r="AK533" s="80"/>
      <c r="AP533" s="80"/>
      <c r="AW533" s="80"/>
      <c r="AZ533" s="80"/>
      <c r="BF533" s="80"/>
      <c r="CD533" s="80"/>
      <c r="CE533" s="80"/>
      <c r="CG533" s="80"/>
      <c r="CL533" s="80"/>
      <c r="CN533" s="80"/>
      <c r="CO533" s="80"/>
      <c r="CY533" s="80"/>
      <c r="CZ533" s="80"/>
      <c r="DN533" s="80"/>
      <c r="EJ533" s="80"/>
      <c r="EK533" s="80"/>
      <c r="EL533" s="80"/>
    </row>
    <row r="534" spans="1:142" ht="12.75" customHeight="1">
      <c r="A534" s="80"/>
      <c r="B534" s="80"/>
      <c r="C534" s="80"/>
      <c r="D534" s="104"/>
      <c r="E534" s="26"/>
      <c r="F534" s="26"/>
      <c r="H534" s="80"/>
      <c r="I534" s="80"/>
      <c r="K534" s="80"/>
      <c r="L534" s="80"/>
      <c r="M534" s="80"/>
      <c r="N534" s="80"/>
      <c r="O534" s="80"/>
      <c r="Q534" s="80"/>
      <c r="AG534" s="80"/>
      <c r="AR534" s="80"/>
      <c r="AZ534" s="80"/>
      <c r="BF534" s="80"/>
      <c r="BP534" s="80"/>
      <c r="BR534" s="80"/>
      <c r="BV534" s="80"/>
      <c r="BX534" s="80"/>
      <c r="CA534" s="80"/>
      <c r="CB534" s="80"/>
      <c r="CC534" s="80"/>
      <c r="CD534" s="80"/>
      <c r="CE534" s="80"/>
      <c r="CG534" s="80"/>
      <c r="CL534" s="80"/>
      <c r="CN534" s="80"/>
      <c r="CO534" s="80"/>
      <c r="CW534" s="80"/>
      <c r="CY534" s="80"/>
      <c r="CZ534" s="80"/>
      <c r="DA534" s="80"/>
      <c r="DE534" s="80"/>
      <c r="DI534" s="80"/>
      <c r="DJ534" s="80"/>
      <c r="DN534" s="80"/>
      <c r="EJ534" s="80"/>
      <c r="EK534" s="80"/>
      <c r="EL534" s="80"/>
    </row>
    <row r="535" spans="1:142" ht="12.75" customHeight="1">
      <c r="A535" s="80"/>
      <c r="B535" s="80"/>
      <c r="C535" s="80"/>
      <c r="D535" s="104"/>
      <c r="E535" s="26"/>
      <c r="F535" s="26"/>
      <c r="H535" s="80"/>
      <c r="I535" s="80"/>
      <c r="J535" s="80"/>
      <c r="K535" s="80"/>
      <c r="L535" s="80"/>
      <c r="M535" s="80"/>
      <c r="O535" s="80"/>
      <c r="P535" s="80"/>
      <c r="Q535" s="80"/>
      <c r="S535" s="80"/>
      <c r="T535" s="80"/>
      <c r="AF535" s="80"/>
      <c r="AL535" s="80"/>
      <c r="AP535" s="80"/>
      <c r="AV535" s="80"/>
      <c r="AX535" s="80"/>
      <c r="AZ535" s="80"/>
      <c r="BF535" s="80"/>
      <c r="BP535" s="80"/>
      <c r="BQ535" s="80"/>
      <c r="BR535" s="80"/>
      <c r="BS535" s="80"/>
      <c r="BT535" s="80"/>
      <c r="BZ535" s="80"/>
      <c r="CA535" s="80"/>
      <c r="CB535" s="80"/>
      <c r="CC535" s="80"/>
      <c r="CD535" s="80"/>
      <c r="CE535" s="80"/>
      <c r="CG535" s="80"/>
      <c r="CL535" s="80"/>
      <c r="CN535" s="80"/>
      <c r="CO535" s="80"/>
      <c r="CY535" s="80"/>
      <c r="CZ535" s="80"/>
      <c r="DB535" s="80"/>
      <c r="DE535" s="80"/>
      <c r="DI535" s="80"/>
      <c r="DJ535" s="80"/>
      <c r="DN535" s="80"/>
      <c r="DR535" s="80"/>
      <c r="DV535" s="80"/>
      <c r="DW535" s="80"/>
      <c r="DX535" s="80"/>
      <c r="EC535" s="80"/>
      <c r="EI535" s="80"/>
      <c r="EK535" s="80"/>
      <c r="EL535" s="80"/>
    </row>
    <row r="536" spans="1:142" ht="12.75" customHeight="1">
      <c r="A536" s="80"/>
      <c r="B536" s="80"/>
      <c r="C536" s="80"/>
      <c r="D536" s="104"/>
      <c r="E536" s="26"/>
      <c r="F536" s="26"/>
      <c r="H536" s="80"/>
      <c r="I536" s="80"/>
      <c r="J536" s="80"/>
      <c r="K536" s="80"/>
      <c r="L536" s="80"/>
      <c r="M536" s="80"/>
      <c r="N536" s="80"/>
      <c r="O536" s="80"/>
      <c r="P536" s="80"/>
      <c r="Q536" s="80"/>
      <c r="AE536" s="80"/>
      <c r="AF536" s="80"/>
      <c r="AL536" s="80"/>
      <c r="AP536" s="80"/>
      <c r="AX536" s="80"/>
      <c r="AZ536" s="80"/>
      <c r="BF536" s="80"/>
      <c r="BJ536" s="80"/>
      <c r="BK536" s="80"/>
      <c r="BP536" s="80"/>
      <c r="BQ536" s="80"/>
      <c r="BR536" s="80"/>
      <c r="BS536" s="80"/>
      <c r="BZ536" s="80"/>
      <c r="CA536" s="80"/>
      <c r="CB536" s="80"/>
      <c r="CC536" s="80"/>
      <c r="CD536" s="80"/>
      <c r="CE536" s="80"/>
      <c r="CG536" s="80"/>
      <c r="CI536" s="80"/>
      <c r="CK536" s="80"/>
      <c r="CL536" s="80"/>
      <c r="CN536" s="80"/>
      <c r="CO536" s="80"/>
      <c r="CT536" s="80"/>
      <c r="CU536" s="80"/>
      <c r="CY536" s="80"/>
      <c r="CZ536" s="80"/>
      <c r="DA536" s="80"/>
      <c r="DE536" s="80"/>
      <c r="DI536" s="80"/>
      <c r="DJ536" s="80"/>
      <c r="DN536" s="80"/>
      <c r="DO536" s="80"/>
      <c r="DR536" s="80"/>
      <c r="DV536" s="80"/>
      <c r="DW536" s="80"/>
      <c r="DX536" s="80"/>
      <c r="EC536" s="80"/>
      <c r="EF536" s="80"/>
      <c r="EI536" s="80"/>
      <c r="EL536" s="80"/>
    </row>
    <row r="537" spans="1:142" ht="12.75" customHeight="1">
      <c r="A537" s="80"/>
      <c r="B537" s="80"/>
      <c r="C537" s="80"/>
      <c r="D537" s="104"/>
      <c r="E537" s="26"/>
      <c r="F537" s="26"/>
      <c r="H537" s="80"/>
      <c r="I537" s="80"/>
      <c r="J537" s="80"/>
      <c r="K537" s="80"/>
      <c r="L537" s="80"/>
      <c r="M537" s="80"/>
      <c r="N537" s="80"/>
      <c r="P537" s="80"/>
      <c r="Q537" s="80"/>
      <c r="AC537" s="80"/>
      <c r="AF537" s="80"/>
      <c r="AX537" s="80"/>
      <c r="AZ537" s="80"/>
      <c r="BF537" s="80"/>
      <c r="BJ537" s="80"/>
      <c r="BK537" s="80"/>
      <c r="BQ537" s="80"/>
      <c r="BR537" s="80"/>
      <c r="BS537" s="80"/>
      <c r="BZ537" s="80"/>
      <c r="CA537" s="80"/>
      <c r="CB537" s="80"/>
      <c r="CD537" s="80"/>
      <c r="CE537" s="80"/>
      <c r="CG537" s="80"/>
      <c r="CL537" s="80"/>
      <c r="CN537" s="80"/>
      <c r="CO537" s="80"/>
      <c r="CU537" s="80"/>
      <c r="CW537" s="80"/>
      <c r="CY537" s="80"/>
      <c r="CZ537" s="80"/>
      <c r="DA537" s="80"/>
      <c r="DE537" s="80"/>
      <c r="DI537" s="80"/>
      <c r="DJ537" s="80"/>
      <c r="DN537" s="80"/>
      <c r="DR537" s="80"/>
      <c r="DV537" s="80"/>
      <c r="DX537" s="80"/>
      <c r="EC537" s="80"/>
      <c r="EL537" s="80"/>
    </row>
    <row r="538" spans="1:142" ht="12.75" customHeight="1">
      <c r="A538" s="80"/>
      <c r="B538" s="80"/>
      <c r="C538" s="80"/>
      <c r="D538" s="104"/>
      <c r="E538" s="26"/>
      <c r="F538" s="26"/>
      <c r="H538" s="80"/>
      <c r="I538" s="80"/>
      <c r="J538" s="80"/>
      <c r="K538" s="80"/>
      <c r="L538" s="80"/>
      <c r="M538" s="80"/>
      <c r="O538" s="80"/>
      <c r="P538" s="80"/>
      <c r="Q538" s="80"/>
      <c r="AB538" s="80"/>
      <c r="AF538" s="80"/>
      <c r="AK538" s="80"/>
      <c r="AL538" s="80"/>
      <c r="AP538" s="80"/>
      <c r="AW538" s="80"/>
      <c r="AX538" s="80"/>
      <c r="AZ538" s="80"/>
      <c r="BF538" s="80"/>
      <c r="BQ538" s="80"/>
      <c r="BR538" s="80"/>
      <c r="BS538" s="80"/>
      <c r="BZ538" s="80"/>
      <c r="CA538" s="80"/>
      <c r="CB538" s="80"/>
      <c r="CC538" s="80"/>
      <c r="CD538" s="80"/>
      <c r="CE538" s="80"/>
      <c r="CG538" s="80"/>
      <c r="CL538" s="80"/>
      <c r="CN538" s="80"/>
      <c r="CO538" s="80"/>
      <c r="CY538" s="80"/>
      <c r="CZ538" s="80"/>
      <c r="DE538" s="80"/>
      <c r="DI538" s="80"/>
      <c r="DJ538" s="80"/>
      <c r="DN538" s="80"/>
      <c r="DR538" s="80"/>
      <c r="DV538" s="80"/>
      <c r="DW538" s="80"/>
      <c r="DX538" s="80"/>
      <c r="EC538" s="80"/>
      <c r="EL538" s="80"/>
    </row>
    <row r="539" spans="1:142" ht="12.75" customHeight="1">
      <c r="A539" s="80"/>
      <c r="B539" s="80"/>
      <c r="C539" s="80"/>
      <c r="D539" s="104"/>
      <c r="E539" s="26"/>
      <c r="F539" s="26"/>
      <c r="H539" s="80"/>
      <c r="I539" s="80"/>
      <c r="J539" s="80"/>
      <c r="K539" s="80"/>
      <c r="L539" s="80"/>
      <c r="M539" s="80"/>
      <c r="N539" s="80"/>
      <c r="O539" s="80"/>
      <c r="P539" s="80"/>
      <c r="Q539" s="80"/>
      <c r="AB539" s="80"/>
      <c r="AF539" s="80"/>
      <c r="AK539" s="80"/>
      <c r="AP539" s="80"/>
      <c r="AX539" s="80"/>
      <c r="AZ539" s="80"/>
      <c r="BF539" s="80"/>
      <c r="BP539" s="80"/>
      <c r="BQ539" s="80"/>
      <c r="BR539" s="80"/>
      <c r="BT539" s="80"/>
      <c r="BZ539" s="80"/>
      <c r="CA539" s="80"/>
      <c r="CB539" s="80"/>
      <c r="CC539" s="80"/>
      <c r="CD539" s="80"/>
      <c r="CE539" s="80"/>
      <c r="CG539" s="80"/>
      <c r="CL539" s="80"/>
      <c r="CN539" s="80"/>
      <c r="CO539" s="80"/>
      <c r="CY539" s="80"/>
      <c r="CZ539" s="80"/>
      <c r="DE539" s="80"/>
      <c r="DI539" s="80"/>
      <c r="DJ539" s="80"/>
      <c r="DN539" s="80"/>
      <c r="DR539" s="80"/>
      <c r="DV539" s="80"/>
      <c r="DX539" s="80"/>
      <c r="EC539" s="80"/>
      <c r="EI539" s="80"/>
      <c r="EK539" s="80"/>
      <c r="EL539" s="80"/>
    </row>
    <row r="540" spans="1:142" ht="12.75" customHeight="1">
      <c r="A540" s="80"/>
      <c r="B540" s="80"/>
      <c r="C540" s="80"/>
      <c r="D540" s="104"/>
      <c r="E540" s="26"/>
      <c r="F540" s="26"/>
      <c r="H540" s="80"/>
      <c r="I540" s="80"/>
      <c r="J540" s="80"/>
      <c r="K540" s="80"/>
      <c r="L540" s="80"/>
      <c r="M540" s="80"/>
      <c r="O540" s="80"/>
      <c r="P540" s="80"/>
      <c r="Q540" s="80"/>
      <c r="AC540" s="80"/>
      <c r="AF540" s="80"/>
      <c r="AL540" s="80"/>
      <c r="AP540" s="80"/>
      <c r="AW540" s="80"/>
      <c r="AZ540" s="80"/>
      <c r="BF540" s="80"/>
      <c r="BQ540" s="80"/>
      <c r="BR540" s="80"/>
      <c r="BS540" s="80"/>
      <c r="BZ540" s="80"/>
      <c r="CA540" s="80"/>
      <c r="CB540" s="80"/>
      <c r="CD540" s="80"/>
      <c r="CE540" s="80"/>
      <c r="CF540" s="80"/>
      <c r="CG540" s="80"/>
      <c r="CL540" s="80"/>
      <c r="CN540" s="80"/>
      <c r="CO540" s="80"/>
      <c r="CY540" s="80"/>
      <c r="CZ540" s="80"/>
      <c r="DE540" s="80"/>
      <c r="DI540" s="80"/>
      <c r="DJ540" s="80"/>
      <c r="DN540" s="80"/>
      <c r="DO540" s="80"/>
      <c r="DR540" s="80"/>
      <c r="DV540" s="80"/>
      <c r="DX540" s="80"/>
      <c r="EC540" s="80"/>
      <c r="ED540" s="80"/>
      <c r="EF540" s="80"/>
      <c r="EG540" s="80"/>
      <c r="EI540" s="80"/>
      <c r="EK540" s="80"/>
      <c r="EL540" s="80"/>
    </row>
    <row r="541" spans="1:142" ht="12.75" customHeight="1">
      <c r="A541" s="80"/>
      <c r="B541" s="80"/>
      <c r="C541" s="80"/>
      <c r="D541" s="104"/>
      <c r="E541" s="26"/>
      <c r="F541" s="26"/>
      <c r="H541" s="80"/>
      <c r="I541" s="80"/>
      <c r="J541" s="80"/>
      <c r="K541" s="80"/>
      <c r="L541" s="80"/>
      <c r="M541" s="80"/>
      <c r="O541" s="80"/>
      <c r="P541" s="80"/>
      <c r="Q541" s="80"/>
      <c r="AF541" s="80"/>
      <c r="AZ541" s="80"/>
      <c r="BF541" s="80"/>
      <c r="BJ541" s="80"/>
      <c r="BP541" s="80"/>
      <c r="BQ541" s="80"/>
      <c r="BR541" s="80"/>
      <c r="BS541" s="80"/>
      <c r="BZ541" s="80"/>
      <c r="CA541" s="80"/>
      <c r="CB541" s="80"/>
      <c r="CC541" s="80"/>
      <c r="CD541" s="80"/>
      <c r="CE541" s="80"/>
      <c r="CG541" s="80"/>
      <c r="CL541" s="80"/>
      <c r="DA541" s="80"/>
      <c r="DE541" s="80"/>
      <c r="DI541" s="80"/>
      <c r="DJ541" s="80"/>
      <c r="DN541" s="80"/>
      <c r="DR541" s="80"/>
      <c r="DS541" s="80"/>
      <c r="DU541" s="80"/>
      <c r="DV541" s="80"/>
      <c r="DW541" s="80"/>
      <c r="DX541" s="80"/>
      <c r="EC541" s="80"/>
      <c r="EL541" s="80"/>
    </row>
    <row r="542" spans="1:142" ht="12.75" customHeight="1">
      <c r="A542" s="80"/>
      <c r="B542" s="80"/>
      <c r="C542" s="80"/>
      <c r="D542" s="104"/>
      <c r="E542" s="26"/>
      <c r="F542" s="26"/>
      <c r="I542" s="80"/>
      <c r="J542" s="80"/>
      <c r="L542" s="80"/>
      <c r="M542" s="80"/>
      <c r="N542" s="80"/>
      <c r="Q542" s="80"/>
      <c r="S542" s="80"/>
      <c r="AF542" s="80"/>
      <c r="AX542" s="80"/>
      <c r="AY542" s="80"/>
      <c r="BF542" s="80"/>
      <c r="BJ542" s="80"/>
      <c r="BQ542" s="80"/>
      <c r="BR542" s="80"/>
      <c r="BT542" s="80"/>
      <c r="CA542" s="80"/>
      <c r="CB542" s="80"/>
      <c r="CE542" s="80"/>
      <c r="CG542" s="80"/>
      <c r="CL542" s="80"/>
      <c r="EL542" s="80"/>
    </row>
    <row r="543" spans="1:142" ht="12.75" customHeight="1">
      <c r="A543" s="80"/>
      <c r="B543" s="80"/>
      <c r="C543" s="80"/>
      <c r="D543" s="104"/>
      <c r="E543" s="26"/>
      <c r="F543" s="26"/>
      <c r="H543" s="80"/>
      <c r="I543" s="80"/>
      <c r="J543" s="80"/>
      <c r="K543" s="80"/>
      <c r="L543" s="80"/>
      <c r="M543" s="80"/>
      <c r="N543" s="80"/>
      <c r="O543" s="80"/>
      <c r="P543" s="80"/>
      <c r="Q543" s="80"/>
      <c r="AF543" s="80"/>
      <c r="AL543" s="80"/>
      <c r="AP543" s="80"/>
      <c r="AX543" s="80"/>
      <c r="AZ543" s="80"/>
      <c r="BF543" s="80"/>
      <c r="BJ543" s="80"/>
      <c r="BQ543" s="80"/>
      <c r="BR543" s="80"/>
      <c r="BT543" s="80"/>
      <c r="BZ543" s="80"/>
      <c r="CA543" s="80"/>
      <c r="CB543" s="80"/>
      <c r="CC543" s="80"/>
      <c r="CD543" s="80"/>
      <c r="CE543" s="80"/>
      <c r="CG543" s="80"/>
      <c r="CL543" s="80"/>
      <c r="DE543" s="80"/>
      <c r="DI543" s="80"/>
      <c r="DJ543" s="80"/>
      <c r="DN543" s="80"/>
      <c r="DO543" s="80"/>
      <c r="DR543" s="80"/>
      <c r="DV543" s="80"/>
      <c r="DW543" s="80"/>
      <c r="DX543" s="80"/>
      <c r="EC543" s="80"/>
      <c r="EF543" s="80"/>
      <c r="EI543" s="80"/>
      <c r="EL543" s="80"/>
    </row>
    <row r="544" spans="1:142" ht="12.75" customHeight="1">
      <c r="A544" s="80"/>
      <c r="B544" s="80"/>
      <c r="C544" s="80"/>
      <c r="D544" s="104"/>
      <c r="E544" s="26"/>
      <c r="F544" s="26"/>
      <c r="H544" s="80"/>
      <c r="I544" s="80"/>
      <c r="J544" s="80"/>
      <c r="K544" s="80"/>
      <c r="L544" s="80"/>
      <c r="M544" s="80"/>
      <c r="Q544" s="80"/>
      <c r="AF544" s="80"/>
      <c r="AL544" s="80"/>
      <c r="AP544" s="80"/>
      <c r="AV544" s="80"/>
      <c r="AX544" s="80"/>
      <c r="AZ544" s="80"/>
      <c r="BF544" s="80"/>
      <c r="BJ544" s="80"/>
      <c r="BQ544" s="80"/>
      <c r="BR544" s="80"/>
      <c r="BS544" s="80"/>
      <c r="BT544" s="80"/>
      <c r="BZ544" s="80"/>
      <c r="CA544" s="80"/>
      <c r="CB544" s="80"/>
      <c r="CC544" s="80"/>
      <c r="CD544" s="80"/>
      <c r="CE544" s="80"/>
      <c r="CG544" s="80"/>
      <c r="CL544" s="80"/>
      <c r="CN544" s="80"/>
      <c r="CO544" s="80"/>
      <c r="DE544" s="80"/>
      <c r="DI544" s="80"/>
      <c r="DJ544" s="80"/>
      <c r="DN544" s="80"/>
      <c r="DR544" s="80"/>
      <c r="DV544" s="80"/>
      <c r="DW544" s="80"/>
      <c r="DX544" s="80"/>
      <c r="EC544" s="80"/>
      <c r="EL544" s="80"/>
    </row>
    <row r="545" spans="1:142" ht="12.75" customHeight="1">
      <c r="A545" s="80"/>
      <c r="B545" s="80"/>
      <c r="C545" s="80"/>
      <c r="D545" s="104"/>
      <c r="E545" s="26"/>
      <c r="F545" s="26"/>
      <c r="I545" s="80"/>
      <c r="J545" s="80"/>
      <c r="K545" s="80"/>
      <c r="L545" s="80"/>
      <c r="M545" s="80"/>
      <c r="N545" s="80"/>
      <c r="Q545" s="80"/>
      <c r="AF545" s="80"/>
      <c r="AK545" s="80"/>
      <c r="AL545" s="80"/>
      <c r="AP545" s="80"/>
      <c r="AX545" s="80"/>
      <c r="AZ545" s="80"/>
      <c r="BF545" s="80"/>
      <c r="BJ545" s="80"/>
      <c r="BQ545" s="80"/>
      <c r="BR545" s="80"/>
      <c r="BS545" s="80"/>
      <c r="BT545" s="80"/>
      <c r="BZ545" s="80"/>
      <c r="CA545" s="80"/>
      <c r="CB545" s="80"/>
      <c r="CC545" s="80"/>
      <c r="CD545" s="80"/>
      <c r="CE545" s="80"/>
      <c r="CG545" s="80"/>
      <c r="CL545" s="80"/>
      <c r="CW545" s="80"/>
      <c r="CY545" s="80"/>
      <c r="CZ545" s="80"/>
      <c r="DA545" s="80"/>
      <c r="DE545" s="80"/>
      <c r="DI545" s="80"/>
      <c r="DJ545" s="80"/>
      <c r="DN545" s="80"/>
      <c r="EL545" s="80"/>
    </row>
    <row r="546" spans="1:142" ht="12.75" customHeight="1">
      <c r="A546" s="80"/>
      <c r="B546" s="80"/>
      <c r="C546" s="80"/>
      <c r="D546" s="104"/>
      <c r="E546" s="26"/>
      <c r="F546" s="26"/>
      <c r="H546" s="80"/>
      <c r="I546" s="80"/>
      <c r="J546" s="80"/>
      <c r="K546" s="80"/>
      <c r="L546" s="80"/>
      <c r="M546" s="80"/>
      <c r="N546" s="80"/>
      <c r="O546" s="80"/>
      <c r="Q546" s="80"/>
      <c r="AB546" s="80"/>
      <c r="AF546" s="80"/>
      <c r="AL546" s="80"/>
      <c r="AP546" s="80"/>
      <c r="AX546" s="80"/>
      <c r="AZ546" s="80"/>
      <c r="BF546" s="80"/>
      <c r="BQ546" s="80"/>
      <c r="BR546" s="80"/>
      <c r="BS546" s="80"/>
      <c r="BT546" s="80"/>
      <c r="BZ546" s="80"/>
      <c r="CA546" s="80"/>
      <c r="CB546" s="80"/>
      <c r="CC546" s="80"/>
      <c r="CD546" s="80"/>
      <c r="CE546" s="80"/>
      <c r="CG546" s="80"/>
      <c r="CL546" s="80"/>
      <c r="CY546" s="80"/>
      <c r="CZ546" s="80"/>
      <c r="DA546" s="80"/>
      <c r="DE546" s="80"/>
      <c r="DI546" s="80"/>
      <c r="DJ546" s="80"/>
      <c r="DN546" s="80"/>
      <c r="EI546" s="80"/>
      <c r="EK546" s="80"/>
      <c r="EL546" s="80"/>
    </row>
    <row r="547" spans="1:142" ht="12.75" customHeight="1">
      <c r="A547" s="80"/>
      <c r="B547" s="80"/>
      <c r="C547" s="80"/>
      <c r="D547" s="104"/>
      <c r="E547" s="26"/>
      <c r="F547" s="26"/>
      <c r="H547" s="80"/>
      <c r="I547" s="80"/>
      <c r="J547" s="80"/>
      <c r="K547" s="80"/>
      <c r="L547" s="80"/>
      <c r="M547" s="80"/>
      <c r="N547" s="80"/>
      <c r="O547" s="80"/>
      <c r="P547" s="80"/>
      <c r="Q547" s="80"/>
      <c r="AB547" s="80"/>
      <c r="AF547" s="80"/>
      <c r="AX547" s="80"/>
      <c r="AZ547" s="80"/>
      <c r="BF547" s="80"/>
      <c r="BJ547" s="80"/>
      <c r="BP547" s="80"/>
      <c r="BQ547" s="80"/>
      <c r="BR547" s="80"/>
      <c r="BT547" s="80"/>
      <c r="BZ547" s="80"/>
      <c r="CA547" s="80"/>
      <c r="CB547" s="80"/>
      <c r="CC547" s="80"/>
      <c r="CD547" s="80"/>
      <c r="CE547" s="80"/>
      <c r="CG547" s="80"/>
      <c r="CL547" s="80"/>
      <c r="CY547" s="80"/>
      <c r="CZ547" s="80"/>
      <c r="DA547" s="80"/>
      <c r="DE547" s="80"/>
      <c r="DI547" s="80"/>
      <c r="DJ547" s="80"/>
      <c r="DN547" s="80"/>
      <c r="DR547" s="80"/>
      <c r="DV547" s="80"/>
      <c r="DX547" s="80"/>
      <c r="EC547" s="80"/>
      <c r="EF547" s="80"/>
      <c r="EI547" s="80"/>
      <c r="EL547" s="80"/>
    </row>
    <row r="548" spans="1:142" ht="12.75" customHeight="1">
      <c r="A548" s="80"/>
      <c r="B548" s="80"/>
      <c r="C548" s="80"/>
      <c r="D548" s="104"/>
      <c r="E548" s="26"/>
      <c r="F548" s="26"/>
      <c r="I548" s="80"/>
      <c r="J548" s="80"/>
      <c r="K548" s="80"/>
      <c r="L548" s="80"/>
      <c r="M548" s="80"/>
      <c r="O548" s="80"/>
      <c r="P548" s="80"/>
      <c r="Q548" s="80"/>
      <c r="AB548" s="80"/>
      <c r="AF548" s="80"/>
      <c r="AX548" s="80"/>
      <c r="AZ548" s="80"/>
      <c r="BF548" s="80"/>
      <c r="BJ548" s="80"/>
      <c r="BQ548" s="80"/>
      <c r="BR548" s="80"/>
      <c r="BT548" s="80"/>
      <c r="BZ548" s="80"/>
      <c r="CA548" s="80"/>
      <c r="CB548" s="80"/>
      <c r="CC548" s="80"/>
      <c r="CD548" s="80"/>
      <c r="CE548" s="80"/>
      <c r="CG548" s="80"/>
      <c r="CL548" s="80"/>
      <c r="CS548" s="80"/>
      <c r="CW548" s="80"/>
      <c r="CY548" s="80"/>
      <c r="CZ548" s="80"/>
      <c r="DA548" s="80"/>
      <c r="DE548" s="80"/>
      <c r="DI548" s="80"/>
      <c r="DJ548" s="80"/>
      <c r="DN548" s="80"/>
      <c r="DR548" s="80"/>
      <c r="DV548" s="80"/>
      <c r="DX548" s="80"/>
      <c r="EC548" s="80"/>
      <c r="EF548" s="80"/>
      <c r="EI548" s="80"/>
      <c r="EL548" s="80"/>
    </row>
    <row r="549" spans="1:142" ht="12.75" customHeight="1">
      <c r="A549" s="80"/>
      <c r="B549" s="80"/>
      <c r="C549" s="80"/>
      <c r="D549" s="104"/>
      <c r="E549" s="26"/>
      <c r="F549" s="26"/>
      <c r="H549" s="80"/>
      <c r="I549" s="80"/>
      <c r="K549" s="80"/>
      <c r="L549" s="80"/>
      <c r="M549" s="80"/>
      <c r="N549" s="80"/>
      <c r="Q549" s="80"/>
      <c r="AF549" s="80"/>
      <c r="AX549" s="80"/>
      <c r="AZ549" s="80"/>
      <c r="BF549" s="80"/>
      <c r="BJ549" s="80"/>
      <c r="BQ549" s="80"/>
      <c r="BR549" s="80"/>
      <c r="BT549" s="80"/>
      <c r="BZ549" s="80"/>
      <c r="CA549" s="80"/>
      <c r="CB549" s="80"/>
      <c r="CC549" s="80"/>
      <c r="CD549" s="80"/>
      <c r="CE549" s="80"/>
      <c r="CG549" s="80"/>
      <c r="CL549" s="80"/>
      <c r="CN549" s="80"/>
      <c r="CO549" s="80"/>
      <c r="CY549" s="80"/>
      <c r="CZ549" s="80"/>
      <c r="DA549" s="80"/>
      <c r="DE549" s="80"/>
      <c r="DI549" s="80"/>
      <c r="DJ549" s="80"/>
      <c r="DN549" s="80"/>
      <c r="DR549" s="80"/>
      <c r="DV549" s="80"/>
      <c r="DW549" s="80"/>
      <c r="DX549" s="80"/>
      <c r="EC549" s="80"/>
      <c r="EL549" s="80"/>
    </row>
    <row r="550" spans="1:142" ht="12.75" customHeight="1">
      <c r="A550" s="80"/>
      <c r="B550" s="80"/>
      <c r="C550" s="80"/>
      <c r="D550" s="104"/>
      <c r="E550" s="26"/>
      <c r="F550" s="26"/>
      <c r="H550" s="80"/>
      <c r="I550" s="80"/>
      <c r="K550" s="80"/>
      <c r="L550" s="80"/>
      <c r="M550" s="80"/>
      <c r="O550" s="80"/>
      <c r="P550" s="80"/>
      <c r="Q550" s="80"/>
      <c r="AF550" s="80"/>
      <c r="AZ550" s="80"/>
      <c r="BF550" s="80"/>
      <c r="BJ550" s="80"/>
      <c r="BQ550" s="80"/>
      <c r="BR550" s="80"/>
      <c r="BT550" s="80"/>
      <c r="BZ550" s="80"/>
      <c r="CA550" s="80"/>
      <c r="CB550" s="80"/>
      <c r="CC550" s="80"/>
      <c r="CD550" s="80"/>
      <c r="CE550" s="80"/>
      <c r="CG550" s="80"/>
      <c r="CL550" s="80"/>
      <c r="CY550" s="80"/>
      <c r="CZ550" s="80"/>
      <c r="DA550" s="80"/>
      <c r="DE550" s="80"/>
      <c r="DI550" s="80"/>
      <c r="DJ550" s="80"/>
      <c r="DN550" s="80"/>
      <c r="DP550" s="80"/>
      <c r="DR550" s="80"/>
      <c r="DV550" s="80"/>
      <c r="DX550" s="80"/>
      <c r="EC550" s="80"/>
      <c r="EL550" s="80"/>
    </row>
    <row r="551" spans="1:142" ht="12.75" customHeight="1">
      <c r="A551" s="80"/>
      <c r="B551" s="80"/>
      <c r="C551" s="80"/>
      <c r="D551" s="104"/>
      <c r="E551" s="26"/>
      <c r="F551" s="26"/>
      <c r="H551" s="80"/>
      <c r="I551" s="80"/>
      <c r="J551" s="80"/>
      <c r="K551" s="80"/>
      <c r="L551" s="80"/>
      <c r="M551" s="80"/>
      <c r="N551" s="80"/>
      <c r="P551" s="80"/>
      <c r="Q551" s="80"/>
      <c r="AD551" s="80"/>
      <c r="AF551" s="80"/>
      <c r="AL551" s="80"/>
      <c r="AP551" s="80"/>
      <c r="AW551" s="80"/>
      <c r="AX551" s="80"/>
      <c r="AZ551" s="80"/>
      <c r="BF551" s="80"/>
      <c r="BJ551" s="80"/>
      <c r="BP551" s="80"/>
      <c r="BQ551" s="80"/>
      <c r="BR551" s="80"/>
      <c r="BS551" s="80"/>
      <c r="BZ551" s="80"/>
      <c r="CA551" s="80"/>
      <c r="CB551" s="80"/>
      <c r="CC551" s="80"/>
      <c r="CD551" s="80"/>
      <c r="CE551" s="80"/>
      <c r="CG551" s="80"/>
      <c r="CL551" s="80"/>
      <c r="CY551" s="80"/>
      <c r="CZ551" s="80"/>
      <c r="DA551" s="80"/>
      <c r="DE551" s="80"/>
      <c r="DI551" s="80"/>
      <c r="DJ551" s="80"/>
      <c r="DN551" s="80"/>
      <c r="DR551" s="80"/>
      <c r="DV551" s="80"/>
      <c r="DW551" s="80"/>
      <c r="DX551" s="80"/>
      <c r="EC551" s="80"/>
      <c r="EL551" s="80"/>
    </row>
    <row r="552" spans="1:142" ht="12.75" customHeight="1">
      <c r="A552" s="80"/>
      <c r="B552" s="80"/>
      <c r="C552" s="80"/>
      <c r="D552" s="104"/>
      <c r="E552" s="26"/>
      <c r="F552" s="26"/>
      <c r="H552" s="80"/>
      <c r="I552" s="80"/>
      <c r="J552" s="80"/>
      <c r="K552" s="80"/>
      <c r="L552" s="80"/>
      <c r="M552" s="80"/>
      <c r="N552" s="80"/>
      <c r="Q552" s="80"/>
      <c r="AC552" s="80"/>
      <c r="AF552" s="80"/>
      <c r="AL552" s="80"/>
      <c r="AP552" s="80"/>
      <c r="AX552" s="80"/>
      <c r="AZ552" s="80"/>
      <c r="BF552" s="80"/>
      <c r="BJ552" s="80"/>
      <c r="BK552" s="80"/>
      <c r="BQ552" s="80"/>
      <c r="BR552" s="80"/>
      <c r="BS552" s="80"/>
      <c r="BT552" s="80"/>
      <c r="CA552" s="80"/>
      <c r="CB552" s="80"/>
      <c r="CC552" s="80"/>
      <c r="CD552" s="80"/>
      <c r="CE552" s="80"/>
      <c r="CG552" s="80"/>
      <c r="CL552" s="80"/>
      <c r="CS552" s="80"/>
      <c r="CW552" s="80"/>
      <c r="CY552" s="80"/>
      <c r="CZ552" s="80"/>
      <c r="DA552" s="80"/>
      <c r="DE552" s="80"/>
      <c r="DI552" s="80"/>
      <c r="DJ552" s="80"/>
      <c r="DN552" s="80"/>
      <c r="DR552" s="80"/>
      <c r="DV552" s="80"/>
      <c r="DW552" s="80"/>
      <c r="DX552" s="80"/>
      <c r="EC552" s="80"/>
      <c r="ED552" s="80"/>
      <c r="EI552" s="80"/>
      <c r="EK552" s="80"/>
      <c r="EL552" s="80"/>
    </row>
    <row r="553" spans="1:142" ht="12.75" customHeight="1">
      <c r="A553" s="80"/>
      <c r="B553" s="80"/>
      <c r="C553" s="80"/>
      <c r="D553" s="104"/>
      <c r="E553" s="26"/>
      <c r="F553" s="26"/>
      <c r="H553" s="80"/>
      <c r="J553" s="80"/>
      <c r="K553" s="80"/>
      <c r="L553" s="80"/>
      <c r="M553" s="80"/>
      <c r="N553" s="80"/>
      <c r="O553" s="80"/>
      <c r="P553" s="80"/>
      <c r="Q553" s="80"/>
      <c r="AB553" s="80"/>
      <c r="AF553" s="80"/>
      <c r="AW553" s="80"/>
      <c r="AX553" s="80"/>
      <c r="AY553" s="80"/>
      <c r="BF553" s="80"/>
      <c r="BJ553" s="80"/>
      <c r="BQ553" s="80"/>
      <c r="BR553" s="80"/>
      <c r="BS553" s="80"/>
      <c r="BT553" s="80"/>
      <c r="BZ553" s="80"/>
      <c r="CA553" s="80"/>
      <c r="CB553" s="80"/>
      <c r="CC553" s="80"/>
      <c r="CD553" s="80"/>
      <c r="CE553" s="80"/>
      <c r="CG553" s="80"/>
      <c r="CH553" s="80"/>
      <c r="CK553" s="80"/>
      <c r="CL553" s="80"/>
      <c r="CN553" s="80"/>
      <c r="CO553" s="80"/>
      <c r="CY553" s="80"/>
      <c r="CZ553" s="80"/>
      <c r="DE553" s="80"/>
      <c r="DI553" s="80"/>
      <c r="DJ553" s="80"/>
      <c r="DN553" s="80"/>
      <c r="DO553" s="80"/>
      <c r="DP553" s="80"/>
      <c r="DX553" s="80"/>
      <c r="EC553" s="80"/>
      <c r="EL553" s="80"/>
    </row>
    <row r="554" spans="1:142" ht="12.75" customHeight="1">
      <c r="A554" s="80"/>
      <c r="B554" s="80"/>
      <c r="C554" s="80"/>
      <c r="D554" s="104"/>
      <c r="E554" s="26"/>
      <c r="F554" s="26"/>
      <c r="H554" s="80"/>
      <c r="I554" s="80"/>
      <c r="J554" s="80"/>
      <c r="K554" s="80"/>
      <c r="L554" s="80"/>
      <c r="M554" s="80"/>
      <c r="N554" s="80"/>
      <c r="O554" s="80"/>
      <c r="P554" s="80"/>
      <c r="Q554" s="80"/>
      <c r="AF554" s="80"/>
      <c r="AK554" s="80"/>
      <c r="AP554" s="80"/>
      <c r="AX554" s="80"/>
      <c r="AZ554" s="80"/>
      <c r="BF554" s="80"/>
      <c r="BJ554" s="80"/>
      <c r="BQ554" s="80"/>
      <c r="BR554" s="80"/>
      <c r="BS554" s="80"/>
      <c r="BT554" s="80"/>
      <c r="BZ554" s="80"/>
      <c r="CA554" s="80"/>
      <c r="CB554" s="80"/>
      <c r="CC554" s="80"/>
      <c r="CD554" s="80"/>
      <c r="CE554" s="80"/>
      <c r="CG554" s="80"/>
      <c r="CL554" s="80"/>
      <c r="CN554" s="80"/>
      <c r="CO554" s="80"/>
      <c r="DA554" s="80"/>
      <c r="DE554" s="80"/>
      <c r="DI554" s="80"/>
      <c r="DJ554" s="80"/>
      <c r="DN554" s="80"/>
      <c r="DO554" s="80"/>
      <c r="DR554" s="80"/>
      <c r="DV554" s="80"/>
      <c r="DW554" s="80"/>
      <c r="DX554" s="80"/>
      <c r="EC554" s="80"/>
      <c r="EL554" s="80"/>
    </row>
    <row r="555" spans="1:142" ht="12.75" customHeight="1">
      <c r="A555" s="80"/>
      <c r="B555" s="80"/>
      <c r="C555" s="80"/>
      <c r="D555" s="104"/>
      <c r="E555" s="26"/>
      <c r="F555" s="26"/>
      <c r="I555" s="80"/>
      <c r="J555" s="80"/>
      <c r="K555" s="80"/>
      <c r="L555" s="80"/>
      <c r="M555" s="80"/>
      <c r="N555" s="80"/>
      <c r="O555" s="80"/>
      <c r="Q555" s="80"/>
      <c r="AC555" s="80"/>
      <c r="AF555" s="80"/>
      <c r="AX555" s="80"/>
      <c r="AY555" s="80"/>
      <c r="BF555" s="80"/>
      <c r="BJ555" s="80"/>
      <c r="BK555" s="80"/>
      <c r="BQ555" s="80"/>
      <c r="BR555" s="80"/>
      <c r="BS555" s="80"/>
      <c r="BT555" s="80"/>
      <c r="BZ555" s="80"/>
      <c r="CA555" s="80"/>
      <c r="CB555" s="80"/>
      <c r="CC555" s="80"/>
      <c r="CD555" s="80"/>
      <c r="CE555" s="80"/>
      <c r="CG555" s="80"/>
      <c r="CL555" s="80"/>
      <c r="DA555" s="80"/>
      <c r="DE555" s="80"/>
      <c r="DI555" s="80"/>
      <c r="DJ555" s="80"/>
      <c r="DN555" s="80"/>
      <c r="EL555" s="80"/>
    </row>
    <row r="556" spans="1:142" ht="12.75" customHeight="1">
      <c r="A556" s="80"/>
      <c r="B556" s="80"/>
      <c r="C556" s="80"/>
      <c r="D556" s="104"/>
      <c r="E556" s="26"/>
      <c r="F556" s="26"/>
      <c r="H556" s="80"/>
      <c r="K556" s="80"/>
      <c r="L556" s="80"/>
      <c r="M556" s="80"/>
      <c r="N556" s="80"/>
      <c r="O556" s="80"/>
      <c r="P556" s="80"/>
      <c r="Q556" s="80"/>
      <c r="AB556" s="80"/>
      <c r="AF556" s="80"/>
      <c r="AY556" s="80"/>
      <c r="BF556" s="80"/>
      <c r="BJ556" s="80"/>
      <c r="BQ556" s="80"/>
      <c r="BR556" s="80"/>
      <c r="BS556" s="80"/>
      <c r="BT556" s="80"/>
      <c r="BZ556" s="80"/>
      <c r="CA556" s="80"/>
      <c r="CB556" s="80"/>
      <c r="CC556" s="80"/>
      <c r="CD556" s="80"/>
      <c r="CE556" s="80"/>
      <c r="CG556" s="80"/>
      <c r="CH556" s="80"/>
      <c r="CK556" s="80"/>
      <c r="CL556" s="80"/>
      <c r="CW556" s="80"/>
      <c r="CZ556" s="80"/>
      <c r="DA556" s="80"/>
      <c r="DE556" s="80"/>
      <c r="DI556" s="80"/>
      <c r="DJ556" s="80"/>
      <c r="DN556" s="80"/>
      <c r="DR556" s="80"/>
      <c r="DV556" s="80"/>
      <c r="DW556" s="80"/>
      <c r="DX556" s="80"/>
      <c r="EC556" s="80"/>
      <c r="EL556" s="80"/>
    </row>
    <row r="557" spans="1:142" ht="12.75" customHeight="1">
      <c r="A557" s="80"/>
      <c r="B557" s="80"/>
      <c r="C557" s="80"/>
      <c r="D557" s="104"/>
      <c r="E557" s="26"/>
      <c r="F557" s="26"/>
      <c r="G557" s="80"/>
      <c r="H557" s="80"/>
      <c r="I557" s="80"/>
      <c r="J557" s="80"/>
      <c r="K557" s="80"/>
      <c r="L557" s="80"/>
      <c r="M557" s="80"/>
      <c r="N557" s="80"/>
      <c r="O557" s="80"/>
      <c r="P557" s="80"/>
      <c r="Q557" s="80"/>
      <c r="AE557" s="80"/>
      <c r="AF557" s="80"/>
      <c r="AH557" s="80"/>
      <c r="AL557" s="80"/>
      <c r="AP557" s="80"/>
      <c r="AZ557" s="80"/>
      <c r="BF557" s="80"/>
      <c r="BJ557" s="80"/>
      <c r="BP557" s="80"/>
      <c r="BQ557" s="80"/>
      <c r="BR557" s="80"/>
      <c r="BS557" s="80"/>
      <c r="BZ557" s="80"/>
      <c r="CA557" s="80"/>
      <c r="CB557" s="80"/>
      <c r="CC557" s="80"/>
      <c r="CD557" s="80"/>
      <c r="CE557" s="80"/>
      <c r="CG557" s="80"/>
      <c r="CI557" s="80"/>
      <c r="CK557" s="80"/>
      <c r="CL557" s="80"/>
      <c r="CN557" s="80"/>
      <c r="CO557" s="80"/>
      <c r="CQ557" s="80"/>
      <c r="CU557" s="80"/>
      <c r="CW557" s="80"/>
      <c r="CY557" s="80"/>
      <c r="CZ557" s="80"/>
      <c r="DA557" s="80"/>
      <c r="DE557" s="80"/>
      <c r="DF557" s="80"/>
      <c r="DI557" s="80"/>
      <c r="DJ557" s="80"/>
      <c r="DN557" s="80"/>
      <c r="DR557" s="80"/>
      <c r="DV557" s="80"/>
      <c r="DW557" s="80"/>
      <c r="DX557" s="80"/>
      <c r="EC557" s="80"/>
      <c r="EL557" s="80"/>
    </row>
    <row r="558" spans="1:142" ht="12.75" customHeight="1">
      <c r="A558" s="80"/>
      <c r="B558" s="80"/>
      <c r="C558" s="80"/>
      <c r="D558" s="104"/>
      <c r="E558" s="26"/>
      <c r="F558" s="26"/>
      <c r="H558" s="80"/>
      <c r="I558" s="80"/>
      <c r="J558" s="80"/>
      <c r="K558" s="80"/>
      <c r="L558" s="80"/>
      <c r="M558" s="80"/>
      <c r="N558" s="80"/>
      <c r="O558" s="80"/>
      <c r="P558" s="80"/>
      <c r="Q558" s="80"/>
      <c r="AB558" s="80"/>
      <c r="AF558" s="80"/>
      <c r="AL558" s="80"/>
      <c r="AP558" s="80"/>
      <c r="AX558" s="80"/>
      <c r="AZ558" s="80"/>
      <c r="BF558" s="80"/>
      <c r="BJ558" s="80"/>
      <c r="BK558" s="80"/>
      <c r="BQ558" s="80"/>
      <c r="BR558" s="80"/>
      <c r="CA558" s="80"/>
      <c r="CB558" s="80"/>
      <c r="CC558" s="80"/>
      <c r="CD558" s="80"/>
      <c r="CE558" s="80"/>
      <c r="CG558" s="80"/>
      <c r="CL558" s="80"/>
      <c r="CN558" s="80"/>
      <c r="CO558" s="80"/>
      <c r="DA558" s="80"/>
      <c r="DE558" s="80"/>
      <c r="DI558" s="80"/>
      <c r="DJ558" s="80"/>
      <c r="DN558" s="80"/>
      <c r="DO558" s="80"/>
      <c r="DR558" s="80"/>
      <c r="DV558" s="80"/>
      <c r="DW558" s="80"/>
      <c r="DX558" s="80"/>
      <c r="EC558" s="80"/>
      <c r="EI558" s="80"/>
      <c r="EJ558" s="80"/>
      <c r="EK558" s="80"/>
      <c r="EL558" s="80"/>
    </row>
    <row r="559" spans="1:142" ht="12.75" customHeight="1">
      <c r="A559" s="80"/>
      <c r="B559" s="80"/>
      <c r="C559" s="80"/>
      <c r="D559" s="104"/>
      <c r="E559" s="26"/>
      <c r="F559" s="26"/>
      <c r="H559" s="80"/>
      <c r="J559" s="80"/>
      <c r="K559" s="80"/>
      <c r="L559" s="80"/>
      <c r="M559" s="80"/>
      <c r="N559" s="80"/>
      <c r="Q559" s="80"/>
      <c r="AF559" s="80"/>
      <c r="AX559" s="80"/>
      <c r="AZ559" s="80"/>
      <c r="BF559" s="80"/>
      <c r="BJ559" s="80"/>
      <c r="BQ559" s="80"/>
      <c r="BR559" s="80"/>
      <c r="CA559" s="80"/>
      <c r="CB559" s="80"/>
      <c r="CC559" s="80"/>
      <c r="CD559" s="80"/>
      <c r="CE559" s="80"/>
      <c r="CG559" s="80"/>
      <c r="CH559" s="80"/>
      <c r="CK559" s="80"/>
      <c r="CL559" s="80"/>
      <c r="DE559" s="80"/>
      <c r="DI559" s="80"/>
      <c r="DJ559" s="80"/>
      <c r="DN559" s="80"/>
      <c r="EL559" s="80"/>
    </row>
    <row r="560" spans="1:142" ht="12.75" customHeight="1">
      <c r="A560" s="80"/>
      <c r="B560" s="80"/>
      <c r="C560" s="80"/>
      <c r="D560" s="104"/>
      <c r="E560" s="26"/>
      <c r="F560" s="26"/>
      <c r="H560" s="80"/>
      <c r="I560" s="80"/>
      <c r="J560" s="80"/>
      <c r="K560" s="80"/>
      <c r="L560" s="80"/>
      <c r="M560" s="80"/>
      <c r="N560" s="80"/>
      <c r="O560" s="80"/>
      <c r="P560" s="80"/>
      <c r="Q560" s="80"/>
      <c r="AB560" s="80"/>
      <c r="AF560" s="80"/>
      <c r="AJ560" s="80"/>
      <c r="AW560" s="80"/>
      <c r="AX560" s="80"/>
      <c r="AZ560" s="80"/>
      <c r="BF560" s="80"/>
      <c r="BJ560" s="80"/>
      <c r="BQ560" s="80"/>
      <c r="BR560" s="80"/>
      <c r="BS560" s="80"/>
      <c r="BT560" s="80"/>
      <c r="BZ560" s="80"/>
      <c r="CA560" s="80"/>
      <c r="CB560" s="80"/>
      <c r="CC560" s="80"/>
      <c r="CD560" s="80"/>
      <c r="CE560" s="80"/>
      <c r="CG560" s="80"/>
      <c r="CL560" s="80"/>
      <c r="CY560" s="80"/>
      <c r="CZ560" s="80"/>
      <c r="DE560" s="80"/>
      <c r="DI560" s="80"/>
      <c r="DJ560" s="80"/>
      <c r="DN560" s="80"/>
      <c r="DO560" s="80"/>
      <c r="DR560" s="80"/>
      <c r="DV560" s="80"/>
      <c r="DW560" s="80"/>
      <c r="DX560" s="80"/>
      <c r="EC560" s="80"/>
      <c r="ED560" s="80"/>
      <c r="EF560" s="80"/>
      <c r="EG560" s="80"/>
      <c r="EI560" s="80"/>
      <c r="EK560" s="80"/>
      <c r="EL560" s="80"/>
    </row>
    <row r="561" spans="1:142" ht="12.75" customHeight="1">
      <c r="A561" s="80"/>
      <c r="B561" s="80"/>
      <c r="C561" s="80"/>
      <c r="D561" s="104"/>
      <c r="E561" s="26"/>
      <c r="F561" s="26"/>
      <c r="H561" s="80"/>
      <c r="I561" s="80"/>
      <c r="J561" s="80"/>
      <c r="K561" s="80"/>
      <c r="L561" s="80"/>
      <c r="M561" s="80"/>
      <c r="N561" s="80"/>
      <c r="O561" s="80"/>
      <c r="Q561" s="80"/>
      <c r="AB561" s="80"/>
      <c r="AF561" s="80"/>
      <c r="AZ561" s="80"/>
      <c r="BA561" s="80"/>
      <c r="BF561" s="80"/>
      <c r="BJ561" s="80"/>
      <c r="BK561" s="80"/>
      <c r="BQ561" s="80"/>
      <c r="BR561" s="80"/>
      <c r="BS561" s="80"/>
      <c r="BZ561" s="80"/>
      <c r="CA561" s="80"/>
      <c r="CB561" s="80"/>
      <c r="CC561" s="80"/>
      <c r="CD561" s="80"/>
      <c r="CE561" s="80"/>
      <c r="CG561" s="80"/>
      <c r="CL561" s="80"/>
      <c r="CW561" s="80"/>
      <c r="CY561" s="80"/>
      <c r="CZ561" s="80"/>
      <c r="DA561" s="80"/>
      <c r="DE561" s="80"/>
      <c r="DI561" s="80"/>
      <c r="DJ561" s="80"/>
      <c r="DN561" s="80"/>
      <c r="DR561" s="80"/>
      <c r="DV561" s="80"/>
      <c r="DX561" s="80"/>
      <c r="EC561" s="80"/>
      <c r="EL561" s="80"/>
    </row>
    <row r="562" spans="1:142" ht="12.75" customHeight="1">
      <c r="A562" s="80"/>
      <c r="B562" s="80"/>
      <c r="C562" s="80"/>
      <c r="D562" s="104"/>
      <c r="E562" s="26"/>
      <c r="F562" s="26"/>
      <c r="H562" s="80"/>
      <c r="I562" s="80"/>
      <c r="J562" s="80"/>
      <c r="K562" s="80"/>
      <c r="L562" s="80"/>
      <c r="M562" s="80"/>
      <c r="O562" s="80"/>
      <c r="Q562" s="80"/>
      <c r="AF562" s="80"/>
      <c r="AL562" s="80"/>
      <c r="AP562" s="80"/>
      <c r="AX562" s="80"/>
      <c r="AY562" s="80"/>
      <c r="BF562" s="80"/>
      <c r="BJ562" s="80"/>
      <c r="BQ562" s="80"/>
      <c r="BR562" s="80"/>
      <c r="BT562" s="80"/>
      <c r="CA562" s="80"/>
      <c r="CB562" s="80"/>
      <c r="CC562" s="80"/>
      <c r="CD562" s="80"/>
      <c r="CE562" s="80"/>
      <c r="CG562" s="80"/>
      <c r="CL562" s="80"/>
      <c r="CY562" s="80"/>
      <c r="CZ562" s="80"/>
      <c r="DA562" s="80"/>
      <c r="DE562" s="80"/>
      <c r="DI562" s="80"/>
      <c r="DJ562" s="80"/>
      <c r="DN562" s="80"/>
      <c r="EL562" s="80"/>
    </row>
    <row r="563" spans="1:142" ht="12.75" customHeight="1">
      <c r="A563" s="80"/>
      <c r="B563" s="80"/>
      <c r="C563" s="80"/>
      <c r="D563" s="104"/>
      <c r="E563" s="26"/>
      <c r="F563" s="26"/>
      <c r="H563" s="80"/>
      <c r="I563" s="80"/>
      <c r="L563" s="80"/>
      <c r="M563" s="80"/>
      <c r="N563" s="80"/>
      <c r="P563" s="80"/>
      <c r="Q563" s="80"/>
      <c r="AC563" s="80"/>
      <c r="AD563" s="80"/>
      <c r="AF563" s="80"/>
      <c r="AL563" s="80"/>
      <c r="AP563" s="80"/>
      <c r="AZ563" s="80"/>
      <c r="BF563" s="80"/>
      <c r="BJ563" s="80"/>
      <c r="BQ563" s="80"/>
      <c r="BR563" s="80"/>
      <c r="BS563" s="80"/>
      <c r="BZ563" s="80"/>
      <c r="CA563" s="80"/>
      <c r="CB563" s="80"/>
      <c r="CC563" s="80"/>
      <c r="CD563" s="80"/>
      <c r="CE563" s="80"/>
      <c r="CG563" s="80"/>
      <c r="CL563" s="80"/>
      <c r="CW563" s="80"/>
      <c r="CY563" s="80"/>
      <c r="CZ563" s="80"/>
      <c r="DA563" s="80"/>
      <c r="DE563" s="80"/>
      <c r="DI563" s="80"/>
      <c r="DJ563" s="80"/>
      <c r="DN563" s="80"/>
      <c r="DR563" s="80"/>
      <c r="DV563" s="80"/>
      <c r="DW563" s="80"/>
      <c r="DX563" s="80"/>
      <c r="EC563" s="80"/>
      <c r="EL563" s="80"/>
    </row>
    <row r="564" spans="1:142" ht="12.75" customHeight="1">
      <c r="A564" s="80"/>
      <c r="B564" s="80"/>
      <c r="C564" s="80"/>
      <c r="D564" s="104"/>
      <c r="E564" s="26"/>
      <c r="F564" s="26"/>
      <c r="H564" s="80"/>
      <c r="L564" s="80"/>
      <c r="M564" s="80"/>
      <c r="Q564" s="80"/>
      <c r="R564" s="80"/>
      <c r="AK564" s="80"/>
      <c r="AL564" s="80"/>
      <c r="AN564" s="80"/>
      <c r="AP564" s="80"/>
      <c r="BF564" s="80"/>
      <c r="CD564" s="80"/>
      <c r="CE564" s="80"/>
      <c r="CG564" s="80"/>
      <c r="CL564" s="80"/>
      <c r="CY564" s="80"/>
      <c r="CZ564" s="80"/>
      <c r="DI564" s="80"/>
      <c r="DJ564" s="80"/>
      <c r="DN564" s="80"/>
      <c r="EL564" s="80"/>
    </row>
    <row r="565" spans="1:142" ht="12.75" customHeight="1">
      <c r="A565" s="80"/>
      <c r="B565" s="80"/>
      <c r="C565" s="80"/>
      <c r="D565" s="104"/>
      <c r="E565" s="26"/>
      <c r="F565" s="26"/>
      <c r="H565" s="80"/>
      <c r="K565" s="80"/>
      <c r="L565" s="80"/>
      <c r="M565" s="80"/>
      <c r="O565" s="80"/>
      <c r="Q565" s="80"/>
      <c r="AG565" s="80"/>
      <c r="AR565" s="80"/>
      <c r="AT565" s="80"/>
      <c r="AW565" s="80"/>
      <c r="AY565" s="80"/>
      <c r="AZ565" s="80"/>
      <c r="BF565" s="80"/>
      <c r="BJ565" s="80"/>
      <c r="BP565" s="80"/>
      <c r="BR565" s="80"/>
      <c r="BT565" s="80"/>
      <c r="BV565" s="80"/>
      <c r="CA565" s="80"/>
      <c r="CB565" s="80"/>
      <c r="CC565" s="80"/>
      <c r="CD565" s="80"/>
      <c r="CE565" s="80"/>
      <c r="CG565" s="80"/>
      <c r="CL565" s="80"/>
      <c r="CN565" s="80"/>
      <c r="CO565" s="80"/>
      <c r="CW565" s="80"/>
      <c r="CY565" s="80"/>
      <c r="CZ565" s="80"/>
      <c r="DA565" s="80"/>
      <c r="DE565" s="80"/>
      <c r="DI565" s="80"/>
      <c r="DJ565" s="80"/>
      <c r="DN565" s="80"/>
      <c r="EJ565" s="80"/>
      <c r="EK565" s="80"/>
      <c r="EL565" s="80"/>
    </row>
    <row r="566" spans="1:142" ht="12.75" customHeight="1">
      <c r="A566" s="80"/>
      <c r="B566" s="80"/>
      <c r="C566" s="80"/>
      <c r="D566" s="104"/>
      <c r="E566" s="26"/>
      <c r="F566" s="26"/>
      <c r="H566" s="80"/>
      <c r="I566" s="80"/>
      <c r="J566" s="80"/>
      <c r="K566" s="80"/>
      <c r="L566" s="80"/>
      <c r="M566" s="80"/>
      <c r="N566" s="80"/>
      <c r="P566" s="80"/>
      <c r="Q566" s="80"/>
      <c r="AB566" s="80"/>
      <c r="AF566" s="80"/>
      <c r="AL566" s="80"/>
      <c r="AP566" s="80"/>
      <c r="AX566" s="80"/>
      <c r="AZ566" s="80"/>
      <c r="BF566" s="80"/>
      <c r="BJ566" s="80"/>
      <c r="BP566" s="80"/>
      <c r="BQ566" s="80"/>
      <c r="BR566" s="80"/>
      <c r="BS566" s="80"/>
      <c r="BZ566" s="80"/>
      <c r="CA566" s="80"/>
      <c r="CB566" s="80"/>
      <c r="CC566" s="80"/>
      <c r="CD566" s="80"/>
      <c r="CE566" s="80"/>
      <c r="CG566" s="80"/>
      <c r="CI566" s="80"/>
      <c r="CK566" s="80"/>
      <c r="CL566" s="80"/>
      <c r="CY566" s="80"/>
      <c r="CZ566" s="80"/>
      <c r="DA566" s="80"/>
      <c r="DE566" s="80"/>
      <c r="DI566" s="80"/>
      <c r="DJ566" s="80"/>
      <c r="DN566" s="80"/>
      <c r="DO566" s="80"/>
      <c r="DR566" s="80"/>
      <c r="DV566" s="80"/>
      <c r="DW566" s="80"/>
      <c r="DX566" s="80"/>
      <c r="EC566" s="80"/>
      <c r="EF566" s="80"/>
      <c r="EG566" s="80"/>
      <c r="EI566" s="80"/>
      <c r="EK566" s="80"/>
      <c r="EL566" s="80"/>
    </row>
    <row r="567" spans="1:142" ht="12.75" customHeight="1">
      <c r="A567" s="80"/>
      <c r="B567" s="80"/>
      <c r="C567" s="80"/>
      <c r="D567" s="104"/>
      <c r="E567" s="26"/>
      <c r="F567" s="26"/>
      <c r="H567" s="80"/>
      <c r="I567" s="80"/>
      <c r="J567" s="80"/>
      <c r="K567" s="80"/>
      <c r="L567" s="80"/>
      <c r="M567" s="80"/>
      <c r="N567" s="80"/>
      <c r="O567" s="80"/>
      <c r="P567" s="80"/>
      <c r="Q567" s="80"/>
      <c r="AF567" s="80"/>
      <c r="AK567" s="80"/>
      <c r="AL567" s="80"/>
      <c r="AP567" s="80"/>
      <c r="AX567" s="80"/>
      <c r="AZ567" s="80"/>
      <c r="BF567" s="80"/>
      <c r="BJ567" s="80"/>
      <c r="BQ567" s="80"/>
      <c r="BR567" s="80"/>
      <c r="BS567" s="80"/>
      <c r="BZ567" s="80"/>
      <c r="CA567" s="80"/>
      <c r="CB567" s="80"/>
      <c r="CC567" s="80"/>
      <c r="CD567" s="80"/>
      <c r="CE567" s="80"/>
      <c r="CG567" s="80"/>
      <c r="CL567" s="80"/>
      <c r="CY567" s="80"/>
      <c r="CZ567" s="80"/>
      <c r="DA567" s="80"/>
      <c r="DE567" s="80"/>
      <c r="DI567" s="80"/>
      <c r="DJ567" s="80"/>
      <c r="DN567" s="80"/>
      <c r="DO567" s="80"/>
      <c r="DR567" s="80"/>
      <c r="DV567" s="80"/>
      <c r="DW567" s="80"/>
      <c r="DX567" s="80"/>
      <c r="EC567" s="80"/>
      <c r="EF567" s="80"/>
      <c r="EI567" s="80"/>
      <c r="EL567" s="80"/>
    </row>
    <row r="568" spans="1:142" ht="12.75" customHeight="1">
      <c r="A568" s="80"/>
      <c r="B568" s="80"/>
      <c r="C568" s="80"/>
      <c r="D568" s="104"/>
      <c r="E568" s="26"/>
      <c r="F568" s="26"/>
      <c r="H568" s="80"/>
      <c r="I568" s="80"/>
      <c r="J568" s="80"/>
      <c r="K568" s="80"/>
      <c r="L568" s="80"/>
      <c r="M568" s="80"/>
      <c r="N568" s="80"/>
      <c r="O568" s="80"/>
      <c r="P568" s="80"/>
      <c r="Q568" s="80"/>
      <c r="AB568" s="80"/>
      <c r="AC568" s="80"/>
      <c r="AF568" s="80"/>
      <c r="AK568" s="80"/>
      <c r="AL568" s="80"/>
      <c r="AO568" s="80"/>
      <c r="AP568" s="80"/>
      <c r="AX568" s="80"/>
      <c r="AZ568" s="80"/>
      <c r="BA568" s="80"/>
      <c r="BF568" s="80"/>
      <c r="BP568" s="80"/>
      <c r="BQ568" s="80"/>
      <c r="BR568" s="80"/>
      <c r="BS568" s="80"/>
      <c r="CA568" s="80"/>
      <c r="CB568" s="80"/>
      <c r="CC568" s="80"/>
      <c r="CD568" s="80"/>
      <c r="CE568" s="80"/>
      <c r="CG568" s="80"/>
      <c r="CL568" s="80"/>
      <c r="CY568" s="80"/>
      <c r="CZ568" s="80"/>
      <c r="DC568" s="80"/>
      <c r="DE568" s="80"/>
      <c r="DI568" s="80"/>
      <c r="DJ568" s="80"/>
      <c r="DN568" s="80"/>
      <c r="DO568" s="80"/>
      <c r="DR568" s="80"/>
      <c r="DV568" s="80"/>
      <c r="DW568" s="80"/>
      <c r="DX568" s="80"/>
      <c r="EC568" s="80"/>
      <c r="EL568" s="80"/>
    </row>
    <row r="569" spans="1:142" ht="12.75" customHeight="1">
      <c r="A569" s="80"/>
      <c r="B569" s="80"/>
      <c r="C569" s="80"/>
      <c r="D569" s="104"/>
      <c r="E569" s="26"/>
      <c r="F569" s="26"/>
      <c r="H569" s="80"/>
      <c r="I569" s="80"/>
      <c r="J569" s="80"/>
      <c r="L569" s="80"/>
      <c r="M569" s="80"/>
      <c r="N569" s="80"/>
      <c r="O569" s="80"/>
      <c r="P569" s="80"/>
      <c r="Q569" s="80"/>
      <c r="AF569" s="80"/>
      <c r="AL569" s="80"/>
      <c r="AP569" s="80"/>
      <c r="AZ569" s="80"/>
      <c r="BF569" s="80"/>
      <c r="BQ569" s="80"/>
      <c r="BR569" s="80"/>
      <c r="BS569" s="80"/>
      <c r="BT569" s="80"/>
      <c r="BZ569" s="80"/>
      <c r="CA569" s="80"/>
      <c r="CB569" s="80"/>
      <c r="CC569" s="80"/>
      <c r="CD569" s="80"/>
      <c r="CE569" s="80"/>
      <c r="CG569" s="80"/>
      <c r="CL569" s="80"/>
      <c r="CN569" s="80"/>
      <c r="CO569" s="80"/>
      <c r="CY569" s="80"/>
      <c r="CZ569" s="80"/>
      <c r="DE569" s="80"/>
      <c r="DI569" s="80"/>
      <c r="DJ569" s="80"/>
      <c r="DN569" s="80"/>
      <c r="DO569" s="80"/>
      <c r="DR569" s="80"/>
      <c r="DV569" s="80"/>
      <c r="DX569" s="80"/>
      <c r="EC569" s="80"/>
      <c r="ED569" s="80"/>
      <c r="EF569" s="80"/>
      <c r="EG569" s="80"/>
      <c r="EI569" s="80"/>
      <c r="EK569" s="80"/>
      <c r="EL569" s="80"/>
    </row>
    <row r="570" spans="1:142" ht="12.75" customHeight="1">
      <c r="A570" s="80"/>
      <c r="B570" s="80"/>
      <c r="C570" s="80"/>
      <c r="D570" s="104"/>
      <c r="E570" s="26"/>
      <c r="F570" s="26"/>
      <c r="H570" s="80"/>
      <c r="I570" s="80"/>
      <c r="K570" s="80"/>
      <c r="L570" s="80"/>
      <c r="M570" s="80"/>
      <c r="N570" s="80"/>
      <c r="O570" s="80"/>
      <c r="P570" s="80"/>
      <c r="Q570" s="80"/>
      <c r="AC570" s="80"/>
      <c r="AF570" s="80"/>
      <c r="AK570" s="80"/>
      <c r="AL570" s="80"/>
      <c r="AO570" s="80"/>
      <c r="AP570" s="80"/>
      <c r="AY570" s="80"/>
      <c r="AZ570" s="80"/>
      <c r="BF570" s="80"/>
      <c r="BR570" s="80"/>
      <c r="BZ570" s="80"/>
      <c r="CA570" s="80"/>
      <c r="CB570" s="80"/>
      <c r="CC570" s="80"/>
      <c r="CD570" s="80"/>
      <c r="CE570" s="80"/>
      <c r="CG570" s="80"/>
      <c r="CL570" s="80"/>
      <c r="CN570" s="80"/>
      <c r="CO570" s="80"/>
      <c r="CY570" s="80"/>
      <c r="CZ570" s="80"/>
      <c r="DE570" s="80"/>
      <c r="DI570" s="80"/>
      <c r="DJ570" s="80"/>
      <c r="DN570" s="80"/>
      <c r="DR570" s="80"/>
      <c r="DV570" s="80"/>
      <c r="DX570" s="80"/>
      <c r="EC570" s="80"/>
      <c r="ED570" s="80"/>
      <c r="EK570" s="80"/>
      <c r="EL570" s="80"/>
    </row>
    <row r="571" spans="1:142" ht="12.75" customHeight="1">
      <c r="A571" s="80"/>
      <c r="B571" s="80"/>
      <c r="C571" s="80"/>
      <c r="D571" s="104"/>
      <c r="E571" s="26"/>
      <c r="F571" s="26"/>
      <c r="H571" s="80"/>
      <c r="I571" s="80"/>
      <c r="L571" s="80"/>
      <c r="M571" s="80"/>
      <c r="N571" s="80"/>
      <c r="Q571" s="80"/>
      <c r="AC571" s="80"/>
      <c r="AF571" s="80"/>
      <c r="AK571" s="80"/>
      <c r="AP571" s="80"/>
      <c r="AZ571" s="80"/>
      <c r="BF571" s="80"/>
      <c r="BJ571" s="80"/>
      <c r="BK571" s="80"/>
      <c r="BM571" s="80"/>
      <c r="BQ571" s="80"/>
      <c r="BR571" s="80"/>
      <c r="BS571" s="80"/>
      <c r="BZ571" s="80"/>
      <c r="CA571" s="80"/>
      <c r="CD571" s="80"/>
      <c r="CE571" s="80"/>
      <c r="CG571" s="80"/>
      <c r="CH571" s="80"/>
      <c r="CI571" s="80"/>
      <c r="CK571" s="80"/>
      <c r="CL571" s="80"/>
      <c r="CN571" s="80"/>
      <c r="CO571" s="80"/>
      <c r="CT571" s="80"/>
      <c r="CU571" s="80"/>
      <c r="CY571" s="80"/>
      <c r="CZ571" s="80"/>
      <c r="DA571" s="80"/>
      <c r="DE571" s="80"/>
      <c r="DG571" s="80"/>
      <c r="DH571" s="80"/>
      <c r="DI571" s="80"/>
      <c r="DJ571" s="80"/>
      <c r="DK571" s="80"/>
      <c r="DN571" s="80"/>
      <c r="EL571" s="80"/>
    </row>
    <row r="572" spans="1:142" ht="12.75" customHeight="1">
      <c r="A572" s="80"/>
      <c r="B572" s="80"/>
      <c r="C572" s="80"/>
      <c r="D572" s="104"/>
      <c r="E572" s="26"/>
      <c r="F572" s="26"/>
      <c r="H572" s="80"/>
      <c r="I572" s="80"/>
      <c r="K572" s="80"/>
      <c r="L572" s="80"/>
      <c r="M572" s="80"/>
      <c r="N572" s="80"/>
      <c r="O572" s="80"/>
      <c r="P572" s="80"/>
      <c r="Q572" s="80"/>
      <c r="AF572" s="80"/>
      <c r="AX572" s="80"/>
      <c r="AZ572" s="80"/>
      <c r="BF572" s="80"/>
      <c r="BP572" s="80"/>
      <c r="BQ572" s="80"/>
      <c r="BR572" s="80"/>
      <c r="BZ572" s="80"/>
      <c r="CC572" s="80"/>
      <c r="CD572" s="80"/>
      <c r="CE572" s="80"/>
      <c r="CG572" s="80"/>
      <c r="CL572" s="80"/>
      <c r="CN572" s="80"/>
      <c r="CO572" s="80"/>
      <c r="DA572" s="80"/>
      <c r="DE572" s="80"/>
      <c r="DI572" s="80"/>
      <c r="DJ572" s="80"/>
      <c r="DN572" s="80"/>
      <c r="DR572" s="80"/>
      <c r="DS572" s="80"/>
      <c r="DU572" s="80"/>
      <c r="DV572" s="80"/>
      <c r="DX572" s="80"/>
      <c r="EC572" s="80"/>
      <c r="EL572" s="80"/>
    </row>
    <row r="573" spans="1:142" ht="12.75" customHeight="1">
      <c r="A573" s="80"/>
      <c r="B573" s="80"/>
      <c r="C573" s="80"/>
      <c r="D573" s="104"/>
      <c r="E573" s="26"/>
      <c r="F573" s="26"/>
      <c r="H573" s="80"/>
      <c r="K573" s="80"/>
      <c r="L573" s="80"/>
      <c r="M573" s="80"/>
      <c r="N573" s="80"/>
      <c r="O573" s="80"/>
      <c r="Q573" s="80"/>
      <c r="AB573" s="80"/>
      <c r="AF573" s="80"/>
      <c r="AL573" s="80"/>
      <c r="AP573" s="80"/>
      <c r="AY573" s="80"/>
      <c r="BF573" s="80"/>
      <c r="BJ573" s="80"/>
      <c r="BK573" s="80"/>
      <c r="BO573" s="80"/>
      <c r="BP573" s="80"/>
      <c r="BQ573" s="80"/>
      <c r="BR573" s="80"/>
      <c r="BS573" s="80"/>
      <c r="BZ573" s="80"/>
      <c r="CA573" s="80"/>
      <c r="CB573" s="80"/>
      <c r="CC573" s="80"/>
      <c r="CD573" s="80"/>
      <c r="CE573" s="80"/>
      <c r="CG573" s="80"/>
      <c r="CI573" s="80"/>
      <c r="CK573" s="80"/>
      <c r="CL573" s="80"/>
      <c r="CN573" s="80"/>
      <c r="CO573" s="80"/>
      <c r="CT573" s="80"/>
      <c r="CU573" s="80"/>
      <c r="CY573" s="80"/>
      <c r="CZ573" s="80"/>
      <c r="DA573" s="80"/>
      <c r="DE573" s="80"/>
      <c r="DI573" s="80"/>
      <c r="DJ573" s="80"/>
      <c r="DN573" s="80"/>
      <c r="ED573" s="80"/>
      <c r="EI573" s="80"/>
      <c r="EK573" s="80"/>
      <c r="EL573" s="80"/>
    </row>
    <row r="574" spans="1:142" ht="12.75" customHeight="1">
      <c r="A574" s="80"/>
      <c r="B574" s="80"/>
      <c r="C574" s="80"/>
      <c r="D574" s="104"/>
      <c r="E574" s="26"/>
      <c r="F574" s="26"/>
      <c r="H574" s="80"/>
      <c r="I574" s="80"/>
      <c r="K574" s="80"/>
      <c r="L574" s="80"/>
      <c r="M574" s="80"/>
      <c r="N574" s="80"/>
      <c r="P574" s="80"/>
      <c r="Q574" s="80"/>
      <c r="AF574" s="80"/>
      <c r="AK574" s="80"/>
      <c r="AP574" s="80"/>
      <c r="AZ574" s="80"/>
      <c r="BF574" s="80"/>
      <c r="BL574" s="80"/>
      <c r="BQ574" s="80"/>
      <c r="BR574" s="80"/>
      <c r="BS574" s="80"/>
      <c r="BT574" s="80"/>
      <c r="BZ574" s="80"/>
      <c r="CA574" s="80"/>
      <c r="CB574" s="80"/>
      <c r="CC574" s="80"/>
      <c r="CD574" s="80"/>
      <c r="CE574" s="80"/>
      <c r="CG574" s="80"/>
      <c r="CL574" s="80"/>
      <c r="CN574" s="80"/>
      <c r="CO574" s="80"/>
      <c r="CW574" s="80"/>
      <c r="CY574" s="80"/>
      <c r="CZ574" s="80"/>
      <c r="DA574" s="80"/>
      <c r="DE574" s="80"/>
      <c r="DI574" s="80"/>
      <c r="DJ574" s="80"/>
      <c r="DN574" s="80"/>
      <c r="DR574" s="80"/>
      <c r="DV574" s="80"/>
      <c r="DW574" s="80"/>
      <c r="DX574" s="80"/>
      <c r="EC574" s="80"/>
      <c r="EL574" s="80"/>
    </row>
    <row r="575" spans="1:142" ht="12.75" customHeight="1">
      <c r="A575" s="80"/>
      <c r="B575" s="80"/>
      <c r="C575" s="80"/>
      <c r="D575" s="104"/>
      <c r="E575" s="26"/>
      <c r="F575" s="26"/>
      <c r="H575" s="80"/>
      <c r="I575" s="80"/>
      <c r="K575" s="80"/>
      <c r="L575" s="80"/>
      <c r="M575" s="80"/>
      <c r="N575" s="80"/>
      <c r="O575" s="80"/>
      <c r="Q575" s="80"/>
      <c r="AF575" s="80"/>
      <c r="AK575" s="80"/>
      <c r="AP575" s="80"/>
      <c r="AX575" s="80"/>
      <c r="AY575" s="80"/>
      <c r="AZ575" s="80"/>
      <c r="BF575" s="80"/>
      <c r="BJ575" s="80"/>
      <c r="BQ575" s="80"/>
      <c r="BR575" s="80"/>
      <c r="BS575" s="80"/>
      <c r="BW575" s="80"/>
      <c r="BZ575" s="80"/>
      <c r="CA575" s="80"/>
      <c r="CB575" s="80"/>
      <c r="CC575" s="80"/>
      <c r="CD575" s="80"/>
      <c r="CE575" s="80"/>
      <c r="CG575" s="80"/>
      <c r="CL575" s="80"/>
      <c r="CN575" s="80"/>
      <c r="CO575" s="80"/>
      <c r="CP575" s="80"/>
      <c r="CQ575" s="80"/>
      <c r="CT575" s="80"/>
      <c r="CU575" s="80"/>
      <c r="CY575" s="80"/>
      <c r="CZ575" s="80"/>
      <c r="DA575" s="80"/>
      <c r="DB575" s="80"/>
      <c r="DE575" s="80"/>
      <c r="DF575" s="80"/>
      <c r="DG575" s="80"/>
      <c r="DI575" s="80"/>
      <c r="DJ575" s="80"/>
      <c r="DN575" s="80"/>
      <c r="EJ575" s="80"/>
      <c r="EK575" s="80"/>
      <c r="EL575" s="80"/>
    </row>
    <row r="576" spans="1:142" ht="12.75" customHeight="1">
      <c r="A576" s="80"/>
      <c r="B576" s="80"/>
      <c r="C576" s="80"/>
      <c r="D576" s="104"/>
      <c r="E576" s="26"/>
      <c r="F576" s="26"/>
      <c r="H576" s="80"/>
      <c r="L576" s="80"/>
      <c r="M576" s="80"/>
      <c r="O576" s="80"/>
      <c r="Q576" s="80"/>
      <c r="AB576" s="80"/>
      <c r="AC576" s="80"/>
      <c r="AL576" s="80"/>
      <c r="AP576" s="80"/>
      <c r="AZ576" s="80"/>
      <c r="BF576" s="80"/>
      <c r="BP576" s="80"/>
      <c r="CD576" s="80"/>
      <c r="CE576" s="80"/>
      <c r="CG576" s="80"/>
      <c r="CL576" s="80"/>
      <c r="CN576" s="80"/>
      <c r="CO576" s="80"/>
      <c r="CY576" s="80"/>
      <c r="CZ576" s="80"/>
      <c r="DI576" s="80"/>
      <c r="DJ576" s="80"/>
      <c r="DN576" s="80"/>
      <c r="EF576" s="80"/>
      <c r="EI576" s="80"/>
      <c r="EK576" s="80"/>
      <c r="EL576" s="80"/>
    </row>
    <row r="577" spans="1:142" ht="12.75" customHeight="1">
      <c r="A577" s="80"/>
      <c r="B577" s="80"/>
      <c r="C577" s="80"/>
      <c r="D577" s="104"/>
      <c r="E577" s="26"/>
      <c r="F577" s="26"/>
      <c r="H577" s="80"/>
      <c r="I577" s="80"/>
      <c r="J577" s="80"/>
      <c r="K577" s="80"/>
      <c r="L577" s="80"/>
      <c r="M577" s="80"/>
      <c r="N577" s="80"/>
      <c r="O577" s="80"/>
      <c r="Q577" s="80"/>
      <c r="S577" s="80"/>
      <c r="AB577" s="80"/>
      <c r="AF577" s="80"/>
      <c r="AN577" s="80"/>
      <c r="AP577" s="80"/>
      <c r="AZ577" s="80"/>
      <c r="BF577" s="80"/>
      <c r="BQ577" s="80"/>
      <c r="BR577" s="80"/>
      <c r="BS577" s="80"/>
      <c r="BZ577" s="80"/>
      <c r="CA577" s="80"/>
      <c r="CB577" s="80"/>
      <c r="CC577" s="80"/>
      <c r="CD577" s="80"/>
      <c r="CE577" s="80"/>
      <c r="CG577" s="80"/>
      <c r="CL577" s="80"/>
      <c r="CN577" s="80"/>
      <c r="CO577" s="80"/>
      <c r="CY577" s="80"/>
      <c r="CZ577" s="80"/>
      <c r="DE577" s="80"/>
      <c r="DI577" s="80"/>
      <c r="DJ577" s="80"/>
      <c r="DN577" s="80"/>
      <c r="DR577" s="80"/>
      <c r="DV577" s="80"/>
      <c r="DX577" s="80"/>
      <c r="EC577" s="80"/>
      <c r="EF577" s="80"/>
      <c r="EI577" s="80"/>
      <c r="EL577" s="80"/>
    </row>
    <row r="578" spans="1:142" ht="12.75" customHeight="1">
      <c r="A578" s="80"/>
      <c r="B578" s="80"/>
      <c r="C578" s="80"/>
      <c r="D578" s="104"/>
      <c r="E578" s="26"/>
      <c r="F578" s="26"/>
      <c r="H578" s="80"/>
      <c r="I578" s="80"/>
      <c r="J578" s="80"/>
      <c r="K578" s="80"/>
      <c r="L578" s="80"/>
      <c r="M578" s="80"/>
      <c r="O578" s="80"/>
      <c r="Q578" s="80"/>
      <c r="R578" s="80"/>
      <c r="AF578" s="80"/>
      <c r="AK578" s="80"/>
      <c r="AL578" s="80"/>
      <c r="AP578" s="80"/>
      <c r="AZ578" s="80"/>
      <c r="BF578" s="80"/>
      <c r="BP578" s="80"/>
      <c r="BQ578" s="80"/>
      <c r="BR578" s="80"/>
      <c r="BS578" s="80"/>
      <c r="BT578" s="80"/>
      <c r="BZ578" s="80"/>
      <c r="CA578" s="80"/>
      <c r="CB578" s="80"/>
      <c r="CD578" s="80"/>
      <c r="CE578" s="80"/>
      <c r="CG578" s="80"/>
      <c r="CL578" s="80"/>
      <c r="CY578" s="80"/>
      <c r="CZ578" s="80"/>
      <c r="DE578" s="80"/>
      <c r="DI578" s="80"/>
      <c r="DJ578" s="80"/>
      <c r="DN578" s="80"/>
      <c r="DR578" s="80"/>
      <c r="DV578" s="80"/>
      <c r="DW578" s="80"/>
      <c r="DX578" s="80"/>
      <c r="EC578" s="80"/>
      <c r="EF578" s="80"/>
      <c r="EK578" s="80"/>
      <c r="EL578" s="80"/>
    </row>
    <row r="579" spans="1:142" ht="12.75" customHeight="1">
      <c r="A579" s="80"/>
      <c r="B579" s="80"/>
      <c r="C579" s="80"/>
      <c r="D579" s="104"/>
      <c r="E579" s="26"/>
      <c r="F579" s="26"/>
      <c r="H579" s="80"/>
      <c r="L579" s="80"/>
      <c r="M579" s="80"/>
      <c r="N579" s="80"/>
      <c r="O579" s="80"/>
      <c r="Q579" s="80"/>
      <c r="AF579" s="80"/>
      <c r="AL579" s="80"/>
      <c r="AP579" s="80"/>
      <c r="AY579" s="80"/>
      <c r="BF579" s="80"/>
      <c r="BJ579" s="80"/>
      <c r="BK579" s="80"/>
      <c r="BM579" s="80"/>
      <c r="BP579" s="80"/>
      <c r="BQ579" s="80"/>
      <c r="BR579" s="80"/>
      <c r="BS579" s="80"/>
      <c r="BZ579" s="80"/>
      <c r="CA579" s="80"/>
      <c r="CD579" s="80"/>
      <c r="CE579" s="80"/>
      <c r="CG579" s="80"/>
      <c r="CH579" s="80"/>
      <c r="CI579" s="80"/>
      <c r="CK579" s="80"/>
      <c r="CL579" s="80"/>
      <c r="CN579" s="80"/>
      <c r="CO579" s="80"/>
      <c r="CP579" s="80"/>
      <c r="CT579" s="80"/>
      <c r="CU579" s="80"/>
      <c r="CX579" s="80"/>
      <c r="CY579" s="80"/>
      <c r="CZ579" s="80"/>
      <c r="DA579" s="80"/>
      <c r="DE579" s="80"/>
      <c r="DI579" s="80"/>
      <c r="DJ579" s="80"/>
      <c r="DN579" s="80"/>
      <c r="DO579" s="80"/>
      <c r="DR579" s="80"/>
      <c r="DV579" s="80"/>
      <c r="DW579" s="80"/>
      <c r="DX579" s="80"/>
      <c r="EC579" s="80"/>
      <c r="ED579" s="80"/>
      <c r="EF579" s="80"/>
      <c r="EI579" s="80"/>
      <c r="EK579" s="80"/>
      <c r="EL579" s="80"/>
    </row>
    <row r="580" spans="1:142" ht="12.75" customHeight="1">
      <c r="A580" s="80"/>
      <c r="B580" s="80"/>
      <c r="C580" s="80"/>
      <c r="D580" s="104"/>
      <c r="E580" s="26"/>
      <c r="F580" s="26"/>
      <c r="H580" s="80"/>
      <c r="J580" s="80"/>
      <c r="K580" s="80"/>
      <c r="L580" s="80"/>
      <c r="M580" s="80"/>
      <c r="N580" s="80"/>
      <c r="O580" s="80"/>
      <c r="P580" s="80"/>
      <c r="Q580" s="80"/>
      <c r="AC580" s="80"/>
      <c r="AF580" s="80"/>
      <c r="AK580" s="80"/>
      <c r="AP580" s="80"/>
      <c r="AX580" s="80"/>
      <c r="AZ580" s="80"/>
      <c r="BF580" s="80"/>
      <c r="BJ580" s="80"/>
      <c r="BP580" s="80"/>
      <c r="BQ580" s="80"/>
      <c r="BR580" s="80"/>
      <c r="BS580" s="80"/>
      <c r="BZ580" s="80"/>
      <c r="CA580" s="80"/>
      <c r="CB580" s="80"/>
      <c r="CC580" s="80"/>
      <c r="CD580" s="80"/>
      <c r="CE580" s="80"/>
      <c r="CG580" s="80"/>
      <c r="CI580" s="80"/>
      <c r="CK580" s="80"/>
      <c r="CL580" s="80"/>
      <c r="CN580" s="80"/>
      <c r="CO580" s="80"/>
      <c r="CT580" s="80"/>
      <c r="CU580" s="80"/>
      <c r="CY580" s="80"/>
      <c r="CZ580" s="80"/>
      <c r="DA580" s="80"/>
      <c r="DE580" s="80"/>
      <c r="DI580" s="80"/>
      <c r="DJ580" s="80"/>
      <c r="DN580" s="80"/>
      <c r="DO580" s="80"/>
      <c r="DP580" s="80"/>
      <c r="DR580" s="80"/>
      <c r="DV580" s="80"/>
      <c r="DW580" s="80"/>
      <c r="DX580" s="80"/>
      <c r="EC580" s="80"/>
      <c r="ED580" s="80"/>
      <c r="EF580" s="80"/>
      <c r="EI580" s="80"/>
      <c r="EK580" s="80"/>
      <c r="EL580" s="80"/>
    </row>
    <row r="581" spans="1:142" ht="12.75" customHeight="1">
      <c r="A581" s="80"/>
      <c r="B581" s="80"/>
      <c r="C581" s="80"/>
      <c r="D581" s="104"/>
      <c r="E581" s="26"/>
      <c r="F581" s="26"/>
      <c r="H581" s="80"/>
      <c r="I581" s="80"/>
      <c r="J581" s="80"/>
      <c r="L581" s="80"/>
      <c r="M581" s="80"/>
      <c r="Q581" s="80"/>
      <c r="AC581" s="80"/>
      <c r="AF581" s="80"/>
      <c r="AY581" s="80"/>
      <c r="BF581" s="80"/>
      <c r="BJ581" s="80"/>
      <c r="BK581" s="80"/>
      <c r="BP581" s="80"/>
      <c r="BQ581" s="80"/>
      <c r="BR581" s="80"/>
      <c r="BS581" s="80"/>
      <c r="BT581" s="80"/>
      <c r="BZ581" s="80"/>
      <c r="CA581" s="80"/>
      <c r="CB581" s="80"/>
      <c r="CC581" s="80"/>
      <c r="CD581" s="80"/>
      <c r="CE581" s="80"/>
      <c r="CG581" s="80"/>
      <c r="CI581" s="80"/>
      <c r="CK581" s="80"/>
      <c r="CL581" s="80"/>
      <c r="CT581" s="80"/>
      <c r="CU581" s="80"/>
      <c r="CY581" s="80"/>
      <c r="CZ581" s="80"/>
      <c r="DA581" s="80"/>
      <c r="DE581" s="80"/>
      <c r="DI581" s="80"/>
      <c r="DJ581" s="80"/>
      <c r="DN581" s="80"/>
      <c r="EL581" s="80"/>
    </row>
    <row r="582" spans="1:142" ht="12.75" customHeight="1">
      <c r="A582" s="80"/>
      <c r="B582" s="80"/>
      <c r="C582" s="80"/>
      <c r="D582" s="104"/>
      <c r="E582" s="26"/>
      <c r="F582" s="26"/>
      <c r="H582" s="80"/>
      <c r="J582" s="80"/>
      <c r="K582" s="80"/>
      <c r="L582" s="80"/>
      <c r="M582" s="80"/>
      <c r="O582" s="80"/>
      <c r="P582" s="80"/>
      <c r="Q582" s="80"/>
      <c r="AB582" s="80"/>
      <c r="AF582" s="80"/>
      <c r="AK582" s="80"/>
      <c r="AL582" s="80"/>
      <c r="AP582" s="80"/>
      <c r="AZ582" s="80"/>
      <c r="BF582" s="80"/>
      <c r="BJ582" s="80"/>
      <c r="BK582" s="80"/>
      <c r="BQ582" s="80"/>
      <c r="BR582" s="80"/>
      <c r="BS582" s="80"/>
      <c r="BZ582" s="80"/>
      <c r="CA582" s="80"/>
      <c r="CB582" s="80"/>
      <c r="CD582" s="80"/>
      <c r="CE582" s="80"/>
      <c r="CG582" s="80"/>
      <c r="CL582" s="80"/>
      <c r="CN582" s="80"/>
      <c r="CO582" s="80"/>
      <c r="CW582" s="80"/>
      <c r="CY582" s="80"/>
      <c r="CZ582" s="80"/>
      <c r="DA582" s="80"/>
      <c r="DE582" s="80"/>
      <c r="DI582" s="80"/>
      <c r="DJ582" s="80"/>
      <c r="DN582" s="80"/>
      <c r="DR582" s="80"/>
      <c r="DV582" s="80"/>
      <c r="DW582" s="80"/>
      <c r="DX582" s="80"/>
      <c r="EC582" s="80"/>
      <c r="EL582" s="80"/>
    </row>
    <row r="583" spans="1:142" ht="12.75" customHeight="1">
      <c r="A583" s="80"/>
      <c r="B583" s="80"/>
      <c r="C583" s="80"/>
      <c r="D583" s="104"/>
      <c r="E583" s="26"/>
      <c r="F583" s="26"/>
      <c r="H583" s="80"/>
      <c r="K583" s="80"/>
      <c r="L583" s="80"/>
      <c r="M583" s="80"/>
      <c r="N583" s="80"/>
      <c r="O583" s="80"/>
      <c r="P583" s="80"/>
      <c r="Q583" s="80"/>
      <c r="AF583" s="80"/>
      <c r="AK583" s="80"/>
      <c r="AP583" s="80"/>
      <c r="AZ583" s="80"/>
      <c r="BF583" s="80"/>
      <c r="BQ583" s="80"/>
      <c r="BR583" s="80"/>
      <c r="BS583" s="80"/>
      <c r="BZ583" s="80"/>
      <c r="CA583" s="80"/>
      <c r="CB583" s="80"/>
      <c r="CC583" s="80"/>
      <c r="CD583" s="80"/>
      <c r="CE583" s="80"/>
      <c r="CG583" s="80"/>
      <c r="CL583" s="80"/>
      <c r="CN583" s="80"/>
      <c r="CO583" s="80"/>
      <c r="CY583" s="80"/>
      <c r="CZ583" s="80"/>
      <c r="DA583" s="80"/>
      <c r="DE583" s="80"/>
      <c r="DI583" s="80"/>
      <c r="DJ583" s="80"/>
      <c r="DN583" s="80"/>
      <c r="DR583" s="80"/>
      <c r="DV583" s="80"/>
      <c r="DX583" s="80"/>
      <c r="EC583" s="80"/>
      <c r="EF583" s="80"/>
      <c r="EJ583" s="80"/>
      <c r="EK583" s="80"/>
      <c r="EL583" s="80"/>
    </row>
    <row r="584" spans="1:142" ht="12.75" customHeight="1">
      <c r="A584" s="80"/>
      <c r="B584" s="80"/>
      <c r="C584" s="80"/>
      <c r="D584" s="104"/>
      <c r="E584" s="26"/>
      <c r="F584" s="26"/>
      <c r="H584" s="80"/>
      <c r="J584" s="80"/>
      <c r="K584" s="80"/>
      <c r="L584" s="80"/>
      <c r="M584" s="80"/>
      <c r="O584" s="80"/>
      <c r="P584" s="80"/>
      <c r="Q584" s="80"/>
      <c r="AF584" s="80"/>
      <c r="AK584" s="80"/>
      <c r="AP584" s="80"/>
      <c r="AV584" s="80"/>
      <c r="AY584" s="80"/>
      <c r="BA584" s="80"/>
      <c r="BF584" s="80"/>
      <c r="BQ584" s="80"/>
      <c r="BR584" s="80"/>
      <c r="BS584" s="80"/>
      <c r="BZ584" s="80"/>
      <c r="CA584" s="80"/>
      <c r="CB584" s="80"/>
      <c r="CC584" s="80"/>
      <c r="CD584" s="80"/>
      <c r="CE584" s="80"/>
      <c r="CG584" s="80"/>
      <c r="CL584" s="80"/>
      <c r="CN584" s="80"/>
      <c r="CO584" s="80"/>
      <c r="CY584" s="80"/>
      <c r="CZ584" s="80"/>
      <c r="DA584" s="80"/>
      <c r="DE584" s="80"/>
      <c r="DI584" s="80"/>
      <c r="DJ584" s="80"/>
      <c r="DN584" s="80"/>
      <c r="DR584" s="80"/>
      <c r="DV584" s="80"/>
      <c r="DX584" s="80"/>
      <c r="EC584" s="80"/>
      <c r="EL584" s="80"/>
    </row>
    <row r="585" spans="1:142" ht="12.75" customHeight="1">
      <c r="A585" s="80"/>
      <c r="B585" s="80"/>
      <c r="C585" s="80"/>
      <c r="D585" s="104"/>
      <c r="E585" s="26"/>
      <c r="F585" s="26"/>
      <c r="H585" s="80"/>
      <c r="I585" s="80"/>
      <c r="K585" s="80"/>
      <c r="L585" s="80"/>
      <c r="M585" s="80"/>
      <c r="O585" s="80"/>
      <c r="Q585" s="80"/>
      <c r="AC585" s="80"/>
      <c r="AF585" s="80"/>
      <c r="AK585" s="80"/>
      <c r="AP585" s="80"/>
      <c r="AY585" s="80"/>
      <c r="BF585" s="80"/>
      <c r="BQ585" s="80"/>
      <c r="BR585" s="80"/>
      <c r="BS585" s="80"/>
      <c r="BZ585" s="80"/>
      <c r="CA585" s="80"/>
      <c r="CB585" s="80"/>
      <c r="CC585" s="80"/>
      <c r="CD585" s="80"/>
      <c r="CE585" s="80"/>
      <c r="CG585" s="80"/>
      <c r="CL585" s="80"/>
      <c r="CN585" s="80"/>
      <c r="CO585" s="80"/>
      <c r="CW585" s="80"/>
      <c r="CY585" s="80"/>
      <c r="CZ585" s="80"/>
      <c r="DA585" s="80"/>
      <c r="DE585" s="80"/>
      <c r="DF585" s="80"/>
      <c r="DG585" s="80"/>
      <c r="DH585" s="80"/>
      <c r="DI585" s="80"/>
      <c r="DJ585" s="80"/>
      <c r="DN585" s="80"/>
      <c r="EI585" s="80"/>
      <c r="EJ585" s="80"/>
      <c r="EK585" s="80"/>
      <c r="EL585" s="80"/>
    </row>
    <row r="586" spans="1:142" ht="12.75" customHeight="1">
      <c r="A586" s="80"/>
      <c r="B586" s="80"/>
      <c r="C586" s="80"/>
      <c r="D586" s="104"/>
      <c r="E586" s="26"/>
      <c r="F586" s="26"/>
      <c r="M586" s="80"/>
      <c r="O586" s="80"/>
      <c r="Q586" s="80"/>
      <c r="S586" s="80"/>
      <c r="AL586" s="80"/>
      <c r="AP586" s="80"/>
      <c r="AW586" s="80"/>
      <c r="AZ586" s="80"/>
      <c r="BF586" s="80"/>
      <c r="CD586" s="80"/>
      <c r="CE586" s="80"/>
      <c r="CG586" s="80"/>
      <c r="CL586" s="80"/>
      <c r="CN586" s="80"/>
      <c r="CO586" s="80"/>
      <c r="CY586" s="80"/>
      <c r="CZ586" s="80"/>
      <c r="DN586" s="80"/>
      <c r="EF586" s="80"/>
      <c r="EK586" s="80"/>
      <c r="EL586" s="80"/>
    </row>
    <row r="587" spans="1:142" ht="12.75" customHeight="1">
      <c r="A587" s="80"/>
      <c r="B587" s="80"/>
      <c r="C587" s="80"/>
      <c r="D587" s="104"/>
      <c r="E587" s="26"/>
      <c r="F587" s="26"/>
      <c r="H587" s="80"/>
      <c r="K587" s="80"/>
      <c r="L587" s="80"/>
      <c r="M587" s="80"/>
      <c r="N587" s="80"/>
      <c r="O587" s="80"/>
      <c r="Q587" s="80"/>
      <c r="AG587" s="80"/>
      <c r="AR587" s="80"/>
      <c r="AT587" s="80"/>
      <c r="AX587" s="80"/>
      <c r="AZ587" s="80"/>
      <c r="BF587" s="80"/>
      <c r="BJ587" s="80"/>
      <c r="BP587" s="80"/>
      <c r="BR587" s="80"/>
      <c r="BT587" s="80"/>
      <c r="BV587" s="80"/>
      <c r="BX587" s="80"/>
      <c r="BY587" s="80"/>
      <c r="CA587" s="80"/>
      <c r="CB587" s="80"/>
      <c r="CD587" s="80"/>
      <c r="CE587" s="80"/>
      <c r="CG587" s="80"/>
      <c r="CL587" s="80"/>
      <c r="CN587" s="80"/>
      <c r="CO587" s="80"/>
      <c r="CY587" s="80"/>
      <c r="CZ587" s="80"/>
      <c r="DA587" s="80"/>
      <c r="DI587" s="80"/>
      <c r="DJ587" s="80"/>
      <c r="DN587" s="80"/>
      <c r="EJ587" s="80"/>
      <c r="EK587" s="80"/>
      <c r="EL587" s="80"/>
    </row>
    <row r="588" spans="1:142" ht="12.75" customHeight="1">
      <c r="A588" s="80"/>
      <c r="B588" s="80"/>
      <c r="C588" s="80"/>
      <c r="D588" s="104"/>
      <c r="E588" s="26"/>
      <c r="F588" s="26"/>
      <c r="H588" s="80"/>
      <c r="I588" s="80"/>
      <c r="K588" s="80"/>
      <c r="L588" s="80"/>
      <c r="M588" s="80"/>
      <c r="N588" s="80"/>
      <c r="O588" s="80"/>
      <c r="P588" s="80"/>
      <c r="Q588" s="80"/>
      <c r="S588" s="80"/>
      <c r="T588" s="80"/>
      <c r="V588" s="80"/>
      <c r="AF588" s="80"/>
      <c r="AK588" s="80"/>
      <c r="AL588" s="80"/>
      <c r="AP588" s="80"/>
      <c r="AV588" s="80"/>
      <c r="AX588" s="80"/>
      <c r="AZ588" s="80"/>
      <c r="BF588" s="80"/>
      <c r="BJ588" s="80"/>
      <c r="BP588" s="80"/>
      <c r="BQ588" s="80"/>
      <c r="BR588" s="80"/>
      <c r="BS588" s="80"/>
      <c r="BT588" s="80"/>
      <c r="BZ588" s="80"/>
      <c r="CA588" s="80"/>
      <c r="CB588" s="80"/>
      <c r="CC588" s="80"/>
      <c r="CD588" s="80"/>
      <c r="CE588" s="80"/>
      <c r="CG588" s="80"/>
      <c r="CL588" s="80"/>
      <c r="CN588" s="80"/>
      <c r="CO588" s="80"/>
      <c r="CQ588" s="80"/>
      <c r="CU588" s="80"/>
      <c r="CW588" s="80"/>
      <c r="CY588" s="80"/>
      <c r="CZ588" s="80"/>
      <c r="DA588" s="80"/>
      <c r="DE588" s="80"/>
      <c r="DF588" s="80"/>
      <c r="DI588" s="80"/>
      <c r="DJ588" s="80"/>
      <c r="DN588" s="80"/>
      <c r="DO588" s="80"/>
      <c r="DR588" s="80"/>
      <c r="DV588" s="80"/>
      <c r="DW588" s="80"/>
      <c r="DX588" s="80"/>
      <c r="EC588" s="80"/>
      <c r="EL588" s="80"/>
    </row>
    <row r="589" spans="1:142" ht="12.75" customHeight="1">
      <c r="A589" s="80"/>
      <c r="B589" s="80"/>
      <c r="C589" s="80"/>
      <c r="D589" s="104"/>
      <c r="E589" s="26"/>
      <c r="F589" s="26"/>
      <c r="H589" s="80"/>
      <c r="I589" s="80"/>
      <c r="K589" s="80"/>
      <c r="L589" s="80"/>
      <c r="M589" s="80"/>
      <c r="N589" s="80"/>
      <c r="O589" s="80"/>
      <c r="P589" s="80"/>
      <c r="Q589" s="80"/>
      <c r="AB589" s="80"/>
      <c r="AF589" s="80"/>
      <c r="AK589" s="80"/>
      <c r="AP589" s="80"/>
      <c r="AV589" s="80"/>
      <c r="AZ589" s="80"/>
      <c r="BF589" s="80"/>
      <c r="BR589" s="80"/>
      <c r="BZ589" s="80"/>
      <c r="CA589" s="80"/>
      <c r="CB589" s="80"/>
      <c r="CC589" s="80"/>
      <c r="CD589" s="80"/>
      <c r="CE589" s="80"/>
      <c r="CG589" s="80"/>
      <c r="CL589" s="80"/>
      <c r="CN589" s="80"/>
      <c r="CO589" s="80"/>
      <c r="CY589" s="80"/>
      <c r="CZ589" s="80"/>
      <c r="DA589" s="80"/>
      <c r="DE589" s="80"/>
      <c r="DI589" s="80"/>
      <c r="DJ589" s="80"/>
      <c r="DN589" s="80"/>
      <c r="DR589" s="80"/>
      <c r="DS589" s="80"/>
      <c r="DT589" s="80"/>
      <c r="DU589" s="80"/>
      <c r="DV589" s="80"/>
      <c r="DW589" s="80"/>
      <c r="DX589" s="80"/>
      <c r="EC589" s="80"/>
      <c r="ED589" s="80"/>
      <c r="EK589" s="80"/>
      <c r="EL589" s="80"/>
    </row>
    <row r="590" spans="1:142" ht="12.75" customHeight="1">
      <c r="A590" s="80"/>
      <c r="B590" s="80"/>
      <c r="C590" s="80"/>
      <c r="D590" s="104"/>
      <c r="E590" s="26"/>
      <c r="F590" s="26"/>
      <c r="H590" s="80"/>
      <c r="K590" s="80"/>
      <c r="L590" s="80"/>
      <c r="M590" s="80"/>
      <c r="Q590" s="80"/>
      <c r="AF590" s="80"/>
      <c r="AK590" s="80"/>
      <c r="AP590" s="80"/>
      <c r="AZ590" s="80"/>
      <c r="BF590" s="80"/>
      <c r="BJ590" s="80"/>
      <c r="BK590" s="80"/>
      <c r="BQ590" s="80"/>
      <c r="BR590" s="80"/>
      <c r="BT590" s="80"/>
      <c r="BZ590" s="80"/>
      <c r="CA590" s="80"/>
      <c r="CB590" s="80"/>
      <c r="CC590" s="80"/>
      <c r="CD590" s="80"/>
      <c r="CE590" s="80"/>
      <c r="CG590" s="80"/>
      <c r="CL590" s="80"/>
      <c r="CW590" s="80"/>
      <c r="CY590" s="80"/>
      <c r="CZ590" s="80"/>
      <c r="DA590" s="80"/>
      <c r="DE590" s="80"/>
      <c r="DI590" s="80"/>
      <c r="DJ590" s="80"/>
      <c r="DN590" s="80"/>
      <c r="EL590" s="80"/>
    </row>
    <row r="591" spans="1:142" ht="12.75" customHeight="1">
      <c r="A591" s="80"/>
      <c r="B591" s="80"/>
      <c r="C591" s="80"/>
      <c r="D591" s="104"/>
      <c r="E591" s="26"/>
      <c r="F591" s="26"/>
      <c r="H591" s="80"/>
      <c r="I591" s="80"/>
      <c r="J591" s="80"/>
      <c r="K591" s="80"/>
      <c r="L591" s="80"/>
      <c r="M591" s="80"/>
      <c r="O591" s="80"/>
      <c r="P591" s="80"/>
      <c r="Q591" s="80"/>
      <c r="AC591" s="80"/>
      <c r="AF591" s="80"/>
      <c r="AL591" s="80"/>
      <c r="AP591" s="80"/>
      <c r="AZ591" s="80"/>
      <c r="BF591" s="80"/>
      <c r="BQ591" s="80"/>
      <c r="BR591" s="80"/>
      <c r="BS591" s="80"/>
      <c r="BZ591" s="80"/>
      <c r="CA591" s="80"/>
      <c r="CB591" s="80"/>
      <c r="CC591" s="80"/>
      <c r="CD591" s="80"/>
      <c r="CE591" s="80"/>
      <c r="CG591" s="80"/>
      <c r="CL591" s="80"/>
      <c r="CY591" s="80"/>
      <c r="CZ591" s="80"/>
      <c r="DA591" s="80"/>
      <c r="DE591" s="80"/>
      <c r="DI591" s="80"/>
      <c r="DJ591" s="80"/>
      <c r="DN591" s="80"/>
      <c r="DR591" s="80"/>
      <c r="DV591" s="80"/>
      <c r="DX591" s="80"/>
      <c r="EC591" s="80"/>
      <c r="EL591" s="80"/>
    </row>
    <row r="592" spans="1:142" ht="12.75" customHeight="1">
      <c r="A592" s="80"/>
      <c r="B592" s="80"/>
      <c r="C592" s="80"/>
      <c r="D592" s="104"/>
      <c r="E592" s="26"/>
      <c r="F592" s="26"/>
      <c r="H592" s="80"/>
      <c r="I592" s="80"/>
      <c r="J592" s="80"/>
      <c r="K592" s="80"/>
      <c r="L592" s="80"/>
      <c r="M592" s="80"/>
      <c r="O592" s="80"/>
      <c r="Q592" s="80"/>
      <c r="S592" s="80"/>
      <c r="AD592" s="80"/>
      <c r="AF592" s="80"/>
      <c r="AX592" s="80"/>
      <c r="AZ592" s="80"/>
      <c r="BF592" s="80"/>
      <c r="BJ592" s="80"/>
      <c r="BQ592" s="80"/>
      <c r="BR592" s="80"/>
      <c r="BS592" s="80"/>
      <c r="BT592" s="80"/>
      <c r="BZ592" s="80"/>
      <c r="CA592" s="80"/>
      <c r="CB592" s="80"/>
      <c r="CC592" s="80"/>
      <c r="CD592" s="80"/>
      <c r="CE592" s="80"/>
      <c r="CG592" s="80"/>
      <c r="CL592" s="80"/>
      <c r="CN592" s="80"/>
      <c r="CO592" s="80"/>
      <c r="CW592" s="80"/>
      <c r="CY592" s="80"/>
      <c r="CZ592" s="80"/>
      <c r="DA592" s="80"/>
      <c r="DE592" s="80"/>
      <c r="DI592" s="80"/>
      <c r="DJ592" s="80"/>
      <c r="DN592" s="80"/>
      <c r="EL592" s="80"/>
    </row>
    <row r="593" spans="1:142" ht="12.75" customHeight="1">
      <c r="A593" s="80"/>
      <c r="B593" s="80"/>
      <c r="C593" s="80"/>
      <c r="D593" s="104"/>
      <c r="E593" s="26"/>
      <c r="F593" s="26"/>
      <c r="H593" s="80"/>
      <c r="L593" s="80"/>
      <c r="M593" s="80"/>
      <c r="Q593" s="80"/>
      <c r="AF593" s="80"/>
      <c r="AL593" s="80"/>
      <c r="AP593" s="80"/>
      <c r="AY593" s="80"/>
      <c r="BF593" s="80"/>
      <c r="BJ593" s="80"/>
      <c r="BL593" s="80"/>
      <c r="BQ593" s="80"/>
      <c r="BR593" s="80"/>
      <c r="CA593" s="80"/>
      <c r="CD593" s="80"/>
      <c r="CE593" s="80"/>
      <c r="CG593" s="80"/>
      <c r="CL593" s="80"/>
      <c r="CW593" s="80"/>
      <c r="CY593" s="80"/>
      <c r="CZ593" s="80"/>
      <c r="DA593" s="80"/>
      <c r="DE593" s="80"/>
      <c r="DI593" s="80"/>
      <c r="DJ593" s="80"/>
      <c r="DN593" s="80"/>
      <c r="ED593" s="80"/>
      <c r="EI593" s="80"/>
      <c r="EK593" s="80"/>
      <c r="EL593" s="80"/>
    </row>
    <row r="594" spans="1:142" ht="12.75" customHeight="1">
      <c r="A594" s="80"/>
      <c r="B594" s="80"/>
      <c r="C594" s="80"/>
      <c r="D594" s="104"/>
      <c r="E594" s="26"/>
      <c r="F594" s="26"/>
      <c r="H594" s="80"/>
      <c r="L594" s="80"/>
      <c r="M594" s="80"/>
      <c r="N594" s="80"/>
      <c r="Q594" s="80"/>
      <c r="AF594" s="80"/>
      <c r="AL594" s="80"/>
      <c r="AP594" s="80"/>
      <c r="AZ594" s="80"/>
      <c r="BF594" s="80"/>
      <c r="BJ594" s="80"/>
      <c r="BQ594" s="80"/>
      <c r="BR594" s="80"/>
      <c r="BS594" s="80"/>
      <c r="BT594" s="80"/>
      <c r="BZ594" s="80"/>
      <c r="CA594" s="80"/>
      <c r="CB594" s="80"/>
      <c r="CC594" s="80"/>
      <c r="CD594" s="80"/>
      <c r="CE594" s="80"/>
      <c r="CG594" s="80"/>
      <c r="CI594" s="80"/>
      <c r="CK594" s="80"/>
      <c r="CL594" s="80"/>
      <c r="CN594" s="80"/>
      <c r="CO594" s="80"/>
      <c r="CY594" s="80"/>
      <c r="CZ594" s="80"/>
      <c r="DA594" s="80"/>
      <c r="DE594" s="80"/>
      <c r="DI594" s="80"/>
      <c r="DJ594" s="80"/>
      <c r="DN594" s="80"/>
      <c r="EL594" s="80"/>
    </row>
    <row r="595" spans="1:142" ht="12.75" customHeight="1">
      <c r="A595" s="80"/>
      <c r="B595" s="80"/>
      <c r="C595" s="80"/>
      <c r="D595" s="104"/>
      <c r="E595" s="26"/>
      <c r="F595" s="26"/>
      <c r="H595" s="80"/>
      <c r="I595" s="80"/>
      <c r="J595" s="80"/>
      <c r="K595" s="80"/>
      <c r="L595" s="80"/>
      <c r="M595" s="80"/>
      <c r="O595" s="80"/>
      <c r="P595" s="80"/>
      <c r="Q595" s="80"/>
      <c r="S595" s="80"/>
      <c r="AD595" s="80"/>
      <c r="AF595" s="80"/>
      <c r="AK595" s="80"/>
      <c r="AL595" s="80"/>
      <c r="AP595" s="80"/>
      <c r="AX595" s="80"/>
      <c r="AZ595" s="80"/>
      <c r="BF595" s="80"/>
      <c r="BJ595" s="80"/>
      <c r="BQ595" s="80"/>
      <c r="BR595" s="80"/>
      <c r="BS595" s="80"/>
      <c r="BZ595" s="80"/>
      <c r="CA595" s="80"/>
      <c r="CB595" s="80"/>
      <c r="CC595" s="80"/>
      <c r="CD595" s="80"/>
      <c r="CE595" s="80"/>
      <c r="CG595" s="80"/>
      <c r="CL595" s="80"/>
      <c r="CY595" s="80"/>
      <c r="CZ595" s="80"/>
      <c r="DA595" s="80"/>
      <c r="DE595" s="80"/>
      <c r="DI595" s="80"/>
      <c r="DJ595" s="80"/>
      <c r="DN595" s="80"/>
      <c r="DR595" s="80"/>
      <c r="DV595" s="80"/>
      <c r="DX595" s="80"/>
      <c r="EC595" s="80"/>
      <c r="EL595" s="80"/>
    </row>
    <row r="596" spans="1:142" ht="12.75" customHeight="1">
      <c r="A596" s="80"/>
      <c r="B596" s="80"/>
      <c r="C596" s="80"/>
      <c r="D596" s="104"/>
      <c r="E596" s="26"/>
      <c r="F596" s="26"/>
      <c r="H596" s="80"/>
      <c r="I596" s="80"/>
      <c r="J596" s="80"/>
      <c r="K596" s="80"/>
      <c r="L596" s="80"/>
      <c r="M596" s="80"/>
      <c r="N596" s="80"/>
      <c r="P596" s="80"/>
      <c r="Q596" s="80"/>
      <c r="AF596" s="80"/>
      <c r="AK596" s="80"/>
      <c r="AP596" s="80"/>
      <c r="AX596" s="80"/>
      <c r="AZ596" s="80"/>
      <c r="BF596" s="80"/>
      <c r="BJ596" s="80"/>
      <c r="BQ596" s="80"/>
      <c r="BR596" s="80"/>
      <c r="CA596" s="80"/>
      <c r="CB596" s="80"/>
      <c r="CD596" s="80"/>
      <c r="CE596" s="80"/>
      <c r="CG596" s="80"/>
      <c r="CL596" s="80"/>
      <c r="DE596" s="80"/>
      <c r="DI596" s="80"/>
      <c r="DJ596" s="80"/>
      <c r="DN596" s="80"/>
      <c r="EL596" s="80"/>
    </row>
    <row r="597" spans="1:142" ht="12.75" customHeight="1">
      <c r="A597" s="80"/>
      <c r="B597" s="80"/>
      <c r="C597" s="80"/>
      <c r="D597" s="104"/>
      <c r="E597" s="26"/>
      <c r="F597" s="26"/>
      <c r="H597" s="80"/>
      <c r="I597" s="80"/>
      <c r="K597" s="80"/>
      <c r="L597" s="80"/>
      <c r="M597" s="80"/>
      <c r="N597" s="80"/>
      <c r="Q597" s="80"/>
      <c r="AF597" s="80"/>
      <c r="AX597" s="80"/>
      <c r="AZ597" s="80"/>
      <c r="BF597" s="80"/>
      <c r="BJ597" s="80"/>
      <c r="BQ597" s="80"/>
      <c r="BR597" s="80"/>
      <c r="BS597" s="80"/>
      <c r="BT597" s="80"/>
      <c r="BZ597" s="80"/>
      <c r="CA597" s="80"/>
      <c r="CB597" s="80"/>
      <c r="CC597" s="80"/>
      <c r="CD597" s="80"/>
      <c r="CE597" s="80"/>
      <c r="CG597" s="80"/>
      <c r="CL597" s="80"/>
      <c r="CN597" s="80"/>
      <c r="CO597" s="80"/>
      <c r="CY597" s="80"/>
      <c r="CZ597" s="80"/>
      <c r="DA597" s="80"/>
      <c r="DE597" s="80"/>
      <c r="DI597" s="80"/>
      <c r="DJ597" s="80"/>
      <c r="DN597" s="80"/>
      <c r="DR597" s="80"/>
      <c r="DV597" s="80"/>
      <c r="DW597" s="80"/>
      <c r="DX597" s="80"/>
      <c r="EC597" s="80"/>
      <c r="EL597" s="80"/>
    </row>
    <row r="598" spans="1:142" ht="12.75" customHeight="1">
      <c r="A598" s="80"/>
      <c r="B598" s="80"/>
      <c r="C598" s="80"/>
      <c r="D598" s="104"/>
      <c r="E598" s="26"/>
      <c r="F598" s="26"/>
      <c r="I598" s="80"/>
      <c r="J598" s="80"/>
      <c r="K598" s="80"/>
      <c r="L598" s="80"/>
      <c r="M598" s="80"/>
      <c r="N598" s="80"/>
      <c r="P598" s="80"/>
      <c r="Q598" s="80"/>
      <c r="AF598" s="80"/>
      <c r="AL598" s="80"/>
      <c r="AP598" s="80"/>
      <c r="AZ598" s="80"/>
      <c r="BF598" s="80"/>
      <c r="BJ598" s="80"/>
      <c r="BQ598" s="80"/>
      <c r="BR598" s="80"/>
      <c r="BZ598" s="80"/>
      <c r="CA598" s="80"/>
      <c r="CB598" s="80"/>
      <c r="CC598" s="80"/>
      <c r="CD598" s="80"/>
      <c r="CE598" s="80"/>
      <c r="CG598" s="80"/>
      <c r="CL598" s="80"/>
      <c r="CY598" s="80"/>
      <c r="CZ598" s="80"/>
      <c r="DA598" s="80"/>
      <c r="DE598" s="80"/>
      <c r="DI598" s="80"/>
      <c r="DJ598" s="80"/>
      <c r="DN598" s="80"/>
      <c r="DR598" s="80"/>
      <c r="DV598" s="80"/>
      <c r="DW598" s="80"/>
      <c r="DX598" s="80"/>
      <c r="EC598" s="80"/>
      <c r="EL598" s="80"/>
    </row>
    <row r="599" spans="1:142" ht="12.75" customHeight="1">
      <c r="A599" s="80"/>
      <c r="B599" s="80"/>
      <c r="C599" s="80"/>
      <c r="D599" s="104"/>
      <c r="E599" s="26"/>
      <c r="F599" s="26"/>
      <c r="H599" s="80"/>
      <c r="I599" s="80"/>
      <c r="J599" s="80"/>
      <c r="K599" s="80"/>
      <c r="L599" s="80"/>
      <c r="M599" s="80"/>
      <c r="N599" s="80"/>
      <c r="O599" s="80"/>
      <c r="P599" s="80"/>
      <c r="Q599" s="80"/>
      <c r="AF599" s="80"/>
      <c r="AI599" s="80"/>
      <c r="AL599" s="80"/>
      <c r="AP599" s="80"/>
      <c r="AZ599" s="80"/>
      <c r="BF599" s="80"/>
      <c r="BJ599" s="80"/>
      <c r="BQ599" s="80"/>
      <c r="BR599" s="80"/>
      <c r="BS599" s="80"/>
      <c r="BZ599" s="80"/>
      <c r="CA599" s="80"/>
      <c r="CB599" s="80"/>
      <c r="CD599" s="80"/>
      <c r="CE599" s="80"/>
      <c r="CG599" s="80"/>
      <c r="CL599" s="80"/>
      <c r="CN599" s="80"/>
      <c r="CO599" s="80"/>
      <c r="CW599" s="80"/>
      <c r="CY599" s="80"/>
      <c r="CZ599" s="80"/>
      <c r="DA599" s="80"/>
      <c r="DE599" s="80"/>
      <c r="DI599" s="80"/>
      <c r="DJ599" s="80"/>
      <c r="DN599" s="80"/>
      <c r="DR599" s="80"/>
      <c r="DT599" s="80"/>
      <c r="DU599" s="80"/>
      <c r="DV599" s="80"/>
      <c r="DX599" s="80"/>
      <c r="EC599" s="80"/>
      <c r="EL599" s="80"/>
    </row>
    <row r="600" spans="1:142" ht="12.75" customHeight="1">
      <c r="A600" s="80"/>
      <c r="B600" s="80"/>
      <c r="C600" s="80"/>
      <c r="D600" s="104"/>
      <c r="E600" s="26"/>
      <c r="F600" s="26"/>
      <c r="I600" s="80"/>
      <c r="J600" s="80"/>
      <c r="K600" s="80"/>
      <c r="L600" s="80"/>
      <c r="M600" s="80"/>
      <c r="N600" s="80"/>
      <c r="Q600" s="80"/>
      <c r="AF600" s="80"/>
      <c r="AZ600" s="80"/>
      <c r="BF600" s="80"/>
      <c r="BJ600" s="80"/>
      <c r="BQ600" s="80"/>
      <c r="BR600" s="80"/>
      <c r="BZ600" s="80"/>
      <c r="CA600" s="80"/>
      <c r="CB600" s="80"/>
      <c r="CC600" s="80"/>
      <c r="CE600" s="80"/>
      <c r="CG600" s="80"/>
      <c r="CH600" s="80"/>
      <c r="CK600" s="80"/>
      <c r="CL600" s="80"/>
      <c r="DE600" s="80"/>
      <c r="DJ600" s="80"/>
      <c r="DN600" s="80"/>
      <c r="EL600" s="80"/>
    </row>
    <row r="601" spans="1:142" ht="12.75" customHeight="1">
      <c r="A601" s="80"/>
      <c r="B601" s="80"/>
      <c r="C601" s="80"/>
      <c r="D601" s="104"/>
      <c r="E601" s="26"/>
      <c r="F601" s="26"/>
      <c r="H601" s="80"/>
      <c r="J601" s="80"/>
      <c r="K601" s="80"/>
      <c r="L601" s="80"/>
      <c r="M601" s="80"/>
      <c r="N601" s="80"/>
      <c r="O601" s="80"/>
      <c r="Q601" s="80"/>
      <c r="AB601" s="80"/>
      <c r="AE601" s="80"/>
      <c r="AF601" s="80"/>
      <c r="AL601" s="80"/>
      <c r="AP601" s="80"/>
      <c r="AX601" s="80"/>
      <c r="AZ601" s="80"/>
      <c r="BF601" s="80"/>
      <c r="BQ601" s="80"/>
      <c r="BR601" s="80"/>
      <c r="BS601" s="80"/>
      <c r="BT601" s="80"/>
      <c r="BZ601" s="80"/>
      <c r="CA601" s="80"/>
      <c r="CB601" s="80"/>
      <c r="CC601" s="80"/>
      <c r="CD601" s="80"/>
      <c r="CE601" s="80"/>
      <c r="CG601" s="80"/>
      <c r="CL601" s="80"/>
      <c r="CY601" s="80"/>
      <c r="CZ601" s="80"/>
      <c r="DA601" s="80"/>
      <c r="DE601" s="80"/>
      <c r="DI601" s="80"/>
      <c r="DJ601" s="80"/>
      <c r="DN601" s="80"/>
      <c r="DR601" s="80"/>
      <c r="DV601" s="80"/>
      <c r="DX601" s="80"/>
      <c r="EC601" s="80"/>
      <c r="EI601" s="80"/>
      <c r="EK601" s="80"/>
      <c r="EL601" s="80"/>
    </row>
    <row r="602" spans="1:142" ht="12.75" customHeight="1">
      <c r="A602" s="80"/>
      <c r="B602" s="80"/>
      <c r="C602" s="80"/>
      <c r="D602" s="104"/>
      <c r="E602" s="26"/>
      <c r="F602" s="26"/>
      <c r="K602" s="80"/>
      <c r="L602" s="80"/>
      <c r="M602" s="80"/>
      <c r="N602" s="80"/>
      <c r="O602" s="80"/>
      <c r="Q602" s="80"/>
      <c r="AF602" s="80"/>
      <c r="AL602" s="80"/>
      <c r="AP602" s="80"/>
      <c r="AX602" s="80"/>
      <c r="AZ602" s="80"/>
      <c r="BF602" s="80"/>
      <c r="BJ602" s="80"/>
      <c r="BQ602" s="80"/>
      <c r="BR602" s="80"/>
      <c r="BT602" s="80"/>
      <c r="BZ602" s="80"/>
      <c r="CA602" s="80"/>
      <c r="CB602" s="80"/>
      <c r="CC602" s="80"/>
      <c r="CD602" s="80"/>
      <c r="CE602" s="80"/>
      <c r="CG602" s="80"/>
      <c r="CL602" s="80"/>
      <c r="CY602" s="80"/>
      <c r="CZ602" s="80"/>
      <c r="DE602" s="80"/>
      <c r="DI602" s="80"/>
      <c r="DJ602" s="80"/>
      <c r="DN602" s="80"/>
      <c r="DR602" s="80"/>
      <c r="DV602" s="80"/>
      <c r="DW602" s="80"/>
      <c r="DX602" s="80"/>
      <c r="EC602" s="80"/>
      <c r="ED602" s="80"/>
      <c r="EJ602" s="80"/>
      <c r="EK602" s="80"/>
      <c r="EL602" s="80"/>
    </row>
    <row r="603" spans="1:142" ht="12.75" customHeight="1">
      <c r="A603" s="80"/>
      <c r="B603" s="80"/>
      <c r="C603" s="80"/>
      <c r="D603" s="104"/>
      <c r="E603" s="26"/>
      <c r="F603" s="26"/>
      <c r="H603" s="80"/>
      <c r="I603" s="80"/>
      <c r="J603" s="80"/>
      <c r="K603" s="80"/>
      <c r="L603" s="80"/>
      <c r="M603" s="80"/>
      <c r="N603" s="80"/>
      <c r="Q603" s="80"/>
      <c r="AF603" s="80"/>
      <c r="AL603" s="80"/>
      <c r="AP603" s="80"/>
      <c r="AX603" s="80"/>
      <c r="AZ603" s="80"/>
      <c r="BF603" s="80"/>
      <c r="BJ603" s="80"/>
      <c r="BQ603" s="80"/>
      <c r="BR603" s="80"/>
      <c r="BS603" s="80"/>
      <c r="BT603" s="80"/>
      <c r="BZ603" s="80"/>
      <c r="CA603" s="80"/>
      <c r="CB603" s="80"/>
      <c r="CC603" s="80"/>
      <c r="CD603" s="80"/>
      <c r="CE603" s="80"/>
      <c r="CG603" s="80"/>
      <c r="CL603" s="80"/>
      <c r="DA603" s="80"/>
      <c r="DE603" s="80"/>
      <c r="DI603" s="80"/>
      <c r="DJ603" s="80"/>
      <c r="DN603" s="80"/>
      <c r="DR603" s="80"/>
      <c r="DV603" s="80"/>
      <c r="DW603" s="80"/>
      <c r="DX603" s="80"/>
      <c r="EC603" s="80"/>
      <c r="EL603" s="80"/>
    </row>
    <row r="604" spans="1:142" ht="12.75" customHeight="1">
      <c r="A604" s="80"/>
      <c r="B604" s="80"/>
      <c r="C604" s="80"/>
      <c r="D604" s="104"/>
      <c r="E604" s="26"/>
      <c r="F604" s="26"/>
      <c r="H604" s="80"/>
      <c r="I604" s="80"/>
      <c r="J604" s="80"/>
      <c r="K604" s="80"/>
      <c r="L604" s="80"/>
      <c r="M604" s="80"/>
      <c r="N604" s="80"/>
      <c r="O604" s="80"/>
      <c r="Q604" s="80"/>
      <c r="AF604" s="80"/>
      <c r="AK604" s="80"/>
      <c r="AP604" s="80"/>
      <c r="AX604" s="80"/>
      <c r="AZ604" s="80"/>
      <c r="BF604" s="80"/>
      <c r="BJ604" s="80"/>
      <c r="BQ604" s="80"/>
      <c r="BR604" s="80"/>
      <c r="BS604" s="80"/>
      <c r="BZ604" s="80"/>
      <c r="CA604" s="80"/>
      <c r="CB604" s="80"/>
      <c r="CC604" s="80"/>
      <c r="CD604" s="80"/>
      <c r="CE604" s="80"/>
      <c r="CG604" s="80"/>
      <c r="CL604" s="80"/>
      <c r="CN604" s="80"/>
      <c r="CO604" s="80"/>
      <c r="CY604" s="80"/>
      <c r="CZ604" s="80"/>
      <c r="DA604" s="80"/>
      <c r="DE604" s="80"/>
      <c r="DI604" s="80"/>
      <c r="DJ604" s="80"/>
      <c r="DN604" s="80"/>
      <c r="DR604" s="80"/>
      <c r="DV604" s="80"/>
      <c r="DW604" s="80"/>
      <c r="DX604" s="80"/>
      <c r="EC604" s="80"/>
      <c r="EI604" s="80"/>
      <c r="EJ604" s="80"/>
      <c r="EK604" s="80"/>
      <c r="EL604" s="80"/>
    </row>
    <row r="605" spans="1:142" ht="12.75" customHeight="1">
      <c r="A605" s="80"/>
      <c r="B605" s="80"/>
      <c r="C605" s="80"/>
      <c r="D605" s="104"/>
      <c r="E605" s="26"/>
      <c r="F605" s="26"/>
      <c r="H605" s="80"/>
      <c r="I605" s="80"/>
      <c r="J605" s="80"/>
      <c r="K605" s="80"/>
      <c r="L605" s="80"/>
      <c r="M605" s="80"/>
      <c r="N605" s="80"/>
      <c r="O605" s="80"/>
      <c r="P605" s="80"/>
      <c r="Q605" s="80"/>
      <c r="S605" s="80"/>
      <c r="AF605" s="80"/>
      <c r="AK605" s="80"/>
      <c r="AL605" s="80"/>
      <c r="AP605" s="80"/>
      <c r="AX605" s="80"/>
      <c r="AZ605" s="80"/>
      <c r="BF605" s="80"/>
      <c r="BJ605" s="80"/>
      <c r="BK605" s="80"/>
      <c r="BQ605" s="80"/>
      <c r="BR605" s="80"/>
      <c r="BS605" s="80"/>
      <c r="BT605" s="80"/>
      <c r="BZ605" s="80"/>
      <c r="CA605" s="80"/>
      <c r="CB605" s="80"/>
      <c r="CC605" s="80"/>
      <c r="CD605" s="80"/>
      <c r="CE605" s="80"/>
      <c r="CG605" s="80"/>
      <c r="CI605" s="80"/>
      <c r="CK605" s="80"/>
      <c r="CL605" s="80"/>
      <c r="CN605" s="80"/>
      <c r="CO605" s="80"/>
      <c r="CW605" s="80"/>
      <c r="CY605" s="80"/>
      <c r="CZ605" s="80"/>
      <c r="DA605" s="80"/>
      <c r="DE605" s="80"/>
      <c r="DI605" s="80"/>
      <c r="DJ605" s="80"/>
      <c r="DN605" s="80"/>
      <c r="DR605" s="80"/>
      <c r="DV605" s="80"/>
      <c r="DW605" s="80"/>
      <c r="DX605" s="80"/>
      <c r="EC605" s="80"/>
      <c r="EF605" s="80"/>
      <c r="EK605" s="80"/>
      <c r="EL605" s="80"/>
    </row>
    <row r="606" spans="1:142" ht="12.75" customHeight="1">
      <c r="A606" s="80"/>
      <c r="B606" s="80"/>
      <c r="C606" s="80"/>
      <c r="D606" s="104"/>
      <c r="E606" s="26"/>
      <c r="F606" s="26"/>
      <c r="H606" s="80"/>
      <c r="I606" s="80"/>
      <c r="J606" s="80"/>
      <c r="K606" s="80"/>
      <c r="L606" s="80"/>
      <c r="M606" s="80"/>
      <c r="O606" s="80"/>
      <c r="P606" s="80"/>
      <c r="Q606" s="80"/>
      <c r="AF606" s="80"/>
      <c r="AL606" s="80"/>
      <c r="AP606" s="80"/>
      <c r="AW606" s="80"/>
      <c r="AX606" s="80"/>
      <c r="AZ606" s="80"/>
      <c r="BF606" s="80"/>
      <c r="BJ606" s="80"/>
      <c r="BQ606" s="80"/>
      <c r="BR606" s="80"/>
      <c r="BS606" s="80"/>
      <c r="BY606" s="80"/>
      <c r="BZ606" s="80"/>
      <c r="CA606" s="80"/>
      <c r="CB606" s="80"/>
      <c r="CC606" s="80"/>
      <c r="CD606" s="80"/>
      <c r="CE606" s="80"/>
      <c r="CG606" s="80"/>
      <c r="CL606" s="80"/>
      <c r="CY606" s="80"/>
      <c r="CZ606" s="80"/>
      <c r="DA606" s="80"/>
      <c r="DE606" s="80"/>
      <c r="DI606" s="80"/>
      <c r="DJ606" s="80"/>
      <c r="DN606" s="80"/>
      <c r="DR606" s="80"/>
      <c r="DV606" s="80"/>
      <c r="DW606" s="80"/>
      <c r="DX606" s="80"/>
      <c r="EC606" s="80"/>
      <c r="EI606" s="80"/>
      <c r="EJ606" s="80"/>
      <c r="EK606" s="80"/>
      <c r="EL606" s="80"/>
    </row>
    <row r="607" spans="1:142" ht="12.75" customHeight="1">
      <c r="A607" s="80"/>
      <c r="B607" s="80"/>
      <c r="C607" s="80"/>
      <c r="D607" s="104"/>
      <c r="E607" s="26"/>
      <c r="F607" s="26"/>
      <c r="G607" s="80"/>
      <c r="H607" s="80"/>
      <c r="I607" s="80"/>
      <c r="J607" s="80"/>
      <c r="L607" s="80"/>
      <c r="M607" s="80"/>
      <c r="N607" s="80"/>
      <c r="O607" s="80"/>
      <c r="Q607" s="80"/>
      <c r="AF607" s="80"/>
      <c r="AX607" s="80"/>
      <c r="AZ607" s="80"/>
      <c r="BF607" s="80"/>
      <c r="BJ607" s="80"/>
      <c r="BQ607" s="80"/>
      <c r="BR607" s="80"/>
      <c r="BZ607" s="80"/>
      <c r="CA607" s="80"/>
      <c r="CB607" s="80"/>
      <c r="CC607" s="80"/>
      <c r="CD607" s="80"/>
      <c r="CE607" s="80"/>
      <c r="CG607" s="80"/>
      <c r="CL607" s="80"/>
      <c r="CW607" s="80"/>
      <c r="CY607" s="80"/>
      <c r="CZ607" s="80"/>
      <c r="DA607" s="80"/>
      <c r="DE607" s="80"/>
      <c r="DI607" s="80"/>
      <c r="DJ607" s="80"/>
      <c r="DN607" s="80"/>
      <c r="DR607" s="80"/>
      <c r="DV607" s="80"/>
      <c r="DX607" s="80"/>
      <c r="EC607" s="80"/>
      <c r="EJ607" s="80"/>
      <c r="EK607" s="80"/>
      <c r="EL607" s="80"/>
    </row>
    <row r="608" spans="1:142" ht="12.75" customHeight="1">
      <c r="A608" s="80"/>
      <c r="B608" s="80"/>
      <c r="C608" s="80"/>
      <c r="D608" s="104"/>
      <c r="E608" s="26"/>
      <c r="F608" s="26"/>
      <c r="H608" s="80"/>
      <c r="L608" s="80"/>
      <c r="M608" s="80"/>
      <c r="N608" s="80"/>
      <c r="P608" s="80"/>
      <c r="Q608" s="80"/>
      <c r="AB608" s="80"/>
      <c r="AF608" s="80"/>
      <c r="AL608" s="80"/>
      <c r="AP608" s="80"/>
      <c r="AZ608" s="80"/>
      <c r="BF608" s="80"/>
      <c r="BJ608" s="80"/>
      <c r="BK608" s="80"/>
      <c r="BM608" s="80"/>
      <c r="BN608" s="80"/>
      <c r="BQ608" s="80"/>
      <c r="BR608" s="80"/>
      <c r="BS608" s="80"/>
      <c r="BZ608" s="80"/>
      <c r="CA608" s="80"/>
      <c r="CC608" s="80"/>
      <c r="CD608" s="80"/>
      <c r="CE608" s="80"/>
      <c r="CG608" s="80"/>
      <c r="CH608" s="80"/>
      <c r="CI608" s="80"/>
      <c r="CK608" s="80"/>
      <c r="CL608" s="80"/>
      <c r="CN608" s="80"/>
      <c r="CO608" s="80"/>
      <c r="CP608" s="80"/>
      <c r="CT608" s="80"/>
      <c r="CU608" s="80"/>
      <c r="CY608" s="80"/>
      <c r="CZ608" s="80"/>
      <c r="DA608" s="80"/>
      <c r="DE608" s="80"/>
      <c r="DF608" s="80"/>
      <c r="DH608" s="80"/>
      <c r="DI608" s="80"/>
      <c r="DJ608" s="80"/>
      <c r="DN608" s="80"/>
      <c r="DR608" s="80"/>
      <c r="DT608" s="80"/>
      <c r="DU608" s="80"/>
      <c r="DV608" s="80"/>
      <c r="DW608" s="80"/>
      <c r="DX608" s="80"/>
      <c r="EC608" s="80"/>
      <c r="EL608" s="80"/>
    </row>
    <row r="609" spans="1:142" ht="12.75" customHeight="1">
      <c r="A609" s="80"/>
      <c r="B609" s="80"/>
      <c r="C609" s="80"/>
      <c r="D609" s="104"/>
      <c r="E609" s="26"/>
      <c r="F609" s="26"/>
      <c r="H609" s="80"/>
      <c r="I609" s="80"/>
      <c r="J609" s="80"/>
      <c r="K609" s="80"/>
      <c r="L609" s="80"/>
      <c r="M609" s="80"/>
      <c r="P609" s="80"/>
      <c r="Q609" s="80"/>
      <c r="AF609" s="80"/>
      <c r="AW609" s="80"/>
      <c r="AX609" s="80"/>
      <c r="AZ609" s="80"/>
      <c r="BF609" s="80"/>
      <c r="BJ609" s="80"/>
      <c r="BQ609" s="80"/>
      <c r="BR609" s="80"/>
      <c r="BT609" s="80"/>
      <c r="CA609" s="80"/>
      <c r="CB609" s="80"/>
      <c r="CC609" s="80"/>
      <c r="CD609" s="80"/>
      <c r="CE609" s="80"/>
      <c r="CG609" s="80"/>
      <c r="CL609" s="80"/>
      <c r="CW609" s="80"/>
      <c r="CZ609" s="80"/>
      <c r="DA609" s="80"/>
      <c r="DE609" s="80"/>
      <c r="DI609" s="80"/>
      <c r="DJ609" s="80"/>
      <c r="DN609" s="80"/>
      <c r="DR609" s="80"/>
      <c r="DT609" s="80"/>
      <c r="DU609" s="80"/>
      <c r="DV609" s="80"/>
      <c r="DW609" s="80"/>
      <c r="DX609" s="80"/>
      <c r="EC609" s="80"/>
      <c r="EL609" s="80"/>
    </row>
    <row r="610" spans="1:142" ht="12.75" customHeight="1">
      <c r="A610" s="80"/>
      <c r="B610" s="80"/>
      <c r="C610" s="80"/>
      <c r="D610" s="104"/>
      <c r="E610" s="26"/>
      <c r="F610" s="26"/>
      <c r="M610" s="80"/>
      <c r="N610" s="80"/>
      <c r="Q610" s="80"/>
      <c r="AG610" s="80"/>
      <c r="AR610" s="80"/>
      <c r="AZ610" s="80"/>
      <c r="BF610" s="80"/>
      <c r="CD610" s="80"/>
      <c r="CE610" s="80"/>
      <c r="CG610" s="80"/>
      <c r="CL610" s="80"/>
      <c r="CY610" s="80"/>
      <c r="CZ610" s="80"/>
      <c r="DN610" s="80"/>
      <c r="EL610" s="80"/>
    </row>
    <row r="611" spans="1:142" ht="12.75" customHeight="1">
      <c r="A611" s="80"/>
      <c r="B611" s="80"/>
      <c r="C611" s="80"/>
      <c r="D611" s="104"/>
      <c r="E611" s="26"/>
      <c r="F611" s="26"/>
      <c r="H611" s="80"/>
      <c r="I611" s="80"/>
      <c r="K611" s="80"/>
      <c r="L611" s="80"/>
      <c r="M611" s="80"/>
      <c r="O611" s="80"/>
      <c r="Q611" s="80"/>
      <c r="AB611" s="80"/>
      <c r="AG611" s="80"/>
      <c r="AR611" s="80"/>
      <c r="AT611" s="80"/>
      <c r="AX611" s="80"/>
      <c r="AZ611" s="80"/>
      <c r="BF611" s="80"/>
      <c r="BJ611" s="80"/>
      <c r="BQ611" s="80"/>
      <c r="BR611" s="80"/>
      <c r="BT611" s="80"/>
      <c r="BV611" s="80"/>
      <c r="BX611" s="80"/>
      <c r="CA611" s="80"/>
      <c r="CB611" s="80"/>
      <c r="CC611" s="80"/>
      <c r="CD611" s="80"/>
      <c r="CE611" s="80"/>
      <c r="CG611" s="80"/>
      <c r="CL611" s="80"/>
      <c r="CW611" s="80"/>
      <c r="CY611" s="80"/>
      <c r="CZ611" s="80"/>
      <c r="DA611" s="80"/>
      <c r="DE611" s="80"/>
      <c r="DF611" s="80"/>
      <c r="DG611" s="80"/>
      <c r="DI611" s="80"/>
      <c r="DJ611" s="80"/>
      <c r="DN611" s="80"/>
      <c r="EF611" s="80"/>
      <c r="EI611" s="80"/>
      <c r="EJ611" s="80"/>
      <c r="EK611" s="80"/>
      <c r="EL611" s="80"/>
    </row>
    <row r="612" spans="1:142" ht="12.75" customHeight="1">
      <c r="A612" s="80"/>
      <c r="B612" s="80"/>
      <c r="C612" s="80"/>
      <c r="D612" s="104"/>
      <c r="E612" s="26"/>
      <c r="F612" s="26"/>
      <c r="H612" s="80"/>
      <c r="I612" s="80"/>
      <c r="J612" s="80"/>
      <c r="K612" s="80"/>
      <c r="L612" s="80"/>
      <c r="M612" s="80"/>
      <c r="N612" s="80"/>
      <c r="O612" s="80"/>
      <c r="P612" s="80"/>
      <c r="Q612" s="80"/>
      <c r="AF612" s="80"/>
      <c r="AL612" s="80"/>
      <c r="AP612" s="80"/>
      <c r="AW612" s="80"/>
      <c r="AX612" s="80"/>
      <c r="AY612" s="80"/>
      <c r="AZ612" s="80"/>
      <c r="BF612" s="80"/>
      <c r="BJ612" s="80"/>
      <c r="BP612" s="80"/>
      <c r="BQ612" s="80"/>
      <c r="BR612" s="80"/>
      <c r="BS612" s="80"/>
      <c r="BZ612" s="80"/>
      <c r="CA612" s="80"/>
      <c r="CB612" s="80"/>
      <c r="CC612" s="80"/>
      <c r="CD612" s="80"/>
      <c r="CE612" s="80"/>
      <c r="CG612" s="80"/>
      <c r="CL612" s="80"/>
      <c r="CW612" s="80"/>
      <c r="CY612" s="80"/>
      <c r="CZ612" s="80"/>
      <c r="DA612" s="80"/>
      <c r="DE612" s="80"/>
      <c r="DI612" s="80"/>
      <c r="DJ612" s="80"/>
      <c r="DN612" s="80"/>
      <c r="DP612" s="80"/>
      <c r="DR612" s="80"/>
      <c r="DS612" s="80"/>
      <c r="DU612" s="80"/>
      <c r="DV612" s="80"/>
      <c r="DW612" s="80"/>
      <c r="DX612" s="80"/>
      <c r="EC612" s="80"/>
      <c r="EF612" s="80"/>
      <c r="EI612" s="80"/>
      <c r="EL612" s="80"/>
    </row>
    <row r="613" spans="1:142" ht="12.75" customHeight="1">
      <c r="A613" s="80"/>
      <c r="B613" s="80"/>
      <c r="C613" s="80"/>
      <c r="D613" s="104"/>
      <c r="E613" s="26"/>
      <c r="F613" s="26"/>
      <c r="H613" s="80"/>
      <c r="I613" s="80"/>
      <c r="J613" s="80"/>
      <c r="K613" s="80"/>
      <c r="L613" s="80"/>
      <c r="M613" s="80"/>
      <c r="N613" s="80"/>
      <c r="O613" s="80"/>
      <c r="P613" s="80"/>
      <c r="Q613" s="80"/>
      <c r="AF613" s="80"/>
      <c r="AZ613" s="80"/>
      <c r="BF613" s="80"/>
      <c r="BJ613" s="80"/>
      <c r="BK613" s="80"/>
      <c r="BP613" s="80"/>
      <c r="BQ613" s="80"/>
      <c r="BR613" s="80"/>
      <c r="BS613" s="80"/>
      <c r="BZ613" s="80"/>
      <c r="CA613" s="80"/>
      <c r="CB613" s="80"/>
      <c r="CC613" s="80"/>
      <c r="CD613" s="80"/>
      <c r="CE613" s="80"/>
      <c r="CG613" s="80"/>
      <c r="CL613" s="80"/>
      <c r="CN613" s="80"/>
      <c r="CO613" s="80"/>
      <c r="CW613" s="80"/>
      <c r="CY613" s="80"/>
      <c r="CZ613" s="80"/>
      <c r="DA613" s="80"/>
      <c r="DE613" s="80"/>
      <c r="DI613" s="80"/>
      <c r="DJ613" s="80"/>
      <c r="DN613" s="80"/>
      <c r="DR613" s="80"/>
      <c r="DV613" s="80"/>
      <c r="DX613" s="80"/>
      <c r="EC613" s="80"/>
      <c r="EL613" s="80"/>
    </row>
    <row r="614" spans="1:142" ht="12.75" customHeight="1">
      <c r="A614" s="80"/>
      <c r="B614" s="80"/>
      <c r="C614" s="80"/>
      <c r="D614" s="104"/>
      <c r="E614" s="26"/>
      <c r="F614" s="26"/>
      <c r="H614" s="80"/>
      <c r="K614" s="80"/>
      <c r="L614" s="80"/>
      <c r="M614" s="80"/>
      <c r="N614" s="80"/>
      <c r="Q614" s="80"/>
      <c r="AF614" s="80"/>
      <c r="AI614" s="80"/>
      <c r="AX614" s="80"/>
      <c r="AZ614" s="80"/>
      <c r="BF614" s="80"/>
      <c r="BJ614" s="80"/>
      <c r="BQ614" s="80"/>
      <c r="BR614" s="80"/>
      <c r="BT614" s="80"/>
      <c r="BZ614" s="80"/>
      <c r="CA614" s="80"/>
      <c r="CB614" s="80"/>
      <c r="CC614" s="80"/>
      <c r="CD614" s="80"/>
      <c r="CE614" s="80"/>
      <c r="CG614" s="80"/>
      <c r="CL614" s="80"/>
      <c r="CY614" s="80"/>
      <c r="CZ614" s="80"/>
      <c r="DA614" s="80"/>
      <c r="DE614" s="80"/>
      <c r="DI614" s="80"/>
      <c r="DJ614" s="80"/>
      <c r="DN614" s="80"/>
      <c r="EE614" s="80"/>
      <c r="EK614" s="80"/>
      <c r="EL614" s="80"/>
    </row>
    <row r="615" spans="1:142" ht="12.75" customHeight="1">
      <c r="A615" s="80"/>
      <c r="B615" s="80"/>
      <c r="C615" s="80"/>
      <c r="D615" s="104"/>
      <c r="E615" s="26"/>
      <c r="F615" s="26"/>
      <c r="H615" s="80"/>
      <c r="I615" s="80"/>
      <c r="K615" s="80"/>
      <c r="L615" s="80"/>
      <c r="M615" s="80"/>
      <c r="O615" s="80"/>
      <c r="P615" s="80"/>
      <c r="Q615" s="80"/>
      <c r="S615" s="80"/>
      <c r="AF615" s="80"/>
      <c r="AZ615" s="80"/>
      <c r="BF615" s="80"/>
      <c r="BJ615" s="80"/>
      <c r="BQ615" s="80"/>
      <c r="BR615" s="80"/>
      <c r="BT615" s="80"/>
      <c r="BZ615" s="80"/>
      <c r="CA615" s="80"/>
      <c r="CB615" s="80"/>
      <c r="CC615" s="80"/>
      <c r="CD615" s="80"/>
      <c r="CE615" s="80"/>
      <c r="CG615" s="80"/>
      <c r="CL615" s="80"/>
      <c r="CY615" s="80"/>
      <c r="CZ615" s="80"/>
      <c r="DA615" s="80"/>
      <c r="DE615" s="80"/>
      <c r="DI615" s="80"/>
      <c r="DJ615" s="80"/>
      <c r="DN615" s="80"/>
      <c r="DR615" s="80"/>
      <c r="DV615" s="80"/>
      <c r="DW615" s="80"/>
      <c r="DX615" s="80"/>
      <c r="EC615" s="80"/>
      <c r="EJ615" s="80"/>
      <c r="EK615" s="80"/>
      <c r="EL615" s="80"/>
    </row>
    <row r="616" spans="1:142" ht="12.75" customHeight="1">
      <c r="A616" s="80"/>
      <c r="B616" s="80"/>
      <c r="C616" s="79"/>
      <c r="D616" s="8"/>
      <c r="E616" s="26"/>
      <c r="F616" s="8"/>
      <c r="M616" s="80"/>
      <c r="Q616" s="80"/>
      <c r="AF616" s="80"/>
      <c r="AZ616" s="80"/>
      <c r="BF616" s="80"/>
      <c r="BK616" s="80"/>
      <c r="BR616" s="80"/>
      <c r="BS616" s="80"/>
      <c r="CE616" s="80"/>
      <c r="CG616" s="80"/>
      <c r="CL616" s="80"/>
      <c r="DA616" s="80"/>
      <c r="DC616" s="80"/>
      <c r="DJ616" s="80"/>
      <c r="DN616" s="80"/>
      <c r="EL616" s="80"/>
    </row>
    <row r="617" spans="1:142">
      <c r="A617" s="80"/>
      <c r="B617" s="80"/>
      <c r="C617" s="79"/>
      <c r="D617" s="8"/>
      <c r="F617" s="8"/>
      <c r="AF617" s="80"/>
      <c r="AZ617" s="80"/>
      <c r="BD617" s="80"/>
      <c r="BF617" s="80"/>
      <c r="BR617" s="80"/>
      <c r="CC617" s="80"/>
      <c r="CE617" s="80"/>
      <c r="CG617" s="80"/>
      <c r="CL617" s="80"/>
      <c r="CY617" s="80"/>
      <c r="CZ617" s="80"/>
      <c r="DA617" s="80"/>
      <c r="DI617" s="80"/>
      <c r="DJ617" s="80"/>
      <c r="DN617" s="80"/>
      <c r="EL617" s="80"/>
    </row>
    <row r="618" spans="1:142">
      <c r="A618" s="80"/>
      <c r="B618" s="80"/>
      <c r="C618" s="79"/>
      <c r="D618" s="8"/>
      <c r="F618" s="8"/>
      <c r="H618" s="80"/>
      <c r="L618" s="80"/>
      <c r="M618" s="80"/>
      <c r="Q618" s="80"/>
      <c r="AF618" s="80"/>
      <c r="AZ618" s="80"/>
      <c r="BF618" s="80"/>
      <c r="BJ618" s="80"/>
      <c r="BL618" s="80"/>
      <c r="BR618" s="80"/>
      <c r="CD618" s="80"/>
      <c r="CE618" s="80"/>
      <c r="CF618" s="80"/>
      <c r="CG618" s="80"/>
      <c r="CL618" s="80"/>
      <c r="CY618" s="80"/>
      <c r="CZ618" s="80"/>
      <c r="DA618" s="80"/>
      <c r="DE618" s="80"/>
      <c r="DI618" s="80"/>
      <c r="DJ618" s="80"/>
      <c r="DN618" s="80"/>
      <c r="EL618" s="80"/>
    </row>
    <row r="619" spans="1:142">
      <c r="A619" s="80"/>
      <c r="B619" s="80"/>
      <c r="C619" s="79"/>
      <c r="D619" s="8"/>
      <c r="F619" s="8"/>
      <c r="H619" s="80"/>
      <c r="L619" s="80"/>
      <c r="M619" s="80"/>
      <c r="O619" s="80"/>
      <c r="Q619" s="80"/>
      <c r="AF619" s="80"/>
      <c r="AZ619" s="80"/>
      <c r="BF619" s="80"/>
      <c r="BH619" s="80"/>
      <c r="BI619" s="80"/>
      <c r="BJ619" s="80"/>
      <c r="BR619" s="80"/>
      <c r="CD619" s="80"/>
      <c r="CE619" s="80"/>
      <c r="CG619" s="80"/>
      <c r="CL619" s="80"/>
      <c r="DA619" s="80"/>
      <c r="DE619" s="80"/>
      <c r="DI619" s="80"/>
      <c r="DJ619" s="80"/>
      <c r="DN619" s="80"/>
      <c r="EL619" s="80"/>
    </row>
    <row r="620" spans="1:142">
      <c r="A620" s="80"/>
      <c r="B620" s="80"/>
      <c r="C620" s="79"/>
      <c r="D620" s="8"/>
      <c r="F620" s="8"/>
      <c r="AF620" s="80"/>
      <c r="AZ620" s="80"/>
      <c r="BF620" s="80"/>
      <c r="BR620" s="80"/>
      <c r="CE620" s="80"/>
      <c r="CF620" s="80"/>
      <c r="CG620" s="80"/>
      <c r="CL620" s="80"/>
      <c r="CY620" s="80"/>
      <c r="CZ620" s="80"/>
      <c r="DA620" s="80"/>
      <c r="DI620" s="80"/>
      <c r="DJ620" s="80"/>
      <c r="DN620" s="80"/>
      <c r="EL620" s="80"/>
    </row>
    <row r="621" spans="1:142">
      <c r="A621" s="80"/>
      <c r="B621" s="80"/>
      <c r="M621" s="80"/>
      <c r="Q621" s="80"/>
      <c r="AF621" s="80"/>
      <c r="AI621" s="80"/>
      <c r="AZ621" s="80"/>
      <c r="BA621" s="80"/>
      <c r="BF621" s="80"/>
      <c r="BR621" s="80"/>
      <c r="CE621" s="80"/>
      <c r="CG621" s="80"/>
      <c r="CL621" s="80"/>
      <c r="CU621" s="80"/>
      <c r="CV621" s="80"/>
      <c r="CY621" s="80"/>
      <c r="CZ621" s="80"/>
      <c r="DA621" s="80"/>
      <c r="DE621" s="80"/>
      <c r="DI621" s="80"/>
      <c r="DJ621" s="80"/>
      <c r="DN621" s="80"/>
      <c r="EL621" s="80"/>
    </row>
    <row r="622" spans="1:142">
      <c r="A622" s="80"/>
      <c r="B622" s="80"/>
      <c r="M622" s="80"/>
      <c r="Q622" s="80"/>
      <c r="AF622" s="80"/>
      <c r="AZ622" s="80"/>
      <c r="BF622" s="80"/>
      <c r="CC622" s="80"/>
      <c r="CE622" s="80"/>
      <c r="CG622" s="80"/>
      <c r="CL622" s="80"/>
      <c r="CN622" s="80"/>
      <c r="CO622" s="80"/>
      <c r="CY622" s="80"/>
      <c r="CZ622" s="80"/>
      <c r="DA622" s="80"/>
      <c r="DE622" s="80"/>
      <c r="DI622" s="80"/>
      <c r="DJ622" s="80"/>
      <c r="DN622" s="80"/>
      <c r="EL622" s="80"/>
    </row>
    <row r="623" spans="1:142">
      <c r="A623" s="80"/>
      <c r="B623" s="80"/>
      <c r="C623" s="79"/>
      <c r="H623" s="80"/>
      <c r="L623" s="80"/>
      <c r="M623" s="80"/>
      <c r="Q623" s="80"/>
      <c r="AF623" s="80"/>
      <c r="AZ623" s="80"/>
      <c r="BF623" s="80"/>
      <c r="BJ623" s="80"/>
      <c r="BR623" s="80"/>
      <c r="CC623" s="80"/>
      <c r="CE623" s="80"/>
      <c r="CG623" s="80"/>
      <c r="CL623" s="80"/>
      <c r="CT623" s="80"/>
      <c r="CU623" s="80"/>
      <c r="CZ623" s="80"/>
      <c r="DA623" s="80"/>
      <c r="DC623" s="80"/>
      <c r="DE623" s="80"/>
      <c r="DI623" s="80"/>
      <c r="DJ623" s="80"/>
      <c r="DN623" s="80"/>
      <c r="EL623" s="80"/>
    </row>
    <row r="624" spans="1:142">
      <c r="A624" s="80"/>
      <c r="B624" s="80"/>
      <c r="M624" s="80"/>
      <c r="Q624" s="80"/>
      <c r="AF624" s="80"/>
      <c r="AZ624" s="80"/>
      <c r="BF624" s="80"/>
      <c r="BR624" s="80"/>
      <c r="BS624" s="80"/>
      <c r="CC624" s="80"/>
      <c r="CE624" s="80"/>
      <c r="CG624" s="80"/>
      <c r="CL624" s="80"/>
      <c r="DA624" s="80"/>
      <c r="DE624" s="80"/>
      <c r="DI624" s="80"/>
      <c r="DJ624" s="80"/>
      <c r="DN624" s="80"/>
      <c r="EL624" s="80"/>
    </row>
    <row r="625" spans="1:142">
      <c r="A625" s="80"/>
      <c r="B625" s="80"/>
      <c r="C625" s="79"/>
      <c r="M625" s="80"/>
      <c r="Q625" s="80"/>
      <c r="AF625" s="80"/>
      <c r="BD625" s="80"/>
      <c r="BF625" s="80"/>
      <c r="BJ625" s="80"/>
      <c r="BR625" s="80"/>
      <c r="CC625" s="80"/>
      <c r="CE625" s="80"/>
      <c r="CG625" s="80"/>
      <c r="CL625" s="80"/>
      <c r="CN625" s="80"/>
      <c r="CO625" s="80"/>
      <c r="DA625" s="80"/>
      <c r="DI625" s="80"/>
      <c r="DJ625" s="80"/>
      <c r="DN625" s="80"/>
      <c r="EL625" s="80"/>
    </row>
    <row r="626" spans="1:142">
      <c r="A626" s="80"/>
      <c r="B626" s="80"/>
      <c r="H626" s="80"/>
      <c r="L626" s="80"/>
      <c r="M626" s="80"/>
      <c r="Q626" s="80"/>
      <c r="AF626" s="80"/>
      <c r="AZ626" s="80"/>
      <c r="BF626" s="80"/>
      <c r="BR626" s="80"/>
      <c r="CC626" s="80"/>
      <c r="CE626" s="80"/>
      <c r="CG626" s="80"/>
      <c r="CL626" s="80"/>
      <c r="CN626" s="80"/>
      <c r="CO626" s="80"/>
      <c r="DA626" s="80"/>
      <c r="DE626" s="80"/>
      <c r="DI626" s="80"/>
      <c r="DJ626" s="80"/>
      <c r="DN626" s="80"/>
      <c r="EL626" s="80"/>
    </row>
    <row r="627" spans="1:142">
      <c r="A627" s="80"/>
      <c r="B627" s="80"/>
      <c r="M627" s="80"/>
      <c r="Q627" s="80"/>
      <c r="AF627" s="80"/>
      <c r="AZ627" s="80"/>
      <c r="BF627" s="80"/>
      <c r="BR627" s="80"/>
      <c r="CC627" s="80"/>
      <c r="CE627" s="80"/>
      <c r="CG627" s="80"/>
      <c r="CL627" s="80"/>
      <c r="CY627" s="80"/>
      <c r="CZ627" s="80"/>
      <c r="DA627" s="80"/>
      <c r="DE627" s="80"/>
      <c r="DI627" s="80"/>
      <c r="DJ627" s="80"/>
      <c r="DN627" s="80"/>
      <c r="EL627" s="80"/>
    </row>
    <row r="628" spans="1:142">
      <c r="A628" s="80"/>
      <c r="B628" s="80"/>
      <c r="M628" s="80"/>
      <c r="Q628" s="80"/>
      <c r="AF628" s="80"/>
      <c r="AZ628" s="80"/>
      <c r="BF628" s="80"/>
      <c r="BJ628" s="80"/>
      <c r="BR628" s="80"/>
      <c r="CC628" s="80"/>
      <c r="CE628" s="80"/>
      <c r="CG628" s="80"/>
      <c r="CL628" s="80"/>
      <c r="DA628" s="80"/>
      <c r="DE628" s="80"/>
      <c r="DI628" s="80"/>
      <c r="DJ628" s="80"/>
      <c r="DN628" s="80"/>
      <c r="EL628" s="80"/>
    </row>
    <row r="629" spans="1:142">
      <c r="A629" s="80"/>
      <c r="B629" s="80"/>
      <c r="M629" s="80"/>
      <c r="Q629" s="80"/>
      <c r="AF629" s="80"/>
      <c r="AI629" s="80"/>
      <c r="AZ629" s="80"/>
      <c r="BF629" s="80"/>
      <c r="BR629" s="80"/>
      <c r="CC629" s="80"/>
      <c r="CD629" s="80"/>
      <c r="CG629" s="80"/>
      <c r="CL629" s="80"/>
      <c r="DA629" s="80"/>
      <c r="DE629" s="80"/>
      <c r="DI629" s="80"/>
      <c r="DJ629" s="80"/>
      <c r="DN629" s="80"/>
      <c r="EL629" s="80"/>
    </row>
    <row r="630" spans="1:142">
      <c r="A630" s="80"/>
      <c r="B630" s="80"/>
      <c r="M630" s="161"/>
      <c r="O630" s="161"/>
      <c r="Q630" s="161"/>
      <c r="AF630" s="80"/>
      <c r="AZ630" s="80"/>
      <c r="BF630" s="161"/>
      <c r="BR630" s="80"/>
      <c r="BS630" s="80"/>
      <c r="CC630" s="80"/>
      <c r="CE630" s="80"/>
      <c r="CG630" s="161"/>
      <c r="CL630" s="161"/>
      <c r="DA630" s="80"/>
      <c r="DE630" s="80"/>
      <c r="DI630" s="80"/>
      <c r="DJ630" s="161"/>
      <c r="DN630" s="80"/>
      <c r="EL630" s="161"/>
    </row>
    <row r="631" spans="1:142">
      <c r="A631" s="80"/>
      <c r="B631" s="80"/>
      <c r="M631" s="80"/>
      <c r="Q631" s="80"/>
      <c r="AF631" s="80"/>
      <c r="AZ631" s="80"/>
      <c r="BF631" s="80"/>
      <c r="BJ631" s="80"/>
      <c r="BR631" s="80"/>
      <c r="BS631" s="80"/>
      <c r="CC631" s="80"/>
      <c r="CE631" s="80"/>
      <c r="CG631" s="80"/>
      <c r="CH631" s="80"/>
      <c r="CK631" s="80"/>
      <c r="CL631" s="80"/>
      <c r="CT631" s="80"/>
      <c r="CU631" s="80"/>
      <c r="CW631" s="80"/>
      <c r="CZ631" s="80"/>
      <c r="DA631" s="80"/>
      <c r="DC631" s="80"/>
      <c r="DE631" s="80"/>
      <c r="DI631" s="80"/>
      <c r="DJ631" s="80"/>
      <c r="DN631" s="80"/>
      <c r="EL631" s="80"/>
    </row>
    <row r="632" spans="1:142">
      <c r="A632" s="80"/>
      <c r="B632" s="80"/>
      <c r="H632" s="80"/>
      <c r="L632" s="80"/>
      <c r="M632" s="80"/>
      <c r="Q632" s="80"/>
      <c r="AF632" s="80"/>
      <c r="AZ632" s="80"/>
      <c r="BF632" s="80"/>
      <c r="BR632" s="80"/>
      <c r="CC632" s="80"/>
      <c r="CE632" s="80"/>
      <c r="CG632" s="80"/>
      <c r="CL632" s="80"/>
      <c r="CY632" s="80"/>
      <c r="CZ632" s="80"/>
      <c r="DA632" s="80"/>
      <c r="DE632" s="80"/>
      <c r="DI632" s="80"/>
      <c r="DJ632" s="80"/>
      <c r="DN632" s="80"/>
      <c r="DP632" s="80"/>
      <c r="DX632" s="80"/>
      <c r="EC632" s="80"/>
      <c r="EL632" s="80"/>
    </row>
    <row r="633" spans="1:142">
      <c r="A633" s="80"/>
      <c r="B633" s="80"/>
      <c r="H633" s="80"/>
      <c r="L633" s="80"/>
      <c r="M633" s="80"/>
      <c r="O633" s="80"/>
      <c r="Q633" s="80"/>
      <c r="AB633" s="80"/>
      <c r="AI633" s="80"/>
      <c r="AZ633" s="80"/>
      <c r="BF633" s="80"/>
      <c r="BJ633" s="80"/>
      <c r="BR633" s="80"/>
      <c r="BS633" s="80"/>
      <c r="CC633" s="80"/>
      <c r="CD633" s="80"/>
      <c r="CE633" s="80"/>
      <c r="CG633" s="80"/>
      <c r="CL633" s="80"/>
      <c r="CY633" s="80"/>
      <c r="CZ633" s="80"/>
      <c r="DA633" s="80"/>
      <c r="DD633" s="80"/>
      <c r="DI633" s="80"/>
      <c r="DJ633" s="80"/>
      <c r="DN633" s="80"/>
      <c r="DO633" s="80"/>
      <c r="DX633" s="80"/>
      <c r="EC633" s="80"/>
      <c r="EL633" s="80"/>
    </row>
    <row r="634" spans="1:142">
      <c r="A634" s="80"/>
      <c r="B634" s="80"/>
      <c r="M634" s="80"/>
      <c r="Q634" s="80"/>
      <c r="AF634" s="80"/>
      <c r="AZ634" s="80"/>
      <c r="BF634" s="80"/>
      <c r="CC634" s="80"/>
      <c r="CE634" s="80"/>
      <c r="CG634" s="80"/>
      <c r="CL634" s="80"/>
      <c r="CY634" s="80"/>
      <c r="CZ634" s="80"/>
      <c r="DA634" s="80"/>
      <c r="DI634" s="80"/>
      <c r="DJ634" s="80"/>
      <c r="DN634" s="80"/>
      <c r="EL634" s="80"/>
    </row>
    <row r="635" spans="1:142">
      <c r="A635" s="80"/>
      <c r="B635" s="80"/>
      <c r="M635" s="80"/>
      <c r="N635" s="80"/>
      <c r="Q635" s="80"/>
      <c r="AF635" s="80"/>
      <c r="AZ635" s="80"/>
      <c r="BF635" s="80"/>
      <c r="BJ635" s="80"/>
      <c r="BR635" s="80"/>
      <c r="CC635" s="80"/>
      <c r="CE635" s="80"/>
      <c r="CG635" s="80"/>
      <c r="CL635" s="80"/>
      <c r="CN635" s="80"/>
      <c r="CO635" s="80"/>
      <c r="DA635" s="80"/>
      <c r="DE635" s="80"/>
      <c r="DI635" s="80"/>
      <c r="DJ635" s="80"/>
      <c r="DN635" s="80"/>
      <c r="EL635" s="80"/>
    </row>
    <row r="636" spans="1:142">
      <c r="A636" s="80"/>
      <c r="B636" s="80"/>
      <c r="H636" s="80"/>
      <c r="L636" s="80"/>
      <c r="M636" s="80"/>
      <c r="Q636" s="80"/>
      <c r="AF636" s="80"/>
      <c r="AZ636" s="80"/>
      <c r="BF636" s="80"/>
      <c r="CC636" s="80"/>
      <c r="CE636" s="80"/>
      <c r="CG636" s="80"/>
      <c r="CL636" s="80"/>
      <c r="DA636" s="80"/>
      <c r="DE636" s="80"/>
      <c r="DI636" s="80"/>
      <c r="DJ636" s="80"/>
      <c r="DN636" s="80"/>
      <c r="EL636" s="80"/>
    </row>
    <row r="637" spans="1:142">
      <c r="A637" s="80"/>
      <c r="B637" s="80"/>
      <c r="H637" s="161"/>
      <c r="L637" s="161"/>
      <c r="M637" s="161"/>
      <c r="Q637" s="161"/>
      <c r="AI637" s="80"/>
      <c r="AZ637" s="80"/>
      <c r="BF637" s="161"/>
      <c r="BR637" s="80"/>
      <c r="CC637" s="80"/>
      <c r="CE637" s="80"/>
      <c r="CG637" s="161"/>
      <c r="CL637" s="161"/>
      <c r="CY637" s="80"/>
      <c r="CZ637" s="161"/>
      <c r="DA637" s="80"/>
      <c r="DE637" s="80"/>
      <c r="DI637" s="80"/>
      <c r="DJ637" s="161"/>
      <c r="DN637" s="80"/>
      <c r="EL637" s="161"/>
    </row>
    <row r="638" spans="1:142">
      <c r="A638" s="80"/>
      <c r="B638" s="80"/>
      <c r="M638" s="80"/>
      <c r="Q638" s="80"/>
      <c r="AF638" s="80"/>
      <c r="AX638" s="80"/>
      <c r="AY638" s="80"/>
      <c r="BF638" s="80"/>
      <c r="BJ638" s="80"/>
      <c r="BR638" s="80"/>
      <c r="CC638" s="80"/>
      <c r="CE638" s="80"/>
      <c r="CG638" s="80"/>
      <c r="CL638" s="80"/>
      <c r="DA638" s="80"/>
      <c r="DE638" s="80"/>
      <c r="DI638" s="80"/>
      <c r="DJ638" s="80"/>
      <c r="DN638" s="80"/>
      <c r="EL638" s="80"/>
    </row>
    <row r="639" spans="1:142">
      <c r="A639" s="80"/>
      <c r="B639" s="80"/>
      <c r="M639" s="80"/>
      <c r="Q639" s="80"/>
      <c r="AF639" s="80"/>
      <c r="AZ639" s="80"/>
      <c r="BF639" s="80"/>
      <c r="BR639" s="80"/>
      <c r="CC639" s="80"/>
      <c r="CE639" s="80"/>
      <c r="CG639" s="80"/>
      <c r="CL639" s="80"/>
      <c r="CY639" s="80"/>
      <c r="CZ639" s="80"/>
      <c r="DA639" s="80"/>
      <c r="DE639" s="80"/>
      <c r="DI639" s="80"/>
      <c r="DJ639" s="80"/>
      <c r="DN639" s="80"/>
      <c r="EL639" s="80"/>
    </row>
    <row r="640" spans="1:142">
      <c r="A640" s="80"/>
      <c r="B640" s="80"/>
      <c r="M640" s="80"/>
      <c r="Q640" s="80"/>
      <c r="AF640" s="80"/>
      <c r="BF640" s="80"/>
      <c r="CC640" s="80"/>
      <c r="CE640" s="80"/>
      <c r="CG640" s="80"/>
      <c r="CL640" s="80"/>
      <c r="DA640" s="80"/>
      <c r="DE640" s="80"/>
      <c r="DI640" s="80"/>
      <c r="DJ640" s="80"/>
      <c r="DN640" s="80"/>
      <c r="EL640" s="80"/>
    </row>
    <row r="641" spans="1:142">
      <c r="A641" s="80"/>
      <c r="B641" s="80"/>
      <c r="H641" s="80"/>
      <c r="L641" s="80"/>
      <c r="M641" s="80"/>
      <c r="Q641" s="80"/>
      <c r="AD641" s="80"/>
      <c r="AF641" s="80"/>
      <c r="AZ641" s="80"/>
      <c r="BF641" s="80"/>
      <c r="BJ641" s="80"/>
      <c r="BR641" s="80"/>
      <c r="BS641" s="80"/>
      <c r="CC641" s="80"/>
      <c r="CD641" s="80"/>
      <c r="CE641" s="80"/>
      <c r="CG641" s="80"/>
      <c r="CL641" s="80"/>
      <c r="CT641" s="80"/>
      <c r="CU641" s="80"/>
      <c r="CZ641" s="80"/>
      <c r="DA641" s="80"/>
      <c r="DE641" s="80"/>
      <c r="DI641" s="80"/>
      <c r="DJ641" s="80"/>
      <c r="DN641" s="80"/>
      <c r="EL641" s="80"/>
    </row>
    <row r="642" spans="1:142">
      <c r="A642" s="80"/>
      <c r="B642" s="80"/>
      <c r="E642" s="26"/>
      <c r="M642" s="80"/>
      <c r="Q642" s="80"/>
      <c r="AF642" s="80"/>
      <c r="AI642" s="80"/>
      <c r="AZ642" s="80"/>
      <c r="BF642" s="80"/>
      <c r="BO642" s="80"/>
      <c r="BR642" s="80"/>
      <c r="BS642" s="80"/>
      <c r="CC642" s="80"/>
      <c r="CD642" s="80"/>
      <c r="CG642" s="80"/>
      <c r="CL642" s="80"/>
      <c r="CN642" s="80"/>
      <c r="CO642" s="80"/>
      <c r="DA642" s="80"/>
      <c r="DE642" s="80"/>
      <c r="DJ642" s="80"/>
      <c r="DN642" s="80"/>
      <c r="EL642" s="80"/>
    </row>
    <row r="643" spans="1:142">
      <c r="A643" s="80"/>
      <c r="B643" s="80"/>
      <c r="E643" s="26"/>
      <c r="M643" s="80"/>
      <c r="Q643" s="80"/>
      <c r="AF643" s="80"/>
      <c r="BD643" s="80"/>
      <c r="BF643" s="80"/>
      <c r="CC643" s="80"/>
      <c r="CE643" s="80"/>
      <c r="CG643" s="80"/>
      <c r="CL643" s="80"/>
      <c r="DA643" s="80"/>
      <c r="DI643" s="80"/>
      <c r="DJ643" s="80"/>
      <c r="DN643" s="80"/>
      <c r="EL643" s="80"/>
    </row>
    <row r="644" spans="1:142">
      <c r="A644" s="80"/>
      <c r="B644" s="80"/>
      <c r="M644" s="80"/>
      <c r="Q644" s="80"/>
      <c r="AF644" s="80"/>
      <c r="AZ644" s="80"/>
      <c r="BD644" s="80"/>
      <c r="BF644" s="80"/>
      <c r="BJ644" s="80"/>
      <c r="BR644" s="80"/>
      <c r="CA644" s="80"/>
      <c r="CC644" s="80"/>
      <c r="CE644" s="80"/>
      <c r="CG644" s="80"/>
      <c r="CL644" s="80"/>
      <c r="CN644" s="80"/>
      <c r="CO644" s="80"/>
      <c r="DA644" s="80"/>
      <c r="DE644" s="80"/>
      <c r="DH644" s="80"/>
      <c r="DJ644" s="80"/>
      <c r="DN644" s="80"/>
      <c r="EL644" s="80"/>
    </row>
    <row r="645" spans="1:142">
      <c r="A645" s="80"/>
      <c r="B645" s="80"/>
      <c r="M645" s="80"/>
      <c r="Q645" s="80"/>
      <c r="AD645" s="80"/>
      <c r="AF645" s="80"/>
      <c r="BF645" s="80"/>
      <c r="CC645" s="80"/>
      <c r="CE645" s="80"/>
      <c r="CG645" s="80"/>
      <c r="CL645" s="80"/>
      <c r="DA645" s="80"/>
      <c r="DE645" s="80"/>
      <c r="DI645" s="80"/>
      <c r="DJ645" s="80"/>
      <c r="DN645" s="80"/>
      <c r="EL645" s="80"/>
    </row>
    <row r="646" spans="1:142">
      <c r="A646" s="80"/>
      <c r="B646" s="80"/>
      <c r="M646" s="80"/>
      <c r="Q646" s="80"/>
      <c r="AF646" s="80"/>
      <c r="AZ646" s="80"/>
      <c r="BF646" s="80"/>
      <c r="CC646" s="80"/>
      <c r="CE646" s="80"/>
      <c r="CG646" s="80"/>
      <c r="CL646" s="80"/>
      <c r="CY646" s="80"/>
      <c r="CZ646" s="80"/>
      <c r="DA646" s="80"/>
      <c r="DE646" s="80"/>
      <c r="DI646" s="80"/>
      <c r="DJ646" s="80"/>
      <c r="DN646" s="80"/>
      <c r="EL646" s="80"/>
    </row>
    <row r="647" spans="1:142">
      <c r="A647" s="80"/>
      <c r="B647" s="80"/>
      <c r="M647" s="80"/>
      <c r="Q647" s="80"/>
      <c r="AF647" s="80"/>
      <c r="AI647" s="80"/>
      <c r="AZ647" s="80"/>
      <c r="BF647" s="80"/>
      <c r="BR647" s="80"/>
      <c r="CC647" s="80"/>
      <c r="CE647" s="80"/>
      <c r="CG647" s="80"/>
      <c r="CL647" s="80"/>
      <c r="CN647" s="80"/>
      <c r="CO647" s="80"/>
      <c r="DA647" s="80"/>
      <c r="DE647" s="80"/>
      <c r="DI647" s="80"/>
      <c r="DJ647" s="80"/>
      <c r="DN647" s="80"/>
      <c r="EL647" s="80"/>
    </row>
    <row r="648" spans="1:142">
      <c r="A648" s="80"/>
      <c r="B648" s="80"/>
      <c r="K648" s="80"/>
      <c r="L648" s="80"/>
      <c r="M648" s="80"/>
      <c r="Q648" s="80"/>
      <c r="AF648" s="80"/>
      <c r="AZ648" s="80"/>
      <c r="BF648" s="80"/>
      <c r="BJ648" s="80"/>
      <c r="BR648" s="80"/>
      <c r="CC648" s="80"/>
      <c r="CE648" s="80"/>
      <c r="CG648" s="80"/>
      <c r="CL648" s="80"/>
      <c r="CU648" s="80"/>
      <c r="CZ648" s="80"/>
      <c r="DA648" s="80"/>
      <c r="DC648" s="80"/>
      <c r="DE648" s="80"/>
      <c r="DF648" s="80"/>
      <c r="DI648" s="80"/>
      <c r="DJ648" s="80"/>
      <c r="DN648" s="80"/>
      <c r="EL648" s="80"/>
    </row>
    <row r="649" spans="1:142">
      <c r="A649" s="80"/>
      <c r="B649" s="80"/>
      <c r="H649" s="80"/>
      <c r="L649" s="80"/>
      <c r="M649" s="80"/>
      <c r="Q649" s="80"/>
      <c r="AF649" s="80"/>
      <c r="AZ649" s="80"/>
      <c r="BF649" s="80"/>
      <c r="BR649" s="80"/>
      <c r="CC649" s="80"/>
      <c r="CD649" s="80"/>
      <c r="CE649" s="80"/>
      <c r="CG649" s="80"/>
      <c r="CL649" s="80"/>
      <c r="DA649" s="80"/>
      <c r="DE649" s="80"/>
      <c r="DI649" s="80"/>
      <c r="DJ649" s="80"/>
      <c r="DN649" s="80"/>
      <c r="EL649" s="80"/>
    </row>
    <row r="650" spans="1:142">
      <c r="A650" s="80"/>
      <c r="B650" s="80"/>
      <c r="M650" s="80"/>
      <c r="Q650" s="80"/>
      <c r="AF650" s="80"/>
      <c r="AZ650" s="80"/>
      <c r="BF650" s="80"/>
      <c r="CC650" s="80"/>
      <c r="CE650" s="80"/>
      <c r="CG650" s="80"/>
      <c r="CL650" s="80"/>
      <c r="EL650" s="80"/>
    </row>
    <row r="651" spans="1:142">
      <c r="A651" s="80"/>
      <c r="B651" s="80"/>
      <c r="H651" s="80"/>
      <c r="L651" s="80"/>
      <c r="M651" s="80"/>
      <c r="Q651" s="80"/>
      <c r="AF651" s="80"/>
      <c r="AZ651" s="80"/>
      <c r="BF651" s="80"/>
      <c r="BS651" s="80"/>
      <c r="CE651" s="80"/>
      <c r="CF651" s="80"/>
      <c r="CG651" s="80"/>
      <c r="CL651" s="80"/>
      <c r="CY651" s="80"/>
      <c r="CZ651" s="80"/>
      <c r="DA651" s="80"/>
      <c r="DE651" s="80"/>
      <c r="DI651" s="80"/>
      <c r="DJ651" s="80"/>
      <c r="DN651" s="80"/>
      <c r="EL651" s="80"/>
    </row>
    <row r="652" spans="1:142">
      <c r="A652" s="80"/>
      <c r="B652" s="80"/>
      <c r="M652" s="80"/>
      <c r="Q652" s="80"/>
      <c r="AF652" s="80"/>
      <c r="AZ652" s="80"/>
      <c r="BF652" s="80"/>
      <c r="BR652" s="80"/>
      <c r="CC652" s="80"/>
      <c r="CE652" s="80"/>
      <c r="CG652" s="80"/>
      <c r="CL652" s="80"/>
      <c r="CY652" s="80"/>
      <c r="CZ652" s="80"/>
      <c r="DA652" s="80"/>
      <c r="DE652" s="80"/>
      <c r="DI652" s="80"/>
      <c r="DJ652" s="80"/>
      <c r="DN652" s="80"/>
      <c r="EL652" s="80"/>
    </row>
    <row r="653" spans="1:142">
      <c r="A653" s="80"/>
      <c r="B653" s="80"/>
      <c r="H653" s="80"/>
      <c r="L653" s="80"/>
      <c r="M653" s="80"/>
      <c r="Q653" s="80"/>
      <c r="AF653" s="80"/>
      <c r="AX653" s="80"/>
      <c r="AZ653" s="80"/>
      <c r="BF653" s="80"/>
      <c r="BR653" s="80"/>
      <c r="CC653" s="80"/>
      <c r="CE653" s="80"/>
      <c r="CG653" s="80"/>
      <c r="CL653" s="80"/>
      <c r="CY653" s="80"/>
      <c r="CZ653" s="80"/>
      <c r="DA653" s="80"/>
      <c r="DE653" s="80"/>
      <c r="DI653" s="80"/>
      <c r="DJ653" s="80"/>
      <c r="DN653" s="80"/>
      <c r="EL653" s="80"/>
    </row>
    <row r="654" spans="1:142">
      <c r="A654" s="80"/>
      <c r="B654" s="80"/>
      <c r="H654" s="80"/>
      <c r="L654" s="80"/>
      <c r="M654" s="80"/>
      <c r="Q654" s="80"/>
      <c r="AF654" s="80"/>
      <c r="AZ654" s="80"/>
      <c r="BF654" s="80"/>
      <c r="BR654" s="80"/>
      <c r="CC654" s="80"/>
      <c r="CE654" s="80"/>
      <c r="CG654" s="80"/>
      <c r="CL654" s="80"/>
      <c r="CY654" s="80"/>
      <c r="CZ654" s="80"/>
      <c r="DA654" s="80"/>
      <c r="DE654" s="80"/>
      <c r="DI654" s="80"/>
      <c r="DJ654" s="80"/>
      <c r="DN654" s="80"/>
      <c r="EL654" s="80"/>
    </row>
    <row r="655" spans="1:142">
      <c r="A655" s="80"/>
      <c r="B655" s="80"/>
      <c r="M655" s="80"/>
      <c r="Q655" s="80"/>
      <c r="AF655" s="80"/>
      <c r="AZ655" s="80"/>
      <c r="BF655" s="80"/>
      <c r="BR655" s="80"/>
      <c r="BS655" s="80"/>
      <c r="CC655" s="80"/>
      <c r="CD655" s="80"/>
      <c r="CE655" s="80"/>
      <c r="CG655" s="80"/>
      <c r="CL655" s="80"/>
      <c r="CN655" s="80"/>
      <c r="CO655" s="80"/>
      <c r="CT655" s="80"/>
      <c r="CU655" s="80"/>
      <c r="CY655" s="80"/>
      <c r="CZ655" s="80"/>
      <c r="DA655" s="80"/>
      <c r="DE655" s="80"/>
      <c r="DI655" s="80"/>
      <c r="DJ655" s="80"/>
      <c r="DN655" s="80"/>
      <c r="EL655" s="80"/>
    </row>
    <row r="656" spans="1:142">
      <c r="A656" s="80"/>
      <c r="B656" s="80"/>
      <c r="H656" s="80"/>
      <c r="L656" s="80"/>
      <c r="M656" s="80"/>
      <c r="O656" s="80"/>
      <c r="Q656" s="80"/>
      <c r="AF656" s="80"/>
      <c r="AZ656" s="80"/>
      <c r="BF656" s="80"/>
      <c r="CE656" s="80"/>
      <c r="CF656" s="80"/>
      <c r="CG656" s="80"/>
      <c r="CL656" s="80"/>
      <c r="CN656" s="80"/>
      <c r="CO656" s="80"/>
      <c r="CY656" s="80"/>
      <c r="CZ656" s="80"/>
      <c r="DE656" s="80"/>
      <c r="DI656" s="80"/>
      <c r="DJ656" s="80"/>
      <c r="DN656" s="80"/>
      <c r="EL656" s="80"/>
    </row>
    <row r="657" spans="1:142">
      <c r="A657" s="80"/>
      <c r="B657" s="80"/>
      <c r="H657" s="80"/>
      <c r="L657" s="80"/>
      <c r="M657" s="80"/>
      <c r="Q657" s="80"/>
      <c r="AF657" s="80"/>
      <c r="AZ657" s="80"/>
      <c r="BF657" s="80"/>
      <c r="BJ657" s="80"/>
      <c r="BR657" s="80"/>
      <c r="BS657" s="80"/>
      <c r="CC657" s="80"/>
      <c r="CD657" s="80"/>
      <c r="CE657" s="80"/>
      <c r="CG657" s="80"/>
      <c r="CL657" s="80"/>
      <c r="CN657" s="80"/>
      <c r="CO657" s="80"/>
      <c r="CT657" s="80"/>
      <c r="CU657" s="80"/>
      <c r="CZ657" s="80"/>
      <c r="DA657" s="80"/>
      <c r="DE657" s="80"/>
      <c r="DI657" s="80"/>
      <c r="DJ657" s="80"/>
      <c r="DN657" s="80"/>
      <c r="EL657" s="80"/>
    </row>
    <row r="658" spans="1:142">
      <c r="A658" s="80"/>
      <c r="B658" s="80"/>
      <c r="M658" s="80"/>
      <c r="Q658" s="80"/>
      <c r="AF658" s="80"/>
      <c r="AZ658" s="80"/>
      <c r="BF658" s="80"/>
      <c r="BK658" s="80"/>
      <c r="CC658" s="80"/>
      <c r="CE658" s="80"/>
      <c r="CG658" s="80"/>
      <c r="CL658" s="80"/>
      <c r="CU658" s="80"/>
      <c r="CW658" s="80"/>
      <c r="CZ658" s="80"/>
      <c r="DC658" s="80"/>
      <c r="DJ658" s="80"/>
      <c r="DN658" s="80"/>
      <c r="EI658" s="80"/>
      <c r="EK658" s="80"/>
      <c r="EL658" s="80"/>
    </row>
    <row r="659" spans="1:142">
      <c r="A659" s="80"/>
      <c r="B659" s="80"/>
      <c r="M659" s="80"/>
      <c r="Q659" s="80"/>
      <c r="AZ659" s="80"/>
      <c r="BF659" s="80"/>
      <c r="BJ659" s="80"/>
      <c r="BR659" s="80"/>
      <c r="CC659" s="80"/>
      <c r="CE659" s="80"/>
      <c r="CG659" s="80"/>
      <c r="CL659" s="80"/>
      <c r="DA659" s="80"/>
      <c r="DE659" s="80"/>
      <c r="DI659" s="80"/>
      <c r="DJ659" s="80"/>
      <c r="DN659" s="80"/>
      <c r="EL659" s="80"/>
    </row>
    <row r="660" spans="1:142">
      <c r="A660" s="80"/>
      <c r="B660" s="80"/>
      <c r="M660" s="80"/>
      <c r="Q660" s="80"/>
      <c r="S660" s="80"/>
      <c r="AF660" s="80"/>
      <c r="AZ660" s="80"/>
      <c r="BF660" s="80"/>
      <c r="BR660" s="80"/>
      <c r="CC660" s="80"/>
      <c r="CE660" s="80"/>
      <c r="CF660" s="80"/>
      <c r="CG660" s="80"/>
      <c r="CL660" s="80"/>
      <c r="DA660" s="80"/>
      <c r="DE660" s="80"/>
      <c r="DI660" s="80"/>
      <c r="DJ660" s="80"/>
      <c r="DN660" s="80"/>
      <c r="EL660" s="80"/>
    </row>
    <row r="661" spans="1:142">
      <c r="A661" s="80"/>
      <c r="B661" s="80"/>
      <c r="H661" s="80"/>
      <c r="L661" s="80"/>
      <c r="M661" s="80"/>
      <c r="Q661" s="80"/>
      <c r="AF661" s="80"/>
      <c r="AY661" s="80"/>
      <c r="AZ661" s="80"/>
      <c r="BF661" s="80"/>
      <c r="BR661" s="80"/>
      <c r="CC661" s="80"/>
      <c r="CD661" s="80"/>
      <c r="CE661" s="80"/>
      <c r="CG661" s="80"/>
      <c r="CL661" s="80"/>
      <c r="DA661" s="80"/>
      <c r="DE661" s="80"/>
      <c r="DI661" s="80"/>
      <c r="DJ661" s="80"/>
      <c r="DN661" s="80"/>
      <c r="EL661" s="80"/>
    </row>
    <row r="662" spans="1:142">
      <c r="A662" s="80"/>
      <c r="B662" s="80"/>
      <c r="M662" s="80"/>
      <c r="Q662" s="80"/>
      <c r="AF662" s="80"/>
      <c r="AZ662" s="80"/>
      <c r="BF662" s="80"/>
      <c r="BR662" s="80"/>
      <c r="CC662" s="80"/>
      <c r="CE662" s="80"/>
      <c r="CG662" s="80"/>
      <c r="CL662" s="80"/>
      <c r="CN662" s="80"/>
      <c r="CO662" s="80"/>
      <c r="DA662" s="80"/>
      <c r="DE662" s="80"/>
      <c r="DI662" s="80"/>
      <c r="DJ662" s="80"/>
      <c r="DN662" s="80"/>
      <c r="EL662" s="80"/>
    </row>
    <row r="663" spans="1:142">
      <c r="A663" s="80"/>
      <c r="B663" s="80"/>
      <c r="G663" s="162"/>
      <c r="H663" s="162"/>
      <c r="I663" s="162"/>
      <c r="J663" s="162"/>
      <c r="K663" s="162"/>
      <c r="L663" s="162"/>
      <c r="M663" s="161"/>
      <c r="N663" s="162"/>
      <c r="O663" s="162"/>
      <c r="P663" s="162"/>
      <c r="Q663" s="161"/>
      <c r="AF663" s="80"/>
      <c r="AZ663" s="80"/>
      <c r="BF663" s="161"/>
      <c r="BR663" s="80"/>
      <c r="BS663" s="80"/>
      <c r="CC663" s="80"/>
      <c r="CE663" s="80"/>
      <c r="CG663" s="161"/>
      <c r="CL663" s="161"/>
      <c r="CY663" s="80"/>
      <c r="CZ663" s="161"/>
      <c r="DA663" s="80"/>
      <c r="DE663" s="80"/>
      <c r="DI663" s="80"/>
      <c r="DJ663" s="161"/>
      <c r="DN663" s="80"/>
      <c r="EL663" s="161"/>
    </row>
    <row r="664" spans="1:142">
      <c r="A664" s="80"/>
      <c r="B664" s="80"/>
      <c r="M664" s="80"/>
      <c r="Q664" s="80"/>
      <c r="AF664" s="80"/>
      <c r="AZ664" s="80"/>
      <c r="BF664" s="80"/>
      <c r="BR664" s="80"/>
      <c r="CC664" s="80"/>
      <c r="CE664" s="80"/>
      <c r="CG664" s="80"/>
      <c r="CL664" s="80"/>
      <c r="CY664" s="80"/>
      <c r="CZ664" s="80"/>
      <c r="DA664" s="80"/>
      <c r="DC664" s="80"/>
      <c r="DE664" s="80"/>
      <c r="DI664" s="80"/>
      <c r="DJ664" s="80"/>
      <c r="DN664" s="80"/>
      <c r="EL664" s="80"/>
    </row>
    <row r="665" spans="1:142">
      <c r="A665" s="80"/>
      <c r="B665" s="80"/>
      <c r="H665" s="80"/>
      <c r="L665" s="80"/>
      <c r="M665" s="80"/>
      <c r="Q665" s="80"/>
      <c r="AF665" s="80"/>
      <c r="AZ665" s="80"/>
      <c r="BF665" s="80"/>
      <c r="BR665" s="80"/>
      <c r="CC665" s="80"/>
      <c r="CE665" s="80"/>
      <c r="CG665" s="80"/>
      <c r="CL665" s="80"/>
      <c r="CN665" s="80"/>
      <c r="CO665" s="80"/>
      <c r="CY665" s="80"/>
      <c r="CZ665" s="80"/>
      <c r="DE665" s="80"/>
      <c r="DJ665" s="80"/>
      <c r="DN665" s="80"/>
      <c r="EL665" s="80"/>
    </row>
    <row r="666" spans="1:142">
      <c r="A666" s="80"/>
      <c r="B666" s="80"/>
      <c r="M666" s="80"/>
      <c r="Q666" s="80"/>
      <c r="AF666" s="80"/>
      <c r="AZ666" s="80"/>
      <c r="BF666" s="80"/>
      <c r="BR666" s="80"/>
      <c r="CC666" s="80"/>
      <c r="CE666" s="80"/>
      <c r="CG666" s="80"/>
      <c r="CL666" s="80"/>
      <c r="CN666" s="80"/>
      <c r="CO666" s="80"/>
      <c r="CY666" s="80"/>
      <c r="CZ666" s="80"/>
      <c r="DA666" s="80"/>
      <c r="DE666" s="80"/>
      <c r="DI666" s="80"/>
      <c r="DJ666" s="80"/>
      <c r="DN666" s="80"/>
      <c r="EL666" s="80"/>
    </row>
    <row r="667" spans="1:142">
      <c r="A667" s="80"/>
      <c r="B667" s="80"/>
      <c r="AF667" s="80"/>
      <c r="AZ667" s="80"/>
      <c r="BF667" s="80"/>
      <c r="BR667" s="80"/>
      <c r="BS667" s="80"/>
      <c r="CC667" s="80"/>
      <c r="CE667" s="80"/>
      <c r="CG667" s="80"/>
      <c r="CL667" s="80"/>
      <c r="CY667" s="80"/>
      <c r="CZ667" s="80"/>
      <c r="DI667" s="80"/>
      <c r="DJ667" s="80"/>
      <c r="DN667" s="80"/>
      <c r="EL667" s="80"/>
    </row>
    <row r="668" spans="1:142">
      <c r="A668" s="80"/>
      <c r="B668" s="80"/>
      <c r="G668" s="162"/>
      <c r="H668" s="162"/>
      <c r="I668" s="162"/>
      <c r="J668" s="162"/>
      <c r="K668" s="162"/>
      <c r="L668" s="162"/>
      <c r="M668" s="161"/>
      <c r="N668" s="162"/>
      <c r="O668" s="162"/>
      <c r="P668" s="162"/>
      <c r="Q668" s="161"/>
      <c r="AF668" s="80"/>
      <c r="AI668" s="80"/>
      <c r="AZ668" s="80"/>
      <c r="BF668" s="161"/>
      <c r="BR668" s="80"/>
      <c r="CE668" s="80"/>
      <c r="CF668" s="80"/>
      <c r="CG668" s="161"/>
      <c r="CL668" s="161"/>
      <c r="CN668" s="80"/>
      <c r="CO668" s="161"/>
      <c r="CY668" s="80"/>
      <c r="CZ668" s="161"/>
      <c r="DA668" s="80"/>
      <c r="DE668" s="80"/>
      <c r="DI668" s="80"/>
      <c r="DJ668" s="161"/>
      <c r="DN668" s="80"/>
      <c r="EL668" s="161"/>
    </row>
    <row r="669" spans="1:142" ht="25.5" customHeight="1"/>
    <row r="671" spans="1:142">
      <c r="D671" s="26"/>
      <c r="F671" s="26"/>
    </row>
    <row r="672" spans="1:142">
      <c r="D672" s="26"/>
      <c r="F672" s="26"/>
    </row>
  </sheetData>
  <phoneticPr fontId="2" type="noConversion"/>
  <pageMargins left="0.36" right="0.93" top="0.5" bottom="0.49" header="0.5" footer="0.5"/>
  <headerFooter alignWithMargins="0"/>
  <legacyDrawing r:id="rId1"/>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Legend</vt:lpstr>
      <vt:lpstr>Figures 1,2,4</vt:lpstr>
      <vt:lpstr>Figure 3 Policies</vt:lpstr>
      <vt:lpstr>Figure 5 Characteristics</vt:lpstr>
      <vt:lpstr>Figure 6 Findings</vt:lpstr>
      <vt:lpstr>enr send dist</vt:lpstr>
      <vt:lpstr>State Chart</vt:lpstr>
      <vt:lpstr>rev send dist only</vt:lpstr>
      <vt:lpstr>Master</vt:lpstr>
      <vt:lpstr>State Dist</vt:lpstr>
      <vt:lpstr>PreK</vt:lpstr>
      <vt:lpstr>Sheet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Larry</dc:creator>
  <cp:lastModifiedBy>Holmes Finch</cp:lastModifiedBy>
  <cp:lastPrinted>2008-04-11T17:46:08Z</cp:lastPrinted>
  <dcterms:created xsi:type="dcterms:W3CDTF">2008-07-29T14:48:15Z</dcterms:created>
  <dcterms:modified xsi:type="dcterms:W3CDTF">2010-05-20T16:43:25Z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-954960851</vt:i4>
  </property>
  <property fmtid="{D5CDD505-2E9C-101B-9397-08002B2CF9AE}" pid="3" name="_EmailSubject">
    <vt:lpwstr>School District Revenue Information</vt:lpwstr>
  </property>
  <property fmtid="{D5CDD505-2E9C-101B-9397-08002B2CF9AE}" pid="4" name="_AuthorEmail">
    <vt:lpwstr>debtserv@doe.state.nj.us</vt:lpwstr>
  </property>
  <property fmtid="{D5CDD505-2E9C-101B-9397-08002B2CF9AE}" pid="5" name="_AuthorEmailDisplayName">
    <vt:lpwstr>debtserv</vt:lpwstr>
  </property>
  <property fmtid="{D5CDD505-2E9C-101B-9397-08002B2CF9AE}" pid="6" name="_ReviewingToolsShownOnce">
    <vt:lpwstr/>
  </property>
  <property fmtid="{D5CDD505-2E9C-101B-9397-08002B2CF9AE}" pid="7" name="_MarkAsFinal">
    <vt:bool>true</vt:bool>
  </property>
</Properties>
</file>