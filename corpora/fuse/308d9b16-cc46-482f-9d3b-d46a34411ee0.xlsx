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1720" windowHeight="10740"/>
  </bookViews>
  <sheets>
    <sheet name="Primary Layout" sheetId="1" r:id="rId1"/>
  </sheets>
  <definedNames>
    <definedName name="_xlnm.Print_Area" localSheetId="0">'Primary Layout'!$A$1:$AA$49</definedName>
  </definedNames>
  <calcPr calcId="145621"/>
</workbook>
</file>

<file path=xl/sharedStrings.xml><?xml version="1.0" encoding="utf-8"?>
<sst xmlns="http://schemas.openxmlformats.org/spreadsheetml/2006/main" count="94" uniqueCount="94">
  <si>
    <t/>
  </si>
  <si>
    <t>ID:</t>
  </si>
  <si>
    <t>00091580</t>
  </si>
  <si>
    <t>Notes/Supplemental Information:</t>
  </si>
  <si>
    <t xml:space="preserve">**  Paid with the redemption consideration on the Series b preferred redemption date of May 31, 2012</t>
  </si>
  <si>
    <t>REIT Name:</t>
  </si>
  <si>
    <t>Lexington Realty Trust</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</si>
  <si>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</si>
  <si>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</si>
  <si>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</si>
  <si>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</si>
  <si>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</si>
  <si>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</si>
  <si>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</si>
  <si>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</si>
  <si>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</si>
  <si>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</si>
  <si>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</si>
  <si>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</si>
  <si>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</si>
  <si>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</si>
  <si>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</si>
  <si>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</si>
  <si>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</si>
  <si>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</si>
  <si>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</si>
  <si>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</si>
  <si>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</si>
  <si>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</si>
  <si>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</si>
  <si>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</si>
  <si>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</si>
  <si>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</si>
  <si>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</si>
  <si>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</si>
  <si>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</si>
  <si>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</si>
  <si>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</si>
  <si>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</si>
  <si>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</si>
  <si>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</si>
  <si>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</si>
  <si>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</si>
  <si>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</si>
  <si>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</si>
  <si>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</si>
  <si>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</si>
  <si>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</si>
  <si>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</si>
  <si>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</si>
  <si>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</si>
  <si>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</si>
  <si>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</si>
  <si>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</si>
  <si>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</si>
  <si>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</si>
  <si>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</si>
  <si>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</si>
  <si>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</si>
  <si>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</si>
  <si>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</si>
  <si>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</si>
  <si>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</si>
  <si>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</si>
  <si>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</si>
  <si>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</si>
  <si>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</si>
  <si>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</si>
  <si>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</si>
  <si>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</si>
  <si>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</si>
  <si>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</si>
  <si>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</si>
  <si>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</si>
  <si>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</si>
  <si>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</si>
  <si>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</si>
  <si>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</si>
  <si>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</si>
  <si>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</si>
  <si>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</si>
  <si>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</si>
  <si>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</si>
  <si>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</si>
  <si>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</si>
  <si>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Lexington Realty Trust Common</t>
  </si>
  <si>
    <t>LXP</t>
  </si>
  <si>
    <t>Lexington Realty Trust Series b preferred</t>
  </si>
  <si>
    <t>LXP-PB</t>
  </si>
  <si>
    <t>**</t>
  </si>
  <si>
    <t>Lexington Realty Trust Series c preferred</t>
  </si>
  <si>
    <t>LXP-PC</t>
  </si>
  <si>
    <t>Lexington Realty Trust Series d preferred</t>
  </si>
  <si>
    <t>LXP-PD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</si>
</sst>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quot;$&quot;* #,##0.000000_);_(&quot;$&quot;* \(#,##0.000000\);_(&quot;$&quot;* &quot;-&quot;??_);_(@_)"/>
    <numFmt numFmtId="165" formatCode="_(&quot;$&quot;* #,##0.0000000_);_(&quot;$&quot;* \(#,##0.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9">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1" fillId="0" borderId="18" xfId="0">
      <alignment horizontal="left"/>
      <protection locked="0"/>
    </xf>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1" fillId="0" borderId="0" xfId="0">
      <protection locked="0"/>
    </xf>
    <xf numFmtId="14" fontId="1" fillId="0" borderId="0" xfId="0">
      <protection locked="0"/>
    </xf>
    <xf numFmtId="0" fontId="1" fillId="0" borderId="0" xfId="0">
      <alignment horizontal="right"/>
      <protection locked="0"/>
    </xf>
    <xf numFmtId="165" fontId="1" fillId="0" borderId="33" xfId="0">
      <protection locked="0"/>
    </xf>
    <xf numFmtId="165" fontId="1" fillId="0" borderId="27" xfId="0">
      <protection locked="0"/>
    </xf>
    <xf numFmtId="165" fontId="1" fillId="0" borderId="35" xfId="0">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68"/>
  <sheetViews>
    <sheetView tabSelected="1" topLeftCell="C1" zoomScaleNormal="100" workbookViewId="0">
      <pane ySplit="18" topLeftCell="A19" activePane="bottomLeft" state="frozen"/>
      <selection pane="bottomLeft" activeCell="A39" sqref="A39"/>
    </sheetView>
  </sheetViews>
  <sheetFormatPr defaultRowHeight="15" x14ac:dyDescent="0.25"/>
  <cols>
    <col min="1" max="1" bestFit="1" width="30.2851562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5" t="s">
        <v>4</v>
      </c>
      <c r="L2" s="96"/>
      <c r="M2" s="96"/>
      <c r="N2" s="96"/>
      <c r="O2" s="96"/>
      <c r="P2" s="96"/>
      <c r="Q2" s="97"/>
    </row>
    <row r="3">
      <c r="A3" s="3" t="s">
        <v>5</v>
      </c>
      <c r="B3" s="8" t="s">
        <v>6</v>
      </c>
      <c r="C3" s="9"/>
      <c r="D3" s="9"/>
      <c r="E3" s="9"/>
      <c r="F3" s="10"/>
      <c r="G3" s="11"/>
      <c r="H3" s="12"/>
      <c r="J3" s="12"/>
      <c r="K3" s="98"/>
      <c r="L3" s="99"/>
      <c r="M3" s="99"/>
      <c r="N3" s="99"/>
      <c r="O3" s="99"/>
      <c r="P3" s="99"/>
      <c r="Q3" s="100"/>
      <c r="R3" s="12"/>
      <c r="S3" s="12"/>
      <c r="T3" s="12"/>
      <c r="U3" s="12"/>
      <c r="V3" s="12"/>
      <c r="W3" s="12"/>
      <c r="X3" s="12"/>
      <c r="Y3" s="12"/>
      <c r="Z3" s="12"/>
      <c r="AA3" s="12"/>
      <c r="AB3" s="12"/>
      <c r="AC3" s="12"/>
      <c r="AD3" s="12"/>
    </row>
    <row r="4">
      <c r="A4" s="3" t="s">
        <v>7</v>
      </c>
      <c r="B4" s="13">
        <v>2012</v>
      </c>
      <c r="C4" s="14"/>
      <c r="D4" s="14"/>
      <c r="E4" s="14"/>
      <c r="F4" s="14"/>
      <c r="G4" s="15"/>
      <c r="K4" s="98"/>
      <c r="L4" s="99"/>
      <c r="M4" s="99"/>
      <c r="N4" s="99"/>
      <c r="O4" s="99"/>
      <c r="P4" s="99"/>
      <c r="Q4" s="100"/>
    </row>
    <row r="5">
      <c r="A5" s="12"/>
      <c r="B5" s="12"/>
      <c r="C5" s="12"/>
      <c r="D5" s="12"/>
      <c r="E5" s="12"/>
      <c r="F5" s="12"/>
      <c r="G5" s="12"/>
      <c r="H5" s="12"/>
      <c r="J5" s="12"/>
      <c r="K5" s="101"/>
      <c r="L5" s="102"/>
      <c r="M5" s="102"/>
      <c r="N5" s="102"/>
      <c r="O5" s="102"/>
      <c r="P5" s="102"/>
      <c r="Q5" s="103"/>
      <c r="R5" s="12"/>
      <c r="S5" s="12"/>
      <c r="T5" s="12"/>
      <c r="U5" s="12"/>
      <c r="V5" s="12"/>
      <c r="W5" s="12"/>
      <c r="X5" s="12"/>
      <c r="Y5" s="12"/>
      <c r="Z5" s="12"/>
      <c r="AA5" s="12"/>
      <c r="AB5" s="12"/>
      <c r="AC5" s="12"/>
      <c r="AD5" s="12"/>
    </row>
    <row r="6">
      <c r="A6" s="7" t="s">
        <v>8</v>
      </c>
      <c r="B6" s="16"/>
      <c r="C6" s="12"/>
      <c r="D6" s="17" t="s">
        <v>9</v>
      </c>
      <c r="E6" s="18"/>
      <c r="G6" s="12"/>
      <c r="H6" s="12"/>
      <c r="I6" s="12"/>
      <c r="Q6" s="12"/>
      <c r="R6" s="12"/>
      <c r="S6" s="12"/>
      <c r="T6" s="12"/>
      <c r="U6" s="12"/>
      <c r="V6" s="12"/>
      <c r="W6" s="12"/>
      <c r="X6" s="12"/>
      <c r="Y6" s="12"/>
      <c r="Z6" s="12"/>
      <c r="AA6" s="12"/>
      <c r="AB6" s="12"/>
      <c r="AC6" s="12"/>
      <c r="AD6" s="12"/>
    </row>
    <row r="7">
      <c r="A7" s="7"/>
      <c r="B7" s="19"/>
      <c r="C7" s="19"/>
      <c r="D7" s="19"/>
      <c r="E7" s="19"/>
      <c r="F7" s="19"/>
      <c r="G7" s="19"/>
      <c r="H7" s="19"/>
      <c r="I7" s="19"/>
      <c r="J7" s="19"/>
      <c r="K7" s="20"/>
      <c r="L7" s="20"/>
      <c r="M7" s="20"/>
      <c r="N7" s="20"/>
      <c r="O7" s="20"/>
      <c r="P7" s="20"/>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104" t="s">
        <v>10</v>
      </c>
      <c r="B9" s="104"/>
      <c r="C9" s="104"/>
      <c r="D9" s="104"/>
      <c r="E9" s="104"/>
      <c r="F9" s="104"/>
      <c r="G9" s="104"/>
      <c r="H9" s="104"/>
      <c r="I9" s="104"/>
      <c r="J9" s="104"/>
      <c r="K9" s="104"/>
      <c r="L9" s="104"/>
      <c r="M9" s="104"/>
      <c r="N9" s="20"/>
      <c r="O9" s="20"/>
      <c r="P9" s="20"/>
      <c r="Q9" s="12"/>
      <c r="R9" s="12"/>
      <c r="S9" s="12"/>
      <c r="T9" s="12"/>
      <c r="U9" s="12"/>
      <c r="V9" s="12"/>
      <c r="W9" s="12"/>
      <c r="X9" s="12"/>
      <c r="Y9" s="12"/>
      <c r="Z9" s="12"/>
      <c r="AA9" s="12"/>
      <c r="AB9" s="12"/>
      <c r="AC9" s="12"/>
      <c r="AD9" s="12"/>
    </row>
    <row r="10">
      <c r="A10" s="104"/>
      <c r="B10" s="104"/>
      <c r="C10" s="104"/>
      <c r="D10" s="104"/>
      <c r="E10" s="104"/>
      <c r="F10" s="104"/>
      <c r="G10" s="104"/>
      <c r="H10" s="104"/>
      <c r="I10" s="104"/>
      <c r="J10" s="104"/>
      <c r="K10" s="104"/>
      <c r="L10" s="104"/>
      <c r="M10" s="104"/>
      <c r="N10" s="20"/>
      <c r="O10" s="20"/>
      <c r="P10" s="20"/>
      <c r="Q10" s="12"/>
      <c r="R10" s="12"/>
      <c r="S10" s="12"/>
      <c r="T10" s="12"/>
      <c r="U10" s="12"/>
      <c r="V10" s="12"/>
      <c r="W10" s="12"/>
      <c r="X10" s="12"/>
      <c r="Y10" s="12"/>
      <c r="Z10" s="12"/>
      <c r="AA10" s="12"/>
      <c r="AB10" s="12"/>
      <c r="AC10" s="12"/>
      <c r="AD10" s="12"/>
    </row>
    <row r="11">
      <c r="A11" s="19"/>
      <c r="B11" s="19"/>
      <c r="C11" s="19"/>
      <c r="D11" s="19"/>
      <c r="E11" s="19"/>
      <c r="F11" s="19"/>
      <c r="G11" s="19"/>
      <c r="H11" s="19"/>
      <c r="I11" s="19"/>
      <c r="J11" s="19"/>
      <c r="K11" s="20"/>
      <c r="L11" s="20"/>
      <c r="M11" s="20"/>
      <c r="N11" s="20"/>
      <c r="O11" s="20"/>
      <c r="P11" s="20"/>
      <c r="Q11" s="12"/>
      <c r="R11" s="12"/>
      <c r="S11" s="12"/>
      <c r="T11" s="12"/>
      <c r="U11" s="12"/>
      <c r="V11" s="12"/>
      <c r="W11" s="12"/>
      <c r="X11" s="12"/>
      <c r="Y11" s="12"/>
      <c r="Z11" s="12"/>
      <c r="AA11" s="12"/>
      <c r="AB11" s="12"/>
      <c r="AC11" s="12"/>
      <c r="AD11" s="12"/>
    </row>
    <row r="12">
      <c r="A12" s="19"/>
      <c r="B12" s="19"/>
      <c r="C12" s="19"/>
      <c r="D12" s="19"/>
      <c r="E12" s="19"/>
      <c r="F12" s="19"/>
      <c r="G12" s="19"/>
      <c r="H12" s="19"/>
      <c r="I12" s="19"/>
      <c r="J12" s="19"/>
      <c r="K12" s="20"/>
      <c r="L12" s="20"/>
      <c r="M12" s="20"/>
      <c r="N12" s="20"/>
      <c r="O12" s="20"/>
      <c r="P12" s="20"/>
      <c r="Q12" s="12"/>
      <c r="R12" s="12"/>
      <c r="S12" s="12"/>
      <c r="T12" s="12"/>
      <c r="U12" s="12"/>
      <c r="V12" s="12"/>
      <c r="W12" s="12"/>
      <c r="X12" s="12"/>
      <c r="Y12" s="12"/>
      <c r="Z12" s="12"/>
      <c r="AA12" s="12"/>
      <c r="AB12" s="12"/>
      <c r="AC12" s="12"/>
      <c r="AD12" s="12"/>
    </row>
    <row r="13">
      <c r="A13" s="105" t="s">
        <v>11</v>
      </c>
      <c r="B13" s="105"/>
      <c r="C13" s="105"/>
      <c r="D13" s="105"/>
      <c r="E13" s="21"/>
      <c r="F13" s="21"/>
      <c r="G13" s="21"/>
      <c r="H13" s="21"/>
      <c r="I13" s="21"/>
      <c r="J13" s="21"/>
      <c r="K13" s="22"/>
      <c r="L13" s="22"/>
      <c r="M13" s="22"/>
      <c r="N13" s="22"/>
      <c r="O13" s="22"/>
      <c r="P13" s="22"/>
      <c r="Q13" s="22"/>
      <c r="R13" s="22"/>
      <c r="S13" s="22"/>
      <c r="T13" s="22"/>
      <c r="U13" s="22"/>
      <c r="V13" s="22"/>
      <c r="W13" s="22"/>
      <c r="X13" s="22"/>
      <c r="Y13" s="22"/>
      <c r="Z13" s="22"/>
      <c r="AA13" s="22"/>
      <c r="AB13" s="22"/>
      <c r="AC13" s="22"/>
      <c r="AD13" s="22"/>
    </row>
    <row r="14">
      <c r="A14" s="23">
        <v>1</v>
      </c>
      <c r="B14" s="23">
        <v>2</v>
      </c>
      <c r="C14" s="23">
        <v>3</v>
      </c>
      <c r="D14" s="23">
        <v>4</v>
      </c>
      <c r="E14" s="23">
        <f>D14+1</f>
      </c>
      <c r="F14" s="23">
        <f ref="F14:AD14" t="shared" si="0">E14+1</f>
      </c>
      <c r="G14" s="23">
        <f t="shared" si="0"/>
      </c>
      <c r="H14" s="23">
        <f t="shared" si="0"/>
      </c>
      <c r="I14" s="23">
        <f t="shared" si="0"/>
      </c>
      <c r="J14" s="23">
        <f t="shared" si="0"/>
      </c>
      <c r="K14" s="23">
        <f t="shared" si="0"/>
      </c>
      <c r="L14" s="23">
        <f t="shared" si="0"/>
      </c>
      <c r="M14" s="23">
        <f t="shared" si="0"/>
      </c>
      <c r="N14" s="23">
        <v>14</v>
      </c>
      <c r="O14" s="23">
        <v>15</v>
      </c>
      <c r="P14" s="23">
        <v>16</v>
      </c>
      <c r="Q14" s="23">
        <v>17</v>
      </c>
      <c r="R14" s="23">
        <v>18</v>
      </c>
      <c r="S14" s="23">
        <v>19</v>
      </c>
      <c r="T14" s="23">
        <v>20</v>
      </c>
      <c r="U14" s="23">
        <v>21</v>
      </c>
      <c r="V14" s="23">
        <f t="shared" si="0"/>
      </c>
      <c r="W14" s="23">
        <f t="shared" si="0"/>
      </c>
      <c r="X14" s="23">
        <f t="shared" si="0"/>
      </c>
      <c r="Y14" s="23">
        <f t="shared" si="0"/>
      </c>
      <c r="Z14" s="23">
        <f t="shared" si="0"/>
      </c>
      <c r="AA14" s="23">
        <f t="shared" si="0"/>
      </c>
      <c r="AB14" s="23">
        <f t="shared" si="0"/>
      </c>
      <c r="AC14" s="23">
        <f t="shared" si="0"/>
      </c>
      <c r="AD14" s="23">
        <f t="shared" si="0"/>
      </c>
      <c r="AE14" s="23">
        <f>AD14+1</f>
      </c>
      <c r="AF14" s="24">
        <v>32</v>
      </c>
      <c r="AG14" s="25"/>
    </row>
    <row r="15">
      <c r="A15" s="26"/>
      <c r="B15" s="27"/>
      <c r="C15" s="27"/>
      <c r="D15" s="27"/>
      <c r="E15" s="27"/>
      <c r="F15" s="27"/>
      <c r="G15" s="27"/>
      <c r="H15" s="27"/>
      <c r="I15" s="27"/>
      <c r="J15" s="28" t="s">
        <v>12</v>
      </c>
      <c r="K15" s="106" t="s">
        <v>13</v>
      </c>
      <c r="L15" s="107"/>
      <c r="M15" s="108"/>
      <c r="N15" s="29"/>
      <c r="O15" s="30" t="s">
        <v>14</v>
      </c>
      <c r="P15" s="31"/>
      <c r="Q15" s="32" t="s">
        <v>15</v>
      </c>
      <c r="R15" s="32"/>
      <c r="S15" s="33" t="s">
        <v>16</v>
      </c>
      <c r="T15" s="33"/>
      <c r="U15" s="32" t="s">
        <v>17</v>
      </c>
      <c r="V15" s="34" t="s">
        <v>18</v>
      </c>
      <c r="W15" s="35" t="s">
        <v>19</v>
      </c>
      <c r="X15" s="35" t="s">
        <v>20</v>
      </c>
      <c r="Y15" s="35" t="s">
        <v>21</v>
      </c>
      <c r="Z15" s="35" t="s">
        <v>22</v>
      </c>
      <c r="AA15" s="35" t="s">
        <v>23</v>
      </c>
      <c r="AB15" s="35" t="s">
        <v>24</v>
      </c>
      <c r="AC15" s="35" t="s">
        <v>25</v>
      </c>
      <c r="AD15" s="27"/>
      <c r="AE15" s="36"/>
      <c r="AF15" s="37" t="s">
        <v>26</v>
      </c>
      <c r="AG15" s="38"/>
    </row>
    <row r="16">
      <c r="A16" s="39"/>
      <c r="B16" s="39"/>
      <c r="C16" s="39"/>
      <c r="D16" s="39"/>
      <c r="E16" s="39"/>
      <c r="F16" s="39"/>
      <c r="G16" s="40"/>
      <c r="H16" s="40"/>
      <c r="I16" s="39"/>
      <c r="J16" s="28" t="s">
        <v>27</v>
      </c>
      <c r="K16" s="27">
        <v>2011</v>
      </c>
      <c r="L16" s="27">
        <v>2013</v>
      </c>
      <c r="M16" s="27">
        <v>2012</v>
      </c>
      <c r="N16" s="41"/>
      <c r="O16" s="41"/>
      <c r="P16" s="27" t="s">
        <v>28</v>
      </c>
      <c r="Q16" s="39" t="s">
        <v>29</v>
      </c>
      <c r="R16" s="27" t="s">
        <v>30</v>
      </c>
      <c r="S16" s="27" t="s">
        <v>30</v>
      </c>
      <c r="T16" s="27" t="s">
        <v>30</v>
      </c>
      <c r="U16" s="39" t="s">
        <v>31</v>
      </c>
      <c r="V16" s="27" t="s">
        <v>32</v>
      </c>
      <c r="W16" s="27" t="s">
        <v>33</v>
      </c>
      <c r="X16" s="27"/>
      <c r="Y16" s="36"/>
      <c r="Z16" s="27"/>
      <c r="AA16" s="27" t="s">
        <v>28</v>
      </c>
      <c r="AB16" s="27" t="s">
        <v>34</v>
      </c>
      <c r="AC16" s="27" t="s">
        <v>35</v>
      </c>
      <c r="AD16" s="39" t="s">
        <v>36</v>
      </c>
      <c r="AE16" s="39" t="s">
        <v>37</v>
      </c>
      <c r="AF16" s="42" t="s">
        <v>38</v>
      </c>
      <c r="AG16" s="43"/>
    </row>
    <row r="17">
      <c r="A17" s="28" t="s">
        <v>39</v>
      </c>
      <c r="B17" s="40"/>
      <c r="C17" s="39" t="s">
        <v>40</v>
      </c>
      <c r="D17" s="39" t="s">
        <v>41</v>
      </c>
      <c r="E17" s="39" t="s">
        <v>42</v>
      </c>
      <c r="F17" s="39" t="s">
        <v>43</v>
      </c>
      <c r="G17" s="39" t="s">
        <v>44</v>
      </c>
      <c r="H17" s="39" t="s">
        <v>45</v>
      </c>
      <c r="I17" s="39" t="s">
        <v>46</v>
      </c>
      <c r="J17" s="28" t="s">
        <v>47</v>
      </c>
      <c r="K17" s="39" t="s">
        <v>48</v>
      </c>
      <c r="L17" s="39" t="s">
        <v>49</v>
      </c>
      <c r="M17" s="39" t="s">
        <v>50</v>
      </c>
      <c r="N17" s="39" t="s">
        <v>51</v>
      </c>
      <c r="O17" s="39" t="s">
        <v>52</v>
      </c>
      <c r="P17" s="39" t="s">
        <v>53</v>
      </c>
      <c r="Q17" s="39" t="s">
        <v>54</v>
      </c>
      <c r="R17" s="39" t="s">
        <v>51</v>
      </c>
      <c r="S17" s="39" t="s">
        <v>52</v>
      </c>
      <c r="T17" s="39" t="s">
        <v>55</v>
      </c>
      <c r="U17" s="42" t="s">
        <v>54</v>
      </c>
      <c r="V17" s="39" t="s">
        <v>56</v>
      </c>
      <c r="W17" s="39" t="s">
        <v>57</v>
      </c>
      <c r="X17" s="44" t="s">
        <v>58</v>
      </c>
      <c r="Y17" s="39" t="s">
        <v>59</v>
      </c>
      <c r="Z17" s="39" t="s">
        <v>60</v>
      </c>
      <c r="AA17" s="39" t="s">
        <v>53</v>
      </c>
      <c r="AB17" s="39" t="s">
        <v>61</v>
      </c>
      <c r="AC17" s="39" t="s">
        <v>61</v>
      </c>
      <c r="AD17" s="39" t="s">
        <v>62</v>
      </c>
      <c r="AE17" s="39" t="s">
        <v>63</v>
      </c>
      <c r="AF17" s="42" t="s">
        <v>64</v>
      </c>
      <c r="AG17" s="43"/>
    </row>
    <row r="18">
      <c r="A18" s="45" t="s">
        <v>65</v>
      </c>
      <c r="B18" s="46" t="s">
        <v>66</v>
      </c>
      <c r="C18" s="46" t="s">
        <v>67</v>
      </c>
      <c r="D18" s="35" t="s">
        <v>68</v>
      </c>
      <c r="E18" s="35" t="s">
        <v>69</v>
      </c>
      <c r="F18" s="35" t="s">
        <v>70</v>
      </c>
      <c r="G18" s="35" t="s">
        <v>71</v>
      </c>
      <c r="H18" s="35" t="s">
        <v>71</v>
      </c>
      <c r="I18" s="35" t="s">
        <v>71</v>
      </c>
      <c r="J18" s="35" t="s">
        <v>72</v>
      </c>
      <c r="K18" s="47"/>
      <c r="L18" s="47"/>
      <c r="M18" s="35" t="s">
        <v>73</v>
      </c>
      <c r="N18" s="35" t="s">
        <v>54</v>
      </c>
      <c r="O18" s="35" t="s">
        <v>74</v>
      </c>
      <c r="P18" s="35" t="s">
        <v>75</v>
      </c>
      <c r="Q18" s="35" t="s">
        <v>76</v>
      </c>
      <c r="R18" s="35" t="s">
        <v>54</v>
      </c>
      <c r="S18" s="35" t="s">
        <v>77</v>
      </c>
      <c r="T18" s="35" t="s">
        <v>75</v>
      </c>
      <c r="U18" s="48" t="s">
        <v>78</v>
      </c>
      <c r="V18" s="35"/>
      <c r="W18" s="35" t="s">
        <v>79</v>
      </c>
      <c r="X18" s="35" t="s">
        <v>79</v>
      </c>
      <c r="Y18" s="49" t="s">
        <v>80</v>
      </c>
      <c r="Z18" s="35" t="s">
        <v>81</v>
      </c>
      <c r="AA18" s="35" t="s">
        <v>75</v>
      </c>
      <c r="AB18" s="35" t="s">
        <v>82</v>
      </c>
      <c r="AC18" s="35" t="s">
        <v>82</v>
      </c>
      <c r="AD18" s="35" t="s">
        <v>54</v>
      </c>
      <c r="AE18" s="35" t="s">
        <v>83</v>
      </c>
      <c r="AF18" s="48" t="s">
        <v>84</v>
      </c>
      <c r="AG18" s="43"/>
    </row>
    <row r="19">
      <c r="A19" s="89" t="s">
        <v>85</v>
      </c>
      <c r="B19" s="89">
        <v>529043101</v>
      </c>
      <c r="C19" s="89" t="s">
        <v>86</v>
      </c>
      <c r="D19" s="61"/>
      <c r="E19" s="61"/>
      <c r="F19" s="61"/>
      <c r="G19" s="90">
        <v>40907</v>
      </c>
      <c r="H19" s="90">
        <v>40905</v>
      </c>
      <c r="I19" s="90">
        <v>40925</v>
      </c>
      <c r="J19" s="92">
        <f>K19+L19+M19</f>
      </c>
      <c r="K19" s="93"/>
      <c r="L19" s="93"/>
      <c r="M19" s="93">
        <f>N19+O19+V19+Z19+AB19</f>
      </c>
      <c r="N19" s="92">
        <v>0.120833</v>
      </c>
      <c r="O19" s="64"/>
      <c r="P19" s="55"/>
      <c r="Q19" s="94">
        <f>N19+O19</f>
      </c>
      <c r="R19" s="92">
        <v>0.001231</v>
      </c>
      <c r="S19" s="57"/>
      <c r="T19" s="57"/>
      <c r="U19" s="92">
        <f>R19</f>
      </c>
      <c r="V19" s="52"/>
      <c r="W19" s="52"/>
      <c r="X19" s="57"/>
      <c r="Y19" s="52"/>
      <c r="Z19" s="92">
        <v>0.004167</v>
      </c>
      <c r="AA19" s="57"/>
      <c r="AB19" s="52"/>
      <c r="AC19" s="52"/>
      <c r="AD19" s="57"/>
      <c r="AE19" s="57"/>
      <c r="AF19" s="66"/>
      <c r="AG19" s="58"/>
    </row>
    <row r="20" ht="14.25" customHeight="1">
      <c r="A20" s="89" t="s">
        <v>85</v>
      </c>
      <c r="B20" s="91">
        <v>529043101</v>
      </c>
      <c r="C20" s="89" t="s">
        <v>86</v>
      </c>
      <c r="D20" s="61"/>
      <c r="E20" s="61"/>
      <c r="F20" s="61"/>
      <c r="G20" s="62">
        <v>40998</v>
      </c>
      <c r="H20" s="62">
        <v>40996</v>
      </c>
      <c r="I20" s="62">
        <v>41015</v>
      </c>
      <c r="J20" s="92">
        <f ref="J20:J22" t="shared" si="1">K20+L20+M20</f>
      </c>
      <c r="K20" s="93"/>
      <c r="L20" s="93"/>
      <c r="M20" s="93">
        <f ref="M20:M21" t="shared" si="2">N20+O20+V20+Z20+AB20</f>
      </c>
      <c r="N20" s="92">
        <v>0.120833</v>
      </c>
      <c r="O20" s="64"/>
      <c r="P20" s="55"/>
      <c r="Q20" s="94">
        <f ref="Q20:Q22" t="shared" si="3">N20+O20</f>
      </c>
      <c r="R20" s="92">
        <v>0.001231</v>
      </c>
      <c r="S20" s="55"/>
      <c r="T20" s="55"/>
      <c r="U20" s="92">
        <f ref="U20:U22" t="shared" si="4">R20</f>
      </c>
      <c r="V20" s="63"/>
      <c r="W20" s="63"/>
      <c r="X20" s="55"/>
      <c r="Y20" s="63"/>
      <c r="Z20" s="92">
        <v>0.004167</v>
      </c>
      <c r="AA20" s="55"/>
      <c r="AB20" s="63"/>
      <c r="AC20" s="63"/>
      <c r="AD20" s="55"/>
      <c r="AE20" s="55"/>
      <c r="AF20" s="66"/>
      <c r="AG20" s="38"/>
    </row>
    <row r="21">
      <c r="A21" s="89" t="s">
        <v>85</v>
      </c>
      <c r="B21" s="89">
        <v>529043101</v>
      </c>
      <c r="C21" s="89" t="s">
        <v>86</v>
      </c>
      <c r="D21" s="61"/>
      <c r="E21" s="61"/>
      <c r="F21" s="61"/>
      <c r="G21" s="62">
        <v>41089</v>
      </c>
      <c r="H21" s="62">
        <v>41087</v>
      </c>
      <c r="I21" s="62">
        <v>41106</v>
      </c>
      <c r="J21" s="92">
        <f t="shared" si="1"/>
      </c>
      <c r="K21" s="93"/>
      <c r="L21" s="93"/>
      <c r="M21" s="93">
        <f t="shared" si="2"/>
      </c>
      <c r="N21" s="93">
        <v>0.120833</v>
      </c>
      <c r="O21" s="67"/>
      <c r="P21" s="55"/>
      <c r="Q21" s="94">
        <f t="shared" si="3"/>
      </c>
      <c r="R21" s="93">
        <v>0.001231</v>
      </c>
      <c r="S21" s="55"/>
      <c r="T21" s="55"/>
      <c r="U21" s="92">
        <f t="shared" si="4"/>
      </c>
      <c r="V21" s="63"/>
      <c r="W21" s="63"/>
      <c r="X21" s="55"/>
      <c r="Y21" s="63"/>
      <c r="Z21" s="93">
        <v>0.004167</v>
      </c>
      <c r="AA21" s="55"/>
      <c r="AB21" s="63"/>
      <c r="AC21" s="63"/>
      <c r="AD21" s="55"/>
      <c r="AE21" s="55"/>
      <c r="AF21" s="66"/>
      <c r="AG21" s="38"/>
    </row>
    <row r="22">
      <c r="A22" s="89" t="s">
        <v>85</v>
      </c>
      <c r="B22" s="89">
        <v>529043101</v>
      </c>
      <c r="C22" s="89" t="s">
        <v>86</v>
      </c>
      <c r="D22" s="73"/>
      <c r="E22" s="73"/>
      <c r="F22" s="73"/>
      <c r="G22" s="74">
        <v>41180</v>
      </c>
      <c r="H22" s="74">
        <v>41178</v>
      </c>
      <c r="I22" s="74">
        <v>41197</v>
      </c>
      <c r="J22" s="92">
        <f t="shared" si="1"/>
      </c>
      <c r="K22" s="93"/>
      <c r="L22" s="93"/>
      <c r="M22" s="93">
        <f>N22+O22+V22+Z22+AB22</f>
      </c>
      <c r="N22" s="93">
        <v>0.1449996</v>
      </c>
      <c r="O22" s="67"/>
      <c r="P22" s="68"/>
      <c r="Q22" s="94">
        <f t="shared" si="3"/>
      </c>
      <c r="R22" s="93">
        <v>0.0014772</v>
      </c>
      <c r="S22" s="68"/>
      <c r="T22" s="68"/>
      <c r="U22" s="92">
        <f t="shared" si="4"/>
      </c>
      <c r="V22" s="53"/>
      <c r="W22" s="53"/>
      <c r="X22" s="68"/>
      <c r="Y22" s="53"/>
      <c r="Z22" s="93">
        <v>0.0050004</v>
      </c>
      <c r="AA22" s="68"/>
      <c r="AB22" s="53"/>
      <c r="AC22" s="53"/>
      <c r="AD22" s="68"/>
      <c r="AE22" s="68"/>
      <c r="AF22" s="70"/>
      <c r="AG22" s="38"/>
    </row>
    <row r="23">
      <c r="A23" s="89" t="s">
        <v>85</v>
      </c>
      <c r="B23" s="89">
        <v>529043101</v>
      </c>
      <c r="C23" s="89" t="s">
        <v>86</v>
      </c>
      <c r="D23" s="73"/>
      <c r="E23" s="73"/>
      <c r="F23" s="73"/>
      <c r="G23" s="74">
        <v>41274</v>
      </c>
      <c r="H23" s="74">
        <v>41270</v>
      </c>
      <c r="I23" s="74">
        <v>41289</v>
      </c>
      <c r="J23" s="92">
        <f>K23+L23+M23</f>
      </c>
      <c r="K23" s="93"/>
      <c r="L23" s="93">
        <v>0.15</v>
      </c>
      <c r="M23" s="53">
        <f>N23+O23+V23+Z23+AB23</f>
      </c>
      <c r="N23" s="53"/>
      <c r="O23" s="67"/>
      <c r="P23" s="68"/>
      <c r="Q23" s="65"/>
      <c r="R23" s="53"/>
      <c r="S23" s="68"/>
      <c r="T23" s="68"/>
      <c r="U23" s="63"/>
      <c r="V23" s="53"/>
      <c r="W23" s="53"/>
      <c r="X23" s="68"/>
      <c r="Y23" s="53"/>
      <c r="Z23" s="53"/>
      <c r="AA23" s="68"/>
      <c r="AB23" s="53"/>
      <c r="AC23" s="53"/>
      <c r="AD23" s="68"/>
      <c r="AE23" s="68"/>
      <c r="AF23" s="70"/>
      <c r="AG23" s="38"/>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50"/>
      <c r="B25" s="51"/>
      <c r="C25" s="51"/>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8"/>
    </row>
    <row r="26">
      <c r="A26" s="89" t="s">
        <v>87</v>
      </c>
      <c r="B26" s="89">
        <v>529043200</v>
      </c>
      <c r="C26" s="89" t="s">
        <v>88</v>
      </c>
      <c r="D26" s="61"/>
      <c r="E26" s="61"/>
      <c r="F26" s="61"/>
      <c r="G26" s="62">
        <v>40939</v>
      </c>
      <c r="H26" s="62">
        <v>40935</v>
      </c>
      <c r="I26" s="62">
        <v>40954</v>
      </c>
      <c r="J26" s="92">
        <f>K26+L26+M26</f>
      </c>
      <c r="K26" s="93"/>
      <c r="L26" s="93"/>
      <c r="M26" s="93">
        <f>N26+O26+V26+Z26+AB26</f>
      </c>
      <c r="N26" s="92">
        <v>0.503125</v>
      </c>
      <c r="O26" s="64"/>
      <c r="P26" s="55"/>
      <c r="Q26" s="94">
        <f>N26+O26</f>
      </c>
      <c r="R26" s="92">
        <v>0.005126</v>
      </c>
      <c r="S26" s="55"/>
      <c r="T26" s="55"/>
      <c r="U26" s="92">
        <f>R26</f>
      </c>
      <c r="V26" s="63"/>
      <c r="W26" s="63"/>
      <c r="X26" s="55"/>
      <c r="Y26" s="63"/>
      <c r="Z26" s="63"/>
      <c r="AA26" s="55"/>
      <c r="AB26" s="63"/>
      <c r="AC26" s="63"/>
      <c r="AD26" s="55"/>
      <c r="AE26" s="55"/>
      <c r="AF26" s="66"/>
      <c r="AG26" s="38"/>
    </row>
    <row r="27">
      <c r="A27" s="89" t="s">
        <v>87</v>
      </c>
      <c r="B27" s="89">
        <v>529043200</v>
      </c>
      <c r="C27" s="89" t="s">
        <v>88</v>
      </c>
      <c r="D27" s="61"/>
      <c r="E27" s="61"/>
      <c r="F27" s="61"/>
      <c r="G27" s="62">
        <v>41029</v>
      </c>
      <c r="H27" s="62">
        <v>41025</v>
      </c>
      <c r="I27" s="62">
        <v>41044</v>
      </c>
      <c r="J27" s="92">
        <f ref="J27:J28" t="shared" si="5">K27+L27+M27</f>
      </c>
      <c r="K27" s="93"/>
      <c r="L27" s="93"/>
      <c r="M27" s="93">
        <f ref="M27:M28" t="shared" si="6">N27+O27+V27+Z27+AB27</f>
      </c>
      <c r="N27" s="92">
        <v>0.503125</v>
      </c>
      <c r="O27" s="64"/>
      <c r="P27" s="55"/>
      <c r="Q27" s="94">
        <f ref="Q27:Q29" t="shared" si="7">N27+O27</f>
      </c>
      <c r="R27" s="92">
        <v>0.005126</v>
      </c>
      <c r="S27" s="55"/>
      <c r="T27" s="55"/>
      <c r="U27" s="92">
        <f ref="U27:U29" t="shared" si="8">R27</f>
      </c>
      <c r="V27" s="63"/>
      <c r="W27" s="63"/>
      <c r="X27" s="55"/>
      <c r="Y27" s="63"/>
      <c r="Z27" s="63"/>
      <c r="AA27" s="55"/>
      <c r="AB27" s="63"/>
      <c r="AC27" s="63"/>
      <c r="AD27" s="55"/>
      <c r="AE27" s="55"/>
      <c r="AF27" s="66"/>
      <c r="AG27" s="38"/>
    </row>
    <row r="28">
      <c r="A28" s="89" t="s">
        <v>87</v>
      </c>
      <c r="B28" s="89">
        <v>529043200</v>
      </c>
      <c r="C28" s="89" t="s">
        <v>88</v>
      </c>
      <c r="D28" s="73"/>
      <c r="E28" s="73"/>
      <c r="F28" s="73"/>
      <c r="G28" s="74" t="s">
        <v>89</v>
      </c>
      <c r="H28" s="74"/>
      <c r="I28" s="74">
        <v>41060</v>
      </c>
      <c r="J28" s="92">
        <f t="shared" si="5"/>
      </c>
      <c r="K28" s="93"/>
      <c r="L28" s="93"/>
      <c r="M28" s="93">
        <f t="shared" si="6"/>
      </c>
      <c r="N28" s="93">
        <v>0.335417</v>
      </c>
      <c r="O28" s="67"/>
      <c r="P28" s="68"/>
      <c r="Q28" s="94">
        <f t="shared" si="7"/>
      </c>
      <c r="R28" s="93">
        <v>0.003417</v>
      </c>
      <c r="S28" s="68"/>
      <c r="T28" s="68"/>
      <c r="U28" s="92">
        <f t="shared" si="8"/>
      </c>
      <c r="V28" s="53"/>
      <c r="W28" s="53"/>
      <c r="X28" s="68"/>
      <c r="Y28" s="53"/>
      <c r="Z28" s="53"/>
      <c r="AA28" s="68"/>
      <c r="AB28" s="53"/>
      <c r="AC28" s="53"/>
      <c r="AD28" s="68"/>
      <c r="AE28" s="68"/>
      <c r="AF28" s="70"/>
      <c r="AG28" s="38"/>
    </row>
    <row r="29">
      <c r="A29" s="89"/>
      <c r="B29" s="89"/>
      <c r="C29" s="89"/>
      <c r="D29" s="73"/>
      <c r="E29" s="73"/>
      <c r="F29" s="73"/>
      <c r="G29" s="74"/>
      <c r="H29" s="74"/>
      <c r="I29" s="74"/>
      <c r="J29" s="63"/>
      <c r="K29" s="53"/>
      <c r="L29" s="53"/>
      <c r="M29" s="53"/>
      <c r="N29" s="53"/>
      <c r="O29" s="67"/>
      <c r="P29" s="68"/>
      <c r="Q29" s="65">
        <f t="shared" si="7"/>
      </c>
      <c r="R29" s="53"/>
      <c r="S29" s="68"/>
      <c r="T29" s="68"/>
      <c r="U29" s="63">
        <f t="shared" si="8"/>
      </c>
      <c r="V29" s="53"/>
      <c r="W29" s="53"/>
      <c r="X29" s="68"/>
      <c r="Y29" s="53"/>
      <c r="Z29" s="53"/>
      <c r="AA29" s="68"/>
      <c r="AB29" s="53"/>
      <c r="AC29" s="53"/>
      <c r="AD29" s="68"/>
      <c r="AE29" s="68"/>
      <c r="AF29" s="70"/>
      <c r="AG29" s="38"/>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50"/>
      <c r="B31" s="51"/>
      <c r="C31" s="51"/>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8"/>
    </row>
    <row r="32">
      <c r="A32" s="89" t="s">
        <v>90</v>
      </c>
      <c r="B32" s="89">
        <v>529043309</v>
      </c>
      <c r="C32" s="89" t="s">
        <v>91</v>
      </c>
      <c r="D32" s="61"/>
      <c r="E32" s="61"/>
      <c r="F32" s="61"/>
      <c r="G32" s="62">
        <v>40939</v>
      </c>
      <c r="H32" s="62">
        <v>40935</v>
      </c>
      <c r="I32" s="62">
        <v>40954</v>
      </c>
      <c r="J32" s="92">
        <f>K32+L32+M32</f>
      </c>
      <c r="K32" s="93"/>
      <c r="L32" s="93"/>
      <c r="M32" s="93">
        <f>N32+O32+V32+Z32+AB32</f>
      </c>
      <c r="N32" s="92">
        <v>0.8125</v>
      </c>
      <c r="O32" s="64"/>
      <c r="P32" s="55"/>
      <c r="Q32" s="94">
        <f>N32+O32</f>
      </c>
      <c r="R32" s="92">
        <v>0.008278</v>
      </c>
      <c r="S32" s="55"/>
      <c r="T32" s="55"/>
      <c r="U32" s="92">
        <f>R32</f>
      </c>
      <c r="V32" s="63"/>
      <c r="W32" s="63"/>
      <c r="X32" s="55"/>
      <c r="Y32" s="63"/>
      <c r="Z32" s="63"/>
      <c r="AA32" s="55"/>
      <c r="AB32" s="63"/>
      <c r="AC32" s="63"/>
      <c r="AD32" s="55"/>
      <c r="AE32" s="55"/>
      <c r="AF32" s="66"/>
      <c r="AG32" s="38"/>
    </row>
    <row r="33">
      <c r="A33" s="89" t="s">
        <v>90</v>
      </c>
      <c r="B33" s="89">
        <v>529043309</v>
      </c>
      <c r="C33" s="89" t="s">
        <v>91</v>
      </c>
      <c r="D33" s="61"/>
      <c r="E33" s="61"/>
      <c r="F33" s="61"/>
      <c r="G33" s="62">
        <v>41029</v>
      </c>
      <c r="H33" s="62">
        <v>41025</v>
      </c>
      <c r="I33" s="62">
        <v>41044</v>
      </c>
      <c r="J33" s="92">
        <f ref="J33:J35" t="shared" si="9">K33+L33+M33</f>
      </c>
      <c r="K33" s="93"/>
      <c r="L33" s="93"/>
      <c r="M33" s="93">
        <f ref="M33:M35" t="shared" si="10">N33+O33+V33+Z33+AB33</f>
      </c>
      <c r="N33" s="92">
        <v>0.8125</v>
      </c>
      <c r="O33" s="64"/>
      <c r="P33" s="55"/>
      <c r="Q33" s="94">
        <f ref="Q33:Q35" t="shared" si="11">N33+O33</f>
      </c>
      <c r="R33" s="92">
        <v>0.008278</v>
      </c>
      <c r="S33" s="55"/>
      <c r="T33" s="55"/>
      <c r="U33" s="92">
        <f ref="U33:U35" t="shared" si="12">R33</f>
      </c>
      <c r="V33" s="63"/>
      <c r="W33" s="63"/>
      <c r="X33" s="55"/>
      <c r="Y33" s="63"/>
      <c r="Z33" s="63"/>
      <c r="AA33" s="55"/>
      <c r="AB33" s="63"/>
      <c r="AC33" s="63"/>
      <c r="AD33" s="55"/>
      <c r="AE33" s="55"/>
      <c r="AF33" s="66"/>
      <c r="AG33" s="38"/>
    </row>
    <row r="34">
      <c r="A34" s="89" t="s">
        <v>90</v>
      </c>
      <c r="B34" s="89">
        <v>529043309</v>
      </c>
      <c r="C34" s="89" t="s">
        <v>91</v>
      </c>
      <c r="D34" s="73"/>
      <c r="E34" s="73"/>
      <c r="F34" s="73"/>
      <c r="G34" s="74">
        <v>41121</v>
      </c>
      <c r="H34" s="74">
        <v>41117</v>
      </c>
      <c r="I34" s="74">
        <v>41136</v>
      </c>
      <c r="J34" s="92">
        <f t="shared" si="9"/>
      </c>
      <c r="K34" s="93"/>
      <c r="L34" s="93"/>
      <c r="M34" s="93">
        <f t="shared" si="10"/>
      </c>
      <c r="N34" s="93">
        <v>0.8125</v>
      </c>
      <c r="O34" s="67"/>
      <c r="P34" s="68"/>
      <c r="Q34" s="94">
        <f t="shared" si="11"/>
      </c>
      <c r="R34" s="93">
        <v>0.008278</v>
      </c>
      <c r="S34" s="68"/>
      <c r="T34" s="68"/>
      <c r="U34" s="92">
        <f t="shared" si="12"/>
      </c>
      <c r="V34" s="53"/>
      <c r="W34" s="53"/>
      <c r="X34" s="68"/>
      <c r="Y34" s="53"/>
      <c r="Z34" s="53"/>
      <c r="AA34" s="68"/>
      <c r="AB34" s="53"/>
      <c r="AC34" s="53"/>
      <c r="AD34" s="68"/>
      <c r="AE34" s="68"/>
      <c r="AF34" s="70"/>
      <c r="AG34" s="38"/>
    </row>
    <row r="35">
      <c r="A35" s="89" t="s">
        <v>90</v>
      </c>
      <c r="B35" s="89">
        <v>529043309</v>
      </c>
      <c r="C35" s="89" t="s">
        <v>91</v>
      </c>
      <c r="D35" s="73"/>
      <c r="E35" s="73"/>
      <c r="F35" s="73"/>
      <c r="G35" s="74">
        <v>41213</v>
      </c>
      <c r="H35" s="74">
        <v>41211</v>
      </c>
      <c r="I35" s="74">
        <v>41228</v>
      </c>
      <c r="J35" s="92">
        <f t="shared" si="9"/>
      </c>
      <c r="K35" s="93"/>
      <c r="L35" s="93"/>
      <c r="M35" s="93">
        <f t="shared" si="10"/>
      </c>
      <c r="N35" s="93">
        <v>0.8125</v>
      </c>
      <c r="O35" s="67"/>
      <c r="P35" s="68"/>
      <c r="Q35" s="94">
        <f t="shared" si="11"/>
      </c>
      <c r="R35" s="93">
        <v>0.008278</v>
      </c>
      <c r="S35" s="68"/>
      <c r="T35" s="68"/>
      <c r="U35" s="92">
        <f t="shared" si="12"/>
      </c>
      <c r="V35" s="53"/>
      <c r="W35" s="53"/>
      <c r="X35" s="68"/>
      <c r="Y35" s="53"/>
      <c r="Z35" s="53"/>
      <c r="AA35" s="68"/>
      <c r="AB35" s="53"/>
      <c r="AC35" s="53"/>
      <c r="AD35" s="68"/>
      <c r="AE35" s="68"/>
      <c r="AF35" s="70"/>
      <c r="AG35" s="38"/>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c r="A37" s="89" t="s">
        <v>92</v>
      </c>
      <c r="B37" s="89">
        <v>529537201</v>
      </c>
      <c r="C37" s="89" t="s">
        <v>93</v>
      </c>
      <c r="D37" s="61"/>
      <c r="E37" s="61"/>
      <c r="F37" s="61"/>
      <c r="G37" s="90">
        <v>40907</v>
      </c>
      <c r="H37" s="90">
        <v>40905</v>
      </c>
      <c r="I37" s="90">
        <v>40925</v>
      </c>
      <c r="J37" s="92">
        <f>K37+L37+M37</f>
      </c>
      <c r="K37" s="93"/>
      <c r="L37" s="93"/>
      <c r="M37" s="93">
        <f>N37+O37+V37+Z37+AB37</f>
      </c>
      <c r="N37" s="92">
        <v>0.471875</v>
      </c>
      <c r="O37" s="54"/>
      <c r="P37" s="81"/>
      <c r="Q37" s="94">
        <f>N37+O37</f>
      </c>
      <c r="R37" s="92">
        <v>0.004807</v>
      </c>
      <c r="S37" s="81"/>
      <c r="T37" s="81"/>
      <c r="U37" s="92">
        <f>R37</f>
      </c>
      <c r="V37" s="52"/>
      <c r="W37" s="52"/>
      <c r="X37" s="81"/>
      <c r="Y37" s="52"/>
      <c r="Z37" s="52"/>
      <c r="AA37" s="81"/>
      <c r="AB37" s="52"/>
      <c r="AC37" s="52"/>
      <c r="AD37" s="81"/>
      <c r="AE37" s="81"/>
      <c r="AF37" s="82"/>
      <c r="AG37" s="38"/>
    </row>
    <row r="38">
      <c r="A38" s="89" t="s">
        <v>92</v>
      </c>
      <c r="B38" s="89">
        <v>529537201</v>
      </c>
      <c r="C38" s="89" t="s">
        <v>93</v>
      </c>
      <c r="D38" s="61"/>
      <c r="E38" s="61"/>
      <c r="F38" s="61"/>
      <c r="G38" s="62">
        <v>40998</v>
      </c>
      <c r="H38" s="62">
        <v>40996</v>
      </c>
      <c r="I38" s="62">
        <v>41015</v>
      </c>
      <c r="J38" s="92">
        <f ref="J38:J40" t="shared" si="13">K38+L38+M38</f>
      </c>
      <c r="K38" s="93"/>
      <c r="L38" s="93"/>
      <c r="M38" s="93">
        <f ref="M38:M40" t="shared" si="14">N38+O38+V38+Z38+AB38</f>
      </c>
      <c r="N38" s="92">
        <v>0.471875</v>
      </c>
      <c r="O38" s="64"/>
      <c r="P38" s="55"/>
      <c r="Q38" s="94">
        <f ref="Q38:Q40" t="shared" si="15">N38+O38</f>
      </c>
      <c r="R38" s="92">
        <v>0.004807</v>
      </c>
      <c r="S38" s="55"/>
      <c r="T38" s="55"/>
      <c r="U38" s="92">
        <f ref="U38:U41" t="shared" si="16">R38</f>
      </c>
      <c r="V38" s="63"/>
      <c r="W38" s="63"/>
      <c r="X38" s="55"/>
      <c r="Y38" s="63"/>
      <c r="Z38" s="63"/>
      <c r="AA38" s="55"/>
      <c r="AB38" s="63"/>
      <c r="AC38" s="63"/>
      <c r="AD38" s="55"/>
      <c r="AE38" s="55"/>
      <c r="AF38" s="66"/>
      <c r="AG38" s="38"/>
    </row>
    <row r="39">
      <c r="A39" s="89" t="s">
        <v>92</v>
      </c>
      <c r="B39" s="89">
        <v>529537201</v>
      </c>
      <c r="C39" s="89" t="s">
        <v>93</v>
      </c>
      <c r="D39" s="73"/>
      <c r="E39" s="73"/>
      <c r="F39" s="73"/>
      <c r="G39" s="62">
        <v>41089</v>
      </c>
      <c r="H39" s="62">
        <v>41087</v>
      </c>
      <c r="I39" s="62">
        <v>41106</v>
      </c>
      <c r="J39" s="92">
        <f t="shared" si="13"/>
      </c>
      <c r="K39" s="93"/>
      <c r="L39" s="93"/>
      <c r="M39" s="93">
        <f t="shared" si="14"/>
      </c>
      <c r="N39" s="93">
        <v>0.471875</v>
      </c>
      <c r="O39" s="64"/>
      <c r="P39" s="55"/>
      <c r="Q39" s="94">
        <f t="shared" si="15"/>
      </c>
      <c r="R39" s="93">
        <v>0.004807</v>
      </c>
      <c r="S39" s="55"/>
      <c r="T39" s="55"/>
      <c r="U39" s="92">
        <f t="shared" si="16"/>
      </c>
      <c r="V39" s="63"/>
      <c r="W39" s="63"/>
      <c r="X39" s="55"/>
      <c r="Y39" s="63"/>
      <c r="Z39" s="63"/>
      <c r="AA39" s="55"/>
      <c r="AB39" s="63"/>
      <c r="AC39" s="63"/>
      <c r="AD39" s="55"/>
      <c r="AE39" s="55"/>
      <c r="AF39" s="66"/>
      <c r="AG39" s="38"/>
    </row>
    <row r="40">
      <c r="A40" s="89" t="s">
        <v>92</v>
      </c>
      <c r="B40" s="89">
        <v>529537201</v>
      </c>
      <c r="C40" s="89" t="s">
        <v>93</v>
      </c>
      <c r="D40" s="73"/>
      <c r="E40" s="73"/>
      <c r="F40" s="73"/>
      <c r="G40" s="74">
        <v>41180</v>
      </c>
      <c r="H40" s="74">
        <v>41178</v>
      </c>
      <c r="I40" s="74">
        <v>41197</v>
      </c>
      <c r="J40" s="92">
        <f t="shared" si="13"/>
      </c>
      <c r="K40" s="93"/>
      <c r="L40" s="93"/>
      <c r="M40" s="93">
        <f t="shared" si="14"/>
      </c>
      <c r="N40" s="93">
        <v>0.471875</v>
      </c>
      <c r="O40" s="67"/>
      <c r="P40" s="68"/>
      <c r="Q40" s="94">
        <f t="shared" si="15"/>
      </c>
      <c r="R40" s="93">
        <v>0.004807</v>
      </c>
      <c r="S40" s="68"/>
      <c r="T40" s="68"/>
      <c r="U40" s="92">
        <f t="shared" si="16"/>
      </c>
      <c r="V40" s="53"/>
      <c r="W40" s="53"/>
      <c r="X40" s="68"/>
      <c r="Y40" s="53"/>
      <c r="Z40" s="53"/>
      <c r="AA40" s="68"/>
      <c r="AB40" s="53"/>
      <c r="AC40" s="53"/>
      <c r="AD40" s="68"/>
      <c r="AE40" s="68"/>
      <c r="AF40" s="70"/>
      <c r="AG40" s="38"/>
    </row>
    <row r="41">
      <c r="A41" s="89" t="s">
        <v>92</v>
      </c>
      <c r="B41" s="89">
        <v>529537201</v>
      </c>
      <c r="C41" s="89" t="s">
        <v>93</v>
      </c>
      <c r="D41" s="73"/>
      <c r="E41" s="73"/>
      <c r="F41" s="73"/>
      <c r="G41" s="74">
        <v>41274</v>
      </c>
      <c r="H41" s="74">
        <v>41270</v>
      </c>
      <c r="I41" s="74">
        <v>41289</v>
      </c>
      <c r="J41" s="92">
        <f>K41+L41+M41</f>
      </c>
      <c r="K41" s="93"/>
      <c r="L41" s="92">
        <v>0.471875</v>
      </c>
      <c r="M41" s="93">
        <f>N41+O41+V41+Z41+AB41</f>
      </c>
      <c r="N41" s="93"/>
      <c r="O41" s="67"/>
      <c r="P41" s="68"/>
      <c r="Q41" s="65">
        <f>N41+O41</f>
      </c>
      <c r="R41" s="53"/>
      <c r="S41" s="68"/>
      <c r="T41" s="68"/>
      <c r="U41" s="63">
        <f t="shared" si="16"/>
      </c>
      <c r="V41" s="53"/>
      <c r="W41" s="53"/>
      <c r="X41" s="68"/>
      <c r="Y41" s="53"/>
      <c r="Z41" s="53"/>
      <c r="AA41" s="68"/>
      <c r="AB41" s="53"/>
      <c r="AC41" s="53"/>
      <c r="AD41" s="68"/>
      <c r="AE41" s="68"/>
      <c r="AF41" s="70"/>
      <c r="AG41" s="38"/>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c r="A43" s="50"/>
      <c r="B43" s="51"/>
      <c r="C43" s="51"/>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8"/>
    </row>
    <row r="44">
      <c r="A44" s="89"/>
      <c r="B44" s="89"/>
      <c r="C44" s="89"/>
      <c r="D44" s="61"/>
      <c r="E44" s="61"/>
      <c r="F44" s="61"/>
      <c r="G44" s="90"/>
      <c r="H44" s="90"/>
      <c r="I44" s="90"/>
      <c r="J44" s="63"/>
      <c r="K44" s="53"/>
      <c r="L44" s="53"/>
      <c r="M44" s="53"/>
      <c r="N44" s="63"/>
      <c r="O44" s="64"/>
      <c r="P44" s="55"/>
      <c r="Q44" s="65"/>
      <c r="R44" s="63"/>
      <c r="S44" s="55"/>
      <c r="T44" s="55"/>
      <c r="U44" s="63"/>
      <c r="V44" s="63"/>
      <c r="W44" s="63"/>
      <c r="X44" s="55"/>
      <c r="Y44" s="63"/>
      <c r="Z44" s="63"/>
      <c r="AA44" s="55"/>
      <c r="AB44" s="63"/>
      <c r="AC44" s="63"/>
      <c r="AD44" s="55"/>
      <c r="AE44" s="55"/>
      <c r="AF44" s="66"/>
      <c r="AG44" s="38"/>
    </row>
    <row r="45">
      <c r="A45" s="89"/>
      <c r="B45" s="89"/>
      <c r="C45" s="89"/>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8"/>
    </row>
    <row r="46">
      <c r="A46" s="89"/>
      <c r="B46" s="89"/>
      <c r="C46" s="89"/>
      <c r="D46" s="73"/>
      <c r="E46" s="73"/>
      <c r="F46" s="73"/>
      <c r="G46" s="62"/>
      <c r="H46" s="62"/>
      <c r="I46" s="62"/>
      <c r="J46" s="63"/>
      <c r="K46" s="53"/>
      <c r="L46" s="53"/>
      <c r="M46" s="53"/>
      <c r="N46" s="53"/>
      <c r="O46" s="67"/>
      <c r="P46" s="68"/>
      <c r="Q46" s="65"/>
      <c r="R46" s="53"/>
      <c r="S46" s="68"/>
      <c r="T46" s="68"/>
      <c r="U46" s="63"/>
      <c r="V46" s="53"/>
      <c r="W46" s="53"/>
      <c r="X46" s="68"/>
      <c r="Y46" s="53"/>
      <c r="Z46" s="53"/>
      <c r="AA46" s="68"/>
      <c r="AB46" s="53"/>
      <c r="AC46" s="53"/>
      <c r="AD46" s="68"/>
      <c r="AE46" s="68"/>
      <c r="AF46" s="70"/>
      <c r="AG46" s="38"/>
    </row>
    <row r="47">
      <c r="A47" s="89"/>
      <c r="B47" s="89"/>
      <c r="C47" s="89"/>
      <c r="D47" s="73"/>
      <c r="E47" s="73"/>
      <c r="F47" s="73"/>
      <c r="G47" s="74"/>
      <c r="H47" s="74"/>
      <c r="I47" s="74"/>
      <c r="J47" s="63"/>
      <c r="K47" s="53"/>
      <c r="L47" s="53"/>
      <c r="M47" s="53"/>
      <c r="N47" s="53"/>
      <c r="O47" s="67"/>
      <c r="P47" s="68"/>
      <c r="Q47" s="65"/>
      <c r="R47" s="53"/>
      <c r="S47" s="68"/>
      <c r="T47" s="68"/>
      <c r="U47" s="63"/>
      <c r="V47" s="53"/>
      <c r="W47" s="53"/>
      <c r="X47" s="68"/>
      <c r="Y47" s="53"/>
      <c r="Z47" s="53"/>
      <c r="AA47" s="68"/>
      <c r="AB47" s="53"/>
      <c r="AC47" s="53"/>
      <c r="AD47" s="68"/>
      <c r="AE47" s="68"/>
      <c r="AF47" s="70"/>
      <c r="AG47" s="38"/>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50"/>
      <c r="B49" s="51"/>
      <c r="C49" s="51"/>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8"/>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8"/>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8"/>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8"/>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8"/>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50"/>
      <c r="B55" s="51"/>
      <c r="C55" s="51"/>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8"/>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8"/>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8"/>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8"/>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8"/>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50"/>
      <c r="B61" s="51"/>
      <c r="C61" s="51"/>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8"/>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8"/>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8"/>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8"/>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8"/>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50"/>
      <c r="B67" s="51"/>
      <c r="C67" s="51"/>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8"/>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8"/>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8"/>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8"/>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8"/>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50"/>
      <c r="B73" s="51"/>
      <c r="C73" s="51"/>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8"/>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8"/>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8"/>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8"/>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8"/>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50"/>
      <c r="B79" s="51"/>
      <c r="C79" s="51"/>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8"/>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8"/>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8"/>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8"/>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8"/>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50"/>
      <c r="B85" s="51"/>
      <c r="C85" s="51"/>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8"/>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8"/>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8"/>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8"/>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8"/>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50"/>
      <c r="B91" s="51"/>
      <c r="C91" s="51"/>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8"/>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8"/>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8"/>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8"/>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8"/>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50"/>
      <c r="B97" s="51"/>
      <c r="C97" s="51"/>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8"/>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8"/>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8"/>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8"/>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8"/>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50"/>
      <c r="B103" s="51"/>
      <c r="C103" s="51"/>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8"/>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8"/>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8"/>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8"/>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8"/>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50"/>
      <c r="B109" s="51"/>
      <c r="C109" s="51"/>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8"/>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8"/>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8"/>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8"/>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8"/>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50"/>
      <c r="B115" s="51"/>
      <c r="C115" s="51"/>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8"/>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8"/>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8"/>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8"/>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8"/>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50"/>
      <c r="B121" s="51"/>
      <c r="C121" s="51"/>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8"/>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8"/>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8"/>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8"/>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8"/>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50"/>
      <c r="B127" s="51"/>
      <c r="C127" s="51"/>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8"/>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8"/>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8"/>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8"/>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8"/>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50"/>
      <c r="B133" s="51"/>
      <c r="C133" s="51"/>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8"/>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8"/>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8"/>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8"/>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8"/>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50"/>
      <c r="B139" s="51"/>
      <c r="C139" s="51"/>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8"/>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8"/>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8"/>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8"/>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8"/>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50"/>
      <c r="B145" s="51"/>
      <c r="C145" s="51"/>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8"/>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8"/>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8"/>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8"/>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8"/>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50"/>
      <c r="B151" s="51"/>
      <c r="C151" s="51"/>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8"/>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8"/>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8"/>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8"/>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8"/>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50"/>
      <c r="B157" s="51"/>
      <c r="C157" s="51"/>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8"/>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8"/>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8"/>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8"/>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8"/>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50"/>
      <c r="B163" s="51"/>
      <c r="C163" s="51"/>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8"/>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8"/>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8"/>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8"/>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8"/>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paperSize="5" scale="46" orientation="landscape"/>
  <headerFooter/>
  <colBreaks count="1" manualBreakCount="1">
    <brk id="27" max="16383"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Primary Layout</vt:lpstr>
      <vt:lpstr>'Primary Layout'!Print_Area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John Barwick</cp:lastModifiedBy>
  <cp:lastPrinted>2013-01-15T19:32:02Z</cp:lastPrinted>
  <dcterms:created xsi:type="dcterms:W3CDTF">2012-11-27T14:14:45Z</dcterms:created>
  <dcterms:modified xsi:type="dcterms:W3CDTF">2013-01-15T21:30:22Z</dcterms:modified>
</cp:coreProperties>
</file>