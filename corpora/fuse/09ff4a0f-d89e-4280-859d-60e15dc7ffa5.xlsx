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30" yWindow="150" windowWidth="18210" windowHeight="10230"/>
  </bookViews>
  <sheets>
    <sheet name="A" sheetId="1" r:id="rId1"/>
    <sheet name="A (2)" sheetId="2" r:id="rId2"/>
  </sheets>
  <definedNames>
    <definedName name="_xlnm.Print_Area" localSheetId="0">A!$A$1:$S$103</definedName>
    <definedName name="_xlnm.Print_Area" localSheetId="1">'A (2)'!$A$1:$T$100</definedName>
    <definedName name="_xlnm.Print_Titles" localSheetId="0">A!$14:$16</definedName>
    <definedName name="_xlnm.Print_Titles" localSheetId="1">'A (2)'!$14:$16</definedName>
  </definedNames>
  <calcPr calcId="145621"/>
</workbook>
</file>

<file path=xl/calcChain.xml><?xml version="1.0" encoding="utf-8"?>
<calcChain xmlns="http://schemas.openxmlformats.org/spreadsheetml/2006/main">
  <c r="S102" i="1" l="1"/>
  <c r="S103" i="1" s="1"/>
  <c r="S97" i="1" l="1"/>
  <c r="S101" i="1" l="1"/>
  <c r="M100" i="1"/>
  <c r="M99" i="1"/>
  <c r="M98" i="1"/>
  <c r="S97" i="2"/>
  <c r="S96" i="2"/>
  <c r="S95" i="2"/>
  <c r="S99" i="2" s="1"/>
  <c r="S100" i="2" s="1"/>
  <c r="S94" i="2"/>
  <c r="M95" i="2" s="1"/>
  <c r="S89" i="2"/>
  <c r="S90" i="2" s="1"/>
  <c r="S87" i="2"/>
  <c r="S85" i="2"/>
  <c r="S81" i="2"/>
  <c r="S79" i="2"/>
  <c r="S78" i="2"/>
  <c r="T77" i="2"/>
  <c r="S92" i="1"/>
  <c r="S93" i="1" s="1"/>
  <c r="S90" i="1"/>
  <c r="S88" i="1"/>
  <c r="S84" i="1"/>
  <c r="S82" i="1"/>
  <c r="S81" i="1"/>
  <c r="T80" i="1"/>
  <c r="M97" i="2" l="1"/>
  <c r="S98" i="2"/>
  <c r="M96" i="2"/>
</calcChain>
</file>

<file path=xl/sharedStrings.xml><?xml version="1.0" encoding="utf-8"?>
<sst xmlns="http://schemas.openxmlformats.org/spreadsheetml/2006/main" count="149" uniqueCount="65">
  <si>
    <t xml:space="preserve"> </t>
  </si>
  <si>
    <t>$</t>
  </si>
  <si>
    <t>%</t>
  </si>
  <si>
    <t>PRIME: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</si>
  <si>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</si>
  <si>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</si>
  <si>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</si>
  <si>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</si>
  <si>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</si>
  <si>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</si>
  <si>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</si>
  <si>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</si>
  <si>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</si>
  <si>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</si>
  <si>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</si>
  <si>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Saint Paul, MN 55102-1681</t>
  </si>
  <si>
    <t>15 West Kellogg Blvd, Room 280</t>
  </si>
  <si>
    <t>Contract Compliance &amp; Business Development</t>
  </si>
  <si>
    <r>
      <t xml:space="preserve">SUBS: </t>
    </r>
    <r>
      <rPr>
        <sz val="10"/>
        <rFont val="Arial"/>
        <family val="2"/>
      </rPr>
      <t xml:space="preserve"> 1</t>
    </r>
  </si>
  <si>
    <t>Phone: 651-266-8900, Fax: 651-266-8919</t>
  </si>
  <si>
    <t>Form must be updated and submitted when you add, delete, or make other changes to the list.</t>
  </si>
  <si>
    <r>
      <t xml:space="preserve">Email: </t>
    </r>
    <r>
      <rPr>
        <i/>
        <sz val="10"/>
        <rFont val="Arial"/>
        <family val="2"/>
      </rPr>
      <t>contractcompliance@stpaul.gov</t>
    </r>
  </si>
  <si>
    <t>Submit completed form to:</t>
  </si>
  <si>
    <t>Form required for Labor Standards,  AA/EEO, HUD Section 3, and Vendor Outreach</t>
  </si>
  <si>
    <r>
      <t xml:space="preserve">Please identify all sub-contractors (including material suppliers) you intend to utilize on this project. Identify all suppliers with an </t>
    </r>
    <r>
      <rPr>
        <b/>
        <sz val="10"/>
        <rFont val="Arial"/>
        <family val="2"/>
      </rPr>
      <t>(S)</t>
    </r>
    <r>
      <rPr>
        <sz val="10"/>
        <rFont val="Arial"/>
        <family val="2"/>
      </rPr>
      <t>.</t>
    </r>
  </si>
  <si>
    <r>
      <t xml:space="preserve">Identify Minority Owned, Women Owned, Small, and Section 3 businesses with </t>
    </r>
    <r>
      <rPr>
        <b/>
        <sz val="10"/>
        <rFont val="Arial"/>
        <family val="2"/>
      </rPr>
      <t>MBE, WBE, SBE, or Sec 3</t>
    </r>
    <r>
      <rPr>
        <sz val="10"/>
        <rFont val="Arial"/>
        <family val="2"/>
      </rPr>
      <t xml:space="preserve"> respectively.    Please identify Certified Vendors.</t>
    </r>
  </si>
  <si>
    <r>
      <rPr>
        <b/>
        <sz val="9"/>
        <rFont val="Arial"/>
        <family val="2"/>
      </rPr>
      <t>CERT</t>
    </r>
    <r>
      <rPr>
        <sz val="9"/>
        <rFont val="Arial"/>
        <family val="2"/>
      </rPr>
      <t xml:space="preserve"> W/M/S/BE Vendor</t>
    </r>
  </si>
  <si>
    <r>
      <rPr>
        <b/>
        <sz val="9"/>
        <rFont val="Arial"/>
        <family val="2"/>
      </rPr>
      <t>Section 3</t>
    </r>
    <r>
      <rPr>
        <sz val="9"/>
        <rFont val="Arial"/>
        <family val="2"/>
      </rPr>
      <t xml:space="preserve"> Certified Vendor</t>
    </r>
  </si>
  <si>
    <t>Name, Address, Contact Person, and Phone Number</t>
  </si>
  <si>
    <t>Nature of Work</t>
  </si>
  <si>
    <t>Date Work 
to Begin</t>
  </si>
  <si>
    <t>Date Work
Completed</t>
  </si>
  <si>
    <t>Contract Amount</t>
  </si>
  <si>
    <t>Project:</t>
  </si>
  <si>
    <t>Est. Construction Cost:</t>
  </si>
  <si>
    <t>VOP Goal:</t>
  </si>
  <si>
    <t>Bid #:</t>
  </si>
  <si>
    <t>Section 3 Notes (City of Saint Paul HREEO Use Only)</t>
  </si>
  <si>
    <t>Section 3 Calculations (City of Saint Paul HREEO Use Only)</t>
  </si>
  <si>
    <t>Construction Subcontracts</t>
  </si>
  <si>
    <t>Total Subcontracts (labor)</t>
  </si>
  <si>
    <t>GC Self Perform</t>
  </si>
  <si>
    <t>Goal - Labor</t>
  </si>
  <si>
    <t>(if applicable)</t>
  </si>
  <si>
    <t>Awards to Sec 3 Subs</t>
  </si>
  <si>
    <t>Percentage to Sec 3</t>
  </si>
  <si>
    <t>Non-Construction Subcontracts</t>
  </si>
  <si>
    <t>Total PSA awards</t>
  </si>
  <si>
    <t>Goal - PSA</t>
  </si>
  <si>
    <t>Percentage to Section 3</t>
  </si>
  <si>
    <t>Total Work by Sec 3 (GC &amp; Subs)</t>
  </si>
  <si>
    <t>Total % by Sec 3</t>
  </si>
  <si>
    <t>Status</t>
  </si>
  <si>
    <t>VOP Notes and Calculations (City of Saint Paul HREEO Use Only)</t>
  </si>
  <si>
    <t>Total Business Opportunity (City of Saint Paul HREEO Use Only)</t>
  </si>
  <si>
    <t>SBE</t>
  </si>
  <si>
    <t xml:space="preserve">MBE </t>
  </si>
  <si>
    <t>WBE</t>
  </si>
  <si>
    <t>VOP Subcontract Percentage</t>
  </si>
  <si>
    <t>Total WBE, MBE, SBE contract $</t>
  </si>
  <si>
    <t>Overall VOP Contract Percentage</t>
  </si>
  <si>
    <r>
      <t xml:space="preserve">Section 3 Notes </t>
    </r>
    <r>
      <rPr>
        <i/>
        <sz val="8"/>
        <rFont val="Arial"/>
        <family val="2"/>
      </rPr>
      <t>(City of Saint Paul HREEO Use Only)</t>
    </r>
  </si>
  <si>
    <r>
      <t>Section 3 Calculations</t>
    </r>
    <r>
      <rPr>
        <i/>
        <sz val="8"/>
        <rFont val="Arial"/>
        <family val="2"/>
      </rPr>
      <t xml:space="preserve"> (City of Saint Paul HREEO Use Only)</t>
    </r>
  </si>
  <si>
    <r>
      <t xml:space="preserve">VOP Notes and Calculations </t>
    </r>
    <r>
      <rPr>
        <i/>
        <sz val="8"/>
        <rFont val="Arial"/>
        <family val="2"/>
      </rPr>
      <t>(City of Saint Paul HREEO Use Only)</t>
    </r>
  </si>
  <si>
    <r>
      <rPr>
        <b/>
        <sz val="8"/>
        <rFont val="Arial"/>
        <family val="2"/>
      </rPr>
      <t xml:space="preserve">Total Business Opportunity </t>
    </r>
    <r>
      <rPr>
        <i/>
        <sz val="8"/>
        <rFont val="Arial"/>
        <family val="2"/>
      </rPr>
      <t>(City of Saint Paul HREEO Use Only)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</si>
</sst>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" formatCode="&quot;$&quot;#,##0_);\(&quot;$&quot;#,##0\)"/>
    <numFmt numFmtId="164" formatCode="&quot;$&quot;#,##0"/>
    <numFmt numFmtId="165" formatCode="&quot;$&quot;#,##0.00"/>
  </numFmts>
  <fonts count="16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9.5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u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9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9"/>
      </patternFill>
    </fill>
    <fill>
      <patternFill patternType="solid">
        <fgColor rgb="FFFFFF99"/>
        <bgColor indexed="9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top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14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" fillId="0" borderId="0" applyFont="0" applyFill="0" applyBorder="0" applyAlignment="0" applyProtection="0"/>
  </cellStyleXfs>
  <cellXfs count="116">
    <xf numFmtId="0" fontId="0" fillId="0" borderId="0" xfId="0" applyAlignment="1"/>
    <xf numFmtId="0" fontId="0" fillId="0" borderId="1" xfId="0" applyBorder="1" applyAlignment="1"/>
    <xf numFmtId="14" fontId="0" fillId="0" borderId="1" xfId="0" applyNumberFormat="1" applyBorder="1" applyAlignment="1"/>
    <xf numFmtId="3" fontId="0" fillId="0" borderId="1" xfId="0" applyNumberFormat="1" applyBorder="1" applyAlignment="1"/>
    <xf numFmtId="0" fontId="0" fillId="0" borderId="2" xfId="0" applyBorder="1" applyAlignment="1"/>
    <xf numFmtId="3" fontId="0" fillId="0" borderId="0" xfId="0" applyNumberFormat="1" applyAlignmen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Border="1" applyAlignment="1"/>
    <xf numFmtId="0" fontId="5" fillId="0" borderId="0" xfId="0" applyFont="1" applyAlignment="1"/>
    <xf numFmtId="0" fontId="4" fillId="0" borderId="0" xfId="0" applyFont="1" applyAlignment="1"/>
    <xf numFmtId="0" fontId="10" fillId="0" borderId="0" xfId="0" applyFont="1" applyAlignment="1">
      <alignment horizontal="center" vertical="center"/>
    </xf>
    <xf numFmtId="0" fontId="9" fillId="0" borderId="0" xfId="0" applyFont="1" applyAlignment="1"/>
    <xf numFmtId="0" fontId="3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49" fontId="0" fillId="0" borderId="0" xfId="0" applyNumberFormat="1" applyAlignment="1">
      <alignment horizontal="right" inden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indent="4"/>
    </xf>
    <xf numFmtId="0" fontId="0" fillId="0" borderId="0" xfId="0" applyAlignment="1">
      <alignment horizontal="left" vertical="center" wrapText="1" indent="5"/>
    </xf>
    <xf numFmtId="0" fontId="7" fillId="0" borderId="0" xfId="0" applyFont="1" applyAlignment="1">
      <alignment horizontal="left" vertical="center" wrapText="1" indent="5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 indent="5"/>
    </xf>
    <xf numFmtId="0" fontId="7" fillId="0" borderId="0" xfId="0" applyFont="1" applyAlignment="1">
      <alignment horizontal="left" vertical="center" wrapText="1" indent="5"/>
    </xf>
    <xf numFmtId="0" fontId="10" fillId="0" borderId="0" xfId="0" applyFont="1" applyAlignment="1">
      <alignment horizontal="center" vertical="center"/>
    </xf>
    <xf numFmtId="164" fontId="0" fillId="0" borderId="0" xfId="0" applyNumberFormat="1" applyAlignment="1"/>
    <xf numFmtId="0" fontId="0" fillId="0" borderId="0" xfId="0" applyBorder="1" applyAlignment="1" applyProtection="1">
      <alignment vertical="center"/>
    </xf>
    <xf numFmtId="0" fontId="5" fillId="3" borderId="0" xfId="0" applyFont="1" applyFill="1" applyBorder="1" applyAlignment="1" applyProtection="1">
      <alignment vertical="center"/>
    </xf>
    <xf numFmtId="0" fontId="3" fillId="3" borderId="0" xfId="0" applyFont="1" applyFill="1" applyBorder="1" applyAlignment="1" applyProtection="1">
      <alignment vertical="center"/>
    </xf>
    <xf numFmtId="0" fontId="0" fillId="3" borderId="0" xfId="0" applyFill="1" applyBorder="1" applyAlignment="1" applyProtection="1">
      <alignment vertical="center"/>
    </xf>
    <xf numFmtId="164" fontId="0" fillId="3" borderId="0" xfId="0" applyNumberFormat="1" applyFill="1" applyBorder="1" applyAlignment="1" applyProtection="1">
      <alignment vertical="center"/>
    </xf>
    <xf numFmtId="0" fontId="4" fillId="3" borderId="0" xfId="0" applyFont="1" applyFill="1" applyBorder="1" applyAlignment="1" applyProtection="1">
      <alignment vertical="center"/>
    </xf>
    <xf numFmtId="9" fontId="0" fillId="3" borderId="0" xfId="0" applyNumberFormat="1" applyFill="1" applyBorder="1" applyAlignment="1" applyProtection="1">
      <alignment vertical="center"/>
    </xf>
    <xf numFmtId="14" fontId="0" fillId="3" borderId="0" xfId="0" applyNumberFormat="1" applyFill="1" applyBorder="1" applyAlignment="1" applyProtection="1">
      <alignment vertical="center"/>
    </xf>
    <xf numFmtId="14" fontId="3" fillId="3" borderId="0" xfId="0" applyNumberFormat="1" applyFont="1" applyFill="1" applyBorder="1" applyAlignment="1" applyProtection="1">
      <alignment vertical="center"/>
    </xf>
    <xf numFmtId="164" fontId="3" fillId="3" borderId="0" xfId="0" applyNumberFormat="1" applyFont="1" applyFill="1" applyBorder="1" applyAlignment="1" applyProtection="1">
      <alignment vertical="center"/>
    </xf>
    <xf numFmtId="10" fontId="3" fillId="3" borderId="0" xfId="0" applyNumberFormat="1" applyFont="1" applyFill="1" applyBorder="1" applyAlignment="1" applyProtection="1">
      <alignment vertical="center"/>
    </xf>
    <xf numFmtId="3" fontId="0" fillId="3" borderId="0" xfId="0" applyNumberFormat="1" applyFill="1" applyBorder="1" applyAlignment="1" applyProtection="1">
      <alignment vertical="center"/>
    </xf>
    <xf numFmtId="9" fontId="3" fillId="3" borderId="0" xfId="0" applyNumberFormat="1" applyFont="1" applyFill="1" applyBorder="1" applyAlignment="1" applyProtection="1">
      <alignment vertical="center"/>
    </xf>
    <xf numFmtId="3" fontId="3" fillId="3" borderId="0" xfId="0" applyNumberFormat="1" applyFont="1" applyFill="1" applyBorder="1" applyAlignment="1" applyProtection="1">
      <alignment vertical="center"/>
    </xf>
    <xf numFmtId="0" fontId="4" fillId="3" borderId="1" xfId="0" applyFont="1" applyFill="1" applyBorder="1" applyAlignment="1" applyProtection="1">
      <alignment vertical="center"/>
    </xf>
    <xf numFmtId="0" fontId="0" fillId="3" borderId="1" xfId="0" applyFill="1" applyBorder="1" applyAlignment="1" applyProtection="1">
      <alignment vertical="center"/>
    </xf>
    <xf numFmtId="9" fontId="0" fillId="3" borderId="1" xfId="0" applyNumberFormat="1" applyFill="1" applyBorder="1" applyAlignment="1" applyProtection="1">
      <alignment vertical="center"/>
    </xf>
    <xf numFmtId="10" fontId="0" fillId="3" borderId="0" xfId="0" applyNumberFormat="1" applyFill="1" applyBorder="1" applyAlignment="1" applyProtection="1">
      <alignment vertical="center"/>
    </xf>
    <xf numFmtId="3" fontId="0" fillId="0" borderId="0" xfId="0" applyNumberFormat="1" applyBorder="1" applyAlignment="1" applyProtection="1">
      <alignment vertical="center"/>
    </xf>
    <xf numFmtId="10" fontId="0" fillId="4" borderId="0" xfId="0" applyNumberFormat="1" applyFill="1" applyBorder="1" applyAlignment="1" applyProtection="1">
      <alignment vertical="center"/>
    </xf>
    <xf numFmtId="0" fontId="0" fillId="4" borderId="0" xfId="0" applyFill="1" applyBorder="1" applyAlignment="1" applyProtection="1">
      <alignment vertical="center"/>
    </xf>
    <xf numFmtId="165" fontId="0" fillId="4" borderId="0" xfId="0" applyNumberFormat="1" applyFill="1" applyBorder="1" applyAlignment="1" applyProtection="1">
      <alignment vertical="center"/>
    </xf>
    <xf numFmtId="164" fontId="0" fillId="4" borderId="0" xfId="0" applyNumberFormat="1" applyFill="1" applyBorder="1" applyAlignment="1" applyProtection="1">
      <alignment vertical="center"/>
    </xf>
    <xf numFmtId="0" fontId="3" fillId="0" borderId="0" xfId="0" applyFont="1" applyBorder="1" applyAlignment="1" applyProtection="1">
      <alignment horizontal="left" vertical="top" indent="1"/>
    </xf>
    <xf numFmtId="0" fontId="0" fillId="5" borderId="1" xfId="0" applyFill="1" applyBorder="1" applyAlignment="1"/>
    <xf numFmtId="0" fontId="0" fillId="5" borderId="0" xfId="0" applyFill="1" applyAlignment="1"/>
    <xf numFmtId="0" fontId="0" fillId="8" borderId="1" xfId="0" applyFill="1" applyBorder="1" applyAlignment="1"/>
    <xf numFmtId="0" fontId="0" fillId="8" borderId="0" xfId="0" applyFill="1" applyAlignment="1"/>
    <xf numFmtId="0" fontId="6" fillId="0" borderId="0" xfId="0" applyFont="1" applyBorder="1" applyAlignment="1" applyProtection="1"/>
    <xf numFmtId="0" fontId="15" fillId="5" borderId="0" xfId="0" applyFont="1" applyFill="1" applyBorder="1" applyAlignment="1" applyProtection="1"/>
    <xf numFmtId="0" fontId="13" fillId="5" borderId="0" xfId="0" applyFont="1" applyFill="1" applyBorder="1" applyAlignment="1" applyProtection="1"/>
    <xf numFmtId="0" fontId="6" fillId="5" borderId="0" xfId="0" applyFont="1" applyFill="1" applyBorder="1" applyAlignment="1" applyProtection="1"/>
    <xf numFmtId="9" fontId="6" fillId="5" borderId="0" xfId="0" applyNumberFormat="1" applyFont="1" applyFill="1" applyBorder="1" applyAlignment="1" applyProtection="1"/>
    <xf numFmtId="14" fontId="6" fillId="5" borderId="0" xfId="0" applyNumberFormat="1" applyFont="1" applyFill="1" applyBorder="1" applyAlignment="1" applyProtection="1"/>
    <xf numFmtId="14" fontId="13" fillId="5" borderId="0" xfId="0" applyNumberFormat="1" applyFont="1" applyFill="1" applyBorder="1" applyAlignment="1" applyProtection="1"/>
    <xf numFmtId="3" fontId="6" fillId="5" borderId="0" xfId="0" applyNumberFormat="1" applyFont="1" applyFill="1" applyBorder="1" applyAlignment="1" applyProtection="1"/>
    <xf numFmtId="9" fontId="13" fillId="5" borderId="0" xfId="0" applyNumberFormat="1" applyFont="1" applyFill="1" applyBorder="1" applyAlignment="1" applyProtection="1"/>
    <xf numFmtId="0" fontId="6" fillId="5" borderId="1" xfId="0" applyFont="1" applyFill="1" applyBorder="1" applyAlignment="1" applyProtection="1"/>
    <xf numFmtId="9" fontId="6" fillId="5" borderId="1" xfId="0" applyNumberFormat="1" applyFont="1" applyFill="1" applyBorder="1" applyAlignment="1" applyProtection="1"/>
    <xf numFmtId="10" fontId="6" fillId="5" borderId="0" xfId="0" applyNumberFormat="1" applyFont="1" applyFill="1" applyBorder="1" applyAlignment="1" applyProtection="1"/>
    <xf numFmtId="0" fontId="6" fillId="0" borderId="0" xfId="0" applyFont="1" applyAlignment="1">
      <alignment horizontal="right"/>
    </xf>
    <xf numFmtId="0" fontId="6" fillId="0" borderId="0" xfId="0" applyFont="1" applyAlignment="1"/>
    <xf numFmtId="164" fontId="6" fillId="0" borderId="0" xfId="0" applyNumberFormat="1" applyFont="1" applyAlignment="1"/>
    <xf numFmtId="3" fontId="6" fillId="0" borderId="0" xfId="0" applyNumberFormat="1" applyFont="1" applyBorder="1" applyAlignment="1" applyProtection="1"/>
    <xf numFmtId="10" fontId="6" fillId="4" borderId="0" xfId="0" applyNumberFormat="1" applyFont="1" applyFill="1" applyBorder="1" applyProtection="1">
      <alignment vertical="top"/>
    </xf>
    <xf numFmtId="0" fontId="6" fillId="4" borderId="0" xfId="0" applyFont="1" applyFill="1" applyBorder="1" applyProtection="1">
      <alignment vertical="top"/>
    </xf>
    <xf numFmtId="0" fontId="6" fillId="4" borderId="0" xfId="0" applyFont="1" applyFill="1" applyBorder="1" applyAlignment="1" applyProtection="1"/>
    <xf numFmtId="0" fontId="4" fillId="0" borderId="0" xfId="0" applyFont="1" applyAlignment="1">
      <alignment horizontal="left" vertical="center" wrapText="1" indent="5"/>
    </xf>
    <xf numFmtId="0" fontId="0" fillId="0" borderId="0" xfId="0" applyAlignment="1">
      <alignment horizontal="left" vertical="center" wrapText="1" indent="5"/>
    </xf>
    <xf numFmtId="0" fontId="7" fillId="0" borderId="0" xfId="0" applyFont="1" applyAlignment="1">
      <alignment horizontal="left" vertical="center" wrapText="1" indent="5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6" borderId="0" xfId="0" applyFont="1" applyFill="1" applyBorder="1" applyAlignment="1" applyProtection="1">
      <alignment vertical="top" wrapText="1"/>
    </xf>
    <xf numFmtId="0" fontId="6" fillId="5" borderId="0" xfId="0" applyFont="1" applyFill="1" applyAlignment="1" applyProtection="1">
      <alignment wrapText="1"/>
    </xf>
    <xf numFmtId="0" fontId="13" fillId="5" borderId="0" xfId="0" applyFont="1" applyFill="1" applyBorder="1" applyAlignment="1" applyProtection="1"/>
    <xf numFmtId="0" fontId="13" fillId="5" borderId="0" xfId="0" applyFont="1" applyFill="1" applyAlignment="1" applyProtection="1"/>
    <xf numFmtId="0" fontId="13" fillId="5" borderId="0" xfId="0" applyFont="1" applyFill="1" applyBorder="1" applyAlignment="1" applyProtection="1">
      <alignment horizontal="right"/>
    </xf>
    <xf numFmtId="0" fontId="13" fillId="5" borderId="0" xfId="0" applyFont="1" applyFill="1" applyAlignment="1" applyProtection="1">
      <alignment horizontal="right"/>
    </xf>
    <xf numFmtId="0" fontId="13" fillId="7" borderId="0" xfId="0" applyFont="1" applyFill="1" applyBorder="1" applyAlignment="1" applyProtection="1">
      <alignment vertical="top" wrapText="1"/>
    </xf>
    <xf numFmtId="0" fontId="3" fillId="2" borderId="0" xfId="0" applyFont="1" applyFill="1" applyBorder="1" applyAlignment="1" applyProtection="1">
      <alignment horizontal="left" vertical="top" wrapText="1" indent="1"/>
    </xf>
    <xf numFmtId="0" fontId="3" fillId="0" borderId="0" xfId="0" applyFont="1" applyAlignment="1" applyProtection="1">
      <alignment horizontal="left" vertical="top" wrapText="1" indent="1"/>
    </xf>
    <xf numFmtId="0" fontId="3" fillId="3" borderId="0" xfId="0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3" borderId="0" xfId="0" applyFont="1" applyFill="1" applyBorder="1" applyAlignment="1" applyProtection="1">
      <alignment horizontal="right" vertical="center"/>
    </xf>
    <xf numFmtId="0" fontId="3" fillId="3" borderId="0" xfId="0" applyFont="1" applyFill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left" vertical="top" wrapText="1" indent="1"/>
    </xf>
    <xf numFmtId="0" fontId="13" fillId="5" borderId="1" xfId="0" applyFont="1" applyFill="1" applyBorder="1" applyAlignment="1" applyProtection="1"/>
    <xf numFmtId="164" fontId="6" fillId="5" borderId="2" xfId="0" applyNumberFormat="1" applyFont="1" applyFill="1" applyBorder="1" applyAlignment="1" applyProtection="1"/>
    <xf numFmtId="164" fontId="13" fillId="5" borderId="2" xfId="0" applyNumberFormat="1" applyFont="1" applyFill="1" applyBorder="1" applyAlignment="1" applyProtection="1"/>
    <xf numFmtId="10" fontId="13" fillId="5" borderId="2" xfId="0" applyNumberFormat="1" applyFont="1" applyFill="1" applyBorder="1" applyAlignment="1" applyProtection="1"/>
    <xf numFmtId="3" fontId="6" fillId="5" borderId="1" xfId="0" applyNumberFormat="1" applyFont="1" applyFill="1" applyBorder="1" applyAlignment="1" applyProtection="1"/>
    <xf numFmtId="3" fontId="6" fillId="5" borderId="2" xfId="0" applyNumberFormat="1" applyFont="1" applyFill="1" applyBorder="1" applyAlignment="1" applyProtection="1"/>
    <xf numFmtId="3" fontId="13" fillId="5" borderId="2" xfId="0" applyNumberFormat="1" applyFont="1" applyFill="1" applyBorder="1" applyAlignment="1" applyProtection="1"/>
    <xf numFmtId="164" fontId="6" fillId="5" borderId="1" xfId="0" applyNumberFormat="1" applyFont="1" applyFill="1" applyBorder="1" applyAlignment="1" applyProtection="1"/>
    <xf numFmtId="10" fontId="6" fillId="5" borderId="2" xfId="0" applyNumberFormat="1" applyFont="1" applyFill="1" applyBorder="1" applyAlignment="1" applyProtection="1"/>
    <xf numFmtId="10" fontId="6" fillId="4" borderId="1" xfId="0" applyNumberFormat="1" applyFont="1" applyFill="1" applyBorder="1" applyProtection="1">
      <alignment vertical="top"/>
    </xf>
    <xf numFmtId="10" fontId="6" fillId="4" borderId="2" xfId="0" applyNumberFormat="1" applyFont="1" applyFill="1" applyBorder="1" applyProtection="1">
      <alignment vertical="top"/>
    </xf>
    <xf numFmtId="165" fontId="6" fillId="4" borderId="1" xfId="0" applyNumberFormat="1" applyFont="1" applyFill="1" applyBorder="1" applyProtection="1">
      <alignment vertical="top"/>
    </xf>
    <xf numFmtId="165" fontId="6" fillId="4" borderId="2" xfId="0" applyNumberFormat="1" applyFont="1" applyFill="1" applyBorder="1" applyProtection="1">
      <alignment vertical="top"/>
    </xf>
    <xf numFmtId="0" fontId="6" fillId="4" borderId="2" xfId="0" applyNumberFormat="1" applyFont="1" applyFill="1" applyBorder="1" applyProtection="1">
      <alignment vertical="top"/>
    </xf>
    <xf numFmtId="164" fontId="6" fillId="4" borderId="2" xfId="0" applyNumberFormat="1" applyFont="1" applyFill="1" applyBorder="1" applyProtection="1">
      <alignment vertical="top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533400</xdr:colOff>
      <xdr:row>1</xdr:row>
      <xdr:rowOff>38100</xdr:rowOff>
    </xdr:from>
    <xdr:to>
      <xdr:col>1</xdr:col>
      <xdr:colOff>190500</xdr:colOff>
      <xdr:row>6</xdr:row>
      <xdr:rowOff>104775</xdr:rowOff>
    </xdr:to>
    <xdr:pic>
      <xdr:nvPicPr>
        <xdr:cNvPr id="1065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333375"/>
          <a:ext cx="4000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368300</xdr:colOff>
      <xdr:row>8</xdr:row>
      <xdr:rowOff>139700</xdr:rowOff>
    </xdr:from>
    <xdr:to>
      <xdr:col>18</xdr:col>
      <xdr:colOff>241300</xdr:colOff>
      <xdr:row>12</xdr:row>
      <xdr:rowOff>76200</xdr:rowOff>
    </xdr:to>
    <xdr:sp macro="" textlink="">
      <xdr:nvSpPr>
        <xdr:cNvPr id="2" name="Rectangle 1"/>
        <xdr:cNvSpPr/>
      </xdr:nvSpPr>
      <xdr:spPr>
        <a:xfrm>
          <a:off x="368300" y="1882775"/>
          <a:ext cx="10360025" cy="746125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203200</xdr:colOff>
      <xdr:row>1</xdr:row>
      <xdr:rowOff>76199</xdr:rowOff>
    </xdr:from>
    <xdr:to>
      <xdr:col>16</xdr:col>
      <xdr:colOff>76200</xdr:colOff>
      <xdr:row>6</xdr:row>
      <xdr:rowOff>114299</xdr:rowOff>
    </xdr:to>
    <xdr:sp macro="" textlink="">
      <xdr:nvSpPr>
        <xdr:cNvPr id="3" name="Rectangle 2"/>
        <xdr:cNvSpPr/>
      </xdr:nvSpPr>
      <xdr:spPr>
        <a:xfrm>
          <a:off x="1574800" y="371474"/>
          <a:ext cx="7540625" cy="847725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533400</xdr:colOff>
      <xdr:row>1</xdr:row>
      <xdr:rowOff>38100</xdr:rowOff>
    </xdr:from>
    <xdr:to>
      <xdr:col>1</xdr:col>
      <xdr:colOff>190500</xdr:colOff>
      <xdr:row>6</xdr:row>
      <xdr:rowOff>104775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333375"/>
          <a:ext cx="4000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368300</xdr:colOff>
      <xdr:row>8</xdr:row>
      <xdr:rowOff>139700</xdr:rowOff>
    </xdr:from>
    <xdr:to>
      <xdr:col>18</xdr:col>
      <xdr:colOff>241300</xdr:colOff>
      <xdr:row>12</xdr:row>
      <xdr:rowOff>76200</xdr:rowOff>
    </xdr:to>
    <xdr:sp macro="" textlink="">
      <xdr:nvSpPr>
        <xdr:cNvPr id="3" name="Rectangle 2"/>
        <xdr:cNvSpPr/>
      </xdr:nvSpPr>
      <xdr:spPr>
        <a:xfrm>
          <a:off x="368300" y="1730375"/>
          <a:ext cx="9836150" cy="746125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203200</xdr:colOff>
      <xdr:row>1</xdr:row>
      <xdr:rowOff>76199</xdr:rowOff>
    </xdr:from>
    <xdr:to>
      <xdr:col>16</xdr:col>
      <xdr:colOff>76200</xdr:colOff>
      <xdr:row>6</xdr:row>
      <xdr:rowOff>114299</xdr:rowOff>
    </xdr:to>
    <xdr:sp macro="" textlink="">
      <xdr:nvSpPr>
        <xdr:cNvPr id="4" name="Rectangle 3"/>
        <xdr:cNvSpPr/>
      </xdr:nvSpPr>
      <xdr:spPr>
        <a:xfrm>
          <a:off x="1574800" y="371474"/>
          <a:ext cx="7540625" cy="847725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37"/>
  <sheetViews>
    <sheetView tabSelected="1" topLeftCell="A76" zoomScaleNormal="100" workbookViewId="0">
      <selection activeCell="Q105" sqref="Q105"/>
    </sheetView>
  </sheetViews>
  <sheetFormatPr defaultRowHeight="16.5" customHeight="1" x14ac:dyDescent="0.2"/>
  <cols>
    <col min="1" max="1" width="11.140625" customWidth="1"/>
    <col min="2" max="2" width="9.42578125" customWidth="1"/>
    <col min="3" max="3" width="16.85546875" customWidth="1"/>
    <col min="4" max="4" width="15.42578125" customWidth="1"/>
    <col min="5" max="5" width="5.7109375" customWidth="1"/>
    <col min="6" max="6" width="6.140625" customWidth="1"/>
    <col min="7" max="7" width="2.140625" customWidth="1"/>
    <col min="8" max="8" width="10.42578125" customWidth="1"/>
    <col min="9" max="9" width="2" customWidth="1"/>
    <col min="10" max="10" width="10" customWidth="1"/>
    <col min="11" max="11" width="2.42578125" customWidth="1"/>
    <col min="13" max="13" width="18.5703125" customWidth="1"/>
    <col min="14" max="14" width="2.28515625" customWidth="1"/>
    <col min="15" max="15" width="12.28515625" customWidth="1"/>
    <col min="16" max="16" width="1.5703125" customWidth="1"/>
    <col min="17" max="17" width="11.7109375" customWidth="1"/>
    <col min="18" max="18" width="2.140625" customWidth="1"/>
    <col min="19" max="19" width="11.5703125" customWidth="1"/>
  </cols>
  <sheetData>
    <row r="1" spans="1:20" ht="23.25" customHeight="1" x14ac:dyDescent="0.2">
      <c r="Q1" s="7"/>
      <c r="R1" s="10"/>
      <c r="S1" s="10"/>
    </row>
    <row r="2" spans="1:20" ht="12.75" x14ac:dyDescent="0.2">
      <c r="D2" s="21"/>
      <c r="E2" s="21"/>
      <c r="F2" s="22"/>
      <c r="G2" s="21"/>
      <c r="H2" s="21"/>
      <c r="I2" s="21"/>
      <c r="J2" s="21"/>
      <c r="K2" s="21"/>
      <c r="L2" s="21"/>
      <c r="M2" s="20"/>
      <c r="N2" s="11"/>
    </row>
    <row r="3" spans="1:20" ht="12.75" x14ac:dyDescent="0.2">
      <c r="C3" s="24" t="s">
        <v>23</v>
      </c>
    </row>
    <row r="4" spans="1:20" ht="12.75" x14ac:dyDescent="0.2">
      <c r="D4" s="15" t="s">
        <v>22</v>
      </c>
      <c r="E4" s="23" t="s">
        <v>17</v>
      </c>
    </row>
    <row r="5" spans="1:20" ht="12.75" x14ac:dyDescent="0.2">
      <c r="E5" s="23" t="s">
        <v>16</v>
      </c>
      <c r="L5" s="12" t="s">
        <v>19</v>
      </c>
      <c r="Q5" s="10"/>
      <c r="R5" s="11"/>
      <c r="S5" s="10"/>
    </row>
    <row r="6" spans="1:20" ht="12.75" x14ac:dyDescent="0.2">
      <c r="E6" s="23" t="s">
        <v>15</v>
      </c>
      <c r="L6" s="12" t="s">
        <v>21</v>
      </c>
    </row>
    <row r="7" spans="1:20" ht="21.75" customHeight="1" x14ac:dyDescent="0.2">
      <c r="O7" s="7" t="s">
        <v>0</v>
      </c>
      <c r="Q7" s="10"/>
      <c r="R7" s="10"/>
      <c r="S7" s="10"/>
    </row>
    <row r="8" spans="1:20" ht="16.5" customHeight="1" x14ac:dyDescent="0.2">
      <c r="A8" s="8" t="s">
        <v>33</v>
      </c>
      <c r="B8" s="1" t="s">
        <v>0</v>
      </c>
      <c r="C8" s="1"/>
      <c r="D8" s="1"/>
      <c r="E8" s="12" t="s">
        <v>36</v>
      </c>
      <c r="F8" s="1"/>
      <c r="G8" s="1"/>
      <c r="H8" s="14"/>
      <c r="K8" s="8" t="s">
        <v>34</v>
      </c>
      <c r="L8" s="1"/>
      <c r="M8" s="1"/>
      <c r="N8" s="1"/>
      <c r="O8" s="8" t="s">
        <v>35</v>
      </c>
      <c r="P8" t="s">
        <v>1</v>
      </c>
      <c r="Q8" s="1"/>
      <c r="R8" t="s">
        <v>2</v>
      </c>
      <c r="S8" s="1"/>
    </row>
    <row r="9" spans="1:20" ht="16.5" customHeight="1" x14ac:dyDescent="0.2">
      <c r="B9" t="s">
        <v>0</v>
      </c>
    </row>
    <row r="10" spans="1:20" s="19" customFormat="1" ht="15.75" customHeight="1" x14ac:dyDescent="0.2">
      <c r="A10" s="80" t="s">
        <v>24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18"/>
    </row>
    <row r="11" spans="1:20" s="19" customFormat="1" ht="15.75" customHeight="1" x14ac:dyDescent="0.2">
      <c r="A11" s="80" t="s">
        <v>25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18"/>
    </row>
    <row r="12" spans="1:20" s="19" customFormat="1" ht="15.75" customHeight="1" x14ac:dyDescent="0.2">
      <c r="A12" s="82" t="s">
        <v>20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18"/>
    </row>
    <row r="13" spans="1:20" s="19" customFormat="1" ht="9.75" customHeight="1" x14ac:dyDescent="0.2">
      <c r="A13" s="26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18"/>
    </row>
    <row r="14" spans="1:20" ht="5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 ht="16.5" customHeight="1" x14ac:dyDescent="0.2">
      <c r="B15" s="83" t="s">
        <v>28</v>
      </c>
      <c r="C15" s="83"/>
      <c r="D15" s="83"/>
      <c r="E15" s="83"/>
      <c r="F15" s="83"/>
      <c r="G15" s="13"/>
      <c r="H15" s="85" t="s">
        <v>26</v>
      </c>
      <c r="I15" s="27"/>
      <c r="J15" s="84" t="s">
        <v>27</v>
      </c>
      <c r="K15" s="13"/>
      <c r="L15" s="83" t="s">
        <v>29</v>
      </c>
      <c r="M15" s="83"/>
      <c r="N15" s="13"/>
      <c r="O15" s="86" t="s">
        <v>30</v>
      </c>
      <c r="P15" s="13"/>
      <c r="Q15" s="86" t="s">
        <v>31</v>
      </c>
      <c r="R15" s="13"/>
      <c r="S15" s="86" t="s">
        <v>32</v>
      </c>
    </row>
    <row r="16" spans="1:20" ht="16.5" customHeight="1" x14ac:dyDescent="0.2">
      <c r="B16" s="83"/>
      <c r="C16" s="83"/>
      <c r="D16" s="83"/>
      <c r="E16" s="83"/>
      <c r="F16" s="83"/>
      <c r="G16" s="13"/>
      <c r="H16" s="85"/>
      <c r="I16" s="27"/>
      <c r="J16" s="84"/>
      <c r="K16" s="13"/>
      <c r="L16" s="83"/>
      <c r="M16" s="83"/>
      <c r="N16" s="13"/>
      <c r="O16" s="86"/>
      <c r="P16" s="13"/>
      <c r="Q16" s="86"/>
      <c r="R16" s="13"/>
      <c r="S16" s="86"/>
    </row>
    <row r="17" spans="1:19" ht="16.5" customHeight="1" x14ac:dyDescent="0.2">
      <c r="A17" s="15" t="s">
        <v>3</v>
      </c>
      <c r="B17" s="1" t="s">
        <v>0</v>
      </c>
      <c r="C17" s="1"/>
      <c r="D17" s="1"/>
      <c r="E17" s="1"/>
      <c r="F17" s="1"/>
      <c r="H17" s="59"/>
      <c r="J17" s="57"/>
      <c r="L17" s="1"/>
      <c r="M17" s="1"/>
      <c r="O17" s="2"/>
      <c r="Q17" s="2"/>
      <c r="S17" s="3"/>
    </row>
    <row r="18" spans="1:19" ht="16.5" customHeight="1" x14ac:dyDescent="0.2">
      <c r="A18" s="16"/>
      <c r="B18" s="4"/>
      <c r="C18" s="4"/>
      <c r="D18" s="4"/>
      <c r="E18" s="4"/>
      <c r="F18" s="4"/>
      <c r="H18" s="60"/>
      <c r="J18" s="58"/>
      <c r="L18" s="4"/>
      <c r="M18" s="4"/>
      <c r="S18" s="5"/>
    </row>
    <row r="19" spans="1:19" ht="16.5" customHeight="1" x14ac:dyDescent="0.2">
      <c r="A19" s="16"/>
      <c r="H19" s="60"/>
      <c r="J19" s="58"/>
      <c r="S19" s="5"/>
    </row>
    <row r="20" spans="1:19" ht="16.5" customHeight="1" x14ac:dyDescent="0.2">
      <c r="A20" s="15" t="s">
        <v>18</v>
      </c>
      <c r="B20" s="1"/>
      <c r="C20" s="1"/>
      <c r="D20" s="1"/>
      <c r="E20" s="1"/>
      <c r="F20" s="1"/>
      <c r="H20" s="59"/>
      <c r="J20" s="57"/>
      <c r="L20" s="1"/>
      <c r="M20" s="1"/>
      <c r="O20" s="2"/>
      <c r="Q20" s="2"/>
      <c r="S20" s="3"/>
    </row>
    <row r="21" spans="1:19" ht="16.5" customHeight="1" x14ac:dyDescent="0.2">
      <c r="A21" s="17"/>
      <c r="B21" s="4"/>
      <c r="C21" s="4"/>
      <c r="D21" s="4"/>
      <c r="E21" s="4"/>
      <c r="F21" s="4"/>
      <c r="H21" s="60"/>
      <c r="J21" s="58"/>
      <c r="L21" s="4"/>
      <c r="M21" s="4"/>
      <c r="S21" s="5"/>
    </row>
    <row r="22" spans="1:19" ht="16.5" customHeight="1" x14ac:dyDescent="0.2">
      <c r="A22" s="17"/>
      <c r="H22" s="60"/>
      <c r="J22" s="58"/>
      <c r="S22" s="5"/>
    </row>
    <row r="23" spans="1:19" ht="16.5" customHeight="1" x14ac:dyDescent="0.2">
      <c r="A23" s="17">
        <v>2</v>
      </c>
      <c r="B23" s="1"/>
      <c r="C23" s="1"/>
      <c r="D23" s="1"/>
      <c r="E23" s="1"/>
      <c r="F23" s="1"/>
      <c r="H23" s="59"/>
      <c r="J23" s="57"/>
      <c r="L23" s="1"/>
      <c r="M23" s="1"/>
      <c r="O23" s="2"/>
      <c r="Q23" s="2"/>
      <c r="S23" s="3"/>
    </row>
    <row r="24" spans="1:19" ht="16.5" customHeight="1" x14ac:dyDescent="0.2">
      <c r="A24" s="17" t="s">
        <v>0</v>
      </c>
      <c r="B24" s="4"/>
      <c r="C24" s="4"/>
      <c r="D24" s="4"/>
      <c r="E24" s="4"/>
      <c r="F24" s="4"/>
      <c r="H24" s="60"/>
      <c r="J24" s="58"/>
      <c r="L24" s="4"/>
      <c r="M24" s="4"/>
      <c r="S24" s="5"/>
    </row>
    <row r="25" spans="1:19" ht="16.5" customHeight="1" x14ac:dyDescent="0.2">
      <c r="A25" s="17"/>
      <c r="H25" s="60"/>
      <c r="J25" s="58"/>
      <c r="S25" s="5"/>
    </row>
    <row r="26" spans="1:19" ht="16.5" customHeight="1" x14ac:dyDescent="0.2">
      <c r="A26" s="17">
        <v>3</v>
      </c>
      <c r="B26" s="1"/>
      <c r="C26" s="1"/>
      <c r="D26" s="1"/>
      <c r="E26" s="1"/>
      <c r="F26" s="1"/>
      <c r="H26" s="59"/>
      <c r="J26" s="57"/>
      <c r="L26" s="1"/>
      <c r="M26" s="1"/>
      <c r="O26" s="2"/>
      <c r="Q26" s="2"/>
      <c r="S26" s="3"/>
    </row>
    <row r="27" spans="1:19" ht="16.5" customHeight="1" x14ac:dyDescent="0.2">
      <c r="A27" s="17"/>
      <c r="B27" s="4"/>
      <c r="C27" s="4"/>
      <c r="D27" s="4"/>
      <c r="E27" s="4"/>
      <c r="F27" s="4"/>
      <c r="H27" s="60"/>
      <c r="J27" s="58"/>
      <c r="L27" s="4"/>
      <c r="M27" s="4"/>
      <c r="S27" s="5"/>
    </row>
    <row r="28" spans="1:19" ht="16.5" customHeight="1" x14ac:dyDescent="0.2">
      <c r="A28" s="17"/>
      <c r="H28" s="60"/>
      <c r="J28" s="58"/>
      <c r="S28" s="5"/>
    </row>
    <row r="29" spans="1:19" ht="16.5" customHeight="1" x14ac:dyDescent="0.2">
      <c r="A29" s="17">
        <v>4</v>
      </c>
      <c r="B29" s="1"/>
      <c r="C29" s="1"/>
      <c r="D29" s="1"/>
      <c r="E29" s="1"/>
      <c r="F29" s="1"/>
      <c r="H29" s="59"/>
      <c r="J29" s="57"/>
      <c r="L29" s="1"/>
      <c r="M29" s="1"/>
      <c r="O29" s="2"/>
      <c r="Q29" s="2"/>
      <c r="S29" s="3"/>
    </row>
    <row r="30" spans="1:19" ht="16.5" customHeight="1" x14ac:dyDescent="0.2">
      <c r="A30" s="17"/>
      <c r="B30" s="4"/>
      <c r="C30" s="4"/>
      <c r="D30" s="4"/>
      <c r="E30" s="4"/>
      <c r="F30" s="4"/>
      <c r="H30" s="60"/>
      <c r="J30" s="58"/>
      <c r="L30" s="4"/>
      <c r="M30" s="4"/>
      <c r="S30" s="5"/>
    </row>
    <row r="31" spans="1:19" ht="16.5" customHeight="1" x14ac:dyDescent="0.2">
      <c r="A31" s="17"/>
      <c r="H31" s="60"/>
      <c r="J31" s="58"/>
      <c r="S31" s="5"/>
    </row>
    <row r="32" spans="1:19" ht="16.5" customHeight="1" x14ac:dyDescent="0.2">
      <c r="A32" s="17">
        <v>5</v>
      </c>
      <c r="B32" s="1"/>
      <c r="C32" s="1"/>
      <c r="D32" s="1"/>
      <c r="E32" s="1"/>
      <c r="F32" s="1"/>
      <c r="H32" s="59"/>
      <c r="J32" s="57"/>
      <c r="L32" s="1"/>
      <c r="M32" s="1"/>
      <c r="O32" s="2"/>
      <c r="Q32" s="2"/>
      <c r="S32" s="3"/>
    </row>
    <row r="33" spans="1:19" ht="16.5" customHeight="1" x14ac:dyDescent="0.2">
      <c r="A33" s="17"/>
      <c r="B33" s="4"/>
      <c r="C33" s="4"/>
      <c r="D33" s="4"/>
      <c r="E33" s="4"/>
      <c r="F33" s="4"/>
      <c r="H33" s="60"/>
      <c r="J33" s="58"/>
      <c r="L33" s="4"/>
      <c r="M33" s="4"/>
      <c r="S33" s="5"/>
    </row>
    <row r="34" spans="1:19" ht="16.5" customHeight="1" x14ac:dyDescent="0.2">
      <c r="A34" s="17"/>
      <c r="H34" s="60"/>
      <c r="J34" s="58"/>
      <c r="S34" s="5"/>
    </row>
    <row r="35" spans="1:19" ht="16.5" customHeight="1" x14ac:dyDescent="0.2">
      <c r="A35" s="17">
        <v>6</v>
      </c>
      <c r="B35" s="1"/>
      <c r="C35" s="1"/>
      <c r="D35" s="1"/>
      <c r="E35" s="1"/>
      <c r="F35" s="1"/>
      <c r="H35" s="59"/>
      <c r="J35" s="57"/>
      <c r="L35" s="1"/>
      <c r="M35" s="1"/>
      <c r="O35" s="2"/>
      <c r="Q35" s="2"/>
      <c r="S35" s="3"/>
    </row>
    <row r="36" spans="1:19" ht="16.5" customHeight="1" x14ac:dyDescent="0.2">
      <c r="A36" s="17"/>
      <c r="B36" s="4"/>
      <c r="C36" s="4"/>
      <c r="D36" s="4"/>
      <c r="E36" s="4"/>
      <c r="F36" s="4"/>
      <c r="H36" s="60"/>
      <c r="J36" s="58"/>
      <c r="L36" s="4"/>
      <c r="M36" s="4"/>
      <c r="S36" s="5"/>
    </row>
    <row r="37" spans="1:19" ht="16.5" customHeight="1" x14ac:dyDescent="0.2">
      <c r="A37" s="17"/>
      <c r="H37" s="60"/>
      <c r="J37" s="58"/>
      <c r="S37" s="5"/>
    </row>
    <row r="38" spans="1:19" ht="16.5" customHeight="1" x14ac:dyDescent="0.2">
      <c r="A38" s="17">
        <v>7</v>
      </c>
      <c r="B38" s="1"/>
      <c r="C38" s="1"/>
      <c r="D38" s="1"/>
      <c r="E38" s="1"/>
      <c r="F38" s="1"/>
      <c r="H38" s="59"/>
      <c r="J38" s="57"/>
      <c r="L38" s="1"/>
      <c r="M38" s="1"/>
      <c r="O38" s="2"/>
      <c r="Q38" s="2"/>
      <c r="S38" s="3"/>
    </row>
    <row r="39" spans="1:19" ht="16.5" customHeight="1" x14ac:dyDescent="0.2">
      <c r="A39" s="17"/>
      <c r="B39" s="4"/>
      <c r="C39" s="4"/>
      <c r="D39" s="4"/>
      <c r="E39" s="4"/>
      <c r="F39" s="4"/>
      <c r="H39" s="60"/>
      <c r="J39" s="58"/>
      <c r="L39" s="4"/>
      <c r="M39" s="4"/>
      <c r="S39" s="5"/>
    </row>
    <row r="40" spans="1:19" ht="16.5" customHeight="1" x14ac:dyDescent="0.2">
      <c r="A40" s="17"/>
      <c r="H40" s="60"/>
      <c r="J40" s="58"/>
      <c r="S40" s="5"/>
    </row>
    <row r="41" spans="1:19" ht="16.5" customHeight="1" x14ac:dyDescent="0.2">
      <c r="A41" s="17">
        <v>8</v>
      </c>
      <c r="B41" s="1"/>
      <c r="C41" s="1"/>
      <c r="D41" s="1"/>
      <c r="E41" s="1"/>
      <c r="F41" s="1"/>
      <c r="H41" s="59"/>
      <c r="J41" s="57"/>
      <c r="L41" s="1"/>
      <c r="M41" s="1"/>
      <c r="O41" s="2"/>
      <c r="Q41" s="2"/>
      <c r="S41" s="3"/>
    </row>
    <row r="42" spans="1:19" ht="16.5" customHeight="1" x14ac:dyDescent="0.2">
      <c r="A42" s="17"/>
      <c r="B42" s="4"/>
      <c r="C42" s="4"/>
      <c r="D42" s="4"/>
      <c r="E42" s="4"/>
      <c r="F42" s="4"/>
      <c r="H42" s="60"/>
      <c r="J42" s="58"/>
      <c r="L42" s="4"/>
      <c r="M42" s="4"/>
      <c r="S42" s="5"/>
    </row>
    <row r="43" spans="1:19" ht="16.5" customHeight="1" x14ac:dyDescent="0.2">
      <c r="A43" s="17" t="s">
        <v>0</v>
      </c>
      <c r="H43" s="60"/>
      <c r="J43" s="58"/>
      <c r="S43" s="5"/>
    </row>
    <row r="44" spans="1:19" ht="16.5" customHeight="1" x14ac:dyDescent="0.2">
      <c r="A44" s="17" t="s">
        <v>4</v>
      </c>
      <c r="B44" s="1"/>
      <c r="C44" s="1"/>
      <c r="D44" s="1"/>
      <c r="E44" s="1"/>
      <c r="F44" s="1"/>
      <c r="H44" s="59"/>
      <c r="J44" s="57"/>
      <c r="L44" s="1"/>
      <c r="M44" s="1"/>
      <c r="O44" s="2"/>
      <c r="Q44" s="2"/>
      <c r="S44" s="3"/>
    </row>
    <row r="45" spans="1:19" ht="16.5" customHeight="1" x14ac:dyDescent="0.2">
      <c r="A45" s="17" t="s">
        <v>0</v>
      </c>
      <c r="B45" s="4"/>
      <c r="C45" s="4"/>
      <c r="D45" s="4"/>
      <c r="E45" s="4"/>
      <c r="F45" s="4"/>
      <c r="H45" s="60"/>
      <c r="J45" s="58"/>
      <c r="L45" s="4"/>
      <c r="M45" s="4"/>
      <c r="S45" s="5"/>
    </row>
    <row r="46" spans="1:19" ht="16.5" customHeight="1" x14ac:dyDescent="0.2">
      <c r="A46" s="17"/>
      <c r="H46" s="60"/>
      <c r="J46" s="58"/>
      <c r="S46" s="5"/>
    </row>
    <row r="47" spans="1:19" ht="16.5" customHeight="1" x14ac:dyDescent="0.2">
      <c r="A47" s="17" t="s">
        <v>5</v>
      </c>
      <c r="B47" s="1"/>
      <c r="C47" s="1"/>
      <c r="D47" s="1"/>
      <c r="E47" s="1"/>
      <c r="F47" s="1"/>
      <c r="H47" s="59"/>
      <c r="J47" s="57"/>
      <c r="L47" s="1"/>
      <c r="M47" s="1"/>
      <c r="O47" s="2"/>
      <c r="Q47" s="2"/>
      <c r="S47" s="3"/>
    </row>
    <row r="48" spans="1:19" ht="16.5" customHeight="1" x14ac:dyDescent="0.2">
      <c r="A48" s="17"/>
      <c r="B48" s="4"/>
      <c r="C48" s="4"/>
      <c r="D48" s="4"/>
      <c r="E48" s="4"/>
      <c r="F48" s="4"/>
      <c r="H48" s="60"/>
      <c r="J48" s="58"/>
      <c r="L48" s="4"/>
      <c r="M48" s="4"/>
      <c r="S48" s="5"/>
    </row>
    <row r="49" spans="1:19" ht="16.5" customHeight="1" x14ac:dyDescent="0.2">
      <c r="A49" s="17"/>
      <c r="H49" s="60"/>
      <c r="J49" s="58"/>
      <c r="S49" s="5"/>
    </row>
    <row r="50" spans="1:19" ht="16.5" customHeight="1" x14ac:dyDescent="0.2">
      <c r="A50" s="17" t="s">
        <v>6</v>
      </c>
      <c r="B50" s="1"/>
      <c r="C50" s="1"/>
      <c r="D50" s="1"/>
      <c r="E50" s="1"/>
      <c r="F50" s="1"/>
      <c r="H50" s="59"/>
      <c r="J50" s="57"/>
      <c r="L50" s="1"/>
      <c r="M50" s="1"/>
      <c r="O50" s="2"/>
      <c r="Q50" s="2"/>
      <c r="S50" s="3"/>
    </row>
    <row r="51" spans="1:19" ht="16.5" customHeight="1" x14ac:dyDescent="0.2">
      <c r="A51" s="17"/>
      <c r="B51" s="4"/>
      <c r="C51" s="4"/>
      <c r="D51" s="4"/>
      <c r="E51" s="4"/>
      <c r="F51" s="4"/>
      <c r="H51" s="60"/>
      <c r="J51" s="58"/>
      <c r="L51" s="4"/>
      <c r="M51" s="4"/>
      <c r="S51" s="5"/>
    </row>
    <row r="52" spans="1:19" ht="16.5" customHeight="1" x14ac:dyDescent="0.2">
      <c r="A52" s="17"/>
      <c r="H52" s="60"/>
      <c r="J52" s="58"/>
      <c r="S52" s="5"/>
    </row>
    <row r="53" spans="1:19" ht="16.5" customHeight="1" x14ac:dyDescent="0.2">
      <c r="A53" s="17" t="s">
        <v>7</v>
      </c>
      <c r="B53" s="1"/>
      <c r="C53" s="1"/>
      <c r="D53" s="1"/>
      <c r="E53" s="1"/>
      <c r="F53" s="1"/>
      <c r="H53" s="59"/>
      <c r="J53" s="57"/>
      <c r="L53" s="1"/>
      <c r="M53" s="1"/>
      <c r="O53" s="2"/>
      <c r="Q53" s="2"/>
      <c r="S53" s="3"/>
    </row>
    <row r="54" spans="1:19" ht="16.5" customHeight="1" x14ac:dyDescent="0.2">
      <c r="A54" s="17"/>
      <c r="B54" s="4"/>
      <c r="C54" s="4"/>
      <c r="D54" s="4"/>
      <c r="E54" s="4"/>
      <c r="F54" s="4"/>
      <c r="H54" s="60"/>
      <c r="J54" s="58"/>
      <c r="L54" s="4"/>
      <c r="M54" s="4"/>
      <c r="S54" s="5"/>
    </row>
    <row r="55" spans="1:19" ht="16.5" customHeight="1" x14ac:dyDescent="0.2">
      <c r="A55" s="17"/>
      <c r="H55" s="60"/>
      <c r="J55" s="58"/>
      <c r="S55" s="5"/>
    </row>
    <row r="56" spans="1:19" ht="16.5" customHeight="1" x14ac:dyDescent="0.2">
      <c r="A56" s="17" t="s">
        <v>8</v>
      </c>
      <c r="B56" s="1"/>
      <c r="C56" s="1"/>
      <c r="D56" s="1"/>
      <c r="E56" s="1"/>
      <c r="F56" s="1"/>
      <c r="H56" s="59"/>
      <c r="J56" s="57"/>
      <c r="L56" s="1"/>
      <c r="M56" s="1"/>
      <c r="O56" s="2"/>
      <c r="Q56" s="2"/>
      <c r="S56" s="3"/>
    </row>
    <row r="57" spans="1:19" ht="16.5" customHeight="1" x14ac:dyDescent="0.2">
      <c r="A57" s="17"/>
      <c r="B57" s="4"/>
      <c r="C57" s="4"/>
      <c r="D57" s="4"/>
      <c r="E57" s="4"/>
      <c r="F57" s="4"/>
      <c r="H57" s="60"/>
      <c r="J57" s="58"/>
      <c r="L57" s="4"/>
      <c r="M57" s="4"/>
      <c r="S57" s="5"/>
    </row>
    <row r="58" spans="1:19" ht="16.5" customHeight="1" x14ac:dyDescent="0.2">
      <c r="A58" s="17"/>
      <c r="H58" s="60"/>
      <c r="J58" s="58"/>
      <c r="S58" s="5"/>
    </row>
    <row r="59" spans="1:19" ht="16.5" customHeight="1" x14ac:dyDescent="0.2">
      <c r="A59" s="17" t="s">
        <v>9</v>
      </c>
      <c r="B59" s="1"/>
      <c r="C59" s="1"/>
      <c r="D59" s="1"/>
      <c r="E59" s="1"/>
      <c r="F59" s="1"/>
      <c r="H59" s="59"/>
      <c r="J59" s="57"/>
      <c r="L59" s="1"/>
      <c r="M59" s="1"/>
      <c r="O59" s="2"/>
      <c r="Q59" s="2"/>
      <c r="S59" s="3"/>
    </row>
    <row r="60" spans="1:19" ht="16.5" customHeight="1" x14ac:dyDescent="0.2">
      <c r="A60" s="17"/>
      <c r="B60" s="4"/>
      <c r="C60" s="4"/>
      <c r="D60" s="4"/>
      <c r="E60" s="4"/>
      <c r="F60" s="4"/>
      <c r="H60" s="60"/>
      <c r="J60" s="58"/>
      <c r="L60" s="4"/>
      <c r="M60" s="4"/>
      <c r="S60" s="5"/>
    </row>
    <row r="61" spans="1:19" ht="16.5" customHeight="1" x14ac:dyDescent="0.2">
      <c r="A61" s="17"/>
      <c r="H61" s="60"/>
      <c r="J61" s="58"/>
      <c r="S61" s="5"/>
    </row>
    <row r="62" spans="1:19" ht="16.5" customHeight="1" x14ac:dyDescent="0.2">
      <c r="A62" s="17" t="s">
        <v>10</v>
      </c>
      <c r="B62" s="1"/>
      <c r="C62" s="1"/>
      <c r="D62" s="1"/>
      <c r="E62" s="1"/>
      <c r="F62" s="1"/>
      <c r="H62" s="59"/>
      <c r="J62" s="57"/>
      <c r="L62" s="1"/>
      <c r="M62" s="1"/>
      <c r="O62" s="2"/>
      <c r="Q62" s="2"/>
      <c r="S62" s="3"/>
    </row>
    <row r="63" spans="1:19" ht="16.5" customHeight="1" x14ac:dyDescent="0.2">
      <c r="A63" s="17"/>
      <c r="B63" s="4"/>
      <c r="C63" s="4"/>
      <c r="D63" s="4"/>
      <c r="E63" s="4"/>
      <c r="F63" s="4"/>
      <c r="H63" s="60"/>
      <c r="J63" s="58"/>
      <c r="L63" s="4"/>
      <c r="M63" s="4"/>
      <c r="S63" s="5"/>
    </row>
    <row r="64" spans="1:19" ht="16.5" customHeight="1" x14ac:dyDescent="0.2">
      <c r="A64" s="17"/>
      <c r="H64" s="60"/>
      <c r="J64" s="58"/>
      <c r="S64" s="5"/>
    </row>
    <row r="65" spans="1:20" ht="16.5" customHeight="1" x14ac:dyDescent="0.2">
      <c r="A65" s="17" t="s">
        <v>11</v>
      </c>
      <c r="B65" s="1"/>
      <c r="C65" s="1"/>
      <c r="D65" s="1"/>
      <c r="E65" s="1"/>
      <c r="F65" s="1"/>
      <c r="H65" s="59"/>
      <c r="J65" s="57"/>
      <c r="L65" s="1"/>
      <c r="M65" s="1"/>
      <c r="O65" s="2"/>
      <c r="Q65" s="2"/>
      <c r="S65" s="3"/>
    </row>
    <row r="66" spans="1:20" ht="16.5" customHeight="1" x14ac:dyDescent="0.2">
      <c r="A66" s="17"/>
      <c r="B66" s="4"/>
      <c r="C66" s="4"/>
      <c r="D66" s="4"/>
      <c r="E66" s="4"/>
      <c r="F66" s="4"/>
      <c r="H66" s="60"/>
      <c r="J66" s="58"/>
      <c r="L66" s="4"/>
      <c r="M66" s="4"/>
      <c r="S66" s="5"/>
    </row>
    <row r="67" spans="1:20" ht="16.5" customHeight="1" x14ac:dyDescent="0.2">
      <c r="A67" s="17"/>
      <c r="H67" s="60"/>
      <c r="J67" s="58"/>
      <c r="S67" s="5"/>
    </row>
    <row r="68" spans="1:20" ht="16.5" customHeight="1" x14ac:dyDescent="0.2">
      <c r="A68" s="17" t="s">
        <v>12</v>
      </c>
      <c r="B68" s="1"/>
      <c r="C68" s="1"/>
      <c r="D68" s="1"/>
      <c r="E68" s="1"/>
      <c r="F68" s="1"/>
      <c r="H68" s="59"/>
      <c r="J68" s="57"/>
      <c r="L68" s="1"/>
      <c r="M68" s="1"/>
      <c r="O68" s="2"/>
      <c r="Q68" s="2"/>
      <c r="S68" s="3"/>
    </row>
    <row r="69" spans="1:20" ht="16.5" customHeight="1" x14ac:dyDescent="0.2">
      <c r="A69" s="17"/>
      <c r="B69" s="4"/>
      <c r="C69" s="4"/>
      <c r="D69" s="4"/>
      <c r="E69" s="4"/>
      <c r="F69" s="4"/>
      <c r="H69" s="60"/>
      <c r="J69" s="58"/>
      <c r="L69" s="4"/>
      <c r="M69" s="4"/>
      <c r="S69" s="5"/>
    </row>
    <row r="70" spans="1:20" ht="16.5" customHeight="1" x14ac:dyDescent="0.2">
      <c r="A70" s="17"/>
      <c r="H70" s="60"/>
      <c r="J70" s="58"/>
      <c r="S70" s="5"/>
    </row>
    <row r="71" spans="1:20" ht="16.5" customHeight="1" x14ac:dyDescent="0.2">
      <c r="A71" s="17" t="s">
        <v>13</v>
      </c>
      <c r="B71" s="1"/>
      <c r="C71" s="1"/>
      <c r="D71" s="1"/>
      <c r="E71" s="1"/>
      <c r="F71" s="1"/>
      <c r="H71" s="59"/>
      <c r="J71" s="57"/>
      <c r="L71" s="1"/>
      <c r="M71" s="1"/>
      <c r="O71" s="2"/>
      <c r="Q71" s="2"/>
      <c r="S71" s="3"/>
    </row>
    <row r="72" spans="1:20" ht="16.5" customHeight="1" x14ac:dyDescent="0.2">
      <c r="A72" s="17"/>
      <c r="B72" s="4"/>
      <c r="C72" s="4"/>
      <c r="D72" s="4"/>
      <c r="E72" s="4"/>
      <c r="F72" s="4"/>
      <c r="H72" s="60"/>
      <c r="J72" s="58"/>
      <c r="L72" s="4"/>
      <c r="M72" s="4"/>
      <c r="S72" s="5"/>
    </row>
    <row r="73" spans="1:20" ht="16.5" customHeight="1" x14ac:dyDescent="0.2">
      <c r="A73" s="17"/>
      <c r="H73" s="60"/>
      <c r="J73" s="58"/>
      <c r="S73" s="5"/>
    </row>
    <row r="74" spans="1:20" ht="16.5" customHeight="1" x14ac:dyDescent="0.2">
      <c r="A74" s="17" t="s">
        <v>14</v>
      </c>
      <c r="B74" s="1"/>
      <c r="C74" s="1"/>
      <c r="D74" s="1"/>
      <c r="E74" s="1"/>
      <c r="F74" s="1"/>
      <c r="H74" s="59"/>
      <c r="J74" s="57"/>
      <c r="L74" s="1"/>
      <c r="M74" s="1"/>
      <c r="O74" s="2"/>
      <c r="Q74" s="2"/>
      <c r="S74" s="3"/>
    </row>
    <row r="75" spans="1:20" ht="16.5" customHeight="1" x14ac:dyDescent="0.2">
      <c r="A75" s="6"/>
      <c r="B75" s="4"/>
      <c r="C75" s="4"/>
      <c r="D75" s="4"/>
      <c r="E75" s="4"/>
      <c r="F75" s="4"/>
      <c r="H75" s="60"/>
      <c r="J75" s="58"/>
      <c r="L75" s="4"/>
      <c r="M75" s="4"/>
      <c r="S75" s="5"/>
    </row>
    <row r="76" spans="1:20" ht="16.5" customHeight="1" x14ac:dyDescent="0.2">
      <c r="A76" s="6"/>
      <c r="S76" s="5"/>
    </row>
    <row r="77" spans="1:20" s="74" customFormat="1" ht="11.25" x14ac:dyDescent="0.2">
      <c r="A77" s="73"/>
      <c r="B77" s="87" t="s">
        <v>61</v>
      </c>
      <c r="C77" s="88"/>
      <c r="D77" s="88"/>
      <c r="E77" s="88"/>
      <c r="F77" s="88"/>
      <c r="G77" s="88"/>
      <c r="H77" s="88"/>
      <c r="I77" s="61"/>
      <c r="J77" s="89" t="s">
        <v>62</v>
      </c>
      <c r="K77" s="90"/>
      <c r="L77" s="90"/>
      <c r="M77" s="90"/>
      <c r="N77" s="90"/>
      <c r="O77" s="90"/>
      <c r="P77" s="90"/>
      <c r="Q77" s="90"/>
      <c r="R77" s="90"/>
      <c r="S77" s="90"/>
    </row>
    <row r="78" spans="1:20" s="74" customFormat="1" ht="11.25" x14ac:dyDescent="0.2">
      <c r="A78" s="73"/>
      <c r="B78" s="87"/>
      <c r="C78" s="88"/>
      <c r="D78" s="88"/>
      <c r="E78" s="88"/>
      <c r="F78" s="88"/>
      <c r="G78" s="88"/>
      <c r="H78" s="88"/>
      <c r="I78" s="61"/>
      <c r="J78" s="62" t="s">
        <v>39</v>
      </c>
      <c r="K78" s="63"/>
      <c r="L78" s="63"/>
      <c r="M78" s="63"/>
      <c r="N78" s="63"/>
      <c r="O78" s="63"/>
      <c r="P78" s="63"/>
      <c r="Q78" s="63"/>
      <c r="R78" s="63"/>
      <c r="S78" s="101"/>
    </row>
    <row r="79" spans="1:20" s="74" customFormat="1" ht="11.25" x14ac:dyDescent="0.2">
      <c r="A79" s="73"/>
      <c r="B79" s="88"/>
      <c r="C79" s="88"/>
      <c r="D79" s="88"/>
      <c r="E79" s="88"/>
      <c r="F79" s="88"/>
      <c r="G79" s="88"/>
      <c r="H79" s="88"/>
      <c r="I79" s="61"/>
      <c r="J79" s="64" t="s">
        <v>40</v>
      </c>
      <c r="K79" s="64"/>
      <c r="L79" s="64"/>
      <c r="M79" s="64"/>
      <c r="N79" s="64"/>
      <c r="O79" s="64"/>
      <c r="P79" s="64"/>
      <c r="Q79" s="64"/>
      <c r="R79" s="64"/>
      <c r="S79" s="102"/>
    </row>
    <row r="80" spans="1:20" s="74" customFormat="1" ht="11.25" x14ac:dyDescent="0.2">
      <c r="A80" s="73"/>
      <c r="B80" s="88"/>
      <c r="C80" s="88"/>
      <c r="D80" s="88"/>
      <c r="E80" s="88"/>
      <c r="F80" s="88"/>
      <c r="G80" s="88"/>
      <c r="H80" s="88"/>
      <c r="I80" s="61"/>
      <c r="J80" s="64" t="s">
        <v>41</v>
      </c>
      <c r="K80" s="64"/>
      <c r="L80" s="64"/>
      <c r="M80" s="64"/>
      <c r="N80" s="64"/>
      <c r="O80" s="64"/>
      <c r="P80" s="64"/>
      <c r="Q80" s="64"/>
      <c r="R80" s="64"/>
      <c r="S80" s="102"/>
      <c r="T80" s="75">
        <f>SUM(S79:S80)</f>
        <v>0</v>
      </c>
    </row>
    <row r="81" spans="1:19" s="74" customFormat="1" ht="11.25" x14ac:dyDescent="0.2">
      <c r="A81" s="73"/>
      <c r="B81" s="88"/>
      <c r="C81" s="88"/>
      <c r="D81" s="88"/>
      <c r="E81" s="88"/>
      <c r="F81" s="88"/>
      <c r="G81" s="88"/>
      <c r="H81" s="88"/>
      <c r="I81" s="61"/>
      <c r="J81" s="64" t="s">
        <v>42</v>
      </c>
      <c r="K81" s="64"/>
      <c r="L81" s="65">
        <v>0.25</v>
      </c>
      <c r="M81" s="64" t="s">
        <v>43</v>
      </c>
      <c r="N81" s="64"/>
      <c r="O81" s="66"/>
      <c r="P81" s="64"/>
      <c r="Q81" s="66"/>
      <c r="R81" s="64"/>
      <c r="S81" s="102">
        <f>0.25*S79</f>
        <v>0</v>
      </c>
    </row>
    <row r="82" spans="1:19" s="74" customFormat="1" ht="11.25" x14ac:dyDescent="0.2">
      <c r="A82" s="73"/>
      <c r="B82" s="88"/>
      <c r="C82" s="88"/>
      <c r="D82" s="88"/>
      <c r="E82" s="88"/>
      <c r="F82" s="88"/>
      <c r="G82" s="88"/>
      <c r="H82" s="88"/>
      <c r="I82" s="61"/>
      <c r="J82" s="64" t="s">
        <v>42</v>
      </c>
      <c r="K82" s="64"/>
      <c r="L82" s="65">
        <v>0.1</v>
      </c>
      <c r="M82" s="64"/>
      <c r="N82" s="64"/>
      <c r="O82" s="64"/>
      <c r="P82" s="64"/>
      <c r="Q82" s="64"/>
      <c r="R82" s="64"/>
      <c r="S82" s="102">
        <f>0.1*S79</f>
        <v>0</v>
      </c>
    </row>
    <row r="83" spans="1:19" s="74" customFormat="1" ht="11.25" x14ac:dyDescent="0.2">
      <c r="A83" s="73"/>
      <c r="B83" s="88"/>
      <c r="C83" s="88"/>
      <c r="D83" s="88"/>
      <c r="E83" s="88"/>
      <c r="F83" s="88"/>
      <c r="G83" s="88"/>
      <c r="H83" s="88"/>
      <c r="I83" s="61"/>
      <c r="J83" s="63" t="s">
        <v>44</v>
      </c>
      <c r="K83" s="63"/>
      <c r="L83" s="63"/>
      <c r="M83" s="63"/>
      <c r="N83" s="63"/>
      <c r="O83" s="67"/>
      <c r="P83" s="63"/>
      <c r="Q83" s="67"/>
      <c r="R83" s="63"/>
      <c r="S83" s="103"/>
    </row>
    <row r="84" spans="1:19" s="74" customFormat="1" ht="11.25" x14ac:dyDescent="0.2">
      <c r="A84" s="73"/>
      <c r="B84" s="88"/>
      <c r="C84" s="88"/>
      <c r="D84" s="88"/>
      <c r="E84" s="88"/>
      <c r="F84" s="88"/>
      <c r="G84" s="88"/>
      <c r="H84" s="88"/>
      <c r="I84" s="61"/>
      <c r="J84" s="63" t="s">
        <v>45</v>
      </c>
      <c r="K84" s="63"/>
      <c r="L84" s="63"/>
      <c r="M84" s="63"/>
      <c r="N84" s="63"/>
      <c r="O84" s="63"/>
      <c r="P84" s="63"/>
      <c r="Q84" s="63"/>
      <c r="R84" s="63"/>
      <c r="S84" s="104" t="e">
        <f>S83/S79</f>
        <v>#DIV/0!</v>
      </c>
    </row>
    <row r="85" spans="1:19" s="74" customFormat="1" ht="11.25" x14ac:dyDescent="0.2">
      <c r="A85" s="73"/>
      <c r="B85" s="88"/>
      <c r="C85" s="88"/>
      <c r="D85" s="88"/>
      <c r="E85" s="88"/>
      <c r="F85" s="88"/>
      <c r="G85" s="88"/>
      <c r="H85" s="88"/>
      <c r="I85" s="61"/>
      <c r="J85" s="64"/>
      <c r="K85" s="64"/>
      <c r="L85" s="64"/>
      <c r="M85" s="64"/>
      <c r="N85" s="64"/>
      <c r="O85" s="64"/>
      <c r="P85" s="64"/>
      <c r="Q85" s="64"/>
      <c r="R85" s="64"/>
      <c r="S85" s="64"/>
    </row>
    <row r="86" spans="1:19" s="74" customFormat="1" ht="11.25" x14ac:dyDescent="0.2">
      <c r="A86" s="73"/>
      <c r="B86" s="88"/>
      <c r="C86" s="88"/>
      <c r="D86" s="88"/>
      <c r="E86" s="88"/>
      <c r="F86" s="88"/>
      <c r="G86" s="88"/>
      <c r="H86" s="88"/>
      <c r="I86" s="61"/>
      <c r="J86" s="62" t="s">
        <v>46</v>
      </c>
      <c r="K86" s="64"/>
      <c r="L86" s="64"/>
      <c r="M86" s="64"/>
      <c r="N86" s="64"/>
      <c r="O86" s="64"/>
      <c r="P86" s="64"/>
      <c r="Q86" s="64"/>
      <c r="R86" s="64"/>
      <c r="S86" s="64"/>
    </row>
    <row r="87" spans="1:19" s="74" customFormat="1" ht="11.25" x14ac:dyDescent="0.2">
      <c r="A87" s="73"/>
      <c r="B87" s="88"/>
      <c r="C87" s="88"/>
      <c r="D87" s="88"/>
      <c r="E87" s="88"/>
      <c r="F87" s="88"/>
      <c r="G87" s="88"/>
      <c r="H87" s="88"/>
      <c r="I87" s="61"/>
      <c r="J87" s="64" t="s">
        <v>47</v>
      </c>
      <c r="K87" s="64"/>
      <c r="L87" s="64"/>
      <c r="M87" s="64"/>
      <c r="N87" s="64"/>
      <c r="O87" s="64"/>
      <c r="P87" s="64"/>
      <c r="Q87" s="64"/>
      <c r="R87" s="64"/>
      <c r="S87" s="105"/>
    </row>
    <row r="88" spans="1:19" s="74" customFormat="1" ht="11.25" x14ac:dyDescent="0.2">
      <c r="A88" s="73"/>
      <c r="B88" s="88"/>
      <c r="C88" s="88"/>
      <c r="D88" s="88"/>
      <c r="E88" s="88"/>
      <c r="F88" s="88"/>
      <c r="G88" s="88"/>
      <c r="H88" s="88"/>
      <c r="I88" s="61"/>
      <c r="J88" s="64" t="s">
        <v>48</v>
      </c>
      <c r="K88" s="64"/>
      <c r="L88" s="65">
        <v>0.03</v>
      </c>
      <c r="M88" s="64"/>
      <c r="N88" s="64"/>
      <c r="O88" s="64"/>
      <c r="P88" s="64"/>
      <c r="Q88" s="64"/>
      <c r="R88" s="64"/>
      <c r="S88" s="106">
        <f>0.03*S87</f>
        <v>0</v>
      </c>
    </row>
    <row r="89" spans="1:19" s="74" customFormat="1" ht="11.25" x14ac:dyDescent="0.2">
      <c r="A89" s="73"/>
      <c r="B89" s="88"/>
      <c r="C89" s="88"/>
      <c r="D89" s="88"/>
      <c r="E89" s="88"/>
      <c r="F89" s="88"/>
      <c r="G89" s="88"/>
      <c r="H89" s="88"/>
      <c r="I89" s="61"/>
      <c r="J89" s="63" t="s">
        <v>44</v>
      </c>
      <c r="K89" s="63"/>
      <c r="L89" s="69"/>
      <c r="M89" s="63"/>
      <c r="N89" s="63"/>
      <c r="O89" s="63"/>
      <c r="P89" s="63"/>
      <c r="Q89" s="63"/>
      <c r="R89" s="63"/>
      <c r="S89" s="107"/>
    </row>
    <row r="90" spans="1:19" s="74" customFormat="1" ht="11.25" x14ac:dyDescent="0.2">
      <c r="A90" s="73"/>
      <c r="B90" s="88"/>
      <c r="C90" s="88"/>
      <c r="D90" s="88"/>
      <c r="E90" s="88"/>
      <c r="F90" s="88"/>
      <c r="G90" s="88"/>
      <c r="H90" s="88"/>
      <c r="I90" s="61"/>
      <c r="J90" s="63" t="s">
        <v>49</v>
      </c>
      <c r="K90" s="63"/>
      <c r="L90" s="69"/>
      <c r="M90" s="63"/>
      <c r="N90" s="63"/>
      <c r="O90" s="63"/>
      <c r="P90" s="63"/>
      <c r="Q90" s="63"/>
      <c r="R90" s="63"/>
      <c r="S90" s="104" t="e">
        <f>S89/S87</f>
        <v>#DIV/0!</v>
      </c>
    </row>
    <row r="91" spans="1:19" s="74" customFormat="1" ht="11.25" x14ac:dyDescent="0.2">
      <c r="A91" s="73"/>
      <c r="B91" s="88"/>
      <c r="C91" s="88"/>
      <c r="D91" s="88"/>
      <c r="E91" s="88"/>
      <c r="F91" s="88"/>
      <c r="G91" s="88"/>
      <c r="H91" s="88"/>
      <c r="I91" s="61"/>
      <c r="J91" s="70"/>
      <c r="K91" s="70"/>
      <c r="L91" s="71"/>
      <c r="M91" s="70"/>
      <c r="N91" s="64"/>
      <c r="O91" s="64"/>
      <c r="P91" s="64"/>
      <c r="Q91" s="64"/>
      <c r="R91" s="64"/>
      <c r="S91" s="72"/>
    </row>
    <row r="92" spans="1:19" s="74" customFormat="1" ht="11.25" x14ac:dyDescent="0.2">
      <c r="A92" s="73"/>
      <c r="B92" s="88"/>
      <c r="C92" s="88"/>
      <c r="D92" s="88"/>
      <c r="E92" s="88"/>
      <c r="F92" s="88"/>
      <c r="G92" s="88"/>
      <c r="H92" s="88"/>
      <c r="I92" s="61"/>
      <c r="J92" s="64" t="s">
        <v>50</v>
      </c>
      <c r="K92" s="64"/>
      <c r="L92" s="64"/>
      <c r="M92" s="64"/>
      <c r="N92" s="64"/>
      <c r="O92" s="66"/>
      <c r="P92" s="64"/>
      <c r="Q92" s="66"/>
      <c r="R92" s="64"/>
      <c r="S92" s="108">
        <f>SUM(S80,S83)</f>
        <v>0</v>
      </c>
    </row>
    <row r="93" spans="1:19" s="74" customFormat="1" ht="11.25" x14ac:dyDescent="0.2">
      <c r="A93" s="73"/>
      <c r="B93" s="88"/>
      <c r="C93" s="88"/>
      <c r="D93" s="88"/>
      <c r="E93" s="88"/>
      <c r="F93" s="88"/>
      <c r="G93" s="88"/>
      <c r="H93" s="88"/>
      <c r="I93" s="61"/>
      <c r="J93" s="64" t="s">
        <v>51</v>
      </c>
      <c r="K93" s="64"/>
      <c r="L93" s="64"/>
      <c r="M93" s="64"/>
      <c r="N93" s="64"/>
      <c r="O93" s="64"/>
      <c r="P93" s="64"/>
      <c r="Q93" s="64"/>
      <c r="R93" s="64"/>
      <c r="S93" s="109" t="e">
        <f>S92/L6</f>
        <v>#VALUE!</v>
      </c>
    </row>
    <row r="94" spans="1:19" s="74" customFormat="1" ht="11.25" x14ac:dyDescent="0.2">
      <c r="A94" s="73"/>
      <c r="B94" s="88"/>
      <c r="C94" s="88"/>
      <c r="D94" s="88"/>
      <c r="E94" s="88"/>
      <c r="F94" s="88"/>
      <c r="G94" s="88"/>
      <c r="H94" s="88"/>
      <c r="I94" s="61"/>
      <c r="J94" s="64"/>
      <c r="K94" s="64"/>
      <c r="L94" s="64"/>
      <c r="M94" s="64"/>
      <c r="N94" s="64"/>
      <c r="O94" s="64"/>
      <c r="P94" s="64"/>
      <c r="Q94" s="64"/>
      <c r="R94" s="64"/>
      <c r="S94" s="68"/>
    </row>
    <row r="95" spans="1:19" s="74" customFormat="1" ht="11.25" x14ac:dyDescent="0.2">
      <c r="A95" s="73"/>
      <c r="B95" s="88"/>
      <c r="C95" s="88"/>
      <c r="D95" s="88"/>
      <c r="E95" s="88"/>
      <c r="F95" s="88"/>
      <c r="G95" s="88"/>
      <c r="H95" s="88"/>
      <c r="I95" s="61"/>
      <c r="J95" s="64" t="s">
        <v>52</v>
      </c>
      <c r="K95" s="64"/>
      <c r="L95" s="64"/>
      <c r="M95" s="91"/>
      <c r="N95" s="92"/>
      <c r="O95" s="92"/>
      <c r="P95" s="92"/>
      <c r="Q95" s="92"/>
      <c r="R95" s="92"/>
      <c r="S95" s="92"/>
    </row>
    <row r="96" spans="1:19" s="74" customFormat="1" ht="11.25" x14ac:dyDescent="0.2">
      <c r="A96" s="73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76"/>
    </row>
    <row r="97" spans="1:19" s="74" customFormat="1" ht="11.25" x14ac:dyDescent="0.2">
      <c r="A97" s="73"/>
      <c r="B97" s="93" t="s">
        <v>63</v>
      </c>
      <c r="C97" s="93"/>
      <c r="D97" s="93"/>
      <c r="E97" s="93"/>
      <c r="F97" s="93"/>
      <c r="G97" s="93"/>
      <c r="H97" s="93"/>
      <c r="I97" s="61"/>
      <c r="J97" s="77" t="s">
        <v>64</v>
      </c>
      <c r="K97" s="78"/>
      <c r="L97" s="78"/>
      <c r="M97" s="77"/>
      <c r="N97" s="78"/>
      <c r="O97" s="78"/>
      <c r="P97" s="78"/>
      <c r="Q97" s="79"/>
      <c r="R97" s="79"/>
      <c r="S97" s="112">
        <f>SUM(S20:S74)</f>
        <v>0</v>
      </c>
    </row>
    <row r="98" spans="1:19" s="74" customFormat="1" ht="11.25" x14ac:dyDescent="0.2">
      <c r="A98" s="73"/>
      <c r="B98" s="93"/>
      <c r="C98" s="93"/>
      <c r="D98" s="93"/>
      <c r="E98" s="93"/>
      <c r="F98" s="93"/>
      <c r="G98" s="93"/>
      <c r="H98" s="93"/>
      <c r="I98" s="61"/>
      <c r="J98" s="78" t="s">
        <v>55</v>
      </c>
      <c r="K98" s="78"/>
      <c r="L98" s="78" t="s">
        <v>2</v>
      </c>
      <c r="M98" s="110" t="e">
        <f>S98/S97</f>
        <v>#DIV/0!</v>
      </c>
      <c r="N98" s="78"/>
      <c r="O98" s="78" t="s">
        <v>1</v>
      </c>
      <c r="P98" s="78"/>
      <c r="Q98" s="79"/>
      <c r="R98" s="79"/>
      <c r="S98" s="113"/>
    </row>
    <row r="99" spans="1:19" s="74" customFormat="1" ht="11.25" x14ac:dyDescent="0.2">
      <c r="A99" s="73"/>
      <c r="B99" s="93"/>
      <c r="C99" s="93"/>
      <c r="D99" s="93"/>
      <c r="E99" s="93"/>
      <c r="F99" s="93"/>
      <c r="G99" s="93"/>
      <c r="H99" s="93"/>
      <c r="I99" s="61"/>
      <c r="J99" s="78" t="s">
        <v>56</v>
      </c>
      <c r="K99" s="78"/>
      <c r="L99" s="78" t="s">
        <v>2</v>
      </c>
      <c r="M99" s="111" t="e">
        <f>S99/S97</f>
        <v>#DIV/0!</v>
      </c>
      <c r="N99" s="78"/>
      <c r="O99" s="78" t="s">
        <v>1</v>
      </c>
      <c r="P99" s="78"/>
      <c r="Q99" s="79"/>
      <c r="R99" s="79"/>
      <c r="S99" s="113"/>
    </row>
    <row r="100" spans="1:19" s="74" customFormat="1" ht="11.25" x14ac:dyDescent="0.2">
      <c r="A100" s="73"/>
      <c r="B100" s="93"/>
      <c r="C100" s="93"/>
      <c r="D100" s="93"/>
      <c r="E100" s="93"/>
      <c r="F100" s="93"/>
      <c r="G100" s="93"/>
      <c r="H100" s="93"/>
      <c r="I100" s="61"/>
      <c r="J100" s="78" t="s">
        <v>57</v>
      </c>
      <c r="K100" s="78"/>
      <c r="L100" s="78" t="s">
        <v>2</v>
      </c>
      <c r="M100" s="111" t="e">
        <f>S100/S97</f>
        <v>#DIV/0!</v>
      </c>
      <c r="N100" s="78"/>
      <c r="O100" s="78" t="s">
        <v>1</v>
      </c>
      <c r="P100" s="78"/>
      <c r="Q100" s="79"/>
      <c r="R100" s="79"/>
      <c r="S100" s="113"/>
    </row>
    <row r="101" spans="1:19" s="74" customFormat="1" ht="11.25" x14ac:dyDescent="0.2">
      <c r="A101" s="73"/>
      <c r="B101" s="93"/>
      <c r="C101" s="93"/>
      <c r="D101" s="93"/>
      <c r="E101" s="93"/>
      <c r="F101" s="93"/>
      <c r="G101" s="93"/>
      <c r="H101" s="93"/>
      <c r="I101" s="61"/>
      <c r="J101" s="78" t="s">
        <v>58</v>
      </c>
      <c r="K101" s="78"/>
      <c r="L101" s="78"/>
      <c r="M101" s="78"/>
      <c r="N101" s="78"/>
      <c r="O101" s="78"/>
      <c r="P101" s="78"/>
      <c r="Q101" s="79"/>
      <c r="R101" s="79"/>
      <c r="S101" s="114" t="e">
        <f>(S98+S99+S100)/S97</f>
        <v>#DIV/0!</v>
      </c>
    </row>
    <row r="102" spans="1:19" s="74" customFormat="1" ht="11.25" x14ac:dyDescent="0.2">
      <c r="A102" s="73"/>
      <c r="B102" s="93"/>
      <c r="C102" s="93"/>
      <c r="D102" s="93"/>
      <c r="E102" s="93"/>
      <c r="F102" s="93"/>
      <c r="G102" s="93"/>
      <c r="H102" s="93"/>
      <c r="I102" s="61"/>
      <c r="J102" s="78" t="s">
        <v>59</v>
      </c>
      <c r="K102" s="78"/>
      <c r="L102" s="78"/>
      <c r="M102" s="78"/>
      <c r="N102" s="78"/>
      <c r="O102" s="78"/>
      <c r="P102" s="78"/>
      <c r="Q102" s="79"/>
      <c r="R102" s="79"/>
      <c r="S102" s="115">
        <f>SUM(S98:S100)</f>
        <v>0</v>
      </c>
    </row>
    <row r="103" spans="1:19" s="74" customFormat="1" ht="11.25" x14ac:dyDescent="0.2">
      <c r="A103" s="73"/>
      <c r="B103" s="93"/>
      <c r="C103" s="93"/>
      <c r="D103" s="93"/>
      <c r="E103" s="93"/>
      <c r="F103" s="93"/>
      <c r="G103" s="93"/>
      <c r="H103" s="93"/>
      <c r="I103" s="61"/>
      <c r="J103" s="78" t="s">
        <v>60</v>
      </c>
      <c r="K103" s="78"/>
      <c r="L103" s="78"/>
      <c r="M103" s="78"/>
      <c r="N103" s="78"/>
      <c r="O103" s="78"/>
      <c r="P103" s="78"/>
      <c r="Q103" s="79"/>
      <c r="R103" s="79"/>
      <c r="S103" s="115" t="e">
        <f>S102/L8</f>
        <v>#DIV/0!</v>
      </c>
    </row>
    <row r="104" spans="1:19" ht="16.5" customHeight="1" x14ac:dyDescent="0.2">
      <c r="A104" s="7"/>
    </row>
    <row r="105" spans="1:19" ht="16.5" customHeight="1" x14ac:dyDescent="0.2">
      <c r="A105" s="7"/>
    </row>
    <row r="106" spans="1:19" ht="16.5" customHeight="1" x14ac:dyDescent="0.2">
      <c r="A106" s="7"/>
    </row>
    <row r="107" spans="1:19" ht="16.5" customHeight="1" x14ac:dyDescent="0.2">
      <c r="A107" s="7"/>
    </row>
    <row r="108" spans="1:19" ht="16.5" customHeight="1" x14ac:dyDescent="0.2">
      <c r="A108" s="7"/>
    </row>
    <row r="109" spans="1:19" ht="16.5" customHeight="1" x14ac:dyDescent="0.2">
      <c r="A109" s="7"/>
    </row>
    <row r="110" spans="1:19" ht="16.5" customHeight="1" x14ac:dyDescent="0.2">
      <c r="A110" s="7"/>
    </row>
    <row r="111" spans="1:19" ht="16.5" customHeight="1" x14ac:dyDescent="0.2">
      <c r="A111" s="7"/>
    </row>
    <row r="112" spans="1:19" ht="16.5" customHeight="1" x14ac:dyDescent="0.2">
      <c r="A112" s="7"/>
    </row>
    <row r="113" spans="1:1" ht="16.5" customHeight="1" x14ac:dyDescent="0.2">
      <c r="A113" s="7"/>
    </row>
    <row r="114" spans="1:1" ht="16.5" customHeight="1" x14ac:dyDescent="0.2">
      <c r="A114" s="7"/>
    </row>
    <row r="115" spans="1:1" ht="16.5" customHeight="1" x14ac:dyDescent="0.2">
      <c r="A115" s="7"/>
    </row>
    <row r="116" spans="1:1" ht="16.5" customHeight="1" x14ac:dyDescent="0.2">
      <c r="A116" s="7"/>
    </row>
    <row r="117" spans="1:1" ht="16.5" customHeight="1" x14ac:dyDescent="0.2">
      <c r="A117" s="7"/>
    </row>
    <row r="118" spans="1:1" ht="16.5" customHeight="1" x14ac:dyDescent="0.2">
      <c r="A118" s="7"/>
    </row>
    <row r="119" spans="1:1" ht="16.5" customHeight="1" x14ac:dyDescent="0.2">
      <c r="A119" s="7"/>
    </row>
    <row r="120" spans="1:1" ht="16.5" customHeight="1" x14ac:dyDescent="0.2">
      <c r="A120" s="7"/>
    </row>
    <row r="121" spans="1:1" ht="16.5" customHeight="1" x14ac:dyDescent="0.2">
      <c r="A121" s="7"/>
    </row>
    <row r="122" spans="1:1" ht="16.5" customHeight="1" x14ac:dyDescent="0.2">
      <c r="A122" s="7"/>
    </row>
    <row r="123" spans="1:1" ht="16.5" customHeight="1" x14ac:dyDescent="0.2">
      <c r="A123" s="7"/>
    </row>
    <row r="124" spans="1:1" ht="16.5" customHeight="1" x14ac:dyDescent="0.2">
      <c r="A124" s="7"/>
    </row>
    <row r="125" spans="1:1" ht="16.5" customHeight="1" x14ac:dyDescent="0.2">
      <c r="A125" s="7"/>
    </row>
    <row r="126" spans="1:1" ht="16.5" customHeight="1" x14ac:dyDescent="0.2">
      <c r="A126" s="7"/>
    </row>
    <row r="127" spans="1:1" ht="16.5" customHeight="1" x14ac:dyDescent="0.2">
      <c r="A127" s="7"/>
    </row>
    <row r="128" spans="1:1" ht="16.5" customHeight="1" x14ac:dyDescent="0.2">
      <c r="A128" s="7"/>
    </row>
    <row r="129" spans="1:1" ht="16.5" customHeight="1" x14ac:dyDescent="0.2">
      <c r="A129" s="7"/>
    </row>
    <row r="130" spans="1:1" ht="16.5" customHeight="1" x14ac:dyDescent="0.2">
      <c r="A130" s="7"/>
    </row>
    <row r="131" spans="1:1" ht="16.5" customHeight="1" x14ac:dyDescent="0.2">
      <c r="A131" s="7"/>
    </row>
    <row r="132" spans="1:1" ht="16.5" customHeight="1" x14ac:dyDescent="0.2">
      <c r="A132" s="7"/>
    </row>
    <row r="133" spans="1:1" ht="16.5" customHeight="1" x14ac:dyDescent="0.2">
      <c r="A133" s="7"/>
    </row>
    <row r="134" spans="1:1" ht="16.5" customHeight="1" x14ac:dyDescent="0.2">
      <c r="A134" s="7"/>
    </row>
    <row r="135" spans="1:1" ht="16.5" customHeight="1" x14ac:dyDescent="0.2">
      <c r="A135" s="7"/>
    </row>
    <row r="136" spans="1:1" ht="16.5" customHeight="1" x14ac:dyDescent="0.2">
      <c r="A136" s="7"/>
    </row>
    <row r="137" spans="1:1" ht="16.5" customHeight="1" x14ac:dyDescent="0.2">
      <c r="A137" s="7"/>
    </row>
    <row r="138" spans="1:1" ht="16.5" customHeight="1" x14ac:dyDescent="0.2">
      <c r="A138" s="7"/>
    </row>
    <row r="139" spans="1:1" ht="16.5" customHeight="1" x14ac:dyDescent="0.2">
      <c r="A139" s="7"/>
    </row>
    <row r="140" spans="1:1" ht="16.5" customHeight="1" x14ac:dyDescent="0.2">
      <c r="A140" s="7"/>
    </row>
    <row r="141" spans="1:1" ht="16.5" customHeight="1" x14ac:dyDescent="0.2">
      <c r="A141" s="7"/>
    </row>
    <row r="142" spans="1:1" ht="16.5" customHeight="1" x14ac:dyDescent="0.2">
      <c r="A142" s="7"/>
    </row>
    <row r="143" spans="1:1" ht="16.5" customHeight="1" x14ac:dyDescent="0.2">
      <c r="A143" s="7"/>
    </row>
    <row r="144" spans="1:1" ht="16.5" customHeight="1" x14ac:dyDescent="0.2">
      <c r="A144" s="7"/>
    </row>
    <row r="145" spans="1:1" ht="16.5" customHeight="1" x14ac:dyDescent="0.2">
      <c r="A145" s="7"/>
    </row>
    <row r="146" spans="1:1" ht="16.5" customHeight="1" x14ac:dyDescent="0.2">
      <c r="A146" s="7"/>
    </row>
    <row r="147" spans="1:1" ht="16.5" customHeight="1" x14ac:dyDescent="0.2">
      <c r="A147" s="7"/>
    </row>
    <row r="148" spans="1:1" ht="16.5" customHeight="1" x14ac:dyDescent="0.2">
      <c r="A148" s="7"/>
    </row>
    <row r="149" spans="1:1" ht="16.5" customHeight="1" x14ac:dyDescent="0.2">
      <c r="A149" s="7"/>
    </row>
    <row r="150" spans="1:1" ht="16.5" customHeight="1" x14ac:dyDescent="0.2">
      <c r="A150" s="7"/>
    </row>
    <row r="151" spans="1:1" ht="16.5" customHeight="1" x14ac:dyDescent="0.2">
      <c r="A151" s="7"/>
    </row>
    <row r="152" spans="1:1" ht="16.5" customHeight="1" x14ac:dyDescent="0.2">
      <c r="A152" s="7"/>
    </row>
    <row r="153" spans="1:1" ht="16.5" customHeight="1" x14ac:dyDescent="0.2">
      <c r="A153" s="7"/>
    </row>
    <row r="154" spans="1:1" ht="16.5" customHeight="1" x14ac:dyDescent="0.2">
      <c r="A154" s="7"/>
    </row>
    <row r="155" spans="1:1" ht="16.5" customHeight="1" x14ac:dyDescent="0.2">
      <c r="A155" s="7"/>
    </row>
    <row r="156" spans="1:1" ht="16.5" customHeight="1" x14ac:dyDescent="0.2">
      <c r="A156" s="7"/>
    </row>
    <row r="157" spans="1:1" ht="16.5" customHeight="1" x14ac:dyDescent="0.2">
      <c r="A157" s="7"/>
    </row>
    <row r="158" spans="1:1" ht="16.5" customHeight="1" x14ac:dyDescent="0.2">
      <c r="A158" s="7"/>
    </row>
    <row r="159" spans="1:1" ht="16.5" customHeight="1" x14ac:dyDescent="0.2">
      <c r="A159" s="7"/>
    </row>
    <row r="160" spans="1:1" ht="16.5" customHeight="1" x14ac:dyDescent="0.2">
      <c r="A160" s="7"/>
    </row>
    <row r="161" spans="1:1" ht="16.5" customHeight="1" x14ac:dyDescent="0.2">
      <c r="A161" s="7"/>
    </row>
    <row r="162" spans="1:1" ht="16.5" customHeight="1" x14ac:dyDescent="0.2">
      <c r="A162" s="7"/>
    </row>
    <row r="163" spans="1:1" ht="16.5" customHeight="1" x14ac:dyDescent="0.2">
      <c r="A163" s="7"/>
    </row>
    <row r="164" spans="1:1" ht="16.5" customHeight="1" x14ac:dyDescent="0.2">
      <c r="A164" s="7"/>
    </row>
    <row r="165" spans="1:1" ht="16.5" customHeight="1" x14ac:dyDescent="0.2">
      <c r="A165" s="7"/>
    </row>
    <row r="166" spans="1:1" ht="16.5" customHeight="1" x14ac:dyDescent="0.2">
      <c r="A166" s="7"/>
    </row>
    <row r="167" spans="1:1" ht="16.5" customHeight="1" x14ac:dyDescent="0.2">
      <c r="A167" s="7"/>
    </row>
    <row r="168" spans="1:1" ht="16.5" customHeight="1" x14ac:dyDescent="0.2">
      <c r="A168" s="7"/>
    </row>
    <row r="169" spans="1:1" ht="16.5" customHeight="1" x14ac:dyDescent="0.2">
      <c r="A169" s="7"/>
    </row>
    <row r="170" spans="1:1" ht="16.5" customHeight="1" x14ac:dyDescent="0.2">
      <c r="A170" s="7"/>
    </row>
    <row r="171" spans="1:1" ht="16.5" customHeight="1" x14ac:dyDescent="0.2">
      <c r="A171" s="7"/>
    </row>
    <row r="172" spans="1:1" ht="16.5" customHeight="1" x14ac:dyDescent="0.2">
      <c r="A172" s="7"/>
    </row>
    <row r="173" spans="1:1" ht="16.5" customHeight="1" x14ac:dyDescent="0.2">
      <c r="A173" s="7"/>
    </row>
    <row r="174" spans="1:1" ht="16.5" customHeight="1" x14ac:dyDescent="0.2">
      <c r="A174" s="7"/>
    </row>
    <row r="175" spans="1:1" ht="16.5" customHeight="1" x14ac:dyDescent="0.2">
      <c r="A175" s="7"/>
    </row>
    <row r="176" spans="1:1" ht="16.5" customHeight="1" x14ac:dyDescent="0.2">
      <c r="A176" s="7"/>
    </row>
    <row r="177" spans="1:1" ht="16.5" customHeight="1" x14ac:dyDescent="0.2">
      <c r="A177" s="7"/>
    </row>
    <row r="178" spans="1:1" ht="16.5" customHeight="1" x14ac:dyDescent="0.2">
      <c r="A178" s="7"/>
    </row>
    <row r="179" spans="1:1" ht="16.5" customHeight="1" x14ac:dyDescent="0.2">
      <c r="A179" s="7"/>
    </row>
    <row r="180" spans="1:1" ht="16.5" customHeight="1" x14ac:dyDescent="0.2">
      <c r="A180" s="7"/>
    </row>
    <row r="181" spans="1:1" ht="16.5" customHeight="1" x14ac:dyDescent="0.2">
      <c r="A181" s="7"/>
    </row>
    <row r="182" spans="1:1" ht="16.5" customHeight="1" x14ac:dyDescent="0.2">
      <c r="A182" s="7"/>
    </row>
    <row r="183" spans="1:1" ht="16.5" customHeight="1" x14ac:dyDescent="0.2">
      <c r="A183" s="7"/>
    </row>
    <row r="184" spans="1:1" ht="16.5" customHeight="1" x14ac:dyDescent="0.2">
      <c r="A184" s="7"/>
    </row>
    <row r="185" spans="1:1" ht="16.5" customHeight="1" x14ac:dyDescent="0.2">
      <c r="A185" s="7"/>
    </row>
    <row r="186" spans="1:1" ht="16.5" customHeight="1" x14ac:dyDescent="0.2">
      <c r="A186" s="7"/>
    </row>
    <row r="187" spans="1:1" ht="16.5" customHeight="1" x14ac:dyDescent="0.2">
      <c r="A187" s="7"/>
    </row>
    <row r="188" spans="1:1" ht="16.5" customHeight="1" x14ac:dyDescent="0.2">
      <c r="A188" s="7"/>
    </row>
    <row r="189" spans="1:1" ht="16.5" customHeight="1" x14ac:dyDescent="0.2">
      <c r="A189" s="7"/>
    </row>
    <row r="190" spans="1:1" ht="16.5" customHeight="1" x14ac:dyDescent="0.2">
      <c r="A190" s="7"/>
    </row>
    <row r="191" spans="1:1" ht="16.5" customHeight="1" x14ac:dyDescent="0.2">
      <c r="A191" s="7"/>
    </row>
    <row r="192" spans="1:1" ht="16.5" customHeight="1" x14ac:dyDescent="0.2">
      <c r="A192" s="7"/>
    </row>
    <row r="193" spans="1:1" ht="16.5" customHeight="1" x14ac:dyDescent="0.2">
      <c r="A193" s="7"/>
    </row>
    <row r="194" spans="1:1" ht="16.5" customHeight="1" x14ac:dyDescent="0.2">
      <c r="A194" s="7"/>
    </row>
    <row r="195" spans="1:1" ht="16.5" customHeight="1" x14ac:dyDescent="0.2">
      <c r="A195" s="7"/>
    </row>
    <row r="196" spans="1:1" ht="16.5" customHeight="1" x14ac:dyDescent="0.2">
      <c r="A196" s="7"/>
    </row>
    <row r="197" spans="1:1" ht="16.5" customHeight="1" x14ac:dyDescent="0.2">
      <c r="A197" s="7"/>
    </row>
    <row r="198" spans="1:1" ht="16.5" customHeight="1" x14ac:dyDescent="0.2">
      <c r="A198" s="7"/>
    </row>
    <row r="199" spans="1:1" ht="16.5" customHeight="1" x14ac:dyDescent="0.2">
      <c r="A199" s="7"/>
    </row>
    <row r="200" spans="1:1" ht="16.5" customHeight="1" x14ac:dyDescent="0.2">
      <c r="A200" s="7"/>
    </row>
    <row r="201" spans="1:1" ht="16.5" customHeight="1" x14ac:dyDescent="0.2">
      <c r="A201" s="7"/>
    </row>
    <row r="202" spans="1:1" ht="16.5" customHeight="1" x14ac:dyDescent="0.2">
      <c r="A202" s="7"/>
    </row>
    <row r="203" spans="1:1" ht="16.5" customHeight="1" x14ac:dyDescent="0.2">
      <c r="A203" s="7"/>
    </row>
    <row r="204" spans="1:1" ht="16.5" customHeight="1" x14ac:dyDescent="0.2">
      <c r="A204" s="7"/>
    </row>
    <row r="205" spans="1:1" ht="16.5" customHeight="1" x14ac:dyDescent="0.2">
      <c r="A205" s="7"/>
    </row>
    <row r="206" spans="1:1" ht="16.5" customHeight="1" x14ac:dyDescent="0.2">
      <c r="A206" s="7"/>
    </row>
    <row r="207" spans="1:1" ht="16.5" customHeight="1" x14ac:dyDescent="0.2">
      <c r="A207" s="7"/>
    </row>
    <row r="208" spans="1:1" ht="16.5" customHeight="1" x14ac:dyDescent="0.2">
      <c r="A208" s="7"/>
    </row>
    <row r="209" spans="1:1" ht="16.5" customHeight="1" x14ac:dyDescent="0.2">
      <c r="A209" s="7"/>
    </row>
    <row r="210" spans="1:1" ht="16.5" customHeight="1" x14ac:dyDescent="0.2">
      <c r="A210" s="7"/>
    </row>
    <row r="211" spans="1:1" ht="16.5" customHeight="1" x14ac:dyDescent="0.2">
      <c r="A211" s="7"/>
    </row>
    <row r="212" spans="1:1" ht="16.5" customHeight="1" x14ac:dyDescent="0.2">
      <c r="A212" s="7"/>
    </row>
    <row r="213" spans="1:1" ht="16.5" customHeight="1" x14ac:dyDescent="0.2">
      <c r="A213" s="7"/>
    </row>
    <row r="214" spans="1:1" ht="16.5" customHeight="1" x14ac:dyDescent="0.2">
      <c r="A214" s="7"/>
    </row>
    <row r="215" spans="1:1" ht="16.5" customHeight="1" x14ac:dyDescent="0.2">
      <c r="A215" s="7"/>
    </row>
    <row r="216" spans="1:1" ht="16.5" customHeight="1" x14ac:dyDescent="0.2">
      <c r="A216" s="7"/>
    </row>
    <row r="217" spans="1:1" ht="16.5" customHeight="1" x14ac:dyDescent="0.2">
      <c r="A217" s="7"/>
    </row>
    <row r="218" spans="1:1" ht="16.5" customHeight="1" x14ac:dyDescent="0.2">
      <c r="A218" s="7"/>
    </row>
    <row r="219" spans="1:1" ht="16.5" customHeight="1" x14ac:dyDescent="0.2">
      <c r="A219" s="7"/>
    </row>
    <row r="220" spans="1:1" ht="16.5" customHeight="1" x14ac:dyDescent="0.2">
      <c r="A220" s="7"/>
    </row>
    <row r="221" spans="1:1" ht="16.5" customHeight="1" x14ac:dyDescent="0.2">
      <c r="A221" s="7"/>
    </row>
    <row r="222" spans="1:1" ht="16.5" customHeight="1" x14ac:dyDescent="0.2">
      <c r="A222" s="7"/>
    </row>
    <row r="223" spans="1:1" ht="16.5" customHeight="1" x14ac:dyDescent="0.2">
      <c r="A223" s="7"/>
    </row>
    <row r="224" spans="1:1" ht="16.5" customHeight="1" x14ac:dyDescent="0.2">
      <c r="A224" s="7"/>
    </row>
    <row r="225" spans="1:1" ht="16.5" customHeight="1" x14ac:dyDescent="0.2">
      <c r="A225" s="7"/>
    </row>
    <row r="226" spans="1:1" ht="16.5" customHeight="1" x14ac:dyDescent="0.2">
      <c r="A226" s="7"/>
    </row>
    <row r="227" spans="1:1" ht="16.5" customHeight="1" x14ac:dyDescent="0.2">
      <c r="A227" s="7"/>
    </row>
    <row r="228" spans="1:1" ht="16.5" customHeight="1" x14ac:dyDescent="0.2">
      <c r="A228" s="7"/>
    </row>
    <row r="229" spans="1:1" ht="16.5" customHeight="1" x14ac:dyDescent="0.2">
      <c r="A229" s="7"/>
    </row>
    <row r="230" spans="1:1" ht="16.5" customHeight="1" x14ac:dyDescent="0.2">
      <c r="A230" s="7"/>
    </row>
    <row r="231" spans="1:1" ht="16.5" customHeight="1" x14ac:dyDescent="0.2">
      <c r="A231" s="7"/>
    </row>
    <row r="232" spans="1:1" ht="16.5" customHeight="1" x14ac:dyDescent="0.2">
      <c r="A232" s="7"/>
    </row>
    <row r="233" spans="1:1" ht="16.5" customHeight="1" x14ac:dyDescent="0.2">
      <c r="A233" s="7"/>
    </row>
    <row r="234" spans="1:1" ht="16.5" customHeight="1" x14ac:dyDescent="0.2">
      <c r="A234" s="7"/>
    </row>
    <row r="235" spans="1:1" ht="16.5" customHeight="1" x14ac:dyDescent="0.2">
      <c r="A235" s="7"/>
    </row>
    <row r="236" spans="1:1" ht="16.5" customHeight="1" x14ac:dyDescent="0.2">
      <c r="A236" s="7"/>
    </row>
    <row r="237" spans="1:1" ht="16.5" customHeight="1" x14ac:dyDescent="0.2">
      <c r="A237" s="7"/>
    </row>
  </sheetData>
  <mergeCells count="14">
    <mergeCell ref="B77:H95"/>
    <mergeCell ref="J77:S77"/>
    <mergeCell ref="M95:S95"/>
    <mergeCell ref="B97:H103"/>
    <mergeCell ref="S15:S16"/>
    <mergeCell ref="A11:S11"/>
    <mergeCell ref="A10:S10"/>
    <mergeCell ref="A12:S12"/>
    <mergeCell ref="B15:F16"/>
    <mergeCell ref="H15:H16"/>
    <mergeCell ref="J15:J16"/>
    <mergeCell ref="L15:M16"/>
    <mergeCell ref="O15:O16"/>
    <mergeCell ref="Q15:Q16"/>
  </mergeCells>
  <phoneticPr fontId="6" type="noConversion"/>
  <printOptions horizontalCentered="1" verticalCentered="1"/>
  <pageMargins left="0.25" right="0.25" top="0.25" bottom="0.25" header="0.25" footer="0.25"/>
  <pageSetup scale="73" fitToHeight="2" orientation="landscape" r:id="rId1"/>
  <headerFooter>
    <oddHeader xml:space="preserve">&amp;C&amp;9Saint Paul Department of Human Rights and Equal Economic Opportunity&amp;"Arial,Bold"&amp;10
&amp;11IDENTIFICATION OF PRIME CONTRACTOR AND SUBCONTRACTORS (INCLUDING MATERIAL SUPPLIERS)&amp;RDate________________            </oddHeader>
    <oddFooter>&amp;R&amp;7 06-18-2013</oddFooter>
  </headerFooter>
  <rowBreaks count="1" manualBreakCount="1">
    <brk id="42" max="1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34"/>
  <sheetViews>
    <sheetView topLeftCell="A31" zoomScaleNormal="100" workbookViewId="0">
      <selection activeCell="B74" sqref="B74:H92"/>
    </sheetView>
  </sheetViews>
  <sheetFormatPr defaultRowHeight="16.5" customHeight="1" x14ac:dyDescent="0.2"/>
  <cols>
    <col min="1" max="1" width="11.140625" customWidth="1"/>
    <col min="2" max="2" width="9.42578125" customWidth="1"/>
    <col min="3" max="3" width="16.85546875" customWidth="1"/>
    <col min="4" max="4" width="15.42578125" customWidth="1"/>
    <col min="5" max="5" width="5.7109375" customWidth="1"/>
    <col min="6" max="6" width="6.140625" customWidth="1"/>
    <col min="7" max="7" width="2.140625" customWidth="1"/>
    <col min="8" max="8" width="10.42578125" customWidth="1"/>
    <col min="9" max="9" width="2" customWidth="1"/>
    <col min="10" max="10" width="10" customWidth="1"/>
    <col min="11" max="11" width="2.42578125" customWidth="1"/>
    <col min="13" max="13" width="18.5703125" customWidth="1"/>
    <col min="14" max="14" width="2.28515625" customWidth="1"/>
    <col min="15" max="15" width="12.28515625" customWidth="1"/>
    <col min="16" max="16" width="1.5703125" customWidth="1"/>
    <col min="17" max="17" width="11.7109375" customWidth="1"/>
    <col min="18" max="18" width="2.140625" customWidth="1"/>
    <col min="19" max="19" width="11.5703125" customWidth="1"/>
  </cols>
  <sheetData>
    <row r="1" spans="1:20" ht="23.25" customHeight="1" x14ac:dyDescent="0.2">
      <c r="Q1" s="7"/>
      <c r="R1" s="10"/>
      <c r="S1" s="10"/>
    </row>
    <row r="2" spans="1:20" ht="12.75" x14ac:dyDescent="0.2">
      <c r="D2" s="21"/>
      <c r="E2" s="21"/>
      <c r="F2" s="22"/>
      <c r="G2" s="21"/>
      <c r="H2" s="21"/>
      <c r="I2" s="21"/>
      <c r="J2" s="21"/>
      <c r="K2" s="21"/>
      <c r="L2" s="21"/>
      <c r="M2" s="20"/>
      <c r="N2" s="11"/>
    </row>
    <row r="3" spans="1:20" ht="12.75" x14ac:dyDescent="0.2">
      <c r="C3" s="24" t="s">
        <v>23</v>
      </c>
    </row>
    <row r="4" spans="1:20" ht="12.75" x14ac:dyDescent="0.2">
      <c r="D4" s="15" t="s">
        <v>22</v>
      </c>
      <c r="E4" s="23" t="s">
        <v>17</v>
      </c>
    </row>
    <row r="5" spans="1:20" ht="12.75" x14ac:dyDescent="0.2">
      <c r="E5" s="23" t="s">
        <v>16</v>
      </c>
      <c r="L5" s="12" t="s">
        <v>19</v>
      </c>
      <c r="Q5" s="10"/>
      <c r="R5" s="11"/>
      <c r="S5" s="10"/>
    </row>
    <row r="6" spans="1:20" ht="12.75" x14ac:dyDescent="0.2">
      <c r="E6" s="23" t="s">
        <v>15</v>
      </c>
      <c r="L6" s="12" t="s">
        <v>21</v>
      </c>
    </row>
    <row r="7" spans="1:20" ht="21.75" customHeight="1" x14ac:dyDescent="0.2">
      <c r="O7" s="7" t="s">
        <v>0</v>
      </c>
      <c r="Q7" s="10"/>
      <c r="R7" s="10"/>
      <c r="S7" s="10"/>
    </row>
    <row r="8" spans="1:20" ht="16.5" customHeight="1" x14ac:dyDescent="0.2">
      <c r="A8" s="8" t="s">
        <v>33</v>
      </c>
      <c r="B8" s="1" t="s">
        <v>0</v>
      </c>
      <c r="C8" s="1"/>
      <c r="D8" s="1"/>
      <c r="E8" s="12" t="s">
        <v>36</v>
      </c>
      <c r="F8" s="1"/>
      <c r="G8" s="1"/>
      <c r="H8" s="14"/>
      <c r="K8" s="8" t="s">
        <v>34</v>
      </c>
      <c r="L8" s="1"/>
      <c r="M8" s="1"/>
      <c r="N8" s="1"/>
      <c r="O8" s="8" t="s">
        <v>35</v>
      </c>
      <c r="P8" t="s">
        <v>1</v>
      </c>
      <c r="Q8" s="1"/>
      <c r="R8" t="s">
        <v>2</v>
      </c>
      <c r="S8" s="1"/>
    </row>
    <row r="9" spans="1:20" ht="16.5" customHeight="1" x14ac:dyDescent="0.2">
      <c r="B9" t="s">
        <v>0</v>
      </c>
    </row>
    <row r="10" spans="1:20" s="19" customFormat="1" ht="15.75" customHeight="1" x14ac:dyDescent="0.2">
      <c r="A10" s="80" t="s">
        <v>24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18"/>
    </row>
    <row r="11" spans="1:20" s="19" customFormat="1" ht="15.75" customHeight="1" x14ac:dyDescent="0.2">
      <c r="A11" s="80" t="s">
        <v>25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18"/>
    </row>
    <row r="12" spans="1:20" s="19" customFormat="1" ht="15.75" customHeight="1" x14ac:dyDescent="0.2">
      <c r="A12" s="82" t="s">
        <v>20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18"/>
    </row>
    <row r="13" spans="1:20" s="19" customFormat="1" ht="9.75" customHeight="1" x14ac:dyDescent="0.2">
      <c r="A13" s="3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18"/>
    </row>
    <row r="14" spans="1:20" ht="5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 ht="16.5" customHeight="1" x14ac:dyDescent="0.2">
      <c r="B15" s="83" t="s">
        <v>28</v>
      </c>
      <c r="C15" s="83"/>
      <c r="D15" s="83"/>
      <c r="E15" s="83"/>
      <c r="F15" s="83"/>
      <c r="G15" s="31"/>
      <c r="H15" s="86" t="s">
        <v>26</v>
      </c>
      <c r="I15" s="28"/>
      <c r="J15" s="86" t="s">
        <v>27</v>
      </c>
      <c r="K15" s="31"/>
      <c r="L15" s="83" t="s">
        <v>29</v>
      </c>
      <c r="M15" s="83"/>
      <c r="N15" s="31"/>
      <c r="O15" s="86" t="s">
        <v>30</v>
      </c>
      <c r="P15" s="31"/>
      <c r="Q15" s="86" t="s">
        <v>31</v>
      </c>
      <c r="R15" s="31"/>
      <c r="S15" s="86" t="s">
        <v>32</v>
      </c>
    </row>
    <row r="16" spans="1:20" ht="16.5" customHeight="1" x14ac:dyDescent="0.2">
      <c r="B16" s="83"/>
      <c r="C16" s="83"/>
      <c r="D16" s="83"/>
      <c r="E16" s="83"/>
      <c r="F16" s="83"/>
      <c r="G16" s="31"/>
      <c r="H16" s="86"/>
      <c r="I16" s="28"/>
      <c r="J16" s="86"/>
      <c r="K16" s="31"/>
      <c r="L16" s="83"/>
      <c r="M16" s="83"/>
      <c r="N16" s="31"/>
      <c r="O16" s="86"/>
      <c r="P16" s="31"/>
      <c r="Q16" s="86"/>
      <c r="R16" s="31"/>
      <c r="S16" s="86"/>
    </row>
    <row r="17" spans="1:19" ht="16.5" customHeight="1" x14ac:dyDescent="0.2">
      <c r="A17" s="15" t="s">
        <v>3</v>
      </c>
      <c r="B17" s="1" t="s">
        <v>0</v>
      </c>
      <c r="C17" s="1"/>
      <c r="D17" s="1"/>
      <c r="E17" s="1"/>
      <c r="F17" s="1"/>
      <c r="H17" s="1"/>
      <c r="J17" s="1"/>
      <c r="L17" s="1"/>
      <c r="M17" s="1"/>
      <c r="O17" s="2"/>
      <c r="Q17" s="2"/>
      <c r="S17" s="3"/>
    </row>
    <row r="18" spans="1:19" ht="16.5" customHeight="1" x14ac:dyDescent="0.2">
      <c r="A18" s="16"/>
      <c r="B18" s="4"/>
      <c r="C18" s="4"/>
      <c r="D18" s="4"/>
      <c r="E18" s="4"/>
      <c r="F18" s="4"/>
      <c r="L18" s="4"/>
      <c r="M18" s="4"/>
      <c r="S18" s="5"/>
    </row>
    <row r="19" spans="1:19" ht="16.5" customHeight="1" x14ac:dyDescent="0.2">
      <c r="A19" s="16"/>
      <c r="S19" s="5"/>
    </row>
    <row r="20" spans="1:19" ht="16.5" customHeight="1" x14ac:dyDescent="0.2">
      <c r="A20" s="15" t="s">
        <v>18</v>
      </c>
      <c r="B20" s="1"/>
      <c r="C20" s="1"/>
      <c r="D20" s="1"/>
      <c r="E20" s="1"/>
      <c r="F20" s="1"/>
      <c r="H20" s="1"/>
      <c r="J20" s="1"/>
      <c r="L20" s="1"/>
      <c r="M20" s="1"/>
      <c r="O20" s="2"/>
      <c r="Q20" s="2"/>
      <c r="S20" s="3"/>
    </row>
    <row r="21" spans="1:19" ht="16.5" customHeight="1" x14ac:dyDescent="0.2">
      <c r="A21" s="17"/>
      <c r="B21" s="4"/>
      <c r="C21" s="4"/>
      <c r="D21" s="4"/>
      <c r="E21" s="4"/>
      <c r="F21" s="4"/>
      <c r="L21" s="4"/>
      <c r="M21" s="4"/>
      <c r="S21" s="5"/>
    </row>
    <row r="22" spans="1:19" ht="16.5" customHeight="1" x14ac:dyDescent="0.2">
      <c r="A22" s="17"/>
      <c r="S22" s="5"/>
    </row>
    <row r="23" spans="1:19" ht="16.5" customHeight="1" x14ac:dyDescent="0.2">
      <c r="A23" s="17">
        <v>2</v>
      </c>
      <c r="B23" s="1"/>
      <c r="C23" s="1"/>
      <c r="D23" s="1"/>
      <c r="E23" s="1"/>
      <c r="F23" s="1"/>
      <c r="H23" s="1"/>
      <c r="J23" s="1"/>
      <c r="L23" s="1"/>
      <c r="M23" s="1"/>
      <c r="O23" s="2"/>
      <c r="Q23" s="2"/>
      <c r="S23" s="3"/>
    </row>
    <row r="24" spans="1:19" ht="16.5" customHeight="1" x14ac:dyDescent="0.2">
      <c r="A24" s="17" t="s">
        <v>0</v>
      </c>
      <c r="B24" s="4"/>
      <c r="C24" s="4"/>
      <c r="D24" s="4"/>
      <c r="E24" s="4"/>
      <c r="F24" s="4"/>
      <c r="L24" s="4"/>
      <c r="M24" s="4"/>
      <c r="S24" s="5"/>
    </row>
    <row r="25" spans="1:19" ht="16.5" customHeight="1" x14ac:dyDescent="0.2">
      <c r="A25" s="17"/>
      <c r="S25" s="5"/>
    </row>
    <row r="26" spans="1:19" ht="16.5" customHeight="1" x14ac:dyDescent="0.2">
      <c r="A26" s="17">
        <v>3</v>
      </c>
      <c r="B26" s="1"/>
      <c r="C26" s="1"/>
      <c r="D26" s="1"/>
      <c r="E26" s="1"/>
      <c r="F26" s="1"/>
      <c r="H26" s="1"/>
      <c r="J26" s="1"/>
      <c r="L26" s="1"/>
      <c r="M26" s="1"/>
      <c r="O26" s="2"/>
      <c r="Q26" s="2"/>
      <c r="S26" s="3"/>
    </row>
    <row r="27" spans="1:19" ht="16.5" customHeight="1" x14ac:dyDescent="0.2">
      <c r="A27" s="17"/>
      <c r="B27" s="4"/>
      <c r="C27" s="4"/>
      <c r="D27" s="4"/>
      <c r="E27" s="4"/>
      <c r="F27" s="4"/>
      <c r="L27" s="4"/>
      <c r="M27" s="4"/>
      <c r="S27" s="5"/>
    </row>
    <row r="28" spans="1:19" ht="16.5" customHeight="1" x14ac:dyDescent="0.2">
      <c r="A28" s="17"/>
      <c r="S28" s="5"/>
    </row>
    <row r="29" spans="1:19" ht="16.5" customHeight="1" x14ac:dyDescent="0.2">
      <c r="A29" s="17">
        <v>4</v>
      </c>
      <c r="B29" s="1"/>
      <c r="C29" s="1"/>
      <c r="D29" s="1"/>
      <c r="E29" s="1"/>
      <c r="F29" s="1"/>
      <c r="H29" s="1"/>
      <c r="J29" s="1"/>
      <c r="L29" s="1"/>
      <c r="M29" s="1"/>
      <c r="O29" s="2"/>
      <c r="Q29" s="2"/>
      <c r="S29" s="3"/>
    </row>
    <row r="30" spans="1:19" ht="16.5" customHeight="1" x14ac:dyDescent="0.2">
      <c r="A30" s="17"/>
      <c r="B30" s="4"/>
      <c r="C30" s="4"/>
      <c r="D30" s="4"/>
      <c r="E30" s="4"/>
      <c r="F30" s="4"/>
      <c r="L30" s="4"/>
      <c r="M30" s="4"/>
      <c r="S30" s="5"/>
    </row>
    <row r="31" spans="1:19" ht="16.5" customHeight="1" x14ac:dyDescent="0.2">
      <c r="A31" s="17"/>
      <c r="S31" s="5"/>
    </row>
    <row r="32" spans="1:19" ht="16.5" customHeight="1" x14ac:dyDescent="0.2">
      <c r="A32" s="17">
        <v>5</v>
      </c>
      <c r="B32" s="1"/>
      <c r="C32" s="1"/>
      <c r="D32" s="1"/>
      <c r="E32" s="1"/>
      <c r="F32" s="1"/>
      <c r="H32" s="1"/>
      <c r="J32" s="1"/>
      <c r="L32" s="1"/>
      <c r="M32" s="1"/>
      <c r="O32" s="2"/>
      <c r="Q32" s="2"/>
      <c r="S32" s="3"/>
    </row>
    <row r="33" spans="1:19" ht="16.5" customHeight="1" x14ac:dyDescent="0.2">
      <c r="A33" s="17"/>
      <c r="B33" s="4"/>
      <c r="C33" s="4"/>
      <c r="D33" s="4"/>
      <c r="E33" s="4"/>
      <c r="F33" s="4"/>
      <c r="L33" s="4"/>
      <c r="M33" s="4"/>
      <c r="S33" s="5"/>
    </row>
    <row r="34" spans="1:19" ht="16.5" customHeight="1" x14ac:dyDescent="0.2">
      <c r="A34" s="17"/>
      <c r="S34" s="5"/>
    </row>
    <row r="35" spans="1:19" ht="16.5" customHeight="1" x14ac:dyDescent="0.2">
      <c r="A35" s="17">
        <v>6</v>
      </c>
      <c r="B35" s="1"/>
      <c r="C35" s="1"/>
      <c r="D35" s="1"/>
      <c r="E35" s="1"/>
      <c r="F35" s="1"/>
      <c r="H35" s="1"/>
      <c r="J35" s="1"/>
      <c r="L35" s="1"/>
      <c r="M35" s="1"/>
      <c r="O35" s="2"/>
      <c r="Q35" s="2"/>
      <c r="S35" s="3"/>
    </row>
    <row r="36" spans="1:19" ht="16.5" customHeight="1" x14ac:dyDescent="0.2">
      <c r="A36" s="17"/>
      <c r="B36" s="4"/>
      <c r="C36" s="4"/>
      <c r="D36" s="4"/>
      <c r="E36" s="4"/>
      <c r="F36" s="4"/>
      <c r="L36" s="4"/>
      <c r="M36" s="4"/>
      <c r="S36" s="5"/>
    </row>
    <row r="37" spans="1:19" ht="16.5" customHeight="1" x14ac:dyDescent="0.2">
      <c r="A37" s="17"/>
      <c r="S37" s="5"/>
    </row>
    <row r="38" spans="1:19" ht="16.5" customHeight="1" x14ac:dyDescent="0.2">
      <c r="A38" s="17">
        <v>7</v>
      </c>
      <c r="B38" s="1"/>
      <c r="C38" s="1"/>
      <c r="D38" s="1"/>
      <c r="E38" s="1"/>
      <c r="F38" s="1"/>
      <c r="H38" s="1"/>
      <c r="J38" s="1"/>
      <c r="L38" s="1"/>
      <c r="M38" s="1"/>
      <c r="O38" s="2"/>
      <c r="Q38" s="2"/>
      <c r="S38" s="3"/>
    </row>
    <row r="39" spans="1:19" ht="16.5" customHeight="1" x14ac:dyDescent="0.2">
      <c r="A39" s="17"/>
      <c r="B39" s="4"/>
      <c r="C39" s="4"/>
      <c r="D39" s="4"/>
      <c r="E39" s="4"/>
      <c r="F39" s="4"/>
      <c r="L39" s="4"/>
      <c r="M39" s="4"/>
      <c r="S39" s="5"/>
    </row>
    <row r="40" spans="1:19" ht="16.5" customHeight="1" x14ac:dyDescent="0.2">
      <c r="A40" s="17"/>
      <c r="S40" s="5"/>
    </row>
    <row r="41" spans="1:19" ht="16.5" customHeight="1" x14ac:dyDescent="0.2">
      <c r="A41" s="17">
        <v>8</v>
      </c>
      <c r="B41" s="1"/>
      <c r="C41" s="1"/>
      <c r="D41" s="1"/>
      <c r="E41" s="1"/>
      <c r="F41" s="1"/>
      <c r="H41" s="1"/>
      <c r="J41" s="1"/>
      <c r="L41" s="1"/>
      <c r="M41" s="1"/>
      <c r="O41" s="2"/>
      <c r="Q41" s="2"/>
      <c r="S41" s="3"/>
    </row>
    <row r="42" spans="1:19" ht="16.5" customHeight="1" x14ac:dyDescent="0.2">
      <c r="A42" s="17"/>
      <c r="B42" s="4"/>
      <c r="C42" s="4"/>
      <c r="D42" s="4"/>
      <c r="E42" s="4"/>
      <c r="F42" s="4"/>
      <c r="L42" s="4"/>
      <c r="M42" s="4"/>
      <c r="S42" s="5"/>
    </row>
    <row r="43" spans="1:19" ht="16.5" customHeight="1" x14ac:dyDescent="0.2">
      <c r="A43" s="17" t="s">
        <v>0</v>
      </c>
      <c r="S43" s="5"/>
    </row>
    <row r="44" spans="1:19" ht="16.5" customHeight="1" x14ac:dyDescent="0.2">
      <c r="A44" s="17" t="s">
        <v>4</v>
      </c>
      <c r="B44" s="1"/>
      <c r="C44" s="1"/>
      <c r="D44" s="1"/>
      <c r="E44" s="1"/>
      <c r="F44" s="1"/>
      <c r="H44" s="1"/>
      <c r="J44" s="1"/>
      <c r="L44" s="1"/>
      <c r="M44" s="1"/>
      <c r="O44" s="2"/>
      <c r="Q44" s="2"/>
      <c r="S44" s="3"/>
    </row>
    <row r="45" spans="1:19" ht="16.5" customHeight="1" x14ac:dyDescent="0.2">
      <c r="A45" s="17" t="s">
        <v>0</v>
      </c>
      <c r="B45" s="4"/>
      <c r="C45" s="4"/>
      <c r="D45" s="4"/>
      <c r="E45" s="4"/>
      <c r="F45" s="4"/>
      <c r="L45" s="4"/>
      <c r="M45" s="4"/>
      <c r="S45" s="5"/>
    </row>
    <row r="46" spans="1:19" ht="16.5" customHeight="1" x14ac:dyDescent="0.2">
      <c r="A46" s="17"/>
      <c r="S46" s="5"/>
    </row>
    <row r="47" spans="1:19" ht="16.5" customHeight="1" x14ac:dyDescent="0.2">
      <c r="A47" s="17" t="s">
        <v>5</v>
      </c>
      <c r="B47" s="1"/>
      <c r="C47" s="1"/>
      <c r="D47" s="1"/>
      <c r="E47" s="1"/>
      <c r="F47" s="1"/>
      <c r="H47" s="1"/>
      <c r="J47" s="1"/>
      <c r="L47" s="1"/>
      <c r="M47" s="1"/>
      <c r="O47" s="2"/>
      <c r="Q47" s="2"/>
      <c r="S47" s="3"/>
    </row>
    <row r="48" spans="1:19" ht="16.5" customHeight="1" x14ac:dyDescent="0.2">
      <c r="A48" s="17"/>
      <c r="B48" s="4"/>
      <c r="C48" s="4"/>
      <c r="D48" s="4"/>
      <c r="E48" s="4"/>
      <c r="F48" s="4"/>
      <c r="L48" s="4"/>
      <c r="M48" s="4"/>
      <c r="S48" s="5"/>
    </row>
    <row r="49" spans="1:19" ht="16.5" customHeight="1" x14ac:dyDescent="0.2">
      <c r="A49" s="17"/>
      <c r="S49" s="5"/>
    </row>
    <row r="50" spans="1:19" ht="16.5" customHeight="1" x14ac:dyDescent="0.2">
      <c r="A50" s="17" t="s">
        <v>6</v>
      </c>
      <c r="B50" s="1"/>
      <c r="C50" s="1"/>
      <c r="D50" s="1"/>
      <c r="E50" s="1"/>
      <c r="F50" s="1"/>
      <c r="H50" s="1"/>
      <c r="J50" s="1"/>
      <c r="L50" s="1"/>
      <c r="M50" s="1"/>
      <c r="O50" s="2"/>
      <c r="Q50" s="2"/>
      <c r="S50" s="3"/>
    </row>
    <row r="51" spans="1:19" ht="16.5" customHeight="1" x14ac:dyDescent="0.2">
      <c r="A51" s="17"/>
      <c r="B51" s="4"/>
      <c r="C51" s="4"/>
      <c r="D51" s="4"/>
      <c r="E51" s="4"/>
      <c r="F51" s="4"/>
      <c r="L51" s="4"/>
      <c r="M51" s="4"/>
      <c r="S51" s="5"/>
    </row>
    <row r="52" spans="1:19" ht="16.5" customHeight="1" x14ac:dyDescent="0.2">
      <c r="A52" s="17"/>
      <c r="S52" s="5"/>
    </row>
    <row r="53" spans="1:19" ht="16.5" customHeight="1" x14ac:dyDescent="0.2">
      <c r="A53" s="17" t="s">
        <v>7</v>
      </c>
      <c r="B53" s="1"/>
      <c r="C53" s="1"/>
      <c r="D53" s="1"/>
      <c r="E53" s="1"/>
      <c r="F53" s="1"/>
      <c r="H53" s="1"/>
      <c r="J53" s="1"/>
      <c r="L53" s="1"/>
      <c r="M53" s="1"/>
      <c r="O53" s="2"/>
      <c r="Q53" s="2"/>
      <c r="S53" s="3"/>
    </row>
    <row r="54" spans="1:19" ht="16.5" customHeight="1" x14ac:dyDescent="0.2">
      <c r="A54" s="17"/>
      <c r="B54" s="4"/>
      <c r="C54" s="4"/>
      <c r="D54" s="4"/>
      <c r="E54" s="4"/>
      <c r="F54" s="4"/>
      <c r="L54" s="4"/>
      <c r="M54" s="4"/>
      <c r="S54" s="5"/>
    </row>
    <row r="55" spans="1:19" ht="16.5" customHeight="1" x14ac:dyDescent="0.2">
      <c r="A55" s="17"/>
      <c r="S55" s="5"/>
    </row>
    <row r="56" spans="1:19" ht="16.5" customHeight="1" x14ac:dyDescent="0.2">
      <c r="A56" s="17" t="s">
        <v>8</v>
      </c>
      <c r="B56" s="1"/>
      <c r="C56" s="1"/>
      <c r="D56" s="1"/>
      <c r="E56" s="1"/>
      <c r="F56" s="1"/>
      <c r="H56" s="1"/>
      <c r="J56" s="1"/>
      <c r="L56" s="1"/>
      <c r="M56" s="1"/>
      <c r="O56" s="2"/>
      <c r="Q56" s="2"/>
      <c r="S56" s="3"/>
    </row>
    <row r="57" spans="1:19" ht="16.5" customHeight="1" x14ac:dyDescent="0.2">
      <c r="A57" s="17"/>
      <c r="B57" s="4"/>
      <c r="C57" s="4"/>
      <c r="D57" s="4"/>
      <c r="E57" s="4"/>
      <c r="F57" s="4"/>
      <c r="L57" s="4"/>
      <c r="M57" s="4"/>
      <c r="S57" s="5"/>
    </row>
    <row r="58" spans="1:19" ht="16.5" customHeight="1" x14ac:dyDescent="0.2">
      <c r="A58" s="17"/>
      <c r="S58" s="5"/>
    </row>
    <row r="59" spans="1:19" ht="16.5" customHeight="1" x14ac:dyDescent="0.2">
      <c r="A59" s="17" t="s">
        <v>9</v>
      </c>
      <c r="B59" s="1"/>
      <c r="C59" s="1"/>
      <c r="D59" s="1"/>
      <c r="E59" s="1"/>
      <c r="F59" s="1"/>
      <c r="H59" s="1"/>
      <c r="J59" s="1"/>
      <c r="L59" s="1"/>
      <c r="M59" s="1"/>
      <c r="O59" s="2"/>
      <c r="Q59" s="2"/>
      <c r="S59" s="3"/>
    </row>
    <row r="60" spans="1:19" ht="16.5" customHeight="1" x14ac:dyDescent="0.2">
      <c r="A60" s="17"/>
      <c r="B60" s="4"/>
      <c r="C60" s="4"/>
      <c r="D60" s="4"/>
      <c r="E60" s="4"/>
      <c r="F60" s="4"/>
      <c r="L60" s="4"/>
      <c r="M60" s="4"/>
      <c r="S60" s="5"/>
    </row>
    <row r="61" spans="1:19" ht="16.5" customHeight="1" x14ac:dyDescent="0.2">
      <c r="A61" s="17"/>
      <c r="S61" s="5"/>
    </row>
    <row r="62" spans="1:19" ht="16.5" customHeight="1" x14ac:dyDescent="0.2">
      <c r="A62" s="17" t="s">
        <v>10</v>
      </c>
      <c r="B62" s="1"/>
      <c r="C62" s="1"/>
      <c r="D62" s="1"/>
      <c r="E62" s="1"/>
      <c r="F62" s="1"/>
      <c r="H62" s="1"/>
      <c r="J62" s="1"/>
      <c r="L62" s="1"/>
      <c r="M62" s="1"/>
      <c r="O62" s="2"/>
      <c r="Q62" s="2"/>
      <c r="S62" s="3"/>
    </row>
    <row r="63" spans="1:19" ht="16.5" customHeight="1" x14ac:dyDescent="0.2">
      <c r="A63" s="17"/>
      <c r="B63" s="4"/>
      <c r="C63" s="4"/>
      <c r="D63" s="4"/>
      <c r="E63" s="4"/>
      <c r="F63" s="4"/>
      <c r="L63" s="4"/>
      <c r="M63" s="4"/>
      <c r="S63" s="5"/>
    </row>
    <row r="64" spans="1:19" ht="16.5" customHeight="1" x14ac:dyDescent="0.2">
      <c r="A64" s="17"/>
      <c r="S64" s="5"/>
    </row>
    <row r="65" spans="1:20" ht="16.5" customHeight="1" x14ac:dyDescent="0.2">
      <c r="A65" s="17" t="s">
        <v>11</v>
      </c>
      <c r="B65" s="1"/>
      <c r="C65" s="1"/>
      <c r="D65" s="1"/>
      <c r="E65" s="1"/>
      <c r="F65" s="1"/>
      <c r="H65" s="1"/>
      <c r="J65" s="1"/>
      <c r="L65" s="1"/>
      <c r="M65" s="1"/>
      <c r="O65" s="2"/>
      <c r="Q65" s="2"/>
      <c r="S65" s="3"/>
    </row>
    <row r="66" spans="1:20" ht="16.5" customHeight="1" x14ac:dyDescent="0.2">
      <c r="A66" s="17"/>
      <c r="B66" s="4"/>
      <c r="C66" s="4"/>
      <c r="D66" s="4"/>
      <c r="E66" s="4"/>
      <c r="F66" s="4"/>
      <c r="L66" s="4"/>
      <c r="M66" s="4"/>
      <c r="S66" s="5"/>
    </row>
    <row r="67" spans="1:20" ht="16.5" customHeight="1" x14ac:dyDescent="0.2">
      <c r="A67" s="17"/>
      <c r="S67" s="5"/>
    </row>
    <row r="68" spans="1:20" ht="16.5" customHeight="1" x14ac:dyDescent="0.2">
      <c r="A68" s="17" t="s">
        <v>12</v>
      </c>
      <c r="B68" s="1"/>
      <c r="C68" s="1"/>
      <c r="D68" s="1"/>
      <c r="E68" s="1"/>
      <c r="F68" s="1"/>
      <c r="H68" s="1"/>
      <c r="J68" s="1"/>
      <c r="L68" s="1"/>
      <c r="M68" s="1"/>
      <c r="O68" s="2"/>
      <c r="Q68" s="2"/>
      <c r="S68" s="3"/>
    </row>
    <row r="69" spans="1:20" ht="16.5" customHeight="1" x14ac:dyDescent="0.2">
      <c r="A69" s="17"/>
      <c r="B69" s="4"/>
      <c r="C69" s="4"/>
      <c r="D69" s="4"/>
      <c r="E69" s="4"/>
      <c r="F69" s="4"/>
      <c r="L69" s="4"/>
      <c r="M69" s="4"/>
      <c r="S69" s="5"/>
    </row>
    <row r="70" spans="1:20" ht="16.5" customHeight="1" x14ac:dyDescent="0.2">
      <c r="A70" s="17"/>
      <c r="S70" s="5"/>
    </row>
    <row r="71" spans="1:20" ht="16.5" customHeight="1" x14ac:dyDescent="0.2">
      <c r="A71" s="17" t="s">
        <v>13</v>
      </c>
      <c r="B71" s="1"/>
      <c r="C71" s="1"/>
      <c r="D71" s="1"/>
      <c r="E71" s="1"/>
      <c r="F71" s="1"/>
      <c r="H71" s="1"/>
      <c r="J71" s="1"/>
      <c r="L71" s="1"/>
      <c r="M71" s="1"/>
      <c r="O71" s="2"/>
      <c r="Q71" s="2"/>
      <c r="S71" s="3"/>
    </row>
    <row r="72" spans="1:20" ht="16.5" customHeight="1" x14ac:dyDescent="0.2">
      <c r="A72" s="17"/>
      <c r="B72" s="4"/>
      <c r="C72" s="4"/>
      <c r="D72" s="4"/>
      <c r="E72" s="4"/>
      <c r="F72" s="4"/>
      <c r="L72" s="4"/>
      <c r="M72" s="4"/>
      <c r="S72" s="5"/>
    </row>
    <row r="73" spans="1:20" ht="16.5" customHeight="1" x14ac:dyDescent="0.2">
      <c r="A73" s="17"/>
      <c r="S73" s="5"/>
    </row>
    <row r="74" spans="1:20" ht="16.5" customHeight="1" x14ac:dyDescent="0.2">
      <c r="A74" s="7"/>
      <c r="B74" s="94" t="s">
        <v>37</v>
      </c>
      <c r="C74" s="95"/>
      <c r="D74" s="95"/>
      <c r="E74" s="95"/>
      <c r="F74" s="95"/>
      <c r="G74" s="95"/>
      <c r="H74" s="95"/>
      <c r="I74" s="33"/>
      <c r="J74" s="96" t="s">
        <v>38</v>
      </c>
      <c r="K74" s="97"/>
      <c r="L74" s="97"/>
      <c r="M74" s="97"/>
      <c r="N74" s="97"/>
      <c r="O74" s="97"/>
      <c r="P74" s="97"/>
      <c r="Q74" s="97"/>
      <c r="R74" s="97"/>
      <c r="S74" s="97"/>
    </row>
    <row r="75" spans="1:20" ht="16.5" customHeight="1" x14ac:dyDescent="0.2">
      <c r="A75" s="7"/>
      <c r="B75" s="94"/>
      <c r="C75" s="95"/>
      <c r="D75" s="95"/>
      <c r="E75" s="95"/>
      <c r="F75" s="95"/>
      <c r="G75" s="95"/>
      <c r="H75" s="95"/>
      <c r="I75" s="33"/>
      <c r="J75" s="34" t="s">
        <v>39</v>
      </c>
      <c r="K75" s="35"/>
      <c r="L75" s="35"/>
      <c r="M75" s="35"/>
      <c r="N75" s="35"/>
      <c r="O75" s="35"/>
      <c r="P75" s="35"/>
      <c r="Q75" s="35"/>
      <c r="R75" s="35"/>
      <c r="S75" s="35"/>
    </row>
    <row r="76" spans="1:20" ht="16.5" customHeight="1" x14ac:dyDescent="0.2">
      <c r="A76" s="7"/>
      <c r="B76" s="95"/>
      <c r="C76" s="95"/>
      <c r="D76" s="95"/>
      <c r="E76" s="95"/>
      <c r="F76" s="95"/>
      <c r="G76" s="95"/>
      <c r="H76" s="95"/>
      <c r="I76" s="33"/>
      <c r="J76" s="36" t="s">
        <v>40</v>
      </c>
      <c r="K76" s="36"/>
      <c r="L76" s="36"/>
      <c r="M76" s="36"/>
      <c r="N76" s="36"/>
      <c r="O76" s="36"/>
      <c r="P76" s="36"/>
      <c r="Q76" s="36"/>
      <c r="R76" s="36"/>
      <c r="S76" s="37"/>
    </row>
    <row r="77" spans="1:20" ht="16.5" customHeight="1" x14ac:dyDescent="0.2">
      <c r="A77" s="7"/>
      <c r="B77" s="95"/>
      <c r="C77" s="95"/>
      <c r="D77" s="95"/>
      <c r="E77" s="95"/>
      <c r="F77" s="95"/>
      <c r="G77" s="95"/>
      <c r="H77" s="95"/>
      <c r="I77" s="33"/>
      <c r="J77" s="36" t="s">
        <v>41</v>
      </c>
      <c r="K77" s="36"/>
      <c r="L77" s="36"/>
      <c r="M77" s="36"/>
      <c r="N77" s="36"/>
      <c r="O77" s="36"/>
      <c r="P77" s="36"/>
      <c r="Q77" s="36"/>
      <c r="R77" s="36"/>
      <c r="S77" s="37"/>
      <c r="T77" s="32">
        <f>SUM(S76:S77)</f>
        <v>0</v>
      </c>
    </row>
    <row r="78" spans="1:20" ht="16.5" customHeight="1" x14ac:dyDescent="0.2">
      <c r="A78" s="7"/>
      <c r="B78" s="95"/>
      <c r="C78" s="95"/>
      <c r="D78" s="95"/>
      <c r="E78" s="95"/>
      <c r="F78" s="95"/>
      <c r="G78" s="95"/>
      <c r="H78" s="95"/>
      <c r="I78" s="33"/>
      <c r="J78" s="38" t="s">
        <v>42</v>
      </c>
      <c r="K78" s="36"/>
      <c r="L78" s="39">
        <v>0.25</v>
      </c>
      <c r="M78" s="38" t="s">
        <v>43</v>
      </c>
      <c r="N78" s="36"/>
      <c r="O78" s="40"/>
      <c r="P78" s="36"/>
      <c r="Q78" s="40"/>
      <c r="R78" s="36"/>
      <c r="S78" s="37">
        <f>0.25*S76</f>
        <v>0</v>
      </c>
    </row>
    <row r="79" spans="1:20" ht="16.5" customHeight="1" x14ac:dyDescent="0.2">
      <c r="A79" s="7"/>
      <c r="B79" s="95"/>
      <c r="C79" s="95"/>
      <c r="D79" s="95"/>
      <c r="E79" s="95"/>
      <c r="F79" s="95"/>
      <c r="G79" s="95"/>
      <c r="H79" s="95"/>
      <c r="I79" s="33"/>
      <c r="J79" s="36" t="s">
        <v>42</v>
      </c>
      <c r="K79" s="36"/>
      <c r="L79" s="39">
        <v>0.1</v>
      </c>
      <c r="M79" s="36"/>
      <c r="N79" s="36"/>
      <c r="O79" s="36"/>
      <c r="P79" s="36"/>
      <c r="Q79" s="36"/>
      <c r="R79" s="36"/>
      <c r="S79" s="37">
        <f>0.1*S76</f>
        <v>0</v>
      </c>
    </row>
    <row r="80" spans="1:20" ht="16.5" customHeight="1" x14ac:dyDescent="0.2">
      <c r="A80" s="7"/>
      <c r="B80" s="95"/>
      <c r="C80" s="95"/>
      <c r="D80" s="95"/>
      <c r="E80" s="95"/>
      <c r="F80" s="95"/>
      <c r="G80" s="95"/>
      <c r="H80" s="95"/>
      <c r="I80" s="33"/>
      <c r="J80" s="35" t="s">
        <v>44</v>
      </c>
      <c r="K80" s="35"/>
      <c r="L80" s="35"/>
      <c r="M80" s="35"/>
      <c r="N80" s="35"/>
      <c r="O80" s="41"/>
      <c r="P80" s="35"/>
      <c r="Q80" s="41"/>
      <c r="R80" s="35"/>
      <c r="S80" s="42"/>
    </row>
    <row r="81" spans="1:19" ht="16.5" customHeight="1" x14ac:dyDescent="0.2">
      <c r="A81" s="7"/>
      <c r="B81" s="95"/>
      <c r="C81" s="95"/>
      <c r="D81" s="95"/>
      <c r="E81" s="95"/>
      <c r="F81" s="95"/>
      <c r="G81" s="95"/>
      <c r="H81" s="95"/>
      <c r="I81" s="33"/>
      <c r="J81" s="35" t="s">
        <v>45</v>
      </c>
      <c r="K81" s="35"/>
      <c r="L81" s="35"/>
      <c r="M81" s="35"/>
      <c r="N81" s="35"/>
      <c r="O81" s="35"/>
      <c r="P81" s="35"/>
      <c r="Q81" s="35"/>
      <c r="R81" s="35"/>
      <c r="S81" s="43" t="e">
        <f>S80/S76</f>
        <v>#DIV/0!</v>
      </c>
    </row>
    <row r="82" spans="1:19" ht="16.5" customHeight="1" x14ac:dyDescent="0.2">
      <c r="A82" s="7"/>
      <c r="B82" s="95"/>
      <c r="C82" s="95"/>
      <c r="D82" s="95"/>
      <c r="E82" s="95"/>
      <c r="F82" s="95"/>
      <c r="G82" s="95"/>
      <c r="H82" s="95"/>
      <c r="I82" s="33"/>
      <c r="J82" s="36"/>
      <c r="K82" s="36"/>
      <c r="L82" s="36"/>
      <c r="M82" s="36"/>
      <c r="N82" s="36"/>
      <c r="O82" s="36"/>
      <c r="P82" s="36"/>
      <c r="Q82" s="36"/>
      <c r="R82" s="36"/>
      <c r="S82" s="36"/>
    </row>
    <row r="83" spans="1:19" ht="16.5" customHeight="1" x14ac:dyDescent="0.2">
      <c r="A83" s="7"/>
      <c r="B83" s="95"/>
      <c r="C83" s="95"/>
      <c r="D83" s="95"/>
      <c r="E83" s="95"/>
      <c r="F83" s="95"/>
      <c r="G83" s="95"/>
      <c r="H83" s="95"/>
      <c r="I83" s="33"/>
      <c r="J83" s="34" t="s">
        <v>46</v>
      </c>
      <c r="K83" s="36"/>
      <c r="L83" s="36"/>
      <c r="M83" s="36"/>
      <c r="N83" s="36"/>
      <c r="O83" s="36"/>
      <c r="P83" s="36"/>
      <c r="Q83" s="36"/>
      <c r="R83" s="36"/>
      <c r="S83" s="36"/>
    </row>
    <row r="84" spans="1:19" ht="16.5" customHeight="1" x14ac:dyDescent="0.2">
      <c r="A84" s="7"/>
      <c r="B84" s="95"/>
      <c r="C84" s="95"/>
      <c r="D84" s="95"/>
      <c r="E84" s="95"/>
      <c r="F84" s="95"/>
      <c r="G84" s="95"/>
      <c r="H84" s="95"/>
      <c r="I84" s="33"/>
      <c r="J84" s="38" t="s">
        <v>47</v>
      </c>
      <c r="K84" s="36"/>
      <c r="L84" s="36"/>
      <c r="M84" s="36"/>
      <c r="N84" s="36"/>
      <c r="O84" s="36"/>
      <c r="P84" s="36"/>
      <c r="Q84" s="36"/>
      <c r="R84" s="36"/>
      <c r="S84" s="44">
        <v>0</v>
      </c>
    </row>
    <row r="85" spans="1:19" ht="16.5" customHeight="1" x14ac:dyDescent="0.2">
      <c r="A85" s="7"/>
      <c r="B85" s="95"/>
      <c r="C85" s="95"/>
      <c r="D85" s="95"/>
      <c r="E85" s="95"/>
      <c r="F85" s="95"/>
      <c r="G85" s="95"/>
      <c r="H85" s="95"/>
      <c r="I85" s="33"/>
      <c r="J85" s="38" t="s">
        <v>48</v>
      </c>
      <c r="K85" s="36"/>
      <c r="L85" s="39">
        <v>0.03</v>
      </c>
      <c r="M85" s="36"/>
      <c r="N85" s="36"/>
      <c r="O85" s="36"/>
      <c r="P85" s="36"/>
      <c r="Q85" s="36"/>
      <c r="R85" s="36"/>
      <c r="S85" s="44">
        <f>0.03*S84</f>
        <v>0</v>
      </c>
    </row>
    <row r="86" spans="1:19" ht="16.5" customHeight="1" x14ac:dyDescent="0.2">
      <c r="A86" s="7"/>
      <c r="B86" s="95"/>
      <c r="C86" s="95"/>
      <c r="D86" s="95"/>
      <c r="E86" s="95"/>
      <c r="F86" s="95"/>
      <c r="G86" s="95"/>
      <c r="H86" s="95"/>
      <c r="I86" s="33"/>
      <c r="J86" s="35" t="s">
        <v>44</v>
      </c>
      <c r="K86" s="35"/>
      <c r="L86" s="45"/>
      <c r="M86" s="35"/>
      <c r="N86" s="35"/>
      <c r="O86" s="35"/>
      <c r="P86" s="35"/>
      <c r="Q86" s="35"/>
      <c r="R86" s="35"/>
      <c r="S86" s="46"/>
    </row>
    <row r="87" spans="1:19" ht="16.5" customHeight="1" x14ac:dyDescent="0.2">
      <c r="A87" s="7"/>
      <c r="B87" s="95"/>
      <c r="C87" s="95"/>
      <c r="D87" s="95"/>
      <c r="E87" s="95"/>
      <c r="F87" s="95"/>
      <c r="G87" s="95"/>
      <c r="H87" s="95"/>
      <c r="I87" s="33"/>
      <c r="J87" s="35" t="s">
        <v>49</v>
      </c>
      <c r="K87" s="35"/>
      <c r="L87" s="45"/>
      <c r="M87" s="35"/>
      <c r="N87" s="35"/>
      <c r="O87" s="35"/>
      <c r="P87" s="35"/>
      <c r="Q87" s="35"/>
      <c r="R87" s="35"/>
      <c r="S87" s="43" t="e">
        <f>S86/S84</f>
        <v>#DIV/0!</v>
      </c>
    </row>
    <row r="88" spans="1:19" ht="16.5" customHeight="1" x14ac:dyDescent="0.2">
      <c r="A88" s="7"/>
      <c r="B88" s="95"/>
      <c r="C88" s="95"/>
      <c r="D88" s="95"/>
      <c r="E88" s="95"/>
      <c r="F88" s="95"/>
      <c r="G88" s="95"/>
      <c r="H88" s="95"/>
      <c r="I88" s="33"/>
      <c r="J88" s="47"/>
      <c r="K88" s="48"/>
      <c r="L88" s="49"/>
      <c r="M88" s="48"/>
      <c r="N88" s="36"/>
      <c r="O88" s="36"/>
      <c r="P88" s="36"/>
      <c r="Q88" s="36"/>
      <c r="R88" s="36"/>
      <c r="S88" s="50"/>
    </row>
    <row r="89" spans="1:19" ht="16.5" customHeight="1" x14ac:dyDescent="0.2">
      <c r="A89" s="7"/>
      <c r="B89" s="95"/>
      <c r="C89" s="95"/>
      <c r="D89" s="95"/>
      <c r="E89" s="95"/>
      <c r="F89" s="95"/>
      <c r="G89" s="95"/>
      <c r="H89" s="95"/>
      <c r="I89" s="33"/>
      <c r="J89" s="36" t="s">
        <v>50</v>
      </c>
      <c r="K89" s="36"/>
      <c r="L89" s="36"/>
      <c r="M89" s="36"/>
      <c r="N89" s="36"/>
      <c r="O89" s="40"/>
      <c r="P89" s="36"/>
      <c r="Q89" s="40"/>
      <c r="R89" s="36"/>
      <c r="S89" s="37">
        <f>SUM(S77,S80)</f>
        <v>0</v>
      </c>
    </row>
    <row r="90" spans="1:19" ht="16.5" customHeight="1" x14ac:dyDescent="0.2">
      <c r="A90" s="7"/>
      <c r="B90" s="95"/>
      <c r="C90" s="95"/>
      <c r="D90" s="95"/>
      <c r="E90" s="95"/>
      <c r="F90" s="95"/>
      <c r="G90" s="95"/>
      <c r="H90" s="95"/>
      <c r="I90" s="33"/>
      <c r="J90" s="38" t="s">
        <v>51</v>
      </c>
      <c r="K90" s="36"/>
      <c r="L90" s="36"/>
      <c r="M90" s="36"/>
      <c r="N90" s="36"/>
      <c r="O90" s="36"/>
      <c r="P90" s="36"/>
      <c r="Q90" s="36"/>
      <c r="R90" s="36"/>
      <c r="S90" s="50" t="e">
        <f>S89/L6</f>
        <v>#VALUE!</v>
      </c>
    </row>
    <row r="91" spans="1:19" ht="16.5" customHeight="1" x14ac:dyDescent="0.2">
      <c r="A91" s="7"/>
      <c r="B91" s="95"/>
      <c r="C91" s="95"/>
      <c r="D91" s="95"/>
      <c r="E91" s="95"/>
      <c r="F91" s="95"/>
      <c r="G91" s="95"/>
      <c r="H91" s="95"/>
      <c r="I91" s="33"/>
      <c r="J91" s="36"/>
      <c r="K91" s="36"/>
      <c r="L91" s="36"/>
      <c r="M91" s="36"/>
      <c r="N91" s="36"/>
      <c r="O91" s="36"/>
      <c r="P91" s="36"/>
      <c r="Q91" s="36"/>
      <c r="R91" s="36"/>
      <c r="S91" s="44"/>
    </row>
    <row r="92" spans="1:19" ht="16.5" customHeight="1" x14ac:dyDescent="0.2">
      <c r="A92" s="7"/>
      <c r="B92" s="95"/>
      <c r="C92" s="95"/>
      <c r="D92" s="95"/>
      <c r="E92" s="95"/>
      <c r="F92" s="95"/>
      <c r="G92" s="95"/>
      <c r="H92" s="95"/>
      <c r="I92" s="33"/>
      <c r="J92" s="36" t="s">
        <v>52</v>
      </c>
      <c r="K92" s="36"/>
      <c r="L92" s="36"/>
      <c r="M92" s="98"/>
      <c r="N92" s="99"/>
      <c r="O92" s="99"/>
      <c r="P92" s="99"/>
      <c r="Q92" s="99"/>
      <c r="R92" s="99"/>
      <c r="S92" s="99"/>
    </row>
    <row r="93" spans="1:19" ht="16.5" customHeight="1" x14ac:dyDescent="0.2">
      <c r="A93" s="7"/>
      <c r="B93" s="56"/>
      <c r="C93" s="56"/>
      <c r="D93" s="56"/>
      <c r="E93" s="56"/>
      <c r="F93" s="56"/>
      <c r="G93" s="56"/>
      <c r="H93" s="56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51"/>
    </row>
    <row r="94" spans="1:19" ht="16.5" customHeight="1" x14ac:dyDescent="0.2">
      <c r="A94" s="7"/>
      <c r="B94" s="100" t="s">
        <v>53</v>
      </c>
      <c r="C94" s="100"/>
      <c r="D94" s="100"/>
      <c r="E94" s="100"/>
      <c r="F94" s="100"/>
      <c r="G94" s="100"/>
      <c r="H94" s="100"/>
      <c r="I94" s="33"/>
      <c r="J94" s="52" t="s">
        <v>54</v>
      </c>
      <c r="K94" s="53"/>
      <c r="L94" s="53"/>
      <c r="M94" s="52"/>
      <c r="N94" s="53"/>
      <c r="O94" s="53"/>
      <c r="P94" s="53"/>
      <c r="Q94" s="53"/>
      <c r="R94" s="53"/>
      <c r="S94" s="54">
        <f>Q65+Q68+Q71+Q76+Q79+Q81+Q90</f>
        <v>0</v>
      </c>
    </row>
    <row r="95" spans="1:19" ht="16.5" customHeight="1" x14ac:dyDescent="0.2">
      <c r="A95" s="7"/>
      <c r="B95" s="100"/>
      <c r="C95" s="100"/>
      <c r="D95" s="100"/>
      <c r="E95" s="100"/>
      <c r="F95" s="100"/>
      <c r="G95" s="100"/>
      <c r="H95" s="100"/>
      <c r="I95" s="33"/>
      <c r="J95" s="53" t="s">
        <v>55</v>
      </c>
      <c r="K95" s="53"/>
      <c r="L95" s="53" t="s">
        <v>2</v>
      </c>
      <c r="M95" s="52" t="e">
        <f>S95/S94</f>
        <v>#DIV/0!</v>
      </c>
      <c r="N95" s="53"/>
      <c r="O95" s="53" t="s">
        <v>1</v>
      </c>
      <c r="P95" s="53"/>
      <c r="Q95" s="53"/>
      <c r="R95" s="53"/>
      <c r="S95" s="54">
        <f>Q90</f>
        <v>0</v>
      </c>
    </row>
    <row r="96" spans="1:19" ht="16.5" customHeight="1" x14ac:dyDescent="0.2">
      <c r="A96" s="7"/>
      <c r="B96" s="100"/>
      <c r="C96" s="100"/>
      <c r="D96" s="100"/>
      <c r="E96" s="100"/>
      <c r="F96" s="100"/>
      <c r="G96" s="100"/>
      <c r="H96" s="100"/>
      <c r="I96" s="33"/>
      <c r="J96" s="53" t="s">
        <v>56</v>
      </c>
      <c r="K96" s="53"/>
      <c r="L96" s="53" t="s">
        <v>2</v>
      </c>
      <c r="M96" s="52" t="e">
        <f>S96/S94</f>
        <v>#DIV/0!</v>
      </c>
      <c r="N96" s="53"/>
      <c r="O96" s="53" t="s">
        <v>1</v>
      </c>
      <c r="P96" s="53"/>
      <c r="Q96" s="53"/>
      <c r="R96" s="53"/>
      <c r="S96" s="54">
        <f>Q81</f>
        <v>0</v>
      </c>
    </row>
    <row r="97" spans="1:19" ht="16.5" customHeight="1" x14ac:dyDescent="0.2">
      <c r="A97" s="7"/>
      <c r="B97" s="100"/>
      <c r="C97" s="100"/>
      <c r="D97" s="100"/>
      <c r="E97" s="100"/>
      <c r="F97" s="100"/>
      <c r="G97" s="100"/>
      <c r="H97" s="100"/>
      <c r="I97" s="33"/>
      <c r="J97" s="53" t="s">
        <v>57</v>
      </c>
      <c r="K97" s="53"/>
      <c r="L97" s="53" t="s">
        <v>2</v>
      </c>
      <c r="M97" s="52" t="e">
        <f>S97/S94</f>
        <v>#DIV/0!</v>
      </c>
      <c r="N97" s="53"/>
      <c r="O97" s="53" t="s">
        <v>1</v>
      </c>
      <c r="P97" s="53"/>
      <c r="Q97" s="53"/>
      <c r="R97" s="53"/>
      <c r="S97" s="54">
        <f>Q65</f>
        <v>0</v>
      </c>
    </row>
    <row r="98" spans="1:19" ht="16.5" customHeight="1" x14ac:dyDescent="0.2">
      <c r="A98" s="7"/>
      <c r="B98" s="100"/>
      <c r="C98" s="100"/>
      <c r="D98" s="100"/>
      <c r="E98" s="100"/>
      <c r="F98" s="100"/>
      <c r="G98" s="100"/>
      <c r="H98" s="100"/>
      <c r="I98" s="33"/>
      <c r="J98" s="53" t="s">
        <v>58</v>
      </c>
      <c r="K98" s="53"/>
      <c r="L98" s="53"/>
      <c r="M98" s="53"/>
      <c r="N98" s="53"/>
      <c r="O98" s="53"/>
      <c r="P98" s="53"/>
      <c r="Q98" s="53"/>
      <c r="R98" s="53"/>
      <c r="S98" s="52" t="e">
        <f>(S95+S96+S97)/S94</f>
        <v>#DIV/0!</v>
      </c>
    </row>
    <row r="99" spans="1:19" ht="16.5" customHeight="1" x14ac:dyDescent="0.2">
      <c r="A99" s="7"/>
      <c r="B99" s="100"/>
      <c r="C99" s="100"/>
      <c r="D99" s="100"/>
      <c r="E99" s="100"/>
      <c r="F99" s="100"/>
      <c r="G99" s="100"/>
      <c r="H99" s="100"/>
      <c r="I99" s="33"/>
      <c r="J99" s="53" t="s">
        <v>59</v>
      </c>
      <c r="K99" s="53"/>
      <c r="L99" s="53"/>
      <c r="M99" s="53"/>
      <c r="N99" s="53"/>
      <c r="O99" s="53"/>
      <c r="P99" s="53"/>
      <c r="Q99" s="53"/>
      <c r="R99" s="53"/>
      <c r="S99" s="55">
        <f>S95+S96+S97+S77</f>
        <v>0</v>
      </c>
    </row>
    <row r="100" spans="1:19" ht="16.5" customHeight="1" x14ac:dyDescent="0.2">
      <c r="A100" s="7"/>
      <c r="B100" s="100"/>
      <c r="C100" s="100"/>
      <c r="D100" s="100"/>
      <c r="E100" s="100"/>
      <c r="F100" s="100"/>
      <c r="G100" s="100"/>
      <c r="H100" s="100"/>
      <c r="I100" s="33"/>
      <c r="J100" s="53" t="s">
        <v>60</v>
      </c>
      <c r="K100" s="53"/>
      <c r="L100" s="53"/>
      <c r="M100" s="53"/>
      <c r="N100" s="53"/>
      <c r="O100" s="53"/>
      <c r="P100" s="53"/>
      <c r="Q100" s="53"/>
      <c r="R100" s="53"/>
      <c r="S100" s="52" t="e">
        <f>S99/L6</f>
        <v>#VALUE!</v>
      </c>
    </row>
    <row r="101" spans="1:19" ht="16.5" customHeight="1" x14ac:dyDescent="0.2">
      <c r="A101" s="7"/>
    </row>
    <row r="102" spans="1:19" ht="16.5" customHeight="1" x14ac:dyDescent="0.2">
      <c r="A102" s="7"/>
    </row>
    <row r="103" spans="1:19" ht="16.5" customHeight="1" x14ac:dyDescent="0.2">
      <c r="A103" s="7"/>
    </row>
    <row r="104" spans="1:19" ht="16.5" customHeight="1" x14ac:dyDescent="0.2">
      <c r="A104" s="7"/>
    </row>
    <row r="105" spans="1:19" ht="16.5" customHeight="1" x14ac:dyDescent="0.2">
      <c r="A105" s="7"/>
    </row>
    <row r="106" spans="1:19" ht="16.5" customHeight="1" x14ac:dyDescent="0.2">
      <c r="A106" s="7"/>
    </row>
    <row r="107" spans="1:19" ht="16.5" customHeight="1" x14ac:dyDescent="0.2">
      <c r="A107" s="7"/>
    </row>
    <row r="108" spans="1:19" ht="16.5" customHeight="1" x14ac:dyDescent="0.2">
      <c r="A108" s="7"/>
    </row>
    <row r="109" spans="1:19" ht="16.5" customHeight="1" x14ac:dyDescent="0.2">
      <c r="A109" s="7"/>
    </row>
    <row r="110" spans="1:19" ht="16.5" customHeight="1" x14ac:dyDescent="0.2">
      <c r="A110" s="7"/>
    </row>
    <row r="111" spans="1:19" ht="16.5" customHeight="1" x14ac:dyDescent="0.2">
      <c r="A111" s="7"/>
    </row>
    <row r="112" spans="1:19" ht="16.5" customHeight="1" x14ac:dyDescent="0.2">
      <c r="A112" s="7"/>
    </row>
    <row r="113" spans="1:1" ht="16.5" customHeight="1" x14ac:dyDescent="0.2">
      <c r="A113" s="7"/>
    </row>
    <row r="114" spans="1:1" ht="16.5" customHeight="1" x14ac:dyDescent="0.2">
      <c r="A114" s="7"/>
    </row>
    <row r="115" spans="1:1" ht="16.5" customHeight="1" x14ac:dyDescent="0.2">
      <c r="A115" s="7"/>
    </row>
    <row r="116" spans="1:1" ht="16.5" customHeight="1" x14ac:dyDescent="0.2">
      <c r="A116" s="7"/>
    </row>
    <row r="117" spans="1:1" ht="16.5" customHeight="1" x14ac:dyDescent="0.2">
      <c r="A117" s="7"/>
    </row>
    <row r="118" spans="1:1" ht="16.5" customHeight="1" x14ac:dyDescent="0.2">
      <c r="A118" s="7"/>
    </row>
    <row r="119" spans="1:1" ht="16.5" customHeight="1" x14ac:dyDescent="0.2">
      <c r="A119" s="7"/>
    </row>
    <row r="120" spans="1:1" ht="16.5" customHeight="1" x14ac:dyDescent="0.2">
      <c r="A120" s="7"/>
    </row>
    <row r="121" spans="1:1" ht="16.5" customHeight="1" x14ac:dyDescent="0.2">
      <c r="A121" s="7"/>
    </row>
    <row r="122" spans="1:1" ht="16.5" customHeight="1" x14ac:dyDescent="0.2">
      <c r="A122" s="7"/>
    </row>
    <row r="123" spans="1:1" ht="16.5" customHeight="1" x14ac:dyDescent="0.2">
      <c r="A123" s="7"/>
    </row>
    <row r="124" spans="1:1" ht="16.5" customHeight="1" x14ac:dyDescent="0.2">
      <c r="A124" s="7"/>
    </row>
    <row r="125" spans="1:1" ht="16.5" customHeight="1" x14ac:dyDescent="0.2">
      <c r="A125" s="7"/>
    </row>
    <row r="126" spans="1:1" ht="16.5" customHeight="1" x14ac:dyDescent="0.2">
      <c r="A126" s="7"/>
    </row>
    <row r="127" spans="1:1" ht="16.5" customHeight="1" x14ac:dyDescent="0.2">
      <c r="A127" s="7"/>
    </row>
    <row r="128" spans="1:1" ht="16.5" customHeight="1" x14ac:dyDescent="0.2">
      <c r="A128" s="7"/>
    </row>
    <row r="129" spans="1:1" ht="16.5" customHeight="1" x14ac:dyDescent="0.2">
      <c r="A129" s="7"/>
    </row>
    <row r="130" spans="1:1" ht="16.5" customHeight="1" x14ac:dyDescent="0.2">
      <c r="A130" s="7"/>
    </row>
    <row r="131" spans="1:1" ht="16.5" customHeight="1" x14ac:dyDescent="0.2">
      <c r="A131" s="7"/>
    </row>
    <row r="132" spans="1:1" ht="16.5" customHeight="1" x14ac:dyDescent="0.2">
      <c r="A132" s="7"/>
    </row>
    <row r="133" spans="1:1" ht="16.5" customHeight="1" x14ac:dyDescent="0.2">
      <c r="A133" s="7"/>
    </row>
    <row r="134" spans="1:1" ht="16.5" customHeight="1" x14ac:dyDescent="0.2">
      <c r="A134" s="7"/>
    </row>
    <row r="135" spans="1:1" ht="16.5" customHeight="1" x14ac:dyDescent="0.2">
      <c r="A135" s="7"/>
    </row>
    <row r="136" spans="1:1" ht="16.5" customHeight="1" x14ac:dyDescent="0.2">
      <c r="A136" s="7"/>
    </row>
    <row r="137" spans="1:1" ht="16.5" customHeight="1" x14ac:dyDescent="0.2">
      <c r="A137" s="7"/>
    </row>
    <row r="138" spans="1:1" ht="16.5" customHeight="1" x14ac:dyDescent="0.2">
      <c r="A138" s="7"/>
    </row>
    <row r="139" spans="1:1" ht="16.5" customHeight="1" x14ac:dyDescent="0.2">
      <c r="A139" s="7"/>
    </row>
    <row r="140" spans="1:1" ht="16.5" customHeight="1" x14ac:dyDescent="0.2">
      <c r="A140" s="7"/>
    </row>
    <row r="141" spans="1:1" ht="16.5" customHeight="1" x14ac:dyDescent="0.2">
      <c r="A141" s="7"/>
    </row>
    <row r="142" spans="1:1" ht="16.5" customHeight="1" x14ac:dyDescent="0.2">
      <c r="A142" s="7"/>
    </row>
    <row r="143" spans="1:1" ht="16.5" customHeight="1" x14ac:dyDescent="0.2">
      <c r="A143" s="7"/>
    </row>
    <row r="144" spans="1:1" ht="16.5" customHeight="1" x14ac:dyDescent="0.2">
      <c r="A144" s="7"/>
    </row>
    <row r="145" spans="1:1" ht="16.5" customHeight="1" x14ac:dyDescent="0.2">
      <c r="A145" s="7"/>
    </row>
    <row r="146" spans="1:1" ht="16.5" customHeight="1" x14ac:dyDescent="0.2">
      <c r="A146" s="7"/>
    </row>
    <row r="147" spans="1:1" ht="16.5" customHeight="1" x14ac:dyDescent="0.2">
      <c r="A147" s="7"/>
    </row>
    <row r="148" spans="1:1" ht="16.5" customHeight="1" x14ac:dyDescent="0.2">
      <c r="A148" s="7"/>
    </row>
    <row r="149" spans="1:1" ht="16.5" customHeight="1" x14ac:dyDescent="0.2">
      <c r="A149" s="7"/>
    </row>
    <row r="150" spans="1:1" ht="16.5" customHeight="1" x14ac:dyDescent="0.2">
      <c r="A150" s="7"/>
    </row>
    <row r="151" spans="1:1" ht="16.5" customHeight="1" x14ac:dyDescent="0.2">
      <c r="A151" s="7"/>
    </row>
    <row r="152" spans="1:1" ht="16.5" customHeight="1" x14ac:dyDescent="0.2">
      <c r="A152" s="7"/>
    </row>
    <row r="153" spans="1:1" ht="16.5" customHeight="1" x14ac:dyDescent="0.2">
      <c r="A153" s="7"/>
    </row>
    <row r="154" spans="1:1" ht="16.5" customHeight="1" x14ac:dyDescent="0.2">
      <c r="A154" s="7"/>
    </row>
    <row r="155" spans="1:1" ht="16.5" customHeight="1" x14ac:dyDescent="0.2">
      <c r="A155" s="7"/>
    </row>
    <row r="156" spans="1:1" ht="16.5" customHeight="1" x14ac:dyDescent="0.2">
      <c r="A156" s="7"/>
    </row>
    <row r="157" spans="1:1" ht="16.5" customHeight="1" x14ac:dyDescent="0.2">
      <c r="A157" s="7"/>
    </row>
    <row r="158" spans="1:1" ht="16.5" customHeight="1" x14ac:dyDescent="0.2">
      <c r="A158" s="7"/>
    </row>
    <row r="159" spans="1:1" ht="16.5" customHeight="1" x14ac:dyDescent="0.2">
      <c r="A159" s="7"/>
    </row>
    <row r="160" spans="1:1" ht="16.5" customHeight="1" x14ac:dyDescent="0.2">
      <c r="A160" s="7"/>
    </row>
    <row r="161" spans="1:1" ht="16.5" customHeight="1" x14ac:dyDescent="0.2">
      <c r="A161" s="7"/>
    </row>
    <row r="162" spans="1:1" ht="16.5" customHeight="1" x14ac:dyDescent="0.2">
      <c r="A162" s="7"/>
    </row>
    <row r="163" spans="1:1" ht="16.5" customHeight="1" x14ac:dyDescent="0.2">
      <c r="A163" s="7"/>
    </row>
    <row r="164" spans="1:1" ht="16.5" customHeight="1" x14ac:dyDescent="0.2">
      <c r="A164" s="7"/>
    </row>
    <row r="165" spans="1:1" ht="16.5" customHeight="1" x14ac:dyDescent="0.2">
      <c r="A165" s="7"/>
    </row>
    <row r="166" spans="1:1" ht="16.5" customHeight="1" x14ac:dyDescent="0.2">
      <c r="A166" s="7"/>
    </row>
    <row r="167" spans="1:1" ht="16.5" customHeight="1" x14ac:dyDescent="0.2">
      <c r="A167" s="7"/>
    </row>
    <row r="168" spans="1:1" ht="16.5" customHeight="1" x14ac:dyDescent="0.2">
      <c r="A168" s="7"/>
    </row>
    <row r="169" spans="1:1" ht="16.5" customHeight="1" x14ac:dyDescent="0.2">
      <c r="A169" s="7"/>
    </row>
    <row r="170" spans="1:1" ht="16.5" customHeight="1" x14ac:dyDescent="0.2">
      <c r="A170" s="7"/>
    </row>
    <row r="171" spans="1:1" ht="16.5" customHeight="1" x14ac:dyDescent="0.2">
      <c r="A171" s="7"/>
    </row>
    <row r="172" spans="1:1" ht="16.5" customHeight="1" x14ac:dyDescent="0.2">
      <c r="A172" s="7"/>
    </row>
    <row r="173" spans="1:1" ht="16.5" customHeight="1" x14ac:dyDescent="0.2">
      <c r="A173" s="7"/>
    </row>
    <row r="174" spans="1:1" ht="16.5" customHeight="1" x14ac:dyDescent="0.2">
      <c r="A174" s="7"/>
    </row>
    <row r="175" spans="1:1" ht="16.5" customHeight="1" x14ac:dyDescent="0.2">
      <c r="A175" s="7"/>
    </row>
    <row r="176" spans="1:1" ht="16.5" customHeight="1" x14ac:dyDescent="0.2">
      <c r="A176" s="7"/>
    </row>
    <row r="177" spans="1:1" ht="16.5" customHeight="1" x14ac:dyDescent="0.2">
      <c r="A177" s="7"/>
    </row>
    <row r="178" spans="1:1" ht="16.5" customHeight="1" x14ac:dyDescent="0.2">
      <c r="A178" s="7"/>
    </row>
    <row r="179" spans="1:1" ht="16.5" customHeight="1" x14ac:dyDescent="0.2">
      <c r="A179" s="7"/>
    </row>
    <row r="180" spans="1:1" ht="16.5" customHeight="1" x14ac:dyDescent="0.2">
      <c r="A180" s="7"/>
    </row>
    <row r="181" spans="1:1" ht="16.5" customHeight="1" x14ac:dyDescent="0.2">
      <c r="A181" s="7"/>
    </row>
    <row r="182" spans="1:1" ht="16.5" customHeight="1" x14ac:dyDescent="0.2">
      <c r="A182" s="7"/>
    </row>
    <row r="183" spans="1:1" ht="16.5" customHeight="1" x14ac:dyDescent="0.2">
      <c r="A183" s="7"/>
    </row>
    <row r="184" spans="1:1" ht="16.5" customHeight="1" x14ac:dyDescent="0.2">
      <c r="A184" s="7"/>
    </row>
    <row r="185" spans="1:1" ht="16.5" customHeight="1" x14ac:dyDescent="0.2">
      <c r="A185" s="7"/>
    </row>
    <row r="186" spans="1:1" ht="16.5" customHeight="1" x14ac:dyDescent="0.2">
      <c r="A186" s="7"/>
    </row>
    <row r="187" spans="1:1" ht="16.5" customHeight="1" x14ac:dyDescent="0.2">
      <c r="A187" s="7"/>
    </row>
    <row r="188" spans="1:1" ht="16.5" customHeight="1" x14ac:dyDescent="0.2">
      <c r="A188" s="7"/>
    </row>
    <row r="189" spans="1:1" ht="16.5" customHeight="1" x14ac:dyDescent="0.2">
      <c r="A189" s="7"/>
    </row>
    <row r="190" spans="1:1" ht="16.5" customHeight="1" x14ac:dyDescent="0.2">
      <c r="A190" s="7"/>
    </row>
    <row r="191" spans="1:1" ht="16.5" customHeight="1" x14ac:dyDescent="0.2">
      <c r="A191" s="7"/>
    </row>
    <row r="192" spans="1:1" ht="16.5" customHeight="1" x14ac:dyDescent="0.2">
      <c r="A192" s="7"/>
    </row>
    <row r="193" spans="1:1" ht="16.5" customHeight="1" x14ac:dyDescent="0.2">
      <c r="A193" s="7"/>
    </row>
    <row r="194" spans="1:1" ht="16.5" customHeight="1" x14ac:dyDescent="0.2">
      <c r="A194" s="7"/>
    </row>
    <row r="195" spans="1:1" ht="16.5" customHeight="1" x14ac:dyDescent="0.2">
      <c r="A195" s="7"/>
    </row>
    <row r="196" spans="1:1" ht="16.5" customHeight="1" x14ac:dyDescent="0.2">
      <c r="A196" s="7"/>
    </row>
    <row r="197" spans="1:1" ht="16.5" customHeight="1" x14ac:dyDescent="0.2">
      <c r="A197" s="7"/>
    </row>
    <row r="198" spans="1:1" ht="16.5" customHeight="1" x14ac:dyDescent="0.2">
      <c r="A198" s="7"/>
    </row>
    <row r="199" spans="1:1" ht="16.5" customHeight="1" x14ac:dyDescent="0.2">
      <c r="A199" s="7"/>
    </row>
    <row r="200" spans="1:1" ht="16.5" customHeight="1" x14ac:dyDescent="0.2">
      <c r="A200" s="7"/>
    </row>
    <row r="201" spans="1:1" ht="16.5" customHeight="1" x14ac:dyDescent="0.2">
      <c r="A201" s="7"/>
    </row>
    <row r="202" spans="1:1" ht="16.5" customHeight="1" x14ac:dyDescent="0.2">
      <c r="A202" s="7"/>
    </row>
    <row r="203" spans="1:1" ht="16.5" customHeight="1" x14ac:dyDescent="0.2">
      <c r="A203" s="7"/>
    </row>
    <row r="204" spans="1:1" ht="16.5" customHeight="1" x14ac:dyDescent="0.2">
      <c r="A204" s="7"/>
    </row>
    <row r="205" spans="1:1" ht="16.5" customHeight="1" x14ac:dyDescent="0.2">
      <c r="A205" s="7"/>
    </row>
    <row r="206" spans="1:1" ht="16.5" customHeight="1" x14ac:dyDescent="0.2">
      <c r="A206" s="7"/>
    </row>
    <row r="207" spans="1:1" ht="16.5" customHeight="1" x14ac:dyDescent="0.2">
      <c r="A207" s="7"/>
    </row>
    <row r="208" spans="1:1" ht="16.5" customHeight="1" x14ac:dyDescent="0.2">
      <c r="A208" s="7"/>
    </row>
    <row r="209" spans="1:1" ht="16.5" customHeight="1" x14ac:dyDescent="0.2">
      <c r="A209" s="7"/>
    </row>
    <row r="210" spans="1:1" ht="16.5" customHeight="1" x14ac:dyDescent="0.2">
      <c r="A210" s="7"/>
    </row>
    <row r="211" spans="1:1" ht="16.5" customHeight="1" x14ac:dyDescent="0.2">
      <c r="A211" s="7"/>
    </row>
    <row r="212" spans="1:1" ht="16.5" customHeight="1" x14ac:dyDescent="0.2">
      <c r="A212" s="7"/>
    </row>
    <row r="213" spans="1:1" ht="16.5" customHeight="1" x14ac:dyDescent="0.2">
      <c r="A213" s="7"/>
    </row>
    <row r="214" spans="1:1" ht="16.5" customHeight="1" x14ac:dyDescent="0.2">
      <c r="A214" s="7"/>
    </row>
    <row r="215" spans="1:1" ht="16.5" customHeight="1" x14ac:dyDescent="0.2">
      <c r="A215" s="7"/>
    </row>
    <row r="216" spans="1:1" ht="16.5" customHeight="1" x14ac:dyDescent="0.2">
      <c r="A216" s="7"/>
    </row>
    <row r="217" spans="1:1" ht="16.5" customHeight="1" x14ac:dyDescent="0.2">
      <c r="A217" s="7"/>
    </row>
    <row r="218" spans="1:1" ht="16.5" customHeight="1" x14ac:dyDescent="0.2">
      <c r="A218" s="7"/>
    </row>
    <row r="219" spans="1:1" ht="16.5" customHeight="1" x14ac:dyDescent="0.2">
      <c r="A219" s="7"/>
    </row>
    <row r="220" spans="1:1" ht="16.5" customHeight="1" x14ac:dyDescent="0.2">
      <c r="A220" s="7"/>
    </row>
    <row r="221" spans="1:1" ht="16.5" customHeight="1" x14ac:dyDescent="0.2">
      <c r="A221" s="7"/>
    </row>
    <row r="222" spans="1:1" ht="16.5" customHeight="1" x14ac:dyDescent="0.2">
      <c r="A222" s="7"/>
    </row>
    <row r="223" spans="1:1" ht="16.5" customHeight="1" x14ac:dyDescent="0.2">
      <c r="A223" s="7"/>
    </row>
    <row r="224" spans="1:1" ht="16.5" customHeight="1" x14ac:dyDescent="0.2">
      <c r="A224" s="7"/>
    </row>
    <row r="225" spans="1:1" ht="16.5" customHeight="1" x14ac:dyDescent="0.2">
      <c r="A225" s="7"/>
    </row>
    <row r="226" spans="1:1" ht="16.5" customHeight="1" x14ac:dyDescent="0.2">
      <c r="A226" s="7"/>
    </row>
    <row r="227" spans="1:1" ht="16.5" customHeight="1" x14ac:dyDescent="0.2">
      <c r="A227" s="7"/>
    </row>
    <row r="228" spans="1:1" ht="16.5" customHeight="1" x14ac:dyDescent="0.2">
      <c r="A228" s="7"/>
    </row>
    <row r="229" spans="1:1" ht="16.5" customHeight="1" x14ac:dyDescent="0.2">
      <c r="A229" s="7"/>
    </row>
    <row r="230" spans="1:1" ht="16.5" customHeight="1" x14ac:dyDescent="0.2">
      <c r="A230" s="7"/>
    </row>
    <row r="231" spans="1:1" ht="16.5" customHeight="1" x14ac:dyDescent="0.2">
      <c r="A231" s="7"/>
    </row>
    <row r="232" spans="1:1" ht="16.5" customHeight="1" x14ac:dyDescent="0.2">
      <c r="A232" s="7"/>
    </row>
    <row r="233" spans="1:1" ht="16.5" customHeight="1" x14ac:dyDescent="0.2">
      <c r="A233" s="7"/>
    </row>
    <row r="234" spans="1:1" ht="16.5" customHeight="1" x14ac:dyDescent="0.2">
      <c r="A234" s="7"/>
    </row>
  </sheetData>
  <mergeCells count="14">
    <mergeCell ref="B74:H92"/>
    <mergeCell ref="J74:S74"/>
    <mergeCell ref="M92:S92"/>
    <mergeCell ref="B94:H100"/>
    <mergeCell ref="A10:S10"/>
    <mergeCell ref="A11:S11"/>
    <mergeCell ref="A12:S12"/>
    <mergeCell ref="B15:F16"/>
    <mergeCell ref="H15:H16"/>
    <mergeCell ref="J15:J16"/>
    <mergeCell ref="L15:M16"/>
    <mergeCell ref="O15:O16"/>
    <mergeCell ref="Q15:Q16"/>
    <mergeCell ref="S15:S16"/>
  </mergeCells>
  <printOptions horizontalCentered="1" verticalCentered="1"/>
  <pageMargins left="0.25" right="0.25" top="0.5" bottom="0.5" header="0.25" footer="0.25"/>
  <pageSetup scale="80" fitToHeight="0" orientation="landscape" r:id="rId1"/>
  <headerFooter>
    <oddHeader xml:space="preserve">&amp;C&amp;9Saint Paul Department of Human Rights and Equal Economic Opportunity&amp;"Arial,Bold"&amp;10
&amp;11IDENTIFICATION OF PRIME CONTRACTOR AND SUBCONTRACTORS (INCLUDING MATERIAL SUPPLIERS)&amp;RDate________________            </oddHeader>
    <oddFooter>&amp;L&amp;P of &amp;N&amp;R&amp;7&amp;D</oddFooter>
  </headerFooter>
  <rowBreaks count="1" manualBreakCount="1">
    <brk id="42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</vt:lpstr>
      <vt:lpstr>A (2)</vt:lpstr>
      <vt:lpstr>A!Print_Area</vt:lpstr>
      <vt:lpstr>'A (2)'!Print_Area</vt:lpstr>
      <vt:lpstr>A!Print_Titles</vt:lpstr>
      <vt:lpstr>'A (2)'!Print_Titles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Nurmela</dc:creator>
  <cp:lastModifiedBy>Sara Nurmela</cp:lastModifiedBy>
  <cp:lastPrinted>2013-06-12T20:31:13Z</cp:lastPrinted>
  <dcterms:created xsi:type="dcterms:W3CDTF">2003-10-02T20:17:10Z</dcterms:created>
  <dcterms:modified xsi:type="dcterms:W3CDTF">2013-06-18T19:29:25Z</dcterms:modified>
</cp:coreProperties>
</file>