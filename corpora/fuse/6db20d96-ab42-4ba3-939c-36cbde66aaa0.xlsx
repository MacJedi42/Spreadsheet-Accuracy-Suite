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13395" windowHeight="7485" activeTab="5"/>
  </bookViews>
  <sheets>
    <sheet name="Compute" sheetId="2" r:id="rId1"/>
    <sheet name="Storage" sheetId="1" r:id="rId2"/>
    <sheet name="Cache" sheetId="3" r:id="rId3"/>
    <sheet name="ServiceBus" sheetId="4" r:id="rId4"/>
    <sheet name="AccessControl" sheetId="5" r:id="rId5"/>
    <sheet name="Totals" sheetId="6" r:id="rId6"/>
  </sheets>
  <calcPr calcId="145621"/>
</workbook>
</file>

<file path=xl/calcChain.xml><?xml version="1.0" encoding="utf-8"?>
<calcChain xmlns="http://schemas.openxmlformats.org/spreadsheetml/2006/main">
  <c r="C26" i="1" l="1"/>
  <c r="D25" i="2"/>
  <c r="E25" i="2" s="1"/>
  <c r="F25" i="2" s="1"/>
  <c r="F26" i="2"/>
  <c r="E26" i="2"/>
  <c r="D26" i="2"/>
  <c r="C21" i="5"/>
  <c r="C23" i="5" s="1"/>
  <c r="C24" i="5" s="1"/>
  <c r="C5" i="5" s="1"/>
  <c r="C7" i="5" s="1"/>
  <c r="B11" i="6" s="1"/>
  <c r="D20" i="5"/>
  <c r="C24" i="4"/>
  <c r="F23" i="4"/>
  <c r="E23" i="4"/>
  <c r="D23" i="4"/>
  <c r="C23" i="4"/>
  <c r="D21" i="4"/>
  <c r="D24" i="4" s="1"/>
  <c r="D30" i="4" s="1"/>
  <c r="D7" i="4" s="1"/>
  <c r="B25" i="3"/>
  <c r="D24" i="3"/>
  <c r="E24" i="3" s="1"/>
  <c r="F24" i="3" s="1"/>
  <c r="F71" i="1"/>
  <c r="E71" i="1"/>
  <c r="C71" i="1"/>
  <c r="D19" i="1"/>
  <c r="E19" i="1" s="1"/>
  <c r="F19" i="1" s="1"/>
  <c r="D18" i="1"/>
  <c r="E18" i="1" s="1"/>
  <c r="F18" i="1" s="1"/>
  <c r="F37" i="2"/>
  <c r="G37" i="2" s="1"/>
  <c r="F38" i="2"/>
  <c r="G38" i="2" s="1"/>
  <c r="C29" i="2"/>
  <c r="B36" i="2" s="1"/>
  <c r="C28" i="2"/>
  <c r="B35" i="2" s="1"/>
  <c r="F9" i="2"/>
  <c r="F8" i="2"/>
  <c r="F7" i="2"/>
  <c r="F6" i="2"/>
  <c r="F5" i="2"/>
  <c r="G5" i="2" s="1"/>
  <c r="D38" i="2"/>
  <c r="E38" i="2" s="1"/>
  <c r="D37" i="2"/>
  <c r="E37" i="2" s="1"/>
  <c r="D9" i="2"/>
  <c r="D8" i="2"/>
  <c r="D7" i="2"/>
  <c r="D6" i="2"/>
  <c r="D5" i="2"/>
  <c r="E5" i="2" s="1"/>
  <c r="D9" i="4" l="1"/>
  <c r="C30" i="4"/>
  <c r="D6" i="4"/>
  <c r="D8" i="4"/>
  <c r="E25" i="3"/>
  <c r="D21" i="5"/>
  <c r="D23" i="5" s="1"/>
  <c r="D24" i="5" s="1"/>
  <c r="D5" i="5" s="1"/>
  <c r="D7" i="5" s="1"/>
  <c r="E21" i="4"/>
  <c r="E20" i="5"/>
  <c r="E21" i="5" s="1"/>
  <c r="E23" i="5" s="1"/>
  <c r="E24" i="5" s="1"/>
  <c r="E5" i="5" s="1"/>
  <c r="E7" i="5" s="1"/>
  <c r="D25" i="3"/>
  <c r="F25" i="3"/>
  <c r="C25" i="3"/>
  <c r="D71" i="1"/>
  <c r="F36" i="2"/>
  <c r="G36" i="2" s="1"/>
  <c r="D36" i="2"/>
  <c r="E36" i="2" s="1"/>
  <c r="D35" i="2"/>
  <c r="E35" i="2" s="1"/>
  <c r="F35" i="2"/>
  <c r="G35" i="2" s="1"/>
  <c r="F86" i="1"/>
  <c r="E86" i="1"/>
  <c r="D86" i="1"/>
  <c r="C86" i="1"/>
  <c r="F49" i="1"/>
  <c r="E49" i="1"/>
  <c r="D49" i="1"/>
  <c r="C49" i="1"/>
  <c r="C61" i="1"/>
  <c r="D61" i="1"/>
  <c r="F61" i="1"/>
  <c r="E61" i="1"/>
  <c r="F60" i="1"/>
  <c r="E60" i="1"/>
  <c r="D60" i="1"/>
  <c r="C60" i="1"/>
  <c r="F27" i="1"/>
  <c r="F26" i="1"/>
  <c r="E27" i="1"/>
  <c r="E26" i="1"/>
  <c r="D27" i="1"/>
  <c r="D26" i="1"/>
  <c r="C27" i="1"/>
  <c r="F16" i="1"/>
  <c r="E16" i="1"/>
  <c r="D16" i="1"/>
  <c r="C16" i="1"/>
  <c r="C32" i="1" s="1"/>
  <c r="F17" i="1"/>
  <c r="F59" i="1" s="1"/>
  <c r="E17" i="1"/>
  <c r="E25" i="1" s="1"/>
  <c r="D17" i="1"/>
  <c r="D59" i="1" s="1"/>
  <c r="C17" i="1"/>
  <c r="C25" i="1" s="1"/>
  <c r="B51" i="1"/>
  <c r="C51" i="1" s="1"/>
  <c r="B52" i="1"/>
  <c r="F52" i="1" s="1"/>
  <c r="B50" i="1"/>
  <c r="F50" i="1" s="1"/>
  <c r="D11" i="4" l="1"/>
  <c r="C85" i="1"/>
  <c r="C98" i="1"/>
  <c r="B14" i="6" s="1"/>
  <c r="C9" i="4"/>
  <c r="C6" i="4"/>
  <c r="C7" i="4"/>
  <c r="C8" i="4"/>
  <c r="G10" i="3"/>
  <c r="G9" i="3"/>
  <c r="G6" i="3"/>
  <c r="G7" i="3"/>
  <c r="G8" i="3"/>
  <c r="F7" i="3"/>
  <c r="F10" i="3"/>
  <c r="F9" i="3"/>
  <c r="F8" i="3"/>
  <c r="F6" i="3"/>
  <c r="D10" i="3"/>
  <c r="D9" i="3"/>
  <c r="D8" i="3"/>
  <c r="D6" i="3"/>
  <c r="D7" i="3"/>
  <c r="E10" i="3"/>
  <c r="E9" i="3"/>
  <c r="E8" i="3"/>
  <c r="E7" i="3"/>
  <c r="E6" i="3"/>
  <c r="F26" i="3"/>
  <c r="E26" i="3"/>
  <c r="D5" i="3"/>
  <c r="C26" i="3"/>
  <c r="E5" i="3"/>
  <c r="D26" i="3"/>
  <c r="C57" i="1"/>
  <c r="C70" i="1"/>
  <c r="C72" i="1" s="1"/>
  <c r="C73" i="1" s="1"/>
  <c r="E39" i="2"/>
  <c r="D57" i="1"/>
  <c r="D70" i="1"/>
  <c r="D72" i="1" s="1"/>
  <c r="D73" i="1" s="1"/>
  <c r="F70" i="1"/>
  <c r="F72" i="1" s="1"/>
  <c r="F73" i="1" s="1"/>
  <c r="F57" i="1"/>
  <c r="E70" i="1"/>
  <c r="E72" i="1" s="1"/>
  <c r="E73" i="1" s="1"/>
  <c r="E57" i="1"/>
  <c r="F21" i="4"/>
  <c r="F24" i="4" s="1"/>
  <c r="F30" i="4" s="1"/>
  <c r="E24" i="4"/>
  <c r="E30" i="4" s="1"/>
  <c r="F20" i="5"/>
  <c r="C38" i="1"/>
  <c r="C33" i="1"/>
  <c r="C34" i="1" s="1"/>
  <c r="E32" i="1"/>
  <c r="E38" i="1"/>
  <c r="E33" i="1"/>
  <c r="E34" i="1" s="1"/>
  <c r="D38" i="1"/>
  <c r="D33" i="1"/>
  <c r="D34" i="1" s="1"/>
  <c r="D32" i="1"/>
  <c r="F38" i="1"/>
  <c r="F33" i="1"/>
  <c r="F34" i="1" s="1"/>
  <c r="F32" i="1"/>
  <c r="C89" i="1"/>
  <c r="C90" i="1" s="1"/>
  <c r="G39" i="2"/>
  <c r="B6" i="2" s="1"/>
  <c r="B7" i="2" s="1"/>
  <c r="B8" i="2" s="1"/>
  <c r="C50" i="1"/>
  <c r="F51" i="1"/>
  <c r="C53" i="1"/>
  <c r="E50" i="1"/>
  <c r="D51" i="1"/>
  <c r="E24" i="1"/>
  <c r="E28" i="1" s="1"/>
  <c r="E29" i="1" s="1"/>
  <c r="C59" i="1"/>
  <c r="C52" i="1"/>
  <c r="E52" i="1"/>
  <c r="E58" i="1"/>
  <c r="E59" i="1"/>
  <c r="D50" i="1"/>
  <c r="E51" i="1"/>
  <c r="D52" i="1"/>
  <c r="D24" i="1"/>
  <c r="F24" i="1"/>
  <c r="D58" i="1"/>
  <c r="D62" i="1" s="1"/>
  <c r="D63" i="1" s="1"/>
  <c r="D25" i="1"/>
  <c r="F25" i="1"/>
  <c r="C58" i="1"/>
  <c r="F58" i="1"/>
  <c r="F62" i="1" s="1"/>
  <c r="F63" i="1" s="1"/>
  <c r="C24" i="1"/>
  <c r="C28" i="1" s="1"/>
  <c r="C29" i="1" s="1"/>
  <c r="D20" i="1"/>
  <c r="F20" i="1"/>
  <c r="C20" i="1"/>
  <c r="E20" i="1"/>
  <c r="E11" i="3" l="1"/>
  <c r="D11" i="3"/>
  <c r="B9" i="6" s="1"/>
  <c r="F85" i="1"/>
  <c r="F89" i="1" s="1"/>
  <c r="F90" i="1" s="1"/>
  <c r="F93" i="1" s="1"/>
  <c r="F98" i="1"/>
  <c r="E85" i="1"/>
  <c r="E89" i="1" s="1"/>
  <c r="E90" i="1" s="1"/>
  <c r="E93" i="1" s="1"/>
  <c r="E98" i="1"/>
  <c r="D85" i="1"/>
  <c r="D89" i="1" s="1"/>
  <c r="D90" i="1" s="1"/>
  <c r="D93" i="1" s="1"/>
  <c r="D98" i="1"/>
  <c r="C11" i="4"/>
  <c r="B10" i="6" s="1"/>
  <c r="E9" i="4"/>
  <c r="E7" i="4"/>
  <c r="E8" i="4"/>
  <c r="E6" i="4"/>
  <c r="E11" i="4" s="1"/>
  <c r="F7" i="4"/>
  <c r="F8" i="4"/>
  <c r="F6" i="4"/>
  <c r="F9" i="4"/>
  <c r="F5" i="3"/>
  <c r="F11" i="3" s="1"/>
  <c r="E91" i="1"/>
  <c r="C91" i="1"/>
  <c r="C93" i="1"/>
  <c r="F91" i="1"/>
  <c r="C62" i="1"/>
  <c r="E62" i="1"/>
  <c r="E63" i="1" s="1"/>
  <c r="F21" i="5"/>
  <c r="F23" i="5" s="1"/>
  <c r="F24" i="5" s="1"/>
  <c r="F5" i="5" s="1"/>
  <c r="F7" i="5" s="1"/>
  <c r="C40" i="1"/>
  <c r="C42" i="1" s="1"/>
  <c r="C6" i="1" s="1"/>
  <c r="C7" i="1" s="1"/>
  <c r="E40" i="1"/>
  <c r="E42" i="1" s="1"/>
  <c r="E6" i="1" s="1"/>
  <c r="E7" i="1" s="1"/>
  <c r="E8" i="1" s="1"/>
  <c r="C45" i="1"/>
  <c r="C80" i="1"/>
  <c r="F45" i="1"/>
  <c r="F80" i="1"/>
  <c r="E45" i="1"/>
  <c r="E80" i="1"/>
  <c r="D45" i="1"/>
  <c r="D80" i="1"/>
  <c r="E81" i="1"/>
  <c r="F53" i="1"/>
  <c r="F64" i="1" s="1"/>
  <c r="F65" i="1" s="1"/>
  <c r="F10" i="1" s="1"/>
  <c r="F11" i="1" s="1"/>
  <c r="C81" i="1"/>
  <c r="C63" i="1"/>
  <c r="C64" i="1" s="1"/>
  <c r="C65" i="1" s="1"/>
  <c r="C10" i="1" s="1"/>
  <c r="E53" i="1"/>
  <c r="E64" i="1" s="1"/>
  <c r="E65" i="1" s="1"/>
  <c r="E10" i="1" s="1"/>
  <c r="E11" i="1" s="1"/>
  <c r="D53" i="1"/>
  <c r="D64" i="1" s="1"/>
  <c r="D65" i="1" s="1"/>
  <c r="D10" i="1" s="1"/>
  <c r="D11" i="1" s="1"/>
  <c r="D28" i="1"/>
  <c r="F28" i="1"/>
  <c r="D91" i="1" l="1"/>
  <c r="D92" i="1" s="1"/>
  <c r="D96" i="1" s="1"/>
  <c r="F92" i="1"/>
  <c r="F96" i="1" s="1"/>
  <c r="F95" i="1"/>
  <c r="C92" i="1"/>
  <c r="C96" i="1" s="1"/>
  <c r="C95" i="1"/>
  <c r="D95" i="1"/>
  <c r="E92" i="1"/>
  <c r="E96" i="1" s="1"/>
  <c r="E95" i="1"/>
  <c r="C11" i="1"/>
  <c r="B7" i="6"/>
  <c r="C8" i="1"/>
  <c r="B6" i="6"/>
  <c r="F11" i="4"/>
  <c r="G5" i="3"/>
  <c r="G11" i="3" s="1"/>
  <c r="F40" i="1"/>
  <c r="F42" i="1" s="1"/>
  <c r="F6" i="1" s="1"/>
  <c r="F7" i="1" s="1"/>
  <c r="F8" i="1" s="1"/>
  <c r="F29" i="1"/>
  <c r="D40" i="1"/>
  <c r="D29" i="1"/>
  <c r="C41" i="1"/>
  <c r="C82" i="1"/>
  <c r="C83" i="1" s="1"/>
  <c r="C84" i="1" s="1"/>
  <c r="E41" i="1"/>
  <c r="E82" i="1"/>
  <c r="E83" i="1" s="1"/>
  <c r="E84" i="1" s="1"/>
  <c r="F41" i="1"/>
  <c r="F81" i="1"/>
  <c r="F82" i="1" s="1"/>
  <c r="F83" i="1" s="1"/>
  <c r="F84" i="1" s="1"/>
  <c r="D81" i="1"/>
  <c r="D82" i="1" s="1"/>
  <c r="D83" i="1" s="1"/>
  <c r="D84" i="1" s="1"/>
  <c r="E97" i="1" l="1"/>
  <c r="D97" i="1"/>
  <c r="C97" i="1"/>
  <c r="B8" i="6" s="1"/>
  <c r="F97" i="1"/>
  <c r="D41" i="1"/>
  <c r="D42" i="1"/>
  <c r="D6" i="1" s="1"/>
  <c r="D7" i="1" s="1"/>
  <c r="D8" i="1" s="1"/>
  <c r="G6" i="2"/>
  <c r="E6" i="2"/>
  <c r="E7" i="2"/>
  <c r="G7" i="2" l="1"/>
  <c r="B9" i="2" l="1"/>
  <c r="G8" i="2"/>
  <c r="E8" i="2"/>
  <c r="G9" i="2" l="1"/>
  <c r="G10" i="2" s="1"/>
  <c r="E9" i="2"/>
  <c r="E10" i="2" s="1"/>
  <c r="B5" i="6" s="1"/>
  <c r="B12" i="6" s="1"/>
</calcChain>
</file>

<file path=xl/comments1.xml><?xml version="1.0" encoding="utf-8"?>
<comments xmlns="http://schemas.openxmlformats.org/spreadsheetml/2006/main">
  <authors>
    <author>Michele</author>
  </authors>
  <commentList>
    <comment ref="B25" authorId="0">
      <text>
        <r>
          <rPr>
            <b/>
            <sz val="8"/>
            <color indexed="81"/>
            <rFont val="Tahoma"/>
            <charset val="1"/>
          </rPr>
          <t>Michele:</t>
        </r>
        <r>
          <rPr>
            <sz val="8"/>
            <color indexed="81"/>
            <rFont val="Tahoma"/>
            <charset val="1"/>
          </rPr>
          <t xml:space="preserve">
I bumped these numbers up to see costs associated with a large streaming media app (see Totals sheet) and look at how revenues offset those costs.</t>
        </r>
      </text>
    </comment>
  </commentList>
</comments>
</file>

<file path=xl/comments2.xml><?xml version="1.0" encoding="utf-8"?>
<comments xmlns="http://schemas.openxmlformats.org/spreadsheetml/2006/main">
  <authors>
    <author>Michele</author>
  </authors>
  <commentList>
    <comment ref="C18" authorId="0">
      <text>
        <r>
          <rPr>
            <b/>
            <sz val="8"/>
            <color indexed="81"/>
            <rFont val="Tahoma"/>
            <charset val="1"/>
          </rPr>
          <t>Michele:</t>
        </r>
        <r>
          <rPr>
            <sz val="8"/>
            <color indexed="81"/>
            <rFont val="Tahoma"/>
            <charset val="1"/>
          </rPr>
          <t xml:space="preserve">
I bumped these numbers up to see costs associated with a large streaming media app (see Totals sheet) and look at how revenues offset those costs.</t>
        </r>
      </text>
    </comment>
  </commentList>
</comments>
</file>

<file path=xl/comments3.xml><?xml version="1.0" encoding="utf-8"?>
<comments xmlns="http://schemas.openxmlformats.org/spreadsheetml/2006/main">
  <authors>
    <author>Michele</author>
  </authors>
  <commentList>
    <comment ref="C20" authorId="0">
      <text>
        <r>
          <rPr>
            <b/>
            <sz val="8"/>
            <color indexed="81"/>
            <rFont val="Tahoma"/>
            <charset val="1"/>
          </rPr>
          <t>Michele:</t>
        </r>
        <r>
          <rPr>
            <sz val="8"/>
            <color indexed="81"/>
            <rFont val="Tahoma"/>
            <charset val="1"/>
          </rPr>
          <t xml:space="preserve">
I bumped these numbers up to see costs associated with a large streaming media app (see Totals sheet) and look at how revenues offset those costs.</t>
        </r>
      </text>
    </comment>
  </commentList>
</comments>
</file>

<file path=xl/sharedStrings.xml><?xml version="1.0" encoding="utf-8"?>
<sst xmlns="http://schemas.openxmlformats.org/spreadsheetml/2006/main" count="300" uniqueCount="191">
  <si>
    <t>media record</t>
  </si>
  <si>
    <t>profile</t>
  </si>
  <si>
    <t>per day</t>
  </si>
  <si>
    <t>per week</t>
  </si>
  <si>
    <t xml:space="preserve">per month </t>
  </si>
  <si>
    <t>per year</t>
  </si>
  <si>
    <t>source users</t>
  </si>
  <si>
    <t>consumer users</t>
  </si>
  <si>
    <t>average 1 profile per user</t>
  </si>
  <si>
    <t>total table storage records</t>
  </si>
  <si>
    <t>total table storage bytes</t>
  </si>
  <si>
    <t xml:space="preserve">media blob </t>
  </si>
  <si>
    <t>in MB</t>
  </si>
  <si>
    <t>in GB</t>
  </si>
  <si>
    <t>how many add, update, read, delete</t>
  </si>
  <si>
    <t>each table has patterns</t>
  </si>
  <si>
    <t>how many times would a source upload, read, write, delete media records per month?</t>
  </si>
  <si>
    <t>tx per month</t>
  </si>
  <si>
    <t>total tx per month</t>
  </si>
  <si>
    <t>total 10K tx per month</t>
  </si>
  <si>
    <t>avg per user</t>
  </si>
  <si>
    <t>cdn and blob storage downloads based on per month numbers with average consumption per user</t>
  </si>
  <si>
    <t>per month 10K tx</t>
  </si>
  <si>
    <t>download is consumer based and application consumption</t>
  </si>
  <si>
    <t>avoid download media if not streaming it, use previews, etc.</t>
  </si>
  <si>
    <t>total GB downloads per month also maps to downloads of media used</t>
  </si>
  <si>
    <t>record downloads</t>
  </si>
  <si>
    <t>based on page loads and average record size</t>
  </si>
  <si>
    <t>average pages / s</t>
  </si>
  <si>
    <t>average record size / pg</t>
  </si>
  <si>
    <t>GB/hour</t>
  </si>
  <si>
    <t>#users</t>
  </si>
  <si>
    <t>Q1</t>
  </si>
  <si>
    <t>Q2</t>
  </si>
  <si>
    <t>Q3</t>
  </si>
  <si>
    <t>Q4</t>
  </si>
  <si>
    <t>VM Size</t>
  </si>
  <si>
    <t>xs</t>
  </si>
  <si>
    <t>s</t>
  </si>
  <si>
    <t>m</t>
  </si>
  <si>
    <t>l</t>
  </si>
  <si>
    <t>xl</t>
  </si>
  <si>
    <t>Instances</t>
  </si>
  <si>
    <t>Hourly $</t>
  </si>
  <si>
    <t>Monthly $/Instance</t>
  </si>
  <si>
    <t>Yearly $ Total</t>
  </si>
  <si>
    <t>Monthly $/Total</t>
  </si>
  <si>
    <t>KB/s</t>
  </si>
  <si>
    <t>total bandwidth (KB/s)</t>
  </si>
  <si>
    <t>total bandwidth (MB/s)</t>
  </si>
  <si>
    <t># pages / sec</t>
  </si>
  <si>
    <t># reports /sec</t>
  </si>
  <si>
    <t>Usage by user</t>
  </si>
  <si>
    <t>Yearly $ Total/Instance</t>
  </si>
  <si>
    <t>Access Control</t>
  </si>
  <si>
    <t xml:space="preserve">Bandwidth concerns are primarily related to concurrent media uploads/downloads, concurrent page requests and related upload/download transfers. </t>
  </si>
  <si>
    <t>Memory concerns vary by application, should try to reduce concurrent memory requirements by chunking or streaming media.</t>
  </si>
  <si>
    <t>Memory Usage (KB/s)</t>
  </si>
  <si>
    <t>Estimation Worksheet</t>
  </si>
  <si>
    <t># consumers</t>
  </si>
  <si>
    <t># producers</t>
  </si>
  <si>
    <t>Current</t>
  </si>
  <si>
    <t>% producers online</t>
  </si>
  <si>
    <t>% consumers online</t>
  </si>
  <si>
    <t># concurrent media consumers</t>
  </si>
  <si>
    <t># concurrent media producers</t>
  </si>
  <si>
    <t>Assumptions:</t>
  </si>
  <si>
    <t>fewer producers online consuming media than consumers</t>
  </si>
  <si>
    <t>% of concurrent users is estimated</t>
  </si>
  <si>
    <t>100 KB/S transfer for media, less for small pages</t>
  </si>
  <si>
    <t>Compute Costs</t>
  </si>
  <si>
    <t>Memory Multiplier</t>
  </si>
  <si>
    <t>memory usage per second uses multiplier from page/media size buffer</t>
  </si>
  <si>
    <t>Memory Usage (GB/s)</t>
  </si>
  <si>
    <t>bytes/rec</t>
  </si>
  <si>
    <t>producer users</t>
  </si>
  <si>
    <t>DISCLAIMER: This is a sample worksheet making assumptions for a specific scenario, and without considering partner discounts. You can use this worksheet as a sample to get you started.</t>
  </si>
  <si>
    <t>Storage Costs</t>
  </si>
  <si>
    <t>How many users online?</t>
  </si>
  <si>
    <t>How many users?</t>
  </si>
  <si>
    <t>Percent</t>
  </si>
  <si>
    <t># Users</t>
  </si>
  <si>
    <t>What bandwidth and memory requirements?</t>
  </si>
  <si>
    <t>Usage</t>
  </si>
  <si>
    <t>CPU usage and diskspace also matter but are harder to predict, monitor trends and increase accordingly.</t>
  </si>
  <si>
    <t>average 50 media records uploaded by each publisher account</t>
  </si>
  <si>
    <t>fewer publishers than consumer users</t>
  </si>
  <si>
    <t>consumer users will grow faster</t>
  </si>
  <si>
    <t>media information</t>
  </si>
  <si>
    <t>How many bytes table storage by quarter?</t>
  </si>
  <si>
    <t>How many bytes per record and # record estimates?</t>
  </si>
  <si>
    <t>All blobs go to CDN.</t>
  </si>
  <si>
    <t>How many bytes blob data?</t>
  </si>
  <si>
    <t>CDN storage</t>
  </si>
  <si>
    <t>CDN storage GB</t>
  </si>
  <si>
    <t>How many bytes queue data?</t>
  </si>
  <si>
    <t>Assumption:</t>
  </si>
  <si>
    <t xml:space="preserve">All media uploads generate a queue message </t>
  </si>
  <si>
    <t>Total storage in bytes</t>
  </si>
  <si>
    <t>represents total GB uploaded that quarter, could average this over 3 months</t>
  </si>
  <si>
    <t>Average storage per producer</t>
  </si>
  <si>
    <t>upload confirmation bytes</t>
  </si>
  <si>
    <t>$/GB</t>
  </si>
  <si>
    <t>Daily Average (GB)</t>
  </si>
  <si>
    <t>Quarterly totals are same as daily average for quarter</t>
  </si>
  <si>
    <t>Monthly cost</t>
  </si>
  <si>
    <t>growth per quarter</t>
  </si>
  <si>
    <t>$/10K storage transactions</t>
  </si>
  <si>
    <t>Storage and CDN Costs</t>
  </si>
  <si>
    <t>Assumptions</t>
  </si>
  <si>
    <t>Media downloads transactions</t>
  </si>
  <si>
    <t>Table storage transactions per month</t>
  </si>
  <si>
    <t>media blob</t>
  </si>
  <si>
    <t>how many add, update, delete (reads are downloads above)</t>
  </si>
  <si>
    <t>total 10K tx incl blob downloads</t>
  </si>
  <si>
    <t>queue messages</t>
  </si>
  <si>
    <t>each queue message has a create, read, delete action</t>
  </si>
  <si>
    <t>queue polls per second is in addition to actual reads where a message is not present</t>
  </si>
  <si>
    <t>Queue transactions</t>
  </si>
  <si>
    <t>total 10K tx incl queue tx</t>
  </si>
  <si>
    <t>empty queue polls / month</t>
  </si>
  <si>
    <t>avg / day</t>
  </si>
  <si>
    <t>Using producer users as cost point, consumers pay for media downloads, cost is covered by sale</t>
  </si>
  <si>
    <t>Monthly cost per producer</t>
  </si>
  <si>
    <t>Monthly costs</t>
  </si>
  <si>
    <t>Bandwidth usage per month</t>
  </si>
  <si>
    <t>upload is producer based, create records, interact with service, upload media, does not yet account for mistakes, reupload, replacing media</t>
  </si>
  <si>
    <t>bandwidth inbound not charged, but we'll track it in case future changes require estimation</t>
  </si>
  <si>
    <t>media uploads in bytes</t>
  </si>
  <si>
    <t>record uploads in bytes</t>
  </si>
  <si>
    <t>total transfer inbound in bytes</t>
  </si>
  <si>
    <t>media downloads in bytes</t>
  </si>
  <si>
    <t>transfer outbound in GB /mo</t>
  </si>
  <si>
    <t>total transfer inbound in GB /mo</t>
  </si>
  <si>
    <t>% users US/EU</t>
  </si>
  <si>
    <t>% user APAC</t>
  </si>
  <si>
    <t>SQL Storage values, assuming blob and queue remain in azure storage</t>
  </si>
  <si>
    <t>Cache Costs</t>
  </si>
  <si>
    <t>Cache Size</t>
  </si>
  <si>
    <t>128MB</t>
  </si>
  <si>
    <t>256MB</t>
  </si>
  <si>
    <t>512MB</t>
  </si>
  <si>
    <t>1GB</t>
  </si>
  <si>
    <t>2GB</t>
  </si>
  <si>
    <t>4GB</t>
  </si>
  <si>
    <t>Using cache for session data only</t>
  </si>
  <si>
    <t>How many bytes per session?</t>
  </si>
  <si>
    <t>shopping cart</t>
  </si>
  <si>
    <t>misc session</t>
  </si>
  <si>
    <t>data storage</t>
  </si>
  <si>
    <t>Cost/mo</t>
  </si>
  <si>
    <t>Service Bus</t>
  </si>
  <si>
    <t>Service Bus Costs</t>
  </si>
  <si>
    <t>Packages</t>
  </si>
  <si>
    <t>Per use</t>
  </si>
  <si>
    <t>5 Pack</t>
  </si>
  <si>
    <t>25 Pack</t>
  </si>
  <si>
    <t>100 Pack</t>
  </si>
  <si>
    <t>500 Pack</t>
  </si>
  <si>
    <t>Unit cost</t>
  </si>
  <si>
    <t># services</t>
  </si>
  <si>
    <t>svc connect / day</t>
  </si>
  <si>
    <t>total concurrent conn/day</t>
  </si>
  <si>
    <t>concurrent user conn /d</t>
  </si>
  <si>
    <t>Number of concurrent connections?</t>
  </si>
  <si>
    <t>Access Control Costs</t>
  </si>
  <si>
    <t>management calls</t>
  </si>
  <si>
    <t>message buffer writes</t>
  </si>
  <si>
    <t>message buffer reads</t>
  </si>
  <si>
    <t>messages / user / day</t>
  </si>
  <si>
    <t>100K tx</t>
  </si>
  <si>
    <t># login / day</t>
  </si>
  <si>
    <t>tx per 100K tx</t>
  </si>
  <si>
    <t>VM Cost / month</t>
  </si>
  <si>
    <t>Storage</t>
  </si>
  <si>
    <t>Storage tx</t>
  </si>
  <si>
    <t>Bandwidth</t>
  </si>
  <si>
    <t>Cache</t>
  </si>
  <si>
    <t>Total cost per month</t>
  </si>
  <si>
    <t>$ users US/EU</t>
  </si>
  <si>
    <t>$ users APAC</t>
  </si>
  <si>
    <t>price per download</t>
  </si>
  <si>
    <t>Total Cost Estimate</t>
  </si>
  <si>
    <t>Legend:</t>
  </si>
  <si>
    <t>Azure costs that could require update</t>
  </si>
  <si>
    <t>Input values that are source for calculations on the page</t>
  </si>
  <si>
    <t>These costs derive information from each of the other spreadsheets. Try adjusting the number of users on each page and see the results here. Also make note of the potential "revenues" on Storage sheet to offset these costs.</t>
  </si>
  <si>
    <t>This is a shot in the dark at revenues per month based on charging for media downloads. Just to indicate the potential for revenue to offset bandwidth costs.</t>
  </si>
  <si>
    <t>Revenue projection per month</t>
  </si>
  <si>
    <t>Shot in the dark at revenue per media upload</t>
  </si>
  <si>
    <t>Estimated costs if you use every aspect of Azure for a fictional business that hosts media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</si>
</sst>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8" formatCode="&quot;$&quot;#,##0.00_);[Red]\(&quot;$&quot;#,##0.00\)"/>
    <numFmt numFmtId="164" formatCode="&quot;$&quot;#,##0.00"/>
  </numFmts>
  <fonts count="6" x14ac:knownFonts="1">
    <font>
      <sz val="11"/>
      <color theme="1"/>
      <name val="Calibri"/>
      <family val="2"/>
      <scheme val="minor"/>
    </font>
    <font>
      <b/>
      <sz val="11"/>
      <color theme="1"/>
      <name val="Calibri"/>
      <family val="2"/>
      <scheme val="minor"/>
    </font>
    <font>
      <sz val="28"/>
      <color theme="1"/>
      <name val="Calibri"/>
      <family val="2"/>
      <scheme val="minor"/>
    </font>
    <font>
      <i/>
      <sz val="11"/>
      <color theme="1"/>
      <name val="Calibri"/>
      <family val="2"/>
      <scheme val="minor"/>
    </font>
    <font>
      <sz val="8"/>
      <color indexed="81"/>
      <name val="Tahoma"/>
      <charset val="1"/>
    </font>
    <font>
      <b/>
      <sz val="8"/>
      <color indexed="81"/>
      <name val="Tahoma"/>
      <charset val="1"/>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0" tint="-0.149998474074526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1">
    <xf numFmtId="0" fontId="0" fillId="0" borderId="0" xfId="0"/>
    <xf numFmtId="0" fontId="1" fillId="0" borderId="0" xfId="0" applyFont="1"/>
    <xf numFmtId="0" fontId="0" fillId="0" borderId="0" xfId="0" applyFont="1"/>
    <xf numFmtId="0" fontId="0" fillId="2" borderId="0" xfId="0" applyFill="1"/>
    <xf numFmtId="0" fontId="0" fillId="3" borderId="0" xfId="0" applyFill="1"/>
    <xf numFmtId="0" fontId="1" fillId="4" borderId="0" xfId="0" applyFont="1" applyFill="1"/>
    <xf numFmtId="0" fontId="0" fillId="4" borderId="0" xfId="0" applyFill="1"/>
    <xf numFmtId="164" fontId="0" fillId="0" borderId="0" xfId="0" applyNumberFormat="1"/>
    <xf numFmtId="0" fontId="1" fillId="6" borderId="0" xfId="0" applyFont="1" applyFill="1"/>
    <xf numFmtId="0" fontId="1" fillId="7" borderId="0" xfId="0" applyFont="1" applyFill="1"/>
    <xf numFmtId="0" fontId="1" fillId="8" borderId="0" xfId="0" applyFont="1" applyFill="1"/>
    <xf numFmtId="0" fontId="0" fillId="7" borderId="0" xfId="0" applyFill="1"/>
    <xf numFmtId="164" fontId="0" fillId="7" borderId="0" xfId="0" applyNumberFormat="1" applyFill="1"/>
    <xf numFmtId="164" fontId="1" fillId="7" borderId="0" xfId="0" applyNumberFormat="1" applyFont="1" applyFill="1"/>
    <xf numFmtId="164" fontId="0" fillId="9" borderId="0" xfId="0" applyNumberFormat="1" applyFill="1"/>
    <xf numFmtId="164" fontId="1" fillId="6" borderId="0" xfId="0" applyNumberFormat="1" applyFont="1" applyFill="1"/>
    <xf numFmtId="164" fontId="0" fillId="0" borderId="0" xfId="0" applyNumberFormat="1" applyFill="1"/>
    <xf numFmtId="0" fontId="0" fillId="0" borderId="0" xfId="0" applyFill="1"/>
    <xf numFmtId="0" fontId="0" fillId="8" borderId="0" xfId="0" applyFont="1" applyFill="1"/>
    <xf numFmtId="0" fontId="0" fillId="10" borderId="0" xfId="0" applyFill="1"/>
    <xf numFmtId="0" fontId="0" fillId="8" borderId="0" xfId="0" applyFill="1"/>
    <xf numFmtId="9" fontId="0" fillId="0" borderId="0" xfId="0" applyNumberFormat="1"/>
    <xf numFmtId="9" fontId="0" fillId="2" borderId="0" xfId="0" applyNumberFormat="1" applyFill="1"/>
    <xf numFmtId="0" fontId="1" fillId="0" borderId="0" xfId="0" applyFont="1" applyFill="1"/>
    <xf numFmtId="0" fontId="2" fillId="0" borderId="0" xfId="0" applyFont="1"/>
    <xf numFmtId="0" fontId="0" fillId="6" borderId="0" xfId="0" applyFill="1"/>
    <xf numFmtId="0" fontId="3" fillId="0" borderId="0" xfId="0" applyFont="1"/>
    <xf numFmtId="0" fontId="0" fillId="7" borderId="0" xfId="0" applyFont="1" applyFill="1"/>
    <xf numFmtId="0" fontId="0" fillId="0" borderId="0" xfId="0" applyFont="1" applyFill="1"/>
    <xf numFmtId="164" fontId="1" fillId="0" borderId="0" xfId="0" applyNumberFormat="1" applyFont="1" applyFill="1"/>
    <xf numFmtId="164" fontId="0" fillId="11" borderId="0" xfId="0" applyNumberFormat="1" applyFill="1"/>
    <xf numFmtId="4" fontId="0" fillId="0" borderId="0" xfId="0" applyNumberFormat="1" applyFill="1"/>
    <xf numFmtId="4" fontId="1" fillId="7" borderId="0" xfId="0" applyNumberFormat="1" applyFont="1" applyFill="1"/>
    <xf numFmtId="164" fontId="0" fillId="3" borderId="0" xfId="0" applyNumberFormat="1" applyFill="1"/>
    <xf numFmtId="164" fontId="0" fillId="5" borderId="0" xfId="0" applyNumberFormat="1" applyFill="1"/>
    <xf numFmtId="6" fontId="0" fillId="0" borderId="0" xfId="0" applyNumberFormat="1"/>
    <xf numFmtId="164" fontId="0" fillId="6" borderId="0" xfId="0" applyNumberFormat="1" applyFill="1"/>
    <xf numFmtId="8" fontId="0" fillId="0" borderId="0" xfId="0" applyNumberFormat="1"/>
    <xf numFmtId="6" fontId="0" fillId="10" borderId="0" xfId="0" applyNumberFormat="1" applyFill="1"/>
    <xf numFmtId="8" fontId="0" fillId="7" borderId="0" xfId="0" applyNumberFormat="1" applyFill="1"/>
    <xf numFmtId="4" fontId="0" fillId="0" borderId="0" xfId="0" applyNumberFormat="1"/>
    <xf numFmtId="0" fontId="0" fillId="0" borderId="1" xfId="0" applyBorder="1"/>
    <xf numFmtId="0" fontId="0" fillId="0" borderId="2" xfId="0" applyBorder="1"/>
    <xf numFmtId="0" fontId="0" fillId="0" borderId="3" xfId="0" applyBorder="1"/>
    <xf numFmtId="0" fontId="0" fillId="12" borderId="4" xfId="0" applyFill="1" applyBorder="1"/>
    <xf numFmtId="0" fontId="0" fillId="0" borderId="0" xfId="0" applyBorder="1"/>
    <xf numFmtId="0" fontId="0" fillId="0" borderId="5" xfId="0" applyBorder="1"/>
    <xf numFmtId="0" fontId="0" fillId="2" borderId="6" xfId="0" applyFill="1" applyBorder="1"/>
    <xf numFmtId="0" fontId="0" fillId="0" borderId="7" xfId="0" applyBorder="1"/>
    <xf numFmtId="0" fontId="0" fillId="0" borderId="8" xfId="0" applyBorder="1"/>
    <xf numFmtId="6"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8"/>
  <sheetViews>
    <sheetView topLeftCell="A14" zoomScaleNormal="100" workbookViewId="0">
      <selection activeCell="B27" sqref="B27"/>
    </sheetView>
  </sheetViews>
  <sheetFormatPr defaultRowHeight="15" x14ac:dyDescent="0.25"/>
  <cols>
    <col min="1" max="1" width="30.85546875" bestFit="1" customWidth="1"/>
    <col min="2" max="2" width="17.42578125" bestFit="1" customWidth="1"/>
    <col min="3" max="3" width="13.5703125" bestFit="1" customWidth="1"/>
    <col min="4" max="4" width="21.42578125" bestFit="1" customWidth="1"/>
    <col min="5" max="5" width="22" bestFit="1" customWidth="1"/>
    <col min="6" max="6" width="21.5703125" bestFit="1" customWidth="1"/>
    <col min="7" max="7" width="20.85546875" bestFit="1" customWidth="1"/>
  </cols>
  <sheetData>
    <row r="1" spans="1:17" ht="36.75" thickBot="1" x14ac:dyDescent="0.6">
      <c r="A1" s="24" t="s">
        <v>70</v>
      </c>
    </row>
    <row r="2" spans="1:17" x14ac:dyDescent="0.25">
      <c r="A2" s="26" t="s">
        <v>76</v>
      </c>
      <c r="K2" s="41" t="s">
        <v>183</v>
      </c>
      <c r="L2" s="42"/>
      <c r="M2" s="42"/>
      <c r="N2" s="42"/>
      <c r="O2" s="42"/>
      <c r="P2" s="42"/>
      <c r="Q2" s="43"/>
    </row>
    <row r="3" spans="1:17" x14ac:dyDescent="0.25">
      <c r="K3" s="44"/>
      <c r="L3" s="45" t="s">
        <v>184</v>
      </c>
      <c r="M3" s="45"/>
      <c r="N3" s="45"/>
      <c r="O3" s="45"/>
      <c r="P3" s="45"/>
      <c r="Q3" s="46"/>
    </row>
    <row r="4" spans="1:17" ht="15.75" thickBot="1" x14ac:dyDescent="0.3">
      <c r="A4" s="10" t="s">
        <v>36</v>
      </c>
      <c r="B4" s="18" t="s">
        <v>42</v>
      </c>
      <c r="C4" s="18" t="s">
        <v>43</v>
      </c>
      <c r="D4" s="18" t="s">
        <v>44</v>
      </c>
      <c r="E4" s="18" t="s">
        <v>46</v>
      </c>
      <c r="F4" s="18" t="s">
        <v>53</v>
      </c>
      <c r="G4" s="18" t="s">
        <v>45</v>
      </c>
      <c r="K4" s="47"/>
      <c r="L4" s="48" t="s">
        <v>185</v>
      </c>
      <c r="M4" s="48"/>
      <c r="N4" s="48"/>
      <c r="O4" s="48"/>
      <c r="P4" s="48"/>
      <c r="Q4" s="49"/>
    </row>
    <row r="5" spans="1:17" x14ac:dyDescent="0.25">
      <c r="A5" t="s">
        <v>37</v>
      </c>
      <c r="B5" s="17">
        <v>0</v>
      </c>
      <c r="C5" s="14">
        <v>0.04</v>
      </c>
      <c r="D5" s="7">
        <f>24*365*C5/12</f>
        <v>29.200000000000003</v>
      </c>
      <c r="E5" s="16">
        <f>D5*B5</f>
        <v>0</v>
      </c>
      <c r="F5" s="16">
        <f>24*365*C5</f>
        <v>350.40000000000003</v>
      </c>
      <c r="G5" s="16">
        <f>F5*B5</f>
        <v>0</v>
      </c>
    </row>
    <row r="6" spans="1:17" x14ac:dyDescent="0.25">
      <c r="A6" t="s">
        <v>38</v>
      </c>
      <c r="B6" s="17">
        <f>MAX($G$39/1.75,2)</f>
        <v>2</v>
      </c>
      <c r="C6" s="14">
        <v>0.12</v>
      </c>
      <c r="D6" s="7">
        <f>24*365*C6/12</f>
        <v>87.600000000000009</v>
      </c>
      <c r="E6" s="16">
        <f>D6*B6</f>
        <v>175.20000000000002</v>
      </c>
      <c r="F6" s="16">
        <f>24*365*C6</f>
        <v>1051.2</v>
      </c>
      <c r="G6" s="16">
        <f>F6*B6</f>
        <v>2102.4</v>
      </c>
    </row>
    <row r="7" spans="1:17" x14ac:dyDescent="0.25">
      <c r="A7" t="s">
        <v>39</v>
      </c>
      <c r="B7" s="17">
        <f>IF(B6&gt;2,MAX($G$39/3.5,2),0)</f>
        <v>0</v>
      </c>
      <c r="C7" s="14">
        <v>0.24</v>
      </c>
      <c r="D7" s="7">
        <f>24*365*C7/12</f>
        <v>175.20000000000002</v>
      </c>
      <c r="E7" s="16">
        <f>D7*B7</f>
        <v>0</v>
      </c>
      <c r="F7" s="16">
        <f>24*365*C7</f>
        <v>2102.4</v>
      </c>
      <c r="G7" s="16">
        <f>F7*B7</f>
        <v>0</v>
      </c>
    </row>
    <row r="8" spans="1:17" x14ac:dyDescent="0.25">
      <c r="A8" t="s">
        <v>40</v>
      </c>
      <c r="B8" s="17">
        <f>IF(B7&gt;2,MAX($G$39/7,2),0)</f>
        <v>0</v>
      </c>
      <c r="C8" s="14">
        <v>0.48</v>
      </c>
      <c r="D8" s="7">
        <f>24*365*C8/12</f>
        <v>350.40000000000003</v>
      </c>
      <c r="E8" s="16">
        <f>D8*B8</f>
        <v>0</v>
      </c>
      <c r="F8" s="16">
        <f>24*365*C8</f>
        <v>4204.8</v>
      </c>
      <c r="G8" s="16">
        <f>F8*B8</f>
        <v>0</v>
      </c>
    </row>
    <row r="9" spans="1:17" x14ac:dyDescent="0.25">
      <c r="A9" t="s">
        <v>41</v>
      </c>
      <c r="B9" s="17">
        <f>IF(B8&gt;2,MAX($G$39/14,2),0)</f>
        <v>0</v>
      </c>
      <c r="C9" s="14">
        <v>0.96</v>
      </c>
      <c r="D9" s="7">
        <f>24*365*C9/12</f>
        <v>700.80000000000007</v>
      </c>
      <c r="E9" s="16">
        <f>D9*B9</f>
        <v>0</v>
      </c>
      <c r="F9" s="16">
        <f>24*365*C9</f>
        <v>8409.6</v>
      </c>
      <c r="G9" s="16">
        <f>F9*B9</f>
        <v>0</v>
      </c>
    </row>
    <row r="10" spans="1:17" x14ac:dyDescent="0.25">
      <c r="A10" s="11"/>
      <c r="B10" s="11"/>
      <c r="C10" s="12"/>
      <c r="D10" s="12"/>
      <c r="E10" s="15">
        <f>MAX(E6:E9)</f>
        <v>175.20000000000002</v>
      </c>
      <c r="F10" s="13"/>
      <c r="G10" s="15">
        <f>MAX(G6:G9)</f>
        <v>2102.4</v>
      </c>
    </row>
    <row r="15" spans="1:17" x14ac:dyDescent="0.25">
      <c r="A15" s="10" t="s">
        <v>58</v>
      </c>
      <c r="B15" s="20"/>
      <c r="C15" s="20"/>
      <c r="D15" s="20"/>
      <c r="E15" s="20"/>
      <c r="F15" s="20"/>
      <c r="G15" s="20"/>
    </row>
    <row r="16" spans="1:17" x14ac:dyDescent="0.25">
      <c r="A16" s="23" t="s">
        <v>66</v>
      </c>
      <c r="B16" s="17"/>
      <c r="C16" s="17"/>
      <c r="D16" s="17"/>
      <c r="E16" s="17"/>
      <c r="F16" s="17"/>
      <c r="G16" s="17"/>
    </row>
    <row r="17" spans="1:9" x14ac:dyDescent="0.25">
      <c r="A17" s="17" t="s">
        <v>67</v>
      </c>
      <c r="B17" s="17"/>
      <c r="C17" s="17"/>
      <c r="D17" s="17"/>
      <c r="E17" s="17"/>
      <c r="F17" s="17"/>
      <c r="G17" s="17"/>
    </row>
    <row r="18" spans="1:9" x14ac:dyDescent="0.25">
      <c r="A18" s="17" t="s">
        <v>68</v>
      </c>
      <c r="B18" s="17"/>
      <c r="C18" s="17"/>
      <c r="D18" s="17"/>
      <c r="E18" s="17"/>
      <c r="F18" s="17"/>
      <c r="G18" s="17"/>
    </row>
    <row r="19" spans="1:9" x14ac:dyDescent="0.25">
      <c r="A19" s="17" t="s">
        <v>69</v>
      </c>
      <c r="B19" s="17"/>
      <c r="C19" s="17"/>
      <c r="D19" s="17"/>
      <c r="E19" s="17"/>
      <c r="F19" s="17"/>
      <c r="G19" s="17"/>
    </row>
    <row r="20" spans="1:9" x14ac:dyDescent="0.25">
      <c r="A20" s="17" t="s">
        <v>72</v>
      </c>
      <c r="B20" s="17"/>
      <c r="C20" s="17"/>
      <c r="D20" s="17"/>
      <c r="E20" s="17"/>
      <c r="F20" s="17"/>
      <c r="G20" s="17"/>
    </row>
    <row r="23" spans="1:9" x14ac:dyDescent="0.25">
      <c r="A23" s="9" t="s">
        <v>79</v>
      </c>
      <c r="B23" s="11"/>
      <c r="C23" s="11"/>
      <c r="D23" s="11"/>
      <c r="E23" s="11"/>
      <c r="F23" s="11"/>
      <c r="G23" s="11"/>
    </row>
    <row r="24" spans="1:9" x14ac:dyDescent="0.25">
      <c r="B24" s="9" t="s">
        <v>61</v>
      </c>
      <c r="C24" s="9" t="s">
        <v>32</v>
      </c>
      <c r="D24" s="9" t="s">
        <v>33</v>
      </c>
      <c r="E24" s="9" t="s">
        <v>34</v>
      </c>
      <c r="F24" s="9" t="s">
        <v>35</v>
      </c>
      <c r="G24" s="11"/>
    </row>
    <row r="25" spans="1:9" x14ac:dyDescent="0.25">
      <c r="A25" t="s">
        <v>60</v>
      </c>
      <c r="B25" s="3">
        <v>50</v>
      </c>
      <c r="C25" s="3">
        <v>50</v>
      </c>
      <c r="D25" s="17">
        <f t="shared" ref="D25:F26" si="0">(C25*$H25)+C25</f>
        <v>75</v>
      </c>
      <c r="E25" s="17">
        <f t="shared" si="0"/>
        <v>112.5</v>
      </c>
      <c r="F25" s="17">
        <f t="shared" si="0"/>
        <v>168.75</v>
      </c>
      <c r="H25" s="22">
        <v>0.5</v>
      </c>
      <c r="I25" s="9" t="s">
        <v>106</v>
      </c>
    </row>
    <row r="26" spans="1:9" x14ac:dyDescent="0.25">
      <c r="A26" t="s">
        <v>59</v>
      </c>
      <c r="B26" s="3">
        <v>100</v>
      </c>
      <c r="C26" s="3">
        <v>100</v>
      </c>
      <c r="D26" s="17">
        <f t="shared" si="0"/>
        <v>300</v>
      </c>
      <c r="E26" s="17">
        <f t="shared" si="0"/>
        <v>900</v>
      </c>
      <c r="F26" s="17">
        <f t="shared" si="0"/>
        <v>2700</v>
      </c>
      <c r="H26" s="22">
        <v>2</v>
      </c>
      <c r="I26" s="9" t="s">
        <v>106</v>
      </c>
    </row>
    <row r="27" spans="1:9" x14ac:dyDescent="0.25">
      <c r="A27" s="9" t="s">
        <v>78</v>
      </c>
      <c r="B27" s="9" t="s">
        <v>80</v>
      </c>
      <c r="C27" s="9" t="s">
        <v>81</v>
      </c>
      <c r="D27" s="11"/>
      <c r="E27" s="11"/>
      <c r="F27" s="11"/>
      <c r="G27" s="11"/>
    </row>
    <row r="28" spans="1:9" x14ac:dyDescent="0.25">
      <c r="A28" t="s">
        <v>62</v>
      </c>
      <c r="B28" s="22">
        <v>0.03</v>
      </c>
      <c r="C28">
        <f>B28*B25</f>
        <v>1.5</v>
      </c>
    </row>
    <row r="29" spans="1:9" x14ac:dyDescent="0.25">
      <c r="A29" t="s">
        <v>63</v>
      </c>
      <c r="B29" s="22">
        <v>0.03</v>
      </c>
      <c r="C29">
        <f>B29*B26</f>
        <v>3</v>
      </c>
    </row>
    <row r="32" spans="1:9" x14ac:dyDescent="0.25">
      <c r="A32" s="10" t="s">
        <v>82</v>
      </c>
      <c r="B32" s="20"/>
      <c r="C32" s="20"/>
      <c r="D32" s="20"/>
      <c r="E32" s="20"/>
      <c r="F32" s="20"/>
      <c r="G32" s="20"/>
    </row>
    <row r="33" spans="1:7" x14ac:dyDescent="0.25">
      <c r="A33" s="17"/>
      <c r="B33" s="9" t="s">
        <v>83</v>
      </c>
      <c r="C33" s="9" t="s">
        <v>47</v>
      </c>
      <c r="D33" s="9" t="s">
        <v>48</v>
      </c>
      <c r="E33" s="9" t="s">
        <v>49</v>
      </c>
      <c r="F33" s="9" t="s">
        <v>57</v>
      </c>
      <c r="G33" s="9" t="s">
        <v>73</v>
      </c>
    </row>
    <row r="34" spans="1:7" x14ac:dyDescent="0.25">
      <c r="A34" s="1" t="s">
        <v>52</v>
      </c>
    </row>
    <row r="35" spans="1:7" x14ac:dyDescent="0.25">
      <c r="A35" t="s">
        <v>65</v>
      </c>
      <c r="B35" s="17">
        <f>C28</f>
        <v>1.5</v>
      </c>
      <c r="C35">
        <v>100</v>
      </c>
      <c r="D35">
        <f>C35*B35</f>
        <v>150</v>
      </c>
      <c r="E35">
        <f>D35/1000000</f>
        <v>1.4999999999999999E-4</v>
      </c>
      <c r="F35">
        <f>B35*C35*$G$40</f>
        <v>450</v>
      </c>
      <c r="G35">
        <f>F35/1000000</f>
        <v>4.4999999999999999E-4</v>
      </c>
    </row>
    <row r="36" spans="1:7" x14ac:dyDescent="0.25">
      <c r="A36" t="s">
        <v>64</v>
      </c>
      <c r="B36" s="17">
        <f>C29</f>
        <v>3</v>
      </c>
      <c r="C36">
        <v>100</v>
      </c>
      <c r="D36">
        <f>C36*B36</f>
        <v>300</v>
      </c>
      <c r="E36">
        <f>D36/1000000</f>
        <v>2.9999999999999997E-4</v>
      </c>
      <c r="F36">
        <f>B36*C36*$G$40</f>
        <v>900</v>
      </c>
      <c r="G36">
        <f>F36/1000000</f>
        <v>8.9999999999999998E-4</v>
      </c>
    </row>
    <row r="37" spans="1:7" x14ac:dyDescent="0.25">
      <c r="A37" t="s">
        <v>50</v>
      </c>
      <c r="B37" s="3">
        <v>300</v>
      </c>
      <c r="C37" s="3">
        <v>10</v>
      </c>
      <c r="D37">
        <f>C37*B37</f>
        <v>3000</v>
      </c>
      <c r="E37">
        <f>D37/1000000</f>
        <v>3.0000000000000001E-3</v>
      </c>
      <c r="F37">
        <f>B37*C37*$G$40</f>
        <v>9000</v>
      </c>
      <c r="G37">
        <f>F37/1000000</f>
        <v>8.9999999999999993E-3</v>
      </c>
    </row>
    <row r="38" spans="1:7" x14ac:dyDescent="0.25">
      <c r="A38" t="s">
        <v>51</v>
      </c>
      <c r="B38" s="3">
        <v>100</v>
      </c>
      <c r="C38">
        <v>100</v>
      </c>
      <c r="D38">
        <f>C38*B38</f>
        <v>10000</v>
      </c>
      <c r="E38">
        <f>D38/1000000</f>
        <v>0.01</v>
      </c>
      <c r="F38">
        <f>B38*C38*$G$40</f>
        <v>30000</v>
      </c>
      <c r="G38">
        <f>F38/1000000</f>
        <v>0.03</v>
      </c>
    </row>
    <row r="39" spans="1:7" x14ac:dyDescent="0.25">
      <c r="A39" s="11"/>
      <c r="B39" s="11"/>
      <c r="C39" s="11"/>
      <c r="D39" s="11"/>
      <c r="E39" s="25">
        <f>SUM(E35:E38)</f>
        <v>1.345E-2</v>
      </c>
      <c r="F39" s="11"/>
      <c r="G39" s="25">
        <f>SUM(G35:G38)</f>
        <v>4.0349999999999997E-2</v>
      </c>
    </row>
    <row r="40" spans="1:7" x14ac:dyDescent="0.25">
      <c r="F40" s="23" t="s">
        <v>71</v>
      </c>
      <c r="G40" s="3">
        <v>3</v>
      </c>
    </row>
    <row r="41" spans="1:7" x14ac:dyDescent="0.25">
      <c r="D41" s="17"/>
      <c r="E41" s="17"/>
      <c r="F41" s="17"/>
      <c r="G41" s="17"/>
    </row>
    <row r="42" spans="1:7" x14ac:dyDescent="0.25">
      <c r="A42" t="s">
        <v>55</v>
      </c>
      <c r="C42" s="17"/>
      <c r="D42" s="17"/>
      <c r="E42" s="17"/>
      <c r="F42" s="17"/>
      <c r="G42" s="17"/>
    </row>
    <row r="43" spans="1:7" x14ac:dyDescent="0.25">
      <c r="A43" t="s">
        <v>56</v>
      </c>
      <c r="C43" s="17"/>
      <c r="D43" s="17"/>
      <c r="E43" s="17"/>
      <c r="F43" s="17"/>
      <c r="G43" s="17"/>
    </row>
    <row r="44" spans="1:7" x14ac:dyDescent="0.25">
      <c r="A44" t="s">
        <v>84</v>
      </c>
      <c r="B44" s="17"/>
      <c r="C44" s="17"/>
      <c r="D44" s="17"/>
      <c r="E44" s="17"/>
      <c r="F44" s="17"/>
      <c r="G44" s="17"/>
    </row>
    <row r="45" spans="1:7" x14ac:dyDescent="0.25">
      <c r="A45" s="23"/>
      <c r="B45" s="17"/>
      <c r="C45" s="17"/>
      <c r="D45" s="17"/>
      <c r="E45" s="17"/>
      <c r="F45" s="17"/>
      <c r="G45" s="17"/>
    </row>
    <row r="46" spans="1:7" x14ac:dyDescent="0.25">
      <c r="A46" s="17"/>
      <c r="B46" s="17"/>
      <c r="C46" s="17"/>
      <c r="D46" s="17"/>
      <c r="E46" s="17"/>
      <c r="F46" s="17"/>
      <c r="G46" s="17"/>
    </row>
    <row r="47" spans="1:7" x14ac:dyDescent="0.25">
      <c r="A47" s="17"/>
      <c r="B47" s="17"/>
      <c r="C47" s="17"/>
      <c r="D47" s="17"/>
      <c r="E47" s="17"/>
      <c r="F47" s="17"/>
      <c r="G47" s="17"/>
    </row>
    <row r="48" spans="1:7" x14ac:dyDescent="0.25">
      <c r="A48" s="17"/>
      <c r="B48" s="17"/>
      <c r="C48" s="17"/>
      <c r="D48" s="17"/>
      <c r="E48" s="17"/>
      <c r="F48" s="17"/>
      <c r="G48" s="17"/>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98"/>
  <sheetViews>
    <sheetView zoomScaleNormal="100" workbookViewId="0">
      <selection activeCell="C18" sqref="C18"/>
    </sheetView>
  </sheetViews>
  <sheetFormatPr defaultRowHeight="15" x14ac:dyDescent="0.25"/>
  <cols>
    <col min="1" max="1" width="26.28515625" customWidth="1"/>
    <col min="2" max="2" width="12.42578125" bestFit="1" customWidth="1"/>
    <col min="3" max="3" width="15.42578125" customWidth="1"/>
    <col min="4" max="4" width="19.42578125" customWidth="1"/>
    <col min="5" max="5" width="16.5703125" customWidth="1"/>
    <col min="6" max="6" width="19" customWidth="1"/>
    <col min="19" max="19" width="23.7109375" customWidth="1"/>
  </cols>
  <sheetData>
    <row r="1" spans="1:20" ht="36.75" thickBot="1" x14ac:dyDescent="0.6">
      <c r="A1" s="24" t="s">
        <v>108</v>
      </c>
    </row>
    <row r="2" spans="1:20" x14ac:dyDescent="0.25">
      <c r="A2" s="26" t="s">
        <v>76</v>
      </c>
      <c r="N2" s="41" t="s">
        <v>183</v>
      </c>
      <c r="O2" s="42"/>
      <c r="P2" s="42"/>
      <c r="Q2" s="42"/>
      <c r="R2" s="42"/>
      <c r="S2" s="42"/>
      <c r="T2" s="43"/>
    </row>
    <row r="3" spans="1:20" x14ac:dyDescent="0.25">
      <c r="N3" s="44"/>
      <c r="O3" s="45" t="s">
        <v>184</v>
      </c>
      <c r="P3" s="45"/>
      <c r="Q3" s="45"/>
      <c r="R3" s="45"/>
      <c r="S3" s="45"/>
      <c r="T3" s="46"/>
    </row>
    <row r="4" spans="1:20" ht="15.75" thickBot="1" x14ac:dyDescent="0.3">
      <c r="A4" s="10" t="s">
        <v>77</v>
      </c>
      <c r="B4" s="18"/>
      <c r="C4" s="9" t="s">
        <v>32</v>
      </c>
      <c r="D4" s="9" t="s">
        <v>33</v>
      </c>
      <c r="E4" s="9" t="s">
        <v>34</v>
      </c>
      <c r="F4" s="9" t="s">
        <v>35</v>
      </c>
      <c r="N4" s="47"/>
      <c r="O4" s="48" t="s">
        <v>185</v>
      </c>
      <c r="P4" s="48"/>
      <c r="Q4" s="48"/>
      <c r="R4" s="48"/>
      <c r="S4" s="48"/>
      <c r="T4" s="49"/>
    </row>
    <row r="5" spans="1:20" x14ac:dyDescent="0.25">
      <c r="A5" t="s">
        <v>102</v>
      </c>
      <c r="B5" s="30">
        <v>0.14000000000000001</v>
      </c>
      <c r="C5" s="7"/>
      <c r="D5" s="7"/>
      <c r="E5" s="16"/>
      <c r="F5" s="16"/>
      <c r="G5" s="16"/>
      <c r="H5" t="s">
        <v>66</v>
      </c>
    </row>
    <row r="6" spans="1:20" x14ac:dyDescent="0.25">
      <c r="A6" t="s">
        <v>103</v>
      </c>
      <c r="B6" s="16"/>
      <c r="C6" s="31">
        <f>C42</f>
        <v>12.51018</v>
      </c>
      <c r="D6" s="31">
        <f>D42</f>
        <v>18.765450000000001</v>
      </c>
      <c r="E6" s="31">
        <f>E42</f>
        <v>28.148714999999999</v>
      </c>
      <c r="F6" s="31">
        <f>F42</f>
        <v>42.224692500000003</v>
      </c>
      <c r="G6" s="16"/>
      <c r="H6" t="s">
        <v>104</v>
      </c>
    </row>
    <row r="7" spans="1:20" x14ac:dyDescent="0.25">
      <c r="A7" s="9" t="s">
        <v>105</v>
      </c>
      <c r="B7" s="13"/>
      <c r="C7" s="15">
        <f>C6*$B$5</f>
        <v>1.7514252000000001</v>
      </c>
      <c r="D7" s="15">
        <f>D6*$B$5</f>
        <v>2.6271630000000004</v>
      </c>
      <c r="E7" s="15">
        <f>E6*$B$5</f>
        <v>3.9408201000000003</v>
      </c>
      <c r="F7" s="15">
        <f>F6*$B$5</f>
        <v>5.9114569500000007</v>
      </c>
      <c r="G7" s="16"/>
      <c r="H7" t="s">
        <v>122</v>
      </c>
    </row>
    <row r="8" spans="1:20" x14ac:dyDescent="0.25">
      <c r="A8" s="4" t="s">
        <v>123</v>
      </c>
      <c r="B8" s="4"/>
      <c r="C8" s="33">
        <f>C7/C18</f>
        <v>3.5028504000000002E-2</v>
      </c>
      <c r="D8" s="33">
        <f>D7/D18</f>
        <v>3.5028840000000006E-2</v>
      </c>
      <c r="E8" s="33">
        <f>E7/E18</f>
        <v>3.5029512000000006E-2</v>
      </c>
      <c r="F8" s="33">
        <f>F7/F18</f>
        <v>3.5030856000000006E-2</v>
      </c>
      <c r="G8" s="16"/>
    </row>
    <row r="9" spans="1:20" x14ac:dyDescent="0.25">
      <c r="A9" t="s">
        <v>107</v>
      </c>
      <c r="B9" s="30">
        <v>0.01</v>
      </c>
      <c r="G9" s="16"/>
    </row>
    <row r="10" spans="1:20" x14ac:dyDescent="0.25">
      <c r="A10" s="11" t="s">
        <v>124</v>
      </c>
      <c r="B10" s="11"/>
      <c r="C10" s="34">
        <f>C65*$B$9</f>
        <v>7.7449999999999991E-2</v>
      </c>
      <c r="D10" s="34">
        <f>D65*$B$9</f>
        <v>0.12087500000000002</v>
      </c>
      <c r="E10" s="34">
        <f>E65*$B$9</f>
        <v>0.2109125</v>
      </c>
      <c r="F10" s="34">
        <f>F65*$B$9</f>
        <v>0.42066874999999998</v>
      </c>
      <c r="G10" s="29"/>
      <c r="H10" s="17"/>
    </row>
    <row r="11" spans="1:20" x14ac:dyDescent="0.25">
      <c r="A11" s="4" t="s">
        <v>123</v>
      </c>
      <c r="B11" s="4"/>
      <c r="C11" s="33">
        <f>C10/C18</f>
        <v>1.5489999999999998E-3</v>
      </c>
      <c r="D11" s="33">
        <f>D10/D18</f>
        <v>1.6116666666666671E-3</v>
      </c>
      <c r="E11" s="33">
        <f>E10/E18</f>
        <v>1.8747777777777777E-3</v>
      </c>
      <c r="F11" s="33">
        <f>F10/F18</f>
        <v>2.4928518518518516E-3</v>
      </c>
    </row>
    <row r="14" spans="1:20" x14ac:dyDescent="0.25">
      <c r="A14" s="9" t="s">
        <v>90</v>
      </c>
      <c r="B14" s="11"/>
      <c r="C14" s="11"/>
      <c r="D14" s="11"/>
      <c r="E14" s="11"/>
      <c r="F14" s="11"/>
      <c r="G14" s="1"/>
      <c r="K14" s="28" t="s">
        <v>66</v>
      </c>
    </row>
    <row r="15" spans="1:20" x14ac:dyDescent="0.25">
      <c r="B15" s="9" t="s">
        <v>74</v>
      </c>
      <c r="C15" s="9" t="s">
        <v>32</v>
      </c>
      <c r="D15" s="9" t="s">
        <v>33</v>
      </c>
      <c r="E15" s="9" t="s">
        <v>34</v>
      </c>
      <c r="F15" s="9" t="s">
        <v>35</v>
      </c>
      <c r="G15" s="1"/>
      <c r="K15" t="s">
        <v>85</v>
      </c>
    </row>
    <row r="16" spans="1:20" x14ac:dyDescent="0.25">
      <c r="A16" t="s">
        <v>88</v>
      </c>
      <c r="B16" s="3">
        <v>2000</v>
      </c>
      <c r="C16" s="17">
        <f>C18*50</f>
        <v>2500</v>
      </c>
      <c r="D16" s="17">
        <f>D18*50</f>
        <v>3750</v>
      </c>
      <c r="E16" s="17">
        <f>E18*50</f>
        <v>5625</v>
      </c>
      <c r="F16" s="17">
        <f>F18*50</f>
        <v>8437.5</v>
      </c>
      <c r="K16" t="s">
        <v>8</v>
      </c>
    </row>
    <row r="17" spans="1:11" x14ac:dyDescent="0.25">
      <c r="A17" t="s">
        <v>1</v>
      </c>
      <c r="B17" s="3">
        <v>1000</v>
      </c>
      <c r="C17" s="17">
        <f>C18+C19</f>
        <v>150</v>
      </c>
      <c r="D17" s="17">
        <f>D18+D19</f>
        <v>375</v>
      </c>
      <c r="E17" s="17">
        <f>E18+E19</f>
        <v>1012.5</v>
      </c>
      <c r="F17" s="17">
        <f>F18+F19</f>
        <v>2868.75</v>
      </c>
      <c r="K17" t="s">
        <v>86</v>
      </c>
    </row>
    <row r="18" spans="1:11" x14ac:dyDescent="0.25">
      <c r="A18" t="s">
        <v>75</v>
      </c>
      <c r="B18" s="3">
        <v>200</v>
      </c>
      <c r="C18" s="3">
        <v>50</v>
      </c>
      <c r="D18" s="17">
        <f>(C18*$G$18)+C18</f>
        <v>75</v>
      </c>
      <c r="E18" s="17">
        <f>(D18*$G$18)+D18</f>
        <v>112.5</v>
      </c>
      <c r="F18" s="17">
        <f>(E18*$G$18)+E18</f>
        <v>168.75</v>
      </c>
      <c r="G18" s="22">
        <v>0.5</v>
      </c>
      <c r="H18" s="9" t="s">
        <v>106</v>
      </c>
      <c r="K18" t="s">
        <v>87</v>
      </c>
    </row>
    <row r="19" spans="1:11" x14ac:dyDescent="0.25">
      <c r="A19" t="s">
        <v>7</v>
      </c>
      <c r="B19" s="3">
        <v>200</v>
      </c>
      <c r="C19" s="3">
        <v>100</v>
      </c>
      <c r="D19" s="17">
        <f>(C19*$G$19)+C19</f>
        <v>300</v>
      </c>
      <c r="E19" s="17">
        <f>(D19*$G$19)+D19</f>
        <v>900</v>
      </c>
      <c r="F19" s="17">
        <f>(E19*$G$19)+E19</f>
        <v>2700</v>
      </c>
      <c r="G19" s="22">
        <v>2</v>
      </c>
      <c r="H19" s="9" t="s">
        <v>106</v>
      </c>
    </row>
    <row r="20" spans="1:11" x14ac:dyDescent="0.25">
      <c r="A20" s="9" t="s">
        <v>9</v>
      </c>
      <c r="B20" s="11"/>
      <c r="C20" s="11">
        <f>SUM(C16:C19)</f>
        <v>2800</v>
      </c>
      <c r="D20" s="11">
        <f>SUM(D16:D19)</f>
        <v>4500</v>
      </c>
      <c r="E20" s="11">
        <f>SUM(E16:E19)</f>
        <v>7650</v>
      </c>
      <c r="F20" s="11">
        <f>SUM(F16:F19)</f>
        <v>14175</v>
      </c>
    </row>
    <row r="22" spans="1:11" x14ac:dyDescent="0.25">
      <c r="A22" s="9" t="s">
        <v>89</v>
      </c>
      <c r="B22" s="11"/>
      <c r="C22" s="11"/>
      <c r="D22" s="11"/>
      <c r="E22" s="11"/>
      <c r="F22" s="11"/>
    </row>
    <row r="23" spans="1:11" x14ac:dyDescent="0.25">
      <c r="C23" s="9" t="s">
        <v>32</v>
      </c>
      <c r="D23" s="9" t="s">
        <v>33</v>
      </c>
      <c r="E23" s="9" t="s">
        <v>34</v>
      </c>
      <c r="F23" s="9" t="s">
        <v>35</v>
      </c>
    </row>
    <row r="24" spans="1:11" x14ac:dyDescent="0.25">
      <c r="A24" t="s">
        <v>88</v>
      </c>
      <c r="C24">
        <f>C16*B16</f>
        <v>5000000</v>
      </c>
      <c r="D24">
        <f>D16*B16</f>
        <v>7500000</v>
      </c>
      <c r="E24">
        <f>E16*B16</f>
        <v>11250000</v>
      </c>
      <c r="F24">
        <f>F16*B16</f>
        <v>16875000</v>
      </c>
    </row>
    <row r="25" spans="1:11" x14ac:dyDescent="0.25">
      <c r="A25" t="s">
        <v>1</v>
      </c>
      <c r="C25">
        <f>C17*B17</f>
        <v>150000</v>
      </c>
      <c r="D25">
        <f>D17*B17</f>
        <v>375000</v>
      </c>
      <c r="E25">
        <f>E17*B17</f>
        <v>1012500</v>
      </c>
      <c r="F25">
        <f>F17*B17</f>
        <v>2868750</v>
      </c>
    </row>
    <row r="26" spans="1:11" x14ac:dyDescent="0.25">
      <c r="A26" t="s">
        <v>75</v>
      </c>
      <c r="C26">
        <f>C18*B18</f>
        <v>10000</v>
      </c>
      <c r="D26">
        <f>D18*B18</f>
        <v>15000</v>
      </c>
      <c r="E26">
        <f>E18*B18</f>
        <v>22500</v>
      </c>
      <c r="F26">
        <f>F18*B18</f>
        <v>33750</v>
      </c>
    </row>
    <row r="27" spans="1:11" x14ac:dyDescent="0.25">
      <c r="A27" t="s">
        <v>7</v>
      </c>
      <c r="C27">
        <f>C19*B19</f>
        <v>20000</v>
      </c>
      <c r="D27">
        <f>D19*B19</f>
        <v>60000</v>
      </c>
      <c r="E27">
        <f>E19*B19</f>
        <v>180000</v>
      </c>
      <c r="F27">
        <f>F19*B19</f>
        <v>540000</v>
      </c>
    </row>
    <row r="28" spans="1:11" x14ac:dyDescent="0.25">
      <c r="A28" s="9" t="s">
        <v>10</v>
      </c>
      <c r="B28" s="9"/>
      <c r="C28" s="9">
        <f>SUM(C24:C27)</f>
        <v>5180000</v>
      </c>
      <c r="D28" s="9">
        <f>SUM(D24:D27)</f>
        <v>7950000</v>
      </c>
      <c r="E28" s="9">
        <f>SUM(E24:E27)</f>
        <v>12465000</v>
      </c>
      <c r="F28" s="9">
        <f>SUM(F24:F27)</f>
        <v>20317500</v>
      </c>
    </row>
    <row r="29" spans="1:11" x14ac:dyDescent="0.25">
      <c r="A29" s="5" t="s">
        <v>13</v>
      </c>
      <c r="B29" s="6"/>
      <c r="C29" s="25">
        <f>C28/1000000000</f>
        <v>5.1799999999999997E-3</v>
      </c>
      <c r="D29" s="25">
        <f>D28/1000000000</f>
        <v>7.9500000000000005E-3</v>
      </c>
      <c r="E29" s="25">
        <f>E28/1000000000</f>
        <v>1.2465E-2</v>
      </c>
      <c r="F29" s="25">
        <f>F28/1000000000</f>
        <v>2.0317499999999999E-2</v>
      </c>
      <c r="H29" t="s">
        <v>136</v>
      </c>
    </row>
    <row r="30" spans="1:11" x14ac:dyDescent="0.25">
      <c r="A30" s="9" t="s">
        <v>92</v>
      </c>
      <c r="B30" s="11"/>
      <c r="C30" s="9"/>
      <c r="D30" s="9"/>
      <c r="E30" s="9"/>
      <c r="F30" s="9"/>
    </row>
    <row r="31" spans="1:11" x14ac:dyDescent="0.25">
      <c r="C31" s="9" t="s">
        <v>32</v>
      </c>
      <c r="D31" s="9" t="s">
        <v>33</v>
      </c>
      <c r="E31" s="9" t="s">
        <v>34</v>
      </c>
      <c r="F31" s="9" t="s">
        <v>35</v>
      </c>
      <c r="H31" t="s">
        <v>66</v>
      </c>
    </row>
    <row r="32" spans="1:11" x14ac:dyDescent="0.25">
      <c r="A32" t="s">
        <v>11</v>
      </c>
      <c r="B32" s="3">
        <v>5000000</v>
      </c>
      <c r="C32">
        <f>C16*$B$32</f>
        <v>12500000000</v>
      </c>
      <c r="D32">
        <f>D16*$B$32</f>
        <v>18750000000</v>
      </c>
      <c r="E32">
        <f>E16*$B$32</f>
        <v>28125000000</v>
      </c>
      <c r="F32">
        <f>F16*$B$32</f>
        <v>42187500000</v>
      </c>
      <c r="H32" t="s">
        <v>91</v>
      </c>
    </row>
    <row r="33" spans="1:8" x14ac:dyDescent="0.25">
      <c r="A33" t="s">
        <v>93</v>
      </c>
      <c r="C33">
        <f>C$16*$B$32</f>
        <v>12500000000</v>
      </c>
      <c r="D33">
        <f>D$16*$B$32</f>
        <v>18750000000</v>
      </c>
      <c r="E33">
        <f>E$16*$B$32</f>
        <v>28125000000</v>
      </c>
      <c r="F33">
        <f>F$16*$B$32</f>
        <v>42187500000</v>
      </c>
    </row>
    <row r="34" spans="1:8" x14ac:dyDescent="0.25">
      <c r="A34" s="28" t="s">
        <v>94</v>
      </c>
      <c r="B34" s="28"/>
      <c r="C34" s="28">
        <f>C33/1000000000</f>
        <v>12.5</v>
      </c>
      <c r="D34" s="28">
        <f>D33/1000000000</f>
        <v>18.75</v>
      </c>
      <c r="E34" s="28">
        <f>E33/1000000000</f>
        <v>28.125</v>
      </c>
      <c r="F34" s="28">
        <f>F33/1000000000</f>
        <v>42.1875</v>
      </c>
    </row>
    <row r="36" spans="1:8" x14ac:dyDescent="0.25">
      <c r="A36" s="9" t="s">
        <v>95</v>
      </c>
      <c r="B36" s="11"/>
      <c r="C36" s="9"/>
      <c r="D36" s="9"/>
      <c r="E36" s="9"/>
      <c r="F36" s="9"/>
    </row>
    <row r="37" spans="1:8" x14ac:dyDescent="0.25">
      <c r="C37" s="9" t="s">
        <v>32</v>
      </c>
      <c r="D37" s="9" t="s">
        <v>33</v>
      </c>
      <c r="E37" s="9" t="s">
        <v>34</v>
      </c>
      <c r="F37" s="9" t="s">
        <v>35</v>
      </c>
      <c r="H37" t="s">
        <v>96</v>
      </c>
    </row>
    <row r="38" spans="1:8" x14ac:dyDescent="0.25">
      <c r="A38" t="s">
        <v>101</v>
      </c>
      <c r="B38" s="3">
        <v>2000</v>
      </c>
      <c r="C38">
        <f>C16*$B$38</f>
        <v>5000000</v>
      </c>
      <c r="D38">
        <f>D16*$B$38</f>
        <v>7500000</v>
      </c>
      <c r="E38">
        <f>E16*$B$38</f>
        <v>11250000</v>
      </c>
      <c r="F38">
        <f>F16*$B$38</f>
        <v>16875000</v>
      </c>
      <c r="H38" t="s">
        <v>97</v>
      </c>
    </row>
    <row r="40" spans="1:8" x14ac:dyDescent="0.25">
      <c r="A40" s="27" t="s">
        <v>98</v>
      </c>
      <c r="B40" s="27"/>
      <c r="C40" s="27">
        <f>C28+C32+C38</f>
        <v>12510180000</v>
      </c>
      <c r="D40" s="27">
        <f>D28+D32+D38</f>
        <v>18765450000</v>
      </c>
      <c r="E40" s="27">
        <f>E28+E32+E38</f>
        <v>28148715000</v>
      </c>
      <c r="F40" s="27">
        <f>F28+F32+F38</f>
        <v>42224692500</v>
      </c>
    </row>
    <row r="41" spans="1:8" x14ac:dyDescent="0.25">
      <c r="A41" s="11" t="s">
        <v>12</v>
      </c>
      <c r="B41" s="11"/>
      <c r="C41" s="11">
        <f>C40/1000000</f>
        <v>12510.18</v>
      </c>
      <c r="D41" s="11">
        <f>D40/1000000</f>
        <v>18765.45</v>
      </c>
      <c r="E41" s="11">
        <f>E40/1000000</f>
        <v>28148.715</v>
      </c>
      <c r="F41" s="11">
        <f>F40/1000000</f>
        <v>42224.692499999997</v>
      </c>
    </row>
    <row r="42" spans="1:8" x14ac:dyDescent="0.25">
      <c r="A42" s="9" t="s">
        <v>13</v>
      </c>
      <c r="B42" s="9"/>
      <c r="C42" s="8">
        <f>C40/1000000000</f>
        <v>12.51018</v>
      </c>
      <c r="D42" s="8">
        <f>D40/1000000000</f>
        <v>18.765450000000001</v>
      </c>
      <c r="E42" s="8">
        <f>E40/1000000000</f>
        <v>28.148714999999999</v>
      </c>
      <c r="F42" s="8">
        <f>F40/1000000000</f>
        <v>42.224692500000003</v>
      </c>
      <c r="H42" t="s">
        <v>99</v>
      </c>
    </row>
    <row r="45" spans="1:8" x14ac:dyDescent="0.25">
      <c r="A45" s="9" t="s">
        <v>100</v>
      </c>
      <c r="B45" s="9"/>
      <c r="C45" s="9">
        <f>(C32/C18)/1000000</f>
        <v>250</v>
      </c>
      <c r="D45" s="9">
        <f>(D32/D18)/1000000</f>
        <v>250</v>
      </c>
      <c r="E45" s="9">
        <f>(E32/E18)/1000000</f>
        <v>250</v>
      </c>
      <c r="F45" s="9">
        <f>(F32/F18)/1000000</f>
        <v>250</v>
      </c>
    </row>
    <row r="47" spans="1:8" x14ac:dyDescent="0.25">
      <c r="A47" s="9" t="s">
        <v>110</v>
      </c>
      <c r="B47" s="11"/>
      <c r="C47" s="11"/>
      <c r="D47" s="11"/>
      <c r="E47" s="11"/>
      <c r="F47" s="11"/>
    </row>
    <row r="48" spans="1:8" x14ac:dyDescent="0.25">
      <c r="B48" s="1" t="s">
        <v>20</v>
      </c>
      <c r="C48" s="9" t="s">
        <v>32</v>
      </c>
      <c r="D48" s="9" t="s">
        <v>33</v>
      </c>
      <c r="E48" s="9" t="s">
        <v>34</v>
      </c>
      <c r="F48" s="9" t="s">
        <v>35</v>
      </c>
    </row>
    <row r="49" spans="1:8" x14ac:dyDescent="0.25">
      <c r="A49" s="2" t="s">
        <v>2</v>
      </c>
      <c r="B49" s="3">
        <v>2</v>
      </c>
      <c r="C49">
        <f t="shared" ref="C49:F52" si="0">$B49*C$19</f>
        <v>200</v>
      </c>
      <c r="D49">
        <f t="shared" si="0"/>
        <v>600</v>
      </c>
      <c r="E49">
        <f t="shared" si="0"/>
        <v>1800</v>
      </c>
      <c r="F49">
        <f t="shared" si="0"/>
        <v>5400</v>
      </c>
    </row>
    <row r="50" spans="1:8" x14ac:dyDescent="0.25">
      <c r="A50" t="s">
        <v>3</v>
      </c>
      <c r="B50">
        <f>$B$49*7</f>
        <v>14</v>
      </c>
      <c r="C50">
        <f t="shared" si="0"/>
        <v>1400</v>
      </c>
      <c r="D50">
        <f t="shared" si="0"/>
        <v>4200</v>
      </c>
      <c r="E50">
        <f t="shared" si="0"/>
        <v>12600</v>
      </c>
      <c r="F50">
        <f t="shared" si="0"/>
        <v>37800</v>
      </c>
    </row>
    <row r="51" spans="1:8" x14ac:dyDescent="0.25">
      <c r="A51" s="9" t="s">
        <v>4</v>
      </c>
      <c r="B51" s="9">
        <f>$B$49*30</f>
        <v>60</v>
      </c>
      <c r="C51" s="9">
        <f t="shared" si="0"/>
        <v>6000</v>
      </c>
      <c r="D51" s="9">
        <f t="shared" si="0"/>
        <v>18000</v>
      </c>
      <c r="E51" s="9">
        <f t="shared" si="0"/>
        <v>54000</v>
      </c>
      <c r="F51" s="9">
        <f t="shared" si="0"/>
        <v>162000</v>
      </c>
      <c r="H51" t="s">
        <v>109</v>
      </c>
    </row>
    <row r="52" spans="1:8" x14ac:dyDescent="0.25">
      <c r="A52" t="s">
        <v>5</v>
      </c>
      <c r="B52">
        <f>$B$49*365</f>
        <v>730</v>
      </c>
      <c r="C52">
        <f t="shared" si="0"/>
        <v>73000</v>
      </c>
      <c r="D52">
        <f t="shared" si="0"/>
        <v>219000</v>
      </c>
      <c r="E52">
        <f t="shared" si="0"/>
        <v>657000</v>
      </c>
      <c r="F52">
        <f t="shared" si="0"/>
        <v>1971000</v>
      </c>
      <c r="H52" t="s">
        <v>21</v>
      </c>
    </row>
    <row r="53" spans="1:8" x14ac:dyDescent="0.25">
      <c r="A53" s="9" t="s">
        <v>22</v>
      </c>
      <c r="B53" s="9"/>
      <c r="C53" s="9">
        <f>C51/10000</f>
        <v>0.6</v>
      </c>
      <c r="D53" s="9">
        <f>D51/10000</f>
        <v>1.8</v>
      </c>
      <c r="E53" s="9">
        <f>E51/10000</f>
        <v>5.4</v>
      </c>
      <c r="F53" s="9">
        <f>F51/10000</f>
        <v>16.2</v>
      </c>
      <c r="H53" t="s">
        <v>25</v>
      </c>
    </row>
    <row r="55" spans="1:8" x14ac:dyDescent="0.25">
      <c r="A55" s="9" t="s">
        <v>111</v>
      </c>
      <c r="B55" s="11"/>
      <c r="C55" s="11"/>
      <c r="D55" s="11"/>
      <c r="E55" s="11"/>
      <c r="F55" s="11"/>
    </row>
    <row r="56" spans="1:8" x14ac:dyDescent="0.25">
      <c r="B56" s="1" t="s">
        <v>20</v>
      </c>
      <c r="C56" s="9" t="s">
        <v>32</v>
      </c>
      <c r="D56" s="9" t="s">
        <v>33</v>
      </c>
      <c r="E56" s="9" t="s">
        <v>34</v>
      </c>
      <c r="F56" s="9" t="s">
        <v>35</v>
      </c>
    </row>
    <row r="57" spans="1:8" x14ac:dyDescent="0.25">
      <c r="A57" s="28" t="s">
        <v>112</v>
      </c>
      <c r="B57" s="3">
        <v>10</v>
      </c>
      <c r="C57">
        <f>C16*$B57</f>
        <v>25000</v>
      </c>
      <c r="D57">
        <f>D16*$B57</f>
        <v>37500</v>
      </c>
      <c r="E57">
        <f>E16*$B57</f>
        <v>56250</v>
      </c>
      <c r="F57">
        <f>F16*$B57</f>
        <v>84375</v>
      </c>
      <c r="H57" t="s">
        <v>113</v>
      </c>
    </row>
    <row r="58" spans="1:8" x14ac:dyDescent="0.25">
      <c r="A58" t="s">
        <v>0</v>
      </c>
      <c r="B58" s="3">
        <v>20</v>
      </c>
      <c r="C58">
        <f t="shared" ref="C58:F61" si="1">C16*$B58</f>
        <v>50000</v>
      </c>
      <c r="D58">
        <f t="shared" si="1"/>
        <v>75000</v>
      </c>
      <c r="E58">
        <f t="shared" si="1"/>
        <v>112500</v>
      </c>
      <c r="F58">
        <f t="shared" si="1"/>
        <v>168750</v>
      </c>
      <c r="H58" t="s">
        <v>14</v>
      </c>
    </row>
    <row r="59" spans="1:8" x14ac:dyDescent="0.25">
      <c r="A59" t="s">
        <v>1</v>
      </c>
      <c r="B59" s="3">
        <v>20</v>
      </c>
      <c r="C59">
        <f t="shared" si="1"/>
        <v>3000</v>
      </c>
      <c r="D59">
        <f t="shared" si="1"/>
        <v>7500</v>
      </c>
      <c r="E59">
        <f t="shared" si="1"/>
        <v>20250</v>
      </c>
      <c r="F59">
        <f t="shared" si="1"/>
        <v>57375</v>
      </c>
      <c r="H59" t="s">
        <v>15</v>
      </c>
    </row>
    <row r="60" spans="1:8" x14ac:dyDescent="0.25">
      <c r="A60" t="s">
        <v>6</v>
      </c>
      <c r="B60" s="3">
        <v>3</v>
      </c>
      <c r="C60">
        <f t="shared" si="1"/>
        <v>150</v>
      </c>
      <c r="D60">
        <f t="shared" si="1"/>
        <v>225</v>
      </c>
      <c r="E60">
        <f t="shared" si="1"/>
        <v>337.5</v>
      </c>
      <c r="F60">
        <f t="shared" si="1"/>
        <v>506.25</v>
      </c>
      <c r="H60" t="s">
        <v>16</v>
      </c>
    </row>
    <row r="61" spans="1:8" x14ac:dyDescent="0.25">
      <c r="A61" t="s">
        <v>7</v>
      </c>
      <c r="B61" s="3">
        <v>3</v>
      </c>
      <c r="C61">
        <f t="shared" si="1"/>
        <v>300</v>
      </c>
      <c r="D61">
        <f t="shared" si="1"/>
        <v>900</v>
      </c>
      <c r="E61">
        <f t="shared" si="1"/>
        <v>2700</v>
      </c>
      <c r="F61">
        <f t="shared" si="1"/>
        <v>8100</v>
      </c>
    </row>
    <row r="62" spans="1:8" x14ac:dyDescent="0.25">
      <c r="A62" s="9" t="s">
        <v>18</v>
      </c>
      <c r="B62" s="9"/>
      <c r="C62" s="9">
        <f>SUM(C58:C61)</f>
        <v>53450</v>
      </c>
      <c r="D62" s="9">
        <f>SUM(D58:D61)</f>
        <v>83625</v>
      </c>
      <c r="E62" s="9">
        <f>SUM(E58:E61)</f>
        <v>135787.5</v>
      </c>
      <c r="F62" s="9">
        <f>SUM(F58:F61)</f>
        <v>234731.25</v>
      </c>
      <c r="H62" t="s">
        <v>116</v>
      </c>
    </row>
    <row r="63" spans="1:8" x14ac:dyDescent="0.25">
      <c r="A63" s="9" t="s">
        <v>19</v>
      </c>
      <c r="B63" s="9"/>
      <c r="C63" s="9">
        <f>C62/10000</f>
        <v>5.3449999999999998</v>
      </c>
      <c r="D63" s="9">
        <f>D62/10000</f>
        <v>8.3625000000000007</v>
      </c>
      <c r="E63" s="9">
        <f>E62/10000</f>
        <v>13.578749999999999</v>
      </c>
      <c r="F63" s="9">
        <f>F62/10000</f>
        <v>23.473125</v>
      </c>
      <c r="H63" t="s">
        <v>117</v>
      </c>
    </row>
    <row r="64" spans="1:8" x14ac:dyDescent="0.25">
      <c r="A64" s="9" t="s">
        <v>114</v>
      </c>
      <c r="B64" s="9"/>
      <c r="C64" s="8">
        <f>C63+C53</f>
        <v>5.9449999999999994</v>
      </c>
      <c r="D64" s="8">
        <f>D63+D53</f>
        <v>10.162500000000001</v>
      </c>
      <c r="E64" s="8">
        <f>E63+E53</f>
        <v>18.978749999999998</v>
      </c>
      <c r="F64" s="8">
        <f>F63+F53</f>
        <v>39.673124999999999</v>
      </c>
    </row>
    <row r="65" spans="1:8" x14ac:dyDescent="0.25">
      <c r="A65" s="9" t="s">
        <v>119</v>
      </c>
      <c r="B65" s="9"/>
      <c r="C65" s="8">
        <f>C64+C73</f>
        <v>7.7449999999999992</v>
      </c>
      <c r="D65" s="8">
        <f>D64+D73</f>
        <v>12.087500000000002</v>
      </c>
      <c r="E65" s="8">
        <f>E64+E73</f>
        <v>21.091249999999999</v>
      </c>
      <c r="F65" s="8">
        <f>F64+F73</f>
        <v>42.066874999999996</v>
      </c>
    </row>
    <row r="69" spans="1:8" x14ac:dyDescent="0.25">
      <c r="A69" s="9" t="s">
        <v>118</v>
      </c>
      <c r="B69" s="9" t="s">
        <v>121</v>
      </c>
      <c r="C69" s="9" t="s">
        <v>32</v>
      </c>
      <c r="D69" s="9" t="s">
        <v>33</v>
      </c>
      <c r="E69" s="9" t="s">
        <v>34</v>
      </c>
      <c r="F69" s="9" t="s">
        <v>35</v>
      </c>
    </row>
    <row r="70" spans="1:8" x14ac:dyDescent="0.25">
      <c r="A70" t="s">
        <v>115</v>
      </c>
      <c r="C70">
        <f>(C16/3)*3</f>
        <v>2500</v>
      </c>
      <c r="D70">
        <f>(D16/3)*3</f>
        <v>3750</v>
      </c>
      <c r="E70">
        <f>(E16/3)*3</f>
        <v>5625</v>
      </c>
      <c r="F70">
        <f>(F16/3)*3</f>
        <v>8437.5</v>
      </c>
    </row>
    <row r="71" spans="1:8" x14ac:dyDescent="0.25">
      <c r="A71" t="s">
        <v>120</v>
      </c>
      <c r="B71" s="3">
        <v>500</v>
      </c>
      <c r="C71">
        <f>$B$71*31</f>
        <v>15500</v>
      </c>
      <c r="D71">
        <f>$B$71*31</f>
        <v>15500</v>
      </c>
      <c r="E71">
        <f>$B$71*31</f>
        <v>15500</v>
      </c>
      <c r="F71">
        <f>$B$71*31</f>
        <v>15500</v>
      </c>
    </row>
    <row r="72" spans="1:8" x14ac:dyDescent="0.25">
      <c r="A72" s="9" t="s">
        <v>18</v>
      </c>
      <c r="B72" s="9"/>
      <c r="C72" s="32">
        <f>SUM(C70:C71)</f>
        <v>18000</v>
      </c>
      <c r="D72" s="32">
        <f>SUM(D70:D71)</f>
        <v>19250</v>
      </c>
      <c r="E72" s="32">
        <f>SUM(E70:E71)</f>
        <v>21125</v>
      </c>
      <c r="F72" s="32">
        <f>SUM(F70:F71)</f>
        <v>23937.5</v>
      </c>
    </row>
    <row r="73" spans="1:8" x14ac:dyDescent="0.25">
      <c r="A73" s="9" t="s">
        <v>19</v>
      </c>
      <c r="B73" s="9"/>
      <c r="C73" s="9">
        <f>C72/10000</f>
        <v>1.8</v>
      </c>
      <c r="D73" s="9">
        <f>D72/10000</f>
        <v>1.925</v>
      </c>
      <c r="E73" s="9">
        <f>E72/10000</f>
        <v>2.1124999999999998</v>
      </c>
      <c r="F73" s="9">
        <f>F72/10000</f>
        <v>2.3937499999999998</v>
      </c>
    </row>
    <row r="77" spans="1:8" x14ac:dyDescent="0.25">
      <c r="A77" s="9" t="s">
        <v>125</v>
      </c>
      <c r="B77" s="9"/>
      <c r="C77" s="9"/>
      <c r="D77" s="9"/>
      <c r="E77" s="9"/>
      <c r="F77" s="9"/>
    </row>
    <row r="78" spans="1:8" x14ac:dyDescent="0.25">
      <c r="C78" s="9" t="s">
        <v>32</v>
      </c>
      <c r="D78" s="9" t="s">
        <v>33</v>
      </c>
      <c r="E78" s="9" t="s">
        <v>34</v>
      </c>
      <c r="F78" s="9" t="s">
        <v>35</v>
      </c>
    </row>
    <row r="79" spans="1:8" x14ac:dyDescent="0.25">
      <c r="H79" t="s">
        <v>127</v>
      </c>
    </row>
    <row r="80" spans="1:8" x14ac:dyDescent="0.25">
      <c r="A80" t="s">
        <v>128</v>
      </c>
      <c r="C80">
        <f>C32/3</f>
        <v>4166666666.6666665</v>
      </c>
      <c r="D80">
        <f>D32/3</f>
        <v>6250000000</v>
      </c>
      <c r="E80">
        <f>E32/3</f>
        <v>9375000000</v>
      </c>
      <c r="F80">
        <f>F32/3</f>
        <v>14062500000</v>
      </c>
      <c r="H80" t="s">
        <v>126</v>
      </c>
    </row>
    <row r="81" spans="1:8" x14ac:dyDescent="0.25">
      <c r="A81" t="s">
        <v>129</v>
      </c>
      <c r="C81">
        <f>C28/3</f>
        <v>1726666.6666666667</v>
      </c>
      <c r="D81">
        <f>D28/3</f>
        <v>2650000</v>
      </c>
      <c r="E81">
        <f>E28/3</f>
        <v>4155000</v>
      </c>
      <c r="F81">
        <f>F28/3</f>
        <v>6772500</v>
      </c>
      <c r="H81" t="s">
        <v>23</v>
      </c>
    </row>
    <row r="82" spans="1:8" x14ac:dyDescent="0.25">
      <c r="A82" t="s">
        <v>130</v>
      </c>
      <c r="C82">
        <f>SUM(C80:C81)</f>
        <v>4168393333.333333</v>
      </c>
      <c r="D82">
        <f>SUM(D80:D81)</f>
        <v>6252650000</v>
      </c>
      <c r="E82">
        <f>SUM(E80:E81)</f>
        <v>9379155000</v>
      </c>
      <c r="F82">
        <f>SUM(F80:F81)</f>
        <v>14069272500</v>
      </c>
      <c r="H82" t="s">
        <v>24</v>
      </c>
    </row>
    <row r="83" spans="1:8" x14ac:dyDescent="0.25">
      <c r="A83" s="4" t="s">
        <v>133</v>
      </c>
      <c r="B83" s="4"/>
      <c r="C83" s="4">
        <f>C82/1000000000</f>
        <v>4.1683933333333334</v>
      </c>
      <c r="D83" s="4">
        <f>D82/1000000000</f>
        <v>6.25265</v>
      </c>
      <c r="E83" s="4">
        <f>E82/1000000000</f>
        <v>9.3791550000000008</v>
      </c>
      <c r="F83" s="4">
        <f>F82/1000000000</f>
        <v>14.0692725</v>
      </c>
      <c r="H83" t="s">
        <v>27</v>
      </c>
    </row>
    <row r="84" spans="1:8" x14ac:dyDescent="0.25">
      <c r="A84" s="4" t="s">
        <v>30</v>
      </c>
      <c r="B84" s="4"/>
      <c r="C84" s="4">
        <f>C83/(24*31)</f>
        <v>5.6026792114695339E-3</v>
      </c>
      <c r="D84" s="4">
        <f>D83/(24*31)</f>
        <v>8.4040994623655919E-3</v>
      </c>
      <c r="E84" s="4">
        <f>E83/(24*31)</f>
        <v>1.2606391129032259E-2</v>
      </c>
      <c r="F84" s="4">
        <f>F83/(24*31)</f>
        <v>1.8910312500000002E-2</v>
      </c>
    </row>
    <row r="85" spans="1:8" x14ac:dyDescent="0.25">
      <c r="A85" t="s">
        <v>131</v>
      </c>
      <c r="C85">
        <f>$B$32*C51</f>
        <v>30000000000</v>
      </c>
      <c r="D85">
        <f>$B$32*D51</f>
        <v>90000000000</v>
      </c>
      <c r="E85">
        <f>$B$32*E51</f>
        <v>270000000000</v>
      </c>
      <c r="F85">
        <f>$B$32*F51</f>
        <v>810000000000</v>
      </c>
    </row>
    <row r="86" spans="1:8" x14ac:dyDescent="0.25">
      <c r="A86" t="s">
        <v>26</v>
      </c>
      <c r="C86">
        <f>$B$88*C87</f>
        <v>90000</v>
      </c>
      <c r="D86">
        <f>$B$88*D87</f>
        <v>180000</v>
      </c>
      <c r="E86">
        <f>$B$88*E87</f>
        <v>300000</v>
      </c>
      <c r="F86">
        <f>$B$88*F87</f>
        <v>1500000</v>
      </c>
    </row>
    <row r="87" spans="1:8" x14ac:dyDescent="0.25">
      <c r="A87" t="s">
        <v>28</v>
      </c>
      <c r="C87" s="3">
        <v>30</v>
      </c>
      <c r="D87" s="3">
        <v>60</v>
      </c>
      <c r="E87" s="3">
        <v>100</v>
      </c>
      <c r="F87" s="3">
        <v>500</v>
      </c>
    </row>
    <row r="88" spans="1:8" x14ac:dyDescent="0.25">
      <c r="A88" t="s">
        <v>29</v>
      </c>
      <c r="B88" s="3">
        <v>3000</v>
      </c>
    </row>
    <row r="89" spans="1:8" x14ac:dyDescent="0.25">
      <c r="C89">
        <f>C85+C86</f>
        <v>30000090000</v>
      </c>
      <c r="D89">
        <f>D85+D86</f>
        <v>90000180000</v>
      </c>
      <c r="E89">
        <f>E85+E86</f>
        <v>270000300000</v>
      </c>
      <c r="F89">
        <f>F85+F86</f>
        <v>810001500000</v>
      </c>
    </row>
    <row r="90" spans="1:8" x14ac:dyDescent="0.25">
      <c r="A90" s="4" t="s">
        <v>132</v>
      </c>
      <c r="B90" s="4"/>
      <c r="C90" s="4">
        <f>C89/1000000000</f>
        <v>30.00009</v>
      </c>
      <c r="D90" s="4">
        <f>D89/1000000000</f>
        <v>90.00018</v>
      </c>
      <c r="E90" s="4">
        <f>E89/1000000000</f>
        <v>270.00029999999998</v>
      </c>
      <c r="F90" s="4">
        <f>F89/1000000000</f>
        <v>810.00149999999996</v>
      </c>
    </row>
    <row r="91" spans="1:8" x14ac:dyDescent="0.25">
      <c r="A91" t="s">
        <v>134</v>
      </c>
      <c r="B91" s="21">
        <v>0.8</v>
      </c>
      <c r="C91" s="25">
        <f t="shared" ref="C91:F92" si="2">C90*$B91</f>
        <v>24.000072000000003</v>
      </c>
      <c r="D91" s="25">
        <f t="shared" si="2"/>
        <v>72.000144000000006</v>
      </c>
      <c r="E91" s="25">
        <f t="shared" si="2"/>
        <v>216.00023999999999</v>
      </c>
      <c r="F91" s="25">
        <f t="shared" si="2"/>
        <v>648.00120000000004</v>
      </c>
    </row>
    <row r="92" spans="1:8" x14ac:dyDescent="0.25">
      <c r="A92" t="s">
        <v>135</v>
      </c>
      <c r="B92" s="21">
        <v>0.2</v>
      </c>
      <c r="C92" s="25">
        <f t="shared" si="2"/>
        <v>4.8000144000000011</v>
      </c>
      <c r="D92" s="25">
        <f t="shared" si="2"/>
        <v>14.400028800000001</v>
      </c>
      <c r="E92" s="25">
        <f t="shared" si="2"/>
        <v>43.200048000000002</v>
      </c>
      <c r="F92" s="25">
        <f t="shared" si="2"/>
        <v>129.60024000000001</v>
      </c>
    </row>
    <row r="93" spans="1:8" x14ac:dyDescent="0.25">
      <c r="A93" t="s">
        <v>30</v>
      </c>
      <c r="C93">
        <f>C90/(31*24)</f>
        <v>4.0322701612903224E-2</v>
      </c>
      <c r="D93">
        <f>D90/(31*24)</f>
        <v>0.12096798387096774</v>
      </c>
      <c r="E93">
        <f>E90/(31*24)</f>
        <v>0.36290362903225803</v>
      </c>
      <c r="F93">
        <f>F90/(31*24)</f>
        <v>1.0887116935483871</v>
      </c>
    </row>
    <row r="95" spans="1:8" x14ac:dyDescent="0.25">
      <c r="A95" t="s">
        <v>179</v>
      </c>
      <c r="B95" s="37">
        <v>0.15</v>
      </c>
      <c r="C95" s="37">
        <f t="shared" ref="C95:F96" si="3">C91*$B95</f>
        <v>3.6000108000000002</v>
      </c>
      <c r="D95" s="37">
        <f t="shared" si="3"/>
        <v>10.800021600000001</v>
      </c>
      <c r="E95" s="37">
        <f t="shared" si="3"/>
        <v>32.400036</v>
      </c>
      <c r="F95" s="37">
        <f t="shared" si="3"/>
        <v>97.200180000000003</v>
      </c>
    </row>
    <row r="96" spans="1:8" x14ac:dyDescent="0.25">
      <c r="A96" t="s">
        <v>180</v>
      </c>
      <c r="B96" s="37">
        <v>0.2</v>
      </c>
      <c r="C96" s="37">
        <f t="shared" si="3"/>
        <v>0.96000288000000022</v>
      </c>
      <c r="D96" s="37">
        <f t="shared" si="3"/>
        <v>2.8800057600000004</v>
      </c>
      <c r="E96" s="37">
        <f t="shared" si="3"/>
        <v>8.6400096000000008</v>
      </c>
      <c r="F96" s="37">
        <f t="shared" si="3"/>
        <v>25.920048000000005</v>
      </c>
    </row>
    <row r="97" spans="1:8" x14ac:dyDescent="0.25">
      <c r="A97" s="11"/>
      <c r="B97" s="11"/>
      <c r="C97" s="39">
        <f>SUM(C95:C96)</f>
        <v>4.5600136800000008</v>
      </c>
      <c r="D97" s="39">
        <f>SUM(D95:D96)</f>
        <v>13.68002736</v>
      </c>
      <c r="E97" s="39">
        <f>SUM(E95:E96)</f>
        <v>41.040045599999999</v>
      </c>
      <c r="F97" s="39">
        <f>SUM(F95:F96)</f>
        <v>123.12022800000001</v>
      </c>
    </row>
    <row r="98" spans="1:8" x14ac:dyDescent="0.25">
      <c r="A98" s="19" t="s">
        <v>181</v>
      </c>
      <c r="B98" s="38">
        <v>1</v>
      </c>
      <c r="C98" s="38">
        <f>C51*$B98</f>
        <v>6000</v>
      </c>
      <c r="D98" s="38">
        <f>D51*$B98</f>
        <v>18000</v>
      </c>
      <c r="E98" s="38">
        <f>E51*$B98</f>
        <v>54000</v>
      </c>
      <c r="F98" s="38">
        <f>F51*$B98</f>
        <v>162000</v>
      </c>
      <c r="H98" t="s">
        <v>187</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zoomScaleNormal="100" workbookViewId="0">
      <selection activeCell="C24" sqref="C24"/>
    </sheetView>
  </sheetViews>
  <sheetFormatPr defaultRowHeight="15" x14ac:dyDescent="0.25"/>
  <cols>
    <col min="1" max="1" width="14" customWidth="1"/>
    <col min="3" max="3" width="13.28515625" customWidth="1"/>
    <col min="4" max="4" width="15" customWidth="1"/>
    <col min="5" max="5" width="12.42578125" customWidth="1"/>
    <col min="6" max="6" width="14.42578125" customWidth="1"/>
    <col min="7" max="7" width="19" customWidth="1"/>
  </cols>
  <sheetData>
    <row r="1" spans="1:16" ht="36" x14ac:dyDescent="0.55000000000000004">
      <c r="A1" s="24" t="s">
        <v>137</v>
      </c>
    </row>
    <row r="2" spans="1:16" x14ac:dyDescent="0.25">
      <c r="A2" s="26" t="s">
        <v>76</v>
      </c>
    </row>
    <row r="4" spans="1:16" ht="15.75" thickBot="1" x14ac:dyDescent="0.3">
      <c r="A4" s="10" t="s">
        <v>138</v>
      </c>
      <c r="B4" s="18"/>
      <c r="C4" s="9" t="s">
        <v>150</v>
      </c>
      <c r="D4" s="9" t="s">
        <v>32</v>
      </c>
      <c r="E4" s="9" t="s">
        <v>33</v>
      </c>
      <c r="F4" s="9" t="s">
        <v>34</v>
      </c>
      <c r="G4" s="9" t="s">
        <v>35</v>
      </c>
    </row>
    <row r="5" spans="1:16" x14ac:dyDescent="0.25">
      <c r="A5" t="s">
        <v>139</v>
      </c>
      <c r="C5" s="14">
        <v>45</v>
      </c>
      <c r="D5" s="40">
        <f>IF(C$25&gt;128000000,0,C$5)</f>
        <v>45</v>
      </c>
      <c r="E5" s="40">
        <f>IF(D$25&gt;128000000,0,D$5)</f>
        <v>45</v>
      </c>
      <c r="F5" s="40">
        <f>IF(E$25&gt;128000000,0,E$5)</f>
        <v>45</v>
      </c>
      <c r="G5" s="40">
        <f>IF(F$25&gt;128000000,0,F$5)</f>
        <v>45</v>
      </c>
      <c r="J5" s="41" t="s">
        <v>183</v>
      </c>
      <c r="K5" s="42"/>
      <c r="L5" s="42"/>
      <c r="M5" s="42"/>
      <c r="N5" s="42"/>
      <c r="O5" s="42"/>
      <c r="P5" s="43"/>
    </row>
    <row r="6" spans="1:16" x14ac:dyDescent="0.25">
      <c r="A6" t="s">
        <v>140</v>
      </c>
      <c r="C6" s="14">
        <v>55</v>
      </c>
      <c r="D6" s="40">
        <f>IF(C$25&gt;128000000,IF(C$25&gt;256000000,0,$C6),0)</f>
        <v>0</v>
      </c>
      <c r="E6" s="40">
        <f>IF(D$25&gt;128000000,IF(D$25&gt;256000000,0,$C6),0)</f>
        <v>0</v>
      </c>
      <c r="F6" s="40">
        <f>IF(E$25&gt;128000000,IF(E$25&gt;256000000,0,$C6),0)</f>
        <v>0</v>
      </c>
      <c r="G6" s="40">
        <f>IF(F$25&gt;128000000,IF(F$25&gt;256000000,0,$C6),0)</f>
        <v>0</v>
      </c>
      <c r="J6" s="44"/>
      <c r="K6" s="45" t="s">
        <v>184</v>
      </c>
      <c r="L6" s="45"/>
      <c r="M6" s="45"/>
      <c r="N6" s="45"/>
      <c r="O6" s="45"/>
      <c r="P6" s="46"/>
    </row>
    <row r="7" spans="1:16" ht="15.75" thickBot="1" x14ac:dyDescent="0.3">
      <c r="A7" t="s">
        <v>141</v>
      </c>
      <c r="C7" s="14">
        <v>75</v>
      </c>
      <c r="D7" s="40">
        <f>IF(C$25&gt;256000000,IF(C$25&gt;512000000,0,$C7),0)</f>
        <v>0</v>
      </c>
      <c r="E7" s="40">
        <f>IF(D$25&gt;256000000,IF(D$25&gt;512000000,0,$C7),0)</f>
        <v>0</v>
      </c>
      <c r="F7" s="40">
        <f>IF(E$25&gt;256000000,IF(E$25&gt;512000000,0,$C7),0)</f>
        <v>0</v>
      </c>
      <c r="G7" s="40">
        <f>IF(F$25&gt;256000000,IF(F$25&gt;512000000,0,$C7),0)</f>
        <v>0</v>
      </c>
      <c r="J7" s="47"/>
      <c r="K7" s="48" t="s">
        <v>185</v>
      </c>
      <c r="L7" s="48"/>
      <c r="M7" s="48"/>
      <c r="N7" s="48"/>
      <c r="O7" s="48"/>
      <c r="P7" s="49"/>
    </row>
    <row r="8" spans="1:16" x14ac:dyDescent="0.25">
      <c r="A8" t="s">
        <v>142</v>
      </c>
      <c r="C8" s="14">
        <v>110</v>
      </c>
      <c r="D8" s="40">
        <f>IF(C$25&gt;512000000,IF(C$25&gt;1000000000,0,$C8),0)</f>
        <v>0</v>
      </c>
      <c r="E8" s="40">
        <f>IF(D$25&gt;512000000,IF(D$25&gt;1000000000,0,$C8),0)</f>
        <v>0</v>
      </c>
      <c r="F8" s="40">
        <f>IF(E$25&gt;512000000,IF(E$25&gt;1000000000,0,$C8),0)</f>
        <v>0</v>
      </c>
      <c r="G8" s="40">
        <f>IF(F$25&gt;512000000,IF(F$25&gt;1000000000,0,$C8),0)</f>
        <v>0</v>
      </c>
    </row>
    <row r="9" spans="1:16" x14ac:dyDescent="0.25">
      <c r="A9" t="s">
        <v>143</v>
      </c>
      <c r="C9" s="14">
        <v>180</v>
      </c>
      <c r="D9" s="40">
        <f>IF(C$25&gt;1000000000,IF(C$25&gt;2000000000,0,$C9),0)</f>
        <v>0</v>
      </c>
      <c r="E9" s="40">
        <f>IF(D$25&gt;1000000000,IF(D$25&gt;2000000000,0,$C9),0)</f>
        <v>0</v>
      </c>
      <c r="F9" s="40">
        <f>IF(E$25&gt;1000000000,IF(E$25&gt;2000000000,0,$C9),0)</f>
        <v>0</v>
      </c>
      <c r="G9" s="40">
        <f>IF(F$25&gt;1000000000,IF(F$25&gt;2000000000,0,$C9),0)</f>
        <v>0</v>
      </c>
    </row>
    <row r="10" spans="1:16" x14ac:dyDescent="0.25">
      <c r="A10" t="s">
        <v>144</v>
      </c>
      <c r="C10" s="14">
        <v>325</v>
      </c>
      <c r="D10" s="40">
        <f>IF(C$25&gt;2000000000,IF(C$25&gt;4000000000,NA,$C10),0)</f>
        <v>0</v>
      </c>
      <c r="E10" s="40">
        <f>IF(D$25&gt;2000000000,IF(D$25&gt;4000000000,NA,$C10),0)</f>
        <v>0</v>
      </c>
      <c r="F10" s="40">
        <f>IF(E$25&gt;2000000000,IF(E$25&gt;4000000000,NA,$C10),0)</f>
        <v>0</v>
      </c>
      <c r="G10" s="40">
        <f>IF(F$25&gt;2000000000,IF(F$25&gt;4000000000,NA,$C10),0)</f>
        <v>0</v>
      </c>
    </row>
    <row r="11" spans="1:16" x14ac:dyDescent="0.25">
      <c r="A11" s="11"/>
      <c r="B11" s="11"/>
      <c r="C11" s="12"/>
      <c r="D11" s="36">
        <f>SUM(D5:D10)</f>
        <v>45</v>
      </c>
      <c r="E11" s="36">
        <f>SUM(E5:E10)</f>
        <v>45</v>
      </c>
      <c r="F11" s="36">
        <f>SUM(F5:F10)</f>
        <v>45</v>
      </c>
      <c r="G11" s="36">
        <f>SUM(G5:G10)</f>
        <v>45</v>
      </c>
    </row>
    <row r="15" spans="1:16" x14ac:dyDescent="0.25">
      <c r="A15" s="10" t="s">
        <v>58</v>
      </c>
      <c r="B15" s="20"/>
      <c r="C15" s="20"/>
      <c r="D15" s="20"/>
      <c r="E15" s="20"/>
      <c r="F15" s="20"/>
      <c r="G15" s="20"/>
    </row>
    <row r="16" spans="1:16" x14ac:dyDescent="0.25">
      <c r="A16" s="23" t="s">
        <v>66</v>
      </c>
      <c r="B16" s="17"/>
      <c r="C16" s="17"/>
      <c r="D16" s="17"/>
      <c r="E16" s="17"/>
      <c r="F16" s="17"/>
      <c r="G16" s="17"/>
    </row>
    <row r="17" spans="1:9" x14ac:dyDescent="0.25">
      <c r="A17" s="17" t="s">
        <v>145</v>
      </c>
      <c r="B17" s="17"/>
      <c r="C17" s="17"/>
      <c r="D17" s="17"/>
      <c r="E17" s="17"/>
      <c r="F17" s="17"/>
      <c r="G17" s="17"/>
    </row>
    <row r="18" spans="1:9" x14ac:dyDescent="0.25">
      <c r="A18" s="17"/>
      <c r="B18" s="17"/>
      <c r="C18" s="17"/>
      <c r="D18" s="17"/>
      <c r="E18" s="17"/>
      <c r="F18" s="17"/>
      <c r="G18" s="17"/>
    </row>
    <row r="19" spans="1:9" x14ac:dyDescent="0.25">
      <c r="A19" s="9" t="s">
        <v>146</v>
      </c>
      <c r="B19" s="11"/>
      <c r="C19" s="11"/>
      <c r="D19" s="11"/>
      <c r="E19" s="11"/>
      <c r="F19" s="11"/>
      <c r="G19" s="17"/>
    </row>
    <row r="20" spans="1:9" x14ac:dyDescent="0.25">
      <c r="B20" s="9" t="s">
        <v>74</v>
      </c>
      <c r="C20" s="9" t="s">
        <v>32</v>
      </c>
      <c r="D20" s="9" t="s">
        <v>33</v>
      </c>
      <c r="E20" s="9" t="s">
        <v>34</v>
      </c>
      <c r="F20" s="9" t="s">
        <v>35</v>
      </c>
      <c r="G20" s="17"/>
    </row>
    <row r="21" spans="1:9" x14ac:dyDescent="0.25">
      <c r="A21" t="s">
        <v>147</v>
      </c>
      <c r="B21" s="3">
        <v>2000</v>
      </c>
      <c r="C21" s="17"/>
      <c r="D21" s="17"/>
      <c r="E21" s="17"/>
      <c r="F21" s="17"/>
    </row>
    <row r="22" spans="1:9" x14ac:dyDescent="0.25">
      <c r="A22" t="s">
        <v>148</v>
      </c>
      <c r="B22" s="3">
        <v>1000</v>
      </c>
      <c r="C22" s="17"/>
      <c r="D22" s="17"/>
      <c r="E22" s="17"/>
      <c r="F22" s="17"/>
    </row>
    <row r="23" spans="1:9" x14ac:dyDescent="0.25">
      <c r="A23" t="s">
        <v>149</v>
      </c>
      <c r="B23" s="3">
        <v>0</v>
      </c>
      <c r="D23" s="17"/>
      <c r="E23" s="17"/>
      <c r="F23" s="17"/>
    </row>
    <row r="24" spans="1:9" x14ac:dyDescent="0.25">
      <c r="A24" t="s">
        <v>31</v>
      </c>
      <c r="C24" s="3">
        <v>150</v>
      </c>
      <c r="D24" s="17">
        <f>(C24*$H$24)+C24</f>
        <v>225</v>
      </c>
      <c r="E24" s="17">
        <f>(D24*$H$24)+D24</f>
        <v>337.5</v>
      </c>
      <c r="F24" s="17">
        <f>(E24*$H$24)+E24</f>
        <v>506.25</v>
      </c>
      <c r="H24" s="22">
        <v>0.5</v>
      </c>
      <c r="I24" t="s">
        <v>106</v>
      </c>
    </row>
    <row r="25" spans="1:9" x14ac:dyDescent="0.25">
      <c r="A25" s="9"/>
      <c r="B25" s="11">
        <f>SUM(B21:B24)</f>
        <v>3000</v>
      </c>
      <c r="C25" s="9">
        <f>$B$25*C24</f>
        <v>450000</v>
      </c>
      <c r="D25" s="9">
        <f>$B$25*D24</f>
        <v>675000</v>
      </c>
      <c r="E25" s="9">
        <f>$B$25*E24</f>
        <v>1012500</v>
      </c>
      <c r="F25" s="9">
        <f>$B$25*F24</f>
        <v>1518750</v>
      </c>
    </row>
    <row r="26" spans="1:9" x14ac:dyDescent="0.25">
      <c r="A26" t="s">
        <v>13</v>
      </c>
      <c r="C26" s="1">
        <f>C25/1000000000</f>
        <v>4.4999999999999999E-4</v>
      </c>
      <c r="D26" s="1">
        <f>D25/1000000000</f>
        <v>6.7500000000000004E-4</v>
      </c>
      <c r="E26" s="1">
        <f>E25/1000000000</f>
        <v>1.0124999999999999E-3</v>
      </c>
      <c r="F26" s="1">
        <f>F25/1000000000</f>
        <v>1.5187499999999999E-3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
  <sheetViews>
    <sheetView zoomScaleNormal="100" workbookViewId="0">
      <selection activeCell="J4" sqref="J4:P6"/>
    </sheetView>
  </sheetViews>
  <sheetFormatPr defaultRowHeight="15" x14ac:dyDescent="0.25"/>
  <cols>
    <col min="1" max="1" width="21.7109375" customWidth="1"/>
    <col min="4" max="4" width="11.5703125" bestFit="1" customWidth="1"/>
  </cols>
  <sheetData>
    <row r="1" spans="1:16" ht="36" x14ac:dyDescent="0.55000000000000004">
      <c r="A1" s="24" t="s">
        <v>152</v>
      </c>
    </row>
    <row r="2" spans="1:16" x14ac:dyDescent="0.25">
      <c r="A2" s="26" t="s">
        <v>76</v>
      </c>
    </row>
    <row r="3" spans="1:16" ht="15.75" thickBot="1" x14ac:dyDescent="0.3"/>
    <row r="4" spans="1:16" x14ac:dyDescent="0.25">
      <c r="A4" s="10" t="s">
        <v>153</v>
      </c>
      <c r="B4" s="9" t="s">
        <v>159</v>
      </c>
      <c r="C4" s="9" t="s">
        <v>32</v>
      </c>
      <c r="D4" s="9" t="s">
        <v>33</v>
      </c>
      <c r="E4" s="9" t="s">
        <v>34</v>
      </c>
      <c r="F4" s="9" t="s">
        <v>35</v>
      </c>
      <c r="J4" s="41" t="s">
        <v>183</v>
      </c>
      <c r="K4" s="42"/>
      <c r="L4" s="42"/>
      <c r="M4" s="42"/>
      <c r="N4" s="42"/>
      <c r="O4" s="42"/>
      <c r="P4" s="43"/>
    </row>
    <row r="5" spans="1:16" x14ac:dyDescent="0.25">
      <c r="J5" s="44"/>
      <c r="K5" s="45" t="s">
        <v>184</v>
      </c>
      <c r="L5" s="45"/>
      <c r="M5" s="45"/>
      <c r="N5" s="45"/>
      <c r="O5" s="45"/>
      <c r="P5" s="46"/>
    </row>
    <row r="6" spans="1:16" ht="15.75" thickBot="1" x14ac:dyDescent="0.3">
      <c r="A6" t="s">
        <v>155</v>
      </c>
      <c r="B6" s="14">
        <v>9.9499999999999993</v>
      </c>
      <c r="C6" s="7">
        <f>IF(C$30&lt;5,B6,0)</f>
        <v>0</v>
      </c>
      <c r="D6" s="7">
        <f>IF(D$30&lt;5,C6,0)</f>
        <v>0</v>
      </c>
      <c r="E6" s="7">
        <f>IF(E$30&lt;5,D6,0)</f>
        <v>0</v>
      </c>
      <c r="F6" s="7">
        <f>IF(F$30&lt;5,E6,0)</f>
        <v>0</v>
      </c>
      <c r="J6" s="47"/>
      <c r="K6" s="48" t="s">
        <v>185</v>
      </c>
      <c r="L6" s="48"/>
      <c r="M6" s="48"/>
      <c r="N6" s="48"/>
      <c r="O6" s="48"/>
      <c r="P6" s="49"/>
    </row>
    <row r="7" spans="1:16" x14ac:dyDescent="0.25">
      <c r="A7" t="s">
        <v>156</v>
      </c>
      <c r="B7" s="14">
        <v>49.75</v>
      </c>
      <c r="C7" s="7">
        <f>IF(AND(C$30&gt;5, C$30&lt;25),$B7,0)</f>
        <v>49.75</v>
      </c>
      <c r="D7" s="7">
        <f>IF(AND(D$30&gt;5, D$30&lt;25),$B7,0)</f>
        <v>0</v>
      </c>
      <c r="E7" s="7">
        <f>IF(AND(E$30&gt;5, E$30&lt;25),$B7,0)</f>
        <v>0</v>
      </c>
      <c r="F7" s="7">
        <f>IF(AND(F$30&gt;5, F$30&lt;25),$B7,0)</f>
        <v>0</v>
      </c>
    </row>
    <row r="8" spans="1:16" x14ac:dyDescent="0.25">
      <c r="A8" t="s">
        <v>157</v>
      </c>
      <c r="B8" s="14">
        <v>199</v>
      </c>
      <c r="C8" s="7">
        <f>IF(AND(C$30&gt;25,C$30&lt;100),$B8,0)</f>
        <v>0</v>
      </c>
      <c r="D8" s="7">
        <f>IF(AND(D$30&gt;25,D$30&lt;100),$B8,0)</f>
        <v>199</v>
      </c>
      <c r="E8" s="7">
        <f>IF(AND(E$30&gt;25,E$30&lt;100),$B8,0)</f>
        <v>199</v>
      </c>
      <c r="F8" s="7">
        <f>IF(AND(F$30&gt;25,F$30&lt;100),$B8,0)</f>
        <v>199</v>
      </c>
    </row>
    <row r="9" spans="1:16" x14ac:dyDescent="0.25">
      <c r="A9" t="s">
        <v>158</v>
      </c>
      <c r="B9" s="14">
        <v>995</v>
      </c>
      <c r="C9" s="7">
        <f>IF(C$30&gt;100,$B9,0)</f>
        <v>0</v>
      </c>
      <c r="D9" s="7">
        <f>IF(D$30&gt;100,$B9,0)</f>
        <v>0</v>
      </c>
      <c r="E9" s="7">
        <f>IF(E$30&gt;100,$B9,0)</f>
        <v>0</v>
      </c>
      <c r="F9" s="7">
        <f>IF(F$30&gt;100,$B9,0)</f>
        <v>0</v>
      </c>
    </row>
    <row r="10" spans="1:16" x14ac:dyDescent="0.25">
      <c r="A10" t="s">
        <v>154</v>
      </c>
      <c r="B10" s="14">
        <v>3.99</v>
      </c>
      <c r="C10" s="7"/>
      <c r="D10" s="16"/>
      <c r="E10" s="16"/>
    </row>
    <row r="11" spans="1:16" x14ac:dyDescent="0.25">
      <c r="A11" s="11"/>
      <c r="B11" s="11"/>
      <c r="C11" s="36">
        <f>SUM(C6:C10)</f>
        <v>49.75</v>
      </c>
      <c r="D11" s="36">
        <f>SUM(D6:D10)</f>
        <v>199</v>
      </c>
      <c r="E11" s="36">
        <f>SUM(E6:E10)</f>
        <v>199</v>
      </c>
      <c r="F11" s="36">
        <f>SUM(F6:F10)</f>
        <v>199</v>
      </c>
    </row>
    <row r="15" spans="1:16" x14ac:dyDescent="0.25">
      <c r="A15" s="10" t="s">
        <v>58</v>
      </c>
      <c r="B15" s="20"/>
      <c r="C15" s="20"/>
      <c r="D15" s="20"/>
      <c r="E15" s="20"/>
      <c r="F15" s="20"/>
      <c r="G15" s="20"/>
    </row>
    <row r="16" spans="1:16" x14ac:dyDescent="0.25">
      <c r="A16" s="17"/>
      <c r="B16" s="17"/>
      <c r="C16" s="17"/>
      <c r="D16" s="17"/>
      <c r="E16" s="17"/>
      <c r="F16" s="17"/>
      <c r="G16" s="17"/>
    </row>
    <row r="17" spans="1:9" x14ac:dyDescent="0.25">
      <c r="A17" s="17"/>
      <c r="B17" s="17"/>
      <c r="C17" s="17"/>
      <c r="D17" s="17"/>
      <c r="E17" s="17"/>
      <c r="F17" s="17"/>
      <c r="G17" s="17"/>
    </row>
    <row r="18" spans="1:9" x14ac:dyDescent="0.25">
      <c r="A18" s="17"/>
      <c r="B18" s="17"/>
      <c r="C18" s="17"/>
      <c r="D18" s="17"/>
      <c r="E18" s="17"/>
      <c r="F18" s="17"/>
      <c r="G18" s="17"/>
    </row>
    <row r="19" spans="1:9" x14ac:dyDescent="0.25">
      <c r="A19" s="9" t="s">
        <v>164</v>
      </c>
      <c r="B19" s="11"/>
      <c r="C19" s="11"/>
      <c r="D19" s="11"/>
      <c r="E19" s="11"/>
      <c r="F19" s="11"/>
      <c r="G19" s="17"/>
    </row>
    <row r="20" spans="1:9" x14ac:dyDescent="0.25">
      <c r="B20" s="9"/>
      <c r="C20" s="9" t="s">
        <v>32</v>
      </c>
      <c r="D20" s="9" t="s">
        <v>33</v>
      </c>
      <c r="E20" s="9" t="s">
        <v>34</v>
      </c>
      <c r="F20" s="9" t="s">
        <v>35</v>
      </c>
      <c r="G20" s="17"/>
    </row>
    <row r="21" spans="1:9" x14ac:dyDescent="0.25">
      <c r="A21" t="s">
        <v>31</v>
      </c>
      <c r="C21" s="3">
        <v>150</v>
      </c>
      <c r="D21" s="17">
        <f>(C21*$H$21)+C21</f>
        <v>225</v>
      </c>
      <c r="E21" s="17">
        <f>(D21*$H$21)+D21</f>
        <v>337.5</v>
      </c>
      <c r="F21" s="17">
        <f>(E21*$H$21)+E21</f>
        <v>506.25</v>
      </c>
      <c r="H21" s="22">
        <v>0.5</v>
      </c>
      <c r="I21" t="s">
        <v>106</v>
      </c>
    </row>
    <row r="22" spans="1:9" x14ac:dyDescent="0.25">
      <c r="A22" t="s">
        <v>160</v>
      </c>
      <c r="B22" s="3">
        <v>3</v>
      </c>
      <c r="C22" s="17"/>
      <c r="D22" s="17"/>
      <c r="E22" s="17"/>
      <c r="F22" s="17"/>
    </row>
    <row r="23" spans="1:9" x14ac:dyDescent="0.25">
      <c r="A23" t="s">
        <v>161</v>
      </c>
      <c r="B23" s="3">
        <v>2</v>
      </c>
      <c r="C23" s="17">
        <f>$B$22*$B$23</f>
        <v>6</v>
      </c>
      <c r="D23" s="17">
        <f>$B$22*$B$23</f>
        <v>6</v>
      </c>
      <c r="E23" s="17">
        <f>$B$22*$B$23</f>
        <v>6</v>
      </c>
      <c r="F23" s="17">
        <f>$B$22*$B$23</f>
        <v>6</v>
      </c>
    </row>
    <row r="24" spans="1:9" x14ac:dyDescent="0.25">
      <c r="A24" t="s">
        <v>163</v>
      </c>
      <c r="B24" s="22">
        <v>0.03</v>
      </c>
      <c r="C24">
        <f>C21*$B$24*$B$22</f>
        <v>13.5</v>
      </c>
      <c r="D24">
        <f>D21*$B$24*$B$22</f>
        <v>20.25</v>
      </c>
      <c r="E24">
        <f>E21*$B$24*$B$22</f>
        <v>30.375</v>
      </c>
      <c r="F24">
        <f>F21*$B$24*$B$22</f>
        <v>45.5625</v>
      </c>
    </row>
    <row r="25" spans="1:9" x14ac:dyDescent="0.25">
      <c r="A25" t="s">
        <v>166</v>
      </c>
      <c r="C25">
        <v>1</v>
      </c>
      <c r="D25">
        <v>1</v>
      </c>
      <c r="E25">
        <v>1</v>
      </c>
      <c r="F25">
        <v>1</v>
      </c>
    </row>
    <row r="27" spans="1:9" x14ac:dyDescent="0.25">
      <c r="A27" t="s">
        <v>169</v>
      </c>
    </row>
    <row r="28" spans="1:9" x14ac:dyDescent="0.25">
      <c r="A28" t="s">
        <v>167</v>
      </c>
    </row>
    <row r="29" spans="1:9" x14ac:dyDescent="0.25">
      <c r="A29" t="s">
        <v>168</v>
      </c>
    </row>
    <row r="30" spans="1:9" x14ac:dyDescent="0.25">
      <c r="A30" s="9" t="s">
        <v>162</v>
      </c>
      <c r="B30" s="11"/>
      <c r="C30" s="9">
        <f>SUM(C23:C29)</f>
        <v>20.5</v>
      </c>
      <c r="D30" s="9">
        <f>SUM(D23:D29)</f>
        <v>27.25</v>
      </c>
      <c r="E30" s="9">
        <f>SUM(E23:E29)</f>
        <v>37.375</v>
      </c>
      <c r="F30" s="9">
        <f>SUM(F23:F29)</f>
        <v>52.5625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6"/>
  <sheetViews>
    <sheetView zoomScaleNormal="100" workbookViewId="0">
      <selection activeCell="C21" sqref="C21"/>
    </sheetView>
  </sheetViews>
  <sheetFormatPr defaultRowHeight="15" x14ac:dyDescent="0.25"/>
  <cols>
    <col min="1" max="1" width="17.85546875" customWidth="1"/>
    <col min="4" max="5" width="10.140625" bestFit="1" customWidth="1"/>
    <col min="6" max="6" width="11" bestFit="1" customWidth="1"/>
  </cols>
  <sheetData>
    <row r="1" spans="1:15" ht="36" x14ac:dyDescent="0.55000000000000004">
      <c r="A1" s="24" t="s">
        <v>165</v>
      </c>
    </row>
    <row r="2" spans="1:15" x14ac:dyDescent="0.25">
      <c r="A2" s="26" t="s">
        <v>76</v>
      </c>
    </row>
    <row r="4" spans="1:15" ht="15.75" thickBot="1" x14ac:dyDescent="0.3">
      <c r="A4" s="10" t="s">
        <v>153</v>
      </c>
      <c r="B4" s="9" t="s">
        <v>159</v>
      </c>
      <c r="C4" s="9" t="s">
        <v>32</v>
      </c>
      <c r="D4" s="9" t="s">
        <v>33</v>
      </c>
      <c r="E4" s="9" t="s">
        <v>34</v>
      </c>
      <c r="F4" s="9" t="s">
        <v>35</v>
      </c>
    </row>
    <row r="5" spans="1:15" x14ac:dyDescent="0.25">
      <c r="A5" t="s">
        <v>170</v>
      </c>
      <c r="B5" s="14">
        <v>1.99</v>
      </c>
      <c r="C5" s="7">
        <f>C24*$B$5</f>
        <v>0.18506999999999998</v>
      </c>
      <c r="D5" s="7">
        <f>D24*$B$5</f>
        <v>0.27760500000000005</v>
      </c>
      <c r="E5" s="7">
        <f>E24*$B$5</f>
        <v>0.41640749999999999</v>
      </c>
      <c r="F5" s="7">
        <f>F24*$B$5</f>
        <v>0.62461125000000006</v>
      </c>
      <c r="I5" s="41" t="s">
        <v>183</v>
      </c>
      <c r="J5" s="42"/>
      <c r="K5" s="42"/>
      <c r="L5" s="42"/>
      <c r="M5" s="42"/>
      <c r="N5" s="42"/>
      <c r="O5" s="43"/>
    </row>
    <row r="6" spans="1:15" x14ac:dyDescent="0.25">
      <c r="C6" s="7"/>
      <c r="D6" s="16"/>
      <c r="E6" s="16"/>
      <c r="I6" s="44"/>
      <c r="J6" s="45" t="s">
        <v>184</v>
      </c>
      <c r="K6" s="45"/>
      <c r="L6" s="45"/>
      <c r="M6" s="45"/>
      <c r="N6" s="45"/>
      <c r="O6" s="46"/>
    </row>
    <row r="7" spans="1:15" ht="15.75" thickBot="1" x14ac:dyDescent="0.3">
      <c r="A7" s="11"/>
      <c r="B7" s="11"/>
      <c r="C7" s="36">
        <f>SUM(C5:C6)</f>
        <v>0.18506999999999998</v>
      </c>
      <c r="D7" s="36">
        <f>SUM(D5:D6)</f>
        <v>0.27760500000000005</v>
      </c>
      <c r="E7" s="36">
        <f>SUM(E5:E6)</f>
        <v>0.41640749999999999</v>
      </c>
      <c r="F7" s="36">
        <f>SUM(F5:F6)</f>
        <v>0.62461125000000006</v>
      </c>
      <c r="I7" s="47"/>
      <c r="J7" s="48" t="s">
        <v>185</v>
      </c>
      <c r="K7" s="48"/>
      <c r="L7" s="48"/>
      <c r="M7" s="48"/>
      <c r="N7" s="48"/>
      <c r="O7" s="49"/>
    </row>
    <row r="8" spans="1:15" x14ac:dyDescent="0.25">
      <c r="C8" s="7"/>
      <c r="D8" s="16"/>
      <c r="E8" s="16"/>
      <c r="F8" s="16"/>
    </row>
    <row r="9" spans="1:15" x14ac:dyDescent="0.25">
      <c r="C9" s="7"/>
      <c r="D9" s="16"/>
      <c r="E9" s="16"/>
      <c r="F9" s="35"/>
    </row>
    <row r="10" spans="1:15" x14ac:dyDescent="0.25">
      <c r="C10" s="7"/>
      <c r="D10" s="16"/>
      <c r="E10" s="16"/>
    </row>
    <row r="15" spans="1:15" x14ac:dyDescent="0.25">
      <c r="A15" s="10" t="s">
        <v>58</v>
      </c>
      <c r="B15" s="20"/>
      <c r="C15" s="20"/>
      <c r="D15" s="20"/>
      <c r="E15" s="20"/>
      <c r="F15" s="20"/>
      <c r="G15" s="20"/>
    </row>
    <row r="16" spans="1:15" x14ac:dyDescent="0.25">
      <c r="A16" s="17"/>
      <c r="B16" s="17"/>
      <c r="C16" s="17"/>
      <c r="D16" s="17"/>
      <c r="E16" s="17"/>
      <c r="F16" s="17"/>
      <c r="G16" s="17"/>
    </row>
    <row r="18" spans="1:9" x14ac:dyDescent="0.25">
      <c r="A18" s="9" t="s">
        <v>164</v>
      </c>
      <c r="B18" s="11"/>
      <c r="C18" s="11"/>
      <c r="D18" s="11"/>
      <c r="E18" s="11"/>
      <c r="F18" s="11"/>
      <c r="G18" s="17"/>
    </row>
    <row r="19" spans="1:9" x14ac:dyDescent="0.25">
      <c r="B19" s="9"/>
      <c r="C19" s="9" t="s">
        <v>32</v>
      </c>
      <c r="D19" s="9" t="s">
        <v>33</v>
      </c>
      <c r="E19" s="9" t="s">
        <v>34</v>
      </c>
      <c r="F19" s="9" t="s">
        <v>35</v>
      </c>
      <c r="G19" s="17"/>
    </row>
    <row r="20" spans="1:9" x14ac:dyDescent="0.25">
      <c r="A20" t="s">
        <v>31</v>
      </c>
      <c r="C20" s="3">
        <v>150</v>
      </c>
      <c r="D20" s="17">
        <f>(C20*$H$20)+C20</f>
        <v>225</v>
      </c>
      <c r="E20" s="17">
        <f>(D20*$H$20)+D20</f>
        <v>337.5</v>
      </c>
      <c r="F20" s="17">
        <f>(E20*$H$20)+E20</f>
        <v>506.25</v>
      </c>
      <c r="H20" s="22">
        <v>0.5</v>
      </c>
      <c r="I20" t="s">
        <v>106</v>
      </c>
    </row>
    <row r="21" spans="1:9" x14ac:dyDescent="0.25">
      <c r="A21" t="s">
        <v>171</v>
      </c>
      <c r="B21" s="3">
        <v>2</v>
      </c>
      <c r="C21">
        <f>C20*$B$21</f>
        <v>300</v>
      </c>
      <c r="D21">
        <f>D20*$B$21</f>
        <v>450</v>
      </c>
      <c r="E21">
        <f>E20*$B$21</f>
        <v>675</v>
      </c>
      <c r="F21">
        <f>F20*$B$21</f>
        <v>1012.5</v>
      </c>
    </row>
    <row r="23" spans="1:9" x14ac:dyDescent="0.25">
      <c r="A23" s="9" t="s">
        <v>17</v>
      </c>
      <c r="B23" s="11"/>
      <c r="C23" s="9">
        <f>C21*31</f>
        <v>9300</v>
      </c>
      <c r="D23" s="9">
        <f>D21*31</f>
        <v>13950</v>
      </c>
      <c r="E23" s="9">
        <f>E21*31</f>
        <v>20925</v>
      </c>
      <c r="F23" s="9">
        <f>F21*31</f>
        <v>31387.5</v>
      </c>
    </row>
    <row r="24" spans="1:9" x14ac:dyDescent="0.25">
      <c r="A24" s="11" t="s">
        <v>172</v>
      </c>
      <c r="B24" s="11"/>
      <c r="C24" s="11">
        <f>C23/100000</f>
        <v>9.2999999999999999E-2</v>
      </c>
      <c r="D24" s="11">
        <f>D23/100000</f>
        <v>0.13950000000000001</v>
      </c>
      <c r="E24" s="11">
        <f>E23/100000</f>
        <v>0.20924999999999999</v>
      </c>
      <c r="F24" s="11">
        <f>F23/100000</f>
        <v>0.31387500000000002</v>
      </c>
    </row>
    <row r="26" spans="1:9" x14ac:dyDescent="0.25">
      <c r="C26" s="1"/>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tabSelected="1" zoomScaleNormal="100" workbookViewId="0">
      <selection activeCell="B8" sqref="B8"/>
    </sheetView>
  </sheetViews>
  <sheetFormatPr defaultRowHeight="15" x14ac:dyDescent="0.25"/>
  <cols>
    <col min="1" max="1" width="30.28515625" customWidth="1"/>
    <col min="2" max="2" width="16.42578125" customWidth="1"/>
  </cols>
  <sheetData>
    <row r="1" spans="1:4" ht="36" x14ac:dyDescent="0.55000000000000004">
      <c r="A1" s="24" t="s">
        <v>182</v>
      </c>
    </row>
    <row r="2" spans="1:4" x14ac:dyDescent="0.25">
      <c r="A2" s="26" t="s">
        <v>76</v>
      </c>
    </row>
    <row r="3" spans="1:4" x14ac:dyDescent="0.25">
      <c r="A3" t="s">
        <v>186</v>
      </c>
    </row>
    <row r="5" spans="1:4" x14ac:dyDescent="0.25">
      <c r="A5" t="s">
        <v>173</v>
      </c>
      <c r="B5" s="7">
        <f>Compute!E10</f>
        <v>175.20000000000002</v>
      </c>
    </row>
    <row r="6" spans="1:4" x14ac:dyDescent="0.25">
      <c r="A6" t="s">
        <v>174</v>
      </c>
      <c r="B6" s="7">
        <f>Storage!C7</f>
        <v>1.7514252000000001</v>
      </c>
    </row>
    <row r="7" spans="1:4" x14ac:dyDescent="0.25">
      <c r="A7" t="s">
        <v>175</v>
      </c>
      <c r="B7" s="7">
        <f>Storage!C10</f>
        <v>7.7449999999999991E-2</v>
      </c>
    </row>
    <row r="8" spans="1:4" x14ac:dyDescent="0.25">
      <c r="A8" t="s">
        <v>176</v>
      </c>
      <c r="B8" s="37">
        <f>Storage!C97</f>
        <v>4.5600136800000008</v>
      </c>
    </row>
    <row r="9" spans="1:4" x14ac:dyDescent="0.25">
      <c r="A9" t="s">
        <v>177</v>
      </c>
      <c r="B9" s="7">
        <f>Cache!D11</f>
        <v>45</v>
      </c>
    </row>
    <row r="10" spans="1:4" x14ac:dyDescent="0.25">
      <c r="A10" t="s">
        <v>151</v>
      </c>
      <c r="B10" s="7">
        <f>ServiceBus!C11</f>
        <v>49.75</v>
      </c>
    </row>
    <row r="11" spans="1:4" x14ac:dyDescent="0.25">
      <c r="A11" t="s">
        <v>54</v>
      </c>
      <c r="B11" s="7">
        <f>AccessControl!C7</f>
        <v>0.18506999999999998</v>
      </c>
    </row>
    <row r="12" spans="1:4" x14ac:dyDescent="0.25">
      <c r="A12" s="8" t="s">
        <v>178</v>
      </c>
      <c r="B12" s="15">
        <f>SUM(B5:B11)</f>
        <v>276.52395888000001</v>
      </c>
      <c r="D12" t="s">
        <v>190</v>
      </c>
    </row>
    <row r="14" spans="1:4" x14ac:dyDescent="0.25">
      <c r="A14" s="4" t="s">
        <v>188</v>
      </c>
      <c r="B14" s="50">
        <f>Storage!C98</f>
        <v>6000</v>
      </c>
      <c r="D14"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Compute</vt:lpstr>
      <vt:lpstr>Storage</vt:lpstr>
      <vt:lpstr>Cache</vt:lpstr>
      <vt:lpstr>ServiceBus</vt:lpstr>
      <vt:lpstr>AccessControl</vt:lpstr>
      <vt:lpstr>Totals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Michele</dc:creator>
  <cp:lastModifiedBy>Michele</cp:lastModifiedBy>
  <dcterms:created xsi:type="dcterms:W3CDTF">2011-10-22T22:37:29Z</dcterms:created>
  <dcterms:modified xsi:type="dcterms:W3CDTF">2011-11-07T21:25:38Z</dcterms:modified>
</cp:coreProperties>
</file>