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5" windowWidth="20730" windowHeight="10170" activeTab="1"/>
  </bookViews>
  <sheets>
    <sheet name="Sheet1" sheetId="1" r:id="rId1"/>
    <sheet name="Sheet1 (2)" sheetId="4" r:id="rId2"/>
    <sheet name="Sheet2" sheetId="5" r:id="rId3"/>
  </sheets>
  <definedNames>
    <definedName name="_xlnm.Print_Titles" localSheetId="0">Sheet1!$1:$1</definedName>
    <definedName name="_xlnm.Print_Titles" localSheetId="1">'Sheet1 (2)'!$76:$76</definedName>
  </definedNames>
  <calcPr calcId="124519"/>
</workbook>
</file>

<file path=xl/calcChain.xml><?xml version="1.0" encoding="utf-8"?>
<calcChain xmlns="http://schemas.openxmlformats.org/spreadsheetml/2006/main">
  <c r="E47" i="4"/>
  <c r="E48"/>
  <c r="D653" l="1"/>
  <c r="E653" s="1"/>
  <c r="E46"/>
  <c r="D617"/>
  <c r="E617" s="1"/>
  <c r="E45"/>
  <c r="D581"/>
  <c r="E581" s="1"/>
  <c r="D545"/>
  <c r="E545" s="1"/>
  <c r="E33"/>
  <c r="E44"/>
  <c r="E32"/>
  <c r="D654" l="1"/>
  <c r="D618"/>
  <c r="D582"/>
  <c r="D546"/>
  <c r="E24"/>
  <c r="E25"/>
  <c r="E26"/>
  <c r="E27"/>
  <c r="E28"/>
  <c r="E29"/>
  <c r="E30"/>
  <c r="E31"/>
  <c r="E23"/>
  <c r="E654" l="1"/>
  <c r="D655"/>
  <c r="E618"/>
  <c r="D619"/>
  <c r="E582"/>
  <c r="D583"/>
  <c r="E546"/>
  <c r="D547"/>
  <c r="C9" i="5"/>
  <c r="E22" i="4"/>
  <c r="E7"/>
  <c r="D77"/>
  <c r="D78" s="1"/>
  <c r="D22" i="1"/>
  <c r="D7"/>
  <c r="E655" i="4" l="1"/>
  <c r="D656"/>
  <c r="E619"/>
  <c r="D620"/>
  <c r="E583"/>
  <c r="D584"/>
  <c r="E547"/>
  <c r="D548"/>
  <c r="D79"/>
  <c r="E78"/>
  <c r="E77"/>
  <c r="E656" l="1"/>
  <c r="D657"/>
  <c r="E620"/>
  <c r="D621"/>
  <c r="E584"/>
  <c r="D585"/>
  <c r="E548"/>
  <c r="D549"/>
  <c r="D80"/>
  <c r="E79"/>
  <c r="E657" l="1"/>
  <c r="D658"/>
  <c r="E621"/>
  <c r="D622"/>
  <c r="E585"/>
  <c r="D586"/>
  <c r="E549"/>
  <c r="D550"/>
  <c r="D81"/>
  <c r="E80"/>
  <c r="E658" l="1"/>
  <c r="D659"/>
  <c r="E622"/>
  <c r="D623"/>
  <c r="E586"/>
  <c r="D587"/>
  <c r="E550"/>
  <c r="D551"/>
  <c r="D82"/>
  <c r="E81"/>
  <c r="E659" l="1"/>
  <c r="D660"/>
  <c r="E623"/>
  <c r="D624"/>
  <c r="E587"/>
  <c r="D588"/>
  <c r="E551"/>
  <c r="D552"/>
  <c r="E82"/>
  <c r="D83"/>
  <c r="E660" l="1"/>
  <c r="D661"/>
  <c r="E624"/>
  <c r="D625"/>
  <c r="E588"/>
  <c r="D589"/>
  <c r="E552"/>
  <c r="D553"/>
  <c r="E83"/>
  <c r="D84"/>
  <c r="E661" l="1"/>
  <c r="D662"/>
  <c r="E625"/>
  <c r="D626"/>
  <c r="E589"/>
  <c r="D590"/>
  <c r="E553"/>
  <c r="D554"/>
  <c r="E84"/>
  <c r="D85"/>
  <c r="E662" l="1"/>
  <c r="D663"/>
  <c r="E626"/>
  <c r="D627"/>
  <c r="E590"/>
  <c r="D591"/>
  <c r="E554"/>
  <c r="D555"/>
  <c r="E85"/>
  <c r="D86"/>
  <c r="E663" l="1"/>
  <c r="D664"/>
  <c r="E627"/>
  <c r="D628"/>
  <c r="E591"/>
  <c r="D592"/>
  <c r="E555"/>
  <c r="D556"/>
  <c r="E86"/>
  <c r="D87"/>
  <c r="E664" l="1"/>
  <c r="D665"/>
  <c r="E628"/>
  <c r="D629"/>
  <c r="E592"/>
  <c r="D593"/>
  <c r="E556"/>
  <c r="D557"/>
  <c r="E87"/>
  <c r="D88"/>
  <c r="E665" l="1"/>
  <c r="D666"/>
  <c r="E629"/>
  <c r="D630"/>
  <c r="E593"/>
  <c r="D594"/>
  <c r="E557"/>
  <c r="D558"/>
  <c r="E88"/>
  <c r="D89"/>
  <c r="E666" l="1"/>
  <c r="D667"/>
  <c r="E630"/>
  <c r="D631"/>
  <c r="E594"/>
  <c r="D595"/>
  <c r="E558"/>
  <c r="D559"/>
  <c r="E89"/>
  <c r="D90"/>
  <c r="E667" l="1"/>
  <c r="D668"/>
  <c r="E631"/>
  <c r="D632"/>
  <c r="E595"/>
  <c r="D596"/>
  <c r="E559"/>
  <c r="D560"/>
  <c r="E90"/>
  <c r="D91"/>
  <c r="E668" l="1"/>
  <c r="D669"/>
  <c r="E632"/>
  <c r="D633"/>
  <c r="E596"/>
  <c r="D597"/>
  <c r="E560"/>
  <c r="D561"/>
  <c r="E91"/>
  <c r="D92"/>
  <c r="E669" l="1"/>
  <c r="D670"/>
  <c r="E633"/>
  <c r="D634"/>
  <c r="E597"/>
  <c r="D598"/>
  <c r="E561"/>
  <c r="D562"/>
  <c r="E92"/>
  <c r="D93"/>
  <c r="E670" l="1"/>
  <c r="D671"/>
  <c r="E634"/>
  <c r="D635"/>
  <c r="E598"/>
  <c r="D599"/>
  <c r="E562"/>
  <c r="D563"/>
  <c r="E93"/>
  <c r="D94"/>
  <c r="E671" l="1"/>
  <c r="D672"/>
  <c r="E635"/>
  <c r="D636"/>
  <c r="E599"/>
  <c r="D600"/>
  <c r="E563"/>
  <c r="D564"/>
  <c r="E94"/>
  <c r="D95"/>
  <c r="E672" l="1"/>
  <c r="D673"/>
  <c r="E636"/>
  <c r="D637"/>
  <c r="E600"/>
  <c r="D601"/>
  <c r="E564"/>
  <c r="D565"/>
  <c r="E95"/>
  <c r="D96"/>
  <c r="E673" l="1"/>
  <c r="D674"/>
  <c r="E637"/>
  <c r="D638"/>
  <c r="E601"/>
  <c r="D602"/>
  <c r="E565"/>
  <c r="D566"/>
  <c r="D97"/>
  <c r="E96"/>
  <c r="E674" l="1"/>
  <c r="D675"/>
  <c r="E638"/>
  <c r="D639"/>
  <c r="E602"/>
  <c r="D603"/>
  <c r="E566"/>
  <c r="D567"/>
  <c r="D98"/>
  <c r="E97"/>
  <c r="D676" l="1"/>
  <c r="E675"/>
  <c r="E639"/>
  <c r="D640"/>
  <c r="E603"/>
  <c r="D604"/>
  <c r="E567"/>
  <c r="D568"/>
  <c r="D99"/>
  <c r="E98"/>
  <c r="D677" l="1"/>
  <c r="E676"/>
  <c r="D641"/>
  <c r="E640"/>
  <c r="E604"/>
  <c r="D605"/>
  <c r="D569"/>
  <c r="E568"/>
  <c r="D100"/>
  <c r="E99"/>
  <c r="E677" l="1"/>
  <c r="D678"/>
  <c r="E641"/>
  <c r="D642"/>
  <c r="D606"/>
  <c r="E605"/>
  <c r="E569"/>
  <c r="D570"/>
  <c r="D101"/>
  <c r="E100"/>
  <c r="E678" l="1"/>
  <c r="D679"/>
  <c r="D643"/>
  <c r="E642"/>
  <c r="D607"/>
  <c r="E606"/>
  <c r="D571"/>
  <c r="E570"/>
  <c r="D102"/>
  <c r="E101"/>
  <c r="D680" l="1"/>
  <c r="E679"/>
  <c r="D644"/>
  <c r="E643"/>
  <c r="D608"/>
  <c r="E607"/>
  <c r="E571"/>
  <c r="D572"/>
  <c r="E572" s="1"/>
  <c r="D103"/>
  <c r="E102"/>
  <c r="D681" l="1"/>
  <c r="E680"/>
  <c r="D645"/>
  <c r="E644"/>
  <c r="D609"/>
  <c r="E608"/>
  <c r="D104"/>
  <c r="E103"/>
  <c r="D682" l="1"/>
  <c r="E681"/>
  <c r="D646"/>
  <c r="E646" s="1"/>
  <c r="E645"/>
  <c r="D610"/>
  <c r="E609"/>
  <c r="D105"/>
  <c r="E104"/>
  <c r="D683" l="1"/>
  <c r="E683" s="1"/>
  <c r="E682"/>
  <c r="D611"/>
  <c r="E611" s="1"/>
  <c r="E610"/>
  <c r="D106"/>
  <c r="E105"/>
  <c r="D107" l="1"/>
  <c r="E106"/>
  <c r="D113" l="1"/>
  <c r="E107"/>
  <c r="D114" l="1"/>
  <c r="E113"/>
  <c r="D115" l="1"/>
  <c r="E114"/>
  <c r="D116" l="1"/>
  <c r="E115"/>
  <c r="D117" l="1"/>
  <c r="E116"/>
  <c r="D118" l="1"/>
  <c r="E117"/>
  <c r="D119" l="1"/>
  <c r="E118"/>
  <c r="D120" l="1"/>
  <c r="E119"/>
  <c r="D121" l="1"/>
  <c r="E120"/>
  <c r="D122" l="1"/>
  <c r="E121"/>
  <c r="D123" l="1"/>
  <c r="E122"/>
  <c r="D124" l="1"/>
  <c r="E123"/>
  <c r="D125" l="1"/>
  <c r="E124"/>
  <c r="D126" l="1"/>
  <c r="E125"/>
  <c r="D127" l="1"/>
  <c r="E126"/>
  <c r="D128" l="1"/>
  <c r="E127"/>
  <c r="D129" l="1"/>
  <c r="E128"/>
  <c r="D130" l="1"/>
  <c r="E129"/>
  <c r="D131" l="1"/>
  <c r="E130"/>
  <c r="D132" l="1"/>
  <c r="E131"/>
  <c r="D133" l="1"/>
  <c r="E132"/>
  <c r="D134" l="1"/>
  <c r="E133"/>
  <c r="D135" l="1"/>
  <c r="E134"/>
  <c r="D136" l="1"/>
  <c r="E135"/>
  <c r="D137" l="1"/>
  <c r="E136"/>
  <c r="D138" l="1"/>
  <c r="E137"/>
  <c r="D139" l="1"/>
  <c r="E138"/>
  <c r="E139" l="1"/>
  <c r="D140"/>
  <c r="D141" s="1"/>
  <c r="H2" i="1"/>
  <c r="H3" s="1"/>
  <c r="I3" s="1"/>
  <c r="E140" i="4" l="1"/>
  <c r="I2" i="1"/>
  <c r="H4"/>
  <c r="I4" s="1"/>
  <c r="D149" i="4" l="1"/>
  <c r="E141"/>
  <c r="H5" i="1"/>
  <c r="I5" s="1"/>
  <c r="D150" i="4" l="1"/>
  <c r="E149"/>
  <c r="H6" i="1"/>
  <c r="I6" s="1"/>
  <c r="E150" i="4" l="1"/>
  <c r="D151"/>
  <c r="H7" i="1"/>
  <c r="I7" s="1"/>
  <c r="E151" i="4" l="1"/>
  <c r="D152"/>
  <c r="H8" i="1"/>
  <c r="I8" s="1"/>
  <c r="E152" i="4" l="1"/>
  <c r="D153"/>
  <c r="H9" i="1"/>
  <c r="I9" s="1"/>
  <c r="E153" i="4" l="1"/>
  <c r="D154"/>
  <c r="H10" i="1"/>
  <c r="I10" s="1"/>
  <c r="E154" i="4" l="1"/>
  <c r="D155"/>
  <c r="H11" i="1"/>
  <c r="I11" s="1"/>
  <c r="E155" i="4" l="1"/>
  <c r="D156"/>
  <c r="H12" i="1"/>
  <c r="I12" s="1"/>
  <c r="E156" i="4" l="1"/>
  <c r="D157"/>
  <c r="H13" i="1"/>
  <c r="I13" s="1"/>
  <c r="E157" i="4" l="1"/>
  <c r="D158"/>
  <c r="H14" i="1"/>
  <c r="I14" s="1"/>
  <c r="E158" i="4" l="1"/>
  <c r="D159"/>
  <c r="H15" i="1"/>
  <c r="E159" i="4" l="1"/>
  <c r="D160"/>
  <c r="I15" i="1"/>
  <c r="H16"/>
  <c r="D161" i="4" l="1"/>
  <c r="E160"/>
  <c r="H17" i="1"/>
  <c r="I16"/>
  <c r="E161" i="4" l="1"/>
  <c r="D162"/>
  <c r="I17" i="1"/>
  <c r="H18"/>
  <c r="E162" i="4" l="1"/>
  <c r="D163"/>
  <c r="H19" i="1"/>
  <c r="I18"/>
  <c r="E163" i="4" l="1"/>
  <c r="D164"/>
  <c r="H20" i="1"/>
  <c r="I19"/>
  <c r="E164" i="4" l="1"/>
  <c r="D165"/>
  <c r="H21" i="1"/>
  <c r="I20"/>
  <c r="E165" i="4" l="1"/>
  <c r="D166"/>
  <c r="H22" i="1"/>
  <c r="I21"/>
  <c r="E166" i="4" l="1"/>
  <c r="D167"/>
  <c r="H23" i="1"/>
  <c r="I22"/>
  <c r="E167" i="4" l="1"/>
  <c r="D168"/>
  <c r="H24" i="1"/>
  <c r="I23"/>
  <c r="E168" i="4" l="1"/>
  <c r="D169"/>
  <c r="H25" i="1"/>
  <c r="I24"/>
  <c r="E169" i="4" l="1"/>
  <c r="D170"/>
  <c r="H26" i="1"/>
  <c r="I25"/>
  <c r="E170" i="4" l="1"/>
  <c r="D171"/>
  <c r="H27" i="1"/>
  <c r="I26"/>
  <c r="E171" i="4" l="1"/>
  <c r="D172"/>
  <c r="H28" i="1"/>
  <c r="I27"/>
  <c r="E172" i="4" l="1"/>
  <c r="D173"/>
  <c r="E173" s="1"/>
  <c r="H29" i="1"/>
  <c r="I28"/>
  <c r="D174" i="4" l="1"/>
  <c r="H30" i="1"/>
  <c r="I29"/>
  <c r="E174" i="4" l="1"/>
  <c r="D175"/>
  <c r="H31" i="1"/>
  <c r="I30"/>
  <c r="E175" i="4" l="1"/>
  <c r="D176"/>
  <c r="H32" i="1"/>
  <c r="I31"/>
  <c r="E176" i="4" l="1"/>
  <c r="D177"/>
  <c r="I32" i="1"/>
  <c r="H38"/>
  <c r="E177" i="4" l="1"/>
  <c r="D178"/>
  <c r="I38" i="1"/>
  <c r="H39"/>
  <c r="E178" i="4" l="1"/>
  <c r="D179"/>
  <c r="H40" i="1"/>
  <c r="I39"/>
  <c r="E179" i="4" l="1"/>
  <c r="D185"/>
  <c r="H41" i="1"/>
  <c r="I40"/>
  <c r="E185" i="4" l="1"/>
  <c r="D186"/>
  <c r="H42" i="1"/>
  <c r="I41"/>
  <c r="E186" i="4" l="1"/>
  <c r="D187"/>
  <c r="H43" i="1"/>
  <c r="I42"/>
  <c r="E187" i="4" l="1"/>
  <c r="D188"/>
  <c r="H44" i="1"/>
  <c r="I43"/>
  <c r="E188" i="4" l="1"/>
  <c r="D189"/>
  <c r="H45" i="1"/>
  <c r="I44"/>
  <c r="D190" i="4" l="1"/>
  <c r="E189"/>
  <c r="H46" i="1"/>
  <c r="I45"/>
  <c r="E190" i="4" l="1"/>
  <c r="D191"/>
  <c r="H47" i="1"/>
  <c r="I46"/>
  <c r="E191" i="4" l="1"/>
  <c r="D192"/>
  <c r="H48" i="1"/>
  <c r="I47"/>
  <c r="E192" i="4" l="1"/>
  <c r="D193"/>
  <c r="H49" i="1"/>
  <c r="I48"/>
  <c r="E193" i="4" l="1"/>
  <c r="D194"/>
  <c r="H50" i="1"/>
  <c r="I49"/>
  <c r="E194" i="4" l="1"/>
  <c r="D195"/>
  <c r="H51" i="1"/>
  <c r="I50"/>
  <c r="E195" i="4" l="1"/>
  <c r="D196"/>
  <c r="H52" i="1"/>
  <c r="I51"/>
  <c r="E196" i="4" l="1"/>
  <c r="D197"/>
  <c r="H53" i="1"/>
  <c r="I52"/>
  <c r="E197" i="4" l="1"/>
  <c r="D198"/>
  <c r="H54" i="1"/>
  <c r="I53"/>
  <c r="E198" i="4" l="1"/>
  <c r="D199"/>
  <c r="H55" i="1"/>
  <c r="I54"/>
  <c r="E199" i="4" l="1"/>
  <c r="D200"/>
  <c r="H56" i="1"/>
  <c r="I55"/>
  <c r="E200" i="4" l="1"/>
  <c r="D201"/>
  <c r="H57" i="1"/>
  <c r="I56"/>
  <c r="E201" i="4" l="1"/>
  <c r="D202"/>
  <c r="H58" i="1"/>
  <c r="I57"/>
  <c r="E202" i="4" l="1"/>
  <c r="D203"/>
  <c r="H59" i="1"/>
  <c r="I58"/>
  <c r="D204" i="4" l="1"/>
  <c r="E203"/>
  <c r="H60" i="1"/>
  <c r="I59"/>
  <c r="E204" i="4" l="1"/>
  <c r="D205"/>
  <c r="H61" i="1"/>
  <c r="I60"/>
  <c r="E205" i="4" l="1"/>
  <c r="D206"/>
  <c r="H62" i="1"/>
  <c r="I61"/>
  <c r="E206" i="4" l="1"/>
  <c r="D207"/>
  <c r="H63" i="1"/>
  <c r="I62"/>
  <c r="E207" i="4" l="1"/>
  <c r="D208"/>
  <c r="H64" i="1"/>
  <c r="I64" s="1"/>
  <c r="I63"/>
  <c r="E208" i="4" l="1"/>
  <c r="D209"/>
  <c r="E209" l="1"/>
  <c r="D210"/>
  <c r="E210" l="1"/>
  <c r="D211"/>
  <c r="E211" l="1"/>
  <c r="D212"/>
  <c r="E212" l="1"/>
  <c r="D213"/>
  <c r="E213" l="1"/>
  <c r="D214"/>
  <c r="E214" l="1"/>
  <c r="D221"/>
  <c r="E221" l="1"/>
  <c r="D222"/>
  <c r="E222" l="1"/>
  <c r="D223"/>
  <c r="E223" l="1"/>
  <c r="D224"/>
  <c r="E224" l="1"/>
  <c r="D225"/>
  <c r="E225" l="1"/>
  <c r="D226"/>
  <c r="E226" l="1"/>
  <c r="D227"/>
  <c r="E227" l="1"/>
  <c r="D228"/>
  <c r="E228" l="1"/>
  <c r="D229"/>
  <c r="E229" l="1"/>
  <c r="D230"/>
  <c r="E230" l="1"/>
  <c r="D231"/>
  <c r="E231" l="1"/>
  <c r="D232"/>
  <c r="E232" l="1"/>
  <c r="D233"/>
  <c r="E233" l="1"/>
  <c r="D234"/>
  <c r="E234" l="1"/>
  <c r="D235"/>
  <c r="E235" l="1"/>
  <c r="D236"/>
  <c r="E236" l="1"/>
  <c r="D237"/>
  <c r="E237" l="1"/>
  <c r="D238"/>
  <c r="E238" l="1"/>
  <c r="D239"/>
  <c r="E239" l="1"/>
  <c r="D240"/>
  <c r="E240" l="1"/>
  <c r="D241"/>
  <c r="E241" l="1"/>
  <c r="D242"/>
  <c r="E242" l="1"/>
  <c r="D243"/>
  <c r="E243" l="1"/>
  <c r="D244"/>
  <c r="E244" l="1"/>
  <c r="D245"/>
  <c r="E245" l="1"/>
  <c r="D246"/>
  <c r="E246" l="1"/>
  <c r="D247"/>
  <c r="E247" l="1"/>
  <c r="D248"/>
  <c r="E248" l="1"/>
  <c r="D249"/>
  <c r="E249" l="1"/>
  <c r="D250"/>
  <c r="E250" l="1"/>
  <c r="D251"/>
  <c r="D257" l="1"/>
  <c r="E251"/>
  <c r="E257" l="1"/>
  <c r="D258"/>
  <c r="E258" l="1"/>
  <c r="D259"/>
  <c r="E259" l="1"/>
  <c r="D260"/>
  <c r="D261" l="1"/>
  <c r="E260"/>
  <c r="E261" l="1"/>
  <c r="D262"/>
  <c r="D263" l="1"/>
  <c r="E262"/>
  <c r="E263" l="1"/>
  <c r="D264"/>
  <c r="E264" l="1"/>
  <c r="D265"/>
  <c r="D266" l="1"/>
  <c r="E265"/>
  <c r="E266" l="1"/>
  <c r="D267"/>
  <c r="E267" l="1"/>
  <c r="D268"/>
  <c r="E268" l="1"/>
  <c r="D269"/>
  <c r="E269" l="1"/>
  <c r="D270"/>
  <c r="E270" l="1"/>
  <c r="D271"/>
  <c r="E271" l="1"/>
  <c r="D272"/>
  <c r="D273" l="1"/>
  <c r="E272"/>
  <c r="E273" l="1"/>
  <c r="D274"/>
  <c r="E274" l="1"/>
  <c r="D275"/>
  <c r="E275" l="1"/>
  <c r="D276"/>
  <c r="D277" l="1"/>
  <c r="E276"/>
  <c r="E277" l="1"/>
  <c r="D278"/>
  <c r="E278" l="1"/>
  <c r="D279"/>
  <c r="E279" l="1"/>
  <c r="D280"/>
  <c r="E280" l="1"/>
  <c r="D281"/>
  <c r="E281" l="1"/>
  <c r="D282"/>
  <c r="E282" l="1"/>
  <c r="D283"/>
  <c r="D284" l="1"/>
  <c r="E283"/>
  <c r="D285" l="1"/>
  <c r="E284"/>
  <c r="D286" l="1"/>
  <c r="E285"/>
  <c r="D293" l="1"/>
  <c r="E286"/>
  <c r="E293" l="1"/>
  <c r="D294"/>
  <c r="D295" l="1"/>
  <c r="E294"/>
  <c r="D296" l="1"/>
  <c r="E295"/>
  <c r="D297" l="1"/>
  <c r="E296"/>
  <c r="E297" l="1"/>
  <c r="D298"/>
  <c r="D299" l="1"/>
  <c r="E298"/>
  <c r="E299" l="1"/>
  <c r="D300"/>
  <c r="D301" l="1"/>
  <c r="E300"/>
  <c r="E301" l="1"/>
  <c r="D302"/>
  <c r="E302" l="1"/>
  <c r="D303"/>
  <c r="E303" l="1"/>
  <c r="D304"/>
  <c r="E304" l="1"/>
  <c r="D305"/>
  <c r="E305" l="1"/>
  <c r="D306"/>
  <c r="E306" l="1"/>
  <c r="D307"/>
  <c r="D308" l="1"/>
  <c r="E307"/>
  <c r="E308" l="1"/>
  <c r="D309"/>
  <c r="E309" l="1"/>
  <c r="D310"/>
  <c r="E310" l="1"/>
  <c r="D311"/>
  <c r="E311" l="1"/>
  <c r="D312"/>
  <c r="E312" l="1"/>
  <c r="D313"/>
  <c r="E313" l="1"/>
  <c r="D314"/>
  <c r="E314" l="1"/>
  <c r="D315"/>
  <c r="E315" l="1"/>
  <c r="D316"/>
  <c r="E316" l="1"/>
  <c r="D317"/>
  <c r="E317" l="1"/>
  <c r="D318"/>
  <c r="E318" l="1"/>
  <c r="D319"/>
  <c r="E319" l="1"/>
  <c r="D320"/>
  <c r="E320" l="1"/>
  <c r="D321"/>
  <c r="E321" l="1"/>
  <c r="D322"/>
  <c r="E322" l="1"/>
  <c r="D323"/>
  <c r="D329" l="1"/>
  <c r="E323"/>
  <c r="E329" l="1"/>
  <c r="D330"/>
  <c r="D331" l="1"/>
  <c r="E330"/>
  <c r="D332" l="1"/>
  <c r="E331"/>
  <c r="E332" l="1"/>
  <c r="D333"/>
  <c r="D334" l="1"/>
  <c r="E333"/>
  <c r="E334" l="1"/>
  <c r="D335"/>
  <c r="E335" l="1"/>
  <c r="D336"/>
  <c r="E336" l="1"/>
  <c r="D337"/>
  <c r="E337" l="1"/>
  <c r="D338"/>
  <c r="E338" l="1"/>
  <c r="D339"/>
  <c r="E339" l="1"/>
  <c r="D340"/>
  <c r="E340" l="1"/>
  <c r="D341"/>
  <c r="E341" l="1"/>
  <c r="D342"/>
  <c r="E342" l="1"/>
  <c r="D343"/>
  <c r="E343" l="1"/>
  <c r="D344"/>
  <c r="E344" l="1"/>
  <c r="D345"/>
  <c r="E345" l="1"/>
  <c r="D346"/>
  <c r="E346" l="1"/>
  <c r="D347"/>
  <c r="E347" l="1"/>
  <c r="D348"/>
  <c r="E348" l="1"/>
  <c r="D349"/>
  <c r="E349" l="1"/>
  <c r="D350"/>
  <c r="E350" l="1"/>
  <c r="D351"/>
  <c r="E351" l="1"/>
  <c r="D352"/>
  <c r="E352" l="1"/>
  <c r="D353"/>
  <c r="D354" l="1"/>
  <c r="E353"/>
  <c r="D355" l="1"/>
  <c r="E354"/>
  <c r="E355" l="1"/>
  <c r="D356"/>
  <c r="E356" l="1"/>
  <c r="D357"/>
  <c r="E357" l="1"/>
  <c r="D358"/>
  <c r="E358" l="1"/>
  <c r="D359"/>
  <c r="E359" l="1"/>
  <c r="D365"/>
  <c r="D366" l="1"/>
  <c r="E365"/>
  <c r="E366" l="1"/>
  <c r="D367"/>
  <c r="E367" l="1"/>
  <c r="D368"/>
  <c r="E368" l="1"/>
  <c r="D369"/>
  <c r="E369" l="1"/>
  <c r="D370"/>
  <c r="E370" l="1"/>
  <c r="D371"/>
  <c r="E371" l="1"/>
  <c r="D372"/>
  <c r="E372" l="1"/>
  <c r="D373"/>
  <c r="E373" l="1"/>
  <c r="D374"/>
  <c r="E374" l="1"/>
  <c r="D375"/>
  <c r="E375" l="1"/>
  <c r="D376"/>
  <c r="D377" l="1"/>
  <c r="E376"/>
  <c r="E377" l="1"/>
  <c r="D378"/>
  <c r="E378" l="1"/>
  <c r="D379"/>
  <c r="E379" l="1"/>
  <c r="D380"/>
  <c r="E380" l="1"/>
  <c r="D381"/>
  <c r="E381" l="1"/>
  <c r="D382"/>
  <c r="D383" l="1"/>
  <c r="E382"/>
  <c r="D384" l="1"/>
  <c r="E383"/>
  <c r="D385" l="1"/>
  <c r="E384"/>
  <c r="D386" l="1"/>
  <c r="E385"/>
  <c r="D387" l="1"/>
  <c r="E386"/>
  <c r="D388" l="1"/>
  <c r="E387"/>
  <c r="D389" l="1"/>
  <c r="E388"/>
  <c r="D390" l="1"/>
  <c r="E389"/>
  <c r="D391" l="1"/>
  <c r="E390"/>
  <c r="E391" l="1"/>
  <c r="D392"/>
  <c r="E392" l="1"/>
  <c r="D393"/>
  <c r="D394" l="1"/>
  <c r="E393"/>
  <c r="D401" l="1"/>
  <c r="E394"/>
  <c r="E401" l="1"/>
  <c r="D402"/>
  <c r="E402" l="1"/>
  <c r="D403"/>
  <c r="E403" l="1"/>
  <c r="D404"/>
  <c r="E404" l="1"/>
  <c r="D405"/>
  <c r="E405" l="1"/>
  <c r="D406"/>
  <c r="E406" l="1"/>
  <c r="D407"/>
  <c r="E407" l="1"/>
  <c r="D408"/>
  <c r="E408" l="1"/>
  <c r="D409"/>
  <c r="E409" l="1"/>
  <c r="D410"/>
  <c r="E410" l="1"/>
  <c r="D411"/>
  <c r="E411" l="1"/>
  <c r="D412"/>
  <c r="E412" l="1"/>
  <c r="D413"/>
  <c r="E413" l="1"/>
  <c r="D414"/>
  <c r="E414" l="1"/>
  <c r="D415"/>
  <c r="E415" l="1"/>
  <c r="D416"/>
  <c r="E416" l="1"/>
  <c r="D417"/>
  <c r="E417" l="1"/>
  <c r="D418"/>
  <c r="E418" l="1"/>
  <c r="D419"/>
  <c r="E419" l="1"/>
  <c r="D420"/>
  <c r="E420" l="1"/>
  <c r="D421"/>
  <c r="E421" l="1"/>
  <c r="D422"/>
  <c r="E422" l="1"/>
  <c r="D423"/>
  <c r="E423" l="1"/>
  <c r="D424"/>
  <c r="E424" l="1"/>
  <c r="D425"/>
  <c r="E425" l="1"/>
  <c r="D426"/>
  <c r="E426" l="1"/>
  <c r="D427"/>
  <c r="E427" l="1"/>
  <c r="D428"/>
  <c r="E428" l="1"/>
  <c r="D429"/>
  <c r="E429" l="1"/>
  <c r="D430"/>
  <c r="E430" l="1"/>
  <c r="D431"/>
  <c r="E431" l="1"/>
  <c r="D437"/>
  <c r="E437" l="1"/>
  <c r="D438"/>
  <c r="D439" l="1"/>
  <c r="E438"/>
  <c r="E439" l="1"/>
  <c r="D440"/>
  <c r="E440" l="1"/>
  <c r="D441"/>
  <c r="E441" l="1"/>
  <c r="D442"/>
  <c r="E442" l="1"/>
  <c r="D443"/>
  <c r="E443" l="1"/>
  <c r="D444"/>
  <c r="E444" l="1"/>
  <c r="D445"/>
  <c r="E445" l="1"/>
  <c r="D446"/>
  <c r="E446" l="1"/>
  <c r="D447"/>
  <c r="E447" l="1"/>
  <c r="D448"/>
  <c r="E448" l="1"/>
  <c r="D449"/>
  <c r="E449" l="1"/>
  <c r="D450"/>
  <c r="E450" l="1"/>
  <c r="D451"/>
  <c r="E451" l="1"/>
  <c r="D452"/>
  <c r="E452" l="1"/>
  <c r="D453"/>
  <c r="E453" l="1"/>
  <c r="D454"/>
  <c r="E454" l="1"/>
  <c r="D455"/>
  <c r="D456" l="1"/>
  <c r="E455"/>
  <c r="D457" l="1"/>
  <c r="E456"/>
  <c r="D458" l="1"/>
  <c r="E457"/>
  <c r="E458" l="1"/>
  <c r="D459"/>
  <c r="E459" l="1"/>
  <c r="D460"/>
  <c r="D461" l="1"/>
  <c r="E460"/>
  <c r="E461" l="1"/>
  <c r="D462"/>
  <c r="D463" l="1"/>
  <c r="E462"/>
  <c r="D464" l="1"/>
  <c r="E463"/>
  <c r="D465" l="1"/>
  <c r="E464"/>
  <c r="D466" l="1"/>
  <c r="E465"/>
  <c r="E466" l="1"/>
  <c r="D473"/>
  <c r="E473" l="1"/>
  <c r="D474"/>
  <c r="D475" l="1"/>
  <c r="E474"/>
  <c r="D476" l="1"/>
  <c r="E475"/>
  <c r="D477" l="1"/>
  <c r="E476"/>
  <c r="D478" l="1"/>
  <c r="E477"/>
  <c r="D479" l="1"/>
  <c r="E478"/>
  <c r="E479" l="1"/>
  <c r="D480"/>
  <c r="D481" l="1"/>
  <c r="E480"/>
  <c r="D482" l="1"/>
  <c r="E481"/>
  <c r="D483" l="1"/>
  <c r="E482"/>
  <c r="D484" l="1"/>
  <c r="E483"/>
  <c r="D485" l="1"/>
  <c r="E484"/>
  <c r="D486" l="1"/>
  <c r="E485"/>
  <c r="D487" l="1"/>
  <c r="E486"/>
  <c r="D488" l="1"/>
  <c r="E487"/>
  <c r="D489" l="1"/>
  <c r="E488"/>
  <c r="E489" l="1"/>
  <c r="D490"/>
  <c r="D491" l="1"/>
  <c r="E490"/>
  <c r="D492" l="1"/>
  <c r="E491"/>
  <c r="D493" l="1"/>
  <c r="E492"/>
  <c r="D494" l="1"/>
  <c r="E493"/>
  <c r="D495" l="1"/>
  <c r="E494"/>
  <c r="D496" l="1"/>
  <c r="E495"/>
  <c r="D497" l="1"/>
  <c r="E496"/>
  <c r="D498" l="1"/>
  <c r="E497"/>
  <c r="E498" l="1"/>
  <c r="D499"/>
  <c r="E499" l="1"/>
  <c r="D500"/>
  <c r="D501" l="1"/>
  <c r="E500"/>
  <c r="E501" l="1"/>
  <c r="D502"/>
  <c r="E502" l="1"/>
  <c r="D503"/>
  <c r="E503" l="1"/>
  <c r="D509"/>
  <c r="E509" l="1"/>
  <c r="D510"/>
  <c r="D511" l="1"/>
  <c r="E510"/>
  <c r="D512" l="1"/>
  <c r="E511"/>
  <c r="D513" l="1"/>
  <c r="E512"/>
  <c r="D514" l="1"/>
  <c r="E513"/>
  <c r="D515" l="1"/>
  <c r="E514"/>
  <c r="D516" l="1"/>
  <c r="E515"/>
  <c r="D517" l="1"/>
  <c r="E516"/>
  <c r="D518" l="1"/>
  <c r="E517"/>
  <c r="D519" l="1"/>
  <c r="E518"/>
  <c r="D520" l="1"/>
  <c r="E519"/>
  <c r="D521" l="1"/>
  <c r="E520"/>
  <c r="D522" l="1"/>
  <c r="E521"/>
  <c r="D523" l="1"/>
  <c r="E522"/>
  <c r="D524" l="1"/>
  <c r="E523"/>
  <c r="D525" l="1"/>
  <c r="E524"/>
  <c r="D526" l="1"/>
  <c r="E525"/>
  <c r="D527" l="1"/>
  <c r="E526"/>
  <c r="D528" l="1"/>
  <c r="E527"/>
  <c r="D529" l="1"/>
  <c r="E528"/>
  <c r="D530" l="1"/>
  <c r="E529"/>
  <c r="D531" l="1"/>
  <c r="E530"/>
  <c r="E531" l="1"/>
  <c r="D532"/>
  <c r="E532" l="1"/>
  <c r="D533"/>
  <c r="E533" l="1"/>
  <c r="D534"/>
  <c r="E534" l="1"/>
  <c r="D535"/>
  <c r="E535" l="1"/>
  <c r="D536"/>
  <c r="E536" l="1"/>
  <c r="D537"/>
  <c r="E537" l="1"/>
  <c r="D538"/>
  <c r="E538" l="1"/>
  <c r="D539"/>
  <c r="E539" s="1"/>
</calcChain>
</file>

<file path=xl/sharedStrings.xml><?xml version="1.0" encoding="utf-8"?>
<sst xmlns="http://schemas.openxmlformats.org/spreadsheetml/2006/main" count="725" uniqueCount="49">
  <si>
    <t>DATE</t>
  </si>
  <si>
    <t>NAIRA</t>
  </si>
  <si>
    <t>LITRES/DAY</t>
  </si>
  <si>
    <t>DOLLARS**</t>
  </si>
  <si>
    <t>PRICE DIFFERENTIAL*</t>
  </si>
  <si>
    <t>35 million</t>
  </si>
  <si>
    <t>Month</t>
  </si>
  <si>
    <t>January, 2012</t>
  </si>
  <si>
    <t>February, 2012</t>
  </si>
  <si>
    <t>March, 2012</t>
  </si>
  <si>
    <t>April, 2012</t>
  </si>
  <si>
    <t>May, 2012</t>
  </si>
  <si>
    <t>June, 2012</t>
  </si>
  <si>
    <t>July, 2012</t>
  </si>
  <si>
    <t>August, 2012</t>
  </si>
  <si>
    <t>September, 2012</t>
  </si>
  <si>
    <t>October, 2012</t>
  </si>
  <si>
    <t>November, 2012</t>
  </si>
  <si>
    <t>December, 2012</t>
  </si>
  <si>
    <t>EiE Nigeria</t>
  </si>
  <si>
    <t>Fed. Min. of Finance</t>
  </si>
  <si>
    <t>With N141 for 15 days</t>
  </si>
  <si>
    <t>Difference†</t>
  </si>
  <si>
    <t>Difference‡</t>
  </si>
  <si>
    <t>36 million</t>
  </si>
  <si>
    <t>‡ Difference might be due to compound interest</t>
  </si>
  <si>
    <t>Summary</t>
  </si>
  <si>
    <t>#35 million litres per day</t>
  </si>
  <si>
    <t>† N141 for 15 days unaccounted for + compound Interest (?)</t>
  </si>
  <si>
    <t>N97 per Federal Ministry of Finance</t>
  </si>
  <si>
    <t>Assumes 35 million litres per day</t>
  </si>
  <si>
    <t>† N141 for 15 days unaccounted for + compound interest (?)</t>
  </si>
  <si>
    <t>N/A</t>
  </si>
  <si>
    <r>
      <rPr>
        <sz val="11"/>
        <color theme="1"/>
        <rFont val="Calibri"/>
        <family val="2"/>
      </rPr>
      <t>¤</t>
    </r>
    <r>
      <rPr>
        <i/>
        <sz val="11"/>
        <color theme="1"/>
        <rFont val="Calibri"/>
        <family val="2"/>
      </rPr>
      <t xml:space="preserve"> Assumed based on released figures for Jan, Feb, Apr &amp; May</t>
    </r>
  </si>
  <si>
    <t>NGN 35, 549,235,691.43 ¤</t>
  </si>
  <si>
    <t>Summary - 2012</t>
  </si>
  <si>
    <t>Summary - 2013</t>
  </si>
  <si>
    <t>January, 2013</t>
  </si>
  <si>
    <t>February, 2013</t>
  </si>
  <si>
    <t>March, 2013</t>
  </si>
  <si>
    <t>April, 2013</t>
  </si>
  <si>
    <t>May, 2013</t>
  </si>
  <si>
    <t>June, 2013</t>
  </si>
  <si>
    <t>July, 2013</t>
  </si>
  <si>
    <t>August, 2013</t>
  </si>
  <si>
    <t>September, 2013</t>
  </si>
  <si>
    <t>October, 2013</t>
  </si>
  <si>
    <t>November, 2013</t>
  </si>
  <si>
    <t>December, 2013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</si>
</sst>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64" formatCode="[$-809]d\ mmmm\ yyyy;@"/>
    <numFmt numFmtId="165" formatCode="[$NGN]\ #,##0.00"/>
    <numFmt numFmtId="166" formatCode="_([$NGN]\ * #,##0.00_);_([$NGN]\ * \(#,##0.00\);_([$NGN]\ * &quot;-&quot;??_);_(@_)"/>
  </numFmts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44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164" fontId="0" fillId="0" borderId="2" xfId="0" applyNumberFormat="1" applyBorder="1"/>
    <xf numFmtId="0" fontId="0" fillId="0" borderId="2" xfId="0" applyBorder="1"/>
    <xf numFmtId="165" fontId="0" fillId="0" borderId="2" xfId="0" applyNumberFormat="1" applyBorder="1"/>
    <xf numFmtId="164" fontId="0" fillId="0" borderId="0" xfId="0" applyNumberFormat="1" applyBorder="1"/>
    <xf numFmtId="0" fontId="0" fillId="0" borderId="0" xfId="0" applyBorder="1"/>
    <xf numFmtId="165" fontId="0" fillId="0" borderId="0" xfId="0" applyNumberFormat="1" applyBorder="1"/>
    <xf numFmtId="166" fontId="0" fillId="0" borderId="0" xfId="0" applyNumberFormat="1" applyBorder="1"/>
    <xf numFmtId="44" fontId="0" fillId="0" borderId="0" xfId="0" applyNumberFormat="1" applyBorder="1"/>
    <xf numFmtId="0" fontId="1" fillId="0" borderId="1" xfId="0" applyFont="1" applyBorder="1"/>
    <xf numFmtId="0" fontId="3" fillId="0" borderId="0" xfId="0" applyFont="1"/>
    <xf numFmtId="165" fontId="0" fillId="0" borderId="0" xfId="0" applyNumberFormat="1"/>
    <xf numFmtId="165" fontId="0" fillId="0" borderId="0" xfId="0" applyNumberFormat="1" applyAlignment="1">
      <alignment wrapText="1"/>
    </xf>
    <xf numFmtId="165" fontId="0" fillId="0" borderId="1" xfId="0" applyNumberFormat="1" applyBorder="1" applyAlignment="1">
      <alignment wrapText="1"/>
    </xf>
    <xf numFmtId="165" fontId="0" fillId="0" borderId="0" xfId="0" applyNumberFormat="1" applyBorder="1" applyAlignment="1">
      <alignment wrapText="1"/>
    </xf>
    <xf numFmtId="165" fontId="5" fillId="0" borderId="0" xfId="0" applyNumberFormat="1" applyFont="1"/>
    <xf numFmtId="165" fontId="5" fillId="0" borderId="0" xfId="0" applyNumberFormat="1" applyFont="1" applyAlignment="1">
      <alignment wrapText="1"/>
    </xf>
    <xf numFmtId="0" fontId="0" fillId="0" borderId="0" xfId="0" quotePrefix="1"/>
    <xf numFmtId="165" fontId="1" fillId="0" borderId="1" xfId="0" applyNumberFormat="1" applyFont="1" applyBorder="1" applyAlignment="1">
      <alignment horizontal="right" wrapText="1"/>
    </xf>
    <xf numFmtId="165" fontId="1" fillId="0" borderId="1" xfId="0" applyNumberFormat="1" applyFont="1" applyBorder="1" applyAlignment="1">
      <alignment horizontal="right"/>
    </xf>
    <xf numFmtId="0" fontId="6" fillId="0" borderId="0" xfId="0" applyFont="1"/>
    <xf numFmtId="166" fontId="0" fillId="0" borderId="2" xfId="0" applyNumberFormat="1" applyBorder="1"/>
    <xf numFmtId="44" fontId="0" fillId="0" borderId="2" xfId="0" applyNumberFormat="1" applyBorder="1"/>
    <xf numFmtId="4" fontId="0" fillId="0" borderId="0" xfId="0" applyNumberFormat="1"/>
    <xf numFmtId="165" fontId="4" fillId="0" borderId="0" xfId="0" applyNumberFormat="1" applyFont="1"/>
    <xf numFmtId="165" fontId="0" fillId="0" borderId="1" xfId="0" applyNumberFormat="1" applyBorder="1" applyAlignment="1">
      <alignment horizontal="right" wrapText="1"/>
    </xf>
    <xf numFmtId="164" fontId="0" fillId="0" borderId="6" xfId="0" applyNumberFormat="1" applyBorder="1"/>
    <xf numFmtId="0" fontId="0" fillId="0" borderId="6" xfId="0" applyBorder="1"/>
    <xf numFmtId="165" fontId="0" fillId="0" borderId="6" xfId="0" applyNumberFormat="1" applyBorder="1"/>
    <xf numFmtId="166" fontId="0" fillId="0" borderId="6" xfId="0" applyNumberFormat="1" applyBorder="1"/>
    <xf numFmtId="44" fontId="0" fillId="0" borderId="6" xfId="0" applyNumberFormat="1" applyBorder="1"/>
    <xf numFmtId="0" fontId="1" fillId="0" borderId="0" xfId="0" applyFont="1" applyBorder="1"/>
    <xf numFmtId="165" fontId="1" fillId="0" borderId="0" xfId="0" applyNumberFormat="1" applyFont="1" applyBorder="1" applyAlignment="1">
      <alignment horizontal="right" wrapText="1"/>
    </xf>
    <xf numFmtId="165" fontId="1" fillId="0" borderId="0" xfId="0" applyNumberFormat="1" applyFont="1" applyBorder="1" applyAlignment="1">
      <alignment horizontal="right"/>
    </xf>
    <xf numFmtId="165" fontId="0" fillId="0" borderId="0" xfId="0" applyNumberFormat="1" applyBorder="1" applyAlignment="1">
      <alignment horizontal="right" wrapText="1"/>
    </xf>
    <xf numFmtId="165" fontId="0" fillId="0" borderId="0" xfId="0" applyNumberFormat="1" applyBorder="1"/>
    <xf numFmtId="165" fontId="0" fillId="0" borderId="0" xfId="0" applyNumberFormat="1" applyBorder="1"/>
    <xf numFmtId="165" fontId="0" fillId="0" borderId="0" xfId="0" applyNumberFormat="1" applyBorder="1"/>
    <xf numFmtId="165" fontId="0" fillId="0" borderId="0" xfId="0" applyNumberFormat="1" applyBorder="1"/>
    <xf numFmtId="165" fontId="2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4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1" fillId="0" borderId="4" xfId="0" applyNumberFormat="1" applyFont="1" applyBorder="1" applyAlignment="1">
      <alignment horizontal="right" wrapText="1"/>
    </xf>
    <xf numFmtId="165" fontId="1" fillId="0" borderId="5" xfId="0" applyNumberFormat="1" applyFont="1" applyBorder="1" applyAlignment="1">
      <alignment horizontal="right" wrapText="1"/>
    </xf>
    <xf numFmtId="165" fontId="0" fillId="0" borderId="4" xfId="0" applyNumberFormat="1" applyBorder="1"/>
    <xf numFmtId="165" fontId="0" fillId="0" borderId="5" xfId="0" applyNumberFormat="1" applyBorder="1"/>
    <xf numFmtId="165" fontId="0" fillId="0" borderId="4" xfId="0" applyNumberFormat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165" fontId="1" fillId="0" borderId="0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center"/>
    </xf>
    <xf numFmtId="165" fontId="0" fillId="0" borderId="0" xfId="0" applyNumberFormat="1" applyBorder="1" applyAlignment="1">
      <alignment horizontal="right" vertical="top"/>
    </xf>
    <xf numFmtId="165" fontId="0" fillId="0" borderId="0" xfId="0" applyNumberFormat="1" applyBorder="1"/>
    <xf numFmtId="4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view="pageLayout" topLeftCell="A16" workbookViewId="0">
      <selection activeCell="C25" sqref="C25:C31"/>
    </sheetView>
  </sheetViews>
  <sheetFormatPr defaultRowHeight="15"/>
  <cols>
    <col min="1" max="1" width="15.85546875" customWidth="1"/>
    <col min="2" max="2" width="24.42578125" style="18" customWidth="1"/>
    <col min="3" max="3" width="22.28515625" style="19" customWidth="1"/>
    <col min="4" max="4" width="20.85546875" style="18" customWidth="1"/>
    <col min="5" max="5" width="16.42578125" customWidth="1"/>
    <col min="6" max="6" width="13.7109375" customWidth="1"/>
    <col min="7" max="7" width="15.140625" customWidth="1"/>
    <col min="8" max="8" width="24.7109375" customWidth="1"/>
    <col min="9" max="9" width="20.85546875" customWidth="1"/>
  </cols>
  <sheetData>
    <row r="1" spans="1:10" ht="47.25">
      <c r="E1" s="1" t="s">
        <v>0</v>
      </c>
      <c r="F1" s="1" t="s">
        <v>2</v>
      </c>
      <c r="G1" s="7" t="s">
        <v>4</v>
      </c>
      <c r="H1" s="1" t="s">
        <v>1</v>
      </c>
      <c r="I1" s="1" t="s">
        <v>3</v>
      </c>
    </row>
    <row r="2" spans="1:10">
      <c r="A2" t="s">
        <v>26</v>
      </c>
      <c r="E2" s="2">
        <v>40909</v>
      </c>
      <c r="F2" s="3" t="s">
        <v>5</v>
      </c>
      <c r="G2" s="4">
        <v>76</v>
      </c>
      <c r="H2" s="5">
        <f>35000000*G2</f>
        <v>2660000000</v>
      </c>
      <c r="I2" s="6">
        <f>H2/160</f>
        <v>16625000</v>
      </c>
      <c r="J2" s="24"/>
    </row>
    <row r="3" spans="1:10">
      <c r="A3" t="s">
        <v>27</v>
      </c>
      <c r="E3" s="2">
        <v>40910</v>
      </c>
      <c r="F3" s="3" t="s">
        <v>5</v>
      </c>
      <c r="G3" s="4">
        <v>76</v>
      </c>
      <c r="H3" s="5">
        <f>(35000000*G3)+H2</f>
        <v>5320000000</v>
      </c>
      <c r="I3" s="6">
        <f t="shared" ref="I3:I16" si="0">H3/160</f>
        <v>33250000</v>
      </c>
    </row>
    <row r="4" spans="1:10">
      <c r="E4" s="2">
        <v>40911</v>
      </c>
      <c r="F4" s="3" t="s">
        <v>5</v>
      </c>
      <c r="G4" s="4">
        <v>76</v>
      </c>
      <c r="H4" s="5">
        <f t="shared" ref="H4:H16" si="1">(35000000*G4)+H3</f>
        <v>7980000000</v>
      </c>
      <c r="I4" s="6">
        <f t="shared" si="0"/>
        <v>49875000</v>
      </c>
    </row>
    <row r="5" spans="1:10" ht="18.75">
      <c r="B5" s="46" t="s">
        <v>21</v>
      </c>
      <c r="C5" s="46"/>
      <c r="E5" s="2">
        <v>40912</v>
      </c>
      <c r="F5" s="3" t="s">
        <v>5</v>
      </c>
      <c r="G5" s="4">
        <v>76</v>
      </c>
      <c r="H5" s="5">
        <f t="shared" si="1"/>
        <v>10640000000</v>
      </c>
      <c r="I5" s="6">
        <f t="shared" si="0"/>
        <v>66500000</v>
      </c>
    </row>
    <row r="6" spans="1:10" ht="15.75">
      <c r="A6" s="16" t="s">
        <v>6</v>
      </c>
      <c r="B6" s="25" t="s">
        <v>19</v>
      </c>
      <c r="C6" s="25" t="s">
        <v>20</v>
      </c>
      <c r="D6" s="26" t="s">
        <v>22</v>
      </c>
      <c r="E6" s="2">
        <v>40913</v>
      </c>
      <c r="F6" s="3" t="s">
        <v>5</v>
      </c>
      <c r="G6" s="4">
        <v>76</v>
      </c>
      <c r="H6" s="5">
        <f t="shared" si="1"/>
        <v>13300000000</v>
      </c>
      <c r="I6" s="6">
        <f t="shared" si="0"/>
        <v>83125000</v>
      </c>
    </row>
    <row r="7" spans="1:10">
      <c r="A7" s="3" t="s">
        <v>7</v>
      </c>
      <c r="B7" s="4">
        <v>57820000000</v>
      </c>
      <c r="C7" s="20">
        <v>35549235691.43</v>
      </c>
      <c r="D7" s="4">
        <f>B7-C7</f>
        <v>22270764308.57</v>
      </c>
      <c r="E7" s="2">
        <v>40914</v>
      </c>
      <c r="F7" s="3" t="s">
        <v>5</v>
      </c>
      <c r="G7" s="4">
        <v>76</v>
      </c>
      <c r="H7" s="5">
        <f t="shared" si="1"/>
        <v>15960000000</v>
      </c>
      <c r="I7" s="6">
        <f t="shared" si="0"/>
        <v>99750000</v>
      </c>
    </row>
    <row r="8" spans="1:10">
      <c r="A8" s="3" t="s">
        <v>8</v>
      </c>
      <c r="B8" s="4"/>
      <c r="C8" s="20"/>
      <c r="D8" s="4"/>
      <c r="E8" s="2">
        <v>40915</v>
      </c>
      <c r="F8" s="3" t="s">
        <v>5</v>
      </c>
      <c r="G8" s="4">
        <v>76</v>
      </c>
      <c r="H8" s="5">
        <f t="shared" si="1"/>
        <v>18620000000</v>
      </c>
      <c r="I8" s="6">
        <f t="shared" si="0"/>
        <v>116375000</v>
      </c>
    </row>
    <row r="9" spans="1:10">
      <c r="A9" s="3" t="s">
        <v>9</v>
      </c>
      <c r="B9" s="4"/>
      <c r="C9" s="20"/>
      <c r="D9" s="4"/>
      <c r="E9" s="2">
        <v>40916</v>
      </c>
      <c r="F9" s="3" t="s">
        <v>5</v>
      </c>
      <c r="G9" s="4">
        <v>76</v>
      </c>
      <c r="H9" s="5">
        <f t="shared" si="1"/>
        <v>21280000000</v>
      </c>
      <c r="I9" s="6">
        <f t="shared" si="0"/>
        <v>133000000</v>
      </c>
    </row>
    <row r="10" spans="1:10">
      <c r="A10" s="3" t="s">
        <v>10</v>
      </c>
      <c r="B10" s="4"/>
      <c r="C10" s="20"/>
      <c r="D10" s="4"/>
      <c r="E10" s="2">
        <v>40917</v>
      </c>
      <c r="F10" s="3" t="s">
        <v>5</v>
      </c>
      <c r="G10" s="4">
        <v>76</v>
      </c>
      <c r="H10" s="5">
        <f t="shared" si="1"/>
        <v>23940000000</v>
      </c>
      <c r="I10" s="6">
        <f t="shared" si="0"/>
        <v>149625000</v>
      </c>
    </row>
    <row r="11" spans="1:10">
      <c r="A11" s="3" t="s">
        <v>11</v>
      </c>
      <c r="B11" s="4"/>
      <c r="C11" s="20"/>
      <c r="D11" s="4"/>
      <c r="E11" s="2">
        <v>40918</v>
      </c>
      <c r="F11" s="3" t="s">
        <v>5</v>
      </c>
      <c r="G11" s="4">
        <v>76</v>
      </c>
      <c r="H11" s="5">
        <f t="shared" si="1"/>
        <v>26600000000</v>
      </c>
      <c r="I11" s="6">
        <f t="shared" si="0"/>
        <v>166250000</v>
      </c>
    </row>
    <row r="12" spans="1:10">
      <c r="A12" s="3" t="s">
        <v>12</v>
      </c>
      <c r="B12" s="4"/>
      <c r="C12" s="20"/>
      <c r="D12" s="4"/>
      <c r="E12" s="2">
        <v>40919</v>
      </c>
      <c r="F12" s="3" t="s">
        <v>5</v>
      </c>
      <c r="G12" s="4">
        <v>76</v>
      </c>
      <c r="H12" s="5">
        <f t="shared" si="1"/>
        <v>29260000000</v>
      </c>
      <c r="I12" s="6">
        <f t="shared" si="0"/>
        <v>182875000</v>
      </c>
    </row>
    <row r="13" spans="1:10">
      <c r="A13" s="3" t="s">
        <v>13</v>
      </c>
      <c r="B13" s="4"/>
      <c r="C13" s="20"/>
      <c r="D13" s="4"/>
      <c r="E13" s="2">
        <v>40920</v>
      </c>
      <c r="F13" s="3" t="s">
        <v>5</v>
      </c>
      <c r="G13" s="4">
        <v>76</v>
      </c>
      <c r="H13" s="5">
        <f t="shared" si="1"/>
        <v>31920000000</v>
      </c>
      <c r="I13" s="6">
        <f t="shared" si="0"/>
        <v>199500000</v>
      </c>
    </row>
    <row r="14" spans="1:10">
      <c r="A14" s="3" t="s">
        <v>14</v>
      </c>
      <c r="B14" s="4"/>
      <c r="C14" s="20"/>
      <c r="D14" s="4"/>
      <c r="E14" s="2">
        <v>40921</v>
      </c>
      <c r="F14" s="3" t="s">
        <v>5</v>
      </c>
      <c r="G14" s="4">
        <v>76</v>
      </c>
      <c r="H14" s="5">
        <f t="shared" si="1"/>
        <v>34580000000</v>
      </c>
      <c r="I14" s="6">
        <f t="shared" si="0"/>
        <v>216125000</v>
      </c>
    </row>
    <row r="15" spans="1:10">
      <c r="A15" s="3" t="s">
        <v>15</v>
      </c>
      <c r="B15" s="4"/>
      <c r="C15" s="20"/>
      <c r="D15" s="4"/>
      <c r="E15" s="2">
        <v>40922</v>
      </c>
      <c r="F15" s="3" t="s">
        <v>5</v>
      </c>
      <c r="G15" s="4">
        <v>76</v>
      </c>
      <c r="H15" s="5">
        <f t="shared" si="1"/>
        <v>37240000000</v>
      </c>
      <c r="I15" s="6">
        <f t="shared" si="0"/>
        <v>232750000</v>
      </c>
    </row>
    <row r="16" spans="1:10">
      <c r="A16" s="3" t="s">
        <v>16</v>
      </c>
      <c r="B16" s="4"/>
      <c r="C16" s="20"/>
      <c r="D16" s="4"/>
      <c r="E16" s="2">
        <v>40923</v>
      </c>
      <c r="F16" s="3" t="s">
        <v>24</v>
      </c>
      <c r="G16" s="4">
        <v>76</v>
      </c>
      <c r="H16" s="5">
        <f t="shared" si="1"/>
        <v>39900000000</v>
      </c>
      <c r="I16" s="6">
        <f t="shared" si="0"/>
        <v>249375000</v>
      </c>
    </row>
    <row r="17" spans="1:9">
      <c r="A17" s="3" t="s">
        <v>17</v>
      </c>
      <c r="B17" s="4"/>
      <c r="C17" s="20"/>
      <c r="D17" s="4"/>
      <c r="E17" s="2">
        <v>40924</v>
      </c>
      <c r="F17" s="3" t="s">
        <v>5</v>
      </c>
      <c r="G17" s="4">
        <v>32</v>
      </c>
      <c r="H17" s="5">
        <f t="shared" ref="H17:H61" si="2">(35000000*G17)+H16</f>
        <v>41020000000</v>
      </c>
      <c r="I17" s="6">
        <f t="shared" ref="I17:I61" si="3">H17/160</f>
        <v>256375000</v>
      </c>
    </row>
    <row r="18" spans="1:9">
      <c r="A18" s="3" t="s">
        <v>18</v>
      </c>
      <c r="B18" s="4"/>
      <c r="C18" s="20"/>
      <c r="D18" s="4"/>
      <c r="E18" s="2">
        <v>40925</v>
      </c>
      <c r="F18" s="3" t="s">
        <v>5</v>
      </c>
      <c r="G18" s="4">
        <v>32</v>
      </c>
      <c r="H18" s="5">
        <f t="shared" si="2"/>
        <v>42140000000</v>
      </c>
      <c r="I18" s="6">
        <f t="shared" si="3"/>
        <v>263375000</v>
      </c>
    </row>
    <row r="19" spans="1:9">
      <c r="A19" s="12"/>
      <c r="B19" s="13"/>
      <c r="C19" s="21"/>
      <c r="D19" s="13"/>
      <c r="E19" s="2">
        <v>40926</v>
      </c>
      <c r="F19" s="3" t="s">
        <v>5</v>
      </c>
      <c r="G19" s="4">
        <v>32</v>
      </c>
      <c r="H19" s="5">
        <f t="shared" si="2"/>
        <v>43260000000</v>
      </c>
      <c r="I19" s="6">
        <f t="shared" si="3"/>
        <v>270375000</v>
      </c>
    </row>
    <row r="20" spans="1:9" ht="18.75">
      <c r="B20" s="46" t="s">
        <v>29</v>
      </c>
      <c r="C20" s="46"/>
      <c r="E20" s="2">
        <v>40927</v>
      </c>
      <c r="F20" s="3" t="s">
        <v>5</v>
      </c>
      <c r="G20" s="4">
        <v>32</v>
      </c>
      <c r="H20" s="5">
        <f t="shared" si="2"/>
        <v>44380000000</v>
      </c>
      <c r="I20" s="6">
        <f t="shared" si="3"/>
        <v>277375000</v>
      </c>
    </row>
    <row r="21" spans="1:9" ht="15.75">
      <c r="A21" s="16" t="s">
        <v>6</v>
      </c>
      <c r="B21" s="25" t="s">
        <v>19</v>
      </c>
      <c r="C21" s="25" t="s">
        <v>20</v>
      </c>
      <c r="D21" s="26" t="s">
        <v>23</v>
      </c>
      <c r="E21" s="2">
        <v>40928</v>
      </c>
      <c r="F21" s="3" t="s">
        <v>5</v>
      </c>
      <c r="G21" s="4">
        <v>32</v>
      </c>
      <c r="H21" s="5">
        <f t="shared" si="2"/>
        <v>45500000000</v>
      </c>
      <c r="I21" s="6">
        <f t="shared" si="3"/>
        <v>284375000</v>
      </c>
    </row>
    <row r="22" spans="1:9">
      <c r="A22" s="3" t="s">
        <v>7</v>
      </c>
      <c r="B22" s="4">
        <v>34720000000</v>
      </c>
      <c r="C22" s="20">
        <v>35549235691.43</v>
      </c>
      <c r="D22" s="4">
        <f>B22-C22</f>
        <v>-829235691.43000031</v>
      </c>
      <c r="E22" s="2">
        <v>40929</v>
      </c>
      <c r="F22" s="3" t="s">
        <v>5</v>
      </c>
      <c r="G22" s="4">
        <v>32</v>
      </c>
      <c r="H22" s="5">
        <f t="shared" si="2"/>
        <v>46620000000</v>
      </c>
      <c r="I22" s="6">
        <f t="shared" si="3"/>
        <v>291375000</v>
      </c>
    </row>
    <row r="23" spans="1:9">
      <c r="A23" s="3" t="s">
        <v>8</v>
      </c>
      <c r="B23" s="4"/>
      <c r="C23" s="20"/>
      <c r="D23" s="4"/>
      <c r="E23" s="2">
        <v>40930</v>
      </c>
      <c r="F23" s="3" t="s">
        <v>5</v>
      </c>
      <c r="G23" s="4">
        <v>32</v>
      </c>
      <c r="H23" s="5">
        <f t="shared" si="2"/>
        <v>47740000000</v>
      </c>
      <c r="I23" s="6">
        <f t="shared" si="3"/>
        <v>298375000</v>
      </c>
    </row>
    <row r="24" spans="1:9">
      <c r="A24" s="3" t="s">
        <v>9</v>
      </c>
      <c r="B24" s="4"/>
      <c r="C24" s="20"/>
      <c r="D24" s="4"/>
      <c r="E24" s="2">
        <v>40931</v>
      </c>
      <c r="F24" s="3" t="s">
        <v>5</v>
      </c>
      <c r="G24" s="4">
        <v>32</v>
      </c>
      <c r="H24" s="5">
        <f t="shared" si="2"/>
        <v>48860000000</v>
      </c>
      <c r="I24" s="6">
        <f t="shared" si="3"/>
        <v>305375000</v>
      </c>
    </row>
    <row r="25" spans="1:9">
      <c r="A25" s="3" t="s">
        <v>10</v>
      </c>
      <c r="B25" s="4"/>
      <c r="C25" s="20"/>
      <c r="D25" s="4"/>
      <c r="E25" s="2">
        <v>40932</v>
      </c>
      <c r="F25" s="3" t="s">
        <v>5</v>
      </c>
      <c r="G25" s="4">
        <v>32</v>
      </c>
      <c r="H25" s="5">
        <f t="shared" si="2"/>
        <v>49980000000</v>
      </c>
      <c r="I25" s="6">
        <f t="shared" si="3"/>
        <v>312375000</v>
      </c>
    </row>
    <row r="26" spans="1:9">
      <c r="A26" s="3" t="s">
        <v>11</v>
      </c>
      <c r="B26" s="4"/>
      <c r="C26" s="20"/>
      <c r="D26" s="4"/>
      <c r="E26" s="2">
        <v>40933</v>
      </c>
      <c r="F26" s="3" t="s">
        <v>5</v>
      </c>
      <c r="G26" s="4">
        <v>32</v>
      </c>
      <c r="H26" s="5">
        <f t="shared" si="2"/>
        <v>51100000000</v>
      </c>
      <c r="I26" s="6">
        <f t="shared" si="3"/>
        <v>319375000</v>
      </c>
    </row>
    <row r="27" spans="1:9">
      <c r="A27" s="3" t="s">
        <v>12</v>
      </c>
      <c r="B27" s="4"/>
      <c r="C27" s="20"/>
      <c r="D27" s="4"/>
      <c r="E27" s="2">
        <v>40934</v>
      </c>
      <c r="F27" s="3" t="s">
        <v>5</v>
      </c>
      <c r="G27" s="4">
        <v>32</v>
      </c>
      <c r="H27" s="5">
        <f t="shared" si="2"/>
        <v>52220000000</v>
      </c>
      <c r="I27" s="6">
        <f t="shared" si="3"/>
        <v>326375000</v>
      </c>
    </row>
    <row r="28" spans="1:9">
      <c r="A28" s="3" t="s">
        <v>13</v>
      </c>
      <c r="B28" s="4"/>
      <c r="C28" s="20"/>
      <c r="D28" s="4"/>
      <c r="E28" s="2">
        <v>40935</v>
      </c>
      <c r="F28" s="3" t="s">
        <v>5</v>
      </c>
      <c r="G28" s="4">
        <v>32</v>
      </c>
      <c r="H28" s="5">
        <f t="shared" si="2"/>
        <v>53340000000</v>
      </c>
      <c r="I28" s="6">
        <f t="shared" si="3"/>
        <v>333375000</v>
      </c>
    </row>
    <row r="29" spans="1:9">
      <c r="A29" s="3" t="s">
        <v>14</v>
      </c>
      <c r="B29" s="4"/>
      <c r="C29" s="20"/>
      <c r="D29" s="4"/>
      <c r="E29" s="2">
        <v>40936</v>
      </c>
      <c r="F29" s="3" t="s">
        <v>5</v>
      </c>
      <c r="G29" s="4">
        <v>32</v>
      </c>
      <c r="H29" s="5">
        <f t="shared" si="2"/>
        <v>54460000000</v>
      </c>
      <c r="I29" s="6">
        <f t="shared" si="3"/>
        <v>340375000</v>
      </c>
    </row>
    <row r="30" spans="1:9">
      <c r="A30" s="3" t="s">
        <v>15</v>
      </c>
      <c r="B30" s="4"/>
      <c r="C30" s="20"/>
      <c r="D30" s="4"/>
      <c r="E30" s="2">
        <v>40937</v>
      </c>
      <c r="F30" s="3" t="s">
        <v>5</v>
      </c>
      <c r="G30" s="4">
        <v>32</v>
      </c>
      <c r="H30" s="5">
        <f t="shared" si="2"/>
        <v>55580000000</v>
      </c>
      <c r="I30" s="6">
        <f t="shared" si="3"/>
        <v>347375000</v>
      </c>
    </row>
    <row r="31" spans="1:9">
      <c r="A31" s="3" t="s">
        <v>16</v>
      </c>
      <c r="B31" s="4"/>
      <c r="C31" s="20"/>
      <c r="D31" s="4"/>
      <c r="E31" s="2">
        <v>40938</v>
      </c>
      <c r="F31" s="3" t="s">
        <v>5</v>
      </c>
      <c r="G31" s="4">
        <v>32</v>
      </c>
      <c r="H31" s="5">
        <f t="shared" si="2"/>
        <v>56700000000</v>
      </c>
      <c r="I31" s="6">
        <f t="shared" si="3"/>
        <v>354375000</v>
      </c>
    </row>
    <row r="32" spans="1:9">
      <c r="A32" s="3" t="s">
        <v>17</v>
      </c>
      <c r="B32" s="4"/>
      <c r="C32" s="20"/>
      <c r="D32" s="4"/>
      <c r="E32" s="2">
        <v>40939</v>
      </c>
      <c r="F32" s="3" t="s">
        <v>5</v>
      </c>
      <c r="G32" s="4">
        <v>32</v>
      </c>
      <c r="H32" s="5">
        <f t="shared" si="2"/>
        <v>57820000000</v>
      </c>
      <c r="I32" s="6">
        <f t="shared" si="3"/>
        <v>361375000</v>
      </c>
    </row>
    <row r="33" spans="1:9" s="12" customFormat="1">
      <c r="A33" s="3" t="s">
        <v>18</v>
      </c>
      <c r="B33" s="4"/>
      <c r="C33" s="20"/>
      <c r="D33" s="4"/>
      <c r="E33" s="11"/>
      <c r="G33" s="13"/>
      <c r="H33" s="14"/>
      <c r="I33" s="15"/>
    </row>
    <row r="34" spans="1:9" s="12" customFormat="1">
      <c r="A34"/>
      <c r="B34" s="18"/>
      <c r="C34" s="19"/>
      <c r="D34" s="18"/>
      <c r="E34" s="11"/>
      <c r="G34" s="13"/>
      <c r="H34" s="14"/>
      <c r="I34" s="15"/>
    </row>
    <row r="35" spans="1:9" s="12" customFormat="1">
      <c r="A35"/>
      <c r="B35" s="47" t="s">
        <v>28</v>
      </c>
      <c r="C35" s="48"/>
      <c r="D35" s="18"/>
      <c r="E35" s="11"/>
      <c r="G35" s="13"/>
      <c r="H35" s="14"/>
      <c r="I35" s="15"/>
    </row>
    <row r="36" spans="1:9" s="12" customFormat="1">
      <c r="A36"/>
      <c r="B36" s="47" t="s">
        <v>25</v>
      </c>
      <c r="C36" s="47"/>
      <c r="D36" s="18"/>
      <c r="E36" s="11"/>
      <c r="G36" s="13"/>
      <c r="H36" s="14"/>
      <c r="I36" s="15"/>
    </row>
    <row r="37" spans="1:9" s="12" customFormat="1">
      <c r="B37" s="22"/>
      <c r="C37" s="23"/>
      <c r="D37" s="13"/>
      <c r="E37" s="11"/>
      <c r="G37" s="13"/>
      <c r="H37" s="14"/>
      <c r="I37" s="15"/>
    </row>
    <row r="38" spans="1:9" s="12" customFormat="1">
      <c r="B38" s="18"/>
      <c r="C38" s="19"/>
      <c r="D38" s="13"/>
      <c r="E38" s="8">
        <v>40940</v>
      </c>
      <c r="F38" s="9" t="s">
        <v>5</v>
      </c>
      <c r="G38" s="10">
        <v>32</v>
      </c>
      <c r="H38" s="5">
        <f>(35000000*G38)+H32</f>
        <v>58940000000</v>
      </c>
      <c r="I38" s="6">
        <f t="shared" si="3"/>
        <v>368375000</v>
      </c>
    </row>
    <row r="39" spans="1:9">
      <c r="A39" s="12"/>
      <c r="B39" s="13"/>
      <c r="C39" s="21"/>
      <c r="D39" s="13"/>
      <c r="E39" s="2">
        <v>40941</v>
      </c>
      <c r="F39" s="3" t="s">
        <v>5</v>
      </c>
      <c r="G39" s="4">
        <v>32</v>
      </c>
      <c r="H39" s="5">
        <f t="shared" si="2"/>
        <v>60060000000</v>
      </c>
      <c r="I39" s="6">
        <f t="shared" si="3"/>
        <v>375375000</v>
      </c>
    </row>
    <row r="40" spans="1:9">
      <c r="A40" s="12"/>
      <c r="B40" s="13"/>
      <c r="C40" s="21"/>
      <c r="D40" s="13"/>
      <c r="E40" s="2">
        <v>40942</v>
      </c>
      <c r="F40" s="3" t="s">
        <v>5</v>
      </c>
      <c r="G40" s="4">
        <v>32</v>
      </c>
      <c r="H40" s="5">
        <f t="shared" si="2"/>
        <v>61180000000</v>
      </c>
      <c r="I40" s="6">
        <f t="shared" si="3"/>
        <v>382375000</v>
      </c>
    </row>
    <row r="41" spans="1:9">
      <c r="A41" s="12"/>
      <c r="B41" s="13"/>
      <c r="C41" s="21"/>
      <c r="D41" s="13"/>
      <c r="E41" s="2">
        <v>40943</v>
      </c>
      <c r="F41" s="3" t="s">
        <v>5</v>
      </c>
      <c r="G41" s="4">
        <v>32</v>
      </c>
      <c r="H41" s="5">
        <f t="shared" si="2"/>
        <v>62300000000</v>
      </c>
      <c r="I41" s="6">
        <f t="shared" si="3"/>
        <v>389375000</v>
      </c>
    </row>
    <row r="42" spans="1:9">
      <c r="A42" s="12"/>
      <c r="B42" s="13"/>
      <c r="C42" s="21"/>
      <c r="D42" s="13"/>
      <c r="E42" s="2">
        <v>40944</v>
      </c>
      <c r="F42" s="3" t="s">
        <v>5</v>
      </c>
      <c r="G42" s="4">
        <v>32</v>
      </c>
      <c r="H42" s="5">
        <f t="shared" si="2"/>
        <v>63420000000</v>
      </c>
      <c r="I42" s="6">
        <f t="shared" si="3"/>
        <v>396375000</v>
      </c>
    </row>
    <row r="43" spans="1:9">
      <c r="B43" s="13"/>
      <c r="C43" s="21"/>
      <c r="E43" s="2">
        <v>40945</v>
      </c>
      <c r="F43" s="3" t="s">
        <v>5</v>
      </c>
      <c r="G43" s="4">
        <v>32</v>
      </c>
      <c r="H43" s="5">
        <f t="shared" si="2"/>
        <v>64540000000</v>
      </c>
      <c r="I43" s="6">
        <f t="shared" si="3"/>
        <v>403375000</v>
      </c>
    </row>
    <row r="44" spans="1:9">
      <c r="E44" s="2">
        <v>40946</v>
      </c>
      <c r="F44" s="3" t="s">
        <v>5</v>
      </c>
      <c r="G44" s="4">
        <v>32</v>
      </c>
      <c r="H44" s="5">
        <f t="shared" si="2"/>
        <v>65660000000</v>
      </c>
      <c r="I44" s="6">
        <f t="shared" si="3"/>
        <v>410375000</v>
      </c>
    </row>
    <row r="45" spans="1:9">
      <c r="E45" s="2">
        <v>40947</v>
      </c>
      <c r="F45" s="3" t="s">
        <v>5</v>
      </c>
      <c r="G45" s="4">
        <v>32</v>
      </c>
      <c r="H45" s="5">
        <f t="shared" si="2"/>
        <v>66780000000</v>
      </c>
      <c r="I45" s="6">
        <f t="shared" si="3"/>
        <v>417375000</v>
      </c>
    </row>
    <row r="46" spans="1:9">
      <c r="E46" s="2">
        <v>40948</v>
      </c>
      <c r="F46" s="3" t="s">
        <v>5</v>
      </c>
      <c r="G46" s="4">
        <v>32</v>
      </c>
      <c r="H46" s="5">
        <f t="shared" si="2"/>
        <v>67900000000</v>
      </c>
      <c r="I46" s="6">
        <f t="shared" si="3"/>
        <v>424375000</v>
      </c>
    </row>
    <row r="47" spans="1:9">
      <c r="E47" s="2">
        <v>40949</v>
      </c>
      <c r="F47" s="3" t="s">
        <v>5</v>
      </c>
      <c r="G47" s="4">
        <v>32</v>
      </c>
      <c r="H47" s="5">
        <f t="shared" si="2"/>
        <v>69020000000</v>
      </c>
      <c r="I47" s="6">
        <f t="shared" si="3"/>
        <v>431375000</v>
      </c>
    </row>
    <row r="48" spans="1:9">
      <c r="E48" s="2">
        <v>40950</v>
      </c>
      <c r="F48" s="3" t="s">
        <v>5</v>
      </c>
      <c r="G48" s="4">
        <v>32</v>
      </c>
      <c r="H48" s="5">
        <f t="shared" si="2"/>
        <v>70140000000</v>
      </c>
      <c r="I48" s="6">
        <f t="shared" si="3"/>
        <v>438375000</v>
      </c>
    </row>
    <row r="49" spans="5:9">
      <c r="E49" s="2">
        <v>40951</v>
      </c>
      <c r="F49" s="3" t="s">
        <v>5</v>
      </c>
      <c r="G49" s="4">
        <v>32</v>
      </c>
      <c r="H49" s="5">
        <f t="shared" si="2"/>
        <v>71260000000</v>
      </c>
      <c r="I49" s="6">
        <f t="shared" si="3"/>
        <v>445375000</v>
      </c>
    </row>
    <row r="50" spans="5:9">
      <c r="E50" s="2">
        <v>40952</v>
      </c>
      <c r="F50" s="3" t="s">
        <v>5</v>
      </c>
      <c r="G50" s="4">
        <v>32</v>
      </c>
      <c r="H50" s="5">
        <f t="shared" si="2"/>
        <v>72380000000</v>
      </c>
      <c r="I50" s="6">
        <f t="shared" si="3"/>
        <v>452375000</v>
      </c>
    </row>
    <row r="51" spans="5:9">
      <c r="E51" s="2">
        <v>40953</v>
      </c>
      <c r="F51" s="3" t="s">
        <v>5</v>
      </c>
      <c r="G51" s="4">
        <v>32</v>
      </c>
      <c r="H51" s="5">
        <f t="shared" si="2"/>
        <v>73500000000</v>
      </c>
      <c r="I51" s="6">
        <f t="shared" si="3"/>
        <v>459375000</v>
      </c>
    </row>
    <row r="52" spans="5:9">
      <c r="E52" s="2">
        <v>40954</v>
      </c>
      <c r="F52" s="3" t="s">
        <v>5</v>
      </c>
      <c r="G52" s="4">
        <v>32</v>
      </c>
      <c r="H52" s="5">
        <f t="shared" si="2"/>
        <v>74620000000</v>
      </c>
      <c r="I52" s="6">
        <f t="shared" si="3"/>
        <v>466375000</v>
      </c>
    </row>
    <row r="53" spans="5:9">
      <c r="E53" s="2">
        <v>40955</v>
      </c>
      <c r="F53" s="3" t="s">
        <v>5</v>
      </c>
      <c r="G53" s="4">
        <v>32</v>
      </c>
      <c r="H53" s="5">
        <f t="shared" si="2"/>
        <v>75740000000</v>
      </c>
      <c r="I53" s="6">
        <f t="shared" si="3"/>
        <v>473375000</v>
      </c>
    </row>
    <row r="54" spans="5:9">
      <c r="E54" s="2">
        <v>40956</v>
      </c>
      <c r="F54" s="3" t="s">
        <v>5</v>
      </c>
      <c r="G54" s="4">
        <v>32</v>
      </c>
      <c r="H54" s="5">
        <f t="shared" si="2"/>
        <v>76860000000</v>
      </c>
      <c r="I54" s="6">
        <f t="shared" si="3"/>
        <v>480375000</v>
      </c>
    </row>
    <row r="55" spans="5:9">
      <c r="E55" s="2">
        <v>40957</v>
      </c>
      <c r="F55" s="3" t="s">
        <v>5</v>
      </c>
      <c r="G55" s="4">
        <v>32</v>
      </c>
      <c r="H55" s="5">
        <f t="shared" si="2"/>
        <v>77980000000</v>
      </c>
      <c r="I55" s="6">
        <f t="shared" si="3"/>
        <v>487375000</v>
      </c>
    </row>
    <row r="56" spans="5:9">
      <c r="E56" s="2">
        <v>40958</v>
      </c>
      <c r="F56" s="3" t="s">
        <v>5</v>
      </c>
      <c r="G56" s="4">
        <v>32</v>
      </c>
      <c r="H56" s="5">
        <f t="shared" si="2"/>
        <v>79100000000</v>
      </c>
      <c r="I56" s="6">
        <f t="shared" si="3"/>
        <v>494375000</v>
      </c>
    </row>
    <row r="57" spans="5:9">
      <c r="E57" s="2">
        <v>40959</v>
      </c>
      <c r="F57" s="3" t="s">
        <v>5</v>
      </c>
      <c r="G57" s="4">
        <v>32</v>
      </c>
      <c r="H57" s="5">
        <f t="shared" si="2"/>
        <v>80220000000</v>
      </c>
      <c r="I57" s="6">
        <f t="shared" si="3"/>
        <v>501375000</v>
      </c>
    </row>
    <row r="58" spans="5:9">
      <c r="E58" s="2">
        <v>40960</v>
      </c>
      <c r="F58" s="3" t="s">
        <v>5</v>
      </c>
      <c r="G58" s="4">
        <v>32</v>
      </c>
      <c r="H58" s="5">
        <f t="shared" si="2"/>
        <v>81340000000</v>
      </c>
      <c r="I58" s="6">
        <f t="shared" si="3"/>
        <v>508375000</v>
      </c>
    </row>
    <row r="59" spans="5:9">
      <c r="E59" s="2">
        <v>40961</v>
      </c>
      <c r="F59" s="3" t="s">
        <v>5</v>
      </c>
      <c r="G59" s="4">
        <v>32</v>
      </c>
      <c r="H59" s="5">
        <f t="shared" si="2"/>
        <v>82460000000</v>
      </c>
      <c r="I59" s="6">
        <f t="shared" si="3"/>
        <v>515375000</v>
      </c>
    </row>
    <row r="60" spans="5:9">
      <c r="E60" s="2">
        <v>40962</v>
      </c>
      <c r="F60" s="3" t="s">
        <v>5</v>
      </c>
      <c r="G60" s="4">
        <v>32</v>
      </c>
      <c r="H60" s="5">
        <f t="shared" si="2"/>
        <v>83580000000</v>
      </c>
      <c r="I60" s="6">
        <f t="shared" si="3"/>
        <v>522375000</v>
      </c>
    </row>
    <row r="61" spans="5:9">
      <c r="E61" s="2">
        <v>40963</v>
      </c>
      <c r="F61" s="3" t="s">
        <v>5</v>
      </c>
      <c r="G61" s="4">
        <v>32</v>
      </c>
      <c r="H61" s="5">
        <f t="shared" si="2"/>
        <v>84700000000</v>
      </c>
      <c r="I61" s="6">
        <f t="shared" si="3"/>
        <v>529375000</v>
      </c>
    </row>
    <row r="62" spans="5:9">
      <c r="E62" s="2">
        <v>40964</v>
      </c>
      <c r="F62" s="3" t="s">
        <v>5</v>
      </c>
      <c r="G62" s="4">
        <v>32</v>
      </c>
      <c r="H62" s="5">
        <f t="shared" ref="H62:H64" si="4">(35000000*G62)+H61</f>
        <v>85820000000</v>
      </c>
      <c r="I62" s="6">
        <f t="shared" ref="I62:I64" si="5">H62/160</f>
        <v>536375000</v>
      </c>
    </row>
    <row r="63" spans="5:9">
      <c r="E63" s="2">
        <v>40965</v>
      </c>
      <c r="F63" s="3" t="s">
        <v>5</v>
      </c>
      <c r="G63" s="4">
        <v>32</v>
      </c>
      <c r="H63" s="5">
        <f t="shared" si="4"/>
        <v>86940000000</v>
      </c>
      <c r="I63" s="6">
        <f t="shared" si="5"/>
        <v>543375000</v>
      </c>
    </row>
    <row r="64" spans="5:9">
      <c r="E64" s="2">
        <v>40966</v>
      </c>
      <c r="F64" s="3" t="s">
        <v>5</v>
      </c>
      <c r="G64" s="4">
        <v>32</v>
      </c>
      <c r="H64" s="5">
        <f t="shared" si="4"/>
        <v>88060000000</v>
      </c>
      <c r="I64" s="6">
        <f t="shared" si="5"/>
        <v>550375000</v>
      </c>
    </row>
  </sheetData>
  <mergeCells count="4">
    <mergeCell ref="B5:C5"/>
    <mergeCell ref="B20:C20"/>
    <mergeCell ref="B36:C36"/>
    <mergeCell ref="B35:C35"/>
  </mergeCells>
  <printOptions horizontalCentered="1"/>
  <pageMargins left="0.36458333333333298" right="0.58333333333333337" top="2.0208333333333299" bottom="0.91666666666666663" header="0.3" footer="0.3"/>
  <pageSetup orientation="portrait" r:id="rId1"/>
  <headerFooter>
    <oddHeader>&amp;L&amp;"-,Bold"&amp;16&amp;C&amp;16&amp;GMONEY 'SAVED' BY FEDERAL GOVERNMENT FROM REMOVING &amp;"-,Bold"FUEL SUBSIDY&amp;"-,Regular" JAN 1 - FEB 27, 2012.</oddHeader>
    <oddFooter>&amp;L&amp;"-,Bold"&amp;10*&amp;"-,Regular" Jan 1 - Jan 15: N141 - N65 = N76   Jan 16 -            : N97 - N65 = N32&amp;"-,Bold"** &amp;"-,Regular"$1 = NGN160&amp;C &amp;14©&amp;11 &amp;"-,Bold"&amp;14Enough Is Enough Nigeria Coalition&amp;"-,Regular"http://www.EiENigeria.org&amp;R 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F684"/>
  <sheetViews>
    <sheetView tabSelected="1" view="pageLayout" topLeftCell="A42" workbookViewId="0">
      <selection activeCell="B48" sqref="B48:C48"/>
    </sheetView>
  </sheetViews>
  <sheetFormatPr defaultRowHeight="15"/>
  <cols>
    <col min="1" max="1" width="19.5703125" customWidth="1"/>
    <col min="2" max="2" width="13.7109375" customWidth="1"/>
    <col min="3" max="3" width="15.28515625" customWidth="1"/>
    <col min="4" max="4" width="24.7109375" customWidth="1"/>
    <col min="5" max="5" width="20.85546875" customWidth="1"/>
  </cols>
  <sheetData>
    <row r="2" spans="1:6" ht="21">
      <c r="A2" s="27" t="s">
        <v>35</v>
      </c>
      <c r="B2" s="18"/>
      <c r="C2" s="19"/>
      <c r="D2" s="18"/>
      <c r="F2" s="24"/>
    </row>
    <row r="3" spans="1:6" ht="18.75">
      <c r="A3" s="17" t="s">
        <v>30</v>
      </c>
      <c r="B3" s="18"/>
      <c r="C3" s="19"/>
      <c r="D3" s="18"/>
    </row>
    <row r="4" spans="1:6">
      <c r="B4" s="18"/>
      <c r="C4" s="19"/>
      <c r="D4" s="19"/>
      <c r="E4" s="18"/>
    </row>
    <row r="5" spans="1:6" ht="18.75">
      <c r="B5" s="46" t="s">
        <v>21</v>
      </c>
      <c r="C5" s="46"/>
      <c r="D5" s="46"/>
      <c r="E5" s="18"/>
    </row>
    <row r="6" spans="1:6" ht="15.75">
      <c r="A6" s="16" t="s">
        <v>6</v>
      </c>
      <c r="B6" s="53" t="s">
        <v>19</v>
      </c>
      <c r="C6" s="54"/>
      <c r="D6" s="25" t="s">
        <v>20</v>
      </c>
      <c r="E6" s="26" t="s">
        <v>22</v>
      </c>
    </row>
    <row r="7" spans="1:6" ht="15" customHeight="1">
      <c r="A7" s="3" t="s">
        <v>7</v>
      </c>
      <c r="B7" s="51">
        <v>57820000000</v>
      </c>
      <c r="C7" s="52"/>
      <c r="D7" s="20">
        <v>35549235691.43</v>
      </c>
      <c r="E7" s="4">
        <f>B7-D7</f>
        <v>22270764308.57</v>
      </c>
    </row>
    <row r="8" spans="1:6" ht="15" customHeight="1">
      <c r="A8" s="3" t="s">
        <v>8</v>
      </c>
      <c r="B8" s="49" t="s">
        <v>32</v>
      </c>
      <c r="C8" s="50"/>
      <c r="D8" s="20">
        <v>35549235691.43</v>
      </c>
      <c r="E8" s="4" t="s">
        <v>32</v>
      </c>
    </row>
    <row r="9" spans="1:6" ht="15" customHeight="1">
      <c r="A9" s="3" t="s">
        <v>9</v>
      </c>
      <c r="B9" s="49" t="s">
        <v>32</v>
      </c>
      <c r="C9" s="50"/>
      <c r="D9" s="32" t="s">
        <v>34</v>
      </c>
      <c r="E9" s="4" t="s">
        <v>32</v>
      </c>
    </row>
    <row r="10" spans="1:6" ht="15" customHeight="1">
      <c r="A10" s="3" t="s">
        <v>10</v>
      </c>
      <c r="B10" s="49" t="s">
        <v>32</v>
      </c>
      <c r="C10" s="50"/>
      <c r="D10" s="20">
        <v>35549235691.43</v>
      </c>
      <c r="E10" s="4" t="s">
        <v>32</v>
      </c>
    </row>
    <row r="11" spans="1:6" ht="15" customHeight="1">
      <c r="A11" s="3" t="s">
        <v>11</v>
      </c>
      <c r="B11" s="49" t="s">
        <v>32</v>
      </c>
      <c r="C11" s="50"/>
      <c r="D11" s="20">
        <v>35549235691.43</v>
      </c>
      <c r="E11" s="4" t="s">
        <v>32</v>
      </c>
    </row>
    <row r="12" spans="1:6" ht="15" customHeight="1">
      <c r="A12" s="3" t="s">
        <v>12</v>
      </c>
      <c r="B12" s="49" t="s">
        <v>32</v>
      </c>
      <c r="C12" s="50"/>
      <c r="D12" s="32" t="s">
        <v>34</v>
      </c>
      <c r="E12" s="4" t="s">
        <v>32</v>
      </c>
    </row>
    <row r="13" spans="1:6" ht="15" customHeight="1">
      <c r="A13" s="3" t="s">
        <v>13</v>
      </c>
      <c r="B13" s="49" t="s">
        <v>32</v>
      </c>
      <c r="C13" s="50"/>
      <c r="D13" s="20">
        <v>35549235691.43</v>
      </c>
      <c r="E13" s="4" t="s">
        <v>32</v>
      </c>
    </row>
    <row r="14" spans="1:6" ht="15" customHeight="1">
      <c r="A14" s="3" t="s">
        <v>14</v>
      </c>
      <c r="B14" s="49" t="s">
        <v>32</v>
      </c>
      <c r="C14" s="50"/>
      <c r="D14" s="32" t="s">
        <v>34</v>
      </c>
      <c r="E14" s="4" t="s">
        <v>32</v>
      </c>
    </row>
    <row r="15" spans="1:6" ht="15" customHeight="1">
      <c r="A15" s="3" t="s">
        <v>15</v>
      </c>
      <c r="B15" s="49" t="s">
        <v>32</v>
      </c>
      <c r="C15" s="50"/>
      <c r="D15" s="32" t="s">
        <v>34</v>
      </c>
      <c r="E15" s="4" t="s">
        <v>32</v>
      </c>
    </row>
    <row r="16" spans="1:6" ht="15" customHeight="1">
      <c r="A16" s="3" t="s">
        <v>16</v>
      </c>
      <c r="B16" s="49" t="s">
        <v>32</v>
      </c>
      <c r="C16" s="50"/>
      <c r="D16" s="32" t="s">
        <v>34</v>
      </c>
      <c r="E16" s="4" t="s">
        <v>32</v>
      </c>
    </row>
    <row r="17" spans="1:5" ht="15" customHeight="1">
      <c r="A17" s="3" t="s">
        <v>17</v>
      </c>
      <c r="B17" s="49" t="s">
        <v>32</v>
      </c>
      <c r="C17" s="50"/>
      <c r="D17" s="32" t="s">
        <v>34</v>
      </c>
      <c r="E17" s="4" t="s">
        <v>32</v>
      </c>
    </row>
    <row r="18" spans="1:5" ht="15" customHeight="1">
      <c r="A18" s="3" t="s">
        <v>18</v>
      </c>
      <c r="B18" s="49" t="s">
        <v>32</v>
      </c>
      <c r="C18" s="50"/>
      <c r="D18" s="32" t="s">
        <v>34</v>
      </c>
      <c r="E18" s="4" t="s">
        <v>32</v>
      </c>
    </row>
    <row r="19" spans="1:5">
      <c r="A19" s="12"/>
      <c r="B19" s="13"/>
      <c r="C19" s="21"/>
      <c r="D19" s="21"/>
      <c r="E19" s="13"/>
    </row>
    <row r="20" spans="1:5" ht="18.75">
      <c r="B20" s="46" t="s">
        <v>29</v>
      </c>
      <c r="C20" s="46"/>
      <c r="D20" s="46"/>
      <c r="E20" s="18"/>
    </row>
    <row r="21" spans="1:5" ht="15.75">
      <c r="A21" s="16" t="s">
        <v>6</v>
      </c>
      <c r="B21" s="53" t="s">
        <v>19</v>
      </c>
      <c r="C21" s="54"/>
      <c r="D21" s="25" t="s">
        <v>20</v>
      </c>
      <c r="E21" s="26" t="s">
        <v>23</v>
      </c>
    </row>
    <row r="22" spans="1:5">
      <c r="A22" s="3" t="s">
        <v>7</v>
      </c>
      <c r="B22" s="55">
        <v>34720000000</v>
      </c>
      <c r="C22" s="56"/>
      <c r="D22" s="20">
        <v>35549235691.43</v>
      </c>
      <c r="E22" s="4">
        <f>B22-D22</f>
        <v>-829235691.43000031</v>
      </c>
    </row>
    <row r="23" spans="1:5">
      <c r="A23" s="3" t="s">
        <v>8</v>
      </c>
      <c r="B23" s="55">
        <v>32480000000</v>
      </c>
      <c r="C23" s="56"/>
      <c r="D23" s="20">
        <v>35549235691.43</v>
      </c>
      <c r="E23" s="4">
        <f>B23-35549235691.43</f>
        <v>-3069235691.4300003</v>
      </c>
    </row>
    <row r="24" spans="1:5">
      <c r="A24" s="3" t="s">
        <v>9</v>
      </c>
      <c r="B24" s="55">
        <v>34720000000</v>
      </c>
      <c r="C24" s="56"/>
      <c r="D24" s="32" t="s">
        <v>34</v>
      </c>
      <c r="E24" s="4">
        <f t="shared" ref="E24:E33" si="0">B24-35549235691.43</f>
        <v>-829235691.43000031</v>
      </c>
    </row>
    <row r="25" spans="1:5">
      <c r="A25" s="3" t="s">
        <v>10</v>
      </c>
      <c r="B25" s="55">
        <v>33600000000</v>
      </c>
      <c r="C25" s="56"/>
      <c r="D25" s="20">
        <v>35549235691.43</v>
      </c>
      <c r="E25" s="4">
        <f t="shared" si="0"/>
        <v>-1949235691.4300003</v>
      </c>
    </row>
    <row r="26" spans="1:5">
      <c r="A26" s="3" t="s">
        <v>11</v>
      </c>
      <c r="B26" s="55">
        <v>34720000000</v>
      </c>
      <c r="C26" s="56"/>
      <c r="D26" s="20">
        <v>35549235691.43</v>
      </c>
      <c r="E26" s="4">
        <f t="shared" si="0"/>
        <v>-829235691.43000031</v>
      </c>
    </row>
    <row r="27" spans="1:5">
      <c r="A27" s="3" t="s">
        <v>12</v>
      </c>
      <c r="B27" s="55">
        <v>33600000000</v>
      </c>
      <c r="C27" s="56"/>
      <c r="D27" s="32" t="s">
        <v>34</v>
      </c>
      <c r="E27" s="4">
        <f t="shared" si="0"/>
        <v>-1949235691.4300003</v>
      </c>
    </row>
    <row r="28" spans="1:5">
      <c r="A28" s="3" t="s">
        <v>13</v>
      </c>
      <c r="B28" s="55">
        <v>34720000000</v>
      </c>
      <c r="C28" s="56"/>
      <c r="D28" s="20">
        <v>35549235691.43</v>
      </c>
      <c r="E28" s="4">
        <f t="shared" si="0"/>
        <v>-829235691.43000031</v>
      </c>
    </row>
    <row r="29" spans="1:5">
      <c r="A29" s="3" t="s">
        <v>14</v>
      </c>
      <c r="B29" s="55">
        <v>34720000000</v>
      </c>
      <c r="C29" s="56"/>
      <c r="D29" s="32" t="s">
        <v>34</v>
      </c>
      <c r="E29" s="4">
        <f t="shared" si="0"/>
        <v>-829235691.43000031</v>
      </c>
    </row>
    <row r="30" spans="1:5">
      <c r="A30" s="3" t="s">
        <v>15</v>
      </c>
      <c r="B30" s="55">
        <v>33600000000</v>
      </c>
      <c r="C30" s="56"/>
      <c r="D30" s="32" t="s">
        <v>34</v>
      </c>
      <c r="E30" s="4">
        <f t="shared" si="0"/>
        <v>-1949235691.4300003</v>
      </c>
    </row>
    <row r="31" spans="1:5">
      <c r="A31" s="3" t="s">
        <v>16</v>
      </c>
      <c r="B31" s="55">
        <v>34720000000</v>
      </c>
      <c r="C31" s="56"/>
      <c r="D31" s="32" t="s">
        <v>34</v>
      </c>
      <c r="E31" s="4">
        <f t="shared" si="0"/>
        <v>-829235691.43000031</v>
      </c>
    </row>
    <row r="32" spans="1:5">
      <c r="A32" s="3" t="s">
        <v>17</v>
      </c>
      <c r="B32" s="57">
        <v>33600000000</v>
      </c>
      <c r="C32" s="58"/>
      <c r="D32" s="32" t="s">
        <v>34</v>
      </c>
      <c r="E32" s="4">
        <f t="shared" si="0"/>
        <v>-1949235691.4300003</v>
      </c>
    </row>
    <row r="33" spans="1:6" s="12" customFormat="1">
      <c r="A33" s="3" t="s">
        <v>18</v>
      </c>
      <c r="B33" s="55">
        <v>34720000000</v>
      </c>
      <c r="C33" s="56"/>
      <c r="D33" s="32" t="s">
        <v>34</v>
      </c>
      <c r="E33" s="4">
        <f t="shared" si="0"/>
        <v>-829235691.43000031</v>
      </c>
      <c r="F33"/>
    </row>
    <row r="34" spans="1:6" s="12" customFormat="1">
      <c r="A34"/>
      <c r="B34" s="18"/>
      <c r="C34" s="19"/>
      <c r="D34" s="18"/>
      <c r="E34"/>
    </row>
    <row r="35" spans="1:6" s="12" customFormat="1">
      <c r="A35"/>
      <c r="B35" s="47" t="s">
        <v>31</v>
      </c>
      <c r="C35" s="47"/>
      <c r="D35" s="47"/>
      <c r="E35"/>
    </row>
    <row r="36" spans="1:6" s="12" customFormat="1">
      <c r="A36"/>
      <c r="B36" s="47" t="s">
        <v>25</v>
      </c>
      <c r="C36" s="47"/>
      <c r="D36" s="47"/>
      <c r="E36"/>
    </row>
    <row r="37" spans="1:6" s="12" customFormat="1">
      <c r="B37" s="31" t="s">
        <v>33</v>
      </c>
      <c r="C37" s="23"/>
      <c r="D37" s="13"/>
      <c r="E37"/>
    </row>
    <row r="38" spans="1:6" s="12" customFormat="1">
      <c r="A38"/>
      <c r="B38"/>
      <c r="C38"/>
      <c r="D38"/>
      <c r="E38"/>
    </row>
    <row r="39" spans="1:6" s="12" customFormat="1" ht="21">
      <c r="A39" s="27" t="s">
        <v>36</v>
      </c>
      <c r="B39" s="18"/>
      <c r="C39" s="19"/>
      <c r="D39" s="18"/>
      <c r="E39"/>
    </row>
    <row r="40" spans="1:6" s="12" customFormat="1" ht="18.75">
      <c r="A40" s="17" t="s">
        <v>30</v>
      </c>
      <c r="B40" s="18"/>
      <c r="C40" s="19"/>
      <c r="D40" s="18"/>
      <c r="E40"/>
    </row>
    <row r="41" spans="1:6" s="12" customFormat="1">
      <c r="A41"/>
      <c r="B41" s="18"/>
      <c r="C41" s="19"/>
      <c r="D41" s="19"/>
      <c r="E41" s="18"/>
    </row>
    <row r="42" spans="1:6" s="12" customFormat="1" ht="18.75">
      <c r="A42"/>
      <c r="B42" s="46" t="s">
        <v>29</v>
      </c>
      <c r="C42" s="46"/>
      <c r="D42" s="46"/>
      <c r="E42" s="18"/>
    </row>
    <row r="43" spans="1:6" s="12" customFormat="1" ht="15.75">
      <c r="A43" s="16" t="s">
        <v>6</v>
      </c>
      <c r="B43" s="53" t="s">
        <v>19</v>
      </c>
      <c r="C43" s="54"/>
      <c r="D43" s="25" t="s">
        <v>20</v>
      </c>
      <c r="E43" s="26" t="s">
        <v>23</v>
      </c>
    </row>
    <row r="44" spans="1:6" s="12" customFormat="1">
      <c r="A44" s="3" t="s">
        <v>37</v>
      </c>
      <c r="B44" s="55">
        <v>34720000000</v>
      </c>
      <c r="C44" s="56"/>
      <c r="D44" s="32" t="s">
        <v>34</v>
      </c>
      <c r="E44" s="4">
        <f>B44-35549235691.43</f>
        <v>-829235691.43000031</v>
      </c>
    </row>
    <row r="45" spans="1:6" s="12" customFormat="1">
      <c r="A45" s="3" t="s">
        <v>38</v>
      </c>
      <c r="B45" s="55">
        <v>31360000000</v>
      </c>
      <c r="C45" s="56"/>
      <c r="D45" s="32" t="s">
        <v>34</v>
      </c>
      <c r="E45" s="4">
        <f>B45-35549235691.43</f>
        <v>-4189235691.4300003</v>
      </c>
    </row>
    <row r="46" spans="1:6" s="12" customFormat="1">
      <c r="A46" s="3" t="s">
        <v>39</v>
      </c>
      <c r="B46" s="55">
        <v>34720000000</v>
      </c>
      <c r="C46" s="56"/>
      <c r="D46" s="32" t="s">
        <v>34</v>
      </c>
      <c r="E46" s="4">
        <f>B46-35549235691.43</f>
        <v>-829235691.43000031</v>
      </c>
    </row>
    <row r="47" spans="1:6" s="12" customFormat="1">
      <c r="A47" s="3" t="s">
        <v>40</v>
      </c>
      <c r="B47" s="55">
        <v>33600000000</v>
      </c>
      <c r="C47" s="56"/>
      <c r="D47" s="32" t="s">
        <v>34</v>
      </c>
      <c r="E47" s="4">
        <f t="shared" ref="E47:E48" si="1">B47-35549235691.43</f>
        <v>-1949235691.4300003</v>
      </c>
    </row>
    <row r="48" spans="1:6" s="12" customFormat="1">
      <c r="A48" s="3" t="s">
        <v>41</v>
      </c>
      <c r="B48" s="55">
        <v>34720000000</v>
      </c>
      <c r="C48" s="56"/>
      <c r="D48" s="32" t="s">
        <v>34</v>
      </c>
      <c r="E48" s="4">
        <f t="shared" si="1"/>
        <v>-829235691.43000031</v>
      </c>
    </row>
    <row r="49" spans="1:5" s="12" customFormat="1">
      <c r="A49" s="3" t="s">
        <v>42</v>
      </c>
      <c r="B49" s="55"/>
      <c r="C49" s="56"/>
      <c r="D49" s="32"/>
      <c r="E49" s="4"/>
    </row>
    <row r="50" spans="1:5" s="12" customFormat="1">
      <c r="A50" s="3" t="s">
        <v>43</v>
      </c>
      <c r="B50" s="55"/>
      <c r="C50" s="56"/>
      <c r="D50" s="20"/>
      <c r="E50" s="4"/>
    </row>
    <row r="51" spans="1:5" s="12" customFormat="1">
      <c r="A51" s="3" t="s">
        <v>44</v>
      </c>
      <c r="B51" s="55"/>
      <c r="C51" s="56"/>
      <c r="D51" s="32"/>
      <c r="E51" s="4"/>
    </row>
    <row r="52" spans="1:5" s="12" customFormat="1">
      <c r="A52" s="3" t="s">
        <v>45</v>
      </c>
      <c r="B52" s="55"/>
      <c r="C52" s="56"/>
      <c r="D52" s="32"/>
      <c r="E52" s="4"/>
    </row>
    <row r="53" spans="1:5" s="12" customFormat="1">
      <c r="A53" s="3" t="s">
        <v>46</v>
      </c>
      <c r="B53" s="55"/>
      <c r="C53" s="56"/>
      <c r="D53" s="32"/>
      <c r="E53" s="4"/>
    </row>
    <row r="54" spans="1:5" s="12" customFormat="1">
      <c r="A54" s="3" t="s">
        <v>47</v>
      </c>
      <c r="B54" s="57"/>
      <c r="C54" s="58"/>
      <c r="D54" s="32"/>
      <c r="E54" s="4"/>
    </row>
    <row r="55" spans="1:5" s="12" customFormat="1">
      <c r="A55" s="3" t="s">
        <v>48</v>
      </c>
      <c r="B55" s="55"/>
      <c r="C55" s="56"/>
      <c r="D55" s="20"/>
      <c r="E55" s="4"/>
    </row>
    <row r="56" spans="1:5" s="12" customFormat="1">
      <c r="B56" s="13"/>
      <c r="C56" s="21"/>
      <c r="D56" s="21"/>
      <c r="E56" s="13"/>
    </row>
    <row r="57" spans="1:5" s="12" customFormat="1" ht="18.75">
      <c r="B57" s="60"/>
      <c r="C57" s="60"/>
      <c r="D57" s="60"/>
      <c r="E57" s="13"/>
    </row>
    <row r="58" spans="1:5" s="12" customFormat="1" ht="15.75">
      <c r="A58" s="38"/>
      <c r="B58" s="59"/>
      <c r="C58" s="59"/>
      <c r="D58" s="39"/>
      <c r="E58" s="40"/>
    </row>
    <row r="59" spans="1:5" s="12" customFormat="1">
      <c r="B59" s="62"/>
      <c r="C59" s="62"/>
      <c r="D59" s="21"/>
      <c r="E59" s="13"/>
    </row>
    <row r="60" spans="1:5" s="12" customFormat="1">
      <c r="B60" s="62"/>
      <c r="C60" s="62"/>
      <c r="D60" s="21"/>
      <c r="E60" s="13"/>
    </row>
    <row r="61" spans="1:5" s="12" customFormat="1">
      <c r="B61" s="62"/>
      <c r="C61" s="62"/>
      <c r="D61" s="41"/>
      <c r="E61" s="13"/>
    </row>
    <row r="62" spans="1:5" s="12" customFormat="1">
      <c r="B62" s="62"/>
      <c r="C62" s="62"/>
      <c r="D62" s="21"/>
      <c r="E62" s="13"/>
    </row>
    <row r="63" spans="1:5" s="12" customFormat="1">
      <c r="B63" s="62"/>
      <c r="C63" s="62"/>
      <c r="D63" s="21"/>
      <c r="E63" s="13"/>
    </row>
    <row r="64" spans="1:5" s="12" customFormat="1">
      <c r="B64" s="62"/>
      <c r="C64" s="62"/>
      <c r="D64" s="41"/>
      <c r="E64" s="13"/>
    </row>
    <row r="65" spans="1:5" s="12" customFormat="1">
      <c r="B65" s="62"/>
      <c r="C65" s="62"/>
      <c r="D65" s="21"/>
      <c r="E65" s="13"/>
    </row>
    <row r="66" spans="1:5" s="12" customFormat="1">
      <c r="B66" s="62"/>
      <c r="C66" s="62"/>
      <c r="D66" s="41"/>
      <c r="E66" s="13"/>
    </row>
    <row r="67" spans="1:5" s="12" customFormat="1">
      <c r="B67" s="62"/>
      <c r="C67" s="62"/>
      <c r="D67" s="41"/>
      <c r="E67" s="13"/>
    </row>
    <row r="68" spans="1:5" s="12" customFormat="1">
      <c r="B68" s="62"/>
      <c r="C68" s="62"/>
      <c r="D68" s="41"/>
      <c r="E68" s="13"/>
    </row>
    <row r="69" spans="1:5" s="12" customFormat="1">
      <c r="B69" s="61"/>
      <c r="C69" s="61"/>
      <c r="D69" s="41"/>
      <c r="E69" s="13"/>
    </row>
    <row r="70" spans="1:5" s="12" customFormat="1">
      <c r="B70" s="62"/>
      <c r="C70" s="62"/>
      <c r="D70" s="21"/>
      <c r="E70" s="13"/>
    </row>
    <row r="71" spans="1:5" s="12" customFormat="1">
      <c r="A71"/>
      <c r="B71" s="18"/>
      <c r="C71" s="19"/>
      <c r="D71" s="18"/>
      <c r="E71"/>
    </row>
    <row r="72" spans="1:5" s="12" customFormat="1">
      <c r="A72"/>
      <c r="B72" s="47" t="s">
        <v>31</v>
      </c>
      <c r="C72" s="47"/>
      <c r="D72" s="47"/>
      <c r="E72"/>
    </row>
    <row r="73" spans="1:5" s="12" customFormat="1">
      <c r="A73"/>
      <c r="B73" s="47" t="s">
        <v>25</v>
      </c>
      <c r="C73" s="47"/>
      <c r="D73" s="47"/>
      <c r="E73"/>
    </row>
    <row r="74" spans="1:5" s="12" customFormat="1">
      <c r="B74" s="31" t="s">
        <v>33</v>
      </c>
      <c r="C74" s="23"/>
      <c r="D74" s="13"/>
      <c r="E74"/>
    </row>
    <row r="75" spans="1:5" s="12" customFormat="1">
      <c r="B75" s="31"/>
      <c r="C75" s="23"/>
      <c r="D75" s="13"/>
      <c r="E75"/>
    </row>
    <row r="76" spans="1:5" s="12" customFormat="1" ht="47.25">
      <c r="A76" s="1" t="s">
        <v>0</v>
      </c>
      <c r="B76" s="1" t="s">
        <v>2</v>
      </c>
      <c r="C76" s="7" t="s">
        <v>4</v>
      </c>
      <c r="D76" s="1" t="s">
        <v>1</v>
      </c>
      <c r="E76" s="1" t="s">
        <v>3</v>
      </c>
    </row>
    <row r="77" spans="1:5">
      <c r="A77" s="2">
        <v>40909</v>
      </c>
      <c r="B77" s="3" t="s">
        <v>5</v>
      </c>
      <c r="C77" s="4">
        <v>76</v>
      </c>
      <c r="D77" s="5">
        <f>35000000*C77</f>
        <v>2660000000</v>
      </c>
      <c r="E77" s="6">
        <f>D77/160</f>
        <v>16625000</v>
      </c>
    </row>
    <row r="78" spans="1:5">
      <c r="A78" s="2">
        <v>40910</v>
      </c>
      <c r="B78" s="3" t="s">
        <v>5</v>
      </c>
      <c r="C78" s="4">
        <v>76</v>
      </c>
      <c r="D78" s="5">
        <f>(35000000*C78)+D77</f>
        <v>5320000000</v>
      </c>
      <c r="E78" s="6">
        <f t="shared" ref="E78:E139" si="2">D78/160</f>
        <v>33250000</v>
      </c>
    </row>
    <row r="79" spans="1:5">
      <c r="A79" s="2">
        <v>40911</v>
      </c>
      <c r="B79" s="3" t="s">
        <v>5</v>
      </c>
      <c r="C79" s="4">
        <v>76</v>
      </c>
      <c r="D79" s="5">
        <f t="shared" ref="D79:D139" si="3">(35000000*C79)+D78</f>
        <v>7980000000</v>
      </c>
      <c r="E79" s="6">
        <f t="shared" si="2"/>
        <v>49875000</v>
      </c>
    </row>
    <row r="80" spans="1:5">
      <c r="A80" s="2">
        <v>40912</v>
      </c>
      <c r="B80" s="3" t="s">
        <v>5</v>
      </c>
      <c r="C80" s="4">
        <v>76</v>
      </c>
      <c r="D80" s="5">
        <f t="shared" si="3"/>
        <v>10640000000</v>
      </c>
      <c r="E80" s="6">
        <f t="shared" si="2"/>
        <v>66500000</v>
      </c>
    </row>
    <row r="81" spans="1:5">
      <c r="A81" s="2">
        <v>40913</v>
      </c>
      <c r="B81" s="3" t="s">
        <v>5</v>
      </c>
      <c r="C81" s="4">
        <v>76</v>
      </c>
      <c r="D81" s="5">
        <f t="shared" si="3"/>
        <v>13300000000</v>
      </c>
      <c r="E81" s="6">
        <f t="shared" si="2"/>
        <v>83125000</v>
      </c>
    </row>
    <row r="82" spans="1:5">
      <c r="A82" s="2">
        <v>40914</v>
      </c>
      <c r="B82" s="3" t="s">
        <v>5</v>
      </c>
      <c r="C82" s="4">
        <v>76</v>
      </c>
      <c r="D82" s="5">
        <f t="shared" si="3"/>
        <v>15960000000</v>
      </c>
      <c r="E82" s="6">
        <f t="shared" si="2"/>
        <v>99750000</v>
      </c>
    </row>
    <row r="83" spans="1:5">
      <c r="A83" s="2">
        <v>40915</v>
      </c>
      <c r="B83" s="3" t="s">
        <v>5</v>
      </c>
      <c r="C83" s="4">
        <v>76</v>
      </c>
      <c r="D83" s="5">
        <f t="shared" si="3"/>
        <v>18620000000</v>
      </c>
      <c r="E83" s="6">
        <f t="shared" si="2"/>
        <v>116375000</v>
      </c>
    </row>
    <row r="84" spans="1:5">
      <c r="A84" s="2">
        <v>40916</v>
      </c>
      <c r="B84" s="3" t="s">
        <v>5</v>
      </c>
      <c r="C84" s="4">
        <v>76</v>
      </c>
      <c r="D84" s="5">
        <f t="shared" si="3"/>
        <v>21280000000</v>
      </c>
      <c r="E84" s="6">
        <f t="shared" si="2"/>
        <v>133000000</v>
      </c>
    </row>
    <row r="85" spans="1:5">
      <c r="A85" s="2">
        <v>40917</v>
      </c>
      <c r="B85" s="3" t="s">
        <v>5</v>
      </c>
      <c r="C85" s="4">
        <v>76</v>
      </c>
      <c r="D85" s="5">
        <f t="shared" si="3"/>
        <v>23940000000</v>
      </c>
      <c r="E85" s="6">
        <f t="shared" si="2"/>
        <v>149625000</v>
      </c>
    </row>
    <row r="86" spans="1:5">
      <c r="A86" s="2">
        <v>40918</v>
      </c>
      <c r="B86" s="3" t="s">
        <v>5</v>
      </c>
      <c r="C86" s="4">
        <v>76</v>
      </c>
      <c r="D86" s="5">
        <f t="shared" si="3"/>
        <v>26600000000</v>
      </c>
      <c r="E86" s="6">
        <f t="shared" si="2"/>
        <v>166250000</v>
      </c>
    </row>
    <row r="87" spans="1:5">
      <c r="A87" s="2">
        <v>40919</v>
      </c>
      <c r="B87" s="3" t="s">
        <v>5</v>
      </c>
      <c r="C87" s="4">
        <v>76</v>
      </c>
      <c r="D87" s="5">
        <f t="shared" si="3"/>
        <v>29260000000</v>
      </c>
      <c r="E87" s="6">
        <f t="shared" si="2"/>
        <v>182875000</v>
      </c>
    </row>
    <row r="88" spans="1:5">
      <c r="A88" s="2">
        <v>40920</v>
      </c>
      <c r="B88" s="3" t="s">
        <v>5</v>
      </c>
      <c r="C88" s="4">
        <v>76</v>
      </c>
      <c r="D88" s="5">
        <f t="shared" si="3"/>
        <v>31920000000</v>
      </c>
      <c r="E88" s="6">
        <f t="shared" si="2"/>
        <v>199500000</v>
      </c>
    </row>
    <row r="89" spans="1:5">
      <c r="A89" s="2">
        <v>40921</v>
      </c>
      <c r="B89" s="3" t="s">
        <v>5</v>
      </c>
      <c r="C89" s="4">
        <v>76</v>
      </c>
      <c r="D89" s="5">
        <f t="shared" si="3"/>
        <v>34580000000</v>
      </c>
      <c r="E89" s="6">
        <f t="shared" si="2"/>
        <v>216125000</v>
      </c>
    </row>
    <row r="90" spans="1:5">
      <c r="A90" s="2">
        <v>40922</v>
      </c>
      <c r="B90" s="3" t="s">
        <v>5</v>
      </c>
      <c r="C90" s="4">
        <v>76</v>
      </c>
      <c r="D90" s="5">
        <f t="shared" si="3"/>
        <v>37240000000</v>
      </c>
      <c r="E90" s="6">
        <f t="shared" si="2"/>
        <v>232750000</v>
      </c>
    </row>
    <row r="91" spans="1:5">
      <c r="A91" s="2">
        <v>40923</v>
      </c>
      <c r="B91" s="3" t="s">
        <v>24</v>
      </c>
      <c r="C91" s="4">
        <v>76</v>
      </c>
      <c r="D91" s="5">
        <f t="shared" si="3"/>
        <v>39900000000</v>
      </c>
      <c r="E91" s="6">
        <f t="shared" si="2"/>
        <v>249375000</v>
      </c>
    </row>
    <row r="92" spans="1:5">
      <c r="A92" s="2">
        <v>40924</v>
      </c>
      <c r="B92" s="3" t="s">
        <v>5</v>
      </c>
      <c r="C92" s="4">
        <v>32</v>
      </c>
      <c r="D92" s="5">
        <f t="shared" si="3"/>
        <v>41020000000</v>
      </c>
      <c r="E92" s="6">
        <f t="shared" si="2"/>
        <v>256375000</v>
      </c>
    </row>
    <row r="93" spans="1:5">
      <c r="A93" s="2">
        <v>40925</v>
      </c>
      <c r="B93" s="3" t="s">
        <v>5</v>
      </c>
      <c r="C93" s="4">
        <v>32</v>
      </c>
      <c r="D93" s="5">
        <f t="shared" si="3"/>
        <v>42140000000</v>
      </c>
      <c r="E93" s="6">
        <f t="shared" si="2"/>
        <v>263375000</v>
      </c>
    </row>
    <row r="94" spans="1:5">
      <c r="A94" s="2">
        <v>40926</v>
      </c>
      <c r="B94" s="3" t="s">
        <v>5</v>
      </c>
      <c r="C94" s="4">
        <v>32</v>
      </c>
      <c r="D94" s="5">
        <f t="shared" si="3"/>
        <v>43260000000</v>
      </c>
      <c r="E94" s="6">
        <f t="shared" si="2"/>
        <v>270375000</v>
      </c>
    </row>
    <row r="95" spans="1:5">
      <c r="A95" s="2">
        <v>40927</v>
      </c>
      <c r="B95" s="3" t="s">
        <v>5</v>
      </c>
      <c r="C95" s="4">
        <v>32</v>
      </c>
      <c r="D95" s="5">
        <f t="shared" si="3"/>
        <v>44380000000</v>
      </c>
      <c r="E95" s="6">
        <f t="shared" si="2"/>
        <v>277375000</v>
      </c>
    </row>
    <row r="96" spans="1:5">
      <c r="A96" s="2">
        <v>40928</v>
      </c>
      <c r="B96" s="3" t="s">
        <v>5</v>
      </c>
      <c r="C96" s="4">
        <v>32</v>
      </c>
      <c r="D96" s="5">
        <f t="shared" si="3"/>
        <v>45500000000</v>
      </c>
      <c r="E96" s="6">
        <f t="shared" si="2"/>
        <v>284375000</v>
      </c>
    </row>
    <row r="97" spans="1:5">
      <c r="A97" s="2">
        <v>40929</v>
      </c>
      <c r="B97" s="3" t="s">
        <v>5</v>
      </c>
      <c r="C97" s="4">
        <v>32</v>
      </c>
      <c r="D97" s="5">
        <f t="shared" si="3"/>
        <v>46620000000</v>
      </c>
      <c r="E97" s="6">
        <f t="shared" si="2"/>
        <v>291375000</v>
      </c>
    </row>
    <row r="98" spans="1:5">
      <c r="A98" s="2">
        <v>40930</v>
      </c>
      <c r="B98" s="3" t="s">
        <v>5</v>
      </c>
      <c r="C98" s="4">
        <v>32</v>
      </c>
      <c r="D98" s="5">
        <f t="shared" si="3"/>
        <v>47740000000</v>
      </c>
      <c r="E98" s="6">
        <f t="shared" si="2"/>
        <v>298375000</v>
      </c>
    </row>
    <row r="99" spans="1:5">
      <c r="A99" s="2">
        <v>40931</v>
      </c>
      <c r="B99" s="3" t="s">
        <v>5</v>
      </c>
      <c r="C99" s="4">
        <v>32</v>
      </c>
      <c r="D99" s="5">
        <f t="shared" si="3"/>
        <v>48860000000</v>
      </c>
      <c r="E99" s="6">
        <f t="shared" si="2"/>
        <v>305375000</v>
      </c>
    </row>
    <row r="100" spans="1:5">
      <c r="A100" s="2">
        <v>40932</v>
      </c>
      <c r="B100" s="3" t="s">
        <v>5</v>
      </c>
      <c r="C100" s="4">
        <v>32</v>
      </c>
      <c r="D100" s="5">
        <f t="shared" si="3"/>
        <v>49980000000</v>
      </c>
      <c r="E100" s="6">
        <f t="shared" si="2"/>
        <v>312375000</v>
      </c>
    </row>
    <row r="101" spans="1:5">
      <c r="A101" s="2">
        <v>40933</v>
      </c>
      <c r="B101" s="3" t="s">
        <v>5</v>
      </c>
      <c r="C101" s="4">
        <v>32</v>
      </c>
      <c r="D101" s="5">
        <f t="shared" si="3"/>
        <v>51100000000</v>
      </c>
      <c r="E101" s="6">
        <f t="shared" si="2"/>
        <v>319375000</v>
      </c>
    </row>
    <row r="102" spans="1:5">
      <c r="A102" s="2">
        <v>40934</v>
      </c>
      <c r="B102" s="3" t="s">
        <v>5</v>
      </c>
      <c r="C102" s="4">
        <v>32</v>
      </c>
      <c r="D102" s="5">
        <f t="shared" si="3"/>
        <v>52220000000</v>
      </c>
      <c r="E102" s="6">
        <f t="shared" si="2"/>
        <v>326375000</v>
      </c>
    </row>
    <row r="103" spans="1:5">
      <c r="A103" s="2">
        <v>40935</v>
      </c>
      <c r="B103" s="3" t="s">
        <v>5</v>
      </c>
      <c r="C103" s="4">
        <v>32</v>
      </c>
      <c r="D103" s="5">
        <f t="shared" si="3"/>
        <v>53340000000</v>
      </c>
      <c r="E103" s="6">
        <f t="shared" si="2"/>
        <v>333375000</v>
      </c>
    </row>
    <row r="104" spans="1:5">
      <c r="A104" s="2">
        <v>40936</v>
      </c>
      <c r="B104" s="3" t="s">
        <v>5</v>
      </c>
      <c r="C104" s="4">
        <v>32</v>
      </c>
      <c r="D104" s="5">
        <f t="shared" si="3"/>
        <v>54460000000</v>
      </c>
      <c r="E104" s="6">
        <f t="shared" si="2"/>
        <v>340375000</v>
      </c>
    </row>
    <row r="105" spans="1:5">
      <c r="A105" s="2">
        <v>40937</v>
      </c>
      <c r="B105" s="3" t="s">
        <v>5</v>
      </c>
      <c r="C105" s="4">
        <v>32</v>
      </c>
      <c r="D105" s="5">
        <f t="shared" si="3"/>
        <v>55580000000</v>
      </c>
      <c r="E105" s="6">
        <f t="shared" si="2"/>
        <v>347375000</v>
      </c>
    </row>
    <row r="106" spans="1:5">
      <c r="A106" s="2">
        <v>40938</v>
      </c>
      <c r="B106" s="3" t="s">
        <v>5</v>
      </c>
      <c r="C106" s="4">
        <v>32</v>
      </c>
      <c r="D106" s="5">
        <f t="shared" si="3"/>
        <v>56700000000</v>
      </c>
      <c r="E106" s="6">
        <f t="shared" si="2"/>
        <v>354375000</v>
      </c>
    </row>
    <row r="107" spans="1:5">
      <c r="A107" s="2">
        <v>40939</v>
      </c>
      <c r="B107" s="3" t="s">
        <v>5</v>
      </c>
      <c r="C107" s="4">
        <v>32</v>
      </c>
      <c r="D107" s="5">
        <f t="shared" si="3"/>
        <v>57820000000</v>
      </c>
      <c r="E107" s="6">
        <f t="shared" si="2"/>
        <v>361375000</v>
      </c>
    </row>
    <row r="108" spans="1:5">
      <c r="A108" s="11"/>
      <c r="B108" s="12"/>
      <c r="C108" s="13"/>
      <c r="D108" s="14"/>
      <c r="E108" s="15"/>
    </row>
    <row r="109" spans="1:5">
      <c r="A109" s="11"/>
      <c r="B109" s="12"/>
      <c r="C109" s="13"/>
      <c r="D109" s="14"/>
      <c r="E109" s="15"/>
    </row>
    <row r="110" spans="1:5">
      <c r="A110" s="11"/>
      <c r="B110" s="12"/>
      <c r="C110" s="13"/>
      <c r="D110" s="14"/>
      <c r="E110" s="15"/>
    </row>
    <row r="111" spans="1:5">
      <c r="A111" s="11"/>
      <c r="B111" s="12"/>
      <c r="C111" s="13"/>
      <c r="D111" s="14"/>
      <c r="E111" s="15"/>
    </row>
    <row r="112" spans="1:5">
      <c r="A112" s="11"/>
      <c r="B112" s="12"/>
      <c r="C112" s="13"/>
      <c r="D112" s="14"/>
      <c r="E112" s="15"/>
    </row>
    <row r="113" spans="1:5">
      <c r="A113" s="8">
        <v>40940</v>
      </c>
      <c r="B113" s="9" t="s">
        <v>5</v>
      </c>
      <c r="C113" s="10">
        <v>32</v>
      </c>
      <c r="D113" s="5">
        <f>(35000000*C113)+D107</f>
        <v>58940000000</v>
      </c>
      <c r="E113" s="6">
        <f t="shared" si="2"/>
        <v>368375000</v>
      </c>
    </row>
    <row r="114" spans="1:5">
      <c r="A114" s="2">
        <v>40941</v>
      </c>
      <c r="B114" s="3" t="s">
        <v>5</v>
      </c>
      <c r="C114" s="4">
        <v>32</v>
      </c>
      <c r="D114" s="5">
        <f t="shared" si="3"/>
        <v>60060000000</v>
      </c>
      <c r="E114" s="6">
        <f t="shared" si="2"/>
        <v>375375000</v>
      </c>
    </row>
    <row r="115" spans="1:5">
      <c r="A115" s="2">
        <v>40942</v>
      </c>
      <c r="B115" s="3" t="s">
        <v>5</v>
      </c>
      <c r="C115" s="4">
        <v>32</v>
      </c>
      <c r="D115" s="5">
        <f t="shared" si="3"/>
        <v>61180000000</v>
      </c>
      <c r="E115" s="6">
        <f t="shared" si="2"/>
        <v>382375000</v>
      </c>
    </row>
    <row r="116" spans="1:5">
      <c r="A116" s="2">
        <v>40943</v>
      </c>
      <c r="B116" s="3" t="s">
        <v>5</v>
      </c>
      <c r="C116" s="4">
        <v>32</v>
      </c>
      <c r="D116" s="5">
        <f t="shared" si="3"/>
        <v>62300000000</v>
      </c>
      <c r="E116" s="6">
        <f t="shared" si="2"/>
        <v>389375000</v>
      </c>
    </row>
    <row r="117" spans="1:5">
      <c r="A117" s="2">
        <v>40944</v>
      </c>
      <c r="B117" s="3" t="s">
        <v>5</v>
      </c>
      <c r="C117" s="4">
        <v>32</v>
      </c>
      <c r="D117" s="5">
        <f t="shared" si="3"/>
        <v>63420000000</v>
      </c>
      <c r="E117" s="6">
        <f t="shared" si="2"/>
        <v>396375000</v>
      </c>
    </row>
    <row r="118" spans="1:5">
      <c r="A118" s="2">
        <v>40945</v>
      </c>
      <c r="B118" s="3" t="s">
        <v>5</v>
      </c>
      <c r="C118" s="4">
        <v>32</v>
      </c>
      <c r="D118" s="5">
        <f t="shared" si="3"/>
        <v>64540000000</v>
      </c>
      <c r="E118" s="6">
        <f t="shared" si="2"/>
        <v>403375000</v>
      </c>
    </row>
    <row r="119" spans="1:5">
      <c r="A119" s="2">
        <v>40946</v>
      </c>
      <c r="B119" s="3" t="s">
        <v>5</v>
      </c>
      <c r="C119" s="4">
        <v>32</v>
      </c>
      <c r="D119" s="5">
        <f t="shared" si="3"/>
        <v>65660000000</v>
      </c>
      <c r="E119" s="6">
        <f t="shared" si="2"/>
        <v>410375000</v>
      </c>
    </row>
    <row r="120" spans="1:5">
      <c r="A120" s="2">
        <v>40947</v>
      </c>
      <c r="B120" s="3" t="s">
        <v>5</v>
      </c>
      <c r="C120" s="4">
        <v>32</v>
      </c>
      <c r="D120" s="5">
        <f t="shared" si="3"/>
        <v>66780000000</v>
      </c>
      <c r="E120" s="6">
        <f t="shared" si="2"/>
        <v>417375000</v>
      </c>
    </row>
    <row r="121" spans="1:5">
      <c r="A121" s="2">
        <v>40948</v>
      </c>
      <c r="B121" s="3" t="s">
        <v>5</v>
      </c>
      <c r="C121" s="4">
        <v>32</v>
      </c>
      <c r="D121" s="5">
        <f t="shared" si="3"/>
        <v>67900000000</v>
      </c>
      <c r="E121" s="6">
        <f t="shared" si="2"/>
        <v>424375000</v>
      </c>
    </row>
    <row r="122" spans="1:5">
      <c r="A122" s="2">
        <v>40949</v>
      </c>
      <c r="B122" s="3" t="s">
        <v>5</v>
      </c>
      <c r="C122" s="4">
        <v>32</v>
      </c>
      <c r="D122" s="5">
        <f t="shared" si="3"/>
        <v>69020000000</v>
      </c>
      <c r="E122" s="6">
        <f t="shared" si="2"/>
        <v>431375000</v>
      </c>
    </row>
    <row r="123" spans="1:5">
      <c r="A123" s="2">
        <v>40950</v>
      </c>
      <c r="B123" s="3" t="s">
        <v>5</v>
      </c>
      <c r="C123" s="4">
        <v>32</v>
      </c>
      <c r="D123" s="5">
        <f t="shared" si="3"/>
        <v>70140000000</v>
      </c>
      <c r="E123" s="6">
        <f t="shared" si="2"/>
        <v>438375000</v>
      </c>
    </row>
    <row r="124" spans="1:5">
      <c r="A124" s="2">
        <v>40951</v>
      </c>
      <c r="B124" s="3" t="s">
        <v>5</v>
      </c>
      <c r="C124" s="4">
        <v>32</v>
      </c>
      <c r="D124" s="5">
        <f t="shared" si="3"/>
        <v>71260000000</v>
      </c>
      <c r="E124" s="6">
        <f t="shared" si="2"/>
        <v>445375000</v>
      </c>
    </row>
    <row r="125" spans="1:5">
      <c r="A125" s="2">
        <v>40952</v>
      </c>
      <c r="B125" s="3" t="s">
        <v>5</v>
      </c>
      <c r="C125" s="4">
        <v>32</v>
      </c>
      <c r="D125" s="5">
        <f t="shared" si="3"/>
        <v>72380000000</v>
      </c>
      <c r="E125" s="6">
        <f t="shared" si="2"/>
        <v>452375000</v>
      </c>
    </row>
    <row r="126" spans="1:5">
      <c r="A126" s="2">
        <v>40953</v>
      </c>
      <c r="B126" s="3" t="s">
        <v>5</v>
      </c>
      <c r="C126" s="4">
        <v>32</v>
      </c>
      <c r="D126" s="5">
        <f t="shared" si="3"/>
        <v>73500000000</v>
      </c>
      <c r="E126" s="6">
        <f t="shared" si="2"/>
        <v>459375000</v>
      </c>
    </row>
    <row r="127" spans="1:5">
      <c r="A127" s="2">
        <v>40954</v>
      </c>
      <c r="B127" s="3" t="s">
        <v>5</v>
      </c>
      <c r="C127" s="4">
        <v>32</v>
      </c>
      <c r="D127" s="5">
        <f t="shared" si="3"/>
        <v>74620000000</v>
      </c>
      <c r="E127" s="6">
        <f t="shared" si="2"/>
        <v>466375000</v>
      </c>
    </row>
    <row r="128" spans="1:5">
      <c r="A128" s="2">
        <v>40955</v>
      </c>
      <c r="B128" s="3" t="s">
        <v>5</v>
      </c>
      <c r="C128" s="4">
        <v>32</v>
      </c>
      <c r="D128" s="5">
        <f t="shared" si="3"/>
        <v>75740000000</v>
      </c>
      <c r="E128" s="6">
        <f t="shared" si="2"/>
        <v>473375000</v>
      </c>
    </row>
    <row r="129" spans="1:5">
      <c r="A129" s="2">
        <v>40956</v>
      </c>
      <c r="B129" s="3" t="s">
        <v>5</v>
      </c>
      <c r="C129" s="4">
        <v>32</v>
      </c>
      <c r="D129" s="5">
        <f t="shared" si="3"/>
        <v>76860000000</v>
      </c>
      <c r="E129" s="6">
        <f t="shared" si="2"/>
        <v>480375000</v>
      </c>
    </row>
    <row r="130" spans="1:5">
      <c r="A130" s="2">
        <v>40957</v>
      </c>
      <c r="B130" s="3" t="s">
        <v>5</v>
      </c>
      <c r="C130" s="4">
        <v>32</v>
      </c>
      <c r="D130" s="5">
        <f t="shared" si="3"/>
        <v>77980000000</v>
      </c>
      <c r="E130" s="6">
        <f t="shared" si="2"/>
        <v>487375000</v>
      </c>
    </row>
    <row r="131" spans="1:5">
      <c r="A131" s="2">
        <v>40958</v>
      </c>
      <c r="B131" s="3" t="s">
        <v>5</v>
      </c>
      <c r="C131" s="4">
        <v>32</v>
      </c>
      <c r="D131" s="5">
        <f t="shared" si="3"/>
        <v>79100000000</v>
      </c>
      <c r="E131" s="6">
        <f t="shared" si="2"/>
        <v>494375000</v>
      </c>
    </row>
    <row r="132" spans="1:5">
      <c r="A132" s="2">
        <v>40959</v>
      </c>
      <c r="B132" s="3" t="s">
        <v>5</v>
      </c>
      <c r="C132" s="4">
        <v>32</v>
      </c>
      <c r="D132" s="5">
        <f t="shared" si="3"/>
        <v>80220000000</v>
      </c>
      <c r="E132" s="6">
        <f t="shared" si="2"/>
        <v>501375000</v>
      </c>
    </row>
    <row r="133" spans="1:5">
      <c r="A133" s="2">
        <v>40960</v>
      </c>
      <c r="B133" s="3" t="s">
        <v>5</v>
      </c>
      <c r="C133" s="4">
        <v>32</v>
      </c>
      <c r="D133" s="5">
        <f t="shared" si="3"/>
        <v>81340000000</v>
      </c>
      <c r="E133" s="6">
        <f t="shared" si="2"/>
        <v>508375000</v>
      </c>
    </row>
    <row r="134" spans="1:5">
      <c r="A134" s="2">
        <v>40961</v>
      </c>
      <c r="B134" s="3" t="s">
        <v>5</v>
      </c>
      <c r="C134" s="4">
        <v>32</v>
      </c>
      <c r="D134" s="5">
        <f t="shared" si="3"/>
        <v>82460000000</v>
      </c>
      <c r="E134" s="6">
        <f t="shared" si="2"/>
        <v>515375000</v>
      </c>
    </row>
    <row r="135" spans="1:5">
      <c r="A135" s="2">
        <v>40962</v>
      </c>
      <c r="B135" s="3" t="s">
        <v>5</v>
      </c>
      <c r="C135" s="4">
        <v>32</v>
      </c>
      <c r="D135" s="5">
        <f t="shared" si="3"/>
        <v>83580000000</v>
      </c>
      <c r="E135" s="6">
        <f t="shared" si="2"/>
        <v>522375000</v>
      </c>
    </row>
    <row r="136" spans="1:5">
      <c r="A136" s="2">
        <v>40963</v>
      </c>
      <c r="B136" s="3" t="s">
        <v>5</v>
      </c>
      <c r="C136" s="4">
        <v>32</v>
      </c>
      <c r="D136" s="5">
        <f t="shared" si="3"/>
        <v>84700000000</v>
      </c>
      <c r="E136" s="6">
        <f t="shared" si="2"/>
        <v>529375000</v>
      </c>
    </row>
    <row r="137" spans="1:5">
      <c r="A137" s="2">
        <v>40964</v>
      </c>
      <c r="B137" s="3" t="s">
        <v>5</v>
      </c>
      <c r="C137" s="4">
        <v>32</v>
      </c>
      <c r="D137" s="5">
        <f t="shared" si="3"/>
        <v>85820000000</v>
      </c>
      <c r="E137" s="6">
        <f t="shared" si="2"/>
        <v>536375000</v>
      </c>
    </row>
    <row r="138" spans="1:5">
      <c r="A138" s="2">
        <v>40965</v>
      </c>
      <c r="B138" s="3" t="s">
        <v>5</v>
      </c>
      <c r="C138" s="4">
        <v>32</v>
      </c>
      <c r="D138" s="5">
        <f t="shared" si="3"/>
        <v>86940000000</v>
      </c>
      <c r="E138" s="6">
        <f t="shared" si="2"/>
        <v>543375000</v>
      </c>
    </row>
    <row r="139" spans="1:5">
      <c r="A139" s="2">
        <v>40966</v>
      </c>
      <c r="B139" s="3" t="s">
        <v>5</v>
      </c>
      <c r="C139" s="4">
        <v>32</v>
      </c>
      <c r="D139" s="5">
        <f t="shared" si="3"/>
        <v>88060000000</v>
      </c>
      <c r="E139" s="6">
        <f t="shared" si="2"/>
        <v>550375000</v>
      </c>
    </row>
    <row r="140" spans="1:5">
      <c r="A140" s="2">
        <v>40967</v>
      </c>
      <c r="B140" s="3" t="s">
        <v>5</v>
      </c>
      <c r="C140" s="4">
        <v>32</v>
      </c>
      <c r="D140" s="5">
        <f t="shared" ref="D140" si="4">(35000000*C140)+D139</f>
        <v>89180000000</v>
      </c>
      <c r="E140" s="6">
        <f t="shared" ref="E140" si="5">D140/160</f>
        <v>557375000</v>
      </c>
    </row>
    <row r="141" spans="1:5">
      <c r="A141" s="2">
        <v>40968</v>
      </c>
      <c r="B141" s="3" t="s">
        <v>5</v>
      </c>
      <c r="C141" s="4">
        <v>32</v>
      </c>
      <c r="D141" s="5">
        <f>(35000000*C141)+D140</f>
        <v>90300000000</v>
      </c>
      <c r="E141" s="6">
        <f t="shared" ref="E141:E149" si="6">D141/160</f>
        <v>564375000</v>
      </c>
    </row>
    <row r="142" spans="1:5">
      <c r="A142" s="11"/>
      <c r="B142" s="12"/>
      <c r="C142" s="13"/>
      <c r="D142" s="14"/>
      <c r="E142" s="15"/>
    </row>
    <row r="143" spans="1:5">
      <c r="A143" s="11"/>
      <c r="B143" s="12"/>
      <c r="C143" s="13"/>
      <c r="D143" s="14"/>
      <c r="E143" s="15"/>
    </row>
    <row r="144" spans="1:5">
      <c r="A144" s="11"/>
      <c r="B144" s="12"/>
      <c r="C144" s="13"/>
      <c r="D144" s="14"/>
      <c r="E144" s="15"/>
    </row>
    <row r="145" spans="1:5">
      <c r="A145" s="11"/>
      <c r="B145" s="12"/>
      <c r="C145" s="13"/>
      <c r="D145" s="14"/>
      <c r="E145" s="15"/>
    </row>
    <row r="146" spans="1:5">
      <c r="A146" s="11"/>
      <c r="B146" s="12"/>
      <c r="C146" s="13"/>
      <c r="D146" s="14"/>
      <c r="E146" s="15"/>
    </row>
    <row r="147" spans="1:5">
      <c r="A147" s="11"/>
      <c r="B147" s="12"/>
      <c r="C147" s="13"/>
      <c r="D147" s="14"/>
      <c r="E147" s="15"/>
    </row>
    <row r="148" spans="1:5">
      <c r="A148" s="11"/>
      <c r="B148" s="12"/>
      <c r="C148" s="13"/>
      <c r="D148" s="14"/>
      <c r="E148" s="15"/>
    </row>
    <row r="149" spans="1:5">
      <c r="A149" s="8">
        <v>40969</v>
      </c>
      <c r="B149" s="9" t="s">
        <v>5</v>
      </c>
      <c r="C149" s="10">
        <v>32</v>
      </c>
      <c r="D149" s="28">
        <f>(35000000*C149)+D141</f>
        <v>91420000000</v>
      </c>
      <c r="E149" s="29">
        <f t="shared" si="6"/>
        <v>571375000</v>
      </c>
    </row>
    <row r="150" spans="1:5">
      <c r="A150" s="8">
        <v>40970</v>
      </c>
      <c r="B150" s="9" t="s">
        <v>5</v>
      </c>
      <c r="C150" s="10">
        <v>32</v>
      </c>
      <c r="D150" s="28">
        <f t="shared" ref="D150:D155" si="7">(35000000*C150)+D149</f>
        <v>92540000000</v>
      </c>
      <c r="E150" s="29">
        <f t="shared" ref="E150" si="8">D150/160</f>
        <v>578375000</v>
      </c>
    </row>
    <row r="151" spans="1:5">
      <c r="A151" s="8">
        <v>40971</v>
      </c>
      <c r="B151" s="9" t="s">
        <v>5</v>
      </c>
      <c r="C151" s="10">
        <v>32</v>
      </c>
      <c r="D151" s="28">
        <f t="shared" si="7"/>
        <v>93660000000</v>
      </c>
      <c r="E151" s="29">
        <f t="shared" ref="E151" si="9">D151/160</f>
        <v>585375000</v>
      </c>
    </row>
    <row r="152" spans="1:5">
      <c r="A152" s="8">
        <v>40972</v>
      </c>
      <c r="B152" s="9" t="s">
        <v>5</v>
      </c>
      <c r="C152" s="10">
        <v>32</v>
      </c>
      <c r="D152" s="28">
        <f t="shared" si="7"/>
        <v>94780000000</v>
      </c>
      <c r="E152" s="29">
        <f t="shared" ref="E152" si="10">D152/160</f>
        <v>592375000</v>
      </c>
    </row>
    <row r="153" spans="1:5">
      <c r="A153" s="8">
        <v>40973</v>
      </c>
      <c r="B153" s="9" t="s">
        <v>5</v>
      </c>
      <c r="C153" s="10">
        <v>32</v>
      </c>
      <c r="D153" s="28">
        <f t="shared" si="7"/>
        <v>95900000000</v>
      </c>
      <c r="E153" s="29">
        <f t="shared" ref="E153" si="11">D153/160</f>
        <v>599375000</v>
      </c>
    </row>
    <row r="154" spans="1:5">
      <c r="A154" s="8">
        <v>40974</v>
      </c>
      <c r="B154" s="9" t="s">
        <v>5</v>
      </c>
      <c r="C154" s="10">
        <v>32</v>
      </c>
      <c r="D154" s="28">
        <f t="shared" si="7"/>
        <v>97020000000</v>
      </c>
      <c r="E154" s="29">
        <f t="shared" ref="E154" si="12">D154/160</f>
        <v>606375000</v>
      </c>
    </row>
    <row r="155" spans="1:5">
      <c r="A155" s="8">
        <v>40975</v>
      </c>
      <c r="B155" s="9" t="s">
        <v>5</v>
      </c>
      <c r="C155" s="10">
        <v>32</v>
      </c>
      <c r="D155" s="28">
        <f t="shared" si="7"/>
        <v>98140000000</v>
      </c>
      <c r="E155" s="29">
        <f t="shared" ref="E155" si="13">D155/160</f>
        <v>613375000</v>
      </c>
    </row>
    <row r="156" spans="1:5">
      <c r="A156" s="8">
        <v>40976</v>
      </c>
      <c r="B156" s="9" t="s">
        <v>5</v>
      </c>
      <c r="C156" s="10">
        <v>32</v>
      </c>
      <c r="D156" s="28">
        <f t="shared" ref="D156" si="14">(35000000*C156)+D155</f>
        <v>99260000000</v>
      </c>
      <c r="E156" s="29">
        <f t="shared" ref="E156" si="15">D156/160</f>
        <v>620375000</v>
      </c>
    </row>
    <row r="157" spans="1:5">
      <c r="A157" s="8">
        <v>40977</v>
      </c>
      <c r="B157" s="9" t="s">
        <v>5</v>
      </c>
      <c r="C157" s="10">
        <v>32</v>
      </c>
      <c r="D157" s="28">
        <f t="shared" ref="D157" si="16">(35000000*C157)+D156</f>
        <v>100380000000</v>
      </c>
      <c r="E157" s="29">
        <f t="shared" ref="E157" si="17">D157/160</f>
        <v>627375000</v>
      </c>
    </row>
    <row r="158" spans="1:5">
      <c r="A158" s="8">
        <v>40978</v>
      </c>
      <c r="B158" s="9" t="s">
        <v>5</v>
      </c>
      <c r="C158" s="10">
        <v>32</v>
      </c>
      <c r="D158" s="28">
        <f t="shared" ref="D158:D160" si="18">(35000000*C158)+D157</f>
        <v>101500000000</v>
      </c>
      <c r="E158" s="29">
        <f t="shared" ref="E158:E160" si="19">D158/160</f>
        <v>634375000</v>
      </c>
    </row>
    <row r="159" spans="1:5">
      <c r="A159" s="8">
        <v>40979</v>
      </c>
      <c r="B159" s="9" t="s">
        <v>5</v>
      </c>
      <c r="C159" s="10">
        <v>32</v>
      </c>
      <c r="D159" s="28">
        <f t="shared" si="18"/>
        <v>102620000000</v>
      </c>
      <c r="E159" s="29">
        <f t="shared" si="19"/>
        <v>641375000</v>
      </c>
    </row>
    <row r="160" spans="1:5">
      <c r="A160" s="8">
        <v>40980</v>
      </c>
      <c r="B160" s="9" t="s">
        <v>5</v>
      </c>
      <c r="C160" s="10">
        <v>32</v>
      </c>
      <c r="D160" s="28">
        <f t="shared" si="18"/>
        <v>103740000000</v>
      </c>
      <c r="E160" s="29">
        <f t="shared" si="19"/>
        <v>648375000</v>
      </c>
    </row>
    <row r="161" spans="1:5">
      <c r="A161" s="8">
        <v>40981</v>
      </c>
      <c r="B161" s="9" t="s">
        <v>5</v>
      </c>
      <c r="C161" s="10">
        <v>32</v>
      </c>
      <c r="D161" s="28">
        <f t="shared" ref="D161" si="20">(35000000*C161)+D160</f>
        <v>104860000000</v>
      </c>
      <c r="E161" s="29">
        <f t="shared" ref="E161" si="21">D161/160</f>
        <v>655375000</v>
      </c>
    </row>
    <row r="162" spans="1:5">
      <c r="A162" s="8">
        <v>40982</v>
      </c>
      <c r="B162" s="9" t="s">
        <v>5</v>
      </c>
      <c r="C162" s="10">
        <v>32</v>
      </c>
      <c r="D162" s="28">
        <f t="shared" ref="D162" si="22">(35000000*C162)+D161</f>
        <v>105980000000</v>
      </c>
      <c r="E162" s="29">
        <f t="shared" ref="E162" si="23">D162/160</f>
        <v>662375000</v>
      </c>
    </row>
    <row r="163" spans="1:5">
      <c r="A163" s="8">
        <v>40983</v>
      </c>
      <c r="B163" s="9" t="s">
        <v>5</v>
      </c>
      <c r="C163" s="10">
        <v>32</v>
      </c>
      <c r="D163" s="28">
        <f t="shared" ref="D163" si="24">(35000000*C163)+D162</f>
        <v>107100000000</v>
      </c>
      <c r="E163" s="29">
        <f t="shared" ref="E163" si="25">D163/160</f>
        <v>669375000</v>
      </c>
    </row>
    <row r="164" spans="1:5">
      <c r="A164" s="8">
        <v>40984</v>
      </c>
      <c r="B164" s="9" t="s">
        <v>5</v>
      </c>
      <c r="C164" s="10">
        <v>32</v>
      </c>
      <c r="D164" s="28">
        <f>(35000000*C164)+D163</f>
        <v>108220000000</v>
      </c>
      <c r="E164" s="29">
        <f>D164/160</f>
        <v>676375000</v>
      </c>
    </row>
    <row r="165" spans="1:5">
      <c r="A165" s="8">
        <v>40985</v>
      </c>
      <c r="B165" s="9" t="s">
        <v>5</v>
      </c>
      <c r="C165" s="10">
        <v>32</v>
      </c>
      <c r="D165" s="28">
        <f>(35000000*C165)+D164</f>
        <v>109340000000</v>
      </c>
      <c r="E165" s="29">
        <f>D165/160</f>
        <v>683375000</v>
      </c>
    </row>
    <row r="166" spans="1:5">
      <c r="A166" s="8">
        <v>40986</v>
      </c>
      <c r="B166" s="9" t="s">
        <v>5</v>
      </c>
      <c r="C166" s="10">
        <v>32</v>
      </c>
      <c r="D166" s="28">
        <f t="shared" ref="D166:D167" si="26">(35000000*C166)+D165</f>
        <v>110460000000</v>
      </c>
      <c r="E166" s="29">
        <f t="shared" ref="E166:E167" si="27">D166/160</f>
        <v>690375000</v>
      </c>
    </row>
    <row r="167" spans="1:5">
      <c r="A167" s="8">
        <v>40987</v>
      </c>
      <c r="B167" s="9" t="s">
        <v>5</v>
      </c>
      <c r="C167" s="10">
        <v>32</v>
      </c>
      <c r="D167" s="28">
        <f t="shared" si="26"/>
        <v>111580000000</v>
      </c>
      <c r="E167" s="29">
        <f t="shared" si="27"/>
        <v>697375000</v>
      </c>
    </row>
    <row r="168" spans="1:5">
      <c r="A168" s="8">
        <v>40988</v>
      </c>
      <c r="B168" s="9" t="s">
        <v>5</v>
      </c>
      <c r="C168" s="10">
        <v>32</v>
      </c>
      <c r="D168" s="28">
        <f t="shared" ref="D168:D169" si="28">(35000000*C168)+D167</f>
        <v>112700000000</v>
      </c>
      <c r="E168" s="29">
        <f t="shared" ref="E168:E169" si="29">D168/160</f>
        <v>704375000</v>
      </c>
    </row>
    <row r="169" spans="1:5">
      <c r="A169" s="8">
        <v>40989</v>
      </c>
      <c r="B169" s="9" t="s">
        <v>5</v>
      </c>
      <c r="C169" s="10">
        <v>32</v>
      </c>
      <c r="D169" s="28">
        <f t="shared" si="28"/>
        <v>113820000000</v>
      </c>
      <c r="E169" s="29">
        <f t="shared" si="29"/>
        <v>711375000</v>
      </c>
    </row>
    <row r="170" spans="1:5">
      <c r="A170" s="8">
        <v>40990</v>
      </c>
      <c r="B170" s="9" t="s">
        <v>5</v>
      </c>
      <c r="C170" s="10">
        <v>32</v>
      </c>
      <c r="D170" s="28">
        <f t="shared" ref="D170:D174" si="30">(35000000*C170)+D169</f>
        <v>114940000000</v>
      </c>
      <c r="E170" s="29">
        <f t="shared" ref="E170:E174" si="31">D170/160</f>
        <v>718375000</v>
      </c>
    </row>
    <row r="171" spans="1:5">
      <c r="A171" s="8">
        <v>40991</v>
      </c>
      <c r="B171" s="9" t="s">
        <v>5</v>
      </c>
      <c r="C171" s="10">
        <v>32</v>
      </c>
      <c r="D171" s="28">
        <f t="shared" si="30"/>
        <v>116060000000</v>
      </c>
      <c r="E171" s="29">
        <f t="shared" si="31"/>
        <v>725375000</v>
      </c>
    </row>
    <row r="172" spans="1:5">
      <c r="A172" s="8">
        <v>40992</v>
      </c>
      <c r="B172" s="9" t="s">
        <v>5</v>
      </c>
      <c r="C172" s="10">
        <v>32</v>
      </c>
      <c r="D172" s="28">
        <f t="shared" si="30"/>
        <v>117180000000</v>
      </c>
      <c r="E172" s="29">
        <f t="shared" si="31"/>
        <v>732375000</v>
      </c>
    </row>
    <row r="173" spans="1:5">
      <c r="A173" s="8">
        <v>40993</v>
      </c>
      <c r="B173" s="9" t="s">
        <v>5</v>
      </c>
      <c r="C173" s="10">
        <v>32</v>
      </c>
      <c r="D173" s="28">
        <f t="shared" si="30"/>
        <v>118300000000</v>
      </c>
      <c r="E173" s="29">
        <f>D173/160</f>
        <v>739375000</v>
      </c>
    </row>
    <row r="174" spans="1:5">
      <c r="A174" s="8">
        <v>40994</v>
      </c>
      <c r="B174" s="9" t="s">
        <v>5</v>
      </c>
      <c r="C174" s="10">
        <v>32</v>
      </c>
      <c r="D174" s="28">
        <f t="shared" si="30"/>
        <v>119420000000</v>
      </c>
      <c r="E174" s="29">
        <f t="shared" si="31"/>
        <v>746375000</v>
      </c>
    </row>
    <row r="175" spans="1:5">
      <c r="A175" s="8">
        <v>40995</v>
      </c>
      <c r="B175" s="9" t="s">
        <v>5</v>
      </c>
      <c r="C175" s="10">
        <v>32</v>
      </c>
      <c r="D175" s="28">
        <f t="shared" ref="D175" si="32">(35000000*C175)+D174</f>
        <v>120540000000</v>
      </c>
      <c r="E175" s="29">
        <f t="shared" ref="E175" si="33">D175/160</f>
        <v>753375000</v>
      </c>
    </row>
    <row r="176" spans="1:5">
      <c r="A176" s="8">
        <v>40996</v>
      </c>
      <c r="B176" s="9" t="s">
        <v>5</v>
      </c>
      <c r="C176" s="10">
        <v>32</v>
      </c>
      <c r="D176" s="28">
        <f t="shared" ref="D176" si="34">(35000000*C176)+D175</f>
        <v>121660000000</v>
      </c>
      <c r="E176" s="29">
        <f t="shared" ref="E176" si="35">D176/160</f>
        <v>760375000</v>
      </c>
    </row>
    <row r="177" spans="1:5">
      <c r="A177" s="8">
        <v>40997</v>
      </c>
      <c r="B177" s="9" t="s">
        <v>5</v>
      </c>
      <c r="C177" s="10">
        <v>32</v>
      </c>
      <c r="D177" s="28">
        <f t="shared" ref="D177" si="36">(35000000*C177)+D176</f>
        <v>122780000000</v>
      </c>
      <c r="E177" s="29">
        <f t="shared" ref="E177" si="37">D177/160</f>
        <v>767375000</v>
      </c>
    </row>
    <row r="178" spans="1:5">
      <c r="A178" s="8">
        <v>40998</v>
      </c>
      <c r="B178" s="9" t="s">
        <v>5</v>
      </c>
      <c r="C178" s="10">
        <v>32</v>
      </c>
      <c r="D178" s="28">
        <f t="shared" ref="D178" si="38">(35000000*C178)+D177</f>
        <v>123900000000</v>
      </c>
      <c r="E178" s="29">
        <f t="shared" ref="E178" si="39">D178/160</f>
        <v>774375000</v>
      </c>
    </row>
    <row r="179" spans="1:5">
      <c r="A179" s="2">
        <v>40999</v>
      </c>
      <c r="B179" s="3" t="s">
        <v>5</v>
      </c>
      <c r="C179" s="4">
        <v>32</v>
      </c>
      <c r="D179" s="5">
        <f t="shared" ref="D179:D186" si="40">(35000000*C179)+D178</f>
        <v>125020000000</v>
      </c>
      <c r="E179" s="6">
        <f t="shared" ref="E179:E186" si="41">D179/160</f>
        <v>781375000</v>
      </c>
    </row>
    <row r="180" spans="1:5" s="12" customFormat="1">
      <c r="A180" s="11"/>
      <c r="C180" s="13"/>
      <c r="D180" s="14"/>
      <c r="E180" s="15"/>
    </row>
    <row r="181" spans="1:5" s="12" customFormat="1">
      <c r="A181" s="11"/>
      <c r="C181" s="13"/>
      <c r="D181" s="14"/>
      <c r="E181" s="15"/>
    </row>
    <row r="182" spans="1:5" s="12" customFormat="1">
      <c r="A182" s="11"/>
      <c r="C182" s="13"/>
      <c r="D182" s="14"/>
      <c r="E182" s="15"/>
    </row>
    <row r="183" spans="1:5" s="12" customFormat="1">
      <c r="A183" s="11"/>
      <c r="C183" s="13"/>
      <c r="D183" s="14"/>
      <c r="E183" s="15"/>
    </row>
    <row r="184" spans="1:5" s="12" customFormat="1">
      <c r="A184" s="11"/>
      <c r="C184" s="13"/>
      <c r="D184" s="14"/>
      <c r="E184" s="15"/>
    </row>
    <row r="185" spans="1:5">
      <c r="A185" s="8">
        <v>41000</v>
      </c>
      <c r="B185" s="9" t="s">
        <v>5</v>
      </c>
      <c r="C185" s="10">
        <v>32</v>
      </c>
      <c r="D185" s="28">
        <f>(35000000*C185)+D179</f>
        <v>126140000000</v>
      </c>
      <c r="E185" s="29">
        <f t="shared" si="41"/>
        <v>788375000</v>
      </c>
    </row>
    <row r="186" spans="1:5">
      <c r="A186" s="8">
        <v>41001</v>
      </c>
      <c r="B186" s="9" t="s">
        <v>5</v>
      </c>
      <c r="C186" s="10">
        <v>32</v>
      </c>
      <c r="D186" s="28">
        <f t="shared" si="40"/>
        <v>127260000000</v>
      </c>
      <c r="E186" s="29">
        <f t="shared" si="41"/>
        <v>795375000</v>
      </c>
    </row>
    <row r="187" spans="1:5">
      <c r="A187" s="8">
        <v>41002</v>
      </c>
      <c r="B187" s="9" t="s">
        <v>5</v>
      </c>
      <c r="C187" s="10">
        <v>32</v>
      </c>
      <c r="D187" s="28">
        <f t="shared" ref="D187:D189" si="42">(35000000*C187)+D186</f>
        <v>128380000000</v>
      </c>
      <c r="E187" s="29">
        <f t="shared" ref="E187:E189" si="43">D187/160</f>
        <v>802375000</v>
      </c>
    </row>
    <row r="188" spans="1:5">
      <c r="A188" s="8">
        <v>41003</v>
      </c>
      <c r="B188" s="9" t="s">
        <v>5</v>
      </c>
      <c r="C188" s="10">
        <v>32</v>
      </c>
      <c r="D188" s="28">
        <f t="shared" si="42"/>
        <v>129500000000</v>
      </c>
      <c r="E188" s="29">
        <f t="shared" si="43"/>
        <v>809375000</v>
      </c>
    </row>
    <row r="189" spans="1:5">
      <c r="A189" s="8">
        <v>41004</v>
      </c>
      <c r="B189" s="9" t="s">
        <v>5</v>
      </c>
      <c r="C189" s="10">
        <v>32</v>
      </c>
      <c r="D189" s="28">
        <f t="shared" si="42"/>
        <v>130620000000</v>
      </c>
      <c r="E189" s="29">
        <f t="shared" si="43"/>
        <v>816375000</v>
      </c>
    </row>
    <row r="190" spans="1:5">
      <c r="A190" s="8">
        <v>41005</v>
      </c>
      <c r="B190" s="9" t="s">
        <v>5</v>
      </c>
      <c r="C190" s="10">
        <v>32</v>
      </c>
      <c r="D190" s="28">
        <f t="shared" ref="D190:D194" si="44">(35000000*C190)+D189</f>
        <v>131740000000</v>
      </c>
      <c r="E190" s="29">
        <f t="shared" ref="E190:E194" si="45">D190/160</f>
        <v>823375000</v>
      </c>
    </row>
    <row r="191" spans="1:5">
      <c r="A191" s="8">
        <v>41006</v>
      </c>
      <c r="B191" s="9" t="s">
        <v>5</v>
      </c>
      <c r="C191" s="10">
        <v>32</v>
      </c>
      <c r="D191" s="28">
        <f t="shared" si="44"/>
        <v>132860000000</v>
      </c>
      <c r="E191" s="29">
        <f t="shared" si="45"/>
        <v>830375000</v>
      </c>
    </row>
    <row r="192" spans="1:5">
      <c r="A192" s="8">
        <v>41007</v>
      </c>
      <c r="B192" s="9" t="s">
        <v>5</v>
      </c>
      <c r="C192" s="10">
        <v>32</v>
      </c>
      <c r="D192" s="28">
        <f t="shared" si="44"/>
        <v>133980000000</v>
      </c>
      <c r="E192" s="29">
        <f t="shared" si="45"/>
        <v>837375000</v>
      </c>
    </row>
    <row r="193" spans="1:5">
      <c r="A193" s="8">
        <v>41008</v>
      </c>
      <c r="B193" s="9" t="s">
        <v>5</v>
      </c>
      <c r="C193" s="10">
        <v>32</v>
      </c>
      <c r="D193" s="28">
        <f t="shared" si="44"/>
        <v>135100000000</v>
      </c>
      <c r="E193" s="29">
        <f t="shared" si="45"/>
        <v>844375000</v>
      </c>
    </row>
    <row r="194" spans="1:5">
      <c r="A194" s="8">
        <v>41009</v>
      </c>
      <c r="B194" s="9" t="s">
        <v>5</v>
      </c>
      <c r="C194" s="10">
        <v>32</v>
      </c>
      <c r="D194" s="28">
        <f t="shared" si="44"/>
        <v>136220000000</v>
      </c>
      <c r="E194" s="29">
        <f t="shared" si="45"/>
        <v>851375000</v>
      </c>
    </row>
    <row r="195" spans="1:5">
      <c r="A195" s="8">
        <v>41010</v>
      </c>
      <c r="B195" s="9" t="s">
        <v>5</v>
      </c>
      <c r="C195" s="10">
        <v>32</v>
      </c>
      <c r="D195" s="28">
        <f t="shared" ref="D195:D196" si="46">(35000000*C195)+D194</f>
        <v>137340000000</v>
      </c>
      <c r="E195" s="29">
        <f t="shared" ref="E195:E196" si="47">D195/160</f>
        <v>858375000</v>
      </c>
    </row>
    <row r="196" spans="1:5">
      <c r="A196" s="8">
        <v>41011</v>
      </c>
      <c r="B196" s="9" t="s">
        <v>5</v>
      </c>
      <c r="C196" s="10">
        <v>32</v>
      </c>
      <c r="D196" s="28">
        <f t="shared" si="46"/>
        <v>138460000000</v>
      </c>
      <c r="E196" s="29">
        <f t="shared" si="47"/>
        <v>865375000</v>
      </c>
    </row>
    <row r="197" spans="1:5">
      <c r="A197" s="8">
        <v>41012</v>
      </c>
      <c r="B197" s="9" t="s">
        <v>5</v>
      </c>
      <c r="C197" s="10">
        <v>32</v>
      </c>
      <c r="D197" s="28">
        <f t="shared" ref="D197" si="48">(35000000*C197)+D196</f>
        <v>139580000000</v>
      </c>
      <c r="E197" s="29">
        <f t="shared" ref="E197" si="49">D197/160</f>
        <v>872375000</v>
      </c>
    </row>
    <row r="198" spans="1:5">
      <c r="A198" s="8">
        <v>41013</v>
      </c>
      <c r="B198" s="9" t="s">
        <v>5</v>
      </c>
      <c r="C198" s="10">
        <v>32</v>
      </c>
      <c r="D198" s="28">
        <f t="shared" ref="D198:D200" si="50">(35000000*C198)+D197</f>
        <v>140700000000</v>
      </c>
      <c r="E198" s="29">
        <f t="shared" ref="E198:E200" si="51">D198/160</f>
        <v>879375000</v>
      </c>
    </row>
    <row r="199" spans="1:5">
      <c r="A199" s="8">
        <v>41014</v>
      </c>
      <c r="B199" s="9" t="s">
        <v>5</v>
      </c>
      <c r="C199" s="10">
        <v>32</v>
      </c>
      <c r="D199" s="28">
        <f t="shared" si="50"/>
        <v>141820000000</v>
      </c>
      <c r="E199" s="29">
        <f t="shared" si="51"/>
        <v>886375000</v>
      </c>
    </row>
    <row r="200" spans="1:5">
      <c r="A200" s="8">
        <v>41015</v>
      </c>
      <c r="B200" s="9" t="s">
        <v>5</v>
      </c>
      <c r="C200" s="10">
        <v>32</v>
      </c>
      <c r="D200" s="28">
        <f t="shared" si="50"/>
        <v>142940000000</v>
      </c>
      <c r="E200" s="29">
        <f t="shared" si="51"/>
        <v>893375000</v>
      </c>
    </row>
    <row r="201" spans="1:5">
      <c r="A201" s="8">
        <v>41016</v>
      </c>
      <c r="B201" s="9" t="s">
        <v>5</v>
      </c>
      <c r="C201" s="10">
        <v>32</v>
      </c>
      <c r="D201" s="28">
        <f t="shared" ref="D201" si="52">(35000000*C201)+D200</f>
        <v>144060000000</v>
      </c>
      <c r="E201" s="29">
        <f t="shared" ref="E201" si="53">D201/160</f>
        <v>900375000</v>
      </c>
    </row>
    <row r="202" spans="1:5">
      <c r="A202" s="8">
        <v>41017</v>
      </c>
      <c r="B202" s="9" t="s">
        <v>5</v>
      </c>
      <c r="C202" s="10">
        <v>32</v>
      </c>
      <c r="D202" s="28">
        <f t="shared" ref="D202" si="54">(35000000*C202)+D201</f>
        <v>145180000000</v>
      </c>
      <c r="E202" s="29">
        <f t="shared" ref="E202" si="55">D202/160</f>
        <v>907375000</v>
      </c>
    </row>
    <row r="203" spans="1:5">
      <c r="A203" s="8">
        <v>41018</v>
      </c>
      <c r="B203" s="9" t="s">
        <v>5</v>
      </c>
      <c r="C203" s="10">
        <v>32</v>
      </c>
      <c r="D203" s="28">
        <f t="shared" ref="D203" si="56">(35000000*C203)+D202</f>
        <v>146300000000</v>
      </c>
      <c r="E203" s="29">
        <f t="shared" ref="E203" si="57">D203/160</f>
        <v>914375000</v>
      </c>
    </row>
    <row r="204" spans="1:5">
      <c r="A204" s="8">
        <v>41019</v>
      </c>
      <c r="B204" s="9" t="s">
        <v>5</v>
      </c>
      <c r="C204" s="10">
        <v>32</v>
      </c>
      <c r="D204" s="28">
        <f t="shared" ref="D204" si="58">(35000000*C204)+D203</f>
        <v>147420000000</v>
      </c>
      <c r="E204" s="29">
        <f t="shared" ref="E204" si="59">D204/160</f>
        <v>921375000</v>
      </c>
    </row>
    <row r="205" spans="1:5">
      <c r="A205" s="8">
        <v>41020</v>
      </c>
      <c r="B205" s="9" t="s">
        <v>5</v>
      </c>
      <c r="C205" s="10">
        <v>32</v>
      </c>
      <c r="D205" s="28">
        <f t="shared" ref="D205:D207" si="60">(35000000*C205)+D204</f>
        <v>148540000000</v>
      </c>
      <c r="E205" s="29">
        <f t="shared" ref="E205:E207" si="61">D205/160</f>
        <v>928375000</v>
      </c>
    </row>
    <row r="206" spans="1:5">
      <c r="A206" s="8">
        <v>41021</v>
      </c>
      <c r="B206" s="9" t="s">
        <v>5</v>
      </c>
      <c r="C206" s="10">
        <v>32</v>
      </c>
      <c r="D206" s="28">
        <f t="shared" si="60"/>
        <v>149660000000</v>
      </c>
      <c r="E206" s="29">
        <f t="shared" si="61"/>
        <v>935375000</v>
      </c>
    </row>
    <row r="207" spans="1:5">
      <c r="A207" s="8">
        <v>41022</v>
      </c>
      <c r="B207" s="9" t="s">
        <v>5</v>
      </c>
      <c r="C207" s="10">
        <v>32</v>
      </c>
      <c r="D207" s="28">
        <f t="shared" si="60"/>
        <v>150780000000</v>
      </c>
      <c r="E207" s="29">
        <f t="shared" si="61"/>
        <v>942375000</v>
      </c>
    </row>
    <row r="208" spans="1:5">
      <c r="A208" s="8">
        <v>41023</v>
      </c>
      <c r="B208" s="9" t="s">
        <v>5</v>
      </c>
      <c r="C208" s="10">
        <v>32</v>
      </c>
      <c r="D208" s="28">
        <f t="shared" ref="D208:D214" si="62">(35000000*C208)+D207</f>
        <v>151900000000</v>
      </c>
      <c r="E208" s="29">
        <f t="shared" ref="E208:E221" si="63">D208/160</f>
        <v>949375000</v>
      </c>
    </row>
    <row r="209" spans="1:5">
      <c r="A209" s="8">
        <v>41024</v>
      </c>
      <c r="B209" s="9" t="s">
        <v>5</v>
      </c>
      <c r="C209" s="10">
        <v>32</v>
      </c>
      <c r="D209" s="28">
        <f t="shared" si="62"/>
        <v>153020000000</v>
      </c>
      <c r="E209" s="29">
        <f t="shared" si="63"/>
        <v>956375000</v>
      </c>
    </row>
    <row r="210" spans="1:5">
      <c r="A210" s="8">
        <v>41025</v>
      </c>
      <c r="B210" s="9" t="s">
        <v>5</v>
      </c>
      <c r="C210" s="10">
        <v>32</v>
      </c>
      <c r="D210" s="28">
        <f t="shared" si="62"/>
        <v>154140000000</v>
      </c>
      <c r="E210" s="29">
        <f t="shared" si="63"/>
        <v>963375000</v>
      </c>
    </row>
    <row r="211" spans="1:5">
      <c r="A211" s="8">
        <v>41026</v>
      </c>
      <c r="B211" s="9" t="s">
        <v>5</v>
      </c>
      <c r="C211" s="10">
        <v>32</v>
      </c>
      <c r="D211" s="28">
        <f t="shared" si="62"/>
        <v>155260000000</v>
      </c>
      <c r="E211" s="29">
        <f t="shared" si="63"/>
        <v>970375000</v>
      </c>
    </row>
    <row r="212" spans="1:5">
      <c r="A212" s="8">
        <v>41027</v>
      </c>
      <c r="B212" s="9" t="s">
        <v>5</v>
      </c>
      <c r="C212" s="10">
        <v>32</v>
      </c>
      <c r="D212" s="28">
        <f t="shared" si="62"/>
        <v>156380000000</v>
      </c>
      <c r="E212" s="29">
        <f t="shared" si="63"/>
        <v>977375000</v>
      </c>
    </row>
    <row r="213" spans="1:5">
      <c r="A213" s="8">
        <v>41028</v>
      </c>
      <c r="B213" s="9" t="s">
        <v>5</v>
      </c>
      <c r="C213" s="10">
        <v>32</v>
      </c>
      <c r="D213" s="28">
        <f t="shared" si="62"/>
        <v>157500000000</v>
      </c>
      <c r="E213" s="29">
        <f t="shared" si="63"/>
        <v>984375000</v>
      </c>
    </row>
    <row r="214" spans="1:5">
      <c r="A214" s="2">
        <v>41029</v>
      </c>
      <c r="B214" s="3" t="s">
        <v>5</v>
      </c>
      <c r="C214" s="4">
        <v>32</v>
      </c>
      <c r="D214" s="5">
        <f t="shared" si="62"/>
        <v>158620000000</v>
      </c>
      <c r="E214" s="6">
        <f t="shared" si="63"/>
        <v>991375000</v>
      </c>
    </row>
    <row r="215" spans="1:5">
      <c r="A215" s="11"/>
      <c r="B215" s="12"/>
      <c r="C215" s="13"/>
      <c r="D215" s="14"/>
      <c r="E215" s="15"/>
    </row>
    <row r="216" spans="1:5">
      <c r="A216" s="11"/>
      <c r="B216" s="12"/>
      <c r="C216" s="13"/>
      <c r="D216" s="14"/>
      <c r="E216" s="15"/>
    </row>
    <row r="217" spans="1:5">
      <c r="A217" s="11"/>
      <c r="B217" s="12"/>
      <c r="C217" s="13"/>
      <c r="D217" s="14"/>
      <c r="E217" s="15"/>
    </row>
    <row r="218" spans="1:5">
      <c r="A218" s="11"/>
      <c r="B218" s="12"/>
      <c r="C218" s="13"/>
      <c r="D218" s="14"/>
      <c r="E218" s="15"/>
    </row>
    <row r="219" spans="1:5">
      <c r="A219" s="11"/>
      <c r="B219" s="12"/>
      <c r="C219" s="13"/>
      <c r="D219" s="14"/>
      <c r="E219" s="15"/>
    </row>
    <row r="220" spans="1:5">
      <c r="A220" s="11"/>
      <c r="B220" s="12"/>
      <c r="C220" s="13"/>
      <c r="D220" s="14"/>
      <c r="E220" s="15"/>
    </row>
    <row r="221" spans="1:5">
      <c r="A221" s="8">
        <v>41030</v>
      </c>
      <c r="B221" s="9" t="s">
        <v>5</v>
      </c>
      <c r="C221" s="10">
        <v>32</v>
      </c>
      <c r="D221" s="28">
        <f>(35000000*C221)+D214</f>
        <v>159740000000</v>
      </c>
      <c r="E221" s="29">
        <f t="shared" si="63"/>
        <v>998375000</v>
      </c>
    </row>
    <row r="222" spans="1:5">
      <c r="A222" s="8">
        <v>41031</v>
      </c>
      <c r="B222" s="9" t="s">
        <v>5</v>
      </c>
      <c r="C222" s="10">
        <v>32</v>
      </c>
      <c r="D222" s="28">
        <f>(35000000*C222)+D221</f>
        <v>160860000000</v>
      </c>
      <c r="E222" s="29">
        <f>D222/160</f>
        <v>1005375000</v>
      </c>
    </row>
    <row r="223" spans="1:5">
      <c r="A223" s="8">
        <v>41032</v>
      </c>
      <c r="B223" s="9" t="s">
        <v>5</v>
      </c>
      <c r="C223" s="10">
        <v>32</v>
      </c>
      <c r="D223" s="28">
        <f t="shared" ref="D223:D224" si="64">(35000000*C223)+D222</f>
        <v>161980000000</v>
      </c>
      <c r="E223" s="29">
        <f t="shared" ref="E223:E224" si="65">D223/160</f>
        <v>1012375000</v>
      </c>
    </row>
    <row r="224" spans="1:5">
      <c r="A224" s="8">
        <v>41033</v>
      </c>
      <c r="B224" s="9" t="s">
        <v>5</v>
      </c>
      <c r="C224" s="10">
        <v>32</v>
      </c>
      <c r="D224" s="28">
        <f t="shared" si="64"/>
        <v>163100000000</v>
      </c>
      <c r="E224" s="29">
        <f t="shared" si="65"/>
        <v>1019375000</v>
      </c>
    </row>
    <row r="225" spans="1:5">
      <c r="A225" s="8">
        <v>41034</v>
      </c>
      <c r="B225" s="9" t="s">
        <v>5</v>
      </c>
      <c r="C225" s="10">
        <v>32</v>
      </c>
      <c r="D225" s="28">
        <f t="shared" ref="D225:D227" si="66">(35000000*C225)+D224</f>
        <v>164220000000</v>
      </c>
      <c r="E225" s="29">
        <f t="shared" ref="E225:E227" si="67">D225/160</f>
        <v>1026375000</v>
      </c>
    </row>
    <row r="226" spans="1:5">
      <c r="A226" s="8">
        <v>41035</v>
      </c>
      <c r="B226" s="9" t="s">
        <v>5</v>
      </c>
      <c r="C226" s="10">
        <v>32</v>
      </c>
      <c r="D226" s="28">
        <f t="shared" si="66"/>
        <v>165340000000</v>
      </c>
      <c r="E226" s="29">
        <f t="shared" si="67"/>
        <v>1033375000</v>
      </c>
    </row>
    <row r="227" spans="1:5">
      <c r="A227" s="8">
        <v>41036</v>
      </c>
      <c r="B227" s="9" t="s">
        <v>5</v>
      </c>
      <c r="C227" s="10">
        <v>32</v>
      </c>
      <c r="D227" s="28">
        <f t="shared" si="66"/>
        <v>166460000000</v>
      </c>
      <c r="E227" s="29">
        <f t="shared" si="67"/>
        <v>1040375000</v>
      </c>
    </row>
    <row r="228" spans="1:5">
      <c r="A228" s="8">
        <v>41037</v>
      </c>
      <c r="B228" s="9" t="s">
        <v>5</v>
      </c>
      <c r="C228" s="10">
        <v>32</v>
      </c>
      <c r="D228" s="28">
        <f t="shared" ref="D228:D229" si="68">(35000000*C228)+D227</f>
        <v>167580000000</v>
      </c>
      <c r="E228" s="29">
        <f t="shared" ref="E228:E229" si="69">D228/160</f>
        <v>1047375000</v>
      </c>
    </row>
    <row r="229" spans="1:5">
      <c r="A229" s="8">
        <v>41038</v>
      </c>
      <c r="B229" s="9" t="s">
        <v>5</v>
      </c>
      <c r="C229" s="10">
        <v>32</v>
      </c>
      <c r="D229" s="28">
        <f t="shared" si="68"/>
        <v>168700000000</v>
      </c>
      <c r="E229" s="29">
        <f t="shared" si="69"/>
        <v>1054375000</v>
      </c>
    </row>
    <row r="230" spans="1:5">
      <c r="A230" s="8">
        <v>41039</v>
      </c>
      <c r="B230" s="9" t="s">
        <v>5</v>
      </c>
      <c r="C230" s="10">
        <v>32</v>
      </c>
      <c r="D230" s="28">
        <f t="shared" ref="D230:D233" si="70">(35000000*C230)+D229</f>
        <v>169820000000</v>
      </c>
      <c r="E230" s="29">
        <f t="shared" ref="E230:E233" si="71">D230/160</f>
        <v>1061375000</v>
      </c>
    </row>
    <row r="231" spans="1:5">
      <c r="A231" s="8">
        <v>41040</v>
      </c>
      <c r="B231" s="9" t="s">
        <v>5</v>
      </c>
      <c r="C231" s="10">
        <v>32</v>
      </c>
      <c r="D231" s="28">
        <f t="shared" si="70"/>
        <v>170940000000</v>
      </c>
      <c r="E231" s="29">
        <f t="shared" si="71"/>
        <v>1068375000</v>
      </c>
    </row>
    <row r="232" spans="1:5">
      <c r="A232" s="8">
        <v>41041</v>
      </c>
      <c r="B232" s="9" t="s">
        <v>5</v>
      </c>
      <c r="C232" s="10">
        <v>32</v>
      </c>
      <c r="D232" s="28">
        <f t="shared" si="70"/>
        <v>172060000000</v>
      </c>
      <c r="E232" s="29">
        <f t="shared" si="71"/>
        <v>1075375000</v>
      </c>
    </row>
    <row r="233" spans="1:5">
      <c r="A233" s="8">
        <v>41042</v>
      </c>
      <c r="B233" s="9" t="s">
        <v>5</v>
      </c>
      <c r="C233" s="10">
        <v>32</v>
      </c>
      <c r="D233" s="28">
        <f t="shared" si="70"/>
        <v>173180000000</v>
      </c>
      <c r="E233" s="29">
        <f t="shared" si="71"/>
        <v>1082375000</v>
      </c>
    </row>
    <row r="234" spans="1:5">
      <c r="A234" s="8">
        <v>41043</v>
      </c>
      <c r="B234" s="9" t="s">
        <v>5</v>
      </c>
      <c r="C234" s="10">
        <v>32</v>
      </c>
      <c r="D234" s="28">
        <f t="shared" ref="D234:D238" si="72">(35000000*C234)+D233</f>
        <v>174300000000</v>
      </c>
      <c r="E234" s="29">
        <f t="shared" ref="E234:E238" si="73">D234/160</f>
        <v>1089375000</v>
      </c>
    </row>
    <row r="235" spans="1:5">
      <c r="A235" s="8">
        <v>41044</v>
      </c>
      <c r="B235" s="9" t="s">
        <v>5</v>
      </c>
      <c r="C235" s="10">
        <v>32</v>
      </c>
      <c r="D235" s="28">
        <f t="shared" si="72"/>
        <v>175420000000</v>
      </c>
      <c r="E235" s="29">
        <f t="shared" si="73"/>
        <v>1096375000</v>
      </c>
    </row>
    <row r="236" spans="1:5">
      <c r="A236" s="8">
        <v>41045</v>
      </c>
      <c r="B236" s="9" t="s">
        <v>5</v>
      </c>
      <c r="C236" s="10">
        <v>32</v>
      </c>
      <c r="D236" s="28">
        <f t="shared" si="72"/>
        <v>176540000000</v>
      </c>
      <c r="E236" s="29">
        <f t="shared" si="73"/>
        <v>1103375000</v>
      </c>
    </row>
    <row r="237" spans="1:5">
      <c r="A237" s="8">
        <v>41046</v>
      </c>
      <c r="B237" s="9" t="s">
        <v>5</v>
      </c>
      <c r="C237" s="10">
        <v>32</v>
      </c>
      <c r="D237" s="28">
        <f t="shared" si="72"/>
        <v>177660000000</v>
      </c>
      <c r="E237" s="29">
        <f t="shared" si="73"/>
        <v>1110375000</v>
      </c>
    </row>
    <row r="238" spans="1:5">
      <c r="A238" s="8">
        <v>41047</v>
      </c>
      <c r="B238" s="9" t="s">
        <v>5</v>
      </c>
      <c r="C238" s="10">
        <v>32</v>
      </c>
      <c r="D238" s="28">
        <f t="shared" si="72"/>
        <v>178780000000</v>
      </c>
      <c r="E238" s="29">
        <f t="shared" si="73"/>
        <v>1117375000</v>
      </c>
    </row>
    <row r="239" spans="1:5">
      <c r="A239" s="8">
        <v>41048</v>
      </c>
      <c r="B239" s="9" t="s">
        <v>5</v>
      </c>
      <c r="C239" s="10">
        <v>32</v>
      </c>
      <c r="D239" s="28">
        <f t="shared" ref="D239:D241" si="74">(35000000*C239)+D238</f>
        <v>179900000000</v>
      </c>
      <c r="E239" s="29">
        <f t="shared" ref="E239:E241" si="75">D239/160</f>
        <v>1124375000</v>
      </c>
    </row>
    <row r="240" spans="1:5">
      <c r="A240" s="8">
        <v>41049</v>
      </c>
      <c r="B240" s="9" t="s">
        <v>5</v>
      </c>
      <c r="C240" s="10">
        <v>32</v>
      </c>
      <c r="D240" s="28">
        <f t="shared" si="74"/>
        <v>181020000000</v>
      </c>
      <c r="E240" s="29">
        <f t="shared" si="75"/>
        <v>1131375000</v>
      </c>
    </row>
    <row r="241" spans="1:5">
      <c r="A241" s="8">
        <v>41050</v>
      </c>
      <c r="B241" s="9" t="s">
        <v>5</v>
      </c>
      <c r="C241" s="10">
        <v>32</v>
      </c>
      <c r="D241" s="28">
        <f t="shared" si="74"/>
        <v>182140000000</v>
      </c>
      <c r="E241" s="29">
        <f t="shared" si="75"/>
        <v>1138375000</v>
      </c>
    </row>
    <row r="242" spans="1:5">
      <c r="A242" s="8">
        <v>41051</v>
      </c>
      <c r="B242" s="9" t="s">
        <v>5</v>
      </c>
      <c r="C242" s="10">
        <v>32</v>
      </c>
      <c r="D242" s="28">
        <f t="shared" ref="D242:D243" si="76">(35000000*C242)+D241</f>
        <v>183260000000</v>
      </c>
      <c r="E242" s="29">
        <f t="shared" ref="E242:E243" si="77">D242/160</f>
        <v>1145375000</v>
      </c>
    </row>
    <row r="243" spans="1:5">
      <c r="A243" s="8">
        <v>41052</v>
      </c>
      <c r="B243" s="9" t="s">
        <v>5</v>
      </c>
      <c r="C243" s="10">
        <v>32</v>
      </c>
      <c r="D243" s="28">
        <f t="shared" si="76"/>
        <v>184380000000</v>
      </c>
      <c r="E243" s="29">
        <f t="shared" si="77"/>
        <v>1152375000</v>
      </c>
    </row>
    <row r="244" spans="1:5">
      <c r="A244" s="8">
        <v>41053</v>
      </c>
      <c r="B244" s="9" t="s">
        <v>5</v>
      </c>
      <c r="C244" s="10">
        <v>32</v>
      </c>
      <c r="D244" s="28">
        <f t="shared" ref="D244:D248" si="78">(35000000*C244)+D243</f>
        <v>185500000000</v>
      </c>
      <c r="E244" s="29">
        <f t="shared" ref="E244:E248" si="79">D244/160</f>
        <v>1159375000</v>
      </c>
    </row>
    <row r="245" spans="1:5">
      <c r="A245" s="8">
        <v>41054</v>
      </c>
      <c r="B245" s="9" t="s">
        <v>5</v>
      </c>
      <c r="C245" s="10">
        <v>32</v>
      </c>
      <c r="D245" s="28">
        <f t="shared" si="78"/>
        <v>186620000000</v>
      </c>
      <c r="E245" s="29">
        <f t="shared" si="79"/>
        <v>1166375000</v>
      </c>
    </row>
    <row r="246" spans="1:5">
      <c r="A246" s="8">
        <v>41055</v>
      </c>
      <c r="B246" s="9" t="s">
        <v>5</v>
      </c>
      <c r="C246" s="10">
        <v>32</v>
      </c>
      <c r="D246" s="28">
        <f t="shared" si="78"/>
        <v>187740000000</v>
      </c>
      <c r="E246" s="29">
        <f t="shared" si="79"/>
        <v>1173375000</v>
      </c>
    </row>
    <row r="247" spans="1:5">
      <c r="A247" s="8">
        <v>41056</v>
      </c>
      <c r="B247" s="9" t="s">
        <v>5</v>
      </c>
      <c r="C247" s="10">
        <v>32</v>
      </c>
      <c r="D247" s="28">
        <f t="shared" si="78"/>
        <v>188860000000</v>
      </c>
      <c r="E247" s="29">
        <f t="shared" si="79"/>
        <v>1180375000</v>
      </c>
    </row>
    <row r="248" spans="1:5">
      <c r="A248" s="8">
        <v>41057</v>
      </c>
      <c r="B248" s="9" t="s">
        <v>5</v>
      </c>
      <c r="C248" s="10">
        <v>32</v>
      </c>
      <c r="D248" s="28">
        <f t="shared" si="78"/>
        <v>189980000000</v>
      </c>
      <c r="E248" s="29">
        <f t="shared" si="79"/>
        <v>1187375000</v>
      </c>
    </row>
    <row r="249" spans="1:5">
      <c r="A249" s="8">
        <v>41058</v>
      </c>
      <c r="B249" s="9" t="s">
        <v>5</v>
      </c>
      <c r="C249" s="10">
        <v>32</v>
      </c>
      <c r="D249" s="28">
        <f t="shared" ref="D249:D266" si="80">(35000000*C249)+D248</f>
        <v>191100000000</v>
      </c>
      <c r="E249" s="29">
        <f t="shared" ref="E249:E266" si="81">D249/160</f>
        <v>1194375000</v>
      </c>
    </row>
    <row r="250" spans="1:5">
      <c r="A250" s="8">
        <v>41059</v>
      </c>
      <c r="B250" s="9" t="s">
        <v>5</v>
      </c>
      <c r="C250" s="10">
        <v>32</v>
      </c>
      <c r="D250" s="28">
        <f t="shared" si="80"/>
        <v>192220000000</v>
      </c>
      <c r="E250" s="29">
        <f t="shared" si="81"/>
        <v>1201375000</v>
      </c>
    </row>
    <row r="251" spans="1:5">
      <c r="A251" s="2">
        <v>41060</v>
      </c>
      <c r="B251" s="3" t="s">
        <v>5</v>
      </c>
      <c r="C251" s="4">
        <v>32</v>
      </c>
      <c r="D251" s="5">
        <f t="shared" si="80"/>
        <v>193340000000</v>
      </c>
      <c r="E251" s="6">
        <f t="shared" si="81"/>
        <v>1208375000</v>
      </c>
    </row>
    <row r="252" spans="1:5">
      <c r="A252" s="11"/>
      <c r="B252" s="12"/>
      <c r="C252" s="13"/>
      <c r="D252" s="14"/>
      <c r="E252" s="15"/>
    </row>
    <row r="253" spans="1:5">
      <c r="A253" s="11"/>
      <c r="B253" s="12"/>
      <c r="C253" s="13"/>
      <c r="D253" s="14"/>
      <c r="E253" s="15"/>
    </row>
    <row r="254" spans="1:5">
      <c r="A254" s="11"/>
      <c r="B254" s="12"/>
      <c r="C254" s="13"/>
      <c r="D254" s="14"/>
      <c r="E254" s="15"/>
    </row>
    <row r="255" spans="1:5">
      <c r="A255" s="11"/>
      <c r="B255" s="12"/>
      <c r="C255" s="13"/>
      <c r="D255" s="14"/>
      <c r="E255" s="15"/>
    </row>
    <row r="256" spans="1:5">
      <c r="A256" s="11"/>
      <c r="B256" s="12"/>
      <c r="C256" s="13"/>
      <c r="D256" s="14"/>
      <c r="E256" s="15"/>
    </row>
    <row r="257" spans="1:5">
      <c r="A257" s="8">
        <v>41061</v>
      </c>
      <c r="B257" s="9" t="s">
        <v>5</v>
      </c>
      <c r="C257" s="10">
        <v>32</v>
      </c>
      <c r="D257" s="28">
        <f>(35000000*C257)+D251</f>
        <v>194460000000</v>
      </c>
      <c r="E257" s="29">
        <f t="shared" si="81"/>
        <v>1215375000</v>
      </c>
    </row>
    <row r="258" spans="1:5">
      <c r="A258" s="8">
        <v>41062</v>
      </c>
      <c r="B258" s="9" t="s">
        <v>5</v>
      </c>
      <c r="C258" s="10">
        <v>32</v>
      </c>
      <c r="D258" s="28">
        <f t="shared" si="80"/>
        <v>195580000000</v>
      </c>
      <c r="E258" s="29">
        <f t="shared" si="81"/>
        <v>1222375000</v>
      </c>
    </row>
    <row r="259" spans="1:5">
      <c r="A259" s="8">
        <v>41063</v>
      </c>
      <c r="B259" s="9" t="s">
        <v>5</v>
      </c>
      <c r="C259" s="10">
        <v>32</v>
      </c>
      <c r="D259" s="28">
        <f t="shared" si="80"/>
        <v>196700000000</v>
      </c>
      <c r="E259" s="29">
        <f t="shared" si="81"/>
        <v>1229375000</v>
      </c>
    </row>
    <row r="260" spans="1:5">
      <c r="A260" s="8">
        <v>41064</v>
      </c>
      <c r="B260" s="9" t="s">
        <v>5</v>
      </c>
      <c r="C260" s="10">
        <v>32</v>
      </c>
      <c r="D260" s="28">
        <f t="shared" si="80"/>
        <v>197820000000</v>
      </c>
      <c r="E260" s="29">
        <f t="shared" si="81"/>
        <v>1236375000</v>
      </c>
    </row>
    <row r="261" spans="1:5">
      <c r="A261" s="8">
        <v>41065</v>
      </c>
      <c r="B261" s="9" t="s">
        <v>5</v>
      </c>
      <c r="C261" s="10">
        <v>32</v>
      </c>
      <c r="D261" s="28">
        <f t="shared" si="80"/>
        <v>198940000000</v>
      </c>
      <c r="E261" s="29">
        <f t="shared" si="81"/>
        <v>1243375000</v>
      </c>
    </row>
    <row r="262" spans="1:5">
      <c r="A262" s="8">
        <v>41066</v>
      </c>
      <c r="B262" s="9" t="s">
        <v>5</v>
      </c>
      <c r="C262" s="10">
        <v>32</v>
      </c>
      <c r="D262" s="28">
        <f t="shared" si="80"/>
        <v>200060000000</v>
      </c>
      <c r="E262" s="29">
        <f t="shared" si="81"/>
        <v>1250375000</v>
      </c>
    </row>
    <row r="263" spans="1:5">
      <c r="A263" s="8">
        <v>41067</v>
      </c>
      <c r="B263" s="9" t="s">
        <v>5</v>
      </c>
      <c r="C263" s="10">
        <v>32</v>
      </c>
      <c r="D263" s="28">
        <f t="shared" si="80"/>
        <v>201180000000</v>
      </c>
      <c r="E263" s="29">
        <f t="shared" si="81"/>
        <v>1257375000</v>
      </c>
    </row>
    <row r="264" spans="1:5">
      <c r="A264" s="8">
        <v>41068</v>
      </c>
      <c r="B264" s="9" t="s">
        <v>5</v>
      </c>
      <c r="C264" s="10">
        <v>32</v>
      </c>
      <c r="D264" s="28">
        <f t="shared" si="80"/>
        <v>202300000000</v>
      </c>
      <c r="E264" s="29">
        <f t="shared" si="81"/>
        <v>1264375000</v>
      </c>
    </row>
    <row r="265" spans="1:5">
      <c r="A265" s="8">
        <v>41069</v>
      </c>
      <c r="B265" s="9" t="s">
        <v>5</v>
      </c>
      <c r="C265" s="10">
        <v>32</v>
      </c>
      <c r="D265" s="28">
        <f t="shared" si="80"/>
        <v>203420000000</v>
      </c>
      <c r="E265" s="29">
        <f t="shared" si="81"/>
        <v>1271375000</v>
      </c>
    </row>
    <row r="266" spans="1:5">
      <c r="A266" s="8">
        <v>41070</v>
      </c>
      <c r="B266" s="9" t="s">
        <v>5</v>
      </c>
      <c r="C266" s="10">
        <v>32</v>
      </c>
      <c r="D266" s="28">
        <f t="shared" si="80"/>
        <v>204540000000</v>
      </c>
      <c r="E266" s="29">
        <f t="shared" si="81"/>
        <v>1278375000</v>
      </c>
    </row>
    <row r="267" spans="1:5">
      <c r="A267" s="8">
        <v>41071</v>
      </c>
      <c r="B267" s="9" t="s">
        <v>5</v>
      </c>
      <c r="C267" s="10">
        <v>32</v>
      </c>
      <c r="D267" s="28">
        <f t="shared" ref="D267:D272" si="82">(35000000*C267)+D266</f>
        <v>205660000000</v>
      </c>
      <c r="E267" s="29">
        <f t="shared" ref="E267:E272" si="83">D267/160</f>
        <v>1285375000</v>
      </c>
    </row>
    <row r="268" spans="1:5">
      <c r="A268" s="8">
        <v>41072</v>
      </c>
      <c r="B268" s="9" t="s">
        <v>5</v>
      </c>
      <c r="C268" s="10">
        <v>32</v>
      </c>
      <c r="D268" s="28">
        <f t="shared" si="82"/>
        <v>206780000000</v>
      </c>
      <c r="E268" s="29">
        <f t="shared" si="83"/>
        <v>1292375000</v>
      </c>
    </row>
    <row r="269" spans="1:5">
      <c r="A269" s="8">
        <v>41073</v>
      </c>
      <c r="B269" s="9" t="s">
        <v>5</v>
      </c>
      <c r="C269" s="10">
        <v>32</v>
      </c>
      <c r="D269" s="28">
        <f t="shared" si="82"/>
        <v>207900000000</v>
      </c>
      <c r="E269" s="29">
        <f t="shared" si="83"/>
        <v>1299375000</v>
      </c>
    </row>
    <row r="270" spans="1:5">
      <c r="A270" s="8">
        <v>41074</v>
      </c>
      <c r="B270" s="9" t="s">
        <v>5</v>
      </c>
      <c r="C270" s="10">
        <v>32</v>
      </c>
      <c r="D270" s="28">
        <f t="shared" si="82"/>
        <v>209020000000</v>
      </c>
      <c r="E270" s="29">
        <f t="shared" si="83"/>
        <v>1306375000</v>
      </c>
    </row>
    <row r="271" spans="1:5">
      <c r="A271" s="8">
        <v>41075</v>
      </c>
      <c r="B271" s="9" t="s">
        <v>5</v>
      </c>
      <c r="C271" s="10">
        <v>32</v>
      </c>
      <c r="D271" s="28">
        <f t="shared" si="82"/>
        <v>210140000000</v>
      </c>
      <c r="E271" s="29">
        <f t="shared" si="83"/>
        <v>1313375000</v>
      </c>
    </row>
    <row r="272" spans="1:5">
      <c r="A272" s="8">
        <v>41076</v>
      </c>
      <c r="B272" s="9" t="s">
        <v>5</v>
      </c>
      <c r="C272" s="10">
        <v>32</v>
      </c>
      <c r="D272" s="28">
        <f t="shared" si="82"/>
        <v>211260000000</v>
      </c>
      <c r="E272" s="29">
        <f t="shared" si="83"/>
        <v>1320375000</v>
      </c>
    </row>
    <row r="273" spans="1:5">
      <c r="A273" s="8">
        <v>41077</v>
      </c>
      <c r="B273" s="9" t="s">
        <v>5</v>
      </c>
      <c r="C273" s="10">
        <v>32</v>
      </c>
      <c r="D273" s="28">
        <f t="shared" ref="D273" si="84">(35000000*C273)+D272</f>
        <v>212380000000</v>
      </c>
      <c r="E273" s="29">
        <f t="shared" ref="E273:E274" si="85">D273/160</f>
        <v>1327375000</v>
      </c>
    </row>
    <row r="274" spans="1:5">
      <c r="A274" s="8">
        <v>41078</v>
      </c>
      <c r="B274" s="9" t="s">
        <v>5</v>
      </c>
      <c r="C274" s="10">
        <v>32</v>
      </c>
      <c r="D274" s="28">
        <f>(35000000*C274)+D273</f>
        <v>213500000000</v>
      </c>
      <c r="E274" s="29">
        <f t="shared" si="85"/>
        <v>1334375000</v>
      </c>
    </row>
    <row r="275" spans="1:5">
      <c r="A275" s="8">
        <v>41079</v>
      </c>
      <c r="B275" s="9" t="s">
        <v>5</v>
      </c>
      <c r="C275" s="10">
        <v>32</v>
      </c>
      <c r="D275" s="28">
        <f t="shared" ref="D275:D277" si="86">(35000000*C275)+D274</f>
        <v>214620000000</v>
      </c>
      <c r="E275" s="29">
        <f t="shared" ref="E275:E277" si="87">D275/160</f>
        <v>1341375000</v>
      </c>
    </row>
    <row r="276" spans="1:5">
      <c r="A276" s="8">
        <v>41080</v>
      </c>
      <c r="B276" s="9" t="s">
        <v>5</v>
      </c>
      <c r="C276" s="10">
        <v>32</v>
      </c>
      <c r="D276" s="28">
        <f t="shared" si="86"/>
        <v>215740000000</v>
      </c>
      <c r="E276" s="29">
        <f t="shared" si="87"/>
        <v>1348375000</v>
      </c>
    </row>
    <row r="277" spans="1:5">
      <c r="A277" s="8">
        <v>41081</v>
      </c>
      <c r="B277" s="9" t="s">
        <v>5</v>
      </c>
      <c r="C277" s="10">
        <v>32</v>
      </c>
      <c r="D277" s="28">
        <f t="shared" si="86"/>
        <v>216860000000</v>
      </c>
      <c r="E277" s="29">
        <f t="shared" si="87"/>
        <v>1355375000</v>
      </c>
    </row>
    <row r="278" spans="1:5">
      <c r="A278" s="8">
        <v>41082</v>
      </c>
      <c r="B278" s="9" t="s">
        <v>5</v>
      </c>
      <c r="C278" s="10">
        <v>32</v>
      </c>
      <c r="D278" s="28">
        <f t="shared" ref="D278:D286" si="88">(35000000*C278)+D277</f>
        <v>217980000000</v>
      </c>
      <c r="E278" s="29">
        <f t="shared" ref="E278:E293" si="89">D278/160</f>
        <v>1362375000</v>
      </c>
    </row>
    <row r="279" spans="1:5">
      <c r="A279" s="8">
        <v>41083</v>
      </c>
      <c r="B279" s="9" t="s">
        <v>5</v>
      </c>
      <c r="C279" s="10">
        <v>32</v>
      </c>
      <c r="D279" s="28">
        <f t="shared" si="88"/>
        <v>219100000000</v>
      </c>
      <c r="E279" s="29">
        <f t="shared" si="89"/>
        <v>1369375000</v>
      </c>
    </row>
    <row r="280" spans="1:5">
      <c r="A280" s="8">
        <v>41084</v>
      </c>
      <c r="B280" s="9" t="s">
        <v>5</v>
      </c>
      <c r="C280" s="10">
        <v>32</v>
      </c>
      <c r="D280" s="28">
        <f t="shared" si="88"/>
        <v>220220000000</v>
      </c>
      <c r="E280" s="29">
        <f t="shared" si="89"/>
        <v>1376375000</v>
      </c>
    </row>
    <row r="281" spans="1:5">
      <c r="A281" s="8">
        <v>41085</v>
      </c>
      <c r="B281" s="9" t="s">
        <v>5</v>
      </c>
      <c r="C281" s="10">
        <v>32</v>
      </c>
      <c r="D281" s="28">
        <f t="shared" si="88"/>
        <v>221340000000</v>
      </c>
      <c r="E281" s="29">
        <f t="shared" si="89"/>
        <v>1383375000</v>
      </c>
    </row>
    <row r="282" spans="1:5">
      <c r="A282" s="8">
        <v>41086</v>
      </c>
      <c r="B282" s="9" t="s">
        <v>5</v>
      </c>
      <c r="C282" s="10">
        <v>32</v>
      </c>
      <c r="D282" s="28">
        <f t="shared" si="88"/>
        <v>222460000000</v>
      </c>
      <c r="E282" s="29">
        <f t="shared" si="89"/>
        <v>1390375000</v>
      </c>
    </row>
    <row r="283" spans="1:5">
      <c r="A283" s="8">
        <v>41087</v>
      </c>
      <c r="B283" s="9" t="s">
        <v>5</v>
      </c>
      <c r="C283" s="10">
        <v>32</v>
      </c>
      <c r="D283" s="28">
        <f t="shared" si="88"/>
        <v>223580000000</v>
      </c>
      <c r="E283" s="29">
        <f t="shared" si="89"/>
        <v>1397375000</v>
      </c>
    </row>
    <row r="284" spans="1:5">
      <c r="A284" s="8">
        <v>41088</v>
      </c>
      <c r="B284" s="9" t="s">
        <v>5</v>
      </c>
      <c r="C284" s="10">
        <v>32</v>
      </c>
      <c r="D284" s="28">
        <f t="shared" si="88"/>
        <v>224700000000</v>
      </c>
      <c r="E284" s="29">
        <f t="shared" si="89"/>
        <v>1404375000</v>
      </c>
    </row>
    <row r="285" spans="1:5">
      <c r="A285" s="8">
        <v>41089</v>
      </c>
      <c r="B285" s="9" t="s">
        <v>5</v>
      </c>
      <c r="C285" s="10">
        <v>32</v>
      </c>
      <c r="D285" s="28">
        <f t="shared" si="88"/>
        <v>225820000000</v>
      </c>
      <c r="E285" s="29">
        <f t="shared" si="89"/>
        <v>1411375000</v>
      </c>
    </row>
    <row r="286" spans="1:5">
      <c r="A286" s="2">
        <v>41090</v>
      </c>
      <c r="B286" s="3" t="s">
        <v>5</v>
      </c>
      <c r="C286" s="4">
        <v>32</v>
      </c>
      <c r="D286" s="5">
        <f t="shared" si="88"/>
        <v>226940000000</v>
      </c>
      <c r="E286" s="6">
        <f t="shared" si="89"/>
        <v>1418375000</v>
      </c>
    </row>
    <row r="287" spans="1:5">
      <c r="A287" s="11"/>
      <c r="B287" s="12"/>
      <c r="C287" s="13"/>
      <c r="D287" s="14"/>
      <c r="E287" s="15"/>
    </row>
    <row r="288" spans="1:5">
      <c r="A288" s="11"/>
      <c r="B288" s="12"/>
      <c r="C288" s="13"/>
      <c r="D288" s="14"/>
      <c r="E288" s="15"/>
    </row>
    <row r="289" spans="1:5">
      <c r="A289" s="11"/>
      <c r="B289" s="12"/>
      <c r="C289" s="13"/>
      <c r="D289" s="14"/>
      <c r="E289" s="15"/>
    </row>
    <row r="290" spans="1:5">
      <c r="A290" s="11"/>
      <c r="B290" s="12"/>
      <c r="C290" s="13"/>
      <c r="D290" s="14"/>
      <c r="E290" s="15"/>
    </row>
    <row r="291" spans="1:5">
      <c r="A291" s="11"/>
      <c r="B291" s="12"/>
      <c r="C291" s="13"/>
      <c r="D291" s="14"/>
      <c r="E291" s="15"/>
    </row>
    <row r="292" spans="1:5">
      <c r="A292" s="11"/>
      <c r="B292" s="12"/>
      <c r="C292" s="13"/>
      <c r="D292" s="14"/>
      <c r="E292" s="15"/>
    </row>
    <row r="293" spans="1:5">
      <c r="A293" s="8">
        <v>41091</v>
      </c>
      <c r="B293" s="9" t="s">
        <v>5</v>
      </c>
      <c r="C293" s="10">
        <v>32</v>
      </c>
      <c r="D293" s="28">
        <f>(35000000*C293)+D286</f>
        <v>228060000000</v>
      </c>
      <c r="E293" s="29">
        <f t="shared" si="89"/>
        <v>1425375000</v>
      </c>
    </row>
    <row r="294" spans="1:5">
      <c r="A294" s="8">
        <v>41092</v>
      </c>
      <c r="B294" s="9" t="s">
        <v>5</v>
      </c>
      <c r="C294" s="10">
        <v>32</v>
      </c>
      <c r="D294" s="28">
        <f>(35000000*C294)+D293</f>
        <v>229180000000</v>
      </c>
      <c r="E294" s="29">
        <f t="shared" ref="E294:E301" si="90">D294/160</f>
        <v>1432375000</v>
      </c>
    </row>
    <row r="295" spans="1:5">
      <c r="A295" s="8">
        <v>41093</v>
      </c>
      <c r="B295" s="9" t="s">
        <v>5</v>
      </c>
      <c r="C295" s="10">
        <v>32</v>
      </c>
      <c r="D295" s="28">
        <f t="shared" ref="D295:D301" si="91">(35000000*C295)+D294</f>
        <v>230300000000</v>
      </c>
      <c r="E295" s="29">
        <f t="shared" si="90"/>
        <v>1439375000</v>
      </c>
    </row>
    <row r="296" spans="1:5">
      <c r="A296" s="8">
        <v>41094</v>
      </c>
      <c r="B296" s="9" t="s">
        <v>5</v>
      </c>
      <c r="C296" s="10">
        <v>32</v>
      </c>
      <c r="D296" s="28">
        <f t="shared" si="91"/>
        <v>231420000000</v>
      </c>
      <c r="E296" s="29">
        <f t="shared" si="90"/>
        <v>1446375000</v>
      </c>
    </row>
    <row r="297" spans="1:5">
      <c r="A297" s="8">
        <v>41095</v>
      </c>
      <c r="B297" s="9" t="s">
        <v>5</v>
      </c>
      <c r="C297" s="10">
        <v>32</v>
      </c>
      <c r="D297" s="28">
        <f t="shared" si="91"/>
        <v>232540000000</v>
      </c>
      <c r="E297" s="29">
        <f t="shared" si="90"/>
        <v>1453375000</v>
      </c>
    </row>
    <row r="298" spans="1:5">
      <c r="A298" s="8">
        <v>41096</v>
      </c>
      <c r="B298" s="9" t="s">
        <v>5</v>
      </c>
      <c r="C298" s="10">
        <v>32</v>
      </c>
      <c r="D298" s="28">
        <f t="shared" si="91"/>
        <v>233660000000</v>
      </c>
      <c r="E298" s="29">
        <f t="shared" si="90"/>
        <v>1460375000</v>
      </c>
    </row>
    <row r="299" spans="1:5">
      <c r="A299" s="8">
        <v>41097</v>
      </c>
      <c r="B299" s="9" t="s">
        <v>5</v>
      </c>
      <c r="C299" s="10">
        <v>32</v>
      </c>
      <c r="D299" s="28">
        <f t="shared" si="91"/>
        <v>234780000000</v>
      </c>
      <c r="E299" s="29">
        <f t="shared" si="90"/>
        <v>1467375000</v>
      </c>
    </row>
    <row r="300" spans="1:5">
      <c r="A300" s="8">
        <v>41098</v>
      </c>
      <c r="B300" s="9" t="s">
        <v>5</v>
      </c>
      <c r="C300" s="10">
        <v>32</v>
      </c>
      <c r="D300" s="28">
        <f t="shared" si="91"/>
        <v>235900000000</v>
      </c>
      <c r="E300" s="29">
        <f t="shared" si="90"/>
        <v>1474375000</v>
      </c>
    </row>
    <row r="301" spans="1:5">
      <c r="A301" s="8">
        <v>41099</v>
      </c>
      <c r="B301" s="9" t="s">
        <v>5</v>
      </c>
      <c r="C301" s="10">
        <v>32</v>
      </c>
      <c r="D301" s="28">
        <f t="shared" si="91"/>
        <v>237020000000</v>
      </c>
      <c r="E301" s="29">
        <f t="shared" si="90"/>
        <v>1481375000</v>
      </c>
    </row>
    <row r="302" spans="1:5">
      <c r="A302" s="8">
        <v>41100</v>
      </c>
      <c r="B302" s="9" t="s">
        <v>5</v>
      </c>
      <c r="C302" s="10">
        <v>32</v>
      </c>
      <c r="D302" s="28">
        <f t="shared" ref="D302:D307" si="92">(35000000*C302)+D301</f>
        <v>238140000000</v>
      </c>
      <c r="E302" s="29">
        <f t="shared" ref="E302:E307" si="93">D302/160</f>
        <v>1488375000</v>
      </c>
    </row>
    <row r="303" spans="1:5">
      <c r="A303" s="8">
        <v>41101</v>
      </c>
      <c r="B303" s="9" t="s">
        <v>5</v>
      </c>
      <c r="C303" s="10">
        <v>32</v>
      </c>
      <c r="D303" s="28">
        <f t="shared" si="92"/>
        <v>239260000000</v>
      </c>
      <c r="E303" s="29">
        <f t="shared" si="93"/>
        <v>1495375000</v>
      </c>
    </row>
    <row r="304" spans="1:5">
      <c r="A304" s="8">
        <v>41102</v>
      </c>
      <c r="B304" s="9" t="s">
        <v>5</v>
      </c>
      <c r="C304" s="10">
        <v>32</v>
      </c>
      <c r="D304" s="28">
        <f t="shared" si="92"/>
        <v>240380000000</v>
      </c>
      <c r="E304" s="29">
        <f t="shared" si="93"/>
        <v>1502375000</v>
      </c>
    </row>
    <row r="305" spans="1:5">
      <c r="A305" s="8">
        <v>41103</v>
      </c>
      <c r="B305" s="9" t="s">
        <v>5</v>
      </c>
      <c r="C305" s="10">
        <v>32</v>
      </c>
      <c r="D305" s="28">
        <f t="shared" si="92"/>
        <v>241500000000</v>
      </c>
      <c r="E305" s="29">
        <f t="shared" si="93"/>
        <v>1509375000</v>
      </c>
    </row>
    <row r="306" spans="1:5">
      <c r="A306" s="8">
        <v>41104</v>
      </c>
      <c r="B306" s="9" t="s">
        <v>5</v>
      </c>
      <c r="C306" s="10">
        <v>32</v>
      </c>
      <c r="D306" s="28">
        <f t="shared" si="92"/>
        <v>242620000000</v>
      </c>
      <c r="E306" s="29">
        <f t="shared" si="93"/>
        <v>1516375000</v>
      </c>
    </row>
    <row r="307" spans="1:5">
      <c r="A307" s="8">
        <v>41105</v>
      </c>
      <c r="B307" s="9" t="s">
        <v>5</v>
      </c>
      <c r="C307" s="10">
        <v>32</v>
      </c>
      <c r="D307" s="28">
        <f t="shared" si="92"/>
        <v>243740000000</v>
      </c>
      <c r="E307" s="29">
        <f t="shared" si="93"/>
        <v>1523375000</v>
      </c>
    </row>
    <row r="308" spans="1:5">
      <c r="A308" s="8">
        <v>41106</v>
      </c>
      <c r="B308" s="9" t="s">
        <v>5</v>
      </c>
      <c r="C308" s="10">
        <v>32</v>
      </c>
      <c r="D308" s="28">
        <f t="shared" ref="D308:D313" si="94">(35000000*C308)+D307</f>
        <v>244860000000</v>
      </c>
      <c r="E308" s="29">
        <f t="shared" ref="E308:E313" si="95">D308/160</f>
        <v>1530375000</v>
      </c>
    </row>
    <row r="309" spans="1:5">
      <c r="A309" s="8">
        <v>41107</v>
      </c>
      <c r="B309" s="9" t="s">
        <v>5</v>
      </c>
      <c r="C309" s="10">
        <v>32</v>
      </c>
      <c r="D309" s="28">
        <f t="shared" si="94"/>
        <v>245980000000</v>
      </c>
      <c r="E309" s="29">
        <f t="shared" si="95"/>
        <v>1537375000</v>
      </c>
    </row>
    <row r="310" spans="1:5">
      <c r="A310" s="8">
        <v>41108</v>
      </c>
      <c r="B310" s="9" t="s">
        <v>5</v>
      </c>
      <c r="C310" s="10">
        <v>32</v>
      </c>
      <c r="D310" s="28">
        <f t="shared" si="94"/>
        <v>247100000000</v>
      </c>
      <c r="E310" s="29">
        <f t="shared" si="95"/>
        <v>1544375000</v>
      </c>
    </row>
    <row r="311" spans="1:5">
      <c r="A311" s="8">
        <v>41109</v>
      </c>
      <c r="B311" s="9" t="s">
        <v>5</v>
      </c>
      <c r="C311" s="10">
        <v>32</v>
      </c>
      <c r="D311" s="28">
        <f t="shared" si="94"/>
        <v>248220000000</v>
      </c>
      <c r="E311" s="29">
        <f t="shared" si="95"/>
        <v>1551375000</v>
      </c>
    </row>
    <row r="312" spans="1:5">
      <c r="A312" s="8">
        <v>41110</v>
      </c>
      <c r="B312" s="9" t="s">
        <v>5</v>
      </c>
      <c r="C312" s="10">
        <v>32</v>
      </c>
      <c r="D312" s="28">
        <f t="shared" si="94"/>
        <v>249340000000</v>
      </c>
      <c r="E312" s="29">
        <f t="shared" si="95"/>
        <v>1558375000</v>
      </c>
    </row>
    <row r="313" spans="1:5">
      <c r="A313" s="8">
        <v>41111</v>
      </c>
      <c r="B313" s="9" t="s">
        <v>5</v>
      </c>
      <c r="C313" s="10">
        <v>32</v>
      </c>
      <c r="D313" s="28">
        <f t="shared" si="94"/>
        <v>250460000000</v>
      </c>
      <c r="E313" s="29">
        <f t="shared" si="95"/>
        <v>1565375000</v>
      </c>
    </row>
    <row r="314" spans="1:5">
      <c r="A314" s="8">
        <v>41112</v>
      </c>
      <c r="B314" s="9" t="s">
        <v>5</v>
      </c>
      <c r="C314" s="10">
        <v>32</v>
      </c>
      <c r="D314" s="28">
        <f t="shared" ref="D314:D315" si="96">(35000000*C314)+D313</f>
        <v>251580000000</v>
      </c>
      <c r="E314" s="29">
        <f t="shared" ref="E314:E315" si="97">D314/160</f>
        <v>1572375000</v>
      </c>
    </row>
    <row r="315" spans="1:5">
      <c r="A315" s="8">
        <v>41113</v>
      </c>
      <c r="B315" s="9" t="s">
        <v>5</v>
      </c>
      <c r="C315" s="10">
        <v>32</v>
      </c>
      <c r="D315" s="28">
        <f t="shared" si="96"/>
        <v>252700000000</v>
      </c>
      <c r="E315" s="29">
        <f t="shared" si="97"/>
        <v>1579375000</v>
      </c>
    </row>
    <row r="316" spans="1:5">
      <c r="A316" s="8">
        <v>41114</v>
      </c>
      <c r="B316" s="9" t="s">
        <v>5</v>
      </c>
      <c r="C316" s="10">
        <v>32</v>
      </c>
      <c r="D316" s="28">
        <f t="shared" ref="D316:D322" si="98">(35000000*C316)+D315</f>
        <v>253820000000</v>
      </c>
      <c r="E316" s="29">
        <f t="shared" ref="E316:E322" si="99">D316/160</f>
        <v>1586375000</v>
      </c>
    </row>
    <row r="317" spans="1:5">
      <c r="A317" s="8">
        <v>41115</v>
      </c>
      <c r="B317" s="9" t="s">
        <v>5</v>
      </c>
      <c r="C317" s="10">
        <v>32</v>
      </c>
      <c r="D317" s="28">
        <f t="shared" si="98"/>
        <v>254940000000</v>
      </c>
      <c r="E317" s="29">
        <f t="shared" si="99"/>
        <v>1593375000</v>
      </c>
    </row>
    <row r="318" spans="1:5">
      <c r="A318" s="8">
        <v>41116</v>
      </c>
      <c r="B318" s="9" t="s">
        <v>5</v>
      </c>
      <c r="C318" s="10">
        <v>32</v>
      </c>
      <c r="D318" s="28">
        <f t="shared" si="98"/>
        <v>256060000000</v>
      </c>
      <c r="E318" s="29">
        <f t="shared" si="99"/>
        <v>1600375000</v>
      </c>
    </row>
    <row r="319" spans="1:5">
      <c r="A319" s="8">
        <v>41117</v>
      </c>
      <c r="B319" s="9" t="s">
        <v>5</v>
      </c>
      <c r="C319" s="10">
        <v>32</v>
      </c>
      <c r="D319" s="28">
        <f t="shared" si="98"/>
        <v>257180000000</v>
      </c>
      <c r="E319" s="29">
        <f t="shared" si="99"/>
        <v>1607375000</v>
      </c>
    </row>
    <row r="320" spans="1:5">
      <c r="A320" s="8">
        <v>41118</v>
      </c>
      <c r="B320" s="9" t="s">
        <v>5</v>
      </c>
      <c r="C320" s="10">
        <v>32</v>
      </c>
      <c r="D320" s="28">
        <f t="shared" si="98"/>
        <v>258300000000</v>
      </c>
      <c r="E320" s="29">
        <f t="shared" si="99"/>
        <v>1614375000</v>
      </c>
    </row>
    <row r="321" spans="1:5">
      <c r="A321" s="8">
        <v>41119</v>
      </c>
      <c r="B321" s="9" t="s">
        <v>5</v>
      </c>
      <c r="C321" s="10">
        <v>32</v>
      </c>
      <c r="D321" s="28">
        <f t="shared" si="98"/>
        <v>259420000000</v>
      </c>
      <c r="E321" s="29">
        <f t="shared" si="99"/>
        <v>1621375000</v>
      </c>
    </row>
    <row r="322" spans="1:5">
      <c r="A322" s="2">
        <v>41120</v>
      </c>
      <c r="B322" s="3" t="s">
        <v>5</v>
      </c>
      <c r="C322" s="4">
        <v>32</v>
      </c>
      <c r="D322" s="5">
        <f t="shared" si="98"/>
        <v>260540000000</v>
      </c>
      <c r="E322" s="6">
        <f t="shared" si="99"/>
        <v>1628375000</v>
      </c>
    </row>
    <row r="323" spans="1:5">
      <c r="A323" s="2">
        <v>41121</v>
      </c>
      <c r="B323" s="3" t="s">
        <v>5</v>
      </c>
      <c r="C323" s="4">
        <v>32</v>
      </c>
      <c r="D323" s="5">
        <f t="shared" ref="D323" si="100">(35000000*C323)+D322</f>
        <v>261660000000</v>
      </c>
      <c r="E323" s="6">
        <f t="shared" ref="E323:E329" si="101">D323/160</f>
        <v>1635375000</v>
      </c>
    </row>
    <row r="324" spans="1:5">
      <c r="A324" s="11"/>
      <c r="B324" s="12"/>
      <c r="C324" s="13"/>
      <c r="D324" s="14"/>
      <c r="E324" s="15"/>
    </row>
    <row r="325" spans="1:5">
      <c r="A325" s="11"/>
      <c r="B325" s="12"/>
      <c r="C325" s="13"/>
      <c r="D325" s="14"/>
      <c r="E325" s="15"/>
    </row>
    <row r="326" spans="1:5">
      <c r="A326" s="11"/>
      <c r="B326" s="12"/>
      <c r="C326" s="13"/>
      <c r="D326" s="14"/>
      <c r="E326" s="15"/>
    </row>
    <row r="327" spans="1:5">
      <c r="A327" s="11"/>
      <c r="B327" s="12"/>
      <c r="C327" s="13"/>
      <c r="D327" s="14"/>
      <c r="E327" s="15"/>
    </row>
    <row r="328" spans="1:5">
      <c r="A328" s="11"/>
      <c r="B328" s="12"/>
      <c r="C328" s="13"/>
      <c r="D328" s="14"/>
      <c r="E328" s="15"/>
    </row>
    <row r="329" spans="1:5">
      <c r="A329" s="8">
        <v>41122</v>
      </c>
      <c r="B329" s="9" t="s">
        <v>5</v>
      </c>
      <c r="C329" s="10">
        <v>32</v>
      </c>
      <c r="D329" s="28">
        <f>(35000000*C329)+D323</f>
        <v>262780000000</v>
      </c>
      <c r="E329" s="29">
        <f t="shared" si="101"/>
        <v>1642375000</v>
      </c>
    </row>
    <row r="330" spans="1:5">
      <c r="A330" s="8">
        <v>41123</v>
      </c>
      <c r="B330" s="9" t="s">
        <v>5</v>
      </c>
      <c r="C330" s="10">
        <v>32</v>
      </c>
      <c r="D330" s="28">
        <f>(35000000*C330)+D329</f>
        <v>263900000000</v>
      </c>
      <c r="E330" s="29">
        <f t="shared" ref="E330:E334" si="102">D330/160</f>
        <v>1649375000</v>
      </c>
    </row>
    <row r="331" spans="1:5">
      <c r="A331" s="8">
        <v>41124</v>
      </c>
      <c r="B331" s="9" t="s">
        <v>5</v>
      </c>
      <c r="C331" s="10">
        <v>32</v>
      </c>
      <c r="D331" s="28">
        <f t="shared" ref="D331:D334" si="103">(35000000*C331)+D330</f>
        <v>265020000000</v>
      </c>
      <c r="E331" s="29">
        <f t="shared" si="102"/>
        <v>1656375000</v>
      </c>
    </row>
    <row r="332" spans="1:5">
      <c r="A332" s="8">
        <v>41125</v>
      </c>
      <c r="B332" s="9" t="s">
        <v>5</v>
      </c>
      <c r="C332" s="10">
        <v>32</v>
      </c>
      <c r="D332" s="28">
        <f t="shared" si="103"/>
        <v>266140000000</v>
      </c>
      <c r="E332" s="29">
        <f t="shared" si="102"/>
        <v>1663375000</v>
      </c>
    </row>
    <row r="333" spans="1:5">
      <c r="A333" s="8">
        <v>41126</v>
      </c>
      <c r="B333" s="9" t="s">
        <v>5</v>
      </c>
      <c r="C333" s="10">
        <v>32</v>
      </c>
      <c r="D333" s="28">
        <f t="shared" si="103"/>
        <v>267260000000</v>
      </c>
      <c r="E333" s="29">
        <f t="shared" si="102"/>
        <v>1670375000</v>
      </c>
    </row>
    <row r="334" spans="1:5">
      <c r="A334" s="8">
        <v>41127</v>
      </c>
      <c r="B334" s="9" t="s">
        <v>5</v>
      </c>
      <c r="C334" s="10">
        <v>32</v>
      </c>
      <c r="D334" s="28">
        <f t="shared" si="103"/>
        <v>268380000000</v>
      </c>
      <c r="E334" s="29">
        <f t="shared" si="102"/>
        <v>1677375000</v>
      </c>
    </row>
    <row r="335" spans="1:5">
      <c r="A335" s="8">
        <v>41128</v>
      </c>
      <c r="B335" s="9" t="s">
        <v>5</v>
      </c>
      <c r="C335" s="10">
        <v>32</v>
      </c>
      <c r="D335" s="28">
        <f t="shared" ref="D335:D341" si="104">(35000000*C335)+D334</f>
        <v>269500000000</v>
      </c>
      <c r="E335" s="29">
        <f t="shared" ref="E335:E341" si="105">D335/160</f>
        <v>1684375000</v>
      </c>
    </row>
    <row r="336" spans="1:5">
      <c r="A336" s="8">
        <v>41129</v>
      </c>
      <c r="B336" s="9" t="s">
        <v>5</v>
      </c>
      <c r="C336" s="10">
        <v>32</v>
      </c>
      <c r="D336" s="28">
        <f t="shared" si="104"/>
        <v>270620000000</v>
      </c>
      <c r="E336" s="29">
        <f t="shared" si="105"/>
        <v>1691375000</v>
      </c>
    </row>
    <row r="337" spans="1:5">
      <c r="A337" s="8">
        <v>41130</v>
      </c>
      <c r="B337" s="9" t="s">
        <v>5</v>
      </c>
      <c r="C337" s="10">
        <v>32</v>
      </c>
      <c r="D337" s="28">
        <f t="shared" si="104"/>
        <v>271740000000</v>
      </c>
      <c r="E337" s="29">
        <f t="shared" si="105"/>
        <v>1698375000</v>
      </c>
    </row>
    <row r="338" spans="1:5">
      <c r="A338" s="8">
        <v>41131</v>
      </c>
      <c r="B338" s="9" t="s">
        <v>5</v>
      </c>
      <c r="C338" s="10">
        <v>32</v>
      </c>
      <c r="D338" s="28">
        <f t="shared" si="104"/>
        <v>272860000000</v>
      </c>
      <c r="E338" s="29">
        <f t="shared" si="105"/>
        <v>1705375000</v>
      </c>
    </row>
    <row r="339" spans="1:5">
      <c r="A339" s="8">
        <v>41132</v>
      </c>
      <c r="B339" s="9" t="s">
        <v>5</v>
      </c>
      <c r="C339" s="10">
        <v>32</v>
      </c>
      <c r="D339" s="28">
        <f t="shared" si="104"/>
        <v>273980000000</v>
      </c>
      <c r="E339" s="29">
        <f t="shared" si="105"/>
        <v>1712375000</v>
      </c>
    </row>
    <row r="340" spans="1:5">
      <c r="A340" s="8">
        <v>41133</v>
      </c>
      <c r="B340" s="9" t="s">
        <v>5</v>
      </c>
      <c r="C340" s="10">
        <v>32</v>
      </c>
      <c r="D340" s="28">
        <f t="shared" si="104"/>
        <v>275100000000</v>
      </c>
      <c r="E340" s="29">
        <f t="shared" si="105"/>
        <v>1719375000</v>
      </c>
    </row>
    <row r="341" spans="1:5">
      <c r="A341" s="8">
        <v>41134</v>
      </c>
      <c r="B341" s="9" t="s">
        <v>5</v>
      </c>
      <c r="C341" s="10">
        <v>32</v>
      </c>
      <c r="D341" s="28">
        <f t="shared" si="104"/>
        <v>276220000000</v>
      </c>
      <c r="E341" s="29">
        <f t="shared" si="105"/>
        <v>1726375000</v>
      </c>
    </row>
    <row r="342" spans="1:5">
      <c r="A342" s="8">
        <v>41135</v>
      </c>
      <c r="B342" s="9" t="s">
        <v>5</v>
      </c>
      <c r="C342" s="10">
        <v>32</v>
      </c>
      <c r="D342" s="28">
        <f t="shared" ref="D342" si="106">(35000000*C342)+D341</f>
        <v>277340000000</v>
      </c>
      <c r="E342" s="29">
        <f t="shared" ref="E342" si="107">D342/160</f>
        <v>1733375000</v>
      </c>
    </row>
    <row r="343" spans="1:5">
      <c r="A343" s="8">
        <v>41136</v>
      </c>
      <c r="B343" s="9" t="s">
        <v>5</v>
      </c>
      <c r="C343" s="10">
        <v>32</v>
      </c>
      <c r="D343" s="28">
        <f t="shared" ref="D343:D351" si="108">(35000000*C343)+D342</f>
        <v>278460000000</v>
      </c>
      <c r="E343" s="29">
        <f t="shared" ref="E343:E351" si="109">D343/160</f>
        <v>1740375000</v>
      </c>
    </row>
    <row r="344" spans="1:5">
      <c r="A344" s="8">
        <v>41137</v>
      </c>
      <c r="B344" s="9" t="s">
        <v>5</v>
      </c>
      <c r="C344" s="10">
        <v>32</v>
      </c>
      <c r="D344" s="28">
        <f t="shared" si="108"/>
        <v>279580000000</v>
      </c>
      <c r="E344" s="29">
        <f t="shared" si="109"/>
        <v>1747375000</v>
      </c>
    </row>
    <row r="345" spans="1:5">
      <c r="A345" s="8">
        <v>41138</v>
      </c>
      <c r="B345" s="9" t="s">
        <v>5</v>
      </c>
      <c r="C345" s="10">
        <v>32</v>
      </c>
      <c r="D345" s="28">
        <f t="shared" si="108"/>
        <v>280700000000</v>
      </c>
      <c r="E345" s="29">
        <f t="shared" si="109"/>
        <v>1754375000</v>
      </c>
    </row>
    <row r="346" spans="1:5">
      <c r="A346" s="8">
        <v>41139</v>
      </c>
      <c r="B346" s="9" t="s">
        <v>5</v>
      </c>
      <c r="C346" s="10">
        <v>32</v>
      </c>
      <c r="D346" s="28">
        <f t="shared" si="108"/>
        <v>281820000000</v>
      </c>
      <c r="E346" s="29">
        <f t="shared" si="109"/>
        <v>1761375000</v>
      </c>
    </row>
    <row r="347" spans="1:5">
      <c r="A347" s="8">
        <v>41140</v>
      </c>
      <c r="B347" s="9" t="s">
        <v>5</v>
      </c>
      <c r="C347" s="10">
        <v>32</v>
      </c>
      <c r="D347" s="28">
        <f t="shared" si="108"/>
        <v>282940000000</v>
      </c>
      <c r="E347" s="29">
        <f t="shared" si="109"/>
        <v>1768375000</v>
      </c>
    </row>
    <row r="348" spans="1:5">
      <c r="A348" s="8">
        <v>41141</v>
      </c>
      <c r="B348" s="9" t="s">
        <v>5</v>
      </c>
      <c r="C348" s="10">
        <v>32</v>
      </c>
      <c r="D348" s="28">
        <f t="shared" si="108"/>
        <v>284060000000</v>
      </c>
      <c r="E348" s="29">
        <f t="shared" si="109"/>
        <v>1775375000</v>
      </c>
    </row>
    <row r="349" spans="1:5">
      <c r="A349" s="8">
        <v>41142</v>
      </c>
      <c r="B349" s="9" t="s">
        <v>5</v>
      </c>
      <c r="C349" s="10">
        <v>32</v>
      </c>
      <c r="D349" s="28">
        <f t="shared" si="108"/>
        <v>285180000000</v>
      </c>
      <c r="E349" s="29">
        <f t="shared" si="109"/>
        <v>1782375000</v>
      </c>
    </row>
    <row r="350" spans="1:5">
      <c r="A350" s="8">
        <v>41143</v>
      </c>
      <c r="B350" s="9" t="s">
        <v>5</v>
      </c>
      <c r="C350" s="10">
        <v>32</v>
      </c>
      <c r="D350" s="28">
        <f t="shared" si="108"/>
        <v>286300000000</v>
      </c>
      <c r="E350" s="29">
        <f t="shared" si="109"/>
        <v>1789375000</v>
      </c>
    </row>
    <row r="351" spans="1:5">
      <c r="A351" s="8">
        <v>41144</v>
      </c>
      <c r="B351" s="9" t="s">
        <v>5</v>
      </c>
      <c r="C351" s="10">
        <v>32</v>
      </c>
      <c r="D351" s="28">
        <f t="shared" si="108"/>
        <v>287420000000</v>
      </c>
      <c r="E351" s="29">
        <f t="shared" si="109"/>
        <v>1796375000</v>
      </c>
    </row>
    <row r="352" spans="1:5">
      <c r="A352" s="8">
        <v>41145</v>
      </c>
      <c r="B352" s="9" t="s">
        <v>5</v>
      </c>
      <c r="C352" s="10">
        <v>32</v>
      </c>
      <c r="D352" s="28">
        <f>(35000000*C352)+D351</f>
        <v>288540000000</v>
      </c>
      <c r="E352" s="29">
        <f>D352/160</f>
        <v>1803375000</v>
      </c>
    </row>
    <row r="353" spans="1:5">
      <c r="A353" s="8">
        <v>41146</v>
      </c>
      <c r="B353" s="9" t="s">
        <v>5</v>
      </c>
      <c r="C353" s="10">
        <v>32</v>
      </c>
      <c r="D353" s="28">
        <f t="shared" ref="D353:D355" si="110">(35000000*C353)+D352</f>
        <v>289660000000</v>
      </c>
      <c r="E353" s="29">
        <f t="shared" ref="E353:E355" si="111">D353/160</f>
        <v>1810375000</v>
      </c>
    </row>
    <row r="354" spans="1:5">
      <c r="A354" s="8">
        <v>41147</v>
      </c>
      <c r="B354" s="9" t="s">
        <v>5</v>
      </c>
      <c r="C354" s="10">
        <v>32</v>
      </c>
      <c r="D354" s="28">
        <f t="shared" si="110"/>
        <v>290780000000</v>
      </c>
      <c r="E354" s="29">
        <f t="shared" si="111"/>
        <v>1817375000</v>
      </c>
    </row>
    <row r="355" spans="1:5">
      <c r="A355" s="8">
        <v>41148</v>
      </c>
      <c r="B355" s="9" t="s">
        <v>5</v>
      </c>
      <c r="C355" s="10">
        <v>32</v>
      </c>
      <c r="D355" s="28">
        <f t="shared" si="110"/>
        <v>291900000000</v>
      </c>
      <c r="E355" s="29">
        <f t="shared" si="111"/>
        <v>1824375000</v>
      </c>
    </row>
    <row r="356" spans="1:5">
      <c r="A356" s="8">
        <v>41149</v>
      </c>
      <c r="B356" s="9" t="s">
        <v>5</v>
      </c>
      <c r="C356" s="10">
        <v>32</v>
      </c>
      <c r="D356" s="28">
        <f t="shared" ref="D356:D367" si="112">(35000000*C356)+D355</f>
        <v>293020000000</v>
      </c>
      <c r="E356" s="29">
        <f t="shared" ref="E356:E367" si="113">D356/160</f>
        <v>1831375000</v>
      </c>
    </row>
    <row r="357" spans="1:5">
      <c r="A357" s="8">
        <v>41150</v>
      </c>
      <c r="B357" s="9" t="s">
        <v>5</v>
      </c>
      <c r="C357" s="10">
        <v>32</v>
      </c>
      <c r="D357" s="28">
        <f t="shared" si="112"/>
        <v>294140000000</v>
      </c>
      <c r="E357" s="29">
        <f t="shared" si="113"/>
        <v>1838375000</v>
      </c>
    </row>
    <row r="358" spans="1:5">
      <c r="A358" s="8">
        <v>41151</v>
      </c>
      <c r="B358" s="9" t="s">
        <v>5</v>
      </c>
      <c r="C358" s="10">
        <v>32</v>
      </c>
      <c r="D358" s="28">
        <f t="shared" si="112"/>
        <v>295260000000</v>
      </c>
      <c r="E358" s="29">
        <f t="shared" si="113"/>
        <v>1845375000</v>
      </c>
    </row>
    <row r="359" spans="1:5">
      <c r="A359" s="2">
        <v>41152</v>
      </c>
      <c r="B359" s="3" t="s">
        <v>5</v>
      </c>
      <c r="C359" s="4">
        <v>32</v>
      </c>
      <c r="D359" s="5">
        <f t="shared" si="112"/>
        <v>296380000000</v>
      </c>
      <c r="E359" s="6">
        <f t="shared" si="113"/>
        <v>1852375000</v>
      </c>
    </row>
    <row r="360" spans="1:5">
      <c r="A360" s="11"/>
      <c r="B360" s="12"/>
      <c r="C360" s="13"/>
      <c r="D360" s="14"/>
      <c r="E360" s="15"/>
    </row>
    <row r="361" spans="1:5">
      <c r="A361" s="11"/>
      <c r="B361" s="12"/>
      <c r="C361" s="13"/>
      <c r="D361" s="14"/>
      <c r="E361" s="15"/>
    </row>
    <row r="362" spans="1:5">
      <c r="A362" s="11"/>
      <c r="B362" s="12"/>
      <c r="C362" s="13"/>
      <c r="D362" s="14"/>
      <c r="E362" s="15"/>
    </row>
    <row r="363" spans="1:5">
      <c r="A363" s="11"/>
      <c r="B363" s="12"/>
      <c r="C363" s="13"/>
      <c r="D363" s="14"/>
      <c r="E363" s="15"/>
    </row>
    <row r="364" spans="1:5">
      <c r="A364" s="11"/>
      <c r="B364" s="12"/>
      <c r="C364" s="13"/>
      <c r="D364" s="14"/>
      <c r="E364" s="15"/>
    </row>
    <row r="365" spans="1:5">
      <c r="A365" s="8">
        <v>41153</v>
      </c>
      <c r="B365" s="9" t="s">
        <v>5</v>
      </c>
      <c r="C365" s="10">
        <v>32</v>
      </c>
      <c r="D365" s="28">
        <f>(35000000*C365)+D359</f>
        <v>297500000000</v>
      </c>
      <c r="E365" s="29">
        <f t="shared" si="113"/>
        <v>1859375000</v>
      </c>
    </row>
    <row r="366" spans="1:5">
      <c r="A366" s="8">
        <v>41154</v>
      </c>
      <c r="B366" s="9" t="s">
        <v>5</v>
      </c>
      <c r="C366" s="10">
        <v>32</v>
      </c>
      <c r="D366" s="28">
        <f t="shared" si="112"/>
        <v>298620000000</v>
      </c>
      <c r="E366" s="29">
        <f t="shared" si="113"/>
        <v>1866375000</v>
      </c>
    </row>
    <row r="367" spans="1:5">
      <c r="A367" s="8">
        <v>41155</v>
      </c>
      <c r="B367" s="9" t="s">
        <v>5</v>
      </c>
      <c r="C367" s="10">
        <v>32</v>
      </c>
      <c r="D367" s="28">
        <f t="shared" si="112"/>
        <v>299740000000</v>
      </c>
      <c r="E367" s="29">
        <f t="shared" si="113"/>
        <v>1873375000</v>
      </c>
    </row>
    <row r="368" spans="1:5">
      <c r="A368" s="8">
        <v>41156</v>
      </c>
      <c r="B368" s="9" t="s">
        <v>5</v>
      </c>
      <c r="C368" s="10">
        <v>32</v>
      </c>
      <c r="D368" s="28">
        <f t="shared" ref="D368:D374" si="114">(35000000*C368)+D367</f>
        <v>300860000000</v>
      </c>
      <c r="E368" s="29">
        <f t="shared" ref="E368:E374" si="115">D368/160</f>
        <v>1880375000</v>
      </c>
    </row>
    <row r="369" spans="1:5">
      <c r="A369" s="8">
        <v>41157</v>
      </c>
      <c r="B369" s="9" t="s">
        <v>5</v>
      </c>
      <c r="C369" s="10">
        <v>32</v>
      </c>
      <c r="D369" s="28">
        <f t="shared" si="114"/>
        <v>301980000000</v>
      </c>
      <c r="E369" s="29">
        <f t="shared" si="115"/>
        <v>1887375000</v>
      </c>
    </row>
    <row r="370" spans="1:5">
      <c r="A370" s="8">
        <v>41158</v>
      </c>
      <c r="B370" s="9" t="s">
        <v>5</v>
      </c>
      <c r="C370" s="10">
        <v>32</v>
      </c>
      <c r="D370" s="28">
        <f t="shared" si="114"/>
        <v>303100000000</v>
      </c>
      <c r="E370" s="29">
        <f t="shared" si="115"/>
        <v>1894375000</v>
      </c>
    </row>
    <row r="371" spans="1:5">
      <c r="A371" s="8">
        <v>41159</v>
      </c>
      <c r="B371" s="9" t="s">
        <v>5</v>
      </c>
      <c r="C371" s="10">
        <v>32</v>
      </c>
      <c r="D371" s="28">
        <f t="shared" si="114"/>
        <v>304220000000</v>
      </c>
      <c r="E371" s="29">
        <f t="shared" si="115"/>
        <v>1901375000</v>
      </c>
    </row>
    <row r="372" spans="1:5">
      <c r="A372" s="8">
        <v>41160</v>
      </c>
      <c r="B372" s="9" t="s">
        <v>5</v>
      </c>
      <c r="C372" s="10">
        <v>32</v>
      </c>
      <c r="D372" s="28">
        <f t="shared" si="114"/>
        <v>305340000000</v>
      </c>
      <c r="E372" s="29">
        <f t="shared" si="115"/>
        <v>1908375000</v>
      </c>
    </row>
    <row r="373" spans="1:5">
      <c r="A373" s="8">
        <v>41161</v>
      </c>
      <c r="B373" s="9" t="s">
        <v>5</v>
      </c>
      <c r="C373" s="10">
        <v>32</v>
      </c>
      <c r="D373" s="28">
        <f t="shared" si="114"/>
        <v>306460000000</v>
      </c>
      <c r="E373" s="29">
        <f t="shared" si="115"/>
        <v>1915375000</v>
      </c>
    </row>
    <row r="374" spans="1:5">
      <c r="A374" s="8">
        <v>41162</v>
      </c>
      <c r="B374" s="9" t="s">
        <v>5</v>
      </c>
      <c r="C374" s="10">
        <v>32</v>
      </c>
      <c r="D374" s="28">
        <f t="shared" si="114"/>
        <v>307580000000</v>
      </c>
      <c r="E374" s="29">
        <f t="shared" si="115"/>
        <v>1922375000</v>
      </c>
    </row>
    <row r="375" spans="1:5">
      <c r="A375" s="8">
        <v>41163</v>
      </c>
      <c r="B375" s="9" t="s">
        <v>5</v>
      </c>
      <c r="C375" s="10">
        <v>32</v>
      </c>
      <c r="D375" s="28">
        <f t="shared" ref="D375:D388" si="116">(35000000*C375)+D374</f>
        <v>308700000000</v>
      </c>
      <c r="E375" s="29">
        <f t="shared" ref="E375:E388" si="117">D375/160</f>
        <v>1929375000</v>
      </c>
    </row>
    <row r="376" spans="1:5">
      <c r="A376" s="8">
        <v>41164</v>
      </c>
      <c r="B376" s="9" t="s">
        <v>5</v>
      </c>
      <c r="C376" s="10">
        <v>32</v>
      </c>
      <c r="D376" s="28">
        <f t="shared" si="116"/>
        <v>309820000000</v>
      </c>
      <c r="E376" s="29">
        <f t="shared" si="117"/>
        <v>1936375000</v>
      </c>
    </row>
    <row r="377" spans="1:5">
      <c r="A377" s="8">
        <v>41165</v>
      </c>
      <c r="B377" s="9" t="s">
        <v>5</v>
      </c>
      <c r="C377" s="10">
        <v>32</v>
      </c>
      <c r="D377" s="28">
        <f t="shared" si="116"/>
        <v>310940000000</v>
      </c>
      <c r="E377" s="29">
        <f t="shared" si="117"/>
        <v>1943375000</v>
      </c>
    </row>
    <row r="378" spans="1:5">
      <c r="A378" s="8">
        <v>41166</v>
      </c>
      <c r="B378" s="9" t="s">
        <v>5</v>
      </c>
      <c r="C378" s="10">
        <v>32</v>
      </c>
      <c r="D378" s="28">
        <f t="shared" si="116"/>
        <v>312060000000</v>
      </c>
      <c r="E378" s="29">
        <f t="shared" si="117"/>
        <v>1950375000</v>
      </c>
    </row>
    <row r="379" spans="1:5">
      <c r="A379" s="8">
        <v>41167</v>
      </c>
      <c r="B379" s="9" t="s">
        <v>5</v>
      </c>
      <c r="C379" s="10">
        <v>32</v>
      </c>
      <c r="D379" s="28">
        <f t="shared" si="116"/>
        <v>313180000000</v>
      </c>
      <c r="E379" s="29">
        <f t="shared" si="117"/>
        <v>1957375000</v>
      </c>
    </row>
    <row r="380" spans="1:5">
      <c r="A380" s="8">
        <v>41168</v>
      </c>
      <c r="B380" s="9" t="s">
        <v>5</v>
      </c>
      <c r="C380" s="10">
        <v>32</v>
      </c>
      <c r="D380" s="28">
        <f t="shared" si="116"/>
        <v>314300000000</v>
      </c>
      <c r="E380" s="29">
        <f t="shared" si="117"/>
        <v>1964375000</v>
      </c>
    </row>
    <row r="381" spans="1:5">
      <c r="A381" s="8">
        <v>41169</v>
      </c>
      <c r="B381" s="9" t="s">
        <v>5</v>
      </c>
      <c r="C381" s="10">
        <v>32</v>
      </c>
      <c r="D381" s="28">
        <f t="shared" si="116"/>
        <v>315420000000</v>
      </c>
      <c r="E381" s="29">
        <f t="shared" si="117"/>
        <v>1971375000</v>
      </c>
    </row>
    <row r="382" spans="1:5">
      <c r="A382" s="8">
        <v>41170</v>
      </c>
      <c r="B382" s="9" t="s">
        <v>5</v>
      </c>
      <c r="C382" s="10">
        <v>32</v>
      </c>
      <c r="D382" s="28">
        <f t="shared" si="116"/>
        <v>316540000000</v>
      </c>
      <c r="E382" s="29">
        <f t="shared" si="117"/>
        <v>1978375000</v>
      </c>
    </row>
    <row r="383" spans="1:5">
      <c r="A383" s="8">
        <v>41171</v>
      </c>
      <c r="B383" s="9" t="s">
        <v>5</v>
      </c>
      <c r="C383" s="10">
        <v>32</v>
      </c>
      <c r="D383" s="28">
        <f t="shared" si="116"/>
        <v>317660000000</v>
      </c>
      <c r="E383" s="29">
        <f t="shared" si="117"/>
        <v>1985375000</v>
      </c>
    </row>
    <row r="384" spans="1:5">
      <c r="A384" s="8">
        <v>41172</v>
      </c>
      <c r="B384" s="9" t="s">
        <v>5</v>
      </c>
      <c r="C384" s="10">
        <v>32</v>
      </c>
      <c r="D384" s="28">
        <f t="shared" si="116"/>
        <v>318780000000</v>
      </c>
      <c r="E384" s="29">
        <f t="shared" si="117"/>
        <v>1992375000</v>
      </c>
    </row>
    <row r="385" spans="1:5">
      <c r="A385" s="8">
        <v>41173</v>
      </c>
      <c r="B385" s="9" t="s">
        <v>5</v>
      </c>
      <c r="C385" s="10">
        <v>32</v>
      </c>
      <c r="D385" s="28">
        <f t="shared" si="116"/>
        <v>319900000000</v>
      </c>
      <c r="E385" s="29">
        <f t="shared" si="117"/>
        <v>1999375000</v>
      </c>
    </row>
    <row r="386" spans="1:5">
      <c r="A386" s="8">
        <v>41174</v>
      </c>
      <c r="B386" s="9" t="s">
        <v>5</v>
      </c>
      <c r="C386" s="10">
        <v>32</v>
      </c>
      <c r="D386" s="28">
        <f t="shared" si="116"/>
        <v>321020000000</v>
      </c>
      <c r="E386" s="29">
        <f t="shared" si="117"/>
        <v>2006375000</v>
      </c>
    </row>
    <row r="387" spans="1:5">
      <c r="A387" s="8">
        <v>41175</v>
      </c>
      <c r="B387" s="9" t="s">
        <v>5</v>
      </c>
      <c r="C387" s="10">
        <v>32</v>
      </c>
      <c r="D387" s="28">
        <f t="shared" si="116"/>
        <v>322140000000</v>
      </c>
      <c r="E387" s="29">
        <f t="shared" si="117"/>
        <v>2013375000</v>
      </c>
    </row>
    <row r="388" spans="1:5">
      <c r="A388" s="8">
        <v>41176</v>
      </c>
      <c r="B388" s="9" t="s">
        <v>5</v>
      </c>
      <c r="C388" s="10">
        <v>32</v>
      </c>
      <c r="D388" s="28">
        <f t="shared" si="116"/>
        <v>323260000000</v>
      </c>
      <c r="E388" s="29">
        <f t="shared" si="117"/>
        <v>2020375000</v>
      </c>
    </row>
    <row r="389" spans="1:5">
      <c r="A389" s="8">
        <v>41177</v>
      </c>
      <c r="B389" s="9" t="s">
        <v>5</v>
      </c>
      <c r="C389" s="10">
        <v>32</v>
      </c>
      <c r="D389" s="28">
        <f t="shared" ref="D389" si="118">(35000000*C389)+D388</f>
        <v>324380000000</v>
      </c>
      <c r="E389" s="29">
        <f t="shared" ref="E389" si="119">D389/160</f>
        <v>2027375000</v>
      </c>
    </row>
    <row r="390" spans="1:5">
      <c r="A390" s="8">
        <v>41178</v>
      </c>
      <c r="B390" s="9" t="s">
        <v>5</v>
      </c>
      <c r="C390" s="10">
        <v>32</v>
      </c>
      <c r="D390" s="28">
        <f t="shared" ref="D390:D394" si="120">(35000000*C390)+D389</f>
        <v>325500000000</v>
      </c>
      <c r="E390" s="29">
        <f t="shared" ref="E390:E394" si="121">D390/160</f>
        <v>2034375000</v>
      </c>
    </row>
    <row r="391" spans="1:5">
      <c r="A391" s="8">
        <v>41179</v>
      </c>
      <c r="B391" s="9" t="s">
        <v>5</v>
      </c>
      <c r="C391" s="10">
        <v>32</v>
      </c>
      <c r="D391" s="28">
        <f t="shared" si="120"/>
        <v>326620000000</v>
      </c>
      <c r="E391" s="29">
        <f t="shared" si="121"/>
        <v>2041375000</v>
      </c>
    </row>
    <row r="392" spans="1:5">
      <c r="A392" s="8">
        <v>41180</v>
      </c>
      <c r="B392" s="9" t="s">
        <v>5</v>
      </c>
      <c r="C392" s="10">
        <v>32</v>
      </c>
      <c r="D392" s="28">
        <f t="shared" si="120"/>
        <v>327740000000</v>
      </c>
      <c r="E392" s="29">
        <f t="shared" si="121"/>
        <v>2048375000</v>
      </c>
    </row>
    <row r="393" spans="1:5">
      <c r="A393" s="8">
        <v>41181</v>
      </c>
      <c r="B393" s="9" t="s">
        <v>5</v>
      </c>
      <c r="C393" s="10">
        <v>32</v>
      </c>
      <c r="D393" s="28">
        <f t="shared" si="120"/>
        <v>328860000000</v>
      </c>
      <c r="E393" s="29">
        <f t="shared" si="121"/>
        <v>2055375000</v>
      </c>
    </row>
    <row r="394" spans="1:5">
      <c r="A394" s="2">
        <v>41182</v>
      </c>
      <c r="B394" s="9" t="s">
        <v>5</v>
      </c>
      <c r="C394" s="4">
        <v>32</v>
      </c>
      <c r="D394" s="5">
        <f t="shared" si="120"/>
        <v>329980000000</v>
      </c>
      <c r="E394" s="6">
        <f t="shared" si="121"/>
        <v>2062375000</v>
      </c>
    </row>
    <row r="395" spans="1:5">
      <c r="A395" s="11"/>
      <c r="B395" s="12"/>
      <c r="C395" s="13"/>
      <c r="D395" s="14"/>
      <c r="E395" s="15"/>
    </row>
    <row r="396" spans="1:5">
      <c r="A396" s="11"/>
      <c r="B396" s="12"/>
      <c r="C396" s="13"/>
      <c r="D396" s="14"/>
      <c r="E396" s="15"/>
    </row>
    <row r="397" spans="1:5">
      <c r="A397" s="11"/>
      <c r="B397" s="12"/>
      <c r="C397" s="13"/>
      <c r="D397" s="14"/>
      <c r="E397" s="15"/>
    </row>
    <row r="398" spans="1:5">
      <c r="A398" s="11"/>
      <c r="B398" s="12"/>
      <c r="C398" s="13"/>
      <c r="D398" s="14"/>
      <c r="E398" s="15"/>
    </row>
    <row r="399" spans="1:5">
      <c r="A399" s="11"/>
      <c r="B399" s="12"/>
      <c r="C399" s="13"/>
      <c r="D399" s="14"/>
      <c r="E399" s="15"/>
    </row>
    <row r="400" spans="1:5">
      <c r="A400" s="11"/>
      <c r="B400" s="12"/>
      <c r="C400" s="13"/>
      <c r="D400" s="14"/>
      <c r="E400" s="15"/>
    </row>
    <row r="401" spans="1:5">
      <c r="A401" s="8">
        <v>41183</v>
      </c>
      <c r="B401" s="9" t="s">
        <v>5</v>
      </c>
      <c r="C401" s="10">
        <v>32</v>
      </c>
      <c r="D401" s="28">
        <f>(35000000*C401)+D394</f>
        <v>331100000000</v>
      </c>
      <c r="E401" s="29">
        <f t="shared" ref="E401:E402" si="122">D401/160</f>
        <v>2069375000</v>
      </c>
    </row>
    <row r="402" spans="1:5">
      <c r="A402" s="8">
        <v>41184</v>
      </c>
      <c r="B402" s="9" t="s">
        <v>5</v>
      </c>
      <c r="C402" s="10">
        <v>32</v>
      </c>
      <c r="D402" s="28">
        <f t="shared" ref="D402" si="123">(35000000*C402)+D401</f>
        <v>332220000000</v>
      </c>
      <c r="E402" s="29">
        <f t="shared" si="122"/>
        <v>2076375000</v>
      </c>
    </row>
    <row r="403" spans="1:5">
      <c r="A403" s="8">
        <v>41185</v>
      </c>
      <c r="B403" s="9" t="s">
        <v>5</v>
      </c>
      <c r="C403" s="10">
        <v>32</v>
      </c>
      <c r="D403" s="28">
        <f t="shared" ref="D403:D408" si="124">(35000000*C403)+D402</f>
        <v>333340000000</v>
      </c>
      <c r="E403" s="29">
        <f t="shared" ref="E403:E408" si="125">D403/160</f>
        <v>2083375000</v>
      </c>
    </row>
    <row r="404" spans="1:5">
      <c r="A404" s="8">
        <v>41186</v>
      </c>
      <c r="B404" s="9" t="s">
        <v>5</v>
      </c>
      <c r="C404" s="10">
        <v>32</v>
      </c>
      <c r="D404" s="28">
        <f t="shared" si="124"/>
        <v>334460000000</v>
      </c>
      <c r="E404" s="29">
        <f t="shared" si="125"/>
        <v>2090375000</v>
      </c>
    </row>
    <row r="405" spans="1:5">
      <c r="A405" s="8">
        <v>41187</v>
      </c>
      <c r="B405" s="9" t="s">
        <v>5</v>
      </c>
      <c r="C405" s="10">
        <v>32</v>
      </c>
      <c r="D405" s="28">
        <f t="shared" si="124"/>
        <v>335580000000</v>
      </c>
      <c r="E405" s="29">
        <f t="shared" si="125"/>
        <v>2097375000</v>
      </c>
    </row>
    <row r="406" spans="1:5">
      <c r="A406" s="8">
        <v>41188</v>
      </c>
      <c r="B406" s="9" t="s">
        <v>5</v>
      </c>
      <c r="C406" s="10">
        <v>32</v>
      </c>
      <c r="D406" s="28">
        <f t="shared" si="124"/>
        <v>336700000000</v>
      </c>
      <c r="E406" s="29">
        <f t="shared" si="125"/>
        <v>2104375000</v>
      </c>
    </row>
    <row r="407" spans="1:5">
      <c r="A407" s="8">
        <v>41189</v>
      </c>
      <c r="B407" s="9" t="s">
        <v>5</v>
      </c>
      <c r="C407" s="10">
        <v>32</v>
      </c>
      <c r="D407" s="28">
        <f t="shared" si="124"/>
        <v>337820000000</v>
      </c>
      <c r="E407" s="29">
        <f t="shared" si="125"/>
        <v>2111375000</v>
      </c>
    </row>
    <row r="408" spans="1:5">
      <c r="A408" s="8">
        <v>41190</v>
      </c>
      <c r="B408" s="9" t="s">
        <v>5</v>
      </c>
      <c r="C408" s="10">
        <v>32</v>
      </c>
      <c r="D408" s="28">
        <f t="shared" si="124"/>
        <v>338940000000</v>
      </c>
      <c r="E408" s="29">
        <f t="shared" si="125"/>
        <v>2118375000</v>
      </c>
    </row>
    <row r="409" spans="1:5">
      <c r="A409" s="8">
        <v>41191</v>
      </c>
      <c r="B409" s="9" t="s">
        <v>5</v>
      </c>
      <c r="C409" s="10">
        <v>32</v>
      </c>
      <c r="D409" s="28">
        <f t="shared" ref="D409:D431" si="126">(35000000*C409)+D408</f>
        <v>340060000000</v>
      </c>
      <c r="E409" s="29">
        <f t="shared" ref="E409:E431" si="127">D409/160</f>
        <v>2125375000</v>
      </c>
    </row>
    <row r="410" spans="1:5">
      <c r="A410" s="8">
        <v>41192</v>
      </c>
      <c r="B410" s="9" t="s">
        <v>5</v>
      </c>
      <c r="C410" s="10">
        <v>32</v>
      </c>
      <c r="D410" s="28">
        <f t="shared" si="126"/>
        <v>341180000000</v>
      </c>
      <c r="E410" s="29">
        <f t="shared" si="127"/>
        <v>2132375000</v>
      </c>
    </row>
    <row r="411" spans="1:5">
      <c r="A411" s="8">
        <v>41193</v>
      </c>
      <c r="B411" s="9" t="s">
        <v>5</v>
      </c>
      <c r="C411" s="10">
        <v>32</v>
      </c>
      <c r="D411" s="28">
        <f t="shared" si="126"/>
        <v>342300000000</v>
      </c>
      <c r="E411" s="29">
        <f t="shared" si="127"/>
        <v>2139375000</v>
      </c>
    </row>
    <row r="412" spans="1:5">
      <c r="A412" s="8">
        <v>41194</v>
      </c>
      <c r="B412" s="9" t="s">
        <v>5</v>
      </c>
      <c r="C412" s="10">
        <v>32</v>
      </c>
      <c r="D412" s="28">
        <f t="shared" si="126"/>
        <v>343420000000</v>
      </c>
      <c r="E412" s="29">
        <f t="shared" si="127"/>
        <v>2146375000</v>
      </c>
    </row>
    <row r="413" spans="1:5">
      <c r="A413" s="8">
        <v>41195</v>
      </c>
      <c r="B413" s="9" t="s">
        <v>5</v>
      </c>
      <c r="C413" s="10">
        <v>32</v>
      </c>
      <c r="D413" s="28">
        <f t="shared" si="126"/>
        <v>344540000000</v>
      </c>
      <c r="E413" s="29">
        <f t="shared" si="127"/>
        <v>2153375000</v>
      </c>
    </row>
    <row r="414" spans="1:5">
      <c r="A414" s="8">
        <v>41196</v>
      </c>
      <c r="B414" s="9" t="s">
        <v>5</v>
      </c>
      <c r="C414" s="10">
        <v>32</v>
      </c>
      <c r="D414" s="28">
        <f t="shared" si="126"/>
        <v>345660000000</v>
      </c>
      <c r="E414" s="29">
        <f t="shared" si="127"/>
        <v>2160375000</v>
      </c>
    </row>
    <row r="415" spans="1:5">
      <c r="A415" s="8">
        <v>41197</v>
      </c>
      <c r="B415" s="9" t="s">
        <v>5</v>
      </c>
      <c r="C415" s="10">
        <v>32</v>
      </c>
      <c r="D415" s="28">
        <f t="shared" si="126"/>
        <v>346780000000</v>
      </c>
      <c r="E415" s="29">
        <f t="shared" si="127"/>
        <v>2167375000</v>
      </c>
    </row>
    <row r="416" spans="1:5">
      <c r="A416" s="8">
        <v>41198</v>
      </c>
      <c r="B416" s="9" t="s">
        <v>5</v>
      </c>
      <c r="C416" s="10">
        <v>32</v>
      </c>
      <c r="D416" s="28">
        <f t="shared" si="126"/>
        <v>347900000000</v>
      </c>
      <c r="E416" s="29">
        <f t="shared" si="127"/>
        <v>2174375000</v>
      </c>
    </row>
    <row r="417" spans="1:5">
      <c r="A417" s="8">
        <v>41199</v>
      </c>
      <c r="B417" s="9" t="s">
        <v>5</v>
      </c>
      <c r="C417" s="10">
        <v>32</v>
      </c>
      <c r="D417" s="28">
        <f t="shared" si="126"/>
        <v>349020000000</v>
      </c>
      <c r="E417" s="29">
        <f t="shared" si="127"/>
        <v>2181375000</v>
      </c>
    </row>
    <row r="418" spans="1:5">
      <c r="A418" s="8">
        <v>41200</v>
      </c>
      <c r="B418" s="9" t="s">
        <v>5</v>
      </c>
      <c r="C418" s="10">
        <v>32</v>
      </c>
      <c r="D418" s="28">
        <f t="shared" si="126"/>
        <v>350140000000</v>
      </c>
      <c r="E418" s="29">
        <f t="shared" si="127"/>
        <v>2188375000</v>
      </c>
    </row>
    <row r="419" spans="1:5">
      <c r="A419" s="8">
        <v>41201</v>
      </c>
      <c r="B419" s="9" t="s">
        <v>5</v>
      </c>
      <c r="C419" s="10">
        <v>32</v>
      </c>
      <c r="D419" s="28">
        <f t="shared" si="126"/>
        <v>351260000000</v>
      </c>
      <c r="E419" s="29">
        <f t="shared" si="127"/>
        <v>2195375000</v>
      </c>
    </row>
    <row r="420" spans="1:5">
      <c r="A420" s="8">
        <v>41202</v>
      </c>
      <c r="B420" s="9" t="s">
        <v>5</v>
      </c>
      <c r="C420" s="10">
        <v>32</v>
      </c>
      <c r="D420" s="28">
        <f t="shared" si="126"/>
        <v>352380000000</v>
      </c>
      <c r="E420" s="29">
        <f t="shared" si="127"/>
        <v>2202375000</v>
      </c>
    </row>
    <row r="421" spans="1:5">
      <c r="A421" s="8">
        <v>41203</v>
      </c>
      <c r="B421" s="9" t="s">
        <v>5</v>
      </c>
      <c r="C421" s="10">
        <v>32</v>
      </c>
      <c r="D421" s="28">
        <f t="shared" si="126"/>
        <v>353500000000</v>
      </c>
      <c r="E421" s="29">
        <f t="shared" si="127"/>
        <v>2209375000</v>
      </c>
    </row>
    <row r="422" spans="1:5">
      <c r="A422" s="8">
        <v>41204</v>
      </c>
      <c r="B422" s="9" t="s">
        <v>5</v>
      </c>
      <c r="C422" s="10">
        <v>32</v>
      </c>
      <c r="D422" s="28">
        <f t="shared" si="126"/>
        <v>354620000000</v>
      </c>
      <c r="E422" s="29">
        <f t="shared" si="127"/>
        <v>2216375000</v>
      </c>
    </row>
    <row r="423" spans="1:5">
      <c r="A423" s="8">
        <v>41205</v>
      </c>
      <c r="B423" s="9" t="s">
        <v>5</v>
      </c>
      <c r="C423" s="10">
        <v>32</v>
      </c>
      <c r="D423" s="28">
        <f t="shared" si="126"/>
        <v>355740000000</v>
      </c>
      <c r="E423" s="29">
        <f t="shared" si="127"/>
        <v>2223375000</v>
      </c>
    </row>
    <row r="424" spans="1:5">
      <c r="A424" s="8">
        <v>41206</v>
      </c>
      <c r="B424" s="9" t="s">
        <v>5</v>
      </c>
      <c r="C424" s="10">
        <v>32</v>
      </c>
      <c r="D424" s="28">
        <f t="shared" si="126"/>
        <v>356860000000</v>
      </c>
      <c r="E424" s="29">
        <f t="shared" si="127"/>
        <v>2230375000</v>
      </c>
    </row>
    <row r="425" spans="1:5">
      <c r="A425" s="8">
        <v>41207</v>
      </c>
      <c r="B425" s="9" t="s">
        <v>5</v>
      </c>
      <c r="C425" s="10">
        <v>32</v>
      </c>
      <c r="D425" s="28">
        <f t="shared" si="126"/>
        <v>357980000000</v>
      </c>
      <c r="E425" s="29">
        <f t="shared" si="127"/>
        <v>2237375000</v>
      </c>
    </row>
    <row r="426" spans="1:5">
      <c r="A426" s="8">
        <v>41208</v>
      </c>
      <c r="B426" s="9" t="s">
        <v>5</v>
      </c>
      <c r="C426" s="10">
        <v>32</v>
      </c>
      <c r="D426" s="28">
        <f t="shared" si="126"/>
        <v>359100000000</v>
      </c>
      <c r="E426" s="29">
        <f t="shared" si="127"/>
        <v>2244375000</v>
      </c>
    </row>
    <row r="427" spans="1:5">
      <c r="A427" s="8">
        <v>41209</v>
      </c>
      <c r="B427" s="9" t="s">
        <v>5</v>
      </c>
      <c r="C427" s="10">
        <v>32</v>
      </c>
      <c r="D427" s="28">
        <f t="shared" si="126"/>
        <v>360220000000</v>
      </c>
      <c r="E427" s="29">
        <f t="shared" si="127"/>
        <v>2251375000</v>
      </c>
    </row>
    <row r="428" spans="1:5">
      <c r="A428" s="8">
        <v>41210</v>
      </c>
      <c r="B428" s="9" t="s">
        <v>5</v>
      </c>
      <c r="C428" s="10">
        <v>32</v>
      </c>
      <c r="D428" s="28">
        <f t="shared" si="126"/>
        <v>361340000000</v>
      </c>
      <c r="E428" s="29">
        <f t="shared" si="127"/>
        <v>2258375000</v>
      </c>
    </row>
    <row r="429" spans="1:5">
      <c r="A429" s="8">
        <v>41211</v>
      </c>
      <c r="B429" s="9" t="s">
        <v>5</v>
      </c>
      <c r="C429" s="10">
        <v>32</v>
      </c>
      <c r="D429" s="28">
        <f t="shared" si="126"/>
        <v>362460000000</v>
      </c>
      <c r="E429" s="29">
        <f t="shared" si="127"/>
        <v>2265375000</v>
      </c>
    </row>
    <row r="430" spans="1:5">
      <c r="A430" s="33">
        <v>41212</v>
      </c>
      <c r="B430" s="34" t="s">
        <v>5</v>
      </c>
      <c r="C430" s="35">
        <v>32</v>
      </c>
      <c r="D430" s="36">
        <f t="shared" si="126"/>
        <v>363580000000</v>
      </c>
      <c r="E430" s="37">
        <f t="shared" si="127"/>
        <v>2272375000</v>
      </c>
    </row>
    <row r="431" spans="1:5">
      <c r="A431" s="2">
        <v>41213</v>
      </c>
      <c r="B431" s="3" t="s">
        <v>5</v>
      </c>
      <c r="C431" s="4">
        <v>32</v>
      </c>
      <c r="D431" s="5">
        <f t="shared" si="126"/>
        <v>364700000000</v>
      </c>
      <c r="E431" s="6">
        <f t="shared" si="127"/>
        <v>2279375000</v>
      </c>
    </row>
    <row r="432" spans="1:5">
      <c r="A432" s="11"/>
      <c r="B432" s="12"/>
      <c r="C432" s="13"/>
      <c r="D432" s="14"/>
      <c r="E432" s="15"/>
    </row>
    <row r="433" spans="1:5">
      <c r="A433" s="11"/>
      <c r="B433" s="12"/>
      <c r="C433" s="13"/>
      <c r="D433" s="14"/>
      <c r="E433" s="15"/>
    </row>
    <row r="434" spans="1:5">
      <c r="A434" s="11"/>
      <c r="B434" s="12"/>
      <c r="C434" s="13"/>
      <c r="D434" s="14"/>
      <c r="E434" s="15"/>
    </row>
    <row r="435" spans="1:5">
      <c r="A435" s="11"/>
      <c r="B435" s="12"/>
      <c r="C435" s="13"/>
      <c r="D435" s="14"/>
      <c r="E435" s="15"/>
    </row>
    <row r="436" spans="1:5">
      <c r="A436" s="11"/>
      <c r="B436" s="12"/>
      <c r="C436" s="13"/>
      <c r="D436" s="14"/>
      <c r="E436" s="15"/>
    </row>
    <row r="437" spans="1:5">
      <c r="A437" s="8">
        <v>41214</v>
      </c>
      <c r="B437" s="9" t="s">
        <v>5</v>
      </c>
      <c r="C437" s="10">
        <v>32</v>
      </c>
      <c r="D437" s="28">
        <f>(35000000*C437)+D431</f>
        <v>365820000000</v>
      </c>
      <c r="E437" s="29">
        <f t="shared" ref="E437:E441" si="128">D437/160</f>
        <v>2286375000</v>
      </c>
    </row>
    <row r="438" spans="1:5">
      <c r="A438" s="8">
        <v>41215</v>
      </c>
      <c r="B438" s="9" t="s">
        <v>5</v>
      </c>
      <c r="C438" s="10">
        <v>32</v>
      </c>
      <c r="D438" s="28">
        <f t="shared" ref="D438:D441" si="129">(35000000*C438)+D437</f>
        <v>366940000000</v>
      </c>
      <c r="E438" s="29">
        <f t="shared" si="128"/>
        <v>2293375000</v>
      </c>
    </row>
    <row r="439" spans="1:5">
      <c r="A439" s="8">
        <v>41216</v>
      </c>
      <c r="B439" s="9" t="s">
        <v>5</v>
      </c>
      <c r="C439" s="10">
        <v>32</v>
      </c>
      <c r="D439" s="28">
        <f t="shared" si="129"/>
        <v>368060000000</v>
      </c>
      <c r="E439" s="29">
        <f t="shared" si="128"/>
        <v>2300375000</v>
      </c>
    </row>
    <row r="440" spans="1:5">
      <c r="A440" s="8">
        <v>41217</v>
      </c>
      <c r="B440" s="9" t="s">
        <v>5</v>
      </c>
      <c r="C440" s="10">
        <v>32</v>
      </c>
      <c r="D440" s="28">
        <f t="shared" si="129"/>
        <v>369180000000</v>
      </c>
      <c r="E440" s="29">
        <f t="shared" si="128"/>
        <v>2307375000</v>
      </c>
    </row>
    <row r="441" spans="1:5">
      <c r="A441" s="8">
        <v>41218</v>
      </c>
      <c r="B441" s="9" t="s">
        <v>5</v>
      </c>
      <c r="C441" s="10">
        <v>32</v>
      </c>
      <c r="D441" s="28">
        <f t="shared" si="129"/>
        <v>370300000000</v>
      </c>
      <c r="E441" s="29">
        <f t="shared" si="128"/>
        <v>2314375000</v>
      </c>
    </row>
    <row r="442" spans="1:5">
      <c r="A442" s="8">
        <v>41219</v>
      </c>
      <c r="B442" s="9" t="s">
        <v>5</v>
      </c>
      <c r="C442" s="10">
        <v>32</v>
      </c>
      <c r="D442" s="28">
        <f t="shared" ref="D442:D466" si="130">(35000000*C442)+D441</f>
        <v>371420000000</v>
      </c>
      <c r="E442" s="29">
        <f t="shared" ref="E442:E466" si="131">D442/160</f>
        <v>2321375000</v>
      </c>
    </row>
    <row r="443" spans="1:5">
      <c r="A443" s="8">
        <v>41220</v>
      </c>
      <c r="B443" s="9" t="s">
        <v>5</v>
      </c>
      <c r="C443" s="10">
        <v>32</v>
      </c>
      <c r="D443" s="28">
        <f t="shared" si="130"/>
        <v>372540000000</v>
      </c>
      <c r="E443" s="29">
        <f t="shared" si="131"/>
        <v>2328375000</v>
      </c>
    </row>
    <row r="444" spans="1:5">
      <c r="A444" s="8">
        <v>41221</v>
      </c>
      <c r="B444" s="9" t="s">
        <v>5</v>
      </c>
      <c r="C444" s="10">
        <v>32</v>
      </c>
      <c r="D444" s="28">
        <f t="shared" si="130"/>
        <v>373660000000</v>
      </c>
      <c r="E444" s="29">
        <f t="shared" si="131"/>
        <v>2335375000</v>
      </c>
    </row>
    <row r="445" spans="1:5">
      <c r="A445" s="8">
        <v>41222</v>
      </c>
      <c r="B445" s="9" t="s">
        <v>5</v>
      </c>
      <c r="C445" s="10">
        <v>32</v>
      </c>
      <c r="D445" s="28">
        <f t="shared" si="130"/>
        <v>374780000000</v>
      </c>
      <c r="E445" s="29">
        <f t="shared" si="131"/>
        <v>2342375000</v>
      </c>
    </row>
    <row r="446" spans="1:5">
      <c r="A446" s="8">
        <v>41223</v>
      </c>
      <c r="B446" s="9" t="s">
        <v>5</v>
      </c>
      <c r="C446" s="10">
        <v>32</v>
      </c>
      <c r="D446" s="28">
        <f t="shared" si="130"/>
        <v>375900000000</v>
      </c>
      <c r="E446" s="29">
        <f t="shared" si="131"/>
        <v>2349375000</v>
      </c>
    </row>
    <row r="447" spans="1:5">
      <c r="A447" s="8">
        <v>41224</v>
      </c>
      <c r="B447" s="9" t="s">
        <v>5</v>
      </c>
      <c r="C447" s="10">
        <v>32</v>
      </c>
      <c r="D447" s="28">
        <f t="shared" si="130"/>
        <v>377020000000</v>
      </c>
      <c r="E447" s="29">
        <f t="shared" si="131"/>
        <v>2356375000</v>
      </c>
    </row>
    <row r="448" spans="1:5">
      <c r="A448" s="8">
        <v>41225</v>
      </c>
      <c r="B448" s="9" t="s">
        <v>5</v>
      </c>
      <c r="C448" s="10">
        <v>32</v>
      </c>
      <c r="D448" s="28">
        <f t="shared" si="130"/>
        <v>378140000000</v>
      </c>
      <c r="E448" s="29">
        <f t="shared" si="131"/>
        <v>2363375000</v>
      </c>
    </row>
    <row r="449" spans="1:5">
      <c r="A449" s="8">
        <v>41226</v>
      </c>
      <c r="B449" s="9" t="s">
        <v>5</v>
      </c>
      <c r="C449" s="10">
        <v>32</v>
      </c>
      <c r="D449" s="28">
        <f t="shared" si="130"/>
        <v>379260000000</v>
      </c>
      <c r="E449" s="29">
        <f t="shared" si="131"/>
        <v>2370375000</v>
      </c>
    </row>
    <row r="450" spans="1:5">
      <c r="A450" s="8">
        <v>41227</v>
      </c>
      <c r="B450" s="9" t="s">
        <v>5</v>
      </c>
      <c r="C450" s="10">
        <v>32</v>
      </c>
      <c r="D450" s="28">
        <f t="shared" si="130"/>
        <v>380380000000</v>
      </c>
      <c r="E450" s="29">
        <f t="shared" si="131"/>
        <v>2377375000</v>
      </c>
    </row>
    <row r="451" spans="1:5">
      <c r="A451" s="8">
        <v>41228</v>
      </c>
      <c r="B451" s="9" t="s">
        <v>5</v>
      </c>
      <c r="C451" s="10">
        <v>32</v>
      </c>
      <c r="D451" s="28">
        <f t="shared" si="130"/>
        <v>381500000000</v>
      </c>
      <c r="E451" s="29">
        <f t="shared" si="131"/>
        <v>2384375000</v>
      </c>
    </row>
    <row r="452" spans="1:5">
      <c r="A452" s="8">
        <v>41229</v>
      </c>
      <c r="B452" s="9" t="s">
        <v>5</v>
      </c>
      <c r="C452" s="10">
        <v>32</v>
      </c>
      <c r="D452" s="28">
        <f t="shared" si="130"/>
        <v>382620000000</v>
      </c>
      <c r="E452" s="29">
        <f t="shared" si="131"/>
        <v>2391375000</v>
      </c>
    </row>
    <row r="453" spans="1:5">
      <c r="A453" s="8">
        <v>41230</v>
      </c>
      <c r="B453" s="9" t="s">
        <v>5</v>
      </c>
      <c r="C453" s="10">
        <v>32</v>
      </c>
      <c r="D453" s="28">
        <f t="shared" si="130"/>
        <v>383740000000</v>
      </c>
      <c r="E453" s="29">
        <f t="shared" si="131"/>
        <v>2398375000</v>
      </c>
    </row>
    <row r="454" spans="1:5">
      <c r="A454" s="8">
        <v>41231</v>
      </c>
      <c r="B454" s="9" t="s">
        <v>5</v>
      </c>
      <c r="C454" s="10">
        <v>32</v>
      </c>
      <c r="D454" s="28">
        <f t="shared" si="130"/>
        <v>384860000000</v>
      </c>
      <c r="E454" s="29">
        <f t="shared" si="131"/>
        <v>2405375000</v>
      </c>
    </row>
    <row r="455" spans="1:5">
      <c r="A455" s="8">
        <v>41232</v>
      </c>
      <c r="B455" s="9" t="s">
        <v>5</v>
      </c>
      <c r="C455" s="10">
        <v>32</v>
      </c>
      <c r="D455" s="28">
        <f t="shared" si="130"/>
        <v>385980000000</v>
      </c>
      <c r="E455" s="29">
        <f t="shared" si="131"/>
        <v>2412375000</v>
      </c>
    </row>
    <row r="456" spans="1:5">
      <c r="A456" s="8">
        <v>41233</v>
      </c>
      <c r="B456" s="9" t="s">
        <v>5</v>
      </c>
      <c r="C456" s="10">
        <v>32</v>
      </c>
      <c r="D456" s="28">
        <f t="shared" si="130"/>
        <v>387100000000</v>
      </c>
      <c r="E456" s="29">
        <f t="shared" si="131"/>
        <v>2419375000</v>
      </c>
    </row>
    <row r="457" spans="1:5">
      <c r="A457" s="8">
        <v>41234</v>
      </c>
      <c r="B457" s="9" t="s">
        <v>5</v>
      </c>
      <c r="C457" s="10">
        <v>32</v>
      </c>
      <c r="D457" s="28">
        <f t="shared" si="130"/>
        <v>388220000000</v>
      </c>
      <c r="E457" s="29">
        <f t="shared" si="131"/>
        <v>2426375000</v>
      </c>
    </row>
    <row r="458" spans="1:5">
      <c r="A458" s="8">
        <v>41235</v>
      </c>
      <c r="B458" s="9" t="s">
        <v>5</v>
      </c>
      <c r="C458" s="10">
        <v>32</v>
      </c>
      <c r="D458" s="28">
        <f t="shared" si="130"/>
        <v>389340000000</v>
      </c>
      <c r="E458" s="29">
        <f t="shared" si="131"/>
        <v>2433375000</v>
      </c>
    </row>
    <row r="459" spans="1:5">
      <c r="A459" s="8">
        <v>41236</v>
      </c>
      <c r="B459" s="9" t="s">
        <v>5</v>
      </c>
      <c r="C459" s="10">
        <v>32</v>
      </c>
      <c r="D459" s="28">
        <f t="shared" si="130"/>
        <v>390460000000</v>
      </c>
      <c r="E459" s="29">
        <f t="shared" si="131"/>
        <v>2440375000</v>
      </c>
    </row>
    <row r="460" spans="1:5">
      <c r="A460" s="8">
        <v>41237</v>
      </c>
      <c r="B460" s="9" t="s">
        <v>5</v>
      </c>
      <c r="C460" s="10">
        <v>32</v>
      </c>
      <c r="D460" s="28">
        <f t="shared" si="130"/>
        <v>391580000000</v>
      </c>
      <c r="E460" s="29">
        <f t="shared" si="131"/>
        <v>2447375000</v>
      </c>
    </row>
    <row r="461" spans="1:5">
      <c r="A461" s="8">
        <v>41238</v>
      </c>
      <c r="B461" s="9" t="s">
        <v>5</v>
      </c>
      <c r="C461" s="10">
        <v>32</v>
      </c>
      <c r="D461" s="28">
        <f t="shared" si="130"/>
        <v>392700000000</v>
      </c>
      <c r="E461" s="29">
        <f t="shared" si="131"/>
        <v>2454375000</v>
      </c>
    </row>
    <row r="462" spans="1:5">
      <c r="A462" s="8">
        <v>41239</v>
      </c>
      <c r="B462" s="9" t="s">
        <v>5</v>
      </c>
      <c r="C462" s="10">
        <v>32</v>
      </c>
      <c r="D462" s="28">
        <f t="shared" si="130"/>
        <v>393820000000</v>
      </c>
      <c r="E462" s="29">
        <f t="shared" si="131"/>
        <v>2461375000</v>
      </c>
    </row>
    <row r="463" spans="1:5">
      <c r="A463" s="8">
        <v>41240</v>
      </c>
      <c r="B463" s="9" t="s">
        <v>5</v>
      </c>
      <c r="C463" s="10">
        <v>32</v>
      </c>
      <c r="D463" s="28">
        <f t="shared" si="130"/>
        <v>394940000000</v>
      </c>
      <c r="E463" s="29">
        <f t="shared" si="131"/>
        <v>2468375000</v>
      </c>
    </row>
    <row r="464" spans="1:5">
      <c r="A464" s="8">
        <v>41241</v>
      </c>
      <c r="B464" s="9" t="s">
        <v>5</v>
      </c>
      <c r="C464" s="10">
        <v>32</v>
      </c>
      <c r="D464" s="28">
        <f t="shared" si="130"/>
        <v>396060000000</v>
      </c>
      <c r="E464" s="29">
        <f t="shared" si="131"/>
        <v>2475375000</v>
      </c>
    </row>
    <row r="465" spans="1:5">
      <c r="A465" s="8">
        <v>41242</v>
      </c>
      <c r="B465" s="9" t="s">
        <v>5</v>
      </c>
      <c r="C465" s="10">
        <v>32</v>
      </c>
      <c r="D465" s="28">
        <f t="shared" si="130"/>
        <v>397180000000</v>
      </c>
      <c r="E465" s="29">
        <f t="shared" si="131"/>
        <v>2482375000</v>
      </c>
    </row>
    <row r="466" spans="1:5">
      <c r="A466" s="2">
        <v>41243</v>
      </c>
      <c r="B466" s="3" t="s">
        <v>5</v>
      </c>
      <c r="C466" s="4">
        <v>32</v>
      </c>
      <c r="D466" s="5">
        <f t="shared" si="130"/>
        <v>398300000000</v>
      </c>
      <c r="E466" s="6">
        <f t="shared" si="131"/>
        <v>2489375000</v>
      </c>
    </row>
    <row r="467" spans="1:5" s="12" customFormat="1">
      <c r="A467" s="11"/>
      <c r="C467" s="13"/>
      <c r="D467" s="14"/>
      <c r="E467" s="15"/>
    </row>
    <row r="468" spans="1:5" s="12" customFormat="1">
      <c r="A468" s="11"/>
      <c r="C468" s="13"/>
      <c r="D468" s="14"/>
      <c r="E468" s="15"/>
    </row>
    <row r="469" spans="1:5" s="12" customFormat="1">
      <c r="A469" s="11"/>
      <c r="C469" s="13"/>
      <c r="D469" s="14"/>
      <c r="E469" s="15"/>
    </row>
    <row r="470" spans="1:5" s="12" customFormat="1">
      <c r="A470" s="11"/>
      <c r="C470" s="13"/>
      <c r="D470" s="14"/>
      <c r="E470" s="15"/>
    </row>
    <row r="471" spans="1:5" s="12" customFormat="1">
      <c r="A471" s="11"/>
      <c r="C471" s="13"/>
      <c r="D471" s="14"/>
      <c r="E471" s="15"/>
    </row>
    <row r="472" spans="1:5" s="12" customFormat="1">
      <c r="A472" s="11"/>
      <c r="C472" s="13"/>
      <c r="D472" s="14"/>
      <c r="E472" s="15"/>
    </row>
    <row r="473" spans="1:5">
      <c r="A473" s="8">
        <v>41244</v>
      </c>
      <c r="B473" s="9" t="s">
        <v>5</v>
      </c>
      <c r="C473" s="10">
        <v>32</v>
      </c>
      <c r="D473" s="28">
        <f>(35000000*C473)+D466</f>
        <v>399420000000</v>
      </c>
      <c r="E473" s="29">
        <f t="shared" ref="E473:E503" si="132">D473/160</f>
        <v>2496375000</v>
      </c>
    </row>
    <row r="474" spans="1:5">
      <c r="A474" s="8">
        <v>41245</v>
      </c>
      <c r="B474" s="9" t="s">
        <v>5</v>
      </c>
      <c r="C474" s="10">
        <v>32</v>
      </c>
      <c r="D474" s="28">
        <f t="shared" ref="D474:D503" si="133">(35000000*C474)+D473</f>
        <v>400540000000</v>
      </c>
      <c r="E474" s="29">
        <f t="shared" si="132"/>
        <v>2503375000</v>
      </c>
    </row>
    <row r="475" spans="1:5">
      <c r="A475" s="8">
        <v>41246</v>
      </c>
      <c r="B475" s="9" t="s">
        <v>5</v>
      </c>
      <c r="C475" s="10">
        <v>32</v>
      </c>
      <c r="D475" s="28">
        <f t="shared" si="133"/>
        <v>401660000000</v>
      </c>
      <c r="E475" s="29">
        <f t="shared" si="132"/>
        <v>2510375000</v>
      </c>
    </row>
    <row r="476" spans="1:5">
      <c r="A476" s="8">
        <v>41247</v>
      </c>
      <c r="B476" s="9" t="s">
        <v>5</v>
      </c>
      <c r="C476" s="10">
        <v>32</v>
      </c>
      <c r="D476" s="28">
        <f t="shared" si="133"/>
        <v>402780000000</v>
      </c>
      <c r="E476" s="29">
        <f t="shared" si="132"/>
        <v>2517375000</v>
      </c>
    </row>
    <row r="477" spans="1:5">
      <c r="A477" s="8">
        <v>41248</v>
      </c>
      <c r="B477" s="9" t="s">
        <v>5</v>
      </c>
      <c r="C477" s="10">
        <v>32</v>
      </c>
      <c r="D477" s="28">
        <f t="shared" si="133"/>
        <v>403900000000</v>
      </c>
      <c r="E477" s="29">
        <f t="shared" si="132"/>
        <v>2524375000</v>
      </c>
    </row>
    <row r="478" spans="1:5">
      <c r="A478" s="8">
        <v>41249</v>
      </c>
      <c r="B478" s="9" t="s">
        <v>5</v>
      </c>
      <c r="C478" s="10">
        <v>32</v>
      </c>
      <c r="D478" s="28">
        <f t="shared" si="133"/>
        <v>405020000000</v>
      </c>
      <c r="E478" s="29">
        <f t="shared" si="132"/>
        <v>2531375000</v>
      </c>
    </row>
    <row r="479" spans="1:5">
      <c r="A479" s="8">
        <v>41250</v>
      </c>
      <c r="B479" s="9" t="s">
        <v>5</v>
      </c>
      <c r="C479" s="10">
        <v>32</v>
      </c>
      <c r="D479" s="28">
        <f t="shared" si="133"/>
        <v>406140000000</v>
      </c>
      <c r="E479" s="29">
        <f t="shared" si="132"/>
        <v>2538375000</v>
      </c>
    </row>
    <row r="480" spans="1:5">
      <c r="A480" s="8">
        <v>41251</v>
      </c>
      <c r="B480" s="9" t="s">
        <v>5</v>
      </c>
      <c r="C480" s="10">
        <v>32</v>
      </c>
      <c r="D480" s="28">
        <f t="shared" si="133"/>
        <v>407260000000</v>
      </c>
      <c r="E480" s="29">
        <f t="shared" si="132"/>
        <v>2545375000</v>
      </c>
    </row>
    <row r="481" spans="1:5">
      <c r="A481" s="8">
        <v>41252</v>
      </c>
      <c r="B481" s="9" t="s">
        <v>5</v>
      </c>
      <c r="C481" s="10">
        <v>32</v>
      </c>
      <c r="D481" s="28">
        <f t="shared" si="133"/>
        <v>408380000000</v>
      </c>
      <c r="E481" s="29">
        <f t="shared" si="132"/>
        <v>2552375000</v>
      </c>
    </row>
    <row r="482" spans="1:5">
      <c r="A482" s="8">
        <v>41253</v>
      </c>
      <c r="B482" s="9" t="s">
        <v>5</v>
      </c>
      <c r="C482" s="10">
        <v>32</v>
      </c>
      <c r="D482" s="28">
        <f t="shared" si="133"/>
        <v>409500000000</v>
      </c>
      <c r="E482" s="29">
        <f t="shared" si="132"/>
        <v>2559375000</v>
      </c>
    </row>
    <row r="483" spans="1:5">
      <c r="A483" s="8">
        <v>41254</v>
      </c>
      <c r="B483" s="9" t="s">
        <v>5</v>
      </c>
      <c r="C483" s="10">
        <v>32</v>
      </c>
      <c r="D483" s="28">
        <f t="shared" si="133"/>
        <v>410620000000</v>
      </c>
      <c r="E483" s="29">
        <f t="shared" si="132"/>
        <v>2566375000</v>
      </c>
    </row>
    <row r="484" spans="1:5">
      <c r="A484" s="8">
        <v>41255</v>
      </c>
      <c r="B484" s="9" t="s">
        <v>5</v>
      </c>
      <c r="C484" s="10">
        <v>32</v>
      </c>
      <c r="D484" s="28">
        <f t="shared" si="133"/>
        <v>411740000000</v>
      </c>
      <c r="E484" s="29">
        <f t="shared" si="132"/>
        <v>2573375000</v>
      </c>
    </row>
    <row r="485" spans="1:5">
      <c r="A485" s="8">
        <v>41256</v>
      </c>
      <c r="B485" s="9" t="s">
        <v>5</v>
      </c>
      <c r="C485" s="10">
        <v>32</v>
      </c>
      <c r="D485" s="28">
        <f t="shared" si="133"/>
        <v>412860000000</v>
      </c>
      <c r="E485" s="29">
        <f t="shared" si="132"/>
        <v>2580375000</v>
      </c>
    </row>
    <row r="486" spans="1:5">
      <c r="A486" s="8">
        <v>41257</v>
      </c>
      <c r="B486" s="9" t="s">
        <v>5</v>
      </c>
      <c r="C486" s="10">
        <v>32</v>
      </c>
      <c r="D486" s="28">
        <f t="shared" si="133"/>
        <v>413980000000</v>
      </c>
      <c r="E486" s="29">
        <f t="shared" si="132"/>
        <v>2587375000</v>
      </c>
    </row>
    <row r="487" spans="1:5">
      <c r="A487" s="8">
        <v>41258</v>
      </c>
      <c r="B487" s="9" t="s">
        <v>5</v>
      </c>
      <c r="C487" s="10">
        <v>32</v>
      </c>
      <c r="D487" s="28">
        <f t="shared" si="133"/>
        <v>415100000000</v>
      </c>
      <c r="E487" s="29">
        <f t="shared" si="132"/>
        <v>2594375000</v>
      </c>
    </row>
    <row r="488" spans="1:5">
      <c r="A488" s="8">
        <v>41259</v>
      </c>
      <c r="B488" s="9" t="s">
        <v>5</v>
      </c>
      <c r="C488" s="10">
        <v>32</v>
      </c>
      <c r="D488" s="28">
        <f t="shared" si="133"/>
        <v>416220000000</v>
      </c>
      <c r="E488" s="29">
        <f t="shared" si="132"/>
        <v>2601375000</v>
      </c>
    </row>
    <row r="489" spans="1:5">
      <c r="A489" s="8">
        <v>41260</v>
      </c>
      <c r="B489" s="9" t="s">
        <v>5</v>
      </c>
      <c r="C489" s="10">
        <v>32</v>
      </c>
      <c r="D489" s="28">
        <f t="shared" si="133"/>
        <v>417340000000</v>
      </c>
      <c r="E489" s="29">
        <f t="shared" si="132"/>
        <v>2608375000</v>
      </c>
    </row>
    <row r="490" spans="1:5">
      <c r="A490" s="8">
        <v>41261</v>
      </c>
      <c r="B490" s="9" t="s">
        <v>5</v>
      </c>
      <c r="C490" s="10">
        <v>32</v>
      </c>
      <c r="D490" s="28">
        <f t="shared" si="133"/>
        <v>418460000000</v>
      </c>
      <c r="E490" s="29">
        <f t="shared" si="132"/>
        <v>2615375000</v>
      </c>
    </row>
    <row r="491" spans="1:5">
      <c r="A491" s="8">
        <v>41262</v>
      </c>
      <c r="B491" s="9" t="s">
        <v>5</v>
      </c>
      <c r="C491" s="10">
        <v>32</v>
      </c>
      <c r="D491" s="28">
        <f t="shared" si="133"/>
        <v>419580000000</v>
      </c>
      <c r="E491" s="29">
        <f t="shared" si="132"/>
        <v>2622375000</v>
      </c>
    </row>
    <row r="492" spans="1:5">
      <c r="A492" s="8">
        <v>41263</v>
      </c>
      <c r="B492" s="9" t="s">
        <v>5</v>
      </c>
      <c r="C492" s="10">
        <v>32</v>
      </c>
      <c r="D492" s="28">
        <f t="shared" si="133"/>
        <v>420700000000</v>
      </c>
      <c r="E492" s="29">
        <f t="shared" si="132"/>
        <v>2629375000</v>
      </c>
    </row>
    <row r="493" spans="1:5">
      <c r="A493" s="8">
        <v>41264</v>
      </c>
      <c r="B493" s="9" t="s">
        <v>5</v>
      </c>
      <c r="C493" s="10">
        <v>32</v>
      </c>
      <c r="D493" s="28">
        <f t="shared" si="133"/>
        <v>421820000000</v>
      </c>
      <c r="E493" s="29">
        <f t="shared" si="132"/>
        <v>2636375000</v>
      </c>
    </row>
    <row r="494" spans="1:5">
      <c r="A494" s="8">
        <v>41265</v>
      </c>
      <c r="B494" s="9" t="s">
        <v>5</v>
      </c>
      <c r="C494" s="10">
        <v>32</v>
      </c>
      <c r="D494" s="28">
        <f t="shared" si="133"/>
        <v>422940000000</v>
      </c>
      <c r="E494" s="29">
        <f t="shared" si="132"/>
        <v>2643375000</v>
      </c>
    </row>
    <row r="495" spans="1:5">
      <c r="A495" s="8">
        <v>41266</v>
      </c>
      <c r="B495" s="9" t="s">
        <v>5</v>
      </c>
      <c r="C495" s="10">
        <v>32</v>
      </c>
      <c r="D495" s="28">
        <f t="shared" si="133"/>
        <v>424060000000</v>
      </c>
      <c r="E495" s="29">
        <f t="shared" si="132"/>
        <v>2650375000</v>
      </c>
    </row>
    <row r="496" spans="1:5">
      <c r="A496" s="8">
        <v>41267</v>
      </c>
      <c r="B496" s="9" t="s">
        <v>5</v>
      </c>
      <c r="C496" s="10">
        <v>32</v>
      </c>
      <c r="D496" s="28">
        <f t="shared" si="133"/>
        <v>425180000000</v>
      </c>
      <c r="E496" s="29">
        <f t="shared" si="132"/>
        <v>2657375000</v>
      </c>
    </row>
    <row r="497" spans="1:5">
      <c r="A497" s="8">
        <v>41268</v>
      </c>
      <c r="B497" s="9" t="s">
        <v>5</v>
      </c>
      <c r="C497" s="10">
        <v>32</v>
      </c>
      <c r="D497" s="28">
        <f t="shared" si="133"/>
        <v>426300000000</v>
      </c>
      <c r="E497" s="29">
        <f t="shared" si="132"/>
        <v>2664375000</v>
      </c>
    </row>
    <row r="498" spans="1:5">
      <c r="A498" s="8">
        <v>41269</v>
      </c>
      <c r="B498" s="9" t="s">
        <v>5</v>
      </c>
      <c r="C498" s="10">
        <v>32</v>
      </c>
      <c r="D498" s="28">
        <f t="shared" si="133"/>
        <v>427420000000</v>
      </c>
      <c r="E498" s="29">
        <f t="shared" si="132"/>
        <v>2671375000</v>
      </c>
    </row>
    <row r="499" spans="1:5">
      <c r="A499" s="8">
        <v>41270</v>
      </c>
      <c r="B499" s="9" t="s">
        <v>5</v>
      </c>
      <c r="C499" s="10">
        <v>32</v>
      </c>
      <c r="D499" s="28">
        <f t="shared" si="133"/>
        <v>428540000000</v>
      </c>
      <c r="E499" s="29">
        <f t="shared" si="132"/>
        <v>2678375000</v>
      </c>
    </row>
    <row r="500" spans="1:5">
      <c r="A500" s="8">
        <v>41271</v>
      </c>
      <c r="B500" s="9" t="s">
        <v>5</v>
      </c>
      <c r="C500" s="10">
        <v>32</v>
      </c>
      <c r="D500" s="28">
        <f t="shared" si="133"/>
        <v>429660000000</v>
      </c>
      <c r="E500" s="29">
        <f t="shared" si="132"/>
        <v>2685375000</v>
      </c>
    </row>
    <row r="501" spans="1:5">
      <c r="A501" s="8">
        <v>41272</v>
      </c>
      <c r="B501" s="9" t="s">
        <v>5</v>
      </c>
      <c r="C501" s="10">
        <v>32</v>
      </c>
      <c r="D501" s="28">
        <f t="shared" si="133"/>
        <v>430780000000</v>
      </c>
      <c r="E501" s="29">
        <f t="shared" si="132"/>
        <v>2692375000</v>
      </c>
    </row>
    <row r="502" spans="1:5">
      <c r="A502" s="8">
        <v>41273</v>
      </c>
      <c r="B502" s="9" t="s">
        <v>5</v>
      </c>
      <c r="C502" s="10">
        <v>32</v>
      </c>
      <c r="D502" s="28">
        <f t="shared" si="133"/>
        <v>431900000000</v>
      </c>
      <c r="E502" s="29">
        <f t="shared" si="132"/>
        <v>2699375000</v>
      </c>
    </row>
    <row r="503" spans="1:5">
      <c r="A503" s="2">
        <v>41274</v>
      </c>
      <c r="B503" s="3" t="s">
        <v>5</v>
      </c>
      <c r="C503" s="4">
        <v>32</v>
      </c>
      <c r="D503" s="5">
        <f t="shared" si="133"/>
        <v>433020000000</v>
      </c>
      <c r="E503" s="6">
        <f t="shared" si="132"/>
        <v>2706375000</v>
      </c>
    </row>
    <row r="504" spans="1:5">
      <c r="A504" s="11"/>
      <c r="B504" s="12"/>
      <c r="C504" s="13"/>
      <c r="D504" s="14"/>
      <c r="E504" s="15"/>
    </row>
    <row r="505" spans="1:5">
      <c r="A505" s="11"/>
      <c r="B505" s="12"/>
      <c r="C505" s="13"/>
      <c r="D505" s="14"/>
      <c r="E505" s="15"/>
    </row>
    <row r="506" spans="1:5">
      <c r="A506" s="11"/>
      <c r="B506" s="12"/>
      <c r="C506" s="13"/>
      <c r="D506" s="14"/>
      <c r="E506" s="15"/>
    </row>
    <row r="507" spans="1:5">
      <c r="A507" s="11"/>
      <c r="B507" s="12"/>
      <c r="C507" s="13"/>
      <c r="D507" s="14"/>
      <c r="E507" s="15"/>
    </row>
    <row r="508" spans="1:5">
      <c r="A508" s="11"/>
      <c r="B508" s="12"/>
      <c r="C508" s="13"/>
      <c r="D508" s="14"/>
      <c r="E508" s="15"/>
    </row>
    <row r="509" spans="1:5">
      <c r="A509" s="8">
        <v>41275</v>
      </c>
      <c r="B509" s="9" t="s">
        <v>5</v>
      </c>
      <c r="C509" s="10">
        <v>32</v>
      </c>
      <c r="D509" s="28">
        <f>(35000000*C509)+D503</f>
        <v>434140000000</v>
      </c>
      <c r="E509" s="29">
        <f t="shared" ref="E509:E539" si="134">D509/160</f>
        <v>2713375000</v>
      </c>
    </row>
    <row r="510" spans="1:5">
      <c r="A510" s="8">
        <v>41276</v>
      </c>
      <c r="B510" s="9" t="s">
        <v>5</v>
      </c>
      <c r="C510" s="10">
        <v>32</v>
      </c>
      <c r="D510" s="28">
        <f t="shared" ref="D510:D539" si="135">(35000000*C510)+D509</f>
        <v>435260000000</v>
      </c>
      <c r="E510" s="29">
        <f t="shared" si="134"/>
        <v>2720375000</v>
      </c>
    </row>
    <row r="511" spans="1:5">
      <c r="A511" s="8">
        <v>41277</v>
      </c>
      <c r="B511" s="9" t="s">
        <v>5</v>
      </c>
      <c r="C511" s="10">
        <v>32</v>
      </c>
      <c r="D511" s="28">
        <f t="shared" si="135"/>
        <v>436380000000</v>
      </c>
      <c r="E511" s="29">
        <f t="shared" si="134"/>
        <v>2727375000</v>
      </c>
    </row>
    <row r="512" spans="1:5">
      <c r="A512" s="8">
        <v>41278</v>
      </c>
      <c r="B512" s="9" t="s">
        <v>5</v>
      </c>
      <c r="C512" s="10">
        <v>32</v>
      </c>
      <c r="D512" s="28">
        <f t="shared" si="135"/>
        <v>437500000000</v>
      </c>
      <c r="E512" s="29">
        <f t="shared" si="134"/>
        <v>2734375000</v>
      </c>
    </row>
    <row r="513" spans="1:5">
      <c r="A513" s="8">
        <v>41279</v>
      </c>
      <c r="B513" s="9" t="s">
        <v>5</v>
      </c>
      <c r="C513" s="10">
        <v>32</v>
      </c>
      <c r="D513" s="28">
        <f t="shared" si="135"/>
        <v>438620000000</v>
      </c>
      <c r="E513" s="29">
        <f t="shared" si="134"/>
        <v>2741375000</v>
      </c>
    </row>
    <row r="514" spans="1:5">
      <c r="A514" s="8">
        <v>41280</v>
      </c>
      <c r="B514" s="9" t="s">
        <v>5</v>
      </c>
      <c r="C514" s="10">
        <v>32</v>
      </c>
      <c r="D514" s="28">
        <f t="shared" si="135"/>
        <v>439740000000</v>
      </c>
      <c r="E514" s="29">
        <f t="shared" si="134"/>
        <v>2748375000</v>
      </c>
    </row>
    <row r="515" spans="1:5">
      <c r="A515" s="8">
        <v>41281</v>
      </c>
      <c r="B515" s="9" t="s">
        <v>5</v>
      </c>
      <c r="C515" s="10">
        <v>32</v>
      </c>
      <c r="D515" s="28">
        <f t="shared" si="135"/>
        <v>440860000000</v>
      </c>
      <c r="E515" s="29">
        <f t="shared" si="134"/>
        <v>2755375000</v>
      </c>
    </row>
    <row r="516" spans="1:5">
      <c r="A516" s="8">
        <v>41282</v>
      </c>
      <c r="B516" s="9" t="s">
        <v>5</v>
      </c>
      <c r="C516" s="10">
        <v>32</v>
      </c>
      <c r="D516" s="28">
        <f t="shared" si="135"/>
        <v>441980000000</v>
      </c>
      <c r="E516" s="29">
        <f t="shared" si="134"/>
        <v>2762375000</v>
      </c>
    </row>
    <row r="517" spans="1:5">
      <c r="A517" s="8">
        <v>41283</v>
      </c>
      <c r="B517" s="9" t="s">
        <v>5</v>
      </c>
      <c r="C517" s="10">
        <v>32</v>
      </c>
      <c r="D517" s="28">
        <f t="shared" si="135"/>
        <v>443100000000</v>
      </c>
      <c r="E517" s="29">
        <f t="shared" si="134"/>
        <v>2769375000</v>
      </c>
    </row>
    <row r="518" spans="1:5">
      <c r="A518" s="8">
        <v>41284</v>
      </c>
      <c r="B518" s="9" t="s">
        <v>5</v>
      </c>
      <c r="C518" s="10">
        <v>32</v>
      </c>
      <c r="D518" s="28">
        <f t="shared" si="135"/>
        <v>444220000000</v>
      </c>
      <c r="E518" s="29">
        <f t="shared" si="134"/>
        <v>2776375000</v>
      </c>
    </row>
    <row r="519" spans="1:5">
      <c r="A519" s="8">
        <v>41285</v>
      </c>
      <c r="B519" s="9" t="s">
        <v>5</v>
      </c>
      <c r="C519" s="10">
        <v>32</v>
      </c>
      <c r="D519" s="28">
        <f t="shared" si="135"/>
        <v>445340000000</v>
      </c>
      <c r="E519" s="29">
        <f t="shared" si="134"/>
        <v>2783375000</v>
      </c>
    </row>
    <row r="520" spans="1:5">
      <c r="A520" s="8">
        <v>41286</v>
      </c>
      <c r="B520" s="9" t="s">
        <v>5</v>
      </c>
      <c r="C520" s="10">
        <v>32</v>
      </c>
      <c r="D520" s="28">
        <f t="shared" si="135"/>
        <v>446460000000</v>
      </c>
      <c r="E520" s="29">
        <f t="shared" si="134"/>
        <v>2790375000</v>
      </c>
    </row>
    <row r="521" spans="1:5">
      <c r="A521" s="8">
        <v>41287</v>
      </c>
      <c r="B521" s="9" t="s">
        <v>5</v>
      </c>
      <c r="C521" s="10">
        <v>32</v>
      </c>
      <c r="D521" s="28">
        <f t="shared" si="135"/>
        <v>447580000000</v>
      </c>
      <c r="E521" s="29">
        <f t="shared" si="134"/>
        <v>2797375000</v>
      </c>
    </row>
    <row r="522" spans="1:5">
      <c r="A522" s="8">
        <v>41288</v>
      </c>
      <c r="B522" s="9" t="s">
        <v>5</v>
      </c>
      <c r="C522" s="10">
        <v>32</v>
      </c>
      <c r="D522" s="28">
        <f t="shared" si="135"/>
        <v>448700000000</v>
      </c>
      <c r="E522" s="29">
        <f t="shared" si="134"/>
        <v>2804375000</v>
      </c>
    </row>
    <row r="523" spans="1:5">
      <c r="A523" s="8">
        <v>41289</v>
      </c>
      <c r="B523" s="9" t="s">
        <v>5</v>
      </c>
      <c r="C523" s="10">
        <v>32</v>
      </c>
      <c r="D523" s="28">
        <f t="shared" si="135"/>
        <v>449820000000</v>
      </c>
      <c r="E523" s="29">
        <f t="shared" si="134"/>
        <v>2811375000</v>
      </c>
    </row>
    <row r="524" spans="1:5">
      <c r="A524" s="8">
        <v>41290</v>
      </c>
      <c r="B524" s="9" t="s">
        <v>5</v>
      </c>
      <c r="C524" s="10">
        <v>32</v>
      </c>
      <c r="D524" s="28">
        <f t="shared" si="135"/>
        <v>450940000000</v>
      </c>
      <c r="E524" s="29">
        <f t="shared" si="134"/>
        <v>2818375000</v>
      </c>
    </row>
    <row r="525" spans="1:5">
      <c r="A525" s="8">
        <v>41291</v>
      </c>
      <c r="B525" s="9" t="s">
        <v>5</v>
      </c>
      <c r="C525" s="10">
        <v>32</v>
      </c>
      <c r="D525" s="28">
        <f t="shared" si="135"/>
        <v>452060000000</v>
      </c>
      <c r="E525" s="29">
        <f t="shared" si="134"/>
        <v>2825375000</v>
      </c>
    </row>
    <row r="526" spans="1:5">
      <c r="A526" s="8">
        <v>41292</v>
      </c>
      <c r="B526" s="9" t="s">
        <v>5</v>
      </c>
      <c r="C526" s="10">
        <v>32</v>
      </c>
      <c r="D526" s="28">
        <f t="shared" si="135"/>
        <v>453180000000</v>
      </c>
      <c r="E526" s="29">
        <f t="shared" si="134"/>
        <v>2832375000</v>
      </c>
    </row>
    <row r="527" spans="1:5">
      <c r="A527" s="8">
        <v>41293</v>
      </c>
      <c r="B527" s="9" t="s">
        <v>5</v>
      </c>
      <c r="C527" s="10">
        <v>32</v>
      </c>
      <c r="D527" s="28">
        <f t="shared" si="135"/>
        <v>454300000000</v>
      </c>
      <c r="E527" s="29">
        <f t="shared" si="134"/>
        <v>2839375000</v>
      </c>
    </row>
    <row r="528" spans="1:5">
      <c r="A528" s="8">
        <v>41294</v>
      </c>
      <c r="B528" s="9" t="s">
        <v>5</v>
      </c>
      <c r="C528" s="10">
        <v>32</v>
      </c>
      <c r="D528" s="28">
        <f t="shared" si="135"/>
        <v>455420000000</v>
      </c>
      <c r="E528" s="29">
        <f t="shared" si="134"/>
        <v>2846375000</v>
      </c>
    </row>
    <row r="529" spans="1:5">
      <c r="A529" s="8">
        <v>41295</v>
      </c>
      <c r="B529" s="9" t="s">
        <v>5</v>
      </c>
      <c r="C529" s="10">
        <v>32</v>
      </c>
      <c r="D529" s="28">
        <f t="shared" si="135"/>
        <v>456540000000</v>
      </c>
      <c r="E529" s="29">
        <f t="shared" si="134"/>
        <v>2853375000</v>
      </c>
    </row>
    <row r="530" spans="1:5">
      <c r="A530" s="8">
        <v>41296</v>
      </c>
      <c r="B530" s="9" t="s">
        <v>5</v>
      </c>
      <c r="C530" s="10">
        <v>32</v>
      </c>
      <c r="D530" s="28">
        <f t="shared" si="135"/>
        <v>457660000000</v>
      </c>
      <c r="E530" s="29">
        <f t="shared" si="134"/>
        <v>2860375000</v>
      </c>
    </row>
    <row r="531" spans="1:5">
      <c r="A531" s="8">
        <v>41297</v>
      </c>
      <c r="B531" s="9" t="s">
        <v>5</v>
      </c>
      <c r="C531" s="10">
        <v>32</v>
      </c>
      <c r="D531" s="28">
        <f t="shared" si="135"/>
        <v>458780000000</v>
      </c>
      <c r="E531" s="29">
        <f t="shared" si="134"/>
        <v>2867375000</v>
      </c>
    </row>
    <row r="532" spans="1:5">
      <c r="A532" s="8">
        <v>41298</v>
      </c>
      <c r="B532" s="9" t="s">
        <v>5</v>
      </c>
      <c r="C532" s="10">
        <v>32</v>
      </c>
      <c r="D532" s="28">
        <f t="shared" si="135"/>
        <v>459900000000</v>
      </c>
      <c r="E532" s="29">
        <f t="shared" si="134"/>
        <v>2874375000</v>
      </c>
    </row>
    <row r="533" spans="1:5">
      <c r="A533" s="8">
        <v>41299</v>
      </c>
      <c r="B533" s="9" t="s">
        <v>5</v>
      </c>
      <c r="C533" s="10">
        <v>32</v>
      </c>
      <c r="D533" s="28">
        <f t="shared" si="135"/>
        <v>461020000000</v>
      </c>
      <c r="E533" s="29">
        <f t="shared" si="134"/>
        <v>2881375000</v>
      </c>
    </row>
    <row r="534" spans="1:5">
      <c r="A534" s="8">
        <v>41300</v>
      </c>
      <c r="B534" s="9" t="s">
        <v>5</v>
      </c>
      <c r="C534" s="10">
        <v>32</v>
      </c>
      <c r="D534" s="28">
        <f t="shared" si="135"/>
        <v>462140000000</v>
      </c>
      <c r="E534" s="29">
        <f t="shared" si="134"/>
        <v>2888375000</v>
      </c>
    </row>
    <row r="535" spans="1:5">
      <c r="A535" s="8">
        <v>41301</v>
      </c>
      <c r="B535" s="9" t="s">
        <v>5</v>
      </c>
      <c r="C535" s="10">
        <v>32</v>
      </c>
      <c r="D535" s="28">
        <f t="shared" si="135"/>
        <v>463260000000</v>
      </c>
      <c r="E535" s="29">
        <f t="shared" si="134"/>
        <v>2895375000</v>
      </c>
    </row>
    <row r="536" spans="1:5">
      <c r="A536" s="8">
        <v>41302</v>
      </c>
      <c r="B536" s="9" t="s">
        <v>5</v>
      </c>
      <c r="C536" s="10">
        <v>32</v>
      </c>
      <c r="D536" s="28">
        <f t="shared" si="135"/>
        <v>464380000000</v>
      </c>
      <c r="E536" s="29">
        <f t="shared" si="134"/>
        <v>2902375000</v>
      </c>
    </row>
    <row r="537" spans="1:5">
      <c r="A537" s="8">
        <v>41303</v>
      </c>
      <c r="B537" s="9" t="s">
        <v>5</v>
      </c>
      <c r="C537" s="10">
        <v>32</v>
      </c>
      <c r="D537" s="28">
        <f t="shared" si="135"/>
        <v>465500000000</v>
      </c>
      <c r="E537" s="29">
        <f t="shared" si="134"/>
        <v>2909375000</v>
      </c>
    </row>
    <row r="538" spans="1:5">
      <c r="A538" s="8">
        <v>41304</v>
      </c>
      <c r="B538" s="9" t="s">
        <v>5</v>
      </c>
      <c r="C538" s="10">
        <v>32</v>
      </c>
      <c r="D538" s="28">
        <f t="shared" si="135"/>
        <v>466620000000</v>
      </c>
      <c r="E538" s="29">
        <f t="shared" si="134"/>
        <v>2916375000</v>
      </c>
    </row>
    <row r="539" spans="1:5">
      <c r="A539" s="2">
        <v>41305</v>
      </c>
      <c r="B539" s="3" t="s">
        <v>5</v>
      </c>
      <c r="C539" s="4">
        <v>32</v>
      </c>
      <c r="D539" s="5">
        <f t="shared" si="135"/>
        <v>467740000000</v>
      </c>
      <c r="E539" s="6">
        <f t="shared" si="134"/>
        <v>2923375000</v>
      </c>
    </row>
    <row r="540" spans="1:5">
      <c r="A540" s="11"/>
      <c r="B540" s="12"/>
      <c r="C540" s="42"/>
      <c r="D540" s="14"/>
      <c r="E540" s="15"/>
    </row>
    <row r="541" spans="1:5">
      <c r="A541" s="11"/>
      <c r="B541" s="12"/>
      <c r="C541" s="42"/>
      <c r="D541" s="14"/>
      <c r="E541" s="15"/>
    </row>
    <row r="542" spans="1:5">
      <c r="A542" s="11"/>
      <c r="B542" s="12"/>
      <c r="C542" s="42"/>
      <c r="D542" s="14"/>
      <c r="E542" s="15"/>
    </row>
    <row r="543" spans="1:5">
      <c r="A543" s="11"/>
      <c r="B543" s="12"/>
      <c r="C543" s="42"/>
      <c r="D543" s="14"/>
      <c r="E543" s="15"/>
    </row>
    <row r="544" spans="1:5">
      <c r="A544" s="11"/>
      <c r="B544" s="12"/>
      <c r="C544" s="42"/>
      <c r="D544" s="14"/>
      <c r="E544" s="15"/>
    </row>
    <row r="545" spans="1:5">
      <c r="A545" s="8">
        <v>41306</v>
      </c>
      <c r="B545" s="9" t="s">
        <v>5</v>
      </c>
      <c r="C545" s="10">
        <v>32</v>
      </c>
      <c r="D545" s="28">
        <f>(35000000*C545)+D539</f>
        <v>468860000000</v>
      </c>
      <c r="E545" s="29">
        <f t="shared" ref="E545:E572" si="136">D545/160</f>
        <v>2930375000</v>
      </c>
    </row>
    <row r="546" spans="1:5">
      <c r="A546" s="8">
        <v>41307</v>
      </c>
      <c r="B546" s="9" t="s">
        <v>5</v>
      </c>
      <c r="C546" s="10">
        <v>32</v>
      </c>
      <c r="D546" s="28">
        <f t="shared" ref="D546:D572" si="137">(35000000*C546)+D545</f>
        <v>469980000000</v>
      </c>
      <c r="E546" s="29">
        <f t="shared" si="136"/>
        <v>2937375000</v>
      </c>
    </row>
    <row r="547" spans="1:5">
      <c r="A547" s="8">
        <v>41308</v>
      </c>
      <c r="B547" s="9" t="s">
        <v>5</v>
      </c>
      <c r="C547" s="10">
        <v>32</v>
      </c>
      <c r="D547" s="28">
        <f t="shared" si="137"/>
        <v>471100000000</v>
      </c>
      <c r="E547" s="29">
        <f t="shared" si="136"/>
        <v>2944375000</v>
      </c>
    </row>
    <row r="548" spans="1:5">
      <c r="A548" s="8">
        <v>41309</v>
      </c>
      <c r="B548" s="9" t="s">
        <v>5</v>
      </c>
      <c r="C548" s="10">
        <v>32</v>
      </c>
      <c r="D548" s="28">
        <f t="shared" si="137"/>
        <v>472220000000</v>
      </c>
      <c r="E548" s="29">
        <f t="shared" si="136"/>
        <v>2951375000</v>
      </c>
    </row>
    <row r="549" spans="1:5">
      <c r="A549" s="8">
        <v>41310</v>
      </c>
      <c r="B549" s="9" t="s">
        <v>5</v>
      </c>
      <c r="C549" s="10">
        <v>32</v>
      </c>
      <c r="D549" s="28">
        <f t="shared" si="137"/>
        <v>473340000000</v>
      </c>
      <c r="E549" s="29">
        <f t="shared" si="136"/>
        <v>2958375000</v>
      </c>
    </row>
    <row r="550" spans="1:5">
      <c r="A550" s="8">
        <v>41311</v>
      </c>
      <c r="B550" s="9" t="s">
        <v>5</v>
      </c>
      <c r="C550" s="10">
        <v>32</v>
      </c>
      <c r="D550" s="28">
        <f t="shared" si="137"/>
        <v>474460000000</v>
      </c>
      <c r="E550" s="29">
        <f t="shared" si="136"/>
        <v>2965375000</v>
      </c>
    </row>
    <row r="551" spans="1:5">
      <c r="A551" s="8">
        <v>41312</v>
      </c>
      <c r="B551" s="9" t="s">
        <v>5</v>
      </c>
      <c r="C551" s="10">
        <v>32</v>
      </c>
      <c r="D551" s="28">
        <f t="shared" si="137"/>
        <v>475580000000</v>
      </c>
      <c r="E551" s="29">
        <f t="shared" si="136"/>
        <v>2972375000</v>
      </c>
    </row>
    <row r="552" spans="1:5">
      <c r="A552" s="8">
        <v>41313</v>
      </c>
      <c r="B552" s="9" t="s">
        <v>5</v>
      </c>
      <c r="C552" s="10">
        <v>32</v>
      </c>
      <c r="D552" s="28">
        <f t="shared" si="137"/>
        <v>476700000000</v>
      </c>
      <c r="E552" s="29">
        <f t="shared" si="136"/>
        <v>2979375000</v>
      </c>
    </row>
    <row r="553" spans="1:5">
      <c r="A553" s="8">
        <v>41314</v>
      </c>
      <c r="B553" s="9" t="s">
        <v>5</v>
      </c>
      <c r="C553" s="10">
        <v>32</v>
      </c>
      <c r="D553" s="28">
        <f t="shared" si="137"/>
        <v>477820000000</v>
      </c>
      <c r="E553" s="29">
        <f t="shared" si="136"/>
        <v>2986375000</v>
      </c>
    </row>
    <row r="554" spans="1:5">
      <c r="A554" s="8">
        <v>41315</v>
      </c>
      <c r="B554" s="9" t="s">
        <v>5</v>
      </c>
      <c r="C554" s="10">
        <v>32</v>
      </c>
      <c r="D554" s="28">
        <f t="shared" si="137"/>
        <v>478940000000</v>
      </c>
      <c r="E554" s="29">
        <f t="shared" si="136"/>
        <v>2993375000</v>
      </c>
    </row>
    <row r="555" spans="1:5">
      <c r="A555" s="8">
        <v>41316</v>
      </c>
      <c r="B555" s="9" t="s">
        <v>5</v>
      </c>
      <c r="C555" s="10">
        <v>32</v>
      </c>
      <c r="D555" s="28">
        <f t="shared" si="137"/>
        <v>480060000000</v>
      </c>
      <c r="E555" s="29">
        <f t="shared" si="136"/>
        <v>3000375000</v>
      </c>
    </row>
    <row r="556" spans="1:5">
      <c r="A556" s="8">
        <v>41317</v>
      </c>
      <c r="B556" s="9" t="s">
        <v>5</v>
      </c>
      <c r="C556" s="10">
        <v>32</v>
      </c>
      <c r="D556" s="28">
        <f t="shared" si="137"/>
        <v>481180000000</v>
      </c>
      <c r="E556" s="29">
        <f t="shared" si="136"/>
        <v>3007375000</v>
      </c>
    </row>
    <row r="557" spans="1:5">
      <c r="A557" s="8">
        <v>41318</v>
      </c>
      <c r="B557" s="9" t="s">
        <v>5</v>
      </c>
      <c r="C557" s="10">
        <v>32</v>
      </c>
      <c r="D557" s="28">
        <f t="shared" si="137"/>
        <v>482300000000</v>
      </c>
      <c r="E557" s="29">
        <f t="shared" si="136"/>
        <v>3014375000</v>
      </c>
    </row>
    <row r="558" spans="1:5">
      <c r="A558" s="8">
        <v>41319</v>
      </c>
      <c r="B558" s="9" t="s">
        <v>5</v>
      </c>
      <c r="C558" s="10">
        <v>32</v>
      </c>
      <c r="D558" s="28">
        <f t="shared" si="137"/>
        <v>483420000000</v>
      </c>
      <c r="E558" s="29">
        <f t="shared" si="136"/>
        <v>3021375000</v>
      </c>
    </row>
    <row r="559" spans="1:5">
      <c r="A559" s="8">
        <v>41320</v>
      </c>
      <c r="B559" s="9" t="s">
        <v>5</v>
      </c>
      <c r="C559" s="10">
        <v>32</v>
      </c>
      <c r="D559" s="28">
        <f t="shared" si="137"/>
        <v>484540000000</v>
      </c>
      <c r="E559" s="29">
        <f t="shared" si="136"/>
        <v>3028375000</v>
      </c>
    </row>
    <row r="560" spans="1:5">
      <c r="A560" s="8">
        <v>41321</v>
      </c>
      <c r="B560" s="9" t="s">
        <v>5</v>
      </c>
      <c r="C560" s="10">
        <v>32</v>
      </c>
      <c r="D560" s="28">
        <f t="shared" si="137"/>
        <v>485660000000</v>
      </c>
      <c r="E560" s="29">
        <f t="shared" si="136"/>
        <v>3035375000</v>
      </c>
    </row>
    <row r="561" spans="1:5">
      <c r="A561" s="8">
        <v>41322</v>
      </c>
      <c r="B561" s="9" t="s">
        <v>5</v>
      </c>
      <c r="C561" s="10">
        <v>32</v>
      </c>
      <c r="D561" s="28">
        <f t="shared" si="137"/>
        <v>486780000000</v>
      </c>
      <c r="E561" s="29">
        <f t="shared" si="136"/>
        <v>3042375000</v>
      </c>
    </row>
    <row r="562" spans="1:5">
      <c r="A562" s="8">
        <v>41323</v>
      </c>
      <c r="B562" s="9" t="s">
        <v>5</v>
      </c>
      <c r="C562" s="10">
        <v>32</v>
      </c>
      <c r="D562" s="28">
        <f t="shared" si="137"/>
        <v>487900000000</v>
      </c>
      <c r="E562" s="29">
        <f t="shared" si="136"/>
        <v>3049375000</v>
      </c>
    </row>
    <row r="563" spans="1:5">
      <c r="A563" s="8">
        <v>41324</v>
      </c>
      <c r="B563" s="9" t="s">
        <v>5</v>
      </c>
      <c r="C563" s="10">
        <v>32</v>
      </c>
      <c r="D563" s="28">
        <f t="shared" si="137"/>
        <v>489020000000</v>
      </c>
      <c r="E563" s="29">
        <f t="shared" si="136"/>
        <v>3056375000</v>
      </c>
    </row>
    <row r="564" spans="1:5">
      <c r="A564" s="8">
        <v>41325</v>
      </c>
      <c r="B564" s="9" t="s">
        <v>5</v>
      </c>
      <c r="C564" s="10">
        <v>32</v>
      </c>
      <c r="D564" s="28">
        <f t="shared" si="137"/>
        <v>490140000000</v>
      </c>
      <c r="E564" s="29">
        <f t="shared" si="136"/>
        <v>3063375000</v>
      </c>
    </row>
    <row r="565" spans="1:5">
      <c r="A565" s="8">
        <v>41326</v>
      </c>
      <c r="B565" s="9" t="s">
        <v>5</v>
      </c>
      <c r="C565" s="10">
        <v>32</v>
      </c>
      <c r="D565" s="28">
        <f t="shared" si="137"/>
        <v>491260000000</v>
      </c>
      <c r="E565" s="29">
        <f t="shared" si="136"/>
        <v>3070375000</v>
      </c>
    </row>
    <row r="566" spans="1:5">
      <c r="A566" s="8">
        <v>41327</v>
      </c>
      <c r="B566" s="9" t="s">
        <v>5</v>
      </c>
      <c r="C566" s="10">
        <v>32</v>
      </c>
      <c r="D566" s="28">
        <f t="shared" si="137"/>
        <v>492380000000</v>
      </c>
      <c r="E566" s="29">
        <f t="shared" si="136"/>
        <v>3077375000</v>
      </c>
    </row>
    <row r="567" spans="1:5">
      <c r="A567" s="8">
        <v>41328</v>
      </c>
      <c r="B567" s="9" t="s">
        <v>5</v>
      </c>
      <c r="C567" s="10">
        <v>32</v>
      </c>
      <c r="D567" s="28">
        <f t="shared" si="137"/>
        <v>493500000000</v>
      </c>
      <c r="E567" s="29">
        <f t="shared" si="136"/>
        <v>3084375000</v>
      </c>
    </row>
    <row r="568" spans="1:5">
      <c r="A568" s="8">
        <v>41329</v>
      </c>
      <c r="B568" s="9" t="s">
        <v>5</v>
      </c>
      <c r="C568" s="10">
        <v>32</v>
      </c>
      <c r="D568" s="28">
        <f t="shared" si="137"/>
        <v>494620000000</v>
      </c>
      <c r="E568" s="29">
        <f t="shared" si="136"/>
        <v>3091375000</v>
      </c>
    </row>
    <row r="569" spans="1:5">
      <c r="A569" s="8">
        <v>41330</v>
      </c>
      <c r="B569" s="9" t="s">
        <v>5</v>
      </c>
      <c r="C569" s="10">
        <v>32</v>
      </c>
      <c r="D569" s="28">
        <f t="shared" si="137"/>
        <v>495740000000</v>
      </c>
      <c r="E569" s="29">
        <f t="shared" si="136"/>
        <v>3098375000</v>
      </c>
    </row>
    <row r="570" spans="1:5">
      <c r="A570" s="8">
        <v>41331</v>
      </c>
      <c r="B570" s="9" t="s">
        <v>5</v>
      </c>
      <c r="C570" s="10">
        <v>32</v>
      </c>
      <c r="D570" s="28">
        <f t="shared" si="137"/>
        <v>496860000000</v>
      </c>
      <c r="E570" s="29">
        <f t="shared" si="136"/>
        <v>3105375000</v>
      </c>
    </row>
    <row r="571" spans="1:5">
      <c r="A571" s="8">
        <v>41332</v>
      </c>
      <c r="B571" s="9" t="s">
        <v>5</v>
      </c>
      <c r="C571" s="10">
        <v>32</v>
      </c>
      <c r="D571" s="28">
        <f t="shared" si="137"/>
        <v>497980000000</v>
      </c>
      <c r="E571" s="29">
        <f t="shared" si="136"/>
        <v>3112375000</v>
      </c>
    </row>
    <row r="572" spans="1:5">
      <c r="A572" s="2">
        <v>41333</v>
      </c>
      <c r="B572" s="3" t="s">
        <v>5</v>
      </c>
      <c r="C572" s="4">
        <v>32</v>
      </c>
      <c r="D572" s="5">
        <f t="shared" si="137"/>
        <v>499100000000</v>
      </c>
      <c r="E572" s="6">
        <f t="shared" si="136"/>
        <v>3119375000</v>
      </c>
    </row>
    <row r="573" spans="1:5">
      <c r="A573" s="11"/>
      <c r="B573" s="12"/>
      <c r="C573" s="43"/>
      <c r="D573" s="14"/>
      <c r="E573" s="15"/>
    </row>
    <row r="574" spans="1:5">
      <c r="A574" s="11"/>
      <c r="B574" s="12"/>
      <c r="C574" s="43"/>
      <c r="D574" s="14"/>
      <c r="E574" s="15"/>
    </row>
    <row r="575" spans="1:5">
      <c r="A575" s="11"/>
      <c r="B575" s="12"/>
      <c r="C575" s="43"/>
      <c r="D575" s="14"/>
      <c r="E575" s="15"/>
    </row>
    <row r="576" spans="1:5">
      <c r="A576" s="11"/>
      <c r="B576" s="12"/>
      <c r="C576" s="43"/>
      <c r="D576" s="14"/>
      <c r="E576" s="15"/>
    </row>
    <row r="577" spans="1:5">
      <c r="A577" s="11"/>
      <c r="B577" s="12"/>
      <c r="C577" s="43"/>
      <c r="D577" s="14"/>
      <c r="E577" s="15"/>
    </row>
    <row r="578" spans="1:5">
      <c r="A578" s="11"/>
      <c r="B578" s="12"/>
      <c r="C578" s="43"/>
      <c r="D578" s="14"/>
      <c r="E578" s="15"/>
    </row>
    <row r="579" spans="1:5">
      <c r="A579" s="11"/>
      <c r="B579" s="12"/>
      <c r="C579" s="43"/>
      <c r="D579" s="14"/>
      <c r="E579" s="15"/>
    </row>
    <row r="580" spans="1:5">
      <c r="A580" s="11"/>
      <c r="B580" s="12"/>
      <c r="C580" s="43"/>
      <c r="D580" s="14"/>
      <c r="E580" s="15"/>
    </row>
    <row r="581" spans="1:5">
      <c r="A581" s="8">
        <v>41334</v>
      </c>
      <c r="B581" s="9" t="s">
        <v>5</v>
      </c>
      <c r="C581" s="10">
        <v>32</v>
      </c>
      <c r="D581" s="28">
        <f>(35000000*C581)+D572</f>
        <v>500220000000</v>
      </c>
      <c r="E581" s="29">
        <f t="shared" ref="E581:E612" si="138">D581/160</f>
        <v>3126375000</v>
      </c>
    </row>
    <row r="582" spans="1:5">
      <c r="A582" s="8">
        <v>41335</v>
      </c>
      <c r="B582" s="9" t="s">
        <v>5</v>
      </c>
      <c r="C582" s="10">
        <v>32</v>
      </c>
      <c r="D582" s="28">
        <f t="shared" ref="D582:D611" si="139">(35000000*C582)+D581</f>
        <v>501340000000</v>
      </c>
      <c r="E582" s="29">
        <f t="shared" si="138"/>
        <v>3133375000</v>
      </c>
    </row>
    <row r="583" spans="1:5">
      <c r="A583" s="8">
        <v>41336</v>
      </c>
      <c r="B583" s="9" t="s">
        <v>5</v>
      </c>
      <c r="C583" s="10">
        <v>32</v>
      </c>
      <c r="D583" s="28">
        <f t="shared" si="139"/>
        <v>502460000000</v>
      </c>
      <c r="E583" s="29">
        <f t="shared" si="138"/>
        <v>3140375000</v>
      </c>
    </row>
    <row r="584" spans="1:5">
      <c r="A584" s="8">
        <v>41337</v>
      </c>
      <c r="B584" s="9" t="s">
        <v>5</v>
      </c>
      <c r="C584" s="10">
        <v>32</v>
      </c>
      <c r="D584" s="28">
        <f t="shared" si="139"/>
        <v>503580000000</v>
      </c>
      <c r="E584" s="29">
        <f t="shared" si="138"/>
        <v>3147375000</v>
      </c>
    </row>
    <row r="585" spans="1:5">
      <c r="A585" s="8">
        <v>41338</v>
      </c>
      <c r="B585" s="9" t="s">
        <v>5</v>
      </c>
      <c r="C585" s="10">
        <v>32</v>
      </c>
      <c r="D585" s="28">
        <f t="shared" si="139"/>
        <v>504700000000</v>
      </c>
      <c r="E585" s="29">
        <f t="shared" si="138"/>
        <v>3154375000</v>
      </c>
    </row>
    <row r="586" spans="1:5">
      <c r="A586" s="8">
        <v>41339</v>
      </c>
      <c r="B586" s="9" t="s">
        <v>5</v>
      </c>
      <c r="C586" s="10">
        <v>32</v>
      </c>
      <c r="D586" s="28">
        <f t="shared" si="139"/>
        <v>505820000000</v>
      </c>
      <c r="E586" s="29">
        <f t="shared" si="138"/>
        <v>3161375000</v>
      </c>
    </row>
    <row r="587" spans="1:5">
      <c r="A587" s="8">
        <v>41340</v>
      </c>
      <c r="B587" s="9" t="s">
        <v>5</v>
      </c>
      <c r="C587" s="10">
        <v>32</v>
      </c>
      <c r="D587" s="28">
        <f t="shared" si="139"/>
        <v>506940000000</v>
      </c>
      <c r="E587" s="29">
        <f t="shared" si="138"/>
        <v>3168375000</v>
      </c>
    </row>
    <row r="588" spans="1:5">
      <c r="A588" s="8">
        <v>41341</v>
      </c>
      <c r="B588" s="9" t="s">
        <v>5</v>
      </c>
      <c r="C588" s="10">
        <v>32</v>
      </c>
      <c r="D588" s="28">
        <f t="shared" si="139"/>
        <v>508060000000</v>
      </c>
      <c r="E588" s="29">
        <f t="shared" si="138"/>
        <v>3175375000</v>
      </c>
    </row>
    <row r="589" spans="1:5">
      <c r="A589" s="8">
        <v>41342</v>
      </c>
      <c r="B589" s="9" t="s">
        <v>5</v>
      </c>
      <c r="C589" s="10">
        <v>32</v>
      </c>
      <c r="D589" s="28">
        <f t="shared" si="139"/>
        <v>509180000000</v>
      </c>
      <c r="E589" s="29">
        <f t="shared" si="138"/>
        <v>3182375000</v>
      </c>
    </row>
    <row r="590" spans="1:5">
      <c r="A590" s="8">
        <v>41343</v>
      </c>
      <c r="B590" s="9" t="s">
        <v>5</v>
      </c>
      <c r="C590" s="10">
        <v>32</v>
      </c>
      <c r="D590" s="28">
        <f t="shared" si="139"/>
        <v>510300000000</v>
      </c>
      <c r="E590" s="29">
        <f t="shared" si="138"/>
        <v>3189375000</v>
      </c>
    </row>
    <row r="591" spans="1:5">
      <c r="A591" s="8">
        <v>41344</v>
      </c>
      <c r="B591" s="9" t="s">
        <v>5</v>
      </c>
      <c r="C591" s="10">
        <v>32</v>
      </c>
      <c r="D591" s="28">
        <f t="shared" si="139"/>
        <v>511420000000</v>
      </c>
      <c r="E591" s="29">
        <f t="shared" si="138"/>
        <v>3196375000</v>
      </c>
    </row>
    <row r="592" spans="1:5">
      <c r="A592" s="8">
        <v>41345</v>
      </c>
      <c r="B592" s="9" t="s">
        <v>5</v>
      </c>
      <c r="C592" s="10">
        <v>32</v>
      </c>
      <c r="D592" s="28">
        <f t="shared" si="139"/>
        <v>512540000000</v>
      </c>
      <c r="E592" s="29">
        <f t="shared" si="138"/>
        <v>3203375000</v>
      </c>
    </row>
    <row r="593" spans="1:5">
      <c r="A593" s="8">
        <v>41346</v>
      </c>
      <c r="B593" s="9" t="s">
        <v>5</v>
      </c>
      <c r="C593" s="10">
        <v>32</v>
      </c>
      <c r="D593" s="28">
        <f t="shared" si="139"/>
        <v>513660000000</v>
      </c>
      <c r="E593" s="29">
        <f t="shared" si="138"/>
        <v>3210375000</v>
      </c>
    </row>
    <row r="594" spans="1:5">
      <c r="A594" s="8">
        <v>41347</v>
      </c>
      <c r="B594" s="9" t="s">
        <v>5</v>
      </c>
      <c r="C594" s="10">
        <v>32</v>
      </c>
      <c r="D594" s="28">
        <f t="shared" si="139"/>
        <v>514780000000</v>
      </c>
      <c r="E594" s="29">
        <f t="shared" si="138"/>
        <v>3217375000</v>
      </c>
    </row>
    <row r="595" spans="1:5">
      <c r="A595" s="8">
        <v>41348</v>
      </c>
      <c r="B595" s="9" t="s">
        <v>5</v>
      </c>
      <c r="C595" s="10">
        <v>32</v>
      </c>
      <c r="D595" s="28">
        <f t="shared" si="139"/>
        <v>515900000000</v>
      </c>
      <c r="E595" s="29">
        <f t="shared" si="138"/>
        <v>3224375000</v>
      </c>
    </row>
    <row r="596" spans="1:5">
      <c r="A596" s="8">
        <v>41349</v>
      </c>
      <c r="B596" s="9" t="s">
        <v>5</v>
      </c>
      <c r="C596" s="10">
        <v>32</v>
      </c>
      <c r="D596" s="28">
        <f t="shared" si="139"/>
        <v>517020000000</v>
      </c>
      <c r="E596" s="29">
        <f t="shared" si="138"/>
        <v>3231375000</v>
      </c>
    </row>
    <row r="597" spans="1:5">
      <c r="A597" s="8">
        <v>41350</v>
      </c>
      <c r="B597" s="9" t="s">
        <v>5</v>
      </c>
      <c r="C597" s="10">
        <v>32</v>
      </c>
      <c r="D597" s="28">
        <f t="shared" si="139"/>
        <v>518140000000</v>
      </c>
      <c r="E597" s="29">
        <f t="shared" si="138"/>
        <v>3238375000</v>
      </c>
    </row>
    <row r="598" spans="1:5">
      <c r="A598" s="8">
        <v>41351</v>
      </c>
      <c r="B598" s="9" t="s">
        <v>5</v>
      </c>
      <c r="C598" s="10">
        <v>32</v>
      </c>
      <c r="D598" s="28">
        <f t="shared" si="139"/>
        <v>519260000000</v>
      </c>
      <c r="E598" s="29">
        <f t="shared" si="138"/>
        <v>3245375000</v>
      </c>
    </row>
    <row r="599" spans="1:5">
      <c r="A599" s="8">
        <v>41352</v>
      </c>
      <c r="B599" s="9" t="s">
        <v>5</v>
      </c>
      <c r="C599" s="10">
        <v>32</v>
      </c>
      <c r="D599" s="28">
        <f t="shared" si="139"/>
        <v>520380000000</v>
      </c>
      <c r="E599" s="29">
        <f t="shared" si="138"/>
        <v>3252375000</v>
      </c>
    </row>
    <row r="600" spans="1:5">
      <c r="A600" s="8">
        <v>41353</v>
      </c>
      <c r="B600" s="9" t="s">
        <v>5</v>
      </c>
      <c r="C600" s="10">
        <v>32</v>
      </c>
      <c r="D600" s="28">
        <f t="shared" si="139"/>
        <v>521500000000</v>
      </c>
      <c r="E600" s="29">
        <f t="shared" si="138"/>
        <v>3259375000</v>
      </c>
    </row>
    <row r="601" spans="1:5">
      <c r="A601" s="8">
        <v>41354</v>
      </c>
      <c r="B601" s="9" t="s">
        <v>5</v>
      </c>
      <c r="C601" s="10">
        <v>32</v>
      </c>
      <c r="D601" s="28">
        <f t="shared" si="139"/>
        <v>522620000000</v>
      </c>
      <c r="E601" s="29">
        <f t="shared" si="138"/>
        <v>3266375000</v>
      </c>
    </row>
    <row r="602" spans="1:5">
      <c r="A602" s="8">
        <v>41355</v>
      </c>
      <c r="B602" s="9" t="s">
        <v>5</v>
      </c>
      <c r="C602" s="10">
        <v>32</v>
      </c>
      <c r="D602" s="28">
        <f t="shared" si="139"/>
        <v>523740000000</v>
      </c>
      <c r="E602" s="29">
        <f t="shared" si="138"/>
        <v>3273375000</v>
      </c>
    </row>
    <row r="603" spans="1:5">
      <c r="A603" s="8">
        <v>41356</v>
      </c>
      <c r="B603" s="9" t="s">
        <v>5</v>
      </c>
      <c r="C603" s="10">
        <v>32</v>
      </c>
      <c r="D603" s="28">
        <f t="shared" si="139"/>
        <v>524860000000</v>
      </c>
      <c r="E603" s="29">
        <f t="shared" si="138"/>
        <v>3280375000</v>
      </c>
    </row>
    <row r="604" spans="1:5">
      <c r="A604" s="8">
        <v>41357</v>
      </c>
      <c r="B604" s="9" t="s">
        <v>5</v>
      </c>
      <c r="C604" s="10">
        <v>32</v>
      </c>
      <c r="D604" s="28">
        <f t="shared" si="139"/>
        <v>525980000000</v>
      </c>
      <c r="E604" s="29">
        <f t="shared" si="138"/>
        <v>3287375000</v>
      </c>
    </row>
    <row r="605" spans="1:5">
      <c r="A605" s="8">
        <v>41358</v>
      </c>
      <c r="B605" s="9" t="s">
        <v>5</v>
      </c>
      <c r="C605" s="10">
        <v>32</v>
      </c>
      <c r="D605" s="28">
        <f t="shared" si="139"/>
        <v>527100000000</v>
      </c>
      <c r="E605" s="29">
        <f t="shared" si="138"/>
        <v>3294375000</v>
      </c>
    </row>
    <row r="606" spans="1:5">
      <c r="A606" s="8">
        <v>41359</v>
      </c>
      <c r="B606" s="9" t="s">
        <v>5</v>
      </c>
      <c r="C606" s="10">
        <v>32</v>
      </c>
      <c r="D606" s="28">
        <f t="shared" si="139"/>
        <v>528220000000</v>
      </c>
      <c r="E606" s="29">
        <f t="shared" si="138"/>
        <v>3301375000</v>
      </c>
    </row>
    <row r="607" spans="1:5">
      <c r="A607" s="8">
        <v>41360</v>
      </c>
      <c r="B607" s="9" t="s">
        <v>5</v>
      </c>
      <c r="C607" s="10">
        <v>32</v>
      </c>
      <c r="D607" s="28">
        <f t="shared" si="139"/>
        <v>529340000000</v>
      </c>
      <c r="E607" s="29">
        <f t="shared" si="138"/>
        <v>3308375000</v>
      </c>
    </row>
    <row r="608" spans="1:5">
      <c r="A608" s="8">
        <v>41361</v>
      </c>
      <c r="B608" s="9" t="s">
        <v>5</v>
      </c>
      <c r="C608" s="10">
        <v>32</v>
      </c>
      <c r="D608" s="28">
        <f t="shared" si="139"/>
        <v>530460000000</v>
      </c>
      <c r="E608" s="29">
        <f t="shared" si="138"/>
        <v>3315375000</v>
      </c>
    </row>
    <row r="609" spans="1:5">
      <c r="A609" s="8">
        <v>41362</v>
      </c>
      <c r="B609" s="9" t="s">
        <v>5</v>
      </c>
      <c r="C609" s="10">
        <v>32</v>
      </c>
      <c r="D609" s="28">
        <f t="shared" si="139"/>
        <v>531580000000</v>
      </c>
      <c r="E609" s="29">
        <f t="shared" si="138"/>
        <v>3322375000</v>
      </c>
    </row>
    <row r="610" spans="1:5">
      <c r="A610" s="8">
        <v>41363</v>
      </c>
      <c r="B610" s="9" t="s">
        <v>5</v>
      </c>
      <c r="C610" s="10">
        <v>32</v>
      </c>
      <c r="D610" s="28">
        <f t="shared" si="139"/>
        <v>532700000000</v>
      </c>
      <c r="E610" s="29">
        <f t="shared" si="138"/>
        <v>3329375000</v>
      </c>
    </row>
    <row r="611" spans="1:5">
      <c r="A611" s="2">
        <v>41364</v>
      </c>
      <c r="B611" s="3" t="s">
        <v>5</v>
      </c>
      <c r="C611" s="4">
        <v>32</v>
      </c>
      <c r="D611" s="5">
        <f t="shared" si="139"/>
        <v>533820000000</v>
      </c>
      <c r="E611" s="6">
        <f t="shared" si="138"/>
        <v>3336375000</v>
      </c>
    </row>
    <row r="612" spans="1:5">
      <c r="A612" s="11"/>
      <c r="B612" s="12"/>
      <c r="C612" s="44"/>
      <c r="D612" s="14"/>
      <c r="E612" s="15"/>
    </row>
    <row r="613" spans="1:5">
      <c r="A613" s="11"/>
      <c r="B613" s="12"/>
      <c r="C613" s="44"/>
      <c r="D613" s="14"/>
      <c r="E613" s="15"/>
    </row>
    <row r="614" spans="1:5">
      <c r="A614" s="11"/>
      <c r="B614" s="12"/>
      <c r="C614" s="44"/>
      <c r="D614" s="14"/>
      <c r="E614" s="15"/>
    </row>
    <row r="615" spans="1:5">
      <c r="A615" s="11"/>
      <c r="B615" s="12"/>
      <c r="C615" s="44"/>
      <c r="D615" s="14"/>
      <c r="E615" s="15"/>
    </row>
    <row r="616" spans="1:5">
      <c r="A616" s="11"/>
      <c r="B616" s="12"/>
      <c r="C616" s="44"/>
      <c r="D616" s="14"/>
      <c r="E616" s="15"/>
    </row>
    <row r="617" spans="1:5">
      <c r="A617" s="8">
        <v>41365</v>
      </c>
      <c r="B617" s="9" t="s">
        <v>5</v>
      </c>
      <c r="C617" s="10">
        <v>32</v>
      </c>
      <c r="D617" s="28">
        <f>(35000000*C617)+D611</f>
        <v>534940000000</v>
      </c>
      <c r="E617" s="29">
        <f t="shared" ref="E617:E647" si="140">D617/160</f>
        <v>3343375000</v>
      </c>
    </row>
    <row r="618" spans="1:5">
      <c r="A618" s="8">
        <v>41366</v>
      </c>
      <c r="B618" s="9" t="s">
        <v>5</v>
      </c>
      <c r="C618" s="10">
        <v>32</v>
      </c>
      <c r="D618" s="28">
        <f t="shared" ref="D618:D646" si="141">(35000000*C618)+D617</f>
        <v>536060000000</v>
      </c>
      <c r="E618" s="29">
        <f t="shared" si="140"/>
        <v>3350375000</v>
      </c>
    </row>
    <row r="619" spans="1:5">
      <c r="A619" s="8">
        <v>41367</v>
      </c>
      <c r="B619" s="9" t="s">
        <v>5</v>
      </c>
      <c r="C619" s="10">
        <v>32</v>
      </c>
      <c r="D619" s="28">
        <f t="shared" si="141"/>
        <v>537180000000</v>
      </c>
      <c r="E619" s="29">
        <f t="shared" si="140"/>
        <v>3357375000</v>
      </c>
    </row>
    <row r="620" spans="1:5">
      <c r="A620" s="8">
        <v>41368</v>
      </c>
      <c r="B620" s="9" t="s">
        <v>5</v>
      </c>
      <c r="C620" s="10">
        <v>32</v>
      </c>
      <c r="D620" s="28">
        <f t="shared" si="141"/>
        <v>538300000000</v>
      </c>
      <c r="E620" s="29">
        <f t="shared" si="140"/>
        <v>3364375000</v>
      </c>
    </row>
    <row r="621" spans="1:5">
      <c r="A621" s="8">
        <v>41369</v>
      </c>
      <c r="B621" s="9" t="s">
        <v>5</v>
      </c>
      <c r="C621" s="10">
        <v>32</v>
      </c>
      <c r="D621" s="28">
        <f t="shared" si="141"/>
        <v>539420000000</v>
      </c>
      <c r="E621" s="29">
        <f t="shared" si="140"/>
        <v>3371375000</v>
      </c>
    </row>
    <row r="622" spans="1:5">
      <c r="A622" s="8">
        <v>41370</v>
      </c>
      <c r="B622" s="9" t="s">
        <v>5</v>
      </c>
      <c r="C622" s="10">
        <v>32</v>
      </c>
      <c r="D622" s="28">
        <f t="shared" si="141"/>
        <v>540540000000</v>
      </c>
      <c r="E622" s="29">
        <f t="shared" si="140"/>
        <v>3378375000</v>
      </c>
    </row>
    <row r="623" spans="1:5">
      <c r="A623" s="8">
        <v>41371</v>
      </c>
      <c r="B623" s="9" t="s">
        <v>5</v>
      </c>
      <c r="C623" s="10">
        <v>32</v>
      </c>
      <c r="D623" s="28">
        <f t="shared" si="141"/>
        <v>541660000000</v>
      </c>
      <c r="E623" s="29">
        <f t="shared" si="140"/>
        <v>3385375000</v>
      </c>
    </row>
    <row r="624" spans="1:5">
      <c r="A624" s="8">
        <v>41372</v>
      </c>
      <c r="B624" s="9" t="s">
        <v>5</v>
      </c>
      <c r="C624" s="10">
        <v>32</v>
      </c>
      <c r="D624" s="28">
        <f t="shared" si="141"/>
        <v>542780000000</v>
      </c>
      <c r="E624" s="29">
        <f t="shared" si="140"/>
        <v>3392375000</v>
      </c>
    </row>
    <row r="625" spans="1:5">
      <c r="A625" s="8">
        <v>41373</v>
      </c>
      <c r="B625" s="9" t="s">
        <v>5</v>
      </c>
      <c r="C625" s="10">
        <v>32</v>
      </c>
      <c r="D625" s="28">
        <f t="shared" si="141"/>
        <v>543900000000</v>
      </c>
      <c r="E625" s="29">
        <f t="shared" si="140"/>
        <v>3399375000</v>
      </c>
    </row>
    <row r="626" spans="1:5">
      <c r="A626" s="8">
        <v>41374</v>
      </c>
      <c r="B626" s="9" t="s">
        <v>5</v>
      </c>
      <c r="C626" s="10">
        <v>32</v>
      </c>
      <c r="D626" s="28">
        <f t="shared" si="141"/>
        <v>545020000000</v>
      </c>
      <c r="E626" s="29">
        <f t="shared" si="140"/>
        <v>3406375000</v>
      </c>
    </row>
    <row r="627" spans="1:5">
      <c r="A627" s="8">
        <v>41375</v>
      </c>
      <c r="B627" s="9" t="s">
        <v>5</v>
      </c>
      <c r="C627" s="10">
        <v>32</v>
      </c>
      <c r="D627" s="28">
        <f t="shared" si="141"/>
        <v>546140000000</v>
      </c>
      <c r="E627" s="29">
        <f t="shared" si="140"/>
        <v>3413375000</v>
      </c>
    </row>
    <row r="628" spans="1:5">
      <c r="A628" s="8">
        <v>41376</v>
      </c>
      <c r="B628" s="9" t="s">
        <v>5</v>
      </c>
      <c r="C628" s="10">
        <v>32</v>
      </c>
      <c r="D628" s="28">
        <f t="shared" si="141"/>
        <v>547260000000</v>
      </c>
      <c r="E628" s="29">
        <f t="shared" si="140"/>
        <v>3420375000</v>
      </c>
    </row>
    <row r="629" spans="1:5">
      <c r="A629" s="8">
        <v>41377</v>
      </c>
      <c r="B629" s="9" t="s">
        <v>5</v>
      </c>
      <c r="C629" s="10">
        <v>32</v>
      </c>
      <c r="D629" s="28">
        <f t="shared" si="141"/>
        <v>548380000000</v>
      </c>
      <c r="E629" s="29">
        <f t="shared" si="140"/>
        <v>3427375000</v>
      </c>
    </row>
    <row r="630" spans="1:5">
      <c r="A630" s="8">
        <v>41378</v>
      </c>
      <c r="B630" s="9" t="s">
        <v>5</v>
      </c>
      <c r="C630" s="10">
        <v>32</v>
      </c>
      <c r="D630" s="28">
        <f t="shared" si="141"/>
        <v>549500000000</v>
      </c>
      <c r="E630" s="29">
        <f t="shared" si="140"/>
        <v>3434375000</v>
      </c>
    </row>
    <row r="631" spans="1:5">
      <c r="A631" s="8">
        <v>41379</v>
      </c>
      <c r="B631" s="9" t="s">
        <v>5</v>
      </c>
      <c r="C631" s="10">
        <v>32</v>
      </c>
      <c r="D631" s="28">
        <f t="shared" si="141"/>
        <v>550620000000</v>
      </c>
      <c r="E631" s="29">
        <f t="shared" si="140"/>
        <v>3441375000</v>
      </c>
    </row>
    <row r="632" spans="1:5">
      <c r="A632" s="8">
        <v>41380</v>
      </c>
      <c r="B632" s="9" t="s">
        <v>5</v>
      </c>
      <c r="C632" s="10">
        <v>32</v>
      </c>
      <c r="D632" s="28">
        <f t="shared" si="141"/>
        <v>551740000000</v>
      </c>
      <c r="E632" s="29">
        <f t="shared" si="140"/>
        <v>3448375000</v>
      </c>
    </row>
    <row r="633" spans="1:5">
      <c r="A633" s="8">
        <v>41381</v>
      </c>
      <c r="B633" s="9" t="s">
        <v>5</v>
      </c>
      <c r="C633" s="10">
        <v>32</v>
      </c>
      <c r="D633" s="28">
        <f t="shared" si="141"/>
        <v>552860000000</v>
      </c>
      <c r="E633" s="29">
        <f t="shared" si="140"/>
        <v>3455375000</v>
      </c>
    </row>
    <row r="634" spans="1:5">
      <c r="A634" s="8">
        <v>41382</v>
      </c>
      <c r="B634" s="9" t="s">
        <v>5</v>
      </c>
      <c r="C634" s="10">
        <v>32</v>
      </c>
      <c r="D634" s="28">
        <f t="shared" si="141"/>
        <v>553980000000</v>
      </c>
      <c r="E634" s="29">
        <f t="shared" si="140"/>
        <v>3462375000</v>
      </c>
    </row>
    <row r="635" spans="1:5">
      <c r="A635" s="8">
        <v>41383</v>
      </c>
      <c r="B635" s="9" t="s">
        <v>5</v>
      </c>
      <c r="C635" s="10">
        <v>32</v>
      </c>
      <c r="D635" s="28">
        <f t="shared" si="141"/>
        <v>555100000000</v>
      </c>
      <c r="E635" s="29">
        <f t="shared" si="140"/>
        <v>3469375000</v>
      </c>
    </row>
    <row r="636" spans="1:5">
      <c r="A636" s="8">
        <v>41384</v>
      </c>
      <c r="B636" s="9" t="s">
        <v>5</v>
      </c>
      <c r="C636" s="10">
        <v>32</v>
      </c>
      <c r="D636" s="28">
        <f t="shared" si="141"/>
        <v>556220000000</v>
      </c>
      <c r="E636" s="29">
        <f t="shared" si="140"/>
        <v>3476375000</v>
      </c>
    </row>
    <row r="637" spans="1:5">
      <c r="A637" s="8">
        <v>41385</v>
      </c>
      <c r="B637" s="9" t="s">
        <v>5</v>
      </c>
      <c r="C637" s="10">
        <v>32</v>
      </c>
      <c r="D637" s="28">
        <f t="shared" si="141"/>
        <v>557340000000</v>
      </c>
      <c r="E637" s="29">
        <f t="shared" si="140"/>
        <v>3483375000</v>
      </c>
    </row>
    <row r="638" spans="1:5">
      <c r="A638" s="8">
        <v>41386</v>
      </c>
      <c r="B638" s="9" t="s">
        <v>5</v>
      </c>
      <c r="C638" s="10">
        <v>32</v>
      </c>
      <c r="D638" s="28">
        <f t="shared" si="141"/>
        <v>558460000000</v>
      </c>
      <c r="E638" s="29">
        <f t="shared" si="140"/>
        <v>3490375000</v>
      </c>
    </row>
    <row r="639" spans="1:5">
      <c r="A639" s="8">
        <v>41387</v>
      </c>
      <c r="B639" s="9" t="s">
        <v>5</v>
      </c>
      <c r="C639" s="10">
        <v>32</v>
      </c>
      <c r="D639" s="28">
        <f t="shared" si="141"/>
        <v>559580000000</v>
      </c>
      <c r="E639" s="29">
        <f t="shared" si="140"/>
        <v>3497375000</v>
      </c>
    </row>
    <row r="640" spans="1:5">
      <c r="A640" s="8">
        <v>41388</v>
      </c>
      <c r="B640" s="9" t="s">
        <v>5</v>
      </c>
      <c r="C640" s="10">
        <v>32</v>
      </c>
      <c r="D640" s="28">
        <f t="shared" si="141"/>
        <v>560700000000</v>
      </c>
      <c r="E640" s="29">
        <f t="shared" si="140"/>
        <v>3504375000</v>
      </c>
    </row>
    <row r="641" spans="1:5">
      <c r="A641" s="8">
        <v>41389</v>
      </c>
      <c r="B641" s="9" t="s">
        <v>5</v>
      </c>
      <c r="C641" s="10">
        <v>32</v>
      </c>
      <c r="D641" s="28">
        <f t="shared" si="141"/>
        <v>561820000000</v>
      </c>
      <c r="E641" s="29">
        <f t="shared" si="140"/>
        <v>3511375000</v>
      </c>
    </row>
    <row r="642" spans="1:5">
      <c r="A642" s="8">
        <v>41390</v>
      </c>
      <c r="B642" s="9" t="s">
        <v>5</v>
      </c>
      <c r="C642" s="10">
        <v>32</v>
      </c>
      <c r="D642" s="28">
        <f t="shared" si="141"/>
        <v>562940000000</v>
      </c>
      <c r="E642" s="29">
        <f t="shared" si="140"/>
        <v>3518375000</v>
      </c>
    </row>
    <row r="643" spans="1:5">
      <c r="A643" s="8">
        <v>41391</v>
      </c>
      <c r="B643" s="9" t="s">
        <v>5</v>
      </c>
      <c r="C643" s="10">
        <v>32</v>
      </c>
      <c r="D643" s="28">
        <f t="shared" si="141"/>
        <v>564060000000</v>
      </c>
      <c r="E643" s="29">
        <f t="shared" si="140"/>
        <v>3525375000</v>
      </c>
    </row>
    <row r="644" spans="1:5">
      <c r="A644" s="8">
        <v>41392</v>
      </c>
      <c r="B644" s="9" t="s">
        <v>5</v>
      </c>
      <c r="C644" s="10">
        <v>32</v>
      </c>
      <c r="D644" s="28">
        <f t="shared" si="141"/>
        <v>565180000000</v>
      </c>
      <c r="E644" s="29">
        <f t="shared" si="140"/>
        <v>3532375000</v>
      </c>
    </row>
    <row r="645" spans="1:5">
      <c r="A645" s="33">
        <v>41393</v>
      </c>
      <c r="B645" s="34" t="s">
        <v>5</v>
      </c>
      <c r="C645" s="35">
        <v>32</v>
      </c>
      <c r="D645" s="36">
        <f t="shared" si="141"/>
        <v>566300000000</v>
      </c>
      <c r="E645" s="37">
        <f t="shared" si="140"/>
        <v>3539375000</v>
      </c>
    </row>
    <row r="646" spans="1:5">
      <c r="A646" s="2">
        <v>41394</v>
      </c>
      <c r="B646" s="3" t="s">
        <v>5</v>
      </c>
      <c r="C646" s="4">
        <v>32</v>
      </c>
      <c r="D646" s="5">
        <f t="shared" si="141"/>
        <v>567420000000</v>
      </c>
      <c r="E646" s="6">
        <f t="shared" si="140"/>
        <v>3546375000</v>
      </c>
    </row>
    <row r="647" spans="1:5" s="12" customFormat="1">
      <c r="A647" s="11"/>
      <c r="C647" s="45"/>
      <c r="D647" s="14"/>
      <c r="E647" s="15"/>
    </row>
    <row r="648" spans="1:5" s="12" customFormat="1">
      <c r="A648" s="11"/>
      <c r="C648" s="45"/>
      <c r="D648" s="14"/>
      <c r="E648" s="15"/>
    </row>
    <row r="649" spans="1:5" s="12" customFormat="1">
      <c r="A649" s="11"/>
      <c r="C649" s="45"/>
      <c r="D649" s="14"/>
      <c r="E649" s="15"/>
    </row>
    <row r="650" spans="1:5" s="12" customFormat="1">
      <c r="A650" s="11"/>
      <c r="C650" s="45"/>
      <c r="D650" s="14"/>
      <c r="E650" s="15"/>
    </row>
    <row r="651" spans="1:5" s="12" customFormat="1">
      <c r="A651" s="11"/>
      <c r="C651" s="45"/>
      <c r="D651" s="14"/>
      <c r="E651" s="15"/>
    </row>
    <row r="652" spans="1:5" s="12" customFormat="1">
      <c r="A652" s="11"/>
      <c r="C652" s="45"/>
      <c r="D652" s="14"/>
      <c r="E652" s="15"/>
    </row>
    <row r="653" spans="1:5">
      <c r="A653" s="8">
        <v>41395</v>
      </c>
      <c r="B653" s="9" t="s">
        <v>5</v>
      </c>
      <c r="C653" s="10">
        <v>32</v>
      </c>
      <c r="D653" s="28">
        <f>(35000000*C653)+D646</f>
        <v>568540000000</v>
      </c>
      <c r="E653" s="29">
        <f t="shared" ref="E653:E684" si="142">D653/160</f>
        <v>3553375000</v>
      </c>
    </row>
    <row r="654" spans="1:5">
      <c r="A654" s="8">
        <v>41396</v>
      </c>
      <c r="B654" s="9" t="s">
        <v>5</v>
      </c>
      <c r="C654" s="10">
        <v>32</v>
      </c>
      <c r="D654" s="28">
        <f t="shared" ref="D654:D683" si="143">(35000000*C654)+D653</f>
        <v>569660000000</v>
      </c>
      <c r="E654" s="29">
        <f t="shared" si="142"/>
        <v>3560375000</v>
      </c>
    </row>
    <row r="655" spans="1:5">
      <c r="A655" s="8">
        <v>41397</v>
      </c>
      <c r="B655" s="9" t="s">
        <v>5</v>
      </c>
      <c r="C655" s="10">
        <v>32</v>
      </c>
      <c r="D655" s="28">
        <f t="shared" si="143"/>
        <v>570780000000</v>
      </c>
      <c r="E655" s="29">
        <f t="shared" si="142"/>
        <v>3567375000</v>
      </c>
    </row>
    <row r="656" spans="1:5">
      <c r="A656" s="8">
        <v>41398</v>
      </c>
      <c r="B656" s="9" t="s">
        <v>5</v>
      </c>
      <c r="C656" s="10">
        <v>32</v>
      </c>
      <c r="D656" s="28">
        <f t="shared" si="143"/>
        <v>571900000000</v>
      </c>
      <c r="E656" s="29">
        <f t="shared" si="142"/>
        <v>3574375000</v>
      </c>
    </row>
    <row r="657" spans="1:5">
      <c r="A657" s="8">
        <v>41399</v>
      </c>
      <c r="B657" s="9" t="s">
        <v>5</v>
      </c>
      <c r="C657" s="10">
        <v>32</v>
      </c>
      <c r="D657" s="28">
        <f t="shared" si="143"/>
        <v>573020000000</v>
      </c>
      <c r="E657" s="29">
        <f t="shared" si="142"/>
        <v>3581375000</v>
      </c>
    </row>
    <row r="658" spans="1:5">
      <c r="A658" s="8">
        <v>41400</v>
      </c>
      <c r="B658" s="9" t="s">
        <v>5</v>
      </c>
      <c r="C658" s="10">
        <v>32</v>
      </c>
      <c r="D658" s="28">
        <f t="shared" si="143"/>
        <v>574140000000</v>
      </c>
      <c r="E658" s="29">
        <f t="shared" si="142"/>
        <v>3588375000</v>
      </c>
    </row>
    <row r="659" spans="1:5">
      <c r="A659" s="8">
        <v>41401</v>
      </c>
      <c r="B659" s="9" t="s">
        <v>5</v>
      </c>
      <c r="C659" s="10">
        <v>32</v>
      </c>
      <c r="D659" s="28">
        <f t="shared" si="143"/>
        <v>575260000000</v>
      </c>
      <c r="E659" s="29">
        <f t="shared" si="142"/>
        <v>3595375000</v>
      </c>
    </row>
    <row r="660" spans="1:5">
      <c r="A660" s="8">
        <v>41402</v>
      </c>
      <c r="B660" s="9" t="s">
        <v>5</v>
      </c>
      <c r="C660" s="10">
        <v>32</v>
      </c>
      <c r="D660" s="28">
        <f t="shared" si="143"/>
        <v>576380000000</v>
      </c>
      <c r="E660" s="29">
        <f t="shared" si="142"/>
        <v>3602375000</v>
      </c>
    </row>
    <row r="661" spans="1:5">
      <c r="A661" s="8">
        <v>41403</v>
      </c>
      <c r="B661" s="9" t="s">
        <v>5</v>
      </c>
      <c r="C661" s="10">
        <v>32</v>
      </c>
      <c r="D661" s="28">
        <f t="shared" si="143"/>
        <v>577500000000</v>
      </c>
      <c r="E661" s="29">
        <f t="shared" si="142"/>
        <v>3609375000</v>
      </c>
    </row>
    <row r="662" spans="1:5">
      <c r="A662" s="8">
        <v>41404</v>
      </c>
      <c r="B662" s="9" t="s">
        <v>5</v>
      </c>
      <c r="C662" s="10">
        <v>32</v>
      </c>
      <c r="D662" s="28">
        <f t="shared" si="143"/>
        <v>578620000000</v>
      </c>
      <c r="E662" s="29">
        <f t="shared" si="142"/>
        <v>3616375000</v>
      </c>
    </row>
    <row r="663" spans="1:5">
      <c r="A663" s="8">
        <v>41405</v>
      </c>
      <c r="B663" s="9" t="s">
        <v>5</v>
      </c>
      <c r="C663" s="10">
        <v>32</v>
      </c>
      <c r="D663" s="28">
        <f t="shared" si="143"/>
        <v>579740000000</v>
      </c>
      <c r="E663" s="29">
        <f t="shared" si="142"/>
        <v>3623375000</v>
      </c>
    </row>
    <row r="664" spans="1:5">
      <c r="A664" s="8">
        <v>41406</v>
      </c>
      <c r="B664" s="9" t="s">
        <v>5</v>
      </c>
      <c r="C664" s="10">
        <v>32</v>
      </c>
      <c r="D664" s="28">
        <f t="shared" si="143"/>
        <v>580860000000</v>
      </c>
      <c r="E664" s="29">
        <f t="shared" si="142"/>
        <v>3630375000</v>
      </c>
    </row>
    <row r="665" spans="1:5">
      <c r="A665" s="8">
        <v>41407</v>
      </c>
      <c r="B665" s="9" t="s">
        <v>5</v>
      </c>
      <c r="C665" s="10">
        <v>32</v>
      </c>
      <c r="D665" s="28">
        <f t="shared" si="143"/>
        <v>581980000000</v>
      </c>
      <c r="E665" s="29">
        <f t="shared" si="142"/>
        <v>3637375000</v>
      </c>
    </row>
    <row r="666" spans="1:5">
      <c r="A666" s="8">
        <v>41408</v>
      </c>
      <c r="B666" s="9" t="s">
        <v>5</v>
      </c>
      <c r="C666" s="10">
        <v>32</v>
      </c>
      <c r="D666" s="28">
        <f t="shared" si="143"/>
        <v>583100000000</v>
      </c>
      <c r="E666" s="29">
        <f t="shared" si="142"/>
        <v>3644375000</v>
      </c>
    </row>
    <row r="667" spans="1:5">
      <c r="A667" s="8">
        <v>41409</v>
      </c>
      <c r="B667" s="9" t="s">
        <v>5</v>
      </c>
      <c r="C667" s="10">
        <v>32</v>
      </c>
      <c r="D667" s="28">
        <f t="shared" si="143"/>
        <v>584220000000</v>
      </c>
      <c r="E667" s="29">
        <f t="shared" si="142"/>
        <v>3651375000</v>
      </c>
    </row>
    <row r="668" spans="1:5">
      <c r="A668" s="8">
        <v>41410</v>
      </c>
      <c r="B668" s="9" t="s">
        <v>5</v>
      </c>
      <c r="C668" s="10">
        <v>32</v>
      </c>
      <c r="D668" s="28">
        <f t="shared" si="143"/>
        <v>585340000000</v>
      </c>
      <c r="E668" s="29">
        <f t="shared" si="142"/>
        <v>3658375000</v>
      </c>
    </row>
    <row r="669" spans="1:5">
      <c r="A669" s="8">
        <v>41411</v>
      </c>
      <c r="B669" s="9" t="s">
        <v>5</v>
      </c>
      <c r="C669" s="10">
        <v>32</v>
      </c>
      <c r="D669" s="28">
        <f t="shared" si="143"/>
        <v>586460000000</v>
      </c>
      <c r="E669" s="29">
        <f t="shared" si="142"/>
        <v>3665375000</v>
      </c>
    </row>
    <row r="670" spans="1:5">
      <c r="A670" s="8">
        <v>41412</v>
      </c>
      <c r="B670" s="9" t="s">
        <v>5</v>
      </c>
      <c r="C670" s="10">
        <v>32</v>
      </c>
      <c r="D670" s="28">
        <f t="shared" si="143"/>
        <v>587580000000</v>
      </c>
      <c r="E670" s="29">
        <f t="shared" si="142"/>
        <v>3672375000</v>
      </c>
    </row>
    <row r="671" spans="1:5">
      <c r="A671" s="8">
        <v>41413</v>
      </c>
      <c r="B671" s="9" t="s">
        <v>5</v>
      </c>
      <c r="C671" s="10">
        <v>32</v>
      </c>
      <c r="D671" s="28">
        <f t="shared" si="143"/>
        <v>588700000000</v>
      </c>
      <c r="E671" s="29">
        <f t="shared" si="142"/>
        <v>3679375000</v>
      </c>
    </row>
    <row r="672" spans="1:5">
      <c r="A672" s="8">
        <v>41414</v>
      </c>
      <c r="B672" s="9" t="s">
        <v>5</v>
      </c>
      <c r="C672" s="10">
        <v>32</v>
      </c>
      <c r="D672" s="28">
        <f t="shared" si="143"/>
        <v>589820000000</v>
      </c>
      <c r="E672" s="29">
        <f t="shared" si="142"/>
        <v>3686375000</v>
      </c>
    </row>
    <row r="673" spans="1:5">
      <c r="A673" s="8">
        <v>41415</v>
      </c>
      <c r="B673" s="9" t="s">
        <v>5</v>
      </c>
      <c r="C673" s="10">
        <v>32</v>
      </c>
      <c r="D673" s="28">
        <f t="shared" si="143"/>
        <v>590940000000</v>
      </c>
      <c r="E673" s="29">
        <f t="shared" si="142"/>
        <v>3693375000</v>
      </c>
    </row>
    <row r="674" spans="1:5">
      <c r="A674" s="8">
        <v>41416</v>
      </c>
      <c r="B674" s="9" t="s">
        <v>5</v>
      </c>
      <c r="C674" s="10">
        <v>32</v>
      </c>
      <c r="D674" s="28">
        <f t="shared" si="143"/>
        <v>592060000000</v>
      </c>
      <c r="E674" s="29">
        <f t="shared" si="142"/>
        <v>3700375000</v>
      </c>
    </row>
    <row r="675" spans="1:5">
      <c r="A675" s="8">
        <v>41417</v>
      </c>
      <c r="B675" s="9" t="s">
        <v>5</v>
      </c>
      <c r="C675" s="10">
        <v>32</v>
      </c>
      <c r="D675" s="28">
        <f t="shared" si="143"/>
        <v>593180000000</v>
      </c>
      <c r="E675" s="29">
        <f t="shared" si="142"/>
        <v>3707375000</v>
      </c>
    </row>
    <row r="676" spans="1:5">
      <c r="A676" s="8">
        <v>41418</v>
      </c>
      <c r="B676" s="9" t="s">
        <v>5</v>
      </c>
      <c r="C676" s="10">
        <v>32</v>
      </c>
      <c r="D676" s="28">
        <f t="shared" si="143"/>
        <v>594300000000</v>
      </c>
      <c r="E676" s="29">
        <f t="shared" si="142"/>
        <v>3714375000</v>
      </c>
    </row>
    <row r="677" spans="1:5">
      <c r="A677" s="8">
        <v>41419</v>
      </c>
      <c r="B677" s="9" t="s">
        <v>5</v>
      </c>
      <c r="C677" s="10">
        <v>32</v>
      </c>
      <c r="D677" s="28">
        <f t="shared" si="143"/>
        <v>595420000000</v>
      </c>
      <c r="E677" s="29">
        <f t="shared" si="142"/>
        <v>3721375000</v>
      </c>
    </row>
    <row r="678" spans="1:5">
      <c r="A678" s="8">
        <v>41420</v>
      </c>
      <c r="B678" s="9" t="s">
        <v>5</v>
      </c>
      <c r="C678" s="10">
        <v>32</v>
      </c>
      <c r="D678" s="28">
        <f t="shared" si="143"/>
        <v>596540000000</v>
      </c>
      <c r="E678" s="29">
        <f t="shared" si="142"/>
        <v>3728375000</v>
      </c>
    </row>
    <row r="679" spans="1:5">
      <c r="A679" s="8">
        <v>41421</v>
      </c>
      <c r="B679" s="9" t="s">
        <v>5</v>
      </c>
      <c r="C679" s="10">
        <v>32</v>
      </c>
      <c r="D679" s="28">
        <f t="shared" si="143"/>
        <v>597660000000</v>
      </c>
      <c r="E679" s="29">
        <f t="shared" si="142"/>
        <v>3735375000</v>
      </c>
    </row>
    <row r="680" spans="1:5">
      <c r="A680" s="8">
        <v>41422</v>
      </c>
      <c r="B680" s="9" t="s">
        <v>5</v>
      </c>
      <c r="C680" s="10">
        <v>32</v>
      </c>
      <c r="D680" s="28">
        <f t="shared" si="143"/>
        <v>598780000000</v>
      </c>
      <c r="E680" s="29">
        <f t="shared" si="142"/>
        <v>3742375000</v>
      </c>
    </row>
    <row r="681" spans="1:5">
      <c r="A681" s="8">
        <v>41423</v>
      </c>
      <c r="B681" s="9" t="s">
        <v>5</v>
      </c>
      <c r="C681" s="10">
        <v>32</v>
      </c>
      <c r="D681" s="28">
        <f t="shared" si="143"/>
        <v>599900000000</v>
      </c>
      <c r="E681" s="29">
        <f t="shared" si="142"/>
        <v>3749375000</v>
      </c>
    </row>
    <row r="682" spans="1:5">
      <c r="A682" s="8">
        <v>41424</v>
      </c>
      <c r="B682" s="9" t="s">
        <v>5</v>
      </c>
      <c r="C682" s="10">
        <v>32</v>
      </c>
      <c r="D682" s="28">
        <f t="shared" si="143"/>
        <v>601020000000</v>
      </c>
      <c r="E682" s="29">
        <f t="shared" si="142"/>
        <v>3756375000</v>
      </c>
    </row>
    <row r="683" spans="1:5">
      <c r="A683" s="8">
        <v>41425</v>
      </c>
      <c r="B683" s="9" t="s">
        <v>5</v>
      </c>
      <c r="C683" s="10">
        <v>32</v>
      </c>
      <c r="D683" s="5">
        <f t="shared" si="143"/>
        <v>602140000000</v>
      </c>
      <c r="E683" s="6">
        <f t="shared" si="142"/>
        <v>3763375000</v>
      </c>
    </row>
    <row r="684" spans="1:5">
      <c r="D684" s="14"/>
      <c r="E684" s="63"/>
    </row>
  </sheetData>
  <mergeCells count="60">
    <mergeCell ref="B42:D42"/>
    <mergeCell ref="B69:C69"/>
    <mergeCell ref="B70:C70"/>
    <mergeCell ref="B73:D73"/>
    <mergeCell ref="B72:D72"/>
    <mergeCell ref="B64:C64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53:C53"/>
    <mergeCell ref="B54:C54"/>
    <mergeCell ref="B55:C55"/>
    <mergeCell ref="B58:C58"/>
    <mergeCell ref="B57:D57"/>
    <mergeCell ref="B48:C48"/>
    <mergeCell ref="B49:C49"/>
    <mergeCell ref="B50:C50"/>
    <mergeCell ref="B51:C51"/>
    <mergeCell ref="B52:C52"/>
    <mergeCell ref="B44:C44"/>
    <mergeCell ref="B45:C45"/>
    <mergeCell ref="B46:C46"/>
    <mergeCell ref="B47:C47"/>
    <mergeCell ref="B43:C43"/>
    <mergeCell ref="B5:D5"/>
    <mergeCell ref="B20:D20"/>
    <mergeCell ref="B30:C30"/>
    <mergeCell ref="B31:C31"/>
    <mergeCell ref="B32:C32"/>
    <mergeCell ref="B16:C16"/>
    <mergeCell ref="B17:C17"/>
    <mergeCell ref="B18:C18"/>
    <mergeCell ref="B21:C21"/>
    <mergeCell ref="B22:C22"/>
    <mergeCell ref="B23:C23"/>
    <mergeCell ref="B10:C10"/>
    <mergeCell ref="B11:C11"/>
    <mergeCell ref="B12:C12"/>
    <mergeCell ref="B13:C13"/>
    <mergeCell ref="B14:C14"/>
    <mergeCell ref="B33:C33"/>
    <mergeCell ref="B35:D35"/>
    <mergeCell ref="B36:D36"/>
    <mergeCell ref="B24:C24"/>
    <mergeCell ref="B25:C25"/>
    <mergeCell ref="B26:C26"/>
    <mergeCell ref="B27:C27"/>
    <mergeCell ref="B28:C28"/>
    <mergeCell ref="B29:C29"/>
    <mergeCell ref="B15:C15"/>
    <mergeCell ref="B7:C7"/>
    <mergeCell ref="B6:C6"/>
    <mergeCell ref="B8:C8"/>
    <mergeCell ref="B9:C9"/>
  </mergeCells>
  <printOptions horizontalCentered="1"/>
  <pageMargins left="0.36458333333333298" right="0.58333333333333304" top="2.0208333333333299" bottom="0.91666666666666696" header="0.3" footer="0.3"/>
  <pageSetup orientation="portrait" r:id="rId1"/>
  <headerFooter>
    <oddHeader>&amp;C&amp;16&amp;GMONEY 'SAVED' BY FEDERAL GOVERNMENT FROM REMOVING &amp;"-,Bold"FUEL SUBSIDY&amp;"-,Regular" 
JANUARY 2012 - MAY, 2013.</oddHeader>
    <oddFooter>&amp;L&amp;"-,Bold"&amp;10*&amp;"-,Regular" Jan 1 - Jan 15: N141 - N65 = N76 
   Jan 16 -          : N  97 - N65 = N32
&amp;"-,Bold"** &amp;"-,Regular"$1 = NGN160&amp;C &amp;14©&amp;11 &amp;"-,Bold"&amp;14Enough Is Enough Nigeria Coalition
&amp;"-,Regular"http://www.EiENigeria.org&amp;R PAGE &amp;P OF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C5:C9"/>
  <sheetViews>
    <sheetView workbookViewId="0">
      <selection activeCell="C9" sqref="C9"/>
    </sheetView>
  </sheetViews>
  <sheetFormatPr defaultRowHeight="15"/>
  <cols>
    <col min="3" max="3" width="23.7109375" style="30" customWidth="1"/>
  </cols>
  <sheetData>
    <row r="5" spans="3:3">
      <c r="C5" s="30">
        <v>3354820000000</v>
      </c>
    </row>
    <row r="7" spans="3:3">
      <c r="C7" s="30">
        <v>125020000000</v>
      </c>
    </row>
    <row r="8" spans="3:3">
      <c r="C8" s="30">
        <v>90300000000</v>
      </c>
    </row>
    <row r="9" spans="3:3">
      <c r="C9" s="30">
        <f>C7-C8</f>
        <v>34720000000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Sheet1 (2)</vt:lpstr>
      <vt:lpstr>Sheet2</vt:lpstr>
      <vt:lpstr>Sheet1!Print_Titles</vt:lpstr>
      <vt:lpstr>'Sheet1 (2)'!Print_Titles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2013-02-04T10:57:33Z</cp:lastPrinted>
  <dcterms:created xsi:type="dcterms:W3CDTF">2012-01-17T18:20:13Z</dcterms:created>
  <dcterms:modified xsi:type="dcterms:W3CDTF">2013-05-02T10:44:04Z</dcterms:modified>
</cp:coreProperties>
</file>