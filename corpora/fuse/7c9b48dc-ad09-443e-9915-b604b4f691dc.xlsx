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0" windowWidth="15480" windowHeight="11640"/>
  </bookViews>
  <sheets>
    <sheet name="Quarterly" sheetId="1" r:id="rId1"/>
    <sheet name="Yearly" sheetId="2" r:id="rId2"/>
  </sheets>
  <definedNames>
    <definedName name="_xlnm.Print_Area" localSheetId="0">Quarterly!$A$1:$H$55</definedName>
    <definedName name="_xlnm.Print_Area" localSheetId="1">Yearly!$A$1:$H$57</definedName>
  </definedNames>
  <calcPr calcId="145621"/>
</workbook>
</file>

<file path=xl/calcChain.xml><?xml version="1.0" encoding="utf-8"?>
<calcChain xmlns="http://schemas.openxmlformats.org/spreadsheetml/2006/main">
  <c r="E44" i="1" l="1"/>
  <c r="F44" i="1" l="1"/>
  <c r="F43" i="1"/>
  <c r="F42" i="1"/>
  <c r="F41" i="1"/>
  <c r="F32" i="1"/>
  <c r="F21" i="1"/>
  <c r="F39" i="2" l="1"/>
</calcChain>
</file>

<file path=xl/sharedStrings.xml><?xml version="1.0" encoding="utf-8"?>
<sst xmlns="http://schemas.openxmlformats.org/spreadsheetml/2006/main" count="94" uniqueCount="64">
  <si>
    <t>(in € millions)</t>
  </si>
  <si>
    <t>Q3</t>
  </si>
  <si>
    <t>Q2</t>
  </si>
  <si>
    <t>Q1</t>
  </si>
  <si>
    <t>Q4</t>
  </si>
  <si>
    <t>Revenue</t>
  </si>
  <si>
    <t>Cost of sales</t>
  </si>
  <si>
    <t>Research and development expenses</t>
  </si>
  <si>
    <t>Amortisation of technology &amp; databases</t>
  </si>
  <si>
    <t>Marketing expenses</t>
  </si>
  <si>
    <t>Selling, general and administrative expenses</t>
  </si>
  <si>
    <t>Stock compensation expense</t>
  </si>
  <si>
    <t>Total operating expenses</t>
  </si>
  <si>
    <t>Operating result</t>
  </si>
  <si>
    <t>Result before tax</t>
  </si>
  <si>
    <t>Income tax</t>
  </si>
  <si>
    <t>Net result</t>
  </si>
  <si>
    <t>Balance sheet</t>
  </si>
  <si>
    <t>Intangible assets</t>
  </si>
  <si>
    <t>Goodwill</t>
  </si>
  <si>
    <t>Other non-current assets</t>
  </si>
  <si>
    <t>Inventory</t>
  </si>
  <si>
    <t>Trade receivables</t>
  </si>
  <si>
    <t>Other receivables</t>
  </si>
  <si>
    <t>Financial instruments</t>
  </si>
  <si>
    <t>Cash and cash equivalents</t>
  </si>
  <si>
    <t>Total assets</t>
  </si>
  <si>
    <t>Equity</t>
  </si>
  <si>
    <t>Borrowings</t>
  </si>
  <si>
    <t>Provisions</t>
  </si>
  <si>
    <t>Total liabilities</t>
  </si>
  <si>
    <t>Cash flow</t>
  </si>
  <si>
    <t>Cash generated from operations</t>
  </si>
  <si>
    <t>Cash used in investing activities</t>
  </si>
  <si>
    <t>Net increase/(decrease) cash and cash equivalents</t>
  </si>
  <si>
    <t>Other non-current liabilities</t>
  </si>
  <si>
    <t>Other current liabilities</t>
  </si>
  <si>
    <t>Net cash flow from operating activities</t>
  </si>
  <si>
    <t>Selling, general and administrative</t>
  </si>
  <si>
    <t>expenses</t>
  </si>
  <si>
    <t>Financial income and (expense), net</t>
  </si>
  <si>
    <t>Profit before tax</t>
  </si>
  <si>
    <t>Non-current assets</t>
  </si>
  <si>
    <t>General</t>
  </si>
  <si>
    <r>
      <t xml:space="preserve">Number of employees </t>
    </r>
    <r>
      <rPr>
        <b/>
        <sz val="6"/>
        <color indexed="63"/>
        <rFont val="Verdana"/>
        <family val="2"/>
      </rPr>
      <t>(end of year)</t>
    </r>
  </si>
  <si>
    <t>Amortisation of technology &amp; database</t>
  </si>
  <si>
    <t>Financial gain / (loss)</t>
  </si>
  <si>
    <t>Profit and loss *</t>
  </si>
  <si>
    <t>Gross result</t>
  </si>
  <si>
    <t>Total Equity and Liabilities</t>
  </si>
  <si>
    <t>* 2009 P&amp;L includes a restructuring charge of €10 million</t>
  </si>
  <si>
    <t xml:space="preserve">* 2008 P&amp;L includes a non-cash impairment charge of €1,048 million and a restrucuting charge of €16 million  </t>
  </si>
  <si>
    <t>Other financial assets</t>
  </si>
  <si>
    <t>Profit and loss</t>
  </si>
  <si>
    <t>Total operating expenses*</t>
  </si>
  <si>
    <t>* 2010 P&amp;L includes a restructuring charge of €3 million</t>
  </si>
  <si>
    <t>Impairment charge</t>
  </si>
  <si>
    <t xml:space="preserve">* Q2 2011 P&amp;L includes a restructuring charge of €0.2 million  </t>
  </si>
  <si>
    <t xml:space="preserve">* Q3 2011 P&amp;L includes a restructuring charge of €0.4 million  </t>
  </si>
  <si>
    <t xml:space="preserve">* 2011 P&amp;L includes a non-cash impairment charge of €512 million and a restrucuting charge of €15 million  </t>
  </si>
  <si>
    <t xml:space="preserve">* Q4 2011 P&amp;L includes a restructuring charge of €13.6 million  </t>
  </si>
  <si>
    <t>Cash used in financing activities</t>
  </si>
  <si>
    <t>TomTom in the last 5 quarters</t>
  </si>
  <si>
    <t>TomTom in the last 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</si>
</sst>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(* #,##0_);_(* \(#,##0\);_(* &quot;-&quot;_);_(@_)"/>
    <numFmt numFmtId="43" formatCode="_(* #,##0.00_);_(* \(#,##0.00\);_(* &quot;-&quot;??_);_(@_)"/>
    <numFmt numFmtId="164" formatCode="0_);[Red]\(0\)"/>
    <numFmt numFmtId="165" formatCode="0_);\(0\)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(* #,##0.0000_);_(* \(#,##0.0000\);_(* &quot;-&quot;????_);_(@_)"/>
    <numFmt numFmtId="170" formatCode="0.0000"/>
    <numFmt numFmtId="171" formatCode="_(* #,##0.00000_);_(* \(#,##0.00000\);_(* &quot;-&quot;????_);_(@_)"/>
  </numFmts>
  <fonts count="12" x14ac:knownFonts="1">
    <font>
      <sz val="10"/>
      <name val="Arial"/>
    </font>
    <font>
      <sz val="10"/>
      <name val="Arial"/>
      <family val="2"/>
    </font>
    <font>
      <sz val="8"/>
      <color indexed="63"/>
      <name val="Verdana"/>
      <family val="2"/>
    </font>
    <font>
      <b/>
      <sz val="8"/>
      <color indexed="63"/>
      <name val="Verdana"/>
      <family val="2"/>
    </font>
    <font>
      <i/>
      <sz val="8"/>
      <name val="Arial"/>
      <family val="2"/>
    </font>
    <font>
      <sz val="8"/>
      <name val="Arial"/>
      <family val="2"/>
    </font>
    <font>
      <b/>
      <sz val="6"/>
      <color indexed="63"/>
      <name val="Verdana"/>
      <family val="2"/>
    </font>
    <font>
      <b/>
      <sz val="8"/>
      <color indexed="8"/>
      <name val="Verdana"/>
      <family val="2"/>
    </font>
    <font>
      <sz val="10"/>
      <color indexed="8"/>
      <name val="Arial"/>
      <family val="2"/>
    </font>
    <font>
      <sz val="8"/>
      <color indexed="8"/>
      <name val="Verdana"/>
      <family val="2"/>
    </font>
    <font>
      <b/>
      <sz val="10"/>
      <color indexed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 style="medium">
        <color indexed="22"/>
      </top>
      <bottom/>
      <diagonal/>
    </border>
  </borders>
  <cellStyleXfs count="9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>
      <alignment vertical="top"/>
    </xf>
    <xf numFmtId="43" fontId="1" fillId="0" borderId="0" applyFont="0" applyFill="0" applyBorder="0" applyAlignment="0" applyProtection="0"/>
    <xf numFmtId="0" fontId="1" fillId="0" borderId="0">
      <alignment vertical="top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0" fillId="2" borderId="0" xfId="0" applyFill="1"/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right"/>
    </xf>
    <xf numFmtId="0" fontId="3" fillId="2" borderId="0" xfId="0" applyFont="1" applyFill="1" applyAlignment="1">
      <alignment horizontal="right" vertical="top" wrapText="1"/>
    </xf>
    <xf numFmtId="0" fontId="8" fillId="2" borderId="0" xfId="0" applyFont="1" applyFill="1"/>
    <xf numFmtId="0" fontId="7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top" wrapText="1"/>
    </xf>
    <xf numFmtId="164" fontId="8" fillId="2" borderId="0" xfId="0" applyNumberFormat="1" applyFont="1" applyFill="1"/>
    <xf numFmtId="0" fontId="9" fillId="2" borderId="2" xfId="0" applyFont="1" applyFill="1" applyBorder="1" applyAlignment="1">
      <alignment horizontal="left" vertical="top" wrapText="1"/>
    </xf>
    <xf numFmtId="165" fontId="3" fillId="2" borderId="2" xfId="0" applyNumberFormat="1" applyFont="1" applyFill="1" applyBorder="1" applyAlignment="1">
      <alignment horizontal="right" vertical="top" wrapText="1"/>
    </xf>
    <xf numFmtId="165" fontId="0" fillId="2" borderId="0" xfId="0" applyNumberFormat="1" applyFill="1" applyAlignment="1">
      <alignment horizontal="right"/>
    </xf>
    <xf numFmtId="165" fontId="3" fillId="2" borderId="1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0" xfId="0" applyFont="1" applyFill="1"/>
    <xf numFmtId="164" fontId="10" fillId="2" borderId="0" xfId="0" applyNumberFormat="1" applyFont="1" applyFill="1"/>
    <xf numFmtId="0" fontId="11" fillId="2" borderId="0" xfId="0" applyFont="1" applyFill="1"/>
    <xf numFmtId="166" fontId="7" fillId="2" borderId="2" xfId="1" applyNumberFormat="1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2" borderId="0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right" vertical="top" wrapText="1"/>
    </xf>
    <xf numFmtId="0" fontId="2" fillId="2" borderId="0" xfId="0" applyFont="1" applyFill="1" applyAlignment="1">
      <alignment horizontal="right" vertical="top" wrapText="1"/>
    </xf>
    <xf numFmtId="41" fontId="2" fillId="2" borderId="2" xfId="0" applyNumberFormat="1" applyFont="1" applyFill="1" applyBorder="1" applyAlignment="1">
      <alignment horizontal="right" vertical="top" wrapText="1"/>
    </xf>
    <xf numFmtId="41" fontId="9" fillId="2" borderId="2" xfId="0" applyNumberFormat="1" applyFont="1" applyFill="1" applyBorder="1" applyAlignment="1">
      <alignment horizontal="right" vertical="top" wrapText="1"/>
    </xf>
    <xf numFmtId="41" fontId="7" fillId="2" borderId="2" xfId="1" applyNumberFormat="1" applyFont="1" applyFill="1" applyBorder="1" applyAlignment="1">
      <alignment horizontal="right" vertical="top" wrapText="1"/>
    </xf>
    <xf numFmtId="41" fontId="3" fillId="2" borderId="2" xfId="0" applyNumberFormat="1" applyFont="1" applyFill="1" applyBorder="1" applyAlignment="1">
      <alignment horizontal="right" vertical="top" wrapText="1"/>
    </xf>
    <xf numFmtId="41" fontId="9" fillId="2" borderId="2" xfId="1" applyNumberFormat="1" applyFont="1" applyFill="1" applyBorder="1" applyAlignment="1">
      <alignment horizontal="right" vertical="top" wrapText="1"/>
    </xf>
    <xf numFmtId="0" fontId="0" fillId="2" borderId="0" xfId="0" applyFill="1" applyAlignment="1">
      <alignment horizontal="center"/>
    </xf>
    <xf numFmtId="165" fontId="2" fillId="2" borderId="2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166" fontId="3" fillId="2" borderId="2" xfId="1" applyNumberFormat="1" applyFont="1" applyFill="1" applyBorder="1" applyAlignment="1">
      <alignment horizontal="right" vertical="top" wrapText="1"/>
    </xf>
    <xf numFmtId="166" fontId="2" fillId="2" borderId="2" xfId="1" applyNumberFormat="1" applyFont="1" applyFill="1" applyBorder="1" applyAlignment="1">
      <alignment horizontal="right" vertical="top" wrapText="1"/>
    </xf>
    <xf numFmtId="166" fontId="2" fillId="2" borderId="0" xfId="1" applyNumberFormat="1" applyFont="1" applyFill="1" applyAlignment="1">
      <alignment horizontal="right" vertical="top" wrapText="1"/>
    </xf>
    <xf numFmtId="0" fontId="4" fillId="2" borderId="0" xfId="0" applyFont="1" applyFill="1" applyAlignment="1">
      <alignment horizontal="right"/>
    </xf>
    <xf numFmtId="0" fontId="4" fillId="2" borderId="0" xfId="0" quotePrefix="1" applyFont="1" applyFill="1" applyAlignment="1">
      <alignment horizontal="right"/>
    </xf>
    <xf numFmtId="3" fontId="3" fillId="2" borderId="2" xfId="0" applyNumberFormat="1" applyFont="1" applyFill="1" applyBorder="1" applyAlignment="1">
      <alignment horizontal="right" vertical="top" wrapText="1"/>
    </xf>
    <xf numFmtId="166" fontId="9" fillId="2" borderId="2" xfId="1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7" fillId="3" borderId="1" xfId="0" applyFont="1" applyFill="1" applyBorder="1" applyAlignment="1">
      <alignment horizontal="right" vertical="top" wrapText="1"/>
    </xf>
    <xf numFmtId="166" fontId="7" fillId="3" borderId="2" xfId="1" applyNumberFormat="1" applyFont="1" applyFill="1" applyBorder="1" applyAlignment="1">
      <alignment horizontal="right" vertical="top" wrapText="1"/>
    </xf>
    <xf numFmtId="3" fontId="7" fillId="3" borderId="2" xfId="0" applyNumberFormat="1" applyFont="1" applyFill="1" applyBorder="1" applyAlignment="1">
      <alignment horizontal="right" vertical="top" wrapText="1"/>
    </xf>
    <xf numFmtId="0" fontId="7" fillId="3" borderId="0" xfId="0" applyFont="1" applyFill="1" applyBorder="1" applyAlignment="1">
      <alignment horizontal="left" vertical="center" wrapText="1"/>
    </xf>
    <xf numFmtId="16" fontId="3" fillId="3" borderId="0" xfId="0" applyNumberFormat="1" applyFont="1" applyFill="1" applyAlignment="1">
      <alignment horizontal="right" vertical="top" wrapText="1"/>
    </xf>
    <xf numFmtId="16" fontId="7" fillId="3" borderId="0" xfId="0" applyNumberFormat="1" applyFont="1" applyFill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left" vertical="top" wrapText="1"/>
    </xf>
    <xf numFmtId="0" fontId="7" fillId="3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top" wrapText="1"/>
    </xf>
    <xf numFmtId="0" fontId="7" fillId="3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7" fillId="3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41" fontId="2" fillId="2" borderId="3" xfId="0" applyNumberFormat="1" applyFont="1" applyFill="1" applyBorder="1" applyAlignment="1">
      <alignment horizontal="right" vertical="top" wrapText="1"/>
    </xf>
    <xf numFmtId="169" fontId="0" fillId="2" borderId="0" xfId="0" applyNumberFormat="1" applyFill="1"/>
    <xf numFmtId="169" fontId="11" fillId="2" borderId="0" xfId="0" applyNumberFormat="1" applyFont="1" applyFill="1"/>
    <xf numFmtId="166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168" fontId="0" fillId="2" borderId="0" xfId="0" applyNumberFormat="1" applyFill="1" applyAlignment="1">
      <alignment horizontal="right"/>
    </xf>
    <xf numFmtId="170" fontId="0" fillId="2" borderId="0" xfId="0" applyNumberFormat="1" applyFill="1"/>
    <xf numFmtId="171" fontId="0" fillId="2" borderId="0" xfId="0" applyNumberFormat="1" applyFill="1"/>
    <xf numFmtId="171" fontId="0" fillId="2" borderId="0" xfId="0" applyNumberFormat="1" applyFill="1" applyAlignment="1">
      <alignment horizontal="right"/>
    </xf>
    <xf numFmtId="0" fontId="7" fillId="3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top" wrapText="1"/>
    </xf>
    <xf numFmtId="0" fontId="7" fillId="3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center" wrapText="1"/>
    </xf>
    <xf numFmtId="0" fontId="7" fillId="2" borderId="1" xfId="0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165" fontId="2" fillId="2" borderId="3" xfId="0" applyNumberFormat="1" applyFont="1" applyFill="1" applyBorder="1" applyAlignment="1">
      <alignment horizontal="right" vertical="top" wrapText="1"/>
    </xf>
    <xf numFmtId="165" fontId="2" fillId="2" borderId="2" xfId="0" applyNumberFormat="1" applyFont="1" applyFill="1" applyBorder="1" applyAlignment="1">
      <alignment horizontal="right" vertical="top" wrapText="1"/>
    </xf>
  </cellXfs>
  <cellStyles count="90">
    <cellStyle name="Comma" xfId="1" builtinId="3"/>
    <cellStyle name="Comma 2 10" xfId="41"/>
    <cellStyle name="Comma 2 11" xfId="53"/>
    <cellStyle name="Comma 2 12" xfId="51"/>
    <cellStyle name="Comma 2 13" xfId="44"/>
    <cellStyle name="Comma 2 14" xfId="57"/>
    <cellStyle name="Comma 2 15" xfId="48"/>
    <cellStyle name="Comma 2 16" xfId="62"/>
    <cellStyle name="Comma 2 17" xfId="61"/>
    <cellStyle name="Comma 2 18" xfId="55"/>
    <cellStyle name="Comma 2 19" xfId="52"/>
    <cellStyle name="Comma 2 2" xfId="4"/>
    <cellStyle name="Comma 2 20" xfId="67"/>
    <cellStyle name="Comma 2 21" xfId="63"/>
    <cellStyle name="Comma 2 22" xfId="71"/>
    <cellStyle name="Comma 2 23" xfId="77"/>
    <cellStyle name="Comma 2 24" xfId="78"/>
    <cellStyle name="Comma 2 25" xfId="80"/>
    <cellStyle name="Comma 2 26" xfId="73"/>
    <cellStyle name="Comma 2 27" xfId="79"/>
    <cellStyle name="Comma 2 28" xfId="82"/>
    <cellStyle name="Comma 2 29" xfId="86"/>
    <cellStyle name="Comma 2 3" xfId="33"/>
    <cellStyle name="Comma 2 30" xfId="85"/>
    <cellStyle name="Comma 2 31" xfId="75"/>
    <cellStyle name="Comma 2 4" xfId="38"/>
    <cellStyle name="Comma 2 5" xfId="40"/>
    <cellStyle name="Comma 2 6" xfId="37"/>
    <cellStyle name="Comma 2 7" xfId="35"/>
    <cellStyle name="Comma 2 8" xfId="39"/>
    <cellStyle name="Comma 2 9" xfId="46"/>
    <cellStyle name="Comma 22" xfId="12"/>
    <cellStyle name="Comma 23" xfId="13"/>
    <cellStyle name="Comma 3" xfId="9"/>
    <cellStyle name="Comma 3 2" xfId="14"/>
    <cellStyle name="Comma 3 3" xfId="19"/>
    <cellStyle name="Comma 3 4" xfId="17"/>
    <cellStyle name="Comma 3 5" xfId="18"/>
    <cellStyle name="Comma 3 6" xfId="20"/>
    <cellStyle name="Comma 3 7" xfId="23"/>
    <cellStyle name="Comma 4" xfId="11"/>
    <cellStyle name="Comma 4 2" xfId="16"/>
    <cellStyle name="Comma 4 3" xfId="22"/>
    <cellStyle name="Comma 4 4" xfId="25"/>
    <cellStyle name="Comma 4 5" xfId="27"/>
    <cellStyle name="Comma 4 6" xfId="29"/>
    <cellStyle name="Comma 4 7" xfId="31"/>
    <cellStyle name="Comma 8" xfId="7"/>
    <cellStyle name="imabs" xfId="2"/>
    <cellStyle name="Normal" xfId="0" builtinId="0"/>
    <cellStyle name="Normal 2 7" xfId="5"/>
    <cellStyle name="Normal 2 8" xfId="3"/>
    <cellStyle name="Percent 2 10" xfId="50"/>
    <cellStyle name="Percent 2 11" xfId="54"/>
    <cellStyle name="Percent 2 12" xfId="56"/>
    <cellStyle name="Percent 2 13" xfId="58"/>
    <cellStyle name="Percent 2 14" xfId="49"/>
    <cellStyle name="Percent 2 15" xfId="60"/>
    <cellStyle name="Percent 2 16" xfId="64"/>
    <cellStyle name="Percent 2 17" xfId="65"/>
    <cellStyle name="Percent 2 18" xfId="66"/>
    <cellStyle name="Percent 2 19" xfId="68"/>
    <cellStyle name="Percent 2 2" xfId="6"/>
    <cellStyle name="Percent 2 20" xfId="59"/>
    <cellStyle name="Percent 2 21" xfId="69"/>
    <cellStyle name="Percent 2 22" xfId="72"/>
    <cellStyle name="Percent 2 23" xfId="70"/>
    <cellStyle name="Percent 2 24" xfId="81"/>
    <cellStyle name="Percent 2 25" xfId="74"/>
    <cellStyle name="Percent 2 26" xfId="83"/>
    <cellStyle name="Percent 2 27" xfId="76"/>
    <cellStyle name="Percent 2 28" xfId="84"/>
    <cellStyle name="Percent 2 29" xfId="87"/>
    <cellStyle name="Percent 2 3" xfId="34"/>
    <cellStyle name="Percent 2 30" xfId="88"/>
    <cellStyle name="Percent 2 31" xfId="89"/>
    <cellStyle name="Percent 2 4" xfId="32"/>
    <cellStyle name="Percent 2 5" xfId="42"/>
    <cellStyle name="Percent 2 6" xfId="43"/>
    <cellStyle name="Percent 2 7" xfId="45"/>
    <cellStyle name="Percent 2 8" xfId="47"/>
    <cellStyle name="Percent 2 9" xfId="36"/>
    <cellStyle name="Percent 3" xfId="10"/>
    <cellStyle name="Percent 3 2" xfId="15"/>
    <cellStyle name="Percent 3 3" xfId="21"/>
    <cellStyle name="Percent 3 4" xfId="24"/>
    <cellStyle name="Percent 3 5" xfId="26"/>
    <cellStyle name="Percent 3 6" xfId="28"/>
    <cellStyle name="Percent 3 7" xfId="30"/>
    <cellStyle name="Percent 8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M58"/>
  <sheetViews>
    <sheetView tabSelected="1" workbookViewId="0">
      <selection activeCell="B4" sqref="B4"/>
    </sheetView>
  </sheetViews>
  <sheetFormatPr defaultRowHeight="12.75" x14ac:dyDescent="0.2"/>
  <cols>
    <col min="1" max="1" width="9.140625" style="1"/>
    <col min="2" max="2" width="44.140625" style="1" customWidth="1"/>
    <col min="3" max="3" width="12" style="1" customWidth="1"/>
    <col min="4" max="4" width="11.28515625" style="1" bestFit="1" customWidth="1"/>
    <col min="5" max="5" width="11.5703125" style="1" customWidth="1"/>
    <col min="6" max="6" width="10.85546875" style="1" customWidth="1"/>
    <col min="7" max="7" width="10.28515625" style="1" customWidth="1"/>
    <col min="8" max="8" width="9.140625" style="1"/>
    <col min="9" max="9" width="12.28515625" style="68" bestFit="1" customWidth="1"/>
    <col min="10" max="16384" width="9.140625" style="1"/>
  </cols>
  <sheetData>
    <row r="3" spans="2:13" x14ac:dyDescent="0.2">
      <c r="C3" s="5"/>
      <c r="E3" s="59"/>
    </row>
    <row r="4" spans="2:13" x14ac:dyDescent="0.2">
      <c r="B4" s="15" t="s">
        <v>62</v>
      </c>
      <c r="C4" s="75" t="s">
        <v>2</v>
      </c>
      <c r="D4" s="72" t="s">
        <v>3</v>
      </c>
      <c r="E4" s="59" t="s">
        <v>4</v>
      </c>
      <c r="F4" s="55" t="s">
        <v>1</v>
      </c>
      <c r="G4" s="41" t="s">
        <v>2</v>
      </c>
    </row>
    <row r="5" spans="2:13" ht="13.5" thickBot="1" x14ac:dyDescent="0.25">
      <c r="B5" s="49" t="s">
        <v>0</v>
      </c>
      <c r="C5" s="21">
        <v>2012</v>
      </c>
      <c r="D5" s="21">
        <v>2012</v>
      </c>
      <c r="E5" s="21">
        <v>2011</v>
      </c>
      <c r="F5" s="21">
        <v>2011</v>
      </c>
      <c r="G5" s="21">
        <v>2011</v>
      </c>
      <c r="H5" s="7"/>
    </row>
    <row r="6" spans="2:13" ht="43.5" customHeight="1" thickTop="1" thickBot="1" x14ac:dyDescent="0.25">
      <c r="B6" s="8" t="s">
        <v>53</v>
      </c>
      <c r="C6" s="8"/>
      <c r="D6" s="8"/>
      <c r="E6" s="8"/>
      <c r="F6" s="8"/>
      <c r="G6" s="8"/>
      <c r="H6" s="7"/>
    </row>
    <row r="7" spans="2:13" ht="13.5" thickBot="1" x14ac:dyDescent="0.25">
      <c r="B7" s="9" t="s">
        <v>5</v>
      </c>
      <c r="C7" s="20">
        <v>261.662083</v>
      </c>
      <c r="D7" s="20">
        <v>232.90129999999999</v>
      </c>
      <c r="E7" s="20">
        <v>357.40100000000001</v>
      </c>
      <c r="F7" s="20">
        <v>336.44499999999999</v>
      </c>
      <c r="G7" s="20">
        <v>314.22399999999999</v>
      </c>
      <c r="H7" s="10"/>
      <c r="I7" s="69"/>
    </row>
    <row r="8" spans="2:13" ht="13.5" thickBot="1" x14ac:dyDescent="0.25">
      <c r="B8" s="11" t="s">
        <v>6</v>
      </c>
      <c r="C8" s="40">
        <v>125.64307600000001</v>
      </c>
      <c r="D8" s="40">
        <v>118.791241</v>
      </c>
      <c r="E8" s="40">
        <v>191.42599999999999</v>
      </c>
      <c r="F8" s="40">
        <v>163.625</v>
      </c>
      <c r="G8" s="40">
        <v>154.26900000000001</v>
      </c>
      <c r="H8" s="10"/>
      <c r="I8" s="69"/>
    </row>
    <row r="9" spans="2:13" ht="13.5" thickBot="1" x14ac:dyDescent="0.25">
      <c r="B9" s="11" t="s">
        <v>48</v>
      </c>
      <c r="C9" s="40">
        <v>136.01900700000002</v>
      </c>
      <c r="D9" s="40">
        <v>114.11005899999999</v>
      </c>
      <c r="E9" s="40">
        <v>165.97499999999999</v>
      </c>
      <c r="F9" s="40">
        <v>172.82</v>
      </c>
      <c r="G9" s="40">
        <v>159.995</v>
      </c>
      <c r="H9" s="10"/>
      <c r="I9" s="69"/>
      <c r="J9" s="62"/>
      <c r="K9" s="62"/>
      <c r="L9" s="62"/>
      <c r="M9" s="62"/>
    </row>
    <row r="10" spans="2:13" ht="13.5" thickBot="1" x14ac:dyDescent="0.25">
      <c r="B10" s="11"/>
      <c r="C10" s="40"/>
      <c r="D10" s="40"/>
      <c r="E10" s="40"/>
      <c r="F10" s="40"/>
      <c r="G10" s="40"/>
      <c r="H10" s="10"/>
      <c r="I10" s="69"/>
      <c r="J10" s="62"/>
      <c r="K10" s="62"/>
      <c r="L10" s="62"/>
      <c r="M10" s="62"/>
    </row>
    <row r="11" spans="2:13" ht="13.5" thickBot="1" x14ac:dyDescent="0.25">
      <c r="B11" s="11" t="s">
        <v>7</v>
      </c>
      <c r="C11" s="40">
        <v>42.593230000000013</v>
      </c>
      <c r="D11" s="40">
        <v>38.309945999999997</v>
      </c>
      <c r="E11" s="40">
        <v>46.744999999999997</v>
      </c>
      <c r="F11" s="40">
        <v>43.573</v>
      </c>
      <c r="G11" s="40">
        <v>40.776000000000003</v>
      </c>
      <c r="H11" s="10"/>
      <c r="I11" s="69"/>
      <c r="J11" s="62"/>
      <c r="K11" s="62"/>
      <c r="L11" s="62"/>
      <c r="M11" s="62"/>
    </row>
    <row r="12" spans="2:13" ht="13.5" thickBot="1" x14ac:dyDescent="0.25">
      <c r="B12" s="11" t="s">
        <v>8</v>
      </c>
      <c r="C12" s="40">
        <v>21.095728000000001</v>
      </c>
      <c r="D12" s="40">
        <v>21.237304999999999</v>
      </c>
      <c r="E12" s="40">
        <v>27.007000000000001</v>
      </c>
      <c r="F12" s="40">
        <v>19.786999999999999</v>
      </c>
      <c r="G12" s="40">
        <v>19.204000000000001</v>
      </c>
      <c r="H12" s="10"/>
      <c r="I12" s="69"/>
      <c r="J12" s="62"/>
      <c r="K12" s="62"/>
      <c r="L12" s="62"/>
      <c r="M12" s="62"/>
    </row>
    <row r="13" spans="2:13" ht="13.5" thickBot="1" x14ac:dyDescent="0.25">
      <c r="B13" s="11" t="s">
        <v>9</v>
      </c>
      <c r="C13" s="40">
        <v>15.576279</v>
      </c>
      <c r="D13" s="40">
        <v>12.557223</v>
      </c>
      <c r="E13" s="40">
        <v>20.507000000000001</v>
      </c>
      <c r="F13" s="40">
        <v>17.158999999999999</v>
      </c>
      <c r="G13" s="40">
        <v>30.148</v>
      </c>
      <c r="H13" s="10"/>
      <c r="I13" s="69"/>
      <c r="J13" s="62"/>
      <c r="K13" s="62"/>
      <c r="L13" s="62"/>
      <c r="M13" s="62"/>
    </row>
    <row r="14" spans="2:13" ht="13.5" thickBot="1" x14ac:dyDescent="0.25">
      <c r="B14" s="11" t="s">
        <v>10</v>
      </c>
      <c r="C14" s="40">
        <v>41.040401999999993</v>
      </c>
      <c r="D14" s="40">
        <v>40.253547999999995</v>
      </c>
      <c r="E14" s="40">
        <v>60.511000000000003</v>
      </c>
      <c r="F14" s="40">
        <v>49.241</v>
      </c>
      <c r="G14" s="40">
        <v>49.844000000000001</v>
      </c>
      <c r="H14" s="10"/>
      <c r="I14" s="69"/>
      <c r="J14" s="62"/>
      <c r="K14" s="62"/>
      <c r="L14" s="62"/>
      <c r="M14" s="62"/>
    </row>
    <row r="15" spans="2:13" ht="13.5" thickBot="1" x14ac:dyDescent="0.25">
      <c r="B15" s="11" t="s">
        <v>56</v>
      </c>
      <c r="C15" s="40">
        <v>0</v>
      </c>
      <c r="D15" s="40"/>
      <c r="E15" s="40">
        <v>0</v>
      </c>
      <c r="F15" s="40">
        <v>0</v>
      </c>
      <c r="G15" s="40">
        <v>511.93599999999998</v>
      </c>
      <c r="H15" s="10"/>
      <c r="I15" s="69"/>
      <c r="J15" s="62"/>
      <c r="K15" s="62"/>
      <c r="L15" s="62"/>
      <c r="M15" s="62"/>
    </row>
    <row r="16" spans="2:13" ht="13.5" thickBot="1" x14ac:dyDescent="0.25">
      <c r="B16" s="11" t="s">
        <v>11</v>
      </c>
      <c r="C16" s="40">
        <v>1.779568</v>
      </c>
      <c r="D16" s="40">
        <v>1.895937</v>
      </c>
      <c r="E16" s="40">
        <v>0.78900000000000003</v>
      </c>
      <c r="F16" s="40">
        <v>2.3239999999999998</v>
      </c>
      <c r="G16" s="40">
        <v>2.0249999999999999</v>
      </c>
      <c r="H16" s="10"/>
      <c r="I16" s="69"/>
      <c r="J16" s="62"/>
      <c r="K16" s="62"/>
      <c r="L16" s="62"/>
      <c r="M16" s="62"/>
    </row>
    <row r="17" spans="2:13" s="19" customFormat="1" ht="13.5" thickBot="1" x14ac:dyDescent="0.25">
      <c r="B17" s="9" t="s">
        <v>54</v>
      </c>
      <c r="C17" s="20">
        <v>122.085207</v>
      </c>
      <c r="D17" s="20">
        <v>114.25395900000001</v>
      </c>
      <c r="E17" s="20">
        <v>155.559</v>
      </c>
      <c r="F17" s="20">
        <v>132.084</v>
      </c>
      <c r="G17" s="20">
        <v>653.93299999999999</v>
      </c>
      <c r="H17" s="18"/>
      <c r="I17" s="69"/>
      <c r="J17" s="63"/>
      <c r="K17" s="63"/>
      <c r="L17" s="63"/>
      <c r="M17" s="63"/>
    </row>
    <row r="18" spans="2:13" ht="13.5" thickBot="1" x14ac:dyDescent="0.25">
      <c r="B18" s="11"/>
      <c r="C18" s="40"/>
      <c r="D18" s="40"/>
      <c r="E18" s="40"/>
      <c r="F18" s="40"/>
      <c r="G18" s="40"/>
      <c r="H18" s="10"/>
      <c r="I18" s="69"/>
      <c r="J18" s="62"/>
      <c r="K18" s="62"/>
      <c r="L18" s="62"/>
      <c r="M18" s="62"/>
    </row>
    <row r="19" spans="2:13" ht="13.5" thickBot="1" x14ac:dyDescent="0.25">
      <c r="B19" s="9" t="s">
        <v>13</v>
      </c>
      <c r="C19" s="20">
        <v>13.9338</v>
      </c>
      <c r="D19" s="20">
        <v>1E-4</v>
      </c>
      <c r="E19" s="20">
        <v>10.416</v>
      </c>
      <c r="F19" s="20">
        <v>40.735999999999997</v>
      </c>
      <c r="G19" s="20">
        <v>-493.97800000000001</v>
      </c>
      <c r="H19" s="10"/>
      <c r="I19" s="69"/>
      <c r="J19" s="62"/>
      <c r="K19" s="62"/>
      <c r="L19" s="62"/>
      <c r="M19" s="62"/>
    </row>
    <row r="20" spans="2:13" ht="13.5" thickBot="1" x14ac:dyDescent="0.25">
      <c r="B20" s="11"/>
      <c r="C20" s="40"/>
      <c r="D20" s="40"/>
      <c r="E20" s="40"/>
      <c r="F20" s="40"/>
      <c r="G20" s="40"/>
      <c r="H20" s="10"/>
      <c r="I20" s="69"/>
      <c r="J20" s="62"/>
      <c r="K20" s="62"/>
      <c r="L20" s="62"/>
      <c r="M20" s="62"/>
    </row>
    <row r="21" spans="2:13" ht="13.5" thickBot="1" x14ac:dyDescent="0.25">
      <c r="B21" s="11" t="s">
        <v>46</v>
      </c>
      <c r="C21" s="40">
        <v>-3.4750000000000001</v>
      </c>
      <c r="D21" s="40">
        <v>-0.71477800000000025</v>
      </c>
      <c r="E21" s="40">
        <v>-3.206</v>
      </c>
      <c r="F21" s="40">
        <f>-5.943+1.529</f>
        <v>-4.4139999999999997</v>
      </c>
      <c r="G21" s="40">
        <v>-3.8050000000000002</v>
      </c>
      <c r="H21" s="10"/>
      <c r="I21" s="69"/>
      <c r="J21" s="62"/>
      <c r="K21" s="62"/>
      <c r="L21" s="62"/>
      <c r="M21" s="62"/>
    </row>
    <row r="22" spans="2:13" ht="13.5" thickBot="1" x14ac:dyDescent="0.25">
      <c r="B22" s="9" t="s">
        <v>14</v>
      </c>
      <c r="C22" s="43">
        <v>10.459</v>
      </c>
      <c r="D22" s="43">
        <v>-0.85867799999999994</v>
      </c>
      <c r="E22" s="43">
        <v>7.21</v>
      </c>
      <c r="F22" s="43">
        <v>36.256999999999998</v>
      </c>
      <c r="G22" s="43">
        <v>-497.78300000000002</v>
      </c>
      <c r="H22" s="10"/>
      <c r="I22" s="69"/>
      <c r="J22" s="62"/>
      <c r="K22" s="62"/>
      <c r="L22" s="62"/>
      <c r="M22" s="62"/>
    </row>
    <row r="23" spans="2:13" ht="13.5" thickBot="1" x14ac:dyDescent="0.25">
      <c r="B23" s="11"/>
      <c r="C23" s="40"/>
      <c r="D23" s="40"/>
      <c r="E23" s="40"/>
      <c r="F23" s="40"/>
      <c r="G23" s="40"/>
      <c r="H23" s="10"/>
      <c r="I23" s="69"/>
      <c r="J23" s="62"/>
      <c r="K23" s="62"/>
      <c r="L23" s="62"/>
      <c r="M23" s="62"/>
    </row>
    <row r="24" spans="2:13" ht="13.5" thickBot="1" x14ac:dyDescent="0.25">
      <c r="B24" s="11" t="s">
        <v>15</v>
      </c>
      <c r="C24" s="40">
        <v>-1.544</v>
      </c>
      <c r="D24" s="40">
        <v>-0.645289</v>
      </c>
      <c r="E24" s="40">
        <v>4.5830000000000002</v>
      </c>
      <c r="F24" s="40">
        <v>-8.1300000000000008</v>
      </c>
      <c r="G24" s="40">
        <v>8.4429999999999996</v>
      </c>
      <c r="H24" s="10"/>
      <c r="I24" s="69"/>
      <c r="J24" s="62"/>
      <c r="K24" s="62"/>
      <c r="L24" s="62"/>
      <c r="M24" s="62"/>
    </row>
    <row r="25" spans="2:13" ht="13.5" thickBot="1" x14ac:dyDescent="0.25">
      <c r="B25" s="9" t="s">
        <v>16</v>
      </c>
      <c r="C25" s="20">
        <v>8.9150000000000009</v>
      </c>
      <c r="D25" s="20">
        <v>-1.5039669999999996</v>
      </c>
      <c r="E25" s="20">
        <v>11.792999999999999</v>
      </c>
      <c r="F25" s="20">
        <v>28.126999999999999</v>
      </c>
      <c r="G25" s="20">
        <v>-489.34</v>
      </c>
      <c r="H25" s="10"/>
      <c r="I25" s="69"/>
      <c r="J25" s="62"/>
      <c r="K25" s="62"/>
      <c r="L25" s="62"/>
      <c r="M25" s="62"/>
    </row>
    <row r="26" spans="2:13" x14ac:dyDescent="0.2">
      <c r="B26" s="78" t="s">
        <v>17</v>
      </c>
      <c r="C26" s="45"/>
      <c r="D26" s="45"/>
      <c r="E26" s="45"/>
      <c r="F26" s="45"/>
      <c r="G26" s="45"/>
      <c r="H26" s="10"/>
      <c r="I26" s="69"/>
    </row>
    <row r="27" spans="2:13" x14ac:dyDescent="0.2">
      <c r="B27" s="79"/>
      <c r="C27" s="73"/>
      <c r="D27" s="70"/>
      <c r="E27" s="57"/>
      <c r="F27" s="53"/>
      <c r="G27" s="50"/>
      <c r="H27" s="10"/>
    </row>
    <row r="28" spans="2:13" x14ac:dyDescent="0.2">
      <c r="B28" s="79"/>
      <c r="C28" s="46">
        <v>40724</v>
      </c>
      <c r="D28" s="46">
        <v>40633</v>
      </c>
      <c r="E28" s="47">
        <v>40908</v>
      </c>
      <c r="F28" s="46">
        <v>40816</v>
      </c>
      <c r="G28" s="46">
        <v>40724</v>
      </c>
      <c r="H28" s="10"/>
    </row>
    <row r="29" spans="2:13" ht="13.5" thickBot="1" x14ac:dyDescent="0.25">
      <c r="B29" s="80"/>
      <c r="C29" s="48">
        <v>2012</v>
      </c>
      <c r="D29" s="42">
        <v>2012</v>
      </c>
      <c r="E29" s="48">
        <v>2011</v>
      </c>
      <c r="F29" s="42">
        <v>2011</v>
      </c>
      <c r="G29" s="42">
        <v>2011</v>
      </c>
      <c r="H29" s="10"/>
    </row>
    <row r="30" spans="2:13" ht="14.25" thickTop="1" thickBot="1" x14ac:dyDescent="0.25">
      <c r="B30" s="11" t="s">
        <v>18</v>
      </c>
      <c r="C30" s="40">
        <v>847.36781400000007</v>
      </c>
      <c r="D30" s="40">
        <v>861.08777700000007</v>
      </c>
      <c r="E30" s="40">
        <v>871.52800000000002</v>
      </c>
      <c r="F30" s="40">
        <v>895.53</v>
      </c>
      <c r="G30" s="40">
        <v>902.18200000000002</v>
      </c>
      <c r="H30" s="10"/>
    </row>
    <row r="31" spans="2:13" ht="13.5" thickBot="1" x14ac:dyDescent="0.25">
      <c r="B31" s="11" t="s">
        <v>19</v>
      </c>
      <c r="C31" s="40">
        <v>381.56913199999997</v>
      </c>
      <c r="D31" s="40">
        <v>381.56913199999997</v>
      </c>
      <c r="E31" s="40">
        <v>381.56900000000002</v>
      </c>
      <c r="F31" s="40">
        <v>381.56900000000002</v>
      </c>
      <c r="G31" s="40">
        <v>381.56900000000002</v>
      </c>
      <c r="H31" s="10"/>
    </row>
    <row r="32" spans="2:13" ht="13.5" thickBot="1" x14ac:dyDescent="0.25">
      <c r="B32" s="11" t="s">
        <v>20</v>
      </c>
      <c r="C32" s="40">
        <v>44.131999999999998</v>
      </c>
      <c r="D32" s="40">
        <v>45.505085000000001</v>
      </c>
      <c r="E32" s="40">
        <v>47.497999999999998</v>
      </c>
      <c r="F32" s="40">
        <f>32.887+18.978+4.731</f>
        <v>56.596000000000004</v>
      </c>
      <c r="G32" s="40">
        <v>60.795000000000002</v>
      </c>
      <c r="H32" s="10"/>
    </row>
    <row r="33" spans="2:8" ht="13.5" thickBot="1" x14ac:dyDescent="0.25">
      <c r="B33" s="11" t="s">
        <v>21</v>
      </c>
      <c r="C33" s="40">
        <v>64.061777000000006</v>
      </c>
      <c r="D33" s="40">
        <v>55.382745999999997</v>
      </c>
      <c r="E33" s="40">
        <v>65.501999999999995</v>
      </c>
      <c r="F33" s="40">
        <v>73.02</v>
      </c>
      <c r="G33" s="40">
        <v>101.502</v>
      </c>
      <c r="H33" s="10"/>
    </row>
    <row r="34" spans="2:8" ht="13.5" thickBot="1" x14ac:dyDescent="0.25">
      <c r="B34" s="11" t="s">
        <v>22</v>
      </c>
      <c r="C34" s="40">
        <v>163.10541599999999</v>
      </c>
      <c r="D34" s="40">
        <v>109.317627</v>
      </c>
      <c r="E34" s="40">
        <v>184.93899999999999</v>
      </c>
      <c r="F34" s="40">
        <v>197.84800000000001</v>
      </c>
      <c r="G34" s="40">
        <v>197.20699999999999</v>
      </c>
      <c r="H34" s="10"/>
    </row>
    <row r="35" spans="2:8" ht="13.5" thickBot="1" x14ac:dyDescent="0.25">
      <c r="B35" s="11" t="s">
        <v>23</v>
      </c>
      <c r="C35" s="40">
        <v>43.854799</v>
      </c>
      <c r="D35" s="40">
        <v>47.210106000000003</v>
      </c>
      <c r="E35" s="40">
        <v>51.241999999999997</v>
      </c>
      <c r="F35" s="40">
        <v>69.347999999999999</v>
      </c>
      <c r="G35" s="40">
        <v>50.906999999999996</v>
      </c>
      <c r="H35" s="10"/>
    </row>
    <row r="36" spans="2:8" ht="13.5" thickBot="1" x14ac:dyDescent="0.25">
      <c r="B36" s="11" t="s">
        <v>52</v>
      </c>
      <c r="C36" s="40">
        <v>1.3272120000000001</v>
      </c>
      <c r="D36" s="40">
        <v>0.62231500000000006</v>
      </c>
      <c r="E36" s="40">
        <v>2.7839999999999998</v>
      </c>
      <c r="F36" s="40">
        <v>5.3760000000000003</v>
      </c>
      <c r="G36" s="40">
        <v>2.85</v>
      </c>
      <c r="H36" s="10"/>
    </row>
    <row r="37" spans="2:8" ht="13.5" thickBot="1" x14ac:dyDescent="0.25">
      <c r="B37" s="11" t="s">
        <v>25</v>
      </c>
      <c r="C37" s="40">
        <v>148.90988800000002</v>
      </c>
      <c r="D37" s="40">
        <v>168.01417600000002</v>
      </c>
      <c r="E37" s="40">
        <v>193.57900000000001</v>
      </c>
      <c r="F37" s="40">
        <v>182.31299999999999</v>
      </c>
      <c r="G37" s="40">
        <v>232.23500000000001</v>
      </c>
      <c r="H37" s="10"/>
    </row>
    <row r="38" spans="2:8" ht="13.5" thickBot="1" x14ac:dyDescent="0.25">
      <c r="B38" s="9" t="s">
        <v>26</v>
      </c>
      <c r="C38" s="44">
        <v>1694.327933</v>
      </c>
      <c r="D38" s="44">
        <v>1668.7094090000001</v>
      </c>
      <c r="E38" s="44">
        <v>1798.6410000000001</v>
      </c>
      <c r="F38" s="44">
        <v>1861.6</v>
      </c>
      <c r="G38" s="44">
        <v>1929.2460000000001</v>
      </c>
      <c r="H38" s="10"/>
    </row>
    <row r="39" spans="2:8" ht="13.5" thickBot="1" x14ac:dyDescent="0.25">
      <c r="B39" s="11"/>
      <c r="C39" s="40"/>
      <c r="D39" s="40"/>
      <c r="E39" s="40"/>
      <c r="F39" s="40"/>
      <c r="G39" s="40"/>
      <c r="H39" s="10"/>
    </row>
    <row r="40" spans="2:8" ht="13.5" thickBot="1" x14ac:dyDescent="0.25">
      <c r="B40" s="11" t="s">
        <v>27</v>
      </c>
      <c r="C40" s="40">
        <v>721.10200499999996</v>
      </c>
      <c r="D40" s="40">
        <v>707.60256499999991</v>
      </c>
      <c r="E40" s="40">
        <v>708.45100000000002</v>
      </c>
      <c r="F40" s="40">
        <v>694.20399999999995</v>
      </c>
      <c r="G40" s="40">
        <v>664.70799999999997</v>
      </c>
      <c r="H40" s="10"/>
    </row>
    <row r="41" spans="2:8" ht="13.5" thickBot="1" x14ac:dyDescent="0.25">
      <c r="B41" s="11" t="s">
        <v>28</v>
      </c>
      <c r="C41" s="40">
        <v>338.15899999999999</v>
      </c>
      <c r="D41" s="40">
        <v>357.08</v>
      </c>
      <c r="E41" s="40">
        <v>383.81</v>
      </c>
      <c r="F41" s="40">
        <f>386.948+105.522</f>
        <v>492.46999999999997</v>
      </c>
      <c r="G41" s="40">
        <v>590.59400000000005</v>
      </c>
      <c r="H41" s="10"/>
    </row>
    <row r="42" spans="2:8" ht="13.5" thickBot="1" x14ac:dyDescent="0.25">
      <c r="B42" s="11" t="s">
        <v>29</v>
      </c>
      <c r="C42" s="40">
        <v>100.39700000000001</v>
      </c>
      <c r="D42" s="40">
        <v>108.099</v>
      </c>
      <c r="E42" s="40">
        <v>101.327</v>
      </c>
      <c r="F42" s="40">
        <f>46.608+56.532</f>
        <v>103.13999999999999</v>
      </c>
      <c r="G42" s="40">
        <v>105.69799999999999</v>
      </c>
      <c r="H42" s="10"/>
    </row>
    <row r="43" spans="2:8" ht="13.5" thickBot="1" x14ac:dyDescent="0.25">
      <c r="B43" s="11" t="s">
        <v>35</v>
      </c>
      <c r="C43" s="40">
        <v>176.23599999999999</v>
      </c>
      <c r="D43" s="40">
        <v>178.25756700000002</v>
      </c>
      <c r="E43" s="40">
        <v>182.274</v>
      </c>
      <c r="F43" s="40">
        <f>2.214+188.202</f>
        <v>190.416</v>
      </c>
      <c r="G43" s="40">
        <v>202.44200000000001</v>
      </c>
      <c r="H43" s="10"/>
    </row>
    <row r="44" spans="2:8" ht="13.5" thickBot="1" x14ac:dyDescent="0.25">
      <c r="B44" s="11" t="s">
        <v>36</v>
      </c>
      <c r="C44" s="40">
        <v>358.43400000000003</v>
      </c>
      <c r="D44" s="40">
        <v>317.669175</v>
      </c>
      <c r="E44" s="40">
        <f>116.616+20.942+285.222-0.001</f>
        <v>422.779</v>
      </c>
      <c r="F44" s="40">
        <f>105.207+39.734+236.429</f>
        <v>381.37</v>
      </c>
      <c r="G44" s="40">
        <v>365.80500000000001</v>
      </c>
      <c r="H44" s="10"/>
    </row>
    <row r="45" spans="2:8" ht="13.5" thickBot="1" x14ac:dyDescent="0.25">
      <c r="B45" s="9" t="s">
        <v>49</v>
      </c>
      <c r="C45" s="20">
        <v>1694.328</v>
      </c>
      <c r="D45" s="20">
        <v>1668.7088980000001</v>
      </c>
      <c r="E45" s="20">
        <v>1798.6410000000001</v>
      </c>
      <c r="F45" s="20">
        <v>1861.6</v>
      </c>
      <c r="G45" s="20">
        <v>1929.2460000000001</v>
      </c>
      <c r="H45" s="10"/>
    </row>
    <row r="46" spans="2:8" x14ac:dyDescent="0.2">
      <c r="B46" s="81" t="s">
        <v>31</v>
      </c>
      <c r="C46" s="22"/>
      <c r="D46" s="22"/>
      <c r="E46" s="22"/>
      <c r="F46" s="22"/>
      <c r="G46" s="22"/>
      <c r="H46" s="10"/>
    </row>
    <row r="47" spans="2:8" x14ac:dyDescent="0.2">
      <c r="B47" s="82"/>
      <c r="C47" s="74"/>
      <c r="D47" s="71"/>
      <c r="E47" s="58"/>
      <c r="F47" s="54"/>
      <c r="G47" s="51"/>
      <c r="H47" s="10"/>
    </row>
    <row r="48" spans="2:8" x14ac:dyDescent="0.2">
      <c r="B48" s="82"/>
      <c r="C48" s="76" t="s">
        <v>2</v>
      </c>
      <c r="D48" s="72" t="s">
        <v>3</v>
      </c>
      <c r="E48" s="59" t="s">
        <v>4</v>
      </c>
      <c r="F48" s="56" t="s">
        <v>1</v>
      </c>
      <c r="G48" s="52" t="s">
        <v>2</v>
      </c>
      <c r="H48" s="10"/>
    </row>
    <row r="49" spans="2:8" ht="13.5" thickBot="1" x14ac:dyDescent="0.25">
      <c r="B49" s="83"/>
      <c r="C49" s="77">
        <v>2012</v>
      </c>
      <c r="D49" s="21">
        <v>2012</v>
      </c>
      <c r="E49" s="21">
        <v>2011</v>
      </c>
      <c r="F49" s="21">
        <v>2011</v>
      </c>
      <c r="G49" s="21">
        <v>2011</v>
      </c>
      <c r="H49" s="10"/>
    </row>
    <row r="50" spans="2:8" ht="14.25" thickTop="1" thickBot="1" x14ac:dyDescent="0.25">
      <c r="B50" s="11" t="s">
        <v>32</v>
      </c>
      <c r="C50" s="40">
        <v>19.196999999999999</v>
      </c>
      <c r="D50" s="40">
        <v>16.108000000000001</v>
      </c>
      <c r="E50" s="40">
        <v>137.744</v>
      </c>
      <c r="F50" s="40">
        <v>75.070999999999998</v>
      </c>
      <c r="G50" s="40">
        <v>-23.096</v>
      </c>
      <c r="H50" s="10"/>
    </row>
    <row r="51" spans="2:8" ht="13.5" thickBot="1" x14ac:dyDescent="0.25">
      <c r="B51" s="11" t="s">
        <v>37</v>
      </c>
      <c r="C51" s="40">
        <v>10.271000000000001</v>
      </c>
      <c r="D51" s="40">
        <v>15.54</v>
      </c>
      <c r="E51" s="40">
        <v>134.16300000000001</v>
      </c>
      <c r="F51" s="40">
        <v>69.739999999999995</v>
      </c>
      <c r="G51" s="40">
        <v>-32.191000000000003</v>
      </c>
      <c r="H51" s="10"/>
    </row>
    <row r="52" spans="2:8" ht="13.5" thickBot="1" x14ac:dyDescent="0.25">
      <c r="B52" s="11" t="s">
        <v>33</v>
      </c>
      <c r="C52" s="40">
        <v>-10.438000000000001</v>
      </c>
      <c r="D52" s="40">
        <v>-13.198</v>
      </c>
      <c r="E52" s="40">
        <v>-11.254</v>
      </c>
      <c r="F52" s="40">
        <v>-20.062999999999999</v>
      </c>
      <c r="G52" s="40">
        <v>-24.878</v>
      </c>
      <c r="H52" s="10"/>
    </row>
    <row r="53" spans="2:8" ht="13.5" thickBot="1" x14ac:dyDescent="0.25">
      <c r="B53" s="11" t="s">
        <v>61</v>
      </c>
      <c r="C53" s="40">
        <v>-20</v>
      </c>
      <c r="D53" s="40">
        <v>-28</v>
      </c>
      <c r="E53" s="40">
        <v>-114.004</v>
      </c>
      <c r="F53" s="40">
        <v>-100</v>
      </c>
      <c r="G53" s="40">
        <v>0.16</v>
      </c>
      <c r="H53" s="10"/>
    </row>
    <row r="54" spans="2:8" ht="13.5" thickBot="1" x14ac:dyDescent="0.25">
      <c r="B54" s="11" t="s">
        <v>34</v>
      </c>
      <c r="C54" s="40">
        <v>-20.167000000000002</v>
      </c>
      <c r="D54" s="40">
        <v>-25.658000000000001</v>
      </c>
      <c r="E54" s="40">
        <v>8.9049999999999994</v>
      </c>
      <c r="F54" s="40">
        <v>-50.323</v>
      </c>
      <c r="G54" s="40">
        <v>-56.908999999999999</v>
      </c>
      <c r="H54" s="10"/>
    </row>
    <row r="56" spans="2:8" x14ac:dyDescent="0.2">
      <c r="B56" s="17" t="s">
        <v>57</v>
      </c>
      <c r="C56" s="17"/>
      <c r="D56" s="17"/>
      <c r="E56" s="17"/>
      <c r="F56" s="17"/>
    </row>
    <row r="57" spans="2:8" x14ac:dyDescent="0.2">
      <c r="B57" s="17" t="s">
        <v>58</v>
      </c>
      <c r="C57" s="17"/>
      <c r="D57" s="17"/>
      <c r="E57" s="17"/>
    </row>
    <row r="58" spans="2:8" x14ac:dyDescent="0.2">
      <c r="B58" s="17" t="s">
        <v>60</v>
      </c>
      <c r="C58" s="17"/>
      <c r="D58" s="17"/>
    </row>
  </sheetData>
  <mergeCells count="2">
    <mergeCell ref="B26:B29"/>
    <mergeCell ref="B46:B49"/>
  </mergeCells>
  <phoneticPr fontId="5" type="noConversion"/>
  <pageMargins left="0.75" right="0.75" top="1" bottom="1" header="0.5" footer="0.5"/>
  <pageSetup paperSize="9" scale="74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54"/>
  <sheetViews>
    <sheetView zoomScale="130" zoomScaleNormal="130" workbookViewId="0">
      <selection activeCell="B3" sqref="B3"/>
    </sheetView>
  </sheetViews>
  <sheetFormatPr defaultRowHeight="12.75" x14ac:dyDescent="0.2"/>
  <cols>
    <col min="1" max="1" width="9.140625" style="1"/>
    <col min="2" max="2" width="40.85546875" style="1" customWidth="1"/>
    <col min="3" max="3" width="11.85546875" style="1" customWidth="1"/>
    <col min="4" max="4" width="11.42578125" style="5" customWidth="1"/>
    <col min="5" max="5" width="12.42578125" style="5" customWidth="1"/>
    <col min="6" max="7" width="11.7109375" style="5" customWidth="1"/>
    <col min="8" max="16384" width="9.140625" style="1"/>
  </cols>
  <sheetData>
    <row r="2" spans="2:9" x14ac:dyDescent="0.2">
      <c r="C2" s="59"/>
    </row>
    <row r="3" spans="2:9" ht="27.75" customHeight="1" x14ac:dyDescent="0.2">
      <c r="B3" s="15" t="s">
        <v>63</v>
      </c>
      <c r="C3" s="59">
        <v>2011</v>
      </c>
      <c r="D3" s="6">
        <v>2010</v>
      </c>
      <c r="E3" s="6">
        <v>2009</v>
      </c>
      <c r="F3" s="6">
        <v>2008</v>
      </c>
      <c r="G3" s="84">
        <v>2007</v>
      </c>
      <c r="H3" s="31"/>
    </row>
    <row r="4" spans="2:9" ht="21.75" customHeight="1" thickBot="1" x14ac:dyDescent="0.25">
      <c r="B4" s="16" t="s">
        <v>0</v>
      </c>
      <c r="C4" s="16"/>
      <c r="D4" s="33"/>
      <c r="E4" s="33"/>
      <c r="F4" s="33"/>
      <c r="G4" s="85"/>
      <c r="H4" s="31"/>
    </row>
    <row r="5" spans="2:9" ht="14.25" thickTop="1" thickBot="1" x14ac:dyDescent="0.25">
      <c r="B5" s="2" t="s">
        <v>47</v>
      </c>
      <c r="C5" s="2"/>
      <c r="D5" s="24"/>
      <c r="E5" s="24"/>
      <c r="F5" s="12"/>
      <c r="G5" s="32"/>
    </row>
    <row r="6" spans="2:9" ht="13.5" thickBot="1" x14ac:dyDescent="0.25">
      <c r="B6" s="2" t="s">
        <v>5</v>
      </c>
      <c r="C6" s="34">
        <v>1273.2170000000001</v>
      </c>
      <c r="D6" s="34">
        <v>1521.082983</v>
      </c>
      <c r="E6" s="39">
        <v>1480</v>
      </c>
      <c r="F6" s="39">
        <v>1674</v>
      </c>
      <c r="G6" s="39">
        <v>1737</v>
      </c>
      <c r="H6" s="5"/>
      <c r="I6" s="5"/>
    </row>
    <row r="7" spans="2:9" ht="13.5" thickBot="1" x14ac:dyDescent="0.25">
      <c r="B7" s="3" t="s">
        <v>6</v>
      </c>
      <c r="C7" s="35">
        <v>633.54499999999996</v>
      </c>
      <c r="D7" s="35">
        <v>777.01833299999998</v>
      </c>
      <c r="E7" s="23">
        <v>749</v>
      </c>
      <c r="F7" s="32">
        <v>893</v>
      </c>
      <c r="G7" s="32">
        <v>973</v>
      </c>
      <c r="H7" s="5"/>
      <c r="I7" s="5"/>
    </row>
    <row r="8" spans="2:9" ht="13.5" thickBot="1" x14ac:dyDescent="0.25">
      <c r="B8" s="3" t="s">
        <v>48</v>
      </c>
      <c r="C8" s="35">
        <v>639.67200000000003</v>
      </c>
      <c r="D8" s="35">
        <v>744.06465000000003</v>
      </c>
      <c r="E8" s="23">
        <v>731</v>
      </c>
      <c r="F8" s="32">
        <v>781</v>
      </c>
      <c r="G8" s="32">
        <v>764</v>
      </c>
      <c r="H8" s="5"/>
      <c r="I8" s="65"/>
    </row>
    <row r="9" spans="2:9" ht="13.5" thickBot="1" x14ac:dyDescent="0.25">
      <c r="B9" s="3"/>
      <c r="C9" s="35"/>
      <c r="D9" s="35"/>
      <c r="E9" s="23"/>
      <c r="F9" s="32"/>
      <c r="G9" s="32"/>
      <c r="H9" s="5"/>
      <c r="I9" s="5"/>
    </row>
    <row r="10" spans="2:9" ht="13.5" thickBot="1" x14ac:dyDescent="0.25">
      <c r="B10" s="3" t="s">
        <v>7</v>
      </c>
      <c r="C10" s="35">
        <v>172.822</v>
      </c>
      <c r="D10" s="35">
        <v>162</v>
      </c>
      <c r="E10" s="23">
        <v>139</v>
      </c>
      <c r="F10" s="32">
        <v>123</v>
      </c>
      <c r="G10" s="32">
        <v>44</v>
      </c>
      <c r="H10" s="5"/>
      <c r="I10" s="5"/>
    </row>
    <row r="11" spans="2:9" ht="13.5" thickBot="1" x14ac:dyDescent="0.25">
      <c r="B11" s="3" t="s">
        <v>45</v>
      </c>
      <c r="C11" s="35">
        <v>84.619</v>
      </c>
      <c r="D11" s="35">
        <v>78</v>
      </c>
      <c r="E11" s="23">
        <v>75</v>
      </c>
      <c r="F11" s="32">
        <v>48</v>
      </c>
      <c r="G11" s="32">
        <v>16</v>
      </c>
      <c r="H11" s="5"/>
      <c r="I11" s="5"/>
    </row>
    <row r="12" spans="2:9" ht="13.5" thickBot="1" x14ac:dyDescent="0.25">
      <c r="B12" s="3" t="s">
        <v>9</v>
      </c>
      <c r="C12" s="35">
        <v>78.061999999999998</v>
      </c>
      <c r="D12" s="35">
        <v>105</v>
      </c>
      <c r="E12" s="23">
        <v>86</v>
      </c>
      <c r="F12" s="32">
        <v>143</v>
      </c>
      <c r="G12" s="32">
        <v>137</v>
      </c>
      <c r="H12" s="5"/>
      <c r="I12" s="5"/>
    </row>
    <row r="13" spans="2:9" ht="10.5" customHeight="1" x14ac:dyDescent="0.2">
      <c r="B13" s="4" t="s">
        <v>38</v>
      </c>
      <c r="C13" s="36">
        <v>720.85299999999995</v>
      </c>
      <c r="D13" s="36">
        <v>200</v>
      </c>
      <c r="E13" s="25">
        <v>199</v>
      </c>
      <c r="F13" s="61">
        <v>1262</v>
      </c>
      <c r="G13" s="86">
        <v>108</v>
      </c>
      <c r="H13" s="5"/>
      <c r="I13" s="5"/>
    </row>
    <row r="14" spans="2:9" ht="13.5" thickBot="1" x14ac:dyDescent="0.25">
      <c r="B14" s="3" t="s">
        <v>39</v>
      </c>
      <c r="C14" s="35"/>
      <c r="D14" s="35"/>
      <c r="E14" s="23"/>
      <c r="F14" s="39"/>
      <c r="G14" s="87"/>
      <c r="H14" s="5"/>
      <c r="I14" s="5"/>
    </row>
    <row r="15" spans="2:9" ht="13.5" thickBot="1" x14ac:dyDescent="0.25">
      <c r="B15" s="3" t="s">
        <v>11</v>
      </c>
      <c r="C15" s="35">
        <v>7.9850000000000003</v>
      </c>
      <c r="D15" s="35">
        <v>13</v>
      </c>
      <c r="E15" s="23">
        <v>11</v>
      </c>
      <c r="F15" s="32">
        <v>5.6</v>
      </c>
      <c r="G15" s="32">
        <v>31</v>
      </c>
      <c r="H15" s="5"/>
      <c r="I15" s="5"/>
    </row>
    <row r="16" spans="2:9" ht="13.5" thickBot="1" x14ac:dyDescent="0.25">
      <c r="B16" s="3" t="s">
        <v>12</v>
      </c>
      <c r="C16" s="35">
        <v>1064.3409999999999</v>
      </c>
      <c r="D16" s="35">
        <v>558</v>
      </c>
      <c r="E16" s="23">
        <v>510</v>
      </c>
      <c r="F16" s="35">
        <v>1581</v>
      </c>
      <c r="G16" s="32">
        <v>336</v>
      </c>
      <c r="H16" s="5"/>
      <c r="I16" s="65"/>
    </row>
    <row r="17" spans="2:9" ht="13.5" thickBot="1" x14ac:dyDescent="0.25">
      <c r="B17" s="3"/>
      <c r="C17" s="35"/>
      <c r="D17" s="35"/>
      <c r="E17" s="23"/>
      <c r="F17" s="32"/>
      <c r="G17" s="32"/>
      <c r="H17" s="5"/>
      <c r="I17" s="5"/>
    </row>
    <row r="18" spans="2:9" ht="13.5" thickBot="1" x14ac:dyDescent="0.25">
      <c r="B18" s="2" t="s">
        <v>13</v>
      </c>
      <c r="C18" s="34">
        <v>-424.66899999999998</v>
      </c>
      <c r="D18" s="34">
        <v>186</v>
      </c>
      <c r="E18" s="24">
        <v>221</v>
      </c>
      <c r="F18" s="12">
        <v>-801</v>
      </c>
      <c r="G18" s="12">
        <v>428</v>
      </c>
      <c r="H18" s="5"/>
      <c r="I18" s="64"/>
    </row>
    <row r="19" spans="2:9" ht="13.5" thickBot="1" x14ac:dyDescent="0.25">
      <c r="B19" s="3"/>
      <c r="C19" s="35"/>
      <c r="D19" s="35"/>
      <c r="E19" s="23"/>
      <c r="F19" s="32"/>
      <c r="G19" s="32"/>
      <c r="H19" s="5"/>
      <c r="I19" s="5"/>
    </row>
    <row r="20" spans="2:9" ht="13.5" thickBot="1" x14ac:dyDescent="0.25">
      <c r="B20" s="3" t="s">
        <v>40</v>
      </c>
      <c r="C20" s="35">
        <v>-16.201000000000001</v>
      </c>
      <c r="D20" s="35">
        <v>-52</v>
      </c>
      <c r="E20" s="32">
        <v>-109</v>
      </c>
      <c r="F20" s="32">
        <v>7</v>
      </c>
      <c r="G20" s="32">
        <v>4</v>
      </c>
      <c r="H20" s="5"/>
      <c r="I20" s="5"/>
    </row>
    <row r="21" spans="2:9" ht="13.5" thickBot="1" x14ac:dyDescent="0.25">
      <c r="B21" s="2" t="s">
        <v>41</v>
      </c>
      <c r="C21" s="34">
        <v>-440.87</v>
      </c>
      <c r="D21" s="34">
        <v>134</v>
      </c>
      <c r="E21" s="24">
        <v>111</v>
      </c>
      <c r="F21" s="12">
        <v>-794</v>
      </c>
      <c r="G21" s="12">
        <v>431</v>
      </c>
      <c r="H21" s="5"/>
      <c r="I21" s="65"/>
    </row>
    <row r="22" spans="2:9" ht="13.5" thickBot="1" x14ac:dyDescent="0.25">
      <c r="B22" s="3"/>
      <c r="C22" s="35"/>
      <c r="D22" s="35"/>
      <c r="E22" s="23"/>
      <c r="F22" s="32"/>
      <c r="G22" s="32"/>
      <c r="H22" s="5"/>
      <c r="I22" s="5"/>
    </row>
    <row r="23" spans="2:9" ht="13.5" thickBot="1" x14ac:dyDescent="0.25">
      <c r="B23" s="3" t="s">
        <v>15</v>
      </c>
      <c r="C23" s="35">
        <v>1.919</v>
      </c>
      <c r="D23" s="35">
        <v>26</v>
      </c>
      <c r="E23" s="23">
        <v>25</v>
      </c>
      <c r="F23" s="32">
        <v>78</v>
      </c>
      <c r="G23" s="32">
        <v>114</v>
      </c>
      <c r="H23" s="5"/>
      <c r="I23" s="5"/>
    </row>
    <row r="24" spans="2:9" ht="13.5" thickBot="1" x14ac:dyDescent="0.25">
      <c r="B24" s="2" t="s">
        <v>16</v>
      </c>
      <c r="C24" s="34">
        <v>-438.95100000000002</v>
      </c>
      <c r="D24" s="34">
        <v>108</v>
      </c>
      <c r="E24" s="24">
        <v>86</v>
      </c>
      <c r="F24" s="12">
        <v>-872</v>
      </c>
      <c r="G24" s="12">
        <v>317</v>
      </c>
      <c r="H24" s="5"/>
      <c r="I24" s="66"/>
    </row>
    <row r="25" spans="2:9" x14ac:dyDescent="0.2">
      <c r="F25" s="13"/>
      <c r="G25" s="13"/>
      <c r="H25" s="5"/>
      <c r="I25" s="5"/>
    </row>
    <row r="26" spans="2:9" x14ac:dyDescent="0.2">
      <c r="F26" s="13"/>
      <c r="G26" s="13"/>
    </row>
    <row r="27" spans="2:9" ht="13.5" thickBot="1" x14ac:dyDescent="0.25">
      <c r="B27" s="16" t="s">
        <v>17</v>
      </c>
      <c r="C27" s="60">
        <v>2011</v>
      </c>
      <c r="D27" s="33">
        <v>2010</v>
      </c>
      <c r="E27" s="33">
        <v>2009</v>
      </c>
      <c r="F27" s="14">
        <v>2008</v>
      </c>
      <c r="G27" s="14">
        <v>2007</v>
      </c>
    </row>
    <row r="28" spans="2:9" ht="14.25" thickTop="1" thickBot="1" x14ac:dyDescent="0.25">
      <c r="B28" s="3"/>
      <c r="C28" s="3"/>
      <c r="D28" s="23"/>
      <c r="E28" s="23"/>
      <c r="F28" s="32"/>
      <c r="G28" s="32"/>
    </row>
    <row r="29" spans="2:9" ht="13.5" thickBot="1" x14ac:dyDescent="0.25">
      <c r="B29" s="3" t="s">
        <v>42</v>
      </c>
      <c r="C29" s="35">
        <v>1300.595</v>
      </c>
      <c r="D29" s="35">
        <v>1869.9381530000001</v>
      </c>
      <c r="E29" s="26">
        <v>1920</v>
      </c>
      <c r="F29" s="26">
        <v>1958</v>
      </c>
      <c r="G29" s="26">
        <v>915</v>
      </c>
    </row>
    <row r="30" spans="2:9" ht="13.5" thickBot="1" x14ac:dyDescent="0.25">
      <c r="B30" s="3" t="s">
        <v>21</v>
      </c>
      <c r="C30" s="35">
        <v>65.501999999999995</v>
      </c>
      <c r="D30" s="35">
        <v>93.821662000000003</v>
      </c>
      <c r="E30" s="27">
        <v>67</v>
      </c>
      <c r="F30" s="26">
        <v>145</v>
      </c>
      <c r="G30" s="26">
        <v>131</v>
      </c>
    </row>
    <row r="31" spans="2:9" ht="13.5" thickBot="1" x14ac:dyDescent="0.25">
      <c r="B31" s="3" t="s">
        <v>22</v>
      </c>
      <c r="C31" s="35">
        <v>184.93899999999999</v>
      </c>
      <c r="D31" s="35">
        <v>305.82128999999998</v>
      </c>
      <c r="E31" s="27">
        <v>294</v>
      </c>
      <c r="F31" s="26">
        <v>290</v>
      </c>
      <c r="G31" s="26">
        <v>403</v>
      </c>
    </row>
    <row r="32" spans="2:9" ht="13.5" thickBot="1" x14ac:dyDescent="0.25">
      <c r="B32" s="3" t="s">
        <v>23</v>
      </c>
      <c r="C32" s="35">
        <v>51.241999999999997</v>
      </c>
      <c r="D32" s="35">
        <v>41.853076999999999</v>
      </c>
      <c r="E32" s="27">
        <v>26</v>
      </c>
      <c r="F32" s="26">
        <v>16</v>
      </c>
      <c r="G32" s="26">
        <v>31</v>
      </c>
    </row>
    <row r="33" spans="2:9" ht="13.5" thickBot="1" x14ac:dyDescent="0.25">
      <c r="B33" s="3" t="s">
        <v>24</v>
      </c>
      <c r="C33" s="35">
        <v>2.7839999999999998</v>
      </c>
      <c r="D33" s="35">
        <v>5.7237389999999992</v>
      </c>
      <c r="E33" s="27">
        <v>11</v>
      </c>
      <c r="F33" s="26">
        <v>37</v>
      </c>
      <c r="G33" s="26">
        <v>27</v>
      </c>
    </row>
    <row r="34" spans="2:9" ht="13.5" thickBot="1" x14ac:dyDescent="0.25">
      <c r="B34" s="3" t="s">
        <v>25</v>
      </c>
      <c r="C34" s="35">
        <v>193.57900000000001</v>
      </c>
      <c r="D34" s="35">
        <v>305.59995099999998</v>
      </c>
      <c r="E34" s="27">
        <v>368</v>
      </c>
      <c r="F34" s="26">
        <v>321</v>
      </c>
      <c r="G34" s="26">
        <v>463</v>
      </c>
    </row>
    <row r="35" spans="2:9" ht="13.5" thickBot="1" x14ac:dyDescent="0.25">
      <c r="B35" s="2" t="s">
        <v>26</v>
      </c>
      <c r="C35" s="34">
        <v>1798.6410000000001</v>
      </c>
      <c r="D35" s="34">
        <v>2622.7578720000006</v>
      </c>
      <c r="E35" s="28">
        <v>2686</v>
      </c>
      <c r="F35" s="29">
        <v>2767</v>
      </c>
      <c r="G35" s="29">
        <v>1970</v>
      </c>
      <c r="I35" s="67"/>
    </row>
    <row r="36" spans="2:9" ht="13.5" thickBot="1" x14ac:dyDescent="0.25">
      <c r="B36" s="3"/>
      <c r="C36" s="35"/>
      <c r="D36" s="35"/>
      <c r="E36" s="26"/>
      <c r="F36" s="26"/>
      <c r="G36" s="26"/>
    </row>
    <row r="37" spans="2:9" ht="13.5" thickBot="1" x14ac:dyDescent="0.25">
      <c r="B37" s="3" t="s">
        <v>27</v>
      </c>
      <c r="C37" s="35">
        <v>708.45100000000002</v>
      </c>
      <c r="D37" s="35">
        <v>1141.5275749999998</v>
      </c>
      <c r="E37" s="30">
        <v>1018</v>
      </c>
      <c r="F37" s="26">
        <v>513</v>
      </c>
      <c r="G37" s="26">
        <v>1352</v>
      </c>
    </row>
    <row r="38" spans="2:9" ht="13.5" thickBot="1" x14ac:dyDescent="0.25">
      <c r="B38" s="3" t="s">
        <v>29</v>
      </c>
      <c r="C38" s="35">
        <v>101.327</v>
      </c>
      <c r="D38" s="35">
        <v>109.28800600000001</v>
      </c>
      <c r="E38" s="27">
        <v>114</v>
      </c>
      <c r="F38" s="26">
        <v>113</v>
      </c>
      <c r="G38" s="26">
        <v>96</v>
      </c>
    </row>
    <row r="39" spans="2:9" ht="13.5" thickBot="1" x14ac:dyDescent="0.25">
      <c r="B39" s="3" t="s">
        <v>28</v>
      </c>
      <c r="C39" s="35">
        <v>383.81</v>
      </c>
      <c r="D39" s="35">
        <v>587.59698600000002</v>
      </c>
      <c r="E39" s="27">
        <v>790</v>
      </c>
      <c r="F39" s="26">
        <f>1242+147</f>
        <v>1389</v>
      </c>
      <c r="G39" s="26">
        <v>0</v>
      </c>
    </row>
    <row r="40" spans="2:9" ht="13.5" thickBot="1" x14ac:dyDescent="0.25">
      <c r="B40" s="3" t="s">
        <v>35</v>
      </c>
      <c r="C40" s="35">
        <v>182.274</v>
      </c>
      <c r="D40" s="35">
        <v>211.94093100000001</v>
      </c>
      <c r="E40" s="27">
        <v>223</v>
      </c>
      <c r="F40" s="26">
        <v>234</v>
      </c>
      <c r="G40" s="26">
        <v>1</v>
      </c>
    </row>
    <row r="41" spans="2:9" ht="13.5" thickBot="1" x14ac:dyDescent="0.25">
      <c r="B41" s="3" t="s">
        <v>36</v>
      </c>
      <c r="C41" s="35">
        <v>422.779</v>
      </c>
      <c r="D41" s="35">
        <v>572.40433099999996</v>
      </c>
      <c r="E41" s="27">
        <v>541</v>
      </c>
      <c r="F41" s="26">
        <v>518</v>
      </c>
      <c r="G41" s="26">
        <v>521</v>
      </c>
    </row>
    <row r="42" spans="2:9" ht="13.5" thickBot="1" x14ac:dyDescent="0.25">
      <c r="B42" s="2" t="s">
        <v>30</v>
      </c>
      <c r="C42" s="34">
        <v>1798.6410000000001</v>
      </c>
      <c r="D42" s="34">
        <v>2622.7578290000001</v>
      </c>
      <c r="E42" s="28">
        <v>2686</v>
      </c>
      <c r="F42" s="29">
        <v>2767</v>
      </c>
      <c r="G42" s="29">
        <v>1970</v>
      </c>
      <c r="I42" s="67"/>
    </row>
    <row r="43" spans="2:9" ht="13.5" thickBot="1" x14ac:dyDescent="0.25">
      <c r="B43" s="3"/>
      <c r="C43" s="3"/>
      <c r="D43" s="23"/>
      <c r="E43" s="26"/>
      <c r="F43" s="26"/>
      <c r="G43" s="26"/>
    </row>
    <row r="44" spans="2:9" ht="13.5" thickBot="1" x14ac:dyDescent="0.25">
      <c r="B44" s="2" t="s">
        <v>31</v>
      </c>
      <c r="C44" s="2"/>
      <c r="D44" s="34"/>
      <c r="E44" s="29"/>
      <c r="F44" s="29"/>
      <c r="G44" s="26"/>
    </row>
    <row r="45" spans="2:9" ht="13.5" thickBot="1" x14ac:dyDescent="0.25">
      <c r="B45" s="3" t="s">
        <v>32</v>
      </c>
      <c r="C45" s="35">
        <v>195.21899999999999</v>
      </c>
      <c r="D45" s="35">
        <v>265.29287600000015</v>
      </c>
      <c r="E45" s="26">
        <v>430</v>
      </c>
      <c r="F45" s="26">
        <v>463</v>
      </c>
      <c r="G45" s="26">
        <v>535</v>
      </c>
    </row>
    <row r="46" spans="2:9" ht="21.75" thickBot="1" x14ac:dyDescent="0.25">
      <c r="B46" s="3" t="s">
        <v>34</v>
      </c>
      <c r="C46" s="35">
        <v>-112.136</v>
      </c>
      <c r="D46" s="35">
        <v>-63.841963853931226</v>
      </c>
      <c r="E46" s="26">
        <v>45</v>
      </c>
      <c r="F46" s="26">
        <v>-142</v>
      </c>
      <c r="G46" s="26">
        <v>28</v>
      </c>
    </row>
    <row r="47" spans="2:9" ht="13.5" thickBot="1" x14ac:dyDescent="0.25">
      <c r="B47" s="3"/>
      <c r="C47" s="3"/>
      <c r="D47" s="23"/>
      <c r="E47" s="26"/>
      <c r="F47" s="26"/>
      <c r="G47" s="26"/>
    </row>
    <row r="48" spans="2:9" ht="13.5" thickBot="1" x14ac:dyDescent="0.25">
      <c r="B48" s="2" t="s">
        <v>43</v>
      </c>
      <c r="C48" s="2"/>
      <c r="D48" s="24"/>
      <c r="E48" s="29"/>
      <c r="F48" s="29"/>
      <c r="G48" s="29"/>
    </row>
    <row r="49" spans="2:7" ht="13.5" thickBot="1" x14ac:dyDescent="0.25">
      <c r="B49" s="3" t="s">
        <v>44</v>
      </c>
      <c r="C49" s="26">
        <v>3677</v>
      </c>
      <c r="D49" s="35">
        <v>3487</v>
      </c>
      <c r="E49" s="26">
        <v>3089</v>
      </c>
      <c r="F49" s="26">
        <v>3498</v>
      </c>
      <c r="G49" s="26">
        <v>1337</v>
      </c>
    </row>
    <row r="51" spans="2:7" x14ac:dyDescent="0.2">
      <c r="B51" s="17" t="s">
        <v>51</v>
      </c>
      <c r="C51" s="17"/>
      <c r="D51" s="37"/>
      <c r="E51" s="37"/>
    </row>
    <row r="52" spans="2:7" x14ac:dyDescent="0.2">
      <c r="B52" s="17" t="s">
        <v>50</v>
      </c>
      <c r="C52" s="17"/>
      <c r="D52" s="37"/>
      <c r="E52" s="38"/>
    </row>
    <row r="53" spans="2:7" x14ac:dyDescent="0.2">
      <c r="B53" s="17" t="s">
        <v>55</v>
      </c>
      <c r="C53" s="17"/>
    </row>
    <row r="54" spans="2:7" x14ac:dyDescent="0.2">
      <c r="B54" s="17" t="s">
        <v>59</v>
      </c>
    </row>
  </sheetData>
  <mergeCells count="2">
    <mergeCell ref="G3:G4"/>
    <mergeCell ref="G13:G14"/>
  </mergeCells>
  <phoneticPr fontId="5" type="noConversion"/>
  <pageMargins left="0.75" right="0.75" top="1" bottom="1" header="0.5" footer="0.5"/>
  <pageSetup paperSize="9" scale="74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Quarterly</vt:lpstr>
      <vt:lpstr>Yearly</vt:lpstr>
      <vt:lpstr>Quarterly!Print_Area</vt:lpstr>
      <vt:lpstr>Yearly!Print_Area</vt:lpstr>
    </vt:vector>
  </TitlesOfParts>
  <Company>TomTom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ripi</dc:creator>
  <cp:lastModifiedBy>Georgia Vlachou</cp:lastModifiedBy>
  <cp:lastPrinted>2012-07-23T08:26:43Z</cp:lastPrinted>
  <dcterms:created xsi:type="dcterms:W3CDTF">2009-03-02T16:40:37Z</dcterms:created>
  <dcterms:modified xsi:type="dcterms:W3CDTF">2012-07-23T16:34:51Z</dcterms:modified>
</cp:coreProperties>
</file>