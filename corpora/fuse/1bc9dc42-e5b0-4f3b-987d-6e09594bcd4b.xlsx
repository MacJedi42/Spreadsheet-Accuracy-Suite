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5576" windowHeight="11532"/>
  </bookViews>
  <sheets>
    <sheet name="Fixed Rate Non-Operating Levies" sheetId="1" r:id="rId1"/>
    <sheet name="Fixed Sum Levies" sheetId="2" r:id="rId2"/>
    <sheet name="Sheet1" sheetId="3" r:id="rId3"/>
  </sheets>
  <calcPr calcId="145621"/>
</workbook>
</file>

<file path=xl/calcChain.xml><?xml version="1.0" encoding="utf-8"?>
<calcChain xmlns="http://schemas.openxmlformats.org/spreadsheetml/2006/main">
  <c r="G575" i="1" l="1"/>
  <c r="F575" i="1"/>
  <c r="E573" i="1" l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366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8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H309" i="1"/>
  <c r="E309" i="1" s="1"/>
  <c r="H307" i="1"/>
  <c r="E307" i="1" s="1"/>
  <c r="H170" i="1"/>
  <c r="H575" i="1" l="1"/>
  <c r="E170" i="1"/>
  <c r="E575" i="1" s="1"/>
  <c r="E583" i="2" l="1"/>
  <c r="E299" i="2"/>
  <c r="E783" i="2"/>
  <c r="E782" i="2"/>
  <c r="E780" i="2"/>
  <c r="E779" i="2"/>
  <c r="E777" i="2"/>
  <c r="E775" i="2"/>
  <c r="E774" i="2"/>
  <c r="E772" i="2"/>
  <c r="E770" i="2"/>
  <c r="E769" i="2"/>
  <c r="E767" i="2"/>
  <c r="E766" i="2"/>
  <c r="E764" i="2"/>
  <c r="E762" i="2"/>
  <c r="E761" i="2"/>
  <c r="E759" i="2"/>
  <c r="E757" i="2"/>
  <c r="E755" i="2"/>
  <c r="E754" i="2"/>
  <c r="E753" i="2"/>
  <c r="E751" i="2"/>
  <c r="E749" i="2"/>
  <c r="E748" i="2"/>
  <c r="E747" i="2"/>
  <c r="E746" i="2"/>
  <c r="E745" i="2"/>
  <c r="E743" i="2"/>
  <c r="E742" i="2"/>
  <c r="E741" i="2"/>
  <c r="E739" i="2"/>
  <c r="E738" i="2"/>
  <c r="E736" i="2"/>
  <c r="E734" i="2"/>
  <c r="E733" i="2"/>
  <c r="E732" i="2"/>
  <c r="E730" i="2"/>
  <c r="E729" i="2"/>
  <c r="E728" i="2"/>
  <c r="E726" i="2"/>
  <c r="E725" i="2"/>
  <c r="E723" i="2"/>
  <c r="E722" i="2"/>
  <c r="E721" i="2"/>
  <c r="E719" i="2"/>
  <c r="E717" i="2"/>
  <c r="E716" i="2"/>
  <c r="E714" i="2"/>
  <c r="E713" i="2"/>
  <c r="E712" i="2"/>
  <c r="E711" i="2"/>
  <c r="E709" i="2"/>
  <c r="E708" i="2"/>
  <c r="E707" i="2"/>
  <c r="E705" i="2"/>
  <c r="E704" i="2"/>
  <c r="E703" i="2"/>
  <c r="E702" i="2"/>
  <c r="E700" i="2"/>
  <c r="E699" i="2"/>
  <c r="E698" i="2"/>
  <c r="E696" i="2"/>
  <c r="E695" i="2"/>
  <c r="E693" i="2"/>
  <c r="E692" i="2"/>
  <c r="E691" i="2"/>
  <c r="E689" i="2"/>
  <c r="E688" i="2"/>
  <c r="E687" i="2"/>
  <c r="E685" i="2"/>
  <c r="E683" i="2"/>
  <c r="E682" i="2"/>
  <c r="E680" i="2"/>
  <c r="E679" i="2"/>
  <c r="E678" i="2"/>
  <c r="E677" i="2"/>
  <c r="E675" i="2"/>
  <c r="E673" i="2"/>
  <c r="E671" i="2"/>
  <c r="E670" i="2"/>
  <c r="E668" i="2"/>
  <c r="E667" i="2"/>
  <c r="E666" i="2"/>
  <c r="E664" i="2"/>
  <c r="E663" i="2"/>
  <c r="E662" i="2"/>
  <c r="E661" i="2"/>
  <c r="E659" i="2"/>
  <c r="E658" i="2"/>
  <c r="E657" i="2"/>
  <c r="E656" i="2"/>
  <c r="E654" i="2"/>
  <c r="E652" i="2"/>
  <c r="E650" i="2"/>
  <c r="E648" i="2"/>
  <c r="E647" i="2"/>
  <c r="E645" i="2"/>
  <c r="E644" i="2"/>
  <c r="E642" i="2"/>
  <c r="E640" i="2"/>
  <c r="E639" i="2"/>
  <c r="E637" i="2"/>
  <c r="E636" i="2"/>
  <c r="E634" i="2"/>
  <c r="E633" i="2"/>
  <c r="E631" i="2"/>
  <c r="E630" i="2"/>
  <c r="E628" i="2"/>
  <c r="E627" i="2"/>
  <c r="E625" i="2"/>
  <c r="E624" i="2"/>
  <c r="E623" i="2"/>
  <c r="E622" i="2"/>
  <c r="E620" i="2"/>
  <c r="E619" i="2"/>
  <c r="E618" i="2"/>
  <c r="E617" i="2"/>
  <c r="E615" i="2"/>
  <c r="E614" i="2"/>
  <c r="E612" i="2"/>
  <c r="E610" i="2"/>
  <c r="E608" i="2"/>
  <c r="E607" i="2"/>
  <c r="E605" i="2"/>
  <c r="E603" i="2"/>
  <c r="E601" i="2"/>
  <c r="E599" i="2"/>
  <c r="E598" i="2"/>
  <c r="E596" i="2"/>
  <c r="E594" i="2"/>
  <c r="E592" i="2"/>
  <c r="E591" i="2"/>
  <c r="E590" i="2"/>
  <c r="E588" i="2"/>
  <c r="E586" i="2"/>
  <c r="E584" i="2"/>
  <c r="E581" i="2"/>
  <c r="E580" i="2"/>
  <c r="E579" i="2"/>
  <c r="E577" i="2"/>
  <c r="E576" i="2"/>
  <c r="E575" i="2"/>
  <c r="E573" i="2"/>
  <c r="E571" i="2"/>
  <c r="E570" i="2"/>
  <c r="E568" i="2"/>
  <c r="E566" i="2"/>
  <c r="E564" i="2"/>
  <c r="E563" i="2"/>
  <c r="E562" i="2"/>
  <c r="E560" i="2"/>
  <c r="E559" i="2"/>
  <c r="E558" i="2"/>
  <c r="E557" i="2"/>
  <c r="E555" i="2"/>
  <c r="E553" i="2"/>
  <c r="E552" i="2"/>
  <c r="E551" i="2"/>
  <c r="E550" i="2"/>
  <c r="E549" i="2"/>
  <c r="E547" i="2"/>
  <c r="E546" i="2"/>
  <c r="E544" i="2"/>
  <c r="E542" i="2"/>
  <c r="E541" i="2"/>
  <c r="E539" i="2"/>
  <c r="E538" i="2"/>
  <c r="E537" i="2"/>
  <c r="E536" i="2"/>
  <c r="E534" i="2"/>
  <c r="E533" i="2"/>
  <c r="E532" i="2"/>
  <c r="E531" i="2"/>
  <c r="E529" i="2"/>
  <c r="E528" i="2"/>
  <c r="E527" i="2"/>
  <c r="E526" i="2"/>
  <c r="E524" i="2"/>
  <c r="E523" i="2"/>
  <c r="E522" i="2"/>
  <c r="E521" i="2"/>
  <c r="E520" i="2"/>
  <c r="E519" i="2"/>
  <c r="E518" i="2"/>
  <c r="E517" i="2"/>
  <c r="E515" i="2"/>
  <c r="E514" i="2"/>
  <c r="E512" i="2"/>
  <c r="E511" i="2"/>
  <c r="E509" i="2"/>
  <c r="E507" i="2"/>
  <c r="E506" i="2"/>
  <c r="E504" i="2"/>
  <c r="E503" i="2"/>
  <c r="E501" i="2"/>
  <c r="E500" i="2"/>
  <c r="E498" i="2"/>
  <c r="E497" i="2"/>
  <c r="E495" i="2"/>
  <c r="E494" i="2"/>
  <c r="E493" i="2"/>
  <c r="E491" i="2"/>
  <c r="E490" i="2"/>
  <c r="E489" i="2"/>
  <c r="E488" i="2"/>
  <c r="E486" i="2"/>
  <c r="E485" i="2"/>
  <c r="E483" i="2"/>
  <c r="E482" i="2"/>
  <c r="E480" i="2"/>
  <c r="E478" i="2"/>
  <c r="E477" i="2"/>
  <c r="E475" i="2"/>
  <c r="E474" i="2"/>
  <c r="E472" i="2"/>
  <c r="E471" i="2"/>
  <c r="E469" i="2"/>
  <c r="E467" i="2"/>
  <c r="E466" i="2"/>
  <c r="E465" i="2"/>
  <c r="E463" i="2"/>
  <c r="E462" i="2"/>
  <c r="E460" i="2"/>
  <c r="E459" i="2"/>
  <c r="E457" i="2"/>
  <c r="E455" i="2"/>
  <c r="E454" i="2"/>
  <c r="E452" i="2"/>
  <c r="E451" i="2"/>
  <c r="E449" i="2"/>
  <c r="E448" i="2"/>
  <c r="E447" i="2"/>
  <c r="E446" i="2"/>
  <c r="E445" i="2"/>
  <c r="E443" i="2"/>
  <c r="E442" i="2"/>
  <c r="E441" i="2"/>
  <c r="E439" i="2"/>
  <c r="E437" i="2"/>
  <c r="E436" i="2"/>
  <c r="E434" i="2"/>
  <c r="E432" i="2"/>
  <c r="E431" i="2"/>
  <c r="E429" i="2"/>
  <c r="E428" i="2"/>
  <c r="E426" i="2"/>
  <c r="E425" i="2"/>
  <c r="E423" i="2"/>
  <c r="E421" i="2"/>
  <c r="E419" i="2"/>
  <c r="E417" i="2"/>
  <c r="E416" i="2"/>
  <c r="E414" i="2"/>
  <c r="E413" i="2"/>
  <c r="E411" i="2"/>
  <c r="E409" i="2"/>
  <c r="E407" i="2"/>
  <c r="E405" i="2"/>
  <c r="E403" i="2"/>
  <c r="E402" i="2"/>
  <c r="E401" i="2"/>
  <c r="E400" i="2"/>
  <c r="E399" i="2"/>
  <c r="E397" i="2"/>
  <c r="E396" i="2"/>
  <c r="E394" i="2"/>
  <c r="E393" i="2"/>
  <c r="E391" i="2"/>
  <c r="E390" i="2"/>
  <c r="E388" i="2"/>
  <c r="E387" i="2"/>
  <c r="E386" i="2"/>
  <c r="E384" i="2"/>
  <c r="E383" i="2"/>
  <c r="E381" i="2"/>
  <c r="E379" i="2"/>
  <c r="E378" i="2"/>
  <c r="E377" i="2"/>
  <c r="E376" i="2"/>
  <c r="E374" i="2"/>
  <c r="E372" i="2"/>
  <c r="E370" i="2"/>
  <c r="E369" i="2"/>
  <c r="E367" i="2"/>
  <c r="E366" i="2"/>
  <c r="E364" i="2"/>
  <c r="E363" i="2"/>
  <c r="E361" i="2"/>
  <c r="E360" i="2"/>
  <c r="E358" i="2"/>
  <c r="E357" i="2"/>
  <c r="E356" i="2"/>
  <c r="E354" i="2"/>
  <c r="E353" i="2"/>
  <c r="E351" i="2"/>
  <c r="E350" i="2"/>
  <c r="E349" i="2"/>
  <c r="E347" i="2"/>
  <c r="E346" i="2"/>
  <c r="E344" i="2"/>
  <c r="E342" i="2"/>
  <c r="E340" i="2"/>
  <c r="E339" i="2"/>
  <c r="E338" i="2"/>
  <c r="E336" i="2"/>
  <c r="E335" i="2"/>
  <c r="E333" i="2"/>
  <c r="E332" i="2"/>
  <c r="E330" i="2"/>
  <c r="E329" i="2"/>
  <c r="E328" i="2"/>
  <c r="E326" i="2"/>
  <c r="E324" i="2"/>
  <c r="E323" i="2"/>
  <c r="E322" i="2"/>
  <c r="E320" i="2"/>
  <c r="E319" i="2"/>
  <c r="E318" i="2"/>
  <c r="E317" i="2"/>
  <c r="E315" i="2"/>
  <c r="E314" i="2"/>
  <c r="E313" i="2"/>
  <c r="E311" i="2"/>
  <c r="E310" i="2"/>
  <c r="E308" i="2"/>
  <c r="E307" i="2"/>
  <c r="E305" i="2"/>
  <c r="E303" i="2"/>
  <c r="E302" i="2"/>
  <c r="E301" i="2"/>
  <c r="E298" i="2"/>
  <c r="E297" i="2"/>
  <c r="E296" i="2"/>
  <c r="E294" i="2"/>
  <c r="E293" i="2"/>
  <c r="E292" i="2"/>
  <c r="E290" i="2"/>
  <c r="E289" i="2"/>
  <c r="E288" i="2"/>
  <c r="E286" i="2"/>
  <c r="E285" i="2"/>
  <c r="E283" i="2"/>
  <c r="E282" i="2"/>
  <c r="E280" i="2"/>
  <c r="E279" i="2"/>
  <c r="E277" i="2"/>
  <c r="E276" i="2"/>
  <c r="E275" i="2"/>
  <c r="E274" i="2"/>
  <c r="E272" i="2"/>
  <c r="E270" i="2"/>
  <c r="E269" i="2"/>
  <c r="E267" i="2"/>
  <c r="E266" i="2"/>
  <c r="E265" i="2"/>
  <c r="E264" i="2"/>
  <c r="E262" i="2"/>
  <c r="E261" i="2"/>
  <c r="E259" i="2"/>
  <c r="E257" i="2"/>
  <c r="E256" i="2"/>
  <c r="E254" i="2"/>
  <c r="E253" i="2"/>
  <c r="E251" i="2"/>
  <c r="E250" i="2"/>
  <c r="E249" i="2"/>
  <c r="E247" i="2"/>
  <c r="E245" i="2"/>
  <c r="E243" i="2"/>
  <c r="E242" i="2"/>
  <c r="E241" i="2"/>
  <c r="E239" i="2"/>
  <c r="E238" i="2"/>
  <c r="E237" i="2"/>
  <c r="E235" i="2"/>
  <c r="E234" i="2"/>
  <c r="E233" i="2"/>
  <c r="E231" i="2"/>
  <c r="E230" i="2"/>
  <c r="E228" i="2"/>
  <c r="E227" i="2"/>
  <c r="E226" i="2"/>
  <c r="E224" i="2"/>
  <c r="E223" i="2"/>
  <c r="E221" i="2"/>
  <c r="E220" i="2"/>
  <c r="E218" i="2"/>
  <c r="E216" i="2"/>
  <c r="E214" i="2"/>
  <c r="E212" i="2"/>
  <c r="E210" i="2"/>
  <c r="E208" i="2"/>
  <c r="E207" i="2"/>
  <c r="E205" i="2"/>
  <c r="E203" i="2"/>
  <c r="E202" i="2"/>
  <c r="E200" i="2"/>
  <c r="E199" i="2"/>
  <c r="E197" i="2"/>
  <c r="E196" i="2"/>
  <c r="E195" i="2"/>
  <c r="E193" i="2"/>
  <c r="E191" i="2"/>
  <c r="E190" i="2"/>
  <c r="E188" i="2"/>
  <c r="E186" i="2"/>
  <c r="E185" i="2"/>
  <c r="E183" i="2"/>
  <c r="E182" i="2"/>
  <c r="E181" i="2"/>
  <c r="E179" i="2"/>
  <c r="E178" i="2"/>
  <c r="E176" i="2"/>
  <c r="E174" i="2"/>
  <c r="E173" i="2"/>
  <c r="E172" i="2"/>
  <c r="E171" i="2"/>
  <c r="E169" i="2"/>
  <c r="E168" i="2"/>
  <c r="E166" i="2"/>
  <c r="E165" i="2"/>
  <c r="E163" i="2"/>
  <c r="E162" i="2"/>
  <c r="E160" i="2"/>
  <c r="E158" i="2"/>
  <c r="E157" i="2"/>
  <c r="E156" i="2"/>
  <c r="E155" i="2"/>
  <c r="E154" i="2"/>
  <c r="E152" i="2"/>
  <c r="E150" i="2"/>
  <c r="E149" i="2"/>
  <c r="E147" i="2"/>
  <c r="E146" i="2"/>
  <c r="E144" i="2"/>
  <c r="E143" i="2"/>
  <c r="E142" i="2"/>
  <c r="E141" i="2"/>
  <c r="E140" i="2"/>
  <c r="E138" i="2"/>
  <c r="E136" i="2"/>
  <c r="E135" i="2"/>
  <c r="E133" i="2"/>
  <c r="E131" i="2"/>
  <c r="E130" i="2"/>
  <c r="E129" i="2"/>
  <c r="E128" i="2"/>
  <c r="E127" i="2"/>
  <c r="E125" i="2"/>
  <c r="E124" i="2"/>
  <c r="E122" i="2"/>
  <c r="E120" i="2"/>
  <c r="E119" i="2"/>
  <c r="E118" i="2"/>
  <c r="E116" i="2"/>
  <c r="E115" i="2"/>
  <c r="E113" i="2"/>
  <c r="E112" i="2"/>
  <c r="E110" i="2"/>
  <c r="E109" i="2"/>
  <c r="E108" i="2"/>
  <c r="E107" i="2"/>
  <c r="E105" i="2"/>
  <c r="E104" i="2"/>
  <c r="E102" i="2"/>
  <c r="E101" i="2"/>
  <c r="E100" i="2"/>
  <c r="E98" i="2"/>
  <c r="E97" i="2"/>
  <c r="E96" i="2"/>
  <c r="E94" i="2"/>
  <c r="E93" i="2"/>
  <c r="E91" i="2"/>
  <c r="E90" i="2"/>
  <c r="E88" i="2"/>
  <c r="E87" i="2"/>
  <c r="E85" i="2"/>
  <c r="E84" i="2"/>
  <c r="E82" i="2"/>
  <c r="E81" i="2"/>
  <c r="E80" i="2"/>
  <c r="E79" i="2"/>
  <c r="E77" i="2"/>
  <c r="E75" i="2"/>
  <c r="E73" i="2"/>
  <c r="E72" i="2"/>
  <c r="E70" i="2"/>
  <c r="E69" i="2"/>
  <c r="E67" i="2"/>
  <c r="E66" i="2"/>
  <c r="E64" i="2"/>
  <c r="E63" i="2"/>
  <c r="E61" i="2"/>
  <c r="E59" i="2"/>
  <c r="E57" i="2"/>
  <c r="E56" i="2"/>
  <c r="E54" i="2"/>
  <c r="E53" i="2"/>
  <c r="E52" i="2"/>
  <c r="E50" i="2"/>
  <c r="E49" i="2"/>
  <c r="E47" i="2"/>
  <c r="E45" i="2"/>
  <c r="E43" i="2"/>
  <c r="E42" i="2"/>
  <c r="E41" i="2"/>
  <c r="E40" i="2"/>
  <c r="E39" i="2"/>
  <c r="E37" i="2"/>
  <c r="E35" i="2"/>
  <c r="E33" i="2"/>
  <c r="E32" i="2"/>
  <c r="E30" i="2"/>
  <c r="E29" i="2"/>
  <c r="E27" i="2"/>
  <c r="E25" i="2"/>
  <c r="E24" i="2"/>
  <c r="E22" i="2"/>
  <c r="E20" i="2"/>
  <c r="E19" i="2"/>
  <c r="E18" i="2"/>
  <c r="F785" i="2"/>
  <c r="G785" i="2"/>
  <c r="H785" i="2"/>
  <c r="E785" i="2" l="1"/>
</calcChain>
</file>

<file path=xl/comments1.xml><?xml version="1.0" encoding="utf-8"?>
<comments xmlns="http://schemas.openxmlformats.org/spreadsheetml/2006/main">
  <authors>
    <author>Meghan Sullivan Homsher</author>
  </authors>
  <commentList>
    <comment ref="H307" authorId="0">
      <text>
        <r>
          <rPr>
            <b/>
            <sz val="8"/>
            <color indexed="81"/>
            <rFont val="Tahoma"/>
            <family val="2"/>
          </rPr>
          <t>Meghan Sullivan Homsher:</t>
        </r>
        <r>
          <rPr>
            <sz val="8"/>
            <color indexed="81"/>
            <rFont val="Tahoma"/>
            <family val="2"/>
          </rPr>
          <t xml:space="preserve">
millage reduced to .5 from 2
</t>
        </r>
      </text>
    </comment>
  </commentList>
</comments>
</file>

<file path=xl/sharedStrings.xml><?xml version="1.0" encoding="utf-8"?>
<sst xmlns="http://schemas.openxmlformats.org/spreadsheetml/2006/main" count="3569" uniqueCount="1131">
  <si>
    <t>Akron City SD</t>
  </si>
  <si>
    <t>Summit</t>
  </si>
  <si>
    <t>Permanent Improvement</t>
  </si>
  <si>
    <t>Alliance City SD</t>
  </si>
  <si>
    <t>Stark</t>
  </si>
  <si>
    <t>Classroom Facilities Maintenance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</si>
  <si>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</si>
  <si>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</si>
  <si>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</si>
  <si>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</si>
  <si>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</si>
  <si>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</si>
  <si>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</si>
  <si>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Beachwood City SD</t>
  </si>
  <si>
    <t>Cuyahoga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</si>
  <si>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</si>
  <si>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</si>
  <si>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</si>
  <si>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</si>
  <si>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</si>
  <si>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</si>
  <si>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</si>
  <si>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Berea City SD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</si>
  <si>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</si>
  <si>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</si>
  <si>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</si>
  <si>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</si>
  <si>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</si>
  <si>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</si>
  <si>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</si>
  <si>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</si>
  <si>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Cambridge City SD</t>
  </si>
  <si>
    <t>Guernsey</t>
  </si>
  <si>
    <t>Classroom Facilities</t>
  </si>
  <si>
    <t>Campbell City SD</t>
  </si>
  <si>
    <t>Mahoning</t>
  </si>
  <si>
    <t>Canton City SD</t>
  </si>
  <si>
    <t>Centerville City SD</t>
  </si>
  <si>
    <t>Montgomery</t>
  </si>
  <si>
    <t>Chillicothe City SD</t>
  </si>
  <si>
    <t>Ross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</si>
  <si>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</si>
  <si>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</si>
  <si>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</si>
  <si>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</si>
  <si>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</si>
  <si>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</si>
  <si>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</si>
  <si>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Franklin</t>
  </si>
  <si>
    <t>Conneaut Area City SD</t>
  </si>
  <si>
    <t>Coshocton City SD</t>
  </si>
  <si>
    <t>Coshocton</t>
  </si>
  <si>
    <t>Dayton City SD</t>
  </si>
  <si>
    <t>Deer Park Community City SD</t>
  </si>
  <si>
    <t>Hamilton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</si>
  <si>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</si>
  <si>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</si>
  <si>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</si>
  <si>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</si>
  <si>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</si>
  <si>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</si>
  <si>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</si>
  <si>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</si>
  <si>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</si>
  <si>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Euclid City SD</t>
  </si>
  <si>
    <t>Fostoria City SD</t>
  </si>
  <si>
    <t>Seneca</t>
  </si>
  <si>
    <t>Franklin City SD</t>
  </si>
  <si>
    <t>Warren</t>
  </si>
  <si>
    <t>Fremont City SD</t>
  </si>
  <si>
    <t>Sandusky</t>
  </si>
  <si>
    <t>Garfield Heights City SD</t>
  </si>
  <si>
    <t>Geneva Area City SD</t>
  </si>
  <si>
    <t>Girard City SD</t>
  </si>
  <si>
    <t>Trumbull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</si>
  <si>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</si>
  <si>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</si>
  <si>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</si>
  <si>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</si>
  <si>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</si>
  <si>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</si>
  <si>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</si>
  <si>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</si>
  <si>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</si>
  <si>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</si>
  <si>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</si>
  <si>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Library</t>
  </si>
  <si>
    <t>Jackson City SD</t>
  </si>
  <si>
    <t>Jackson</t>
  </si>
  <si>
    <t>Kettering City SD</t>
  </si>
  <si>
    <t>Lebanon City SD</t>
  </si>
  <si>
    <t>Lima City SD</t>
  </si>
  <si>
    <t>Logan-Hocking Local SD</t>
  </si>
  <si>
    <t>Hocking</t>
  </si>
  <si>
    <t>Lorain City SD</t>
  </si>
  <si>
    <t>Lorain</t>
  </si>
  <si>
    <t>Loveland City SD</t>
  </si>
  <si>
    <t>Mansfield City SD</t>
  </si>
  <si>
    <t>Richland</t>
  </si>
  <si>
    <t>Maple Heights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</si>
  <si>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</si>
  <si>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</si>
  <si>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</si>
  <si>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</si>
  <si>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</si>
  <si>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</si>
  <si>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</si>
  <si>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</si>
  <si>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</si>
  <si>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</si>
  <si>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Vernon City SD</t>
  </si>
  <si>
    <t>Knox</t>
  </si>
  <si>
    <t>Napoleon City SD</t>
  </si>
  <si>
    <t>Henry</t>
  </si>
  <si>
    <t>Nelsonville-York City SD</t>
  </si>
  <si>
    <t>Classroom Facilities (EXTENSION)</t>
  </si>
  <si>
    <t>Newark City SD</t>
  </si>
  <si>
    <t>New Lexington City SD</t>
  </si>
  <si>
    <t>Perry</t>
  </si>
  <si>
    <t>New Philadelphia City SD</t>
  </si>
  <si>
    <t>Niles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</si>
  <si>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</si>
  <si>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</si>
  <si>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</si>
  <si>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</si>
  <si>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</si>
  <si>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</si>
  <si>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Oakwood City SD</t>
  </si>
  <si>
    <t>Oberlin City SD</t>
  </si>
  <si>
    <t>Education Technology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</si>
  <si>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</si>
  <si>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</si>
  <si>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</si>
  <si>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</si>
  <si>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</si>
  <si>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</si>
  <si>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</si>
  <si>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</si>
  <si>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</si>
  <si>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</si>
  <si>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</si>
  <si>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Scioto</t>
  </si>
  <si>
    <t>Ravenna City SD</t>
  </si>
  <si>
    <t>Portage</t>
  </si>
  <si>
    <t>St Marys City SD</t>
  </si>
  <si>
    <t>Auglaize</t>
  </si>
  <si>
    <t>Salem City SD</t>
  </si>
  <si>
    <t>Sandusky City SD</t>
  </si>
  <si>
    <t>Sandusky Library</t>
  </si>
  <si>
    <t>Sheffield-Sheffield Lake Cit</t>
  </si>
  <si>
    <t>Shelby City SD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</si>
  <si>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</si>
  <si>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</si>
  <si>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</si>
  <si>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</si>
  <si>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</si>
  <si>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</si>
  <si>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Classroom Facilities ($1,748,017)</t>
  </si>
  <si>
    <t>Stow-Munroe Falls City SD</t>
  </si>
  <si>
    <t>Strongsville City SD</t>
  </si>
  <si>
    <t>Struthers City SD</t>
  </si>
  <si>
    <t>Sylvania City SD</t>
  </si>
  <si>
    <t>Tallmadge City SD</t>
  </si>
  <si>
    <t>Tiffin City SD</t>
  </si>
  <si>
    <t>Toledo City SD</t>
  </si>
  <si>
    <t>Troy City SD</t>
  </si>
  <si>
    <t>Urbana City SD</t>
  </si>
  <si>
    <t>Champaign</t>
  </si>
  <si>
    <t>Van Wert City SD</t>
  </si>
  <si>
    <t>Van Wert</t>
  </si>
  <si>
    <t>Warren City SD</t>
  </si>
  <si>
    <t>Warrensville Heights City SD</t>
  </si>
  <si>
    <t>Recreational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</si>
  <si>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</si>
  <si>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</si>
  <si>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</si>
  <si>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</si>
  <si>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</si>
  <si>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</si>
  <si>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Willard City SD</t>
  </si>
  <si>
    <t>Willoughby-Eastlake City SD</t>
  </si>
  <si>
    <t>Wilmington City SD</t>
  </si>
  <si>
    <t>Clinton</t>
  </si>
  <si>
    <t>Wooster City SD</t>
  </si>
  <si>
    <t>Wyoming City SD</t>
  </si>
  <si>
    <t>Xenia Community City SD</t>
  </si>
  <si>
    <t>Greene</t>
  </si>
  <si>
    <t>Youngstown City SD</t>
  </si>
  <si>
    <t>Ada Ex Vill SD</t>
  </si>
  <si>
    <t>Hardin</t>
  </si>
  <si>
    <t>Amherst Ex Vill SD</t>
  </si>
  <si>
    <t>Barnesville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</si>
  <si>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</si>
  <si>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</si>
  <si>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</si>
  <si>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</si>
  <si>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</si>
  <si>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</si>
  <si>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Classroom Facilities ($4,278,520)</t>
  </si>
  <si>
    <t>Carey Ex Vill SD</t>
  </si>
  <si>
    <t>Wyandot</t>
  </si>
  <si>
    <t>Chesapeake Union Ex Vill SD</t>
  </si>
  <si>
    <t>Lawrence</t>
  </si>
  <si>
    <t>Classroom Facilities ($2,375,000)</t>
  </si>
  <si>
    <t>Clyde-Green Springs Ex Vill</t>
  </si>
  <si>
    <t>Coldwater Ex Vill SD</t>
  </si>
  <si>
    <t>Mercer</t>
  </si>
  <si>
    <t>Columbiana Ex Vill SD</t>
  </si>
  <si>
    <t>Crestline Ex Vill SD</t>
  </si>
  <si>
    <t>Crawford</t>
  </si>
  <si>
    <t>Crooksville Ex Vill SD</t>
  </si>
  <si>
    <t>Fairport Harbor Ex Vill SD</t>
  </si>
  <si>
    <t>Georgetown Ex Vill SD</t>
  </si>
  <si>
    <t>Brown</t>
  </si>
  <si>
    <t>Classroom Facilities ($3,512,986)</t>
  </si>
  <si>
    <t>Gibsonburg Ex Vill SD</t>
  </si>
  <si>
    <t>Granville Ex Vill SD</t>
  </si>
  <si>
    <t>Greenfield Ex Vill SD</t>
  </si>
  <si>
    <t>Classroom Facilities ($19,669,100)</t>
  </si>
  <si>
    <t>Hicksville Ex Vill SD</t>
  </si>
  <si>
    <t>Defiance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</si>
  <si>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</si>
  <si>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</si>
  <si>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</si>
  <si>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</si>
  <si>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</si>
  <si>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</si>
  <si>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</si>
  <si>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</si>
  <si>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</si>
  <si>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</si>
  <si>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</si>
  <si>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</si>
  <si>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</si>
  <si>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</si>
  <si>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</si>
  <si>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Newton Falls Ex Vill SD</t>
  </si>
  <si>
    <t>Paulding Ex Vill SD</t>
  </si>
  <si>
    <t>Paulding</t>
  </si>
  <si>
    <t>Perrysburg Ex Vill SD</t>
  </si>
  <si>
    <t>Rittman Ex Vill SD</t>
  </si>
  <si>
    <t>Tipp City Ex Vill SD</t>
  </si>
  <si>
    <t>Wauseon Ex Vill SD</t>
  </si>
  <si>
    <t>Fulton</t>
  </si>
  <si>
    <t>Windham Ex Vill SD</t>
  </si>
  <si>
    <t>Yellow Springs Ex Vill SD</t>
  </si>
  <si>
    <t>Allen East Local SD</t>
  </si>
  <si>
    <t>Bath Local SD</t>
  </si>
  <si>
    <t>Perry Local SD</t>
  </si>
  <si>
    <t>Shawnee Local SD</t>
  </si>
  <si>
    <t>Spencerville Local SD</t>
  </si>
  <si>
    <t>Classroom Facilities ($38,975)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</si>
  <si>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</si>
  <si>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</si>
  <si>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</si>
  <si>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</si>
  <si>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</si>
  <si>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</si>
  <si>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</si>
  <si>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</si>
  <si>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Classroom Facilities ($3,600,000)</t>
  </si>
  <si>
    <t>Trimble Local SD</t>
  </si>
  <si>
    <t>Classroom Facilities ($4,327,815)</t>
  </si>
  <si>
    <t>Minster Local SD</t>
  </si>
  <si>
    <t>New Bremen Local SD</t>
  </si>
  <si>
    <t>New Knoxville Local SD</t>
  </si>
  <si>
    <t>Waynesfield-Goshen Local SD</t>
  </si>
  <si>
    <t>Classroom Facilities ($2,340,000)</t>
  </si>
  <si>
    <t>Shadyside Local SD</t>
  </si>
  <si>
    <t>Union Local SD</t>
  </si>
  <si>
    <t>Eastern Local SD</t>
  </si>
  <si>
    <t>Classroom Facilities ($8,050,000)</t>
  </si>
  <si>
    <t>Fayetteville-Perry Local SD</t>
  </si>
  <si>
    <t>Classroom Facilities ($7,500,000)</t>
  </si>
  <si>
    <t>Western Brown Local SD</t>
  </si>
  <si>
    <t>Ripley-Union-Lewis Local SD</t>
  </si>
  <si>
    <t>Classroom Facilities ($7,064,641)</t>
  </si>
  <si>
    <t>Edgewood City SD</t>
  </si>
  <si>
    <t>Madison Local SD</t>
  </si>
  <si>
    <t>New Miami Local SD</t>
  </si>
  <si>
    <t>Ross Local SD</t>
  </si>
  <si>
    <t>Talawanda City SD</t>
  </si>
  <si>
    <t>Brown Local SD</t>
  </si>
  <si>
    <t>Carroll</t>
  </si>
  <si>
    <t>Graham Local SD</t>
  </si>
  <si>
    <t>Classroom Facilities ($9,465,403)</t>
  </si>
  <si>
    <t>Triad Local SD</t>
  </si>
  <si>
    <t>West Liberty-Salem Local SD</t>
  </si>
  <si>
    <t>Greenon Local SD</t>
  </si>
  <si>
    <t>Tecumseh Local SD</t>
  </si>
  <si>
    <t>Northwestern Local SD</t>
  </si>
  <si>
    <t>Southeastern Local SD</t>
  </si>
  <si>
    <t>Clark-Shawnee Local SD</t>
  </si>
  <si>
    <t>Bethel-Tate Local SD</t>
  </si>
  <si>
    <t>Clermont-Northeastern Local</t>
  </si>
  <si>
    <t>Felicity-Franklin Local SD</t>
  </si>
  <si>
    <t>Classroom Facilities ($219,405)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</si>
  <si>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</si>
  <si>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</si>
  <si>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</si>
  <si>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</si>
  <si>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</si>
  <si>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</si>
  <si>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Crestview Local SD</t>
  </si>
  <si>
    <t>Classroom Facilities ($9,428,500)</t>
  </si>
  <si>
    <t>Southern Local SD</t>
  </si>
  <si>
    <t>United Local SD</t>
  </si>
  <si>
    <t>Ridgewood Local SD</t>
  </si>
  <si>
    <t>River View Local SD</t>
  </si>
  <si>
    <t>Independence Local SD</t>
  </si>
  <si>
    <t>Olmsted Falls City SD</t>
  </si>
  <si>
    <t>Classroom Facilities ($7,000,000)</t>
  </si>
  <si>
    <t>Orange City SD</t>
  </si>
  <si>
    <t>Richmond Heights Local SD</t>
  </si>
  <si>
    <t>Solon City SD</t>
  </si>
  <si>
    <t>Ansonia Local SD</t>
  </si>
  <si>
    <t>Franklin-Monroe Local SD</t>
  </si>
  <si>
    <t>Mississinawa Valley Local SD</t>
  </si>
  <si>
    <t>Tri-Village Local SD</t>
  </si>
  <si>
    <t>Ayersville Local SD</t>
  </si>
  <si>
    <t>Central Local SD</t>
  </si>
  <si>
    <t>Northeastern Local SD</t>
  </si>
  <si>
    <t>Buckeye Valley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</si>
  <si>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</si>
  <si>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</si>
  <si>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</si>
  <si>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</si>
  <si>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</si>
  <si>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</si>
  <si>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Fairfield</t>
  </si>
  <si>
    <t>Berne Union Local SD</t>
  </si>
  <si>
    <t>Classroom Facilities ($6,120,000)</t>
  </si>
  <si>
    <t>Fairfield Union Local SD</t>
  </si>
  <si>
    <t>Pickerington Local SD</t>
  </si>
  <si>
    <t>Miami Trace Local SD</t>
  </si>
  <si>
    <t>Canal Winchester Local SD</t>
  </si>
  <si>
    <t>Classroom Facilities ($3,816,425)</t>
  </si>
  <si>
    <t>Hamilton Local SD</t>
  </si>
  <si>
    <t>Groveport Madison Local SD</t>
  </si>
  <si>
    <t>Reynoldsburg City SD</t>
  </si>
  <si>
    <t>Archbold-Area Local SD</t>
  </si>
  <si>
    <t>Evergreen Local SD</t>
  </si>
  <si>
    <t>Fayette Local SD</t>
  </si>
  <si>
    <t>Pettisville Local SD</t>
  </si>
  <si>
    <t>Swanton Local SD</t>
  </si>
  <si>
    <t>Berkshire Local SD</t>
  </si>
  <si>
    <t>Geauga</t>
  </si>
  <si>
    <t>Cardinal Local SD</t>
  </si>
  <si>
    <t>Newbury Local SD</t>
  </si>
  <si>
    <t>West Geauga Local SD</t>
  </si>
  <si>
    <t>Beavercreek City SD</t>
  </si>
  <si>
    <t>Cedar Cliff Local SD</t>
  </si>
  <si>
    <t>Sugarcreek Local SD</t>
  </si>
  <si>
    <t>Rolling Hills Local SD</t>
  </si>
  <si>
    <t>Classroom Facilities ($5,941,640)</t>
  </si>
  <si>
    <t>Finneytown Local SD</t>
  </si>
  <si>
    <t>Oak Hills Local SD</t>
  </si>
  <si>
    <t>Cory-Rawson Local SD</t>
  </si>
  <si>
    <t>Hancock</t>
  </si>
  <si>
    <t>McComb Local SD</t>
  </si>
  <si>
    <t>Van Buren Local SD</t>
  </si>
  <si>
    <t>Vanlue Local SD</t>
  </si>
  <si>
    <t>Hardin Northern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</si>
  <si>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</si>
  <si>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</si>
  <si>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</si>
  <si>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</si>
  <si>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</si>
  <si>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</si>
  <si>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</si>
  <si>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Classroom Facilities ($13,773,986)</t>
  </si>
  <si>
    <t>Fairfield Local SD</t>
  </si>
  <si>
    <t>Lynchburg-Clay Local SD</t>
  </si>
  <si>
    <t>Classroom Facilities ($18,517,400)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</si>
  <si>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</si>
  <si>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</si>
  <si>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</si>
  <si>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</si>
  <si>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</si>
  <si>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</si>
  <si>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Classroom Facilities ($5,650,865)</t>
  </si>
  <si>
    <t>Western Reserve Local SD</t>
  </si>
  <si>
    <t>Oak Hill Union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</si>
  <si>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</si>
  <si>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</si>
  <si>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</si>
  <si>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</si>
  <si>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</si>
  <si>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</si>
  <si>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</si>
  <si>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Classroom Facilities ($10,247,453)</t>
  </si>
  <si>
    <t>Fairland Local SD</t>
  </si>
  <si>
    <t>Rock Hill Local SD</t>
  </si>
  <si>
    <t>South Point Local SD</t>
  </si>
  <si>
    <t>Symmes Valley Local SD</t>
  </si>
  <si>
    <t>North Fork Local SD</t>
  </si>
  <si>
    <t>Northridge Local SD</t>
  </si>
  <si>
    <t>Classroom Facilities ($15,187,240)</t>
  </si>
  <si>
    <t>Southwest Licking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</si>
  <si>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</si>
  <si>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</si>
  <si>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</si>
  <si>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</si>
  <si>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</si>
  <si>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</si>
  <si>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</si>
  <si>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</si>
  <si>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</si>
  <si>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</si>
  <si>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</si>
  <si>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</si>
  <si>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Madison</t>
  </si>
  <si>
    <t>Jonathan Alder Local SD</t>
  </si>
  <si>
    <t>Madison-Plains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</si>
  <si>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</si>
  <si>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</si>
  <si>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</si>
  <si>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</si>
  <si>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</si>
  <si>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</si>
  <si>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West Branch Local SD</t>
  </si>
  <si>
    <t>River Valley Local SD</t>
  </si>
  <si>
    <t>Cloverleaf Local SD</t>
  </si>
  <si>
    <t>Meigs</t>
  </si>
  <si>
    <t>Classroom Facilities ($7,295,000)</t>
  </si>
  <si>
    <t>Meigs Local SD</t>
  </si>
  <si>
    <t>Classroom Facilities ($26,856,703)</t>
  </si>
  <si>
    <t>Marion Local SD</t>
  </si>
  <si>
    <t>Parkway Local SD</t>
  </si>
  <si>
    <t>St Henry Consolidated Local</t>
  </si>
  <si>
    <t>Fort Recovery Local SD</t>
  </si>
  <si>
    <t>Classroom Facilities ($12,754,640)</t>
  </si>
  <si>
    <t>Bethel Local SD</t>
  </si>
  <si>
    <t>Miami East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</si>
  <si>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</si>
  <si>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</si>
  <si>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</si>
  <si>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</si>
  <si>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</si>
  <si>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</si>
  <si>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</si>
  <si>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Valley View Local SD</t>
  </si>
  <si>
    <t>Huber Heights City SD</t>
  </si>
  <si>
    <t>Morgan Local SD</t>
  </si>
  <si>
    <t>Morgan</t>
  </si>
  <si>
    <t>Cardington-Lincoln Local SD</t>
  </si>
  <si>
    <t>Classroom Facilities ($2,109,763)</t>
  </si>
  <si>
    <t>Highland Local SD</t>
  </si>
  <si>
    <t>East Muskingum Local SD</t>
  </si>
  <si>
    <t>Muskingum</t>
  </si>
  <si>
    <t>Classroom Facilities ($21,294,357)</t>
  </si>
  <si>
    <t>Franklin Local SD</t>
  </si>
  <si>
    <t>Maysville Local SD</t>
  </si>
  <si>
    <t>Tri-Valley Local SD</t>
  </si>
  <si>
    <t>Benton Carroll Salem Local S</t>
  </si>
  <si>
    <t>Genoa Area Local SD</t>
  </si>
  <si>
    <t>Put-In-Bay Local SD</t>
  </si>
  <si>
    <t>Antwerp Local SD</t>
  </si>
  <si>
    <t>Wayne Trace Local SD</t>
  </si>
  <si>
    <t>Northern Local SD</t>
  </si>
  <si>
    <t>Classroom Facilities ($7,922,465)</t>
  </si>
  <si>
    <t>Logan Elm Local SD</t>
  </si>
  <si>
    <t>Teays Valley Local SD</t>
  </si>
  <si>
    <t>Westfall Local SD</t>
  </si>
  <si>
    <t>Pike</t>
  </si>
  <si>
    <t>Classroom Facilities ($20,209,719)</t>
  </si>
  <si>
    <t>Scioto Valley Local SD</t>
  </si>
  <si>
    <t>Waverly City SD</t>
  </si>
  <si>
    <t>Western Local SD</t>
  </si>
  <si>
    <t>Aurora City SD</t>
  </si>
  <si>
    <t>Crestwood Local SD</t>
  </si>
  <si>
    <t>Rootstown Local SD</t>
  </si>
  <si>
    <t>Southeast Local SD</t>
  </si>
  <si>
    <t>Waterloo Local SD</t>
  </si>
  <si>
    <t>National Trail Local SD</t>
  </si>
  <si>
    <t>Preble</t>
  </si>
  <si>
    <t>Classroom Facilities ($8,690,560)</t>
  </si>
  <si>
    <t>Preble-Shawnee Local SD</t>
  </si>
  <si>
    <t>Twin Valley Community Local</t>
  </si>
  <si>
    <t>Classroom Facilities ($13,216,582)</t>
  </si>
  <si>
    <t>Columbus Grove Local SD</t>
  </si>
  <si>
    <t>Putnam</t>
  </si>
  <si>
    <t>Continental Local SD</t>
  </si>
  <si>
    <t>Jennings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</si>
  <si>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</si>
  <si>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</si>
  <si>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</si>
  <si>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</si>
  <si>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</si>
  <si>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</si>
  <si>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Plymouth-Shiloh Local SD</t>
  </si>
  <si>
    <t>Ontario Local SD</t>
  </si>
  <si>
    <t>Adena Local SD</t>
  </si>
  <si>
    <t>Huntington Local SD</t>
  </si>
  <si>
    <t>Classroom Facilities ($4,066,928)</t>
  </si>
  <si>
    <t>Paint Valley Local SD</t>
  </si>
  <si>
    <t>Classroom Facilities ($13,746,966)</t>
  </si>
  <si>
    <t>Union Scioto Local SD</t>
  </si>
  <si>
    <t>Zane Trace Local SD</t>
  </si>
  <si>
    <t>Woodmore Local SD</t>
  </si>
  <si>
    <t>Bloom-Vernon Local SD</t>
  </si>
  <si>
    <t>Classroom Facilities ($4,211,738)</t>
  </si>
  <si>
    <t>Clay Local SD</t>
  </si>
  <si>
    <t>Minford Local SD</t>
  </si>
  <si>
    <t>Classroom Facilities ($28,630,011)</t>
  </si>
  <si>
    <t>Northwest Local SD</t>
  </si>
  <si>
    <t>Classroom Facilities ($15,549,150)</t>
  </si>
  <si>
    <t>Valley Local SD</t>
  </si>
  <si>
    <t>Classroom Facilities ($12,484,765)</t>
  </si>
  <si>
    <t>Washington-Nile Local SD</t>
  </si>
  <si>
    <t>Classroom Facilities ($18,158,734)</t>
  </si>
  <si>
    <t>Wheelersburg Local SD</t>
  </si>
  <si>
    <t>Seneca East Local SD</t>
  </si>
  <si>
    <t>Bettsville Local SD</t>
  </si>
  <si>
    <t>New Riegel Local SD</t>
  </si>
  <si>
    <t>Old Fort Local SD</t>
  </si>
  <si>
    <t>Anna Local SD</t>
  </si>
  <si>
    <t>Shelby</t>
  </si>
  <si>
    <t>Botkins Local SD</t>
  </si>
  <si>
    <t>Classroom Facilities ($1,750,000)</t>
  </si>
  <si>
    <t>Jackson Center Local SD</t>
  </si>
  <si>
    <t>Canton Local SD</t>
  </si>
  <si>
    <t>Fairless Local SD</t>
  </si>
  <si>
    <t>Jackson Local SD</t>
  </si>
  <si>
    <t>Louisville City SD</t>
  </si>
  <si>
    <t>Marlington Local SD</t>
  </si>
  <si>
    <t>Sandy Valley Local SD</t>
  </si>
  <si>
    <t>Woodridge Local SD</t>
  </si>
  <si>
    <t>Copley-Fairlawn City SD</t>
  </si>
  <si>
    <t>Manchester Local SD</t>
  </si>
  <si>
    <t>Green Local SD</t>
  </si>
  <si>
    <t>Hudson City SD</t>
  </si>
  <si>
    <t>Mogadore Local SD</t>
  </si>
  <si>
    <t>Nordonia Hills City SD</t>
  </si>
  <si>
    <t>Revere Local SD</t>
  </si>
  <si>
    <t>Twinsburg City SD</t>
  </si>
  <si>
    <t>Bristol Local SD</t>
  </si>
  <si>
    <t>Classroom Facilities ($5,655,597)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</si>
  <si>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</si>
  <si>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</si>
  <si>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</si>
  <si>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</si>
  <si>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</si>
  <si>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</si>
  <si>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Maplewood Local SD</t>
  </si>
  <si>
    <t>McDonald Local SD</t>
  </si>
  <si>
    <t>La Brae Local SD</t>
  </si>
  <si>
    <t>Garaway Local SD</t>
  </si>
  <si>
    <t>Indian Valley Local SD</t>
  </si>
  <si>
    <t>Strasburg-Franklin Local SD</t>
  </si>
  <si>
    <t>North Union Local SD</t>
  </si>
  <si>
    <t>Classroom Facilities ($7,045,607)</t>
  </si>
  <si>
    <t>Lincolnview Local SD</t>
  </si>
  <si>
    <t>Vinton County Local SD</t>
  </si>
  <si>
    <t>Vinton</t>
  </si>
  <si>
    <t>Carlisle Local SD</t>
  </si>
  <si>
    <t>Kings Local SD</t>
  </si>
  <si>
    <t>Little Miami Local SD</t>
  </si>
  <si>
    <t>Mason City SD</t>
  </si>
  <si>
    <t>Wayne Local SD</t>
  </si>
  <si>
    <t>Frontier Local SD</t>
  </si>
  <si>
    <t>Washington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</si>
  <si>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</si>
  <si>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</si>
  <si>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</si>
  <si>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</si>
  <si>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</si>
  <si>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</si>
  <si>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Stryker Local SD</t>
  </si>
  <si>
    <t>Eastwood Local SD</t>
  </si>
  <si>
    <t>Elmwood Local SD</t>
  </si>
  <si>
    <t>Classroom Facilities ($21,893,384)</t>
  </si>
  <si>
    <t>Lake Local SD</t>
  </si>
  <si>
    <t>North Baltimore Local SD</t>
  </si>
  <si>
    <t>Northwood Local SD</t>
  </si>
  <si>
    <t>Otsego Local SD</t>
  </si>
  <si>
    <t>Mohawk Local SD</t>
  </si>
  <si>
    <t>Ohio Valley Local SD</t>
  </si>
  <si>
    <t>Adams</t>
  </si>
  <si>
    <t>College Corner Local SD</t>
  </si>
  <si>
    <t>Gallia County Local SD</t>
  </si>
  <si>
    <t>Gallia</t>
  </si>
  <si>
    <t>East Guernsey Local SD</t>
  </si>
  <si>
    <t>Classroom Facilities ($2,752,963)</t>
  </si>
  <si>
    <t>Tri-County North Local SD</t>
  </si>
  <si>
    <t>IRN</t>
  </si>
  <si>
    <t>DISTRICT</t>
  </si>
  <si>
    <t>COUNTY</t>
  </si>
  <si>
    <t>LEVY TYPE</t>
  </si>
  <si>
    <t xml:space="preserve"> </t>
  </si>
  <si>
    <t>FIXED RATE</t>
  </si>
  <si>
    <t>ANNUAL</t>
  </si>
  <si>
    <t>REIMBURSEMENT</t>
  </si>
  <si>
    <t xml:space="preserve">DISTRIBUTED </t>
  </si>
  <si>
    <t>IN MAY</t>
  </si>
  <si>
    <t>NON-OPERATING</t>
  </si>
  <si>
    <t>LEVY LOSS</t>
  </si>
  <si>
    <t>FY 2012</t>
  </si>
  <si>
    <t>IN NOVEMBER</t>
  </si>
  <si>
    <t>FY12 ALLOCATION OF FIXED RATE NON-OPERATING LEVY LOSS REIMBURSEMENT TO VARIOUS TYPES OF LEVIES</t>
  </si>
  <si>
    <t>FY12 ALLOCATION OF FIXED SUM LEVY LOSS REIMBURSEMENT TO VARIOUS TYPES OF LEVIES</t>
  </si>
  <si>
    <t>FIXED-SUM</t>
  </si>
  <si>
    <t>EMERGENCY ($2,000,000)</t>
  </si>
  <si>
    <t>BOND ($9,565,000)</t>
  </si>
  <si>
    <t>SITE ACQUISITION($1,400,000)</t>
  </si>
  <si>
    <t>BOND ($44,123,700)</t>
  </si>
  <si>
    <t>EMERGENCY ($3,200,000)</t>
  </si>
  <si>
    <t>BOND ($16,400,000)</t>
  </si>
  <si>
    <t>EMERGENCY $3,675,000</t>
  </si>
  <si>
    <t>BOND ($5,300,000)</t>
  </si>
  <si>
    <t>BOND ($9,070,000)</t>
  </si>
  <si>
    <t>EMERGENCY ($1,350,000)</t>
  </si>
  <si>
    <t>EMERGENCY ($925,000)</t>
  </si>
  <si>
    <t>Belpre City SD</t>
  </si>
  <si>
    <t>EMERGENCY ($825,000)</t>
  </si>
  <si>
    <t>EMERGENCY ($2,175,000)</t>
  </si>
  <si>
    <t>EMERGENCY ($2,021,000)</t>
  </si>
  <si>
    <t>EMERGENCY ($5,780,000)</t>
  </si>
  <si>
    <t>BOND ($17,679,100)</t>
  </si>
  <si>
    <t>BOND ($6,250,000)</t>
  </si>
  <si>
    <t>EMERGENCY ($1,910,000)</t>
  </si>
  <si>
    <t>Bucyrus City SD</t>
  </si>
  <si>
    <t>EMERGENCY ($1,575,000)</t>
  </si>
  <si>
    <t>EMERGENCY ($1,455,000)</t>
  </si>
  <si>
    <t>BOND ($8,232,000)</t>
  </si>
  <si>
    <t>EMERGENCY ($989,711)</t>
  </si>
  <si>
    <t>BOND ($2,859,000)</t>
  </si>
  <si>
    <t>SITE ACQUISITION</t>
  </si>
  <si>
    <t>BOND ($38,748,000)</t>
  </si>
  <si>
    <t>SITE ACQUISITION($7,957,789)</t>
  </si>
  <si>
    <t>Celina City SD</t>
  </si>
  <si>
    <t>BOND ($17,518,000)</t>
  </si>
  <si>
    <t>BOND ($34,000,000)</t>
  </si>
  <si>
    <t>Cincinnati City SD</t>
  </si>
  <si>
    <t>EMERGENCY ($65,178,000)</t>
  </si>
  <si>
    <t>BOND ($480,000,000)</t>
  </si>
  <si>
    <t>EMERGENCY ($470,000)</t>
  </si>
  <si>
    <t>BOND ($5,410,000)</t>
  </si>
  <si>
    <t>BOND ($335,000,000)</t>
  </si>
  <si>
    <t>BOND ($90,000,000)</t>
  </si>
  <si>
    <t>BOND ($5,841,000)</t>
  </si>
  <si>
    <t>SITE ACQUITISION ($750,000)</t>
  </si>
  <si>
    <t>BOND ($245,055,000)</t>
  </si>
  <si>
    <t>Defiance City SD</t>
  </si>
  <si>
    <t>EMERGENCY ($1,580,000)</t>
  </si>
  <si>
    <t>EMERGENCY ($2,558,000)</t>
  </si>
  <si>
    <t>BOND ($19,750,000)</t>
  </si>
  <si>
    <t>BOND ($19,900,000)</t>
  </si>
  <si>
    <t>BOND ($9,100,000)</t>
  </si>
  <si>
    <t>EMERGENCY ($2,400,000)</t>
  </si>
  <si>
    <t>BOND ($9,941,000)</t>
  </si>
  <si>
    <t>EMERGENCY ($1,058,000)</t>
  </si>
  <si>
    <t>BOND ($7,900,000)</t>
  </si>
  <si>
    <t>Eaton Community Schools City</t>
  </si>
  <si>
    <t>BOND ($2,695,000)</t>
  </si>
  <si>
    <t>BOND ($28,200,000)</t>
  </si>
  <si>
    <t>Elyria City SD</t>
  </si>
  <si>
    <t>EMERGENCY ($3,877,048)</t>
  </si>
  <si>
    <t>EMERGENCY ($4,375,500)</t>
  </si>
  <si>
    <t>EMERGENCY ($1,687,327)</t>
  </si>
  <si>
    <t>EMERGENCY ($2,100,000)</t>
  </si>
  <si>
    <t>BOND ($9,900,000)</t>
  </si>
  <si>
    <t>EMERGENCY</t>
  </si>
  <si>
    <t>BOND ($3,000,000)</t>
  </si>
  <si>
    <t>BOND ($3,750,000)</t>
  </si>
  <si>
    <t>Galion City SD</t>
  </si>
  <si>
    <t>BOND ($19,997,000)</t>
  </si>
  <si>
    <t>BOND CLASSROOM FACILITY</t>
  </si>
  <si>
    <t>EMERGENCY ($2,500,000)</t>
  </si>
  <si>
    <t>EMERGENCY ($2,850,000)</t>
  </si>
  <si>
    <t>BOND ($10,500,000)</t>
  </si>
  <si>
    <t>BOND ($41,500,000)</t>
  </si>
  <si>
    <t>EMERGENCY ($534,534)</t>
  </si>
  <si>
    <t>EMERGENCY ($1,300,000)</t>
  </si>
  <si>
    <t>BOND ($17,243,350)</t>
  </si>
  <si>
    <t>EMERGENCY ($2,740,000)</t>
  </si>
  <si>
    <t>EMERGENCY ($400,000)</t>
  </si>
  <si>
    <t>BOND/LIBRARY ($4,300,000)</t>
  </si>
  <si>
    <t>BOND ($13,400,000)</t>
  </si>
  <si>
    <t>BOND ($102,400,000)</t>
  </si>
  <si>
    <t>BOND ($14,776,000)</t>
  </si>
  <si>
    <t>EMERGENCY ($625,780)</t>
  </si>
  <si>
    <t>BOND ($11,366,000)</t>
  </si>
  <si>
    <t>BOND ($3,500,000)</t>
  </si>
  <si>
    <t>BOND ($4,765,000)</t>
  </si>
  <si>
    <t>Lockland City SD</t>
  </si>
  <si>
    <t>BOND ($6,500,000)</t>
  </si>
  <si>
    <t>BOND ($12,190,000)</t>
  </si>
  <si>
    <t>BOND ($23,680,000)</t>
  </si>
  <si>
    <t>London City SD</t>
  </si>
  <si>
    <t>BOND ($30,000,000)</t>
  </si>
  <si>
    <t>EMERGENCY ($3,900,000)</t>
  </si>
  <si>
    <t>BOND ($1,700,000)</t>
  </si>
  <si>
    <t>BOND ($12,449,000)</t>
  </si>
  <si>
    <t>BOND ($6,850,000)</t>
  </si>
  <si>
    <t>EMERGENCY ($3,273,900)</t>
  </si>
  <si>
    <t>EMERGENCY ($3,434,832)</t>
  </si>
  <si>
    <t>EMERGENCY ($2,001,000)</t>
  </si>
  <si>
    <t>BOND ($15,913,000)</t>
  </si>
  <si>
    <t>BOND ($10,520,000)</t>
  </si>
  <si>
    <t>EMERGENCY ($3,434,905)</t>
  </si>
  <si>
    <t>BOND ($10,300,000)</t>
  </si>
  <si>
    <t>BOND ($20,800,000)</t>
  </si>
  <si>
    <t>SITE ACQUISITION ($2,000,000)</t>
  </si>
  <si>
    <t>BOND ($42,000,000)</t>
  </si>
  <si>
    <t>BOND ($17,900,000)</t>
  </si>
  <si>
    <t>BOND ($77,650,000)</t>
  </si>
  <si>
    <t>BOND ($9,625,000)</t>
  </si>
  <si>
    <t>SUBSTITUTE</t>
  </si>
  <si>
    <t>BOND ($75,800,000)</t>
  </si>
  <si>
    <t>EMERGENCY ($1,250,000)</t>
  </si>
  <si>
    <t>EMERGENCY ($1,652,000)</t>
  </si>
  <si>
    <t>EMERGENCY ($846,000)</t>
  </si>
  <si>
    <t>BOND ($10,900,000)</t>
  </si>
  <si>
    <t>BOND ($6,017,860)</t>
  </si>
  <si>
    <t>BOND ($70,000,000)</t>
  </si>
  <si>
    <t>BOND/LIBRARY ($7,570,000)</t>
  </si>
  <si>
    <t>EMERGENCY $1,300,000</t>
  </si>
  <si>
    <t>BOND ($5,887,000)</t>
  </si>
  <si>
    <t>Norwood City SD</t>
  </si>
  <si>
    <t>EMERGENCY ($1,758,000)</t>
  </si>
  <si>
    <t>EMERGENCY ($2,468,000)</t>
  </si>
  <si>
    <t>BOND ($45,000,000)</t>
  </si>
  <si>
    <t>EMERGENCY ($1,617,900)</t>
  </si>
  <si>
    <t>BOND/LIBRARY ($11,425,000)</t>
  </si>
  <si>
    <t>BOND ($31,000,000)</t>
  </si>
  <si>
    <t>EMERGENCY ($7,603,000)</t>
  </si>
  <si>
    <t>EMERGENCY ($8,062,500)</t>
  </si>
  <si>
    <t>EMERGENCY ($9,197,860)</t>
  </si>
  <si>
    <t>BOND ($12,000,000)</t>
  </si>
  <si>
    <t>BOND ($11,550,000)</t>
  </si>
  <si>
    <t>SITE ACQUISITION ($5,520,000)</t>
  </si>
  <si>
    <t>Princeton City SD</t>
  </si>
  <si>
    <t>BOND ($85,000,000)</t>
  </si>
  <si>
    <t>St Bernard-Elmwood Place Cit</t>
  </si>
  <si>
    <t>EMERGENCY ($1,050,555)</t>
  </si>
  <si>
    <t>EMERGENCY ($1,675,000)</t>
  </si>
  <si>
    <t>EMERGENCY ($1,838,898)</t>
  </si>
  <si>
    <t>EMERGENCY ($1,500,000)</t>
  </si>
  <si>
    <t>EMERGENCY ($2,300,000)</t>
  </si>
  <si>
    <t>EMERGENCY ($950,000)</t>
  </si>
  <si>
    <t>Sidney City SD</t>
  </si>
  <si>
    <t>EMERGENCY ($2,484,000)</t>
  </si>
  <si>
    <t>BOND ($25,999,350)</t>
  </si>
  <si>
    <t>BOND ($128,000,000)</t>
  </si>
  <si>
    <t>BOND ($35,000,000)</t>
  </si>
  <si>
    <t>BOND ($20,000,000)</t>
  </si>
  <si>
    <t>BOND ($29,853,000)</t>
  </si>
  <si>
    <t>SITE ACQUISITION ($8,250,000)</t>
  </si>
  <si>
    <t>BOND ($10,650,000)</t>
  </si>
  <si>
    <t>BOND ($3,245,000)</t>
  </si>
  <si>
    <t>EMERGENCY ($1,200,000)</t>
  </si>
  <si>
    <t>EMERGENCY ($3,431,284)</t>
  </si>
  <si>
    <t>EMERGENCY ($7,300,000)</t>
  </si>
  <si>
    <t>EMERGENCY ($1,640,000)</t>
  </si>
  <si>
    <t>BOND ($7,316,000)</t>
  </si>
  <si>
    <t>SITE ACQSTN ($3,250,000)</t>
  </si>
  <si>
    <t>EMERGENCY($15,700,000)</t>
  </si>
  <si>
    <t>BOND ($183,498,000)</t>
  </si>
  <si>
    <t>Vandalia-Butler City SD</t>
  </si>
  <si>
    <t>EMERGENCY ($4,447,000)</t>
  </si>
  <si>
    <t>BOND ($25,000,000)</t>
  </si>
  <si>
    <t>EMERGENCY ($1,887,606)</t>
  </si>
  <si>
    <t>EMERGENCY ($3,918,802)</t>
  </si>
  <si>
    <t>BOND ($40,672,000)</t>
  </si>
  <si>
    <t>EMERGENCY ($1,850,000)</t>
  </si>
  <si>
    <t>BOND ($26,100,000)</t>
  </si>
  <si>
    <t>BOND $13,946,000</t>
  </si>
  <si>
    <t>BOND $7,054,000</t>
  </si>
  <si>
    <t>BOND ($3,656,000)</t>
  </si>
  <si>
    <t>EMERGENCY $1,200,000</t>
  </si>
  <si>
    <t>BOND ($3,400,000)</t>
  </si>
  <si>
    <t>EMERGENCY ($3,250,000)</t>
  </si>
  <si>
    <t>EMERGENCY ($4,350,000)</t>
  </si>
  <si>
    <t>EMERGENCY ($4,745,186)</t>
  </si>
  <si>
    <t>EMERGENCY ($7,585,000)</t>
  </si>
  <si>
    <t>BOND ($14,100,000)</t>
  </si>
  <si>
    <t>BOND ($8,441,900)</t>
  </si>
  <si>
    <t>BOND ($32,000,000)</t>
  </si>
  <si>
    <t>Worthington City SD</t>
  </si>
  <si>
    <t>BOND ($10,870,000)</t>
  </si>
  <si>
    <t>BOND ($14,900,000)</t>
  </si>
  <si>
    <t>BOND ($7,208,735)</t>
  </si>
  <si>
    <t>BOND (55,343,000/42,036,234)</t>
  </si>
  <si>
    <t>EMERGENCY ($3,360,000)</t>
  </si>
  <si>
    <t>EMERGENCY ($4,400,000)</t>
  </si>
  <si>
    <t>BOND ($33,198,000)</t>
  </si>
  <si>
    <t>BOND ($4,000,000)</t>
  </si>
  <si>
    <t>Zanesville City SD</t>
  </si>
  <si>
    <t>EMERGENCY ($1,438,952)</t>
  </si>
  <si>
    <t>BOND ($34,414,581)</t>
  </si>
  <si>
    <t>Bluffton Ex Vill SD</t>
  </si>
  <si>
    <t>EMERGENCY ($466,000)</t>
  </si>
  <si>
    <t>BOND ($6,200,000)</t>
  </si>
  <si>
    <t>BOND LIB.($1,965,000)</t>
  </si>
  <si>
    <t>BOND ($3,997,000)</t>
  </si>
  <si>
    <t>BOND (CONSTR $100,000)</t>
  </si>
  <si>
    <t>BOND (SITE ACQ $2,000,000)</t>
  </si>
  <si>
    <t>EMERGENCY ($1,265,000)</t>
  </si>
  <si>
    <t>EMERGENCY ($539,000)</t>
  </si>
  <si>
    <t>BOND ($2,500,000)</t>
  </si>
  <si>
    <t>BOND ($4,980,000)</t>
  </si>
  <si>
    <t>BOND ($800,000)</t>
  </si>
  <si>
    <t>BOND ($9,500,000)</t>
  </si>
  <si>
    <t>EMERGENCY ($759,000)</t>
  </si>
  <si>
    <t>EMERGENCY ($450,000)</t>
  </si>
  <si>
    <t>EMERGENCY ($340,000)</t>
  </si>
  <si>
    <t>Hubbard Ex Vill SD</t>
  </si>
  <si>
    <t>EMERGENCY ($1,047,214)</t>
  </si>
  <si>
    <t>EMERGENCY ($1,218,709)</t>
  </si>
  <si>
    <t>EMERGENCY ($1,057,128)</t>
  </si>
  <si>
    <t>EMERGENCY ($270,995)</t>
  </si>
  <si>
    <t>EMERGENCY ($412,463)</t>
  </si>
  <si>
    <t>BOND $66,000,000</t>
  </si>
  <si>
    <t>BOND ($13,700,000)</t>
  </si>
  <si>
    <t>BOND ($7,800,000)</t>
  </si>
  <si>
    <t>BOND REF 1998 ($18,400,000)</t>
  </si>
  <si>
    <t>EMERGENCY ($15,015,990)</t>
  </si>
  <si>
    <t>BOND ($8,600,000)</t>
  </si>
  <si>
    <t>BOND ($5,545,000)</t>
  </si>
  <si>
    <t>EMERGENCY ($750,000)</t>
  </si>
  <si>
    <t>BOND ($1,310,000)</t>
  </si>
  <si>
    <t>BOND ($3,037,000)</t>
  </si>
  <si>
    <t>EMERGENCY ($585,011)</t>
  </si>
  <si>
    <t>BOND ($3,989,000)</t>
  </si>
  <si>
    <t>EMERGENCY ($418,250)</t>
  </si>
  <si>
    <t>BOND ($7,169,000)</t>
  </si>
  <si>
    <t>BOND ($39,675,000)</t>
  </si>
  <si>
    <t>CURRENT EXPENSE-5705.213</t>
  </si>
  <si>
    <t>BOND ($22,600,000)</t>
  </si>
  <si>
    <t>EMERGENCY ($835,000)</t>
  </si>
  <si>
    <t>EMERGENCY ($200,000)</t>
  </si>
  <si>
    <t>BOND ($1,020,000)</t>
  </si>
  <si>
    <t>EMERGENCY ($339,000)</t>
  </si>
  <si>
    <t>EMERGENCY ($1,060,000)</t>
  </si>
  <si>
    <t>BOND ($4,500,000)</t>
  </si>
  <si>
    <t>EMERGENCY ($330,000)</t>
  </si>
  <si>
    <t>BOND ($2,230,000)</t>
  </si>
  <si>
    <t>BOND ($6,270,000)</t>
  </si>
  <si>
    <t>EMERGENCY ($1,391,686)</t>
  </si>
  <si>
    <t>EMERGENCY ($2,333,496)</t>
  </si>
  <si>
    <t>Elida Local SD</t>
  </si>
  <si>
    <t>EMERGENCY $996,000</t>
  </si>
  <si>
    <t>EMERGENCY ($1,708,741)</t>
  </si>
  <si>
    <t>EMERGENCY ($500,000)</t>
  </si>
  <si>
    <t>EMERGENCY ($2,150,000)</t>
  </si>
  <si>
    <t>EMERGENCY ($2,880,000)</t>
  </si>
  <si>
    <t>BOND ($13,036,000)</t>
  </si>
  <si>
    <t>BOND $20,950,000</t>
  </si>
  <si>
    <t>EMERGENCY ($630,000)</t>
  </si>
  <si>
    <t>EMERGENCY ($809,739)</t>
  </si>
  <si>
    <t>BOND ($2,600,000)</t>
  </si>
  <si>
    <t>BOND ($5,175,000)</t>
  </si>
  <si>
    <t>BOND ($14,025,000)</t>
  </si>
  <si>
    <t>BOND ($1,100,000)</t>
  </si>
  <si>
    <t>BOND ($9,000,000)</t>
  </si>
  <si>
    <t>BOND ($18,974,686)</t>
  </si>
  <si>
    <t>BOND ($9,950,000)</t>
  </si>
  <si>
    <t>BOND ($2,038,000)</t>
  </si>
  <si>
    <t>EMERGENCY ($523,000)</t>
  </si>
  <si>
    <t>EMERGENCY ($700,000)</t>
  </si>
  <si>
    <t>BOND $13,575,000</t>
  </si>
  <si>
    <t>BOND ($7,735,000)</t>
  </si>
  <si>
    <t>EMERGENCY ($1,315,398)</t>
  </si>
  <si>
    <t>EMERGENCY ($712,000)</t>
  </si>
  <si>
    <t>EMERGENCY ($791,000)</t>
  </si>
  <si>
    <t>BOND ($20,096,000)</t>
  </si>
  <si>
    <t>BOND ($520,000)</t>
  </si>
  <si>
    <t>EMERGENCY ($490,000)</t>
  </si>
  <si>
    <t>EMERGENCY ($1,288,018)</t>
  </si>
  <si>
    <t>Batavia Local SD</t>
  </si>
  <si>
    <t>EMERGENCY ($651,116)</t>
  </si>
  <si>
    <t>BOND ($4,240,000)</t>
  </si>
  <si>
    <t>BOND ($4,646,000)</t>
  </si>
  <si>
    <t>BOND ($3,800,000)</t>
  </si>
  <si>
    <t>Colonel Crawford Local SD</t>
  </si>
  <si>
    <t>BOND ($15,147,000)</t>
  </si>
  <si>
    <t>Wynford Local SD</t>
  </si>
  <si>
    <t>EMERGENCY ($350,000)</t>
  </si>
  <si>
    <t>BOND ($7,263,000)</t>
  </si>
  <si>
    <t>EMERGENCY $2,688,667</t>
  </si>
  <si>
    <t>BOND ($18,000,000)</t>
  </si>
  <si>
    <t>EMERGENCY ($615,000)</t>
  </si>
  <si>
    <t>BOND ($2,482,000)</t>
  </si>
  <si>
    <t>EMERGENCY $875,000</t>
  </si>
  <si>
    <t>BOND ($16,606,000)</t>
  </si>
  <si>
    <t>EMERGENCY ($4,508,652)</t>
  </si>
  <si>
    <t>New Albany-Plain Local SD</t>
  </si>
  <si>
    <t>BOND ($19,490,000)</t>
  </si>
  <si>
    <t>BOND ($29,730,000)</t>
  </si>
  <si>
    <t>BOND ($38,838,000)</t>
  </si>
  <si>
    <t>Hilliard City SD</t>
  </si>
  <si>
    <t>BOND ($20,300,000)</t>
  </si>
  <si>
    <t>BOND ($59,200,000)</t>
  </si>
  <si>
    <t>BOND (70,000,000/34,999,973)</t>
  </si>
  <si>
    <t>BOND (70,000,000/35,000,000)</t>
  </si>
  <si>
    <t>BOND REF.1993 ($9,000,000)</t>
  </si>
  <si>
    <t>BOND ($3,300,000)</t>
  </si>
  <si>
    <t>BOND ($9,391,000)</t>
  </si>
  <si>
    <t>BOND $4,888,000</t>
  </si>
  <si>
    <t>BOND ($2,630,000)</t>
  </si>
  <si>
    <t>Pike-Delta-York Local SD</t>
  </si>
  <si>
    <t>BOND ($11,400,200)</t>
  </si>
  <si>
    <t>BOND ($10,000,000)</t>
  </si>
  <si>
    <t>BOND/LIBRARY ($3,000,000)</t>
  </si>
  <si>
    <t>EMERGENCY ($11,073,600)</t>
  </si>
  <si>
    <t>EMERGENCY ($7,444,000)</t>
  </si>
  <si>
    <t>EMERGENCY ($1,400,000)</t>
  </si>
  <si>
    <t>Southwest Local SD</t>
  </si>
  <si>
    <t>BOND ($6,638,000)</t>
  </si>
  <si>
    <t>Arcadia Local SD</t>
  </si>
  <si>
    <t>EMERGENCY ($305,000)</t>
  </si>
  <si>
    <t>EMERGENCY ($440,000)</t>
  </si>
  <si>
    <t>Liberty Benton Local SD</t>
  </si>
  <si>
    <t>EMERGENCY ($724,600)</t>
  </si>
  <si>
    <t>BOND ($8,200,000)</t>
  </si>
  <si>
    <t>BOND ($3,250,000)</t>
  </si>
  <si>
    <t>EMERGENCY ($1,275,000)</t>
  </si>
  <si>
    <t>BOND ($11,500,000)</t>
  </si>
  <si>
    <t>EMERGENCY ($240,000)</t>
  </si>
  <si>
    <t>EMERGENCY ($90,600)</t>
  </si>
  <si>
    <t>BOND</t>
  </si>
  <si>
    <t>BOND ($2,779,000)</t>
  </si>
  <si>
    <t>SITE ACQUISTION ($290,000)</t>
  </si>
  <si>
    <t>EMERGENCY ($422,562)</t>
  </si>
  <si>
    <t>EMERGENCY ($803,000)</t>
  </si>
  <si>
    <t>BOND ($16,150,000)</t>
  </si>
  <si>
    <t>EMERGENCY ($291,000)</t>
  </si>
  <si>
    <t>EMERGENCY ($300,000)</t>
  </si>
  <si>
    <t>Lakewood Local SD</t>
  </si>
  <si>
    <t>BOND ($15,592,000)</t>
  </si>
  <si>
    <t>Licking Heights Local SD</t>
  </si>
  <si>
    <t>BOND ($40,000,000)</t>
  </si>
  <si>
    <t>Licking Valley Local SD</t>
  </si>
  <si>
    <t>BOND ($15,800,000)</t>
  </si>
  <si>
    <t>Benjamin Logan Local SD</t>
  </si>
  <si>
    <t>EMERGENCY ($1,375,000)</t>
  </si>
  <si>
    <t>BOND ($11,910,000)</t>
  </si>
  <si>
    <t>Indian Lake Local SD</t>
  </si>
  <si>
    <t>EMERGENCY ($2,057,500)</t>
  </si>
  <si>
    <t>BOND  ($18,100,000)</t>
  </si>
  <si>
    <t>EMERGENCY ($1,000,000)</t>
  </si>
  <si>
    <t>EMERGENCY ($204,700)</t>
  </si>
  <si>
    <t>EMERGENCY ($310,000)</t>
  </si>
  <si>
    <t>BOND ($14,950,000)</t>
  </si>
  <si>
    <t>BOND ($8,000,000)</t>
  </si>
  <si>
    <t>BOND/HIGH SCHOOL ($12,950,000)</t>
  </si>
  <si>
    <t>EMERGENCY ($3,400,000)</t>
  </si>
  <si>
    <t>BOND ($2,000,000)</t>
  </si>
  <si>
    <t>BOND ($41,800,000)</t>
  </si>
  <si>
    <t>BOND/LIBRARY ($4,000,000)</t>
  </si>
  <si>
    <t>EMERGENCY ($352,690)</t>
  </si>
  <si>
    <t>BOND ($1,432,000)</t>
  </si>
  <si>
    <t>BOND ($3,260,000)</t>
  </si>
  <si>
    <t>BOND ($980,000)</t>
  </si>
  <si>
    <t>EMERGENCY ($3,000,000)</t>
  </si>
  <si>
    <t>BOND ($13,750,000)</t>
  </si>
  <si>
    <t>BOND ($2,100,000)</t>
  </si>
  <si>
    <t>EMERGENCY ($1,181,366)</t>
  </si>
  <si>
    <t>BOND ($16,900,000)</t>
  </si>
  <si>
    <t>EMERGENCY ($383,088)</t>
  </si>
  <si>
    <t>EMERGENCY ($988,485)</t>
  </si>
  <si>
    <t>EMERGENCY ($1,068,055)</t>
  </si>
  <si>
    <t>EMERGENCY ($1,369,748)</t>
  </si>
  <si>
    <t>EMERGENCY ($2,297,755)</t>
  </si>
  <si>
    <t>BOND ($1,832,670)</t>
  </si>
  <si>
    <t>South Range Local SD</t>
  </si>
  <si>
    <t>EMERGENCY ($430,555)</t>
  </si>
  <si>
    <t>EMERGENCY ($558,000)</t>
  </si>
  <si>
    <t>EMERGENCY ($793,000)</t>
  </si>
  <si>
    <t>EMERGENCY ($139,000)</t>
  </si>
  <si>
    <t>EMERGENCY ($368,000)</t>
  </si>
  <si>
    <t>EMERGENCY ($425,000)</t>
  </si>
  <si>
    <t>Elgin Local SD</t>
  </si>
  <si>
    <t>EMERGENCY ($850,000)</t>
  </si>
  <si>
    <t>Ridgedale Local SD</t>
  </si>
  <si>
    <t>EMERGENCY ($575,034)</t>
  </si>
  <si>
    <t>EMERGENCY ($854,281)</t>
  </si>
  <si>
    <t>BOND ($19,600,000)</t>
  </si>
  <si>
    <t>BOND ($23,700,000)</t>
  </si>
  <si>
    <t>EMERGENCY ($755,662)</t>
  </si>
  <si>
    <t>BOND ($1,266,000)</t>
  </si>
  <si>
    <t>BOND ($2,940,000)</t>
  </si>
  <si>
    <t>EMERGENCY ($730,000)</t>
  </si>
  <si>
    <t>BOND ($2,450,000)</t>
  </si>
  <si>
    <t>BOND ($2,451,000)</t>
  </si>
  <si>
    <t>EMERGENCY ($48,000)</t>
  </si>
  <si>
    <t>BOND ($23,095,000)</t>
  </si>
  <si>
    <t>BOND ($7,380,000)</t>
  </si>
  <si>
    <t>BOND ($1,165,000)</t>
  </si>
  <si>
    <t>BOND ($2,495,000)</t>
  </si>
  <si>
    <t>BOND ($18,500,000)</t>
  </si>
  <si>
    <t>West Muskingum Local SD</t>
  </si>
  <si>
    <t>BOND ($23,950,000)</t>
  </si>
  <si>
    <t>BOND ($2,003,626)</t>
  </si>
  <si>
    <t>BOND ($3,668,000)</t>
  </si>
  <si>
    <t>EMERGENCY ($812,000)</t>
  </si>
  <si>
    <t>BOND ($3,377,000)</t>
  </si>
  <si>
    <t>BOND ($8,086,000)</t>
  </si>
  <si>
    <t>James A Garfield Local SD</t>
  </si>
  <si>
    <t>BOND ($6,900,000)</t>
  </si>
  <si>
    <t>Streetsboro City SD</t>
  </si>
  <si>
    <t>BOND ($15,550,000)</t>
  </si>
  <si>
    <t>Kalida Local SD</t>
  </si>
  <si>
    <t>BOND ($6,905,000)</t>
  </si>
  <si>
    <t>Leipsic Local SD</t>
  </si>
  <si>
    <t>BOND ($4,800,000)</t>
  </si>
  <si>
    <t>EMERGENCY ($173,406)</t>
  </si>
  <si>
    <t>EMERGENCY ($278,457)</t>
  </si>
  <si>
    <t>BOND ($1,150,000)</t>
  </si>
  <si>
    <t>BOND ($13,485,000)</t>
  </si>
  <si>
    <t>EMERGENCY ($150,521)</t>
  </si>
  <si>
    <t>BOND ($1,530,000)</t>
  </si>
  <si>
    <t>BOND ($2,152,000)</t>
  </si>
  <si>
    <t>BOND ($873,000)</t>
  </si>
  <si>
    <t>EMERGENCY ($325,000)</t>
  </si>
  <si>
    <t>BOND ($1,761,000)</t>
  </si>
  <si>
    <t>EMERGENCY ($1,320,000)</t>
  </si>
  <si>
    <t>BOND ($21,250,000)</t>
  </si>
  <si>
    <t>BOND ($3,277,000)</t>
  </si>
  <si>
    <t>EMERGENCY ($268,733)</t>
  </si>
  <si>
    <t>BOND ($4,590,000)</t>
  </si>
  <si>
    <t>BOND $3,072,000</t>
  </si>
  <si>
    <t>BOND $8,778,000</t>
  </si>
  <si>
    <t>BOND ($610,000)</t>
  </si>
  <si>
    <t>BOND ($5,000,000)</t>
  </si>
  <si>
    <t>BOND ($1,850,000)</t>
  </si>
  <si>
    <t>BOND ($750,000)</t>
  </si>
  <si>
    <t>Fort Loramie Local SD</t>
  </si>
  <si>
    <t>BOND ($6,050,000)</t>
  </si>
  <si>
    <t>BOND ($4,780,000)</t>
  </si>
  <si>
    <t>Russia Local SD</t>
  </si>
  <si>
    <t>EMERGENCY ($872,760)</t>
  </si>
  <si>
    <t>EMERGENCY ($895,000)</t>
  </si>
  <si>
    <t>BONDS ($12,296,164)</t>
  </si>
  <si>
    <t>LAND ACQUISITION ($1,603,836)</t>
  </si>
  <si>
    <t>EMERGENCY ($8,350,000)</t>
  </si>
  <si>
    <t>BOND ($18,150,000)</t>
  </si>
  <si>
    <t>BOND ($48,500,000)</t>
  </si>
  <si>
    <t>Minerva Local SD</t>
  </si>
  <si>
    <t>EMERGENCY ($1,110,000)</t>
  </si>
  <si>
    <t>EMERGENCY ($521,000)</t>
  </si>
  <si>
    <t>BOND ($23,000,000)</t>
  </si>
  <si>
    <t>EMERGENCY ($8,041,569)</t>
  </si>
  <si>
    <t>EMERGENCY ($2,077,125)</t>
  </si>
  <si>
    <t>EMERGENCY ($3,194,424)</t>
  </si>
  <si>
    <t>BOND ($18,371,000)</t>
  </si>
  <si>
    <t>CURR EXP 5705.213 ($1,055,996)</t>
  </si>
  <si>
    <t>EMERGENCY ($4,100,000)</t>
  </si>
  <si>
    <t>BOND ($19,500,000)</t>
  </si>
  <si>
    <t>EMERGENCY ($1,600,000)</t>
  </si>
  <si>
    <t>EMERGENCY ($930,000)</t>
  </si>
  <si>
    <t>EMERGENCY ($4,000,000)</t>
  </si>
  <si>
    <t>EMERGENCY ($5,184,569)</t>
  </si>
  <si>
    <t>BOND ($32,700,000)</t>
  </si>
  <si>
    <t>EMERGENCY ($1,655,168)</t>
  </si>
  <si>
    <t>EMERGENCY ($380,189)</t>
  </si>
  <si>
    <t>EMERGENCY ($3,050,000)</t>
  </si>
  <si>
    <t>EMERGENCY ($425,379)</t>
  </si>
  <si>
    <t>EMERGENCY ($550,000)</t>
  </si>
  <si>
    <t>BOND ($2,277,000)</t>
  </si>
  <si>
    <t>BOND ($7,873,000)</t>
  </si>
  <si>
    <t>EMERGENCY ($613,731)</t>
  </si>
  <si>
    <t>EMERGENCY ($890,000)</t>
  </si>
  <si>
    <t>BOND ($5,956,419)</t>
  </si>
  <si>
    <t>EMERGENCY $1,776,316</t>
  </si>
  <si>
    <t>EMERGENCY ($740,680)</t>
  </si>
  <si>
    <t>EMERGENCY ($839,531)</t>
  </si>
  <si>
    <t>BOND ($11,200,000)</t>
  </si>
  <si>
    <t>Lordstown Local SD</t>
  </si>
  <si>
    <t>EMERGENCY ($770,000)</t>
  </si>
  <si>
    <t>EMERGENCY ($841,327)</t>
  </si>
  <si>
    <t>BOND ($8,909,000)</t>
  </si>
  <si>
    <t>Weathersfield Local SD</t>
  </si>
  <si>
    <t>EMERGENCY ($418,128)</t>
  </si>
  <si>
    <t>EMERGENCY ($538,168)</t>
  </si>
  <si>
    <t>EMERGENCY ($1,487,300)</t>
  </si>
  <si>
    <t>BOND ($2,200,000)</t>
  </si>
  <si>
    <t>EMERGENCY ($599,000)</t>
  </si>
  <si>
    <t>BOND $8,483,000</t>
  </si>
  <si>
    <t>BOND ($7,430,000)</t>
  </si>
  <si>
    <t>Tuscarawas Valley Local SD</t>
  </si>
  <si>
    <t>EMERGENCY ($460,000)</t>
  </si>
  <si>
    <t>EMERGENCY ($940,000)</t>
  </si>
  <si>
    <t>BOND ($7,525,000)</t>
  </si>
  <si>
    <t>Fairbanks Local SD</t>
  </si>
  <si>
    <t>EMERGENCY ($1,339,000)</t>
  </si>
  <si>
    <t>BOND ($3,700,000)</t>
  </si>
  <si>
    <t>BOND ($5,010,000)</t>
  </si>
  <si>
    <t>BOND ($14,500,000)</t>
  </si>
  <si>
    <t>BOND ($23,500,000)</t>
  </si>
  <si>
    <t>BOND ($10,700,000)</t>
  </si>
  <si>
    <t>BOND ($18,631,000)</t>
  </si>
  <si>
    <t>BOND ($71,935,000)</t>
  </si>
  <si>
    <t>Warren Local SD</t>
  </si>
  <si>
    <t>EMERGENCY ($1,755,600)</t>
  </si>
  <si>
    <t>BOND ($3,383,000)</t>
  </si>
  <si>
    <t>BOND ($5,350,000)</t>
  </si>
  <si>
    <t>BOND (SITE ACQUISITION)</t>
  </si>
  <si>
    <t>EMERGENCY ($1,017,000)</t>
  </si>
  <si>
    <t>BOND ($9,375,000)</t>
  </si>
  <si>
    <t>BOND ($3,603,000)</t>
  </si>
  <si>
    <t>BOND ($950,000)</t>
  </si>
  <si>
    <t>Millcreek-West Unity Local S</t>
  </si>
  <si>
    <t>BOND ($3,336,000)</t>
  </si>
  <si>
    <t>EMERGENCY ($878,000)</t>
  </si>
  <si>
    <t>BOND ($4,340,000)</t>
  </si>
  <si>
    <t>BOND ($14,800,000)</t>
  </si>
  <si>
    <t>EMERGENCY ($157,250)</t>
  </si>
  <si>
    <t>BOND ($2,975,000)</t>
  </si>
  <si>
    <t>BOND ($44,000,000)</t>
  </si>
  <si>
    <t>EMERGENCY ($618,000)</t>
  </si>
  <si>
    <t>EMERGENCY ($664,826)</t>
  </si>
  <si>
    <t>Monroe Local SD</t>
  </si>
  <si>
    <t>BOND ($29,915,000)</t>
  </si>
  <si>
    <t>BOND ($15,600,500)</t>
  </si>
  <si>
    <t>BOND ($3,775,000)</t>
  </si>
  <si>
    <t>SUBSTITUE (RC.5705</t>
  </si>
  <si>
    <t>ADJUSTED</t>
  </si>
  <si>
    <t>TOTAL</t>
  </si>
  <si>
    <t>Please note that the "Adjusted Fixed-Sum Levy Loss Reimbursement Distributed in May 2012" reflects the initial calculation of the May distribution</t>
  </si>
  <si>
    <t xml:space="preserve">after accounting for changes in levies between the initial calculation of this payment (November 2011) and May of 2012.  The amount appearing </t>
  </si>
  <si>
    <t>INITIAL</t>
  </si>
  <si>
    <t>TO BE DISTRIBUTED</t>
  </si>
  <si>
    <t xml:space="preserve">TO BE DISTRIBUTED </t>
  </si>
  <si>
    <t>Please note that the "Adjusted Fixed-Rate Non-Operating Levy Loss Reimbursement Distributed in May 2012" reflects the initial calculation of the</t>
  </si>
  <si>
    <t>May 2012 distribution adjusted to reflect changes in levies that have been applied since the November 2011 reimbursement distribution.  The figure</t>
  </si>
  <si>
    <t>under this heading is what is now being distributed to school districts in May 2012.</t>
  </si>
  <si>
    <t>under this heading is what is being distributed to the school districts in May 2012.</t>
  </si>
  <si>
    <t>Total</t>
  </si>
  <si>
    <t>daria.shams:offset_tpp_fy12_dis_allocation_rev.xlsx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</si>
</sst>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16" fillId="0" borderId="0" xfId="0" applyFont="1"/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0" fillId="0" borderId="0" xfId="0" applyAlignment="1"/>
    <xf numFmtId="0" fontId="18" fillId="0" borderId="0" xfId="0" applyFont="1" applyAlignment="1">
      <alignment horizontal="center"/>
    </xf>
    <xf numFmtId="164" fontId="0" fillId="0" borderId="0" xfId="0" applyNumberFormat="1" applyFill="1"/>
    <xf numFmtId="0" fontId="0" fillId="0" borderId="0" xfId="0" applyAlignment="1"/>
    <xf numFmtId="0" fontId="18" fillId="0" borderId="0" xfId="0" applyFont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1" fontId="16" fillId="33" borderId="0" xfId="0" applyNumberFormat="1" applyFont="1" applyFill="1" applyAlignment="1">
      <alignment horizontal="center"/>
    </xf>
    <xf numFmtId="0" fontId="18" fillId="0" borderId="0" xfId="0" applyFont="1" applyAlignment="1"/>
    <xf numFmtId="0" fontId="19" fillId="0" borderId="0" xfId="0" applyFont="1"/>
    <xf numFmtId="0" fontId="19" fillId="0" borderId="0" xfId="0" applyFont="1" applyBorder="1"/>
    <xf numFmtId="0" fontId="14" fillId="0" borderId="0" xfId="0" applyFont="1"/>
    <xf numFmtId="0" fontId="20" fillId="0" borderId="0" xfId="0" applyFont="1"/>
    <xf numFmtId="0" fontId="21" fillId="0" borderId="0" xfId="0" applyFont="1"/>
    <xf numFmtId="164" fontId="21" fillId="0" borderId="0" xfId="0" applyNumberFormat="1" applyFont="1"/>
    <xf numFmtId="0" fontId="25" fillId="0" borderId="0" xfId="0" applyFont="1"/>
    <xf numFmtId="0" fontId="21" fillId="0" borderId="0" xfId="0" applyFont="1" applyBorder="1" applyAlignment="1">
      <alignment vertical="top" wrapText="1"/>
    </xf>
    <xf numFmtId="0" fontId="21" fillId="0" borderId="0" xfId="0" applyFont="1" applyBorder="1"/>
    <xf numFmtId="0" fontId="21" fillId="0" borderId="0" xfId="0" applyFont="1" applyFill="1" applyBorder="1"/>
    <xf numFmtId="164" fontId="21" fillId="0" borderId="0" xfId="0" applyNumberFormat="1" applyFont="1" applyBorder="1"/>
    <xf numFmtId="164" fontId="24" fillId="33" borderId="0" xfId="0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75"/>
  <sheetViews>
    <sheetView tabSelected="1" workbookViewId="0">
      <pane ySplit="18" topLeftCell="A19" activePane="bottomLeft" state="frozen"/>
      <selection pane="bottomLeft" sqref="A1:D1"/>
    </sheetView>
  </sheetViews>
  <sheetFormatPr defaultRowHeight="14.4" x14ac:dyDescent="0.3"/>
  <cols>
    <col min="1" max="1" width="7" bestFit="1" customWidth="1"/>
    <col min="2" max="2" width="27.6640625" bestFit="1" customWidth="1"/>
    <col min="3" max="3" width="12.44140625" bestFit="1" customWidth="1"/>
    <col min="4" max="4" width="31.109375" bestFit="1" customWidth="1"/>
    <col min="5" max="6" width="16.6640625" style="2" bestFit="1" customWidth="1"/>
    <col min="7" max="7" width="18.5546875" style="2" bestFit="1" customWidth="1"/>
    <col min="8" max="8" width="16.6640625" style="2" bestFit="1" customWidth="1"/>
  </cols>
  <sheetData>
    <row r="1" spans="1:8" ht="15" x14ac:dyDescent="0.25">
      <c r="A1" s="27" t="s">
        <v>1130</v>
      </c>
      <c r="B1" s="27"/>
      <c r="C1" s="27"/>
      <c r="D1" s="27"/>
      <c r="F1"/>
      <c r="G1"/>
      <c r="H1"/>
    </row>
    <row r="2" spans="1:8" ht="15" x14ac:dyDescent="0.25">
      <c r="A2" s="8"/>
      <c r="B2" s="8"/>
      <c r="C2" s="8"/>
      <c r="D2" s="8"/>
      <c r="F2"/>
      <c r="G2"/>
      <c r="H2"/>
    </row>
    <row r="3" spans="1:8" ht="15.75" x14ac:dyDescent="0.25">
      <c r="A3" s="25" t="s">
        <v>599</v>
      </c>
      <c r="B3" s="25"/>
      <c r="C3" s="25"/>
      <c r="D3" s="25"/>
      <c r="E3" s="25"/>
      <c r="F3" s="25"/>
      <c r="G3" s="25"/>
      <c r="H3"/>
    </row>
    <row r="4" spans="1:8" ht="15.75" x14ac:dyDescent="0.25">
      <c r="A4" s="9"/>
      <c r="B4" s="9"/>
      <c r="C4" s="9"/>
      <c r="D4" s="9"/>
      <c r="E4" s="9"/>
      <c r="F4" s="9"/>
      <c r="G4" s="9"/>
      <c r="H4"/>
    </row>
    <row r="5" spans="1:8" ht="15.75" x14ac:dyDescent="0.25">
      <c r="A5" s="25"/>
      <c r="B5" s="27"/>
      <c r="C5" s="27"/>
      <c r="D5" s="27"/>
      <c r="E5" s="27"/>
      <c r="F5" s="27"/>
      <c r="G5" s="27"/>
      <c r="H5" s="27"/>
    </row>
    <row r="6" spans="1:8" ht="15.75" x14ac:dyDescent="0.25">
      <c r="A6" s="25" t="s">
        <v>1125</v>
      </c>
      <c r="B6" s="26"/>
      <c r="C6" s="26"/>
      <c r="D6" s="26"/>
      <c r="E6" s="26"/>
      <c r="F6" s="26"/>
      <c r="G6" s="26"/>
      <c r="H6" s="26"/>
    </row>
    <row r="7" spans="1:8" ht="15.75" x14ac:dyDescent="0.25">
      <c r="A7" s="25" t="s">
        <v>1126</v>
      </c>
      <c r="B7" s="26"/>
      <c r="C7" s="26"/>
      <c r="D7" s="26"/>
      <c r="E7" s="26"/>
      <c r="F7" s="26"/>
      <c r="G7" s="26"/>
      <c r="H7" s="26"/>
    </row>
    <row r="8" spans="1:8" ht="15.75" x14ac:dyDescent="0.25">
      <c r="A8" s="25" t="s">
        <v>1127</v>
      </c>
      <c r="B8" s="25"/>
      <c r="C8" s="25"/>
      <c r="D8" s="25"/>
      <c r="E8" s="25"/>
      <c r="F8" s="25"/>
      <c r="G8" s="25"/>
      <c r="H8" s="25"/>
    </row>
    <row r="9" spans="1:8" ht="15.75" x14ac:dyDescent="0.25">
      <c r="A9" s="25" t="s">
        <v>589</v>
      </c>
      <c r="B9" s="26"/>
      <c r="C9" s="26"/>
      <c r="D9" s="26"/>
      <c r="E9" s="26"/>
      <c r="F9" s="26"/>
      <c r="G9" s="26"/>
      <c r="H9" s="26"/>
    </row>
    <row r="10" spans="1:8" ht="15.75" x14ac:dyDescent="0.25">
      <c r="A10" s="9"/>
      <c r="B10" s="9"/>
      <c r="C10" s="9"/>
      <c r="D10" s="9"/>
      <c r="E10" s="9"/>
      <c r="F10" s="9"/>
      <c r="G10" s="9"/>
      <c r="H10"/>
    </row>
    <row r="11" spans="1:8" ht="15" x14ac:dyDescent="0.25">
      <c r="G11" s="3" t="s">
        <v>1122</v>
      </c>
      <c r="H11" s="24" t="s">
        <v>1118</v>
      </c>
    </row>
    <row r="12" spans="1:8" ht="15" x14ac:dyDescent="0.25">
      <c r="B12" t="s">
        <v>589</v>
      </c>
      <c r="C12" t="s">
        <v>589</v>
      </c>
      <c r="D12" t="s">
        <v>589</v>
      </c>
      <c r="E12" s="3" t="s">
        <v>589</v>
      </c>
      <c r="F12" s="3" t="s">
        <v>590</v>
      </c>
      <c r="G12" s="3" t="s">
        <v>590</v>
      </c>
      <c r="H12" s="10" t="s">
        <v>590</v>
      </c>
    </row>
    <row r="13" spans="1:8" ht="15" x14ac:dyDescent="0.25">
      <c r="A13" t="s">
        <v>589</v>
      </c>
      <c r="B13" t="s">
        <v>589</v>
      </c>
      <c r="C13" t="s">
        <v>589</v>
      </c>
      <c r="D13" t="s">
        <v>589</v>
      </c>
      <c r="E13" s="3" t="s">
        <v>591</v>
      </c>
      <c r="F13" s="3" t="s">
        <v>595</v>
      </c>
      <c r="G13" s="3" t="s">
        <v>595</v>
      </c>
      <c r="H13" s="10" t="s">
        <v>595</v>
      </c>
    </row>
    <row r="14" spans="1:8" ht="15" x14ac:dyDescent="0.25">
      <c r="B14" t="s">
        <v>589</v>
      </c>
      <c r="C14" t="s">
        <v>589</v>
      </c>
      <c r="D14" t="s">
        <v>589</v>
      </c>
      <c r="E14" s="3" t="s">
        <v>590</v>
      </c>
      <c r="F14" s="3" t="s">
        <v>596</v>
      </c>
      <c r="G14" s="3" t="s">
        <v>596</v>
      </c>
      <c r="H14" s="10" t="s">
        <v>596</v>
      </c>
    </row>
    <row r="15" spans="1:8" ht="15" x14ac:dyDescent="0.25">
      <c r="A15" t="s">
        <v>589</v>
      </c>
      <c r="B15" t="s">
        <v>589</v>
      </c>
      <c r="C15" t="s">
        <v>589</v>
      </c>
      <c r="D15" t="s">
        <v>589</v>
      </c>
      <c r="E15" s="3" t="s">
        <v>595</v>
      </c>
      <c r="F15" s="3" t="s">
        <v>592</v>
      </c>
      <c r="G15" s="3" t="s">
        <v>592</v>
      </c>
      <c r="H15" s="10" t="s">
        <v>592</v>
      </c>
    </row>
    <row r="16" spans="1:8" ht="15" x14ac:dyDescent="0.25">
      <c r="A16" t="s">
        <v>589</v>
      </c>
      <c r="B16" t="s">
        <v>589</v>
      </c>
      <c r="C16" t="s">
        <v>589</v>
      </c>
      <c r="D16" t="s">
        <v>589</v>
      </c>
      <c r="E16" s="3" t="s">
        <v>596</v>
      </c>
      <c r="F16" s="3" t="s">
        <v>593</v>
      </c>
      <c r="G16" s="3" t="s">
        <v>1124</v>
      </c>
      <c r="H16" s="10" t="s">
        <v>593</v>
      </c>
    </row>
    <row r="17" spans="1:8" ht="15" x14ac:dyDescent="0.25">
      <c r="A17" t="s">
        <v>589</v>
      </c>
      <c r="B17" t="s">
        <v>589</v>
      </c>
      <c r="C17" t="s">
        <v>589</v>
      </c>
      <c r="D17" t="s">
        <v>589</v>
      </c>
      <c r="E17" s="3" t="s">
        <v>592</v>
      </c>
      <c r="F17" s="3" t="s">
        <v>598</v>
      </c>
      <c r="G17" s="3" t="s">
        <v>594</v>
      </c>
      <c r="H17" s="10" t="s">
        <v>594</v>
      </c>
    </row>
    <row r="18" spans="1:8" ht="15" x14ac:dyDescent="0.25">
      <c r="A18" s="1" t="s">
        <v>585</v>
      </c>
      <c r="B18" s="1" t="s">
        <v>586</v>
      </c>
      <c r="C18" s="1" t="s">
        <v>587</v>
      </c>
      <c r="D18" s="1" t="s">
        <v>588</v>
      </c>
      <c r="E18" s="3" t="s">
        <v>597</v>
      </c>
      <c r="F18" s="4">
        <v>2011</v>
      </c>
      <c r="G18" s="4">
        <v>2012</v>
      </c>
      <c r="H18" s="11">
        <v>2012</v>
      </c>
    </row>
    <row r="19" spans="1:8" ht="15" x14ac:dyDescent="0.25">
      <c r="A19" s="1"/>
      <c r="B19" s="1"/>
      <c r="C19" s="1"/>
      <c r="D19" s="1"/>
      <c r="E19" s="3"/>
      <c r="F19" s="4"/>
      <c r="G19" s="4"/>
      <c r="H19" s="4"/>
    </row>
    <row r="20" spans="1:8" ht="15" x14ac:dyDescent="0.25">
      <c r="A20" s="17">
        <v>43489</v>
      </c>
      <c r="B20" s="17" t="s">
        <v>0</v>
      </c>
      <c r="C20" s="17" t="s">
        <v>1</v>
      </c>
      <c r="D20" s="17" t="s">
        <v>2</v>
      </c>
      <c r="E20" s="18">
        <f>F20+H20</f>
        <v>751947.24</v>
      </c>
      <c r="F20" s="18">
        <v>375973.62</v>
      </c>
      <c r="G20" s="18">
        <v>375973.62</v>
      </c>
      <c r="H20" s="18">
        <v>375973.62</v>
      </c>
    </row>
    <row r="21" spans="1:8" ht="15" x14ac:dyDescent="0.25">
      <c r="A21" s="17">
        <v>43497</v>
      </c>
      <c r="B21" s="17" t="s">
        <v>3</v>
      </c>
      <c r="C21" s="17" t="s">
        <v>4</v>
      </c>
      <c r="D21" s="17" t="s">
        <v>5</v>
      </c>
      <c r="E21" s="18">
        <f t="shared" ref="E21:E84" si="0">F21+H21</f>
        <v>9564.42</v>
      </c>
      <c r="F21" s="18">
        <v>4782.21</v>
      </c>
      <c r="G21" s="18">
        <v>4782.21</v>
      </c>
      <c r="H21" s="18">
        <v>4782.21</v>
      </c>
    </row>
    <row r="22" spans="1:8" ht="15" x14ac:dyDescent="0.25">
      <c r="A22" s="17">
        <v>43497</v>
      </c>
      <c r="B22" s="17" t="s">
        <v>3</v>
      </c>
      <c r="C22" s="17" t="s">
        <v>4</v>
      </c>
      <c r="D22" s="17" t="s">
        <v>2</v>
      </c>
      <c r="E22" s="18">
        <f t="shared" si="0"/>
        <v>38257.72</v>
      </c>
      <c r="F22" s="18">
        <v>19128.86</v>
      </c>
      <c r="G22" s="18">
        <v>19128.86</v>
      </c>
      <c r="H22" s="18">
        <v>19128.86</v>
      </c>
    </row>
    <row r="23" spans="1:8" ht="15" x14ac:dyDescent="0.25">
      <c r="A23" s="17">
        <v>43505</v>
      </c>
      <c r="B23" s="17" t="s">
        <v>6</v>
      </c>
      <c r="C23" s="17" t="s">
        <v>7</v>
      </c>
      <c r="D23" s="17" t="s">
        <v>2</v>
      </c>
      <c r="E23" s="18">
        <f t="shared" si="0"/>
        <v>52792.32</v>
      </c>
      <c r="F23" s="18">
        <v>26396.16</v>
      </c>
      <c r="G23" s="18">
        <v>26396.16</v>
      </c>
      <c r="H23" s="18">
        <v>26396.16</v>
      </c>
    </row>
    <row r="24" spans="1:8" ht="15" x14ac:dyDescent="0.25">
      <c r="A24" s="17">
        <v>43513</v>
      </c>
      <c r="B24" s="17" t="s">
        <v>8</v>
      </c>
      <c r="C24" s="17" t="s">
        <v>9</v>
      </c>
      <c r="D24" s="17" t="s">
        <v>2</v>
      </c>
      <c r="E24" s="18">
        <f t="shared" si="0"/>
        <v>126640.84</v>
      </c>
      <c r="F24" s="18">
        <v>63320.42</v>
      </c>
      <c r="G24" s="18">
        <v>63320.42</v>
      </c>
      <c r="H24" s="18">
        <v>63320.42</v>
      </c>
    </row>
    <row r="25" spans="1:8" ht="15" x14ac:dyDescent="0.25">
      <c r="A25" s="17">
        <v>43521</v>
      </c>
      <c r="B25" s="17" t="s">
        <v>10</v>
      </c>
      <c r="C25" s="17" t="s">
        <v>11</v>
      </c>
      <c r="D25" s="17" t="s">
        <v>2</v>
      </c>
      <c r="E25" s="18">
        <f t="shared" si="0"/>
        <v>54522.5</v>
      </c>
      <c r="F25" s="18">
        <v>27261.25</v>
      </c>
      <c r="G25" s="18">
        <v>27261.25</v>
      </c>
      <c r="H25" s="18">
        <v>27261.25</v>
      </c>
    </row>
    <row r="26" spans="1:8" ht="15" x14ac:dyDescent="0.25">
      <c r="A26" s="17">
        <v>43539</v>
      </c>
      <c r="B26" s="17" t="s">
        <v>12</v>
      </c>
      <c r="C26" s="17" t="s">
        <v>1</v>
      </c>
      <c r="D26" s="17" t="s">
        <v>2</v>
      </c>
      <c r="E26" s="18">
        <f t="shared" si="0"/>
        <v>37362.839999999997</v>
      </c>
      <c r="F26" s="18">
        <v>18681.419999999998</v>
      </c>
      <c r="G26" s="18">
        <v>18681.419999999998</v>
      </c>
      <c r="H26" s="18">
        <v>18681.419999999998</v>
      </c>
    </row>
    <row r="27" spans="1:8" ht="15" x14ac:dyDescent="0.25">
      <c r="A27" s="17">
        <v>43554</v>
      </c>
      <c r="B27" s="17" t="s">
        <v>13</v>
      </c>
      <c r="C27" s="17" t="s">
        <v>14</v>
      </c>
      <c r="D27" s="17" t="s">
        <v>2</v>
      </c>
      <c r="E27" s="18">
        <f t="shared" si="0"/>
        <v>99765.18</v>
      </c>
      <c r="F27" s="18">
        <v>49882.59</v>
      </c>
      <c r="G27" s="18">
        <v>49882.59</v>
      </c>
      <c r="H27" s="18">
        <v>49882.59</v>
      </c>
    </row>
    <row r="28" spans="1:8" ht="15" x14ac:dyDescent="0.25">
      <c r="A28" s="17">
        <v>43562</v>
      </c>
      <c r="B28" s="17" t="s">
        <v>15</v>
      </c>
      <c r="C28" s="17" t="s">
        <v>14</v>
      </c>
      <c r="D28" s="17" t="s">
        <v>2</v>
      </c>
      <c r="E28" s="18">
        <f t="shared" si="0"/>
        <v>111748.84</v>
      </c>
      <c r="F28" s="18">
        <v>55874.42</v>
      </c>
      <c r="G28" s="18">
        <v>55874.42</v>
      </c>
      <c r="H28" s="18">
        <v>55874.42</v>
      </c>
    </row>
    <row r="29" spans="1:8" ht="15" x14ac:dyDescent="0.25">
      <c r="A29" s="17">
        <v>43570</v>
      </c>
      <c r="B29" s="17" t="s">
        <v>16</v>
      </c>
      <c r="C29" s="17" t="s">
        <v>17</v>
      </c>
      <c r="D29" s="17" t="s">
        <v>5</v>
      </c>
      <c r="E29" s="18">
        <f t="shared" si="0"/>
        <v>2018.86</v>
      </c>
      <c r="F29" s="18">
        <v>1009.43</v>
      </c>
      <c r="G29" s="18">
        <v>1009.43</v>
      </c>
      <c r="H29" s="18">
        <v>1009.43</v>
      </c>
    </row>
    <row r="30" spans="1:8" ht="15" x14ac:dyDescent="0.25">
      <c r="A30" s="17">
        <v>43570</v>
      </c>
      <c r="B30" s="17" t="s">
        <v>16</v>
      </c>
      <c r="C30" s="17" t="s">
        <v>17</v>
      </c>
      <c r="D30" s="17" t="s">
        <v>2</v>
      </c>
      <c r="E30" s="18">
        <f t="shared" si="0"/>
        <v>12113.2</v>
      </c>
      <c r="F30" s="18">
        <v>6056.6</v>
      </c>
      <c r="G30" s="18">
        <v>6056.6</v>
      </c>
      <c r="H30" s="18">
        <v>6056.6</v>
      </c>
    </row>
    <row r="31" spans="1:8" ht="15" x14ac:dyDescent="0.25">
      <c r="A31" s="17">
        <v>43588</v>
      </c>
      <c r="B31" s="17" t="s">
        <v>18</v>
      </c>
      <c r="C31" s="17" t="s">
        <v>19</v>
      </c>
      <c r="D31" s="17" t="s">
        <v>2</v>
      </c>
      <c r="E31" s="18">
        <f t="shared" si="0"/>
        <v>32756.6</v>
      </c>
      <c r="F31" s="18">
        <v>16378.3</v>
      </c>
      <c r="G31" s="18">
        <v>16378.3</v>
      </c>
      <c r="H31" s="18">
        <v>16378.3</v>
      </c>
    </row>
    <row r="32" spans="1:8" ht="15" x14ac:dyDescent="0.25">
      <c r="A32" s="17">
        <v>43596</v>
      </c>
      <c r="B32" s="17" t="s">
        <v>20</v>
      </c>
      <c r="C32" s="17" t="s">
        <v>21</v>
      </c>
      <c r="D32" s="17" t="s">
        <v>2</v>
      </c>
      <c r="E32" s="18">
        <f t="shared" si="0"/>
        <v>99188.82</v>
      </c>
      <c r="F32" s="18">
        <v>49594.41</v>
      </c>
      <c r="G32" s="18">
        <v>49594.41</v>
      </c>
      <c r="H32" s="18">
        <v>49594.41</v>
      </c>
    </row>
    <row r="33" spans="1:8" ht="15" x14ac:dyDescent="0.25">
      <c r="A33" s="17">
        <v>43612</v>
      </c>
      <c r="B33" s="17" t="s">
        <v>22</v>
      </c>
      <c r="C33" s="17" t="s">
        <v>14</v>
      </c>
      <c r="D33" s="17" t="s">
        <v>2</v>
      </c>
      <c r="E33" s="18">
        <f t="shared" si="0"/>
        <v>252906.6</v>
      </c>
      <c r="F33" s="18">
        <v>126453.3</v>
      </c>
      <c r="G33" s="18">
        <v>126453.3</v>
      </c>
      <c r="H33" s="18">
        <v>126453.3</v>
      </c>
    </row>
    <row r="34" spans="1:8" ht="15" x14ac:dyDescent="0.25">
      <c r="A34" s="17">
        <v>43638</v>
      </c>
      <c r="B34" s="17" t="s">
        <v>23</v>
      </c>
      <c r="C34" s="17" t="s">
        <v>24</v>
      </c>
      <c r="D34" s="17" t="s">
        <v>2</v>
      </c>
      <c r="E34" s="18">
        <f t="shared" si="0"/>
        <v>47345.22</v>
      </c>
      <c r="F34" s="18">
        <v>23672.61</v>
      </c>
      <c r="G34" s="18">
        <v>23672.61</v>
      </c>
      <c r="H34" s="18">
        <v>23672.61</v>
      </c>
    </row>
    <row r="35" spans="1:8" ht="15" x14ac:dyDescent="0.25">
      <c r="A35" s="17">
        <v>43646</v>
      </c>
      <c r="B35" s="17" t="s">
        <v>25</v>
      </c>
      <c r="C35" s="17" t="s">
        <v>14</v>
      </c>
      <c r="D35" s="17" t="s">
        <v>2</v>
      </c>
      <c r="E35" s="18">
        <f t="shared" si="0"/>
        <v>73099.38</v>
      </c>
      <c r="F35" s="18">
        <v>36549.69</v>
      </c>
      <c r="G35" s="18">
        <v>36549.69</v>
      </c>
      <c r="H35" s="18">
        <v>36549.69</v>
      </c>
    </row>
    <row r="36" spans="1:8" ht="15" x14ac:dyDescent="0.25">
      <c r="A36" s="17">
        <v>43653</v>
      </c>
      <c r="B36" s="17" t="s">
        <v>26</v>
      </c>
      <c r="C36" s="17" t="s">
        <v>14</v>
      </c>
      <c r="D36" s="17" t="s">
        <v>2</v>
      </c>
      <c r="E36" s="18">
        <f t="shared" si="0"/>
        <v>46581.68</v>
      </c>
      <c r="F36" s="18">
        <v>23290.84</v>
      </c>
      <c r="G36" s="18">
        <v>23290.84</v>
      </c>
      <c r="H36" s="18">
        <v>23290.84</v>
      </c>
    </row>
    <row r="37" spans="1:8" ht="15" x14ac:dyDescent="0.25">
      <c r="A37" s="17">
        <v>43661</v>
      </c>
      <c r="B37" s="17" t="s">
        <v>27</v>
      </c>
      <c r="C37" s="17" t="s">
        <v>28</v>
      </c>
      <c r="D37" s="17" t="s">
        <v>2</v>
      </c>
      <c r="E37" s="18">
        <f t="shared" si="0"/>
        <v>38255.42</v>
      </c>
      <c r="F37" s="18">
        <v>19127.71</v>
      </c>
      <c r="G37" s="18">
        <v>19127.71</v>
      </c>
      <c r="H37" s="18">
        <v>19127.71</v>
      </c>
    </row>
    <row r="38" spans="1:8" ht="15" x14ac:dyDescent="0.25">
      <c r="A38" s="17">
        <v>43679</v>
      </c>
      <c r="B38" s="17" t="s">
        <v>29</v>
      </c>
      <c r="C38" s="17" t="s">
        <v>30</v>
      </c>
      <c r="D38" s="17" t="s">
        <v>2</v>
      </c>
      <c r="E38" s="18">
        <f t="shared" si="0"/>
        <v>158638.16</v>
      </c>
      <c r="F38" s="18">
        <v>79319.08</v>
      </c>
      <c r="G38" s="18">
        <v>79319.08</v>
      </c>
      <c r="H38" s="18">
        <v>79319.08</v>
      </c>
    </row>
    <row r="39" spans="1:8" ht="15" x14ac:dyDescent="0.25">
      <c r="A39" s="17">
        <v>43695</v>
      </c>
      <c r="B39" s="17" t="s">
        <v>31</v>
      </c>
      <c r="C39" s="17" t="s">
        <v>32</v>
      </c>
      <c r="D39" s="17" t="s">
        <v>33</v>
      </c>
      <c r="E39" s="18">
        <f t="shared" si="0"/>
        <v>9432.02</v>
      </c>
      <c r="F39" s="18">
        <v>4716.01</v>
      </c>
      <c r="G39" s="18">
        <v>4716.01</v>
      </c>
      <c r="H39" s="18">
        <v>4716.01</v>
      </c>
    </row>
    <row r="40" spans="1:8" ht="15" x14ac:dyDescent="0.25">
      <c r="A40" s="17">
        <v>43703</v>
      </c>
      <c r="B40" s="17" t="s">
        <v>34</v>
      </c>
      <c r="C40" s="17" t="s">
        <v>35</v>
      </c>
      <c r="D40" s="17" t="s">
        <v>5</v>
      </c>
      <c r="E40" s="18">
        <f t="shared" si="0"/>
        <v>1671.4</v>
      </c>
      <c r="F40" s="18">
        <v>835.7</v>
      </c>
      <c r="G40" s="18">
        <v>835.7</v>
      </c>
      <c r="H40" s="18">
        <v>835.7</v>
      </c>
    </row>
    <row r="41" spans="1:8" ht="15" x14ac:dyDescent="0.25">
      <c r="A41" s="17">
        <v>43711</v>
      </c>
      <c r="B41" s="17" t="s">
        <v>36</v>
      </c>
      <c r="C41" s="17" t="s">
        <v>4</v>
      </c>
      <c r="D41" s="17" t="s">
        <v>2</v>
      </c>
      <c r="E41" s="18">
        <f t="shared" si="0"/>
        <v>277635.28000000003</v>
      </c>
      <c r="F41" s="18">
        <v>138817.64000000001</v>
      </c>
      <c r="G41" s="18">
        <v>138817.64000000001</v>
      </c>
      <c r="H41" s="18">
        <v>138817.64000000001</v>
      </c>
    </row>
    <row r="42" spans="1:8" ht="15" x14ac:dyDescent="0.25">
      <c r="A42" s="17">
        <v>43737</v>
      </c>
      <c r="B42" s="17" t="s">
        <v>37</v>
      </c>
      <c r="C42" s="17" t="s">
        <v>38</v>
      </c>
      <c r="D42" s="17" t="s">
        <v>2</v>
      </c>
      <c r="E42" s="18">
        <f t="shared" si="0"/>
        <v>77570.98</v>
      </c>
      <c r="F42" s="18">
        <v>38785.49</v>
      </c>
      <c r="G42" s="18">
        <v>38785.49</v>
      </c>
      <c r="H42" s="18">
        <v>38785.49</v>
      </c>
    </row>
    <row r="43" spans="1:8" ht="15" x14ac:dyDescent="0.25">
      <c r="A43" s="17">
        <v>43745</v>
      </c>
      <c r="B43" s="17" t="s">
        <v>39</v>
      </c>
      <c r="C43" s="17" t="s">
        <v>40</v>
      </c>
      <c r="D43" s="17" t="s">
        <v>2</v>
      </c>
      <c r="E43" s="18">
        <f t="shared" si="0"/>
        <v>181859.56</v>
      </c>
      <c r="F43" s="18">
        <v>90929.78</v>
      </c>
      <c r="G43" s="18">
        <v>90929.78</v>
      </c>
      <c r="H43" s="18">
        <v>90929.78</v>
      </c>
    </row>
    <row r="44" spans="1:8" ht="15" x14ac:dyDescent="0.25">
      <c r="A44" s="17">
        <v>43760</v>
      </c>
      <c r="B44" s="17" t="s">
        <v>41</v>
      </c>
      <c r="C44" s="17" t="s">
        <v>42</v>
      </c>
      <c r="D44" s="17" t="s">
        <v>2</v>
      </c>
      <c r="E44" s="18">
        <f t="shared" si="0"/>
        <v>98947.74</v>
      </c>
      <c r="F44" s="18">
        <v>49473.87</v>
      </c>
      <c r="G44" s="18">
        <v>49473.87</v>
      </c>
      <c r="H44" s="18">
        <v>49473.87</v>
      </c>
    </row>
    <row r="45" spans="1:8" ht="15" x14ac:dyDescent="0.25">
      <c r="A45" s="17">
        <v>43778</v>
      </c>
      <c r="B45" s="17" t="s">
        <v>43</v>
      </c>
      <c r="C45" s="17" t="s">
        <v>44</v>
      </c>
      <c r="D45" s="17" t="s">
        <v>33</v>
      </c>
      <c r="E45" s="18">
        <f t="shared" si="0"/>
        <v>7615.86</v>
      </c>
      <c r="F45" s="18">
        <v>3807.93</v>
      </c>
      <c r="G45" s="18">
        <v>3807.93</v>
      </c>
      <c r="H45" s="18">
        <v>3807.93</v>
      </c>
    </row>
    <row r="46" spans="1:8" ht="15" x14ac:dyDescent="0.25">
      <c r="A46" s="17">
        <v>43786</v>
      </c>
      <c r="B46" s="17" t="s">
        <v>45</v>
      </c>
      <c r="C46" s="17" t="s">
        <v>14</v>
      </c>
      <c r="D46" s="17" t="s">
        <v>2</v>
      </c>
      <c r="E46" s="18">
        <f t="shared" si="0"/>
        <v>256271.32</v>
      </c>
      <c r="F46" s="18">
        <v>128135.66</v>
      </c>
      <c r="G46" s="18">
        <v>128135.66</v>
      </c>
      <c r="H46" s="18">
        <v>128135.66</v>
      </c>
    </row>
    <row r="47" spans="1:8" ht="15" x14ac:dyDescent="0.25">
      <c r="A47" s="17">
        <v>43794</v>
      </c>
      <c r="B47" s="17" t="s">
        <v>46</v>
      </c>
      <c r="C47" s="17" t="s">
        <v>14</v>
      </c>
      <c r="D47" s="17" t="s">
        <v>2</v>
      </c>
      <c r="E47" s="18">
        <f t="shared" si="0"/>
        <v>92379.06</v>
      </c>
      <c r="F47" s="18">
        <v>46189.53</v>
      </c>
      <c r="G47" s="18">
        <v>46189.53</v>
      </c>
      <c r="H47" s="18">
        <v>46189.53</v>
      </c>
    </row>
    <row r="48" spans="1:8" ht="15" x14ac:dyDescent="0.25">
      <c r="A48" s="17">
        <v>43802</v>
      </c>
      <c r="B48" s="17" t="s">
        <v>47</v>
      </c>
      <c r="C48" s="17" t="s">
        <v>48</v>
      </c>
      <c r="D48" s="17" t="s">
        <v>2</v>
      </c>
      <c r="E48" s="18">
        <f t="shared" si="0"/>
        <v>341715.20000000001</v>
      </c>
      <c r="F48" s="18">
        <v>170857.60000000001</v>
      </c>
      <c r="G48" s="18">
        <v>170857.60000000001</v>
      </c>
      <c r="H48" s="18">
        <v>170857.60000000001</v>
      </c>
    </row>
    <row r="49" spans="1:8" x14ac:dyDescent="0.3">
      <c r="A49" s="17">
        <v>43810</v>
      </c>
      <c r="B49" s="17" t="s">
        <v>49</v>
      </c>
      <c r="C49" s="17" t="s">
        <v>9</v>
      </c>
      <c r="D49" s="17" t="s">
        <v>33</v>
      </c>
      <c r="E49" s="18">
        <f t="shared" si="0"/>
        <v>8709.1200000000008</v>
      </c>
      <c r="F49" s="18">
        <v>4354.5600000000004</v>
      </c>
      <c r="G49" s="18">
        <v>4354.5600000000004</v>
      </c>
      <c r="H49" s="18">
        <v>4354.5600000000004</v>
      </c>
    </row>
    <row r="50" spans="1:8" x14ac:dyDescent="0.3">
      <c r="A50" s="17">
        <v>43810</v>
      </c>
      <c r="B50" s="17" t="s">
        <v>49</v>
      </c>
      <c r="C50" s="17" t="s">
        <v>9</v>
      </c>
      <c r="D50" s="17" t="s">
        <v>2</v>
      </c>
      <c r="E50" s="18">
        <f t="shared" si="0"/>
        <v>26127.34</v>
      </c>
      <c r="F50" s="18">
        <v>13063.67</v>
      </c>
      <c r="G50" s="18">
        <v>13063.67</v>
      </c>
      <c r="H50" s="18">
        <v>13063.67</v>
      </c>
    </row>
    <row r="51" spans="1:8" x14ac:dyDescent="0.3">
      <c r="A51" s="17">
        <v>43828</v>
      </c>
      <c r="B51" s="17" t="s">
        <v>50</v>
      </c>
      <c r="C51" s="17" t="s">
        <v>51</v>
      </c>
      <c r="D51" s="17" t="s">
        <v>2</v>
      </c>
      <c r="E51" s="18">
        <f t="shared" si="0"/>
        <v>19225.240000000002</v>
      </c>
      <c r="F51" s="18">
        <v>9612.6200000000008</v>
      </c>
      <c r="G51" s="18">
        <v>9612.6200000000008</v>
      </c>
      <c r="H51" s="18">
        <v>9612.6200000000008</v>
      </c>
    </row>
    <row r="52" spans="1:8" x14ac:dyDescent="0.3">
      <c r="A52" s="17">
        <v>43844</v>
      </c>
      <c r="B52" s="17" t="s">
        <v>52</v>
      </c>
      <c r="C52" s="17" t="s">
        <v>38</v>
      </c>
      <c r="D52" s="17" t="s">
        <v>2</v>
      </c>
      <c r="E52" s="18">
        <f t="shared" si="0"/>
        <v>217134.06</v>
      </c>
      <c r="F52" s="18">
        <v>108567.03</v>
      </c>
      <c r="G52" s="18">
        <v>108567.03</v>
      </c>
      <c r="H52" s="18">
        <v>108567.03</v>
      </c>
    </row>
    <row r="53" spans="1:8" x14ac:dyDescent="0.3">
      <c r="A53" s="17">
        <v>43851</v>
      </c>
      <c r="B53" s="17" t="s">
        <v>53</v>
      </c>
      <c r="C53" s="17" t="s">
        <v>54</v>
      </c>
      <c r="D53" s="17" t="s">
        <v>2</v>
      </c>
      <c r="E53" s="18">
        <f t="shared" si="0"/>
        <v>15919.64</v>
      </c>
      <c r="F53" s="18">
        <v>7959.82</v>
      </c>
      <c r="G53" s="18">
        <v>7959.82</v>
      </c>
      <c r="H53" s="18">
        <v>7959.82</v>
      </c>
    </row>
    <row r="54" spans="1:8" x14ac:dyDescent="0.3">
      <c r="A54" s="17">
        <v>43877</v>
      </c>
      <c r="B54" s="17" t="s">
        <v>55</v>
      </c>
      <c r="C54" s="17" t="s">
        <v>56</v>
      </c>
      <c r="D54" s="17" t="s">
        <v>2</v>
      </c>
      <c r="E54" s="18">
        <f t="shared" si="0"/>
        <v>139361.20000000001</v>
      </c>
      <c r="F54" s="18">
        <v>69680.600000000006</v>
      </c>
      <c r="G54" s="18">
        <v>69680.600000000006</v>
      </c>
      <c r="H54" s="18">
        <v>69680.600000000006</v>
      </c>
    </row>
    <row r="55" spans="1:8" x14ac:dyDescent="0.3">
      <c r="A55" s="17">
        <v>43885</v>
      </c>
      <c r="B55" s="17" t="s">
        <v>57</v>
      </c>
      <c r="C55" s="17" t="s">
        <v>58</v>
      </c>
      <c r="D55" s="17" t="s">
        <v>2</v>
      </c>
      <c r="E55" s="18">
        <f t="shared" si="0"/>
        <v>41886.82</v>
      </c>
      <c r="F55" s="18">
        <v>20943.41</v>
      </c>
      <c r="G55" s="18">
        <v>20943.41</v>
      </c>
      <c r="H55" s="18">
        <v>20943.41</v>
      </c>
    </row>
    <row r="56" spans="1:8" x14ac:dyDescent="0.3">
      <c r="A56" s="17">
        <v>43893</v>
      </c>
      <c r="B56" s="17" t="s">
        <v>59</v>
      </c>
      <c r="C56" s="17" t="s">
        <v>44</v>
      </c>
      <c r="D56" s="17" t="s">
        <v>2</v>
      </c>
      <c r="E56" s="18">
        <f t="shared" si="0"/>
        <v>19037.66</v>
      </c>
      <c r="F56" s="18">
        <v>9518.83</v>
      </c>
      <c r="G56" s="18">
        <v>9518.83</v>
      </c>
      <c r="H56" s="18">
        <v>9518.83</v>
      </c>
    </row>
    <row r="57" spans="1:8" x14ac:dyDescent="0.3">
      <c r="A57" s="17">
        <v>43901</v>
      </c>
      <c r="B57" s="17" t="s">
        <v>60</v>
      </c>
      <c r="C57" s="17" t="s">
        <v>14</v>
      </c>
      <c r="D57" s="17" t="s">
        <v>33</v>
      </c>
      <c r="E57" s="18">
        <f t="shared" si="0"/>
        <v>6319.88</v>
      </c>
      <c r="F57" s="18">
        <v>3159.94</v>
      </c>
      <c r="G57" s="18">
        <v>3159.94</v>
      </c>
      <c r="H57" s="18">
        <v>3159.94</v>
      </c>
    </row>
    <row r="58" spans="1:8" x14ac:dyDescent="0.3">
      <c r="A58" s="17">
        <v>43919</v>
      </c>
      <c r="B58" s="17" t="s">
        <v>61</v>
      </c>
      <c r="C58" s="17" t="s">
        <v>62</v>
      </c>
      <c r="D58" s="17" t="s">
        <v>2</v>
      </c>
      <c r="E58" s="18">
        <f t="shared" si="0"/>
        <v>6134.06</v>
      </c>
      <c r="F58" s="18">
        <v>3067.03</v>
      </c>
      <c r="G58" s="18">
        <v>3067.03</v>
      </c>
      <c r="H58" s="18">
        <v>3067.03</v>
      </c>
    </row>
    <row r="59" spans="1:8" x14ac:dyDescent="0.3">
      <c r="A59" s="17">
        <v>43927</v>
      </c>
      <c r="B59" s="17" t="s">
        <v>63</v>
      </c>
      <c r="C59" s="17" t="s">
        <v>62</v>
      </c>
      <c r="D59" s="17" t="s">
        <v>33</v>
      </c>
      <c r="E59" s="18">
        <f t="shared" si="0"/>
        <v>2609.92</v>
      </c>
      <c r="F59" s="18">
        <v>1304.96</v>
      </c>
      <c r="G59" s="18">
        <v>1304.96</v>
      </c>
      <c r="H59" s="18">
        <v>1304.96</v>
      </c>
    </row>
    <row r="60" spans="1:8" x14ac:dyDescent="0.3">
      <c r="A60" s="17">
        <v>43927</v>
      </c>
      <c r="B60" s="17" t="s">
        <v>63</v>
      </c>
      <c r="C60" s="17" t="s">
        <v>62</v>
      </c>
      <c r="D60" s="17" t="s">
        <v>2</v>
      </c>
      <c r="E60" s="18">
        <f t="shared" si="0"/>
        <v>26621.119999999999</v>
      </c>
      <c r="F60" s="18">
        <v>13310.56</v>
      </c>
      <c r="G60" s="18">
        <v>13310.56</v>
      </c>
      <c r="H60" s="18">
        <v>13310.56</v>
      </c>
    </row>
    <row r="61" spans="1:8" x14ac:dyDescent="0.3">
      <c r="A61" s="17">
        <v>43950</v>
      </c>
      <c r="B61" s="17" t="s">
        <v>64</v>
      </c>
      <c r="C61" s="17" t="s">
        <v>14</v>
      </c>
      <c r="D61" s="17" t="s">
        <v>2</v>
      </c>
      <c r="E61" s="18">
        <f t="shared" si="0"/>
        <v>141199.64000000001</v>
      </c>
      <c r="F61" s="18">
        <v>70599.820000000007</v>
      </c>
      <c r="G61" s="18">
        <v>70599.820000000007</v>
      </c>
      <c r="H61" s="18">
        <v>70599.820000000007</v>
      </c>
    </row>
    <row r="62" spans="1:8" x14ac:dyDescent="0.3">
      <c r="A62" s="17">
        <v>43992</v>
      </c>
      <c r="B62" s="17" t="s">
        <v>65</v>
      </c>
      <c r="C62" s="17" t="s">
        <v>66</v>
      </c>
      <c r="D62" s="17" t="s">
        <v>2</v>
      </c>
      <c r="E62" s="18">
        <f t="shared" si="0"/>
        <v>55499.5</v>
      </c>
      <c r="F62" s="18">
        <v>27749.75</v>
      </c>
      <c r="G62" s="18">
        <v>27749.75</v>
      </c>
      <c r="H62" s="18">
        <v>27749.75</v>
      </c>
    </row>
    <row r="63" spans="1:8" x14ac:dyDescent="0.3">
      <c r="A63" s="17">
        <v>44008</v>
      </c>
      <c r="B63" s="17" t="s">
        <v>67</v>
      </c>
      <c r="C63" s="17" t="s">
        <v>68</v>
      </c>
      <c r="D63" s="17" t="s">
        <v>2</v>
      </c>
      <c r="E63" s="18">
        <f t="shared" si="0"/>
        <v>56886.42</v>
      </c>
      <c r="F63" s="18">
        <v>28443.21</v>
      </c>
      <c r="G63" s="18">
        <v>28443.21</v>
      </c>
      <c r="H63" s="18">
        <v>28443.21</v>
      </c>
    </row>
    <row r="64" spans="1:8" x14ac:dyDescent="0.3">
      <c r="A64" s="17">
        <v>44016</v>
      </c>
      <c r="B64" s="17" t="s">
        <v>69</v>
      </c>
      <c r="C64" s="17" t="s">
        <v>70</v>
      </c>
      <c r="D64" s="17" t="s">
        <v>2</v>
      </c>
      <c r="E64" s="18">
        <f t="shared" si="0"/>
        <v>95688.88</v>
      </c>
      <c r="F64" s="18">
        <v>47844.44</v>
      </c>
      <c r="G64" s="18">
        <v>47844.44</v>
      </c>
      <c r="H64" s="18">
        <v>47844.44</v>
      </c>
    </row>
    <row r="65" spans="1:8" x14ac:dyDescent="0.3">
      <c r="A65" s="17">
        <v>44040</v>
      </c>
      <c r="B65" s="17" t="s">
        <v>71</v>
      </c>
      <c r="C65" s="17" t="s">
        <v>14</v>
      </c>
      <c r="D65" s="17" t="s">
        <v>2</v>
      </c>
      <c r="E65" s="18">
        <f t="shared" si="0"/>
        <v>33983.14</v>
      </c>
      <c r="F65" s="18">
        <v>16991.57</v>
      </c>
      <c r="G65" s="18">
        <v>16991.57</v>
      </c>
      <c r="H65" s="18">
        <v>16991.57</v>
      </c>
    </row>
    <row r="66" spans="1:8" x14ac:dyDescent="0.3">
      <c r="A66" s="17">
        <v>44057</v>
      </c>
      <c r="B66" s="17" t="s">
        <v>72</v>
      </c>
      <c r="C66" s="17" t="s">
        <v>9</v>
      </c>
      <c r="D66" s="17" t="s">
        <v>2</v>
      </c>
      <c r="E66" s="18">
        <f t="shared" si="0"/>
        <v>10304.620000000001</v>
      </c>
      <c r="F66" s="18">
        <v>5152.3100000000004</v>
      </c>
      <c r="G66" s="18">
        <v>5152.3100000000004</v>
      </c>
      <c r="H66" s="18">
        <v>5152.3100000000004</v>
      </c>
    </row>
    <row r="67" spans="1:8" x14ac:dyDescent="0.3">
      <c r="A67" s="17">
        <v>44065</v>
      </c>
      <c r="B67" s="17" t="s">
        <v>73</v>
      </c>
      <c r="C67" s="17" t="s">
        <v>74</v>
      </c>
      <c r="D67" s="17" t="s">
        <v>2</v>
      </c>
      <c r="E67" s="18">
        <f t="shared" si="0"/>
        <v>10123.379999999999</v>
      </c>
      <c r="F67" s="18">
        <v>5061.6899999999996</v>
      </c>
      <c r="G67" s="18">
        <v>5061.6899999999996</v>
      </c>
      <c r="H67" s="18">
        <v>5061.6899999999996</v>
      </c>
    </row>
    <row r="68" spans="1:8" x14ac:dyDescent="0.3">
      <c r="A68" s="17">
        <v>44081</v>
      </c>
      <c r="B68" s="17" t="s">
        <v>75</v>
      </c>
      <c r="C68" s="17" t="s">
        <v>54</v>
      </c>
      <c r="D68" s="17" t="s">
        <v>2</v>
      </c>
      <c r="E68" s="18">
        <f t="shared" si="0"/>
        <v>44960.9</v>
      </c>
      <c r="F68" s="18">
        <v>22480.45</v>
      </c>
      <c r="G68" s="18">
        <v>22480.45</v>
      </c>
      <c r="H68" s="18">
        <v>22480.45</v>
      </c>
    </row>
    <row r="69" spans="1:8" x14ac:dyDescent="0.3">
      <c r="A69" s="17">
        <v>44099</v>
      </c>
      <c r="B69" s="17" t="s">
        <v>76</v>
      </c>
      <c r="C69" s="17" t="s">
        <v>77</v>
      </c>
      <c r="D69" s="17" t="s">
        <v>2</v>
      </c>
      <c r="E69" s="18">
        <f t="shared" si="0"/>
        <v>83709.2</v>
      </c>
      <c r="F69" s="18">
        <v>41854.6</v>
      </c>
      <c r="G69" s="18">
        <v>41854.6</v>
      </c>
      <c r="H69" s="18">
        <v>41854.6</v>
      </c>
    </row>
    <row r="70" spans="1:8" x14ac:dyDescent="0.3">
      <c r="A70" s="17">
        <v>44107</v>
      </c>
      <c r="B70" s="17" t="s">
        <v>78</v>
      </c>
      <c r="C70" s="17" t="s">
        <v>79</v>
      </c>
      <c r="D70" s="17" t="s">
        <v>2</v>
      </c>
      <c r="E70" s="18">
        <f t="shared" si="0"/>
        <v>146061.76000000001</v>
      </c>
      <c r="F70" s="18">
        <v>73030.880000000005</v>
      </c>
      <c r="G70" s="18">
        <v>73030.880000000005</v>
      </c>
      <c r="H70" s="18">
        <v>73030.880000000005</v>
      </c>
    </row>
    <row r="71" spans="1:8" x14ac:dyDescent="0.3">
      <c r="A71" s="17">
        <v>44115</v>
      </c>
      <c r="B71" s="17" t="s">
        <v>80</v>
      </c>
      <c r="C71" s="17" t="s">
        <v>81</v>
      </c>
      <c r="D71" s="17" t="s">
        <v>2</v>
      </c>
      <c r="E71" s="18">
        <f t="shared" si="0"/>
        <v>29779.72</v>
      </c>
      <c r="F71" s="18">
        <v>14889.86</v>
      </c>
      <c r="G71" s="18">
        <v>14889.86</v>
      </c>
      <c r="H71" s="18">
        <v>14889.86</v>
      </c>
    </row>
    <row r="72" spans="1:8" x14ac:dyDescent="0.3">
      <c r="A72" s="17">
        <v>44123</v>
      </c>
      <c r="B72" s="17" t="s">
        <v>82</v>
      </c>
      <c r="C72" s="17" t="s">
        <v>83</v>
      </c>
      <c r="D72" s="17" t="s">
        <v>33</v>
      </c>
      <c r="E72" s="18">
        <f t="shared" si="0"/>
        <v>10148.799999999999</v>
      </c>
      <c r="F72" s="18">
        <v>5074.3999999999996</v>
      </c>
      <c r="G72" s="18">
        <v>5074.3999999999996</v>
      </c>
      <c r="H72" s="18">
        <v>5074.3999999999996</v>
      </c>
    </row>
    <row r="73" spans="1:8" x14ac:dyDescent="0.3">
      <c r="A73" s="17">
        <v>44131</v>
      </c>
      <c r="B73" s="17" t="s">
        <v>84</v>
      </c>
      <c r="C73" s="17" t="s">
        <v>85</v>
      </c>
      <c r="D73" s="17" t="s">
        <v>86</v>
      </c>
      <c r="E73" s="18">
        <f t="shared" si="0"/>
        <v>1805.56</v>
      </c>
      <c r="F73" s="18">
        <v>902.78</v>
      </c>
      <c r="G73" s="18">
        <v>902.78</v>
      </c>
      <c r="H73" s="18">
        <v>902.78</v>
      </c>
    </row>
    <row r="74" spans="1:8" x14ac:dyDescent="0.3">
      <c r="A74" s="17">
        <v>44131</v>
      </c>
      <c r="B74" s="17" t="s">
        <v>84</v>
      </c>
      <c r="C74" s="17" t="s">
        <v>85</v>
      </c>
      <c r="D74" s="17" t="s">
        <v>2</v>
      </c>
      <c r="E74" s="18">
        <f t="shared" si="0"/>
        <v>54166.7</v>
      </c>
      <c r="F74" s="18">
        <v>27083.35</v>
      </c>
      <c r="G74" s="18">
        <v>27083.35</v>
      </c>
      <c r="H74" s="18">
        <v>27083.35</v>
      </c>
    </row>
    <row r="75" spans="1:8" x14ac:dyDescent="0.3">
      <c r="A75" s="17">
        <v>44156</v>
      </c>
      <c r="B75" s="17" t="s">
        <v>87</v>
      </c>
      <c r="C75" s="17" t="s">
        <v>88</v>
      </c>
      <c r="D75" s="17" t="s">
        <v>2</v>
      </c>
      <c r="E75" s="18">
        <f t="shared" si="0"/>
        <v>63543.519999999997</v>
      </c>
      <c r="F75" s="18">
        <v>31771.759999999998</v>
      </c>
      <c r="G75" s="18">
        <v>31771.759999999998</v>
      </c>
      <c r="H75" s="18">
        <v>31771.759999999998</v>
      </c>
    </row>
    <row r="76" spans="1:8" x14ac:dyDescent="0.3">
      <c r="A76" s="17">
        <v>44180</v>
      </c>
      <c r="B76" s="17" t="s">
        <v>89</v>
      </c>
      <c r="C76" s="17" t="s">
        <v>38</v>
      </c>
      <c r="D76" s="17" t="s">
        <v>2</v>
      </c>
      <c r="E76" s="18">
        <f t="shared" si="0"/>
        <v>70536.820000000007</v>
      </c>
      <c r="F76" s="18">
        <v>35268.410000000003</v>
      </c>
      <c r="G76" s="18">
        <v>35268.410000000003</v>
      </c>
      <c r="H76" s="18">
        <v>35268.410000000003</v>
      </c>
    </row>
    <row r="77" spans="1:8" x14ac:dyDescent="0.3">
      <c r="A77" s="17">
        <v>44214</v>
      </c>
      <c r="B77" s="17" t="s">
        <v>90</v>
      </c>
      <c r="C77" s="17" t="s">
        <v>68</v>
      </c>
      <c r="D77" s="17" t="s">
        <v>2</v>
      </c>
      <c r="E77" s="18">
        <f t="shared" si="0"/>
        <v>61726.04</v>
      </c>
      <c r="F77" s="18">
        <v>30863.02</v>
      </c>
      <c r="G77" s="18">
        <v>30863.02</v>
      </c>
      <c r="H77" s="18">
        <v>30863.02</v>
      </c>
    </row>
    <row r="78" spans="1:8" x14ac:dyDescent="0.3">
      <c r="A78" s="17">
        <v>44222</v>
      </c>
      <c r="B78" s="17" t="s">
        <v>91</v>
      </c>
      <c r="C78" s="17" t="s">
        <v>58</v>
      </c>
      <c r="D78" s="17" t="s">
        <v>33</v>
      </c>
      <c r="E78" s="18">
        <f t="shared" si="0"/>
        <v>14771.12</v>
      </c>
      <c r="F78" s="18">
        <v>7385.56</v>
      </c>
      <c r="G78" s="18">
        <v>7385.56</v>
      </c>
      <c r="H78" s="18">
        <v>7385.56</v>
      </c>
    </row>
    <row r="79" spans="1:8" x14ac:dyDescent="0.3">
      <c r="A79" s="17">
        <v>44248</v>
      </c>
      <c r="B79" s="17" t="s">
        <v>92</v>
      </c>
      <c r="C79" s="17" t="s">
        <v>93</v>
      </c>
      <c r="D79" s="17" t="s">
        <v>2</v>
      </c>
      <c r="E79" s="18">
        <f t="shared" si="0"/>
        <v>45607.94</v>
      </c>
      <c r="F79" s="18">
        <v>22803.97</v>
      </c>
      <c r="G79" s="18">
        <v>22803.97</v>
      </c>
      <c r="H79" s="18">
        <v>22803.97</v>
      </c>
    </row>
    <row r="80" spans="1:8" x14ac:dyDescent="0.3">
      <c r="A80" s="17">
        <v>44263</v>
      </c>
      <c r="B80" s="17" t="s">
        <v>94</v>
      </c>
      <c r="C80" s="17" t="s">
        <v>95</v>
      </c>
      <c r="D80" s="17" t="s">
        <v>33</v>
      </c>
      <c r="E80" s="18">
        <f t="shared" si="0"/>
        <v>26203.62</v>
      </c>
      <c r="F80" s="18">
        <v>13101.81</v>
      </c>
      <c r="G80" s="18">
        <v>13101.81</v>
      </c>
      <c r="H80" s="18">
        <v>13101.81</v>
      </c>
    </row>
    <row r="81" spans="1:8" x14ac:dyDescent="0.3">
      <c r="A81" s="17">
        <v>44271</v>
      </c>
      <c r="B81" s="17" t="s">
        <v>96</v>
      </c>
      <c r="C81" s="17" t="s">
        <v>54</v>
      </c>
      <c r="D81" s="17" t="s">
        <v>2</v>
      </c>
      <c r="E81" s="18">
        <f t="shared" si="0"/>
        <v>55466.7</v>
      </c>
      <c r="F81" s="18">
        <v>27733.35</v>
      </c>
      <c r="G81" s="18">
        <v>27733.35</v>
      </c>
      <c r="H81" s="18">
        <v>27733.35</v>
      </c>
    </row>
    <row r="82" spans="1:8" x14ac:dyDescent="0.3">
      <c r="A82" s="17">
        <v>44297</v>
      </c>
      <c r="B82" s="17" t="s">
        <v>97</v>
      </c>
      <c r="C82" s="17" t="s">
        <v>98</v>
      </c>
      <c r="D82" s="17" t="s">
        <v>33</v>
      </c>
      <c r="E82" s="18">
        <f t="shared" si="0"/>
        <v>25294.44</v>
      </c>
      <c r="F82" s="18">
        <v>12647.22</v>
      </c>
      <c r="G82" s="18">
        <v>12647.22</v>
      </c>
      <c r="H82" s="18">
        <v>12647.22</v>
      </c>
    </row>
    <row r="83" spans="1:8" x14ac:dyDescent="0.3">
      <c r="A83" s="17">
        <v>44297</v>
      </c>
      <c r="B83" s="17" t="s">
        <v>97</v>
      </c>
      <c r="C83" s="17" t="s">
        <v>98</v>
      </c>
      <c r="D83" s="17" t="s">
        <v>2</v>
      </c>
      <c r="E83" s="18">
        <f t="shared" si="0"/>
        <v>151766.62</v>
      </c>
      <c r="F83" s="18">
        <v>75883.31</v>
      </c>
      <c r="G83" s="18">
        <v>75883.31</v>
      </c>
      <c r="H83" s="18">
        <v>75883.31</v>
      </c>
    </row>
    <row r="84" spans="1:8" x14ac:dyDescent="0.3">
      <c r="A84" s="17">
        <v>44305</v>
      </c>
      <c r="B84" s="17" t="s">
        <v>99</v>
      </c>
      <c r="C84" s="17" t="s">
        <v>14</v>
      </c>
      <c r="D84" s="17" t="s">
        <v>2</v>
      </c>
      <c r="E84" s="18">
        <f t="shared" si="0"/>
        <v>38478.400000000001</v>
      </c>
      <c r="F84" s="18">
        <v>19239.2</v>
      </c>
      <c r="G84" s="18">
        <v>19239.2</v>
      </c>
      <c r="H84" s="18">
        <v>19239.2</v>
      </c>
    </row>
    <row r="85" spans="1:8" x14ac:dyDescent="0.3">
      <c r="A85" s="17">
        <v>44339</v>
      </c>
      <c r="B85" s="17" t="s">
        <v>100</v>
      </c>
      <c r="C85" s="17" t="s">
        <v>101</v>
      </c>
      <c r="D85" s="17" t="s">
        <v>33</v>
      </c>
      <c r="E85" s="18">
        <f t="shared" ref="E85:E148" si="1">F85+H85</f>
        <v>14998.9</v>
      </c>
      <c r="F85" s="18">
        <v>7499.45</v>
      </c>
      <c r="G85" s="18">
        <v>7499.45</v>
      </c>
      <c r="H85" s="18">
        <v>7499.45</v>
      </c>
    </row>
    <row r="86" spans="1:8" x14ac:dyDescent="0.3">
      <c r="A86" s="17">
        <v>44347</v>
      </c>
      <c r="B86" s="17" t="s">
        <v>102</v>
      </c>
      <c r="C86" s="17" t="s">
        <v>17</v>
      </c>
      <c r="D86" s="17" t="s">
        <v>2</v>
      </c>
      <c r="E86" s="18">
        <f t="shared" si="1"/>
        <v>26038.5</v>
      </c>
      <c r="F86" s="18">
        <v>13019.25</v>
      </c>
      <c r="G86" s="18">
        <v>13019.25</v>
      </c>
      <c r="H86" s="18">
        <v>13019.25</v>
      </c>
    </row>
    <row r="87" spans="1:8" x14ac:dyDescent="0.3">
      <c r="A87" s="17">
        <v>44354</v>
      </c>
      <c r="B87" s="17" t="s">
        <v>103</v>
      </c>
      <c r="C87" s="17" t="s">
        <v>4</v>
      </c>
      <c r="D87" s="17" t="s">
        <v>33</v>
      </c>
      <c r="E87" s="18">
        <f t="shared" si="1"/>
        <v>22324.06</v>
      </c>
      <c r="F87" s="18">
        <v>11162.03</v>
      </c>
      <c r="G87" s="18">
        <v>11162.03</v>
      </c>
      <c r="H87" s="18">
        <v>11162.03</v>
      </c>
    </row>
    <row r="88" spans="1:8" x14ac:dyDescent="0.3">
      <c r="A88" s="20">
        <v>44354</v>
      </c>
      <c r="B88" s="17" t="s">
        <v>103</v>
      </c>
      <c r="C88" s="17" t="s">
        <v>4</v>
      </c>
      <c r="D88" s="21" t="s">
        <v>2</v>
      </c>
      <c r="E88" s="18">
        <f t="shared" si="1"/>
        <v>51652.800000000003</v>
      </c>
      <c r="F88" s="18">
        <v>0</v>
      </c>
      <c r="G88" s="18">
        <v>0</v>
      </c>
      <c r="H88" s="18">
        <v>51652.800000000003</v>
      </c>
    </row>
    <row r="89" spans="1:8" x14ac:dyDescent="0.3">
      <c r="A89" s="17">
        <v>44362</v>
      </c>
      <c r="B89" s="17" t="s">
        <v>104</v>
      </c>
      <c r="C89" s="17" t="s">
        <v>105</v>
      </c>
      <c r="D89" s="17" t="s">
        <v>2</v>
      </c>
      <c r="E89" s="18">
        <f t="shared" si="1"/>
        <v>41407.68</v>
      </c>
      <c r="F89" s="18">
        <v>20703.84</v>
      </c>
      <c r="G89" s="18">
        <v>20703.84</v>
      </c>
      <c r="H89" s="18">
        <v>20703.84</v>
      </c>
    </row>
    <row r="90" spans="1:8" s="15" customFormat="1" x14ac:dyDescent="0.3">
      <c r="A90" s="17">
        <v>44370</v>
      </c>
      <c r="B90" s="17" t="s">
        <v>106</v>
      </c>
      <c r="C90" s="17" t="s">
        <v>14</v>
      </c>
      <c r="D90" s="17" t="s">
        <v>2</v>
      </c>
      <c r="E90" s="18">
        <f t="shared" si="1"/>
        <v>45846.3</v>
      </c>
      <c r="F90" s="18">
        <v>22923.15</v>
      </c>
      <c r="G90" s="18">
        <v>22923.15</v>
      </c>
      <c r="H90" s="18">
        <v>22923.15</v>
      </c>
    </row>
    <row r="91" spans="1:8" x14ac:dyDescent="0.3">
      <c r="A91" s="17">
        <v>44388</v>
      </c>
      <c r="B91" s="17" t="s">
        <v>107</v>
      </c>
      <c r="C91" s="17" t="s">
        <v>28</v>
      </c>
      <c r="D91" s="17" t="s">
        <v>2</v>
      </c>
      <c r="E91" s="18">
        <f t="shared" si="1"/>
        <v>58064.14</v>
      </c>
      <c r="F91" s="18">
        <v>58064.14</v>
      </c>
      <c r="G91" s="18">
        <v>58064.14</v>
      </c>
      <c r="H91" s="18">
        <v>0</v>
      </c>
    </row>
    <row r="92" spans="1:8" x14ac:dyDescent="0.3">
      <c r="A92" s="17">
        <v>44396</v>
      </c>
      <c r="B92" s="17" t="s">
        <v>108</v>
      </c>
      <c r="C92" s="17" t="s">
        <v>38</v>
      </c>
      <c r="D92" s="17" t="s">
        <v>2</v>
      </c>
      <c r="E92" s="18">
        <f t="shared" si="1"/>
        <v>326103.90000000002</v>
      </c>
      <c r="F92" s="18">
        <v>163051.95000000001</v>
      </c>
      <c r="G92" s="18">
        <v>163051.95000000001</v>
      </c>
      <c r="H92" s="18">
        <v>163051.95000000001</v>
      </c>
    </row>
    <row r="93" spans="1:8" s="16" customFormat="1" x14ac:dyDescent="0.3">
      <c r="A93" s="17">
        <v>44404</v>
      </c>
      <c r="B93" s="17" t="s">
        <v>109</v>
      </c>
      <c r="C93" s="17" t="s">
        <v>79</v>
      </c>
      <c r="D93" s="17" t="s">
        <v>2</v>
      </c>
      <c r="E93" s="18">
        <f t="shared" si="1"/>
        <v>43421.72</v>
      </c>
      <c r="F93" s="18">
        <v>21710.86</v>
      </c>
      <c r="G93" s="18">
        <v>21710.86</v>
      </c>
      <c r="H93" s="18">
        <v>21710.86</v>
      </c>
    </row>
    <row r="94" spans="1:8" x14ac:dyDescent="0.3">
      <c r="A94" s="17">
        <v>44420</v>
      </c>
      <c r="B94" s="17" t="s">
        <v>110</v>
      </c>
      <c r="C94" s="17" t="s">
        <v>111</v>
      </c>
      <c r="D94" s="17" t="s">
        <v>2</v>
      </c>
      <c r="E94" s="18">
        <f t="shared" si="1"/>
        <v>106754.38</v>
      </c>
      <c r="F94" s="18">
        <v>53377.19</v>
      </c>
      <c r="G94" s="18">
        <v>53377.19</v>
      </c>
      <c r="H94" s="18">
        <v>53377.19</v>
      </c>
    </row>
    <row r="95" spans="1:8" x14ac:dyDescent="0.3">
      <c r="A95" s="17">
        <v>44438</v>
      </c>
      <c r="B95" s="17" t="s">
        <v>112</v>
      </c>
      <c r="C95" s="17" t="s">
        <v>113</v>
      </c>
      <c r="D95" s="17" t="s">
        <v>2</v>
      </c>
      <c r="E95" s="18">
        <f t="shared" si="1"/>
        <v>92496.52</v>
      </c>
      <c r="F95" s="18">
        <v>46248.26</v>
      </c>
      <c r="G95" s="18">
        <v>46248.26</v>
      </c>
      <c r="H95" s="18">
        <v>46248.26</v>
      </c>
    </row>
    <row r="96" spans="1:8" x14ac:dyDescent="0.3">
      <c r="A96" s="17">
        <v>44446</v>
      </c>
      <c r="B96" s="17" t="s">
        <v>114</v>
      </c>
      <c r="C96" s="17" t="s">
        <v>11</v>
      </c>
      <c r="D96" s="17" t="s">
        <v>115</v>
      </c>
      <c r="E96" s="18">
        <f t="shared" si="1"/>
        <v>1629.94</v>
      </c>
      <c r="F96" s="18">
        <v>814.97</v>
      </c>
      <c r="G96" s="18">
        <v>814.97</v>
      </c>
      <c r="H96" s="18">
        <v>814.97</v>
      </c>
    </row>
    <row r="97" spans="1:8" x14ac:dyDescent="0.3">
      <c r="A97" s="17">
        <v>44453</v>
      </c>
      <c r="B97" s="17" t="s">
        <v>116</v>
      </c>
      <c r="C97" s="17" t="s">
        <v>81</v>
      </c>
      <c r="D97" s="17" t="s">
        <v>2</v>
      </c>
      <c r="E97" s="18">
        <f t="shared" si="1"/>
        <v>133005.01999999999</v>
      </c>
      <c r="F97" s="18">
        <v>66502.509999999995</v>
      </c>
      <c r="G97" s="18">
        <v>66502.509999999995</v>
      </c>
      <c r="H97" s="18">
        <v>66502.509999999995</v>
      </c>
    </row>
    <row r="98" spans="1:8" x14ac:dyDescent="0.3">
      <c r="A98" s="17">
        <v>44479</v>
      </c>
      <c r="B98" s="17" t="s">
        <v>117</v>
      </c>
      <c r="C98" s="17" t="s">
        <v>118</v>
      </c>
      <c r="D98" s="17" t="s">
        <v>5</v>
      </c>
      <c r="E98" s="18">
        <f t="shared" si="1"/>
        <v>5948.02</v>
      </c>
      <c r="F98" s="18">
        <v>2974.01</v>
      </c>
      <c r="G98" s="18">
        <v>2974.01</v>
      </c>
      <c r="H98" s="18">
        <v>2974.01</v>
      </c>
    </row>
    <row r="99" spans="1:8" x14ac:dyDescent="0.3">
      <c r="A99" s="17">
        <v>44487</v>
      </c>
      <c r="B99" s="17" t="s">
        <v>119</v>
      </c>
      <c r="C99" s="17" t="s">
        <v>44</v>
      </c>
      <c r="D99" s="17" t="s">
        <v>2</v>
      </c>
      <c r="E99" s="18">
        <f t="shared" si="1"/>
        <v>26599.200000000001</v>
      </c>
      <c r="F99" s="18">
        <v>13299.6</v>
      </c>
      <c r="G99" s="18">
        <v>13299.6</v>
      </c>
      <c r="H99" s="18">
        <v>13299.6</v>
      </c>
    </row>
    <row r="100" spans="1:8" x14ac:dyDescent="0.3">
      <c r="A100" s="17">
        <v>44495</v>
      </c>
      <c r="B100" s="17" t="s">
        <v>120</v>
      </c>
      <c r="C100" s="17" t="s">
        <v>74</v>
      </c>
      <c r="D100" s="17" t="s">
        <v>33</v>
      </c>
      <c r="E100" s="18">
        <f t="shared" si="1"/>
        <v>10831.48</v>
      </c>
      <c r="F100" s="18">
        <v>5415.74</v>
      </c>
      <c r="G100" s="18">
        <v>5415.74</v>
      </c>
      <c r="H100" s="18">
        <v>5415.74</v>
      </c>
    </row>
    <row r="101" spans="1:8" x14ac:dyDescent="0.3">
      <c r="A101" s="17">
        <v>44511</v>
      </c>
      <c r="B101" s="17" t="s">
        <v>121</v>
      </c>
      <c r="C101" s="17" t="s">
        <v>54</v>
      </c>
      <c r="D101" s="17" t="s">
        <v>2</v>
      </c>
      <c r="E101" s="18">
        <f t="shared" si="1"/>
        <v>12165</v>
      </c>
      <c r="F101" s="18">
        <v>6082.5</v>
      </c>
      <c r="G101" s="18">
        <v>6082.5</v>
      </c>
      <c r="H101" s="18">
        <v>6082.5</v>
      </c>
    </row>
    <row r="102" spans="1:8" x14ac:dyDescent="0.3">
      <c r="A102" s="17">
        <v>44529</v>
      </c>
      <c r="B102" s="17" t="s">
        <v>122</v>
      </c>
      <c r="C102" s="17" t="s">
        <v>14</v>
      </c>
      <c r="D102" s="17" t="s">
        <v>2</v>
      </c>
      <c r="E102" s="18">
        <f t="shared" si="1"/>
        <v>61307.5</v>
      </c>
      <c r="F102" s="18">
        <v>30653.75</v>
      </c>
      <c r="G102" s="18">
        <v>30653.75</v>
      </c>
      <c r="H102" s="18">
        <v>30653.75</v>
      </c>
    </row>
    <row r="103" spans="1:8" x14ac:dyDescent="0.3">
      <c r="A103" s="17">
        <v>44537</v>
      </c>
      <c r="B103" s="17" t="s">
        <v>123</v>
      </c>
      <c r="C103" s="17" t="s">
        <v>95</v>
      </c>
      <c r="D103" s="17" t="s">
        <v>2</v>
      </c>
      <c r="E103" s="18">
        <f t="shared" si="1"/>
        <v>50142.46</v>
      </c>
      <c r="F103" s="18">
        <v>25071.23</v>
      </c>
      <c r="G103" s="18">
        <v>25071.23</v>
      </c>
      <c r="H103" s="18">
        <v>25071.23</v>
      </c>
    </row>
    <row r="104" spans="1:8" x14ac:dyDescent="0.3">
      <c r="A104" s="17">
        <v>44545</v>
      </c>
      <c r="B104" s="17" t="s">
        <v>124</v>
      </c>
      <c r="C104" s="17" t="s">
        <v>14</v>
      </c>
      <c r="D104" s="17" t="s">
        <v>2</v>
      </c>
      <c r="E104" s="18">
        <f t="shared" si="1"/>
        <v>19276.98</v>
      </c>
      <c r="F104" s="18">
        <v>9638.49</v>
      </c>
      <c r="G104" s="18">
        <v>9638.49</v>
      </c>
      <c r="H104" s="18">
        <v>9638.49</v>
      </c>
    </row>
    <row r="105" spans="1:8" x14ac:dyDescent="0.3">
      <c r="A105" s="17">
        <v>44552</v>
      </c>
      <c r="B105" s="17" t="s">
        <v>125</v>
      </c>
      <c r="C105" s="17" t="s">
        <v>1</v>
      </c>
      <c r="D105" s="17" t="s">
        <v>2</v>
      </c>
      <c r="E105" s="18">
        <f t="shared" si="1"/>
        <v>44916.76</v>
      </c>
      <c r="F105" s="18">
        <v>22458.38</v>
      </c>
      <c r="G105" s="18">
        <v>22458.38</v>
      </c>
      <c r="H105" s="18">
        <v>22458.38</v>
      </c>
    </row>
    <row r="106" spans="1:8" x14ac:dyDescent="0.3">
      <c r="A106" s="17">
        <v>44560</v>
      </c>
      <c r="B106" s="17" t="s">
        <v>126</v>
      </c>
      <c r="C106" s="17" t="s">
        <v>21</v>
      </c>
      <c r="D106" s="17" t="s">
        <v>2</v>
      </c>
      <c r="E106" s="18">
        <f t="shared" si="1"/>
        <v>72262.100000000006</v>
      </c>
      <c r="F106" s="18">
        <v>36131.050000000003</v>
      </c>
      <c r="G106" s="18">
        <v>36131.050000000003</v>
      </c>
      <c r="H106" s="18">
        <v>36131.050000000003</v>
      </c>
    </row>
    <row r="107" spans="1:8" x14ac:dyDescent="0.3">
      <c r="A107" s="17">
        <v>44586</v>
      </c>
      <c r="B107" s="17" t="s">
        <v>127</v>
      </c>
      <c r="C107" s="17" t="s">
        <v>38</v>
      </c>
      <c r="D107" s="17" t="s">
        <v>2</v>
      </c>
      <c r="E107" s="18">
        <f t="shared" si="1"/>
        <v>4009</v>
      </c>
      <c r="F107" s="18">
        <v>2004.5</v>
      </c>
      <c r="G107" s="18">
        <v>2004.5</v>
      </c>
      <c r="H107" s="18">
        <v>2004.5</v>
      </c>
    </row>
    <row r="108" spans="1:8" x14ac:dyDescent="0.3">
      <c r="A108" s="17">
        <v>44594</v>
      </c>
      <c r="B108" s="17" t="s">
        <v>128</v>
      </c>
      <c r="C108" s="17" t="s">
        <v>95</v>
      </c>
      <c r="D108" s="17" t="s">
        <v>129</v>
      </c>
      <c r="E108" s="18">
        <f t="shared" si="1"/>
        <v>6660.46</v>
      </c>
      <c r="F108" s="18">
        <v>3330.23</v>
      </c>
      <c r="G108" s="18">
        <v>3330.23</v>
      </c>
      <c r="H108" s="18">
        <v>3330.23</v>
      </c>
    </row>
    <row r="109" spans="1:8" x14ac:dyDescent="0.3">
      <c r="A109" s="17">
        <v>44594</v>
      </c>
      <c r="B109" s="17" t="s">
        <v>128</v>
      </c>
      <c r="C109" s="17" t="s">
        <v>95</v>
      </c>
      <c r="D109" s="17" t="s">
        <v>2</v>
      </c>
      <c r="E109" s="18">
        <f t="shared" si="1"/>
        <v>13320.94</v>
      </c>
      <c r="F109" s="18">
        <v>6660.47</v>
      </c>
      <c r="G109" s="18">
        <v>6660.47</v>
      </c>
      <c r="H109" s="18">
        <v>6660.47</v>
      </c>
    </row>
    <row r="110" spans="1:8" x14ac:dyDescent="0.3">
      <c r="A110" s="17">
        <v>44602</v>
      </c>
      <c r="B110" s="17" t="s">
        <v>130</v>
      </c>
      <c r="C110" s="17" t="s">
        <v>105</v>
      </c>
      <c r="D110" s="17" t="s">
        <v>2</v>
      </c>
      <c r="E110" s="18">
        <f t="shared" si="1"/>
        <v>192717.18</v>
      </c>
      <c r="F110" s="18">
        <v>96358.59</v>
      </c>
      <c r="G110" s="18">
        <v>96358.59</v>
      </c>
      <c r="H110" s="18">
        <v>96358.59</v>
      </c>
    </row>
    <row r="111" spans="1:8" x14ac:dyDescent="0.3">
      <c r="A111" s="17">
        <v>44610</v>
      </c>
      <c r="B111" s="17" t="s">
        <v>131</v>
      </c>
      <c r="C111" s="17" t="s">
        <v>132</v>
      </c>
      <c r="D111" s="17" t="s">
        <v>2</v>
      </c>
      <c r="E111" s="18">
        <f t="shared" si="1"/>
        <v>135747.28</v>
      </c>
      <c r="F111" s="18">
        <v>67873.64</v>
      </c>
      <c r="G111" s="18">
        <v>67873.64</v>
      </c>
      <c r="H111" s="18">
        <v>67873.64</v>
      </c>
    </row>
    <row r="112" spans="1:8" x14ac:dyDescent="0.3">
      <c r="A112" s="17">
        <v>44628</v>
      </c>
      <c r="B112" s="17" t="s">
        <v>133</v>
      </c>
      <c r="C112" s="17" t="s">
        <v>134</v>
      </c>
      <c r="D112" s="17" t="s">
        <v>2</v>
      </c>
      <c r="E112" s="18">
        <f t="shared" si="1"/>
        <v>22306.7</v>
      </c>
      <c r="F112" s="18">
        <v>11153.35</v>
      </c>
      <c r="G112" s="18">
        <v>11153.35</v>
      </c>
      <c r="H112" s="18">
        <v>11153.35</v>
      </c>
    </row>
    <row r="113" spans="1:8" x14ac:dyDescent="0.3">
      <c r="A113" s="17">
        <v>44636</v>
      </c>
      <c r="B113" s="17" t="s">
        <v>135</v>
      </c>
      <c r="C113" s="17" t="s">
        <v>14</v>
      </c>
      <c r="D113" s="17" t="s">
        <v>2</v>
      </c>
      <c r="E113" s="18">
        <f t="shared" si="1"/>
        <v>236502.22</v>
      </c>
      <c r="F113" s="18">
        <v>118251.11</v>
      </c>
      <c r="G113" s="18">
        <v>118251.11</v>
      </c>
      <c r="H113" s="18">
        <v>118251.11</v>
      </c>
    </row>
    <row r="114" spans="1:8" x14ac:dyDescent="0.3">
      <c r="A114" s="17">
        <v>44644</v>
      </c>
      <c r="B114" s="17" t="s">
        <v>136</v>
      </c>
      <c r="C114" s="17" t="s">
        <v>137</v>
      </c>
      <c r="D114" s="17" t="s">
        <v>2</v>
      </c>
      <c r="E114" s="18">
        <f t="shared" si="1"/>
        <v>126238.76</v>
      </c>
      <c r="F114" s="18">
        <v>63119.38</v>
      </c>
      <c r="G114" s="18">
        <v>63119.38</v>
      </c>
      <c r="H114" s="18">
        <v>63119.38</v>
      </c>
    </row>
    <row r="115" spans="1:8" x14ac:dyDescent="0.3">
      <c r="A115" s="17">
        <v>44651</v>
      </c>
      <c r="B115" s="17" t="s">
        <v>138</v>
      </c>
      <c r="C115" s="17" t="s">
        <v>139</v>
      </c>
      <c r="D115" s="17" t="s">
        <v>2</v>
      </c>
      <c r="E115" s="18">
        <f t="shared" si="1"/>
        <v>25481.46</v>
      </c>
      <c r="F115" s="18">
        <v>12740.73</v>
      </c>
      <c r="G115" s="18">
        <v>12740.73</v>
      </c>
      <c r="H115" s="18">
        <v>12740.73</v>
      </c>
    </row>
    <row r="116" spans="1:8" x14ac:dyDescent="0.3">
      <c r="A116" s="17">
        <v>44669</v>
      </c>
      <c r="B116" s="17" t="s">
        <v>140</v>
      </c>
      <c r="C116" s="17" t="s">
        <v>141</v>
      </c>
      <c r="D116" s="17" t="s">
        <v>33</v>
      </c>
      <c r="E116" s="18">
        <f t="shared" si="1"/>
        <v>7448.32</v>
      </c>
      <c r="F116" s="18">
        <v>3724.16</v>
      </c>
      <c r="G116" s="18">
        <v>3724.16</v>
      </c>
      <c r="H116" s="18">
        <v>3724.16</v>
      </c>
    </row>
    <row r="117" spans="1:8" x14ac:dyDescent="0.3">
      <c r="A117" s="17">
        <v>44669</v>
      </c>
      <c r="B117" s="17" t="s">
        <v>140</v>
      </c>
      <c r="C117" s="17" t="s">
        <v>141</v>
      </c>
      <c r="D117" s="17" t="s">
        <v>2</v>
      </c>
      <c r="E117" s="18">
        <f t="shared" si="1"/>
        <v>14896.64</v>
      </c>
      <c r="F117" s="18">
        <v>7448.32</v>
      </c>
      <c r="G117" s="18">
        <v>7448.32</v>
      </c>
      <c r="H117" s="18">
        <v>7448.32</v>
      </c>
    </row>
    <row r="118" spans="1:8" x14ac:dyDescent="0.3">
      <c r="A118" s="17">
        <v>44685</v>
      </c>
      <c r="B118" s="17" t="s">
        <v>142</v>
      </c>
      <c r="C118" s="17" t="s">
        <v>143</v>
      </c>
      <c r="D118" s="17" t="s">
        <v>2</v>
      </c>
      <c r="E118" s="18">
        <f t="shared" si="1"/>
        <v>48471.42</v>
      </c>
      <c r="F118" s="18">
        <v>24235.71</v>
      </c>
      <c r="G118" s="18">
        <v>24235.71</v>
      </c>
      <c r="H118" s="18">
        <v>24235.71</v>
      </c>
    </row>
    <row r="119" spans="1:8" x14ac:dyDescent="0.3">
      <c r="A119" s="17">
        <v>44727</v>
      </c>
      <c r="B119" s="17" t="s">
        <v>144</v>
      </c>
      <c r="C119" s="17" t="s">
        <v>145</v>
      </c>
      <c r="D119" s="17" t="s">
        <v>2</v>
      </c>
      <c r="E119" s="18">
        <f t="shared" si="1"/>
        <v>70127.34</v>
      </c>
      <c r="F119" s="18">
        <v>35063.67</v>
      </c>
      <c r="G119" s="18">
        <v>35063.67</v>
      </c>
      <c r="H119" s="18">
        <v>35063.67</v>
      </c>
    </row>
    <row r="120" spans="1:8" x14ac:dyDescent="0.3">
      <c r="A120" s="17">
        <v>44735</v>
      </c>
      <c r="B120" s="17" t="s">
        <v>146</v>
      </c>
      <c r="C120" s="17" t="s">
        <v>62</v>
      </c>
      <c r="D120" s="17" t="s">
        <v>2</v>
      </c>
      <c r="E120" s="18">
        <f t="shared" si="1"/>
        <v>109496.08</v>
      </c>
      <c r="F120" s="18">
        <v>54748.04</v>
      </c>
      <c r="G120" s="18">
        <v>54748.04</v>
      </c>
      <c r="H120" s="18">
        <v>54748.04</v>
      </c>
    </row>
    <row r="121" spans="1:8" x14ac:dyDescent="0.3">
      <c r="A121" s="17">
        <v>44743</v>
      </c>
      <c r="B121" s="17" t="s">
        <v>147</v>
      </c>
      <c r="C121" s="17" t="s">
        <v>85</v>
      </c>
      <c r="D121" s="17" t="s">
        <v>148</v>
      </c>
      <c r="E121" s="18">
        <f t="shared" si="1"/>
        <v>40236.42</v>
      </c>
      <c r="F121" s="18">
        <v>20118.21</v>
      </c>
      <c r="G121" s="18">
        <v>20118.21</v>
      </c>
      <c r="H121" s="18">
        <v>20118.21</v>
      </c>
    </row>
    <row r="122" spans="1:8" x14ac:dyDescent="0.3">
      <c r="A122" s="17">
        <v>44743</v>
      </c>
      <c r="B122" s="17" t="s">
        <v>147</v>
      </c>
      <c r="C122" s="17" t="s">
        <v>85</v>
      </c>
      <c r="D122" s="17" t="s">
        <v>2</v>
      </c>
      <c r="E122" s="18">
        <f t="shared" si="1"/>
        <v>100591.08</v>
      </c>
      <c r="F122" s="18">
        <v>50295.54</v>
      </c>
      <c r="G122" s="18">
        <v>50295.54</v>
      </c>
      <c r="H122" s="18">
        <v>50295.54</v>
      </c>
    </row>
    <row r="123" spans="1:8" x14ac:dyDescent="0.3">
      <c r="A123" s="17">
        <v>44768</v>
      </c>
      <c r="B123" s="17" t="s">
        <v>149</v>
      </c>
      <c r="C123" s="17" t="s">
        <v>95</v>
      </c>
      <c r="D123" s="17" t="s">
        <v>2</v>
      </c>
      <c r="E123" s="18">
        <f t="shared" si="1"/>
        <v>20539.02</v>
      </c>
      <c r="F123" s="18">
        <v>10269.51</v>
      </c>
      <c r="G123" s="18">
        <v>10269.51</v>
      </c>
      <c r="H123" s="18">
        <v>10269.51</v>
      </c>
    </row>
    <row r="124" spans="1:8" x14ac:dyDescent="0.3">
      <c r="A124" s="17">
        <v>44776</v>
      </c>
      <c r="B124" s="17" t="s">
        <v>150</v>
      </c>
      <c r="C124" s="17" t="s">
        <v>98</v>
      </c>
      <c r="D124" s="17" t="s">
        <v>2</v>
      </c>
      <c r="E124" s="18">
        <f t="shared" si="1"/>
        <v>45379.839999999997</v>
      </c>
      <c r="F124" s="18">
        <v>22689.919999999998</v>
      </c>
      <c r="G124" s="18">
        <v>22689.919999999998</v>
      </c>
      <c r="H124" s="18">
        <v>22689.919999999998</v>
      </c>
    </row>
    <row r="125" spans="1:8" x14ac:dyDescent="0.3">
      <c r="A125" s="17">
        <v>44792</v>
      </c>
      <c r="B125" s="17" t="s">
        <v>151</v>
      </c>
      <c r="C125" s="17" t="s">
        <v>14</v>
      </c>
      <c r="D125" s="17" t="s">
        <v>2</v>
      </c>
      <c r="E125" s="18">
        <f t="shared" si="1"/>
        <v>47282.86</v>
      </c>
      <c r="F125" s="18">
        <v>23641.43</v>
      </c>
      <c r="G125" s="18">
        <v>23641.43</v>
      </c>
      <c r="H125" s="18">
        <v>23641.43</v>
      </c>
    </row>
    <row r="126" spans="1:8" x14ac:dyDescent="0.3">
      <c r="A126" s="17">
        <v>44800</v>
      </c>
      <c r="B126" s="17" t="s">
        <v>152</v>
      </c>
      <c r="C126" s="17" t="s">
        <v>48</v>
      </c>
      <c r="D126" s="17" t="s">
        <v>2</v>
      </c>
      <c r="E126" s="18">
        <f t="shared" si="1"/>
        <v>419131.44</v>
      </c>
      <c r="F126" s="18">
        <v>209565.72</v>
      </c>
      <c r="G126" s="18">
        <v>209565.72</v>
      </c>
      <c r="H126" s="18">
        <v>209565.72</v>
      </c>
    </row>
    <row r="127" spans="1:8" x14ac:dyDescent="0.3">
      <c r="A127" s="17">
        <v>44818</v>
      </c>
      <c r="B127" s="17" t="s">
        <v>153</v>
      </c>
      <c r="C127" s="17" t="s">
        <v>154</v>
      </c>
      <c r="D127" s="17" t="s">
        <v>33</v>
      </c>
      <c r="E127" s="18">
        <f t="shared" si="1"/>
        <v>22726.9</v>
      </c>
      <c r="F127" s="18">
        <v>11363.45</v>
      </c>
      <c r="G127" s="18">
        <v>11363.45</v>
      </c>
      <c r="H127" s="18">
        <v>11363.45</v>
      </c>
    </row>
    <row r="128" spans="1:8" x14ac:dyDescent="0.3">
      <c r="A128" s="17">
        <v>44818</v>
      </c>
      <c r="B128" s="17" t="s">
        <v>153</v>
      </c>
      <c r="C128" s="17" t="s">
        <v>154</v>
      </c>
      <c r="D128" s="17" t="s">
        <v>2</v>
      </c>
      <c r="E128" s="18">
        <f t="shared" si="1"/>
        <v>70453.36</v>
      </c>
      <c r="F128" s="18">
        <v>35226.68</v>
      </c>
      <c r="G128" s="18">
        <v>35226.68</v>
      </c>
      <c r="H128" s="18">
        <v>35226.68</v>
      </c>
    </row>
    <row r="129" spans="1:8" x14ac:dyDescent="0.3">
      <c r="A129" s="17">
        <v>44826</v>
      </c>
      <c r="B129" s="17" t="s">
        <v>155</v>
      </c>
      <c r="C129" s="17" t="s">
        <v>156</v>
      </c>
      <c r="D129" s="17" t="s">
        <v>157</v>
      </c>
      <c r="E129" s="18">
        <f t="shared" si="1"/>
        <v>9633.76</v>
      </c>
      <c r="F129" s="18">
        <v>4816.88</v>
      </c>
      <c r="G129" s="18">
        <v>4816.88</v>
      </c>
      <c r="H129" s="18">
        <v>4816.88</v>
      </c>
    </row>
    <row r="130" spans="1:8" x14ac:dyDescent="0.3">
      <c r="A130" s="17">
        <v>44834</v>
      </c>
      <c r="B130" s="17" t="s">
        <v>158</v>
      </c>
      <c r="C130" s="17" t="s">
        <v>1</v>
      </c>
      <c r="D130" s="17" t="s">
        <v>2</v>
      </c>
      <c r="E130" s="18">
        <f t="shared" si="1"/>
        <v>24736.02</v>
      </c>
      <c r="F130" s="18">
        <v>12368.01</v>
      </c>
      <c r="G130" s="18">
        <v>12368.01</v>
      </c>
      <c r="H130" s="18">
        <v>12368.01</v>
      </c>
    </row>
    <row r="131" spans="1:8" x14ac:dyDescent="0.3">
      <c r="A131" s="17">
        <v>44842</v>
      </c>
      <c r="B131" s="17" t="s">
        <v>159</v>
      </c>
      <c r="C131" s="17" t="s">
        <v>14</v>
      </c>
      <c r="D131" s="17" t="s">
        <v>2</v>
      </c>
      <c r="E131" s="18">
        <f t="shared" si="1"/>
        <v>67967.08</v>
      </c>
      <c r="F131" s="18">
        <v>33983.54</v>
      </c>
      <c r="G131" s="18">
        <v>33983.54</v>
      </c>
      <c r="H131" s="18">
        <v>33983.54</v>
      </c>
    </row>
    <row r="132" spans="1:8" x14ac:dyDescent="0.3">
      <c r="A132" s="17">
        <v>44859</v>
      </c>
      <c r="B132" s="17" t="s">
        <v>160</v>
      </c>
      <c r="C132" s="17" t="s">
        <v>35</v>
      </c>
      <c r="D132" s="17" t="s">
        <v>5</v>
      </c>
      <c r="E132" s="18">
        <f t="shared" si="1"/>
        <v>3753.38</v>
      </c>
      <c r="F132" s="18">
        <v>1876.69</v>
      </c>
      <c r="G132" s="18">
        <v>1876.69</v>
      </c>
      <c r="H132" s="18">
        <v>1876.69</v>
      </c>
    </row>
    <row r="133" spans="1:8" x14ac:dyDescent="0.3">
      <c r="A133" s="17">
        <v>44875</v>
      </c>
      <c r="B133" s="17" t="s">
        <v>161</v>
      </c>
      <c r="C133" s="17" t="s">
        <v>105</v>
      </c>
      <c r="D133" s="17" t="s">
        <v>2</v>
      </c>
      <c r="E133" s="18">
        <f t="shared" si="1"/>
        <v>14298.56</v>
      </c>
      <c r="F133" s="18">
        <v>7149.28</v>
      </c>
      <c r="G133" s="18">
        <v>7149.28</v>
      </c>
      <c r="H133" s="18">
        <v>7149.28</v>
      </c>
    </row>
    <row r="134" spans="1:8" x14ac:dyDescent="0.3">
      <c r="A134" s="17">
        <v>44883</v>
      </c>
      <c r="B134" s="17" t="s">
        <v>162</v>
      </c>
      <c r="C134" s="17" t="s">
        <v>1</v>
      </c>
      <c r="D134" s="17" t="s">
        <v>2</v>
      </c>
      <c r="E134" s="18">
        <f t="shared" si="1"/>
        <v>35083.879999999997</v>
      </c>
      <c r="F134" s="18">
        <v>17541.939999999999</v>
      </c>
      <c r="G134" s="18">
        <v>17541.939999999999</v>
      </c>
      <c r="H134" s="18">
        <v>17541.939999999999</v>
      </c>
    </row>
    <row r="135" spans="1:8" x14ac:dyDescent="0.3">
      <c r="A135" s="17">
        <v>44891</v>
      </c>
      <c r="B135" s="17" t="s">
        <v>163</v>
      </c>
      <c r="C135" s="17" t="s">
        <v>66</v>
      </c>
      <c r="D135" s="17" t="s">
        <v>33</v>
      </c>
      <c r="E135" s="18">
        <f t="shared" si="1"/>
        <v>12589.84</v>
      </c>
      <c r="F135" s="18">
        <v>6294.92</v>
      </c>
      <c r="G135" s="18">
        <v>6294.92</v>
      </c>
      <c r="H135" s="18">
        <v>6294.92</v>
      </c>
    </row>
    <row r="136" spans="1:8" x14ac:dyDescent="0.3">
      <c r="A136" s="17">
        <v>44891</v>
      </c>
      <c r="B136" s="17" t="s">
        <v>163</v>
      </c>
      <c r="C136" s="17" t="s">
        <v>66</v>
      </c>
      <c r="D136" s="17" t="s">
        <v>2</v>
      </c>
      <c r="E136" s="18">
        <f t="shared" si="1"/>
        <v>25179.66</v>
      </c>
      <c r="F136" s="18">
        <v>12589.83</v>
      </c>
      <c r="G136" s="18">
        <v>12589.83</v>
      </c>
      <c r="H136" s="18">
        <v>12589.83</v>
      </c>
    </row>
    <row r="137" spans="1:8" x14ac:dyDescent="0.3">
      <c r="A137" s="17">
        <v>44909</v>
      </c>
      <c r="B137" s="17" t="s">
        <v>164</v>
      </c>
      <c r="C137" s="17" t="s">
        <v>105</v>
      </c>
      <c r="D137" s="17" t="s">
        <v>33</v>
      </c>
      <c r="E137" s="18">
        <f t="shared" si="1"/>
        <v>110031.26</v>
      </c>
      <c r="F137" s="18">
        <v>55015.63</v>
      </c>
      <c r="G137" s="18">
        <v>55015.63</v>
      </c>
      <c r="H137" s="18">
        <v>55015.63</v>
      </c>
    </row>
    <row r="138" spans="1:8" x14ac:dyDescent="0.3">
      <c r="A138" s="17">
        <v>44925</v>
      </c>
      <c r="B138" s="17" t="s">
        <v>165</v>
      </c>
      <c r="C138" s="17" t="s">
        <v>137</v>
      </c>
      <c r="D138" s="17" t="s">
        <v>2</v>
      </c>
      <c r="E138" s="18">
        <f t="shared" si="1"/>
        <v>99725.46</v>
      </c>
      <c r="F138" s="18">
        <v>49862.73</v>
      </c>
      <c r="G138" s="18">
        <v>49862.73</v>
      </c>
      <c r="H138" s="18">
        <v>49862.73</v>
      </c>
    </row>
    <row r="139" spans="1:8" x14ac:dyDescent="0.3">
      <c r="A139" s="17">
        <v>44941</v>
      </c>
      <c r="B139" s="17" t="s">
        <v>166</v>
      </c>
      <c r="C139" s="17" t="s">
        <v>167</v>
      </c>
      <c r="D139" s="17" t="s">
        <v>2</v>
      </c>
      <c r="E139" s="18">
        <f t="shared" si="1"/>
        <v>117969.88</v>
      </c>
      <c r="F139" s="18">
        <v>58984.94</v>
      </c>
      <c r="G139" s="18">
        <v>58984.94</v>
      </c>
      <c r="H139" s="18">
        <v>58984.94</v>
      </c>
    </row>
    <row r="140" spans="1:8" x14ac:dyDescent="0.3">
      <c r="A140" s="17">
        <v>44966</v>
      </c>
      <c r="B140" s="17" t="s">
        <v>168</v>
      </c>
      <c r="C140" s="17" t="s">
        <v>169</v>
      </c>
      <c r="D140" s="17" t="s">
        <v>2</v>
      </c>
      <c r="E140" s="18">
        <f t="shared" si="1"/>
        <v>58751.88</v>
      </c>
      <c r="F140" s="18">
        <v>29375.94</v>
      </c>
      <c r="G140" s="18">
        <v>29375.94</v>
      </c>
      <c r="H140" s="18">
        <v>29375.94</v>
      </c>
    </row>
    <row r="141" spans="1:8" x14ac:dyDescent="0.3">
      <c r="A141" s="17">
        <v>44990</v>
      </c>
      <c r="B141" s="17" t="s">
        <v>170</v>
      </c>
      <c r="C141" s="17" t="s">
        <v>74</v>
      </c>
      <c r="D141" s="17" t="s">
        <v>2</v>
      </c>
      <c r="E141" s="18">
        <f t="shared" si="1"/>
        <v>57604.12</v>
      </c>
      <c r="F141" s="18">
        <v>28802.06</v>
      </c>
      <c r="G141" s="18">
        <v>28802.06</v>
      </c>
      <c r="H141" s="18">
        <v>28802.06</v>
      </c>
    </row>
    <row r="142" spans="1:8" x14ac:dyDescent="0.3">
      <c r="A142" s="17">
        <v>45005</v>
      </c>
      <c r="B142" s="17" t="s">
        <v>171</v>
      </c>
      <c r="C142" s="17" t="s">
        <v>14</v>
      </c>
      <c r="D142" s="17" t="s">
        <v>172</v>
      </c>
      <c r="E142" s="18">
        <f t="shared" si="1"/>
        <v>15863.94</v>
      </c>
      <c r="F142" s="18">
        <v>7931.97</v>
      </c>
      <c r="G142" s="18">
        <v>7931.97</v>
      </c>
      <c r="H142" s="18">
        <v>7931.97</v>
      </c>
    </row>
    <row r="143" spans="1:8" x14ac:dyDescent="0.3">
      <c r="A143" s="17">
        <v>45005</v>
      </c>
      <c r="B143" s="17" t="s">
        <v>171</v>
      </c>
      <c r="C143" s="17" t="s">
        <v>14</v>
      </c>
      <c r="D143" s="17" t="s">
        <v>2</v>
      </c>
      <c r="E143" s="18">
        <f t="shared" si="1"/>
        <v>60282.94</v>
      </c>
      <c r="F143" s="18">
        <v>30141.47</v>
      </c>
      <c r="G143" s="18">
        <v>30141.47</v>
      </c>
      <c r="H143" s="18">
        <v>30141.47</v>
      </c>
    </row>
    <row r="144" spans="1:8" x14ac:dyDescent="0.3">
      <c r="A144" s="17">
        <v>45013</v>
      </c>
      <c r="B144" s="17" t="s">
        <v>173</v>
      </c>
      <c r="C144" s="17" t="s">
        <v>174</v>
      </c>
      <c r="D144" s="17" t="s">
        <v>33</v>
      </c>
      <c r="E144" s="18">
        <f t="shared" si="1"/>
        <v>9609.82</v>
      </c>
      <c r="F144" s="18">
        <v>4804.91</v>
      </c>
      <c r="G144" s="18">
        <v>4804.91</v>
      </c>
      <c r="H144" s="18">
        <v>4804.91</v>
      </c>
    </row>
    <row r="145" spans="1:8" x14ac:dyDescent="0.3">
      <c r="A145" s="17">
        <v>45013</v>
      </c>
      <c r="B145" s="17" t="s">
        <v>173</v>
      </c>
      <c r="C145" s="17" t="s">
        <v>174</v>
      </c>
      <c r="D145" s="17" t="s">
        <v>2</v>
      </c>
      <c r="E145" s="18">
        <f t="shared" si="1"/>
        <v>38439.279999999999</v>
      </c>
      <c r="F145" s="18">
        <v>19219.64</v>
      </c>
      <c r="G145" s="18">
        <v>19219.64</v>
      </c>
      <c r="H145" s="18">
        <v>19219.64</v>
      </c>
    </row>
    <row r="146" spans="1:8" x14ac:dyDescent="0.3">
      <c r="A146" s="17">
        <v>45021</v>
      </c>
      <c r="B146" s="17" t="s">
        <v>175</v>
      </c>
      <c r="C146" s="17" t="s">
        <v>88</v>
      </c>
      <c r="D146" s="17" t="s">
        <v>5</v>
      </c>
      <c r="E146" s="18">
        <f t="shared" si="1"/>
        <v>7523.88</v>
      </c>
      <c r="F146" s="18">
        <v>3761.94</v>
      </c>
      <c r="G146" s="18">
        <v>3761.94</v>
      </c>
      <c r="H146" s="18">
        <v>3761.94</v>
      </c>
    </row>
    <row r="147" spans="1:8" x14ac:dyDescent="0.3">
      <c r="A147" s="17">
        <v>45039</v>
      </c>
      <c r="B147" s="17" t="s">
        <v>176</v>
      </c>
      <c r="C147" s="17" t="s">
        <v>62</v>
      </c>
      <c r="D147" s="17" t="s">
        <v>33</v>
      </c>
      <c r="E147" s="18">
        <f t="shared" si="1"/>
        <v>1163.0999999999999</v>
      </c>
      <c r="F147" s="18">
        <v>581.54999999999995</v>
      </c>
      <c r="G147" s="18">
        <v>581.54999999999995</v>
      </c>
      <c r="H147" s="18">
        <v>581.54999999999995</v>
      </c>
    </row>
    <row r="148" spans="1:8" x14ac:dyDescent="0.3">
      <c r="A148" s="17">
        <v>45039</v>
      </c>
      <c r="B148" s="17" t="s">
        <v>176</v>
      </c>
      <c r="C148" s="17" t="s">
        <v>62</v>
      </c>
      <c r="D148" s="17" t="s">
        <v>2</v>
      </c>
      <c r="E148" s="18">
        <f t="shared" si="1"/>
        <v>9304.74</v>
      </c>
      <c r="F148" s="18">
        <v>4652.37</v>
      </c>
      <c r="G148" s="18">
        <v>4652.37</v>
      </c>
      <c r="H148" s="18">
        <v>4652.37</v>
      </c>
    </row>
    <row r="149" spans="1:8" x14ac:dyDescent="0.3">
      <c r="A149" s="17">
        <v>45047</v>
      </c>
      <c r="B149" s="17" t="s">
        <v>177</v>
      </c>
      <c r="C149" s="17" t="s">
        <v>48</v>
      </c>
      <c r="D149" s="17" t="s">
        <v>2</v>
      </c>
      <c r="E149" s="18">
        <f t="shared" ref="E149:E212" si="2">F149+H149</f>
        <v>165862.48000000001</v>
      </c>
      <c r="F149" s="18">
        <v>82931.240000000005</v>
      </c>
      <c r="G149" s="18">
        <v>82931.240000000005</v>
      </c>
      <c r="H149" s="18">
        <v>82931.240000000005</v>
      </c>
    </row>
    <row r="150" spans="1:8" x14ac:dyDescent="0.3">
      <c r="A150" s="17">
        <v>45054</v>
      </c>
      <c r="B150" s="17" t="s">
        <v>178</v>
      </c>
      <c r="C150" s="17" t="s">
        <v>38</v>
      </c>
      <c r="D150" s="17" t="s">
        <v>2</v>
      </c>
      <c r="E150" s="18">
        <f t="shared" si="2"/>
        <v>116568.08</v>
      </c>
      <c r="F150" s="18">
        <v>58284.04</v>
      </c>
      <c r="G150" s="18">
        <v>58284.04</v>
      </c>
      <c r="H150" s="18">
        <v>58284.04</v>
      </c>
    </row>
    <row r="151" spans="1:8" x14ac:dyDescent="0.3">
      <c r="A151" s="17">
        <v>45096</v>
      </c>
      <c r="B151" s="17" t="s">
        <v>179</v>
      </c>
      <c r="C151" s="17" t="s">
        <v>21</v>
      </c>
      <c r="D151" s="17" t="s">
        <v>2</v>
      </c>
      <c r="E151" s="18">
        <f t="shared" si="2"/>
        <v>29611.02</v>
      </c>
      <c r="F151" s="18">
        <v>14805.51</v>
      </c>
      <c r="G151" s="18">
        <v>14805.51</v>
      </c>
      <c r="H151" s="18">
        <v>14805.51</v>
      </c>
    </row>
    <row r="152" spans="1:8" x14ac:dyDescent="0.3">
      <c r="A152" s="17">
        <v>45104</v>
      </c>
      <c r="B152" s="17" t="s">
        <v>180</v>
      </c>
      <c r="C152" s="17" t="s">
        <v>134</v>
      </c>
      <c r="D152" s="17" t="s">
        <v>2</v>
      </c>
      <c r="E152" s="18">
        <f t="shared" si="2"/>
        <v>138572.78</v>
      </c>
      <c r="F152" s="18">
        <v>69286.39</v>
      </c>
      <c r="G152" s="18">
        <v>69286.39</v>
      </c>
      <c r="H152" s="18">
        <v>69286.39</v>
      </c>
    </row>
    <row r="153" spans="1:8" x14ac:dyDescent="0.3">
      <c r="A153" s="17">
        <v>45112</v>
      </c>
      <c r="B153" s="17" t="s">
        <v>181</v>
      </c>
      <c r="C153" s="17" t="s">
        <v>182</v>
      </c>
      <c r="D153" s="17" t="s">
        <v>5</v>
      </c>
      <c r="E153" s="18">
        <f t="shared" si="2"/>
        <v>26920.54</v>
      </c>
      <c r="F153" s="18">
        <v>13460.27</v>
      </c>
      <c r="G153" s="18">
        <v>13460.27</v>
      </c>
      <c r="H153" s="18">
        <v>13460.27</v>
      </c>
    </row>
    <row r="154" spans="1:8" x14ac:dyDescent="0.3">
      <c r="A154" s="17">
        <v>45112</v>
      </c>
      <c r="B154" s="17" t="s">
        <v>181</v>
      </c>
      <c r="C154" s="17" t="s">
        <v>182</v>
      </c>
      <c r="D154" s="17" t="s">
        <v>2</v>
      </c>
      <c r="E154" s="18">
        <f t="shared" si="2"/>
        <v>10768.22</v>
      </c>
      <c r="F154" s="18">
        <v>5384.11</v>
      </c>
      <c r="G154" s="18">
        <v>5384.11</v>
      </c>
      <c r="H154" s="18">
        <v>5384.11</v>
      </c>
    </row>
    <row r="155" spans="1:8" x14ac:dyDescent="0.3">
      <c r="A155" s="17">
        <v>45120</v>
      </c>
      <c r="B155" s="17" t="s">
        <v>183</v>
      </c>
      <c r="C155" s="17" t="s">
        <v>132</v>
      </c>
      <c r="D155" s="17" t="s">
        <v>2</v>
      </c>
      <c r="E155" s="18">
        <f t="shared" si="2"/>
        <v>79300.38</v>
      </c>
      <c r="F155" s="18">
        <v>39650.19</v>
      </c>
      <c r="G155" s="18">
        <v>39650.19</v>
      </c>
      <c r="H155" s="18">
        <v>39650.19</v>
      </c>
    </row>
    <row r="156" spans="1:8" x14ac:dyDescent="0.3">
      <c r="A156" s="17">
        <v>45146</v>
      </c>
      <c r="B156" s="17" t="s">
        <v>184</v>
      </c>
      <c r="C156" s="17" t="s">
        <v>54</v>
      </c>
      <c r="D156" s="17" t="s">
        <v>2</v>
      </c>
      <c r="E156" s="18">
        <f t="shared" si="2"/>
        <v>1401.32</v>
      </c>
      <c r="F156" s="18">
        <v>700.66</v>
      </c>
      <c r="G156" s="18">
        <v>700.66</v>
      </c>
      <c r="H156" s="18">
        <v>700.66</v>
      </c>
    </row>
    <row r="157" spans="1:8" x14ac:dyDescent="0.3">
      <c r="A157" s="17">
        <v>45153</v>
      </c>
      <c r="B157" s="17" t="s">
        <v>185</v>
      </c>
      <c r="C157" s="17" t="s">
        <v>186</v>
      </c>
      <c r="D157" s="17" t="s">
        <v>2</v>
      </c>
      <c r="E157" s="18">
        <f t="shared" si="2"/>
        <v>35409.58</v>
      </c>
      <c r="F157" s="18">
        <v>17704.79</v>
      </c>
      <c r="G157" s="18">
        <v>17704.79</v>
      </c>
      <c r="H157" s="18">
        <v>17704.79</v>
      </c>
    </row>
    <row r="158" spans="1:8" x14ac:dyDescent="0.3">
      <c r="A158" s="17">
        <v>45161</v>
      </c>
      <c r="B158" s="17" t="s">
        <v>187</v>
      </c>
      <c r="C158" s="17" t="s">
        <v>35</v>
      </c>
      <c r="D158" s="17" t="s">
        <v>33</v>
      </c>
      <c r="E158" s="18">
        <f t="shared" si="2"/>
        <v>41507.199999999997</v>
      </c>
      <c r="F158" s="18">
        <v>20753.599999999999</v>
      </c>
      <c r="G158" s="18">
        <v>20753.599999999999</v>
      </c>
      <c r="H158" s="18">
        <v>20753.599999999999</v>
      </c>
    </row>
    <row r="159" spans="1:8" x14ac:dyDescent="0.3">
      <c r="A159" s="17">
        <v>45187</v>
      </c>
      <c r="B159" s="17" t="s">
        <v>188</v>
      </c>
      <c r="C159" s="17" t="s">
        <v>189</v>
      </c>
      <c r="D159" s="17" t="s">
        <v>2</v>
      </c>
      <c r="E159" s="18">
        <f t="shared" si="2"/>
        <v>9119.26</v>
      </c>
      <c r="F159" s="18">
        <v>4559.63</v>
      </c>
      <c r="G159" s="18">
        <v>4559.63</v>
      </c>
      <c r="H159" s="18">
        <v>4559.63</v>
      </c>
    </row>
    <row r="160" spans="1:8" x14ac:dyDescent="0.3">
      <c r="A160" s="17">
        <v>45195</v>
      </c>
      <c r="B160" s="17" t="s">
        <v>190</v>
      </c>
      <c r="C160" s="17" t="s">
        <v>95</v>
      </c>
      <c r="D160" s="17" t="s">
        <v>2</v>
      </c>
      <c r="E160" s="18">
        <f t="shared" si="2"/>
        <v>35246.160000000003</v>
      </c>
      <c r="F160" s="18">
        <v>17623.080000000002</v>
      </c>
      <c r="G160" s="18">
        <v>17623.080000000002</v>
      </c>
      <c r="H160" s="18">
        <v>17623.080000000002</v>
      </c>
    </row>
    <row r="161" spans="1:8" x14ac:dyDescent="0.3">
      <c r="A161" s="17">
        <v>45203</v>
      </c>
      <c r="B161" s="17" t="s">
        <v>191</v>
      </c>
      <c r="C161" s="17" t="s">
        <v>17</v>
      </c>
      <c r="D161" s="17" t="s">
        <v>5</v>
      </c>
      <c r="E161" s="18">
        <f t="shared" si="2"/>
        <v>1645.68</v>
      </c>
      <c r="F161" s="18">
        <v>822.84</v>
      </c>
      <c r="G161" s="18">
        <v>822.84</v>
      </c>
      <c r="H161" s="18">
        <v>822.84</v>
      </c>
    </row>
    <row r="162" spans="1:8" x14ac:dyDescent="0.3">
      <c r="A162" s="17">
        <v>45229</v>
      </c>
      <c r="B162" s="17" t="s">
        <v>192</v>
      </c>
      <c r="C162" s="17" t="s">
        <v>137</v>
      </c>
      <c r="D162" s="17" t="s">
        <v>5</v>
      </c>
      <c r="E162" s="18">
        <f t="shared" si="2"/>
        <v>456.96</v>
      </c>
      <c r="F162" s="18">
        <v>228.48</v>
      </c>
      <c r="G162" s="18">
        <v>228.48</v>
      </c>
      <c r="H162" s="18">
        <v>228.48</v>
      </c>
    </row>
    <row r="163" spans="1:8" x14ac:dyDescent="0.3">
      <c r="A163" s="17">
        <v>45237</v>
      </c>
      <c r="B163" s="17" t="s">
        <v>193</v>
      </c>
      <c r="C163" s="17" t="s">
        <v>17</v>
      </c>
      <c r="D163" s="17" t="s">
        <v>2</v>
      </c>
      <c r="E163" s="18">
        <f t="shared" si="2"/>
        <v>7940.18</v>
      </c>
      <c r="F163" s="18">
        <v>3970.09</v>
      </c>
      <c r="G163" s="18">
        <v>3970.09</v>
      </c>
      <c r="H163" s="18">
        <v>3970.09</v>
      </c>
    </row>
    <row r="164" spans="1:8" x14ac:dyDescent="0.3">
      <c r="A164" s="17">
        <v>45245</v>
      </c>
      <c r="B164" s="17" t="s">
        <v>194</v>
      </c>
      <c r="C164" s="17" t="s">
        <v>195</v>
      </c>
      <c r="D164" s="17" t="s">
        <v>2</v>
      </c>
      <c r="E164" s="18">
        <f t="shared" si="2"/>
        <v>37573.379999999997</v>
      </c>
      <c r="F164" s="18">
        <v>18786.689999999999</v>
      </c>
      <c r="G164" s="18">
        <v>18786.689999999999</v>
      </c>
      <c r="H164" s="18">
        <v>18786.689999999999</v>
      </c>
    </row>
    <row r="165" spans="1:8" x14ac:dyDescent="0.3">
      <c r="A165" s="17">
        <v>45252</v>
      </c>
      <c r="B165" s="17" t="s">
        <v>196</v>
      </c>
      <c r="C165" s="17" t="s">
        <v>197</v>
      </c>
      <c r="D165" s="17" t="s">
        <v>198</v>
      </c>
      <c r="E165" s="18">
        <f t="shared" si="2"/>
        <v>5044.8599999999997</v>
      </c>
      <c r="F165" s="18">
        <v>2522.4299999999998</v>
      </c>
      <c r="G165" s="18">
        <v>2522.4299999999998</v>
      </c>
      <c r="H165" s="18">
        <v>2522.4299999999998</v>
      </c>
    </row>
    <row r="166" spans="1:8" x14ac:dyDescent="0.3">
      <c r="A166" s="17">
        <v>45260</v>
      </c>
      <c r="B166" s="17" t="s">
        <v>199</v>
      </c>
      <c r="C166" s="17" t="s">
        <v>200</v>
      </c>
      <c r="D166" s="17" t="s">
        <v>2</v>
      </c>
      <c r="E166" s="18">
        <f t="shared" si="2"/>
        <v>37873.699999999997</v>
      </c>
      <c r="F166" s="18">
        <v>18936.849999999999</v>
      </c>
      <c r="G166" s="18">
        <v>18936.849999999999</v>
      </c>
      <c r="H166" s="18">
        <v>18936.849999999999</v>
      </c>
    </row>
    <row r="167" spans="1:8" x14ac:dyDescent="0.3">
      <c r="A167" s="17">
        <v>45294</v>
      </c>
      <c r="B167" s="17" t="s">
        <v>201</v>
      </c>
      <c r="C167" s="17" t="s">
        <v>202</v>
      </c>
      <c r="D167" s="17" t="s">
        <v>203</v>
      </c>
      <c r="E167" s="18">
        <f t="shared" si="2"/>
        <v>1003.48</v>
      </c>
      <c r="F167" s="18">
        <v>501.74</v>
      </c>
      <c r="G167" s="18">
        <v>501.74</v>
      </c>
      <c r="H167" s="18">
        <v>501.74</v>
      </c>
    </row>
    <row r="168" spans="1:8" x14ac:dyDescent="0.3">
      <c r="A168" s="17">
        <v>45302</v>
      </c>
      <c r="B168" s="17" t="s">
        <v>204</v>
      </c>
      <c r="C168" s="17" t="s">
        <v>70</v>
      </c>
      <c r="D168" s="17" t="s">
        <v>2</v>
      </c>
      <c r="E168" s="18">
        <f t="shared" si="2"/>
        <v>39134.239999999998</v>
      </c>
      <c r="F168" s="18">
        <v>19567.12</v>
      </c>
      <c r="G168" s="18">
        <v>19567.12</v>
      </c>
      <c r="H168" s="18">
        <v>19567.12</v>
      </c>
    </row>
    <row r="169" spans="1:8" x14ac:dyDescent="0.3">
      <c r="A169" s="17">
        <v>45310</v>
      </c>
      <c r="B169" s="17" t="s">
        <v>205</v>
      </c>
      <c r="C169" s="17" t="s">
        <v>206</v>
      </c>
      <c r="D169" s="17" t="s">
        <v>33</v>
      </c>
      <c r="E169" s="18">
        <f t="shared" si="2"/>
        <v>3443.58</v>
      </c>
      <c r="F169" s="18">
        <v>1721.79</v>
      </c>
      <c r="G169" s="18">
        <v>1721.79</v>
      </c>
      <c r="H169" s="18">
        <v>1721.79</v>
      </c>
    </row>
    <row r="170" spans="1:8" s="16" customFormat="1" x14ac:dyDescent="0.3">
      <c r="A170" s="17">
        <v>45328</v>
      </c>
      <c r="B170" s="17" t="s">
        <v>207</v>
      </c>
      <c r="C170" s="17" t="s">
        <v>62</v>
      </c>
      <c r="D170" s="17" t="s">
        <v>2</v>
      </c>
      <c r="E170" s="18">
        <f t="shared" si="2"/>
        <v>56305.090000000004</v>
      </c>
      <c r="F170" s="18">
        <v>25643.9</v>
      </c>
      <c r="G170" s="18">
        <v>25643.9</v>
      </c>
      <c r="H170" s="18">
        <f>25643.9+(0.75*6689.72)</f>
        <v>30661.190000000002</v>
      </c>
    </row>
    <row r="171" spans="1:8" x14ac:dyDescent="0.3">
      <c r="A171" s="17">
        <v>45344</v>
      </c>
      <c r="B171" s="17" t="s">
        <v>208</v>
      </c>
      <c r="C171" s="17" t="s">
        <v>209</v>
      </c>
      <c r="D171" s="17" t="s">
        <v>2</v>
      </c>
      <c r="E171" s="18">
        <f t="shared" si="2"/>
        <v>36763.64</v>
      </c>
      <c r="F171" s="18">
        <v>18381.82</v>
      </c>
      <c r="G171" s="18">
        <v>18381.82</v>
      </c>
      <c r="H171" s="18">
        <v>18381.82</v>
      </c>
    </row>
    <row r="172" spans="1:8" x14ac:dyDescent="0.3">
      <c r="A172" s="17">
        <v>45351</v>
      </c>
      <c r="B172" s="17" t="s">
        <v>210</v>
      </c>
      <c r="C172" s="17" t="s">
        <v>118</v>
      </c>
      <c r="D172" s="17" t="s">
        <v>5</v>
      </c>
      <c r="E172" s="18">
        <f t="shared" si="2"/>
        <v>1269.76</v>
      </c>
      <c r="F172" s="18">
        <v>634.88</v>
      </c>
      <c r="G172" s="18">
        <v>634.88</v>
      </c>
      <c r="H172" s="18">
        <v>634.88</v>
      </c>
    </row>
    <row r="173" spans="1:8" x14ac:dyDescent="0.3">
      <c r="A173" s="17">
        <v>45369</v>
      </c>
      <c r="B173" s="17" t="s">
        <v>211</v>
      </c>
      <c r="C173" s="17" t="s">
        <v>134</v>
      </c>
      <c r="D173" s="17" t="s">
        <v>2</v>
      </c>
      <c r="E173" s="18">
        <f t="shared" si="2"/>
        <v>5673.04</v>
      </c>
      <c r="F173" s="18">
        <v>2836.52</v>
      </c>
      <c r="G173" s="18">
        <v>2836.52</v>
      </c>
      <c r="H173" s="18">
        <v>2836.52</v>
      </c>
    </row>
    <row r="174" spans="1:8" x14ac:dyDescent="0.3">
      <c r="A174" s="17">
        <v>45377</v>
      </c>
      <c r="B174" s="17" t="s">
        <v>212</v>
      </c>
      <c r="C174" s="17" t="s">
        <v>213</v>
      </c>
      <c r="D174" s="17" t="s">
        <v>214</v>
      </c>
      <c r="E174" s="18">
        <f t="shared" si="2"/>
        <v>1805.14</v>
      </c>
      <c r="F174" s="18">
        <v>902.57</v>
      </c>
      <c r="G174" s="18">
        <v>902.57</v>
      </c>
      <c r="H174" s="18">
        <v>902.57</v>
      </c>
    </row>
    <row r="175" spans="1:8" x14ac:dyDescent="0.3">
      <c r="A175" s="17">
        <v>45385</v>
      </c>
      <c r="B175" s="17" t="s">
        <v>215</v>
      </c>
      <c r="C175" s="17" t="s">
        <v>70</v>
      </c>
      <c r="D175" s="17" t="s">
        <v>33</v>
      </c>
      <c r="E175" s="18">
        <f t="shared" si="2"/>
        <v>1647.38</v>
      </c>
      <c r="F175" s="18">
        <v>823.69</v>
      </c>
      <c r="G175" s="18">
        <v>823.69</v>
      </c>
      <c r="H175" s="18">
        <v>823.69</v>
      </c>
    </row>
    <row r="176" spans="1:8" x14ac:dyDescent="0.3">
      <c r="A176" s="17">
        <v>45385</v>
      </c>
      <c r="B176" s="17" t="s">
        <v>215</v>
      </c>
      <c r="C176" s="17" t="s">
        <v>70</v>
      </c>
      <c r="D176" s="17" t="s">
        <v>2</v>
      </c>
      <c r="E176" s="18">
        <f t="shared" si="2"/>
        <v>3294.76</v>
      </c>
      <c r="F176" s="18">
        <v>1647.38</v>
      </c>
      <c r="G176" s="18">
        <v>1647.38</v>
      </c>
      <c r="H176" s="18">
        <v>1647.38</v>
      </c>
    </row>
    <row r="177" spans="1:8" x14ac:dyDescent="0.3">
      <c r="A177" s="17">
        <v>45393</v>
      </c>
      <c r="B177" s="17" t="s">
        <v>216</v>
      </c>
      <c r="C177" s="17" t="s">
        <v>81</v>
      </c>
      <c r="D177" s="17" t="s">
        <v>33</v>
      </c>
      <c r="E177" s="18">
        <f t="shared" si="2"/>
        <v>4708.68</v>
      </c>
      <c r="F177" s="18">
        <v>2354.34</v>
      </c>
      <c r="G177" s="18">
        <v>2354.34</v>
      </c>
      <c r="H177" s="18">
        <v>2354.34</v>
      </c>
    </row>
    <row r="178" spans="1:8" x14ac:dyDescent="0.3">
      <c r="A178" s="17">
        <v>45393</v>
      </c>
      <c r="B178" s="17" t="s">
        <v>216</v>
      </c>
      <c r="C178" s="17" t="s">
        <v>81</v>
      </c>
      <c r="D178" s="17" t="s">
        <v>2</v>
      </c>
      <c r="E178" s="18">
        <f t="shared" si="2"/>
        <v>16009.5</v>
      </c>
      <c r="F178" s="18">
        <v>8004.75</v>
      </c>
      <c r="G178" s="18">
        <v>8004.75</v>
      </c>
      <c r="H178" s="18">
        <v>8004.75</v>
      </c>
    </row>
    <row r="179" spans="1:8" x14ac:dyDescent="0.3">
      <c r="A179" s="17">
        <v>45401</v>
      </c>
      <c r="B179" s="17" t="s">
        <v>217</v>
      </c>
      <c r="C179" s="17" t="s">
        <v>83</v>
      </c>
      <c r="D179" s="17" t="s">
        <v>218</v>
      </c>
      <c r="E179" s="18">
        <f t="shared" si="2"/>
        <v>3246.04</v>
      </c>
      <c r="F179" s="18">
        <v>1623.02</v>
      </c>
      <c r="G179" s="18">
        <v>1623.02</v>
      </c>
      <c r="H179" s="18">
        <v>1623.02</v>
      </c>
    </row>
    <row r="180" spans="1:8" x14ac:dyDescent="0.3">
      <c r="A180" s="17">
        <v>45419</v>
      </c>
      <c r="B180" s="17" t="s">
        <v>219</v>
      </c>
      <c r="C180" s="17" t="s">
        <v>220</v>
      </c>
      <c r="D180" s="17" t="s">
        <v>2</v>
      </c>
      <c r="E180" s="18">
        <f t="shared" si="2"/>
        <v>20944.12</v>
      </c>
      <c r="F180" s="18">
        <v>10472.06</v>
      </c>
      <c r="G180" s="18">
        <v>10472.06</v>
      </c>
      <c r="H180" s="18">
        <v>10472.06</v>
      </c>
    </row>
    <row r="181" spans="1:8" x14ac:dyDescent="0.3">
      <c r="A181" s="17">
        <v>45435</v>
      </c>
      <c r="B181" s="17" t="s">
        <v>221</v>
      </c>
      <c r="C181" s="17" t="s">
        <v>54</v>
      </c>
      <c r="D181" s="17" t="s">
        <v>2</v>
      </c>
      <c r="E181" s="18">
        <f t="shared" si="2"/>
        <v>23478.02</v>
      </c>
      <c r="F181" s="18">
        <v>11739.01</v>
      </c>
      <c r="G181" s="18">
        <v>11739.01</v>
      </c>
      <c r="H181" s="18">
        <v>11739.01</v>
      </c>
    </row>
    <row r="182" spans="1:8" x14ac:dyDescent="0.3">
      <c r="A182" s="17">
        <v>45443</v>
      </c>
      <c r="B182" s="17" t="s">
        <v>222</v>
      </c>
      <c r="C182" s="17" t="s">
        <v>62</v>
      </c>
      <c r="D182" s="17" t="s">
        <v>2</v>
      </c>
      <c r="E182" s="18">
        <f t="shared" si="2"/>
        <v>7784.3</v>
      </c>
      <c r="F182" s="18">
        <v>3892.15</v>
      </c>
      <c r="G182" s="18">
        <v>3892.15</v>
      </c>
      <c r="H182" s="18">
        <v>3892.15</v>
      </c>
    </row>
    <row r="183" spans="1:8" x14ac:dyDescent="0.3">
      <c r="A183" s="17">
        <v>45443</v>
      </c>
      <c r="B183" s="17" t="s">
        <v>222</v>
      </c>
      <c r="C183" s="17" t="s">
        <v>62</v>
      </c>
      <c r="D183" s="17" t="s">
        <v>5</v>
      </c>
      <c r="E183" s="18">
        <f t="shared" si="2"/>
        <v>846.14</v>
      </c>
      <c r="F183" s="18">
        <v>423.07</v>
      </c>
      <c r="G183" s="18">
        <v>423.07</v>
      </c>
      <c r="H183" s="18">
        <v>423.07</v>
      </c>
    </row>
    <row r="184" spans="1:8" x14ac:dyDescent="0.3">
      <c r="A184" s="17">
        <v>45450</v>
      </c>
      <c r="B184" s="17" t="s">
        <v>223</v>
      </c>
      <c r="C184" s="17" t="s">
        <v>62</v>
      </c>
      <c r="D184" s="17" t="s">
        <v>33</v>
      </c>
      <c r="E184" s="18">
        <f t="shared" si="2"/>
        <v>1935.16</v>
      </c>
      <c r="F184" s="18">
        <v>967.58</v>
      </c>
      <c r="G184" s="18">
        <v>967.58</v>
      </c>
      <c r="H184" s="18">
        <v>967.58</v>
      </c>
    </row>
    <row r="185" spans="1:8" x14ac:dyDescent="0.3">
      <c r="A185" s="17">
        <v>45450</v>
      </c>
      <c r="B185" s="17" t="s">
        <v>223</v>
      </c>
      <c r="C185" s="17" t="s">
        <v>62</v>
      </c>
      <c r="D185" s="17" t="s">
        <v>2</v>
      </c>
      <c r="E185" s="18">
        <f t="shared" si="2"/>
        <v>17803.48</v>
      </c>
      <c r="F185" s="18">
        <v>8901.74</v>
      </c>
      <c r="G185" s="18">
        <v>8901.74</v>
      </c>
      <c r="H185" s="18">
        <v>8901.74</v>
      </c>
    </row>
    <row r="186" spans="1:8" x14ac:dyDescent="0.3">
      <c r="A186" s="17">
        <v>45468</v>
      </c>
      <c r="B186" s="17" t="s">
        <v>224</v>
      </c>
      <c r="C186" s="17" t="s">
        <v>7</v>
      </c>
      <c r="D186" s="17" t="s">
        <v>2</v>
      </c>
      <c r="E186" s="18">
        <f t="shared" si="2"/>
        <v>12490.5</v>
      </c>
      <c r="F186" s="18">
        <v>6245.25</v>
      </c>
      <c r="G186" s="18">
        <v>6245.25</v>
      </c>
      <c r="H186" s="18">
        <v>6245.25</v>
      </c>
    </row>
    <row r="187" spans="1:8" x14ac:dyDescent="0.3">
      <c r="A187" s="17">
        <v>45476</v>
      </c>
      <c r="B187" s="17" t="s">
        <v>225</v>
      </c>
      <c r="C187" s="17" t="s">
        <v>226</v>
      </c>
      <c r="D187" s="17" t="s">
        <v>2</v>
      </c>
      <c r="E187" s="18">
        <f t="shared" si="2"/>
        <v>762690.94</v>
      </c>
      <c r="F187" s="18">
        <v>381345.47</v>
      </c>
      <c r="G187" s="18">
        <v>381345.47</v>
      </c>
      <c r="H187" s="18">
        <v>381345.47</v>
      </c>
    </row>
    <row r="188" spans="1:8" x14ac:dyDescent="0.3">
      <c r="A188" s="17">
        <v>45484</v>
      </c>
      <c r="B188" s="17" t="s">
        <v>227</v>
      </c>
      <c r="C188" s="17" t="s">
        <v>167</v>
      </c>
      <c r="D188" s="17" t="s">
        <v>33</v>
      </c>
      <c r="E188" s="18">
        <f t="shared" si="2"/>
        <v>1123.06</v>
      </c>
      <c r="F188" s="18">
        <v>561.53</v>
      </c>
      <c r="G188" s="18">
        <v>561.53</v>
      </c>
      <c r="H188" s="18">
        <v>561.53</v>
      </c>
    </row>
    <row r="189" spans="1:8" x14ac:dyDescent="0.3">
      <c r="A189" s="17">
        <v>45484</v>
      </c>
      <c r="B189" s="17" t="s">
        <v>227</v>
      </c>
      <c r="C189" s="17" t="s">
        <v>167</v>
      </c>
      <c r="D189" s="17" t="s">
        <v>2</v>
      </c>
      <c r="E189" s="18">
        <f t="shared" si="2"/>
        <v>11230.54</v>
      </c>
      <c r="F189" s="18">
        <v>5615.27</v>
      </c>
      <c r="G189" s="18">
        <v>5615.27</v>
      </c>
      <c r="H189" s="18">
        <v>5615.27</v>
      </c>
    </row>
    <row r="190" spans="1:8" x14ac:dyDescent="0.3">
      <c r="A190" s="17">
        <v>45492</v>
      </c>
      <c r="B190" s="17" t="s">
        <v>228</v>
      </c>
      <c r="C190" s="17" t="s">
        <v>134</v>
      </c>
      <c r="D190" s="17" t="s">
        <v>2</v>
      </c>
      <c r="E190" s="18">
        <f t="shared" si="2"/>
        <v>111417.14</v>
      </c>
      <c r="F190" s="18">
        <v>55708.57</v>
      </c>
      <c r="G190" s="18">
        <v>55708.57</v>
      </c>
      <c r="H190" s="18">
        <v>55708.57</v>
      </c>
    </row>
    <row r="191" spans="1:8" x14ac:dyDescent="0.3">
      <c r="A191" s="17">
        <v>45500</v>
      </c>
      <c r="B191" s="17" t="s">
        <v>229</v>
      </c>
      <c r="C191" s="17" t="s">
        <v>230</v>
      </c>
      <c r="D191" s="17" t="s">
        <v>2</v>
      </c>
      <c r="E191" s="18">
        <f t="shared" si="2"/>
        <v>15591.08</v>
      </c>
      <c r="F191" s="18">
        <v>7795.54</v>
      </c>
      <c r="G191" s="18">
        <v>7795.54</v>
      </c>
      <c r="H191" s="18">
        <v>7795.54</v>
      </c>
    </row>
    <row r="192" spans="1:8" x14ac:dyDescent="0.3">
      <c r="A192" s="17">
        <v>45518</v>
      </c>
      <c r="B192" s="17" t="s">
        <v>231</v>
      </c>
      <c r="C192" s="17" t="s">
        <v>137</v>
      </c>
      <c r="D192" s="17" t="s">
        <v>2</v>
      </c>
      <c r="E192" s="18">
        <f t="shared" si="2"/>
        <v>14976.9</v>
      </c>
      <c r="F192" s="18">
        <v>7488.45</v>
      </c>
      <c r="G192" s="18">
        <v>7488.45</v>
      </c>
      <c r="H192" s="18">
        <v>7488.45</v>
      </c>
    </row>
    <row r="193" spans="1:8" x14ac:dyDescent="0.3">
      <c r="A193" s="17">
        <v>45526</v>
      </c>
      <c r="B193" s="17" t="s">
        <v>232</v>
      </c>
      <c r="C193" s="17" t="s">
        <v>30</v>
      </c>
      <c r="D193" s="17" t="s">
        <v>33</v>
      </c>
      <c r="E193" s="18">
        <f t="shared" si="2"/>
        <v>4746.16</v>
      </c>
      <c r="F193" s="18">
        <v>2373.08</v>
      </c>
      <c r="G193" s="18">
        <v>2373.08</v>
      </c>
      <c r="H193" s="18">
        <v>2373.08</v>
      </c>
    </row>
    <row r="194" spans="1:8" x14ac:dyDescent="0.3">
      <c r="A194" s="17">
        <v>45526</v>
      </c>
      <c r="B194" s="17" t="s">
        <v>232</v>
      </c>
      <c r="C194" s="17" t="s">
        <v>30</v>
      </c>
      <c r="D194" s="17" t="s">
        <v>2</v>
      </c>
      <c r="E194" s="18">
        <f t="shared" si="2"/>
        <v>37969.300000000003</v>
      </c>
      <c r="F194" s="18">
        <v>18984.650000000001</v>
      </c>
      <c r="G194" s="18">
        <v>18984.650000000001</v>
      </c>
      <c r="H194" s="18">
        <v>18984.650000000001</v>
      </c>
    </row>
    <row r="195" spans="1:8" x14ac:dyDescent="0.3">
      <c r="A195" s="17">
        <v>45534</v>
      </c>
      <c r="B195" s="17" t="s">
        <v>233</v>
      </c>
      <c r="C195" s="17" t="s">
        <v>234</v>
      </c>
      <c r="D195" s="17" t="s">
        <v>2</v>
      </c>
      <c r="E195" s="18">
        <f t="shared" si="2"/>
        <v>5033.34</v>
      </c>
      <c r="F195" s="18">
        <v>2516.67</v>
      </c>
      <c r="G195" s="18">
        <v>2516.67</v>
      </c>
      <c r="H195" s="18">
        <v>2516.67</v>
      </c>
    </row>
    <row r="196" spans="1:8" x14ac:dyDescent="0.3">
      <c r="A196" s="17">
        <v>45542</v>
      </c>
      <c r="B196" s="17" t="s">
        <v>235</v>
      </c>
      <c r="C196" s="17" t="s">
        <v>44</v>
      </c>
      <c r="D196" s="17" t="s">
        <v>33</v>
      </c>
      <c r="E196" s="18">
        <f t="shared" si="2"/>
        <v>4449.84</v>
      </c>
      <c r="F196" s="18">
        <v>2224.92</v>
      </c>
      <c r="G196" s="18">
        <v>2224.92</v>
      </c>
      <c r="H196" s="18">
        <v>2224.92</v>
      </c>
    </row>
    <row r="197" spans="1:8" x14ac:dyDescent="0.3">
      <c r="A197" s="17">
        <v>45567</v>
      </c>
      <c r="B197" s="17" t="s">
        <v>236</v>
      </c>
      <c r="C197" s="17" t="s">
        <v>74</v>
      </c>
      <c r="D197" s="17" t="s">
        <v>33</v>
      </c>
      <c r="E197" s="18">
        <f t="shared" si="2"/>
        <v>3284.04</v>
      </c>
      <c r="F197" s="18">
        <v>1642.02</v>
      </c>
      <c r="G197" s="18">
        <v>1642.02</v>
      </c>
      <c r="H197" s="18">
        <v>1642.02</v>
      </c>
    </row>
    <row r="198" spans="1:8" x14ac:dyDescent="0.3">
      <c r="A198" s="17">
        <v>45575</v>
      </c>
      <c r="B198" s="17" t="s">
        <v>237</v>
      </c>
      <c r="C198" s="17" t="s">
        <v>238</v>
      </c>
      <c r="D198" s="17" t="s">
        <v>33</v>
      </c>
      <c r="E198" s="18">
        <f t="shared" si="2"/>
        <v>6456.6</v>
      </c>
      <c r="F198" s="18">
        <v>3228.3</v>
      </c>
      <c r="G198" s="18">
        <v>3228.3</v>
      </c>
      <c r="H198" s="18">
        <v>3228.3</v>
      </c>
    </row>
    <row r="199" spans="1:8" x14ac:dyDescent="0.3">
      <c r="A199" s="17">
        <v>45575</v>
      </c>
      <c r="B199" s="17" t="s">
        <v>237</v>
      </c>
      <c r="C199" s="17" t="s">
        <v>238</v>
      </c>
      <c r="D199" s="17" t="s">
        <v>2</v>
      </c>
      <c r="E199" s="18">
        <f t="shared" si="2"/>
        <v>12913.2</v>
      </c>
      <c r="F199" s="18">
        <v>6456.6</v>
      </c>
      <c r="G199" s="18">
        <v>6456.6</v>
      </c>
      <c r="H199" s="18">
        <v>6456.6</v>
      </c>
    </row>
    <row r="200" spans="1:8" x14ac:dyDescent="0.3">
      <c r="A200" s="17">
        <v>45583</v>
      </c>
      <c r="B200" s="17" t="s">
        <v>239</v>
      </c>
      <c r="C200" s="17" t="s">
        <v>24</v>
      </c>
      <c r="D200" s="17" t="s">
        <v>2</v>
      </c>
      <c r="E200" s="18">
        <f t="shared" si="2"/>
        <v>74758.179999999993</v>
      </c>
      <c r="F200" s="18">
        <v>37379.089999999997</v>
      </c>
      <c r="G200" s="18">
        <v>37379.089999999997</v>
      </c>
      <c r="H200" s="18">
        <v>37379.089999999997</v>
      </c>
    </row>
    <row r="201" spans="1:8" x14ac:dyDescent="0.3">
      <c r="A201" s="17">
        <v>45591</v>
      </c>
      <c r="B201" s="17" t="s">
        <v>240</v>
      </c>
      <c r="C201" s="17" t="s">
        <v>132</v>
      </c>
      <c r="D201" s="17" t="s">
        <v>2</v>
      </c>
      <c r="E201" s="18">
        <f t="shared" si="2"/>
        <v>44597.32</v>
      </c>
      <c r="F201" s="18">
        <v>22298.66</v>
      </c>
      <c r="G201" s="18">
        <v>22298.66</v>
      </c>
      <c r="H201" s="18">
        <v>22298.66</v>
      </c>
    </row>
    <row r="202" spans="1:8" x14ac:dyDescent="0.3">
      <c r="A202" s="17">
        <v>45617</v>
      </c>
      <c r="B202" s="17" t="s">
        <v>241</v>
      </c>
      <c r="C202" s="17" t="s">
        <v>137</v>
      </c>
      <c r="D202" s="17" t="s">
        <v>2</v>
      </c>
      <c r="E202" s="18">
        <f t="shared" si="2"/>
        <v>75093.600000000006</v>
      </c>
      <c r="F202" s="18">
        <v>37546.800000000003</v>
      </c>
      <c r="G202" s="18">
        <v>37546.800000000003</v>
      </c>
      <c r="H202" s="18">
        <v>37546.800000000003</v>
      </c>
    </row>
    <row r="203" spans="1:8" x14ac:dyDescent="0.3">
      <c r="A203" s="17">
        <v>45641</v>
      </c>
      <c r="B203" s="17" t="s">
        <v>242</v>
      </c>
      <c r="C203" s="17" t="s">
        <v>243</v>
      </c>
      <c r="D203" s="17" t="s">
        <v>86</v>
      </c>
      <c r="E203" s="18">
        <f t="shared" si="2"/>
        <v>2122.3200000000002</v>
      </c>
      <c r="F203" s="18">
        <v>1061.1600000000001</v>
      </c>
      <c r="G203" s="18">
        <v>1061.1600000000001</v>
      </c>
      <c r="H203" s="18">
        <v>1061.1600000000001</v>
      </c>
    </row>
    <row r="204" spans="1:8" x14ac:dyDescent="0.3">
      <c r="A204" s="17">
        <v>45641</v>
      </c>
      <c r="B204" s="17" t="s">
        <v>242</v>
      </c>
      <c r="C204" s="17" t="s">
        <v>243</v>
      </c>
      <c r="D204" s="17" t="s">
        <v>2</v>
      </c>
      <c r="E204" s="18">
        <f t="shared" si="2"/>
        <v>14148.82</v>
      </c>
      <c r="F204" s="18">
        <v>7074.41</v>
      </c>
      <c r="G204" s="18">
        <v>7074.41</v>
      </c>
      <c r="H204" s="18">
        <v>7074.41</v>
      </c>
    </row>
    <row r="205" spans="1:8" x14ac:dyDescent="0.3">
      <c r="A205" s="17">
        <v>45666</v>
      </c>
      <c r="B205" s="17" t="s">
        <v>244</v>
      </c>
      <c r="C205" s="17" t="s">
        <v>143</v>
      </c>
      <c r="D205" s="17" t="s">
        <v>33</v>
      </c>
      <c r="E205" s="18">
        <f t="shared" si="2"/>
        <v>2419.62</v>
      </c>
      <c r="F205" s="18">
        <v>1209.81</v>
      </c>
      <c r="G205" s="18">
        <v>1209.81</v>
      </c>
      <c r="H205" s="18">
        <v>1209.81</v>
      </c>
    </row>
    <row r="206" spans="1:8" x14ac:dyDescent="0.3">
      <c r="A206" s="17">
        <v>45674</v>
      </c>
      <c r="B206" s="17" t="s">
        <v>245</v>
      </c>
      <c r="C206" s="17" t="s">
        <v>186</v>
      </c>
      <c r="D206" s="17" t="s">
        <v>2</v>
      </c>
      <c r="E206" s="18">
        <f t="shared" si="2"/>
        <v>5879.8</v>
      </c>
      <c r="F206" s="18">
        <v>2939.9</v>
      </c>
      <c r="G206" s="18">
        <v>2939.9</v>
      </c>
      <c r="H206" s="18">
        <v>2939.9</v>
      </c>
    </row>
    <row r="207" spans="1:8" x14ac:dyDescent="0.3">
      <c r="A207" s="17">
        <v>45757</v>
      </c>
      <c r="B207" s="17" t="s">
        <v>246</v>
      </c>
      <c r="C207" s="17" t="s">
        <v>58</v>
      </c>
      <c r="D207" s="17" t="s">
        <v>33</v>
      </c>
      <c r="E207" s="18">
        <f t="shared" si="2"/>
        <v>2374.7800000000002</v>
      </c>
      <c r="F207" s="18">
        <v>1187.3900000000001</v>
      </c>
      <c r="G207" s="18">
        <v>1187.3900000000001</v>
      </c>
      <c r="H207" s="18">
        <v>1187.3900000000001</v>
      </c>
    </row>
    <row r="208" spans="1:8" x14ac:dyDescent="0.3">
      <c r="A208" s="17">
        <v>45757</v>
      </c>
      <c r="B208" s="17" t="s">
        <v>246</v>
      </c>
      <c r="C208" s="17" t="s">
        <v>58</v>
      </c>
      <c r="D208" s="17" t="s">
        <v>2</v>
      </c>
      <c r="E208" s="18">
        <f t="shared" si="2"/>
        <v>13061.22</v>
      </c>
      <c r="F208" s="18">
        <v>6530.61</v>
      </c>
      <c r="G208" s="18">
        <v>6530.61</v>
      </c>
      <c r="H208" s="18">
        <v>6530.61</v>
      </c>
    </row>
    <row r="209" spans="1:8" x14ac:dyDescent="0.3">
      <c r="A209" s="17">
        <v>45765</v>
      </c>
      <c r="B209" s="17" t="s">
        <v>247</v>
      </c>
      <c r="C209" s="17" t="s">
        <v>58</v>
      </c>
      <c r="D209" s="17" t="s">
        <v>2</v>
      </c>
      <c r="E209" s="18">
        <f t="shared" si="2"/>
        <v>211466.14</v>
      </c>
      <c r="F209" s="18">
        <v>105733.07</v>
      </c>
      <c r="G209" s="18">
        <v>105733.07</v>
      </c>
      <c r="H209" s="18">
        <v>105733.07</v>
      </c>
    </row>
    <row r="210" spans="1:8" x14ac:dyDescent="0.3">
      <c r="A210" s="17">
        <v>45781</v>
      </c>
      <c r="B210" s="17" t="s">
        <v>248</v>
      </c>
      <c r="C210" s="17" t="s">
        <v>58</v>
      </c>
      <c r="D210" s="17" t="s">
        <v>2</v>
      </c>
      <c r="E210" s="18">
        <f t="shared" si="2"/>
        <v>23568.54</v>
      </c>
      <c r="F210" s="18">
        <v>11784.27</v>
      </c>
      <c r="G210" s="18">
        <v>11784.27</v>
      </c>
      <c r="H210" s="18">
        <v>11784.27</v>
      </c>
    </row>
    <row r="211" spans="1:8" x14ac:dyDescent="0.3">
      <c r="A211" s="17">
        <v>45799</v>
      </c>
      <c r="B211" s="17" t="s">
        <v>249</v>
      </c>
      <c r="C211" s="17" t="s">
        <v>58</v>
      </c>
      <c r="D211" s="17" t="s">
        <v>2</v>
      </c>
      <c r="E211" s="18">
        <f t="shared" si="2"/>
        <v>200113</v>
      </c>
      <c r="F211" s="18">
        <v>100056.5</v>
      </c>
      <c r="G211" s="18">
        <v>100056.5</v>
      </c>
      <c r="H211" s="18">
        <v>100056.5</v>
      </c>
    </row>
    <row r="212" spans="1:8" x14ac:dyDescent="0.3">
      <c r="A212" s="17">
        <v>45807</v>
      </c>
      <c r="B212" s="17" t="s">
        <v>250</v>
      </c>
      <c r="C212" s="17" t="s">
        <v>58</v>
      </c>
      <c r="D212" s="17" t="s">
        <v>251</v>
      </c>
      <c r="E212" s="18">
        <f t="shared" si="2"/>
        <v>2136.6799999999998</v>
      </c>
      <c r="F212" s="18">
        <v>1068.3399999999999</v>
      </c>
      <c r="G212" s="18">
        <v>1068.3399999999999</v>
      </c>
      <c r="H212" s="18">
        <v>1068.3399999999999</v>
      </c>
    </row>
    <row r="213" spans="1:8" x14ac:dyDescent="0.3">
      <c r="A213" s="17">
        <v>45807</v>
      </c>
      <c r="B213" s="17" t="s">
        <v>250</v>
      </c>
      <c r="C213" s="17" t="s">
        <v>58</v>
      </c>
      <c r="D213" s="17" t="s">
        <v>2</v>
      </c>
      <c r="E213" s="18">
        <f t="shared" ref="E213:E276" si="3">F213+H213</f>
        <v>5982.7</v>
      </c>
      <c r="F213" s="18">
        <v>2991.35</v>
      </c>
      <c r="G213" s="18">
        <v>2991.35</v>
      </c>
      <c r="H213" s="18">
        <v>2991.35</v>
      </c>
    </row>
    <row r="214" spans="1:8" x14ac:dyDescent="0.3">
      <c r="A214" s="17">
        <v>45823</v>
      </c>
      <c r="B214" s="17" t="s">
        <v>252</v>
      </c>
      <c r="C214" s="17" t="s">
        <v>7</v>
      </c>
      <c r="D214" s="17" t="s">
        <v>2</v>
      </c>
      <c r="E214" s="18">
        <f t="shared" si="3"/>
        <v>4864.8999999999996</v>
      </c>
      <c r="F214" s="18">
        <v>2432.4499999999998</v>
      </c>
      <c r="G214" s="18">
        <v>2432.4499999999998</v>
      </c>
      <c r="H214" s="18">
        <v>2432.4499999999998</v>
      </c>
    </row>
    <row r="215" spans="1:8" x14ac:dyDescent="0.3">
      <c r="A215" s="17">
        <v>45823</v>
      </c>
      <c r="B215" s="17" t="s">
        <v>252</v>
      </c>
      <c r="C215" s="17" t="s">
        <v>7</v>
      </c>
      <c r="D215" s="17" t="s">
        <v>2</v>
      </c>
      <c r="E215" s="18">
        <f t="shared" si="3"/>
        <v>6810.88</v>
      </c>
      <c r="F215" s="18">
        <v>3405.44</v>
      </c>
      <c r="G215" s="18">
        <v>3405.44</v>
      </c>
      <c r="H215" s="18">
        <v>3405.44</v>
      </c>
    </row>
    <row r="216" spans="1:8" x14ac:dyDescent="0.3">
      <c r="A216" s="17">
        <v>45831</v>
      </c>
      <c r="B216" s="17" t="s">
        <v>253</v>
      </c>
      <c r="C216" s="17" t="s">
        <v>7</v>
      </c>
      <c r="D216" s="17" t="s">
        <v>33</v>
      </c>
      <c r="E216" s="18">
        <f t="shared" si="3"/>
        <v>1601.74</v>
      </c>
      <c r="F216" s="18">
        <v>800.87</v>
      </c>
      <c r="G216" s="18">
        <v>800.87</v>
      </c>
      <c r="H216" s="18">
        <v>800.87</v>
      </c>
    </row>
    <row r="217" spans="1:8" x14ac:dyDescent="0.3">
      <c r="A217" s="17">
        <v>45831</v>
      </c>
      <c r="B217" s="17" t="s">
        <v>253</v>
      </c>
      <c r="C217" s="17" t="s">
        <v>7</v>
      </c>
      <c r="D217" s="17" t="s">
        <v>2</v>
      </c>
      <c r="E217" s="18">
        <f t="shared" si="3"/>
        <v>12813.96</v>
      </c>
      <c r="F217" s="18">
        <v>6406.98</v>
      </c>
      <c r="G217" s="18">
        <v>6406.98</v>
      </c>
      <c r="H217" s="18">
        <v>6406.98</v>
      </c>
    </row>
    <row r="218" spans="1:8" x14ac:dyDescent="0.3">
      <c r="A218" s="17">
        <v>45856</v>
      </c>
      <c r="B218" s="17" t="s">
        <v>254</v>
      </c>
      <c r="C218" s="17" t="s">
        <v>9</v>
      </c>
      <c r="D218" s="17" t="s">
        <v>2</v>
      </c>
      <c r="E218" s="18">
        <f t="shared" si="3"/>
        <v>114524.14</v>
      </c>
      <c r="F218" s="18">
        <v>57262.07</v>
      </c>
      <c r="G218" s="18">
        <v>57262.07</v>
      </c>
      <c r="H218" s="18">
        <v>57262.07</v>
      </c>
    </row>
    <row r="219" spans="1:8" x14ac:dyDescent="0.3">
      <c r="A219" s="17">
        <v>45864</v>
      </c>
      <c r="B219" s="17" t="s">
        <v>255</v>
      </c>
      <c r="C219" s="17" t="s">
        <v>9</v>
      </c>
      <c r="D219" s="17" t="s">
        <v>33</v>
      </c>
      <c r="E219" s="18">
        <f t="shared" si="3"/>
        <v>6397.66</v>
      </c>
      <c r="F219" s="18">
        <v>3198.83</v>
      </c>
      <c r="G219" s="18">
        <v>3198.83</v>
      </c>
      <c r="H219" s="18">
        <v>3198.83</v>
      </c>
    </row>
    <row r="220" spans="1:8" x14ac:dyDescent="0.3">
      <c r="A220" s="17">
        <v>45864</v>
      </c>
      <c r="B220" s="17" t="s">
        <v>255</v>
      </c>
      <c r="C220" s="17" t="s">
        <v>9</v>
      </c>
      <c r="D220" s="17" t="s">
        <v>2</v>
      </c>
      <c r="E220" s="18">
        <f t="shared" si="3"/>
        <v>19832.740000000002</v>
      </c>
      <c r="F220" s="18">
        <v>9916.3700000000008</v>
      </c>
      <c r="G220" s="18">
        <v>9916.3700000000008</v>
      </c>
      <c r="H220" s="18">
        <v>9916.3700000000008</v>
      </c>
    </row>
    <row r="221" spans="1:8" x14ac:dyDescent="0.3">
      <c r="A221" s="17">
        <v>45872</v>
      </c>
      <c r="B221" s="17" t="s">
        <v>256</v>
      </c>
      <c r="C221" s="17" t="s">
        <v>9</v>
      </c>
      <c r="D221" s="17" t="s">
        <v>2</v>
      </c>
      <c r="E221" s="18">
        <f t="shared" si="3"/>
        <v>44666.559999999998</v>
      </c>
      <c r="F221" s="18">
        <v>22333.279999999999</v>
      </c>
      <c r="G221" s="18">
        <v>22333.279999999999</v>
      </c>
      <c r="H221" s="18">
        <v>22333.279999999999</v>
      </c>
    </row>
    <row r="222" spans="1:8" x14ac:dyDescent="0.3">
      <c r="A222" s="17">
        <v>45880</v>
      </c>
      <c r="B222" s="17" t="s">
        <v>257</v>
      </c>
      <c r="C222" s="17" t="s">
        <v>9</v>
      </c>
      <c r="D222" s="17" t="s">
        <v>33</v>
      </c>
      <c r="E222" s="18">
        <f t="shared" si="3"/>
        <v>3666.16</v>
      </c>
      <c r="F222" s="18">
        <v>1833.08</v>
      </c>
      <c r="G222" s="18">
        <v>1833.08</v>
      </c>
      <c r="H222" s="18">
        <v>1833.08</v>
      </c>
    </row>
    <row r="223" spans="1:8" x14ac:dyDescent="0.3">
      <c r="A223" s="17">
        <v>45906</v>
      </c>
      <c r="B223" s="17" t="s">
        <v>258</v>
      </c>
      <c r="C223" s="17" t="s">
        <v>11</v>
      </c>
      <c r="D223" s="17" t="s">
        <v>33</v>
      </c>
      <c r="E223" s="18">
        <f t="shared" si="3"/>
        <v>1926.34</v>
      </c>
      <c r="F223" s="18">
        <v>963.17</v>
      </c>
      <c r="G223" s="18">
        <v>963.17</v>
      </c>
      <c r="H223" s="18">
        <v>963.17</v>
      </c>
    </row>
    <row r="224" spans="1:8" x14ac:dyDescent="0.3">
      <c r="A224" s="17">
        <v>45914</v>
      </c>
      <c r="B224" s="17" t="s">
        <v>259</v>
      </c>
      <c r="C224" s="17" t="s">
        <v>11</v>
      </c>
      <c r="D224" s="17" t="s">
        <v>260</v>
      </c>
      <c r="E224" s="18">
        <f t="shared" si="3"/>
        <v>1639.6</v>
      </c>
      <c r="F224" s="18">
        <v>819.8</v>
      </c>
      <c r="G224" s="18">
        <v>819.8</v>
      </c>
      <c r="H224" s="18">
        <v>819.8</v>
      </c>
    </row>
    <row r="225" spans="1:8" x14ac:dyDescent="0.3">
      <c r="A225" s="17">
        <v>45914</v>
      </c>
      <c r="B225" s="17" t="s">
        <v>259</v>
      </c>
      <c r="C225" s="17" t="s">
        <v>11</v>
      </c>
      <c r="D225" s="17" t="s">
        <v>2</v>
      </c>
      <c r="E225" s="18">
        <f t="shared" si="3"/>
        <v>11477.16</v>
      </c>
      <c r="F225" s="18">
        <v>5738.58</v>
      </c>
      <c r="G225" s="18">
        <v>5738.58</v>
      </c>
      <c r="H225" s="18">
        <v>5738.58</v>
      </c>
    </row>
    <row r="226" spans="1:8" x14ac:dyDescent="0.3">
      <c r="A226" s="17">
        <v>45922</v>
      </c>
      <c r="B226" s="17" t="s">
        <v>261</v>
      </c>
      <c r="C226" s="17" t="s">
        <v>11</v>
      </c>
      <c r="D226" s="17" t="s">
        <v>262</v>
      </c>
      <c r="E226" s="18">
        <f t="shared" si="3"/>
        <v>997.94</v>
      </c>
      <c r="F226" s="18">
        <v>498.97</v>
      </c>
      <c r="G226" s="18">
        <v>498.97</v>
      </c>
      <c r="H226" s="18">
        <v>498.97</v>
      </c>
    </row>
    <row r="227" spans="1:8" x14ac:dyDescent="0.3">
      <c r="A227" s="17">
        <v>45948</v>
      </c>
      <c r="B227" s="17" t="s">
        <v>263</v>
      </c>
      <c r="C227" s="17" t="s">
        <v>145</v>
      </c>
      <c r="D227" s="17" t="s">
        <v>172</v>
      </c>
      <c r="E227" s="18">
        <f t="shared" si="3"/>
        <v>5449.94</v>
      </c>
      <c r="F227" s="18">
        <v>2724.97</v>
      </c>
      <c r="G227" s="18">
        <v>2724.97</v>
      </c>
      <c r="H227" s="18">
        <v>2724.97</v>
      </c>
    </row>
    <row r="228" spans="1:8" x14ac:dyDescent="0.3">
      <c r="A228" s="17">
        <v>45948</v>
      </c>
      <c r="B228" s="17" t="s">
        <v>263</v>
      </c>
      <c r="C228" s="17" t="s">
        <v>145</v>
      </c>
      <c r="D228" s="17" t="s">
        <v>2</v>
      </c>
      <c r="E228" s="18">
        <f t="shared" si="3"/>
        <v>21799.74</v>
      </c>
      <c r="F228" s="18">
        <v>10899.87</v>
      </c>
      <c r="G228" s="18">
        <v>10899.87</v>
      </c>
      <c r="H228" s="18">
        <v>10899.87</v>
      </c>
    </row>
    <row r="229" spans="1:8" x14ac:dyDescent="0.3">
      <c r="A229" s="17">
        <v>45955</v>
      </c>
      <c r="B229" s="17" t="s">
        <v>264</v>
      </c>
      <c r="C229" s="17" t="s">
        <v>145</v>
      </c>
      <c r="D229" s="17" t="s">
        <v>2</v>
      </c>
      <c r="E229" s="18">
        <f t="shared" si="3"/>
        <v>15241.1</v>
      </c>
      <c r="F229" s="18">
        <v>7620.55</v>
      </c>
      <c r="G229" s="18">
        <v>7620.55</v>
      </c>
      <c r="H229" s="18">
        <v>7620.55</v>
      </c>
    </row>
    <row r="230" spans="1:8" x14ac:dyDescent="0.3">
      <c r="A230" s="17">
        <v>45963</v>
      </c>
      <c r="B230" s="17" t="s">
        <v>265</v>
      </c>
      <c r="C230" s="17" t="s">
        <v>145</v>
      </c>
      <c r="D230" s="17" t="s">
        <v>2</v>
      </c>
      <c r="E230" s="18">
        <f t="shared" si="3"/>
        <v>2906.08</v>
      </c>
      <c r="F230" s="18">
        <v>1453.04</v>
      </c>
      <c r="G230" s="18">
        <v>1453.04</v>
      </c>
      <c r="H230" s="18">
        <v>1453.04</v>
      </c>
    </row>
    <row r="231" spans="1:8" x14ac:dyDescent="0.3">
      <c r="A231" s="17">
        <v>45971</v>
      </c>
      <c r="B231" s="17" t="s">
        <v>266</v>
      </c>
      <c r="C231" s="17" t="s">
        <v>145</v>
      </c>
      <c r="D231" s="17" t="s">
        <v>267</v>
      </c>
      <c r="E231" s="18">
        <f t="shared" si="3"/>
        <v>446.1</v>
      </c>
      <c r="F231" s="18">
        <v>223.05</v>
      </c>
      <c r="G231" s="18">
        <v>223.05</v>
      </c>
      <c r="H231" s="18">
        <v>223.05</v>
      </c>
    </row>
    <row r="232" spans="1:8" x14ac:dyDescent="0.3">
      <c r="A232" s="17">
        <v>45971</v>
      </c>
      <c r="B232" s="17" t="s">
        <v>266</v>
      </c>
      <c r="C232" s="17" t="s">
        <v>145</v>
      </c>
      <c r="D232" s="17" t="s">
        <v>2</v>
      </c>
      <c r="E232" s="18">
        <f t="shared" si="3"/>
        <v>4371.7</v>
      </c>
      <c r="F232" s="18">
        <v>2185.85</v>
      </c>
      <c r="G232" s="18">
        <v>2185.85</v>
      </c>
      <c r="H232" s="18">
        <v>2185.85</v>
      </c>
    </row>
    <row r="233" spans="1:8" x14ac:dyDescent="0.3">
      <c r="A233" s="17">
        <v>46003</v>
      </c>
      <c r="B233" s="17" t="s">
        <v>268</v>
      </c>
      <c r="C233" s="17" t="s">
        <v>17</v>
      </c>
      <c r="D233" s="17" t="s">
        <v>2</v>
      </c>
      <c r="E233" s="18">
        <f t="shared" si="3"/>
        <v>19299.400000000001</v>
      </c>
      <c r="F233" s="18">
        <v>9649.7000000000007</v>
      </c>
      <c r="G233" s="18">
        <v>9649.7000000000007</v>
      </c>
      <c r="H233" s="18">
        <v>9649.7000000000007</v>
      </c>
    </row>
    <row r="234" spans="1:8" x14ac:dyDescent="0.3">
      <c r="A234" s="17">
        <v>46011</v>
      </c>
      <c r="B234" s="17" t="s">
        <v>269</v>
      </c>
      <c r="C234" s="17" t="s">
        <v>17</v>
      </c>
      <c r="D234" s="17" t="s">
        <v>33</v>
      </c>
      <c r="E234" s="18">
        <f t="shared" si="3"/>
        <v>1919.7</v>
      </c>
      <c r="F234" s="18">
        <v>959.85</v>
      </c>
      <c r="G234" s="18">
        <v>959.85</v>
      </c>
      <c r="H234" s="18">
        <v>959.85</v>
      </c>
    </row>
    <row r="235" spans="1:8" x14ac:dyDescent="0.3">
      <c r="A235" s="17">
        <v>46037</v>
      </c>
      <c r="B235" s="17" t="s">
        <v>270</v>
      </c>
      <c r="C235" s="17" t="s">
        <v>213</v>
      </c>
      <c r="D235" s="17" t="s">
        <v>271</v>
      </c>
      <c r="E235" s="18">
        <f t="shared" si="3"/>
        <v>1338.56</v>
      </c>
      <c r="F235" s="18">
        <v>669.28</v>
      </c>
      <c r="G235" s="18">
        <v>669.28</v>
      </c>
      <c r="H235" s="18">
        <v>669.28</v>
      </c>
    </row>
    <row r="236" spans="1:8" x14ac:dyDescent="0.3">
      <c r="A236" s="17">
        <v>46037</v>
      </c>
      <c r="B236" s="17" t="s">
        <v>270</v>
      </c>
      <c r="C236" s="17" t="s">
        <v>213</v>
      </c>
      <c r="D236" s="17" t="s">
        <v>2</v>
      </c>
      <c r="E236" s="18">
        <f t="shared" si="3"/>
        <v>4015.66</v>
      </c>
      <c r="F236" s="18">
        <v>2007.83</v>
      </c>
      <c r="G236" s="18">
        <v>2007.83</v>
      </c>
      <c r="H236" s="18">
        <v>2007.83</v>
      </c>
    </row>
    <row r="237" spans="1:8" x14ac:dyDescent="0.3">
      <c r="A237" s="17">
        <v>46045</v>
      </c>
      <c r="B237" s="17" t="s">
        <v>272</v>
      </c>
      <c r="C237" s="17" t="s">
        <v>213</v>
      </c>
      <c r="D237" s="17" t="s">
        <v>273</v>
      </c>
      <c r="E237" s="18">
        <f t="shared" si="3"/>
        <v>352.2</v>
      </c>
      <c r="F237" s="18">
        <v>176.1</v>
      </c>
      <c r="G237" s="18">
        <v>176.1</v>
      </c>
      <c r="H237" s="18">
        <v>176.1</v>
      </c>
    </row>
    <row r="238" spans="1:8" x14ac:dyDescent="0.3">
      <c r="A238" s="17">
        <v>46045</v>
      </c>
      <c r="B238" s="17" t="s">
        <v>272</v>
      </c>
      <c r="C238" s="17" t="s">
        <v>213</v>
      </c>
      <c r="D238" s="17" t="s">
        <v>2</v>
      </c>
      <c r="E238" s="18">
        <f t="shared" si="3"/>
        <v>704.4</v>
      </c>
      <c r="F238" s="18">
        <v>352.2</v>
      </c>
      <c r="G238" s="18">
        <v>352.2</v>
      </c>
      <c r="H238" s="18">
        <v>352.2</v>
      </c>
    </row>
    <row r="239" spans="1:8" x14ac:dyDescent="0.3">
      <c r="A239" s="17">
        <v>46060</v>
      </c>
      <c r="B239" s="17" t="s">
        <v>274</v>
      </c>
      <c r="C239" s="17" t="s">
        <v>213</v>
      </c>
      <c r="D239" s="17" t="s">
        <v>33</v>
      </c>
      <c r="E239" s="18">
        <f t="shared" si="3"/>
        <v>3783.04</v>
      </c>
      <c r="F239" s="18">
        <v>1891.52</v>
      </c>
      <c r="G239" s="18">
        <v>1891.52</v>
      </c>
      <c r="H239" s="18">
        <v>1891.52</v>
      </c>
    </row>
    <row r="240" spans="1:8" x14ac:dyDescent="0.3">
      <c r="A240" s="17">
        <v>46078</v>
      </c>
      <c r="B240" s="17" t="s">
        <v>275</v>
      </c>
      <c r="C240" s="17" t="s">
        <v>213</v>
      </c>
      <c r="D240" s="17" t="s">
        <v>276</v>
      </c>
      <c r="E240" s="18">
        <f t="shared" si="3"/>
        <v>1148.22</v>
      </c>
      <c r="F240" s="18">
        <v>574.11</v>
      </c>
      <c r="G240" s="18">
        <v>574.11</v>
      </c>
      <c r="H240" s="18">
        <v>574.11</v>
      </c>
    </row>
    <row r="241" spans="1:8" x14ac:dyDescent="0.3">
      <c r="A241" s="17">
        <v>46094</v>
      </c>
      <c r="B241" s="17" t="s">
        <v>277</v>
      </c>
      <c r="C241" s="17" t="s">
        <v>79</v>
      </c>
      <c r="D241" s="17" t="s">
        <v>2</v>
      </c>
      <c r="E241" s="18">
        <f t="shared" si="3"/>
        <v>90775.2</v>
      </c>
      <c r="F241" s="18">
        <v>45387.6</v>
      </c>
      <c r="G241" s="18">
        <v>45387.6</v>
      </c>
      <c r="H241" s="18">
        <v>45387.6</v>
      </c>
    </row>
    <row r="242" spans="1:8" x14ac:dyDescent="0.3">
      <c r="A242" s="17">
        <v>46128</v>
      </c>
      <c r="B242" s="17" t="s">
        <v>278</v>
      </c>
      <c r="C242" s="17" t="s">
        <v>79</v>
      </c>
      <c r="D242" s="17" t="s">
        <v>2</v>
      </c>
      <c r="E242" s="18">
        <f t="shared" si="3"/>
        <v>10630.3</v>
      </c>
      <c r="F242" s="18">
        <v>5315.15</v>
      </c>
      <c r="G242" s="18">
        <v>5315.15</v>
      </c>
      <c r="H242" s="18">
        <v>5315.15</v>
      </c>
    </row>
    <row r="243" spans="1:8" x14ac:dyDescent="0.3">
      <c r="A243" s="17">
        <v>46136</v>
      </c>
      <c r="B243" s="17" t="s">
        <v>279</v>
      </c>
      <c r="C243" s="17" t="s">
        <v>79</v>
      </c>
      <c r="D243" s="17" t="s">
        <v>33</v>
      </c>
      <c r="E243" s="18">
        <f t="shared" si="3"/>
        <v>2652.9</v>
      </c>
      <c r="F243" s="18">
        <v>1326.45</v>
      </c>
      <c r="G243" s="18">
        <v>1326.45</v>
      </c>
      <c r="H243" s="18">
        <v>1326.45</v>
      </c>
    </row>
    <row r="244" spans="1:8" x14ac:dyDescent="0.3">
      <c r="A244" s="17">
        <v>46144</v>
      </c>
      <c r="B244" s="17" t="s">
        <v>280</v>
      </c>
      <c r="C244" s="17" t="s">
        <v>79</v>
      </c>
      <c r="D244" s="17" t="s">
        <v>2</v>
      </c>
      <c r="E244" s="18">
        <f t="shared" si="3"/>
        <v>4717.66</v>
      </c>
      <c r="F244" s="18">
        <v>2358.83</v>
      </c>
      <c r="G244" s="18">
        <v>2358.83</v>
      </c>
      <c r="H244" s="18">
        <v>2358.83</v>
      </c>
    </row>
    <row r="245" spans="1:8" x14ac:dyDescent="0.3">
      <c r="A245" s="17">
        <v>46151</v>
      </c>
      <c r="B245" s="17" t="s">
        <v>281</v>
      </c>
      <c r="C245" s="17" t="s">
        <v>79</v>
      </c>
      <c r="D245" s="17" t="s">
        <v>2</v>
      </c>
      <c r="E245" s="18">
        <f t="shared" si="3"/>
        <v>29478.92</v>
      </c>
      <c r="F245" s="18">
        <v>14739.46</v>
      </c>
      <c r="G245" s="18">
        <v>14739.46</v>
      </c>
      <c r="H245" s="18">
        <v>14739.46</v>
      </c>
    </row>
    <row r="246" spans="1:8" x14ac:dyDescent="0.3">
      <c r="A246" s="17">
        <v>46177</v>
      </c>
      <c r="B246" s="17" t="s">
        <v>282</v>
      </c>
      <c r="C246" s="17" t="s">
        <v>283</v>
      </c>
      <c r="D246" s="17" t="s">
        <v>2</v>
      </c>
      <c r="E246" s="18">
        <f t="shared" si="3"/>
        <v>5418.7</v>
      </c>
      <c r="F246" s="18">
        <v>2709.35</v>
      </c>
      <c r="G246" s="18">
        <v>2709.35</v>
      </c>
      <c r="H246" s="18">
        <v>2709.35</v>
      </c>
    </row>
    <row r="247" spans="1:8" x14ac:dyDescent="0.3">
      <c r="A247" s="17">
        <v>46193</v>
      </c>
      <c r="B247" s="17" t="s">
        <v>284</v>
      </c>
      <c r="C247" s="17" t="s">
        <v>167</v>
      </c>
      <c r="D247" s="17" t="s">
        <v>285</v>
      </c>
      <c r="E247" s="18">
        <f t="shared" si="3"/>
        <v>9786.86</v>
      </c>
      <c r="F247" s="18">
        <v>4893.43</v>
      </c>
      <c r="G247" s="18">
        <v>4893.43</v>
      </c>
      <c r="H247" s="18">
        <v>4893.43</v>
      </c>
    </row>
    <row r="248" spans="1:8" x14ac:dyDescent="0.3">
      <c r="A248" s="17">
        <v>46193</v>
      </c>
      <c r="B248" s="17" t="s">
        <v>284</v>
      </c>
      <c r="C248" s="17" t="s">
        <v>167</v>
      </c>
      <c r="D248" s="17" t="s">
        <v>2</v>
      </c>
      <c r="E248" s="18">
        <f t="shared" si="3"/>
        <v>48934.32</v>
      </c>
      <c r="F248" s="18">
        <v>24467.16</v>
      </c>
      <c r="G248" s="18">
        <v>24467.16</v>
      </c>
      <c r="H248" s="18">
        <v>24467.16</v>
      </c>
    </row>
    <row r="249" spans="1:8" x14ac:dyDescent="0.3">
      <c r="A249" s="17">
        <v>46201</v>
      </c>
      <c r="B249" s="17" t="s">
        <v>286</v>
      </c>
      <c r="C249" s="17" t="s">
        <v>167</v>
      </c>
      <c r="D249" s="17" t="s">
        <v>33</v>
      </c>
      <c r="E249" s="18">
        <f t="shared" si="3"/>
        <v>386.5</v>
      </c>
      <c r="F249" s="18">
        <v>193.25</v>
      </c>
      <c r="G249" s="18">
        <v>193.25</v>
      </c>
      <c r="H249" s="18">
        <v>193.25</v>
      </c>
    </row>
    <row r="250" spans="1:8" x14ac:dyDescent="0.3">
      <c r="A250" s="17">
        <v>46219</v>
      </c>
      <c r="B250" s="17" t="s">
        <v>287</v>
      </c>
      <c r="C250" s="17" t="s">
        <v>167</v>
      </c>
      <c r="D250" s="17" t="s">
        <v>2</v>
      </c>
      <c r="E250" s="18">
        <f t="shared" si="3"/>
        <v>5392.9</v>
      </c>
      <c r="F250" s="18">
        <v>2696.45</v>
      </c>
      <c r="G250" s="18">
        <v>2696.45</v>
      </c>
      <c r="H250" s="18">
        <v>2696.45</v>
      </c>
    </row>
    <row r="251" spans="1:8" x14ac:dyDescent="0.3">
      <c r="A251" s="17">
        <v>46235</v>
      </c>
      <c r="B251" s="17" t="s">
        <v>288</v>
      </c>
      <c r="C251" s="17" t="s">
        <v>154</v>
      </c>
      <c r="D251" s="17" t="s">
        <v>2</v>
      </c>
      <c r="E251" s="18">
        <f t="shared" si="3"/>
        <v>31049.58</v>
      </c>
      <c r="F251" s="18">
        <v>15524.79</v>
      </c>
      <c r="G251" s="18">
        <v>15524.79</v>
      </c>
      <c r="H251" s="18">
        <v>15524.79</v>
      </c>
    </row>
    <row r="252" spans="1:8" x14ac:dyDescent="0.3">
      <c r="A252" s="17">
        <v>46243</v>
      </c>
      <c r="B252" s="17" t="s">
        <v>289</v>
      </c>
      <c r="C252" s="17" t="s">
        <v>154</v>
      </c>
      <c r="D252" s="17" t="s">
        <v>33</v>
      </c>
      <c r="E252" s="18">
        <f t="shared" si="3"/>
        <v>6055.78</v>
      </c>
      <c r="F252" s="18">
        <v>3027.89</v>
      </c>
      <c r="G252" s="18">
        <v>3027.89</v>
      </c>
      <c r="H252" s="18">
        <v>3027.89</v>
      </c>
    </row>
    <row r="253" spans="1:8" x14ac:dyDescent="0.3">
      <c r="A253" s="17">
        <v>46243</v>
      </c>
      <c r="B253" s="17" t="s">
        <v>289</v>
      </c>
      <c r="C253" s="17" t="s">
        <v>154</v>
      </c>
      <c r="D253" s="17" t="s">
        <v>2</v>
      </c>
      <c r="E253" s="18">
        <f t="shared" si="3"/>
        <v>48446.26</v>
      </c>
      <c r="F253" s="18">
        <v>24223.13</v>
      </c>
      <c r="G253" s="18">
        <v>24223.13</v>
      </c>
      <c r="H253" s="18">
        <v>24223.13</v>
      </c>
    </row>
    <row r="254" spans="1:8" x14ac:dyDescent="0.3">
      <c r="A254" s="17">
        <v>46268</v>
      </c>
      <c r="B254" s="17" t="s">
        <v>290</v>
      </c>
      <c r="C254" s="17" t="s">
        <v>154</v>
      </c>
      <c r="D254" s="17" t="s">
        <v>2</v>
      </c>
      <c r="E254" s="18">
        <f t="shared" si="3"/>
        <v>10788.88</v>
      </c>
      <c r="F254" s="18">
        <v>5394.44</v>
      </c>
      <c r="G254" s="18">
        <v>5394.44</v>
      </c>
      <c r="H254" s="18">
        <v>5394.44</v>
      </c>
    </row>
    <row r="255" spans="1:8" x14ac:dyDescent="0.3">
      <c r="A255" s="17">
        <v>46276</v>
      </c>
      <c r="B255" s="17" t="s">
        <v>291</v>
      </c>
      <c r="C255" s="17" t="s">
        <v>154</v>
      </c>
      <c r="D255" s="17" t="s">
        <v>2</v>
      </c>
      <c r="E255" s="18">
        <f t="shared" si="3"/>
        <v>26338.84</v>
      </c>
      <c r="F255" s="18">
        <v>13169.42</v>
      </c>
      <c r="G255" s="18">
        <v>13169.42</v>
      </c>
      <c r="H255" s="18">
        <v>13169.42</v>
      </c>
    </row>
    <row r="256" spans="1:8" x14ac:dyDescent="0.3">
      <c r="A256" s="17">
        <v>46284</v>
      </c>
      <c r="B256" s="17" t="s">
        <v>292</v>
      </c>
      <c r="C256" s="17" t="s">
        <v>154</v>
      </c>
      <c r="D256" s="17" t="s">
        <v>2</v>
      </c>
      <c r="E256" s="18">
        <f t="shared" si="3"/>
        <v>61814.26</v>
      </c>
      <c r="F256" s="18">
        <v>30907.13</v>
      </c>
      <c r="G256" s="18">
        <v>30907.13</v>
      </c>
      <c r="H256" s="18">
        <v>30907.13</v>
      </c>
    </row>
    <row r="257" spans="1:8" x14ac:dyDescent="0.3">
      <c r="A257" s="17">
        <v>46318</v>
      </c>
      <c r="B257" s="17" t="s">
        <v>293</v>
      </c>
      <c r="C257" s="17" t="s">
        <v>230</v>
      </c>
      <c r="D257" s="17" t="s">
        <v>33</v>
      </c>
      <c r="E257" s="18">
        <f t="shared" si="3"/>
        <v>1232.7</v>
      </c>
      <c r="F257" s="18">
        <v>616.35</v>
      </c>
      <c r="G257" s="18">
        <v>616.35</v>
      </c>
      <c r="H257" s="18">
        <v>616.35</v>
      </c>
    </row>
    <row r="258" spans="1:8" x14ac:dyDescent="0.3">
      <c r="A258" s="17">
        <v>46326</v>
      </c>
      <c r="B258" s="17" t="s">
        <v>294</v>
      </c>
      <c r="C258" s="17" t="s">
        <v>230</v>
      </c>
      <c r="D258" s="17" t="s">
        <v>2</v>
      </c>
      <c r="E258" s="18">
        <f t="shared" si="3"/>
        <v>37109.68</v>
      </c>
      <c r="F258" s="18">
        <v>18554.84</v>
      </c>
      <c r="G258" s="18">
        <v>18554.84</v>
      </c>
      <c r="H258" s="18">
        <v>18554.84</v>
      </c>
    </row>
    <row r="259" spans="1:8" x14ac:dyDescent="0.3">
      <c r="A259" s="17">
        <v>46334</v>
      </c>
      <c r="B259" s="17" t="s">
        <v>295</v>
      </c>
      <c r="C259" s="17" t="s">
        <v>230</v>
      </c>
      <c r="D259" s="17" t="s">
        <v>296</v>
      </c>
      <c r="E259" s="18">
        <f t="shared" si="3"/>
        <v>344.82</v>
      </c>
      <c r="F259" s="18">
        <v>172.41</v>
      </c>
      <c r="G259" s="18">
        <v>172.41</v>
      </c>
      <c r="H259" s="18">
        <v>172.41</v>
      </c>
    </row>
    <row r="260" spans="1:8" x14ac:dyDescent="0.3">
      <c r="A260" s="17">
        <v>46342</v>
      </c>
      <c r="B260" s="17" t="s">
        <v>297</v>
      </c>
      <c r="C260" s="17" t="s">
        <v>230</v>
      </c>
      <c r="D260" s="17" t="s">
        <v>33</v>
      </c>
      <c r="E260" s="18">
        <f t="shared" si="3"/>
        <v>2439.8000000000002</v>
      </c>
      <c r="F260" s="18">
        <v>1219.9000000000001</v>
      </c>
      <c r="G260" s="18">
        <v>1219.9000000000001</v>
      </c>
      <c r="H260" s="18">
        <v>1219.9000000000001</v>
      </c>
    </row>
    <row r="261" spans="1:8" x14ac:dyDescent="0.3">
      <c r="A261" s="17">
        <v>46342</v>
      </c>
      <c r="B261" s="17" t="s">
        <v>297</v>
      </c>
      <c r="C261" s="17" t="s">
        <v>230</v>
      </c>
      <c r="D261" s="17" t="s">
        <v>2</v>
      </c>
      <c r="E261" s="18">
        <f t="shared" si="3"/>
        <v>975.92</v>
      </c>
      <c r="F261" s="18">
        <v>487.96</v>
      </c>
      <c r="G261" s="18">
        <v>487.96</v>
      </c>
      <c r="H261" s="18">
        <v>487.96</v>
      </c>
    </row>
    <row r="262" spans="1:8" x14ac:dyDescent="0.3">
      <c r="A262" s="17">
        <v>46359</v>
      </c>
      <c r="B262" s="17" t="s">
        <v>298</v>
      </c>
      <c r="C262" s="17" t="s">
        <v>230</v>
      </c>
      <c r="D262" s="17" t="s">
        <v>2</v>
      </c>
      <c r="E262" s="18">
        <f t="shared" si="3"/>
        <v>244518.06</v>
      </c>
      <c r="F262" s="18">
        <v>122259.03</v>
      </c>
      <c r="G262" s="18">
        <v>122259.03</v>
      </c>
      <c r="H262" s="18">
        <v>122259.03</v>
      </c>
    </row>
    <row r="263" spans="1:8" x14ac:dyDescent="0.3">
      <c r="A263" s="17">
        <v>46367</v>
      </c>
      <c r="B263" s="17" t="s">
        <v>299</v>
      </c>
      <c r="C263" s="17" t="s">
        <v>230</v>
      </c>
      <c r="D263" s="17" t="s">
        <v>33</v>
      </c>
      <c r="E263" s="18">
        <f t="shared" si="3"/>
        <v>2428.52</v>
      </c>
      <c r="F263" s="18">
        <v>1214.26</v>
      </c>
      <c r="G263" s="18">
        <v>1214.26</v>
      </c>
      <c r="H263" s="18">
        <v>1214.26</v>
      </c>
    </row>
    <row r="264" spans="1:8" x14ac:dyDescent="0.3">
      <c r="A264" s="17">
        <v>46383</v>
      </c>
      <c r="B264" s="17" t="s">
        <v>300</v>
      </c>
      <c r="C264" s="17" t="s">
        <v>182</v>
      </c>
      <c r="D264" s="17" t="s">
        <v>33</v>
      </c>
      <c r="E264" s="18">
        <f t="shared" si="3"/>
        <v>7193.28</v>
      </c>
      <c r="F264" s="18">
        <v>3596.64</v>
      </c>
      <c r="G264" s="18">
        <v>3596.64</v>
      </c>
      <c r="H264" s="18">
        <v>3596.64</v>
      </c>
    </row>
    <row r="265" spans="1:8" x14ac:dyDescent="0.3">
      <c r="A265" s="17">
        <v>46383</v>
      </c>
      <c r="B265" s="17" t="s">
        <v>300</v>
      </c>
      <c r="C265" s="17" t="s">
        <v>182</v>
      </c>
      <c r="D265" s="17" t="s">
        <v>2</v>
      </c>
      <c r="E265" s="18">
        <f t="shared" si="3"/>
        <v>14386.56</v>
      </c>
      <c r="F265" s="18">
        <v>7193.28</v>
      </c>
      <c r="G265" s="18">
        <v>7193.28</v>
      </c>
      <c r="H265" s="18">
        <v>7193.28</v>
      </c>
    </row>
    <row r="266" spans="1:8" x14ac:dyDescent="0.3">
      <c r="A266" s="17">
        <v>46391</v>
      </c>
      <c r="B266" s="17" t="s">
        <v>301</v>
      </c>
      <c r="C266" s="17" t="s">
        <v>182</v>
      </c>
      <c r="D266" s="17" t="s">
        <v>33</v>
      </c>
      <c r="E266" s="18">
        <f t="shared" si="3"/>
        <v>1214.76</v>
      </c>
      <c r="F266" s="18">
        <v>607.38</v>
      </c>
      <c r="G266" s="18">
        <v>607.38</v>
      </c>
      <c r="H266" s="18">
        <v>607.38</v>
      </c>
    </row>
    <row r="267" spans="1:8" x14ac:dyDescent="0.3">
      <c r="A267" s="17">
        <v>46409</v>
      </c>
      <c r="B267" s="17" t="s">
        <v>302</v>
      </c>
      <c r="C267" s="17" t="s">
        <v>182</v>
      </c>
      <c r="D267" s="17" t="s">
        <v>5</v>
      </c>
      <c r="E267" s="18">
        <f t="shared" si="3"/>
        <v>9268.1</v>
      </c>
      <c r="F267" s="18">
        <v>4634.05</v>
      </c>
      <c r="G267" s="18">
        <v>4634.05</v>
      </c>
      <c r="H267" s="18">
        <v>4634.05</v>
      </c>
    </row>
    <row r="268" spans="1:8" x14ac:dyDescent="0.3">
      <c r="A268" s="17">
        <v>46409</v>
      </c>
      <c r="B268" s="17" t="s">
        <v>302</v>
      </c>
      <c r="C268" s="17" t="s">
        <v>182</v>
      </c>
      <c r="D268" s="17" t="s">
        <v>2</v>
      </c>
      <c r="E268" s="18">
        <f t="shared" si="3"/>
        <v>55608.62</v>
      </c>
      <c r="F268" s="18">
        <v>27804.31</v>
      </c>
      <c r="G268" s="18">
        <v>27804.31</v>
      </c>
      <c r="H268" s="18">
        <v>27804.31</v>
      </c>
    </row>
    <row r="269" spans="1:8" x14ac:dyDescent="0.3">
      <c r="A269" s="17">
        <v>46433</v>
      </c>
      <c r="B269" s="17" t="s">
        <v>303</v>
      </c>
      <c r="C269" s="17" t="s">
        <v>62</v>
      </c>
      <c r="D269" s="17" t="s">
        <v>304</v>
      </c>
      <c r="E269" s="18">
        <f t="shared" si="3"/>
        <v>1993.54</v>
      </c>
      <c r="F269" s="18">
        <v>996.77</v>
      </c>
      <c r="G269" s="18">
        <v>996.77</v>
      </c>
      <c r="H269" s="18">
        <v>996.77</v>
      </c>
    </row>
    <row r="270" spans="1:8" x14ac:dyDescent="0.3">
      <c r="A270" s="17">
        <v>46433</v>
      </c>
      <c r="B270" s="17" t="s">
        <v>303</v>
      </c>
      <c r="C270" s="17" t="s">
        <v>62</v>
      </c>
      <c r="D270" s="17" t="s">
        <v>2</v>
      </c>
      <c r="E270" s="18">
        <f t="shared" si="3"/>
        <v>7974.12</v>
      </c>
      <c r="F270" s="18">
        <v>3987.06</v>
      </c>
      <c r="G270" s="18">
        <v>3987.06</v>
      </c>
      <c r="H270" s="18">
        <v>3987.06</v>
      </c>
    </row>
    <row r="271" spans="1:8" x14ac:dyDescent="0.3">
      <c r="A271" s="17">
        <v>46441</v>
      </c>
      <c r="B271" s="17" t="s">
        <v>305</v>
      </c>
      <c r="C271" s="17" t="s">
        <v>62</v>
      </c>
      <c r="D271" s="17" t="s">
        <v>33</v>
      </c>
      <c r="E271" s="18">
        <f t="shared" si="3"/>
        <v>1324.3</v>
      </c>
      <c r="F271" s="18">
        <v>662.15</v>
      </c>
      <c r="G271" s="18">
        <v>662.15</v>
      </c>
      <c r="H271" s="18">
        <v>662.15</v>
      </c>
    </row>
    <row r="272" spans="1:8" x14ac:dyDescent="0.3">
      <c r="A272" s="17">
        <v>46458</v>
      </c>
      <c r="B272" s="17" t="s">
        <v>306</v>
      </c>
      <c r="C272" s="17" t="s">
        <v>62</v>
      </c>
      <c r="D272" s="17" t="s">
        <v>2</v>
      </c>
      <c r="E272" s="18">
        <f t="shared" si="3"/>
        <v>7268.52</v>
      </c>
      <c r="F272" s="18">
        <v>3634.26</v>
      </c>
      <c r="G272" s="18">
        <v>3634.26</v>
      </c>
      <c r="H272" s="18">
        <v>3634.26</v>
      </c>
    </row>
    <row r="273" spans="1:8" x14ac:dyDescent="0.3">
      <c r="A273" s="17">
        <v>46474</v>
      </c>
      <c r="B273" s="17" t="s">
        <v>307</v>
      </c>
      <c r="C273" s="17" t="s">
        <v>51</v>
      </c>
      <c r="D273" s="17" t="s">
        <v>33</v>
      </c>
      <c r="E273" s="18">
        <f t="shared" si="3"/>
        <v>1927.14</v>
      </c>
      <c r="F273" s="18">
        <v>963.57</v>
      </c>
      <c r="G273" s="18">
        <v>963.57</v>
      </c>
      <c r="H273" s="18">
        <v>963.57</v>
      </c>
    </row>
    <row r="274" spans="1:8" x14ac:dyDescent="0.3">
      <c r="A274" s="17">
        <v>46482</v>
      </c>
      <c r="B274" s="17" t="s">
        <v>308</v>
      </c>
      <c r="C274" s="17" t="s">
        <v>51</v>
      </c>
      <c r="D274" s="17" t="s">
        <v>2</v>
      </c>
      <c r="E274" s="18">
        <f t="shared" si="3"/>
        <v>50134.86</v>
      </c>
      <c r="F274" s="18">
        <v>25067.43</v>
      </c>
      <c r="G274" s="18">
        <v>25067.43</v>
      </c>
      <c r="H274" s="18">
        <v>25067.43</v>
      </c>
    </row>
    <row r="275" spans="1:8" x14ac:dyDescent="0.3">
      <c r="A275" s="17">
        <v>46565</v>
      </c>
      <c r="B275" s="17" t="s">
        <v>309</v>
      </c>
      <c r="C275" s="17" t="s">
        <v>14</v>
      </c>
      <c r="D275" s="17" t="s">
        <v>2</v>
      </c>
      <c r="E275" s="18">
        <f t="shared" si="3"/>
        <v>46744.28</v>
      </c>
      <c r="F275" s="18">
        <v>23372.14</v>
      </c>
      <c r="G275" s="18">
        <v>23372.14</v>
      </c>
      <c r="H275" s="18">
        <v>23372.14</v>
      </c>
    </row>
    <row r="276" spans="1:8" x14ac:dyDescent="0.3">
      <c r="A276" s="17">
        <v>46573</v>
      </c>
      <c r="B276" s="17" t="s">
        <v>310</v>
      </c>
      <c r="C276" s="17" t="s">
        <v>14</v>
      </c>
      <c r="D276" s="17" t="s">
        <v>311</v>
      </c>
      <c r="E276" s="18">
        <f t="shared" si="3"/>
        <v>5510.78</v>
      </c>
      <c r="F276" s="18">
        <v>2755.39</v>
      </c>
      <c r="G276" s="18">
        <v>2755.39</v>
      </c>
      <c r="H276" s="18">
        <v>2755.39</v>
      </c>
    </row>
    <row r="277" spans="1:8" x14ac:dyDescent="0.3">
      <c r="A277" s="17">
        <v>46581</v>
      </c>
      <c r="B277" s="17" t="s">
        <v>312</v>
      </c>
      <c r="C277" s="17" t="s">
        <v>14</v>
      </c>
      <c r="D277" s="17" t="s">
        <v>172</v>
      </c>
      <c r="E277" s="18">
        <f t="shared" ref="E277:E340" si="4">F277+H277</f>
        <v>25622.14</v>
      </c>
      <c r="F277" s="18">
        <v>12811.07</v>
      </c>
      <c r="G277" s="18">
        <v>12811.07</v>
      </c>
      <c r="H277" s="18">
        <v>12811.07</v>
      </c>
    </row>
    <row r="278" spans="1:8" x14ac:dyDescent="0.3">
      <c r="A278" s="17">
        <v>46581</v>
      </c>
      <c r="B278" s="17" t="s">
        <v>312</v>
      </c>
      <c r="C278" s="17" t="s">
        <v>14</v>
      </c>
      <c r="D278" s="17" t="s">
        <v>2</v>
      </c>
      <c r="E278" s="18">
        <f t="shared" si="4"/>
        <v>26970.68</v>
      </c>
      <c r="F278" s="18">
        <v>13485.34</v>
      </c>
      <c r="G278" s="18">
        <v>13485.34</v>
      </c>
      <c r="H278" s="18">
        <v>13485.34</v>
      </c>
    </row>
    <row r="279" spans="1:8" x14ac:dyDescent="0.3">
      <c r="A279" s="17">
        <v>46599</v>
      </c>
      <c r="B279" s="17" t="s">
        <v>313</v>
      </c>
      <c r="C279" s="17" t="s">
        <v>14</v>
      </c>
      <c r="D279" s="17" t="s">
        <v>2</v>
      </c>
      <c r="E279" s="18">
        <f t="shared" si="4"/>
        <v>21517.200000000001</v>
      </c>
      <c r="F279" s="18">
        <v>10758.6</v>
      </c>
      <c r="G279" s="18">
        <v>10758.6</v>
      </c>
      <c r="H279" s="18">
        <v>10758.6</v>
      </c>
    </row>
    <row r="280" spans="1:8" x14ac:dyDescent="0.3">
      <c r="A280" s="17">
        <v>46607</v>
      </c>
      <c r="B280" s="17" t="s">
        <v>314</v>
      </c>
      <c r="C280" s="17" t="s">
        <v>14</v>
      </c>
      <c r="D280" s="17" t="s">
        <v>2</v>
      </c>
      <c r="E280" s="18">
        <f t="shared" si="4"/>
        <v>239474.02</v>
      </c>
      <c r="F280" s="18">
        <v>119737.01</v>
      </c>
      <c r="G280" s="18">
        <v>119737.01</v>
      </c>
      <c r="H280" s="18">
        <v>119737.01</v>
      </c>
    </row>
    <row r="281" spans="1:8" x14ac:dyDescent="0.3">
      <c r="A281" s="17">
        <v>46623</v>
      </c>
      <c r="B281" s="17" t="s">
        <v>315</v>
      </c>
      <c r="C281" s="17" t="s">
        <v>77</v>
      </c>
      <c r="D281" s="17" t="s">
        <v>33</v>
      </c>
      <c r="E281" s="18">
        <f t="shared" si="4"/>
        <v>1223.6400000000001</v>
      </c>
      <c r="F281" s="18">
        <v>611.82000000000005</v>
      </c>
      <c r="G281" s="18">
        <v>611.82000000000005</v>
      </c>
      <c r="H281" s="18">
        <v>611.82000000000005</v>
      </c>
    </row>
    <row r="282" spans="1:8" x14ac:dyDescent="0.3">
      <c r="A282" s="17">
        <v>46623</v>
      </c>
      <c r="B282" s="17" t="s">
        <v>315</v>
      </c>
      <c r="C282" s="17" t="s">
        <v>77</v>
      </c>
      <c r="D282" s="17" t="s">
        <v>2</v>
      </c>
      <c r="E282" s="18">
        <f t="shared" si="4"/>
        <v>2447.2600000000002</v>
      </c>
      <c r="F282" s="18">
        <v>1223.6300000000001</v>
      </c>
      <c r="G282" s="18">
        <v>1223.6300000000001</v>
      </c>
      <c r="H282" s="18">
        <v>1223.6300000000001</v>
      </c>
    </row>
    <row r="283" spans="1:8" x14ac:dyDescent="0.3">
      <c r="A283" s="17">
        <v>46649</v>
      </c>
      <c r="B283" s="17" t="s">
        <v>316</v>
      </c>
      <c r="C283" s="17" t="s">
        <v>77</v>
      </c>
      <c r="D283" s="17" t="s">
        <v>2</v>
      </c>
      <c r="E283" s="18">
        <f t="shared" si="4"/>
        <v>1000.64</v>
      </c>
      <c r="F283" s="18">
        <v>500.32</v>
      </c>
      <c r="G283" s="18">
        <v>500.32</v>
      </c>
      <c r="H283" s="18">
        <v>500.32</v>
      </c>
    </row>
    <row r="284" spans="1:8" x14ac:dyDescent="0.3">
      <c r="A284" s="17">
        <v>46672</v>
      </c>
      <c r="B284" s="17" t="s">
        <v>317</v>
      </c>
      <c r="C284" s="17" t="s">
        <v>77</v>
      </c>
      <c r="D284" s="17" t="s">
        <v>33</v>
      </c>
      <c r="E284" s="18">
        <f t="shared" si="4"/>
        <v>661.94</v>
      </c>
      <c r="F284" s="18">
        <v>330.97</v>
      </c>
      <c r="G284" s="18">
        <v>330.97</v>
      </c>
      <c r="H284" s="18">
        <v>330.97</v>
      </c>
    </row>
    <row r="285" spans="1:8" x14ac:dyDescent="0.3">
      <c r="A285" s="17">
        <v>46672</v>
      </c>
      <c r="B285" s="17" t="s">
        <v>317</v>
      </c>
      <c r="C285" s="17" t="s">
        <v>77</v>
      </c>
      <c r="D285" s="17" t="s">
        <v>2</v>
      </c>
      <c r="E285" s="18">
        <f t="shared" si="4"/>
        <v>1323.9</v>
      </c>
      <c r="F285" s="18">
        <v>661.95</v>
      </c>
      <c r="G285" s="18">
        <v>661.95</v>
      </c>
      <c r="H285" s="18">
        <v>661.95</v>
      </c>
    </row>
    <row r="286" spans="1:8" x14ac:dyDescent="0.3">
      <c r="A286" s="17">
        <v>46680</v>
      </c>
      <c r="B286" s="17" t="s">
        <v>318</v>
      </c>
      <c r="C286" s="17" t="s">
        <v>77</v>
      </c>
      <c r="D286" s="17" t="s">
        <v>33</v>
      </c>
      <c r="E286" s="18">
        <f t="shared" si="4"/>
        <v>792.6</v>
      </c>
      <c r="F286" s="18">
        <v>396.3</v>
      </c>
      <c r="G286" s="18">
        <v>396.3</v>
      </c>
      <c r="H286" s="18">
        <v>396.3</v>
      </c>
    </row>
    <row r="287" spans="1:8" x14ac:dyDescent="0.3">
      <c r="A287" s="17">
        <v>46706</v>
      </c>
      <c r="B287" s="17" t="s">
        <v>319</v>
      </c>
      <c r="C287" s="17" t="s">
        <v>220</v>
      </c>
      <c r="D287" s="17" t="s">
        <v>2</v>
      </c>
      <c r="E287" s="18">
        <f t="shared" si="4"/>
        <v>42572.92</v>
      </c>
      <c r="F287" s="18">
        <v>21286.46</v>
      </c>
      <c r="G287" s="18">
        <v>21286.46</v>
      </c>
      <c r="H287" s="18">
        <v>21286.46</v>
      </c>
    </row>
    <row r="288" spans="1:8" x14ac:dyDescent="0.3">
      <c r="A288" s="17">
        <v>46714</v>
      </c>
      <c r="B288" s="17" t="s">
        <v>320</v>
      </c>
      <c r="C288" s="17" t="s">
        <v>220</v>
      </c>
      <c r="D288" s="17" t="s">
        <v>33</v>
      </c>
      <c r="E288" s="18">
        <f t="shared" si="4"/>
        <v>1687.64</v>
      </c>
      <c r="F288" s="18">
        <v>843.82</v>
      </c>
      <c r="G288" s="18">
        <v>843.82</v>
      </c>
      <c r="H288" s="18">
        <v>843.82</v>
      </c>
    </row>
    <row r="289" spans="1:8" x14ac:dyDescent="0.3">
      <c r="A289" s="17">
        <v>46722</v>
      </c>
      <c r="B289" s="17" t="s">
        <v>321</v>
      </c>
      <c r="C289" s="17" t="s">
        <v>220</v>
      </c>
      <c r="D289" s="17" t="s">
        <v>2</v>
      </c>
      <c r="E289" s="18">
        <f t="shared" si="4"/>
        <v>7301.64</v>
      </c>
      <c r="F289" s="18">
        <v>3650.82</v>
      </c>
      <c r="G289" s="18">
        <v>3650.82</v>
      </c>
      <c r="H289" s="18">
        <v>3650.82</v>
      </c>
    </row>
    <row r="290" spans="1:8" x14ac:dyDescent="0.3">
      <c r="A290" s="17">
        <v>46755</v>
      </c>
      <c r="B290" s="17" t="s">
        <v>322</v>
      </c>
      <c r="C290" s="17" t="s">
        <v>56</v>
      </c>
      <c r="D290" s="17" t="s">
        <v>2</v>
      </c>
      <c r="E290" s="18">
        <f t="shared" si="4"/>
        <v>21878.52</v>
      </c>
      <c r="F290" s="18">
        <v>10939.26</v>
      </c>
      <c r="G290" s="18">
        <v>10939.26</v>
      </c>
      <c r="H290" s="18">
        <v>10939.26</v>
      </c>
    </row>
    <row r="291" spans="1:8" x14ac:dyDescent="0.3">
      <c r="A291" s="17">
        <v>46789</v>
      </c>
      <c r="B291" s="17" t="s">
        <v>323</v>
      </c>
      <c r="C291" s="17" t="s">
        <v>85</v>
      </c>
      <c r="D291" s="17" t="s">
        <v>2</v>
      </c>
      <c r="E291" s="18">
        <f t="shared" si="4"/>
        <v>65837.94</v>
      </c>
      <c r="F291" s="18">
        <v>32918.97</v>
      </c>
      <c r="G291" s="18">
        <v>32918.97</v>
      </c>
      <c r="H291" s="18">
        <v>32918.97</v>
      </c>
    </row>
    <row r="292" spans="1:8" x14ac:dyDescent="0.3">
      <c r="A292" s="17">
        <v>46797</v>
      </c>
      <c r="B292" s="17" t="s">
        <v>324</v>
      </c>
      <c r="C292" s="17" t="s">
        <v>85</v>
      </c>
      <c r="D292" s="17" t="s">
        <v>148</v>
      </c>
      <c r="E292" s="18">
        <f t="shared" si="4"/>
        <v>774.9</v>
      </c>
      <c r="F292" s="18">
        <v>387.45</v>
      </c>
      <c r="G292" s="18">
        <v>387.45</v>
      </c>
      <c r="H292" s="18">
        <v>387.45</v>
      </c>
    </row>
    <row r="293" spans="1:8" x14ac:dyDescent="0.3">
      <c r="A293" s="17">
        <v>46797</v>
      </c>
      <c r="B293" s="17" t="s">
        <v>324</v>
      </c>
      <c r="C293" s="17" t="s">
        <v>85</v>
      </c>
      <c r="D293" s="17" t="s">
        <v>2</v>
      </c>
      <c r="E293" s="18">
        <f t="shared" si="4"/>
        <v>484.32</v>
      </c>
      <c r="F293" s="18">
        <v>242.16</v>
      </c>
      <c r="G293" s="18">
        <v>242.16</v>
      </c>
      <c r="H293" s="18">
        <v>242.16</v>
      </c>
    </row>
    <row r="294" spans="1:8" x14ac:dyDescent="0.3">
      <c r="A294" s="17">
        <v>46805</v>
      </c>
      <c r="B294" s="17" t="s">
        <v>325</v>
      </c>
      <c r="C294" s="17" t="s">
        <v>85</v>
      </c>
      <c r="D294" s="17" t="s">
        <v>2</v>
      </c>
      <c r="E294" s="18">
        <f t="shared" si="4"/>
        <v>35380.699999999997</v>
      </c>
      <c r="F294" s="18">
        <v>17690.349999999999</v>
      </c>
      <c r="G294" s="18">
        <v>17690.349999999999</v>
      </c>
      <c r="H294" s="18">
        <v>17690.349999999999</v>
      </c>
    </row>
    <row r="295" spans="1:8" s="17" customFormat="1" x14ac:dyDescent="0.3">
      <c r="A295" s="17">
        <v>46813</v>
      </c>
      <c r="B295" s="17" t="s">
        <v>326</v>
      </c>
      <c r="C295" s="17" t="s">
        <v>85</v>
      </c>
      <c r="D295" s="17" t="s">
        <v>148</v>
      </c>
      <c r="E295" s="18">
        <f t="shared" si="4"/>
        <v>30132.16</v>
      </c>
      <c r="F295" s="18">
        <v>15066.08</v>
      </c>
      <c r="G295" s="18">
        <v>15066.08</v>
      </c>
      <c r="H295" s="18">
        <v>15066.08</v>
      </c>
    </row>
    <row r="296" spans="1:8" x14ac:dyDescent="0.3">
      <c r="A296" s="17">
        <v>46813</v>
      </c>
      <c r="B296" s="17" t="s">
        <v>326</v>
      </c>
      <c r="C296" s="17" t="s">
        <v>85</v>
      </c>
      <c r="D296" s="17" t="s">
        <v>2</v>
      </c>
      <c r="E296" s="18">
        <f t="shared" si="4"/>
        <v>75330.42</v>
      </c>
      <c r="F296" s="18">
        <v>37665.21</v>
      </c>
      <c r="G296" s="18">
        <v>37665.21</v>
      </c>
      <c r="H296" s="18">
        <v>37665.21</v>
      </c>
    </row>
    <row r="297" spans="1:8" x14ac:dyDescent="0.3">
      <c r="A297" s="17">
        <v>46813</v>
      </c>
      <c r="B297" s="22" t="s">
        <v>326</v>
      </c>
      <c r="C297" s="17" t="s">
        <v>85</v>
      </c>
      <c r="D297" s="21" t="s">
        <v>2</v>
      </c>
      <c r="E297" s="18">
        <f t="shared" si="4"/>
        <v>113370.26</v>
      </c>
      <c r="F297" s="18">
        <v>0</v>
      </c>
      <c r="G297" s="18">
        <v>0</v>
      </c>
      <c r="H297" s="18">
        <v>113370.26</v>
      </c>
    </row>
    <row r="298" spans="1:8" x14ac:dyDescent="0.3">
      <c r="A298" s="17">
        <v>46821</v>
      </c>
      <c r="B298" s="17" t="s">
        <v>327</v>
      </c>
      <c r="C298" s="17" t="s">
        <v>85</v>
      </c>
      <c r="D298" s="17" t="s">
        <v>86</v>
      </c>
      <c r="E298" s="18">
        <f t="shared" si="4"/>
        <v>1966.88</v>
      </c>
      <c r="F298" s="18">
        <v>983.44</v>
      </c>
      <c r="G298" s="18">
        <v>983.44</v>
      </c>
      <c r="H298" s="18">
        <v>983.44</v>
      </c>
    </row>
    <row r="299" spans="1:8" x14ac:dyDescent="0.3">
      <c r="A299" s="17">
        <v>46847</v>
      </c>
      <c r="B299" s="17" t="s">
        <v>328</v>
      </c>
      <c r="C299" s="17" t="s">
        <v>329</v>
      </c>
      <c r="D299" s="17" t="s">
        <v>33</v>
      </c>
      <c r="E299" s="18">
        <f t="shared" si="4"/>
        <v>2068.8000000000002</v>
      </c>
      <c r="F299" s="18">
        <v>1034.4000000000001</v>
      </c>
      <c r="G299" s="18">
        <v>1034.4000000000001</v>
      </c>
      <c r="H299" s="18">
        <v>1034.4000000000001</v>
      </c>
    </row>
    <row r="300" spans="1:8" x14ac:dyDescent="0.3">
      <c r="A300" s="17">
        <v>46854</v>
      </c>
      <c r="B300" s="17" t="s">
        <v>330</v>
      </c>
      <c r="C300" s="17" t="s">
        <v>329</v>
      </c>
      <c r="D300" s="17" t="s">
        <v>331</v>
      </c>
      <c r="E300" s="18">
        <f t="shared" si="4"/>
        <v>1506.54</v>
      </c>
      <c r="F300" s="18">
        <v>753.27</v>
      </c>
      <c r="G300" s="18">
        <v>753.27</v>
      </c>
      <c r="H300" s="18">
        <v>753.27</v>
      </c>
    </row>
    <row r="301" spans="1:8" x14ac:dyDescent="0.3">
      <c r="A301" s="17">
        <v>46870</v>
      </c>
      <c r="B301" s="17" t="s">
        <v>332</v>
      </c>
      <c r="C301" s="17" t="s">
        <v>329</v>
      </c>
      <c r="D301" s="17" t="s">
        <v>2</v>
      </c>
      <c r="E301" s="18">
        <f t="shared" si="4"/>
        <v>11517.12</v>
      </c>
      <c r="F301" s="18">
        <v>5758.56</v>
      </c>
      <c r="G301" s="18">
        <v>5758.56</v>
      </c>
      <c r="H301" s="18">
        <v>5758.56</v>
      </c>
    </row>
    <row r="302" spans="1:8" x14ac:dyDescent="0.3">
      <c r="A302" s="17">
        <v>46896</v>
      </c>
      <c r="B302" s="17" t="s">
        <v>333</v>
      </c>
      <c r="C302" s="17" t="s">
        <v>329</v>
      </c>
      <c r="D302" s="17" t="s">
        <v>115</v>
      </c>
      <c r="E302" s="18">
        <f t="shared" si="4"/>
        <v>5668.1</v>
      </c>
      <c r="F302" s="18">
        <v>2834.05</v>
      </c>
      <c r="G302" s="18">
        <v>2834.05</v>
      </c>
      <c r="H302" s="18">
        <v>2834.05</v>
      </c>
    </row>
    <row r="303" spans="1:8" x14ac:dyDescent="0.3">
      <c r="A303" s="17">
        <v>46920</v>
      </c>
      <c r="B303" s="17" t="s">
        <v>334</v>
      </c>
      <c r="C303" s="17" t="s">
        <v>174</v>
      </c>
      <c r="D303" s="17" t="s">
        <v>2</v>
      </c>
      <c r="E303" s="18">
        <f t="shared" si="4"/>
        <v>25807.040000000001</v>
      </c>
      <c r="F303" s="18">
        <v>12903.52</v>
      </c>
      <c r="G303" s="18">
        <v>12903.52</v>
      </c>
      <c r="H303" s="18">
        <v>12903.52</v>
      </c>
    </row>
    <row r="304" spans="1:8" x14ac:dyDescent="0.3">
      <c r="A304" s="17">
        <v>46946</v>
      </c>
      <c r="B304" s="17" t="s">
        <v>335</v>
      </c>
      <c r="C304" s="17" t="s">
        <v>48</v>
      </c>
      <c r="D304" s="17" t="s">
        <v>336</v>
      </c>
      <c r="E304" s="18">
        <f t="shared" si="4"/>
        <v>7990.52</v>
      </c>
      <c r="F304" s="18">
        <v>3995.26</v>
      </c>
      <c r="G304" s="18">
        <v>3995.26</v>
      </c>
      <c r="H304" s="18">
        <v>3995.26</v>
      </c>
    </row>
    <row r="305" spans="1:8" s="15" customFormat="1" x14ac:dyDescent="0.3">
      <c r="A305" s="17">
        <v>46953</v>
      </c>
      <c r="B305" s="17" t="s">
        <v>337</v>
      </c>
      <c r="C305" s="17" t="s">
        <v>48</v>
      </c>
      <c r="D305" s="17" t="s">
        <v>2</v>
      </c>
      <c r="E305" s="18">
        <f t="shared" si="4"/>
        <v>75932.259999999995</v>
      </c>
      <c r="F305" s="18">
        <v>37966.129999999997</v>
      </c>
      <c r="G305" s="18">
        <v>37966.129999999997</v>
      </c>
      <c r="H305" s="18">
        <v>37966.129999999997</v>
      </c>
    </row>
    <row r="306" spans="1:8" x14ac:dyDescent="0.3">
      <c r="A306" s="17">
        <v>46979</v>
      </c>
      <c r="B306" s="17" t="s">
        <v>338</v>
      </c>
      <c r="C306" s="17" t="s">
        <v>48</v>
      </c>
      <c r="D306" s="17" t="s">
        <v>2</v>
      </c>
      <c r="E306" s="18">
        <f t="shared" si="4"/>
        <v>107903.8</v>
      </c>
      <c r="F306" s="18">
        <v>53951.9</v>
      </c>
      <c r="G306" s="18">
        <v>53951.9</v>
      </c>
      <c r="H306" s="18">
        <v>53951.9</v>
      </c>
    </row>
    <row r="307" spans="1:8" s="15" customFormat="1" x14ac:dyDescent="0.3">
      <c r="A307" s="17">
        <v>47001</v>
      </c>
      <c r="B307" s="17" t="s">
        <v>339</v>
      </c>
      <c r="C307" s="17" t="s">
        <v>48</v>
      </c>
      <c r="D307" s="17" t="s">
        <v>2</v>
      </c>
      <c r="E307" s="18">
        <f t="shared" si="4"/>
        <v>19867.087500000001</v>
      </c>
      <c r="F307" s="18">
        <v>15893.67</v>
      </c>
      <c r="G307" s="18">
        <v>15893.67</v>
      </c>
      <c r="H307" s="18">
        <f>(0.5/2)*15893.67</f>
        <v>3973.4175</v>
      </c>
    </row>
    <row r="308" spans="1:8" x14ac:dyDescent="0.3">
      <c r="A308" s="17">
        <v>47043</v>
      </c>
      <c r="B308" s="17" t="s">
        <v>340</v>
      </c>
      <c r="C308" s="17" t="s">
        <v>243</v>
      </c>
      <c r="D308" s="17" t="s">
        <v>2</v>
      </c>
      <c r="E308" s="18">
        <f t="shared" si="4"/>
        <v>94044.5</v>
      </c>
      <c r="F308" s="18">
        <v>47022.25</v>
      </c>
      <c r="G308" s="18">
        <v>47022.25</v>
      </c>
      <c r="H308" s="18">
        <v>47022.25</v>
      </c>
    </row>
    <row r="309" spans="1:8" x14ac:dyDescent="0.3">
      <c r="A309" s="17">
        <v>47050</v>
      </c>
      <c r="B309" s="17" t="s">
        <v>341</v>
      </c>
      <c r="C309" s="17" t="s">
        <v>243</v>
      </c>
      <c r="D309" s="17" t="s">
        <v>2</v>
      </c>
      <c r="E309" s="18">
        <f t="shared" si="4"/>
        <v>9829.3615789473697</v>
      </c>
      <c r="F309" s="18">
        <v>5047.51</v>
      </c>
      <c r="G309" s="18">
        <v>5047.51</v>
      </c>
      <c r="H309" s="18">
        <f>(1.8/1.9)*5047.51</f>
        <v>4781.8515789473686</v>
      </c>
    </row>
    <row r="310" spans="1:8" x14ac:dyDescent="0.3">
      <c r="A310" s="17">
        <v>47050</v>
      </c>
      <c r="B310" s="17" t="s">
        <v>341</v>
      </c>
      <c r="C310" s="17" t="s">
        <v>243</v>
      </c>
      <c r="D310" s="17" t="s">
        <v>33</v>
      </c>
      <c r="E310" s="18">
        <f t="shared" si="4"/>
        <v>2656.5</v>
      </c>
      <c r="F310" s="18">
        <v>1328.25</v>
      </c>
      <c r="G310" s="18">
        <v>1328.25</v>
      </c>
      <c r="H310" s="18">
        <v>1328.25</v>
      </c>
    </row>
    <row r="311" spans="1:8" x14ac:dyDescent="0.3">
      <c r="A311" s="17">
        <v>47068</v>
      </c>
      <c r="B311" s="17" t="s">
        <v>342</v>
      </c>
      <c r="C311" s="17" t="s">
        <v>243</v>
      </c>
      <c r="D311" s="17" t="s">
        <v>2</v>
      </c>
      <c r="E311" s="18">
        <f t="shared" si="4"/>
        <v>1922.62</v>
      </c>
      <c r="F311" s="18">
        <v>961.31</v>
      </c>
      <c r="G311" s="18">
        <v>961.31</v>
      </c>
      <c r="H311" s="18">
        <v>961.31</v>
      </c>
    </row>
    <row r="312" spans="1:8" x14ac:dyDescent="0.3">
      <c r="A312" s="17">
        <v>47076</v>
      </c>
      <c r="B312" s="17" t="s">
        <v>343</v>
      </c>
      <c r="C312" s="17" t="s">
        <v>243</v>
      </c>
      <c r="D312" s="17" t="s">
        <v>2</v>
      </c>
      <c r="E312" s="18">
        <f t="shared" si="4"/>
        <v>8474.52</v>
      </c>
      <c r="F312" s="18">
        <v>4237.26</v>
      </c>
      <c r="G312" s="18">
        <v>4237.26</v>
      </c>
      <c r="H312" s="18">
        <v>4237.26</v>
      </c>
    </row>
    <row r="313" spans="1:8" x14ac:dyDescent="0.3">
      <c r="A313" s="17">
        <v>47092</v>
      </c>
      <c r="B313" s="17" t="s">
        <v>344</v>
      </c>
      <c r="C313" s="17" t="s">
        <v>243</v>
      </c>
      <c r="D313" s="17" t="s">
        <v>172</v>
      </c>
      <c r="E313" s="18">
        <f t="shared" si="4"/>
        <v>4270.0600000000004</v>
      </c>
      <c r="F313" s="18">
        <v>2135.0300000000002</v>
      </c>
      <c r="G313" s="18">
        <v>2135.0300000000002</v>
      </c>
      <c r="H313" s="18">
        <v>2135.0300000000002</v>
      </c>
    </row>
    <row r="314" spans="1:8" x14ac:dyDescent="0.3">
      <c r="A314" s="17">
        <v>47092</v>
      </c>
      <c r="B314" s="17" t="s">
        <v>344</v>
      </c>
      <c r="C314" s="17" t="s">
        <v>243</v>
      </c>
      <c r="D314" s="17" t="s">
        <v>2</v>
      </c>
      <c r="E314" s="18">
        <f t="shared" si="4"/>
        <v>10675.14</v>
      </c>
      <c r="F314" s="18">
        <v>5337.57</v>
      </c>
      <c r="G314" s="18">
        <v>5337.57</v>
      </c>
      <c r="H314" s="18">
        <v>5337.57</v>
      </c>
    </row>
    <row r="315" spans="1:8" x14ac:dyDescent="0.3">
      <c r="A315" s="17">
        <v>47092</v>
      </c>
      <c r="B315" s="17" t="s">
        <v>344</v>
      </c>
      <c r="C315" s="17" t="s">
        <v>243</v>
      </c>
      <c r="D315" s="17" t="s">
        <v>2</v>
      </c>
      <c r="E315" s="18">
        <f t="shared" si="4"/>
        <v>10675.14</v>
      </c>
      <c r="F315" s="18">
        <v>5337.57</v>
      </c>
      <c r="G315" s="18">
        <v>5337.57</v>
      </c>
      <c r="H315" s="18">
        <v>5337.57</v>
      </c>
    </row>
    <row r="316" spans="1:8" x14ac:dyDescent="0.3">
      <c r="A316" s="17">
        <v>47167</v>
      </c>
      <c r="B316" s="17" t="s">
        <v>345</v>
      </c>
      <c r="C316" s="17" t="s">
        <v>346</v>
      </c>
      <c r="D316" s="17" t="s">
        <v>2</v>
      </c>
      <c r="E316" s="18">
        <f t="shared" si="4"/>
        <v>34289.32</v>
      </c>
      <c r="F316" s="18">
        <v>17144.66</v>
      </c>
      <c r="G316" s="18">
        <v>17144.66</v>
      </c>
      <c r="H316" s="18">
        <v>17144.66</v>
      </c>
    </row>
    <row r="317" spans="1:8" x14ac:dyDescent="0.3">
      <c r="A317" s="17">
        <v>47175</v>
      </c>
      <c r="B317" s="17" t="s">
        <v>347</v>
      </c>
      <c r="C317" s="17" t="s">
        <v>346</v>
      </c>
      <c r="D317" s="17" t="s">
        <v>2</v>
      </c>
      <c r="E317" s="18">
        <f t="shared" si="4"/>
        <v>34763.040000000001</v>
      </c>
      <c r="F317" s="18">
        <v>17381.52</v>
      </c>
      <c r="G317" s="18">
        <v>17381.52</v>
      </c>
      <c r="H317" s="18">
        <v>17381.52</v>
      </c>
    </row>
    <row r="318" spans="1:8" x14ac:dyDescent="0.3">
      <c r="A318" s="17">
        <v>47217</v>
      </c>
      <c r="B318" s="17" t="s">
        <v>348</v>
      </c>
      <c r="C318" s="17" t="s">
        <v>346</v>
      </c>
      <c r="D318" s="17" t="s">
        <v>2</v>
      </c>
      <c r="E318" s="18">
        <f t="shared" si="4"/>
        <v>6641.64</v>
      </c>
      <c r="F318" s="18">
        <v>3320.82</v>
      </c>
      <c r="G318" s="18">
        <v>3320.82</v>
      </c>
      <c r="H318" s="18">
        <v>3320.82</v>
      </c>
    </row>
    <row r="319" spans="1:8" x14ac:dyDescent="0.3">
      <c r="A319" s="17">
        <v>47225</v>
      </c>
      <c r="B319" s="17" t="s">
        <v>349</v>
      </c>
      <c r="C319" s="17" t="s">
        <v>346</v>
      </c>
      <c r="D319" s="17" t="s">
        <v>2</v>
      </c>
      <c r="E319" s="18">
        <f t="shared" si="4"/>
        <v>6070.32</v>
      </c>
      <c r="F319" s="18">
        <v>3035.16</v>
      </c>
      <c r="G319" s="18">
        <v>3035.16</v>
      </c>
      <c r="H319" s="18">
        <v>3035.16</v>
      </c>
    </row>
    <row r="320" spans="1:8" x14ac:dyDescent="0.3">
      <c r="A320" s="17">
        <v>47241</v>
      </c>
      <c r="B320" s="17" t="s">
        <v>350</v>
      </c>
      <c r="C320" s="17" t="s">
        <v>186</v>
      </c>
      <c r="D320" s="17" t="s">
        <v>2</v>
      </c>
      <c r="E320" s="18">
        <f t="shared" si="4"/>
        <v>112179.72</v>
      </c>
      <c r="F320" s="18">
        <v>56089.86</v>
      </c>
      <c r="G320" s="18">
        <v>56089.86</v>
      </c>
      <c r="H320" s="18">
        <v>56089.86</v>
      </c>
    </row>
    <row r="321" spans="1:8" x14ac:dyDescent="0.3">
      <c r="A321" s="17">
        <v>47258</v>
      </c>
      <c r="B321" s="17" t="s">
        <v>351</v>
      </c>
      <c r="C321" s="17" t="s">
        <v>186</v>
      </c>
      <c r="D321" s="17" t="s">
        <v>2</v>
      </c>
      <c r="E321" s="18">
        <f t="shared" si="4"/>
        <v>5594.32</v>
      </c>
      <c r="F321" s="18">
        <v>2797.16</v>
      </c>
      <c r="G321" s="18">
        <v>2797.16</v>
      </c>
      <c r="H321" s="18">
        <v>2797.16</v>
      </c>
    </row>
    <row r="322" spans="1:8" x14ac:dyDescent="0.3">
      <c r="A322" s="17">
        <v>47274</v>
      </c>
      <c r="B322" s="17" t="s">
        <v>352</v>
      </c>
      <c r="C322" s="17" t="s">
        <v>186</v>
      </c>
      <c r="D322" s="17" t="s">
        <v>2</v>
      </c>
      <c r="E322" s="18">
        <f t="shared" si="4"/>
        <v>17331.400000000001</v>
      </c>
      <c r="F322" s="18">
        <v>8665.7000000000007</v>
      </c>
      <c r="G322" s="18">
        <v>8665.7000000000007</v>
      </c>
      <c r="H322" s="18">
        <v>8665.7000000000007</v>
      </c>
    </row>
    <row r="323" spans="1:8" x14ac:dyDescent="0.3">
      <c r="A323" s="17">
        <v>47308</v>
      </c>
      <c r="B323" s="17" t="s">
        <v>353</v>
      </c>
      <c r="C323" s="17" t="s">
        <v>32</v>
      </c>
      <c r="D323" s="17" t="s">
        <v>354</v>
      </c>
      <c r="E323" s="18">
        <f t="shared" si="4"/>
        <v>19323.34</v>
      </c>
      <c r="F323" s="18">
        <v>9661.67</v>
      </c>
      <c r="G323" s="18">
        <v>9661.67</v>
      </c>
      <c r="H323" s="18">
        <v>9661.67</v>
      </c>
    </row>
    <row r="324" spans="1:8" x14ac:dyDescent="0.3">
      <c r="A324" s="17">
        <v>47332</v>
      </c>
      <c r="B324" s="17" t="s">
        <v>355</v>
      </c>
      <c r="C324" s="17" t="s">
        <v>54</v>
      </c>
      <c r="D324" s="17" t="s">
        <v>2</v>
      </c>
      <c r="E324" s="18">
        <f t="shared" si="4"/>
        <v>3551.4</v>
      </c>
      <c r="F324" s="18">
        <v>1775.7</v>
      </c>
      <c r="G324" s="18">
        <v>1775.7</v>
      </c>
      <c r="H324" s="18">
        <v>1775.7</v>
      </c>
    </row>
    <row r="325" spans="1:8" x14ac:dyDescent="0.3">
      <c r="A325" s="17">
        <v>47373</v>
      </c>
      <c r="B325" s="17" t="s">
        <v>356</v>
      </c>
      <c r="C325" s="17" t="s">
        <v>54</v>
      </c>
      <c r="D325" s="17" t="s">
        <v>2</v>
      </c>
      <c r="E325" s="18">
        <f t="shared" si="4"/>
        <v>90061.119999999995</v>
      </c>
      <c r="F325" s="18">
        <v>45030.559999999998</v>
      </c>
      <c r="G325" s="18">
        <v>45030.559999999998</v>
      </c>
      <c r="H325" s="18">
        <v>45030.559999999998</v>
      </c>
    </row>
    <row r="326" spans="1:8" x14ac:dyDescent="0.3">
      <c r="A326" s="17">
        <v>47431</v>
      </c>
      <c r="B326" s="17" t="s">
        <v>357</v>
      </c>
      <c r="C326" s="17" t="s">
        <v>358</v>
      </c>
      <c r="D326" s="17" t="s">
        <v>2</v>
      </c>
      <c r="E326" s="18">
        <f t="shared" si="4"/>
        <v>10291.82</v>
      </c>
      <c r="F326" s="18">
        <v>5145.91</v>
      </c>
      <c r="G326" s="18">
        <v>5145.91</v>
      </c>
      <c r="H326" s="18">
        <v>5145.91</v>
      </c>
    </row>
    <row r="327" spans="1:8" x14ac:dyDescent="0.3">
      <c r="A327" s="17">
        <v>47456</v>
      </c>
      <c r="B327" s="17" t="s">
        <v>359</v>
      </c>
      <c r="C327" s="17" t="s">
        <v>358</v>
      </c>
      <c r="D327" s="17" t="s">
        <v>2</v>
      </c>
      <c r="E327" s="18">
        <f t="shared" si="4"/>
        <v>41463.26</v>
      </c>
      <c r="F327" s="18">
        <v>20731.63</v>
      </c>
      <c r="G327" s="18">
        <v>20731.63</v>
      </c>
      <c r="H327" s="18">
        <v>20731.63</v>
      </c>
    </row>
    <row r="328" spans="1:8" x14ac:dyDescent="0.3">
      <c r="A328" s="17">
        <v>47464</v>
      </c>
      <c r="B328" s="17" t="s">
        <v>360</v>
      </c>
      <c r="C328" s="17" t="s">
        <v>358</v>
      </c>
      <c r="D328" s="17" t="s">
        <v>2</v>
      </c>
      <c r="E328" s="18">
        <f t="shared" si="4"/>
        <v>72805.02</v>
      </c>
      <c r="F328" s="18">
        <v>36402.51</v>
      </c>
      <c r="G328" s="18">
        <v>36402.51</v>
      </c>
      <c r="H328" s="18">
        <v>36402.51</v>
      </c>
    </row>
    <row r="329" spans="1:8" x14ac:dyDescent="0.3">
      <c r="A329" s="17">
        <v>47472</v>
      </c>
      <c r="B329" s="17" t="s">
        <v>361</v>
      </c>
      <c r="C329" s="17" t="s">
        <v>358</v>
      </c>
      <c r="D329" s="17" t="s">
        <v>2</v>
      </c>
      <c r="E329" s="18">
        <f t="shared" si="4"/>
        <v>1661.1</v>
      </c>
      <c r="F329" s="18">
        <v>830.55</v>
      </c>
      <c r="G329" s="18">
        <v>830.55</v>
      </c>
      <c r="H329" s="18">
        <v>830.55</v>
      </c>
    </row>
    <row r="330" spans="1:8" x14ac:dyDescent="0.3">
      <c r="A330" s="17">
        <v>47498</v>
      </c>
      <c r="B330" s="17" t="s">
        <v>362</v>
      </c>
      <c r="C330" s="17" t="s">
        <v>189</v>
      </c>
      <c r="D330" s="17" t="s">
        <v>2</v>
      </c>
      <c r="E330" s="18">
        <f t="shared" si="4"/>
        <v>4651</v>
      </c>
      <c r="F330" s="18">
        <v>2325.5</v>
      </c>
      <c r="G330" s="18">
        <v>2325.5</v>
      </c>
      <c r="H330" s="18">
        <v>2325.5</v>
      </c>
    </row>
    <row r="331" spans="1:8" x14ac:dyDescent="0.3">
      <c r="A331" s="17">
        <v>47514</v>
      </c>
      <c r="B331" s="17" t="s">
        <v>363</v>
      </c>
      <c r="C331" s="17" t="s">
        <v>189</v>
      </c>
      <c r="D331" s="17" t="s">
        <v>33</v>
      </c>
      <c r="E331" s="18">
        <f t="shared" si="4"/>
        <v>1748.56</v>
      </c>
      <c r="F331" s="18">
        <v>874.28</v>
      </c>
      <c r="G331" s="18">
        <v>874.28</v>
      </c>
      <c r="H331" s="18">
        <v>874.28</v>
      </c>
    </row>
    <row r="332" spans="1:8" x14ac:dyDescent="0.3">
      <c r="A332" s="17">
        <v>47522</v>
      </c>
      <c r="B332" s="17" t="s">
        <v>364</v>
      </c>
      <c r="C332" s="17" t="s">
        <v>189</v>
      </c>
      <c r="D332" s="17" t="s">
        <v>33</v>
      </c>
      <c r="E332" s="18">
        <f t="shared" si="4"/>
        <v>373.2</v>
      </c>
      <c r="F332" s="18">
        <v>186.6</v>
      </c>
      <c r="G332" s="18">
        <v>186.6</v>
      </c>
      <c r="H332" s="18">
        <v>186.6</v>
      </c>
    </row>
    <row r="333" spans="1:8" x14ac:dyDescent="0.3">
      <c r="A333" s="17">
        <v>47548</v>
      </c>
      <c r="B333" s="17" t="s">
        <v>365</v>
      </c>
      <c r="C333" s="17" t="s">
        <v>195</v>
      </c>
      <c r="D333" s="17" t="s">
        <v>2</v>
      </c>
      <c r="E333" s="18">
        <f t="shared" si="4"/>
        <v>5617.6</v>
      </c>
      <c r="F333" s="18">
        <v>2808.8</v>
      </c>
      <c r="G333" s="18">
        <v>2808.8</v>
      </c>
      <c r="H333" s="18">
        <v>2808.8</v>
      </c>
    </row>
    <row r="334" spans="1:8" x14ac:dyDescent="0.3">
      <c r="A334" s="17">
        <v>47571</v>
      </c>
      <c r="B334" s="17" t="s">
        <v>366</v>
      </c>
      <c r="C334" s="17" t="s">
        <v>113</v>
      </c>
      <c r="D334" s="17" t="s">
        <v>33</v>
      </c>
      <c r="E334" s="18">
        <f t="shared" si="4"/>
        <v>757.42</v>
      </c>
      <c r="F334" s="18">
        <v>378.71</v>
      </c>
      <c r="G334" s="18">
        <v>378.71</v>
      </c>
      <c r="H334" s="18">
        <v>378.71</v>
      </c>
    </row>
    <row r="335" spans="1:8" x14ac:dyDescent="0.3">
      <c r="A335" s="17">
        <v>47571</v>
      </c>
      <c r="B335" s="17" t="s">
        <v>366</v>
      </c>
      <c r="C335" s="17" t="s">
        <v>113</v>
      </c>
      <c r="D335" s="17" t="s">
        <v>2</v>
      </c>
      <c r="E335" s="18">
        <f t="shared" si="4"/>
        <v>3029.68</v>
      </c>
      <c r="F335" s="18">
        <v>1514.84</v>
      </c>
      <c r="G335" s="18">
        <v>1514.84</v>
      </c>
      <c r="H335" s="18">
        <v>1514.84</v>
      </c>
    </row>
    <row r="336" spans="1:8" x14ac:dyDescent="0.3">
      <c r="A336" s="17">
        <v>47589</v>
      </c>
      <c r="B336" s="17" t="s">
        <v>367</v>
      </c>
      <c r="C336" s="17" t="s">
        <v>113</v>
      </c>
      <c r="D336" s="17" t="s">
        <v>2</v>
      </c>
      <c r="E336" s="18">
        <f t="shared" si="4"/>
        <v>7303.38</v>
      </c>
      <c r="F336" s="18">
        <v>3651.69</v>
      </c>
      <c r="G336" s="18">
        <v>3651.69</v>
      </c>
      <c r="H336" s="18">
        <v>3651.69</v>
      </c>
    </row>
    <row r="337" spans="1:8" x14ac:dyDescent="0.3">
      <c r="A337" s="17">
        <v>47597</v>
      </c>
      <c r="B337" s="17" t="s">
        <v>368</v>
      </c>
      <c r="C337" s="17" t="s">
        <v>113</v>
      </c>
      <c r="D337" s="17" t="s">
        <v>86</v>
      </c>
      <c r="E337" s="18">
        <f t="shared" si="4"/>
        <v>1324.78</v>
      </c>
      <c r="F337" s="18">
        <v>662.39</v>
      </c>
      <c r="G337" s="18">
        <v>662.39</v>
      </c>
      <c r="H337" s="18">
        <v>662.39</v>
      </c>
    </row>
    <row r="338" spans="1:8" x14ac:dyDescent="0.3">
      <c r="A338" s="17">
        <v>47597</v>
      </c>
      <c r="B338" s="17" t="s">
        <v>368</v>
      </c>
      <c r="C338" s="17" t="s">
        <v>113</v>
      </c>
      <c r="D338" s="17" t="s">
        <v>2</v>
      </c>
      <c r="E338" s="18">
        <f t="shared" si="4"/>
        <v>15897.34</v>
      </c>
      <c r="F338" s="18">
        <v>7948.67</v>
      </c>
      <c r="G338" s="18">
        <v>7948.67</v>
      </c>
      <c r="H338" s="18">
        <v>7948.67</v>
      </c>
    </row>
    <row r="339" spans="1:8" x14ac:dyDescent="0.3">
      <c r="A339" s="17">
        <v>47613</v>
      </c>
      <c r="B339" s="17" t="s">
        <v>369</v>
      </c>
      <c r="C339" s="17" t="s">
        <v>83</v>
      </c>
      <c r="D339" s="17" t="s">
        <v>370</v>
      </c>
      <c r="E339" s="18">
        <f t="shared" si="4"/>
        <v>311.04000000000002</v>
      </c>
      <c r="F339" s="18">
        <v>155.52000000000001</v>
      </c>
      <c r="G339" s="18">
        <v>155.52000000000001</v>
      </c>
      <c r="H339" s="18">
        <v>155.52000000000001</v>
      </c>
    </row>
    <row r="340" spans="1:8" x14ac:dyDescent="0.3">
      <c r="A340" s="17">
        <v>47613</v>
      </c>
      <c r="B340" s="17" t="s">
        <v>369</v>
      </c>
      <c r="C340" s="17" t="s">
        <v>83</v>
      </c>
      <c r="D340" s="17" t="s">
        <v>2</v>
      </c>
      <c r="E340" s="18">
        <f t="shared" si="4"/>
        <v>2090.16</v>
      </c>
      <c r="F340" s="18">
        <v>1045.08</v>
      </c>
      <c r="G340" s="18">
        <v>1045.08</v>
      </c>
      <c r="H340" s="18">
        <v>1045.08</v>
      </c>
    </row>
    <row r="341" spans="1:8" x14ac:dyDescent="0.3">
      <c r="A341" s="17">
        <v>47621</v>
      </c>
      <c r="B341" s="17" t="s">
        <v>371</v>
      </c>
      <c r="C341" s="17" t="s">
        <v>83</v>
      </c>
      <c r="D341" s="17" t="s">
        <v>5</v>
      </c>
      <c r="E341" s="18">
        <f t="shared" ref="E341:E405" si="5">F341+H341</f>
        <v>2013.08</v>
      </c>
      <c r="F341" s="18">
        <v>1006.54</v>
      </c>
      <c r="G341" s="18">
        <v>1006.54</v>
      </c>
      <c r="H341" s="18">
        <v>1006.54</v>
      </c>
    </row>
    <row r="342" spans="1:8" x14ac:dyDescent="0.3">
      <c r="A342" s="17">
        <v>47639</v>
      </c>
      <c r="B342" s="17" t="s">
        <v>372</v>
      </c>
      <c r="C342" s="17" t="s">
        <v>83</v>
      </c>
      <c r="D342" s="17" t="s">
        <v>373</v>
      </c>
      <c r="E342" s="18">
        <f t="shared" si="5"/>
        <v>1792.94</v>
      </c>
      <c r="F342" s="18">
        <v>896.47</v>
      </c>
      <c r="G342" s="18">
        <v>896.47</v>
      </c>
      <c r="H342" s="18">
        <v>896.47</v>
      </c>
    </row>
    <row r="343" spans="1:8" x14ac:dyDescent="0.3">
      <c r="A343" s="17">
        <v>47688</v>
      </c>
      <c r="B343" s="17" t="s">
        <v>374</v>
      </c>
      <c r="C343" s="17" t="s">
        <v>375</v>
      </c>
      <c r="D343" s="17" t="s">
        <v>2</v>
      </c>
      <c r="E343" s="18">
        <f t="shared" si="5"/>
        <v>40922.86</v>
      </c>
      <c r="F343" s="18">
        <v>20461.43</v>
      </c>
      <c r="G343" s="18">
        <v>20461.43</v>
      </c>
      <c r="H343" s="18">
        <v>20461.43</v>
      </c>
    </row>
    <row r="344" spans="1:8" x14ac:dyDescent="0.3">
      <c r="A344" s="17">
        <v>47696</v>
      </c>
      <c r="B344" s="17" t="s">
        <v>376</v>
      </c>
      <c r="C344" s="17" t="s">
        <v>375</v>
      </c>
      <c r="D344" s="17" t="s">
        <v>2</v>
      </c>
      <c r="E344" s="18">
        <f t="shared" si="5"/>
        <v>40304.639999999999</v>
      </c>
      <c r="F344" s="18">
        <v>20152.32</v>
      </c>
      <c r="G344" s="18">
        <v>20152.32</v>
      </c>
      <c r="H344" s="18">
        <v>20152.32</v>
      </c>
    </row>
    <row r="345" spans="1:8" x14ac:dyDescent="0.3">
      <c r="A345" s="17">
        <v>47712</v>
      </c>
      <c r="B345" s="17" t="s">
        <v>377</v>
      </c>
      <c r="C345" s="17" t="s">
        <v>21</v>
      </c>
      <c r="D345" s="17" t="s">
        <v>2</v>
      </c>
      <c r="E345" s="18">
        <f t="shared" si="5"/>
        <v>10166.02</v>
      </c>
      <c r="F345" s="18">
        <v>5083.01</v>
      </c>
      <c r="G345" s="18">
        <v>5083.01</v>
      </c>
      <c r="H345" s="18">
        <v>5083.01</v>
      </c>
    </row>
    <row r="346" spans="1:8" x14ac:dyDescent="0.3">
      <c r="A346" s="17">
        <v>47720</v>
      </c>
      <c r="B346" s="17" t="s">
        <v>378</v>
      </c>
      <c r="C346" s="17" t="s">
        <v>21</v>
      </c>
      <c r="D346" s="17" t="s">
        <v>5</v>
      </c>
      <c r="E346" s="18">
        <f t="shared" si="5"/>
        <v>2063.2199999999998</v>
      </c>
      <c r="F346" s="18">
        <v>1031.6099999999999</v>
      </c>
      <c r="G346" s="18">
        <v>1031.6099999999999</v>
      </c>
      <c r="H346" s="18">
        <v>1031.6099999999999</v>
      </c>
    </row>
    <row r="347" spans="1:8" x14ac:dyDescent="0.3">
      <c r="A347" s="17">
        <v>47738</v>
      </c>
      <c r="B347" s="17" t="s">
        <v>379</v>
      </c>
      <c r="C347" s="17" t="s">
        <v>21</v>
      </c>
      <c r="D347" s="17" t="s">
        <v>380</v>
      </c>
      <c r="E347" s="18">
        <f t="shared" si="5"/>
        <v>2385.04</v>
      </c>
      <c r="F347" s="18">
        <v>1192.52</v>
      </c>
      <c r="G347" s="18">
        <v>1192.52</v>
      </c>
      <c r="H347" s="18">
        <v>1192.52</v>
      </c>
    </row>
    <row r="348" spans="1:8" x14ac:dyDescent="0.3">
      <c r="A348" s="17">
        <v>47746</v>
      </c>
      <c r="B348" s="17" t="s">
        <v>381</v>
      </c>
      <c r="C348" s="17" t="s">
        <v>21</v>
      </c>
      <c r="D348" s="17" t="s">
        <v>33</v>
      </c>
      <c r="E348" s="18">
        <f t="shared" si="5"/>
        <v>1719.54</v>
      </c>
      <c r="F348" s="18">
        <v>859.77</v>
      </c>
      <c r="G348" s="18">
        <v>859.77</v>
      </c>
      <c r="H348" s="18">
        <v>859.77</v>
      </c>
    </row>
    <row r="349" spans="1:8" x14ac:dyDescent="0.3">
      <c r="A349" s="17">
        <v>47761</v>
      </c>
      <c r="B349" s="17" t="s">
        <v>382</v>
      </c>
      <c r="C349" s="17" t="s">
        <v>88</v>
      </c>
      <c r="D349" s="17" t="s">
        <v>33</v>
      </c>
      <c r="E349" s="18">
        <f t="shared" si="5"/>
        <v>2722.54</v>
      </c>
      <c r="F349" s="18">
        <v>1361.27</v>
      </c>
      <c r="G349" s="18">
        <v>1361.27</v>
      </c>
      <c r="H349" s="18">
        <v>1361.27</v>
      </c>
    </row>
    <row r="350" spans="1:8" x14ac:dyDescent="0.3">
      <c r="A350" s="17">
        <v>47829</v>
      </c>
      <c r="B350" s="17" t="s">
        <v>383</v>
      </c>
      <c r="C350" s="17" t="s">
        <v>111</v>
      </c>
      <c r="D350" s="17" t="s">
        <v>33</v>
      </c>
      <c r="E350" s="18">
        <f t="shared" si="5"/>
        <v>643.36</v>
      </c>
      <c r="F350" s="18">
        <v>321.68</v>
      </c>
      <c r="G350" s="18">
        <v>321.68</v>
      </c>
      <c r="H350" s="18">
        <v>321.68</v>
      </c>
    </row>
    <row r="351" spans="1:8" x14ac:dyDescent="0.3">
      <c r="A351" s="17">
        <v>47829</v>
      </c>
      <c r="B351" s="17" t="s">
        <v>383</v>
      </c>
      <c r="C351" s="17" t="s">
        <v>111</v>
      </c>
      <c r="D351" s="17" t="s">
        <v>2</v>
      </c>
      <c r="E351" s="18">
        <f t="shared" si="5"/>
        <v>1930.04</v>
      </c>
      <c r="F351" s="18">
        <v>965.02</v>
      </c>
      <c r="G351" s="18">
        <v>965.02</v>
      </c>
      <c r="H351" s="18">
        <v>965.02</v>
      </c>
    </row>
    <row r="352" spans="1:8" x14ac:dyDescent="0.3">
      <c r="A352" s="17">
        <v>47837</v>
      </c>
      <c r="B352" s="17" t="s">
        <v>384</v>
      </c>
      <c r="C352" s="17" t="s">
        <v>111</v>
      </c>
      <c r="D352" s="17" t="s">
        <v>33</v>
      </c>
      <c r="E352" s="18">
        <f t="shared" si="5"/>
        <v>526.6</v>
      </c>
      <c r="F352" s="18">
        <v>263.3</v>
      </c>
      <c r="G352" s="18">
        <v>263.3</v>
      </c>
      <c r="H352" s="18">
        <v>263.3</v>
      </c>
    </row>
    <row r="353" spans="1:8" x14ac:dyDescent="0.3">
      <c r="A353" s="17">
        <v>47845</v>
      </c>
      <c r="B353" s="17" t="s">
        <v>385</v>
      </c>
      <c r="C353" s="17" t="s">
        <v>111</v>
      </c>
      <c r="D353" s="17" t="s">
        <v>2</v>
      </c>
      <c r="E353" s="18">
        <f t="shared" si="5"/>
        <v>2296.7399999999998</v>
      </c>
      <c r="F353" s="18">
        <v>1148.3699999999999</v>
      </c>
      <c r="G353" s="18">
        <v>1148.3699999999999</v>
      </c>
      <c r="H353" s="18">
        <v>1148.3699999999999</v>
      </c>
    </row>
    <row r="354" spans="1:8" x14ac:dyDescent="0.3">
      <c r="A354" s="17">
        <v>47852</v>
      </c>
      <c r="B354" s="17" t="s">
        <v>386</v>
      </c>
      <c r="C354" s="17" t="s">
        <v>111</v>
      </c>
      <c r="D354" s="17" t="s">
        <v>2</v>
      </c>
      <c r="E354" s="18">
        <f t="shared" si="5"/>
        <v>28665.64</v>
      </c>
      <c r="F354" s="18">
        <v>14332.82</v>
      </c>
      <c r="G354" s="18">
        <v>14332.82</v>
      </c>
      <c r="H354" s="18">
        <v>14332.82</v>
      </c>
    </row>
    <row r="355" spans="1:8" x14ac:dyDescent="0.3">
      <c r="A355" s="17">
        <v>47878</v>
      </c>
      <c r="B355" s="17" t="s">
        <v>387</v>
      </c>
      <c r="C355" s="17" t="s">
        <v>134</v>
      </c>
      <c r="D355" s="17" t="s">
        <v>2</v>
      </c>
      <c r="E355" s="18">
        <f t="shared" si="5"/>
        <v>4869.72</v>
      </c>
      <c r="F355" s="18">
        <v>2434.86</v>
      </c>
      <c r="G355" s="18">
        <v>2434.86</v>
      </c>
      <c r="H355" s="18">
        <v>2434.86</v>
      </c>
    </row>
    <row r="356" spans="1:8" x14ac:dyDescent="0.3">
      <c r="A356" s="17">
        <v>47886</v>
      </c>
      <c r="B356" s="17" t="s">
        <v>278</v>
      </c>
      <c r="C356" s="17" t="s">
        <v>134</v>
      </c>
      <c r="D356" s="17" t="s">
        <v>2</v>
      </c>
      <c r="E356" s="18">
        <f t="shared" si="5"/>
        <v>10038.42</v>
      </c>
      <c r="F356" s="18">
        <v>5019.21</v>
      </c>
      <c r="G356" s="18">
        <v>5019.21</v>
      </c>
      <c r="H356" s="18">
        <v>5019.21</v>
      </c>
    </row>
    <row r="357" spans="1:8" x14ac:dyDescent="0.3">
      <c r="A357" s="17">
        <v>47894</v>
      </c>
      <c r="B357" s="17" t="s">
        <v>388</v>
      </c>
      <c r="C357" s="17" t="s">
        <v>134</v>
      </c>
      <c r="D357" s="17" t="s">
        <v>2</v>
      </c>
      <c r="E357" s="18">
        <f t="shared" si="5"/>
        <v>92254.080000000002</v>
      </c>
      <c r="F357" s="18">
        <v>46127.040000000001</v>
      </c>
      <c r="G357" s="18">
        <v>46127.040000000001</v>
      </c>
      <c r="H357" s="18">
        <v>46127.040000000001</v>
      </c>
    </row>
    <row r="358" spans="1:8" x14ac:dyDescent="0.3">
      <c r="A358" s="17">
        <v>47928</v>
      </c>
      <c r="B358" s="17" t="s">
        <v>389</v>
      </c>
      <c r="C358" s="17" t="s">
        <v>202</v>
      </c>
      <c r="D358" s="17" t="s">
        <v>390</v>
      </c>
      <c r="E358" s="18">
        <f t="shared" si="5"/>
        <v>1288.06</v>
      </c>
      <c r="F358" s="18">
        <v>644.03</v>
      </c>
      <c r="G358" s="18">
        <v>644.03</v>
      </c>
      <c r="H358" s="18">
        <v>644.03</v>
      </c>
    </row>
    <row r="359" spans="1:8" x14ac:dyDescent="0.3">
      <c r="A359" s="17">
        <v>47936</v>
      </c>
      <c r="B359" s="17" t="s">
        <v>391</v>
      </c>
      <c r="C359" s="17" t="s">
        <v>202</v>
      </c>
      <c r="D359" s="17" t="s">
        <v>5</v>
      </c>
      <c r="E359" s="18">
        <f t="shared" si="5"/>
        <v>1639.6</v>
      </c>
      <c r="F359" s="18">
        <v>819.8</v>
      </c>
      <c r="G359" s="18">
        <v>819.8</v>
      </c>
      <c r="H359" s="18">
        <v>819.8</v>
      </c>
    </row>
    <row r="360" spans="1:8" x14ac:dyDescent="0.3">
      <c r="A360" s="17">
        <v>47944</v>
      </c>
      <c r="B360" s="17" t="s">
        <v>392</v>
      </c>
      <c r="C360" s="17" t="s">
        <v>202</v>
      </c>
      <c r="D360" s="17" t="s">
        <v>5</v>
      </c>
      <c r="E360" s="18">
        <f t="shared" si="5"/>
        <v>5834.94</v>
      </c>
      <c r="F360" s="18">
        <v>2917.47</v>
      </c>
      <c r="G360" s="18">
        <v>2917.47</v>
      </c>
      <c r="H360" s="18">
        <v>2917.47</v>
      </c>
    </row>
    <row r="361" spans="1:8" x14ac:dyDescent="0.3">
      <c r="A361" s="17">
        <v>47951</v>
      </c>
      <c r="B361" s="17" t="s">
        <v>393</v>
      </c>
      <c r="C361" s="17" t="s">
        <v>202</v>
      </c>
      <c r="D361" s="17" t="s">
        <v>2</v>
      </c>
      <c r="E361" s="18">
        <f t="shared" si="5"/>
        <v>4259.9399999999996</v>
      </c>
      <c r="F361" s="18">
        <v>2129.9699999999998</v>
      </c>
      <c r="G361" s="18">
        <v>2129.9699999999998</v>
      </c>
      <c r="H361" s="18">
        <v>2129.9699999999998</v>
      </c>
    </row>
    <row r="362" spans="1:8" x14ac:dyDescent="0.3">
      <c r="A362" s="17">
        <v>47969</v>
      </c>
      <c r="B362" s="17" t="s">
        <v>394</v>
      </c>
      <c r="C362" s="17" t="s">
        <v>202</v>
      </c>
      <c r="D362" s="17" t="s">
        <v>33</v>
      </c>
      <c r="E362" s="18">
        <f t="shared" si="5"/>
        <v>1067.1400000000001</v>
      </c>
      <c r="F362" s="18">
        <v>533.57000000000005</v>
      </c>
      <c r="G362" s="18">
        <v>533.57000000000005</v>
      </c>
      <c r="H362" s="18">
        <v>533.57000000000005</v>
      </c>
    </row>
    <row r="363" spans="1:8" x14ac:dyDescent="0.3">
      <c r="A363" s="17">
        <v>48017</v>
      </c>
      <c r="B363" s="17" t="s">
        <v>933</v>
      </c>
      <c r="C363" s="17" t="s">
        <v>81</v>
      </c>
      <c r="D363" s="17" t="s">
        <v>2</v>
      </c>
      <c r="E363" s="18">
        <f t="shared" si="5"/>
        <v>488.66</v>
      </c>
      <c r="F363" s="18">
        <v>0</v>
      </c>
      <c r="G363" s="18">
        <v>0</v>
      </c>
      <c r="H363" s="18">
        <v>488.66</v>
      </c>
    </row>
    <row r="364" spans="1:8" x14ac:dyDescent="0.3">
      <c r="A364" s="17">
        <v>48025</v>
      </c>
      <c r="B364" s="17" t="s">
        <v>395</v>
      </c>
      <c r="C364" s="17" t="s">
        <v>81</v>
      </c>
      <c r="D364" s="17" t="s">
        <v>2</v>
      </c>
      <c r="E364" s="18">
        <f t="shared" si="5"/>
        <v>5901.28</v>
      </c>
      <c r="F364" s="18">
        <v>2950.64</v>
      </c>
      <c r="G364" s="18">
        <v>2950.64</v>
      </c>
      <c r="H364" s="18">
        <v>2950.64</v>
      </c>
    </row>
    <row r="365" spans="1:8" x14ac:dyDescent="0.3">
      <c r="A365" s="17">
        <v>48033</v>
      </c>
      <c r="B365" s="17" t="s">
        <v>396</v>
      </c>
      <c r="C365" s="17" t="s">
        <v>81</v>
      </c>
      <c r="D365" s="17" t="s">
        <v>397</v>
      </c>
      <c r="E365" s="18">
        <f t="shared" si="5"/>
        <v>1060.56</v>
      </c>
      <c r="F365" s="18">
        <v>530.28</v>
      </c>
      <c r="G365" s="18">
        <v>530.28</v>
      </c>
      <c r="H365" s="18">
        <v>530.28</v>
      </c>
    </row>
    <row r="366" spans="1:8" x14ac:dyDescent="0.3">
      <c r="A366" s="17">
        <v>48033</v>
      </c>
      <c r="B366" s="17" t="s">
        <v>396</v>
      </c>
      <c r="C366" s="17" t="s">
        <v>81</v>
      </c>
      <c r="D366" s="17" t="s">
        <v>2</v>
      </c>
      <c r="E366" s="18">
        <f>F366+H366</f>
        <v>118007.6</v>
      </c>
      <c r="F366" s="18">
        <v>59003.8</v>
      </c>
      <c r="G366" s="18">
        <v>59003.8</v>
      </c>
      <c r="H366" s="18">
        <v>59003.8</v>
      </c>
    </row>
    <row r="367" spans="1:8" x14ac:dyDescent="0.3">
      <c r="A367" s="17">
        <v>48041</v>
      </c>
      <c r="B367" s="17" t="s">
        <v>398</v>
      </c>
      <c r="C367" s="17" t="s">
        <v>81</v>
      </c>
      <c r="D367" s="17" t="s">
        <v>2</v>
      </c>
      <c r="E367" s="18">
        <f t="shared" si="5"/>
        <v>22806.42</v>
      </c>
      <c r="F367" s="18">
        <v>11403.21</v>
      </c>
      <c r="G367" s="18">
        <v>11403.21</v>
      </c>
      <c r="H367" s="18">
        <v>11403.21</v>
      </c>
    </row>
    <row r="368" spans="1:8" x14ac:dyDescent="0.3">
      <c r="A368" s="17">
        <v>48090</v>
      </c>
      <c r="B368" s="17" t="s">
        <v>388</v>
      </c>
      <c r="C368" s="17" t="s">
        <v>19</v>
      </c>
      <c r="D368" s="17" t="s">
        <v>33</v>
      </c>
      <c r="E368" s="18">
        <f t="shared" si="5"/>
        <v>1084.26</v>
      </c>
      <c r="F368" s="18">
        <v>542.13</v>
      </c>
      <c r="G368" s="18">
        <v>542.13</v>
      </c>
      <c r="H368" s="18">
        <v>542.13</v>
      </c>
    </row>
    <row r="369" spans="1:8" x14ac:dyDescent="0.3">
      <c r="A369" s="17">
        <v>48090</v>
      </c>
      <c r="B369" s="17" t="s">
        <v>388</v>
      </c>
      <c r="C369" s="17" t="s">
        <v>19</v>
      </c>
      <c r="D369" s="17" t="s">
        <v>2</v>
      </c>
      <c r="E369" s="18">
        <f t="shared" si="5"/>
        <v>4337</v>
      </c>
      <c r="F369" s="18">
        <v>2168.5</v>
      </c>
      <c r="G369" s="18">
        <v>2168.5</v>
      </c>
      <c r="H369" s="18">
        <v>2168.5</v>
      </c>
    </row>
    <row r="370" spans="1:8" x14ac:dyDescent="0.3">
      <c r="A370" s="17">
        <v>48116</v>
      </c>
      <c r="B370" s="17" t="s">
        <v>399</v>
      </c>
      <c r="C370" s="17" t="s">
        <v>95</v>
      </c>
      <c r="D370" s="17" t="s">
        <v>2</v>
      </c>
      <c r="E370" s="18">
        <f t="shared" si="5"/>
        <v>30206.959999999999</v>
      </c>
      <c r="F370" s="18">
        <v>15103.48</v>
      </c>
      <c r="G370" s="18">
        <v>15103.48</v>
      </c>
      <c r="H370" s="18">
        <v>15103.48</v>
      </c>
    </row>
    <row r="371" spans="1:8" x14ac:dyDescent="0.3">
      <c r="A371" s="17">
        <v>48124</v>
      </c>
      <c r="B371" s="17" t="s">
        <v>400</v>
      </c>
      <c r="C371" s="17" t="s">
        <v>95</v>
      </c>
      <c r="D371" s="17" t="s">
        <v>2</v>
      </c>
      <c r="E371" s="18">
        <f t="shared" si="5"/>
        <v>75286.679999999993</v>
      </c>
      <c r="F371" s="18">
        <v>37643.339999999997</v>
      </c>
      <c r="G371" s="18">
        <v>37643.339999999997</v>
      </c>
      <c r="H371" s="18">
        <v>37643.339999999997</v>
      </c>
    </row>
    <row r="372" spans="1:8" x14ac:dyDescent="0.3">
      <c r="A372" s="17">
        <v>48132</v>
      </c>
      <c r="B372" s="17" t="s">
        <v>401</v>
      </c>
      <c r="C372" s="17" t="s">
        <v>95</v>
      </c>
      <c r="D372" s="17" t="s">
        <v>33</v>
      </c>
      <c r="E372" s="18">
        <f t="shared" si="5"/>
        <v>2652.24</v>
      </c>
      <c r="F372" s="18">
        <v>1326.12</v>
      </c>
      <c r="G372" s="18">
        <v>1326.12</v>
      </c>
      <c r="H372" s="18">
        <v>1326.12</v>
      </c>
    </row>
    <row r="373" spans="1:8" x14ac:dyDescent="0.3">
      <c r="A373" s="17">
        <v>48132</v>
      </c>
      <c r="B373" s="17" t="s">
        <v>401</v>
      </c>
      <c r="C373" s="17" t="s">
        <v>95</v>
      </c>
      <c r="D373" s="17" t="s">
        <v>2</v>
      </c>
      <c r="E373" s="18">
        <f t="shared" si="5"/>
        <v>5304.48</v>
      </c>
      <c r="F373" s="18">
        <v>2652.24</v>
      </c>
      <c r="G373" s="18">
        <v>2652.24</v>
      </c>
      <c r="H373" s="18">
        <v>2652.24</v>
      </c>
    </row>
    <row r="374" spans="1:8" x14ac:dyDescent="0.3">
      <c r="A374" s="17">
        <v>48140</v>
      </c>
      <c r="B374" s="17" t="s">
        <v>402</v>
      </c>
      <c r="C374" s="17" t="s">
        <v>95</v>
      </c>
      <c r="D374" s="17" t="s">
        <v>2</v>
      </c>
      <c r="E374" s="18">
        <f t="shared" si="5"/>
        <v>5805.18</v>
      </c>
      <c r="F374" s="18">
        <v>2902.59</v>
      </c>
      <c r="G374" s="18">
        <v>2902.59</v>
      </c>
      <c r="H374" s="18">
        <v>2902.59</v>
      </c>
    </row>
    <row r="375" spans="1:8" x14ac:dyDescent="0.3">
      <c r="A375" s="17">
        <v>48157</v>
      </c>
      <c r="B375" s="17" t="s">
        <v>403</v>
      </c>
      <c r="C375" s="17" t="s">
        <v>95</v>
      </c>
      <c r="D375" s="17" t="s">
        <v>2</v>
      </c>
      <c r="E375" s="18">
        <f t="shared" si="5"/>
        <v>11149.78</v>
      </c>
      <c r="F375" s="18">
        <v>5574.89</v>
      </c>
      <c r="G375" s="18">
        <v>5574.89</v>
      </c>
      <c r="H375" s="18">
        <v>5574.89</v>
      </c>
    </row>
    <row r="376" spans="1:8" x14ac:dyDescent="0.3">
      <c r="A376" s="17">
        <v>48165</v>
      </c>
      <c r="B376" s="17" t="s">
        <v>404</v>
      </c>
      <c r="C376" s="17" t="s">
        <v>95</v>
      </c>
      <c r="D376" s="17" t="s">
        <v>2</v>
      </c>
      <c r="E376" s="18">
        <f t="shared" si="5"/>
        <v>14306.7</v>
      </c>
      <c r="F376" s="18">
        <v>7153.35</v>
      </c>
      <c r="G376" s="18">
        <v>7153.35</v>
      </c>
      <c r="H376" s="18">
        <v>7153.35</v>
      </c>
    </row>
    <row r="377" spans="1:8" x14ac:dyDescent="0.3">
      <c r="A377" s="17">
        <v>48173</v>
      </c>
      <c r="B377" s="17" t="s">
        <v>405</v>
      </c>
      <c r="C377" s="17" t="s">
        <v>95</v>
      </c>
      <c r="D377" s="17" t="s">
        <v>2</v>
      </c>
      <c r="E377" s="18">
        <f t="shared" si="5"/>
        <v>48728.66</v>
      </c>
      <c r="F377" s="18">
        <v>24364.33</v>
      </c>
      <c r="G377" s="18">
        <v>24364.33</v>
      </c>
      <c r="H377" s="18">
        <v>24364.33</v>
      </c>
    </row>
    <row r="378" spans="1:8" x14ac:dyDescent="0.3">
      <c r="A378" s="17">
        <v>48207</v>
      </c>
      <c r="B378" s="17" t="s">
        <v>406</v>
      </c>
      <c r="C378" s="17" t="s">
        <v>105</v>
      </c>
      <c r="D378" s="17" t="s">
        <v>2</v>
      </c>
      <c r="E378" s="18">
        <f t="shared" si="5"/>
        <v>35772.14</v>
      </c>
      <c r="F378" s="18">
        <v>17886.07</v>
      </c>
      <c r="G378" s="18">
        <v>17886.07</v>
      </c>
      <c r="H378" s="18">
        <v>17886.07</v>
      </c>
    </row>
    <row r="379" spans="1:8" x14ac:dyDescent="0.3">
      <c r="A379" s="17">
        <v>48207</v>
      </c>
      <c r="B379" s="17" t="s">
        <v>406</v>
      </c>
      <c r="C379" s="17" t="s">
        <v>105</v>
      </c>
      <c r="D379" s="17" t="s">
        <v>2</v>
      </c>
      <c r="E379" s="18">
        <f t="shared" si="5"/>
        <v>47068.6</v>
      </c>
      <c r="F379" s="18">
        <v>23534.3</v>
      </c>
      <c r="G379" s="18">
        <v>23534.3</v>
      </c>
      <c r="H379" s="18">
        <v>23534.3</v>
      </c>
    </row>
    <row r="380" spans="1:8" x14ac:dyDescent="0.3">
      <c r="A380" s="17">
        <v>48215</v>
      </c>
      <c r="B380" s="17" t="s">
        <v>407</v>
      </c>
      <c r="C380" s="17" t="s">
        <v>105</v>
      </c>
      <c r="D380" s="17" t="s">
        <v>2</v>
      </c>
      <c r="E380" s="18">
        <f t="shared" si="5"/>
        <v>1346.64</v>
      </c>
      <c r="F380" s="18">
        <v>673.32</v>
      </c>
      <c r="G380" s="18">
        <v>673.32</v>
      </c>
      <c r="H380" s="18">
        <v>673.32</v>
      </c>
    </row>
    <row r="381" spans="1:8" x14ac:dyDescent="0.3">
      <c r="A381" s="17">
        <v>48223</v>
      </c>
      <c r="B381" s="17" t="s">
        <v>408</v>
      </c>
      <c r="C381" s="17" t="s">
        <v>105</v>
      </c>
      <c r="D381" s="17" t="s">
        <v>2</v>
      </c>
      <c r="E381" s="18">
        <f t="shared" si="5"/>
        <v>46566.68</v>
      </c>
      <c r="F381" s="18">
        <v>23283.34</v>
      </c>
      <c r="G381" s="18">
        <v>23283.34</v>
      </c>
      <c r="H381" s="18">
        <v>23283.34</v>
      </c>
    </row>
    <row r="382" spans="1:8" x14ac:dyDescent="0.3">
      <c r="A382" s="17">
        <v>48231</v>
      </c>
      <c r="B382" s="17" t="s">
        <v>409</v>
      </c>
      <c r="C382" s="17" t="s">
        <v>105</v>
      </c>
      <c r="D382" s="17" t="s">
        <v>2</v>
      </c>
      <c r="E382" s="18">
        <f t="shared" si="5"/>
        <v>262307.71999999997</v>
      </c>
      <c r="F382" s="18">
        <v>131153.85999999999</v>
      </c>
      <c r="G382" s="18">
        <v>131153.85999999999</v>
      </c>
      <c r="H382" s="18">
        <v>131153.85999999999</v>
      </c>
    </row>
    <row r="383" spans="1:8" x14ac:dyDescent="0.3">
      <c r="A383" s="17">
        <v>48256</v>
      </c>
      <c r="B383" s="17" t="s">
        <v>410</v>
      </c>
      <c r="C383" s="17" t="s">
        <v>411</v>
      </c>
      <c r="D383" s="17" t="s">
        <v>2</v>
      </c>
      <c r="E383" s="18">
        <f t="shared" si="5"/>
        <v>7317.02</v>
      </c>
      <c r="F383" s="18">
        <v>3658.51</v>
      </c>
      <c r="G383" s="18">
        <v>3658.51</v>
      </c>
      <c r="H383" s="18">
        <v>3658.51</v>
      </c>
    </row>
    <row r="384" spans="1:8" x14ac:dyDescent="0.3">
      <c r="A384" s="17">
        <v>48264</v>
      </c>
      <c r="B384" s="17" t="s">
        <v>412</v>
      </c>
      <c r="C384" s="17" t="s">
        <v>411</v>
      </c>
      <c r="D384" s="17" t="s">
        <v>2</v>
      </c>
      <c r="E384" s="18">
        <f t="shared" si="5"/>
        <v>31693.9</v>
      </c>
      <c r="F384" s="18">
        <v>15846.95</v>
      </c>
      <c r="G384" s="18">
        <v>15846.95</v>
      </c>
      <c r="H384" s="18">
        <v>15846.95</v>
      </c>
    </row>
    <row r="385" spans="1:8" x14ac:dyDescent="0.3">
      <c r="A385" s="17">
        <v>48272</v>
      </c>
      <c r="B385" s="17" t="s">
        <v>413</v>
      </c>
      <c r="C385" s="17" t="s">
        <v>411</v>
      </c>
      <c r="D385" s="17" t="s">
        <v>2</v>
      </c>
      <c r="E385" s="18">
        <f t="shared" si="5"/>
        <v>37624.06</v>
      </c>
      <c r="F385" s="18">
        <v>18812.03</v>
      </c>
      <c r="G385" s="18">
        <v>18812.03</v>
      </c>
      <c r="H385" s="18">
        <v>18812.03</v>
      </c>
    </row>
    <row r="386" spans="1:8" x14ac:dyDescent="0.3">
      <c r="A386" s="17">
        <v>48306</v>
      </c>
      <c r="B386" s="17" t="s">
        <v>414</v>
      </c>
      <c r="C386" s="17" t="s">
        <v>35</v>
      </c>
      <c r="D386" s="17" t="s">
        <v>2</v>
      </c>
      <c r="E386" s="18">
        <f t="shared" si="5"/>
        <v>102336.76</v>
      </c>
      <c r="F386" s="18">
        <v>51168.38</v>
      </c>
      <c r="G386" s="18">
        <v>51168.38</v>
      </c>
      <c r="H386" s="18">
        <v>51168.38</v>
      </c>
    </row>
    <row r="387" spans="1:8" x14ac:dyDescent="0.3">
      <c r="A387" s="17">
        <v>48314</v>
      </c>
      <c r="B387" s="17" t="s">
        <v>415</v>
      </c>
      <c r="C387" s="17" t="s">
        <v>35</v>
      </c>
      <c r="D387" s="17" t="s">
        <v>2</v>
      </c>
      <c r="E387" s="18">
        <f t="shared" si="5"/>
        <v>10538.26</v>
      </c>
      <c r="F387" s="18">
        <v>5269.13</v>
      </c>
      <c r="G387" s="18">
        <v>5269.13</v>
      </c>
      <c r="H387" s="18">
        <v>5269.13</v>
      </c>
    </row>
    <row r="388" spans="1:8" x14ac:dyDescent="0.3">
      <c r="A388" s="17">
        <v>48322</v>
      </c>
      <c r="B388" s="17" t="s">
        <v>416</v>
      </c>
      <c r="C388" s="17" t="s">
        <v>35</v>
      </c>
      <c r="D388" s="17" t="s">
        <v>2</v>
      </c>
      <c r="E388" s="18">
        <f t="shared" si="5"/>
        <v>44003.839999999997</v>
      </c>
      <c r="F388" s="18">
        <v>22001.919999999998</v>
      </c>
      <c r="G388" s="18">
        <v>22001.919999999998</v>
      </c>
      <c r="H388" s="18">
        <v>22001.919999999998</v>
      </c>
    </row>
    <row r="389" spans="1:8" x14ac:dyDescent="0.3">
      <c r="A389" s="17">
        <v>48322</v>
      </c>
      <c r="B389" s="17" t="s">
        <v>416</v>
      </c>
      <c r="C389" s="17" t="s">
        <v>35</v>
      </c>
      <c r="D389" s="17" t="s">
        <v>2</v>
      </c>
      <c r="E389" s="18">
        <f t="shared" si="5"/>
        <v>27430.959999999999</v>
      </c>
      <c r="F389" s="18">
        <v>13715.48</v>
      </c>
      <c r="G389" s="18">
        <v>13715.48</v>
      </c>
      <c r="H389" s="18">
        <v>13715.48</v>
      </c>
    </row>
    <row r="390" spans="1:8" x14ac:dyDescent="0.3">
      <c r="A390" s="17">
        <v>48330</v>
      </c>
      <c r="B390" s="17" t="s">
        <v>417</v>
      </c>
      <c r="C390" s="17" t="s">
        <v>35</v>
      </c>
      <c r="D390" s="17" t="s">
        <v>5</v>
      </c>
      <c r="E390" s="18">
        <f t="shared" si="5"/>
        <v>925.14</v>
      </c>
      <c r="F390" s="18">
        <v>462.57</v>
      </c>
      <c r="G390" s="18">
        <v>462.57</v>
      </c>
      <c r="H390" s="18">
        <v>462.57</v>
      </c>
    </row>
    <row r="391" spans="1:8" x14ac:dyDescent="0.3">
      <c r="A391" s="17">
        <v>48348</v>
      </c>
      <c r="B391" s="17" t="s">
        <v>418</v>
      </c>
      <c r="C391" s="17" t="s">
        <v>35</v>
      </c>
      <c r="D391" s="17" t="s">
        <v>2</v>
      </c>
      <c r="E391" s="18">
        <f t="shared" si="5"/>
        <v>8792.82</v>
      </c>
      <c r="F391" s="18">
        <v>4396.41</v>
      </c>
      <c r="G391" s="18">
        <v>4396.41</v>
      </c>
      <c r="H391" s="18">
        <v>4396.41</v>
      </c>
    </row>
    <row r="392" spans="1:8" x14ac:dyDescent="0.3">
      <c r="A392" s="17">
        <v>48355</v>
      </c>
      <c r="B392" s="17" t="s">
        <v>419</v>
      </c>
      <c r="C392" s="17" t="s">
        <v>35</v>
      </c>
      <c r="D392" s="17" t="s">
        <v>5</v>
      </c>
      <c r="E392" s="18">
        <f t="shared" si="5"/>
        <v>2748.98</v>
      </c>
      <c r="F392" s="18">
        <v>1374.49</v>
      </c>
      <c r="G392" s="18">
        <v>1374.49</v>
      </c>
      <c r="H392" s="18">
        <v>1374.49</v>
      </c>
    </row>
    <row r="393" spans="1:8" x14ac:dyDescent="0.3">
      <c r="A393" s="17">
        <v>48355</v>
      </c>
      <c r="B393" s="17" t="s">
        <v>419</v>
      </c>
      <c r="C393" s="17" t="s">
        <v>35</v>
      </c>
      <c r="D393" s="17" t="s">
        <v>2</v>
      </c>
      <c r="E393" s="18">
        <f t="shared" si="5"/>
        <v>16493.88</v>
      </c>
      <c r="F393" s="18">
        <v>8246.94</v>
      </c>
      <c r="G393" s="18">
        <v>8246.94</v>
      </c>
      <c r="H393" s="18">
        <v>8246.94</v>
      </c>
    </row>
    <row r="394" spans="1:8" x14ac:dyDescent="0.3">
      <c r="A394" s="17">
        <v>48371</v>
      </c>
      <c r="B394" s="17" t="s">
        <v>408</v>
      </c>
      <c r="C394" s="17" t="s">
        <v>35</v>
      </c>
      <c r="D394" s="17" t="s">
        <v>2</v>
      </c>
      <c r="E394" s="18">
        <f t="shared" si="5"/>
        <v>4391.4399999999996</v>
      </c>
      <c r="F394" s="18">
        <v>2195.7199999999998</v>
      </c>
      <c r="G394" s="18">
        <v>2195.7199999999998</v>
      </c>
      <c r="H394" s="18">
        <v>2195.7199999999998</v>
      </c>
    </row>
    <row r="395" spans="1:8" x14ac:dyDescent="0.3">
      <c r="A395" s="17">
        <v>48389</v>
      </c>
      <c r="B395" s="17" t="s">
        <v>420</v>
      </c>
      <c r="C395" s="17" t="s">
        <v>35</v>
      </c>
      <c r="D395" s="17" t="s">
        <v>33</v>
      </c>
      <c r="E395" s="18">
        <f t="shared" si="5"/>
        <v>2945.8</v>
      </c>
      <c r="F395" s="18">
        <v>1472.9</v>
      </c>
      <c r="G395" s="18">
        <v>1472.9</v>
      </c>
      <c r="H395" s="18">
        <v>1472.9</v>
      </c>
    </row>
    <row r="396" spans="1:8" x14ac:dyDescent="0.3">
      <c r="A396" s="17">
        <v>48397</v>
      </c>
      <c r="B396" s="17" t="s">
        <v>381</v>
      </c>
      <c r="C396" s="17" t="s">
        <v>35</v>
      </c>
      <c r="D396" s="17" t="s">
        <v>2</v>
      </c>
      <c r="E396" s="18">
        <f t="shared" si="5"/>
        <v>9337.86</v>
      </c>
      <c r="F396" s="18">
        <v>4668.93</v>
      </c>
      <c r="G396" s="18">
        <v>4668.93</v>
      </c>
      <c r="H396" s="18">
        <v>4668.93</v>
      </c>
    </row>
    <row r="397" spans="1:8" x14ac:dyDescent="0.3">
      <c r="A397" s="17">
        <v>48447</v>
      </c>
      <c r="B397" s="17" t="s">
        <v>421</v>
      </c>
      <c r="C397" s="17" t="s">
        <v>101</v>
      </c>
      <c r="D397" s="17" t="s">
        <v>33</v>
      </c>
      <c r="E397" s="18">
        <f t="shared" si="5"/>
        <v>16563.12</v>
      </c>
      <c r="F397" s="18">
        <v>8281.56</v>
      </c>
      <c r="G397" s="18">
        <v>8281.56</v>
      </c>
      <c r="H397" s="18">
        <v>8281.56</v>
      </c>
    </row>
    <row r="398" spans="1:8" x14ac:dyDescent="0.3">
      <c r="A398" s="17">
        <v>48470</v>
      </c>
      <c r="B398" s="17" t="s">
        <v>254</v>
      </c>
      <c r="C398" s="17" t="s">
        <v>28</v>
      </c>
      <c r="D398" s="17" t="s">
        <v>2</v>
      </c>
      <c r="E398" s="18">
        <f t="shared" si="5"/>
        <v>42284.34</v>
      </c>
      <c r="F398" s="18">
        <v>21142.17</v>
      </c>
      <c r="G398" s="18">
        <v>21142.17</v>
      </c>
      <c r="H398" s="18">
        <v>21142.17</v>
      </c>
    </row>
    <row r="399" spans="1:8" x14ac:dyDescent="0.3">
      <c r="A399" s="17">
        <v>48488</v>
      </c>
      <c r="B399" s="17" t="s">
        <v>422</v>
      </c>
      <c r="C399" s="17" t="s">
        <v>28</v>
      </c>
      <c r="D399" s="17" t="s">
        <v>2</v>
      </c>
      <c r="E399" s="18">
        <f t="shared" si="5"/>
        <v>31070.1</v>
      </c>
      <c r="F399" s="18">
        <v>15535.05</v>
      </c>
      <c r="G399" s="18">
        <v>15535.05</v>
      </c>
      <c r="H399" s="18">
        <v>15535.05</v>
      </c>
    </row>
    <row r="400" spans="1:8" x14ac:dyDescent="0.3">
      <c r="A400" s="17">
        <v>48512</v>
      </c>
      <c r="B400" s="17" t="s">
        <v>270</v>
      </c>
      <c r="C400" s="17" t="s">
        <v>423</v>
      </c>
      <c r="D400" s="17" t="s">
        <v>424</v>
      </c>
      <c r="E400" s="18">
        <f t="shared" si="5"/>
        <v>1008.9</v>
      </c>
      <c r="F400" s="18">
        <v>504.45</v>
      </c>
      <c r="G400" s="18">
        <v>504.45</v>
      </c>
      <c r="H400" s="18">
        <v>504.45</v>
      </c>
    </row>
    <row r="401" spans="1:8" x14ac:dyDescent="0.3">
      <c r="A401" s="17">
        <v>48520</v>
      </c>
      <c r="B401" s="17" t="s">
        <v>425</v>
      </c>
      <c r="C401" s="17" t="s">
        <v>423</v>
      </c>
      <c r="D401" s="17" t="s">
        <v>426</v>
      </c>
      <c r="E401" s="18">
        <f t="shared" si="5"/>
        <v>3457.54</v>
      </c>
      <c r="F401" s="18">
        <v>1728.77</v>
      </c>
      <c r="G401" s="18">
        <v>1728.77</v>
      </c>
      <c r="H401" s="18">
        <v>1728.77</v>
      </c>
    </row>
    <row r="402" spans="1:8" x14ac:dyDescent="0.3">
      <c r="A402" s="17">
        <v>48538</v>
      </c>
      <c r="B402" s="17" t="s">
        <v>305</v>
      </c>
      <c r="C402" s="17" t="s">
        <v>423</v>
      </c>
      <c r="D402" s="17" t="s">
        <v>5</v>
      </c>
      <c r="E402" s="18">
        <f t="shared" si="5"/>
        <v>915.66</v>
      </c>
      <c r="F402" s="18">
        <v>457.83</v>
      </c>
      <c r="G402" s="18">
        <v>457.83</v>
      </c>
      <c r="H402" s="18">
        <v>457.83</v>
      </c>
    </row>
    <row r="403" spans="1:8" x14ac:dyDescent="0.3">
      <c r="A403" s="17">
        <v>48553</v>
      </c>
      <c r="B403" s="17" t="s">
        <v>427</v>
      </c>
      <c r="C403" s="17" t="s">
        <v>206</v>
      </c>
      <c r="D403" s="17" t="s">
        <v>33</v>
      </c>
      <c r="E403" s="18">
        <f t="shared" si="5"/>
        <v>823.74</v>
      </c>
      <c r="F403" s="18">
        <v>411.87</v>
      </c>
      <c r="G403" s="18">
        <v>411.87</v>
      </c>
      <c r="H403" s="18">
        <v>411.87</v>
      </c>
    </row>
    <row r="404" spans="1:8" x14ac:dyDescent="0.3">
      <c r="A404" s="17">
        <v>48553</v>
      </c>
      <c r="B404" s="17" t="s">
        <v>427</v>
      </c>
      <c r="C404" s="17" t="s">
        <v>206</v>
      </c>
      <c r="D404" s="17" t="s">
        <v>2</v>
      </c>
      <c r="E404" s="18">
        <f t="shared" si="5"/>
        <v>2471.1999999999998</v>
      </c>
      <c r="F404" s="18">
        <v>1235.5999999999999</v>
      </c>
      <c r="G404" s="18">
        <v>1235.5999999999999</v>
      </c>
      <c r="H404" s="18">
        <v>1235.5999999999999</v>
      </c>
    </row>
    <row r="405" spans="1:8" x14ac:dyDescent="0.3">
      <c r="A405" s="17">
        <v>48579</v>
      </c>
      <c r="B405" s="17" t="s">
        <v>428</v>
      </c>
      <c r="C405" s="17" t="s">
        <v>206</v>
      </c>
      <c r="D405" s="17" t="s">
        <v>33</v>
      </c>
      <c r="E405" s="18">
        <f t="shared" si="5"/>
        <v>1513.32</v>
      </c>
      <c r="F405" s="18">
        <v>756.66</v>
      </c>
      <c r="G405" s="18">
        <v>756.66</v>
      </c>
      <c r="H405" s="18">
        <v>756.66</v>
      </c>
    </row>
    <row r="406" spans="1:8" x14ac:dyDescent="0.3">
      <c r="A406" s="17">
        <v>48579</v>
      </c>
      <c r="B406" s="17" t="s">
        <v>428</v>
      </c>
      <c r="C406" s="17" t="s">
        <v>206</v>
      </c>
      <c r="D406" s="17" t="s">
        <v>2</v>
      </c>
      <c r="E406" s="18">
        <f t="shared" ref="E406:E468" si="6">F406+H406</f>
        <v>4539.9799999999996</v>
      </c>
      <c r="F406" s="18">
        <v>2269.9899999999998</v>
      </c>
      <c r="G406" s="18">
        <v>2269.9899999999998</v>
      </c>
      <c r="H406" s="18">
        <v>2269.9899999999998</v>
      </c>
    </row>
    <row r="407" spans="1:8" x14ac:dyDescent="0.3">
      <c r="A407" s="17">
        <v>48587</v>
      </c>
      <c r="B407" s="17" t="s">
        <v>429</v>
      </c>
      <c r="C407" s="17" t="s">
        <v>206</v>
      </c>
      <c r="D407" s="17" t="s">
        <v>33</v>
      </c>
      <c r="E407" s="18">
        <f t="shared" si="6"/>
        <v>2828.2</v>
      </c>
      <c r="F407" s="18">
        <v>1414.1</v>
      </c>
      <c r="G407" s="18">
        <v>1414.1</v>
      </c>
      <c r="H407" s="18">
        <v>1414.1</v>
      </c>
    </row>
    <row r="408" spans="1:8" x14ac:dyDescent="0.3">
      <c r="A408" s="17">
        <v>48587</v>
      </c>
      <c r="B408" s="17" t="s">
        <v>429</v>
      </c>
      <c r="C408" s="17" t="s">
        <v>206</v>
      </c>
      <c r="D408" s="17" t="s">
        <v>2</v>
      </c>
      <c r="E408" s="18">
        <f t="shared" si="6"/>
        <v>6844.24</v>
      </c>
      <c r="F408" s="18">
        <v>3422.12</v>
      </c>
      <c r="G408" s="18">
        <v>3422.12</v>
      </c>
      <c r="H408" s="18">
        <v>3422.12</v>
      </c>
    </row>
    <row r="409" spans="1:8" s="15" customFormat="1" x14ac:dyDescent="0.3">
      <c r="A409" s="17">
        <v>48595</v>
      </c>
      <c r="B409" s="17" t="s">
        <v>430</v>
      </c>
      <c r="C409" s="17" t="s">
        <v>206</v>
      </c>
      <c r="D409" s="17" t="s">
        <v>431</v>
      </c>
      <c r="E409" s="18">
        <f t="shared" si="6"/>
        <v>3006.48</v>
      </c>
      <c r="F409" s="18">
        <v>1503.24</v>
      </c>
      <c r="G409" s="18">
        <v>1503.24</v>
      </c>
      <c r="H409" s="18">
        <v>1503.24</v>
      </c>
    </row>
    <row r="410" spans="1:8" x14ac:dyDescent="0.3">
      <c r="A410" s="17">
        <v>48611</v>
      </c>
      <c r="B410" s="17" t="s">
        <v>432</v>
      </c>
      <c r="C410" s="17" t="s">
        <v>137</v>
      </c>
      <c r="D410" s="17" t="s">
        <v>2</v>
      </c>
      <c r="E410" s="18">
        <f t="shared" si="6"/>
        <v>17000.52</v>
      </c>
      <c r="F410" s="18">
        <v>8500.26</v>
      </c>
      <c r="G410" s="18">
        <v>8500.26</v>
      </c>
      <c r="H410" s="18">
        <v>8500.26</v>
      </c>
    </row>
    <row r="411" spans="1:8" x14ac:dyDescent="0.3">
      <c r="A411" s="17">
        <v>48629</v>
      </c>
      <c r="B411" s="17" t="s">
        <v>433</v>
      </c>
      <c r="C411" s="17" t="s">
        <v>137</v>
      </c>
      <c r="D411" s="17" t="s">
        <v>2</v>
      </c>
      <c r="E411" s="18">
        <f t="shared" si="6"/>
        <v>3603.46</v>
      </c>
      <c r="F411" s="18">
        <v>1801.73</v>
      </c>
      <c r="G411" s="18">
        <v>1801.73</v>
      </c>
      <c r="H411" s="18">
        <v>1801.73</v>
      </c>
    </row>
    <row r="412" spans="1:8" x14ac:dyDescent="0.3">
      <c r="A412" s="17">
        <v>48652</v>
      </c>
      <c r="B412" s="17" t="s">
        <v>434</v>
      </c>
      <c r="C412" s="17" t="s">
        <v>435</v>
      </c>
      <c r="D412" s="17" t="s">
        <v>2</v>
      </c>
      <c r="E412" s="18">
        <f t="shared" si="6"/>
        <v>67111.89</v>
      </c>
      <c r="F412" s="18">
        <v>67111.89</v>
      </c>
      <c r="G412" s="18">
        <v>67111.89</v>
      </c>
      <c r="H412" s="18">
        <v>0</v>
      </c>
    </row>
    <row r="413" spans="1:8" x14ac:dyDescent="0.3">
      <c r="A413" s="17">
        <v>48678</v>
      </c>
      <c r="B413" s="17" t="s">
        <v>436</v>
      </c>
      <c r="C413" s="17" t="s">
        <v>38</v>
      </c>
      <c r="D413" s="17" t="s">
        <v>2</v>
      </c>
      <c r="E413" s="18">
        <f t="shared" si="6"/>
        <v>8022.88</v>
      </c>
      <c r="F413" s="18">
        <v>4011.44</v>
      </c>
      <c r="G413" s="18">
        <v>4011.44</v>
      </c>
      <c r="H413" s="18">
        <v>4011.44</v>
      </c>
    </row>
    <row r="414" spans="1:8" x14ac:dyDescent="0.3">
      <c r="A414" s="17">
        <v>48686</v>
      </c>
      <c r="B414" s="17" t="s">
        <v>437</v>
      </c>
      <c r="C414" s="17" t="s">
        <v>38</v>
      </c>
      <c r="D414" s="17" t="s">
        <v>2</v>
      </c>
      <c r="E414" s="18">
        <f t="shared" si="6"/>
        <v>9849.9599999999991</v>
      </c>
      <c r="F414" s="18">
        <v>4924.9799999999996</v>
      </c>
      <c r="G414" s="18">
        <v>4924.9799999999996</v>
      </c>
      <c r="H414" s="18">
        <v>4924.9799999999996</v>
      </c>
    </row>
    <row r="415" spans="1:8" x14ac:dyDescent="0.3">
      <c r="A415" s="17">
        <v>48694</v>
      </c>
      <c r="B415" s="17" t="s">
        <v>438</v>
      </c>
      <c r="C415" s="17" t="s">
        <v>38</v>
      </c>
      <c r="D415" s="17" t="s">
        <v>2</v>
      </c>
      <c r="E415" s="18">
        <f t="shared" si="6"/>
        <v>35012.46</v>
      </c>
      <c r="F415" s="18">
        <v>17506.23</v>
      </c>
      <c r="G415" s="18">
        <v>17506.23</v>
      </c>
      <c r="H415" s="18">
        <v>17506.23</v>
      </c>
    </row>
    <row r="416" spans="1:8" x14ac:dyDescent="0.3">
      <c r="A416" s="17">
        <v>48702</v>
      </c>
      <c r="B416" s="17" t="s">
        <v>439</v>
      </c>
      <c r="C416" s="17" t="s">
        <v>38</v>
      </c>
      <c r="D416" s="17" t="s">
        <v>33</v>
      </c>
      <c r="E416" s="18">
        <f t="shared" si="6"/>
        <v>6446.2</v>
      </c>
      <c r="F416" s="18">
        <v>3223.1</v>
      </c>
      <c r="G416" s="18">
        <v>3223.1</v>
      </c>
      <c r="H416" s="18">
        <v>3223.1</v>
      </c>
    </row>
    <row r="417" spans="1:8" x14ac:dyDescent="0.3">
      <c r="A417" s="17">
        <v>48710</v>
      </c>
      <c r="B417" s="17" t="s">
        <v>440</v>
      </c>
      <c r="C417" s="17" t="s">
        <v>38</v>
      </c>
      <c r="D417" s="17" t="s">
        <v>33</v>
      </c>
      <c r="E417" s="18">
        <f t="shared" si="6"/>
        <v>669.54</v>
      </c>
      <c r="F417" s="18">
        <v>334.77</v>
      </c>
      <c r="G417" s="18">
        <v>334.77</v>
      </c>
      <c r="H417" s="18">
        <v>334.77</v>
      </c>
    </row>
    <row r="418" spans="1:8" x14ac:dyDescent="0.3">
      <c r="A418" s="17">
        <v>48710</v>
      </c>
      <c r="B418" s="17" t="s">
        <v>440</v>
      </c>
      <c r="C418" s="17" t="s">
        <v>38</v>
      </c>
      <c r="D418" s="17" t="s">
        <v>2</v>
      </c>
      <c r="E418" s="18">
        <f t="shared" si="6"/>
        <v>3749.42</v>
      </c>
      <c r="F418" s="18">
        <v>1874.71</v>
      </c>
      <c r="G418" s="18">
        <v>1874.71</v>
      </c>
      <c r="H418" s="18">
        <v>1874.71</v>
      </c>
    </row>
    <row r="419" spans="1:8" x14ac:dyDescent="0.3">
      <c r="A419" s="17">
        <v>48744</v>
      </c>
      <c r="B419" s="17" t="s">
        <v>441</v>
      </c>
      <c r="C419" s="17" t="s">
        <v>38</v>
      </c>
      <c r="D419" s="17" t="s">
        <v>2</v>
      </c>
      <c r="E419" s="18">
        <f t="shared" si="6"/>
        <v>19682.7</v>
      </c>
      <c r="F419" s="18">
        <v>9841.35</v>
      </c>
      <c r="G419" s="18">
        <v>9841.35</v>
      </c>
      <c r="H419" s="18">
        <v>9841.35</v>
      </c>
    </row>
    <row r="420" spans="1:8" x14ac:dyDescent="0.3">
      <c r="A420" s="17">
        <v>48751</v>
      </c>
      <c r="B420" s="17" t="s">
        <v>442</v>
      </c>
      <c r="C420" s="17" t="s">
        <v>38</v>
      </c>
      <c r="D420" s="17" t="s">
        <v>2</v>
      </c>
      <c r="E420" s="18">
        <f t="shared" si="6"/>
        <v>28680.98</v>
      </c>
      <c r="F420" s="18">
        <v>14340.49</v>
      </c>
      <c r="G420" s="18">
        <v>14340.49</v>
      </c>
      <c r="H420" s="18">
        <v>14340.49</v>
      </c>
    </row>
    <row r="421" spans="1:8" x14ac:dyDescent="0.3">
      <c r="A421" s="17">
        <v>48777</v>
      </c>
      <c r="B421" s="17" t="s">
        <v>443</v>
      </c>
      <c r="C421" s="17" t="s">
        <v>444</v>
      </c>
      <c r="D421" s="17" t="s">
        <v>33</v>
      </c>
      <c r="E421" s="18">
        <f t="shared" si="6"/>
        <v>3938.94</v>
      </c>
      <c r="F421" s="18">
        <v>1969.47</v>
      </c>
      <c r="G421" s="18">
        <v>1969.47</v>
      </c>
      <c r="H421" s="18">
        <v>1969.47</v>
      </c>
    </row>
    <row r="422" spans="1:8" x14ac:dyDescent="0.3">
      <c r="A422" s="17">
        <v>48793</v>
      </c>
      <c r="B422" s="17" t="s">
        <v>445</v>
      </c>
      <c r="C422" s="17" t="s">
        <v>234</v>
      </c>
      <c r="D422" s="17" t="s">
        <v>446</v>
      </c>
      <c r="E422" s="18">
        <f t="shared" si="6"/>
        <v>4262.76</v>
      </c>
      <c r="F422" s="18">
        <v>2131.38</v>
      </c>
      <c r="G422" s="18">
        <v>2131.38</v>
      </c>
      <c r="H422" s="18">
        <v>2131.38</v>
      </c>
    </row>
    <row r="423" spans="1:8" x14ac:dyDescent="0.3">
      <c r="A423" s="17">
        <v>48801</v>
      </c>
      <c r="B423" s="17" t="s">
        <v>447</v>
      </c>
      <c r="C423" s="17" t="s">
        <v>234</v>
      </c>
      <c r="D423" s="17" t="s">
        <v>33</v>
      </c>
      <c r="E423" s="18">
        <f t="shared" si="6"/>
        <v>1527.34</v>
      </c>
      <c r="F423" s="18">
        <v>763.67</v>
      </c>
      <c r="G423" s="18">
        <v>763.67</v>
      </c>
      <c r="H423" s="18">
        <v>763.67</v>
      </c>
    </row>
    <row r="424" spans="1:8" x14ac:dyDescent="0.3">
      <c r="A424" s="17">
        <v>48801</v>
      </c>
      <c r="B424" s="17" t="s">
        <v>447</v>
      </c>
      <c r="C424" s="17" t="s">
        <v>234</v>
      </c>
      <c r="D424" s="17" t="s">
        <v>2</v>
      </c>
      <c r="E424" s="18">
        <f t="shared" si="6"/>
        <v>1832.8</v>
      </c>
      <c r="F424" s="18">
        <v>916.4</v>
      </c>
      <c r="G424" s="18">
        <v>916.4</v>
      </c>
      <c r="H424" s="18">
        <v>916.4</v>
      </c>
    </row>
    <row r="425" spans="1:8" x14ac:dyDescent="0.3">
      <c r="A425" s="17">
        <v>48835</v>
      </c>
      <c r="B425" s="17" t="s">
        <v>448</v>
      </c>
      <c r="C425" s="17" t="s">
        <v>449</v>
      </c>
      <c r="D425" s="17" t="s">
        <v>450</v>
      </c>
      <c r="E425" s="18">
        <f t="shared" si="6"/>
        <v>4362.66</v>
      </c>
      <c r="F425" s="18">
        <v>2181.33</v>
      </c>
      <c r="G425" s="18">
        <v>2181.33</v>
      </c>
      <c r="H425" s="18">
        <v>2181.33</v>
      </c>
    </row>
    <row r="426" spans="1:8" x14ac:dyDescent="0.3">
      <c r="A426" s="17">
        <v>48835</v>
      </c>
      <c r="B426" s="17" t="s">
        <v>448</v>
      </c>
      <c r="C426" s="17" t="s">
        <v>449</v>
      </c>
      <c r="D426" s="17" t="s">
        <v>2</v>
      </c>
      <c r="E426" s="18">
        <f t="shared" si="6"/>
        <v>33679.78</v>
      </c>
      <c r="F426" s="18">
        <v>16839.89</v>
      </c>
      <c r="G426" s="18">
        <v>16839.89</v>
      </c>
      <c r="H426" s="18">
        <v>16839.89</v>
      </c>
    </row>
    <row r="427" spans="1:8" x14ac:dyDescent="0.3">
      <c r="A427" s="17">
        <v>48843</v>
      </c>
      <c r="B427" s="17" t="s">
        <v>451</v>
      </c>
      <c r="C427" s="17" t="s">
        <v>449</v>
      </c>
      <c r="D427" s="17" t="s">
        <v>115</v>
      </c>
      <c r="E427" s="18">
        <f t="shared" si="6"/>
        <v>2658.24</v>
      </c>
      <c r="F427" s="18">
        <v>1329.12</v>
      </c>
      <c r="G427" s="18">
        <v>1329.12</v>
      </c>
      <c r="H427" s="18">
        <v>1329.12</v>
      </c>
    </row>
    <row r="428" spans="1:8" x14ac:dyDescent="0.3">
      <c r="A428" s="17">
        <v>48843</v>
      </c>
      <c r="B428" s="17" t="s">
        <v>451</v>
      </c>
      <c r="C428" s="17" t="s">
        <v>449</v>
      </c>
      <c r="D428" s="17" t="s">
        <v>2</v>
      </c>
      <c r="E428" s="18">
        <f t="shared" si="6"/>
        <v>10632.92</v>
      </c>
      <c r="F428" s="18">
        <v>5316.46</v>
      </c>
      <c r="G428" s="18">
        <v>5316.46</v>
      </c>
      <c r="H428" s="18">
        <v>5316.46</v>
      </c>
    </row>
    <row r="429" spans="1:8" x14ac:dyDescent="0.3">
      <c r="A429" s="17">
        <v>48850</v>
      </c>
      <c r="B429" s="17" t="s">
        <v>452</v>
      </c>
      <c r="C429" s="17" t="s">
        <v>449</v>
      </c>
      <c r="D429" s="17" t="s">
        <v>5</v>
      </c>
      <c r="E429" s="18">
        <f t="shared" si="6"/>
        <v>5817.5</v>
      </c>
      <c r="F429" s="18">
        <v>2908.75</v>
      </c>
      <c r="G429" s="18">
        <v>2908.75</v>
      </c>
      <c r="H429" s="18">
        <v>2908.75</v>
      </c>
    </row>
    <row r="430" spans="1:8" x14ac:dyDescent="0.3">
      <c r="A430" s="17">
        <v>48876</v>
      </c>
      <c r="B430" s="17" t="s">
        <v>453</v>
      </c>
      <c r="C430" s="17" t="s">
        <v>449</v>
      </c>
      <c r="D430" s="17" t="s">
        <v>2</v>
      </c>
      <c r="E430" s="18">
        <f t="shared" si="6"/>
        <v>13300.2</v>
      </c>
      <c r="F430" s="18">
        <v>6650.1</v>
      </c>
      <c r="G430" s="18">
        <v>6650.1</v>
      </c>
      <c r="H430" s="18">
        <v>6650.1</v>
      </c>
    </row>
    <row r="431" spans="1:8" x14ac:dyDescent="0.3">
      <c r="A431" s="17">
        <v>48926</v>
      </c>
      <c r="B431" s="17" t="s">
        <v>454</v>
      </c>
      <c r="C431" s="17" t="s">
        <v>139</v>
      </c>
      <c r="D431" s="17" t="s">
        <v>2</v>
      </c>
      <c r="E431" s="18">
        <f t="shared" si="6"/>
        <v>11573.44</v>
      </c>
      <c r="F431" s="18">
        <v>5786.72</v>
      </c>
      <c r="G431" s="18">
        <v>5786.72</v>
      </c>
      <c r="H431" s="18">
        <v>5786.72</v>
      </c>
    </row>
    <row r="432" spans="1:8" x14ac:dyDescent="0.3">
      <c r="A432" s="17">
        <v>48942</v>
      </c>
      <c r="B432" s="17" t="s">
        <v>455</v>
      </c>
      <c r="C432" s="17" t="s">
        <v>139</v>
      </c>
      <c r="D432" s="17" t="s">
        <v>2</v>
      </c>
      <c r="E432" s="18">
        <f t="shared" si="6"/>
        <v>26546.68</v>
      </c>
      <c r="F432" s="18">
        <v>13273.34</v>
      </c>
      <c r="G432" s="18">
        <v>13273.34</v>
      </c>
      <c r="H432" s="18">
        <v>13273.34</v>
      </c>
    </row>
    <row r="433" spans="1:8" x14ac:dyDescent="0.3">
      <c r="A433" s="17">
        <v>48975</v>
      </c>
      <c r="B433" s="17" t="s">
        <v>456</v>
      </c>
      <c r="C433" s="17" t="s">
        <v>139</v>
      </c>
      <c r="D433" s="17" t="s">
        <v>172</v>
      </c>
      <c r="E433" s="18">
        <f t="shared" si="6"/>
        <v>419.84</v>
      </c>
      <c r="F433" s="18">
        <v>209.92</v>
      </c>
      <c r="G433" s="18">
        <v>209.92</v>
      </c>
      <c r="H433" s="18">
        <v>209.92</v>
      </c>
    </row>
    <row r="434" spans="1:8" x14ac:dyDescent="0.3">
      <c r="A434" s="17">
        <v>48975</v>
      </c>
      <c r="B434" s="17" t="s">
        <v>456</v>
      </c>
      <c r="C434" s="17" t="s">
        <v>139</v>
      </c>
      <c r="D434" s="17" t="s">
        <v>2</v>
      </c>
      <c r="E434" s="18">
        <f t="shared" si="6"/>
        <v>839.68</v>
      </c>
      <c r="F434" s="18">
        <v>419.84</v>
      </c>
      <c r="G434" s="18">
        <v>419.84</v>
      </c>
      <c r="H434" s="18">
        <v>419.84</v>
      </c>
    </row>
    <row r="435" spans="1:8" x14ac:dyDescent="0.3">
      <c r="A435" s="17">
        <v>48991</v>
      </c>
      <c r="B435" s="17" t="s">
        <v>457</v>
      </c>
      <c r="C435" s="17" t="s">
        <v>238</v>
      </c>
      <c r="D435" s="17" t="s">
        <v>2</v>
      </c>
      <c r="E435" s="18">
        <f t="shared" si="6"/>
        <v>4565.58</v>
      </c>
      <c r="F435" s="18">
        <v>2282.79</v>
      </c>
      <c r="G435" s="18">
        <v>2282.79</v>
      </c>
      <c r="H435" s="18">
        <v>2282.79</v>
      </c>
    </row>
    <row r="436" spans="1:8" x14ac:dyDescent="0.3">
      <c r="A436" s="17">
        <v>49031</v>
      </c>
      <c r="B436" s="17" t="s">
        <v>458</v>
      </c>
      <c r="C436" s="17" t="s">
        <v>238</v>
      </c>
      <c r="D436" s="17" t="s">
        <v>33</v>
      </c>
      <c r="E436" s="18">
        <f t="shared" si="6"/>
        <v>2860.18</v>
      </c>
      <c r="F436" s="18">
        <v>1430.09</v>
      </c>
      <c r="G436" s="18">
        <v>1430.09</v>
      </c>
      <c r="H436" s="18">
        <v>1430.09</v>
      </c>
    </row>
    <row r="437" spans="1:8" x14ac:dyDescent="0.3">
      <c r="A437" s="17">
        <v>49056</v>
      </c>
      <c r="B437" s="17" t="s">
        <v>459</v>
      </c>
      <c r="C437" s="17" t="s">
        <v>118</v>
      </c>
      <c r="D437" s="17" t="s">
        <v>2</v>
      </c>
      <c r="E437" s="18">
        <f t="shared" si="6"/>
        <v>19150.599999999999</v>
      </c>
      <c r="F437" s="18">
        <v>9575.2999999999993</v>
      </c>
      <c r="G437" s="18">
        <v>9575.2999999999993</v>
      </c>
      <c r="H437" s="18">
        <v>9575.2999999999993</v>
      </c>
    </row>
    <row r="438" spans="1:8" x14ac:dyDescent="0.3">
      <c r="A438" s="17">
        <v>49064</v>
      </c>
      <c r="B438" s="17" t="s">
        <v>305</v>
      </c>
      <c r="C438" s="17" t="s">
        <v>118</v>
      </c>
      <c r="D438" s="17" t="s">
        <v>460</v>
      </c>
      <c r="E438" s="18">
        <f t="shared" si="6"/>
        <v>776.18</v>
      </c>
      <c r="F438" s="18">
        <v>388.09</v>
      </c>
      <c r="G438" s="18">
        <v>388.09</v>
      </c>
      <c r="H438" s="18">
        <v>388.09</v>
      </c>
    </row>
    <row r="439" spans="1:8" x14ac:dyDescent="0.3">
      <c r="A439" s="17">
        <v>49064</v>
      </c>
      <c r="B439" s="17" t="s">
        <v>305</v>
      </c>
      <c r="C439" s="17" t="s">
        <v>118</v>
      </c>
      <c r="D439" s="17" t="s">
        <v>2</v>
      </c>
      <c r="E439" s="18">
        <f t="shared" si="6"/>
        <v>776.18</v>
      </c>
      <c r="F439" s="18">
        <v>388.09</v>
      </c>
      <c r="G439" s="18">
        <v>388.09</v>
      </c>
      <c r="H439" s="18">
        <v>388.09</v>
      </c>
    </row>
    <row r="440" spans="1:8" x14ac:dyDescent="0.3">
      <c r="A440" s="17">
        <v>49080</v>
      </c>
      <c r="B440" s="17" t="s">
        <v>461</v>
      </c>
      <c r="C440" s="17" t="s">
        <v>42</v>
      </c>
      <c r="D440" s="17" t="s">
        <v>2</v>
      </c>
      <c r="E440" s="18">
        <f t="shared" si="6"/>
        <v>33951.379999999997</v>
      </c>
      <c r="F440" s="18">
        <v>16975.689999999999</v>
      </c>
      <c r="G440" s="18">
        <v>16975.689999999999</v>
      </c>
      <c r="H440" s="18">
        <v>16975.689999999999</v>
      </c>
    </row>
    <row r="441" spans="1:8" x14ac:dyDescent="0.3">
      <c r="A441" s="17">
        <v>49098</v>
      </c>
      <c r="B441" s="17" t="s">
        <v>462</v>
      </c>
      <c r="C441" s="17" t="s">
        <v>42</v>
      </c>
      <c r="D441" s="17" t="s">
        <v>2</v>
      </c>
      <c r="E441" s="18">
        <f t="shared" si="6"/>
        <v>21178.720000000001</v>
      </c>
      <c r="F441" s="18">
        <v>10589.36</v>
      </c>
      <c r="G441" s="18">
        <v>10589.36</v>
      </c>
      <c r="H441" s="18">
        <v>10589.36</v>
      </c>
    </row>
    <row r="442" spans="1:8" x14ac:dyDescent="0.3">
      <c r="A442" s="17">
        <v>49106</v>
      </c>
      <c r="B442" s="17" t="s">
        <v>463</v>
      </c>
      <c r="C442" s="17" t="s">
        <v>42</v>
      </c>
      <c r="D442" s="17" t="s">
        <v>33</v>
      </c>
      <c r="E442" s="18">
        <f t="shared" si="6"/>
        <v>2270.6799999999998</v>
      </c>
      <c r="F442" s="18">
        <v>1135.3399999999999</v>
      </c>
      <c r="G442" s="18">
        <v>1135.3399999999999</v>
      </c>
      <c r="H442" s="18">
        <v>1135.3399999999999</v>
      </c>
    </row>
    <row r="443" spans="1:8" x14ac:dyDescent="0.3">
      <c r="A443" s="17">
        <v>49106</v>
      </c>
      <c r="B443" s="17" t="s">
        <v>463</v>
      </c>
      <c r="C443" s="17" t="s">
        <v>42</v>
      </c>
      <c r="D443" s="17" t="s">
        <v>2</v>
      </c>
      <c r="E443" s="18">
        <f t="shared" si="6"/>
        <v>17030</v>
      </c>
      <c r="F443" s="18">
        <v>8515</v>
      </c>
      <c r="G443" s="18">
        <v>8515</v>
      </c>
      <c r="H443" s="18">
        <v>8515</v>
      </c>
    </row>
    <row r="444" spans="1:8" x14ac:dyDescent="0.3">
      <c r="A444" s="17">
        <v>49122</v>
      </c>
      <c r="B444" s="17" t="s">
        <v>270</v>
      </c>
      <c r="C444" s="17" t="s">
        <v>464</v>
      </c>
      <c r="D444" s="17" t="s">
        <v>465</v>
      </c>
      <c r="E444" s="18">
        <f t="shared" si="6"/>
        <v>982.06</v>
      </c>
      <c r="F444" s="18">
        <v>491.03</v>
      </c>
      <c r="G444" s="18">
        <v>491.03</v>
      </c>
      <c r="H444" s="18">
        <v>491.03</v>
      </c>
    </row>
    <row r="445" spans="1:8" x14ac:dyDescent="0.3">
      <c r="A445" s="17">
        <v>49130</v>
      </c>
      <c r="B445" s="17" t="s">
        <v>466</v>
      </c>
      <c r="C445" s="17" t="s">
        <v>464</v>
      </c>
      <c r="D445" s="17" t="s">
        <v>5</v>
      </c>
      <c r="E445" s="18">
        <f t="shared" si="6"/>
        <v>32364.5</v>
      </c>
      <c r="F445" s="18">
        <v>16182.25</v>
      </c>
      <c r="G445" s="18">
        <v>16182.25</v>
      </c>
      <c r="H445" s="18">
        <v>16182.25</v>
      </c>
    </row>
    <row r="446" spans="1:8" x14ac:dyDescent="0.3">
      <c r="A446" s="17">
        <v>49148</v>
      </c>
      <c r="B446" s="17" t="s">
        <v>467</v>
      </c>
      <c r="C446" s="17" t="s">
        <v>464</v>
      </c>
      <c r="D446" s="17" t="s">
        <v>33</v>
      </c>
      <c r="E446" s="18">
        <f t="shared" si="6"/>
        <v>8646.2999999999993</v>
      </c>
      <c r="F446" s="18">
        <v>4323.1499999999996</v>
      </c>
      <c r="G446" s="18">
        <v>4323.1499999999996</v>
      </c>
      <c r="H446" s="18">
        <v>4323.1499999999996</v>
      </c>
    </row>
    <row r="447" spans="1:8" x14ac:dyDescent="0.3">
      <c r="A447" s="17">
        <v>49155</v>
      </c>
      <c r="B447" s="17" t="s">
        <v>468</v>
      </c>
      <c r="C447" s="17" t="s">
        <v>464</v>
      </c>
      <c r="D447" s="17" t="s">
        <v>33</v>
      </c>
      <c r="E447" s="18">
        <f t="shared" si="6"/>
        <v>562.52</v>
      </c>
      <c r="F447" s="18">
        <v>281.26</v>
      </c>
      <c r="G447" s="18">
        <v>281.26</v>
      </c>
      <c r="H447" s="18">
        <v>281.26</v>
      </c>
    </row>
    <row r="448" spans="1:8" x14ac:dyDescent="0.3">
      <c r="A448" s="17">
        <v>49171</v>
      </c>
      <c r="B448" s="17" t="s">
        <v>469</v>
      </c>
      <c r="C448" s="17" t="s">
        <v>143</v>
      </c>
      <c r="D448" s="17" t="s">
        <v>2</v>
      </c>
      <c r="E448" s="18">
        <f t="shared" si="6"/>
        <v>42205.16</v>
      </c>
      <c r="F448" s="18">
        <v>21102.58</v>
      </c>
      <c r="G448" s="18">
        <v>21102.58</v>
      </c>
      <c r="H448" s="18">
        <v>21102.58</v>
      </c>
    </row>
    <row r="449" spans="1:8" x14ac:dyDescent="0.3">
      <c r="A449" s="17">
        <v>49189</v>
      </c>
      <c r="B449" s="17" t="s">
        <v>470</v>
      </c>
      <c r="C449" s="17" t="s">
        <v>143</v>
      </c>
      <c r="D449" s="17" t="s">
        <v>33</v>
      </c>
      <c r="E449" s="18">
        <f t="shared" si="6"/>
        <v>5499.32</v>
      </c>
      <c r="F449" s="18">
        <v>2749.66</v>
      </c>
      <c r="G449" s="18">
        <v>2749.66</v>
      </c>
      <c r="H449" s="18">
        <v>2749.66</v>
      </c>
    </row>
    <row r="450" spans="1:8" x14ac:dyDescent="0.3">
      <c r="A450" s="17">
        <v>49189</v>
      </c>
      <c r="B450" s="17" t="s">
        <v>470</v>
      </c>
      <c r="C450" s="17" t="s">
        <v>143</v>
      </c>
      <c r="D450" s="17" t="s">
        <v>2</v>
      </c>
      <c r="E450" s="18">
        <f t="shared" si="6"/>
        <v>38495.22</v>
      </c>
      <c r="F450" s="18">
        <v>19247.61</v>
      </c>
      <c r="G450" s="18">
        <v>19247.61</v>
      </c>
      <c r="H450" s="18">
        <v>19247.61</v>
      </c>
    </row>
    <row r="451" spans="1:8" x14ac:dyDescent="0.3">
      <c r="A451" s="17">
        <v>49213</v>
      </c>
      <c r="B451" s="17" t="s">
        <v>471</v>
      </c>
      <c r="C451" s="17" t="s">
        <v>143</v>
      </c>
      <c r="D451" s="17" t="s">
        <v>2</v>
      </c>
      <c r="E451" s="18">
        <f t="shared" si="6"/>
        <v>14016.7</v>
      </c>
      <c r="F451" s="18">
        <v>7008.35</v>
      </c>
      <c r="G451" s="18">
        <v>7008.35</v>
      </c>
      <c r="H451" s="18">
        <v>7008.35</v>
      </c>
    </row>
    <row r="452" spans="1:8" x14ac:dyDescent="0.3">
      <c r="A452" s="17">
        <v>49221</v>
      </c>
      <c r="B452" s="17" t="s">
        <v>472</v>
      </c>
      <c r="C452" s="17" t="s">
        <v>143</v>
      </c>
      <c r="D452" s="17" t="s">
        <v>33</v>
      </c>
      <c r="E452" s="18">
        <f t="shared" si="6"/>
        <v>2239.64</v>
      </c>
      <c r="F452" s="18">
        <v>1119.82</v>
      </c>
      <c r="G452" s="18">
        <v>1119.82</v>
      </c>
      <c r="H452" s="18">
        <v>1119.82</v>
      </c>
    </row>
    <row r="453" spans="1:8" x14ac:dyDescent="0.3">
      <c r="A453" s="17">
        <v>49247</v>
      </c>
      <c r="B453" s="17" t="s">
        <v>473</v>
      </c>
      <c r="C453" s="17" t="s">
        <v>143</v>
      </c>
      <c r="D453" s="17" t="s">
        <v>33</v>
      </c>
      <c r="E453" s="18">
        <f t="shared" si="6"/>
        <v>2558.98</v>
      </c>
      <c r="F453" s="18">
        <v>1279.49</v>
      </c>
      <c r="G453" s="18">
        <v>1279.49</v>
      </c>
      <c r="H453" s="18">
        <v>1279.49</v>
      </c>
    </row>
    <row r="454" spans="1:8" x14ac:dyDescent="0.3">
      <c r="A454" s="17">
        <v>49270</v>
      </c>
      <c r="B454" s="17" t="s">
        <v>474</v>
      </c>
      <c r="C454" s="17" t="s">
        <v>475</v>
      </c>
      <c r="D454" s="17" t="s">
        <v>476</v>
      </c>
      <c r="E454" s="18">
        <f t="shared" si="6"/>
        <v>1973.7</v>
      </c>
      <c r="F454" s="18">
        <v>986.85</v>
      </c>
      <c r="G454" s="18">
        <v>986.85</v>
      </c>
      <c r="H454" s="18">
        <v>986.85</v>
      </c>
    </row>
    <row r="455" spans="1:8" x14ac:dyDescent="0.3">
      <c r="A455" s="17">
        <v>49288</v>
      </c>
      <c r="B455" s="17" t="s">
        <v>477</v>
      </c>
      <c r="C455" s="17" t="s">
        <v>475</v>
      </c>
      <c r="D455" s="17" t="s">
        <v>5</v>
      </c>
      <c r="E455" s="18">
        <f t="shared" si="6"/>
        <v>2469.02</v>
      </c>
      <c r="F455" s="18">
        <v>1234.51</v>
      </c>
      <c r="G455" s="18">
        <v>1234.51</v>
      </c>
      <c r="H455" s="18">
        <v>1234.51</v>
      </c>
    </row>
    <row r="456" spans="1:8" x14ac:dyDescent="0.3">
      <c r="A456" s="17">
        <v>49296</v>
      </c>
      <c r="B456" s="17" t="s">
        <v>478</v>
      </c>
      <c r="C456" s="17" t="s">
        <v>475</v>
      </c>
      <c r="D456" s="17" t="s">
        <v>479</v>
      </c>
      <c r="E456" s="18">
        <f t="shared" si="6"/>
        <v>2307.08</v>
      </c>
      <c r="F456" s="18">
        <v>1153.54</v>
      </c>
      <c r="G456" s="18">
        <v>1153.54</v>
      </c>
      <c r="H456" s="18">
        <v>1153.54</v>
      </c>
    </row>
    <row r="457" spans="1:8" x14ac:dyDescent="0.3">
      <c r="A457" s="17">
        <v>49312</v>
      </c>
      <c r="B457" s="17" t="s">
        <v>480</v>
      </c>
      <c r="C457" s="17" t="s">
        <v>481</v>
      </c>
      <c r="D457" s="17" t="s">
        <v>2</v>
      </c>
      <c r="E457" s="18">
        <f t="shared" si="6"/>
        <v>2522.4</v>
      </c>
      <c r="F457" s="18">
        <v>1261.2</v>
      </c>
      <c r="G457" s="18">
        <v>1261.2</v>
      </c>
      <c r="H457" s="18">
        <v>1261.2</v>
      </c>
    </row>
    <row r="458" spans="1:8" x14ac:dyDescent="0.3">
      <c r="A458" s="17">
        <v>49320</v>
      </c>
      <c r="B458" s="17" t="s">
        <v>482</v>
      </c>
      <c r="C458" s="17" t="s">
        <v>481</v>
      </c>
      <c r="D458" s="17" t="s">
        <v>5</v>
      </c>
      <c r="E458" s="18">
        <f t="shared" si="6"/>
        <v>1111.06</v>
      </c>
      <c r="F458" s="18">
        <v>555.53</v>
      </c>
      <c r="G458" s="18">
        <v>555.53</v>
      </c>
      <c r="H458" s="18">
        <v>555.53</v>
      </c>
    </row>
    <row r="459" spans="1:8" x14ac:dyDescent="0.3">
      <c r="A459" s="17">
        <v>49320</v>
      </c>
      <c r="B459" s="17" t="s">
        <v>482</v>
      </c>
      <c r="C459" s="17" t="s">
        <v>481</v>
      </c>
      <c r="D459" s="17" t="s">
        <v>2</v>
      </c>
      <c r="E459" s="18">
        <f t="shared" si="6"/>
        <v>3110.96</v>
      </c>
      <c r="F459" s="18">
        <v>1555.48</v>
      </c>
      <c r="G459" s="18">
        <v>1555.48</v>
      </c>
      <c r="H459" s="18">
        <v>1555.48</v>
      </c>
    </row>
    <row r="460" spans="1:8" x14ac:dyDescent="0.3">
      <c r="A460" s="17">
        <v>49338</v>
      </c>
      <c r="B460" s="17" t="s">
        <v>483</v>
      </c>
      <c r="C460" s="17" t="s">
        <v>481</v>
      </c>
      <c r="D460" s="17" t="s">
        <v>33</v>
      </c>
      <c r="E460" s="18">
        <f t="shared" si="6"/>
        <v>499.8</v>
      </c>
      <c r="F460" s="18">
        <v>249.9</v>
      </c>
      <c r="G460" s="18">
        <v>249.9</v>
      </c>
      <c r="H460" s="18">
        <v>249.9</v>
      </c>
    </row>
    <row r="461" spans="1:8" x14ac:dyDescent="0.3">
      <c r="A461" s="17">
        <v>49361</v>
      </c>
      <c r="B461" s="17" t="s">
        <v>484</v>
      </c>
      <c r="C461" s="17" t="s">
        <v>481</v>
      </c>
      <c r="D461" s="17" t="s">
        <v>33</v>
      </c>
      <c r="E461" s="18">
        <f t="shared" si="6"/>
        <v>865.14</v>
      </c>
      <c r="F461" s="18">
        <v>432.57</v>
      </c>
      <c r="G461" s="18">
        <v>432.57</v>
      </c>
      <c r="H461" s="18">
        <v>432.57</v>
      </c>
    </row>
    <row r="462" spans="1:8" x14ac:dyDescent="0.3">
      <c r="A462" s="17">
        <v>49379</v>
      </c>
      <c r="B462" s="17" t="s">
        <v>485</v>
      </c>
      <c r="C462" s="17" t="s">
        <v>481</v>
      </c>
      <c r="D462" s="17" t="s">
        <v>2</v>
      </c>
      <c r="E462" s="18">
        <f t="shared" si="6"/>
        <v>15925.8</v>
      </c>
      <c r="F462" s="18">
        <v>7962.9</v>
      </c>
      <c r="G462" s="18">
        <v>7962.9</v>
      </c>
      <c r="H462" s="18">
        <v>7962.9</v>
      </c>
    </row>
    <row r="463" spans="1:8" x14ac:dyDescent="0.3">
      <c r="A463" s="17">
        <v>49387</v>
      </c>
      <c r="B463" s="17" t="s">
        <v>486</v>
      </c>
      <c r="C463" s="17" t="s">
        <v>481</v>
      </c>
      <c r="D463" s="17" t="s">
        <v>33</v>
      </c>
      <c r="E463" s="18">
        <f t="shared" si="6"/>
        <v>1792.2</v>
      </c>
      <c r="F463" s="18">
        <v>896.1</v>
      </c>
      <c r="G463" s="18">
        <v>896.1</v>
      </c>
      <c r="H463" s="18">
        <v>896.1</v>
      </c>
    </row>
    <row r="464" spans="1:8" x14ac:dyDescent="0.3">
      <c r="A464" s="17">
        <v>49395</v>
      </c>
      <c r="B464" s="17" t="s">
        <v>487</v>
      </c>
      <c r="C464" s="17" t="s">
        <v>481</v>
      </c>
      <c r="D464" s="17" t="s">
        <v>33</v>
      </c>
      <c r="E464" s="18">
        <f t="shared" si="6"/>
        <v>1275.48</v>
      </c>
      <c r="F464" s="18">
        <v>637.74</v>
      </c>
      <c r="G464" s="18">
        <v>637.74</v>
      </c>
      <c r="H464" s="18">
        <v>637.74</v>
      </c>
    </row>
    <row r="465" spans="1:8" x14ac:dyDescent="0.3">
      <c r="A465" s="17">
        <v>49411</v>
      </c>
      <c r="B465" s="17" t="s">
        <v>488</v>
      </c>
      <c r="C465" s="17" t="s">
        <v>98</v>
      </c>
      <c r="D465" s="17" t="s">
        <v>2</v>
      </c>
      <c r="E465" s="18">
        <f t="shared" si="6"/>
        <v>8652.9599999999991</v>
      </c>
      <c r="F465" s="18">
        <v>4326.4799999999996</v>
      </c>
      <c r="G465" s="18">
        <v>4326.4799999999996</v>
      </c>
      <c r="H465" s="18">
        <v>4326.4799999999996</v>
      </c>
    </row>
    <row r="466" spans="1:8" x14ac:dyDescent="0.3">
      <c r="A466" s="17">
        <v>49429</v>
      </c>
      <c r="B466" s="17" t="s">
        <v>303</v>
      </c>
      <c r="C466" s="17" t="s">
        <v>98</v>
      </c>
      <c r="D466" s="17" t="s">
        <v>5</v>
      </c>
      <c r="E466" s="18">
        <f t="shared" si="6"/>
        <v>1048.24</v>
      </c>
      <c r="F466" s="18">
        <v>524.12</v>
      </c>
      <c r="G466" s="18">
        <v>524.12</v>
      </c>
      <c r="H466" s="18">
        <v>524.12</v>
      </c>
    </row>
    <row r="467" spans="1:8" x14ac:dyDescent="0.3">
      <c r="A467" s="17">
        <v>49437</v>
      </c>
      <c r="B467" s="17" t="s">
        <v>489</v>
      </c>
      <c r="C467" s="17" t="s">
        <v>98</v>
      </c>
      <c r="D467" s="17" t="s">
        <v>2</v>
      </c>
      <c r="E467" s="18">
        <f t="shared" si="6"/>
        <v>33121.74</v>
      </c>
      <c r="F467" s="18">
        <v>16560.87</v>
      </c>
      <c r="G467" s="18">
        <v>16560.87</v>
      </c>
      <c r="H467" s="18">
        <v>16560.87</v>
      </c>
    </row>
    <row r="468" spans="1:8" x14ac:dyDescent="0.3">
      <c r="A468" s="17">
        <v>49460</v>
      </c>
      <c r="B468" s="17" t="s">
        <v>490</v>
      </c>
      <c r="C468" s="17" t="s">
        <v>98</v>
      </c>
      <c r="D468" s="17" t="s">
        <v>33</v>
      </c>
      <c r="E468" s="18">
        <f t="shared" si="6"/>
        <v>1096.28</v>
      </c>
      <c r="F468" s="18">
        <v>548.14</v>
      </c>
      <c r="G468" s="18">
        <v>548.14</v>
      </c>
      <c r="H468" s="18">
        <v>548.14</v>
      </c>
    </row>
    <row r="469" spans="1:8" x14ac:dyDescent="0.3">
      <c r="A469" s="17">
        <v>49478</v>
      </c>
      <c r="B469" s="17" t="s">
        <v>491</v>
      </c>
      <c r="C469" s="17" t="s">
        <v>98</v>
      </c>
      <c r="D469" s="17" t="s">
        <v>2</v>
      </c>
      <c r="E469" s="18">
        <f t="shared" ref="E469:E532" si="7">F469+H469</f>
        <v>55044.7</v>
      </c>
      <c r="F469" s="18">
        <v>27522.35</v>
      </c>
      <c r="G469" s="18">
        <v>27522.35</v>
      </c>
      <c r="H469" s="18">
        <v>27522.35</v>
      </c>
    </row>
    <row r="470" spans="1:8" x14ac:dyDescent="0.3">
      <c r="A470" s="17">
        <v>49494</v>
      </c>
      <c r="B470" s="17" t="s">
        <v>492</v>
      </c>
      <c r="C470" s="17" t="s">
        <v>40</v>
      </c>
      <c r="D470" s="17" t="s">
        <v>5</v>
      </c>
      <c r="E470" s="18">
        <f t="shared" si="7"/>
        <v>1409.1</v>
      </c>
      <c r="F470" s="18">
        <v>704.55</v>
      </c>
      <c r="G470" s="18">
        <v>704.55</v>
      </c>
      <c r="H470" s="18">
        <v>704.55</v>
      </c>
    </row>
    <row r="471" spans="1:8" x14ac:dyDescent="0.3">
      <c r="A471" s="17">
        <v>49502</v>
      </c>
      <c r="B471" s="17" t="s">
        <v>493</v>
      </c>
      <c r="C471" s="17" t="s">
        <v>40</v>
      </c>
      <c r="D471" s="17" t="s">
        <v>494</v>
      </c>
      <c r="E471" s="18">
        <f t="shared" si="7"/>
        <v>550.84</v>
      </c>
      <c r="F471" s="18">
        <v>275.42</v>
      </c>
      <c r="G471" s="18">
        <v>275.42</v>
      </c>
      <c r="H471" s="18">
        <v>275.42</v>
      </c>
    </row>
    <row r="472" spans="1:8" x14ac:dyDescent="0.3">
      <c r="A472" s="17">
        <v>49510</v>
      </c>
      <c r="B472" s="17" t="s">
        <v>495</v>
      </c>
      <c r="C472" s="17" t="s">
        <v>40</v>
      </c>
      <c r="D472" s="17" t="s">
        <v>496</v>
      </c>
      <c r="E472" s="18">
        <f t="shared" si="7"/>
        <v>947.68</v>
      </c>
      <c r="F472" s="18">
        <v>473.84</v>
      </c>
      <c r="G472" s="18">
        <v>473.84</v>
      </c>
      <c r="H472" s="18">
        <v>473.84</v>
      </c>
    </row>
    <row r="473" spans="1:8" x14ac:dyDescent="0.3">
      <c r="A473" s="17">
        <v>49510</v>
      </c>
      <c r="B473" s="17" t="s">
        <v>495</v>
      </c>
      <c r="C473" s="17" t="s">
        <v>40</v>
      </c>
      <c r="D473" s="17" t="s">
        <v>2</v>
      </c>
      <c r="E473" s="18">
        <f t="shared" si="7"/>
        <v>4738.42</v>
      </c>
      <c r="F473" s="18">
        <v>2369.21</v>
      </c>
      <c r="G473" s="18">
        <v>2369.21</v>
      </c>
      <c r="H473" s="18">
        <v>2369.21</v>
      </c>
    </row>
    <row r="474" spans="1:8" x14ac:dyDescent="0.3">
      <c r="A474" s="17">
        <v>49528</v>
      </c>
      <c r="B474" s="17" t="s">
        <v>291</v>
      </c>
      <c r="C474" s="17" t="s">
        <v>40</v>
      </c>
      <c r="D474" s="17" t="s">
        <v>33</v>
      </c>
      <c r="E474" s="18">
        <f t="shared" si="7"/>
        <v>3347.6</v>
      </c>
      <c r="F474" s="18">
        <v>1673.8</v>
      </c>
      <c r="G474" s="18">
        <v>1673.8</v>
      </c>
      <c r="H474" s="18">
        <v>1673.8</v>
      </c>
    </row>
    <row r="475" spans="1:8" x14ac:dyDescent="0.3">
      <c r="A475" s="17">
        <v>49536</v>
      </c>
      <c r="B475" s="17" t="s">
        <v>497</v>
      </c>
      <c r="C475" s="17" t="s">
        <v>40</v>
      </c>
      <c r="D475" s="17" t="s">
        <v>33</v>
      </c>
      <c r="E475" s="18">
        <f t="shared" si="7"/>
        <v>1524.56</v>
      </c>
      <c r="F475" s="18">
        <v>762.28</v>
      </c>
      <c r="G475" s="18">
        <v>762.28</v>
      </c>
      <c r="H475" s="18">
        <v>762.28</v>
      </c>
    </row>
    <row r="476" spans="1:8" x14ac:dyDescent="0.3">
      <c r="A476" s="17">
        <v>49544</v>
      </c>
      <c r="B476" s="17" t="s">
        <v>498</v>
      </c>
      <c r="C476" s="17" t="s">
        <v>40</v>
      </c>
      <c r="D476" s="17" t="s">
        <v>33</v>
      </c>
      <c r="E476" s="18">
        <f t="shared" si="7"/>
        <v>10343.44</v>
      </c>
      <c r="F476" s="18">
        <v>5171.72</v>
      </c>
      <c r="G476" s="18">
        <v>5171.72</v>
      </c>
      <c r="H476" s="18">
        <v>5171.72</v>
      </c>
    </row>
    <row r="477" spans="1:8" x14ac:dyDescent="0.3">
      <c r="A477" s="17">
        <v>49577</v>
      </c>
      <c r="B477" s="17" t="s">
        <v>499</v>
      </c>
      <c r="C477" s="17" t="s">
        <v>70</v>
      </c>
      <c r="D477" s="17" t="s">
        <v>2</v>
      </c>
      <c r="E477" s="18">
        <f t="shared" si="7"/>
        <v>18503.64</v>
      </c>
      <c r="F477" s="18">
        <v>9251.82</v>
      </c>
      <c r="G477" s="18">
        <v>9251.82</v>
      </c>
      <c r="H477" s="18">
        <v>9251.82</v>
      </c>
    </row>
    <row r="478" spans="1:8" x14ac:dyDescent="0.3">
      <c r="A478" s="17">
        <v>49593</v>
      </c>
      <c r="B478" s="17" t="s">
        <v>500</v>
      </c>
      <c r="C478" s="17" t="s">
        <v>141</v>
      </c>
      <c r="D478" s="17" t="s">
        <v>501</v>
      </c>
      <c r="E478" s="18">
        <f t="shared" si="7"/>
        <v>221.98</v>
      </c>
      <c r="F478" s="18">
        <v>110.99</v>
      </c>
      <c r="G478" s="18">
        <v>110.99</v>
      </c>
      <c r="H478" s="18">
        <v>110.99</v>
      </c>
    </row>
    <row r="479" spans="1:8" x14ac:dyDescent="0.3">
      <c r="A479" s="17">
        <v>49593</v>
      </c>
      <c r="B479" s="17" t="s">
        <v>500</v>
      </c>
      <c r="C479" s="17" t="s">
        <v>141</v>
      </c>
      <c r="D479" s="17" t="s">
        <v>2</v>
      </c>
      <c r="E479" s="18">
        <f t="shared" si="7"/>
        <v>443.98</v>
      </c>
      <c r="F479" s="18">
        <v>221.99</v>
      </c>
      <c r="G479" s="18">
        <v>221.99</v>
      </c>
      <c r="H479" s="18">
        <v>221.99</v>
      </c>
    </row>
    <row r="480" spans="1:8" x14ac:dyDescent="0.3">
      <c r="A480" s="17">
        <v>49601</v>
      </c>
      <c r="B480" s="17" t="s">
        <v>502</v>
      </c>
      <c r="C480" s="17" t="s">
        <v>141</v>
      </c>
      <c r="D480" s="17" t="s">
        <v>2</v>
      </c>
      <c r="E480" s="18">
        <f t="shared" si="7"/>
        <v>1573.52</v>
      </c>
      <c r="F480" s="18">
        <v>786.76</v>
      </c>
      <c r="G480" s="18">
        <v>786.76</v>
      </c>
      <c r="H480" s="18">
        <v>786.76</v>
      </c>
    </row>
    <row r="481" spans="1:8" x14ac:dyDescent="0.3">
      <c r="A481" s="17">
        <v>49627</v>
      </c>
      <c r="B481" s="17" t="s">
        <v>503</v>
      </c>
      <c r="C481" s="17" t="s">
        <v>141</v>
      </c>
      <c r="D481" s="17" t="s">
        <v>504</v>
      </c>
      <c r="E481" s="18">
        <f t="shared" si="7"/>
        <v>1296.96</v>
      </c>
      <c r="F481" s="18">
        <v>648.48</v>
      </c>
      <c r="G481" s="18">
        <v>648.48</v>
      </c>
      <c r="H481" s="18">
        <v>648.48</v>
      </c>
    </row>
    <row r="482" spans="1:8" x14ac:dyDescent="0.3">
      <c r="A482" s="17">
        <v>49635</v>
      </c>
      <c r="B482" s="17" t="s">
        <v>505</v>
      </c>
      <c r="C482" s="17" t="s">
        <v>141</v>
      </c>
      <c r="D482" s="17" t="s">
        <v>506</v>
      </c>
      <c r="E482" s="18">
        <f t="shared" si="7"/>
        <v>1600.18</v>
      </c>
      <c r="F482" s="18">
        <v>800.09</v>
      </c>
      <c r="G482" s="18">
        <v>800.09</v>
      </c>
      <c r="H482" s="18">
        <v>800.09</v>
      </c>
    </row>
    <row r="483" spans="1:8" x14ac:dyDescent="0.3">
      <c r="A483" s="17">
        <v>49643</v>
      </c>
      <c r="B483" s="17" t="s">
        <v>507</v>
      </c>
      <c r="C483" s="17" t="s">
        <v>141</v>
      </c>
      <c r="D483" s="17" t="s">
        <v>508</v>
      </c>
      <c r="E483" s="18">
        <f t="shared" si="7"/>
        <v>1948.12</v>
      </c>
      <c r="F483" s="18">
        <v>974.06</v>
      </c>
      <c r="G483" s="18">
        <v>974.06</v>
      </c>
      <c r="H483" s="18">
        <v>974.06</v>
      </c>
    </row>
    <row r="484" spans="1:8" x14ac:dyDescent="0.3">
      <c r="A484" s="17">
        <v>49650</v>
      </c>
      <c r="B484" s="17" t="s">
        <v>509</v>
      </c>
      <c r="C484" s="17" t="s">
        <v>141</v>
      </c>
      <c r="D484" s="17" t="s">
        <v>510</v>
      </c>
      <c r="E484" s="18">
        <f t="shared" si="7"/>
        <v>682.2</v>
      </c>
      <c r="F484" s="18">
        <v>341.1</v>
      </c>
      <c r="G484" s="18">
        <v>341.1</v>
      </c>
      <c r="H484" s="18">
        <v>341.1</v>
      </c>
    </row>
    <row r="485" spans="1:8" x14ac:dyDescent="0.3">
      <c r="A485" s="17">
        <v>49668</v>
      </c>
      <c r="B485" s="17" t="s">
        <v>511</v>
      </c>
      <c r="C485" s="17" t="s">
        <v>141</v>
      </c>
      <c r="D485" s="17" t="s">
        <v>33</v>
      </c>
      <c r="E485" s="18">
        <f t="shared" si="7"/>
        <v>1922.32</v>
      </c>
      <c r="F485" s="18">
        <v>961.16</v>
      </c>
      <c r="G485" s="18">
        <v>961.16</v>
      </c>
      <c r="H485" s="18">
        <v>961.16</v>
      </c>
    </row>
    <row r="486" spans="1:8" x14ac:dyDescent="0.3">
      <c r="A486" s="17">
        <v>49668</v>
      </c>
      <c r="B486" s="17" t="s">
        <v>511</v>
      </c>
      <c r="C486" s="17" t="s">
        <v>141</v>
      </c>
      <c r="D486" s="17" t="s">
        <v>2</v>
      </c>
      <c r="E486" s="18">
        <f t="shared" si="7"/>
        <v>5766.94</v>
      </c>
      <c r="F486" s="18">
        <v>2883.47</v>
      </c>
      <c r="G486" s="18">
        <v>2883.47</v>
      </c>
      <c r="H486" s="18">
        <v>2883.47</v>
      </c>
    </row>
    <row r="487" spans="1:8" x14ac:dyDescent="0.3">
      <c r="A487" s="17">
        <v>49684</v>
      </c>
      <c r="B487" s="17" t="s">
        <v>512</v>
      </c>
      <c r="C487" s="17" t="s">
        <v>66</v>
      </c>
      <c r="D487" s="17" t="s">
        <v>33</v>
      </c>
      <c r="E487" s="18">
        <f t="shared" si="7"/>
        <v>2595.1799999999998</v>
      </c>
      <c r="F487" s="18">
        <v>1297.5899999999999</v>
      </c>
      <c r="G487" s="18">
        <v>1297.5899999999999</v>
      </c>
      <c r="H487" s="18">
        <v>1297.5899999999999</v>
      </c>
    </row>
    <row r="488" spans="1:8" x14ac:dyDescent="0.3">
      <c r="A488" s="17">
        <v>49692</v>
      </c>
      <c r="B488" s="17" t="s">
        <v>513</v>
      </c>
      <c r="C488" s="17" t="s">
        <v>66</v>
      </c>
      <c r="D488" s="17" t="s">
        <v>33</v>
      </c>
      <c r="E488" s="18">
        <f t="shared" si="7"/>
        <v>1461.04</v>
      </c>
      <c r="F488" s="18">
        <v>730.52</v>
      </c>
      <c r="G488" s="18">
        <v>730.52</v>
      </c>
      <c r="H488" s="18">
        <v>730.52</v>
      </c>
    </row>
    <row r="489" spans="1:8" x14ac:dyDescent="0.3">
      <c r="A489" s="17">
        <v>49692</v>
      </c>
      <c r="B489" s="17" t="s">
        <v>513</v>
      </c>
      <c r="C489" s="17" t="s">
        <v>66</v>
      </c>
      <c r="D489" s="17" t="s">
        <v>172</v>
      </c>
      <c r="E489" s="18">
        <f t="shared" si="7"/>
        <v>1461.04</v>
      </c>
      <c r="F489" s="18">
        <v>730.52</v>
      </c>
      <c r="G489" s="18">
        <v>730.52</v>
      </c>
      <c r="H489" s="18">
        <v>730.52</v>
      </c>
    </row>
    <row r="490" spans="1:8" x14ac:dyDescent="0.3">
      <c r="A490" s="17">
        <v>49692</v>
      </c>
      <c r="B490" s="17" t="s">
        <v>513</v>
      </c>
      <c r="C490" s="17" t="s">
        <v>66</v>
      </c>
      <c r="D490" s="17" t="s">
        <v>172</v>
      </c>
      <c r="E490" s="18">
        <f t="shared" si="7"/>
        <v>1461.04</v>
      </c>
      <c r="F490" s="18">
        <v>730.52</v>
      </c>
      <c r="G490" s="18">
        <v>730.52</v>
      </c>
      <c r="H490" s="18">
        <v>730.52</v>
      </c>
    </row>
    <row r="491" spans="1:8" x14ac:dyDescent="0.3">
      <c r="A491" s="17">
        <v>49718</v>
      </c>
      <c r="B491" s="17" t="s">
        <v>514</v>
      </c>
      <c r="C491" s="17" t="s">
        <v>66</v>
      </c>
      <c r="D491" s="17" t="s">
        <v>33</v>
      </c>
      <c r="E491" s="18">
        <f t="shared" si="7"/>
        <v>564.72</v>
      </c>
      <c r="F491" s="18">
        <v>282.36</v>
      </c>
      <c r="G491" s="18">
        <v>282.36</v>
      </c>
      <c r="H491" s="18">
        <v>282.36</v>
      </c>
    </row>
    <row r="492" spans="1:8" x14ac:dyDescent="0.3">
      <c r="A492" s="17">
        <v>49726</v>
      </c>
      <c r="B492" s="17" t="s">
        <v>515</v>
      </c>
      <c r="C492" s="17" t="s">
        <v>66</v>
      </c>
      <c r="D492" s="17" t="s">
        <v>2</v>
      </c>
      <c r="E492" s="18">
        <f t="shared" si="7"/>
        <v>7938</v>
      </c>
      <c r="F492" s="18">
        <v>3969</v>
      </c>
      <c r="G492" s="18">
        <v>3969</v>
      </c>
      <c r="H492" s="18">
        <v>3969</v>
      </c>
    </row>
    <row r="493" spans="1:8" x14ac:dyDescent="0.3">
      <c r="A493" s="17">
        <v>49759</v>
      </c>
      <c r="B493" s="17" t="s">
        <v>516</v>
      </c>
      <c r="C493" s="17" t="s">
        <v>517</v>
      </c>
      <c r="D493" s="17" t="s">
        <v>2</v>
      </c>
      <c r="E493" s="18">
        <f t="shared" si="7"/>
        <v>120379.42</v>
      </c>
      <c r="F493" s="18">
        <v>60189.71</v>
      </c>
      <c r="G493" s="18">
        <v>60189.71</v>
      </c>
      <c r="H493" s="18">
        <v>60189.71</v>
      </c>
    </row>
    <row r="494" spans="1:8" x14ac:dyDescent="0.3">
      <c r="A494" s="17">
        <v>49767</v>
      </c>
      <c r="B494" s="17" t="s">
        <v>518</v>
      </c>
      <c r="C494" s="17" t="s">
        <v>517</v>
      </c>
      <c r="D494" s="17" t="s">
        <v>519</v>
      </c>
      <c r="E494" s="18">
        <f t="shared" si="7"/>
        <v>2292.2800000000002</v>
      </c>
      <c r="F494" s="18">
        <v>1146.1400000000001</v>
      </c>
      <c r="G494" s="18">
        <v>1146.1400000000001</v>
      </c>
      <c r="H494" s="18">
        <v>1146.1400000000001</v>
      </c>
    </row>
    <row r="495" spans="1:8" x14ac:dyDescent="0.3">
      <c r="A495" s="17">
        <v>49767</v>
      </c>
      <c r="B495" s="17" t="s">
        <v>518</v>
      </c>
      <c r="C495" s="17" t="s">
        <v>517</v>
      </c>
      <c r="D495" s="17" t="s">
        <v>2</v>
      </c>
      <c r="E495" s="18">
        <f t="shared" si="7"/>
        <v>9169.08</v>
      </c>
      <c r="F495" s="18">
        <v>4584.54</v>
      </c>
      <c r="G495" s="18">
        <v>4584.54</v>
      </c>
      <c r="H495" s="18">
        <v>4584.54</v>
      </c>
    </row>
    <row r="496" spans="1:8" x14ac:dyDescent="0.3">
      <c r="A496" s="17">
        <v>49809</v>
      </c>
      <c r="B496" s="17" t="s">
        <v>520</v>
      </c>
      <c r="C496" s="17" t="s">
        <v>517</v>
      </c>
      <c r="D496" s="17" t="s">
        <v>2</v>
      </c>
      <c r="E496" s="18">
        <f t="shared" si="7"/>
        <v>10444.66</v>
      </c>
      <c r="F496" s="18">
        <v>5222.33</v>
      </c>
      <c r="G496" s="18">
        <v>5222.33</v>
      </c>
      <c r="H496" s="18">
        <v>5222.33</v>
      </c>
    </row>
    <row r="497" spans="1:8" x14ac:dyDescent="0.3">
      <c r="A497" s="17">
        <v>49833</v>
      </c>
      <c r="B497" s="17" t="s">
        <v>521</v>
      </c>
      <c r="C497" s="17" t="s">
        <v>4</v>
      </c>
      <c r="D497" s="17" t="s">
        <v>2</v>
      </c>
      <c r="E497" s="18">
        <f t="shared" si="7"/>
        <v>66932.3</v>
      </c>
      <c r="F497" s="18">
        <v>33466.15</v>
      </c>
      <c r="G497" s="18">
        <v>33466.15</v>
      </c>
      <c r="H497" s="18">
        <v>33466.15</v>
      </c>
    </row>
    <row r="498" spans="1:8" x14ac:dyDescent="0.3">
      <c r="A498" s="17">
        <v>49841</v>
      </c>
      <c r="B498" s="17" t="s">
        <v>522</v>
      </c>
      <c r="C498" s="17" t="s">
        <v>4</v>
      </c>
      <c r="D498" s="17" t="s">
        <v>5</v>
      </c>
      <c r="E498" s="18">
        <f t="shared" si="7"/>
        <v>7345.86</v>
      </c>
      <c r="F498" s="18">
        <v>3672.93</v>
      </c>
      <c r="G498" s="18">
        <v>3672.93</v>
      </c>
      <c r="H498" s="18">
        <v>3672.93</v>
      </c>
    </row>
    <row r="499" spans="1:8" x14ac:dyDescent="0.3">
      <c r="A499" s="17">
        <v>49858</v>
      </c>
      <c r="B499" s="17" t="s">
        <v>523</v>
      </c>
      <c r="C499" s="17" t="s">
        <v>4</v>
      </c>
      <c r="D499" s="17" t="s">
        <v>2</v>
      </c>
      <c r="E499" s="18">
        <f t="shared" si="7"/>
        <v>74256.86</v>
      </c>
      <c r="F499" s="18">
        <v>37128.43</v>
      </c>
      <c r="G499" s="18">
        <v>37128.43</v>
      </c>
      <c r="H499" s="18">
        <v>37128.43</v>
      </c>
    </row>
    <row r="500" spans="1:8" x14ac:dyDescent="0.3">
      <c r="A500" s="17">
        <v>49874</v>
      </c>
      <c r="B500" s="17" t="s">
        <v>524</v>
      </c>
      <c r="C500" s="17" t="s">
        <v>4</v>
      </c>
      <c r="D500" s="17" t="s">
        <v>2</v>
      </c>
      <c r="E500" s="18">
        <f t="shared" si="7"/>
        <v>20549.599999999999</v>
      </c>
      <c r="F500" s="18">
        <v>10274.799999999999</v>
      </c>
      <c r="G500" s="18">
        <v>10274.799999999999</v>
      </c>
      <c r="H500" s="18">
        <v>10274.799999999999</v>
      </c>
    </row>
    <row r="501" spans="1:8" x14ac:dyDescent="0.3">
      <c r="A501" s="17">
        <v>49882</v>
      </c>
      <c r="B501" s="17" t="s">
        <v>525</v>
      </c>
      <c r="C501" s="17" t="s">
        <v>4</v>
      </c>
      <c r="D501" s="17" t="s">
        <v>2</v>
      </c>
      <c r="E501" s="18">
        <f t="shared" si="7"/>
        <v>38955.800000000003</v>
      </c>
      <c r="F501" s="18">
        <v>19477.900000000001</v>
      </c>
      <c r="G501" s="18">
        <v>19477.900000000001</v>
      </c>
      <c r="H501" s="18">
        <v>19477.900000000001</v>
      </c>
    </row>
    <row r="502" spans="1:8" x14ac:dyDescent="0.3">
      <c r="A502" s="17">
        <v>49908</v>
      </c>
      <c r="B502" s="17" t="s">
        <v>505</v>
      </c>
      <c r="C502" s="17" t="s">
        <v>4</v>
      </c>
      <c r="D502" s="17" t="s">
        <v>2</v>
      </c>
      <c r="E502" s="18">
        <f t="shared" si="7"/>
        <v>13936.14</v>
      </c>
      <c r="F502" s="18">
        <v>6968.07</v>
      </c>
      <c r="G502" s="18">
        <v>6968.07</v>
      </c>
      <c r="H502" s="18">
        <v>6968.07</v>
      </c>
    </row>
    <row r="503" spans="1:8" x14ac:dyDescent="0.3">
      <c r="A503" s="17">
        <v>49908</v>
      </c>
      <c r="B503" s="17" t="s">
        <v>505</v>
      </c>
      <c r="C503" s="17" t="s">
        <v>4</v>
      </c>
      <c r="D503" s="17" t="s">
        <v>2</v>
      </c>
      <c r="E503" s="18">
        <f t="shared" si="7"/>
        <v>13936.14</v>
      </c>
      <c r="F503" s="18">
        <v>6968.07</v>
      </c>
      <c r="G503" s="18">
        <v>6968.07</v>
      </c>
      <c r="H503" s="18">
        <v>6968.07</v>
      </c>
    </row>
    <row r="504" spans="1:8" x14ac:dyDescent="0.3">
      <c r="A504" s="17">
        <v>49924</v>
      </c>
      <c r="B504" s="17" t="s">
        <v>248</v>
      </c>
      <c r="C504" s="17" t="s">
        <v>4</v>
      </c>
      <c r="D504" s="17" t="s">
        <v>2</v>
      </c>
      <c r="E504" s="18">
        <f t="shared" si="7"/>
        <v>82385</v>
      </c>
      <c r="F504" s="18">
        <v>41192.5</v>
      </c>
      <c r="G504" s="18">
        <v>41192.5</v>
      </c>
      <c r="H504" s="18">
        <v>41192.5</v>
      </c>
    </row>
    <row r="505" spans="1:8" x14ac:dyDescent="0.3">
      <c r="A505" s="17">
        <v>49940</v>
      </c>
      <c r="B505" s="17" t="s">
        <v>526</v>
      </c>
      <c r="C505" s="17" t="s">
        <v>4</v>
      </c>
      <c r="D505" s="17" t="s">
        <v>2</v>
      </c>
      <c r="E505" s="18">
        <f t="shared" si="7"/>
        <v>23135.32</v>
      </c>
      <c r="F505" s="18">
        <v>11567.66</v>
      </c>
      <c r="G505" s="18">
        <v>11567.66</v>
      </c>
      <c r="H505" s="18">
        <v>11567.66</v>
      </c>
    </row>
    <row r="506" spans="1:8" x14ac:dyDescent="0.3">
      <c r="A506" s="17">
        <v>49973</v>
      </c>
      <c r="B506" s="17" t="s">
        <v>527</v>
      </c>
      <c r="C506" s="17" t="s">
        <v>1</v>
      </c>
      <c r="D506" s="17" t="s">
        <v>2</v>
      </c>
      <c r="E506" s="18">
        <f t="shared" si="7"/>
        <v>33993.54</v>
      </c>
      <c r="F506" s="18">
        <v>16996.77</v>
      </c>
      <c r="G506" s="18">
        <v>16996.77</v>
      </c>
      <c r="H506" s="18">
        <v>16996.77</v>
      </c>
    </row>
    <row r="507" spans="1:8" x14ac:dyDescent="0.3">
      <c r="A507" s="17">
        <v>49981</v>
      </c>
      <c r="B507" s="17" t="s">
        <v>528</v>
      </c>
      <c r="C507" s="17" t="s">
        <v>1</v>
      </c>
      <c r="D507" s="17" t="s">
        <v>2</v>
      </c>
      <c r="E507" s="18">
        <f t="shared" si="7"/>
        <v>78884.3</v>
      </c>
      <c r="F507" s="18">
        <v>39442.15</v>
      </c>
      <c r="G507" s="18">
        <v>39442.15</v>
      </c>
      <c r="H507" s="18">
        <v>39442.15</v>
      </c>
    </row>
    <row r="508" spans="1:8" x14ac:dyDescent="0.3">
      <c r="A508" s="17">
        <v>50005</v>
      </c>
      <c r="B508" s="17" t="s">
        <v>529</v>
      </c>
      <c r="C508" s="17" t="s">
        <v>1</v>
      </c>
      <c r="D508" s="17" t="s">
        <v>2</v>
      </c>
      <c r="E508" s="18">
        <f t="shared" si="7"/>
        <v>4115.82</v>
      </c>
      <c r="F508" s="18">
        <v>2057.91</v>
      </c>
      <c r="G508" s="18">
        <v>2057.91</v>
      </c>
      <c r="H508" s="18">
        <v>2057.91</v>
      </c>
    </row>
    <row r="509" spans="1:8" s="15" customFormat="1" x14ac:dyDescent="0.3">
      <c r="A509" s="17">
        <v>50013</v>
      </c>
      <c r="B509" s="17" t="s">
        <v>530</v>
      </c>
      <c r="C509" s="17" t="s">
        <v>1</v>
      </c>
      <c r="D509" s="17" t="s">
        <v>2</v>
      </c>
      <c r="E509" s="18">
        <f t="shared" si="7"/>
        <v>147824.04</v>
      </c>
      <c r="F509" s="18">
        <v>73912.02</v>
      </c>
      <c r="G509" s="18">
        <v>73912.02</v>
      </c>
      <c r="H509" s="18">
        <v>73912.02</v>
      </c>
    </row>
    <row r="510" spans="1:8" x14ac:dyDescent="0.3">
      <c r="A510" s="17">
        <v>50021</v>
      </c>
      <c r="B510" s="17" t="s">
        <v>531</v>
      </c>
      <c r="C510" s="17" t="s">
        <v>1</v>
      </c>
      <c r="D510" s="17" t="s">
        <v>2</v>
      </c>
      <c r="E510" s="18">
        <f t="shared" si="7"/>
        <v>59939.9</v>
      </c>
      <c r="F510" s="18">
        <v>29969.95</v>
      </c>
      <c r="G510" s="18">
        <v>29969.95</v>
      </c>
      <c r="H510" s="18">
        <v>29969.95</v>
      </c>
    </row>
    <row r="511" spans="1:8" x14ac:dyDescent="0.3">
      <c r="A511" s="17">
        <v>50039</v>
      </c>
      <c r="B511" s="17" t="s">
        <v>532</v>
      </c>
      <c r="C511" s="17" t="s">
        <v>1</v>
      </c>
      <c r="D511" s="17" t="s">
        <v>2</v>
      </c>
      <c r="E511" s="18">
        <f t="shared" si="7"/>
        <v>76109.759999999995</v>
      </c>
      <c r="F511" s="18">
        <v>38054.879999999997</v>
      </c>
      <c r="G511" s="18">
        <v>38054.879999999997</v>
      </c>
      <c r="H511" s="18">
        <v>38054.879999999997</v>
      </c>
    </row>
    <row r="512" spans="1:8" x14ac:dyDescent="0.3">
      <c r="A512" s="17">
        <v>50047</v>
      </c>
      <c r="B512" s="17" t="s">
        <v>533</v>
      </c>
      <c r="C512" s="17" t="s">
        <v>1</v>
      </c>
      <c r="D512" s="17" t="s">
        <v>2</v>
      </c>
      <c r="E512" s="18">
        <f t="shared" si="7"/>
        <v>30078.03</v>
      </c>
      <c r="F512" s="18">
        <v>30078.03</v>
      </c>
      <c r="G512" s="18">
        <v>30078.03</v>
      </c>
      <c r="H512" s="18">
        <v>0</v>
      </c>
    </row>
    <row r="513" spans="1:8" x14ac:dyDescent="0.3">
      <c r="A513" s="17">
        <v>50054</v>
      </c>
      <c r="B513" s="17" t="s">
        <v>534</v>
      </c>
      <c r="C513" s="17" t="s">
        <v>1</v>
      </c>
      <c r="D513" s="17" t="s">
        <v>2</v>
      </c>
      <c r="E513" s="18">
        <f t="shared" si="7"/>
        <v>39461.26</v>
      </c>
      <c r="F513" s="18">
        <v>19730.63</v>
      </c>
      <c r="G513" s="18">
        <v>19730.63</v>
      </c>
      <c r="H513" s="18">
        <v>19730.63</v>
      </c>
    </row>
    <row r="514" spans="1:8" x14ac:dyDescent="0.3">
      <c r="A514" s="17">
        <v>50062</v>
      </c>
      <c r="B514" s="17" t="s">
        <v>408</v>
      </c>
      <c r="C514" s="17" t="s">
        <v>1</v>
      </c>
      <c r="D514" s="17" t="s">
        <v>2</v>
      </c>
      <c r="E514" s="18">
        <f t="shared" si="7"/>
        <v>68308.22</v>
      </c>
      <c r="F514" s="18">
        <v>34154.11</v>
      </c>
      <c r="G514" s="18">
        <v>34154.11</v>
      </c>
      <c r="H514" s="18">
        <v>34154.11</v>
      </c>
    </row>
    <row r="515" spans="1:8" x14ac:dyDescent="0.3">
      <c r="A515" s="17">
        <v>50070</v>
      </c>
      <c r="B515" s="17" t="s">
        <v>535</v>
      </c>
      <c r="C515" s="17" t="s">
        <v>1</v>
      </c>
      <c r="D515" s="17" t="s">
        <v>2</v>
      </c>
      <c r="E515" s="18">
        <f t="shared" si="7"/>
        <v>359869.14</v>
      </c>
      <c r="F515" s="18">
        <v>179934.57</v>
      </c>
      <c r="G515" s="18">
        <v>179934.57</v>
      </c>
      <c r="H515" s="18">
        <v>179934.57</v>
      </c>
    </row>
    <row r="516" spans="1:8" x14ac:dyDescent="0.3">
      <c r="A516" s="17">
        <v>50112</v>
      </c>
      <c r="B516" s="17" t="s">
        <v>536</v>
      </c>
      <c r="C516" s="17" t="s">
        <v>74</v>
      </c>
      <c r="D516" s="17" t="s">
        <v>537</v>
      </c>
      <c r="E516" s="18">
        <f t="shared" si="7"/>
        <v>528.55999999999995</v>
      </c>
      <c r="F516" s="18">
        <v>264.27999999999997</v>
      </c>
      <c r="G516" s="18">
        <v>264.27999999999997</v>
      </c>
      <c r="H516" s="18">
        <v>264.27999999999997</v>
      </c>
    </row>
    <row r="517" spans="1:8" x14ac:dyDescent="0.3">
      <c r="A517" s="17">
        <v>50112</v>
      </c>
      <c r="B517" s="17" t="s">
        <v>536</v>
      </c>
      <c r="C517" s="17" t="s">
        <v>74</v>
      </c>
      <c r="D517" s="17" t="s">
        <v>2</v>
      </c>
      <c r="E517" s="18">
        <f t="shared" si="7"/>
        <v>2642.82</v>
      </c>
      <c r="F517" s="18">
        <v>1321.41</v>
      </c>
      <c r="G517" s="18">
        <v>1321.41</v>
      </c>
      <c r="H517" s="18">
        <v>1321.41</v>
      </c>
    </row>
    <row r="518" spans="1:8" x14ac:dyDescent="0.3">
      <c r="A518" s="17">
        <v>50138</v>
      </c>
      <c r="B518" s="17" t="s">
        <v>538</v>
      </c>
      <c r="C518" s="17" t="s">
        <v>74</v>
      </c>
      <c r="D518" s="17" t="s">
        <v>2</v>
      </c>
      <c r="E518" s="18">
        <f t="shared" si="7"/>
        <v>21162.12</v>
      </c>
      <c r="F518" s="18">
        <v>10581.06</v>
      </c>
      <c r="G518" s="18">
        <v>10581.06</v>
      </c>
      <c r="H518" s="18">
        <v>10581.06</v>
      </c>
    </row>
    <row r="519" spans="1:8" x14ac:dyDescent="0.3">
      <c r="A519" s="17">
        <v>50153</v>
      </c>
      <c r="B519" s="17" t="s">
        <v>539</v>
      </c>
      <c r="C519" s="17" t="s">
        <v>74</v>
      </c>
      <c r="D519" s="17" t="s">
        <v>2</v>
      </c>
      <c r="E519" s="18">
        <f t="shared" si="7"/>
        <v>14784.12</v>
      </c>
      <c r="F519" s="18">
        <v>7392.06</v>
      </c>
      <c r="G519" s="18">
        <v>7392.06</v>
      </c>
      <c r="H519" s="18">
        <v>7392.06</v>
      </c>
    </row>
    <row r="520" spans="1:8" x14ac:dyDescent="0.3">
      <c r="A520" s="17">
        <v>50161</v>
      </c>
      <c r="B520" s="17" t="s">
        <v>540</v>
      </c>
      <c r="C520" s="17" t="s">
        <v>74</v>
      </c>
      <c r="D520" s="17" t="s">
        <v>2</v>
      </c>
      <c r="E520" s="18">
        <f t="shared" si="7"/>
        <v>75301.14</v>
      </c>
      <c r="F520" s="18">
        <v>37650.57</v>
      </c>
      <c r="G520" s="18">
        <v>37650.57</v>
      </c>
      <c r="H520" s="18">
        <v>37650.57</v>
      </c>
    </row>
    <row r="521" spans="1:8" x14ac:dyDescent="0.3">
      <c r="A521" s="17">
        <v>50179</v>
      </c>
      <c r="B521" s="17" t="s">
        <v>541</v>
      </c>
      <c r="C521" s="17" t="s">
        <v>74</v>
      </c>
      <c r="D521" s="17" t="s">
        <v>33</v>
      </c>
      <c r="E521" s="18">
        <f t="shared" si="7"/>
        <v>2637.12</v>
      </c>
      <c r="F521" s="18">
        <v>1318.56</v>
      </c>
      <c r="G521" s="18">
        <v>1318.56</v>
      </c>
      <c r="H521" s="18">
        <v>1318.56</v>
      </c>
    </row>
    <row r="522" spans="1:8" x14ac:dyDescent="0.3">
      <c r="A522" s="17">
        <v>50187</v>
      </c>
      <c r="B522" s="17" t="s">
        <v>542</v>
      </c>
      <c r="C522" s="17" t="s">
        <v>74</v>
      </c>
      <c r="D522" s="17" t="s">
        <v>2</v>
      </c>
      <c r="E522" s="18">
        <f t="shared" si="7"/>
        <v>23154.6</v>
      </c>
      <c r="F522" s="18">
        <v>11577.3</v>
      </c>
      <c r="G522" s="18">
        <v>11577.3</v>
      </c>
      <c r="H522" s="18">
        <v>11577.3</v>
      </c>
    </row>
    <row r="523" spans="1:8" x14ac:dyDescent="0.3">
      <c r="A523" s="17">
        <v>50195</v>
      </c>
      <c r="B523" s="17" t="s">
        <v>543</v>
      </c>
      <c r="C523" s="17" t="s">
        <v>74</v>
      </c>
      <c r="D523" s="17" t="s">
        <v>2</v>
      </c>
      <c r="E523" s="18">
        <f t="shared" si="7"/>
        <v>8684.2800000000007</v>
      </c>
      <c r="F523" s="18">
        <v>4342.1400000000003</v>
      </c>
      <c r="G523" s="18">
        <v>4342.1400000000003</v>
      </c>
      <c r="H523" s="18">
        <v>4342.1400000000003</v>
      </c>
    </row>
    <row r="524" spans="1:8" s="15" customFormat="1" x14ac:dyDescent="0.3">
      <c r="A524" s="17">
        <v>50211</v>
      </c>
      <c r="B524" s="17" t="s">
        <v>544</v>
      </c>
      <c r="C524" s="17" t="s">
        <v>74</v>
      </c>
      <c r="D524" s="17" t="s">
        <v>33</v>
      </c>
      <c r="E524" s="18">
        <f t="shared" si="7"/>
        <v>583.66</v>
      </c>
      <c r="F524" s="18">
        <v>291.83</v>
      </c>
      <c r="G524" s="18">
        <v>291.83</v>
      </c>
      <c r="H524" s="18">
        <v>291.83</v>
      </c>
    </row>
    <row r="525" spans="1:8" x14ac:dyDescent="0.3">
      <c r="A525" s="17">
        <v>50211</v>
      </c>
      <c r="B525" s="17" t="s">
        <v>544</v>
      </c>
      <c r="C525" s="17" t="s">
        <v>74</v>
      </c>
      <c r="D525" s="17" t="s">
        <v>2</v>
      </c>
      <c r="E525" s="18">
        <f t="shared" si="7"/>
        <v>5836.5</v>
      </c>
      <c r="F525" s="18">
        <v>2918.25</v>
      </c>
      <c r="G525" s="18">
        <v>2918.25</v>
      </c>
      <c r="H525" s="18">
        <v>2918.25</v>
      </c>
    </row>
    <row r="526" spans="1:8" x14ac:dyDescent="0.3">
      <c r="A526" s="17">
        <v>50229</v>
      </c>
      <c r="B526" s="17" t="s">
        <v>545</v>
      </c>
      <c r="C526" s="17" t="s">
        <v>74</v>
      </c>
      <c r="D526" s="17" t="s">
        <v>33</v>
      </c>
      <c r="E526" s="18">
        <f t="shared" si="7"/>
        <v>1116.54</v>
      </c>
      <c r="F526" s="18">
        <v>558.27</v>
      </c>
      <c r="G526" s="18">
        <v>558.27</v>
      </c>
      <c r="H526" s="18">
        <v>558.27</v>
      </c>
    </row>
    <row r="527" spans="1:8" x14ac:dyDescent="0.3">
      <c r="A527" s="17">
        <v>50229</v>
      </c>
      <c r="B527" s="17" t="s">
        <v>545</v>
      </c>
      <c r="C527" s="17" t="s">
        <v>74</v>
      </c>
      <c r="D527" s="17" t="s">
        <v>2</v>
      </c>
      <c r="E527" s="18">
        <f t="shared" si="7"/>
        <v>2233.1</v>
      </c>
      <c r="F527" s="18">
        <v>2233.1</v>
      </c>
      <c r="G527" s="18">
        <v>2233.1</v>
      </c>
      <c r="H527" s="18">
        <v>0</v>
      </c>
    </row>
    <row r="528" spans="1:8" x14ac:dyDescent="0.3">
      <c r="A528" s="17">
        <v>50245</v>
      </c>
      <c r="B528" s="17" t="s">
        <v>546</v>
      </c>
      <c r="C528" s="17" t="s">
        <v>74</v>
      </c>
      <c r="D528" s="17" t="s">
        <v>33</v>
      </c>
      <c r="E528" s="18">
        <f t="shared" si="7"/>
        <v>5644.72</v>
      </c>
      <c r="F528" s="18">
        <v>2822.36</v>
      </c>
      <c r="G528" s="18">
        <v>2822.36</v>
      </c>
      <c r="H528" s="18">
        <v>2822.36</v>
      </c>
    </row>
    <row r="529" spans="1:8" x14ac:dyDescent="0.3">
      <c r="A529" s="17">
        <v>50245</v>
      </c>
      <c r="B529" s="17" t="s">
        <v>546</v>
      </c>
      <c r="C529" s="17" t="s">
        <v>74</v>
      </c>
      <c r="D529" s="17" t="s">
        <v>2</v>
      </c>
      <c r="E529" s="18">
        <f t="shared" si="7"/>
        <v>33868.26</v>
      </c>
      <c r="F529" s="18">
        <v>16934.13</v>
      </c>
      <c r="G529" s="18">
        <v>16934.13</v>
      </c>
      <c r="H529" s="18">
        <v>16934.13</v>
      </c>
    </row>
    <row r="530" spans="1:8" x14ac:dyDescent="0.3">
      <c r="A530" s="17">
        <v>50278</v>
      </c>
      <c r="B530" s="17" t="s">
        <v>547</v>
      </c>
      <c r="C530" s="17" t="s">
        <v>44</v>
      </c>
      <c r="D530" s="17" t="s">
        <v>2</v>
      </c>
      <c r="E530" s="18">
        <f t="shared" si="7"/>
        <v>36370.080000000002</v>
      </c>
      <c r="F530" s="18">
        <v>18185.04</v>
      </c>
      <c r="G530" s="18">
        <v>18185.04</v>
      </c>
      <c r="H530" s="18">
        <v>18185.04</v>
      </c>
    </row>
    <row r="531" spans="1:8" x14ac:dyDescent="0.3">
      <c r="A531" s="17">
        <v>50286</v>
      </c>
      <c r="B531" s="17" t="s">
        <v>548</v>
      </c>
      <c r="C531" s="17" t="s">
        <v>44</v>
      </c>
      <c r="D531" s="17" t="s">
        <v>33</v>
      </c>
      <c r="E531" s="18">
        <f t="shared" si="7"/>
        <v>3412.1</v>
      </c>
      <c r="F531" s="18">
        <v>1706.05</v>
      </c>
      <c r="G531" s="18">
        <v>1706.05</v>
      </c>
      <c r="H531" s="18">
        <v>1706.05</v>
      </c>
    </row>
    <row r="532" spans="1:8" x14ac:dyDescent="0.3">
      <c r="A532" s="17">
        <v>50294</v>
      </c>
      <c r="B532" s="17" t="s">
        <v>549</v>
      </c>
      <c r="C532" s="17" t="s">
        <v>44</v>
      </c>
      <c r="D532" s="17" t="s">
        <v>33</v>
      </c>
      <c r="E532" s="18">
        <f t="shared" si="7"/>
        <v>1485.22</v>
      </c>
      <c r="F532" s="18">
        <v>742.61</v>
      </c>
      <c r="G532" s="18">
        <v>742.61</v>
      </c>
      <c r="H532" s="18">
        <v>742.61</v>
      </c>
    </row>
    <row r="533" spans="1:8" x14ac:dyDescent="0.3">
      <c r="A533" s="17">
        <v>50294</v>
      </c>
      <c r="B533" s="17" t="s">
        <v>549</v>
      </c>
      <c r="C533" s="17" t="s">
        <v>44</v>
      </c>
      <c r="D533" s="17" t="s">
        <v>2</v>
      </c>
      <c r="E533" s="18">
        <f t="shared" ref="E533:E573" si="8">F533+H533</f>
        <v>4752.72</v>
      </c>
      <c r="F533" s="18">
        <v>2376.36</v>
      </c>
      <c r="G533" s="18">
        <v>2376.36</v>
      </c>
      <c r="H533" s="18">
        <v>2376.36</v>
      </c>
    </row>
    <row r="534" spans="1:8" x14ac:dyDescent="0.3">
      <c r="A534" s="17">
        <v>50336</v>
      </c>
      <c r="B534" s="17" t="s">
        <v>550</v>
      </c>
      <c r="C534" s="17" t="s">
        <v>226</v>
      </c>
      <c r="D534" s="17" t="s">
        <v>2</v>
      </c>
      <c r="E534" s="18">
        <f t="shared" si="8"/>
        <v>2977.64</v>
      </c>
      <c r="F534" s="18">
        <v>1488.82</v>
      </c>
      <c r="G534" s="18">
        <v>1488.82</v>
      </c>
      <c r="H534" s="18">
        <v>1488.82</v>
      </c>
    </row>
    <row r="535" spans="1:8" x14ac:dyDescent="0.3">
      <c r="A535" s="17">
        <v>50351</v>
      </c>
      <c r="B535" s="17" t="s">
        <v>303</v>
      </c>
      <c r="C535" s="17" t="s">
        <v>169</v>
      </c>
      <c r="D535" s="17" t="s">
        <v>551</v>
      </c>
      <c r="E535" s="18">
        <f t="shared" si="8"/>
        <v>702.74</v>
      </c>
      <c r="F535" s="18">
        <v>351.37</v>
      </c>
      <c r="G535" s="18">
        <v>351.37</v>
      </c>
      <c r="H535" s="18">
        <v>351.37</v>
      </c>
    </row>
    <row r="536" spans="1:8" x14ac:dyDescent="0.3">
      <c r="A536" s="17">
        <v>50351</v>
      </c>
      <c r="B536" s="17" t="s">
        <v>303</v>
      </c>
      <c r="C536" s="17" t="s">
        <v>169</v>
      </c>
      <c r="D536" s="17" t="s">
        <v>2</v>
      </c>
      <c r="E536" s="18">
        <f t="shared" si="8"/>
        <v>2810.96</v>
      </c>
      <c r="F536" s="18">
        <v>1405.48</v>
      </c>
      <c r="G536" s="18">
        <v>1405.48</v>
      </c>
      <c r="H536" s="18">
        <v>1405.48</v>
      </c>
    </row>
    <row r="537" spans="1:8" x14ac:dyDescent="0.3">
      <c r="A537" s="17">
        <v>50369</v>
      </c>
      <c r="B537" s="17" t="s">
        <v>552</v>
      </c>
      <c r="C537" s="17" t="s">
        <v>169</v>
      </c>
      <c r="D537" s="17" t="s">
        <v>2</v>
      </c>
      <c r="E537" s="18">
        <f t="shared" si="8"/>
        <v>7748.74</v>
      </c>
      <c r="F537" s="18">
        <v>3874.37</v>
      </c>
      <c r="G537" s="18">
        <v>3874.37</v>
      </c>
      <c r="H537" s="18">
        <v>3874.37</v>
      </c>
    </row>
    <row r="538" spans="1:8" x14ac:dyDescent="0.3">
      <c r="A538" s="17">
        <v>50393</v>
      </c>
      <c r="B538" s="17" t="s">
        <v>553</v>
      </c>
      <c r="C538" s="17" t="s">
        <v>554</v>
      </c>
      <c r="D538" s="17" t="s">
        <v>115</v>
      </c>
      <c r="E538" s="18">
        <f t="shared" si="8"/>
        <v>5680.74</v>
      </c>
      <c r="F538" s="18">
        <v>2840.37</v>
      </c>
      <c r="G538" s="18">
        <v>2840.37</v>
      </c>
      <c r="H538" s="18">
        <v>2840.37</v>
      </c>
    </row>
    <row r="539" spans="1:8" x14ac:dyDescent="0.3">
      <c r="A539" s="17">
        <v>50419</v>
      </c>
      <c r="B539" s="17" t="s">
        <v>555</v>
      </c>
      <c r="C539" s="17" t="s">
        <v>68</v>
      </c>
      <c r="D539" s="17" t="s">
        <v>2</v>
      </c>
      <c r="E539" s="18">
        <f t="shared" si="8"/>
        <v>7390.94</v>
      </c>
      <c r="F539" s="18">
        <v>3695.47</v>
      </c>
      <c r="G539" s="18">
        <v>3695.47</v>
      </c>
      <c r="H539" s="18">
        <v>3695.47</v>
      </c>
    </row>
    <row r="540" spans="1:8" x14ac:dyDescent="0.3">
      <c r="A540" s="17">
        <v>50435</v>
      </c>
      <c r="B540" s="17" t="s">
        <v>556</v>
      </c>
      <c r="C540" s="17" t="s">
        <v>68</v>
      </c>
      <c r="D540" s="17" t="s">
        <v>2</v>
      </c>
      <c r="E540" s="18">
        <f t="shared" si="8"/>
        <v>177908.52</v>
      </c>
      <c r="F540" s="18">
        <v>88954.26</v>
      </c>
      <c r="G540" s="18">
        <v>88954.26</v>
      </c>
      <c r="H540" s="18">
        <v>88954.26</v>
      </c>
    </row>
    <row r="541" spans="1:8" x14ac:dyDescent="0.3">
      <c r="A541" s="17">
        <v>50443</v>
      </c>
      <c r="B541" s="17" t="s">
        <v>557</v>
      </c>
      <c r="C541" s="17" t="s">
        <v>68</v>
      </c>
      <c r="D541" s="17" t="s">
        <v>2</v>
      </c>
      <c r="E541" s="18">
        <f t="shared" si="8"/>
        <v>44105.08</v>
      </c>
      <c r="F541" s="18">
        <v>22052.54</v>
      </c>
      <c r="G541" s="18">
        <v>22052.54</v>
      </c>
      <c r="H541" s="18">
        <v>22052.54</v>
      </c>
    </row>
    <row r="542" spans="1:8" x14ac:dyDescent="0.3">
      <c r="A542" s="17">
        <v>50443</v>
      </c>
      <c r="B542" s="17" t="s">
        <v>557</v>
      </c>
      <c r="C542" s="17" t="s">
        <v>68</v>
      </c>
      <c r="D542" s="17" t="s">
        <v>2</v>
      </c>
      <c r="E542" s="18">
        <f t="shared" si="8"/>
        <v>27198.12</v>
      </c>
      <c r="F542" s="18">
        <v>13599.06</v>
      </c>
      <c r="G542" s="18">
        <v>13599.06</v>
      </c>
      <c r="H542" s="18">
        <v>13599.06</v>
      </c>
    </row>
    <row r="543" spans="1:8" x14ac:dyDescent="0.3">
      <c r="A543" s="17">
        <v>50450</v>
      </c>
      <c r="B543" s="17" t="s">
        <v>558</v>
      </c>
      <c r="C543" s="17" t="s">
        <v>68</v>
      </c>
      <c r="D543" s="17" t="s">
        <v>2</v>
      </c>
      <c r="E543" s="18">
        <f t="shared" si="8"/>
        <v>46573.72</v>
      </c>
      <c r="F543" s="18">
        <v>23286.86</v>
      </c>
      <c r="G543" s="18">
        <v>23286.86</v>
      </c>
      <c r="H543" s="18">
        <v>23286.86</v>
      </c>
    </row>
    <row r="544" spans="1:8" x14ac:dyDescent="0.3">
      <c r="A544" s="17">
        <v>50468</v>
      </c>
      <c r="B544" s="17" t="s">
        <v>559</v>
      </c>
      <c r="C544" s="17" t="s">
        <v>68</v>
      </c>
      <c r="D544" s="17" t="s">
        <v>2</v>
      </c>
      <c r="E544" s="18">
        <f t="shared" si="8"/>
        <v>5574.74</v>
      </c>
      <c r="F544" s="18">
        <v>2787.37</v>
      </c>
      <c r="G544" s="18">
        <v>2787.37</v>
      </c>
      <c r="H544" s="18">
        <v>2787.37</v>
      </c>
    </row>
    <row r="545" spans="1:8" x14ac:dyDescent="0.3">
      <c r="A545" s="17">
        <v>50468</v>
      </c>
      <c r="B545" s="17" t="s">
        <v>559</v>
      </c>
      <c r="C545" s="17" t="s">
        <v>68</v>
      </c>
      <c r="D545" s="17" t="s">
        <v>2</v>
      </c>
      <c r="E545" s="18">
        <f t="shared" si="8"/>
        <v>6194.16</v>
      </c>
      <c r="F545" s="18">
        <v>3097.08</v>
      </c>
      <c r="G545" s="18">
        <v>3097.08</v>
      </c>
      <c r="H545" s="18">
        <v>3097.08</v>
      </c>
    </row>
    <row r="546" spans="1:8" x14ac:dyDescent="0.3">
      <c r="A546" s="17">
        <v>50492</v>
      </c>
      <c r="B546" s="17" t="s">
        <v>560</v>
      </c>
      <c r="C546" s="17" t="s">
        <v>561</v>
      </c>
      <c r="D546" s="17" t="s">
        <v>33</v>
      </c>
      <c r="E546" s="18">
        <f t="shared" si="8"/>
        <v>1167.9000000000001</v>
      </c>
      <c r="F546" s="18">
        <v>583.95000000000005</v>
      </c>
      <c r="G546" s="18">
        <v>583.95000000000005</v>
      </c>
      <c r="H546" s="18">
        <v>583.95000000000005</v>
      </c>
    </row>
    <row r="547" spans="1:8" x14ac:dyDescent="0.3">
      <c r="A547" s="17">
        <v>50534</v>
      </c>
      <c r="B547" s="17" t="s">
        <v>562</v>
      </c>
      <c r="C547" s="17" t="s">
        <v>132</v>
      </c>
      <c r="D547" s="17" t="s">
        <v>2</v>
      </c>
      <c r="E547" s="18">
        <f t="shared" si="8"/>
        <v>8830.36</v>
      </c>
      <c r="F547" s="18">
        <v>4415.18</v>
      </c>
      <c r="G547" s="18">
        <v>4415.18</v>
      </c>
      <c r="H547" s="18">
        <v>4415.18</v>
      </c>
    </row>
    <row r="548" spans="1:8" x14ac:dyDescent="0.3">
      <c r="A548" s="17">
        <v>50542</v>
      </c>
      <c r="B548" s="17" t="s">
        <v>563</v>
      </c>
      <c r="C548" s="17" t="s">
        <v>132</v>
      </c>
      <c r="D548" s="17" t="s">
        <v>2</v>
      </c>
      <c r="E548" s="18">
        <f t="shared" si="8"/>
        <v>17671</v>
      </c>
      <c r="F548" s="18">
        <v>8835.5</v>
      </c>
      <c r="G548" s="18">
        <v>8835.5</v>
      </c>
      <c r="H548" s="18">
        <v>8835.5</v>
      </c>
    </row>
    <row r="549" spans="1:8" x14ac:dyDescent="0.3">
      <c r="A549" s="17">
        <v>50559</v>
      </c>
      <c r="B549" s="17" t="s">
        <v>530</v>
      </c>
      <c r="C549" s="17" t="s">
        <v>132</v>
      </c>
      <c r="D549" s="17" t="s">
        <v>2</v>
      </c>
      <c r="E549" s="18">
        <f t="shared" si="8"/>
        <v>9172</v>
      </c>
      <c r="F549" s="18">
        <v>4586</v>
      </c>
      <c r="G549" s="18">
        <v>4586</v>
      </c>
      <c r="H549" s="18">
        <v>4586</v>
      </c>
    </row>
    <row r="550" spans="1:8" x14ac:dyDescent="0.3">
      <c r="A550" s="17">
        <v>50567</v>
      </c>
      <c r="B550" s="17" t="s">
        <v>564</v>
      </c>
      <c r="C550" s="17" t="s">
        <v>132</v>
      </c>
      <c r="D550" s="17" t="s">
        <v>2</v>
      </c>
      <c r="E550" s="18">
        <f t="shared" si="8"/>
        <v>11227.38</v>
      </c>
      <c r="F550" s="18">
        <v>5613.69</v>
      </c>
      <c r="G550" s="18">
        <v>5613.69</v>
      </c>
      <c r="H550" s="18">
        <v>5613.69</v>
      </c>
    </row>
    <row r="551" spans="1:8" x14ac:dyDescent="0.3">
      <c r="A551" s="17">
        <v>50575</v>
      </c>
      <c r="B551" s="17" t="s">
        <v>290</v>
      </c>
      <c r="C551" s="17" t="s">
        <v>132</v>
      </c>
      <c r="D551" s="17" t="s">
        <v>33</v>
      </c>
      <c r="E551" s="18">
        <f t="shared" si="8"/>
        <v>2946.48</v>
      </c>
      <c r="F551" s="18">
        <v>1473.24</v>
      </c>
      <c r="G551" s="18">
        <v>1473.24</v>
      </c>
      <c r="H551" s="18">
        <v>1473.24</v>
      </c>
    </row>
    <row r="552" spans="1:8" x14ac:dyDescent="0.3">
      <c r="A552" s="17">
        <v>50575</v>
      </c>
      <c r="B552" s="17" t="s">
        <v>290</v>
      </c>
      <c r="C552" s="17" t="s">
        <v>132</v>
      </c>
      <c r="D552" s="17" t="s">
        <v>2</v>
      </c>
      <c r="E552" s="18">
        <f t="shared" si="8"/>
        <v>16500.34</v>
      </c>
      <c r="F552" s="18">
        <v>8250.17</v>
      </c>
      <c r="G552" s="18">
        <v>8250.17</v>
      </c>
      <c r="H552" s="18">
        <v>8250.17</v>
      </c>
    </row>
    <row r="553" spans="1:8" x14ac:dyDescent="0.3">
      <c r="A553" s="17">
        <v>50583</v>
      </c>
      <c r="B553" s="17" t="s">
        <v>472</v>
      </c>
      <c r="C553" s="17" t="s">
        <v>132</v>
      </c>
      <c r="D553" s="17" t="s">
        <v>2</v>
      </c>
      <c r="E553" s="18">
        <f t="shared" si="8"/>
        <v>35634.76</v>
      </c>
      <c r="F553" s="18">
        <v>17817.38</v>
      </c>
      <c r="G553" s="18">
        <v>17817.38</v>
      </c>
      <c r="H553" s="18">
        <v>17817.38</v>
      </c>
    </row>
    <row r="554" spans="1:8" x14ac:dyDescent="0.3">
      <c r="A554" s="17">
        <v>50591</v>
      </c>
      <c r="B554" s="17" t="s">
        <v>565</v>
      </c>
      <c r="C554" s="17" t="s">
        <v>132</v>
      </c>
      <c r="D554" s="17" t="s">
        <v>2</v>
      </c>
      <c r="E554" s="18">
        <f t="shared" si="8"/>
        <v>45176.28</v>
      </c>
      <c r="F554" s="18">
        <v>22588.14</v>
      </c>
      <c r="G554" s="18">
        <v>22588.14</v>
      </c>
      <c r="H554" s="18">
        <v>22588.14</v>
      </c>
    </row>
    <row r="555" spans="1:8" x14ac:dyDescent="0.3">
      <c r="A555" s="17">
        <v>50617</v>
      </c>
      <c r="B555" s="17" t="s">
        <v>566</v>
      </c>
      <c r="C555" s="17" t="s">
        <v>30</v>
      </c>
      <c r="D555" s="17" t="s">
        <v>2</v>
      </c>
      <c r="E555" s="18">
        <f t="shared" si="8"/>
        <v>20910.64</v>
      </c>
      <c r="F555" s="18">
        <v>10455.32</v>
      </c>
      <c r="G555" s="18">
        <v>10455.32</v>
      </c>
      <c r="H555" s="18">
        <v>10455.32</v>
      </c>
    </row>
    <row r="556" spans="1:8" x14ac:dyDescent="0.3">
      <c r="A556" s="17">
        <v>50625</v>
      </c>
      <c r="B556" s="17" t="s">
        <v>567</v>
      </c>
      <c r="C556" s="17" t="s">
        <v>30</v>
      </c>
      <c r="D556" s="17" t="s">
        <v>33</v>
      </c>
      <c r="E556" s="18">
        <f t="shared" si="8"/>
        <v>3439.44</v>
      </c>
      <c r="F556" s="18">
        <v>1719.72</v>
      </c>
      <c r="G556" s="18">
        <v>1719.72</v>
      </c>
      <c r="H556" s="18">
        <v>1719.72</v>
      </c>
    </row>
    <row r="557" spans="1:8" x14ac:dyDescent="0.3">
      <c r="A557" s="17">
        <v>50625</v>
      </c>
      <c r="B557" s="17" t="s">
        <v>567</v>
      </c>
      <c r="C557" s="17" t="s">
        <v>30</v>
      </c>
      <c r="D557" s="17" t="s">
        <v>2</v>
      </c>
      <c r="E557" s="18">
        <f t="shared" si="8"/>
        <v>20636.599999999999</v>
      </c>
      <c r="F557" s="18">
        <v>10318.299999999999</v>
      </c>
      <c r="G557" s="18">
        <v>10318.299999999999</v>
      </c>
      <c r="H557" s="18">
        <v>10318.299999999999</v>
      </c>
    </row>
    <row r="558" spans="1:8" x14ac:dyDescent="0.3">
      <c r="A558" s="17">
        <v>50641</v>
      </c>
      <c r="B558" s="17" t="s">
        <v>564</v>
      </c>
      <c r="C558" s="17" t="s">
        <v>30</v>
      </c>
      <c r="D558" s="17" t="s">
        <v>2</v>
      </c>
      <c r="E558" s="18">
        <f t="shared" si="8"/>
        <v>40835.160000000003</v>
      </c>
      <c r="F558" s="18">
        <v>20417.580000000002</v>
      </c>
      <c r="G558" s="18">
        <v>20417.580000000002</v>
      </c>
      <c r="H558" s="18">
        <v>20417.580000000002</v>
      </c>
    </row>
    <row r="559" spans="1:8" x14ac:dyDescent="0.3">
      <c r="A559" s="17">
        <v>50658</v>
      </c>
      <c r="B559" s="17" t="s">
        <v>568</v>
      </c>
      <c r="C559" s="17" t="s">
        <v>30</v>
      </c>
      <c r="D559" s="17" t="s">
        <v>2</v>
      </c>
      <c r="E559" s="18">
        <f t="shared" si="8"/>
        <v>4431.54</v>
      </c>
      <c r="F559" s="18">
        <v>2215.77</v>
      </c>
      <c r="G559" s="18">
        <v>2215.77</v>
      </c>
      <c r="H559" s="18">
        <v>2215.77</v>
      </c>
    </row>
    <row r="560" spans="1:8" x14ac:dyDescent="0.3">
      <c r="A560" s="17">
        <v>50658</v>
      </c>
      <c r="B560" s="17" t="s">
        <v>568</v>
      </c>
      <c r="C560" s="17" t="s">
        <v>30</v>
      </c>
      <c r="D560" s="17" t="s">
        <v>2</v>
      </c>
      <c r="E560" s="18">
        <f t="shared" si="8"/>
        <v>17726.14</v>
      </c>
      <c r="F560" s="18">
        <v>8863.07</v>
      </c>
      <c r="G560" s="18">
        <v>8863.07</v>
      </c>
      <c r="H560" s="18">
        <v>8863.07</v>
      </c>
    </row>
    <row r="561" spans="1:8" x14ac:dyDescent="0.3">
      <c r="A561" s="17">
        <v>50674</v>
      </c>
      <c r="B561" s="17" t="s">
        <v>569</v>
      </c>
      <c r="C561" s="17" t="s">
        <v>24</v>
      </c>
      <c r="D561" s="17" t="s">
        <v>2</v>
      </c>
      <c r="E561" s="18">
        <f t="shared" si="8"/>
        <v>21335.9</v>
      </c>
      <c r="F561" s="18">
        <v>10667.95</v>
      </c>
      <c r="G561" s="18">
        <v>10667.95</v>
      </c>
      <c r="H561" s="18">
        <v>10667.95</v>
      </c>
    </row>
    <row r="562" spans="1:8" x14ac:dyDescent="0.3">
      <c r="A562" s="17">
        <v>50682</v>
      </c>
      <c r="B562" s="17" t="s">
        <v>570</v>
      </c>
      <c r="C562" s="17" t="s">
        <v>24</v>
      </c>
      <c r="D562" s="17" t="s">
        <v>571</v>
      </c>
      <c r="E562" s="18">
        <f t="shared" si="8"/>
        <v>2397.12</v>
      </c>
      <c r="F562" s="18">
        <v>1198.56</v>
      </c>
      <c r="G562" s="18">
        <v>1198.56</v>
      </c>
      <c r="H562" s="18">
        <v>1198.56</v>
      </c>
    </row>
    <row r="563" spans="1:8" x14ac:dyDescent="0.3">
      <c r="A563" s="17">
        <v>50690</v>
      </c>
      <c r="B563" s="17" t="s">
        <v>572</v>
      </c>
      <c r="C563" s="17" t="s">
        <v>24</v>
      </c>
      <c r="D563" s="17" t="s">
        <v>2</v>
      </c>
      <c r="E563" s="18">
        <f t="shared" si="8"/>
        <v>33339.519999999997</v>
      </c>
      <c r="F563" s="18">
        <v>16669.759999999998</v>
      </c>
      <c r="G563" s="18">
        <v>16669.759999999998</v>
      </c>
      <c r="H563" s="18">
        <v>16669.759999999998</v>
      </c>
    </row>
    <row r="564" spans="1:8" x14ac:dyDescent="0.3">
      <c r="A564" s="17">
        <v>50708</v>
      </c>
      <c r="B564" s="17" t="s">
        <v>573</v>
      </c>
      <c r="C564" s="17" t="s">
        <v>24</v>
      </c>
      <c r="D564" s="17" t="s">
        <v>2</v>
      </c>
      <c r="E564" s="18">
        <f t="shared" si="8"/>
        <v>22228.84</v>
      </c>
      <c r="F564" s="18">
        <v>11114.42</v>
      </c>
      <c r="G564" s="18">
        <v>11114.42</v>
      </c>
      <c r="H564" s="18">
        <v>11114.42</v>
      </c>
    </row>
    <row r="565" spans="1:8" x14ac:dyDescent="0.3">
      <c r="A565" s="17">
        <v>50716</v>
      </c>
      <c r="B565" s="17" t="s">
        <v>574</v>
      </c>
      <c r="C565" s="17" t="s">
        <v>24</v>
      </c>
      <c r="D565" s="17" t="s">
        <v>2</v>
      </c>
      <c r="E565" s="18">
        <f t="shared" si="8"/>
        <v>13650.9</v>
      </c>
      <c r="F565" s="18">
        <v>6825.45</v>
      </c>
      <c r="G565" s="18">
        <v>6825.45</v>
      </c>
      <c r="H565" s="18">
        <v>6825.45</v>
      </c>
    </row>
    <row r="566" spans="1:8" x14ac:dyDescent="0.3">
      <c r="A566" s="17">
        <v>50724</v>
      </c>
      <c r="B566" s="17" t="s">
        <v>575</v>
      </c>
      <c r="C566" s="17" t="s">
        <v>24</v>
      </c>
      <c r="D566" s="17" t="s">
        <v>2</v>
      </c>
      <c r="E566" s="18">
        <f t="shared" si="8"/>
        <v>4568.88</v>
      </c>
      <c r="F566" s="18">
        <v>2284.44</v>
      </c>
      <c r="G566" s="18">
        <v>2284.44</v>
      </c>
      <c r="H566" s="18">
        <v>2284.44</v>
      </c>
    </row>
    <row r="567" spans="1:8" x14ac:dyDescent="0.3">
      <c r="A567" s="17">
        <v>50740</v>
      </c>
      <c r="B567" s="17" t="s">
        <v>576</v>
      </c>
      <c r="C567" s="17" t="s">
        <v>200</v>
      </c>
      <c r="D567" s="17" t="s">
        <v>33</v>
      </c>
      <c r="E567" s="18">
        <f t="shared" si="8"/>
        <v>939.88</v>
      </c>
      <c r="F567" s="18">
        <v>469.94</v>
      </c>
      <c r="G567" s="18">
        <v>469.94</v>
      </c>
      <c r="H567" s="18">
        <v>469.94</v>
      </c>
    </row>
    <row r="568" spans="1:8" x14ac:dyDescent="0.3">
      <c r="A568" s="17">
        <v>61903</v>
      </c>
      <c r="B568" s="17" t="s">
        <v>577</v>
      </c>
      <c r="C568" s="17" t="s">
        <v>578</v>
      </c>
      <c r="D568" s="17" t="s">
        <v>2</v>
      </c>
      <c r="E568" s="18">
        <f t="shared" si="8"/>
        <v>7868.56</v>
      </c>
      <c r="F568" s="18">
        <v>3934.28</v>
      </c>
      <c r="G568" s="18">
        <v>3934.28</v>
      </c>
      <c r="H568" s="18">
        <v>3934.28</v>
      </c>
    </row>
    <row r="569" spans="1:8" x14ac:dyDescent="0.3">
      <c r="A569" s="17">
        <v>64964</v>
      </c>
      <c r="B569" s="17" t="s">
        <v>579</v>
      </c>
      <c r="C569" s="17" t="s">
        <v>475</v>
      </c>
      <c r="D569" s="17" t="s">
        <v>2</v>
      </c>
      <c r="E569" s="18">
        <f t="shared" si="8"/>
        <v>2141.1999999999998</v>
      </c>
      <c r="F569" s="18">
        <v>1070.5999999999999</v>
      </c>
      <c r="G569" s="18">
        <v>1070.5999999999999</v>
      </c>
      <c r="H569" s="18">
        <v>1070.5999999999999</v>
      </c>
    </row>
    <row r="570" spans="1:8" s="13" customFormat="1" x14ac:dyDescent="0.3">
      <c r="A570" s="17">
        <v>65680</v>
      </c>
      <c r="B570" s="17" t="s">
        <v>580</v>
      </c>
      <c r="C570" s="17" t="s">
        <v>581</v>
      </c>
      <c r="D570" s="17" t="s">
        <v>2</v>
      </c>
      <c r="E570" s="18">
        <f t="shared" si="8"/>
        <v>18246.78</v>
      </c>
      <c r="F570" s="18">
        <v>9123.39</v>
      </c>
      <c r="G570" s="18">
        <v>9123.39</v>
      </c>
      <c r="H570" s="18">
        <v>9123.39</v>
      </c>
    </row>
    <row r="571" spans="1:8" s="14" customFormat="1" x14ac:dyDescent="0.3">
      <c r="A571" s="17">
        <v>69682</v>
      </c>
      <c r="B571" s="17" t="s">
        <v>582</v>
      </c>
      <c r="C571" s="17" t="s">
        <v>32</v>
      </c>
      <c r="D571" s="17" t="s">
        <v>583</v>
      </c>
      <c r="E571" s="18">
        <f t="shared" si="8"/>
        <v>1483.74</v>
      </c>
      <c r="F571" s="18">
        <v>741.87</v>
      </c>
      <c r="G571" s="18">
        <v>741.87</v>
      </c>
      <c r="H571" s="18">
        <v>741.87</v>
      </c>
    </row>
    <row r="572" spans="1:8" s="13" customFormat="1" x14ac:dyDescent="0.3">
      <c r="A572" s="17">
        <v>91397</v>
      </c>
      <c r="B572" s="17" t="s">
        <v>584</v>
      </c>
      <c r="C572" s="17" t="s">
        <v>475</v>
      </c>
      <c r="D572" s="17" t="s">
        <v>2</v>
      </c>
      <c r="E572" s="18">
        <f t="shared" si="8"/>
        <v>31241.919999999998</v>
      </c>
      <c r="F572" s="18">
        <v>15620.96</v>
      </c>
      <c r="G572" s="18">
        <v>15620.96</v>
      </c>
      <c r="H572" s="18">
        <v>15620.96</v>
      </c>
    </row>
    <row r="573" spans="1:8" s="13" customFormat="1" x14ac:dyDescent="0.3">
      <c r="A573" s="20">
        <v>139303</v>
      </c>
      <c r="B573" s="21" t="s">
        <v>1113</v>
      </c>
      <c r="C573" s="21" t="s">
        <v>79</v>
      </c>
      <c r="D573" s="21" t="s">
        <v>2</v>
      </c>
      <c r="E573" s="18">
        <f t="shared" si="8"/>
        <v>1997.53</v>
      </c>
      <c r="F573" s="23">
        <v>0</v>
      </c>
      <c r="G573" s="23">
        <v>0</v>
      </c>
      <c r="H573" s="23">
        <v>1997.53</v>
      </c>
    </row>
    <row r="574" spans="1:8" x14ac:dyDescent="0.3">
      <c r="A574" s="17"/>
      <c r="B574" s="17"/>
      <c r="C574" s="17"/>
      <c r="D574" s="17"/>
      <c r="E574" s="18"/>
      <c r="F574" s="18"/>
      <c r="G574" s="18"/>
      <c r="H574" s="18"/>
    </row>
    <row r="575" spans="1:8" x14ac:dyDescent="0.3">
      <c r="A575" s="17"/>
      <c r="B575" s="17" t="s">
        <v>1129</v>
      </c>
      <c r="C575" s="17"/>
      <c r="D575" s="17"/>
      <c r="E575" s="18">
        <f t="shared" ref="E575:G575" si="9">SUM(E20:E573)</f>
        <v>19186925.969078943</v>
      </c>
      <c r="F575" s="18">
        <f t="shared" si="9"/>
        <v>9592036.2499999944</v>
      </c>
      <c r="G575" s="18">
        <f t="shared" si="9"/>
        <v>9592036.2499999944</v>
      </c>
      <c r="H575" s="18">
        <f>SUM(H20:H573)</f>
        <v>9594889.7190789431</v>
      </c>
    </row>
  </sheetData>
  <mergeCells count="7">
    <mergeCell ref="A8:H8"/>
    <mergeCell ref="A9:H9"/>
    <mergeCell ref="A1:D1"/>
    <mergeCell ref="A3:G3"/>
    <mergeCell ref="A5:H5"/>
    <mergeCell ref="A6:H6"/>
    <mergeCell ref="A7:H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5"/>
  <sheetViews>
    <sheetView workbookViewId="0">
      <pane ySplit="16" topLeftCell="A17" activePane="bottomLeft" state="frozen"/>
      <selection pane="bottomLeft" sqref="A1:D1"/>
    </sheetView>
  </sheetViews>
  <sheetFormatPr defaultRowHeight="14.4" x14ac:dyDescent="0.3"/>
  <cols>
    <col min="1" max="1" width="7" bestFit="1" customWidth="1"/>
    <col min="2" max="2" width="28.33203125" bestFit="1" customWidth="1"/>
    <col min="3" max="3" width="12.44140625" bestFit="1" customWidth="1"/>
    <col min="4" max="4" width="31.88671875" bestFit="1" customWidth="1"/>
    <col min="5" max="6" width="16.6640625" style="2" bestFit="1" customWidth="1"/>
    <col min="7" max="7" width="18.109375" style="2" bestFit="1" customWidth="1"/>
    <col min="8" max="8" width="16.6640625" style="2" bestFit="1" customWidth="1"/>
  </cols>
  <sheetData>
    <row r="1" spans="1:8" ht="15" x14ac:dyDescent="0.25">
      <c r="A1" s="27" t="s">
        <v>1130</v>
      </c>
      <c r="B1" s="27"/>
      <c r="C1" s="27"/>
      <c r="D1" s="27"/>
      <c r="F1"/>
      <c r="G1"/>
    </row>
    <row r="2" spans="1:8" ht="15" x14ac:dyDescent="0.25">
      <c r="A2" s="5"/>
      <c r="B2" s="5"/>
      <c r="C2" s="5"/>
      <c r="D2" s="5"/>
      <c r="F2"/>
      <c r="G2"/>
    </row>
    <row r="3" spans="1:8" ht="15.75" x14ac:dyDescent="0.25">
      <c r="A3" s="25" t="s">
        <v>600</v>
      </c>
      <c r="B3" s="25"/>
      <c r="C3" s="25"/>
      <c r="D3" s="25"/>
      <c r="E3" s="25"/>
      <c r="F3" s="25"/>
      <c r="G3" s="25"/>
    </row>
    <row r="4" spans="1:8" ht="15.75" x14ac:dyDescent="0.25">
      <c r="A4" s="6"/>
      <c r="B4" s="6"/>
      <c r="C4" s="6"/>
      <c r="D4" s="6"/>
      <c r="E4" s="6"/>
      <c r="F4" s="6"/>
      <c r="G4" s="6"/>
    </row>
    <row r="5" spans="1:8" ht="15.75" x14ac:dyDescent="0.25">
      <c r="A5" s="25" t="s">
        <v>1120</v>
      </c>
      <c r="B5" s="26"/>
      <c r="C5" s="26"/>
      <c r="D5" s="26"/>
      <c r="E5" s="26"/>
      <c r="F5" s="26"/>
      <c r="G5" s="26"/>
      <c r="H5" s="26"/>
    </row>
    <row r="6" spans="1:8" ht="15.75" x14ac:dyDescent="0.25">
      <c r="A6" s="25" t="s">
        <v>1121</v>
      </c>
      <c r="B6" s="26"/>
      <c r="C6" s="26"/>
      <c r="D6" s="26"/>
      <c r="E6" s="26"/>
      <c r="F6" s="26"/>
      <c r="G6" s="26"/>
      <c r="H6" s="26"/>
    </row>
    <row r="7" spans="1:8" ht="15.75" x14ac:dyDescent="0.25">
      <c r="A7" s="25" t="s">
        <v>1128</v>
      </c>
      <c r="B7" s="25"/>
      <c r="C7" s="25"/>
      <c r="D7" s="25"/>
      <c r="E7" s="25"/>
      <c r="F7" s="25"/>
      <c r="G7" s="25"/>
      <c r="H7" s="25"/>
    </row>
    <row r="8" spans="1:8" ht="15.75" x14ac:dyDescent="0.25">
      <c r="A8" s="25" t="s">
        <v>589</v>
      </c>
      <c r="B8" s="26"/>
      <c r="C8" s="26"/>
      <c r="D8" s="26"/>
      <c r="E8" s="26"/>
      <c r="F8" s="26"/>
      <c r="G8" s="26"/>
      <c r="H8" s="26"/>
    </row>
    <row r="9" spans="1:8" ht="15.75" x14ac:dyDescent="0.25">
      <c r="A9" s="12"/>
      <c r="B9" s="12"/>
      <c r="C9" s="12"/>
      <c r="D9" s="12"/>
      <c r="E9" s="12"/>
      <c r="F9" s="12"/>
      <c r="G9" s="12"/>
      <c r="H9" s="12"/>
    </row>
    <row r="10" spans="1:8" ht="15" x14ac:dyDescent="0.25">
      <c r="E10" s="3" t="s">
        <v>589</v>
      </c>
      <c r="F10" s="3" t="s">
        <v>589</v>
      </c>
      <c r="G10" s="3" t="s">
        <v>1122</v>
      </c>
      <c r="H10" s="10" t="s">
        <v>1118</v>
      </c>
    </row>
    <row r="11" spans="1:8" ht="15" x14ac:dyDescent="0.25">
      <c r="E11" s="3" t="s">
        <v>589</v>
      </c>
      <c r="F11" s="3" t="s">
        <v>601</v>
      </c>
      <c r="G11" s="3" t="s">
        <v>601</v>
      </c>
      <c r="H11" s="10" t="s">
        <v>601</v>
      </c>
    </row>
    <row r="12" spans="1:8" ht="15" x14ac:dyDescent="0.25">
      <c r="E12" s="3" t="s">
        <v>591</v>
      </c>
      <c r="F12" s="3" t="s">
        <v>596</v>
      </c>
      <c r="G12" s="3" t="s">
        <v>596</v>
      </c>
      <c r="H12" s="10" t="s">
        <v>596</v>
      </c>
    </row>
    <row r="13" spans="1:8" ht="15" x14ac:dyDescent="0.25">
      <c r="E13" s="3" t="s">
        <v>601</v>
      </c>
      <c r="F13" s="3" t="s">
        <v>592</v>
      </c>
      <c r="G13" s="3" t="s">
        <v>592</v>
      </c>
      <c r="H13" s="10" t="s">
        <v>592</v>
      </c>
    </row>
    <row r="14" spans="1:8" ht="15" x14ac:dyDescent="0.25">
      <c r="E14" s="3" t="s">
        <v>596</v>
      </c>
      <c r="F14" s="3" t="s">
        <v>593</v>
      </c>
      <c r="G14" s="3" t="s">
        <v>1123</v>
      </c>
      <c r="H14" s="10" t="s">
        <v>593</v>
      </c>
    </row>
    <row r="15" spans="1:8" ht="15" x14ac:dyDescent="0.25">
      <c r="E15" s="3" t="s">
        <v>592</v>
      </c>
      <c r="F15" s="3" t="s">
        <v>598</v>
      </c>
      <c r="G15" s="3" t="s">
        <v>594</v>
      </c>
      <c r="H15" s="10" t="s">
        <v>594</v>
      </c>
    </row>
    <row r="16" spans="1:8" ht="15" x14ac:dyDescent="0.25">
      <c r="A16" s="1" t="s">
        <v>585</v>
      </c>
      <c r="B16" s="1" t="s">
        <v>586</v>
      </c>
      <c r="C16" s="1" t="s">
        <v>587</v>
      </c>
      <c r="D16" s="1" t="s">
        <v>588</v>
      </c>
      <c r="E16" s="3" t="s">
        <v>597</v>
      </c>
      <c r="F16" s="4">
        <v>2011</v>
      </c>
      <c r="G16" s="4">
        <v>2012</v>
      </c>
      <c r="H16" s="11">
        <v>2012</v>
      </c>
    </row>
    <row r="18" spans="1:8" ht="15" x14ac:dyDescent="0.25">
      <c r="A18">
        <v>43497</v>
      </c>
      <c r="B18" t="s">
        <v>3</v>
      </c>
      <c r="C18" t="s">
        <v>4</v>
      </c>
      <c r="D18" t="s">
        <v>602</v>
      </c>
      <c r="E18" s="2">
        <f>F18+H18</f>
        <v>131171.88999999998</v>
      </c>
      <c r="F18" s="2">
        <v>87447.93</v>
      </c>
      <c r="G18" s="2">
        <v>43723.96</v>
      </c>
      <c r="H18" s="2">
        <v>43723.96</v>
      </c>
    </row>
    <row r="19" spans="1:8" ht="15" x14ac:dyDescent="0.25">
      <c r="A19">
        <v>43497</v>
      </c>
      <c r="B19" t="s">
        <v>3</v>
      </c>
      <c r="C19" t="s">
        <v>4</v>
      </c>
      <c r="D19" t="s">
        <v>603</v>
      </c>
      <c r="E19" s="2">
        <f t="shared" ref="E19:E82" si="0">F19+H19</f>
        <v>46491.3</v>
      </c>
      <c r="F19" s="2">
        <v>30994.2</v>
      </c>
      <c r="G19" s="2">
        <v>15497.1</v>
      </c>
      <c r="H19" s="2">
        <v>15497.1</v>
      </c>
    </row>
    <row r="20" spans="1:8" ht="15" x14ac:dyDescent="0.25">
      <c r="A20">
        <v>43497</v>
      </c>
      <c r="B20" t="s">
        <v>3</v>
      </c>
      <c r="C20" t="s">
        <v>4</v>
      </c>
      <c r="D20" t="s">
        <v>604</v>
      </c>
      <c r="E20" s="2">
        <f t="shared" si="0"/>
        <v>6641.61</v>
      </c>
      <c r="F20" s="2">
        <v>4427.74</v>
      </c>
      <c r="G20" s="2">
        <v>2213.87</v>
      </c>
      <c r="H20" s="2">
        <v>2213.87</v>
      </c>
    </row>
    <row r="21" spans="1:8" ht="15" x14ac:dyDescent="0.25">
      <c r="E21" s="2" t="s">
        <v>589</v>
      </c>
    </row>
    <row r="22" spans="1:8" ht="15" x14ac:dyDescent="0.25">
      <c r="A22">
        <v>43513</v>
      </c>
      <c r="B22" t="s">
        <v>8</v>
      </c>
      <c r="C22" t="s">
        <v>9</v>
      </c>
      <c r="D22" t="s">
        <v>605</v>
      </c>
      <c r="E22" s="2">
        <f t="shared" si="0"/>
        <v>150634.97</v>
      </c>
      <c r="F22" s="2">
        <v>100423.31</v>
      </c>
      <c r="G22" s="2">
        <v>50211.66</v>
      </c>
      <c r="H22" s="2">
        <v>50211.66</v>
      </c>
    </row>
    <row r="23" spans="1:8" ht="15" x14ac:dyDescent="0.25">
      <c r="E23" s="2" t="s">
        <v>589</v>
      </c>
    </row>
    <row r="24" spans="1:8" ht="15" x14ac:dyDescent="0.25">
      <c r="A24">
        <v>43521</v>
      </c>
      <c r="B24" t="s">
        <v>10</v>
      </c>
      <c r="C24" t="s">
        <v>11</v>
      </c>
      <c r="D24" t="s">
        <v>606</v>
      </c>
      <c r="E24" s="2">
        <f t="shared" si="0"/>
        <v>72462.240000000005</v>
      </c>
      <c r="F24" s="2">
        <v>48308.160000000003</v>
      </c>
      <c r="G24" s="2">
        <v>24154.080000000002</v>
      </c>
      <c r="H24" s="2">
        <v>24154.080000000002</v>
      </c>
    </row>
    <row r="25" spans="1:8" ht="15" x14ac:dyDescent="0.25">
      <c r="A25">
        <v>43521</v>
      </c>
      <c r="B25" t="s">
        <v>10</v>
      </c>
      <c r="C25" t="s">
        <v>11</v>
      </c>
      <c r="D25" t="s">
        <v>607</v>
      </c>
      <c r="E25" s="2">
        <f t="shared" si="0"/>
        <v>34461.479999999996</v>
      </c>
      <c r="F25" s="2">
        <v>22974.32</v>
      </c>
      <c r="G25" s="2">
        <v>11487.16</v>
      </c>
      <c r="H25" s="2">
        <v>11487.16</v>
      </c>
    </row>
    <row r="26" spans="1:8" ht="15" x14ac:dyDescent="0.25">
      <c r="E26" s="2" t="s">
        <v>589</v>
      </c>
    </row>
    <row r="27" spans="1:8" ht="15" x14ac:dyDescent="0.25">
      <c r="A27">
        <v>43539</v>
      </c>
      <c r="B27" t="s">
        <v>12</v>
      </c>
      <c r="C27" t="s">
        <v>1</v>
      </c>
      <c r="D27" t="s">
        <v>608</v>
      </c>
      <c r="E27" s="2">
        <f t="shared" si="0"/>
        <v>307984.7</v>
      </c>
      <c r="F27" s="2">
        <v>205323.13</v>
      </c>
      <c r="G27" s="2">
        <v>102661.57</v>
      </c>
      <c r="H27" s="2">
        <v>102661.57</v>
      </c>
    </row>
    <row r="28" spans="1:8" ht="15" x14ac:dyDescent="0.25">
      <c r="E28" s="2" t="s">
        <v>589</v>
      </c>
    </row>
    <row r="29" spans="1:8" ht="15" x14ac:dyDescent="0.25">
      <c r="A29">
        <v>43588</v>
      </c>
      <c r="B29" t="s">
        <v>18</v>
      </c>
      <c r="C29" t="s">
        <v>19</v>
      </c>
      <c r="D29" t="s">
        <v>609</v>
      </c>
      <c r="E29" s="2">
        <f t="shared" si="0"/>
        <v>18287.46</v>
      </c>
      <c r="F29" s="2">
        <v>12191.64</v>
      </c>
      <c r="G29" s="2">
        <v>6095.82</v>
      </c>
      <c r="H29" s="2">
        <v>6095.82</v>
      </c>
    </row>
    <row r="30" spans="1:8" ht="15" x14ac:dyDescent="0.25">
      <c r="A30">
        <v>43588</v>
      </c>
      <c r="B30" t="s">
        <v>18</v>
      </c>
      <c r="C30" t="s">
        <v>19</v>
      </c>
      <c r="D30" t="s">
        <v>610</v>
      </c>
      <c r="E30" s="2">
        <f t="shared" si="0"/>
        <v>20438.93</v>
      </c>
      <c r="F30" s="2">
        <v>13625.95</v>
      </c>
      <c r="G30" s="2">
        <v>6812.98</v>
      </c>
      <c r="H30" s="2">
        <v>6812.98</v>
      </c>
    </row>
    <row r="31" spans="1:8" ht="15" x14ac:dyDescent="0.25">
      <c r="E31" s="2" t="s">
        <v>589</v>
      </c>
    </row>
    <row r="32" spans="1:8" ht="15" x14ac:dyDescent="0.25">
      <c r="A32">
        <v>43596</v>
      </c>
      <c r="B32" t="s">
        <v>20</v>
      </c>
      <c r="C32" t="s">
        <v>21</v>
      </c>
      <c r="D32" t="s">
        <v>611</v>
      </c>
      <c r="E32" s="2">
        <f t="shared" si="0"/>
        <v>207820.91999999998</v>
      </c>
      <c r="F32" s="2">
        <v>138547.28</v>
      </c>
      <c r="G32" s="2">
        <v>69273.64</v>
      </c>
      <c r="H32" s="2">
        <v>69273.64</v>
      </c>
    </row>
    <row r="33" spans="1:8" ht="15" x14ac:dyDescent="0.25">
      <c r="A33">
        <v>43596</v>
      </c>
      <c r="B33" t="s">
        <v>20</v>
      </c>
      <c r="C33" t="s">
        <v>21</v>
      </c>
      <c r="D33" t="s">
        <v>612</v>
      </c>
      <c r="E33" s="2">
        <f t="shared" si="0"/>
        <v>142622.20000000001</v>
      </c>
      <c r="F33" s="2">
        <v>95081.47</v>
      </c>
      <c r="G33" s="2">
        <v>47540.73</v>
      </c>
      <c r="H33" s="7">
        <v>47540.73</v>
      </c>
    </row>
    <row r="34" spans="1:8" ht="15" x14ac:dyDescent="0.25">
      <c r="E34" s="2" t="s">
        <v>589</v>
      </c>
    </row>
    <row r="35" spans="1:8" ht="15" x14ac:dyDescent="0.25">
      <c r="A35">
        <v>43604</v>
      </c>
      <c r="B35" t="s">
        <v>613</v>
      </c>
      <c r="C35" t="s">
        <v>561</v>
      </c>
      <c r="D35" t="s">
        <v>614</v>
      </c>
      <c r="E35" s="2">
        <f t="shared" si="0"/>
        <v>260071.39</v>
      </c>
      <c r="F35" s="2">
        <v>173380.93</v>
      </c>
      <c r="G35" s="2">
        <v>86690.46</v>
      </c>
      <c r="H35" s="2">
        <v>86690.46</v>
      </c>
    </row>
    <row r="36" spans="1:8" ht="15" x14ac:dyDescent="0.25">
      <c r="E36" s="2" t="s">
        <v>589</v>
      </c>
    </row>
    <row r="37" spans="1:8" ht="15" x14ac:dyDescent="0.25">
      <c r="A37">
        <v>43653</v>
      </c>
      <c r="B37" t="s">
        <v>26</v>
      </c>
      <c r="C37" t="s">
        <v>14</v>
      </c>
      <c r="D37" t="s">
        <v>615</v>
      </c>
      <c r="E37" s="2">
        <f t="shared" si="0"/>
        <v>202863.22</v>
      </c>
      <c r="F37" s="2">
        <v>135242.15</v>
      </c>
      <c r="G37" s="2">
        <v>67621.070000000007</v>
      </c>
      <c r="H37" s="2">
        <v>67621.070000000007</v>
      </c>
    </row>
    <row r="38" spans="1:8" ht="15" x14ac:dyDescent="0.25">
      <c r="E38" s="2" t="s">
        <v>589</v>
      </c>
    </row>
    <row r="39" spans="1:8" ht="15" x14ac:dyDescent="0.25">
      <c r="A39">
        <v>43661</v>
      </c>
      <c r="B39" t="s">
        <v>27</v>
      </c>
      <c r="C39" t="s">
        <v>28</v>
      </c>
      <c r="D39" t="s">
        <v>616</v>
      </c>
      <c r="E39" s="2">
        <f t="shared" si="0"/>
        <v>28049.87</v>
      </c>
      <c r="F39" s="2">
        <v>18699.91</v>
      </c>
      <c r="G39" s="2">
        <v>9349.9599999999991</v>
      </c>
      <c r="H39" s="2">
        <v>9349.9599999999991</v>
      </c>
    </row>
    <row r="40" spans="1:8" ht="15" x14ac:dyDescent="0.25">
      <c r="A40">
        <v>43661</v>
      </c>
      <c r="B40" t="s">
        <v>27</v>
      </c>
      <c r="C40" t="s">
        <v>28</v>
      </c>
      <c r="D40" t="s">
        <v>606</v>
      </c>
      <c r="E40" s="2">
        <f t="shared" si="0"/>
        <v>42635.81</v>
      </c>
      <c r="F40" s="2">
        <v>28423.87</v>
      </c>
      <c r="G40" s="2">
        <v>14211.94</v>
      </c>
      <c r="H40" s="2">
        <v>14211.94</v>
      </c>
    </row>
    <row r="41" spans="1:8" ht="15" x14ac:dyDescent="0.25">
      <c r="A41">
        <v>43661</v>
      </c>
      <c r="B41" t="s">
        <v>27</v>
      </c>
      <c r="C41" t="s">
        <v>28</v>
      </c>
      <c r="D41" t="s">
        <v>617</v>
      </c>
      <c r="E41" s="2">
        <f t="shared" si="0"/>
        <v>75173.66</v>
      </c>
      <c r="F41" s="2">
        <v>50115.77</v>
      </c>
      <c r="G41" s="2">
        <v>25057.89</v>
      </c>
      <c r="H41" s="2">
        <v>25057.89</v>
      </c>
    </row>
    <row r="42" spans="1:8" ht="15" x14ac:dyDescent="0.25">
      <c r="A42">
        <v>43661</v>
      </c>
      <c r="B42" t="s">
        <v>27</v>
      </c>
      <c r="C42" t="s">
        <v>28</v>
      </c>
      <c r="D42" t="s">
        <v>618</v>
      </c>
      <c r="E42" s="2">
        <f t="shared" si="0"/>
        <v>15707.93</v>
      </c>
      <c r="F42" s="2">
        <v>10471.950000000001</v>
      </c>
      <c r="G42" s="2">
        <v>5235.9799999999996</v>
      </c>
      <c r="H42" s="2">
        <v>5235.9799999999996</v>
      </c>
    </row>
    <row r="43" spans="1:8" ht="15" x14ac:dyDescent="0.25">
      <c r="A43">
        <v>43661</v>
      </c>
      <c r="B43" t="s">
        <v>27</v>
      </c>
      <c r="C43" t="s">
        <v>28</v>
      </c>
      <c r="D43" t="s">
        <v>619</v>
      </c>
      <c r="E43" s="2">
        <f t="shared" si="0"/>
        <v>2991.99</v>
      </c>
      <c r="F43" s="2">
        <v>2991.99</v>
      </c>
      <c r="G43" s="2">
        <v>1495.99</v>
      </c>
      <c r="H43" s="7">
        <v>0</v>
      </c>
    </row>
    <row r="44" spans="1:8" ht="15" x14ac:dyDescent="0.25">
      <c r="E44" s="2" t="s">
        <v>589</v>
      </c>
    </row>
    <row r="45" spans="1:8" ht="15" x14ac:dyDescent="0.25">
      <c r="A45">
        <v>43679</v>
      </c>
      <c r="B45" t="s">
        <v>29</v>
      </c>
      <c r="C45" t="s">
        <v>30</v>
      </c>
      <c r="D45" t="s">
        <v>620</v>
      </c>
      <c r="E45" s="2">
        <f t="shared" si="0"/>
        <v>221268.4</v>
      </c>
      <c r="F45" s="2">
        <v>147512.26999999999</v>
      </c>
      <c r="G45" s="2">
        <v>73756.13</v>
      </c>
      <c r="H45" s="2">
        <v>73756.13</v>
      </c>
    </row>
    <row r="46" spans="1:8" ht="15" x14ac:dyDescent="0.25">
      <c r="E46" s="2" t="s">
        <v>589</v>
      </c>
    </row>
    <row r="47" spans="1:8" x14ac:dyDescent="0.3">
      <c r="A47">
        <v>43687</v>
      </c>
      <c r="B47" t="s">
        <v>621</v>
      </c>
      <c r="C47" t="s">
        <v>209</v>
      </c>
      <c r="D47" t="s">
        <v>622</v>
      </c>
      <c r="E47" s="2">
        <f t="shared" si="0"/>
        <v>152334.04</v>
      </c>
      <c r="F47" s="2">
        <v>101556.03</v>
      </c>
      <c r="G47" s="2">
        <v>50778.01</v>
      </c>
      <c r="H47" s="2">
        <v>50778.01</v>
      </c>
    </row>
    <row r="48" spans="1:8" x14ac:dyDescent="0.3">
      <c r="E48" s="2" t="s">
        <v>589</v>
      </c>
    </row>
    <row r="49" spans="1:8" x14ac:dyDescent="0.3">
      <c r="A49">
        <v>43695</v>
      </c>
      <c r="B49" t="s">
        <v>31</v>
      </c>
      <c r="C49" t="s">
        <v>32</v>
      </c>
      <c r="D49" t="s">
        <v>623</v>
      </c>
      <c r="E49" s="2">
        <f t="shared" si="0"/>
        <v>117396.47</v>
      </c>
      <c r="F49" s="2">
        <v>78264.31</v>
      </c>
      <c r="G49" s="2">
        <v>39132.160000000003</v>
      </c>
      <c r="H49" s="2">
        <v>39132.160000000003</v>
      </c>
    </row>
    <row r="50" spans="1:8" x14ac:dyDescent="0.3">
      <c r="A50">
        <v>43695</v>
      </c>
      <c r="B50" t="s">
        <v>31</v>
      </c>
      <c r="C50" t="s">
        <v>32</v>
      </c>
      <c r="D50" t="s">
        <v>624</v>
      </c>
      <c r="E50" s="2">
        <f t="shared" si="0"/>
        <v>63802.429999999993</v>
      </c>
      <c r="F50" s="2">
        <v>42534.95</v>
      </c>
      <c r="G50" s="2">
        <v>21267.48</v>
      </c>
      <c r="H50" s="2">
        <v>21267.48</v>
      </c>
    </row>
    <row r="51" spans="1:8" x14ac:dyDescent="0.3">
      <c r="E51" s="2" t="s">
        <v>589</v>
      </c>
    </row>
    <row r="52" spans="1:8" x14ac:dyDescent="0.3">
      <c r="A52">
        <v>43703</v>
      </c>
      <c r="B52" t="s">
        <v>34</v>
      </c>
      <c r="C52" t="s">
        <v>35</v>
      </c>
      <c r="D52" t="s">
        <v>625</v>
      </c>
      <c r="E52" s="2">
        <f t="shared" si="0"/>
        <v>39441.81</v>
      </c>
      <c r="F52" s="2">
        <v>26294.54</v>
      </c>
      <c r="G52" s="2">
        <v>13147.27</v>
      </c>
      <c r="H52" s="2">
        <v>13147.27</v>
      </c>
    </row>
    <row r="53" spans="1:8" x14ac:dyDescent="0.3">
      <c r="A53">
        <v>43703</v>
      </c>
      <c r="B53" t="s">
        <v>34</v>
      </c>
      <c r="C53" t="s">
        <v>35</v>
      </c>
      <c r="D53" t="s">
        <v>626</v>
      </c>
      <c r="E53" s="2">
        <f t="shared" si="0"/>
        <v>9930.380000000001</v>
      </c>
      <c r="F53" s="2">
        <v>6620.25</v>
      </c>
      <c r="G53" s="2">
        <v>3310.13</v>
      </c>
      <c r="H53" s="2">
        <v>3310.13</v>
      </c>
    </row>
    <row r="54" spans="1:8" x14ac:dyDescent="0.3">
      <c r="A54">
        <v>43703</v>
      </c>
      <c r="B54" t="s">
        <v>34</v>
      </c>
      <c r="C54" t="s">
        <v>35</v>
      </c>
      <c r="D54" t="s">
        <v>627</v>
      </c>
      <c r="E54" s="2">
        <f t="shared" si="0"/>
        <v>839.19</v>
      </c>
      <c r="F54" s="2">
        <v>559.46</v>
      </c>
      <c r="G54" s="2">
        <v>279.73</v>
      </c>
      <c r="H54" s="2">
        <v>279.73</v>
      </c>
    </row>
    <row r="55" spans="1:8" x14ac:dyDescent="0.3">
      <c r="E55" s="2" t="s">
        <v>589</v>
      </c>
    </row>
    <row r="56" spans="1:8" x14ac:dyDescent="0.3">
      <c r="A56">
        <v>43711</v>
      </c>
      <c r="B56" t="s">
        <v>36</v>
      </c>
      <c r="C56" t="s">
        <v>4</v>
      </c>
      <c r="D56" t="s">
        <v>628</v>
      </c>
      <c r="E56" s="2">
        <f t="shared" si="0"/>
        <v>150250.35999999999</v>
      </c>
      <c r="F56" s="2">
        <v>100166.91</v>
      </c>
      <c r="G56" s="2">
        <v>50083.45</v>
      </c>
      <c r="H56" s="2">
        <v>50083.45</v>
      </c>
    </row>
    <row r="57" spans="1:8" x14ac:dyDescent="0.3">
      <c r="A57">
        <v>43711</v>
      </c>
      <c r="B57" t="s">
        <v>36</v>
      </c>
      <c r="C57" t="s">
        <v>4</v>
      </c>
      <c r="D57" t="s">
        <v>629</v>
      </c>
      <c r="E57" s="2">
        <f t="shared" si="0"/>
        <v>25041.730000000003</v>
      </c>
      <c r="F57" s="2">
        <v>16694.490000000002</v>
      </c>
      <c r="G57" s="2">
        <v>8347.24</v>
      </c>
      <c r="H57" s="2">
        <v>8347.24</v>
      </c>
    </row>
    <row r="58" spans="1:8" x14ac:dyDescent="0.3">
      <c r="E58" s="2" t="s">
        <v>589</v>
      </c>
    </row>
    <row r="59" spans="1:8" x14ac:dyDescent="0.3">
      <c r="A59">
        <v>43729</v>
      </c>
      <c r="B59" t="s">
        <v>630</v>
      </c>
      <c r="C59" t="s">
        <v>206</v>
      </c>
      <c r="D59" t="s">
        <v>631</v>
      </c>
      <c r="E59" s="2">
        <f t="shared" si="0"/>
        <v>94607.21</v>
      </c>
      <c r="F59" s="2">
        <v>63071.47</v>
      </c>
      <c r="G59" s="2">
        <v>31535.74</v>
      </c>
      <c r="H59" s="2">
        <v>31535.74</v>
      </c>
    </row>
    <row r="60" spans="1:8" x14ac:dyDescent="0.3">
      <c r="E60" s="2" t="s">
        <v>589</v>
      </c>
    </row>
    <row r="61" spans="1:8" x14ac:dyDescent="0.3">
      <c r="A61">
        <v>43745</v>
      </c>
      <c r="B61" t="s">
        <v>39</v>
      </c>
      <c r="C61" t="s">
        <v>40</v>
      </c>
      <c r="D61" t="s">
        <v>632</v>
      </c>
      <c r="E61" s="2">
        <f t="shared" si="0"/>
        <v>257991.63</v>
      </c>
      <c r="F61" s="2">
        <v>171994.42</v>
      </c>
      <c r="G61" s="2">
        <v>85997.21</v>
      </c>
      <c r="H61" s="2">
        <v>85997.21</v>
      </c>
    </row>
    <row r="62" spans="1:8" x14ac:dyDescent="0.3">
      <c r="E62" s="2" t="s">
        <v>589</v>
      </c>
    </row>
    <row r="63" spans="1:8" x14ac:dyDescent="0.3">
      <c r="A63">
        <v>43752</v>
      </c>
      <c r="B63" t="s">
        <v>633</v>
      </c>
      <c r="C63" t="s">
        <v>54</v>
      </c>
      <c r="D63" t="s">
        <v>634</v>
      </c>
      <c r="E63" s="2">
        <f t="shared" si="0"/>
        <v>4267415.67</v>
      </c>
      <c r="F63" s="2">
        <v>2844943.78</v>
      </c>
      <c r="G63" s="2">
        <v>1422471.89</v>
      </c>
      <c r="H63" s="2">
        <v>1422471.89</v>
      </c>
    </row>
    <row r="64" spans="1:8" x14ac:dyDescent="0.3">
      <c r="A64">
        <v>43752</v>
      </c>
      <c r="B64" t="s">
        <v>633</v>
      </c>
      <c r="C64" t="s">
        <v>54</v>
      </c>
      <c r="D64" t="s">
        <v>635</v>
      </c>
      <c r="E64" s="2">
        <f t="shared" si="0"/>
        <v>1869573.79</v>
      </c>
      <c r="F64" s="2">
        <v>1246382.53</v>
      </c>
      <c r="G64" s="2">
        <v>623191.26</v>
      </c>
      <c r="H64" s="2">
        <v>623191.26</v>
      </c>
    </row>
    <row r="65" spans="1:8" x14ac:dyDescent="0.3">
      <c r="E65" s="2" t="s">
        <v>589</v>
      </c>
    </row>
    <row r="66" spans="1:8" x14ac:dyDescent="0.3">
      <c r="A66">
        <v>43778</v>
      </c>
      <c r="B66" t="s">
        <v>43</v>
      </c>
      <c r="C66" t="s">
        <v>44</v>
      </c>
      <c r="D66" t="s">
        <v>636</v>
      </c>
      <c r="E66" s="2">
        <f t="shared" si="0"/>
        <v>29192.03</v>
      </c>
      <c r="F66" s="2">
        <v>19461.349999999999</v>
      </c>
      <c r="G66" s="2">
        <v>9730.68</v>
      </c>
      <c r="H66" s="2">
        <v>9730.68</v>
      </c>
    </row>
    <row r="67" spans="1:8" x14ac:dyDescent="0.3">
      <c r="A67">
        <v>43778</v>
      </c>
      <c r="B67" t="s">
        <v>43</v>
      </c>
      <c r="C67" t="s">
        <v>44</v>
      </c>
      <c r="D67" t="s">
        <v>637</v>
      </c>
      <c r="E67" s="2">
        <f t="shared" si="0"/>
        <v>27308.67</v>
      </c>
      <c r="F67" s="2">
        <v>18205.78</v>
      </c>
      <c r="G67" s="2">
        <v>9102.89</v>
      </c>
      <c r="H67" s="2">
        <v>9102.89</v>
      </c>
    </row>
    <row r="68" spans="1:8" x14ac:dyDescent="0.3">
      <c r="E68" s="2" t="s">
        <v>589</v>
      </c>
    </row>
    <row r="69" spans="1:8" x14ac:dyDescent="0.3">
      <c r="A69">
        <v>43786</v>
      </c>
      <c r="B69" t="s">
        <v>45</v>
      </c>
      <c r="C69" t="s">
        <v>14</v>
      </c>
      <c r="D69" t="s">
        <v>638</v>
      </c>
      <c r="E69" s="2">
        <f t="shared" si="0"/>
        <v>1013179.6699999999</v>
      </c>
      <c r="F69" s="2">
        <v>675453.11</v>
      </c>
      <c r="G69" s="2">
        <v>337726.56</v>
      </c>
      <c r="H69" s="2">
        <v>337726.56</v>
      </c>
    </row>
    <row r="70" spans="1:8" x14ac:dyDescent="0.3">
      <c r="A70">
        <v>43786</v>
      </c>
      <c r="B70" t="s">
        <v>45</v>
      </c>
      <c r="C70" t="s">
        <v>14</v>
      </c>
      <c r="D70" t="s">
        <v>639</v>
      </c>
      <c r="E70" s="2">
        <f t="shared" si="0"/>
        <v>397056.89999999997</v>
      </c>
      <c r="F70" s="2">
        <v>264704.59999999998</v>
      </c>
      <c r="G70" s="2">
        <v>132352.29999999999</v>
      </c>
      <c r="H70" s="2">
        <v>132352.29999999999</v>
      </c>
    </row>
    <row r="71" spans="1:8" x14ac:dyDescent="0.3">
      <c r="E71" s="2" t="s">
        <v>589</v>
      </c>
    </row>
    <row r="72" spans="1:8" x14ac:dyDescent="0.3">
      <c r="A72">
        <v>43810</v>
      </c>
      <c r="B72" t="s">
        <v>49</v>
      </c>
      <c r="C72" t="s">
        <v>9</v>
      </c>
      <c r="D72" t="s">
        <v>640</v>
      </c>
      <c r="E72" s="2">
        <f t="shared" si="0"/>
        <v>15272.869999999999</v>
      </c>
      <c r="F72" s="2">
        <v>10181.91</v>
      </c>
      <c r="G72" s="2">
        <v>5090.96</v>
      </c>
      <c r="H72" s="2">
        <v>5090.96</v>
      </c>
    </row>
    <row r="73" spans="1:8" x14ac:dyDescent="0.3">
      <c r="A73">
        <v>43810</v>
      </c>
      <c r="B73" t="s">
        <v>49</v>
      </c>
      <c r="C73" t="s">
        <v>9</v>
      </c>
      <c r="D73" t="s">
        <v>641</v>
      </c>
      <c r="E73" s="2">
        <f t="shared" si="0"/>
        <v>1923.25</v>
      </c>
      <c r="F73" s="2">
        <v>1282.17</v>
      </c>
      <c r="G73" s="2">
        <v>641.08000000000004</v>
      </c>
      <c r="H73" s="2">
        <v>641.08000000000004</v>
      </c>
    </row>
    <row r="74" spans="1:8" x14ac:dyDescent="0.3">
      <c r="E74" s="2" t="s">
        <v>589</v>
      </c>
    </row>
    <row r="75" spans="1:8" x14ac:dyDescent="0.3">
      <c r="A75">
        <v>43844</v>
      </c>
      <c r="B75" t="s">
        <v>52</v>
      </c>
      <c r="C75" t="s">
        <v>38</v>
      </c>
      <c r="D75" t="s">
        <v>642</v>
      </c>
      <c r="E75" s="2">
        <f t="shared" si="0"/>
        <v>1236055.3900000001</v>
      </c>
      <c r="F75" s="2">
        <v>824036.93</v>
      </c>
      <c r="G75" s="2">
        <v>412018.46</v>
      </c>
      <c r="H75" s="2">
        <v>412018.46</v>
      </c>
    </row>
    <row r="76" spans="1:8" x14ac:dyDescent="0.3">
      <c r="E76" s="2" t="s">
        <v>589</v>
      </c>
    </row>
    <row r="77" spans="1:8" x14ac:dyDescent="0.3">
      <c r="A77">
        <v>43869</v>
      </c>
      <c r="B77" t="s">
        <v>643</v>
      </c>
      <c r="C77" t="s">
        <v>220</v>
      </c>
      <c r="D77" t="s">
        <v>644</v>
      </c>
      <c r="E77" s="2">
        <f t="shared" si="0"/>
        <v>71344.14</v>
      </c>
      <c r="F77" s="2">
        <v>47562.76</v>
      </c>
      <c r="G77" s="2">
        <v>23781.38</v>
      </c>
      <c r="H77" s="2">
        <v>23781.38</v>
      </c>
    </row>
    <row r="78" spans="1:8" x14ac:dyDescent="0.3">
      <c r="E78" s="2" t="s">
        <v>589</v>
      </c>
    </row>
    <row r="79" spans="1:8" x14ac:dyDescent="0.3">
      <c r="A79">
        <v>43877</v>
      </c>
      <c r="B79" t="s">
        <v>55</v>
      </c>
      <c r="C79" t="s">
        <v>56</v>
      </c>
      <c r="D79" t="s">
        <v>645</v>
      </c>
      <c r="E79" s="2">
        <f t="shared" si="0"/>
        <v>125411.83</v>
      </c>
      <c r="F79" s="2">
        <v>83607.89</v>
      </c>
      <c r="G79" s="2">
        <v>41803.94</v>
      </c>
      <c r="H79" s="2">
        <v>41803.94</v>
      </c>
    </row>
    <row r="80" spans="1:8" x14ac:dyDescent="0.3">
      <c r="A80">
        <v>43877</v>
      </c>
      <c r="B80" t="s">
        <v>55</v>
      </c>
      <c r="C80" t="s">
        <v>56</v>
      </c>
      <c r="D80" t="s">
        <v>646</v>
      </c>
      <c r="E80" s="2">
        <f t="shared" si="0"/>
        <v>77498.080000000002</v>
      </c>
      <c r="F80" s="2">
        <v>51665.39</v>
      </c>
      <c r="G80" s="2">
        <v>25832.69</v>
      </c>
      <c r="H80" s="2">
        <v>25832.69</v>
      </c>
    </row>
    <row r="81" spans="1:8" x14ac:dyDescent="0.3">
      <c r="A81">
        <v>43877</v>
      </c>
      <c r="B81" t="s">
        <v>55</v>
      </c>
      <c r="C81" t="s">
        <v>56</v>
      </c>
      <c r="D81" t="s">
        <v>647</v>
      </c>
      <c r="E81" s="2">
        <f t="shared" si="0"/>
        <v>82000.049999999988</v>
      </c>
      <c r="F81" s="2">
        <v>54666.7</v>
      </c>
      <c r="G81" s="2">
        <v>27333.35</v>
      </c>
      <c r="H81" s="2">
        <v>27333.35</v>
      </c>
    </row>
    <row r="82" spans="1:8" x14ac:dyDescent="0.3">
      <c r="A82">
        <v>43877</v>
      </c>
      <c r="B82" t="s">
        <v>55</v>
      </c>
      <c r="C82" t="s">
        <v>56</v>
      </c>
      <c r="D82" t="s">
        <v>648</v>
      </c>
      <c r="E82" s="2">
        <f t="shared" si="0"/>
        <v>22509.82</v>
      </c>
      <c r="F82" s="2">
        <v>15006.55</v>
      </c>
      <c r="G82" s="2">
        <v>7503.27</v>
      </c>
      <c r="H82" s="2">
        <v>7503.27</v>
      </c>
    </row>
    <row r="83" spans="1:8" x14ac:dyDescent="0.3">
      <c r="E83" s="2" t="s">
        <v>589</v>
      </c>
    </row>
    <row r="84" spans="1:8" x14ac:dyDescent="0.3">
      <c r="A84">
        <v>43893</v>
      </c>
      <c r="B84" t="s">
        <v>59</v>
      </c>
      <c r="C84" t="s">
        <v>44</v>
      </c>
      <c r="D84" t="s">
        <v>649</v>
      </c>
      <c r="E84" s="2">
        <f t="shared" ref="E84:E146" si="1">F84+H84</f>
        <v>287832.21999999997</v>
      </c>
      <c r="F84" s="2">
        <v>191888.15</v>
      </c>
      <c r="G84" s="2">
        <v>95944.07</v>
      </c>
      <c r="H84" s="2">
        <v>95944.07</v>
      </c>
    </row>
    <row r="85" spans="1:8" x14ac:dyDescent="0.3">
      <c r="A85">
        <v>43893</v>
      </c>
      <c r="B85" t="s">
        <v>59</v>
      </c>
      <c r="C85" t="s">
        <v>44</v>
      </c>
      <c r="D85" t="s">
        <v>650</v>
      </c>
      <c r="E85" s="2">
        <f t="shared" si="1"/>
        <v>85450.19</v>
      </c>
      <c r="F85" s="2">
        <v>56966.79</v>
      </c>
      <c r="G85" s="2">
        <v>28483.4</v>
      </c>
      <c r="H85" s="2">
        <v>28483.4</v>
      </c>
    </row>
    <row r="86" spans="1:8" x14ac:dyDescent="0.3">
      <c r="E86" s="2" t="s">
        <v>589</v>
      </c>
    </row>
    <row r="87" spans="1:8" x14ac:dyDescent="0.3">
      <c r="A87">
        <v>43919</v>
      </c>
      <c r="B87" t="s">
        <v>61</v>
      </c>
      <c r="C87" t="s">
        <v>62</v>
      </c>
      <c r="D87" t="s">
        <v>651</v>
      </c>
      <c r="E87" s="2">
        <f t="shared" si="1"/>
        <v>55313.919999999998</v>
      </c>
      <c r="F87" s="2">
        <v>36875.949999999997</v>
      </c>
      <c r="G87" s="2">
        <v>18437.97</v>
      </c>
      <c r="H87" s="2">
        <v>18437.97</v>
      </c>
    </row>
    <row r="88" spans="1:8" x14ac:dyDescent="0.3">
      <c r="A88">
        <v>43919</v>
      </c>
      <c r="B88" t="s">
        <v>61</v>
      </c>
      <c r="C88" t="s">
        <v>62</v>
      </c>
      <c r="D88" t="s">
        <v>652</v>
      </c>
      <c r="E88" s="2">
        <f t="shared" si="1"/>
        <v>22976.550000000003</v>
      </c>
      <c r="F88" s="2">
        <v>15317.7</v>
      </c>
      <c r="G88" s="2">
        <v>7658.85</v>
      </c>
      <c r="H88" s="2">
        <v>7658.85</v>
      </c>
    </row>
    <row r="89" spans="1:8" x14ac:dyDescent="0.3">
      <c r="E89" s="2" t="s">
        <v>589</v>
      </c>
    </row>
    <row r="90" spans="1:8" x14ac:dyDescent="0.3">
      <c r="A90">
        <v>43935</v>
      </c>
      <c r="B90" t="s">
        <v>653</v>
      </c>
      <c r="C90" t="s">
        <v>475</v>
      </c>
      <c r="D90" t="s">
        <v>654</v>
      </c>
      <c r="E90" s="2">
        <f t="shared" si="1"/>
        <v>7252.76</v>
      </c>
      <c r="F90" s="2">
        <v>4835.17</v>
      </c>
      <c r="G90" s="2">
        <v>2417.59</v>
      </c>
      <c r="H90" s="2">
        <v>2417.59</v>
      </c>
    </row>
    <row r="91" spans="1:8" x14ac:dyDescent="0.3">
      <c r="A91">
        <v>43935</v>
      </c>
      <c r="B91" t="s">
        <v>653</v>
      </c>
      <c r="C91" t="s">
        <v>475</v>
      </c>
      <c r="D91" t="s">
        <v>655</v>
      </c>
      <c r="E91" s="2">
        <f t="shared" si="1"/>
        <v>99725.51</v>
      </c>
      <c r="F91" s="2">
        <v>66483.67</v>
      </c>
      <c r="G91" s="2">
        <v>33241.839999999997</v>
      </c>
      <c r="H91" s="2">
        <v>33241.839999999997</v>
      </c>
    </row>
    <row r="92" spans="1:8" x14ac:dyDescent="0.3">
      <c r="E92" s="2" t="s">
        <v>589</v>
      </c>
    </row>
    <row r="93" spans="1:8" x14ac:dyDescent="0.3">
      <c r="A93">
        <v>43943</v>
      </c>
      <c r="B93" t="s">
        <v>656</v>
      </c>
      <c r="C93" t="s">
        <v>95</v>
      </c>
      <c r="D93" t="s">
        <v>657</v>
      </c>
      <c r="E93" s="2">
        <f t="shared" si="1"/>
        <v>336340.16</v>
      </c>
      <c r="F93" s="2">
        <v>224226.77</v>
      </c>
      <c r="G93" s="2">
        <v>112113.39</v>
      </c>
      <c r="H93" s="2">
        <v>112113.39</v>
      </c>
    </row>
    <row r="94" spans="1:8" x14ac:dyDescent="0.3">
      <c r="A94">
        <v>43943</v>
      </c>
      <c r="B94" t="s">
        <v>656</v>
      </c>
      <c r="C94" t="s">
        <v>95</v>
      </c>
      <c r="D94" t="s">
        <v>658</v>
      </c>
      <c r="E94" s="2">
        <f t="shared" si="1"/>
        <v>388084.80000000005</v>
      </c>
      <c r="F94" s="2">
        <v>258723.20000000001</v>
      </c>
      <c r="G94" s="2">
        <v>129361.60000000001</v>
      </c>
      <c r="H94" s="2">
        <v>129361.60000000001</v>
      </c>
    </row>
    <row r="95" spans="1:8" x14ac:dyDescent="0.3">
      <c r="E95" s="2" t="s">
        <v>589</v>
      </c>
    </row>
    <row r="96" spans="1:8" x14ac:dyDescent="0.3">
      <c r="A96">
        <v>43992</v>
      </c>
      <c r="B96" t="s">
        <v>65</v>
      </c>
      <c r="C96" t="s">
        <v>66</v>
      </c>
      <c r="D96" t="s">
        <v>659</v>
      </c>
      <c r="E96" s="2">
        <f t="shared" si="1"/>
        <v>308847.65000000002</v>
      </c>
      <c r="F96" s="2">
        <v>205898.43</v>
      </c>
      <c r="G96" s="2">
        <v>102949.22</v>
      </c>
      <c r="H96" s="2">
        <v>102949.22</v>
      </c>
    </row>
    <row r="97" spans="1:8" x14ac:dyDescent="0.3">
      <c r="A97">
        <v>43992</v>
      </c>
      <c r="B97" t="s">
        <v>65</v>
      </c>
      <c r="C97" t="s">
        <v>66</v>
      </c>
      <c r="D97" t="s">
        <v>660</v>
      </c>
      <c r="E97" s="2">
        <f t="shared" si="1"/>
        <v>376481.38</v>
      </c>
      <c r="F97" s="2">
        <v>250987.59</v>
      </c>
      <c r="G97" s="2">
        <v>125493.79</v>
      </c>
      <c r="H97" s="2">
        <v>125493.79</v>
      </c>
    </row>
    <row r="98" spans="1:8" x14ac:dyDescent="0.3">
      <c r="A98">
        <v>43992</v>
      </c>
      <c r="B98" t="s">
        <v>65</v>
      </c>
      <c r="C98" t="s">
        <v>66</v>
      </c>
      <c r="D98" t="s">
        <v>661</v>
      </c>
      <c r="E98" s="2">
        <f t="shared" si="1"/>
        <v>132921.78</v>
      </c>
      <c r="F98" s="2">
        <v>88614.52</v>
      </c>
      <c r="G98" s="2">
        <v>44307.26</v>
      </c>
      <c r="H98" s="2">
        <v>44307.26</v>
      </c>
    </row>
    <row r="99" spans="1:8" x14ac:dyDescent="0.3">
      <c r="E99" s="2" t="s">
        <v>589</v>
      </c>
    </row>
    <row r="100" spans="1:8" x14ac:dyDescent="0.3">
      <c r="A100">
        <v>44008</v>
      </c>
      <c r="B100" t="s">
        <v>67</v>
      </c>
      <c r="C100" t="s">
        <v>68</v>
      </c>
      <c r="D100" t="s">
        <v>662</v>
      </c>
      <c r="E100" s="2">
        <f t="shared" si="1"/>
        <v>581787.36</v>
      </c>
      <c r="F100" s="2">
        <v>387858.24</v>
      </c>
      <c r="G100" s="2">
        <v>193929.12</v>
      </c>
      <c r="H100" s="2">
        <v>193929.12</v>
      </c>
    </row>
    <row r="101" spans="1:8" x14ac:dyDescent="0.3">
      <c r="A101">
        <v>44008</v>
      </c>
      <c r="B101" t="s">
        <v>67</v>
      </c>
      <c r="C101" t="s">
        <v>68</v>
      </c>
      <c r="D101" t="s">
        <v>663</v>
      </c>
      <c r="E101" s="2">
        <f t="shared" si="1"/>
        <v>35656.020000000004</v>
      </c>
      <c r="F101" s="2">
        <v>23770.68</v>
      </c>
      <c r="G101" s="2">
        <v>11885.34</v>
      </c>
      <c r="H101" s="2">
        <v>11885.34</v>
      </c>
    </row>
    <row r="102" spans="1:8" x14ac:dyDescent="0.3">
      <c r="A102">
        <v>44008</v>
      </c>
      <c r="B102" t="s">
        <v>67</v>
      </c>
      <c r="C102" t="s">
        <v>68</v>
      </c>
      <c r="D102" t="s">
        <v>664</v>
      </c>
      <c r="E102" s="2">
        <f t="shared" si="1"/>
        <v>53484.03</v>
      </c>
      <c r="F102" s="2">
        <v>35656.019999999997</v>
      </c>
      <c r="G102" s="2">
        <v>17828.009999999998</v>
      </c>
      <c r="H102" s="2">
        <v>17828.009999999998</v>
      </c>
    </row>
    <row r="103" spans="1:8" x14ac:dyDescent="0.3">
      <c r="E103" s="2" t="s">
        <v>589</v>
      </c>
    </row>
    <row r="104" spans="1:8" x14ac:dyDescent="0.3">
      <c r="A104">
        <v>44024</v>
      </c>
      <c r="B104" t="s">
        <v>665</v>
      </c>
      <c r="C104" t="s">
        <v>209</v>
      </c>
      <c r="D104" t="s">
        <v>666</v>
      </c>
      <c r="E104" s="2">
        <f t="shared" si="1"/>
        <v>90286.35</v>
      </c>
      <c r="F104" s="2">
        <v>60190.9</v>
      </c>
      <c r="G104" s="2">
        <v>30095.45</v>
      </c>
      <c r="H104" s="2">
        <v>30095.45</v>
      </c>
    </row>
    <row r="105" spans="1:8" x14ac:dyDescent="0.3">
      <c r="A105">
        <v>44024</v>
      </c>
      <c r="B105" t="s">
        <v>665</v>
      </c>
      <c r="C105" t="s">
        <v>209</v>
      </c>
      <c r="D105" t="s">
        <v>667</v>
      </c>
      <c r="E105" s="2">
        <f t="shared" si="1"/>
        <v>4399.92</v>
      </c>
      <c r="F105" s="2">
        <v>4399.92</v>
      </c>
      <c r="G105" s="2">
        <v>2199.96</v>
      </c>
      <c r="H105" s="7">
        <v>0</v>
      </c>
    </row>
    <row r="106" spans="1:8" x14ac:dyDescent="0.3">
      <c r="E106" s="2" t="s">
        <v>589</v>
      </c>
    </row>
    <row r="107" spans="1:8" x14ac:dyDescent="0.3">
      <c r="A107">
        <v>44040</v>
      </c>
      <c r="B107" t="s">
        <v>71</v>
      </c>
      <c r="C107" t="s">
        <v>14</v>
      </c>
      <c r="D107" t="s">
        <v>668</v>
      </c>
      <c r="E107" s="2">
        <f t="shared" si="1"/>
        <v>126892.12</v>
      </c>
      <c r="F107" s="2">
        <v>84594.75</v>
      </c>
      <c r="G107" s="2">
        <v>42297.37</v>
      </c>
      <c r="H107" s="2">
        <v>42297.37</v>
      </c>
    </row>
    <row r="108" spans="1:8" x14ac:dyDescent="0.3">
      <c r="A108">
        <v>44040</v>
      </c>
      <c r="B108" t="s">
        <v>71</v>
      </c>
      <c r="C108" t="s">
        <v>14</v>
      </c>
      <c r="D108" t="s">
        <v>669</v>
      </c>
      <c r="E108" s="2">
        <f t="shared" si="1"/>
        <v>142542.15000000002</v>
      </c>
      <c r="F108" s="2">
        <v>95028.1</v>
      </c>
      <c r="G108" s="2">
        <v>47514.05</v>
      </c>
      <c r="H108" s="2">
        <v>47514.05</v>
      </c>
    </row>
    <row r="109" spans="1:8" x14ac:dyDescent="0.3">
      <c r="A109">
        <v>44040</v>
      </c>
      <c r="B109" t="s">
        <v>71</v>
      </c>
      <c r="C109" t="s">
        <v>14</v>
      </c>
      <c r="D109" t="s">
        <v>670</v>
      </c>
      <c r="E109" s="2">
        <f t="shared" si="1"/>
        <v>4229.74</v>
      </c>
      <c r="F109" s="2">
        <v>2819.83</v>
      </c>
      <c r="G109" s="2">
        <v>1409.91</v>
      </c>
      <c r="H109" s="2">
        <v>1409.91</v>
      </c>
    </row>
    <row r="110" spans="1:8" x14ac:dyDescent="0.3">
      <c r="A110">
        <v>44040</v>
      </c>
      <c r="B110" t="s">
        <v>71</v>
      </c>
      <c r="C110" t="s">
        <v>14</v>
      </c>
      <c r="D110" t="s">
        <v>671</v>
      </c>
      <c r="E110" s="2">
        <f t="shared" si="1"/>
        <v>150155.66999999998</v>
      </c>
      <c r="F110" s="2">
        <v>100103.78</v>
      </c>
      <c r="G110" s="2">
        <v>50051.89</v>
      </c>
      <c r="H110" s="2">
        <v>50051.89</v>
      </c>
    </row>
    <row r="111" spans="1:8" x14ac:dyDescent="0.3">
      <c r="E111" s="2" t="s">
        <v>589</v>
      </c>
    </row>
    <row r="112" spans="1:8" x14ac:dyDescent="0.3">
      <c r="A112">
        <v>44065</v>
      </c>
      <c r="B112" t="s">
        <v>73</v>
      </c>
      <c r="C112" t="s">
        <v>74</v>
      </c>
      <c r="D112" t="s">
        <v>672</v>
      </c>
      <c r="E112" s="2">
        <f t="shared" si="1"/>
        <v>18667.239999999998</v>
      </c>
      <c r="F112" s="2">
        <v>12444.83</v>
      </c>
      <c r="G112" s="2">
        <v>6222.41</v>
      </c>
      <c r="H112" s="2">
        <v>6222.41</v>
      </c>
    </row>
    <row r="113" spans="1:8" x14ac:dyDescent="0.3">
      <c r="A113">
        <v>44065</v>
      </c>
      <c r="B113" t="s">
        <v>73</v>
      </c>
      <c r="C113" t="s">
        <v>74</v>
      </c>
      <c r="D113" t="s">
        <v>609</v>
      </c>
      <c r="E113" s="2">
        <f t="shared" si="1"/>
        <v>17193.510000000002</v>
      </c>
      <c r="F113" s="2">
        <v>11462.34</v>
      </c>
      <c r="G113" s="2">
        <v>5731.17</v>
      </c>
      <c r="H113" s="2">
        <v>5731.17</v>
      </c>
    </row>
    <row r="114" spans="1:8" x14ac:dyDescent="0.3">
      <c r="E114" s="2" t="s">
        <v>589</v>
      </c>
    </row>
    <row r="115" spans="1:8" x14ac:dyDescent="0.3">
      <c r="A115">
        <v>44115</v>
      </c>
      <c r="B115" t="s">
        <v>80</v>
      </c>
      <c r="C115" t="s">
        <v>81</v>
      </c>
      <c r="D115" t="s">
        <v>673</v>
      </c>
      <c r="E115" s="2">
        <f t="shared" si="1"/>
        <v>128549.84999999999</v>
      </c>
      <c r="F115" s="2">
        <v>85699.9</v>
      </c>
      <c r="G115" s="2">
        <v>42849.95</v>
      </c>
      <c r="H115" s="2">
        <v>42849.95</v>
      </c>
    </row>
    <row r="116" spans="1:8" x14ac:dyDescent="0.3">
      <c r="A116">
        <v>44115</v>
      </c>
      <c r="B116" t="s">
        <v>80</v>
      </c>
      <c r="C116" t="s">
        <v>81</v>
      </c>
      <c r="D116" t="s">
        <v>674</v>
      </c>
      <c r="E116" s="2">
        <f t="shared" si="1"/>
        <v>103298.98000000001</v>
      </c>
      <c r="F116" s="2">
        <v>68865.990000000005</v>
      </c>
      <c r="G116" s="2">
        <v>34432.99</v>
      </c>
      <c r="H116" s="2">
        <v>34432.99</v>
      </c>
    </row>
    <row r="117" spans="1:8" x14ac:dyDescent="0.3">
      <c r="E117" s="2" t="s">
        <v>589</v>
      </c>
    </row>
    <row r="118" spans="1:8" x14ac:dyDescent="0.3">
      <c r="A118">
        <v>44131</v>
      </c>
      <c r="B118" t="s">
        <v>84</v>
      </c>
      <c r="C118" t="s">
        <v>85</v>
      </c>
      <c r="D118" t="s">
        <v>675</v>
      </c>
      <c r="E118" s="2">
        <f t="shared" si="1"/>
        <v>107806.69</v>
      </c>
      <c r="F118" s="2">
        <v>71871.13</v>
      </c>
      <c r="G118" s="2">
        <v>35935.56</v>
      </c>
      <c r="H118" s="2">
        <v>35935.56</v>
      </c>
    </row>
    <row r="119" spans="1:8" x14ac:dyDescent="0.3">
      <c r="A119">
        <v>44131</v>
      </c>
      <c r="B119" t="s">
        <v>84</v>
      </c>
      <c r="C119" t="s">
        <v>85</v>
      </c>
      <c r="D119" t="s">
        <v>676</v>
      </c>
      <c r="E119" s="2">
        <f t="shared" si="1"/>
        <v>16352.699999999999</v>
      </c>
      <c r="F119" s="2">
        <v>10901.8</v>
      </c>
      <c r="G119" s="2">
        <v>5450.9</v>
      </c>
      <c r="H119" s="2">
        <v>5450.9</v>
      </c>
    </row>
    <row r="120" spans="1:8" x14ac:dyDescent="0.3">
      <c r="A120">
        <v>44131</v>
      </c>
      <c r="B120" t="s">
        <v>84</v>
      </c>
      <c r="C120" t="s">
        <v>85</v>
      </c>
      <c r="D120" t="s">
        <v>677</v>
      </c>
      <c r="E120" s="2">
        <f t="shared" si="1"/>
        <v>13324.420000000002</v>
      </c>
      <c r="F120" s="2">
        <v>8882.9500000000007</v>
      </c>
      <c r="G120" s="2">
        <v>4441.47</v>
      </c>
      <c r="H120" s="2">
        <v>4441.47</v>
      </c>
    </row>
    <row r="121" spans="1:8" x14ac:dyDescent="0.3">
      <c r="E121" s="2" t="s">
        <v>589</v>
      </c>
    </row>
    <row r="122" spans="1:8" x14ac:dyDescent="0.3">
      <c r="A122">
        <v>44156</v>
      </c>
      <c r="B122" t="s">
        <v>87</v>
      </c>
      <c r="C122" t="s">
        <v>88</v>
      </c>
      <c r="D122" t="s">
        <v>678</v>
      </c>
      <c r="E122" s="2">
        <f t="shared" si="1"/>
        <v>28569.47</v>
      </c>
      <c r="F122" s="2">
        <v>19046.310000000001</v>
      </c>
      <c r="G122" s="2">
        <v>9523.16</v>
      </c>
      <c r="H122" s="2">
        <v>9523.16</v>
      </c>
    </row>
    <row r="123" spans="1:8" x14ac:dyDescent="0.3">
      <c r="E123" s="2" t="s">
        <v>589</v>
      </c>
    </row>
    <row r="124" spans="1:8" x14ac:dyDescent="0.3">
      <c r="A124">
        <v>44180</v>
      </c>
      <c r="B124" t="s">
        <v>89</v>
      </c>
      <c r="C124" t="s">
        <v>38</v>
      </c>
      <c r="D124" t="s">
        <v>679</v>
      </c>
      <c r="E124" s="2">
        <f t="shared" si="1"/>
        <v>225099.90000000002</v>
      </c>
      <c r="F124" s="2">
        <v>150066.6</v>
      </c>
      <c r="G124" s="2">
        <v>75033.3</v>
      </c>
      <c r="H124" s="2">
        <v>75033.3</v>
      </c>
    </row>
    <row r="125" spans="1:8" x14ac:dyDescent="0.3">
      <c r="A125">
        <v>44180</v>
      </c>
      <c r="B125" t="s">
        <v>89</v>
      </c>
      <c r="C125" t="s">
        <v>38</v>
      </c>
      <c r="D125" t="s">
        <v>680</v>
      </c>
      <c r="E125" s="2">
        <f t="shared" si="1"/>
        <v>44041.279999999999</v>
      </c>
      <c r="F125" s="2">
        <v>29360.85</v>
      </c>
      <c r="G125" s="2">
        <v>14680.43</v>
      </c>
      <c r="H125" s="2">
        <v>14680.43</v>
      </c>
    </row>
    <row r="126" spans="1:8" x14ac:dyDescent="0.3">
      <c r="E126" s="2" t="s">
        <v>589</v>
      </c>
    </row>
    <row r="127" spans="1:8" x14ac:dyDescent="0.3">
      <c r="A127">
        <v>44222</v>
      </c>
      <c r="B127" t="s">
        <v>91</v>
      </c>
      <c r="C127" t="s">
        <v>58</v>
      </c>
      <c r="D127" t="s">
        <v>681</v>
      </c>
      <c r="E127" s="2">
        <f t="shared" si="1"/>
        <v>42664.88</v>
      </c>
      <c r="F127" s="2">
        <v>28443.25</v>
      </c>
      <c r="G127" s="2">
        <v>14221.63</v>
      </c>
      <c r="H127" s="2">
        <v>14221.63</v>
      </c>
    </row>
    <row r="128" spans="1:8" x14ac:dyDescent="0.3">
      <c r="A128">
        <v>44222</v>
      </c>
      <c r="B128" t="s">
        <v>91</v>
      </c>
      <c r="C128" t="s">
        <v>58</v>
      </c>
      <c r="D128" t="s">
        <v>682</v>
      </c>
      <c r="E128" s="2">
        <f t="shared" si="1"/>
        <v>68175.83</v>
      </c>
      <c r="F128" s="2">
        <v>45450.55</v>
      </c>
      <c r="G128" s="2">
        <v>22725.279999999999</v>
      </c>
      <c r="H128" s="2">
        <v>22725.279999999999</v>
      </c>
    </row>
    <row r="129" spans="1:8" x14ac:dyDescent="0.3">
      <c r="A129">
        <v>44222</v>
      </c>
      <c r="B129" t="s">
        <v>91</v>
      </c>
      <c r="C129" t="s">
        <v>58</v>
      </c>
      <c r="D129" t="s">
        <v>683</v>
      </c>
      <c r="E129" s="2">
        <f t="shared" si="1"/>
        <v>20892.59</v>
      </c>
      <c r="F129" s="2">
        <v>13928.39</v>
      </c>
      <c r="G129" s="2">
        <v>6964.2</v>
      </c>
      <c r="H129" s="2">
        <v>6964.2</v>
      </c>
    </row>
    <row r="130" spans="1:8" x14ac:dyDescent="0.3">
      <c r="A130">
        <v>44222</v>
      </c>
      <c r="B130" t="s">
        <v>91</v>
      </c>
      <c r="C130" t="s">
        <v>58</v>
      </c>
      <c r="D130" t="s">
        <v>684</v>
      </c>
      <c r="E130" s="2">
        <f t="shared" si="1"/>
        <v>24631.269999999997</v>
      </c>
      <c r="F130" s="2">
        <v>16420.849999999999</v>
      </c>
      <c r="G130" s="2">
        <v>8210.42</v>
      </c>
      <c r="H130" s="2">
        <v>8210.42</v>
      </c>
    </row>
    <row r="131" spans="1:8" x14ac:dyDescent="0.3">
      <c r="A131">
        <v>44222</v>
      </c>
      <c r="B131" t="s">
        <v>91</v>
      </c>
      <c r="C131" t="s">
        <v>58</v>
      </c>
      <c r="D131" t="s">
        <v>627</v>
      </c>
      <c r="E131" s="2">
        <f t="shared" si="1"/>
        <v>12095.710000000001</v>
      </c>
      <c r="F131" s="2">
        <v>8063.81</v>
      </c>
      <c r="G131" s="2">
        <v>4031.9</v>
      </c>
      <c r="H131" s="2">
        <v>4031.9</v>
      </c>
    </row>
    <row r="132" spans="1:8" x14ac:dyDescent="0.3">
      <c r="E132" s="2" t="s">
        <v>589</v>
      </c>
    </row>
    <row r="133" spans="1:8" x14ac:dyDescent="0.3">
      <c r="A133">
        <v>44230</v>
      </c>
      <c r="B133" t="s">
        <v>685</v>
      </c>
      <c r="C133" t="s">
        <v>54</v>
      </c>
      <c r="D133" t="s">
        <v>686</v>
      </c>
      <c r="E133" s="2">
        <f t="shared" si="1"/>
        <v>138624.41999999998</v>
      </c>
      <c r="F133" s="2">
        <v>92416.28</v>
      </c>
      <c r="G133" s="2">
        <v>46208.14</v>
      </c>
      <c r="H133" s="2">
        <v>46208.14</v>
      </c>
    </row>
    <row r="134" spans="1:8" x14ac:dyDescent="0.3">
      <c r="E134" s="2" t="s">
        <v>589</v>
      </c>
    </row>
    <row r="135" spans="1:8" x14ac:dyDescent="0.3">
      <c r="A135">
        <v>44248</v>
      </c>
      <c r="B135" t="s">
        <v>92</v>
      </c>
      <c r="C135" t="s">
        <v>93</v>
      </c>
      <c r="D135" t="s">
        <v>687</v>
      </c>
      <c r="E135" s="2">
        <f t="shared" si="1"/>
        <v>6748.63</v>
      </c>
      <c r="F135" s="2">
        <v>4499.09</v>
      </c>
      <c r="G135" s="2">
        <v>2249.54</v>
      </c>
      <c r="H135" s="2">
        <v>2249.54</v>
      </c>
    </row>
    <row r="136" spans="1:8" x14ac:dyDescent="0.3">
      <c r="A136">
        <v>44248</v>
      </c>
      <c r="B136" t="s">
        <v>92</v>
      </c>
      <c r="C136" t="s">
        <v>93</v>
      </c>
      <c r="D136" t="s">
        <v>688</v>
      </c>
      <c r="E136" s="2">
        <f t="shared" si="1"/>
        <v>9881.93</v>
      </c>
      <c r="F136" s="2">
        <v>6587.95</v>
      </c>
      <c r="G136" s="2">
        <v>3293.98</v>
      </c>
      <c r="H136" s="2">
        <v>3293.98</v>
      </c>
    </row>
    <row r="137" spans="1:8" x14ac:dyDescent="0.3">
      <c r="E137" s="2" t="s">
        <v>589</v>
      </c>
    </row>
    <row r="138" spans="1:8" x14ac:dyDescent="0.3">
      <c r="A138">
        <v>44255</v>
      </c>
      <c r="B138" t="s">
        <v>689</v>
      </c>
      <c r="C138" t="s">
        <v>411</v>
      </c>
      <c r="D138" t="s">
        <v>690</v>
      </c>
      <c r="E138" s="2">
        <f t="shared" si="1"/>
        <v>94738.5</v>
      </c>
      <c r="F138" s="2">
        <v>63159</v>
      </c>
      <c r="G138" s="2">
        <v>31579.5</v>
      </c>
      <c r="H138" s="2">
        <v>31579.5</v>
      </c>
    </row>
    <row r="139" spans="1:8" x14ac:dyDescent="0.3">
      <c r="E139" s="2" t="s">
        <v>589</v>
      </c>
    </row>
    <row r="140" spans="1:8" x14ac:dyDescent="0.3">
      <c r="A140">
        <v>44297</v>
      </c>
      <c r="B140" t="s">
        <v>97</v>
      </c>
      <c r="C140" t="s">
        <v>98</v>
      </c>
      <c r="D140" t="s">
        <v>691</v>
      </c>
      <c r="E140" s="2">
        <f t="shared" si="1"/>
        <v>460007.08</v>
      </c>
      <c r="F140" s="2">
        <v>306671.39</v>
      </c>
      <c r="G140" s="2">
        <v>153335.69</v>
      </c>
      <c r="H140" s="2">
        <v>153335.69</v>
      </c>
    </row>
    <row r="141" spans="1:8" x14ac:dyDescent="0.3">
      <c r="A141">
        <v>44297</v>
      </c>
      <c r="B141" t="s">
        <v>97</v>
      </c>
      <c r="C141" t="s">
        <v>98</v>
      </c>
      <c r="D141" t="s">
        <v>692</v>
      </c>
      <c r="E141" s="2">
        <f t="shared" si="1"/>
        <v>7479.79</v>
      </c>
      <c r="F141" s="2">
        <v>7479.79</v>
      </c>
      <c r="G141" s="2">
        <v>3739.89</v>
      </c>
      <c r="H141" s="7">
        <v>0</v>
      </c>
    </row>
    <row r="142" spans="1:8" x14ac:dyDescent="0.3">
      <c r="A142">
        <v>44297</v>
      </c>
      <c r="B142" t="s">
        <v>97</v>
      </c>
      <c r="C142" t="s">
        <v>98</v>
      </c>
      <c r="D142" t="s">
        <v>693</v>
      </c>
      <c r="E142" s="2">
        <f t="shared" si="1"/>
        <v>241223.22999999998</v>
      </c>
      <c r="F142" s="2">
        <v>160815.49</v>
      </c>
      <c r="G142" s="2">
        <v>80407.740000000005</v>
      </c>
      <c r="H142" s="2">
        <v>80407.740000000005</v>
      </c>
    </row>
    <row r="143" spans="1:8" x14ac:dyDescent="0.3">
      <c r="A143">
        <v>44297</v>
      </c>
      <c r="B143" t="s">
        <v>97</v>
      </c>
      <c r="C143" t="s">
        <v>98</v>
      </c>
      <c r="D143" t="s">
        <v>694</v>
      </c>
      <c r="E143" s="2">
        <f t="shared" si="1"/>
        <v>112196.84999999999</v>
      </c>
      <c r="F143" s="2">
        <v>74797.899999999994</v>
      </c>
      <c r="G143" s="2">
        <v>37398.949999999997</v>
      </c>
      <c r="H143" s="2">
        <v>37398.949999999997</v>
      </c>
    </row>
    <row r="144" spans="1:8" x14ac:dyDescent="0.3">
      <c r="A144">
        <v>44297</v>
      </c>
      <c r="B144" t="s">
        <v>97</v>
      </c>
      <c r="C144" t="s">
        <v>98</v>
      </c>
      <c r="D144" t="s">
        <v>627</v>
      </c>
      <c r="E144" s="2">
        <f t="shared" si="1"/>
        <v>95367.32</v>
      </c>
      <c r="F144" s="2">
        <v>63578.21</v>
      </c>
      <c r="G144" s="2">
        <v>31789.11</v>
      </c>
      <c r="H144" s="2">
        <v>31789.11</v>
      </c>
    </row>
    <row r="145" spans="1:8" x14ac:dyDescent="0.3">
      <c r="E145" s="2" t="s">
        <v>589</v>
      </c>
    </row>
    <row r="146" spans="1:8" x14ac:dyDescent="0.3">
      <c r="A146">
        <v>44305</v>
      </c>
      <c r="B146" t="s">
        <v>99</v>
      </c>
      <c r="C146" t="s">
        <v>14</v>
      </c>
      <c r="D146" t="s">
        <v>695</v>
      </c>
      <c r="E146" s="2">
        <f t="shared" si="1"/>
        <v>193616.84</v>
      </c>
      <c r="F146" s="2">
        <v>129077.89</v>
      </c>
      <c r="G146" s="2">
        <v>64538.95</v>
      </c>
      <c r="H146" s="2">
        <v>64538.95</v>
      </c>
    </row>
    <row r="147" spans="1:8" x14ac:dyDescent="0.3">
      <c r="A147">
        <v>44305</v>
      </c>
      <c r="B147" t="s">
        <v>99</v>
      </c>
      <c r="C147" t="s">
        <v>14</v>
      </c>
      <c r="D147" t="s">
        <v>696</v>
      </c>
      <c r="E147" s="2">
        <f t="shared" ref="E147:E210" si="2">F147+H147</f>
        <v>203178.16999999998</v>
      </c>
      <c r="F147" s="2">
        <v>135452.10999999999</v>
      </c>
      <c r="G147" s="2">
        <v>67726.06</v>
      </c>
      <c r="H147" s="2">
        <v>67726.06</v>
      </c>
    </row>
    <row r="148" spans="1:8" x14ac:dyDescent="0.3">
      <c r="E148" s="2" t="s">
        <v>589</v>
      </c>
    </row>
    <row r="149" spans="1:8" x14ac:dyDescent="0.3">
      <c r="A149">
        <v>44339</v>
      </c>
      <c r="B149" t="s">
        <v>100</v>
      </c>
      <c r="C149" t="s">
        <v>101</v>
      </c>
      <c r="D149" t="s">
        <v>697</v>
      </c>
      <c r="E149" s="2">
        <f t="shared" si="2"/>
        <v>146204.36000000002</v>
      </c>
      <c r="F149" s="2">
        <v>97469.57</v>
      </c>
      <c r="G149" s="2">
        <v>48734.79</v>
      </c>
      <c r="H149" s="2">
        <v>48734.79</v>
      </c>
    </row>
    <row r="150" spans="1:8" x14ac:dyDescent="0.3">
      <c r="A150">
        <v>44339</v>
      </c>
      <c r="B150" t="s">
        <v>100</v>
      </c>
      <c r="C150" t="s">
        <v>101</v>
      </c>
      <c r="D150" t="s">
        <v>698</v>
      </c>
      <c r="E150" s="2">
        <f t="shared" si="2"/>
        <v>88320.48</v>
      </c>
      <c r="F150" s="2">
        <v>58880.32</v>
      </c>
      <c r="G150" s="2">
        <v>29440.16</v>
      </c>
      <c r="H150" s="2">
        <v>29440.16</v>
      </c>
    </row>
    <row r="151" spans="1:8" x14ac:dyDescent="0.3">
      <c r="E151" s="2" t="s">
        <v>589</v>
      </c>
    </row>
    <row r="152" spans="1:8" x14ac:dyDescent="0.3">
      <c r="A152">
        <v>44347</v>
      </c>
      <c r="B152" t="s">
        <v>102</v>
      </c>
      <c r="C152" t="s">
        <v>17</v>
      </c>
      <c r="D152" t="s">
        <v>699</v>
      </c>
      <c r="E152" s="2">
        <f t="shared" si="2"/>
        <v>49895.320000000007</v>
      </c>
      <c r="F152" s="2">
        <v>33263.550000000003</v>
      </c>
      <c r="G152" s="2">
        <v>16631.77</v>
      </c>
      <c r="H152" s="2">
        <v>16631.77</v>
      </c>
    </row>
    <row r="153" spans="1:8" x14ac:dyDescent="0.3">
      <c r="E153" s="2" t="s">
        <v>589</v>
      </c>
    </row>
    <row r="154" spans="1:8" x14ac:dyDescent="0.3">
      <c r="A154">
        <v>44354</v>
      </c>
      <c r="B154" t="s">
        <v>103</v>
      </c>
      <c r="C154" t="s">
        <v>4</v>
      </c>
      <c r="D154" t="s">
        <v>602</v>
      </c>
      <c r="E154" s="2">
        <f t="shared" si="2"/>
        <v>235846.43</v>
      </c>
      <c r="F154" s="2">
        <v>157230.95000000001</v>
      </c>
      <c r="G154" s="2">
        <v>78615.48</v>
      </c>
      <c r="H154" s="2">
        <v>78615.48</v>
      </c>
    </row>
    <row r="155" spans="1:8" x14ac:dyDescent="0.3">
      <c r="A155">
        <v>44354</v>
      </c>
      <c r="B155" t="s">
        <v>103</v>
      </c>
      <c r="C155" t="s">
        <v>4</v>
      </c>
      <c r="D155" t="s">
        <v>700</v>
      </c>
      <c r="E155" s="2">
        <f t="shared" si="2"/>
        <v>406458.74</v>
      </c>
      <c r="F155" s="2">
        <v>270972.49</v>
      </c>
      <c r="G155" s="2">
        <v>135486.25</v>
      </c>
      <c r="H155" s="2">
        <v>135486.25</v>
      </c>
    </row>
    <row r="156" spans="1:8" x14ac:dyDescent="0.3">
      <c r="A156">
        <v>44354</v>
      </c>
      <c r="B156" t="s">
        <v>103</v>
      </c>
      <c r="C156" t="s">
        <v>4</v>
      </c>
      <c r="D156" t="s">
        <v>701</v>
      </c>
      <c r="E156" s="2">
        <f t="shared" si="2"/>
        <v>75270.14</v>
      </c>
      <c r="F156" s="2">
        <v>50180.09</v>
      </c>
      <c r="G156" s="2">
        <v>25090.05</v>
      </c>
      <c r="H156" s="2">
        <v>25090.05</v>
      </c>
    </row>
    <row r="157" spans="1:8" x14ac:dyDescent="0.3">
      <c r="A157">
        <v>44354</v>
      </c>
      <c r="B157" t="s">
        <v>103</v>
      </c>
      <c r="C157" t="s">
        <v>4</v>
      </c>
      <c r="D157" t="s">
        <v>702</v>
      </c>
      <c r="E157" s="2">
        <f t="shared" si="2"/>
        <v>137158.91</v>
      </c>
      <c r="F157" s="2">
        <v>137158.91</v>
      </c>
      <c r="G157" s="2">
        <v>68579.460000000006</v>
      </c>
      <c r="H157" s="7">
        <v>0</v>
      </c>
    </row>
    <row r="158" spans="1:8" x14ac:dyDescent="0.3">
      <c r="A158">
        <v>44354</v>
      </c>
      <c r="B158" t="s">
        <v>103</v>
      </c>
      <c r="C158" t="s">
        <v>4</v>
      </c>
      <c r="D158" t="s">
        <v>703</v>
      </c>
      <c r="E158" s="2">
        <f t="shared" si="2"/>
        <v>15054.03</v>
      </c>
      <c r="F158" s="2">
        <v>10036.02</v>
      </c>
      <c r="G158" s="2">
        <v>5018.01</v>
      </c>
      <c r="H158" s="2">
        <v>5018.01</v>
      </c>
    </row>
    <row r="159" spans="1:8" x14ac:dyDescent="0.3">
      <c r="E159" s="2" t="s">
        <v>589</v>
      </c>
    </row>
    <row r="160" spans="1:8" x14ac:dyDescent="0.3">
      <c r="A160">
        <v>44362</v>
      </c>
      <c r="B160" t="s">
        <v>104</v>
      </c>
      <c r="C160" t="s">
        <v>105</v>
      </c>
      <c r="D160" t="s">
        <v>704</v>
      </c>
      <c r="E160" s="2">
        <f t="shared" si="2"/>
        <v>218624.84000000003</v>
      </c>
      <c r="F160" s="2">
        <v>145749.89000000001</v>
      </c>
      <c r="G160" s="2">
        <v>72874.95</v>
      </c>
      <c r="H160" s="2">
        <v>72874.95</v>
      </c>
    </row>
    <row r="161" spans="1:8" x14ac:dyDescent="0.3">
      <c r="E161" s="2" t="s">
        <v>589</v>
      </c>
    </row>
    <row r="162" spans="1:8" x14ac:dyDescent="0.3">
      <c r="A162">
        <v>44388</v>
      </c>
      <c r="B162" t="s">
        <v>107</v>
      </c>
      <c r="C162" t="s">
        <v>28</v>
      </c>
      <c r="D162" t="s">
        <v>705</v>
      </c>
      <c r="E162" s="2">
        <f t="shared" si="2"/>
        <v>5927.17</v>
      </c>
      <c r="F162" s="2">
        <v>3951.45</v>
      </c>
      <c r="G162" s="2">
        <v>1975.72</v>
      </c>
      <c r="H162" s="2">
        <v>1975.72</v>
      </c>
    </row>
    <row r="163" spans="1:8" x14ac:dyDescent="0.3">
      <c r="A163">
        <v>44388</v>
      </c>
      <c r="B163" t="s">
        <v>107</v>
      </c>
      <c r="C163" t="s">
        <v>28</v>
      </c>
      <c r="D163" t="s">
        <v>706</v>
      </c>
      <c r="E163" s="2">
        <f t="shared" si="2"/>
        <v>28450.400000000001</v>
      </c>
      <c r="F163" s="2">
        <v>18966.93</v>
      </c>
      <c r="G163" s="2">
        <v>9483.4699999999993</v>
      </c>
      <c r="H163" s="2">
        <v>9483.4699999999993</v>
      </c>
    </row>
    <row r="164" spans="1:8" x14ac:dyDescent="0.3">
      <c r="E164" s="2" t="s">
        <v>589</v>
      </c>
    </row>
    <row r="165" spans="1:8" x14ac:dyDescent="0.3">
      <c r="A165">
        <v>44396</v>
      </c>
      <c r="B165" t="s">
        <v>108</v>
      </c>
      <c r="C165" t="s">
        <v>38</v>
      </c>
      <c r="D165" t="s">
        <v>707</v>
      </c>
      <c r="E165" s="2">
        <f t="shared" si="2"/>
        <v>60153.2</v>
      </c>
      <c r="F165" s="2">
        <v>40102.129999999997</v>
      </c>
      <c r="G165" s="2">
        <v>20051.07</v>
      </c>
      <c r="H165" s="2">
        <v>20051.07</v>
      </c>
    </row>
    <row r="166" spans="1:8" x14ac:dyDescent="0.3">
      <c r="A166">
        <v>44396</v>
      </c>
      <c r="B166" t="s">
        <v>108</v>
      </c>
      <c r="C166" t="s">
        <v>38</v>
      </c>
      <c r="D166" t="s">
        <v>708</v>
      </c>
      <c r="E166" s="2">
        <f t="shared" si="2"/>
        <v>620329.92999999993</v>
      </c>
      <c r="F166" s="2">
        <v>413553.29</v>
      </c>
      <c r="G166" s="2">
        <v>206776.64</v>
      </c>
      <c r="H166" s="2">
        <v>206776.64</v>
      </c>
    </row>
    <row r="167" spans="1:8" x14ac:dyDescent="0.3">
      <c r="E167" s="2" t="s">
        <v>589</v>
      </c>
    </row>
    <row r="168" spans="1:8" x14ac:dyDescent="0.3">
      <c r="A168">
        <v>44404</v>
      </c>
      <c r="B168" t="s">
        <v>109</v>
      </c>
      <c r="C168" t="s">
        <v>79</v>
      </c>
      <c r="D168" t="s">
        <v>709</v>
      </c>
      <c r="E168" s="2">
        <f t="shared" si="2"/>
        <v>1000545.8400000001</v>
      </c>
      <c r="F168" s="2">
        <v>667030.56000000006</v>
      </c>
      <c r="G168" s="2">
        <v>333515.28000000003</v>
      </c>
      <c r="H168" s="2">
        <v>333515.28000000003</v>
      </c>
    </row>
    <row r="169" spans="1:8" x14ac:dyDescent="0.3">
      <c r="A169">
        <v>44404</v>
      </c>
      <c r="B169" t="s">
        <v>109</v>
      </c>
      <c r="C169" t="s">
        <v>79</v>
      </c>
      <c r="D169" t="s">
        <v>708</v>
      </c>
      <c r="E169" s="2">
        <f t="shared" si="2"/>
        <v>3437430.82</v>
      </c>
      <c r="F169" s="2">
        <v>2291620.5499999998</v>
      </c>
      <c r="G169" s="2">
        <v>1145810.27</v>
      </c>
      <c r="H169" s="2">
        <v>1145810.27</v>
      </c>
    </row>
    <row r="170" spans="1:8" x14ac:dyDescent="0.3">
      <c r="E170" s="2" t="s">
        <v>589</v>
      </c>
    </row>
    <row r="171" spans="1:8" x14ac:dyDescent="0.3">
      <c r="A171">
        <v>44420</v>
      </c>
      <c r="B171" t="s">
        <v>110</v>
      </c>
      <c r="C171" t="s">
        <v>111</v>
      </c>
      <c r="D171" t="s">
        <v>710</v>
      </c>
      <c r="E171" s="2">
        <f t="shared" si="2"/>
        <v>118231.20000000001</v>
      </c>
      <c r="F171" s="2">
        <v>78820.800000000003</v>
      </c>
      <c r="G171" s="2">
        <v>39410.400000000001</v>
      </c>
      <c r="H171" s="2">
        <v>39410.400000000001</v>
      </c>
    </row>
    <row r="172" spans="1:8" x14ac:dyDescent="0.3">
      <c r="A172">
        <v>44420</v>
      </c>
      <c r="B172" t="s">
        <v>110</v>
      </c>
      <c r="C172" t="s">
        <v>111</v>
      </c>
      <c r="D172" t="s">
        <v>711</v>
      </c>
      <c r="E172" s="2">
        <f t="shared" si="2"/>
        <v>156181.96</v>
      </c>
      <c r="F172" s="2">
        <v>104121.31</v>
      </c>
      <c r="G172" s="2">
        <v>52060.65</v>
      </c>
      <c r="H172" s="2">
        <v>52060.65</v>
      </c>
    </row>
    <row r="173" spans="1:8" x14ac:dyDescent="0.3">
      <c r="A173">
        <v>44420</v>
      </c>
      <c r="B173" t="s">
        <v>110</v>
      </c>
      <c r="C173" t="s">
        <v>111</v>
      </c>
      <c r="D173" t="s">
        <v>712</v>
      </c>
      <c r="E173" s="2">
        <f t="shared" si="2"/>
        <v>80280.44</v>
      </c>
      <c r="F173" s="2">
        <v>53520.29</v>
      </c>
      <c r="G173" s="2">
        <v>26760.15</v>
      </c>
      <c r="H173" s="2">
        <v>26760.15</v>
      </c>
    </row>
    <row r="174" spans="1:8" x14ac:dyDescent="0.3">
      <c r="A174">
        <v>44420</v>
      </c>
      <c r="B174" t="s">
        <v>110</v>
      </c>
      <c r="C174" t="s">
        <v>111</v>
      </c>
      <c r="D174" t="s">
        <v>713</v>
      </c>
      <c r="E174" s="2">
        <f t="shared" si="2"/>
        <v>97309.63</v>
      </c>
      <c r="F174" s="2">
        <v>64873.09</v>
      </c>
      <c r="G174" s="2">
        <v>32436.54</v>
      </c>
      <c r="H174" s="2">
        <v>32436.54</v>
      </c>
    </row>
    <row r="175" spans="1:8" x14ac:dyDescent="0.3">
      <c r="E175" s="2" t="s">
        <v>589</v>
      </c>
    </row>
    <row r="176" spans="1:8" x14ac:dyDescent="0.3">
      <c r="A176">
        <v>44438</v>
      </c>
      <c r="B176" t="s">
        <v>112</v>
      </c>
      <c r="C176" t="s">
        <v>113</v>
      </c>
      <c r="D176" t="s">
        <v>714</v>
      </c>
      <c r="E176" s="2">
        <f t="shared" si="2"/>
        <v>19892.46</v>
      </c>
      <c r="F176" s="2">
        <v>13261.64</v>
      </c>
      <c r="G176" s="2">
        <v>6630.82</v>
      </c>
      <c r="H176" s="2">
        <v>6630.82</v>
      </c>
    </row>
    <row r="177" spans="1:8" x14ac:dyDescent="0.3">
      <c r="E177" s="2" t="s">
        <v>589</v>
      </c>
    </row>
    <row r="178" spans="1:8" x14ac:dyDescent="0.3">
      <c r="A178">
        <v>44453</v>
      </c>
      <c r="B178" t="s">
        <v>116</v>
      </c>
      <c r="C178" t="s">
        <v>81</v>
      </c>
      <c r="D178" t="s">
        <v>715</v>
      </c>
      <c r="E178" s="2">
        <f t="shared" si="2"/>
        <v>60460.29</v>
      </c>
      <c r="F178" s="2">
        <v>40306.86</v>
      </c>
      <c r="G178" s="2">
        <v>20153.43</v>
      </c>
      <c r="H178" s="2">
        <v>20153.43</v>
      </c>
    </row>
    <row r="179" spans="1:8" x14ac:dyDescent="0.3">
      <c r="A179">
        <v>44453</v>
      </c>
      <c r="B179" t="s">
        <v>116</v>
      </c>
      <c r="C179" t="s">
        <v>81</v>
      </c>
      <c r="D179" t="s">
        <v>716</v>
      </c>
      <c r="E179" s="2">
        <f t="shared" si="2"/>
        <v>7378.2000000000007</v>
      </c>
      <c r="F179" s="2">
        <v>4918.8</v>
      </c>
      <c r="G179" s="2">
        <v>2459.4</v>
      </c>
      <c r="H179" s="2">
        <v>2459.4</v>
      </c>
    </row>
    <row r="180" spans="1:8" x14ac:dyDescent="0.3">
      <c r="E180" s="2" t="s">
        <v>589</v>
      </c>
    </row>
    <row r="181" spans="1:8" x14ac:dyDescent="0.3">
      <c r="A181">
        <v>44495</v>
      </c>
      <c r="B181" t="s">
        <v>120</v>
      </c>
      <c r="C181" t="s">
        <v>74</v>
      </c>
      <c r="D181" t="s">
        <v>717</v>
      </c>
      <c r="E181" s="2">
        <f t="shared" si="2"/>
        <v>92387.13</v>
      </c>
      <c r="F181" s="2">
        <v>61591.42</v>
      </c>
      <c r="G181" s="2">
        <v>30795.71</v>
      </c>
      <c r="H181" s="2">
        <v>30795.71</v>
      </c>
    </row>
    <row r="182" spans="1:8" x14ac:dyDescent="0.3">
      <c r="A182">
        <v>44495</v>
      </c>
      <c r="B182" t="s">
        <v>120</v>
      </c>
      <c r="C182" t="s">
        <v>74</v>
      </c>
      <c r="D182" t="s">
        <v>673</v>
      </c>
      <c r="E182" s="2">
        <f t="shared" si="2"/>
        <v>95274.23000000001</v>
      </c>
      <c r="F182" s="2">
        <v>63516.15</v>
      </c>
      <c r="G182" s="2">
        <v>31758.080000000002</v>
      </c>
      <c r="H182" s="2">
        <v>31758.080000000002</v>
      </c>
    </row>
    <row r="183" spans="1:8" x14ac:dyDescent="0.3">
      <c r="A183">
        <v>44495</v>
      </c>
      <c r="B183" t="s">
        <v>120</v>
      </c>
      <c r="C183" t="s">
        <v>74</v>
      </c>
      <c r="D183" t="s">
        <v>718</v>
      </c>
      <c r="E183" s="2">
        <f t="shared" si="2"/>
        <v>33682.81</v>
      </c>
      <c r="F183" s="2">
        <v>22455.21</v>
      </c>
      <c r="G183" s="2">
        <v>11227.6</v>
      </c>
      <c r="H183" s="2">
        <v>11227.6</v>
      </c>
    </row>
    <row r="184" spans="1:8" x14ac:dyDescent="0.3">
      <c r="E184" s="2" t="s">
        <v>589</v>
      </c>
    </row>
    <row r="185" spans="1:8" x14ac:dyDescent="0.3">
      <c r="A185">
        <v>44578</v>
      </c>
      <c r="B185" t="s">
        <v>719</v>
      </c>
      <c r="C185" t="s">
        <v>54</v>
      </c>
      <c r="D185" t="s">
        <v>720</v>
      </c>
      <c r="E185" s="2">
        <f t="shared" si="2"/>
        <v>209015.05</v>
      </c>
      <c r="F185" s="2">
        <v>139343.37</v>
      </c>
      <c r="G185" s="2">
        <v>69671.679999999993</v>
      </c>
      <c r="H185" s="2">
        <v>69671.679999999993</v>
      </c>
    </row>
    <row r="186" spans="1:8" x14ac:dyDescent="0.3">
      <c r="A186">
        <v>44578</v>
      </c>
      <c r="B186" t="s">
        <v>719</v>
      </c>
      <c r="C186" t="s">
        <v>54</v>
      </c>
      <c r="D186" t="s">
        <v>721</v>
      </c>
      <c r="E186" s="2">
        <f t="shared" si="2"/>
        <v>293400.01</v>
      </c>
      <c r="F186" s="2">
        <v>195600.01</v>
      </c>
      <c r="G186" s="2">
        <v>97800</v>
      </c>
      <c r="H186" s="2">
        <v>97800</v>
      </c>
    </row>
    <row r="187" spans="1:8" x14ac:dyDescent="0.3">
      <c r="E187" s="2" t="s">
        <v>589</v>
      </c>
    </row>
    <row r="188" spans="1:8" x14ac:dyDescent="0.3">
      <c r="A188">
        <v>44602</v>
      </c>
      <c r="B188" t="s">
        <v>130</v>
      </c>
      <c r="C188" t="s">
        <v>105</v>
      </c>
      <c r="D188" t="s">
        <v>722</v>
      </c>
      <c r="E188" s="2">
        <f t="shared" si="2"/>
        <v>304731.52000000002</v>
      </c>
      <c r="F188" s="2">
        <v>203154.35</v>
      </c>
      <c r="G188" s="2">
        <v>101577.17</v>
      </c>
      <c r="H188" s="2">
        <v>101577.17</v>
      </c>
    </row>
    <row r="189" spans="1:8" x14ac:dyDescent="0.3">
      <c r="E189" s="2" t="s">
        <v>589</v>
      </c>
    </row>
    <row r="190" spans="1:8" x14ac:dyDescent="0.3">
      <c r="A190">
        <v>44610</v>
      </c>
      <c r="B190" t="s">
        <v>131</v>
      </c>
      <c r="C190" t="s">
        <v>132</v>
      </c>
      <c r="D190" t="s">
        <v>723</v>
      </c>
      <c r="E190" s="2">
        <f t="shared" si="2"/>
        <v>216106.93</v>
      </c>
      <c r="F190" s="2">
        <v>144071.29</v>
      </c>
      <c r="G190" s="2">
        <v>72035.64</v>
      </c>
      <c r="H190" s="7">
        <v>72035.64</v>
      </c>
    </row>
    <row r="191" spans="1:8" x14ac:dyDescent="0.3">
      <c r="A191">
        <v>44610</v>
      </c>
      <c r="B191" t="s">
        <v>131</v>
      </c>
      <c r="C191" t="s">
        <v>132</v>
      </c>
      <c r="D191" t="s">
        <v>724</v>
      </c>
      <c r="E191" s="2">
        <f t="shared" si="2"/>
        <v>33679</v>
      </c>
      <c r="F191" s="2">
        <v>22452.67</v>
      </c>
      <c r="G191" s="2">
        <v>11226.33</v>
      </c>
      <c r="H191" s="2">
        <v>11226.33</v>
      </c>
    </row>
    <row r="192" spans="1:8" x14ac:dyDescent="0.3">
      <c r="E192" s="2" t="s">
        <v>589</v>
      </c>
    </row>
    <row r="193" spans="1:8" x14ac:dyDescent="0.3">
      <c r="A193">
        <v>44628</v>
      </c>
      <c r="B193" t="s">
        <v>133</v>
      </c>
      <c r="C193" t="s">
        <v>134</v>
      </c>
      <c r="D193" t="s">
        <v>725</v>
      </c>
      <c r="E193" s="2">
        <f t="shared" si="2"/>
        <v>135173.88</v>
      </c>
      <c r="F193" s="2">
        <v>90115.92</v>
      </c>
      <c r="G193" s="2">
        <v>45057.96</v>
      </c>
      <c r="H193" s="2">
        <v>45057.96</v>
      </c>
    </row>
    <row r="194" spans="1:8" x14ac:dyDescent="0.3">
      <c r="E194" s="2" t="s">
        <v>589</v>
      </c>
    </row>
    <row r="195" spans="1:8" x14ac:dyDescent="0.3">
      <c r="A195">
        <v>44636</v>
      </c>
      <c r="B195" t="s">
        <v>135</v>
      </c>
      <c r="C195" t="s">
        <v>14</v>
      </c>
      <c r="D195" t="s">
        <v>726</v>
      </c>
      <c r="E195" s="2">
        <f t="shared" si="2"/>
        <v>4420.9500000000007</v>
      </c>
      <c r="F195" s="2">
        <v>2947.3</v>
      </c>
      <c r="G195" s="2">
        <v>1473.65</v>
      </c>
      <c r="H195" s="2">
        <v>1473.65</v>
      </c>
    </row>
    <row r="196" spans="1:8" x14ac:dyDescent="0.3">
      <c r="A196">
        <v>44636</v>
      </c>
      <c r="B196" t="s">
        <v>135</v>
      </c>
      <c r="C196" t="s">
        <v>14</v>
      </c>
      <c r="D196" t="s">
        <v>727</v>
      </c>
      <c r="E196" s="2">
        <f t="shared" si="2"/>
        <v>4635.2999999999993</v>
      </c>
      <c r="F196" s="2">
        <v>3090.2</v>
      </c>
      <c r="G196" s="2">
        <v>1545.1</v>
      </c>
      <c r="H196" s="2">
        <v>1545.1</v>
      </c>
    </row>
    <row r="197" spans="1:8" x14ac:dyDescent="0.3">
      <c r="A197">
        <v>44636</v>
      </c>
      <c r="B197" t="s">
        <v>135</v>
      </c>
      <c r="C197" t="s">
        <v>14</v>
      </c>
      <c r="D197" t="s">
        <v>728</v>
      </c>
      <c r="E197" s="2">
        <f t="shared" si="2"/>
        <v>5278.35</v>
      </c>
      <c r="F197" s="2">
        <v>3518.9</v>
      </c>
      <c r="G197" s="2">
        <v>1759.45</v>
      </c>
      <c r="H197" s="2">
        <v>1759.45</v>
      </c>
    </row>
    <row r="198" spans="1:8" x14ac:dyDescent="0.3">
      <c r="E198" s="2" t="s">
        <v>589</v>
      </c>
    </row>
    <row r="199" spans="1:8" x14ac:dyDescent="0.3">
      <c r="A199">
        <v>44644</v>
      </c>
      <c r="B199" t="s">
        <v>136</v>
      </c>
      <c r="C199" t="s">
        <v>137</v>
      </c>
      <c r="D199" t="s">
        <v>660</v>
      </c>
      <c r="E199" s="2">
        <f t="shared" si="2"/>
        <v>170928.32</v>
      </c>
      <c r="F199" s="2">
        <v>113952.21</v>
      </c>
      <c r="G199" s="2">
        <v>56976.11</v>
      </c>
      <c r="H199" s="2">
        <v>56976.11</v>
      </c>
    </row>
    <row r="200" spans="1:8" x14ac:dyDescent="0.3">
      <c r="A200">
        <v>44644</v>
      </c>
      <c r="B200" t="s">
        <v>136</v>
      </c>
      <c r="C200" t="s">
        <v>137</v>
      </c>
      <c r="D200" t="s">
        <v>729</v>
      </c>
      <c r="E200" s="2">
        <f t="shared" si="2"/>
        <v>84583.09</v>
      </c>
      <c r="F200" s="2">
        <v>56388.73</v>
      </c>
      <c r="G200" s="2">
        <v>28194.36</v>
      </c>
      <c r="H200" s="2">
        <v>28194.36</v>
      </c>
    </row>
    <row r="201" spans="1:8" x14ac:dyDescent="0.3">
      <c r="E201" s="2" t="s">
        <v>589</v>
      </c>
    </row>
    <row r="202" spans="1:8" x14ac:dyDescent="0.3">
      <c r="A202">
        <v>44669</v>
      </c>
      <c r="B202" t="s">
        <v>140</v>
      </c>
      <c r="C202" t="s">
        <v>141</v>
      </c>
      <c r="D202" t="s">
        <v>730</v>
      </c>
      <c r="E202" s="2">
        <f t="shared" si="2"/>
        <v>11615.039999999999</v>
      </c>
      <c r="F202" s="2">
        <v>7743.36</v>
      </c>
      <c r="G202" s="2">
        <v>3871.68</v>
      </c>
      <c r="H202" s="2">
        <v>3871.68</v>
      </c>
    </row>
    <row r="203" spans="1:8" x14ac:dyDescent="0.3">
      <c r="A203">
        <v>44669</v>
      </c>
      <c r="B203" t="s">
        <v>140</v>
      </c>
      <c r="C203" t="s">
        <v>141</v>
      </c>
      <c r="D203" t="s">
        <v>731</v>
      </c>
      <c r="E203" s="2">
        <f t="shared" si="2"/>
        <v>5807.5199999999995</v>
      </c>
      <c r="F203" s="2">
        <v>3871.68</v>
      </c>
      <c r="G203" s="2">
        <v>1935.84</v>
      </c>
      <c r="H203" s="2">
        <v>1935.84</v>
      </c>
    </row>
    <row r="204" spans="1:8" x14ac:dyDescent="0.3">
      <c r="E204" s="2" t="s">
        <v>589</v>
      </c>
    </row>
    <row r="205" spans="1:8" x14ac:dyDescent="0.3">
      <c r="A205">
        <v>44677</v>
      </c>
      <c r="B205" t="s">
        <v>732</v>
      </c>
      <c r="C205" t="s">
        <v>54</v>
      </c>
      <c r="D205" t="s">
        <v>733</v>
      </c>
      <c r="E205" s="2">
        <f t="shared" si="2"/>
        <v>448569.45999999996</v>
      </c>
      <c r="F205" s="2">
        <v>299046.31</v>
      </c>
      <c r="G205" s="2">
        <v>149523.15</v>
      </c>
      <c r="H205" s="2">
        <v>149523.15</v>
      </c>
    </row>
    <row r="206" spans="1:8" x14ac:dyDescent="0.3">
      <c r="E206" s="2" t="s">
        <v>589</v>
      </c>
    </row>
    <row r="207" spans="1:8" x14ac:dyDescent="0.3">
      <c r="A207">
        <v>44719</v>
      </c>
      <c r="B207" t="s">
        <v>734</v>
      </c>
      <c r="C207" t="s">
        <v>54</v>
      </c>
      <c r="D207" t="s">
        <v>735</v>
      </c>
      <c r="E207" s="2">
        <f t="shared" si="2"/>
        <v>495267.21</v>
      </c>
      <c r="F207" s="2">
        <v>330178.14</v>
      </c>
      <c r="G207" s="2">
        <v>165089.07</v>
      </c>
      <c r="H207" s="2">
        <v>165089.07</v>
      </c>
    </row>
    <row r="208" spans="1:8" x14ac:dyDescent="0.3">
      <c r="A208">
        <v>44719</v>
      </c>
      <c r="B208" t="s">
        <v>734</v>
      </c>
      <c r="C208" t="s">
        <v>54</v>
      </c>
      <c r="D208" t="s">
        <v>736</v>
      </c>
      <c r="E208" s="2">
        <f t="shared" si="2"/>
        <v>792427.54</v>
      </c>
      <c r="F208" s="2">
        <v>528285.03</v>
      </c>
      <c r="G208" s="2">
        <v>264142.51</v>
      </c>
      <c r="H208" s="2">
        <v>264142.51</v>
      </c>
    </row>
    <row r="209" spans="1:8" x14ac:dyDescent="0.3">
      <c r="E209" s="2" t="s">
        <v>589</v>
      </c>
    </row>
    <row r="210" spans="1:8" x14ac:dyDescent="0.3">
      <c r="A210">
        <v>44727</v>
      </c>
      <c r="B210" t="s">
        <v>144</v>
      </c>
      <c r="C210" t="s">
        <v>145</v>
      </c>
      <c r="D210" t="s">
        <v>737</v>
      </c>
      <c r="E210" s="2">
        <f t="shared" si="2"/>
        <v>233727.7</v>
      </c>
      <c r="F210" s="2">
        <v>155818.47</v>
      </c>
      <c r="G210" s="2">
        <v>77909.23</v>
      </c>
      <c r="H210" s="2">
        <v>77909.23</v>
      </c>
    </row>
    <row r="211" spans="1:8" x14ac:dyDescent="0.3">
      <c r="E211" s="2" t="s">
        <v>589</v>
      </c>
    </row>
    <row r="212" spans="1:8" x14ac:dyDescent="0.3">
      <c r="A212">
        <v>44735</v>
      </c>
      <c r="B212" t="s">
        <v>146</v>
      </c>
      <c r="C212" t="s">
        <v>62</v>
      </c>
      <c r="D212" t="s">
        <v>660</v>
      </c>
      <c r="E212" s="2">
        <f t="shared" ref="E212:E274" si="3">F212+H212</f>
        <v>193599.16</v>
      </c>
      <c r="F212" s="2">
        <v>129066.11</v>
      </c>
      <c r="G212" s="2">
        <v>64533.05</v>
      </c>
      <c r="H212" s="2">
        <v>64533.05</v>
      </c>
    </row>
    <row r="213" spans="1:8" x14ac:dyDescent="0.3">
      <c r="E213" s="2" t="s">
        <v>589</v>
      </c>
    </row>
    <row r="214" spans="1:8" x14ac:dyDescent="0.3">
      <c r="A214">
        <v>44743</v>
      </c>
      <c r="B214" t="s">
        <v>147</v>
      </c>
      <c r="C214" t="s">
        <v>85</v>
      </c>
      <c r="D214" t="s">
        <v>738</v>
      </c>
      <c r="E214" s="2">
        <f t="shared" si="3"/>
        <v>21924.98</v>
      </c>
      <c r="F214" s="2">
        <v>14616.65</v>
      </c>
      <c r="G214" s="2">
        <v>7308.33</v>
      </c>
      <c r="H214" s="2">
        <v>7308.33</v>
      </c>
    </row>
    <row r="215" spans="1:8" x14ac:dyDescent="0.3">
      <c r="E215" s="2" t="s">
        <v>589</v>
      </c>
    </row>
    <row r="216" spans="1:8" x14ac:dyDescent="0.3">
      <c r="A216">
        <v>44768</v>
      </c>
      <c r="B216" t="s">
        <v>149</v>
      </c>
      <c r="C216" t="s">
        <v>95</v>
      </c>
      <c r="D216" t="s">
        <v>739</v>
      </c>
      <c r="E216" s="2">
        <f t="shared" si="3"/>
        <v>55366.799999999996</v>
      </c>
      <c r="F216" s="2">
        <v>36911.199999999997</v>
      </c>
      <c r="G216" s="2">
        <v>18455.599999999999</v>
      </c>
      <c r="H216" s="2">
        <v>18455.599999999999</v>
      </c>
    </row>
    <row r="217" spans="1:8" x14ac:dyDescent="0.3">
      <c r="E217" s="2" t="s">
        <v>589</v>
      </c>
    </row>
    <row r="218" spans="1:8" x14ac:dyDescent="0.3">
      <c r="A218">
        <v>44776</v>
      </c>
      <c r="B218" t="s">
        <v>150</v>
      </c>
      <c r="C218" t="s">
        <v>98</v>
      </c>
      <c r="D218" t="s">
        <v>740</v>
      </c>
      <c r="E218" s="2">
        <f t="shared" si="3"/>
        <v>31558.409999999996</v>
      </c>
      <c r="F218" s="2">
        <v>21038.94</v>
      </c>
      <c r="G218" s="2">
        <v>10519.47</v>
      </c>
      <c r="H218" s="2">
        <v>10519.47</v>
      </c>
    </row>
    <row r="219" spans="1:8" x14ac:dyDescent="0.3">
      <c r="E219" s="2" t="s">
        <v>589</v>
      </c>
    </row>
    <row r="220" spans="1:8" x14ac:dyDescent="0.3">
      <c r="A220">
        <v>44784</v>
      </c>
      <c r="B220" t="s">
        <v>741</v>
      </c>
      <c r="C220" t="s">
        <v>517</v>
      </c>
      <c r="D220" t="s">
        <v>742</v>
      </c>
      <c r="E220" s="2">
        <f t="shared" si="3"/>
        <v>508773.64</v>
      </c>
      <c r="F220" s="2">
        <v>339182.43</v>
      </c>
      <c r="G220" s="2">
        <v>169591.21</v>
      </c>
      <c r="H220" s="2">
        <v>169591.21</v>
      </c>
    </row>
    <row r="221" spans="1:8" x14ac:dyDescent="0.3">
      <c r="A221">
        <v>44784</v>
      </c>
      <c r="B221" t="s">
        <v>741</v>
      </c>
      <c r="C221" t="s">
        <v>517</v>
      </c>
      <c r="D221" t="s">
        <v>743</v>
      </c>
      <c r="E221" s="2">
        <f t="shared" si="3"/>
        <v>355181.6</v>
      </c>
      <c r="F221" s="2">
        <v>236787.73</v>
      </c>
      <c r="G221" s="2">
        <v>118393.87</v>
      </c>
      <c r="H221" s="2">
        <v>118393.87</v>
      </c>
    </row>
    <row r="222" spans="1:8" x14ac:dyDescent="0.3">
      <c r="E222" s="2" t="s">
        <v>589</v>
      </c>
    </row>
    <row r="223" spans="1:8" x14ac:dyDescent="0.3">
      <c r="A223">
        <v>44800</v>
      </c>
      <c r="B223" t="s">
        <v>152</v>
      </c>
      <c r="C223" t="s">
        <v>48</v>
      </c>
      <c r="D223" t="s">
        <v>744</v>
      </c>
      <c r="E223" s="2">
        <f t="shared" si="3"/>
        <v>287627.39</v>
      </c>
      <c r="F223" s="2">
        <v>191751.59</v>
      </c>
      <c r="G223" s="2">
        <v>95875.8</v>
      </c>
      <c r="H223" s="2">
        <v>95875.8</v>
      </c>
    </row>
    <row r="224" spans="1:8" x14ac:dyDescent="0.3">
      <c r="A224">
        <v>44800</v>
      </c>
      <c r="B224" t="s">
        <v>152</v>
      </c>
      <c r="C224" t="s">
        <v>48</v>
      </c>
      <c r="D224" t="s">
        <v>745</v>
      </c>
      <c r="E224" s="2">
        <f t="shared" si="3"/>
        <v>113232.62</v>
      </c>
      <c r="F224" s="2">
        <v>75488.41</v>
      </c>
      <c r="G224" s="2">
        <v>37744.21</v>
      </c>
      <c r="H224" s="2">
        <v>37744.21</v>
      </c>
    </row>
    <row r="225" spans="1:8" x14ac:dyDescent="0.3">
      <c r="E225" s="2" t="s">
        <v>589</v>
      </c>
    </row>
    <row r="226" spans="1:8" x14ac:dyDescent="0.3">
      <c r="A226">
        <v>44818</v>
      </c>
      <c r="B226" t="s">
        <v>153</v>
      </c>
      <c r="C226" t="s">
        <v>154</v>
      </c>
      <c r="D226" t="s">
        <v>746</v>
      </c>
      <c r="E226" s="2">
        <f t="shared" si="3"/>
        <v>45585.880000000005</v>
      </c>
      <c r="F226" s="2">
        <v>30390.59</v>
      </c>
      <c r="G226" s="2">
        <v>15195.29</v>
      </c>
      <c r="H226" s="2">
        <v>15195.29</v>
      </c>
    </row>
    <row r="227" spans="1:8" x14ac:dyDescent="0.3">
      <c r="A227">
        <v>44818</v>
      </c>
      <c r="B227" t="s">
        <v>153</v>
      </c>
      <c r="C227" t="s">
        <v>154</v>
      </c>
      <c r="D227" t="s">
        <v>747</v>
      </c>
      <c r="E227" s="2">
        <f t="shared" si="3"/>
        <v>66625.510000000009</v>
      </c>
      <c r="F227" s="2">
        <v>44417.01</v>
      </c>
      <c r="G227" s="2">
        <v>22208.5</v>
      </c>
      <c r="H227" s="2">
        <v>22208.5</v>
      </c>
    </row>
    <row r="228" spans="1:8" x14ac:dyDescent="0.3">
      <c r="A228">
        <v>44818</v>
      </c>
      <c r="B228" t="s">
        <v>153</v>
      </c>
      <c r="C228" t="s">
        <v>154</v>
      </c>
      <c r="D228" t="s">
        <v>748</v>
      </c>
      <c r="E228" s="2">
        <f t="shared" si="3"/>
        <v>17533.03</v>
      </c>
      <c r="F228" s="2">
        <v>11688.69</v>
      </c>
      <c r="G228" s="2">
        <v>5844.34</v>
      </c>
      <c r="H228" s="2">
        <v>5844.34</v>
      </c>
    </row>
    <row r="229" spans="1:8" x14ac:dyDescent="0.3">
      <c r="E229" s="2" t="s">
        <v>589</v>
      </c>
    </row>
    <row r="230" spans="1:8" x14ac:dyDescent="0.3">
      <c r="A230">
        <v>44826</v>
      </c>
      <c r="B230" t="s">
        <v>155</v>
      </c>
      <c r="C230" t="s">
        <v>156</v>
      </c>
      <c r="D230" t="s">
        <v>749</v>
      </c>
      <c r="E230" s="2">
        <f t="shared" si="3"/>
        <v>64455.95</v>
      </c>
      <c r="F230" s="2">
        <v>42970.63</v>
      </c>
      <c r="G230" s="2">
        <v>21485.32</v>
      </c>
      <c r="H230" s="2">
        <v>21485.32</v>
      </c>
    </row>
    <row r="231" spans="1:8" x14ac:dyDescent="0.3">
      <c r="A231">
        <v>44826</v>
      </c>
      <c r="B231" t="s">
        <v>155</v>
      </c>
      <c r="C231" t="s">
        <v>156</v>
      </c>
      <c r="D231" t="s">
        <v>750</v>
      </c>
      <c r="E231" s="2">
        <f t="shared" si="3"/>
        <v>19199.64</v>
      </c>
      <c r="F231" s="2">
        <v>12799.76</v>
      </c>
      <c r="G231" s="2">
        <v>6399.88</v>
      </c>
      <c r="H231" s="2">
        <v>6399.88</v>
      </c>
    </row>
    <row r="232" spans="1:8" x14ac:dyDescent="0.3">
      <c r="E232" s="2" t="s">
        <v>589</v>
      </c>
    </row>
    <row r="233" spans="1:8" x14ac:dyDescent="0.3">
      <c r="A233">
        <v>44834</v>
      </c>
      <c r="B233" t="s">
        <v>158</v>
      </c>
      <c r="C233" t="s">
        <v>1</v>
      </c>
      <c r="D233" t="s">
        <v>751</v>
      </c>
      <c r="E233" s="2">
        <f t="shared" si="3"/>
        <v>30702.5</v>
      </c>
      <c r="F233" s="2">
        <v>20468.330000000002</v>
      </c>
      <c r="G233" s="2">
        <v>10234.17</v>
      </c>
      <c r="H233" s="2">
        <v>10234.17</v>
      </c>
    </row>
    <row r="234" spans="1:8" x14ac:dyDescent="0.3">
      <c r="A234">
        <v>44834</v>
      </c>
      <c r="B234" t="s">
        <v>158</v>
      </c>
      <c r="C234" t="s">
        <v>1</v>
      </c>
      <c r="D234" t="s">
        <v>752</v>
      </c>
      <c r="E234" s="2">
        <f t="shared" si="3"/>
        <v>87177.19</v>
      </c>
      <c r="F234" s="2">
        <v>58118.13</v>
      </c>
      <c r="G234" s="2">
        <v>29059.06</v>
      </c>
      <c r="H234" s="2">
        <v>29059.06</v>
      </c>
    </row>
    <row r="235" spans="1:8" x14ac:dyDescent="0.3">
      <c r="A235">
        <v>44834</v>
      </c>
      <c r="B235" t="s">
        <v>158</v>
      </c>
      <c r="C235" t="s">
        <v>1</v>
      </c>
      <c r="D235" t="s">
        <v>753</v>
      </c>
      <c r="E235" s="2">
        <f t="shared" si="3"/>
        <v>185559.66999999998</v>
      </c>
      <c r="F235" s="2">
        <v>123706.45</v>
      </c>
      <c r="G235" s="2">
        <v>61853.22</v>
      </c>
      <c r="H235" s="2">
        <v>61853.22</v>
      </c>
    </row>
    <row r="236" spans="1:8" x14ac:dyDescent="0.3">
      <c r="E236" s="2" t="s">
        <v>589</v>
      </c>
    </row>
    <row r="237" spans="1:8" x14ac:dyDescent="0.3">
      <c r="A237">
        <v>44891</v>
      </c>
      <c r="B237" t="s">
        <v>163</v>
      </c>
      <c r="C237" t="s">
        <v>66</v>
      </c>
      <c r="D237" t="s">
        <v>754</v>
      </c>
      <c r="E237" s="2">
        <f t="shared" si="3"/>
        <v>67929.440000000002</v>
      </c>
      <c r="F237" s="2">
        <v>45286.29</v>
      </c>
      <c r="G237" s="2">
        <v>22643.15</v>
      </c>
      <c r="H237" s="2">
        <v>22643.15</v>
      </c>
    </row>
    <row r="238" spans="1:8" x14ac:dyDescent="0.3">
      <c r="A238">
        <v>44891</v>
      </c>
      <c r="B238" t="s">
        <v>163</v>
      </c>
      <c r="C238" t="s">
        <v>66</v>
      </c>
      <c r="D238" t="s">
        <v>755</v>
      </c>
      <c r="E238" s="2">
        <f t="shared" si="3"/>
        <v>21193.989999999998</v>
      </c>
      <c r="F238" s="2">
        <v>14129.33</v>
      </c>
      <c r="G238" s="2">
        <v>7064.66</v>
      </c>
      <c r="H238" s="2">
        <v>7064.66</v>
      </c>
    </row>
    <row r="239" spans="1:8" x14ac:dyDescent="0.3">
      <c r="A239">
        <v>44891</v>
      </c>
      <c r="B239" t="s">
        <v>163</v>
      </c>
      <c r="C239" t="s">
        <v>66</v>
      </c>
      <c r="D239" t="s">
        <v>756</v>
      </c>
      <c r="E239" s="2">
        <f t="shared" si="3"/>
        <v>9374.26</v>
      </c>
      <c r="F239" s="2">
        <v>6249.51</v>
      </c>
      <c r="G239" s="2">
        <v>3124.75</v>
      </c>
      <c r="H239" s="2">
        <v>3124.75</v>
      </c>
    </row>
    <row r="240" spans="1:8" x14ac:dyDescent="0.3">
      <c r="E240" s="2" t="s">
        <v>589</v>
      </c>
    </row>
    <row r="241" spans="1:8" x14ac:dyDescent="0.3">
      <c r="A241">
        <v>44909</v>
      </c>
      <c r="B241" t="s">
        <v>164</v>
      </c>
      <c r="C241" t="s">
        <v>105</v>
      </c>
      <c r="D241" t="s">
        <v>757</v>
      </c>
      <c r="E241" s="2">
        <f t="shared" si="3"/>
        <v>783236.62</v>
      </c>
      <c r="F241" s="2">
        <v>522157.75</v>
      </c>
      <c r="G241" s="2">
        <v>261078.87</v>
      </c>
      <c r="H241" s="2">
        <v>261078.87</v>
      </c>
    </row>
    <row r="242" spans="1:8" x14ac:dyDescent="0.3">
      <c r="A242">
        <v>44909</v>
      </c>
      <c r="B242" t="s">
        <v>164</v>
      </c>
      <c r="C242" t="s">
        <v>105</v>
      </c>
      <c r="D242" t="s">
        <v>758</v>
      </c>
      <c r="E242" s="2">
        <f t="shared" si="3"/>
        <v>576401.31999999995</v>
      </c>
      <c r="F242" s="2">
        <v>384267.55</v>
      </c>
      <c r="G242" s="2">
        <v>192133.77</v>
      </c>
      <c r="H242" s="2">
        <v>192133.77</v>
      </c>
    </row>
    <row r="243" spans="1:8" x14ac:dyDescent="0.3">
      <c r="A243">
        <v>44909</v>
      </c>
      <c r="B243" t="s">
        <v>164</v>
      </c>
      <c r="C243" t="s">
        <v>105</v>
      </c>
      <c r="D243" t="s">
        <v>627</v>
      </c>
      <c r="E243" s="2">
        <f t="shared" si="3"/>
        <v>77563.240000000005</v>
      </c>
      <c r="F243" s="2">
        <v>51708.83</v>
      </c>
      <c r="G243" s="2">
        <v>25854.41</v>
      </c>
      <c r="H243" s="2">
        <v>25854.41</v>
      </c>
    </row>
    <row r="244" spans="1:8" x14ac:dyDescent="0.3">
      <c r="E244" s="2" t="s">
        <v>589</v>
      </c>
    </row>
    <row r="245" spans="1:8" x14ac:dyDescent="0.3">
      <c r="A245">
        <v>44958</v>
      </c>
      <c r="B245" t="s">
        <v>759</v>
      </c>
      <c r="C245" t="s">
        <v>38</v>
      </c>
      <c r="D245" t="s">
        <v>760</v>
      </c>
      <c r="E245" s="2">
        <f t="shared" si="3"/>
        <v>513382.31</v>
      </c>
      <c r="F245" s="2">
        <v>342254.87</v>
      </c>
      <c r="G245" s="2">
        <v>171127.44</v>
      </c>
      <c r="H245" s="2">
        <v>171127.44</v>
      </c>
    </row>
    <row r="246" spans="1:8" x14ac:dyDescent="0.3">
      <c r="E246" s="2" t="s">
        <v>589</v>
      </c>
    </row>
    <row r="247" spans="1:8" x14ac:dyDescent="0.3">
      <c r="A247">
        <v>44966</v>
      </c>
      <c r="B247" t="s">
        <v>168</v>
      </c>
      <c r="C247" t="s">
        <v>169</v>
      </c>
      <c r="D247" t="s">
        <v>761</v>
      </c>
      <c r="E247" s="2">
        <f t="shared" si="3"/>
        <v>133530.07</v>
      </c>
      <c r="F247" s="2">
        <v>89020.05</v>
      </c>
      <c r="G247" s="2">
        <v>44510.02</v>
      </c>
      <c r="H247" s="2">
        <v>44510.02</v>
      </c>
    </row>
    <row r="248" spans="1:8" x14ac:dyDescent="0.3">
      <c r="E248" s="2" t="s">
        <v>589</v>
      </c>
    </row>
    <row r="249" spans="1:8" x14ac:dyDescent="0.3">
      <c r="A249">
        <v>44990</v>
      </c>
      <c r="B249" t="s">
        <v>170</v>
      </c>
      <c r="C249" t="s">
        <v>74</v>
      </c>
      <c r="D249" t="s">
        <v>762</v>
      </c>
      <c r="E249" s="2">
        <f t="shared" si="3"/>
        <v>305909.73</v>
      </c>
      <c r="F249" s="2">
        <v>203939.82</v>
      </c>
      <c r="G249" s="2">
        <v>101969.91</v>
      </c>
      <c r="H249" s="2">
        <v>101969.91</v>
      </c>
    </row>
    <row r="250" spans="1:8" x14ac:dyDescent="0.3">
      <c r="A250">
        <v>44990</v>
      </c>
      <c r="B250" t="s">
        <v>170</v>
      </c>
      <c r="C250" t="s">
        <v>74</v>
      </c>
      <c r="D250" t="s">
        <v>763</v>
      </c>
      <c r="E250" s="2">
        <f t="shared" si="3"/>
        <v>629005.4</v>
      </c>
      <c r="F250" s="2">
        <v>419336.93</v>
      </c>
      <c r="G250" s="2">
        <v>209668.47</v>
      </c>
      <c r="H250" s="2">
        <v>209668.47</v>
      </c>
    </row>
    <row r="251" spans="1:8" x14ac:dyDescent="0.3">
      <c r="A251">
        <v>44990</v>
      </c>
      <c r="B251" t="s">
        <v>170</v>
      </c>
      <c r="C251" t="s">
        <v>74</v>
      </c>
      <c r="D251" t="s">
        <v>764</v>
      </c>
      <c r="E251" s="2">
        <f t="shared" si="3"/>
        <v>378090.68</v>
      </c>
      <c r="F251" s="2">
        <v>252060.45</v>
      </c>
      <c r="G251" s="2">
        <v>126030.23</v>
      </c>
      <c r="H251" s="2">
        <v>126030.23</v>
      </c>
    </row>
    <row r="252" spans="1:8" x14ac:dyDescent="0.3">
      <c r="E252" s="2" t="s">
        <v>589</v>
      </c>
    </row>
    <row r="253" spans="1:8" x14ac:dyDescent="0.3">
      <c r="A253">
        <v>45005</v>
      </c>
      <c r="B253" t="s">
        <v>171</v>
      </c>
      <c r="C253" t="s">
        <v>14</v>
      </c>
      <c r="D253" t="s">
        <v>765</v>
      </c>
      <c r="E253" s="2">
        <f t="shared" si="3"/>
        <v>170492.19</v>
      </c>
      <c r="F253" s="2">
        <v>113661.46</v>
      </c>
      <c r="G253" s="2">
        <v>56830.73</v>
      </c>
      <c r="H253" s="2">
        <v>56830.73</v>
      </c>
    </row>
    <row r="254" spans="1:8" x14ac:dyDescent="0.3">
      <c r="A254">
        <v>45005</v>
      </c>
      <c r="B254" t="s">
        <v>171</v>
      </c>
      <c r="C254" t="s">
        <v>14</v>
      </c>
      <c r="D254" t="s">
        <v>766</v>
      </c>
      <c r="E254" s="2">
        <f t="shared" si="3"/>
        <v>179625.71</v>
      </c>
      <c r="F254" s="2">
        <v>119750.47</v>
      </c>
      <c r="G254" s="2">
        <v>59875.24</v>
      </c>
      <c r="H254" s="2">
        <v>59875.24</v>
      </c>
    </row>
    <row r="255" spans="1:8" x14ac:dyDescent="0.3">
      <c r="E255" s="2" t="s">
        <v>589</v>
      </c>
    </row>
    <row r="256" spans="1:8" x14ac:dyDescent="0.3">
      <c r="A256">
        <v>45013</v>
      </c>
      <c r="B256" t="s">
        <v>173</v>
      </c>
      <c r="C256" t="s">
        <v>174</v>
      </c>
      <c r="D256" t="s">
        <v>767</v>
      </c>
      <c r="E256" s="2">
        <f t="shared" si="3"/>
        <v>84002.57</v>
      </c>
      <c r="F256" s="2">
        <v>56001.71</v>
      </c>
      <c r="G256" s="2">
        <v>28000.86</v>
      </c>
      <c r="H256" s="2">
        <v>28000.86</v>
      </c>
    </row>
    <row r="257" spans="1:8" x14ac:dyDescent="0.3">
      <c r="A257">
        <v>45013</v>
      </c>
      <c r="B257" t="s">
        <v>173</v>
      </c>
      <c r="C257" t="s">
        <v>174</v>
      </c>
      <c r="D257" t="s">
        <v>768</v>
      </c>
      <c r="E257" s="2">
        <f t="shared" si="3"/>
        <v>42001.29</v>
      </c>
      <c r="F257" s="2">
        <v>28000.86</v>
      </c>
      <c r="G257" s="2">
        <v>14000.43</v>
      </c>
      <c r="H257" s="2">
        <v>14000.43</v>
      </c>
    </row>
    <row r="258" spans="1:8" x14ac:dyDescent="0.3">
      <c r="E258" s="2" t="s">
        <v>589</v>
      </c>
    </row>
    <row r="259" spans="1:8" x14ac:dyDescent="0.3">
      <c r="A259">
        <v>45021</v>
      </c>
      <c r="B259" t="s">
        <v>175</v>
      </c>
      <c r="C259" t="s">
        <v>88</v>
      </c>
      <c r="D259" t="s">
        <v>769</v>
      </c>
      <c r="E259" s="2">
        <f t="shared" si="3"/>
        <v>24127.48</v>
      </c>
      <c r="F259" s="2">
        <v>16084.99</v>
      </c>
      <c r="G259" s="2">
        <v>8042.49</v>
      </c>
      <c r="H259" s="2">
        <v>8042.49</v>
      </c>
    </row>
    <row r="260" spans="1:8" x14ac:dyDescent="0.3">
      <c r="E260" s="2" t="s">
        <v>589</v>
      </c>
    </row>
    <row r="261" spans="1:8" x14ac:dyDescent="0.3">
      <c r="A261">
        <v>45096</v>
      </c>
      <c r="B261" t="s">
        <v>179</v>
      </c>
      <c r="C261" t="s">
        <v>21</v>
      </c>
      <c r="D261" t="s">
        <v>770</v>
      </c>
      <c r="E261" s="2">
        <f t="shared" si="3"/>
        <v>164086.79</v>
      </c>
      <c r="F261" s="2">
        <v>109391.19</v>
      </c>
      <c r="G261" s="2">
        <v>54695.6</v>
      </c>
      <c r="H261" s="2">
        <v>54695.6</v>
      </c>
    </row>
    <row r="262" spans="1:8" x14ac:dyDescent="0.3">
      <c r="A262">
        <v>45096</v>
      </c>
      <c r="B262" t="s">
        <v>179</v>
      </c>
      <c r="C262" t="s">
        <v>21</v>
      </c>
      <c r="D262" t="s">
        <v>771</v>
      </c>
      <c r="E262" s="2">
        <f t="shared" si="3"/>
        <v>39556.639999999999</v>
      </c>
      <c r="F262" s="2">
        <v>26371.09</v>
      </c>
      <c r="G262" s="2">
        <v>13185.55</v>
      </c>
      <c r="H262" s="2">
        <v>13185.55</v>
      </c>
    </row>
    <row r="263" spans="1:8" x14ac:dyDescent="0.3">
      <c r="E263" s="2" t="s">
        <v>589</v>
      </c>
    </row>
    <row r="264" spans="1:8" x14ac:dyDescent="0.3">
      <c r="A264">
        <v>45104</v>
      </c>
      <c r="B264" t="s">
        <v>180</v>
      </c>
      <c r="C264" t="s">
        <v>134</v>
      </c>
      <c r="D264" t="s">
        <v>772</v>
      </c>
      <c r="E264" s="2">
        <f t="shared" si="3"/>
        <v>125737.74</v>
      </c>
      <c r="F264" s="2">
        <v>83825.16</v>
      </c>
      <c r="G264" s="2">
        <v>41912.58</v>
      </c>
      <c r="H264" s="2">
        <v>41912.58</v>
      </c>
    </row>
    <row r="265" spans="1:8" x14ac:dyDescent="0.3">
      <c r="A265">
        <v>45104</v>
      </c>
      <c r="B265" t="s">
        <v>180</v>
      </c>
      <c r="C265" t="s">
        <v>134</v>
      </c>
      <c r="D265" t="s">
        <v>773</v>
      </c>
      <c r="E265" s="2">
        <f t="shared" si="3"/>
        <v>179212.41999999998</v>
      </c>
      <c r="F265" s="2">
        <v>119474.95</v>
      </c>
      <c r="G265" s="2">
        <v>59737.47</v>
      </c>
      <c r="H265" s="2">
        <v>59737.47</v>
      </c>
    </row>
    <row r="266" spans="1:8" x14ac:dyDescent="0.3">
      <c r="A266">
        <v>45104</v>
      </c>
      <c r="B266" t="s">
        <v>180</v>
      </c>
      <c r="C266" t="s">
        <v>134</v>
      </c>
      <c r="D266" t="s">
        <v>774</v>
      </c>
      <c r="E266" s="2">
        <f t="shared" si="3"/>
        <v>183548.2</v>
      </c>
      <c r="F266" s="2">
        <v>122365.47</v>
      </c>
      <c r="G266" s="2">
        <v>61182.73</v>
      </c>
      <c r="H266" s="2">
        <v>61182.73</v>
      </c>
    </row>
    <row r="267" spans="1:8" x14ac:dyDescent="0.3">
      <c r="A267">
        <v>45104</v>
      </c>
      <c r="B267" t="s">
        <v>180</v>
      </c>
      <c r="C267" t="s">
        <v>134</v>
      </c>
      <c r="D267" t="s">
        <v>775</v>
      </c>
      <c r="E267" s="2">
        <f t="shared" si="3"/>
        <v>304227.53000000003</v>
      </c>
      <c r="F267" s="2">
        <v>202818.35</v>
      </c>
      <c r="G267" s="2">
        <v>101409.18</v>
      </c>
      <c r="H267" s="2">
        <v>101409.18</v>
      </c>
    </row>
    <row r="268" spans="1:8" x14ac:dyDescent="0.3">
      <c r="E268" s="2" t="s">
        <v>589</v>
      </c>
    </row>
    <row r="269" spans="1:8" x14ac:dyDescent="0.3">
      <c r="A269">
        <v>45112</v>
      </c>
      <c r="B269" t="s">
        <v>181</v>
      </c>
      <c r="C269" t="s">
        <v>182</v>
      </c>
      <c r="D269" t="s">
        <v>776</v>
      </c>
      <c r="E269" s="2">
        <f t="shared" si="3"/>
        <v>87200.11</v>
      </c>
      <c r="F269" s="2">
        <v>58133.41</v>
      </c>
      <c r="G269" s="2">
        <v>29066.7</v>
      </c>
      <c r="H269" s="2">
        <v>29066.7</v>
      </c>
    </row>
    <row r="270" spans="1:8" x14ac:dyDescent="0.3">
      <c r="A270">
        <v>45112</v>
      </c>
      <c r="B270" t="s">
        <v>181</v>
      </c>
      <c r="C270" t="s">
        <v>182</v>
      </c>
      <c r="D270" t="s">
        <v>777</v>
      </c>
      <c r="E270" s="2">
        <f t="shared" si="3"/>
        <v>54973.979999999996</v>
      </c>
      <c r="F270" s="2">
        <v>36649.32</v>
      </c>
      <c r="G270" s="2">
        <v>18324.66</v>
      </c>
      <c r="H270" s="2">
        <v>18324.66</v>
      </c>
    </row>
    <row r="271" spans="1:8" x14ac:dyDescent="0.3">
      <c r="E271" s="2" t="s">
        <v>589</v>
      </c>
    </row>
    <row r="272" spans="1:8" x14ac:dyDescent="0.3">
      <c r="A272">
        <v>45120</v>
      </c>
      <c r="B272" t="s">
        <v>183</v>
      </c>
      <c r="C272" t="s">
        <v>132</v>
      </c>
      <c r="D272" t="s">
        <v>778</v>
      </c>
      <c r="E272" s="2">
        <f t="shared" si="3"/>
        <v>115814.23000000001</v>
      </c>
      <c r="F272" s="2">
        <v>77209.490000000005</v>
      </c>
      <c r="G272" s="2">
        <v>38604.74</v>
      </c>
      <c r="H272" s="2">
        <v>38604.74</v>
      </c>
    </row>
    <row r="273" spans="1:8" x14ac:dyDescent="0.3">
      <c r="E273" s="2" t="s">
        <v>589</v>
      </c>
    </row>
    <row r="274" spans="1:8" x14ac:dyDescent="0.3">
      <c r="A274">
        <v>45138</v>
      </c>
      <c r="B274" t="s">
        <v>779</v>
      </c>
      <c r="C274" t="s">
        <v>48</v>
      </c>
      <c r="D274" t="s">
        <v>780</v>
      </c>
      <c r="E274" s="2">
        <f t="shared" si="3"/>
        <v>22892.53</v>
      </c>
      <c r="F274" s="2">
        <v>22892.53</v>
      </c>
      <c r="G274" s="2">
        <v>11446.27</v>
      </c>
      <c r="H274" s="7">
        <v>0</v>
      </c>
    </row>
    <row r="275" spans="1:8" x14ac:dyDescent="0.3">
      <c r="A275">
        <v>45138</v>
      </c>
      <c r="B275" t="s">
        <v>779</v>
      </c>
      <c r="C275" t="s">
        <v>48</v>
      </c>
      <c r="D275" t="s">
        <v>781</v>
      </c>
      <c r="E275" s="2">
        <f t="shared" ref="E275:E338" si="4">F275+H275</f>
        <v>40136.259999999995</v>
      </c>
      <c r="F275" s="2">
        <v>26757.51</v>
      </c>
      <c r="G275" s="2">
        <v>13378.75</v>
      </c>
      <c r="H275" s="2">
        <v>13378.75</v>
      </c>
    </row>
    <row r="276" spans="1:8" x14ac:dyDescent="0.3">
      <c r="A276">
        <v>45138</v>
      </c>
      <c r="B276" t="s">
        <v>779</v>
      </c>
      <c r="C276" t="s">
        <v>48</v>
      </c>
      <c r="D276" t="s">
        <v>782</v>
      </c>
      <c r="E276" s="2">
        <f t="shared" si="4"/>
        <v>13378.75</v>
      </c>
      <c r="F276" s="2">
        <v>13378.75</v>
      </c>
      <c r="G276" s="2">
        <v>6689.38</v>
      </c>
      <c r="H276" s="7">
        <v>0</v>
      </c>
    </row>
    <row r="277" spans="1:8" x14ac:dyDescent="0.3">
      <c r="A277">
        <v>45138</v>
      </c>
      <c r="B277" t="s">
        <v>779</v>
      </c>
      <c r="C277" t="s">
        <v>48</v>
      </c>
      <c r="D277" t="s">
        <v>783</v>
      </c>
      <c r="E277" s="2">
        <f t="shared" si="4"/>
        <v>138247.13</v>
      </c>
      <c r="F277" s="2">
        <v>92164.75</v>
      </c>
      <c r="G277" s="2">
        <v>46082.38</v>
      </c>
      <c r="H277" s="2">
        <v>46082.38</v>
      </c>
    </row>
    <row r="278" spans="1:8" x14ac:dyDescent="0.3">
      <c r="E278" s="2" t="s">
        <v>589</v>
      </c>
    </row>
    <row r="279" spans="1:8" x14ac:dyDescent="0.3">
      <c r="A279">
        <v>45153</v>
      </c>
      <c r="B279" t="s">
        <v>185</v>
      </c>
      <c r="C279" t="s">
        <v>186</v>
      </c>
      <c r="D279" t="s">
        <v>784</v>
      </c>
      <c r="E279" s="2">
        <f t="shared" si="4"/>
        <v>101465.88</v>
      </c>
      <c r="F279" s="2">
        <v>67643.92</v>
      </c>
      <c r="G279" s="2">
        <v>33821.96</v>
      </c>
      <c r="H279" s="2">
        <v>33821.96</v>
      </c>
    </row>
    <row r="280" spans="1:8" x14ac:dyDescent="0.3">
      <c r="A280">
        <v>45153</v>
      </c>
      <c r="B280" t="s">
        <v>185</v>
      </c>
      <c r="C280" t="s">
        <v>186</v>
      </c>
      <c r="D280" t="s">
        <v>785</v>
      </c>
      <c r="E280" s="2">
        <f t="shared" si="4"/>
        <v>132955.29</v>
      </c>
      <c r="F280" s="2">
        <v>88636.86</v>
      </c>
      <c r="G280" s="2">
        <v>44318.43</v>
      </c>
      <c r="H280" s="2">
        <v>44318.43</v>
      </c>
    </row>
    <row r="281" spans="1:8" x14ac:dyDescent="0.3">
      <c r="E281" s="2" t="s">
        <v>589</v>
      </c>
    </row>
    <row r="282" spans="1:8" x14ac:dyDescent="0.3">
      <c r="A282">
        <v>45161</v>
      </c>
      <c r="B282" t="s">
        <v>187</v>
      </c>
      <c r="C282" t="s">
        <v>35</v>
      </c>
      <c r="D282" t="s">
        <v>786</v>
      </c>
      <c r="E282" s="2">
        <f t="shared" si="4"/>
        <v>162235.41999999998</v>
      </c>
      <c r="F282" s="2">
        <v>108156.95</v>
      </c>
      <c r="G282" s="2">
        <v>54078.47</v>
      </c>
      <c r="H282" s="2">
        <v>54078.47</v>
      </c>
    </row>
    <row r="283" spans="1:8" x14ac:dyDescent="0.3">
      <c r="A283">
        <v>45161</v>
      </c>
      <c r="B283" t="s">
        <v>187</v>
      </c>
      <c r="C283" t="s">
        <v>35</v>
      </c>
      <c r="D283" t="s">
        <v>787</v>
      </c>
      <c r="E283" s="2">
        <f t="shared" si="4"/>
        <v>23858.15</v>
      </c>
      <c r="F283" s="2">
        <v>15905.43</v>
      </c>
      <c r="G283" s="2">
        <v>7952.72</v>
      </c>
      <c r="H283" s="2">
        <v>7952.72</v>
      </c>
    </row>
    <row r="284" spans="1:8" x14ac:dyDescent="0.3">
      <c r="E284" s="2" t="s">
        <v>589</v>
      </c>
    </row>
    <row r="285" spans="1:8" x14ac:dyDescent="0.3">
      <c r="A285">
        <v>45179</v>
      </c>
      <c r="B285" t="s">
        <v>788</v>
      </c>
      <c r="C285" t="s">
        <v>449</v>
      </c>
      <c r="D285" t="s">
        <v>789</v>
      </c>
      <c r="E285" s="2">
        <f t="shared" si="4"/>
        <v>116269.88999999998</v>
      </c>
      <c r="F285" s="2">
        <v>77513.259999999995</v>
      </c>
      <c r="G285" s="2">
        <v>38756.629999999997</v>
      </c>
      <c r="H285" s="2">
        <v>38756.629999999997</v>
      </c>
    </row>
    <row r="286" spans="1:8" x14ac:dyDescent="0.3">
      <c r="A286">
        <v>45179</v>
      </c>
      <c r="B286" t="s">
        <v>788</v>
      </c>
      <c r="C286" t="s">
        <v>449</v>
      </c>
      <c r="D286" t="s">
        <v>790</v>
      </c>
      <c r="E286" s="2">
        <f t="shared" si="4"/>
        <v>173629.7</v>
      </c>
      <c r="F286" s="2">
        <v>115753.13</v>
      </c>
      <c r="G286" s="2">
        <v>57876.57</v>
      </c>
      <c r="H286" s="2">
        <v>57876.57</v>
      </c>
    </row>
    <row r="287" spans="1:8" x14ac:dyDescent="0.3">
      <c r="E287" s="2" t="s">
        <v>589</v>
      </c>
    </row>
    <row r="288" spans="1:8" x14ac:dyDescent="0.3">
      <c r="A288">
        <v>45211</v>
      </c>
      <c r="B288" t="s">
        <v>791</v>
      </c>
      <c r="C288" t="s">
        <v>58</v>
      </c>
      <c r="D288" t="s">
        <v>792</v>
      </c>
      <c r="E288" s="2">
        <f t="shared" si="4"/>
        <v>59080.22</v>
      </c>
      <c r="F288" s="2">
        <v>39386.81</v>
      </c>
      <c r="G288" s="2">
        <v>19693.41</v>
      </c>
      <c r="H288" s="2">
        <v>19693.41</v>
      </c>
    </row>
    <row r="289" spans="1:8" x14ac:dyDescent="0.3">
      <c r="A289">
        <v>45211</v>
      </c>
      <c r="B289" t="s">
        <v>791</v>
      </c>
      <c r="C289" t="s">
        <v>58</v>
      </c>
      <c r="D289" t="s">
        <v>793</v>
      </c>
      <c r="E289" s="2">
        <f t="shared" si="4"/>
        <v>58185.070000000007</v>
      </c>
      <c r="F289" s="2">
        <v>38790.050000000003</v>
      </c>
      <c r="G289" s="2">
        <v>19395.02</v>
      </c>
      <c r="H289" s="2">
        <v>19395.02</v>
      </c>
    </row>
    <row r="290" spans="1:8" x14ac:dyDescent="0.3">
      <c r="A290">
        <v>45211</v>
      </c>
      <c r="B290" t="s">
        <v>791</v>
      </c>
      <c r="C290" t="s">
        <v>58</v>
      </c>
      <c r="D290" t="s">
        <v>794</v>
      </c>
      <c r="E290" s="2">
        <f t="shared" si="4"/>
        <v>17903.099999999999</v>
      </c>
      <c r="F290" s="2">
        <v>11935.4</v>
      </c>
      <c r="G290" s="2">
        <v>5967.7</v>
      </c>
      <c r="H290" s="2">
        <v>5967.7</v>
      </c>
    </row>
    <row r="291" spans="1:8" x14ac:dyDescent="0.3">
      <c r="E291" s="2" t="s">
        <v>589</v>
      </c>
    </row>
    <row r="292" spans="1:8" x14ac:dyDescent="0.3">
      <c r="A292">
        <v>45237</v>
      </c>
      <c r="B292" t="s">
        <v>193</v>
      </c>
      <c r="C292" t="s">
        <v>17</v>
      </c>
      <c r="D292" t="s">
        <v>795</v>
      </c>
      <c r="E292" s="2">
        <f t="shared" si="4"/>
        <v>15.75</v>
      </c>
      <c r="F292" s="2">
        <v>10.5</v>
      </c>
      <c r="G292" s="2">
        <v>5.25</v>
      </c>
      <c r="H292" s="2">
        <v>5.25</v>
      </c>
    </row>
    <row r="293" spans="1:8" x14ac:dyDescent="0.3">
      <c r="A293">
        <v>45237</v>
      </c>
      <c r="B293" t="s">
        <v>193</v>
      </c>
      <c r="C293" t="s">
        <v>17</v>
      </c>
      <c r="D293" t="s">
        <v>796</v>
      </c>
      <c r="E293" s="2">
        <f t="shared" si="4"/>
        <v>0.42000000000000004</v>
      </c>
      <c r="F293" s="2">
        <v>0.28000000000000003</v>
      </c>
      <c r="G293" s="2">
        <v>0.14000000000000001</v>
      </c>
      <c r="H293" s="2">
        <v>0.14000000000000001</v>
      </c>
    </row>
    <row r="294" spans="1:8" x14ac:dyDescent="0.3">
      <c r="A294">
        <v>45237</v>
      </c>
      <c r="B294" t="s">
        <v>193</v>
      </c>
      <c r="C294" t="s">
        <v>17</v>
      </c>
      <c r="D294" t="s">
        <v>797</v>
      </c>
      <c r="E294" s="2">
        <f t="shared" si="4"/>
        <v>7.8999999999999995</v>
      </c>
      <c r="F294" s="2">
        <v>5.27</v>
      </c>
      <c r="G294" s="2">
        <v>2.63</v>
      </c>
      <c r="H294" s="2">
        <v>2.63</v>
      </c>
    </row>
    <row r="295" spans="1:8" x14ac:dyDescent="0.3">
      <c r="E295" s="2" t="s">
        <v>589</v>
      </c>
    </row>
    <row r="296" spans="1:8" x14ac:dyDescent="0.3">
      <c r="A296">
        <v>45302</v>
      </c>
      <c r="B296" t="s">
        <v>204</v>
      </c>
      <c r="C296" t="s">
        <v>70</v>
      </c>
      <c r="D296" t="s">
        <v>798</v>
      </c>
      <c r="E296" s="2">
        <f t="shared" si="4"/>
        <v>157810.51999999999</v>
      </c>
      <c r="F296" s="2">
        <v>105207.01</v>
      </c>
      <c r="G296" s="2">
        <v>52603.51</v>
      </c>
      <c r="H296" s="2">
        <v>52603.51</v>
      </c>
    </row>
    <row r="297" spans="1:8" x14ac:dyDescent="0.3">
      <c r="A297">
        <v>45302</v>
      </c>
      <c r="B297" t="s">
        <v>204</v>
      </c>
      <c r="C297" t="s">
        <v>70</v>
      </c>
      <c r="D297" t="s">
        <v>799</v>
      </c>
      <c r="E297" s="2">
        <f t="shared" si="4"/>
        <v>68206.240000000005</v>
      </c>
      <c r="F297" s="2">
        <v>45470.83</v>
      </c>
      <c r="G297" s="2">
        <v>22735.41</v>
      </c>
      <c r="H297" s="2">
        <v>22735.41</v>
      </c>
    </row>
    <row r="298" spans="1:8" x14ac:dyDescent="0.3">
      <c r="A298">
        <v>45302</v>
      </c>
      <c r="B298" t="s">
        <v>204</v>
      </c>
      <c r="C298" t="s">
        <v>70</v>
      </c>
      <c r="D298" t="s">
        <v>800</v>
      </c>
      <c r="E298" s="2">
        <f t="shared" si="4"/>
        <v>21398.04</v>
      </c>
      <c r="F298" s="2">
        <v>14265.36</v>
      </c>
      <c r="G298" s="2">
        <v>7132.68</v>
      </c>
      <c r="H298" s="2">
        <v>7132.68</v>
      </c>
    </row>
    <row r="299" spans="1:8" x14ac:dyDescent="0.3">
      <c r="A299">
        <v>45302</v>
      </c>
      <c r="B299" t="s">
        <v>204</v>
      </c>
      <c r="C299" t="s">
        <v>70</v>
      </c>
      <c r="D299" t="s">
        <v>771</v>
      </c>
      <c r="E299" s="2">
        <f>F299+H299</f>
        <v>36109.19</v>
      </c>
      <c r="F299" s="2">
        <v>24072.79</v>
      </c>
      <c r="G299" s="2">
        <v>12036.4</v>
      </c>
      <c r="H299" s="2">
        <v>12036.4</v>
      </c>
    </row>
    <row r="300" spans="1:8" x14ac:dyDescent="0.3">
      <c r="E300" s="2" t="s">
        <v>589</v>
      </c>
    </row>
    <row r="301" spans="1:8" x14ac:dyDescent="0.3">
      <c r="A301">
        <v>45310</v>
      </c>
      <c r="B301" t="s">
        <v>205</v>
      </c>
      <c r="C301" t="s">
        <v>206</v>
      </c>
      <c r="D301" t="s">
        <v>801</v>
      </c>
      <c r="E301" s="2">
        <f t="shared" si="4"/>
        <v>19537.89</v>
      </c>
      <c r="F301" s="2">
        <v>13025.26</v>
      </c>
      <c r="G301" s="2">
        <v>6512.63</v>
      </c>
      <c r="H301" s="2">
        <v>6512.63</v>
      </c>
    </row>
    <row r="302" spans="1:8" x14ac:dyDescent="0.3">
      <c r="A302">
        <v>45310</v>
      </c>
      <c r="B302" t="s">
        <v>205</v>
      </c>
      <c r="C302" t="s">
        <v>206</v>
      </c>
      <c r="D302" t="s">
        <v>802</v>
      </c>
      <c r="E302" s="2">
        <f t="shared" si="4"/>
        <v>2298.58</v>
      </c>
      <c r="F302" s="2">
        <v>1532.39</v>
      </c>
      <c r="G302" s="2">
        <v>766.19</v>
      </c>
      <c r="H302" s="2">
        <v>766.19</v>
      </c>
    </row>
    <row r="303" spans="1:8" x14ac:dyDescent="0.3">
      <c r="A303">
        <v>45310</v>
      </c>
      <c r="B303" t="s">
        <v>205</v>
      </c>
      <c r="C303" t="s">
        <v>206</v>
      </c>
      <c r="D303" t="s">
        <v>803</v>
      </c>
      <c r="E303" s="2">
        <f t="shared" si="4"/>
        <v>25744.050000000003</v>
      </c>
      <c r="F303" s="2">
        <v>17162.7</v>
      </c>
      <c r="G303" s="2">
        <v>8581.35</v>
      </c>
      <c r="H303" s="2">
        <v>8581.35</v>
      </c>
    </row>
    <row r="304" spans="1:8" x14ac:dyDescent="0.3">
      <c r="E304" s="2" t="s">
        <v>589</v>
      </c>
    </row>
    <row r="305" spans="1:8" x14ac:dyDescent="0.3">
      <c r="A305">
        <v>45344</v>
      </c>
      <c r="B305" t="s">
        <v>208</v>
      </c>
      <c r="C305" t="s">
        <v>209</v>
      </c>
      <c r="D305" t="s">
        <v>804</v>
      </c>
      <c r="E305" s="2">
        <f t="shared" si="4"/>
        <v>132321.60999999999</v>
      </c>
      <c r="F305" s="2">
        <v>88214.41</v>
      </c>
      <c r="G305" s="2">
        <v>44107.199999999997</v>
      </c>
      <c r="H305" s="2">
        <v>44107.199999999997</v>
      </c>
    </row>
    <row r="306" spans="1:8" x14ac:dyDescent="0.3">
      <c r="E306" s="2" t="s">
        <v>589</v>
      </c>
    </row>
    <row r="307" spans="1:8" x14ac:dyDescent="0.3">
      <c r="A307">
        <v>45369</v>
      </c>
      <c r="B307" t="s">
        <v>211</v>
      </c>
      <c r="C307" t="s">
        <v>134</v>
      </c>
      <c r="D307" t="s">
        <v>805</v>
      </c>
      <c r="E307" s="2">
        <f t="shared" si="4"/>
        <v>9104.0999999999985</v>
      </c>
      <c r="F307" s="2">
        <v>6069.4</v>
      </c>
      <c r="G307" s="2">
        <v>3034.7</v>
      </c>
      <c r="H307" s="2">
        <v>3034.7</v>
      </c>
    </row>
    <row r="308" spans="1:8" x14ac:dyDescent="0.3">
      <c r="A308">
        <v>45369</v>
      </c>
      <c r="B308" t="s">
        <v>211</v>
      </c>
      <c r="C308" t="s">
        <v>134</v>
      </c>
      <c r="D308" t="s">
        <v>806</v>
      </c>
      <c r="E308" s="2">
        <f t="shared" si="4"/>
        <v>6880.7000000000007</v>
      </c>
      <c r="F308" s="2">
        <v>4587.13</v>
      </c>
      <c r="G308" s="2">
        <v>2293.5700000000002</v>
      </c>
      <c r="H308" s="2">
        <v>2293.5700000000002</v>
      </c>
    </row>
    <row r="309" spans="1:8" x14ac:dyDescent="0.3">
      <c r="E309" s="2" t="s">
        <v>589</v>
      </c>
    </row>
    <row r="310" spans="1:8" x14ac:dyDescent="0.3">
      <c r="A310">
        <v>45427</v>
      </c>
      <c r="B310" t="s">
        <v>807</v>
      </c>
      <c r="C310" t="s">
        <v>74</v>
      </c>
      <c r="D310" t="s">
        <v>808</v>
      </c>
      <c r="E310" s="2">
        <f t="shared" si="4"/>
        <v>53666.2</v>
      </c>
      <c r="F310" s="2">
        <v>35777.47</v>
      </c>
      <c r="G310" s="2">
        <v>17888.73</v>
      </c>
      <c r="H310" s="2">
        <v>17888.73</v>
      </c>
    </row>
    <row r="311" spans="1:8" x14ac:dyDescent="0.3">
      <c r="A311">
        <v>45427</v>
      </c>
      <c r="B311" t="s">
        <v>807</v>
      </c>
      <c r="C311" t="s">
        <v>74</v>
      </c>
      <c r="D311" t="s">
        <v>809</v>
      </c>
      <c r="E311" s="2">
        <f t="shared" si="4"/>
        <v>62273.04</v>
      </c>
      <c r="F311" s="2">
        <v>41515.360000000001</v>
      </c>
      <c r="G311" s="2">
        <v>20757.68</v>
      </c>
      <c r="H311" s="2">
        <v>20757.68</v>
      </c>
    </row>
    <row r="312" spans="1:8" x14ac:dyDescent="0.3">
      <c r="E312" s="2" t="s">
        <v>589</v>
      </c>
    </row>
    <row r="313" spans="1:8" x14ac:dyDescent="0.3">
      <c r="A313">
        <v>45468</v>
      </c>
      <c r="B313" t="s">
        <v>224</v>
      </c>
      <c r="C313" t="s">
        <v>7</v>
      </c>
      <c r="D313" t="s">
        <v>810</v>
      </c>
      <c r="E313" s="2">
        <f t="shared" si="4"/>
        <v>53432.979999999996</v>
      </c>
      <c r="F313" s="2">
        <v>35621.99</v>
      </c>
      <c r="G313" s="2">
        <v>17810.990000000002</v>
      </c>
      <c r="H313" s="2">
        <v>17810.990000000002</v>
      </c>
    </row>
    <row r="314" spans="1:8" x14ac:dyDescent="0.3">
      <c r="A314">
        <v>45468</v>
      </c>
      <c r="B314" t="s">
        <v>224</v>
      </c>
      <c r="C314" t="s">
        <v>7</v>
      </c>
      <c r="D314" t="s">
        <v>811</v>
      </c>
      <c r="E314" s="2">
        <f t="shared" si="4"/>
        <v>13714.99</v>
      </c>
      <c r="F314" s="2">
        <v>9143.33</v>
      </c>
      <c r="G314" s="2">
        <v>4571.66</v>
      </c>
      <c r="H314" s="2">
        <v>4571.66</v>
      </c>
    </row>
    <row r="315" spans="1:8" x14ac:dyDescent="0.3">
      <c r="A315">
        <v>45468</v>
      </c>
      <c r="B315" t="s">
        <v>224</v>
      </c>
      <c r="C315" t="s">
        <v>7</v>
      </c>
      <c r="D315" t="s">
        <v>812</v>
      </c>
      <c r="E315" s="2">
        <f t="shared" si="4"/>
        <v>20849.96</v>
      </c>
      <c r="F315" s="2">
        <v>13899.97</v>
      </c>
      <c r="G315" s="2">
        <v>6949.99</v>
      </c>
      <c r="H315" s="2">
        <v>6949.99</v>
      </c>
    </row>
    <row r="316" spans="1:8" x14ac:dyDescent="0.3">
      <c r="E316" s="2" t="s">
        <v>589</v>
      </c>
    </row>
    <row r="317" spans="1:8" x14ac:dyDescent="0.3">
      <c r="A317">
        <v>45476</v>
      </c>
      <c r="B317" t="s">
        <v>225</v>
      </c>
      <c r="C317" t="s">
        <v>226</v>
      </c>
      <c r="D317" t="s">
        <v>813</v>
      </c>
      <c r="E317" s="2">
        <f t="shared" si="4"/>
        <v>892407.74</v>
      </c>
      <c r="F317" s="2">
        <v>594938.49</v>
      </c>
      <c r="G317" s="2">
        <v>297469.25</v>
      </c>
      <c r="H317" s="2">
        <v>297469.25</v>
      </c>
    </row>
    <row r="318" spans="1:8" x14ac:dyDescent="0.3">
      <c r="A318">
        <v>45476</v>
      </c>
      <c r="B318" t="s">
        <v>225</v>
      </c>
      <c r="C318" t="s">
        <v>226</v>
      </c>
      <c r="D318" t="s">
        <v>814</v>
      </c>
      <c r="E318" s="2">
        <f t="shared" si="4"/>
        <v>223101.93</v>
      </c>
      <c r="F318" s="2">
        <v>148734.62</v>
      </c>
      <c r="G318" s="2">
        <v>74367.31</v>
      </c>
      <c r="H318" s="2">
        <v>74367.31</v>
      </c>
    </row>
    <row r="319" spans="1:8" x14ac:dyDescent="0.3">
      <c r="A319">
        <v>45476</v>
      </c>
      <c r="B319" t="s">
        <v>225</v>
      </c>
      <c r="C319" t="s">
        <v>226</v>
      </c>
      <c r="D319" t="s">
        <v>815</v>
      </c>
      <c r="E319" s="2">
        <f t="shared" si="4"/>
        <v>85808.44</v>
      </c>
      <c r="F319" s="2">
        <v>57205.63</v>
      </c>
      <c r="G319" s="2">
        <v>28602.81</v>
      </c>
      <c r="H319" s="2">
        <v>28602.81</v>
      </c>
    </row>
    <row r="320" spans="1:8" x14ac:dyDescent="0.3">
      <c r="A320">
        <v>45476</v>
      </c>
      <c r="B320" t="s">
        <v>225</v>
      </c>
      <c r="C320" t="s">
        <v>226</v>
      </c>
      <c r="D320" t="s">
        <v>816</v>
      </c>
      <c r="E320" s="2">
        <f t="shared" si="4"/>
        <v>326072.06</v>
      </c>
      <c r="F320" s="2">
        <v>217381.37</v>
      </c>
      <c r="G320" s="2">
        <v>108690.69</v>
      </c>
      <c r="H320" s="2">
        <v>108690.69</v>
      </c>
    </row>
    <row r="321" spans="1:8" x14ac:dyDescent="0.3">
      <c r="E321" s="2" t="s">
        <v>589</v>
      </c>
    </row>
    <row r="322" spans="1:8" x14ac:dyDescent="0.3">
      <c r="A322">
        <v>45492</v>
      </c>
      <c r="B322" t="s">
        <v>228</v>
      </c>
      <c r="C322" t="s">
        <v>134</v>
      </c>
      <c r="D322" t="s">
        <v>817</v>
      </c>
      <c r="E322" s="2">
        <f t="shared" si="4"/>
        <v>391523.09</v>
      </c>
      <c r="F322" s="2">
        <v>261015.39</v>
      </c>
      <c r="G322" s="2">
        <v>130507.7</v>
      </c>
      <c r="H322" s="2">
        <v>130507.7</v>
      </c>
    </row>
    <row r="323" spans="1:8" x14ac:dyDescent="0.3">
      <c r="A323">
        <v>45492</v>
      </c>
      <c r="B323" t="s">
        <v>228</v>
      </c>
      <c r="C323" t="s">
        <v>134</v>
      </c>
      <c r="D323" t="s">
        <v>818</v>
      </c>
      <c r="E323" s="2">
        <f t="shared" si="4"/>
        <v>13000.77</v>
      </c>
      <c r="F323" s="2">
        <v>8667.18</v>
      </c>
      <c r="G323" s="2">
        <v>4333.59</v>
      </c>
      <c r="H323" s="2">
        <v>4333.59</v>
      </c>
    </row>
    <row r="324" spans="1:8" x14ac:dyDescent="0.3">
      <c r="A324">
        <v>45492</v>
      </c>
      <c r="B324" t="s">
        <v>228</v>
      </c>
      <c r="C324" t="s">
        <v>134</v>
      </c>
      <c r="D324" t="s">
        <v>803</v>
      </c>
      <c r="E324" s="2">
        <f t="shared" si="4"/>
        <v>16000.95</v>
      </c>
      <c r="F324" s="2">
        <v>16000.95</v>
      </c>
      <c r="G324" s="2">
        <v>8000.47</v>
      </c>
      <c r="H324" s="7">
        <v>0</v>
      </c>
    </row>
    <row r="325" spans="1:8" x14ac:dyDescent="0.3">
      <c r="E325" s="2" t="s">
        <v>589</v>
      </c>
    </row>
    <row r="326" spans="1:8" x14ac:dyDescent="0.3">
      <c r="A326">
        <v>45526</v>
      </c>
      <c r="B326" t="s">
        <v>232</v>
      </c>
      <c r="C326" t="s">
        <v>30</v>
      </c>
      <c r="D326" t="s">
        <v>819</v>
      </c>
      <c r="E326" s="2">
        <f t="shared" si="4"/>
        <v>18819.23</v>
      </c>
      <c r="F326" s="2">
        <v>12546.15</v>
      </c>
      <c r="G326" s="2">
        <v>6273.08</v>
      </c>
      <c r="H326" s="2">
        <v>6273.08</v>
      </c>
    </row>
    <row r="327" spans="1:8" x14ac:dyDescent="0.3">
      <c r="E327" s="2" t="s">
        <v>589</v>
      </c>
    </row>
    <row r="328" spans="1:8" x14ac:dyDescent="0.3">
      <c r="A328">
        <v>45542</v>
      </c>
      <c r="B328" t="s">
        <v>235</v>
      </c>
      <c r="C328" t="s">
        <v>44</v>
      </c>
      <c r="D328" t="s">
        <v>820</v>
      </c>
      <c r="E328" s="2">
        <f t="shared" si="4"/>
        <v>67545.87</v>
      </c>
      <c r="F328" s="2">
        <v>45030.58</v>
      </c>
      <c r="G328" s="2">
        <v>22515.29</v>
      </c>
      <c r="H328" s="2">
        <v>22515.29</v>
      </c>
    </row>
    <row r="329" spans="1:8" x14ac:dyDescent="0.3">
      <c r="A329">
        <v>45542</v>
      </c>
      <c r="B329" t="s">
        <v>235</v>
      </c>
      <c r="C329" t="s">
        <v>44</v>
      </c>
      <c r="D329" t="s">
        <v>821</v>
      </c>
      <c r="E329" s="2">
        <f t="shared" si="4"/>
        <v>2814.41</v>
      </c>
      <c r="F329" s="2">
        <v>2814.41</v>
      </c>
      <c r="G329" s="2">
        <v>1407.21</v>
      </c>
      <c r="H329" s="7">
        <v>0</v>
      </c>
    </row>
    <row r="330" spans="1:8" x14ac:dyDescent="0.3">
      <c r="A330">
        <v>45542</v>
      </c>
      <c r="B330" t="s">
        <v>235</v>
      </c>
      <c r="C330" t="s">
        <v>44</v>
      </c>
      <c r="D330" t="s">
        <v>822</v>
      </c>
      <c r="E330" s="2">
        <f t="shared" si="4"/>
        <v>22796.73</v>
      </c>
      <c r="F330" s="2">
        <v>15197.82</v>
      </c>
      <c r="G330" s="2">
        <v>7598.91</v>
      </c>
      <c r="H330" s="2">
        <v>7598.91</v>
      </c>
    </row>
    <row r="331" spans="1:8" x14ac:dyDescent="0.3">
      <c r="E331" s="2" t="s">
        <v>589</v>
      </c>
    </row>
    <row r="332" spans="1:8" x14ac:dyDescent="0.3">
      <c r="A332">
        <v>45567</v>
      </c>
      <c r="B332" t="s">
        <v>236</v>
      </c>
      <c r="C332" t="s">
        <v>74</v>
      </c>
      <c r="D332" t="s">
        <v>823</v>
      </c>
      <c r="E332" s="2">
        <f t="shared" si="4"/>
        <v>25652.11</v>
      </c>
      <c r="F332" s="2">
        <v>17101.41</v>
      </c>
      <c r="G332" s="2">
        <v>8550.7000000000007</v>
      </c>
      <c r="H332" s="2">
        <v>8550.7000000000007</v>
      </c>
    </row>
    <row r="333" spans="1:8" x14ac:dyDescent="0.3">
      <c r="A333">
        <v>45567</v>
      </c>
      <c r="B333" t="s">
        <v>236</v>
      </c>
      <c r="C333" t="s">
        <v>74</v>
      </c>
      <c r="D333" t="s">
        <v>824</v>
      </c>
      <c r="E333" s="2">
        <f t="shared" si="4"/>
        <v>13580.53</v>
      </c>
      <c r="F333" s="2">
        <v>9053.69</v>
      </c>
      <c r="G333" s="2">
        <v>4526.84</v>
      </c>
      <c r="H333" s="2">
        <v>4526.84</v>
      </c>
    </row>
    <row r="334" spans="1:8" x14ac:dyDescent="0.3">
      <c r="E334" s="2" t="s">
        <v>589</v>
      </c>
    </row>
    <row r="335" spans="1:8" x14ac:dyDescent="0.3">
      <c r="A335">
        <v>45575</v>
      </c>
      <c r="B335" t="s">
        <v>237</v>
      </c>
      <c r="C335" t="s">
        <v>238</v>
      </c>
      <c r="D335" t="s">
        <v>825</v>
      </c>
      <c r="E335" s="2">
        <f t="shared" si="4"/>
        <v>19934.760000000002</v>
      </c>
      <c r="F335" s="2">
        <v>13289.84</v>
      </c>
      <c r="G335" s="2">
        <v>6644.92</v>
      </c>
      <c r="H335" s="2">
        <v>6644.92</v>
      </c>
    </row>
    <row r="336" spans="1:8" x14ac:dyDescent="0.3">
      <c r="A336">
        <v>45575</v>
      </c>
      <c r="B336" t="s">
        <v>237</v>
      </c>
      <c r="C336" t="s">
        <v>238</v>
      </c>
      <c r="D336" t="s">
        <v>826</v>
      </c>
      <c r="E336" s="2">
        <f t="shared" si="4"/>
        <v>28271.11</v>
      </c>
      <c r="F336" s="2">
        <v>18847.41</v>
      </c>
      <c r="G336" s="2">
        <v>9423.7000000000007</v>
      </c>
      <c r="H336" s="2">
        <v>9423.7000000000007</v>
      </c>
    </row>
    <row r="337" spans="1:8" x14ac:dyDescent="0.3">
      <c r="E337" s="2" t="s">
        <v>589</v>
      </c>
    </row>
    <row r="338" spans="1:8" x14ac:dyDescent="0.3">
      <c r="A338">
        <v>45583</v>
      </c>
      <c r="B338" t="s">
        <v>239</v>
      </c>
      <c r="C338" t="s">
        <v>24</v>
      </c>
      <c r="D338" t="s">
        <v>827</v>
      </c>
      <c r="E338" s="2">
        <f t="shared" si="4"/>
        <v>58371.020000000004</v>
      </c>
      <c r="F338" s="2">
        <v>38914.01</v>
      </c>
      <c r="G338" s="2">
        <v>19457.009999999998</v>
      </c>
      <c r="H338" s="2">
        <v>19457.009999999998</v>
      </c>
    </row>
    <row r="339" spans="1:8" x14ac:dyDescent="0.3">
      <c r="A339">
        <v>45583</v>
      </c>
      <c r="B339" t="s">
        <v>239</v>
      </c>
      <c r="C339" t="s">
        <v>24</v>
      </c>
      <c r="D339" t="s">
        <v>818</v>
      </c>
      <c r="E339" s="2">
        <f t="shared" ref="E339:E402" si="5">F339+H339</f>
        <v>13824.72</v>
      </c>
      <c r="F339" s="2">
        <v>9216.48</v>
      </c>
      <c r="G339" s="2">
        <v>4608.24</v>
      </c>
      <c r="H339" s="2">
        <v>4608.24</v>
      </c>
    </row>
    <row r="340" spans="1:8" x14ac:dyDescent="0.3">
      <c r="A340">
        <v>45583</v>
      </c>
      <c r="B340" t="s">
        <v>239</v>
      </c>
      <c r="C340" t="s">
        <v>24</v>
      </c>
      <c r="D340" t="s">
        <v>828</v>
      </c>
      <c r="E340" s="2">
        <f t="shared" si="5"/>
        <v>116742.04999999999</v>
      </c>
      <c r="F340" s="2">
        <v>77828.03</v>
      </c>
      <c r="G340" s="2">
        <v>38914.019999999997</v>
      </c>
      <c r="H340" s="2">
        <v>38914.019999999997</v>
      </c>
    </row>
    <row r="341" spans="1:8" x14ac:dyDescent="0.3">
      <c r="E341" s="2" t="s">
        <v>589</v>
      </c>
    </row>
    <row r="342" spans="1:8" x14ac:dyDescent="0.3">
      <c r="A342">
        <v>45591</v>
      </c>
      <c r="B342" t="s">
        <v>240</v>
      </c>
      <c r="C342" t="s">
        <v>132</v>
      </c>
      <c r="D342" t="s">
        <v>803</v>
      </c>
      <c r="E342" s="2">
        <f t="shared" si="5"/>
        <v>48604.17</v>
      </c>
      <c r="F342" s="2">
        <v>32402.78</v>
      </c>
      <c r="G342" s="2">
        <v>16201.39</v>
      </c>
      <c r="H342" s="2">
        <v>16201.39</v>
      </c>
    </row>
    <row r="343" spans="1:8" x14ac:dyDescent="0.3">
      <c r="E343" s="2" t="s">
        <v>589</v>
      </c>
    </row>
    <row r="344" spans="1:8" x14ac:dyDescent="0.3">
      <c r="A344">
        <v>45617</v>
      </c>
      <c r="B344" t="s">
        <v>241</v>
      </c>
      <c r="C344" t="s">
        <v>137</v>
      </c>
      <c r="D344" t="s">
        <v>829</v>
      </c>
      <c r="E344" s="2">
        <f t="shared" si="5"/>
        <v>62571.43</v>
      </c>
      <c r="F344" s="2">
        <v>41714.29</v>
      </c>
      <c r="G344" s="2">
        <v>20857.14</v>
      </c>
      <c r="H344" s="2">
        <v>20857.14</v>
      </c>
    </row>
    <row r="345" spans="1:8" x14ac:dyDescent="0.3">
      <c r="E345" s="2" t="s">
        <v>589</v>
      </c>
    </row>
    <row r="346" spans="1:8" x14ac:dyDescent="0.3">
      <c r="A346">
        <v>45641</v>
      </c>
      <c r="B346" t="s">
        <v>242</v>
      </c>
      <c r="C346" t="s">
        <v>243</v>
      </c>
      <c r="D346" t="s">
        <v>830</v>
      </c>
      <c r="E346" s="2">
        <f t="shared" si="5"/>
        <v>57558.8</v>
      </c>
      <c r="F346" s="2">
        <v>38372.53</v>
      </c>
      <c r="G346" s="2">
        <v>19186.27</v>
      </c>
      <c r="H346" s="2">
        <v>19186.27</v>
      </c>
    </row>
    <row r="347" spans="1:8" x14ac:dyDescent="0.3">
      <c r="A347">
        <v>45641</v>
      </c>
      <c r="B347" t="s">
        <v>242</v>
      </c>
      <c r="C347" t="s">
        <v>243</v>
      </c>
      <c r="D347" t="s">
        <v>729</v>
      </c>
      <c r="E347" s="2">
        <f t="shared" si="5"/>
        <v>68351.08</v>
      </c>
      <c r="F347" s="2">
        <v>45567.39</v>
      </c>
      <c r="G347" s="2">
        <v>22783.69</v>
      </c>
      <c r="H347" s="7">
        <v>22783.69</v>
      </c>
    </row>
    <row r="348" spans="1:8" x14ac:dyDescent="0.3">
      <c r="E348" s="2" t="s">
        <v>589</v>
      </c>
      <c r="H348" s="7"/>
    </row>
    <row r="349" spans="1:8" x14ac:dyDescent="0.3">
      <c r="A349">
        <v>45666</v>
      </c>
      <c r="B349" t="s">
        <v>244</v>
      </c>
      <c r="C349" t="s">
        <v>143</v>
      </c>
      <c r="D349" t="s">
        <v>831</v>
      </c>
      <c r="E349" s="2">
        <f t="shared" si="5"/>
        <v>18795.89</v>
      </c>
      <c r="F349" s="2">
        <v>12530.59</v>
      </c>
      <c r="G349" s="2">
        <v>6265.3</v>
      </c>
      <c r="H349" s="7">
        <v>6265.3</v>
      </c>
    </row>
    <row r="350" spans="1:8" x14ac:dyDescent="0.3">
      <c r="A350">
        <v>45666</v>
      </c>
      <c r="B350" t="s">
        <v>244</v>
      </c>
      <c r="C350" t="s">
        <v>143</v>
      </c>
      <c r="D350" t="s">
        <v>832</v>
      </c>
      <c r="E350" s="2">
        <f t="shared" si="5"/>
        <v>6891.83</v>
      </c>
      <c r="F350" s="2">
        <v>4594.55</v>
      </c>
      <c r="G350" s="2">
        <v>2297.2800000000002</v>
      </c>
      <c r="H350" s="7">
        <v>2297.2800000000002</v>
      </c>
    </row>
    <row r="351" spans="1:8" x14ac:dyDescent="0.3">
      <c r="A351">
        <v>45666</v>
      </c>
      <c r="B351" t="s">
        <v>244</v>
      </c>
      <c r="C351" t="s">
        <v>143</v>
      </c>
      <c r="D351" t="s">
        <v>833</v>
      </c>
      <c r="E351" s="2">
        <f t="shared" si="5"/>
        <v>30892.739999999998</v>
      </c>
      <c r="F351" s="2">
        <v>20595.16</v>
      </c>
      <c r="G351" s="2">
        <v>10297.58</v>
      </c>
      <c r="H351" s="7">
        <v>10297.58</v>
      </c>
    </row>
    <row r="352" spans="1:8" x14ac:dyDescent="0.3">
      <c r="E352" s="2" t="s">
        <v>589</v>
      </c>
      <c r="H352" s="7"/>
    </row>
    <row r="353" spans="1:8" x14ac:dyDescent="0.3">
      <c r="A353">
        <v>45674</v>
      </c>
      <c r="B353" t="s">
        <v>245</v>
      </c>
      <c r="C353" t="s">
        <v>186</v>
      </c>
      <c r="D353" t="s">
        <v>834</v>
      </c>
      <c r="E353" s="2">
        <f t="shared" si="5"/>
        <v>28019.010000000002</v>
      </c>
      <c r="F353" s="2">
        <v>18679.34</v>
      </c>
      <c r="G353" s="2">
        <v>9339.67</v>
      </c>
      <c r="H353" s="7">
        <v>9339.67</v>
      </c>
    </row>
    <row r="354" spans="1:8" x14ac:dyDescent="0.3">
      <c r="A354">
        <v>45674</v>
      </c>
      <c r="B354" t="s">
        <v>245</v>
      </c>
      <c r="C354" t="s">
        <v>186</v>
      </c>
      <c r="D354" t="s">
        <v>835</v>
      </c>
      <c r="E354" s="2">
        <f t="shared" si="5"/>
        <v>7845.32</v>
      </c>
      <c r="F354" s="2">
        <v>5230.21</v>
      </c>
      <c r="G354" s="2">
        <v>2615.11</v>
      </c>
      <c r="H354" s="7">
        <v>2615.11</v>
      </c>
    </row>
    <row r="355" spans="1:8" x14ac:dyDescent="0.3">
      <c r="E355" s="2" t="s">
        <v>589</v>
      </c>
      <c r="H355" s="7"/>
    </row>
    <row r="356" spans="1:8" x14ac:dyDescent="0.3">
      <c r="A356">
        <v>45757</v>
      </c>
      <c r="B356" t="s">
        <v>246</v>
      </c>
      <c r="C356" t="s">
        <v>58</v>
      </c>
      <c r="D356" t="s">
        <v>836</v>
      </c>
      <c r="E356" s="2">
        <f t="shared" si="5"/>
        <v>8228.31</v>
      </c>
      <c r="F356" s="2">
        <v>5485.54</v>
      </c>
      <c r="G356" s="2">
        <v>2742.77</v>
      </c>
      <c r="H356" s="7">
        <v>2742.77</v>
      </c>
    </row>
    <row r="357" spans="1:8" x14ac:dyDescent="0.3">
      <c r="A357">
        <v>45757</v>
      </c>
      <c r="B357" t="s">
        <v>246</v>
      </c>
      <c r="C357" t="s">
        <v>58</v>
      </c>
      <c r="D357" t="s">
        <v>837</v>
      </c>
      <c r="E357" s="2">
        <f t="shared" si="5"/>
        <v>3447</v>
      </c>
      <c r="F357" s="2">
        <v>2298</v>
      </c>
      <c r="G357" s="2">
        <v>1149</v>
      </c>
      <c r="H357" s="7">
        <v>1149</v>
      </c>
    </row>
    <row r="358" spans="1:8" x14ac:dyDescent="0.3">
      <c r="A358">
        <v>45757</v>
      </c>
      <c r="B358" t="s">
        <v>246</v>
      </c>
      <c r="C358" t="s">
        <v>58</v>
      </c>
      <c r="D358" t="s">
        <v>838</v>
      </c>
      <c r="E358" s="2">
        <f t="shared" si="5"/>
        <v>9718.2999999999993</v>
      </c>
      <c r="F358" s="2">
        <v>6478.87</v>
      </c>
      <c r="G358" s="2">
        <v>3239.43</v>
      </c>
      <c r="H358" s="7">
        <v>3239.43</v>
      </c>
    </row>
    <row r="359" spans="1:8" x14ac:dyDescent="0.3">
      <c r="E359" s="2" t="s">
        <v>589</v>
      </c>
      <c r="H359" s="7"/>
    </row>
    <row r="360" spans="1:8" x14ac:dyDescent="0.3">
      <c r="A360">
        <v>45765</v>
      </c>
      <c r="B360" t="s">
        <v>247</v>
      </c>
      <c r="C360" t="s">
        <v>58</v>
      </c>
      <c r="D360" t="s">
        <v>839</v>
      </c>
      <c r="E360" s="2">
        <f t="shared" si="5"/>
        <v>372632.56</v>
      </c>
      <c r="F360" s="2">
        <v>248421.71</v>
      </c>
      <c r="G360" s="2">
        <v>124210.85</v>
      </c>
      <c r="H360" s="7">
        <v>124210.85</v>
      </c>
    </row>
    <row r="361" spans="1:8" x14ac:dyDescent="0.3">
      <c r="A361">
        <v>45765</v>
      </c>
      <c r="B361" t="s">
        <v>247</v>
      </c>
      <c r="C361" t="s">
        <v>58</v>
      </c>
      <c r="D361" t="s">
        <v>840</v>
      </c>
      <c r="E361" s="2">
        <f t="shared" si="5"/>
        <v>626339.83000000007</v>
      </c>
      <c r="F361" s="2">
        <v>417559.89</v>
      </c>
      <c r="G361" s="2">
        <v>208779.94</v>
      </c>
      <c r="H361" s="7">
        <v>208779.94</v>
      </c>
    </row>
    <row r="362" spans="1:8" x14ac:dyDescent="0.3">
      <c r="E362" s="2" t="s">
        <v>589</v>
      </c>
      <c r="H362" s="7"/>
    </row>
    <row r="363" spans="1:8" x14ac:dyDescent="0.3">
      <c r="A363">
        <v>45773</v>
      </c>
      <c r="B363" t="s">
        <v>841</v>
      </c>
      <c r="C363" t="s">
        <v>58</v>
      </c>
      <c r="D363" t="s">
        <v>842</v>
      </c>
      <c r="E363" s="2">
        <f t="shared" si="5"/>
        <v>36469.83</v>
      </c>
      <c r="F363" s="2">
        <v>24313.22</v>
      </c>
      <c r="G363" s="2">
        <v>12156.61</v>
      </c>
      <c r="H363" s="7">
        <v>12156.61</v>
      </c>
    </row>
    <row r="364" spans="1:8" x14ac:dyDescent="0.3">
      <c r="A364">
        <v>45773</v>
      </c>
      <c r="B364" t="s">
        <v>841</v>
      </c>
      <c r="C364" t="s">
        <v>58</v>
      </c>
      <c r="D364" t="s">
        <v>843</v>
      </c>
      <c r="E364" s="2">
        <f t="shared" si="5"/>
        <v>67536.73</v>
      </c>
      <c r="F364" s="2">
        <v>45024.49</v>
      </c>
      <c r="G364" s="2">
        <v>22512.240000000002</v>
      </c>
      <c r="H364" s="7">
        <v>22512.240000000002</v>
      </c>
    </row>
    <row r="365" spans="1:8" x14ac:dyDescent="0.3">
      <c r="E365" s="2" t="s">
        <v>589</v>
      </c>
      <c r="H365" s="7"/>
    </row>
    <row r="366" spans="1:8" x14ac:dyDescent="0.3">
      <c r="A366">
        <v>45781</v>
      </c>
      <c r="B366" t="s">
        <v>248</v>
      </c>
      <c r="C366" t="s">
        <v>58</v>
      </c>
      <c r="D366" t="s">
        <v>844</v>
      </c>
      <c r="E366" s="2">
        <f t="shared" si="5"/>
        <v>81501.94</v>
      </c>
      <c r="F366" s="2">
        <v>54334.63</v>
      </c>
      <c r="G366" s="2">
        <v>27167.31</v>
      </c>
      <c r="H366" s="7">
        <v>27167.31</v>
      </c>
    </row>
    <row r="367" spans="1:8" x14ac:dyDescent="0.3">
      <c r="A367">
        <v>45781</v>
      </c>
      <c r="B367" t="s">
        <v>248</v>
      </c>
      <c r="C367" t="s">
        <v>58</v>
      </c>
      <c r="D367" t="s">
        <v>835</v>
      </c>
      <c r="E367" s="2">
        <f t="shared" si="5"/>
        <v>52581.899999999994</v>
      </c>
      <c r="F367" s="2">
        <v>35054.6</v>
      </c>
      <c r="G367" s="2">
        <v>17527.3</v>
      </c>
      <c r="H367" s="7">
        <v>17527.3</v>
      </c>
    </row>
    <row r="368" spans="1:8" x14ac:dyDescent="0.3">
      <c r="E368" s="2" t="s">
        <v>589</v>
      </c>
      <c r="H368" s="7"/>
    </row>
    <row r="369" spans="1:8" x14ac:dyDescent="0.3">
      <c r="A369">
        <v>45799</v>
      </c>
      <c r="B369" t="s">
        <v>249</v>
      </c>
      <c r="C369" t="s">
        <v>58</v>
      </c>
      <c r="D369" t="s">
        <v>845</v>
      </c>
      <c r="E369" s="2">
        <f t="shared" si="5"/>
        <v>450503.66000000003</v>
      </c>
      <c r="F369" s="2">
        <v>300335.77</v>
      </c>
      <c r="G369" s="2">
        <v>150167.89000000001</v>
      </c>
      <c r="H369" s="7">
        <v>150167.89000000001</v>
      </c>
    </row>
    <row r="370" spans="1:8" x14ac:dyDescent="0.3">
      <c r="A370">
        <v>45799</v>
      </c>
      <c r="B370" t="s">
        <v>249</v>
      </c>
      <c r="C370" t="s">
        <v>58</v>
      </c>
      <c r="D370" t="s">
        <v>846</v>
      </c>
      <c r="E370" s="2">
        <f t="shared" si="5"/>
        <v>603184.81000000006</v>
      </c>
      <c r="F370" s="2">
        <v>402123.21</v>
      </c>
      <c r="G370" s="2">
        <v>201061.6</v>
      </c>
      <c r="H370" s="7">
        <v>201061.6</v>
      </c>
    </row>
    <row r="371" spans="1:8" x14ac:dyDescent="0.3">
      <c r="E371" s="2" t="s">
        <v>589</v>
      </c>
      <c r="H371" s="7"/>
    </row>
    <row r="372" spans="1:8" x14ac:dyDescent="0.3">
      <c r="A372">
        <v>45864</v>
      </c>
      <c r="B372" t="s">
        <v>255</v>
      </c>
      <c r="C372" t="s">
        <v>9</v>
      </c>
      <c r="D372" t="s">
        <v>847</v>
      </c>
      <c r="E372" s="2">
        <f t="shared" si="5"/>
        <v>64304.430000000008</v>
      </c>
      <c r="F372" s="2">
        <v>42869.62</v>
      </c>
      <c r="G372" s="2">
        <v>21434.81</v>
      </c>
      <c r="H372" s="7">
        <v>21434.81</v>
      </c>
    </row>
    <row r="373" spans="1:8" x14ac:dyDescent="0.3">
      <c r="E373" s="2" t="s">
        <v>589</v>
      </c>
      <c r="H373" s="7"/>
    </row>
    <row r="374" spans="1:8" x14ac:dyDescent="0.3">
      <c r="A374">
        <v>45872</v>
      </c>
      <c r="B374" t="s">
        <v>256</v>
      </c>
      <c r="C374" t="s">
        <v>9</v>
      </c>
      <c r="D374" t="s">
        <v>848</v>
      </c>
      <c r="E374" s="2">
        <f t="shared" si="5"/>
        <v>15531.93</v>
      </c>
      <c r="F374" s="2">
        <v>10354.620000000001</v>
      </c>
      <c r="G374" s="2">
        <v>5177.3100000000004</v>
      </c>
      <c r="H374" s="7">
        <v>5177.3100000000004</v>
      </c>
    </row>
    <row r="375" spans="1:8" x14ac:dyDescent="0.3">
      <c r="E375" s="2" t="s">
        <v>589</v>
      </c>
      <c r="H375" s="7"/>
    </row>
    <row r="376" spans="1:8" x14ac:dyDescent="0.3">
      <c r="A376">
        <v>45880</v>
      </c>
      <c r="B376" t="s">
        <v>257</v>
      </c>
      <c r="C376" t="s">
        <v>9</v>
      </c>
      <c r="D376" t="s">
        <v>849</v>
      </c>
      <c r="E376" s="2">
        <f t="shared" si="5"/>
        <v>5296.72</v>
      </c>
      <c r="F376" s="2">
        <v>5296.72</v>
      </c>
      <c r="G376" s="2">
        <v>2648.36</v>
      </c>
      <c r="H376" s="7">
        <v>0</v>
      </c>
    </row>
    <row r="377" spans="1:8" x14ac:dyDescent="0.3">
      <c r="A377">
        <v>45880</v>
      </c>
      <c r="B377" t="s">
        <v>257</v>
      </c>
      <c r="C377" t="s">
        <v>9</v>
      </c>
      <c r="D377" t="s">
        <v>850</v>
      </c>
      <c r="E377" s="2">
        <f t="shared" si="5"/>
        <v>42720.090000000004</v>
      </c>
      <c r="F377" s="2">
        <v>28480.06</v>
      </c>
      <c r="G377" s="2">
        <v>14240.03</v>
      </c>
      <c r="H377" s="7">
        <v>14240.03</v>
      </c>
    </row>
    <row r="378" spans="1:8" x14ac:dyDescent="0.3">
      <c r="A378">
        <v>45880</v>
      </c>
      <c r="B378" t="s">
        <v>257</v>
      </c>
      <c r="C378" t="s">
        <v>9</v>
      </c>
      <c r="D378" t="s">
        <v>851</v>
      </c>
      <c r="E378" s="2">
        <f t="shared" si="5"/>
        <v>11000.880000000001</v>
      </c>
      <c r="F378" s="2">
        <v>7333.92</v>
      </c>
      <c r="G378" s="2">
        <v>3666.96</v>
      </c>
      <c r="H378" s="7">
        <v>3666.96</v>
      </c>
    </row>
    <row r="379" spans="1:8" x14ac:dyDescent="0.3">
      <c r="A379">
        <v>45880</v>
      </c>
      <c r="B379" t="s">
        <v>257</v>
      </c>
      <c r="C379" t="s">
        <v>9</v>
      </c>
      <c r="D379" t="s">
        <v>852</v>
      </c>
      <c r="E379" s="2">
        <f t="shared" si="5"/>
        <v>22001.760000000002</v>
      </c>
      <c r="F379" s="2">
        <v>14667.84</v>
      </c>
      <c r="G379" s="2">
        <v>7333.92</v>
      </c>
      <c r="H379" s="7">
        <v>7333.92</v>
      </c>
    </row>
    <row r="380" spans="1:8" x14ac:dyDescent="0.3">
      <c r="E380" s="2" t="s">
        <v>589</v>
      </c>
      <c r="H380" s="7"/>
    </row>
    <row r="381" spans="1:8" x14ac:dyDescent="0.3">
      <c r="A381">
        <v>45948</v>
      </c>
      <c r="B381" t="s">
        <v>263</v>
      </c>
      <c r="C381" t="s">
        <v>145</v>
      </c>
      <c r="D381" t="s">
        <v>853</v>
      </c>
      <c r="E381" s="2">
        <f t="shared" si="5"/>
        <v>235562.63</v>
      </c>
      <c r="F381" s="2">
        <v>157041.75</v>
      </c>
      <c r="G381" s="2">
        <v>78520.88</v>
      </c>
      <c r="H381" s="7">
        <v>78520.88</v>
      </c>
    </row>
    <row r="382" spans="1:8" x14ac:dyDescent="0.3">
      <c r="E382" s="2" t="s">
        <v>589</v>
      </c>
      <c r="H382" s="7"/>
    </row>
    <row r="383" spans="1:8" x14ac:dyDescent="0.3">
      <c r="A383">
        <v>45955</v>
      </c>
      <c r="B383" t="s">
        <v>264</v>
      </c>
      <c r="C383" t="s">
        <v>145</v>
      </c>
      <c r="D383" t="s">
        <v>854</v>
      </c>
      <c r="E383" s="2">
        <f t="shared" si="5"/>
        <v>14172.189999999999</v>
      </c>
      <c r="F383" s="2">
        <v>9448.1299999999992</v>
      </c>
      <c r="G383" s="2">
        <v>4724.0600000000004</v>
      </c>
      <c r="H383" s="7">
        <v>4724.0600000000004</v>
      </c>
    </row>
    <row r="384" spans="1:8" x14ac:dyDescent="0.3">
      <c r="A384">
        <v>45955</v>
      </c>
      <c r="B384" t="s">
        <v>264</v>
      </c>
      <c r="C384" t="s">
        <v>145</v>
      </c>
      <c r="D384" t="s">
        <v>855</v>
      </c>
      <c r="E384" s="2">
        <f t="shared" si="5"/>
        <v>116526.93</v>
      </c>
      <c r="F384" s="2">
        <v>77684.62</v>
      </c>
      <c r="G384" s="2">
        <v>38842.31</v>
      </c>
      <c r="H384" s="7">
        <v>38842.31</v>
      </c>
    </row>
    <row r="385" spans="1:8" x14ac:dyDescent="0.3">
      <c r="E385" s="2" t="s">
        <v>589</v>
      </c>
      <c r="H385" s="7"/>
    </row>
    <row r="386" spans="1:8" x14ac:dyDescent="0.3">
      <c r="A386">
        <v>46094</v>
      </c>
      <c r="B386" t="s">
        <v>277</v>
      </c>
      <c r="C386" t="s">
        <v>79</v>
      </c>
      <c r="D386" t="s">
        <v>856</v>
      </c>
      <c r="E386" s="2">
        <f t="shared" si="5"/>
        <v>135785.54</v>
      </c>
      <c r="F386" s="2">
        <v>90523.69</v>
      </c>
      <c r="G386" s="2">
        <v>45261.85</v>
      </c>
      <c r="H386" s="7">
        <v>45261.85</v>
      </c>
    </row>
    <row r="387" spans="1:8" x14ac:dyDescent="0.3">
      <c r="A387">
        <v>46094</v>
      </c>
      <c r="B387" t="s">
        <v>277</v>
      </c>
      <c r="C387" t="s">
        <v>79</v>
      </c>
      <c r="D387" t="s">
        <v>857</v>
      </c>
      <c r="E387" s="2">
        <f t="shared" si="5"/>
        <v>96989.67</v>
      </c>
      <c r="F387" s="2">
        <v>64659.78</v>
      </c>
      <c r="G387" s="2">
        <v>32329.89</v>
      </c>
      <c r="H387" s="7">
        <v>32329.89</v>
      </c>
    </row>
    <row r="388" spans="1:8" x14ac:dyDescent="0.3">
      <c r="A388">
        <v>46094</v>
      </c>
      <c r="B388" t="s">
        <v>277</v>
      </c>
      <c r="C388" t="s">
        <v>79</v>
      </c>
      <c r="D388" t="s">
        <v>708</v>
      </c>
      <c r="E388" s="2">
        <f t="shared" si="5"/>
        <v>267691.49</v>
      </c>
      <c r="F388" s="2">
        <v>178460.99</v>
      </c>
      <c r="G388" s="2">
        <v>89230.5</v>
      </c>
      <c r="H388" s="7">
        <v>89230.5</v>
      </c>
    </row>
    <row r="389" spans="1:8" x14ac:dyDescent="0.3">
      <c r="E389" s="2" t="s">
        <v>589</v>
      </c>
      <c r="H389" s="7"/>
    </row>
    <row r="390" spans="1:8" x14ac:dyDescent="0.3">
      <c r="A390">
        <v>46136</v>
      </c>
      <c r="B390" t="s">
        <v>279</v>
      </c>
      <c r="C390" t="s">
        <v>79</v>
      </c>
      <c r="D390" t="s">
        <v>858</v>
      </c>
      <c r="E390" s="2">
        <f t="shared" si="5"/>
        <v>5767.3899999999994</v>
      </c>
      <c r="F390" s="2">
        <v>3844.93</v>
      </c>
      <c r="G390" s="2">
        <v>1922.46</v>
      </c>
      <c r="H390" s="7">
        <v>1922.46</v>
      </c>
    </row>
    <row r="391" spans="1:8" x14ac:dyDescent="0.3">
      <c r="A391">
        <v>46136</v>
      </c>
      <c r="B391" t="s">
        <v>279</v>
      </c>
      <c r="C391" t="s">
        <v>79</v>
      </c>
      <c r="D391" t="s">
        <v>627</v>
      </c>
      <c r="E391" s="2">
        <f t="shared" si="5"/>
        <v>543.78</v>
      </c>
      <c r="F391" s="2">
        <v>362.52</v>
      </c>
      <c r="G391" s="2">
        <v>181.26</v>
      </c>
      <c r="H391" s="7">
        <v>181.26</v>
      </c>
    </row>
    <row r="392" spans="1:8" x14ac:dyDescent="0.3">
      <c r="E392" s="2" t="s">
        <v>589</v>
      </c>
      <c r="H392" s="7"/>
    </row>
    <row r="393" spans="1:8" x14ac:dyDescent="0.3">
      <c r="A393">
        <v>46177</v>
      </c>
      <c r="B393" t="s">
        <v>282</v>
      </c>
      <c r="C393" t="s">
        <v>283</v>
      </c>
      <c r="D393" t="s">
        <v>859</v>
      </c>
      <c r="E393" s="2">
        <f t="shared" si="5"/>
        <v>14246.349999999999</v>
      </c>
      <c r="F393" s="2">
        <v>9497.57</v>
      </c>
      <c r="G393" s="2">
        <v>4748.78</v>
      </c>
      <c r="H393" s="7">
        <v>4748.78</v>
      </c>
    </row>
    <row r="394" spans="1:8" x14ac:dyDescent="0.3">
      <c r="A394">
        <v>46177</v>
      </c>
      <c r="B394" t="s">
        <v>282</v>
      </c>
      <c r="C394" t="s">
        <v>283</v>
      </c>
      <c r="D394" t="s">
        <v>860</v>
      </c>
      <c r="E394" s="2">
        <f t="shared" si="5"/>
        <v>17598.43</v>
      </c>
      <c r="F394" s="2">
        <v>11732.29</v>
      </c>
      <c r="G394" s="2">
        <v>5866.14</v>
      </c>
      <c r="H394" s="7">
        <v>5866.14</v>
      </c>
    </row>
    <row r="395" spans="1:8" x14ac:dyDescent="0.3">
      <c r="E395" s="2" t="s">
        <v>589</v>
      </c>
      <c r="H395" s="7"/>
    </row>
    <row r="396" spans="1:8" x14ac:dyDescent="0.3">
      <c r="A396">
        <v>46193</v>
      </c>
      <c r="B396" t="s">
        <v>284</v>
      </c>
      <c r="C396" t="s">
        <v>167</v>
      </c>
      <c r="D396" t="s">
        <v>861</v>
      </c>
      <c r="E396" s="2">
        <f t="shared" si="5"/>
        <v>47523.61</v>
      </c>
      <c r="F396" s="2">
        <v>31682.41</v>
      </c>
      <c r="G396" s="2">
        <v>15841.2</v>
      </c>
      <c r="H396" s="7">
        <v>15841.2</v>
      </c>
    </row>
    <row r="397" spans="1:8" x14ac:dyDescent="0.3">
      <c r="A397">
        <v>46193</v>
      </c>
      <c r="B397" t="s">
        <v>284</v>
      </c>
      <c r="C397" t="s">
        <v>167</v>
      </c>
      <c r="D397" t="s">
        <v>862</v>
      </c>
      <c r="E397" s="2">
        <f t="shared" si="5"/>
        <v>33510.239999999998</v>
      </c>
      <c r="F397" s="2">
        <v>22340.16</v>
      </c>
      <c r="G397" s="2">
        <v>11170.08</v>
      </c>
      <c r="H397" s="7">
        <v>11170.08</v>
      </c>
    </row>
    <row r="398" spans="1:8" x14ac:dyDescent="0.3">
      <c r="E398" s="2" t="s">
        <v>589</v>
      </c>
      <c r="H398" s="7"/>
    </row>
    <row r="399" spans="1:8" x14ac:dyDescent="0.3">
      <c r="A399">
        <v>46243</v>
      </c>
      <c r="B399" t="s">
        <v>289</v>
      </c>
      <c r="C399" t="s">
        <v>154</v>
      </c>
      <c r="D399" t="s">
        <v>863</v>
      </c>
      <c r="E399" s="2">
        <f t="shared" si="5"/>
        <v>35791.93</v>
      </c>
      <c r="F399" s="2">
        <v>23861.29</v>
      </c>
      <c r="G399" s="2">
        <v>11930.64</v>
      </c>
      <c r="H399" s="7">
        <v>11930.64</v>
      </c>
    </row>
    <row r="400" spans="1:8" x14ac:dyDescent="0.3">
      <c r="A400">
        <v>46243</v>
      </c>
      <c r="B400" t="s">
        <v>289</v>
      </c>
      <c r="C400" t="s">
        <v>154</v>
      </c>
      <c r="D400" t="s">
        <v>864</v>
      </c>
      <c r="E400" s="2">
        <f t="shared" si="5"/>
        <v>19419.03</v>
      </c>
      <c r="F400" s="2">
        <v>12946.02</v>
      </c>
      <c r="G400" s="2">
        <v>6473.01</v>
      </c>
      <c r="H400" s="7">
        <v>6473.01</v>
      </c>
    </row>
    <row r="401" spans="1:8" x14ac:dyDescent="0.3">
      <c r="A401">
        <v>46243</v>
      </c>
      <c r="B401" t="s">
        <v>289</v>
      </c>
      <c r="C401" t="s">
        <v>154</v>
      </c>
      <c r="D401" t="s">
        <v>865</v>
      </c>
      <c r="E401" s="2">
        <f t="shared" si="5"/>
        <v>21551.31</v>
      </c>
      <c r="F401" s="2">
        <v>14367.54</v>
      </c>
      <c r="G401" s="2">
        <v>7183.77</v>
      </c>
      <c r="H401" s="7">
        <v>7183.77</v>
      </c>
    </row>
    <row r="402" spans="1:8" x14ac:dyDescent="0.3">
      <c r="A402">
        <v>46243</v>
      </c>
      <c r="B402" t="s">
        <v>289</v>
      </c>
      <c r="C402" t="s">
        <v>154</v>
      </c>
      <c r="D402" t="s">
        <v>866</v>
      </c>
      <c r="E402" s="2">
        <f t="shared" si="5"/>
        <v>35030.399999999994</v>
      </c>
      <c r="F402" s="2">
        <v>23353.599999999999</v>
      </c>
      <c r="G402" s="2">
        <v>11676.8</v>
      </c>
      <c r="H402" s="7">
        <v>11676.8</v>
      </c>
    </row>
    <row r="403" spans="1:8" x14ac:dyDescent="0.3">
      <c r="A403">
        <v>46243</v>
      </c>
      <c r="B403" t="s">
        <v>289</v>
      </c>
      <c r="C403" t="s">
        <v>154</v>
      </c>
      <c r="D403" t="s">
        <v>867</v>
      </c>
      <c r="E403" s="2">
        <f t="shared" ref="E403:E466" si="6">F403+H403</f>
        <v>913.84</v>
      </c>
      <c r="F403" s="2">
        <v>609.23</v>
      </c>
      <c r="G403" s="2">
        <v>304.61</v>
      </c>
      <c r="H403" s="7">
        <v>304.61</v>
      </c>
    </row>
    <row r="404" spans="1:8" x14ac:dyDescent="0.3">
      <c r="E404" s="2" t="s">
        <v>589</v>
      </c>
      <c r="H404" s="7"/>
    </row>
    <row r="405" spans="1:8" x14ac:dyDescent="0.3">
      <c r="A405">
        <v>46268</v>
      </c>
      <c r="B405" t="s">
        <v>290</v>
      </c>
      <c r="C405" t="s">
        <v>154</v>
      </c>
      <c r="D405" t="s">
        <v>708</v>
      </c>
      <c r="E405" s="2">
        <f t="shared" si="6"/>
        <v>26618.269999999997</v>
      </c>
      <c r="F405" s="2">
        <v>17745.509999999998</v>
      </c>
      <c r="G405" s="2">
        <v>8872.76</v>
      </c>
      <c r="H405" s="7">
        <v>8872.76</v>
      </c>
    </row>
    <row r="406" spans="1:8" x14ac:dyDescent="0.3">
      <c r="E406" s="2" t="s">
        <v>589</v>
      </c>
      <c r="H406" s="7"/>
    </row>
    <row r="407" spans="1:8" x14ac:dyDescent="0.3">
      <c r="A407">
        <v>46276</v>
      </c>
      <c r="B407" t="s">
        <v>291</v>
      </c>
      <c r="C407" t="s">
        <v>154</v>
      </c>
      <c r="D407" t="s">
        <v>868</v>
      </c>
      <c r="E407" s="2">
        <f t="shared" si="6"/>
        <v>29080.63</v>
      </c>
      <c r="F407" s="2">
        <v>19387.09</v>
      </c>
      <c r="G407" s="2">
        <v>9693.5400000000009</v>
      </c>
      <c r="H407" s="7">
        <v>9693.5400000000009</v>
      </c>
    </row>
    <row r="408" spans="1:8" x14ac:dyDescent="0.3">
      <c r="E408" s="2" t="s">
        <v>589</v>
      </c>
      <c r="H408" s="7"/>
    </row>
    <row r="409" spans="1:8" x14ac:dyDescent="0.3">
      <c r="A409">
        <v>46284</v>
      </c>
      <c r="B409" t="s">
        <v>292</v>
      </c>
      <c r="C409" t="s">
        <v>154</v>
      </c>
      <c r="D409" t="s">
        <v>869</v>
      </c>
      <c r="E409" s="2">
        <f t="shared" si="6"/>
        <v>13484.630000000001</v>
      </c>
      <c r="F409" s="2">
        <v>8989.75</v>
      </c>
      <c r="G409" s="2">
        <v>4494.88</v>
      </c>
      <c r="H409" s="7">
        <v>4494.88</v>
      </c>
    </row>
    <row r="410" spans="1:8" x14ac:dyDescent="0.3">
      <c r="E410" s="2" t="s">
        <v>589</v>
      </c>
      <c r="H410" s="7"/>
    </row>
    <row r="411" spans="1:8" x14ac:dyDescent="0.3">
      <c r="A411">
        <v>46300</v>
      </c>
      <c r="B411" t="s">
        <v>870</v>
      </c>
      <c r="C411" t="s">
        <v>230</v>
      </c>
      <c r="D411" t="s">
        <v>661</v>
      </c>
      <c r="E411" s="2">
        <f t="shared" si="6"/>
        <v>88249.290000000008</v>
      </c>
      <c r="F411" s="2">
        <v>58832.86</v>
      </c>
      <c r="G411" s="2">
        <v>29416.43</v>
      </c>
      <c r="H411" s="7">
        <v>29416.43</v>
      </c>
    </row>
    <row r="412" spans="1:8" x14ac:dyDescent="0.3">
      <c r="E412" s="2" t="s">
        <v>589</v>
      </c>
      <c r="H412" s="7"/>
    </row>
    <row r="413" spans="1:8" x14ac:dyDescent="0.3">
      <c r="A413">
        <v>46359</v>
      </c>
      <c r="B413" t="s">
        <v>298</v>
      </c>
      <c r="C413" t="s">
        <v>230</v>
      </c>
      <c r="D413" t="s">
        <v>708</v>
      </c>
      <c r="E413" s="2">
        <f t="shared" si="6"/>
        <v>140670.01999999999</v>
      </c>
      <c r="F413" s="2">
        <v>93780.01</v>
      </c>
      <c r="G413" s="2">
        <v>46890.01</v>
      </c>
      <c r="H413" s="7">
        <v>46890.01</v>
      </c>
    </row>
    <row r="414" spans="1:8" x14ac:dyDescent="0.3">
      <c r="A414">
        <v>46359</v>
      </c>
      <c r="B414" t="s">
        <v>298</v>
      </c>
      <c r="C414" t="s">
        <v>230</v>
      </c>
      <c r="D414" t="s">
        <v>1115</v>
      </c>
      <c r="E414" s="2">
        <f t="shared" si="6"/>
        <v>18993.419999999998</v>
      </c>
      <c r="F414" s="2">
        <v>18993.419999999998</v>
      </c>
      <c r="G414" s="2">
        <v>9496.7099999999991</v>
      </c>
      <c r="H414" s="7">
        <v>0</v>
      </c>
    </row>
    <row r="415" spans="1:8" x14ac:dyDescent="0.3">
      <c r="E415" s="2" t="s">
        <v>589</v>
      </c>
      <c r="H415" s="7"/>
    </row>
    <row r="416" spans="1:8" x14ac:dyDescent="0.3">
      <c r="A416">
        <v>46367</v>
      </c>
      <c r="B416" t="s">
        <v>299</v>
      </c>
      <c r="C416" t="s">
        <v>230</v>
      </c>
      <c r="D416" t="s">
        <v>871</v>
      </c>
      <c r="E416" s="2">
        <f t="shared" si="6"/>
        <v>11826.26</v>
      </c>
      <c r="F416" s="2">
        <v>7884.17</v>
      </c>
      <c r="G416" s="2">
        <v>3942.09</v>
      </c>
      <c r="H416" s="7">
        <v>3942.09</v>
      </c>
    </row>
    <row r="417" spans="1:8" x14ac:dyDescent="0.3">
      <c r="A417">
        <v>46367</v>
      </c>
      <c r="B417" t="s">
        <v>299</v>
      </c>
      <c r="C417" t="s">
        <v>230</v>
      </c>
      <c r="D417" t="s">
        <v>872</v>
      </c>
      <c r="E417" s="2">
        <f t="shared" si="6"/>
        <v>7021.84</v>
      </c>
      <c r="F417" s="2">
        <v>4681.2299999999996</v>
      </c>
      <c r="G417" s="2">
        <v>2340.61</v>
      </c>
      <c r="H417" s="7">
        <v>2340.61</v>
      </c>
    </row>
    <row r="418" spans="1:8" x14ac:dyDescent="0.3">
      <c r="E418" s="2" t="s">
        <v>589</v>
      </c>
      <c r="H418" s="7"/>
    </row>
    <row r="419" spans="1:8" x14ac:dyDescent="0.3">
      <c r="A419">
        <v>46383</v>
      </c>
      <c r="B419" t="s">
        <v>300</v>
      </c>
      <c r="C419" t="s">
        <v>182</v>
      </c>
      <c r="D419" t="s">
        <v>873</v>
      </c>
      <c r="E419" s="2">
        <f t="shared" si="6"/>
        <v>16418.03</v>
      </c>
      <c r="F419" s="2">
        <v>10945.35</v>
      </c>
      <c r="G419" s="2">
        <v>5472.68</v>
      </c>
      <c r="H419" s="7">
        <v>5472.68</v>
      </c>
    </row>
    <row r="420" spans="1:8" x14ac:dyDescent="0.3">
      <c r="E420" s="2" t="s">
        <v>589</v>
      </c>
      <c r="H420" s="7"/>
    </row>
    <row r="421" spans="1:8" x14ac:dyDescent="0.3">
      <c r="A421">
        <v>46409</v>
      </c>
      <c r="B421" t="s">
        <v>302</v>
      </c>
      <c r="C421" t="s">
        <v>182</v>
      </c>
      <c r="D421" t="s">
        <v>874</v>
      </c>
      <c r="E421" s="2">
        <f t="shared" si="6"/>
        <v>7260.2999999999993</v>
      </c>
      <c r="F421" s="2">
        <v>4840.2</v>
      </c>
      <c r="G421" s="2">
        <v>2420.1</v>
      </c>
      <c r="H421" s="7">
        <v>2420.1</v>
      </c>
    </row>
    <row r="422" spans="1:8" x14ac:dyDescent="0.3">
      <c r="E422" s="2" t="s">
        <v>589</v>
      </c>
      <c r="H422" s="7"/>
    </row>
    <row r="423" spans="1:8" x14ac:dyDescent="0.3">
      <c r="A423">
        <v>46516</v>
      </c>
      <c r="B423" t="s">
        <v>875</v>
      </c>
      <c r="C423" t="s">
        <v>209</v>
      </c>
      <c r="D423" t="s">
        <v>876</v>
      </c>
      <c r="E423" s="2">
        <f t="shared" si="6"/>
        <v>171173.35</v>
      </c>
      <c r="F423" s="2">
        <v>114115.57</v>
      </c>
      <c r="G423" s="2">
        <v>57057.78</v>
      </c>
      <c r="H423" s="7">
        <v>57057.78</v>
      </c>
    </row>
    <row r="424" spans="1:8" x14ac:dyDescent="0.3">
      <c r="E424" s="2" t="s">
        <v>589</v>
      </c>
      <c r="H424" s="7"/>
    </row>
    <row r="425" spans="1:8" x14ac:dyDescent="0.3">
      <c r="A425">
        <v>46524</v>
      </c>
      <c r="B425" t="s">
        <v>877</v>
      </c>
      <c r="C425" t="s">
        <v>209</v>
      </c>
      <c r="D425" t="s">
        <v>878</v>
      </c>
      <c r="E425" s="2">
        <f t="shared" si="6"/>
        <v>25769.08</v>
      </c>
      <c r="F425" s="2">
        <v>17179.39</v>
      </c>
      <c r="G425" s="2">
        <v>8589.69</v>
      </c>
      <c r="H425" s="7">
        <v>8589.69</v>
      </c>
    </row>
    <row r="426" spans="1:8" x14ac:dyDescent="0.3">
      <c r="A426">
        <v>46524</v>
      </c>
      <c r="B426" t="s">
        <v>877</v>
      </c>
      <c r="C426" t="s">
        <v>209</v>
      </c>
      <c r="D426" t="s">
        <v>879</v>
      </c>
      <c r="E426" s="2">
        <f t="shared" si="6"/>
        <v>34358.769999999997</v>
      </c>
      <c r="F426" s="2">
        <v>22905.85</v>
      </c>
      <c r="G426" s="2">
        <v>11452.92</v>
      </c>
      <c r="H426" s="7">
        <v>11452.92</v>
      </c>
    </row>
    <row r="427" spans="1:8" x14ac:dyDescent="0.3">
      <c r="E427" s="2" t="s">
        <v>589</v>
      </c>
      <c r="H427" s="7"/>
    </row>
    <row r="428" spans="1:8" x14ac:dyDescent="0.3">
      <c r="A428">
        <v>46565</v>
      </c>
      <c r="B428" t="s">
        <v>309</v>
      </c>
      <c r="C428" t="s">
        <v>14</v>
      </c>
      <c r="D428" t="s">
        <v>880</v>
      </c>
      <c r="E428" s="2">
        <f t="shared" si="6"/>
        <v>106167.58</v>
      </c>
      <c r="F428" s="2">
        <v>70778.39</v>
      </c>
      <c r="G428" s="2">
        <v>35389.19</v>
      </c>
      <c r="H428" s="7">
        <v>35389.19</v>
      </c>
    </row>
    <row r="429" spans="1:8" x14ac:dyDescent="0.3">
      <c r="A429">
        <v>46565</v>
      </c>
      <c r="B429" t="s">
        <v>309</v>
      </c>
      <c r="C429" t="s">
        <v>14</v>
      </c>
      <c r="D429" t="s">
        <v>881</v>
      </c>
      <c r="E429" s="2">
        <f t="shared" si="6"/>
        <v>55207.14</v>
      </c>
      <c r="F429" s="2">
        <v>36804.76</v>
      </c>
      <c r="G429" s="2">
        <v>18402.38</v>
      </c>
      <c r="H429" s="7">
        <v>18402.38</v>
      </c>
    </row>
    <row r="430" spans="1:8" x14ac:dyDescent="0.3">
      <c r="E430" s="2" t="s">
        <v>589</v>
      </c>
      <c r="H430" s="7"/>
    </row>
    <row r="431" spans="1:8" x14ac:dyDescent="0.3">
      <c r="A431">
        <v>46714</v>
      </c>
      <c r="B431" t="s">
        <v>320</v>
      </c>
      <c r="C431" t="s">
        <v>220</v>
      </c>
      <c r="D431" t="s">
        <v>882</v>
      </c>
      <c r="E431" s="2">
        <f t="shared" si="6"/>
        <v>2183.38</v>
      </c>
      <c r="F431" s="2">
        <v>1455.59</v>
      </c>
      <c r="G431" s="2">
        <v>727.79</v>
      </c>
      <c r="H431" s="7">
        <v>727.79</v>
      </c>
    </row>
    <row r="432" spans="1:8" x14ac:dyDescent="0.3">
      <c r="A432">
        <v>46714</v>
      </c>
      <c r="B432" t="s">
        <v>320</v>
      </c>
      <c r="C432" t="s">
        <v>220</v>
      </c>
      <c r="D432" t="s">
        <v>883</v>
      </c>
      <c r="E432" s="2">
        <f t="shared" si="6"/>
        <v>749.04</v>
      </c>
      <c r="F432" s="2">
        <v>499.36</v>
      </c>
      <c r="G432" s="2">
        <v>249.68</v>
      </c>
      <c r="H432" s="7">
        <v>249.68</v>
      </c>
    </row>
    <row r="433" spans="1:8" x14ac:dyDescent="0.3">
      <c r="E433" s="2" t="s">
        <v>589</v>
      </c>
      <c r="H433" s="7"/>
    </row>
    <row r="434" spans="1:8" x14ac:dyDescent="0.3">
      <c r="A434">
        <v>46789</v>
      </c>
      <c r="B434" t="s">
        <v>323</v>
      </c>
      <c r="C434" t="s">
        <v>85</v>
      </c>
      <c r="D434" t="s">
        <v>884</v>
      </c>
      <c r="E434" s="2">
        <f t="shared" si="6"/>
        <v>2186.3000000000002</v>
      </c>
      <c r="F434" s="2">
        <v>1457.53</v>
      </c>
      <c r="G434" s="2">
        <v>728.77</v>
      </c>
      <c r="H434" s="7">
        <v>728.77</v>
      </c>
    </row>
    <row r="435" spans="1:8" x14ac:dyDescent="0.3">
      <c r="E435" s="2" t="s">
        <v>589</v>
      </c>
      <c r="H435" s="7"/>
    </row>
    <row r="436" spans="1:8" x14ac:dyDescent="0.3">
      <c r="A436">
        <v>46953</v>
      </c>
      <c r="B436" t="s">
        <v>337</v>
      </c>
      <c r="C436" t="s">
        <v>48</v>
      </c>
      <c r="D436" t="s">
        <v>854</v>
      </c>
      <c r="E436" s="2">
        <f t="shared" si="6"/>
        <v>13388.380000000001</v>
      </c>
      <c r="F436" s="2">
        <v>8925.59</v>
      </c>
      <c r="G436" s="2">
        <v>4462.79</v>
      </c>
      <c r="H436" s="7">
        <v>4462.79</v>
      </c>
    </row>
    <row r="437" spans="1:8" x14ac:dyDescent="0.3">
      <c r="A437">
        <v>46953</v>
      </c>
      <c r="B437" t="s">
        <v>337</v>
      </c>
      <c r="C437" t="s">
        <v>48</v>
      </c>
      <c r="D437" t="s">
        <v>885</v>
      </c>
      <c r="E437" s="2">
        <f t="shared" si="6"/>
        <v>143224.51999999999</v>
      </c>
      <c r="F437" s="2">
        <v>95483.01</v>
      </c>
      <c r="G437" s="2">
        <v>47741.51</v>
      </c>
      <c r="H437" s="7">
        <v>47741.51</v>
      </c>
    </row>
    <row r="438" spans="1:8" x14ac:dyDescent="0.3">
      <c r="E438" s="2" t="s">
        <v>589</v>
      </c>
      <c r="H438" s="7"/>
    </row>
    <row r="439" spans="1:8" x14ac:dyDescent="0.3">
      <c r="A439">
        <v>46979</v>
      </c>
      <c r="B439" t="s">
        <v>338</v>
      </c>
      <c r="C439" t="s">
        <v>48</v>
      </c>
      <c r="D439" t="s">
        <v>886</v>
      </c>
      <c r="E439" s="2">
        <f t="shared" si="6"/>
        <v>257703.53</v>
      </c>
      <c r="F439" s="2">
        <v>171802.35</v>
      </c>
      <c r="G439" s="2">
        <v>85901.18</v>
      </c>
      <c r="H439" s="7">
        <v>85901.18</v>
      </c>
    </row>
    <row r="440" spans="1:8" x14ac:dyDescent="0.3">
      <c r="E440" s="2" t="s">
        <v>589</v>
      </c>
      <c r="H440" s="7"/>
    </row>
    <row r="441" spans="1:8" x14ac:dyDescent="0.3">
      <c r="A441">
        <v>46995</v>
      </c>
      <c r="B441" t="s">
        <v>887</v>
      </c>
      <c r="C441" t="s">
        <v>48</v>
      </c>
      <c r="D441" t="s">
        <v>888</v>
      </c>
      <c r="E441" s="2">
        <f t="shared" si="6"/>
        <v>34483.22</v>
      </c>
      <c r="F441" s="2">
        <v>22988.81</v>
      </c>
      <c r="G441" s="2">
        <v>11494.41</v>
      </c>
      <c r="H441" s="7">
        <v>11494.41</v>
      </c>
    </row>
    <row r="442" spans="1:8" x14ac:dyDescent="0.3">
      <c r="A442">
        <v>46995</v>
      </c>
      <c r="B442" t="s">
        <v>887</v>
      </c>
      <c r="C442" t="s">
        <v>48</v>
      </c>
      <c r="D442" t="s">
        <v>889</v>
      </c>
      <c r="E442" s="2">
        <f t="shared" si="6"/>
        <v>9383.7100000000009</v>
      </c>
      <c r="F442" s="2">
        <v>6255.81</v>
      </c>
      <c r="G442" s="2">
        <v>3127.9</v>
      </c>
      <c r="H442" s="7">
        <v>3127.9</v>
      </c>
    </row>
    <row r="443" spans="1:8" x14ac:dyDescent="0.3">
      <c r="A443">
        <v>46995</v>
      </c>
      <c r="B443" t="s">
        <v>887</v>
      </c>
      <c r="C443" t="s">
        <v>48</v>
      </c>
      <c r="D443" t="s">
        <v>890</v>
      </c>
      <c r="E443" s="2">
        <f t="shared" si="6"/>
        <v>12206.45</v>
      </c>
      <c r="F443" s="2">
        <v>8137.63</v>
      </c>
      <c r="G443" s="2">
        <v>4068.82</v>
      </c>
      <c r="H443" s="7">
        <v>4068.82</v>
      </c>
    </row>
    <row r="444" spans="1:8" x14ac:dyDescent="0.3">
      <c r="E444" s="2" t="s">
        <v>589</v>
      </c>
      <c r="H444" s="7"/>
    </row>
    <row r="445" spans="1:8" x14ac:dyDescent="0.3">
      <c r="A445">
        <v>47019</v>
      </c>
      <c r="B445" t="s">
        <v>891</v>
      </c>
      <c r="C445" t="s">
        <v>48</v>
      </c>
      <c r="D445" t="s">
        <v>892</v>
      </c>
      <c r="E445" s="2">
        <f t="shared" si="6"/>
        <v>37399.440000000002</v>
      </c>
      <c r="F445" s="2">
        <v>24932.959999999999</v>
      </c>
      <c r="G445" s="2">
        <v>12466.48</v>
      </c>
      <c r="H445" s="7">
        <v>12466.48</v>
      </c>
    </row>
    <row r="446" spans="1:8" x14ac:dyDescent="0.3">
      <c r="A446">
        <v>47019</v>
      </c>
      <c r="B446" t="s">
        <v>891</v>
      </c>
      <c r="C446" t="s">
        <v>48</v>
      </c>
      <c r="D446" t="s">
        <v>893</v>
      </c>
      <c r="E446" s="2">
        <f t="shared" si="6"/>
        <v>34346.42</v>
      </c>
      <c r="F446" s="2">
        <v>22897.61</v>
      </c>
      <c r="G446" s="2">
        <v>11448.81</v>
      </c>
      <c r="H446" s="7">
        <v>11448.81</v>
      </c>
    </row>
    <row r="447" spans="1:8" x14ac:dyDescent="0.3">
      <c r="A447">
        <v>47019</v>
      </c>
      <c r="B447" t="s">
        <v>891</v>
      </c>
      <c r="C447" t="s">
        <v>48</v>
      </c>
      <c r="D447" t="s">
        <v>894</v>
      </c>
      <c r="E447" s="2">
        <f t="shared" si="6"/>
        <v>42742.21</v>
      </c>
      <c r="F447" s="2">
        <v>28494.81</v>
      </c>
      <c r="G447" s="2">
        <v>14247.4</v>
      </c>
      <c r="H447" s="7">
        <v>14247.4</v>
      </c>
    </row>
    <row r="448" spans="1:8" x14ac:dyDescent="0.3">
      <c r="A448">
        <v>47019</v>
      </c>
      <c r="B448" t="s">
        <v>891</v>
      </c>
      <c r="C448" t="s">
        <v>48</v>
      </c>
      <c r="D448" t="s">
        <v>895</v>
      </c>
      <c r="E448" s="2">
        <f t="shared" si="6"/>
        <v>72509.11</v>
      </c>
      <c r="F448" s="2">
        <v>48339.41</v>
      </c>
      <c r="G448" s="2">
        <v>24169.7</v>
      </c>
      <c r="H448" s="7">
        <v>24169.7</v>
      </c>
    </row>
    <row r="449" spans="1:8" x14ac:dyDescent="0.3">
      <c r="A449">
        <v>47019</v>
      </c>
      <c r="B449" t="s">
        <v>891</v>
      </c>
      <c r="C449" t="s">
        <v>48</v>
      </c>
      <c r="D449" t="s">
        <v>896</v>
      </c>
      <c r="E449" s="2">
        <f t="shared" si="6"/>
        <v>20989.48</v>
      </c>
      <c r="F449" s="2">
        <v>13992.99</v>
      </c>
      <c r="G449" s="2">
        <v>6996.49</v>
      </c>
      <c r="H449" s="7">
        <v>6996.49</v>
      </c>
    </row>
    <row r="450" spans="1:8" x14ac:dyDescent="0.3">
      <c r="E450" s="2" t="s">
        <v>589</v>
      </c>
      <c r="H450" s="7"/>
    </row>
    <row r="451" spans="1:8" x14ac:dyDescent="0.3">
      <c r="A451">
        <v>47043</v>
      </c>
      <c r="B451" t="s">
        <v>340</v>
      </c>
      <c r="C451" t="s">
        <v>243</v>
      </c>
      <c r="D451" t="s">
        <v>897</v>
      </c>
      <c r="E451" s="2">
        <f t="shared" si="6"/>
        <v>64339.38</v>
      </c>
      <c r="F451" s="2">
        <v>42892.92</v>
      </c>
      <c r="G451" s="2">
        <v>21446.46</v>
      </c>
      <c r="H451" s="7">
        <v>21446.46</v>
      </c>
    </row>
    <row r="452" spans="1:8" x14ac:dyDescent="0.3">
      <c r="A452">
        <v>47043</v>
      </c>
      <c r="B452" t="s">
        <v>340</v>
      </c>
      <c r="C452" t="s">
        <v>243</v>
      </c>
      <c r="D452" t="s">
        <v>898</v>
      </c>
      <c r="E452" s="2">
        <f t="shared" si="6"/>
        <v>233961.37</v>
      </c>
      <c r="F452" s="2">
        <v>155974.25</v>
      </c>
      <c r="G452" s="2">
        <v>77987.12</v>
      </c>
      <c r="H452" s="7">
        <v>77987.12</v>
      </c>
    </row>
    <row r="453" spans="1:8" x14ac:dyDescent="0.3">
      <c r="E453" s="2" t="s">
        <v>589</v>
      </c>
      <c r="H453" s="7"/>
    </row>
    <row r="454" spans="1:8" x14ac:dyDescent="0.3">
      <c r="A454">
        <v>47068</v>
      </c>
      <c r="B454" t="s">
        <v>342</v>
      </c>
      <c r="C454" t="s">
        <v>243</v>
      </c>
      <c r="D454" t="s">
        <v>899</v>
      </c>
      <c r="E454" s="2">
        <f t="shared" si="6"/>
        <v>26805.870000000003</v>
      </c>
      <c r="F454" s="2">
        <v>17870.580000000002</v>
      </c>
      <c r="G454" s="2">
        <v>8935.2900000000009</v>
      </c>
      <c r="H454" s="7">
        <v>8935.2900000000009</v>
      </c>
    </row>
    <row r="455" spans="1:8" x14ac:dyDescent="0.3">
      <c r="A455">
        <v>47068</v>
      </c>
      <c r="B455" t="s">
        <v>342</v>
      </c>
      <c r="C455" t="s">
        <v>243</v>
      </c>
      <c r="D455" t="s">
        <v>900</v>
      </c>
      <c r="E455" s="2">
        <f t="shared" si="6"/>
        <v>14497.82</v>
      </c>
      <c r="F455" s="2">
        <v>14497.82</v>
      </c>
      <c r="G455" s="2">
        <v>7248.91</v>
      </c>
      <c r="H455" s="7">
        <v>0</v>
      </c>
    </row>
    <row r="456" spans="1:8" x14ac:dyDescent="0.3">
      <c r="E456" s="2" t="s">
        <v>589</v>
      </c>
      <c r="H456" s="7"/>
    </row>
    <row r="457" spans="1:8" x14ac:dyDescent="0.3">
      <c r="A457">
        <v>47084</v>
      </c>
      <c r="B457" t="s">
        <v>901</v>
      </c>
      <c r="C457" t="s">
        <v>243</v>
      </c>
      <c r="D457" t="s">
        <v>902</v>
      </c>
      <c r="E457" s="2">
        <f t="shared" si="6"/>
        <v>91545.94</v>
      </c>
      <c r="F457" s="2">
        <v>61030.63</v>
      </c>
      <c r="G457" s="2">
        <v>30515.31</v>
      </c>
      <c r="H457" s="7">
        <v>30515.31</v>
      </c>
    </row>
    <row r="458" spans="1:8" x14ac:dyDescent="0.3">
      <c r="E458" s="2" t="s">
        <v>589</v>
      </c>
      <c r="H458" s="7"/>
    </row>
    <row r="459" spans="1:8" x14ac:dyDescent="0.3">
      <c r="A459">
        <v>47092</v>
      </c>
      <c r="B459" t="s">
        <v>344</v>
      </c>
      <c r="C459" t="s">
        <v>243</v>
      </c>
      <c r="D459" t="s">
        <v>614</v>
      </c>
      <c r="E459" s="2">
        <f t="shared" si="6"/>
        <v>31278.81</v>
      </c>
      <c r="F459" s="2">
        <v>20852.54</v>
      </c>
      <c r="G459" s="2">
        <v>10426.27</v>
      </c>
      <c r="H459" s="7">
        <v>10426.27</v>
      </c>
    </row>
    <row r="460" spans="1:8" x14ac:dyDescent="0.3">
      <c r="A460">
        <v>47092</v>
      </c>
      <c r="B460" t="s">
        <v>344</v>
      </c>
      <c r="C460" t="s">
        <v>243</v>
      </c>
      <c r="D460" t="s">
        <v>881</v>
      </c>
      <c r="E460" s="2">
        <f t="shared" si="6"/>
        <v>53620.81</v>
      </c>
      <c r="F460" s="2">
        <v>35747.21</v>
      </c>
      <c r="G460" s="2">
        <v>17873.599999999999</v>
      </c>
      <c r="H460" s="7">
        <v>17873.599999999999</v>
      </c>
    </row>
    <row r="461" spans="1:8" x14ac:dyDescent="0.3">
      <c r="E461" s="2" t="s">
        <v>589</v>
      </c>
      <c r="H461" s="7"/>
    </row>
    <row r="462" spans="1:8" x14ac:dyDescent="0.3">
      <c r="A462">
        <v>47175</v>
      </c>
      <c r="B462" t="s">
        <v>347</v>
      </c>
      <c r="C462" t="s">
        <v>346</v>
      </c>
      <c r="D462" t="s">
        <v>903</v>
      </c>
      <c r="E462" s="2">
        <f t="shared" si="6"/>
        <v>62680.66</v>
      </c>
      <c r="F462" s="2">
        <v>41787.11</v>
      </c>
      <c r="G462" s="2">
        <v>20893.55</v>
      </c>
      <c r="H462" s="7">
        <v>20893.55</v>
      </c>
    </row>
    <row r="463" spans="1:8" x14ac:dyDescent="0.3">
      <c r="A463">
        <v>47175</v>
      </c>
      <c r="B463" t="s">
        <v>347</v>
      </c>
      <c r="C463" t="s">
        <v>346</v>
      </c>
      <c r="D463" t="s">
        <v>904</v>
      </c>
      <c r="E463" s="2">
        <f t="shared" si="6"/>
        <v>19898.62</v>
      </c>
      <c r="F463" s="2">
        <v>13265.75</v>
      </c>
      <c r="G463" s="2">
        <v>6632.87</v>
      </c>
      <c r="H463" s="7">
        <v>6632.87</v>
      </c>
    </row>
    <row r="464" spans="1:8" x14ac:dyDescent="0.3">
      <c r="E464" s="2" t="s">
        <v>589</v>
      </c>
      <c r="H464" s="7"/>
    </row>
    <row r="465" spans="1:8" x14ac:dyDescent="0.3">
      <c r="A465">
        <v>47241</v>
      </c>
      <c r="B465" t="s">
        <v>350</v>
      </c>
      <c r="C465" t="s">
        <v>186</v>
      </c>
      <c r="D465" t="s">
        <v>905</v>
      </c>
      <c r="E465" s="2">
        <f t="shared" si="6"/>
        <v>289478.63</v>
      </c>
      <c r="F465" s="2">
        <v>192985.75</v>
      </c>
      <c r="G465" s="2">
        <v>96492.88</v>
      </c>
      <c r="H465" s="7">
        <v>96492.88</v>
      </c>
    </row>
    <row r="466" spans="1:8" x14ac:dyDescent="0.3">
      <c r="A466">
        <v>47241</v>
      </c>
      <c r="B466" t="s">
        <v>350</v>
      </c>
      <c r="C466" t="s">
        <v>186</v>
      </c>
      <c r="D466" t="s">
        <v>906</v>
      </c>
      <c r="E466" s="2">
        <f t="shared" si="6"/>
        <v>194162.49</v>
      </c>
      <c r="F466" s="2">
        <v>129441.66</v>
      </c>
      <c r="G466" s="2">
        <v>64720.83</v>
      </c>
      <c r="H466" s="7">
        <v>64720.83</v>
      </c>
    </row>
    <row r="467" spans="1:8" x14ac:dyDescent="0.3">
      <c r="A467">
        <v>47241</v>
      </c>
      <c r="B467" t="s">
        <v>350</v>
      </c>
      <c r="C467" t="s">
        <v>186</v>
      </c>
      <c r="D467" t="s">
        <v>704</v>
      </c>
      <c r="E467" s="2">
        <f t="shared" ref="E467:E529" si="7">F467+H467</f>
        <v>67074.320000000007</v>
      </c>
      <c r="F467" s="2">
        <v>44716.21</v>
      </c>
      <c r="G467" s="2">
        <v>22358.11</v>
      </c>
      <c r="H467" s="7">
        <v>22358.11</v>
      </c>
    </row>
    <row r="468" spans="1:8" x14ac:dyDescent="0.3">
      <c r="E468" s="2" t="s">
        <v>589</v>
      </c>
      <c r="H468" s="7"/>
    </row>
    <row r="469" spans="1:8" x14ac:dyDescent="0.3">
      <c r="A469">
        <v>47308</v>
      </c>
      <c r="B469" t="s">
        <v>353</v>
      </c>
      <c r="C469" t="s">
        <v>32</v>
      </c>
      <c r="D469" t="s">
        <v>907</v>
      </c>
      <c r="E469" s="2">
        <f t="shared" si="7"/>
        <v>288267.71000000002</v>
      </c>
      <c r="F469" s="2">
        <v>192178.47</v>
      </c>
      <c r="G469" s="2">
        <v>96089.24</v>
      </c>
      <c r="H469" s="7">
        <v>96089.24</v>
      </c>
    </row>
    <row r="470" spans="1:8" x14ac:dyDescent="0.3">
      <c r="E470" s="2" t="s">
        <v>589</v>
      </c>
      <c r="H470" s="7"/>
    </row>
    <row r="471" spans="1:8" x14ac:dyDescent="0.3">
      <c r="A471">
        <v>47381</v>
      </c>
      <c r="B471" t="s">
        <v>908</v>
      </c>
      <c r="C471" t="s">
        <v>54</v>
      </c>
      <c r="D471" t="s">
        <v>746</v>
      </c>
      <c r="E471" s="2">
        <f t="shared" si="7"/>
        <v>10064.280000000001</v>
      </c>
      <c r="F471" s="2">
        <v>6709.52</v>
      </c>
      <c r="G471" s="2">
        <v>3354.76</v>
      </c>
      <c r="H471" s="7">
        <v>3354.76</v>
      </c>
    </row>
    <row r="472" spans="1:8" x14ac:dyDescent="0.3">
      <c r="A472">
        <v>47381</v>
      </c>
      <c r="B472" t="s">
        <v>908</v>
      </c>
      <c r="C472" t="s">
        <v>54</v>
      </c>
      <c r="D472" t="s">
        <v>909</v>
      </c>
      <c r="E472" s="2">
        <f t="shared" si="7"/>
        <v>2969.79</v>
      </c>
      <c r="F472" s="2">
        <v>2969.79</v>
      </c>
      <c r="G472" s="2">
        <v>1484.89</v>
      </c>
      <c r="H472" s="7">
        <v>0</v>
      </c>
    </row>
    <row r="473" spans="1:8" x14ac:dyDescent="0.3">
      <c r="E473" s="2" t="s">
        <v>589</v>
      </c>
      <c r="H473" s="7"/>
    </row>
    <row r="474" spans="1:8" x14ac:dyDescent="0.3">
      <c r="A474">
        <v>47415</v>
      </c>
      <c r="B474" t="s">
        <v>910</v>
      </c>
      <c r="C474" t="s">
        <v>358</v>
      </c>
      <c r="D474" t="s">
        <v>911</v>
      </c>
      <c r="E474" s="2">
        <f t="shared" si="7"/>
        <v>9374.33</v>
      </c>
      <c r="F474" s="2">
        <v>6249.55</v>
      </c>
      <c r="G474" s="2">
        <v>3124.78</v>
      </c>
      <c r="H474" s="7">
        <v>3124.78</v>
      </c>
    </row>
    <row r="475" spans="1:8" x14ac:dyDescent="0.3">
      <c r="A475">
        <v>47415</v>
      </c>
      <c r="B475" t="s">
        <v>910</v>
      </c>
      <c r="C475" t="s">
        <v>358</v>
      </c>
      <c r="D475" t="s">
        <v>912</v>
      </c>
      <c r="E475" s="2">
        <f t="shared" si="7"/>
        <v>13503.99</v>
      </c>
      <c r="F475" s="2">
        <v>9002.66</v>
      </c>
      <c r="G475" s="2">
        <v>4501.33</v>
      </c>
      <c r="H475" s="7">
        <v>4501.33</v>
      </c>
    </row>
    <row r="476" spans="1:8" x14ac:dyDescent="0.3">
      <c r="E476" s="2" t="s">
        <v>589</v>
      </c>
      <c r="H476" s="7"/>
    </row>
    <row r="477" spans="1:8" x14ac:dyDescent="0.3">
      <c r="A477">
        <v>47449</v>
      </c>
      <c r="B477" t="s">
        <v>913</v>
      </c>
      <c r="C477" t="s">
        <v>358</v>
      </c>
      <c r="D477" t="s">
        <v>914</v>
      </c>
      <c r="E477" s="2">
        <f t="shared" si="7"/>
        <v>62293.72</v>
      </c>
      <c r="F477" s="2">
        <v>41529.15</v>
      </c>
      <c r="G477" s="2">
        <v>20764.57</v>
      </c>
      <c r="H477" s="7">
        <v>20764.57</v>
      </c>
    </row>
    <row r="478" spans="1:8" x14ac:dyDescent="0.3">
      <c r="A478">
        <v>47449</v>
      </c>
      <c r="B478" t="s">
        <v>913</v>
      </c>
      <c r="C478" t="s">
        <v>358</v>
      </c>
      <c r="D478" t="s">
        <v>915</v>
      </c>
      <c r="E478" s="2">
        <f t="shared" si="7"/>
        <v>53242.49</v>
      </c>
      <c r="F478" s="2">
        <v>35494.99</v>
      </c>
      <c r="G478" s="2">
        <v>17747.5</v>
      </c>
      <c r="H478" s="7">
        <v>17747.5</v>
      </c>
    </row>
    <row r="479" spans="1:8" x14ac:dyDescent="0.3">
      <c r="E479" s="2" t="s">
        <v>589</v>
      </c>
      <c r="H479" s="7"/>
    </row>
    <row r="480" spans="1:8" x14ac:dyDescent="0.3">
      <c r="A480">
        <v>47456</v>
      </c>
      <c r="B480" t="s">
        <v>359</v>
      </c>
      <c r="C480" t="s">
        <v>358</v>
      </c>
      <c r="D480" t="s">
        <v>916</v>
      </c>
      <c r="E480" s="2">
        <f t="shared" si="7"/>
        <v>25501.15</v>
      </c>
      <c r="F480" s="2">
        <v>17000.77</v>
      </c>
      <c r="G480" s="2">
        <v>8500.3799999999992</v>
      </c>
      <c r="H480" s="7">
        <v>8500.3799999999992</v>
      </c>
    </row>
    <row r="481" spans="1:8" x14ac:dyDescent="0.3">
      <c r="E481" s="2" t="s">
        <v>589</v>
      </c>
      <c r="H481" s="7"/>
    </row>
    <row r="482" spans="1:8" x14ac:dyDescent="0.3">
      <c r="A482">
        <v>47464</v>
      </c>
      <c r="B482" t="s">
        <v>360</v>
      </c>
      <c r="C482" t="s">
        <v>358</v>
      </c>
      <c r="D482" t="s">
        <v>917</v>
      </c>
      <c r="E482" s="2">
        <f t="shared" si="7"/>
        <v>311601.26</v>
      </c>
      <c r="F482" s="2">
        <v>207734.17</v>
      </c>
      <c r="G482" s="2">
        <v>103867.09</v>
      </c>
      <c r="H482" s="7">
        <v>103867.09</v>
      </c>
    </row>
    <row r="483" spans="1:8" x14ac:dyDescent="0.3">
      <c r="A483">
        <v>47464</v>
      </c>
      <c r="B483" t="s">
        <v>360</v>
      </c>
      <c r="C483" t="s">
        <v>358</v>
      </c>
      <c r="D483" t="s">
        <v>918</v>
      </c>
      <c r="E483" s="2">
        <f t="shared" si="7"/>
        <v>235117.32</v>
      </c>
      <c r="F483" s="2">
        <v>156744.88</v>
      </c>
      <c r="G483" s="2">
        <v>78372.44</v>
      </c>
      <c r="H483" s="7">
        <v>78372.44</v>
      </c>
    </row>
    <row r="484" spans="1:8" x14ac:dyDescent="0.3">
      <c r="E484" s="2" t="s">
        <v>589</v>
      </c>
      <c r="H484" s="7" t="s">
        <v>589</v>
      </c>
    </row>
    <row r="485" spans="1:8" x14ac:dyDescent="0.3">
      <c r="A485">
        <v>47548</v>
      </c>
      <c r="B485" t="s">
        <v>365</v>
      </c>
      <c r="C485" t="s">
        <v>195</v>
      </c>
      <c r="D485" t="s">
        <v>919</v>
      </c>
      <c r="E485" s="2">
        <f t="shared" si="7"/>
        <v>6913.3099999999995</v>
      </c>
      <c r="F485" s="2">
        <v>4608.87</v>
      </c>
      <c r="G485" s="2">
        <v>2304.44</v>
      </c>
      <c r="H485" s="7">
        <v>2304.44</v>
      </c>
    </row>
    <row r="486" spans="1:8" x14ac:dyDescent="0.3">
      <c r="A486">
        <v>47548</v>
      </c>
      <c r="B486" t="s">
        <v>365</v>
      </c>
      <c r="C486" t="s">
        <v>195</v>
      </c>
      <c r="D486" t="s">
        <v>911</v>
      </c>
      <c r="E486" s="2">
        <f t="shared" si="7"/>
        <v>8149.73</v>
      </c>
      <c r="F486" s="2">
        <v>5433.15</v>
      </c>
      <c r="G486" s="2">
        <v>2716.58</v>
      </c>
      <c r="H486" s="7">
        <v>2716.58</v>
      </c>
    </row>
    <row r="487" spans="1:8" x14ac:dyDescent="0.3">
      <c r="E487" s="2" t="s">
        <v>589</v>
      </c>
      <c r="H487" s="7"/>
    </row>
    <row r="488" spans="1:8" x14ac:dyDescent="0.3">
      <c r="A488">
        <v>47571</v>
      </c>
      <c r="B488" t="s">
        <v>366</v>
      </c>
      <c r="C488" t="s">
        <v>113</v>
      </c>
      <c r="D488" t="s">
        <v>920</v>
      </c>
      <c r="E488" s="2">
        <f t="shared" si="7"/>
        <v>2003.14</v>
      </c>
      <c r="F488" s="2">
        <v>1335.43</v>
      </c>
      <c r="G488" s="2">
        <v>667.71</v>
      </c>
      <c r="H488" s="7">
        <v>667.71</v>
      </c>
    </row>
    <row r="489" spans="1:8" x14ac:dyDescent="0.3">
      <c r="A489">
        <v>47571</v>
      </c>
      <c r="B489" t="s">
        <v>366</v>
      </c>
      <c r="C489" t="s">
        <v>113</v>
      </c>
      <c r="D489" t="s">
        <v>921</v>
      </c>
      <c r="E489" s="2">
        <f t="shared" si="7"/>
        <v>2356.63</v>
      </c>
      <c r="F489" s="2">
        <v>1571.09</v>
      </c>
      <c r="G489" s="2">
        <v>785.54</v>
      </c>
      <c r="H489" s="7">
        <v>785.54</v>
      </c>
    </row>
    <row r="490" spans="1:8" x14ac:dyDescent="0.3">
      <c r="A490">
        <v>47571</v>
      </c>
      <c r="B490" t="s">
        <v>366</v>
      </c>
      <c r="C490" t="s">
        <v>113</v>
      </c>
      <c r="D490" t="s">
        <v>922</v>
      </c>
      <c r="E490" s="2">
        <f t="shared" si="7"/>
        <v>4399.0499999999993</v>
      </c>
      <c r="F490" s="2">
        <v>2932.7</v>
      </c>
      <c r="G490" s="2">
        <v>1466.35</v>
      </c>
      <c r="H490" s="7">
        <v>1466.35</v>
      </c>
    </row>
    <row r="491" spans="1:8" x14ac:dyDescent="0.3">
      <c r="A491">
        <v>47571</v>
      </c>
      <c r="B491" t="s">
        <v>366</v>
      </c>
      <c r="C491" t="s">
        <v>113</v>
      </c>
      <c r="D491" t="s">
        <v>923</v>
      </c>
      <c r="E491" s="2">
        <f t="shared" si="7"/>
        <v>471.33000000000004</v>
      </c>
      <c r="F491" s="2">
        <v>314.22000000000003</v>
      </c>
      <c r="G491" s="2">
        <v>157.11000000000001</v>
      </c>
      <c r="H491" s="7">
        <v>157.11000000000001</v>
      </c>
    </row>
    <row r="492" spans="1:8" x14ac:dyDescent="0.3">
      <c r="E492" s="2" t="s">
        <v>589</v>
      </c>
      <c r="H492" s="7"/>
    </row>
    <row r="493" spans="1:8" x14ac:dyDescent="0.3">
      <c r="A493">
        <v>47696</v>
      </c>
      <c r="B493" t="s">
        <v>376</v>
      </c>
      <c r="C493" t="s">
        <v>375</v>
      </c>
      <c r="D493" t="s">
        <v>924</v>
      </c>
      <c r="E493" s="2">
        <f t="shared" si="7"/>
        <v>5100.26</v>
      </c>
      <c r="F493" s="2">
        <v>3400.17</v>
      </c>
      <c r="G493" s="2">
        <v>1700.09</v>
      </c>
      <c r="H493" s="7">
        <v>1700.09</v>
      </c>
    </row>
    <row r="494" spans="1:8" x14ac:dyDescent="0.3">
      <c r="A494">
        <v>47696</v>
      </c>
      <c r="B494" t="s">
        <v>376</v>
      </c>
      <c r="C494" t="s">
        <v>375</v>
      </c>
      <c r="D494" t="s">
        <v>925</v>
      </c>
      <c r="E494" s="2">
        <f t="shared" si="7"/>
        <v>9471.91</v>
      </c>
      <c r="F494" s="2">
        <v>6314.61</v>
      </c>
      <c r="G494" s="2">
        <v>3157.3</v>
      </c>
      <c r="H494" s="7">
        <v>3157.3</v>
      </c>
    </row>
    <row r="495" spans="1:8" x14ac:dyDescent="0.3">
      <c r="A495">
        <v>47696</v>
      </c>
      <c r="B495" t="s">
        <v>376</v>
      </c>
      <c r="C495" t="s">
        <v>375</v>
      </c>
      <c r="D495" t="s">
        <v>926</v>
      </c>
      <c r="E495" s="2">
        <f t="shared" si="7"/>
        <v>13479.26</v>
      </c>
      <c r="F495" s="2">
        <v>8986.17</v>
      </c>
      <c r="G495" s="2">
        <v>4493.09</v>
      </c>
      <c r="H495" s="7">
        <v>4493.09</v>
      </c>
    </row>
    <row r="496" spans="1:8" x14ac:dyDescent="0.3">
      <c r="E496" s="2" t="s">
        <v>589</v>
      </c>
      <c r="H496" s="7"/>
    </row>
    <row r="497" spans="1:8" x14ac:dyDescent="0.3">
      <c r="A497">
        <v>47712</v>
      </c>
      <c r="B497" t="s">
        <v>377</v>
      </c>
      <c r="C497" t="s">
        <v>21</v>
      </c>
      <c r="D497" t="s">
        <v>927</v>
      </c>
      <c r="E497" s="2">
        <f t="shared" si="7"/>
        <v>15039.25</v>
      </c>
      <c r="F497" s="2">
        <v>10026.17</v>
      </c>
      <c r="G497" s="2">
        <v>5013.08</v>
      </c>
      <c r="H497" s="7">
        <v>5013.08</v>
      </c>
    </row>
    <row r="498" spans="1:8" x14ac:dyDescent="0.3">
      <c r="A498">
        <v>47712</v>
      </c>
      <c r="B498" t="s">
        <v>377</v>
      </c>
      <c r="C498" t="s">
        <v>21</v>
      </c>
      <c r="D498" t="s">
        <v>928</v>
      </c>
      <c r="E498" s="2">
        <f t="shared" si="7"/>
        <v>15874.76</v>
      </c>
      <c r="F498" s="2">
        <v>10583.17</v>
      </c>
      <c r="G498" s="2">
        <v>5291.59</v>
      </c>
      <c r="H498" s="7">
        <v>5291.59</v>
      </c>
    </row>
    <row r="499" spans="1:8" x14ac:dyDescent="0.3">
      <c r="E499" s="2" t="s">
        <v>589</v>
      </c>
      <c r="H499" s="7"/>
    </row>
    <row r="500" spans="1:8" x14ac:dyDescent="0.3">
      <c r="A500">
        <v>47852</v>
      </c>
      <c r="B500" t="s">
        <v>386</v>
      </c>
      <c r="C500" t="s">
        <v>111</v>
      </c>
      <c r="D500" t="s">
        <v>652</v>
      </c>
      <c r="E500" s="2">
        <f t="shared" si="7"/>
        <v>42320.28</v>
      </c>
      <c r="F500" s="2">
        <v>28213.52</v>
      </c>
      <c r="G500" s="2">
        <v>14106.76</v>
      </c>
      <c r="H500" s="7">
        <v>14106.76</v>
      </c>
    </row>
    <row r="501" spans="1:8" x14ac:dyDescent="0.3">
      <c r="A501">
        <v>47852</v>
      </c>
      <c r="B501" t="s">
        <v>386</v>
      </c>
      <c r="C501" t="s">
        <v>111</v>
      </c>
      <c r="D501" t="s">
        <v>708</v>
      </c>
      <c r="E501" s="2">
        <f t="shared" si="7"/>
        <v>50310.820000000007</v>
      </c>
      <c r="F501" s="2">
        <v>33540.550000000003</v>
      </c>
      <c r="G501" s="2">
        <v>16770.27</v>
      </c>
      <c r="H501" s="7">
        <v>16770.27</v>
      </c>
    </row>
    <row r="502" spans="1:8" x14ac:dyDescent="0.3">
      <c r="E502" s="2" t="s">
        <v>589</v>
      </c>
      <c r="H502" s="7"/>
    </row>
    <row r="503" spans="1:8" x14ac:dyDescent="0.3">
      <c r="A503">
        <v>47993</v>
      </c>
      <c r="B503" t="s">
        <v>929</v>
      </c>
      <c r="C503" t="s">
        <v>81</v>
      </c>
      <c r="D503" t="s">
        <v>662</v>
      </c>
      <c r="E503" s="2">
        <f t="shared" si="7"/>
        <v>294612.55</v>
      </c>
      <c r="F503" s="2">
        <v>196408.37</v>
      </c>
      <c r="G503" s="2">
        <v>98204.18</v>
      </c>
      <c r="H503" s="7">
        <v>98204.18</v>
      </c>
    </row>
    <row r="504" spans="1:8" x14ac:dyDescent="0.3">
      <c r="A504">
        <v>47993</v>
      </c>
      <c r="B504" t="s">
        <v>929</v>
      </c>
      <c r="C504" t="s">
        <v>81</v>
      </c>
      <c r="D504" t="s">
        <v>930</v>
      </c>
      <c r="E504" s="2">
        <f t="shared" si="7"/>
        <v>142226.75</v>
      </c>
      <c r="F504" s="2">
        <v>94817.83</v>
      </c>
      <c r="G504" s="2">
        <v>47408.92</v>
      </c>
      <c r="H504" s="7">
        <v>47408.92</v>
      </c>
    </row>
    <row r="505" spans="1:8" x14ac:dyDescent="0.3">
      <c r="E505" s="2" t="s">
        <v>589</v>
      </c>
      <c r="H505" s="7"/>
    </row>
    <row r="506" spans="1:8" x14ac:dyDescent="0.3">
      <c r="A506">
        <v>48009</v>
      </c>
      <c r="B506" t="s">
        <v>931</v>
      </c>
      <c r="C506" t="s">
        <v>81</v>
      </c>
      <c r="D506" t="s">
        <v>761</v>
      </c>
      <c r="E506" s="2">
        <f t="shared" si="7"/>
        <v>43649.03</v>
      </c>
      <c r="F506" s="2">
        <v>29099.35</v>
      </c>
      <c r="G506" s="2">
        <v>14549.68</v>
      </c>
      <c r="H506" s="7">
        <v>14549.68</v>
      </c>
    </row>
    <row r="507" spans="1:8" x14ac:dyDescent="0.3">
      <c r="A507">
        <v>48009</v>
      </c>
      <c r="B507" t="s">
        <v>931</v>
      </c>
      <c r="C507" t="s">
        <v>81</v>
      </c>
      <c r="D507" t="s">
        <v>932</v>
      </c>
      <c r="E507" s="2">
        <f t="shared" si="7"/>
        <v>12289.53</v>
      </c>
      <c r="F507" s="2">
        <v>8193.02</v>
      </c>
      <c r="G507" s="2">
        <v>4096.51</v>
      </c>
      <c r="H507" s="7">
        <v>4096.51</v>
      </c>
    </row>
    <row r="508" spans="1:8" x14ac:dyDescent="0.3">
      <c r="E508" s="2" t="s">
        <v>589</v>
      </c>
      <c r="H508" s="7"/>
    </row>
    <row r="509" spans="1:8" x14ac:dyDescent="0.3">
      <c r="A509">
        <v>48017</v>
      </c>
      <c r="B509" t="s">
        <v>933</v>
      </c>
      <c r="C509" t="s">
        <v>81</v>
      </c>
      <c r="D509" t="s">
        <v>934</v>
      </c>
      <c r="E509" s="2">
        <f t="shared" si="7"/>
        <v>7503.76</v>
      </c>
      <c r="F509" s="2">
        <v>5002.51</v>
      </c>
      <c r="G509" s="2">
        <v>2501.25</v>
      </c>
      <c r="H509" s="7">
        <v>2501.25</v>
      </c>
    </row>
    <row r="510" spans="1:8" x14ac:dyDescent="0.3">
      <c r="E510" s="2" t="s">
        <v>589</v>
      </c>
      <c r="H510" s="7"/>
    </row>
    <row r="511" spans="1:8" x14ac:dyDescent="0.3">
      <c r="A511">
        <v>48074</v>
      </c>
      <c r="B511" t="s">
        <v>935</v>
      </c>
      <c r="C511" t="s">
        <v>19</v>
      </c>
      <c r="D511" t="s">
        <v>936</v>
      </c>
      <c r="E511" s="2">
        <f t="shared" si="7"/>
        <v>330348.33</v>
      </c>
      <c r="F511" s="2">
        <v>220232.22</v>
      </c>
      <c r="G511" s="2">
        <v>110116.11</v>
      </c>
      <c r="H511" s="7">
        <v>110116.11</v>
      </c>
    </row>
    <row r="512" spans="1:8" x14ac:dyDescent="0.3">
      <c r="A512">
        <v>48074</v>
      </c>
      <c r="B512" t="s">
        <v>935</v>
      </c>
      <c r="C512" t="s">
        <v>19</v>
      </c>
      <c r="D512" t="s">
        <v>937</v>
      </c>
      <c r="E512" s="2">
        <f t="shared" si="7"/>
        <v>152814.19</v>
      </c>
      <c r="F512" s="2">
        <v>152814.19</v>
      </c>
      <c r="G512" s="2">
        <v>76407.100000000006</v>
      </c>
      <c r="H512" s="7">
        <v>0</v>
      </c>
    </row>
    <row r="513" spans="1:8" x14ac:dyDescent="0.3">
      <c r="E513" s="2" t="s">
        <v>589</v>
      </c>
      <c r="H513" s="7"/>
    </row>
    <row r="514" spans="1:8" x14ac:dyDescent="0.3">
      <c r="A514">
        <v>48082</v>
      </c>
      <c r="B514" t="s">
        <v>938</v>
      </c>
      <c r="C514" t="s">
        <v>19</v>
      </c>
      <c r="D514" t="s">
        <v>939</v>
      </c>
      <c r="E514" s="2">
        <f t="shared" si="7"/>
        <v>78416.61</v>
      </c>
      <c r="F514" s="2">
        <v>52277.74</v>
      </c>
      <c r="G514" s="2">
        <v>26138.87</v>
      </c>
      <c r="H514" s="7">
        <v>26138.87</v>
      </c>
    </row>
    <row r="515" spans="1:8" x14ac:dyDescent="0.3">
      <c r="A515">
        <v>48082</v>
      </c>
      <c r="B515" t="s">
        <v>938</v>
      </c>
      <c r="C515" t="s">
        <v>19</v>
      </c>
      <c r="D515" t="s">
        <v>940</v>
      </c>
      <c r="E515" s="2">
        <f t="shared" si="7"/>
        <v>41211.65</v>
      </c>
      <c r="F515" s="2">
        <v>27474.43</v>
      </c>
      <c r="G515" s="2">
        <v>13737.22</v>
      </c>
      <c r="H515" s="7">
        <v>13737.22</v>
      </c>
    </row>
    <row r="516" spans="1:8" x14ac:dyDescent="0.3">
      <c r="E516" s="2" t="s">
        <v>589</v>
      </c>
      <c r="H516" s="7"/>
    </row>
    <row r="517" spans="1:8" x14ac:dyDescent="0.3">
      <c r="A517">
        <v>48116</v>
      </c>
      <c r="B517" t="s">
        <v>399</v>
      </c>
      <c r="C517" t="s">
        <v>95</v>
      </c>
      <c r="D517" t="s">
        <v>941</v>
      </c>
      <c r="E517" s="2">
        <f t="shared" si="7"/>
        <v>16417.599999999999</v>
      </c>
      <c r="F517" s="2">
        <v>10945.07</v>
      </c>
      <c r="G517" s="2">
        <v>5472.53</v>
      </c>
      <c r="H517" s="7">
        <v>5472.53</v>
      </c>
    </row>
    <row r="518" spans="1:8" x14ac:dyDescent="0.3">
      <c r="A518">
        <v>48116</v>
      </c>
      <c r="B518" t="s">
        <v>399</v>
      </c>
      <c r="C518" t="s">
        <v>95</v>
      </c>
      <c r="D518" t="s">
        <v>738</v>
      </c>
      <c r="E518" s="2">
        <f t="shared" si="7"/>
        <v>24536.19</v>
      </c>
      <c r="F518" s="2">
        <v>16357.46</v>
      </c>
      <c r="G518" s="2">
        <v>8178.73</v>
      </c>
      <c r="H518" s="7">
        <v>8178.73</v>
      </c>
    </row>
    <row r="519" spans="1:8" x14ac:dyDescent="0.3">
      <c r="A519">
        <v>48116</v>
      </c>
      <c r="B519" t="s">
        <v>399</v>
      </c>
      <c r="C519" t="s">
        <v>95</v>
      </c>
      <c r="D519" t="s">
        <v>942</v>
      </c>
      <c r="E519" s="2">
        <f t="shared" si="7"/>
        <v>3518.06</v>
      </c>
      <c r="F519" s="2">
        <v>2345.37</v>
      </c>
      <c r="G519" s="2">
        <v>1172.69</v>
      </c>
      <c r="H519" s="7">
        <v>1172.69</v>
      </c>
    </row>
    <row r="520" spans="1:8" x14ac:dyDescent="0.3">
      <c r="A520">
        <v>48116</v>
      </c>
      <c r="B520" t="s">
        <v>399</v>
      </c>
      <c r="C520" t="s">
        <v>95</v>
      </c>
      <c r="D520" t="s">
        <v>943</v>
      </c>
      <c r="E520" s="2">
        <f t="shared" si="7"/>
        <v>5231.9799999999996</v>
      </c>
      <c r="F520" s="2">
        <v>3487.99</v>
      </c>
      <c r="G520" s="2">
        <v>1743.99</v>
      </c>
      <c r="H520" s="7">
        <v>1743.99</v>
      </c>
    </row>
    <row r="521" spans="1:8" x14ac:dyDescent="0.3">
      <c r="A521">
        <v>48116</v>
      </c>
      <c r="B521" t="s">
        <v>399</v>
      </c>
      <c r="C521" t="s">
        <v>95</v>
      </c>
      <c r="D521" t="s">
        <v>676</v>
      </c>
      <c r="E521" s="2">
        <f t="shared" si="7"/>
        <v>6675.2899999999991</v>
      </c>
      <c r="F521" s="2">
        <v>4450.1899999999996</v>
      </c>
      <c r="G521" s="2">
        <v>2225.1</v>
      </c>
      <c r="H521" s="7">
        <v>2225.1</v>
      </c>
    </row>
    <row r="522" spans="1:8" x14ac:dyDescent="0.3">
      <c r="A522">
        <v>48116</v>
      </c>
      <c r="B522" t="s">
        <v>399</v>
      </c>
      <c r="C522" t="s">
        <v>95</v>
      </c>
      <c r="D522" t="s">
        <v>944</v>
      </c>
      <c r="E522" s="2">
        <f t="shared" si="7"/>
        <v>11997.48</v>
      </c>
      <c r="F522" s="2">
        <v>7998.32</v>
      </c>
      <c r="G522" s="2">
        <v>3999.16</v>
      </c>
      <c r="H522" s="7">
        <v>3999.16</v>
      </c>
    </row>
    <row r="523" spans="1:8" x14ac:dyDescent="0.3">
      <c r="A523">
        <v>48116</v>
      </c>
      <c r="B523" t="s">
        <v>399</v>
      </c>
      <c r="C523" t="s">
        <v>95</v>
      </c>
      <c r="D523" t="s">
        <v>945</v>
      </c>
      <c r="E523" s="2">
        <f t="shared" si="7"/>
        <v>12809.329999999998</v>
      </c>
      <c r="F523" s="2">
        <v>8539.5499999999993</v>
      </c>
      <c r="G523" s="2">
        <v>4269.78</v>
      </c>
      <c r="H523" s="7">
        <v>4269.78</v>
      </c>
    </row>
    <row r="524" spans="1:8" x14ac:dyDescent="0.3">
      <c r="A524">
        <v>48116</v>
      </c>
      <c r="B524" t="s">
        <v>399</v>
      </c>
      <c r="C524" t="s">
        <v>95</v>
      </c>
      <c r="D524" t="s">
        <v>946</v>
      </c>
      <c r="E524" s="2">
        <f t="shared" si="7"/>
        <v>20386.689999999999</v>
      </c>
      <c r="F524" s="2">
        <v>13591.13</v>
      </c>
      <c r="G524" s="2">
        <v>6795.56</v>
      </c>
      <c r="H524" s="7">
        <v>6795.56</v>
      </c>
    </row>
    <row r="525" spans="1:8" x14ac:dyDescent="0.3">
      <c r="E525" s="2" t="s">
        <v>589</v>
      </c>
      <c r="H525" s="7"/>
    </row>
    <row r="526" spans="1:8" x14ac:dyDescent="0.3">
      <c r="A526">
        <v>48124</v>
      </c>
      <c r="B526" t="s">
        <v>400</v>
      </c>
      <c r="C526" t="s">
        <v>95</v>
      </c>
      <c r="D526" t="s">
        <v>947</v>
      </c>
      <c r="E526" s="2">
        <f t="shared" si="7"/>
        <v>143575.23000000001</v>
      </c>
      <c r="F526" s="2">
        <v>95716.82</v>
      </c>
      <c r="G526" s="2">
        <v>47858.41</v>
      </c>
      <c r="H526" s="7">
        <v>47858.41</v>
      </c>
    </row>
    <row r="527" spans="1:8" x14ac:dyDescent="0.3">
      <c r="A527">
        <v>48124</v>
      </c>
      <c r="B527" t="s">
        <v>400</v>
      </c>
      <c r="C527" t="s">
        <v>95</v>
      </c>
      <c r="D527" t="s">
        <v>948</v>
      </c>
      <c r="E527" s="2">
        <f t="shared" si="7"/>
        <v>6568.7999999999993</v>
      </c>
      <c r="F527" s="2">
        <v>4379.2</v>
      </c>
      <c r="G527" s="2">
        <v>2189.6</v>
      </c>
      <c r="H527" s="7">
        <v>2189.6</v>
      </c>
    </row>
    <row r="528" spans="1:8" x14ac:dyDescent="0.3">
      <c r="A528">
        <v>48124</v>
      </c>
      <c r="B528" t="s">
        <v>400</v>
      </c>
      <c r="C528" t="s">
        <v>95</v>
      </c>
      <c r="D528" t="s">
        <v>949</v>
      </c>
      <c r="E528" s="2">
        <f t="shared" si="7"/>
        <v>145452.03</v>
      </c>
      <c r="F528" s="2">
        <v>96968.02</v>
      </c>
      <c r="G528" s="2">
        <v>48484.01</v>
      </c>
      <c r="H528" s="7">
        <v>48484.01</v>
      </c>
    </row>
    <row r="529" spans="1:8" x14ac:dyDescent="0.3">
      <c r="A529">
        <v>48124</v>
      </c>
      <c r="B529" t="s">
        <v>400</v>
      </c>
      <c r="C529" t="s">
        <v>95</v>
      </c>
      <c r="D529" t="s">
        <v>950</v>
      </c>
      <c r="E529" s="2">
        <f t="shared" si="7"/>
        <v>1564</v>
      </c>
      <c r="F529" s="2">
        <v>1042.67</v>
      </c>
      <c r="G529" s="2">
        <v>521.33000000000004</v>
      </c>
      <c r="H529" s="7">
        <v>521.33000000000004</v>
      </c>
    </row>
    <row r="530" spans="1:8" x14ac:dyDescent="0.3">
      <c r="E530" s="2" t="s">
        <v>589</v>
      </c>
      <c r="H530" s="7"/>
    </row>
    <row r="531" spans="1:8" x14ac:dyDescent="0.3">
      <c r="A531">
        <v>48132</v>
      </c>
      <c r="B531" t="s">
        <v>401</v>
      </c>
      <c r="C531" t="s">
        <v>95</v>
      </c>
      <c r="D531" t="s">
        <v>951</v>
      </c>
      <c r="E531" s="2">
        <f t="shared" ref="E531:E594" si="8">F531+H531</f>
        <v>9463.69</v>
      </c>
      <c r="F531" s="2">
        <v>6309.13</v>
      </c>
      <c r="G531" s="2">
        <v>3154.56</v>
      </c>
      <c r="H531" s="7">
        <v>3154.56</v>
      </c>
    </row>
    <row r="532" spans="1:8" x14ac:dyDescent="0.3">
      <c r="A532">
        <v>48132</v>
      </c>
      <c r="B532" t="s">
        <v>401</v>
      </c>
      <c r="C532" t="s">
        <v>95</v>
      </c>
      <c r="D532" t="s">
        <v>952</v>
      </c>
      <c r="E532" s="2">
        <f t="shared" si="8"/>
        <v>2815.45</v>
      </c>
      <c r="F532" s="2">
        <v>1876.97</v>
      </c>
      <c r="G532" s="2">
        <v>938.48</v>
      </c>
      <c r="H532" s="7">
        <v>938.48</v>
      </c>
    </row>
    <row r="533" spans="1:8" x14ac:dyDescent="0.3">
      <c r="A533">
        <v>48132</v>
      </c>
      <c r="B533" t="s">
        <v>401</v>
      </c>
      <c r="C533" t="s">
        <v>95</v>
      </c>
      <c r="D533" t="s">
        <v>953</v>
      </c>
      <c r="E533" s="2">
        <f t="shared" si="8"/>
        <v>6269.6900000000005</v>
      </c>
      <c r="F533" s="2">
        <v>4179.79</v>
      </c>
      <c r="G533" s="2">
        <v>2089.9</v>
      </c>
      <c r="H533" s="7">
        <v>2089.9</v>
      </c>
    </row>
    <row r="534" spans="1:8" x14ac:dyDescent="0.3">
      <c r="A534">
        <v>48132</v>
      </c>
      <c r="B534" t="s">
        <v>401</v>
      </c>
      <c r="C534" t="s">
        <v>95</v>
      </c>
      <c r="D534" t="s">
        <v>954</v>
      </c>
      <c r="E534" s="2">
        <f t="shared" si="8"/>
        <v>1987.3700000000001</v>
      </c>
      <c r="F534" s="2">
        <v>1324.91</v>
      </c>
      <c r="G534" s="2">
        <v>662.46</v>
      </c>
      <c r="H534" s="7">
        <v>662.46</v>
      </c>
    </row>
    <row r="535" spans="1:8" x14ac:dyDescent="0.3">
      <c r="E535" s="2" t="s">
        <v>589</v>
      </c>
      <c r="H535" s="7"/>
    </row>
    <row r="536" spans="1:8" x14ac:dyDescent="0.3">
      <c r="A536">
        <v>48207</v>
      </c>
      <c r="B536" t="s">
        <v>406</v>
      </c>
      <c r="C536" t="s">
        <v>105</v>
      </c>
      <c r="D536" t="s">
        <v>955</v>
      </c>
      <c r="E536" s="2">
        <f t="shared" si="8"/>
        <v>13609.900000000001</v>
      </c>
      <c r="F536" s="2">
        <v>9073.27</v>
      </c>
      <c r="G536" s="2">
        <v>4536.63</v>
      </c>
      <c r="H536" s="7">
        <v>4536.63</v>
      </c>
    </row>
    <row r="537" spans="1:8" x14ac:dyDescent="0.3">
      <c r="A537">
        <v>48207</v>
      </c>
      <c r="B537" t="s">
        <v>406</v>
      </c>
      <c r="C537" t="s">
        <v>105</v>
      </c>
      <c r="D537" t="s">
        <v>678</v>
      </c>
      <c r="E537" s="2">
        <f t="shared" si="8"/>
        <v>5141.5199999999995</v>
      </c>
      <c r="F537" s="2">
        <v>3427.68</v>
      </c>
      <c r="G537" s="2">
        <v>1713.84</v>
      </c>
      <c r="H537" s="7">
        <v>1713.84</v>
      </c>
    </row>
    <row r="538" spans="1:8" x14ac:dyDescent="0.3">
      <c r="A538">
        <v>48207</v>
      </c>
      <c r="B538" t="s">
        <v>406</v>
      </c>
      <c r="C538" t="s">
        <v>105</v>
      </c>
      <c r="D538" t="s">
        <v>956</v>
      </c>
      <c r="E538" s="2">
        <f t="shared" si="8"/>
        <v>1209.77</v>
      </c>
      <c r="F538" s="2">
        <v>806.51</v>
      </c>
      <c r="G538" s="2">
        <v>403.26</v>
      </c>
      <c r="H538" s="7">
        <v>403.26</v>
      </c>
    </row>
    <row r="539" spans="1:8" x14ac:dyDescent="0.3">
      <c r="A539">
        <v>48207</v>
      </c>
      <c r="B539" t="s">
        <v>406</v>
      </c>
      <c r="C539" t="s">
        <v>105</v>
      </c>
      <c r="D539" t="s">
        <v>957</v>
      </c>
      <c r="E539" s="2">
        <f t="shared" si="8"/>
        <v>2117.09</v>
      </c>
      <c r="F539" s="2">
        <v>1411.39</v>
      </c>
      <c r="G539" s="2">
        <v>705.7</v>
      </c>
      <c r="H539" s="7">
        <v>705.7</v>
      </c>
    </row>
    <row r="540" spans="1:8" x14ac:dyDescent="0.3">
      <c r="E540" s="2" t="s">
        <v>589</v>
      </c>
      <c r="H540" s="7"/>
    </row>
    <row r="541" spans="1:8" x14ac:dyDescent="0.3">
      <c r="A541">
        <v>48256</v>
      </c>
      <c r="B541" t="s">
        <v>410</v>
      </c>
      <c r="C541" t="s">
        <v>411</v>
      </c>
      <c r="D541" t="s">
        <v>958</v>
      </c>
      <c r="E541" s="2">
        <f t="shared" si="8"/>
        <v>139058.29</v>
      </c>
      <c r="F541" s="2">
        <v>92705.53</v>
      </c>
      <c r="G541" s="2">
        <v>46352.76</v>
      </c>
      <c r="H541" s="7">
        <v>46352.76</v>
      </c>
    </row>
    <row r="542" spans="1:8" x14ac:dyDescent="0.3">
      <c r="A542">
        <v>48256</v>
      </c>
      <c r="B542" t="s">
        <v>410</v>
      </c>
      <c r="C542" t="s">
        <v>411</v>
      </c>
      <c r="D542" t="s">
        <v>959</v>
      </c>
      <c r="E542" s="2">
        <f t="shared" si="8"/>
        <v>120948.37</v>
      </c>
      <c r="F542" s="2">
        <v>80632.25</v>
      </c>
      <c r="G542" s="2">
        <v>40316.120000000003</v>
      </c>
      <c r="H542" s="7">
        <v>40316.120000000003</v>
      </c>
    </row>
    <row r="543" spans="1:8" x14ac:dyDescent="0.3">
      <c r="E543" s="2" t="s">
        <v>589</v>
      </c>
      <c r="H543" s="7"/>
    </row>
    <row r="544" spans="1:8" x14ac:dyDescent="0.3">
      <c r="A544">
        <v>48264</v>
      </c>
      <c r="B544" t="s">
        <v>412</v>
      </c>
      <c r="C544" t="s">
        <v>411</v>
      </c>
      <c r="D544" t="s">
        <v>761</v>
      </c>
      <c r="E544" s="2">
        <f t="shared" si="8"/>
        <v>40858.28</v>
      </c>
      <c r="F544" s="2">
        <v>27238.85</v>
      </c>
      <c r="G544" s="2">
        <v>13619.43</v>
      </c>
      <c r="H544" s="7">
        <v>13619.43</v>
      </c>
    </row>
    <row r="545" spans="1:8" x14ac:dyDescent="0.3">
      <c r="E545" s="2" t="s">
        <v>589</v>
      </c>
      <c r="H545" s="7"/>
    </row>
    <row r="546" spans="1:8" x14ac:dyDescent="0.3">
      <c r="A546">
        <v>48322</v>
      </c>
      <c r="B546" t="s">
        <v>416</v>
      </c>
      <c r="C546" t="s">
        <v>35</v>
      </c>
      <c r="D546" t="s">
        <v>960</v>
      </c>
      <c r="E546" s="2">
        <f t="shared" si="8"/>
        <v>24954.25</v>
      </c>
      <c r="F546" s="2">
        <v>16636.169999999998</v>
      </c>
      <c r="G546" s="2">
        <v>8318.08</v>
      </c>
      <c r="H546" s="7">
        <v>8318.08</v>
      </c>
    </row>
    <row r="547" spans="1:8" x14ac:dyDescent="0.3">
      <c r="A547">
        <v>48322</v>
      </c>
      <c r="B547" t="s">
        <v>416</v>
      </c>
      <c r="C547" t="s">
        <v>35</v>
      </c>
      <c r="D547" t="s">
        <v>961</v>
      </c>
      <c r="E547" s="2">
        <f t="shared" si="8"/>
        <v>63973.63</v>
      </c>
      <c r="F547" s="2">
        <v>42649.09</v>
      </c>
      <c r="G547" s="2">
        <v>21324.54</v>
      </c>
      <c r="H547" s="7">
        <v>21324.54</v>
      </c>
    </row>
    <row r="548" spans="1:8" x14ac:dyDescent="0.3">
      <c r="E548" s="2" t="s">
        <v>589</v>
      </c>
      <c r="H548" s="7"/>
    </row>
    <row r="549" spans="1:8" x14ac:dyDescent="0.3">
      <c r="A549">
        <v>48348</v>
      </c>
      <c r="B549" t="s">
        <v>418</v>
      </c>
      <c r="C549" t="s">
        <v>35</v>
      </c>
      <c r="D549" t="s">
        <v>962</v>
      </c>
      <c r="E549" s="2">
        <f t="shared" si="8"/>
        <v>4460.0200000000004</v>
      </c>
      <c r="F549" s="2">
        <v>2973.35</v>
      </c>
      <c r="G549" s="2">
        <v>1486.67</v>
      </c>
      <c r="H549" s="7">
        <v>1486.67</v>
      </c>
    </row>
    <row r="550" spans="1:8" x14ac:dyDescent="0.3">
      <c r="A550">
        <v>48348</v>
      </c>
      <c r="B550" t="s">
        <v>418</v>
      </c>
      <c r="C550" t="s">
        <v>35</v>
      </c>
      <c r="D550" t="s">
        <v>963</v>
      </c>
      <c r="E550" s="2">
        <f t="shared" si="8"/>
        <v>5734.3099999999995</v>
      </c>
      <c r="F550" s="2">
        <v>3822.87</v>
      </c>
      <c r="G550" s="2">
        <v>1911.44</v>
      </c>
      <c r="H550" s="7">
        <v>1911.44</v>
      </c>
    </row>
    <row r="551" spans="1:8" x14ac:dyDescent="0.3">
      <c r="A551">
        <v>48348</v>
      </c>
      <c r="B551" t="s">
        <v>418</v>
      </c>
      <c r="C551" t="s">
        <v>35</v>
      </c>
      <c r="D551" t="s">
        <v>964</v>
      </c>
      <c r="E551" s="2">
        <f t="shared" si="8"/>
        <v>9627.98</v>
      </c>
      <c r="F551" s="2">
        <v>6418.65</v>
      </c>
      <c r="G551" s="2">
        <v>3209.33</v>
      </c>
      <c r="H551" s="7">
        <v>3209.33</v>
      </c>
    </row>
    <row r="552" spans="1:8" x14ac:dyDescent="0.3">
      <c r="A552">
        <v>48348</v>
      </c>
      <c r="B552" t="s">
        <v>418</v>
      </c>
      <c r="C552" t="s">
        <v>35</v>
      </c>
      <c r="D552" t="s">
        <v>800</v>
      </c>
      <c r="E552" s="2">
        <f t="shared" si="8"/>
        <v>755.13</v>
      </c>
      <c r="F552" s="2">
        <v>755.13</v>
      </c>
      <c r="G552" s="2">
        <v>377.57</v>
      </c>
      <c r="H552" s="7">
        <v>0</v>
      </c>
    </row>
    <row r="553" spans="1:8" x14ac:dyDescent="0.3">
      <c r="A553">
        <v>48348</v>
      </c>
      <c r="B553" t="s">
        <v>418</v>
      </c>
      <c r="C553" t="s">
        <v>35</v>
      </c>
      <c r="D553" t="s">
        <v>683</v>
      </c>
      <c r="E553" s="2">
        <f t="shared" si="8"/>
        <v>1415.8799999999999</v>
      </c>
      <c r="F553" s="2">
        <v>943.92</v>
      </c>
      <c r="G553" s="2">
        <v>471.96</v>
      </c>
      <c r="H553" s="7">
        <v>471.96</v>
      </c>
    </row>
    <row r="554" spans="1:8" x14ac:dyDescent="0.3">
      <c r="E554" s="2" t="s">
        <v>589</v>
      </c>
      <c r="H554" s="7"/>
    </row>
    <row r="555" spans="1:8" x14ac:dyDescent="0.3">
      <c r="A555">
        <v>48355</v>
      </c>
      <c r="B555" t="s">
        <v>419</v>
      </c>
      <c r="C555" t="s">
        <v>35</v>
      </c>
      <c r="D555" t="s">
        <v>965</v>
      </c>
      <c r="E555" s="2">
        <f t="shared" si="8"/>
        <v>11743.210000000001</v>
      </c>
      <c r="F555" s="2">
        <v>7828.81</v>
      </c>
      <c r="G555" s="2">
        <v>3914.4</v>
      </c>
      <c r="H555" s="7">
        <v>3914.4</v>
      </c>
    </row>
    <row r="556" spans="1:8" x14ac:dyDescent="0.3">
      <c r="E556" s="2" t="s">
        <v>589</v>
      </c>
      <c r="H556" s="7"/>
    </row>
    <row r="557" spans="1:8" x14ac:dyDescent="0.3">
      <c r="A557">
        <v>48363</v>
      </c>
      <c r="B557" t="s">
        <v>966</v>
      </c>
      <c r="C557" t="s">
        <v>35</v>
      </c>
      <c r="D557" t="s">
        <v>967</v>
      </c>
      <c r="E557" s="2">
        <f t="shared" si="8"/>
        <v>9775.98</v>
      </c>
      <c r="F557" s="2">
        <v>6517.32</v>
      </c>
      <c r="G557" s="2">
        <v>3258.66</v>
      </c>
      <c r="H557" s="7">
        <v>3258.66</v>
      </c>
    </row>
    <row r="558" spans="1:8" x14ac:dyDescent="0.3">
      <c r="A558">
        <v>48363</v>
      </c>
      <c r="B558" t="s">
        <v>966</v>
      </c>
      <c r="C558" t="s">
        <v>35</v>
      </c>
      <c r="D558" t="s">
        <v>968</v>
      </c>
      <c r="E558" s="2">
        <f t="shared" si="8"/>
        <v>12633.579999999998</v>
      </c>
      <c r="F558" s="2">
        <v>8422.39</v>
      </c>
      <c r="G558" s="2">
        <v>4211.1899999999996</v>
      </c>
      <c r="H558" s="7">
        <v>4211.1899999999996</v>
      </c>
    </row>
    <row r="559" spans="1:8" x14ac:dyDescent="0.3">
      <c r="A559">
        <v>48363</v>
      </c>
      <c r="B559" t="s">
        <v>966</v>
      </c>
      <c r="C559" t="s">
        <v>35</v>
      </c>
      <c r="D559" t="s">
        <v>969</v>
      </c>
      <c r="E559" s="2">
        <f t="shared" si="8"/>
        <v>17747.170000000002</v>
      </c>
      <c r="F559" s="2">
        <v>11831.45</v>
      </c>
      <c r="G559" s="2">
        <v>5915.72</v>
      </c>
      <c r="H559" s="7">
        <v>5915.72</v>
      </c>
    </row>
    <row r="560" spans="1:8" x14ac:dyDescent="0.3">
      <c r="A560">
        <v>48363</v>
      </c>
      <c r="B560" t="s">
        <v>966</v>
      </c>
      <c r="C560" t="s">
        <v>35</v>
      </c>
      <c r="D560" t="s">
        <v>1116</v>
      </c>
      <c r="E560" s="2">
        <f t="shared" si="8"/>
        <v>4511.99</v>
      </c>
      <c r="F560" s="2">
        <v>0</v>
      </c>
      <c r="G560" s="2">
        <v>0</v>
      </c>
      <c r="H560" s="7">
        <v>4511.99</v>
      </c>
    </row>
    <row r="561" spans="1:8" x14ac:dyDescent="0.3">
      <c r="E561" s="2" t="s">
        <v>589</v>
      </c>
      <c r="H561" s="7"/>
    </row>
    <row r="562" spans="1:8" x14ac:dyDescent="0.3">
      <c r="A562">
        <v>48397</v>
      </c>
      <c r="B562" t="s">
        <v>381</v>
      </c>
      <c r="C562" t="s">
        <v>35</v>
      </c>
      <c r="D562" t="s">
        <v>970</v>
      </c>
      <c r="E562" s="2">
        <f t="shared" si="8"/>
        <v>2646.13</v>
      </c>
      <c r="F562" s="2">
        <v>1764.09</v>
      </c>
      <c r="G562" s="2">
        <v>882.04</v>
      </c>
      <c r="H562" s="7">
        <v>882.04</v>
      </c>
    </row>
    <row r="563" spans="1:8" x14ac:dyDescent="0.3">
      <c r="A563">
        <v>48397</v>
      </c>
      <c r="B563" t="s">
        <v>381</v>
      </c>
      <c r="C563" t="s">
        <v>35</v>
      </c>
      <c r="D563" t="s">
        <v>971</v>
      </c>
      <c r="E563" s="2">
        <f t="shared" si="8"/>
        <v>7008.66</v>
      </c>
      <c r="F563" s="2">
        <v>4672.4399999999996</v>
      </c>
      <c r="G563" s="2">
        <v>2336.2199999999998</v>
      </c>
      <c r="H563" s="7">
        <v>2336.2199999999998</v>
      </c>
    </row>
    <row r="564" spans="1:8" x14ac:dyDescent="0.3">
      <c r="A564">
        <v>48397</v>
      </c>
      <c r="B564" t="s">
        <v>381</v>
      </c>
      <c r="C564" t="s">
        <v>35</v>
      </c>
      <c r="D564" t="s">
        <v>972</v>
      </c>
      <c r="E564" s="2">
        <f t="shared" si="8"/>
        <v>8009.9</v>
      </c>
      <c r="F564" s="2">
        <v>5339.93</v>
      </c>
      <c r="G564" s="2">
        <v>2669.97</v>
      </c>
      <c r="H564" s="7">
        <v>2669.97</v>
      </c>
    </row>
    <row r="565" spans="1:8" x14ac:dyDescent="0.3">
      <c r="E565" s="2" t="s">
        <v>589</v>
      </c>
      <c r="H565" s="7"/>
    </row>
    <row r="566" spans="1:8" x14ac:dyDescent="0.3">
      <c r="A566">
        <v>48413</v>
      </c>
      <c r="B566" t="s">
        <v>973</v>
      </c>
      <c r="C566" t="s">
        <v>101</v>
      </c>
      <c r="D566" t="s">
        <v>974</v>
      </c>
      <c r="E566" s="2">
        <f t="shared" si="8"/>
        <v>108403.57</v>
      </c>
      <c r="F566" s="2">
        <v>72269.05</v>
      </c>
      <c r="G566" s="2">
        <v>36134.519999999997</v>
      </c>
      <c r="H566" s="7">
        <v>36134.519999999997</v>
      </c>
    </row>
    <row r="567" spans="1:8" x14ac:dyDescent="0.3">
      <c r="E567" s="2" t="s">
        <v>589</v>
      </c>
      <c r="H567" s="7"/>
    </row>
    <row r="568" spans="1:8" x14ac:dyDescent="0.3">
      <c r="A568">
        <v>48439</v>
      </c>
      <c r="B568" t="s">
        <v>975</v>
      </c>
      <c r="C568" t="s">
        <v>101</v>
      </c>
      <c r="D568" t="s">
        <v>976</v>
      </c>
      <c r="E568" s="2">
        <f t="shared" si="8"/>
        <v>12021.41</v>
      </c>
      <c r="F568" s="2">
        <v>8014.27</v>
      </c>
      <c r="G568" s="2">
        <v>4007.14</v>
      </c>
      <c r="H568" s="7">
        <v>4007.14</v>
      </c>
    </row>
    <row r="569" spans="1:8" x14ac:dyDescent="0.3">
      <c r="E569" s="2" t="s">
        <v>589</v>
      </c>
      <c r="H569" s="7"/>
    </row>
    <row r="570" spans="1:8" x14ac:dyDescent="0.3">
      <c r="A570">
        <v>48447</v>
      </c>
      <c r="B570" t="s">
        <v>421</v>
      </c>
      <c r="C570" t="s">
        <v>101</v>
      </c>
      <c r="D570" t="s">
        <v>977</v>
      </c>
      <c r="E570" s="2">
        <f t="shared" si="8"/>
        <v>106769.54000000001</v>
      </c>
      <c r="F570" s="2">
        <v>71179.69</v>
      </c>
      <c r="G570" s="2">
        <v>35589.85</v>
      </c>
      <c r="H570" s="7">
        <v>35589.85</v>
      </c>
    </row>
    <row r="571" spans="1:8" x14ac:dyDescent="0.3">
      <c r="A571">
        <v>48447</v>
      </c>
      <c r="B571" t="s">
        <v>421</v>
      </c>
      <c r="C571" t="s">
        <v>101</v>
      </c>
      <c r="D571" t="s">
        <v>978</v>
      </c>
      <c r="E571" s="2">
        <f t="shared" si="8"/>
        <v>180214.05</v>
      </c>
      <c r="F571" s="2">
        <v>120142.7</v>
      </c>
      <c r="G571" s="2">
        <v>60071.35</v>
      </c>
      <c r="H571" s="7">
        <v>60071.35</v>
      </c>
    </row>
    <row r="572" spans="1:8" x14ac:dyDescent="0.3">
      <c r="E572" s="2" t="s">
        <v>589</v>
      </c>
      <c r="H572" s="7"/>
    </row>
    <row r="573" spans="1:8" x14ac:dyDescent="0.3">
      <c r="A573">
        <v>48470</v>
      </c>
      <c r="B573" t="s">
        <v>254</v>
      </c>
      <c r="C573" t="s">
        <v>28</v>
      </c>
      <c r="D573" t="s">
        <v>979</v>
      </c>
      <c r="E573" s="2">
        <f t="shared" si="8"/>
        <v>98045.47</v>
      </c>
      <c r="F573" s="2">
        <v>65363.65</v>
      </c>
      <c r="G573" s="2">
        <v>32681.82</v>
      </c>
      <c r="H573" s="7">
        <v>32681.82</v>
      </c>
    </row>
    <row r="574" spans="1:8" x14ac:dyDescent="0.3">
      <c r="E574" s="2" t="s">
        <v>589</v>
      </c>
      <c r="H574" s="7"/>
    </row>
    <row r="575" spans="1:8" x14ac:dyDescent="0.3">
      <c r="A575">
        <v>48553</v>
      </c>
      <c r="B575" t="s">
        <v>427</v>
      </c>
      <c r="C575" t="s">
        <v>206</v>
      </c>
      <c r="D575" t="s">
        <v>980</v>
      </c>
      <c r="E575" s="2">
        <f t="shared" si="8"/>
        <v>7220.5399999999991</v>
      </c>
      <c r="F575" s="2">
        <v>4813.6899999999996</v>
      </c>
      <c r="G575" s="2">
        <v>2406.85</v>
      </c>
      <c r="H575" s="7">
        <v>2406.85</v>
      </c>
    </row>
    <row r="576" spans="1:8" x14ac:dyDescent="0.3">
      <c r="A576">
        <v>48553</v>
      </c>
      <c r="B576" t="s">
        <v>427</v>
      </c>
      <c r="C576" t="s">
        <v>206</v>
      </c>
      <c r="D576" t="s">
        <v>981</v>
      </c>
      <c r="E576" s="2">
        <f t="shared" si="8"/>
        <v>856.77</v>
      </c>
      <c r="F576" s="2">
        <v>571.17999999999995</v>
      </c>
      <c r="G576" s="2">
        <v>285.58999999999997</v>
      </c>
      <c r="H576" s="7">
        <v>285.58999999999997</v>
      </c>
    </row>
    <row r="577" spans="1:8" x14ac:dyDescent="0.3">
      <c r="A577">
        <v>48553</v>
      </c>
      <c r="B577" t="s">
        <v>427</v>
      </c>
      <c r="C577" t="s">
        <v>206</v>
      </c>
      <c r="D577" t="s">
        <v>982</v>
      </c>
      <c r="E577" s="2">
        <f t="shared" si="8"/>
        <v>2865.76</v>
      </c>
      <c r="F577" s="2">
        <v>1910.51</v>
      </c>
      <c r="G577" s="2">
        <v>955.25</v>
      </c>
      <c r="H577" s="7">
        <v>955.25</v>
      </c>
    </row>
    <row r="578" spans="1:8" x14ac:dyDescent="0.3">
      <c r="E578" s="2" t="s">
        <v>589</v>
      </c>
      <c r="H578" s="7"/>
    </row>
    <row r="579" spans="1:8" x14ac:dyDescent="0.3">
      <c r="A579">
        <v>48587</v>
      </c>
      <c r="B579" t="s">
        <v>429</v>
      </c>
      <c r="C579" t="s">
        <v>206</v>
      </c>
      <c r="D579" t="s">
        <v>983</v>
      </c>
      <c r="E579" s="2">
        <f t="shared" si="8"/>
        <v>48649.1</v>
      </c>
      <c r="F579" s="2">
        <v>32432.73</v>
      </c>
      <c r="G579" s="2">
        <v>16216.37</v>
      </c>
      <c r="H579" s="7">
        <v>16216.37</v>
      </c>
    </row>
    <row r="580" spans="1:8" x14ac:dyDescent="0.3">
      <c r="A580">
        <v>48587</v>
      </c>
      <c r="B580" t="s">
        <v>429</v>
      </c>
      <c r="C580" t="s">
        <v>206</v>
      </c>
      <c r="D580" t="s">
        <v>984</v>
      </c>
      <c r="E580" s="2">
        <f t="shared" si="8"/>
        <v>11753.460000000001</v>
      </c>
      <c r="F580" s="2">
        <v>7835.64</v>
      </c>
      <c r="G580" s="2">
        <v>3917.82</v>
      </c>
      <c r="H580" s="7">
        <v>3917.82</v>
      </c>
    </row>
    <row r="581" spans="1:8" x14ac:dyDescent="0.3">
      <c r="A581">
        <v>48587</v>
      </c>
      <c r="B581" t="s">
        <v>429</v>
      </c>
      <c r="C581" t="s">
        <v>206</v>
      </c>
      <c r="D581" t="s">
        <v>985</v>
      </c>
      <c r="E581" s="2">
        <f t="shared" si="8"/>
        <v>11753.460000000001</v>
      </c>
      <c r="F581" s="2">
        <v>7835.64</v>
      </c>
      <c r="G581" s="2">
        <v>3917.82</v>
      </c>
      <c r="H581" s="7">
        <v>3917.82</v>
      </c>
    </row>
    <row r="582" spans="1:8" x14ac:dyDescent="0.3">
      <c r="E582" s="2" t="s">
        <v>589</v>
      </c>
      <c r="H582" s="7"/>
    </row>
    <row r="583" spans="1:8" x14ac:dyDescent="0.3">
      <c r="A583">
        <v>48678</v>
      </c>
      <c r="B583" t="s">
        <v>436</v>
      </c>
      <c r="C583" t="s">
        <v>38</v>
      </c>
      <c r="D583" t="s">
        <v>986</v>
      </c>
      <c r="E583" s="2">
        <f t="shared" si="8"/>
        <v>1255.21</v>
      </c>
      <c r="F583" s="2">
        <v>836.81</v>
      </c>
      <c r="G583" s="2">
        <v>418.4</v>
      </c>
      <c r="H583" s="7">
        <v>418.4</v>
      </c>
    </row>
    <row r="584" spans="1:8" x14ac:dyDescent="0.3">
      <c r="A584">
        <v>48678</v>
      </c>
      <c r="B584" t="s">
        <v>436</v>
      </c>
      <c r="C584" t="s">
        <v>38</v>
      </c>
      <c r="D584" t="s">
        <v>987</v>
      </c>
      <c r="E584" s="2">
        <f t="shared" si="8"/>
        <v>32392.6</v>
      </c>
      <c r="F584" s="2">
        <v>21595.07</v>
      </c>
      <c r="G584" s="2">
        <v>10797.53</v>
      </c>
      <c r="H584" s="7">
        <v>10797.53</v>
      </c>
    </row>
    <row r="585" spans="1:8" x14ac:dyDescent="0.3">
      <c r="E585" s="2" t="s">
        <v>589</v>
      </c>
      <c r="H585" s="7"/>
    </row>
    <row r="586" spans="1:8" x14ac:dyDescent="0.3">
      <c r="A586">
        <v>48694</v>
      </c>
      <c r="B586" t="s">
        <v>438</v>
      </c>
      <c r="C586" t="s">
        <v>38</v>
      </c>
      <c r="D586" t="s">
        <v>745</v>
      </c>
      <c r="E586" s="2">
        <f t="shared" si="8"/>
        <v>119039.79000000001</v>
      </c>
      <c r="F586" s="2">
        <v>79359.86</v>
      </c>
      <c r="G586" s="2">
        <v>39679.93</v>
      </c>
      <c r="H586" s="7">
        <v>39679.93</v>
      </c>
    </row>
    <row r="587" spans="1:8" x14ac:dyDescent="0.3">
      <c r="E587" s="2" t="s">
        <v>589</v>
      </c>
      <c r="H587" s="7"/>
    </row>
    <row r="588" spans="1:8" x14ac:dyDescent="0.3">
      <c r="A588">
        <v>48736</v>
      </c>
      <c r="B588" t="s">
        <v>396</v>
      </c>
      <c r="C588" t="s">
        <v>38</v>
      </c>
      <c r="D588" t="s">
        <v>988</v>
      </c>
      <c r="E588" s="2">
        <f t="shared" si="8"/>
        <v>56592.72</v>
      </c>
      <c r="F588" s="2">
        <v>37728.480000000003</v>
      </c>
      <c r="G588" s="2">
        <v>18864.240000000002</v>
      </c>
      <c r="H588" s="7">
        <v>18864.240000000002</v>
      </c>
    </row>
    <row r="589" spans="1:8" x14ac:dyDescent="0.3">
      <c r="E589" s="2" t="s">
        <v>589</v>
      </c>
      <c r="H589" s="7"/>
    </row>
    <row r="590" spans="1:8" x14ac:dyDescent="0.3">
      <c r="A590">
        <v>48793</v>
      </c>
      <c r="B590" t="s">
        <v>445</v>
      </c>
      <c r="C590" t="s">
        <v>234</v>
      </c>
      <c r="D590" t="s">
        <v>989</v>
      </c>
      <c r="E590" s="2">
        <f t="shared" si="8"/>
        <v>3562.9</v>
      </c>
      <c r="F590" s="2">
        <v>2375.27</v>
      </c>
      <c r="G590" s="2">
        <v>1187.6300000000001</v>
      </c>
      <c r="H590" s="7">
        <v>1187.6300000000001</v>
      </c>
    </row>
    <row r="591" spans="1:8" x14ac:dyDescent="0.3">
      <c r="A591">
        <v>48793</v>
      </c>
      <c r="B591" t="s">
        <v>445</v>
      </c>
      <c r="C591" t="s">
        <v>234</v>
      </c>
      <c r="D591" t="s">
        <v>990</v>
      </c>
      <c r="E591" s="2">
        <f t="shared" si="8"/>
        <v>7330.57</v>
      </c>
      <c r="F591" s="2">
        <v>4887.05</v>
      </c>
      <c r="G591" s="2">
        <v>2443.52</v>
      </c>
      <c r="H591" s="7">
        <v>2443.52</v>
      </c>
    </row>
    <row r="592" spans="1:8" x14ac:dyDescent="0.3">
      <c r="A592">
        <v>48793</v>
      </c>
      <c r="B592" t="s">
        <v>445</v>
      </c>
      <c r="C592" t="s">
        <v>234</v>
      </c>
      <c r="D592" t="s">
        <v>683</v>
      </c>
      <c r="E592" s="2">
        <f t="shared" si="8"/>
        <v>11999.2</v>
      </c>
      <c r="F592" s="2">
        <v>7999.47</v>
      </c>
      <c r="G592" s="2">
        <v>3999.73</v>
      </c>
      <c r="H592" s="7">
        <v>3999.73</v>
      </c>
    </row>
    <row r="593" spans="1:8" x14ac:dyDescent="0.3">
      <c r="E593" s="2" t="s">
        <v>589</v>
      </c>
      <c r="H593" s="7"/>
    </row>
    <row r="594" spans="1:8" x14ac:dyDescent="0.3">
      <c r="A594">
        <v>48876</v>
      </c>
      <c r="B594" t="s">
        <v>453</v>
      </c>
      <c r="C594" t="s">
        <v>449</v>
      </c>
      <c r="D594" t="s">
        <v>991</v>
      </c>
      <c r="E594" s="2">
        <f t="shared" si="8"/>
        <v>30048.79</v>
      </c>
      <c r="F594" s="2">
        <v>20032.53</v>
      </c>
      <c r="G594" s="2">
        <v>10016.26</v>
      </c>
      <c r="H594" s="7">
        <v>10016.26</v>
      </c>
    </row>
    <row r="595" spans="1:8" x14ac:dyDescent="0.3">
      <c r="E595" s="2" t="s">
        <v>589</v>
      </c>
      <c r="H595" s="7"/>
    </row>
    <row r="596" spans="1:8" x14ac:dyDescent="0.3">
      <c r="A596">
        <v>48884</v>
      </c>
      <c r="B596" t="s">
        <v>992</v>
      </c>
      <c r="C596" t="s">
        <v>449</v>
      </c>
      <c r="D596" t="s">
        <v>993</v>
      </c>
      <c r="E596" s="2">
        <f t="shared" ref="E596:E658" si="9">F596+H596</f>
        <v>10281.68</v>
      </c>
      <c r="F596" s="2">
        <v>6854.45</v>
      </c>
      <c r="G596" s="2">
        <v>3427.23</v>
      </c>
      <c r="H596" s="7">
        <v>3427.23</v>
      </c>
    </row>
    <row r="597" spans="1:8" x14ac:dyDescent="0.3">
      <c r="E597" s="2" t="s">
        <v>589</v>
      </c>
      <c r="H597" s="7"/>
    </row>
    <row r="598" spans="1:8" x14ac:dyDescent="0.3">
      <c r="A598">
        <v>49031</v>
      </c>
      <c r="B598" t="s">
        <v>458</v>
      </c>
      <c r="C598" t="s">
        <v>238</v>
      </c>
      <c r="D598" t="s">
        <v>994</v>
      </c>
      <c r="E598" s="2">
        <f t="shared" si="9"/>
        <v>1906.0500000000002</v>
      </c>
      <c r="F598" s="2">
        <v>1270.7</v>
      </c>
      <c r="G598" s="2">
        <v>635.35</v>
      </c>
      <c r="H598" s="7">
        <v>635.35</v>
      </c>
    </row>
    <row r="599" spans="1:8" x14ac:dyDescent="0.3">
      <c r="A599">
        <v>49031</v>
      </c>
      <c r="B599" t="s">
        <v>458</v>
      </c>
      <c r="C599" t="s">
        <v>238</v>
      </c>
      <c r="D599" t="s">
        <v>995</v>
      </c>
      <c r="E599" s="2">
        <f t="shared" si="9"/>
        <v>3904.5200000000004</v>
      </c>
      <c r="F599" s="2">
        <v>2603.0100000000002</v>
      </c>
      <c r="G599" s="2">
        <v>1301.51</v>
      </c>
      <c r="H599" s="7">
        <v>1301.51</v>
      </c>
    </row>
    <row r="600" spans="1:8" x14ac:dyDescent="0.3">
      <c r="E600" s="2" t="s">
        <v>589</v>
      </c>
      <c r="H600" s="7"/>
    </row>
    <row r="601" spans="1:8" x14ac:dyDescent="0.3">
      <c r="A601">
        <v>49080</v>
      </c>
      <c r="B601" t="s">
        <v>461</v>
      </c>
      <c r="C601" t="s">
        <v>42</v>
      </c>
      <c r="D601" t="s">
        <v>996</v>
      </c>
      <c r="E601" s="2">
        <f t="shared" si="9"/>
        <v>5786.43</v>
      </c>
      <c r="F601" s="2">
        <v>3857.62</v>
      </c>
      <c r="G601" s="2">
        <v>1928.81</v>
      </c>
      <c r="H601" s="7">
        <v>1928.81</v>
      </c>
    </row>
    <row r="602" spans="1:8" ht="14.25" customHeight="1" x14ac:dyDescent="0.3">
      <c r="E602" s="2" t="s">
        <v>589</v>
      </c>
      <c r="H602" s="7"/>
    </row>
    <row r="603" spans="1:8" ht="14.25" customHeight="1" x14ac:dyDescent="0.3">
      <c r="A603">
        <v>49130</v>
      </c>
      <c r="B603" t="s">
        <v>466</v>
      </c>
      <c r="C603" t="s">
        <v>464</v>
      </c>
      <c r="D603" t="s">
        <v>997</v>
      </c>
      <c r="E603" s="2">
        <f t="shared" si="9"/>
        <v>128274.67</v>
      </c>
      <c r="F603" s="2">
        <v>128274.67</v>
      </c>
      <c r="G603" s="2">
        <v>64137.33</v>
      </c>
      <c r="H603" s="7">
        <v>0</v>
      </c>
    </row>
    <row r="604" spans="1:8" x14ac:dyDescent="0.3">
      <c r="E604" s="2" t="s">
        <v>589</v>
      </c>
      <c r="H604" s="7"/>
    </row>
    <row r="605" spans="1:8" x14ac:dyDescent="0.3">
      <c r="A605">
        <v>49148</v>
      </c>
      <c r="B605" t="s">
        <v>467</v>
      </c>
      <c r="C605" t="s">
        <v>464</v>
      </c>
      <c r="D605" t="s">
        <v>998</v>
      </c>
      <c r="E605" s="2">
        <f t="shared" si="9"/>
        <v>28756.190000000002</v>
      </c>
      <c r="F605" s="2">
        <v>19170.79</v>
      </c>
      <c r="G605" s="2">
        <v>9585.4</v>
      </c>
      <c r="H605" s="7">
        <v>9585.4</v>
      </c>
    </row>
    <row r="606" spans="1:8" x14ac:dyDescent="0.3">
      <c r="E606" s="2" t="s">
        <v>589</v>
      </c>
      <c r="H606" s="7"/>
    </row>
    <row r="607" spans="1:8" x14ac:dyDescent="0.3">
      <c r="A607">
        <v>49205</v>
      </c>
      <c r="B607" t="s">
        <v>999</v>
      </c>
      <c r="C607" t="s">
        <v>143</v>
      </c>
      <c r="D607" t="s">
        <v>612</v>
      </c>
      <c r="E607" s="2">
        <f t="shared" si="9"/>
        <v>13387.22</v>
      </c>
      <c r="F607" s="2">
        <v>8924.81</v>
      </c>
      <c r="G607" s="2">
        <v>4462.41</v>
      </c>
      <c r="H607" s="7">
        <v>4462.41</v>
      </c>
    </row>
    <row r="608" spans="1:8" x14ac:dyDescent="0.3">
      <c r="A608">
        <v>49205</v>
      </c>
      <c r="B608" t="s">
        <v>999</v>
      </c>
      <c r="C608" t="s">
        <v>143</v>
      </c>
      <c r="D608" t="s">
        <v>1000</v>
      </c>
      <c r="E608" s="2">
        <f t="shared" si="9"/>
        <v>7087.3499999999995</v>
      </c>
      <c r="F608" s="2">
        <v>4724.8999999999996</v>
      </c>
      <c r="G608" s="2">
        <v>2362.4499999999998</v>
      </c>
      <c r="H608" s="7">
        <v>2362.4499999999998</v>
      </c>
    </row>
    <row r="609" spans="1:8" x14ac:dyDescent="0.3">
      <c r="E609" s="2" t="s">
        <v>589</v>
      </c>
      <c r="H609" s="7"/>
    </row>
    <row r="610" spans="1:8" x14ac:dyDescent="0.3">
      <c r="A610">
        <v>49239</v>
      </c>
      <c r="B610" t="s">
        <v>1001</v>
      </c>
      <c r="C610" t="s">
        <v>143</v>
      </c>
      <c r="D610" t="s">
        <v>1002</v>
      </c>
      <c r="E610" s="2">
        <f t="shared" si="9"/>
        <v>118774.12</v>
      </c>
      <c r="F610" s="2">
        <v>79182.75</v>
      </c>
      <c r="G610" s="2">
        <v>39591.370000000003</v>
      </c>
      <c r="H610" s="7">
        <v>39591.370000000003</v>
      </c>
    </row>
    <row r="611" spans="1:8" x14ac:dyDescent="0.3">
      <c r="E611" s="2" t="s">
        <v>589</v>
      </c>
      <c r="H611" s="7"/>
    </row>
    <row r="612" spans="1:8" x14ac:dyDescent="0.3">
      <c r="A612">
        <v>49346</v>
      </c>
      <c r="B612" t="s">
        <v>1003</v>
      </c>
      <c r="C612" t="s">
        <v>481</v>
      </c>
      <c r="D612" t="s">
        <v>1004</v>
      </c>
      <c r="E612" s="2">
        <f t="shared" si="9"/>
        <v>29982.300000000003</v>
      </c>
      <c r="F612" s="2">
        <v>19988.2</v>
      </c>
      <c r="G612" s="2">
        <v>9994.1</v>
      </c>
      <c r="H612" s="7">
        <v>9994.1</v>
      </c>
    </row>
    <row r="613" spans="1:8" x14ac:dyDescent="0.3">
      <c r="E613" s="2" t="s">
        <v>589</v>
      </c>
      <c r="H613" s="7"/>
    </row>
    <row r="614" spans="1:8" x14ac:dyDescent="0.3">
      <c r="A614">
        <v>49353</v>
      </c>
      <c r="B614" t="s">
        <v>1005</v>
      </c>
      <c r="C614" t="s">
        <v>481</v>
      </c>
      <c r="D614" t="s">
        <v>972</v>
      </c>
      <c r="E614" s="2">
        <f t="shared" si="9"/>
        <v>137415.74</v>
      </c>
      <c r="F614" s="2">
        <v>91610.49</v>
      </c>
      <c r="G614" s="2">
        <v>45805.25</v>
      </c>
      <c r="H614" s="7">
        <v>45805.25</v>
      </c>
    </row>
    <row r="615" spans="1:8" x14ac:dyDescent="0.3">
      <c r="A615">
        <v>49353</v>
      </c>
      <c r="B615" t="s">
        <v>1005</v>
      </c>
      <c r="C615" t="s">
        <v>481</v>
      </c>
      <c r="D615" t="s">
        <v>1006</v>
      </c>
      <c r="E615" s="2">
        <f t="shared" si="9"/>
        <v>113426.20999999999</v>
      </c>
      <c r="F615" s="2">
        <v>75617.47</v>
      </c>
      <c r="G615" s="2">
        <v>37808.74</v>
      </c>
      <c r="H615" s="7">
        <v>37808.74</v>
      </c>
    </row>
    <row r="616" spans="1:8" x14ac:dyDescent="0.3">
      <c r="E616" s="2" t="s">
        <v>589</v>
      </c>
      <c r="H616" s="7"/>
    </row>
    <row r="617" spans="1:8" x14ac:dyDescent="0.3">
      <c r="A617">
        <v>49379</v>
      </c>
      <c r="B617" t="s">
        <v>485</v>
      </c>
      <c r="C617" t="s">
        <v>481</v>
      </c>
      <c r="D617" t="s">
        <v>1007</v>
      </c>
      <c r="E617" s="2">
        <f t="shared" si="9"/>
        <v>6211.23</v>
      </c>
      <c r="F617" s="2">
        <v>4140.82</v>
      </c>
      <c r="G617" s="2">
        <v>2070.41</v>
      </c>
      <c r="H617" s="7">
        <v>2070.41</v>
      </c>
    </row>
    <row r="618" spans="1:8" x14ac:dyDescent="0.3">
      <c r="A618">
        <v>49379</v>
      </c>
      <c r="B618" t="s">
        <v>485</v>
      </c>
      <c r="C618" t="s">
        <v>481</v>
      </c>
      <c r="D618" t="s">
        <v>1008</v>
      </c>
      <c r="E618" s="2">
        <f t="shared" si="9"/>
        <v>9961.4</v>
      </c>
      <c r="F618" s="2">
        <v>6640.93</v>
      </c>
      <c r="G618" s="2">
        <v>3320.47</v>
      </c>
      <c r="H618" s="7">
        <v>3320.47</v>
      </c>
    </row>
    <row r="619" spans="1:8" x14ac:dyDescent="0.3">
      <c r="A619">
        <v>49379</v>
      </c>
      <c r="B619" t="s">
        <v>485</v>
      </c>
      <c r="C619" t="s">
        <v>481</v>
      </c>
      <c r="D619" t="s">
        <v>1009</v>
      </c>
      <c r="E619" s="2">
        <f t="shared" si="9"/>
        <v>1640.6999999999998</v>
      </c>
      <c r="F619" s="2">
        <v>1093.8</v>
      </c>
      <c r="G619" s="2">
        <v>546.9</v>
      </c>
      <c r="H619" s="7">
        <v>546.9</v>
      </c>
    </row>
    <row r="620" spans="1:8" x14ac:dyDescent="0.3">
      <c r="A620">
        <v>49379</v>
      </c>
      <c r="B620" t="s">
        <v>485</v>
      </c>
      <c r="C620" t="s">
        <v>481</v>
      </c>
      <c r="D620" t="s">
        <v>1010</v>
      </c>
      <c r="E620" s="2">
        <f t="shared" si="9"/>
        <v>33399.99</v>
      </c>
      <c r="F620" s="2">
        <v>22266.66</v>
      </c>
      <c r="G620" s="2">
        <v>11133.33</v>
      </c>
      <c r="H620" s="7">
        <v>11133.33</v>
      </c>
    </row>
    <row r="621" spans="1:8" x14ac:dyDescent="0.3">
      <c r="E621" s="2" t="s">
        <v>589</v>
      </c>
      <c r="H621" s="7"/>
    </row>
    <row r="622" spans="1:8" x14ac:dyDescent="0.3">
      <c r="A622">
        <v>49387</v>
      </c>
      <c r="B622" t="s">
        <v>486</v>
      </c>
      <c r="C622" t="s">
        <v>481</v>
      </c>
      <c r="D622" t="s">
        <v>1011</v>
      </c>
      <c r="E622" s="2">
        <f t="shared" si="9"/>
        <v>9217.67</v>
      </c>
      <c r="F622" s="2">
        <v>6145.11</v>
      </c>
      <c r="G622" s="2">
        <v>3072.56</v>
      </c>
      <c r="H622" s="7">
        <v>3072.56</v>
      </c>
    </row>
    <row r="623" spans="1:8" x14ac:dyDescent="0.3">
      <c r="A623">
        <v>49387</v>
      </c>
      <c r="B623" t="s">
        <v>486</v>
      </c>
      <c r="C623" t="s">
        <v>481</v>
      </c>
      <c r="D623" t="s">
        <v>1012</v>
      </c>
      <c r="E623" s="2">
        <f t="shared" si="9"/>
        <v>5586.46</v>
      </c>
      <c r="F623" s="2">
        <v>3724.31</v>
      </c>
      <c r="G623" s="2">
        <v>1862.15</v>
      </c>
      <c r="H623" s="7">
        <v>1862.15</v>
      </c>
    </row>
    <row r="624" spans="1:8" x14ac:dyDescent="0.3">
      <c r="A624">
        <v>49387</v>
      </c>
      <c r="B624" t="s">
        <v>486</v>
      </c>
      <c r="C624" t="s">
        <v>481</v>
      </c>
      <c r="D624" t="s">
        <v>1013</v>
      </c>
      <c r="E624" s="2">
        <f t="shared" si="9"/>
        <v>10614.279999999999</v>
      </c>
      <c r="F624" s="2">
        <v>7076.19</v>
      </c>
      <c r="G624" s="2">
        <v>3538.09</v>
      </c>
      <c r="H624" s="7">
        <v>3538.09</v>
      </c>
    </row>
    <row r="625" spans="1:8" x14ac:dyDescent="0.3">
      <c r="A625">
        <v>49387</v>
      </c>
      <c r="B625" t="s">
        <v>486</v>
      </c>
      <c r="C625" t="s">
        <v>481</v>
      </c>
      <c r="D625" t="s">
        <v>1014</v>
      </c>
      <c r="E625" s="2">
        <f t="shared" si="9"/>
        <v>4385.37</v>
      </c>
      <c r="F625" s="2">
        <v>2923.58</v>
      </c>
      <c r="G625" s="2">
        <v>1461.79</v>
      </c>
      <c r="H625" s="7">
        <v>1461.79</v>
      </c>
    </row>
    <row r="626" spans="1:8" x14ac:dyDescent="0.3">
      <c r="E626" s="2" t="s">
        <v>589</v>
      </c>
      <c r="H626" s="7"/>
    </row>
    <row r="627" spans="1:8" x14ac:dyDescent="0.3">
      <c r="A627">
        <v>49460</v>
      </c>
      <c r="B627" t="s">
        <v>490</v>
      </c>
      <c r="C627" t="s">
        <v>98</v>
      </c>
      <c r="D627" t="s">
        <v>1015</v>
      </c>
      <c r="E627" s="2">
        <f t="shared" si="9"/>
        <v>1549.2599999999998</v>
      </c>
      <c r="F627" s="2">
        <v>1032.8399999999999</v>
      </c>
      <c r="G627" s="2">
        <v>516.41999999999996</v>
      </c>
      <c r="H627" s="7">
        <v>516.41999999999996</v>
      </c>
    </row>
    <row r="628" spans="1:8" x14ac:dyDescent="0.3">
      <c r="A628">
        <v>49460</v>
      </c>
      <c r="B628" t="s">
        <v>490</v>
      </c>
      <c r="C628" t="s">
        <v>98</v>
      </c>
      <c r="D628" t="s">
        <v>1016</v>
      </c>
      <c r="E628" s="2">
        <f t="shared" si="9"/>
        <v>838.13</v>
      </c>
      <c r="F628" s="2">
        <v>558.75</v>
      </c>
      <c r="G628" s="2">
        <v>279.38</v>
      </c>
      <c r="H628" s="7">
        <v>279.38</v>
      </c>
    </row>
    <row r="629" spans="1:8" x14ac:dyDescent="0.3">
      <c r="E629" s="2" t="s">
        <v>589</v>
      </c>
      <c r="H629" s="7"/>
    </row>
    <row r="630" spans="1:8" x14ac:dyDescent="0.3">
      <c r="A630">
        <v>49478</v>
      </c>
      <c r="B630" t="s">
        <v>491</v>
      </c>
      <c r="C630" t="s">
        <v>98</v>
      </c>
      <c r="D630" t="s">
        <v>1017</v>
      </c>
      <c r="E630" s="2">
        <f t="shared" si="9"/>
        <v>231810.14</v>
      </c>
      <c r="F630" s="2">
        <v>154540.09</v>
      </c>
      <c r="G630" s="2">
        <v>77270.05</v>
      </c>
      <c r="H630" s="7">
        <v>77270.05</v>
      </c>
    </row>
    <row r="631" spans="1:8" x14ac:dyDescent="0.3">
      <c r="A631">
        <v>49478</v>
      </c>
      <c r="B631" t="s">
        <v>491</v>
      </c>
      <c r="C631" t="s">
        <v>98</v>
      </c>
      <c r="D631" t="s">
        <v>1018</v>
      </c>
      <c r="E631" s="2">
        <f t="shared" si="9"/>
        <v>272376.90999999997</v>
      </c>
      <c r="F631" s="2">
        <v>181584.61</v>
      </c>
      <c r="G631" s="2">
        <v>90792.3</v>
      </c>
      <c r="H631" s="7">
        <v>90792.3</v>
      </c>
    </row>
    <row r="632" spans="1:8" x14ac:dyDescent="0.3">
      <c r="E632" s="2" t="s">
        <v>589</v>
      </c>
      <c r="H632" s="7"/>
    </row>
    <row r="633" spans="1:8" x14ac:dyDescent="0.3">
      <c r="A633">
        <v>49528</v>
      </c>
      <c r="B633" t="s">
        <v>291</v>
      </c>
      <c r="C633" t="s">
        <v>40</v>
      </c>
      <c r="D633" t="s">
        <v>1019</v>
      </c>
      <c r="E633" s="2">
        <f t="shared" si="9"/>
        <v>8315.11</v>
      </c>
      <c r="F633" s="2">
        <v>5543.41</v>
      </c>
      <c r="G633" s="2">
        <v>2771.7</v>
      </c>
      <c r="H633" s="7">
        <v>2771.7</v>
      </c>
    </row>
    <row r="634" spans="1:8" x14ac:dyDescent="0.3">
      <c r="A634">
        <v>49528</v>
      </c>
      <c r="B634" t="s">
        <v>291</v>
      </c>
      <c r="C634" t="s">
        <v>40</v>
      </c>
      <c r="D634" t="s">
        <v>627</v>
      </c>
      <c r="E634" s="2">
        <f t="shared" si="9"/>
        <v>1797.86</v>
      </c>
      <c r="F634" s="2">
        <v>1198.57</v>
      </c>
      <c r="G634" s="2">
        <v>599.29</v>
      </c>
      <c r="H634" s="7">
        <v>599.29</v>
      </c>
    </row>
    <row r="635" spans="1:8" x14ac:dyDescent="0.3">
      <c r="E635" s="2" t="s">
        <v>589</v>
      </c>
      <c r="H635" s="7"/>
    </row>
    <row r="636" spans="1:8" x14ac:dyDescent="0.3">
      <c r="A636">
        <v>49544</v>
      </c>
      <c r="B636" t="s">
        <v>498</v>
      </c>
      <c r="C636" t="s">
        <v>40</v>
      </c>
      <c r="D636" t="s">
        <v>1020</v>
      </c>
      <c r="E636" s="2">
        <f t="shared" si="9"/>
        <v>17021.650000000001</v>
      </c>
      <c r="F636" s="2">
        <v>11347.77</v>
      </c>
      <c r="G636" s="2">
        <v>5673.88</v>
      </c>
      <c r="H636" s="7">
        <v>5673.88</v>
      </c>
    </row>
    <row r="637" spans="1:8" x14ac:dyDescent="0.3">
      <c r="A637">
        <v>49544</v>
      </c>
      <c r="B637" t="s">
        <v>498</v>
      </c>
      <c r="C637" t="s">
        <v>40</v>
      </c>
      <c r="D637" t="s">
        <v>1021</v>
      </c>
      <c r="E637" s="2">
        <f t="shared" si="9"/>
        <v>24468.62</v>
      </c>
      <c r="F637" s="2">
        <v>16312.41</v>
      </c>
      <c r="G637" s="2">
        <v>8156.21</v>
      </c>
      <c r="H637" s="7">
        <v>8156.21</v>
      </c>
    </row>
    <row r="638" spans="1:8" x14ac:dyDescent="0.3">
      <c r="E638" s="2" t="s">
        <v>589</v>
      </c>
      <c r="H638" s="7"/>
    </row>
    <row r="639" spans="1:8" x14ac:dyDescent="0.3">
      <c r="A639">
        <v>49684</v>
      </c>
      <c r="B639" t="s">
        <v>512</v>
      </c>
      <c r="C639" t="s">
        <v>66</v>
      </c>
      <c r="D639" t="s">
        <v>1022</v>
      </c>
      <c r="E639" s="2">
        <f t="shared" si="9"/>
        <v>4794.7700000000004</v>
      </c>
      <c r="F639" s="2">
        <v>3196.51</v>
      </c>
      <c r="G639" s="2">
        <v>1598.26</v>
      </c>
      <c r="H639" s="7">
        <v>1598.26</v>
      </c>
    </row>
    <row r="640" spans="1:8" x14ac:dyDescent="0.3">
      <c r="A640">
        <v>49684</v>
      </c>
      <c r="B640" t="s">
        <v>512</v>
      </c>
      <c r="C640" t="s">
        <v>66</v>
      </c>
      <c r="D640" t="s">
        <v>1023</v>
      </c>
      <c r="E640" s="2">
        <f t="shared" si="9"/>
        <v>13641.449999999999</v>
      </c>
      <c r="F640" s="2">
        <v>9094.2999999999993</v>
      </c>
      <c r="G640" s="2">
        <v>4547.1499999999996</v>
      </c>
      <c r="H640" s="7">
        <v>4547.1499999999996</v>
      </c>
    </row>
    <row r="641" spans="1:8" x14ac:dyDescent="0.3">
      <c r="E641" s="2" t="s">
        <v>589</v>
      </c>
      <c r="H641" s="7"/>
    </row>
    <row r="642" spans="1:8" x14ac:dyDescent="0.3">
      <c r="A642">
        <v>49692</v>
      </c>
      <c r="B642" t="s">
        <v>513</v>
      </c>
      <c r="C642" t="s">
        <v>66</v>
      </c>
      <c r="D642" t="s">
        <v>1024</v>
      </c>
      <c r="E642" s="2">
        <f t="shared" si="9"/>
        <v>3142.7</v>
      </c>
      <c r="F642" s="2">
        <v>2095.13</v>
      </c>
      <c r="G642" s="2">
        <v>1047.57</v>
      </c>
      <c r="H642" s="7">
        <v>1047.57</v>
      </c>
    </row>
    <row r="643" spans="1:8" x14ac:dyDescent="0.3">
      <c r="E643" s="2" t="s">
        <v>589</v>
      </c>
      <c r="H643" s="7"/>
    </row>
    <row r="644" spans="1:8" x14ac:dyDescent="0.3">
      <c r="A644">
        <v>49759</v>
      </c>
      <c r="B644" t="s">
        <v>516</v>
      </c>
      <c r="C644" t="s">
        <v>517</v>
      </c>
      <c r="D644" t="s">
        <v>1025</v>
      </c>
      <c r="E644" s="2">
        <f t="shared" si="9"/>
        <v>64822.38</v>
      </c>
      <c r="F644" s="2">
        <v>64822.38</v>
      </c>
      <c r="G644" s="2">
        <v>32411.19</v>
      </c>
      <c r="H644" s="7">
        <v>0</v>
      </c>
    </row>
    <row r="645" spans="1:8" x14ac:dyDescent="0.3">
      <c r="A645">
        <v>49759</v>
      </c>
      <c r="B645" t="s">
        <v>516</v>
      </c>
      <c r="C645" t="s">
        <v>517</v>
      </c>
      <c r="D645" t="s">
        <v>1000</v>
      </c>
      <c r="E645" s="2">
        <f t="shared" si="9"/>
        <v>408380.99</v>
      </c>
      <c r="F645" s="2">
        <v>272253.99</v>
      </c>
      <c r="G645" s="2">
        <v>136127</v>
      </c>
      <c r="H645" s="7">
        <v>136127</v>
      </c>
    </row>
    <row r="646" spans="1:8" x14ac:dyDescent="0.3">
      <c r="E646" s="2" t="s">
        <v>589</v>
      </c>
      <c r="H646" s="7"/>
    </row>
    <row r="647" spans="1:8" x14ac:dyDescent="0.3">
      <c r="A647">
        <v>49767</v>
      </c>
      <c r="B647" t="s">
        <v>518</v>
      </c>
      <c r="C647" t="s">
        <v>517</v>
      </c>
      <c r="D647" t="s">
        <v>1026</v>
      </c>
      <c r="E647" s="2">
        <f t="shared" si="9"/>
        <v>15495.599999999999</v>
      </c>
      <c r="F647" s="2">
        <v>10330.4</v>
      </c>
      <c r="G647" s="2">
        <v>5165.2</v>
      </c>
      <c r="H647" s="7">
        <v>5165.2</v>
      </c>
    </row>
    <row r="648" spans="1:8" x14ac:dyDescent="0.3">
      <c r="A648">
        <v>49767</v>
      </c>
      <c r="B648" t="s">
        <v>518</v>
      </c>
      <c r="C648" t="s">
        <v>517</v>
      </c>
      <c r="D648" t="s">
        <v>1027</v>
      </c>
      <c r="E648" s="2">
        <f t="shared" si="9"/>
        <v>7253.26</v>
      </c>
      <c r="F648" s="2">
        <v>4835.51</v>
      </c>
      <c r="G648" s="2">
        <v>2417.75</v>
      </c>
      <c r="H648" s="7">
        <v>2417.75</v>
      </c>
    </row>
    <row r="649" spans="1:8" x14ac:dyDescent="0.3">
      <c r="E649" s="2" t="s">
        <v>589</v>
      </c>
      <c r="H649" s="7"/>
    </row>
    <row r="650" spans="1:8" x14ac:dyDescent="0.3">
      <c r="A650">
        <v>49783</v>
      </c>
      <c r="B650" t="s">
        <v>1028</v>
      </c>
      <c r="C650" t="s">
        <v>517</v>
      </c>
      <c r="D650" t="s">
        <v>1029</v>
      </c>
      <c r="E650" s="2">
        <f t="shared" si="9"/>
        <v>4008.44</v>
      </c>
      <c r="F650" s="2">
        <v>2672.29</v>
      </c>
      <c r="G650" s="2">
        <v>1336.15</v>
      </c>
      <c r="H650" s="7">
        <v>1336.15</v>
      </c>
    </row>
    <row r="651" spans="1:8" x14ac:dyDescent="0.3">
      <c r="E651" s="2" t="s">
        <v>589</v>
      </c>
      <c r="H651" s="7"/>
    </row>
    <row r="652" spans="1:8" x14ac:dyDescent="0.3">
      <c r="A652">
        <v>49809</v>
      </c>
      <c r="B652" t="s">
        <v>520</v>
      </c>
      <c r="C652" t="s">
        <v>517</v>
      </c>
      <c r="D652" t="s">
        <v>1030</v>
      </c>
      <c r="E652" s="2">
        <f t="shared" si="9"/>
        <v>54769.17</v>
      </c>
      <c r="F652" s="2">
        <v>36512.78</v>
      </c>
      <c r="G652" s="2">
        <v>18256.39</v>
      </c>
      <c r="H652" s="7">
        <v>18256.39</v>
      </c>
    </row>
    <row r="653" spans="1:8" x14ac:dyDescent="0.3">
      <c r="E653" s="2" t="s">
        <v>589</v>
      </c>
      <c r="H653" s="7"/>
    </row>
    <row r="654" spans="1:8" x14ac:dyDescent="0.3">
      <c r="A654">
        <v>49817</v>
      </c>
      <c r="B654" t="s">
        <v>1031</v>
      </c>
      <c r="C654" t="s">
        <v>517</v>
      </c>
      <c r="D654" t="s">
        <v>835</v>
      </c>
      <c r="E654" s="2">
        <f t="shared" si="9"/>
        <v>34070.54</v>
      </c>
      <c r="F654" s="2">
        <v>22713.69</v>
      </c>
      <c r="G654" s="2">
        <v>11356.85</v>
      </c>
      <c r="H654" s="7">
        <v>11356.85</v>
      </c>
    </row>
    <row r="655" spans="1:8" x14ac:dyDescent="0.3">
      <c r="E655" s="2" t="s">
        <v>589</v>
      </c>
      <c r="H655" s="7"/>
    </row>
    <row r="656" spans="1:8" x14ac:dyDescent="0.3">
      <c r="A656">
        <v>49841</v>
      </c>
      <c r="B656" t="s">
        <v>522</v>
      </c>
      <c r="C656" t="s">
        <v>4</v>
      </c>
      <c r="D656" t="s">
        <v>1032</v>
      </c>
      <c r="E656" s="2">
        <f t="shared" si="9"/>
        <v>69139.91</v>
      </c>
      <c r="F656" s="2">
        <v>46093.27</v>
      </c>
      <c r="G656" s="2">
        <v>23046.639999999999</v>
      </c>
      <c r="H656" s="7">
        <v>23046.639999999999</v>
      </c>
    </row>
    <row r="657" spans="1:8" x14ac:dyDescent="0.3">
      <c r="A657">
        <v>49841</v>
      </c>
      <c r="B657" t="s">
        <v>522</v>
      </c>
      <c r="C657" t="s">
        <v>4</v>
      </c>
      <c r="D657" t="s">
        <v>1033</v>
      </c>
      <c r="E657" s="2">
        <f t="shared" si="9"/>
        <v>70580.33</v>
      </c>
      <c r="F657" s="2">
        <v>47053.55</v>
      </c>
      <c r="G657" s="2">
        <v>23526.78</v>
      </c>
      <c r="H657" s="7">
        <v>23526.78</v>
      </c>
    </row>
    <row r="658" spans="1:8" x14ac:dyDescent="0.3">
      <c r="A658">
        <v>49841</v>
      </c>
      <c r="B658" t="s">
        <v>522</v>
      </c>
      <c r="C658" t="s">
        <v>4</v>
      </c>
      <c r="D658" t="s">
        <v>1034</v>
      </c>
      <c r="E658" s="2">
        <f t="shared" si="9"/>
        <v>59057.009999999995</v>
      </c>
      <c r="F658" s="2">
        <v>39371.339999999997</v>
      </c>
      <c r="G658" s="2">
        <v>19685.669999999998</v>
      </c>
      <c r="H658" s="7">
        <v>19685.669999999998</v>
      </c>
    </row>
    <row r="659" spans="1:8" x14ac:dyDescent="0.3">
      <c r="A659">
        <v>49841</v>
      </c>
      <c r="B659" t="s">
        <v>522</v>
      </c>
      <c r="C659" t="s">
        <v>4</v>
      </c>
      <c r="D659" t="s">
        <v>1035</v>
      </c>
      <c r="E659" s="2">
        <f t="shared" ref="E659:E722" si="10">F659+H659</f>
        <v>8642.49</v>
      </c>
      <c r="F659" s="2">
        <v>5761.66</v>
      </c>
      <c r="G659" s="2">
        <v>2880.83</v>
      </c>
      <c r="H659" s="7">
        <v>2880.83</v>
      </c>
    </row>
    <row r="660" spans="1:8" x14ac:dyDescent="0.3">
      <c r="E660" s="2" t="s">
        <v>589</v>
      </c>
      <c r="H660" s="7"/>
    </row>
    <row r="661" spans="1:8" x14ac:dyDescent="0.3">
      <c r="A661">
        <v>49858</v>
      </c>
      <c r="B661" t="s">
        <v>523</v>
      </c>
      <c r="C661" t="s">
        <v>4</v>
      </c>
      <c r="D661" t="s">
        <v>1036</v>
      </c>
      <c r="E661" s="2">
        <f t="shared" si="10"/>
        <v>395783.63</v>
      </c>
      <c r="F661" s="2">
        <v>263855.75</v>
      </c>
      <c r="G661" s="2">
        <v>131927.88</v>
      </c>
      <c r="H661" s="7">
        <v>131927.88</v>
      </c>
    </row>
    <row r="662" spans="1:8" x14ac:dyDescent="0.3">
      <c r="A662">
        <v>49858</v>
      </c>
      <c r="B662" t="s">
        <v>523</v>
      </c>
      <c r="C662" t="s">
        <v>4</v>
      </c>
      <c r="D662" t="s">
        <v>1037</v>
      </c>
      <c r="E662" s="2">
        <f t="shared" si="10"/>
        <v>62194.570000000007</v>
      </c>
      <c r="F662" s="2">
        <v>41463.050000000003</v>
      </c>
      <c r="G662" s="2">
        <v>20731.52</v>
      </c>
      <c r="H662" s="7">
        <v>20731.52</v>
      </c>
    </row>
    <row r="663" spans="1:8" x14ac:dyDescent="0.3">
      <c r="A663">
        <v>49858</v>
      </c>
      <c r="B663" t="s">
        <v>523</v>
      </c>
      <c r="C663" t="s">
        <v>4</v>
      </c>
      <c r="D663" t="s">
        <v>761</v>
      </c>
      <c r="E663" s="2">
        <f t="shared" si="10"/>
        <v>101772.93</v>
      </c>
      <c r="F663" s="2">
        <v>67848.62</v>
      </c>
      <c r="G663" s="2">
        <v>33924.31</v>
      </c>
      <c r="H663" s="7">
        <v>33924.31</v>
      </c>
    </row>
    <row r="664" spans="1:8" x14ac:dyDescent="0.3">
      <c r="A664">
        <v>49858</v>
      </c>
      <c r="B664" t="s">
        <v>523</v>
      </c>
      <c r="C664" t="s">
        <v>4</v>
      </c>
      <c r="D664" t="s">
        <v>1038</v>
      </c>
      <c r="E664" s="2">
        <f t="shared" si="10"/>
        <v>147005.35</v>
      </c>
      <c r="F664" s="2">
        <v>98003.57</v>
      </c>
      <c r="G664" s="2">
        <v>49001.78</v>
      </c>
      <c r="H664" s="7">
        <v>49001.78</v>
      </c>
    </row>
    <row r="665" spans="1:8" x14ac:dyDescent="0.3">
      <c r="E665" s="2" t="s">
        <v>589</v>
      </c>
      <c r="H665" s="7"/>
    </row>
    <row r="666" spans="1:8" x14ac:dyDescent="0.3">
      <c r="A666">
        <v>49890</v>
      </c>
      <c r="B666" t="s">
        <v>1039</v>
      </c>
      <c r="C666" t="s">
        <v>4</v>
      </c>
      <c r="D666" t="s">
        <v>1040</v>
      </c>
      <c r="E666" s="2">
        <f t="shared" si="10"/>
        <v>103257.66</v>
      </c>
      <c r="F666" s="2">
        <v>68838.44</v>
      </c>
      <c r="G666" s="2">
        <v>34419.22</v>
      </c>
      <c r="H666" s="7">
        <v>34419.22</v>
      </c>
    </row>
    <row r="667" spans="1:8" x14ac:dyDescent="0.3">
      <c r="A667">
        <v>49890</v>
      </c>
      <c r="B667" t="s">
        <v>1039</v>
      </c>
      <c r="C667" t="s">
        <v>4</v>
      </c>
      <c r="D667" t="s">
        <v>1041</v>
      </c>
      <c r="E667" s="2">
        <f t="shared" si="10"/>
        <v>49003.64</v>
      </c>
      <c r="F667" s="2">
        <v>32669.09</v>
      </c>
      <c r="G667" s="2">
        <v>16334.55</v>
      </c>
      <c r="H667" s="7">
        <v>16334.55</v>
      </c>
    </row>
    <row r="668" spans="1:8" x14ac:dyDescent="0.3">
      <c r="A668">
        <v>49890</v>
      </c>
      <c r="B668" t="s">
        <v>1039</v>
      </c>
      <c r="C668" t="s">
        <v>4</v>
      </c>
      <c r="D668" t="s">
        <v>853</v>
      </c>
      <c r="E668" s="2">
        <f t="shared" si="10"/>
        <v>71755.33</v>
      </c>
      <c r="F668" s="2">
        <v>47836.89</v>
      </c>
      <c r="G668" s="2">
        <v>23918.44</v>
      </c>
      <c r="H668" s="7">
        <v>23918.44</v>
      </c>
    </row>
    <row r="669" spans="1:8" x14ac:dyDescent="0.3">
      <c r="E669" s="2" t="s">
        <v>589</v>
      </c>
      <c r="H669" s="7"/>
    </row>
    <row r="670" spans="1:8" x14ac:dyDescent="0.3">
      <c r="A670">
        <v>49908</v>
      </c>
      <c r="B670" t="s">
        <v>505</v>
      </c>
      <c r="C670" t="s">
        <v>4</v>
      </c>
      <c r="D670" t="s">
        <v>738</v>
      </c>
      <c r="E670" s="2">
        <f t="shared" si="10"/>
        <v>23524.87</v>
      </c>
      <c r="F670" s="2">
        <v>15683.25</v>
      </c>
      <c r="G670" s="2">
        <v>7841.62</v>
      </c>
      <c r="H670" s="7">
        <v>7841.62</v>
      </c>
    </row>
    <row r="671" spans="1:8" x14ac:dyDescent="0.3">
      <c r="A671">
        <v>49908</v>
      </c>
      <c r="B671" t="s">
        <v>505</v>
      </c>
      <c r="C671" t="s">
        <v>4</v>
      </c>
      <c r="D671" t="s">
        <v>1042</v>
      </c>
      <c r="E671" s="2">
        <f t="shared" si="10"/>
        <v>24645.1</v>
      </c>
      <c r="F671" s="2">
        <v>16430.07</v>
      </c>
      <c r="G671" s="2">
        <v>8215.0300000000007</v>
      </c>
      <c r="H671" s="7">
        <v>8215.0300000000007</v>
      </c>
    </row>
    <row r="672" spans="1:8" x14ac:dyDescent="0.3">
      <c r="E672" s="2" t="s">
        <v>589</v>
      </c>
      <c r="H672" s="7"/>
    </row>
    <row r="673" spans="1:8" x14ac:dyDescent="0.3">
      <c r="A673">
        <v>49924</v>
      </c>
      <c r="B673" t="s">
        <v>248</v>
      </c>
      <c r="C673" t="s">
        <v>4</v>
      </c>
      <c r="D673" t="s">
        <v>1043</v>
      </c>
      <c r="E673" s="2">
        <f t="shared" si="10"/>
        <v>677204.92</v>
      </c>
      <c r="F673" s="2">
        <v>451469.95</v>
      </c>
      <c r="G673" s="2">
        <v>225734.97</v>
      </c>
      <c r="H673" s="7">
        <v>225734.97</v>
      </c>
    </row>
    <row r="674" spans="1:8" x14ac:dyDescent="0.3">
      <c r="E674" s="2" t="s">
        <v>589</v>
      </c>
      <c r="H674" s="7"/>
    </row>
    <row r="675" spans="1:8" x14ac:dyDescent="0.3">
      <c r="A675">
        <v>49940</v>
      </c>
      <c r="B675" t="s">
        <v>526</v>
      </c>
      <c r="C675" t="s">
        <v>4</v>
      </c>
      <c r="D675" t="s">
        <v>820</v>
      </c>
      <c r="E675" s="2">
        <f t="shared" si="10"/>
        <v>18735.88</v>
      </c>
      <c r="F675" s="2">
        <v>12490.59</v>
      </c>
      <c r="G675" s="2">
        <v>6245.29</v>
      </c>
      <c r="H675" s="7">
        <v>6245.29</v>
      </c>
    </row>
    <row r="676" spans="1:8" x14ac:dyDescent="0.3">
      <c r="E676" s="2" t="s">
        <v>589</v>
      </c>
      <c r="H676" s="7"/>
    </row>
    <row r="677" spans="1:8" x14ac:dyDescent="0.3">
      <c r="A677">
        <v>49973</v>
      </c>
      <c r="B677" t="s">
        <v>527</v>
      </c>
      <c r="C677" t="s">
        <v>1</v>
      </c>
      <c r="D677" t="s">
        <v>1044</v>
      </c>
      <c r="E677" s="2">
        <f t="shared" si="10"/>
        <v>167928.29</v>
      </c>
      <c r="F677" s="2">
        <v>111952.19</v>
      </c>
      <c r="G677" s="2">
        <v>55976.1</v>
      </c>
      <c r="H677" s="7">
        <v>55976.1</v>
      </c>
    </row>
    <row r="678" spans="1:8" x14ac:dyDescent="0.3">
      <c r="A678">
        <v>49973</v>
      </c>
      <c r="B678" t="s">
        <v>527</v>
      </c>
      <c r="C678" t="s">
        <v>1</v>
      </c>
      <c r="D678" t="s">
        <v>1045</v>
      </c>
      <c r="E678" s="2">
        <f t="shared" si="10"/>
        <v>255708.97999999998</v>
      </c>
      <c r="F678" s="2">
        <v>170472.65</v>
      </c>
      <c r="G678" s="2">
        <v>85236.33</v>
      </c>
      <c r="H678" s="7">
        <v>85236.33</v>
      </c>
    </row>
    <row r="679" spans="1:8" x14ac:dyDescent="0.3">
      <c r="A679">
        <v>49973</v>
      </c>
      <c r="B679" t="s">
        <v>527</v>
      </c>
      <c r="C679" t="s">
        <v>1</v>
      </c>
      <c r="D679" t="s">
        <v>1046</v>
      </c>
      <c r="E679" s="2">
        <f t="shared" si="10"/>
        <v>133579.32</v>
      </c>
      <c r="F679" s="2">
        <v>89052.88</v>
      </c>
      <c r="G679" s="2">
        <v>44526.44</v>
      </c>
      <c r="H679" s="7">
        <v>44526.44</v>
      </c>
    </row>
    <row r="680" spans="1:8" x14ac:dyDescent="0.3">
      <c r="A680">
        <v>49973</v>
      </c>
      <c r="B680" t="s">
        <v>527</v>
      </c>
      <c r="C680" t="s">
        <v>1</v>
      </c>
      <c r="D680" t="s">
        <v>1047</v>
      </c>
      <c r="E680" s="2">
        <f t="shared" si="10"/>
        <v>85872.42</v>
      </c>
      <c r="F680" s="2">
        <v>57248.28</v>
      </c>
      <c r="G680" s="2">
        <v>28624.14</v>
      </c>
      <c r="H680" s="7">
        <v>28624.14</v>
      </c>
    </row>
    <row r="681" spans="1:8" x14ac:dyDescent="0.3">
      <c r="E681" s="2" t="s">
        <v>589</v>
      </c>
      <c r="H681" s="7"/>
    </row>
    <row r="682" spans="1:8" x14ac:dyDescent="0.3">
      <c r="A682">
        <v>50013</v>
      </c>
      <c r="B682" t="s">
        <v>530</v>
      </c>
      <c r="C682" t="s">
        <v>1</v>
      </c>
      <c r="D682" t="s">
        <v>1048</v>
      </c>
      <c r="E682" s="2">
        <f t="shared" si="10"/>
        <v>78353.86</v>
      </c>
      <c r="F682" s="2">
        <v>52235.91</v>
      </c>
      <c r="G682" s="2">
        <v>26117.95</v>
      </c>
      <c r="H682" s="7">
        <v>26117.95</v>
      </c>
    </row>
    <row r="683" spans="1:8" x14ac:dyDescent="0.3">
      <c r="A683">
        <v>50013</v>
      </c>
      <c r="B683" t="s">
        <v>530</v>
      </c>
      <c r="C683" t="s">
        <v>1</v>
      </c>
      <c r="D683" t="s">
        <v>1049</v>
      </c>
      <c r="E683" s="2">
        <f t="shared" si="10"/>
        <v>27810.1</v>
      </c>
      <c r="F683" s="2">
        <v>18540.07</v>
      </c>
      <c r="G683" s="2">
        <v>9270.0300000000007</v>
      </c>
      <c r="H683" s="7">
        <v>9270.0300000000007</v>
      </c>
    </row>
    <row r="684" spans="1:8" x14ac:dyDescent="0.3">
      <c r="E684" s="2" t="s">
        <v>589</v>
      </c>
      <c r="H684" s="7"/>
    </row>
    <row r="685" spans="1:8" x14ac:dyDescent="0.3">
      <c r="A685">
        <v>50039</v>
      </c>
      <c r="B685" t="s">
        <v>532</v>
      </c>
      <c r="C685" t="s">
        <v>1</v>
      </c>
      <c r="D685" t="s">
        <v>749</v>
      </c>
      <c r="E685" s="2">
        <f t="shared" si="10"/>
        <v>156849.70000000001</v>
      </c>
      <c r="F685" s="2">
        <v>104566.47</v>
      </c>
      <c r="G685" s="2">
        <v>52283.23</v>
      </c>
      <c r="H685" s="7">
        <v>52283.23</v>
      </c>
    </row>
    <row r="686" spans="1:8" x14ac:dyDescent="0.3">
      <c r="E686" s="2" t="s">
        <v>589</v>
      </c>
      <c r="H686" s="7"/>
    </row>
    <row r="687" spans="1:8" x14ac:dyDescent="0.3">
      <c r="A687">
        <v>50062</v>
      </c>
      <c r="B687" t="s">
        <v>408</v>
      </c>
      <c r="C687" t="s">
        <v>1</v>
      </c>
      <c r="D687" t="s">
        <v>738</v>
      </c>
      <c r="E687" s="2">
        <f t="shared" si="10"/>
        <v>123453.65</v>
      </c>
      <c r="F687" s="2">
        <v>82302.429999999993</v>
      </c>
      <c r="G687" s="2">
        <v>41151.22</v>
      </c>
      <c r="H687" s="7">
        <v>41151.22</v>
      </c>
    </row>
    <row r="688" spans="1:8" x14ac:dyDescent="0.3">
      <c r="A688">
        <v>50062</v>
      </c>
      <c r="B688" t="s">
        <v>408</v>
      </c>
      <c r="C688" t="s">
        <v>1</v>
      </c>
      <c r="D688" t="s">
        <v>1050</v>
      </c>
      <c r="E688" s="2">
        <f t="shared" si="10"/>
        <v>133463.40000000002</v>
      </c>
      <c r="F688" s="2">
        <v>88975.6</v>
      </c>
      <c r="G688" s="2">
        <v>44487.8</v>
      </c>
      <c r="H688" s="7">
        <v>44487.8</v>
      </c>
    </row>
    <row r="689" spans="1:8" x14ac:dyDescent="0.3">
      <c r="A689">
        <v>50062</v>
      </c>
      <c r="B689" t="s">
        <v>408</v>
      </c>
      <c r="C689" t="s">
        <v>1</v>
      </c>
      <c r="D689" t="s">
        <v>1051</v>
      </c>
      <c r="E689" s="2">
        <f t="shared" si="10"/>
        <v>76407.8</v>
      </c>
      <c r="F689" s="2">
        <v>50938.53</v>
      </c>
      <c r="G689" s="2">
        <v>25469.27</v>
      </c>
      <c r="H689" s="7">
        <v>25469.27</v>
      </c>
    </row>
    <row r="690" spans="1:8" x14ac:dyDescent="0.3">
      <c r="E690" s="2" t="s">
        <v>589</v>
      </c>
      <c r="H690" s="7"/>
    </row>
    <row r="691" spans="1:8" x14ac:dyDescent="0.3">
      <c r="A691">
        <v>50070</v>
      </c>
      <c r="B691" t="s">
        <v>535</v>
      </c>
      <c r="C691" t="s">
        <v>1</v>
      </c>
      <c r="D691" t="s">
        <v>1052</v>
      </c>
      <c r="E691" s="2">
        <f t="shared" si="10"/>
        <v>703206.54</v>
      </c>
      <c r="F691" s="2">
        <v>468804.36</v>
      </c>
      <c r="G691" s="2">
        <v>234402.18</v>
      </c>
      <c r="H691" s="7">
        <v>234402.18</v>
      </c>
    </row>
    <row r="692" spans="1:8" x14ac:dyDescent="0.3">
      <c r="A692">
        <v>50070</v>
      </c>
      <c r="B692" t="s">
        <v>535</v>
      </c>
      <c r="C692" t="s">
        <v>1</v>
      </c>
      <c r="D692" t="s">
        <v>1053</v>
      </c>
      <c r="E692" s="2">
        <f t="shared" si="10"/>
        <v>910387.82</v>
      </c>
      <c r="F692" s="2">
        <v>606925.21</v>
      </c>
      <c r="G692" s="2">
        <v>303462.61</v>
      </c>
      <c r="H692" s="7">
        <v>303462.61</v>
      </c>
    </row>
    <row r="693" spans="1:8" x14ac:dyDescent="0.3">
      <c r="A693">
        <v>50070</v>
      </c>
      <c r="B693" t="s">
        <v>535</v>
      </c>
      <c r="C693" t="s">
        <v>1</v>
      </c>
      <c r="D693" t="s">
        <v>1054</v>
      </c>
      <c r="E693" s="2">
        <f t="shared" si="10"/>
        <v>424948.47</v>
      </c>
      <c r="F693" s="2">
        <v>283298.98</v>
      </c>
      <c r="G693" s="2">
        <v>141649.49</v>
      </c>
      <c r="H693" s="7">
        <v>141649.49</v>
      </c>
    </row>
    <row r="694" spans="1:8" x14ac:dyDescent="0.3">
      <c r="E694" s="2" t="s">
        <v>589</v>
      </c>
      <c r="H694" s="7"/>
    </row>
    <row r="695" spans="1:8" x14ac:dyDescent="0.3">
      <c r="A695">
        <v>50138</v>
      </c>
      <c r="B695" t="s">
        <v>538</v>
      </c>
      <c r="C695" t="s">
        <v>74</v>
      </c>
      <c r="D695" t="s">
        <v>1055</v>
      </c>
      <c r="E695" s="2">
        <f t="shared" si="10"/>
        <v>133374.36000000002</v>
      </c>
      <c r="F695" s="2">
        <v>88916.24</v>
      </c>
      <c r="G695" s="2">
        <v>44458.12</v>
      </c>
      <c r="H695" s="7">
        <v>44458.12</v>
      </c>
    </row>
    <row r="696" spans="1:8" x14ac:dyDescent="0.3">
      <c r="A696">
        <v>50138</v>
      </c>
      <c r="B696" t="s">
        <v>538</v>
      </c>
      <c r="C696" t="s">
        <v>74</v>
      </c>
      <c r="D696" t="s">
        <v>1056</v>
      </c>
      <c r="E696" s="2">
        <f t="shared" si="10"/>
        <v>30578.51</v>
      </c>
      <c r="F696" s="2">
        <v>20385.669999999998</v>
      </c>
      <c r="G696" s="2">
        <v>10192.84</v>
      </c>
      <c r="H696" s="7">
        <v>10192.84</v>
      </c>
    </row>
    <row r="697" spans="1:8" x14ac:dyDescent="0.3">
      <c r="E697" s="2" t="s">
        <v>589</v>
      </c>
      <c r="H697" s="7"/>
    </row>
    <row r="698" spans="1:8" x14ac:dyDescent="0.3">
      <c r="A698">
        <v>50161</v>
      </c>
      <c r="B698" t="s">
        <v>540</v>
      </c>
      <c r="C698" t="s">
        <v>74</v>
      </c>
      <c r="D698" t="s">
        <v>602</v>
      </c>
      <c r="E698" s="2">
        <f t="shared" si="10"/>
        <v>277245.81</v>
      </c>
      <c r="F698" s="2">
        <v>184830.54</v>
      </c>
      <c r="G698" s="2">
        <v>92415.27</v>
      </c>
      <c r="H698" s="7">
        <v>92415.27</v>
      </c>
    </row>
    <row r="699" spans="1:8" x14ac:dyDescent="0.3">
      <c r="A699">
        <v>50161</v>
      </c>
      <c r="B699" t="s">
        <v>540</v>
      </c>
      <c r="C699" t="s">
        <v>74</v>
      </c>
      <c r="D699" t="s">
        <v>668</v>
      </c>
      <c r="E699" s="2">
        <f t="shared" si="10"/>
        <v>346557.26</v>
      </c>
      <c r="F699" s="2">
        <v>231038.17</v>
      </c>
      <c r="G699" s="2">
        <v>115519.09</v>
      </c>
      <c r="H699" s="7">
        <v>115519.09</v>
      </c>
    </row>
    <row r="700" spans="1:8" x14ac:dyDescent="0.3">
      <c r="A700">
        <v>50161</v>
      </c>
      <c r="B700" t="s">
        <v>540</v>
      </c>
      <c r="C700" t="s">
        <v>74</v>
      </c>
      <c r="D700" t="s">
        <v>1057</v>
      </c>
      <c r="E700" s="2">
        <f t="shared" si="10"/>
        <v>424023</v>
      </c>
      <c r="F700" s="2">
        <v>282682</v>
      </c>
      <c r="G700" s="2">
        <v>141341</v>
      </c>
      <c r="H700" s="7">
        <v>141341</v>
      </c>
    </row>
    <row r="701" spans="1:8" x14ac:dyDescent="0.3">
      <c r="E701" s="2" t="s">
        <v>589</v>
      </c>
      <c r="H701" s="7"/>
    </row>
    <row r="702" spans="1:8" x14ac:dyDescent="0.3">
      <c r="A702">
        <v>50179</v>
      </c>
      <c r="B702" t="s">
        <v>541</v>
      </c>
      <c r="C702" t="s">
        <v>74</v>
      </c>
      <c r="D702" t="s">
        <v>1058</v>
      </c>
      <c r="E702" s="2">
        <f t="shared" si="10"/>
        <v>17692.13</v>
      </c>
      <c r="F702" s="2">
        <v>11794.75</v>
      </c>
      <c r="G702" s="2">
        <v>5897.38</v>
      </c>
      <c r="H702" s="7">
        <v>5897.38</v>
      </c>
    </row>
    <row r="703" spans="1:8" x14ac:dyDescent="0.3">
      <c r="A703">
        <v>50179</v>
      </c>
      <c r="B703" t="s">
        <v>541</v>
      </c>
      <c r="C703" t="s">
        <v>74</v>
      </c>
      <c r="D703" t="s">
        <v>1059</v>
      </c>
      <c r="E703" s="2">
        <f t="shared" si="10"/>
        <v>22957.64</v>
      </c>
      <c r="F703" s="2">
        <v>15305.09</v>
      </c>
      <c r="G703" s="2">
        <v>7652.55</v>
      </c>
      <c r="H703" s="7">
        <v>7652.55</v>
      </c>
    </row>
    <row r="704" spans="1:8" x14ac:dyDescent="0.3">
      <c r="A704">
        <v>50179</v>
      </c>
      <c r="B704" t="s">
        <v>541</v>
      </c>
      <c r="C704" t="s">
        <v>74</v>
      </c>
      <c r="D704" t="s">
        <v>1060</v>
      </c>
      <c r="E704" s="2">
        <f t="shared" si="10"/>
        <v>6318.62</v>
      </c>
      <c r="F704" s="2">
        <v>4212.41</v>
      </c>
      <c r="G704" s="2">
        <v>2106.21</v>
      </c>
      <c r="H704" s="7">
        <v>2106.21</v>
      </c>
    </row>
    <row r="705" spans="1:8" x14ac:dyDescent="0.3">
      <c r="A705">
        <v>50179</v>
      </c>
      <c r="B705" t="s">
        <v>541</v>
      </c>
      <c r="C705" t="s">
        <v>74</v>
      </c>
      <c r="D705" t="s">
        <v>1061</v>
      </c>
      <c r="E705" s="2">
        <f t="shared" si="10"/>
        <v>21272.68</v>
      </c>
      <c r="F705" s="2">
        <v>14181.79</v>
      </c>
      <c r="G705" s="2">
        <v>7090.89</v>
      </c>
      <c r="H705" s="7">
        <v>7090.89</v>
      </c>
    </row>
    <row r="706" spans="1:8" x14ac:dyDescent="0.3">
      <c r="E706" s="2" t="s">
        <v>589</v>
      </c>
      <c r="H706" s="7"/>
    </row>
    <row r="707" spans="1:8" x14ac:dyDescent="0.3">
      <c r="A707">
        <v>50187</v>
      </c>
      <c r="B707" t="s">
        <v>542</v>
      </c>
      <c r="C707" t="s">
        <v>74</v>
      </c>
      <c r="D707" t="s">
        <v>1062</v>
      </c>
      <c r="E707" s="2">
        <f t="shared" si="10"/>
        <v>17170.41</v>
      </c>
      <c r="F707" s="2">
        <v>11446.94</v>
      </c>
      <c r="G707" s="2">
        <v>5723.47</v>
      </c>
      <c r="H707" s="7">
        <v>5723.47</v>
      </c>
    </row>
    <row r="708" spans="1:8" x14ac:dyDescent="0.3">
      <c r="A708">
        <v>50187</v>
      </c>
      <c r="B708" t="s">
        <v>542</v>
      </c>
      <c r="C708" t="s">
        <v>74</v>
      </c>
      <c r="D708" t="s">
        <v>1063</v>
      </c>
      <c r="E708" s="2">
        <f t="shared" si="10"/>
        <v>24842.3</v>
      </c>
      <c r="F708" s="2">
        <v>16561.53</v>
      </c>
      <c r="G708" s="2">
        <v>8280.77</v>
      </c>
      <c r="H708" s="7">
        <v>8280.77</v>
      </c>
    </row>
    <row r="709" spans="1:8" x14ac:dyDescent="0.3">
      <c r="A709">
        <v>50187</v>
      </c>
      <c r="B709" t="s">
        <v>542</v>
      </c>
      <c r="C709" t="s">
        <v>74</v>
      </c>
      <c r="D709" t="s">
        <v>1064</v>
      </c>
      <c r="E709" s="2">
        <f t="shared" si="10"/>
        <v>15709.099999999999</v>
      </c>
      <c r="F709" s="2">
        <v>10472.73</v>
      </c>
      <c r="G709" s="2">
        <v>5236.37</v>
      </c>
      <c r="H709" s="7">
        <v>5236.37</v>
      </c>
    </row>
    <row r="710" spans="1:8" x14ac:dyDescent="0.3">
      <c r="E710" s="2" t="s">
        <v>589</v>
      </c>
      <c r="H710" s="7"/>
    </row>
    <row r="711" spans="1:8" x14ac:dyDescent="0.3">
      <c r="A711">
        <v>50195</v>
      </c>
      <c r="B711" t="s">
        <v>543</v>
      </c>
      <c r="C711" t="s">
        <v>74</v>
      </c>
      <c r="D711" t="s">
        <v>1065</v>
      </c>
      <c r="E711" s="2">
        <f t="shared" si="10"/>
        <v>62396.399999999994</v>
      </c>
      <c r="F711" s="2">
        <v>41597.599999999999</v>
      </c>
      <c r="G711" s="2">
        <v>20798.8</v>
      </c>
      <c r="H711" s="7">
        <v>20798.8</v>
      </c>
    </row>
    <row r="712" spans="1:8" x14ac:dyDescent="0.3">
      <c r="A712">
        <v>50195</v>
      </c>
      <c r="B712" t="s">
        <v>543</v>
      </c>
      <c r="C712" t="s">
        <v>74</v>
      </c>
      <c r="D712" t="s">
        <v>1066</v>
      </c>
      <c r="E712" s="2">
        <f t="shared" si="10"/>
        <v>26459.230000000003</v>
      </c>
      <c r="F712" s="2">
        <v>17639.490000000002</v>
      </c>
      <c r="G712" s="2">
        <v>8819.74</v>
      </c>
      <c r="H712" s="7">
        <v>8819.74</v>
      </c>
    </row>
    <row r="713" spans="1:8" x14ac:dyDescent="0.3">
      <c r="A713">
        <v>50195</v>
      </c>
      <c r="B713" t="s">
        <v>543</v>
      </c>
      <c r="C713" t="s">
        <v>74</v>
      </c>
      <c r="D713" t="s">
        <v>1067</v>
      </c>
      <c r="E713" s="2">
        <f t="shared" si="10"/>
        <v>30013.46</v>
      </c>
      <c r="F713" s="2">
        <v>20008.97</v>
      </c>
      <c r="G713" s="2">
        <v>10004.49</v>
      </c>
      <c r="H713" s="7">
        <v>10004.49</v>
      </c>
    </row>
    <row r="714" spans="1:8" x14ac:dyDescent="0.3">
      <c r="A714">
        <v>50195</v>
      </c>
      <c r="B714" t="s">
        <v>543</v>
      </c>
      <c r="C714" t="s">
        <v>74</v>
      </c>
      <c r="D714" t="s">
        <v>1068</v>
      </c>
      <c r="E714" s="2">
        <f t="shared" si="10"/>
        <v>31988.03</v>
      </c>
      <c r="F714" s="2">
        <v>21325.35</v>
      </c>
      <c r="G714" s="2">
        <v>10662.68</v>
      </c>
      <c r="H714" s="7">
        <v>10662.68</v>
      </c>
    </row>
    <row r="715" spans="1:8" x14ac:dyDescent="0.3">
      <c r="E715" s="2" t="s">
        <v>589</v>
      </c>
      <c r="H715" s="7"/>
    </row>
    <row r="716" spans="1:8" x14ac:dyDescent="0.3">
      <c r="A716">
        <v>50203</v>
      </c>
      <c r="B716" t="s">
        <v>1069</v>
      </c>
      <c r="C716" t="s">
        <v>74</v>
      </c>
      <c r="D716" t="s">
        <v>1070</v>
      </c>
      <c r="E716" s="2">
        <f t="shared" si="10"/>
        <v>232171.64</v>
      </c>
      <c r="F716" s="2">
        <v>154781.09</v>
      </c>
      <c r="G716" s="2">
        <v>77390.55</v>
      </c>
      <c r="H716" s="7">
        <v>77390.55</v>
      </c>
    </row>
    <row r="717" spans="1:8" x14ac:dyDescent="0.3">
      <c r="A717">
        <v>50203</v>
      </c>
      <c r="B717" t="s">
        <v>1069</v>
      </c>
      <c r="C717" t="s">
        <v>74</v>
      </c>
      <c r="D717" t="s">
        <v>1071</v>
      </c>
      <c r="E717" s="2">
        <f t="shared" si="10"/>
        <v>254574.15999999997</v>
      </c>
      <c r="F717" s="2">
        <v>169716.11</v>
      </c>
      <c r="G717" s="2">
        <v>84858.05</v>
      </c>
      <c r="H717" s="7">
        <v>84858.05</v>
      </c>
    </row>
    <row r="718" spans="1:8" x14ac:dyDescent="0.3">
      <c r="E718" s="2" t="s">
        <v>589</v>
      </c>
      <c r="H718" s="7"/>
    </row>
    <row r="719" spans="1:8" x14ac:dyDescent="0.3">
      <c r="A719">
        <v>50245</v>
      </c>
      <c r="B719" t="s">
        <v>546</v>
      </c>
      <c r="C719" t="s">
        <v>74</v>
      </c>
      <c r="D719" t="s">
        <v>1072</v>
      </c>
      <c r="E719" s="2">
        <f t="shared" si="10"/>
        <v>45159.91</v>
      </c>
      <c r="F719" s="2">
        <v>30106.61</v>
      </c>
      <c r="G719" s="2">
        <v>15053.3</v>
      </c>
      <c r="H719" s="7">
        <v>15053.3</v>
      </c>
    </row>
    <row r="720" spans="1:8" x14ac:dyDescent="0.3">
      <c r="E720" s="2" t="s">
        <v>589</v>
      </c>
      <c r="H720" s="7"/>
    </row>
    <row r="721" spans="1:8" x14ac:dyDescent="0.3">
      <c r="A721">
        <v>50252</v>
      </c>
      <c r="B721" t="s">
        <v>1073</v>
      </c>
      <c r="C721" t="s">
        <v>74</v>
      </c>
      <c r="D721" t="s">
        <v>1074</v>
      </c>
      <c r="E721" s="2">
        <f t="shared" si="10"/>
        <v>92414.080000000002</v>
      </c>
      <c r="F721" s="2">
        <v>61609.39</v>
      </c>
      <c r="G721" s="2">
        <v>30804.69</v>
      </c>
      <c r="H721" s="7">
        <v>30804.69</v>
      </c>
    </row>
    <row r="722" spans="1:8" x14ac:dyDescent="0.3">
      <c r="A722">
        <v>50252</v>
      </c>
      <c r="B722" t="s">
        <v>1073</v>
      </c>
      <c r="C722" t="s">
        <v>74</v>
      </c>
      <c r="D722" t="s">
        <v>1075</v>
      </c>
      <c r="E722" s="2">
        <f t="shared" si="10"/>
        <v>118204.04999999999</v>
      </c>
      <c r="F722" s="2">
        <v>78802.7</v>
      </c>
      <c r="G722" s="2">
        <v>39401.35</v>
      </c>
      <c r="H722" s="7">
        <v>39401.35</v>
      </c>
    </row>
    <row r="723" spans="1:8" x14ac:dyDescent="0.3">
      <c r="A723">
        <v>50252</v>
      </c>
      <c r="B723" t="s">
        <v>1073</v>
      </c>
      <c r="C723" t="s">
        <v>74</v>
      </c>
      <c r="D723" t="s">
        <v>948</v>
      </c>
      <c r="E723" s="2">
        <f t="shared" ref="E723:E783" si="11">F723+H723</f>
        <v>34386.629999999997</v>
      </c>
      <c r="F723" s="2">
        <v>22924.42</v>
      </c>
      <c r="G723" s="2">
        <v>11462.21</v>
      </c>
      <c r="H723" s="7">
        <v>11462.21</v>
      </c>
    </row>
    <row r="724" spans="1:8" x14ac:dyDescent="0.3">
      <c r="E724" s="2" t="s">
        <v>589</v>
      </c>
      <c r="H724" s="7"/>
    </row>
    <row r="725" spans="1:8" x14ac:dyDescent="0.3">
      <c r="A725">
        <v>50278</v>
      </c>
      <c r="B725" t="s">
        <v>547</v>
      </c>
      <c r="C725" t="s">
        <v>44</v>
      </c>
      <c r="D725" t="s">
        <v>1076</v>
      </c>
      <c r="E725" s="2">
        <f t="shared" si="11"/>
        <v>127522.12</v>
      </c>
      <c r="F725" s="2">
        <v>85014.75</v>
      </c>
      <c r="G725" s="2">
        <v>42507.37</v>
      </c>
      <c r="H725" s="7">
        <v>42507.37</v>
      </c>
    </row>
    <row r="726" spans="1:8" x14ac:dyDescent="0.3">
      <c r="A726">
        <v>50278</v>
      </c>
      <c r="B726" t="s">
        <v>547</v>
      </c>
      <c r="C726" t="s">
        <v>44</v>
      </c>
      <c r="D726" t="s">
        <v>1077</v>
      </c>
      <c r="E726" s="2">
        <f t="shared" si="11"/>
        <v>20593.63</v>
      </c>
      <c r="F726" s="2">
        <v>13729.09</v>
      </c>
      <c r="G726" s="2">
        <v>6864.54</v>
      </c>
      <c r="H726" s="7">
        <v>6864.54</v>
      </c>
    </row>
    <row r="727" spans="1:8" x14ac:dyDescent="0.3">
      <c r="E727" s="2" t="s">
        <v>589</v>
      </c>
      <c r="H727" s="7"/>
    </row>
    <row r="728" spans="1:8" x14ac:dyDescent="0.3">
      <c r="A728">
        <v>50286</v>
      </c>
      <c r="B728" t="s">
        <v>548</v>
      </c>
      <c r="C728" t="s">
        <v>44</v>
      </c>
      <c r="D728" t="s">
        <v>1078</v>
      </c>
      <c r="E728" s="2">
        <f t="shared" si="11"/>
        <v>14771.869999999999</v>
      </c>
      <c r="F728" s="2">
        <v>9847.91</v>
      </c>
      <c r="G728" s="2">
        <v>4923.96</v>
      </c>
      <c r="H728" s="7">
        <v>4923.96</v>
      </c>
    </row>
    <row r="729" spans="1:8" x14ac:dyDescent="0.3">
      <c r="A729">
        <v>50286</v>
      </c>
      <c r="B729" t="s">
        <v>548</v>
      </c>
      <c r="C729" t="s">
        <v>44</v>
      </c>
      <c r="D729" t="s">
        <v>1079</v>
      </c>
      <c r="E729" s="2">
        <f t="shared" si="11"/>
        <v>12849.75</v>
      </c>
      <c r="F729" s="2">
        <v>8566.5</v>
      </c>
      <c r="G729" s="2">
        <v>4283.25</v>
      </c>
      <c r="H729" s="7">
        <v>4283.25</v>
      </c>
    </row>
    <row r="730" spans="1:8" x14ac:dyDescent="0.3">
      <c r="A730">
        <v>50286</v>
      </c>
      <c r="B730" t="s">
        <v>548</v>
      </c>
      <c r="C730" t="s">
        <v>44</v>
      </c>
      <c r="D730" t="s">
        <v>1080</v>
      </c>
      <c r="E730" s="2">
        <f t="shared" si="11"/>
        <v>15483.77</v>
      </c>
      <c r="F730" s="2">
        <v>10322.51</v>
      </c>
      <c r="G730" s="2">
        <v>5161.26</v>
      </c>
      <c r="H730" s="7">
        <v>5161.26</v>
      </c>
    </row>
    <row r="731" spans="1:8" x14ac:dyDescent="0.3">
      <c r="E731" s="2" t="s">
        <v>589</v>
      </c>
      <c r="H731" s="7"/>
    </row>
    <row r="732" spans="1:8" x14ac:dyDescent="0.3">
      <c r="A732">
        <v>50302</v>
      </c>
      <c r="B732" t="s">
        <v>1081</v>
      </c>
      <c r="C732" t="s">
        <v>44</v>
      </c>
      <c r="D732" t="s">
        <v>1082</v>
      </c>
      <c r="E732" s="2">
        <f t="shared" si="11"/>
        <v>2531.9899999999998</v>
      </c>
      <c r="F732" s="2">
        <v>1687.99</v>
      </c>
      <c r="G732" s="2">
        <v>844</v>
      </c>
      <c r="H732" s="7">
        <v>844</v>
      </c>
    </row>
    <row r="733" spans="1:8" x14ac:dyDescent="0.3">
      <c r="A733">
        <v>50302</v>
      </c>
      <c r="B733" t="s">
        <v>1081</v>
      </c>
      <c r="C733" t="s">
        <v>44</v>
      </c>
      <c r="D733" t="s">
        <v>1083</v>
      </c>
      <c r="E733" s="2">
        <f t="shared" si="11"/>
        <v>5115.66</v>
      </c>
      <c r="F733" s="2">
        <v>3410.44</v>
      </c>
      <c r="G733" s="2">
        <v>1705.22</v>
      </c>
      <c r="H733" s="7">
        <v>1705.22</v>
      </c>
    </row>
    <row r="734" spans="1:8" x14ac:dyDescent="0.3">
      <c r="A734">
        <v>50302</v>
      </c>
      <c r="B734" t="s">
        <v>1081</v>
      </c>
      <c r="C734" t="s">
        <v>44</v>
      </c>
      <c r="D734" t="s">
        <v>1084</v>
      </c>
      <c r="E734" s="2">
        <f t="shared" si="11"/>
        <v>3203.75</v>
      </c>
      <c r="F734" s="2">
        <v>2135.83</v>
      </c>
      <c r="G734" s="2">
        <v>1067.92</v>
      </c>
      <c r="H734" s="7">
        <v>1067.92</v>
      </c>
    </row>
    <row r="735" spans="1:8" x14ac:dyDescent="0.3">
      <c r="E735" s="2" t="s">
        <v>589</v>
      </c>
      <c r="H735" s="7"/>
    </row>
    <row r="736" spans="1:8" x14ac:dyDescent="0.3">
      <c r="A736">
        <v>50328</v>
      </c>
      <c r="B736" t="s">
        <v>1085</v>
      </c>
      <c r="C736" t="s">
        <v>226</v>
      </c>
      <c r="D736" t="s">
        <v>1086</v>
      </c>
      <c r="E736" s="2">
        <f t="shared" si="11"/>
        <v>72620.5</v>
      </c>
      <c r="F736" s="2">
        <v>48413.67</v>
      </c>
      <c r="G736" s="2">
        <v>24206.83</v>
      </c>
      <c r="H736" s="7">
        <v>24206.83</v>
      </c>
    </row>
    <row r="737" spans="1:8" x14ac:dyDescent="0.3">
      <c r="E737" s="2" t="s">
        <v>589</v>
      </c>
      <c r="H737" s="7"/>
    </row>
    <row r="738" spans="1:8" x14ac:dyDescent="0.3">
      <c r="A738">
        <v>50393</v>
      </c>
      <c r="B738" t="s">
        <v>553</v>
      </c>
      <c r="C738" t="s">
        <v>554</v>
      </c>
      <c r="D738" t="s">
        <v>1087</v>
      </c>
      <c r="E738" s="2">
        <f t="shared" si="11"/>
        <v>924.56999999999994</v>
      </c>
      <c r="F738" s="2">
        <v>616.38</v>
      </c>
      <c r="G738" s="2">
        <v>308.19</v>
      </c>
      <c r="H738" s="7">
        <v>308.19</v>
      </c>
    </row>
    <row r="739" spans="1:8" x14ac:dyDescent="0.3">
      <c r="A739">
        <v>50393</v>
      </c>
      <c r="B739" t="s">
        <v>553</v>
      </c>
      <c r="C739" t="s">
        <v>554</v>
      </c>
      <c r="D739" t="s">
        <v>1088</v>
      </c>
      <c r="E739" s="2">
        <f t="shared" si="11"/>
        <v>2074.0300000000002</v>
      </c>
      <c r="F739" s="2">
        <v>1382.69</v>
      </c>
      <c r="G739" s="2">
        <v>691.34</v>
      </c>
      <c r="H739" s="7">
        <v>691.34</v>
      </c>
    </row>
    <row r="740" spans="1:8" x14ac:dyDescent="0.3">
      <c r="E740" s="2" t="s">
        <v>589</v>
      </c>
      <c r="H740" s="7"/>
    </row>
    <row r="741" spans="1:8" x14ac:dyDescent="0.3">
      <c r="A741">
        <v>50435</v>
      </c>
      <c r="B741" t="s">
        <v>556</v>
      </c>
      <c r="C741" t="s">
        <v>68</v>
      </c>
      <c r="D741" t="s">
        <v>1089</v>
      </c>
      <c r="E741" s="2">
        <f t="shared" si="11"/>
        <v>22263.420000000002</v>
      </c>
      <c r="F741" s="2">
        <v>14842.28</v>
      </c>
      <c r="G741" s="2">
        <v>7421.14</v>
      </c>
      <c r="H741" s="7">
        <v>7421.14</v>
      </c>
    </row>
    <row r="742" spans="1:8" x14ac:dyDescent="0.3">
      <c r="A742">
        <v>50435</v>
      </c>
      <c r="B742" t="s">
        <v>556</v>
      </c>
      <c r="C742" t="s">
        <v>68</v>
      </c>
      <c r="D742" t="s">
        <v>1090</v>
      </c>
      <c r="E742" s="2">
        <f t="shared" si="11"/>
        <v>44823.68</v>
      </c>
      <c r="F742" s="2">
        <v>29882.45</v>
      </c>
      <c r="G742" s="2">
        <v>14941.23</v>
      </c>
      <c r="H742" s="7">
        <v>14941.23</v>
      </c>
    </row>
    <row r="743" spans="1:8" x14ac:dyDescent="0.3">
      <c r="A743">
        <v>50435</v>
      </c>
      <c r="B743" t="s">
        <v>556</v>
      </c>
      <c r="C743" t="s">
        <v>68</v>
      </c>
      <c r="D743" t="s">
        <v>915</v>
      </c>
      <c r="E743" s="2">
        <f t="shared" si="11"/>
        <v>5640.07</v>
      </c>
      <c r="F743" s="2">
        <v>3760.05</v>
      </c>
      <c r="G743" s="2">
        <v>1880.02</v>
      </c>
      <c r="H743" s="7">
        <v>1880.02</v>
      </c>
    </row>
    <row r="744" spans="1:8" x14ac:dyDescent="0.3">
      <c r="E744" s="2" t="s">
        <v>589</v>
      </c>
      <c r="H744" s="7"/>
    </row>
    <row r="745" spans="1:8" x14ac:dyDescent="0.3">
      <c r="A745">
        <v>50450</v>
      </c>
      <c r="B745" t="s">
        <v>558</v>
      </c>
      <c r="C745" t="s">
        <v>68</v>
      </c>
      <c r="D745" t="s">
        <v>1091</v>
      </c>
      <c r="E745" s="2">
        <f t="shared" si="11"/>
        <v>80052.27</v>
      </c>
      <c r="F745" s="2">
        <v>53368.18</v>
      </c>
      <c r="G745" s="2">
        <v>26684.09</v>
      </c>
      <c r="H745" s="7">
        <v>26684.09</v>
      </c>
    </row>
    <row r="746" spans="1:8" x14ac:dyDescent="0.3">
      <c r="A746">
        <v>50450</v>
      </c>
      <c r="B746" t="s">
        <v>558</v>
      </c>
      <c r="C746" t="s">
        <v>68</v>
      </c>
      <c r="D746" t="s">
        <v>1092</v>
      </c>
      <c r="E746" s="2">
        <f t="shared" si="11"/>
        <v>94179.14</v>
      </c>
      <c r="F746" s="2">
        <v>62786.09</v>
      </c>
      <c r="G746" s="2">
        <v>31393.05</v>
      </c>
      <c r="H746" s="7">
        <v>31393.05</v>
      </c>
    </row>
    <row r="747" spans="1:8" x14ac:dyDescent="0.3">
      <c r="A747">
        <v>50450</v>
      </c>
      <c r="B747" t="s">
        <v>558</v>
      </c>
      <c r="C747" t="s">
        <v>68</v>
      </c>
      <c r="D747" t="s">
        <v>778</v>
      </c>
      <c r="E747" s="2">
        <f t="shared" si="11"/>
        <v>98888.099999999991</v>
      </c>
      <c r="F747" s="2">
        <v>65925.399999999994</v>
      </c>
      <c r="G747" s="2">
        <v>32962.699999999997</v>
      </c>
      <c r="H747" s="7">
        <v>32962.699999999997</v>
      </c>
    </row>
    <row r="748" spans="1:8" x14ac:dyDescent="0.3">
      <c r="A748">
        <v>50450</v>
      </c>
      <c r="B748" t="s">
        <v>558</v>
      </c>
      <c r="C748" t="s">
        <v>68</v>
      </c>
      <c r="D748" t="s">
        <v>745</v>
      </c>
      <c r="E748" s="2">
        <f t="shared" si="11"/>
        <v>139699.06</v>
      </c>
      <c r="F748" s="2">
        <v>93132.71</v>
      </c>
      <c r="G748" s="2">
        <v>46566.35</v>
      </c>
      <c r="H748" s="7">
        <v>46566.35</v>
      </c>
    </row>
    <row r="749" spans="1:8" x14ac:dyDescent="0.3">
      <c r="A749">
        <v>50450</v>
      </c>
      <c r="B749" t="s">
        <v>558</v>
      </c>
      <c r="C749" t="s">
        <v>68</v>
      </c>
      <c r="D749" t="s">
        <v>1093</v>
      </c>
      <c r="E749" s="2">
        <f t="shared" si="11"/>
        <v>305297.39</v>
      </c>
      <c r="F749" s="2">
        <v>203531.59</v>
      </c>
      <c r="G749" s="2">
        <v>101765.8</v>
      </c>
      <c r="H749" s="7">
        <v>101765.8</v>
      </c>
    </row>
    <row r="750" spans="1:8" x14ac:dyDescent="0.3">
      <c r="E750" s="2" t="s">
        <v>589</v>
      </c>
      <c r="H750" s="7"/>
    </row>
    <row r="751" spans="1:8" x14ac:dyDescent="0.3">
      <c r="A751">
        <v>50500</v>
      </c>
      <c r="B751" t="s">
        <v>1094</v>
      </c>
      <c r="C751" t="s">
        <v>561</v>
      </c>
      <c r="D751" t="s">
        <v>1095</v>
      </c>
      <c r="E751" s="2">
        <f t="shared" si="11"/>
        <v>333429.59000000003</v>
      </c>
      <c r="F751" s="2">
        <v>222286.39</v>
      </c>
      <c r="G751" s="2">
        <v>111143.2</v>
      </c>
      <c r="H751" s="7">
        <v>111143.2</v>
      </c>
    </row>
    <row r="752" spans="1:8" x14ac:dyDescent="0.3">
      <c r="E752" s="2" t="s">
        <v>589</v>
      </c>
      <c r="H752" s="7"/>
    </row>
    <row r="753" spans="1:8" x14ac:dyDescent="0.3">
      <c r="A753">
        <v>50575</v>
      </c>
      <c r="B753" t="s">
        <v>290</v>
      </c>
      <c r="C753" t="s">
        <v>132</v>
      </c>
      <c r="D753" t="s">
        <v>1096</v>
      </c>
      <c r="E753" s="2">
        <f t="shared" si="11"/>
        <v>4035.4700000000003</v>
      </c>
      <c r="F753" s="2">
        <v>2690.31</v>
      </c>
      <c r="G753" s="2">
        <v>1345.16</v>
      </c>
      <c r="H753" s="7">
        <v>1345.16</v>
      </c>
    </row>
    <row r="754" spans="1:8" x14ac:dyDescent="0.3">
      <c r="A754">
        <v>50575</v>
      </c>
      <c r="B754" t="s">
        <v>290</v>
      </c>
      <c r="C754" t="s">
        <v>132</v>
      </c>
      <c r="D754" t="s">
        <v>1097</v>
      </c>
      <c r="E754" s="2">
        <f t="shared" si="11"/>
        <v>7622.5499999999993</v>
      </c>
      <c r="F754" s="2">
        <v>5081.7</v>
      </c>
      <c r="G754" s="2">
        <v>2540.85</v>
      </c>
      <c r="H754" s="7">
        <v>2540.85</v>
      </c>
    </row>
    <row r="755" spans="1:8" x14ac:dyDescent="0.3">
      <c r="A755">
        <v>50575</v>
      </c>
      <c r="B755" t="s">
        <v>290</v>
      </c>
      <c r="C755" t="s">
        <v>132</v>
      </c>
      <c r="D755" t="s">
        <v>1098</v>
      </c>
      <c r="E755" s="2">
        <f t="shared" si="11"/>
        <v>298.92</v>
      </c>
      <c r="F755" s="2">
        <v>199.28</v>
      </c>
      <c r="G755" s="2">
        <v>99.64</v>
      </c>
      <c r="H755" s="7">
        <v>99.64</v>
      </c>
    </row>
    <row r="756" spans="1:8" x14ac:dyDescent="0.3">
      <c r="E756" s="2" t="s">
        <v>589</v>
      </c>
      <c r="H756" s="7"/>
    </row>
    <row r="757" spans="1:8" x14ac:dyDescent="0.3">
      <c r="A757">
        <v>50583</v>
      </c>
      <c r="B757" t="s">
        <v>472</v>
      </c>
      <c r="C757" t="s">
        <v>132</v>
      </c>
      <c r="D757" t="s">
        <v>1099</v>
      </c>
      <c r="E757" s="2">
        <f t="shared" si="11"/>
        <v>11428.58</v>
      </c>
      <c r="F757" s="2">
        <v>7619.05</v>
      </c>
      <c r="G757" s="2">
        <v>3809.53</v>
      </c>
      <c r="H757" s="7">
        <v>3809.53</v>
      </c>
    </row>
    <row r="758" spans="1:8" x14ac:dyDescent="0.3">
      <c r="E758" s="2" t="s">
        <v>589</v>
      </c>
      <c r="H758" s="7"/>
    </row>
    <row r="759" spans="1:8" x14ac:dyDescent="0.3">
      <c r="A759">
        <v>50617</v>
      </c>
      <c r="B759" t="s">
        <v>566</v>
      </c>
      <c r="C759" t="s">
        <v>30</v>
      </c>
      <c r="D759" t="s">
        <v>1100</v>
      </c>
      <c r="E759" s="2">
        <f t="shared" si="11"/>
        <v>72156.459999999992</v>
      </c>
      <c r="F759" s="2">
        <v>48104.31</v>
      </c>
      <c r="G759" s="2">
        <v>24052.15</v>
      </c>
      <c r="H759" s="7">
        <v>24052.15</v>
      </c>
    </row>
    <row r="760" spans="1:8" x14ac:dyDescent="0.3">
      <c r="E760" s="2" t="s">
        <v>589</v>
      </c>
      <c r="H760" s="7"/>
    </row>
    <row r="761" spans="1:8" x14ac:dyDescent="0.3">
      <c r="A761">
        <v>50625</v>
      </c>
      <c r="B761" t="s">
        <v>567</v>
      </c>
      <c r="C761" t="s">
        <v>30</v>
      </c>
      <c r="D761" t="s">
        <v>1101</v>
      </c>
      <c r="E761" s="2">
        <f t="shared" si="11"/>
        <v>25924.940000000002</v>
      </c>
      <c r="F761" s="2">
        <v>17283.29</v>
      </c>
      <c r="G761" s="2">
        <v>8641.65</v>
      </c>
      <c r="H761" s="7">
        <v>8641.65</v>
      </c>
    </row>
    <row r="762" spans="1:8" x14ac:dyDescent="0.3">
      <c r="A762">
        <v>50625</v>
      </c>
      <c r="B762" t="s">
        <v>567</v>
      </c>
      <c r="C762" t="s">
        <v>30</v>
      </c>
      <c r="D762" t="s">
        <v>1102</v>
      </c>
      <c r="E762" s="2">
        <f t="shared" si="11"/>
        <v>7936.2100000000009</v>
      </c>
      <c r="F762" s="2">
        <v>5290.81</v>
      </c>
      <c r="G762" s="2">
        <v>2645.4</v>
      </c>
      <c r="H762" s="7">
        <v>2645.4</v>
      </c>
    </row>
    <row r="763" spans="1:8" x14ac:dyDescent="0.3">
      <c r="E763" s="2" t="s">
        <v>589</v>
      </c>
      <c r="H763" s="7"/>
    </row>
    <row r="764" spans="1:8" x14ac:dyDescent="0.3">
      <c r="A764">
        <v>50633</v>
      </c>
      <c r="B764" t="s">
        <v>1103</v>
      </c>
      <c r="C764" t="s">
        <v>30</v>
      </c>
      <c r="D764" t="s">
        <v>928</v>
      </c>
      <c r="E764" s="2">
        <f t="shared" si="11"/>
        <v>22553.97</v>
      </c>
      <c r="F764" s="2">
        <v>15035.98</v>
      </c>
      <c r="G764" s="2">
        <v>7517.99</v>
      </c>
      <c r="H764" s="7">
        <v>7517.99</v>
      </c>
    </row>
    <row r="765" spans="1:8" x14ac:dyDescent="0.3">
      <c r="E765" s="2" t="s">
        <v>589</v>
      </c>
      <c r="H765" s="7"/>
    </row>
    <row r="766" spans="1:8" x14ac:dyDescent="0.3">
      <c r="A766">
        <v>50641</v>
      </c>
      <c r="B766" t="s">
        <v>564</v>
      </c>
      <c r="C766" t="s">
        <v>30</v>
      </c>
      <c r="D766" t="s">
        <v>1104</v>
      </c>
      <c r="E766" s="2">
        <f t="shared" si="11"/>
        <v>31218.79</v>
      </c>
      <c r="F766" s="2">
        <v>20812.53</v>
      </c>
      <c r="G766" s="2">
        <v>10406.26</v>
      </c>
      <c r="H766" s="7">
        <v>10406.26</v>
      </c>
    </row>
    <row r="767" spans="1:8" x14ac:dyDescent="0.3">
      <c r="A767">
        <v>50641</v>
      </c>
      <c r="B767" t="s">
        <v>564</v>
      </c>
      <c r="C767" t="s">
        <v>30</v>
      </c>
      <c r="D767" t="s">
        <v>1117</v>
      </c>
      <c r="E767" s="2">
        <f t="shared" si="11"/>
        <v>27403.16</v>
      </c>
      <c r="F767" s="2">
        <v>0</v>
      </c>
      <c r="G767" s="2">
        <v>0</v>
      </c>
      <c r="H767" s="7">
        <v>27403.16</v>
      </c>
    </row>
    <row r="768" spans="1:8" x14ac:dyDescent="0.3">
      <c r="E768" s="2" t="s">
        <v>589</v>
      </c>
      <c r="H768" s="7"/>
    </row>
    <row r="769" spans="1:8" x14ac:dyDescent="0.3">
      <c r="A769">
        <v>50674</v>
      </c>
      <c r="B769" t="s">
        <v>569</v>
      </c>
      <c r="C769" t="s">
        <v>24</v>
      </c>
      <c r="D769" t="s">
        <v>1105</v>
      </c>
      <c r="E769" s="2">
        <f t="shared" si="11"/>
        <v>2666.68</v>
      </c>
      <c r="F769" s="2">
        <v>1777.79</v>
      </c>
      <c r="G769" s="2">
        <v>888.89</v>
      </c>
      <c r="H769" s="7">
        <v>888.89</v>
      </c>
    </row>
    <row r="770" spans="1:8" x14ac:dyDescent="0.3">
      <c r="A770">
        <v>50674</v>
      </c>
      <c r="B770" t="s">
        <v>569</v>
      </c>
      <c r="C770" t="s">
        <v>24</v>
      </c>
      <c r="D770" t="s">
        <v>1106</v>
      </c>
      <c r="E770" s="2">
        <f t="shared" si="11"/>
        <v>555.55999999999995</v>
      </c>
      <c r="F770" s="2">
        <v>370.37</v>
      </c>
      <c r="G770" s="2">
        <v>185.19</v>
      </c>
      <c r="H770" s="7">
        <v>185.19</v>
      </c>
    </row>
    <row r="771" spans="1:8" x14ac:dyDescent="0.3">
      <c r="E771" s="2" t="s">
        <v>589</v>
      </c>
      <c r="H771" s="7"/>
    </row>
    <row r="772" spans="1:8" x14ac:dyDescent="0.3">
      <c r="A772">
        <v>50690</v>
      </c>
      <c r="B772" t="s">
        <v>572</v>
      </c>
      <c r="C772" t="s">
        <v>24</v>
      </c>
      <c r="D772" t="s">
        <v>1107</v>
      </c>
      <c r="E772" s="2">
        <f t="shared" si="11"/>
        <v>72618.569999999992</v>
      </c>
      <c r="F772" s="2">
        <v>48412.38</v>
      </c>
      <c r="G772" s="2">
        <v>24206.19</v>
      </c>
      <c r="H772" s="7">
        <v>24206.19</v>
      </c>
    </row>
    <row r="773" spans="1:8" x14ac:dyDescent="0.3">
      <c r="E773" s="2" t="s">
        <v>589</v>
      </c>
      <c r="H773" s="7"/>
    </row>
    <row r="774" spans="1:8" x14ac:dyDescent="0.3">
      <c r="A774">
        <v>50708</v>
      </c>
      <c r="B774" t="s">
        <v>573</v>
      </c>
      <c r="C774" t="s">
        <v>24</v>
      </c>
      <c r="D774" t="s">
        <v>1108</v>
      </c>
      <c r="E774" s="2">
        <f t="shared" si="11"/>
        <v>22623.13</v>
      </c>
      <c r="F774" s="2">
        <v>15082.09</v>
      </c>
      <c r="G774" s="2">
        <v>7541.04</v>
      </c>
      <c r="H774" s="7">
        <v>7541.04</v>
      </c>
    </row>
    <row r="775" spans="1:8" x14ac:dyDescent="0.3">
      <c r="A775">
        <v>50708</v>
      </c>
      <c r="B775" t="s">
        <v>573</v>
      </c>
      <c r="C775" t="s">
        <v>24</v>
      </c>
      <c r="D775" t="s">
        <v>1109</v>
      </c>
      <c r="E775" s="2">
        <f t="shared" si="11"/>
        <v>35991.35</v>
      </c>
      <c r="F775" s="2">
        <v>23994.23</v>
      </c>
      <c r="G775" s="2">
        <v>11997.12</v>
      </c>
      <c r="H775" s="7">
        <v>11997.12</v>
      </c>
    </row>
    <row r="776" spans="1:8" x14ac:dyDescent="0.3">
      <c r="E776" s="2" t="s">
        <v>589</v>
      </c>
      <c r="H776" s="7"/>
    </row>
    <row r="777" spans="1:8" x14ac:dyDescent="0.3">
      <c r="A777">
        <v>61903</v>
      </c>
      <c r="B777" t="s">
        <v>577</v>
      </c>
      <c r="C777" t="s">
        <v>578</v>
      </c>
      <c r="D777" t="s">
        <v>1110</v>
      </c>
      <c r="E777" s="2">
        <f t="shared" si="11"/>
        <v>524.22</v>
      </c>
      <c r="F777" s="2">
        <v>349.48</v>
      </c>
      <c r="G777" s="2">
        <v>174.74</v>
      </c>
      <c r="H777" s="7">
        <v>174.74</v>
      </c>
    </row>
    <row r="778" spans="1:8" x14ac:dyDescent="0.3">
      <c r="E778" s="2" t="s">
        <v>589</v>
      </c>
      <c r="H778" s="7"/>
    </row>
    <row r="779" spans="1:8" x14ac:dyDescent="0.3">
      <c r="A779">
        <v>91397</v>
      </c>
      <c r="B779" t="s">
        <v>584</v>
      </c>
      <c r="C779" t="s">
        <v>475</v>
      </c>
      <c r="D779" t="s">
        <v>1111</v>
      </c>
      <c r="E779" s="2">
        <f t="shared" si="11"/>
        <v>82247.839999999997</v>
      </c>
      <c r="F779" s="2">
        <v>54831.89</v>
      </c>
      <c r="G779" s="2">
        <v>27415.95</v>
      </c>
      <c r="H779" s="7">
        <v>27415.95</v>
      </c>
    </row>
    <row r="780" spans="1:8" x14ac:dyDescent="0.3">
      <c r="A780">
        <v>91397</v>
      </c>
      <c r="B780" t="s">
        <v>584</v>
      </c>
      <c r="C780" t="s">
        <v>475</v>
      </c>
      <c r="D780" t="s">
        <v>1112</v>
      </c>
      <c r="E780" s="2">
        <f t="shared" si="11"/>
        <v>88961.95</v>
      </c>
      <c r="F780" s="2">
        <v>59307.97</v>
      </c>
      <c r="G780" s="2">
        <v>29653.98</v>
      </c>
      <c r="H780" s="7">
        <v>29653.98</v>
      </c>
    </row>
    <row r="781" spans="1:8" x14ac:dyDescent="0.3">
      <c r="E781" s="2" t="s">
        <v>589</v>
      </c>
      <c r="H781" s="7"/>
    </row>
    <row r="782" spans="1:8" x14ac:dyDescent="0.3">
      <c r="A782">
        <v>139303</v>
      </c>
      <c r="B782" t="s">
        <v>1113</v>
      </c>
      <c r="C782" t="s">
        <v>79</v>
      </c>
      <c r="D782" t="s">
        <v>1114</v>
      </c>
      <c r="E782" s="2">
        <f t="shared" si="11"/>
        <v>234977.38</v>
      </c>
      <c r="F782" s="2">
        <v>156651.59</v>
      </c>
      <c r="G782" s="2">
        <v>78325.789999999994</v>
      </c>
      <c r="H782" s="7">
        <v>78325.789999999994</v>
      </c>
    </row>
    <row r="783" spans="1:8" x14ac:dyDescent="0.3">
      <c r="A783">
        <v>139303</v>
      </c>
      <c r="B783" t="s">
        <v>1113</v>
      </c>
      <c r="C783" t="s">
        <v>79</v>
      </c>
      <c r="D783" t="s">
        <v>708</v>
      </c>
      <c r="E783" s="2">
        <f t="shared" si="11"/>
        <v>285732.49</v>
      </c>
      <c r="F783" s="2">
        <v>190488.33</v>
      </c>
      <c r="G783" s="2">
        <v>95244.160000000003</v>
      </c>
      <c r="H783" s="7">
        <v>95244.160000000003</v>
      </c>
    </row>
    <row r="785" spans="2:8" x14ac:dyDescent="0.3">
      <c r="B785" t="s">
        <v>1119</v>
      </c>
      <c r="E785" s="2">
        <f t="shared" ref="E785:F785" si="12">SUM(E18:E783)</f>
        <v>62279525.299999997</v>
      </c>
      <c r="F785" s="2">
        <f t="shared" si="12"/>
        <v>41696920.600000024</v>
      </c>
      <c r="G785" s="2">
        <f>SUM(G18:G783)</f>
        <v>20848460.240000002</v>
      </c>
      <c r="H785" s="2">
        <f>SUM(H18:H783)</f>
        <v>20582604.699999999</v>
      </c>
    </row>
  </sheetData>
  <mergeCells count="6">
    <mergeCell ref="A8:H8"/>
    <mergeCell ref="A1:D1"/>
    <mergeCell ref="A3:G3"/>
    <mergeCell ref="A5:H5"/>
    <mergeCell ref="A6:H6"/>
    <mergeCell ref="A7:H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38" zoomScale="70" zoomScaleNormal="70" workbookViewId="0">
      <selection activeCell="A1338" sqref="A1:XFD1048576"/>
    </sheetView>
  </sheetViews>
  <sheetFormatPr defaultColWidth="9.109375" defaultRowHeight="15.6" x14ac:dyDescent="0.3"/>
  <cols>
    <col min="1" max="16384" width="9.109375" style="19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Fixed Rate Non-Operating Levies</vt:lpstr>
      <vt:lpstr>Fixed Sum Levies</vt:lpstr>
      <vt:lpstr>Sheet1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dcterms:created xsi:type="dcterms:W3CDTF">2011-12-22T14:14:18Z</dcterms:created>
  <dcterms:modified xsi:type="dcterms:W3CDTF">2012-07-06T16:45:34Z</dcterms:modified>
</cp:coreProperties>
</file>