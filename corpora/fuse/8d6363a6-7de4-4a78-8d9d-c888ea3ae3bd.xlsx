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1405"/>
  <workbookPr date1904="1" showInkAnnotation="0" autoCompressPictures="0"/>
  <bookViews>
    <workbookView xWindow="100" yWindow="0" windowWidth="25020" windowHeight="16060" tabRatio="500"/>
  </bookViews>
  <sheets>
    <sheet name="OptimizedEdges" sheetId="1" r:id="rId1"/>
    <sheet name="SummaryEdges" sheetId="3" r:id="rId2"/>
  </sheets>
  <definedNames>
    <definedName name="optimized_edges_matrix" localSheetId="0">OptimizedEdges!$A$3:$G$44</definedName>
    <definedName name="optimized_edges_matrix" localSheetId="1">SummaryEdges!$A$3:$C$44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62" i="1" l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44" i="1"/>
  <c r="I44" i="1"/>
  <c r="J43" i="1"/>
  <c r="I43" i="1"/>
  <c r="J42" i="1"/>
  <c r="I42" i="1"/>
  <c r="J55" i="1"/>
  <c r="I55" i="1"/>
  <c r="J54" i="1"/>
  <c r="I54" i="1"/>
  <c r="J53" i="1"/>
  <c r="I53" i="1"/>
  <c r="J52" i="1"/>
  <c r="I52" i="1"/>
  <c r="J30" i="1"/>
  <c r="I30" i="1"/>
  <c r="J51" i="1"/>
  <c r="I51" i="1"/>
  <c r="J50" i="1"/>
  <c r="I50" i="1"/>
  <c r="J49" i="1"/>
  <c r="I49" i="1"/>
  <c r="J48" i="1"/>
  <c r="I48" i="1"/>
  <c r="J47" i="1"/>
  <c r="I47" i="1"/>
  <c r="J29" i="1"/>
  <c r="I29" i="1"/>
  <c r="J28" i="1"/>
  <c r="I28" i="1"/>
  <c r="J27" i="1"/>
  <c r="I27" i="1"/>
  <c r="J26" i="1"/>
  <c r="I26" i="1"/>
  <c r="J46" i="1"/>
  <c r="I46" i="1"/>
  <c r="J45" i="1"/>
  <c r="I45" i="1"/>
  <c r="J25" i="1"/>
  <c r="I25" i="1"/>
  <c r="J41" i="1"/>
  <c r="I41" i="1"/>
  <c r="J40" i="1"/>
  <c r="I40" i="1"/>
  <c r="J39" i="1"/>
  <c r="I39" i="1"/>
  <c r="J38" i="1"/>
  <c r="I38" i="1"/>
  <c r="J37" i="1"/>
  <c r="I37" i="1"/>
  <c r="J24" i="1"/>
  <c r="I24" i="1"/>
  <c r="J23" i="1"/>
  <c r="I23" i="1"/>
  <c r="J36" i="1"/>
  <c r="I36" i="1"/>
  <c r="J22" i="1"/>
  <c r="I22" i="1"/>
  <c r="J21" i="1"/>
  <c r="I21" i="1"/>
  <c r="J20" i="1"/>
  <c r="I20" i="1"/>
  <c r="J35" i="1"/>
  <c r="I35" i="1"/>
  <c r="J19" i="1"/>
  <c r="I19" i="1"/>
  <c r="J34" i="1"/>
  <c r="I34" i="1"/>
  <c r="J33" i="1"/>
  <c r="I33" i="1"/>
  <c r="J32" i="1"/>
  <c r="I32" i="1"/>
  <c r="J31" i="1"/>
  <c r="I31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H33" i="1"/>
  <c r="H12" i="1"/>
  <c r="H60" i="1"/>
  <c r="H14" i="1"/>
  <c r="H30" i="1"/>
  <c r="H54" i="1"/>
  <c r="H47" i="1"/>
  <c r="H55" i="1"/>
  <c r="H18" i="1"/>
  <c r="H25" i="1"/>
  <c r="H17" i="1"/>
  <c r="H26" i="1"/>
  <c r="H37" i="1"/>
  <c r="H5" i="1"/>
  <c r="H22" i="1"/>
  <c r="H49" i="1"/>
  <c r="H15" i="1"/>
  <c r="H35" i="1"/>
  <c r="H44" i="1"/>
  <c r="H41" i="1"/>
  <c r="H21" i="1"/>
  <c r="H16" i="1"/>
  <c r="H46" i="1"/>
  <c r="H11" i="1"/>
  <c r="H31" i="1"/>
  <c r="H32" i="1"/>
  <c r="H23" i="1"/>
  <c r="H62" i="1"/>
  <c r="H58" i="1"/>
  <c r="H50" i="1"/>
  <c r="H6" i="1"/>
  <c r="H53" i="1"/>
  <c r="H42" i="1"/>
  <c r="H57" i="1"/>
  <c r="H24" i="1"/>
  <c r="H27" i="1"/>
  <c r="H45" i="1"/>
  <c r="H52" i="1"/>
  <c r="H29" i="1"/>
  <c r="H39" i="1"/>
  <c r="H61" i="1"/>
  <c r="H8" i="1"/>
  <c r="H43" i="1"/>
  <c r="H9" i="1"/>
  <c r="H4" i="1"/>
  <c r="H48" i="1"/>
  <c r="H19" i="1"/>
  <c r="H51" i="1"/>
  <c r="H7" i="1"/>
  <c r="H20" i="1"/>
  <c r="H36" i="1"/>
  <c r="H34" i="1"/>
  <c r="H3" i="1"/>
  <c r="H13" i="1"/>
  <c r="H40" i="1"/>
  <c r="H59" i="1"/>
  <c r="H10" i="1"/>
  <c r="H28" i="1"/>
  <c r="H38" i="1"/>
  <c r="H56" i="1"/>
</calcChain>
</file>

<file path=xl/connections.xml><?xml version="1.0" encoding="utf-8"?>
<connections xmlns="http://schemas.openxmlformats.org/spreadsheetml/2006/main">
  <connection id="1" name="Connection1" type="6" refreshedVersion="0" background="1" saveData="1">
    <textPr fileType="mac" sourceFile="d3p620:man_PendingReview:manRECOMB_SDModel:revision:optimized_edges_matrix.out">
      <textFields>
        <textField/>
      </textFields>
    </textPr>
  </connection>
  <connection id="2" name="Connection2" type="6" refreshedVersion="0" background="1" saveData="1">
    <textPr fileType="mac" sourceFile="d3p620:man_PendingReview:manRECOMB_SDModel:revision:optimized_edges_matrix_cmp.out">
      <textFields>
        <textField/>
      </textFields>
    </textPr>
  </connection>
</connections>
</file>

<file path=xl/sharedStrings.xml><?xml version="1.0" encoding="utf-8"?>
<sst xmlns="http://schemas.openxmlformats.org/spreadsheetml/2006/main" count="222" uniqueCount="41">
  <si>
    <t>cluster_20</t>
  </si>
  <si>
    <t>cluster_22</t>
  </si>
  <si>
    <t>cluster_17</t>
  </si>
  <si>
    <t>cluster_16</t>
  </si>
  <si>
    <t>cluster_11</t>
  </si>
  <si>
    <t>cluster_6</t>
  </si>
  <si>
    <t>cluster_5</t>
  </si>
  <si>
    <t>cluster_15</t>
  </si>
  <si>
    <t>cluster_7</t>
  </si>
  <si>
    <t>cluster_13</t>
  </si>
  <si>
    <t>cluster_1</t>
  </si>
  <si>
    <t>cluster_18</t>
  </si>
  <si>
    <t>cluster_9</t>
  </si>
  <si>
    <t>cluster_2</t>
  </si>
  <si>
    <t>cluster_14</t>
  </si>
  <si>
    <t>cluster_23</t>
  </si>
  <si>
    <t>cluster_24</t>
  </si>
  <si>
    <t>cluster_25</t>
  </si>
  <si>
    <t>cluster_21</t>
  </si>
  <si>
    <t>cluster_3</t>
  </si>
  <si>
    <t>cluster_10</t>
  </si>
  <si>
    <t>cluster_8</t>
  </si>
  <si>
    <t>cluster_12</t>
  </si>
  <si>
    <t>cluster_4</t>
  </si>
  <si>
    <t>cluster_19</t>
  </si>
  <si>
    <t>From_cluster</t>
    <phoneticPr fontId="2" type="noConversion"/>
  </si>
  <si>
    <t>To_cluster</t>
    <phoneticPr fontId="2" type="noConversion"/>
  </si>
  <si>
    <t>LPS</t>
    <phoneticPr fontId="2" type="noConversion"/>
  </si>
  <si>
    <t>CpG</t>
    <phoneticPr fontId="2" type="noConversion"/>
  </si>
  <si>
    <t>Pre</t>
    <phoneticPr fontId="2" type="noConversion"/>
  </si>
  <si>
    <t>Sal</t>
    <phoneticPr fontId="2" type="noConversion"/>
  </si>
  <si>
    <t>Sham</t>
    <phoneticPr fontId="2" type="noConversion"/>
  </si>
  <si>
    <t>Concordance</t>
    <phoneticPr fontId="2" type="noConversion"/>
  </si>
  <si>
    <t>SignDelta</t>
    <phoneticPr fontId="2" type="noConversion"/>
  </si>
  <si>
    <t>ProtectiveCon</t>
    <phoneticPr fontId="2" type="noConversion"/>
  </si>
  <si>
    <t>InjuryCon</t>
    <phoneticPr fontId="2" type="noConversion"/>
  </si>
  <si>
    <t>Protective</t>
    <phoneticPr fontId="2" type="noConversion"/>
  </si>
  <si>
    <t>Injurious</t>
    <phoneticPr fontId="2" type="noConversion"/>
  </si>
  <si>
    <t>Treatment Time Course Used for Optimization</t>
  </si>
  <si>
    <t>Model</t>
  </si>
  <si>
    <t>Concordance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</si>
</sst>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0"/>
      <name val="Verdana"/>
    </font>
    <font>
      <sz val="12"/>
      <color theme="1"/>
      <name val="Calibri"/>
      <family val="2"/>
      <scheme val="minor"/>
    </font>
    <font>
      <sz val="8"/>
      <name val="Verdana"/>
    </font>
    <font>
      <b/>
      <sz val="10"/>
      <name val="Verdana"/>
    </font>
    <font>
      <u/>
      <sz val="10"/>
      <color theme="10"/>
      <name val="Verdana"/>
    </font>
    <font>
      <u/>
      <sz val="10"/>
      <color theme="11"/>
      <name val="Verdana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0" fontId="3" fillId="0" borderId="0" xfId="0" applyFont="1"/>
    <xf numFmtId="0" fontId="1" fillId="2" borderId="0" xfId="1"/>
    <xf numFmtId="164" fontId="1" fillId="2" borderId="0" xfId="1" applyNumberFormat="1"/>
    <xf numFmtId="0" fontId="3" fillId="0" borderId="0" xfId="0" applyFont="1" applyAlignment="1">
      <alignment horizontal="center"/>
    </xf>
  </cellXfs>
  <cellStyles count="4">
    <cellStyle name="20% - Accent1" xfId="1" builtinId="30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connections" Target="connections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queryTables/queryTable1.xml><?xml version="1.0" encoding="utf-8"?>
<queryTable xmlns="http://schemas.openxmlformats.org/spreadsheetml/2006/main" name="optimized_edges_matrix" connectionId="1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optimized_edges_matrix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workbookViewId="0">
      <selection activeCell="H1" sqref="H1:J1"/>
    </sheetView>
  </sheetViews>
  <sheetFormatPr baseColWidth="10" defaultRowHeight="13" x14ac:dyDescent="0"/>
  <cols>
    <col min="1" max="2" width="8.7109375" bestFit="1" customWidth="1"/>
    <col min="3" max="6" width="12.7109375" bestFit="1" customWidth="1"/>
    <col min="7" max="7" width="12" customWidth="1"/>
  </cols>
  <sheetData>
    <row r="1" spans="1:10">
      <c r="C1" s="6" t="s">
        <v>38</v>
      </c>
      <c r="D1" s="6"/>
      <c r="E1" s="6"/>
      <c r="F1" s="6"/>
      <c r="G1" s="6"/>
      <c r="H1" s="6" t="s">
        <v>40</v>
      </c>
      <c r="I1" s="6"/>
      <c r="J1" s="6"/>
    </row>
    <row r="2" spans="1:10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34</v>
      </c>
      <c r="J2" s="3" t="s">
        <v>35</v>
      </c>
    </row>
    <row r="3" spans="1:10">
      <c r="A3" t="s">
        <v>6</v>
      </c>
      <c r="B3" t="s">
        <v>5</v>
      </c>
      <c r="C3" s="1">
        <v>-3.6256200000000002E-2</v>
      </c>
      <c r="D3" s="1">
        <v>1.08145</v>
      </c>
      <c r="E3" s="1">
        <v>2.592727</v>
      </c>
      <c r="F3" s="1">
        <v>-52.787059999999997</v>
      </c>
      <c r="G3" s="1">
        <v>-1.2738400000000001</v>
      </c>
      <c r="H3">
        <f t="shared" ref="H3:H34" si="0">COUNT(C3:G3)</f>
        <v>5</v>
      </c>
      <c r="I3">
        <f t="shared" ref="I3:I34" si="1">COUNT(C3:E3)</f>
        <v>3</v>
      </c>
      <c r="J3">
        <f t="shared" ref="J3:J34" si="2">COUNT(F3:G3)</f>
        <v>2</v>
      </c>
    </row>
    <row r="4" spans="1:10">
      <c r="A4" t="s">
        <v>10</v>
      </c>
      <c r="B4" t="s">
        <v>8</v>
      </c>
      <c r="C4" s="1">
        <v>-1.397869E-2</v>
      </c>
      <c r="D4" s="1">
        <v>-0.57768770000000003</v>
      </c>
      <c r="E4" s="1">
        <v>1.3285020000000001E-18</v>
      </c>
      <c r="F4" s="1">
        <v>-2.4853850000000001E-3</v>
      </c>
      <c r="G4" s="1">
        <v>-1.2281869999999999</v>
      </c>
      <c r="H4">
        <f t="shared" si="0"/>
        <v>5</v>
      </c>
      <c r="I4">
        <f t="shared" si="1"/>
        <v>3</v>
      </c>
      <c r="J4">
        <f t="shared" si="2"/>
        <v>2</v>
      </c>
    </row>
    <row r="5" spans="1:10">
      <c r="A5" t="s">
        <v>8</v>
      </c>
      <c r="B5" t="s">
        <v>7</v>
      </c>
      <c r="C5" s="1">
        <v>-6.08999E-3</v>
      </c>
      <c r="D5" s="1">
        <v>-1.552875E-4</v>
      </c>
      <c r="E5" s="1">
        <v>-6.6011089999999997E-18</v>
      </c>
      <c r="F5" s="1">
        <v>7.8224580000000002E-2</v>
      </c>
      <c r="G5" s="1">
        <v>-7.7001509999999995E-2</v>
      </c>
      <c r="H5">
        <f t="shared" si="0"/>
        <v>5</v>
      </c>
      <c r="I5">
        <f t="shared" si="1"/>
        <v>3</v>
      </c>
      <c r="J5">
        <f t="shared" si="2"/>
        <v>2</v>
      </c>
    </row>
    <row r="6" spans="1:10">
      <c r="A6" t="s">
        <v>20</v>
      </c>
      <c r="B6" t="s">
        <v>19</v>
      </c>
      <c r="C6" s="1">
        <v>-0.101405</v>
      </c>
      <c r="D6" s="1">
        <v>3.790442E-4</v>
      </c>
      <c r="E6" s="1">
        <v>7.8359270000000007E-18</v>
      </c>
      <c r="F6" s="1">
        <v>8.7639589999999996E-4</v>
      </c>
      <c r="G6" s="1">
        <v>2.6872420000000001E-18</v>
      </c>
      <c r="H6">
        <f t="shared" si="0"/>
        <v>5</v>
      </c>
      <c r="I6">
        <f t="shared" si="1"/>
        <v>3</v>
      </c>
      <c r="J6">
        <f t="shared" si="2"/>
        <v>2</v>
      </c>
    </row>
    <row r="7" spans="1:10">
      <c r="A7" t="s">
        <v>6</v>
      </c>
      <c r="B7" t="s">
        <v>14</v>
      </c>
      <c r="C7" s="1">
        <v>-8.4112930000000003E-17</v>
      </c>
      <c r="D7" s="1">
        <v>-1.7757080000000001E-18</v>
      </c>
      <c r="E7" s="1">
        <v>5.6424259999999997E-18</v>
      </c>
      <c r="F7" s="1">
        <v>-4.0896269999999998E-2</v>
      </c>
      <c r="G7" s="1">
        <v>2.7846929999999999E-18</v>
      </c>
      <c r="H7">
        <f t="shared" si="0"/>
        <v>5</v>
      </c>
      <c r="I7">
        <f t="shared" si="1"/>
        <v>3</v>
      </c>
      <c r="J7">
        <f t="shared" si="2"/>
        <v>2</v>
      </c>
    </row>
    <row r="8" spans="1:10">
      <c r="A8" t="s">
        <v>0</v>
      </c>
      <c r="B8" t="s">
        <v>16</v>
      </c>
      <c r="C8" s="1">
        <v>5.738674E-3</v>
      </c>
      <c r="D8" s="1">
        <v>-3.1707980000000001E-6</v>
      </c>
      <c r="E8" s="1">
        <v>7.8568269999999996E-2</v>
      </c>
      <c r="F8" s="1">
        <v>5.1911280000000001E-4</v>
      </c>
      <c r="G8" s="1">
        <v>3.7776239999999999E-7</v>
      </c>
      <c r="H8">
        <f t="shared" si="0"/>
        <v>5</v>
      </c>
      <c r="I8">
        <f t="shared" si="1"/>
        <v>3</v>
      </c>
      <c r="J8">
        <f t="shared" si="2"/>
        <v>2</v>
      </c>
    </row>
    <row r="9" spans="1:10">
      <c r="A9" t="s">
        <v>4</v>
      </c>
      <c r="B9" t="s">
        <v>13</v>
      </c>
      <c r="C9" s="1">
        <v>8.9838740000000008E-18</v>
      </c>
      <c r="D9" s="1">
        <v>9.7629119999999991E-10</v>
      </c>
      <c r="E9" s="1">
        <v>5.9792899999999997E-18</v>
      </c>
      <c r="F9" s="1">
        <v>-4.1128310000000001E-2</v>
      </c>
      <c r="G9" s="1">
        <v>1.409521E-3</v>
      </c>
      <c r="H9">
        <f t="shared" si="0"/>
        <v>5</v>
      </c>
      <c r="I9">
        <f t="shared" si="1"/>
        <v>3</v>
      </c>
      <c r="J9">
        <f t="shared" si="2"/>
        <v>2</v>
      </c>
    </row>
    <row r="10" spans="1:10">
      <c r="A10" t="s">
        <v>5</v>
      </c>
      <c r="B10" t="s">
        <v>6</v>
      </c>
      <c r="C10" s="1">
        <v>-5.8475270000000003E-2</v>
      </c>
      <c r="D10" s="1">
        <v>0.27927659999999999</v>
      </c>
      <c r="E10" s="1">
        <v>9.4276010000000007E-3</v>
      </c>
      <c r="F10" s="1">
        <v>0.1177255</v>
      </c>
      <c r="G10" s="1">
        <v>6.8756090000000004E-3</v>
      </c>
      <c r="H10">
        <f t="shared" si="0"/>
        <v>5</v>
      </c>
      <c r="I10">
        <f t="shared" si="1"/>
        <v>3</v>
      </c>
      <c r="J10">
        <f t="shared" si="2"/>
        <v>2</v>
      </c>
    </row>
    <row r="11" spans="1:10">
      <c r="A11" t="s">
        <v>19</v>
      </c>
      <c r="B11" t="s">
        <v>22</v>
      </c>
      <c r="C11" s="1">
        <v>0.16808509999999999</v>
      </c>
      <c r="D11" s="1">
        <v>4.9862409999999995E-19</v>
      </c>
      <c r="E11" s="1">
        <v>1.1476990000000001E-3</v>
      </c>
      <c r="F11" s="1">
        <v>905.49570000000006</v>
      </c>
      <c r="G11" s="1">
        <v>1.1456060000000001E-2</v>
      </c>
      <c r="H11">
        <f t="shared" si="0"/>
        <v>5</v>
      </c>
      <c r="I11">
        <f t="shared" si="1"/>
        <v>3</v>
      </c>
      <c r="J11">
        <f t="shared" si="2"/>
        <v>2</v>
      </c>
    </row>
    <row r="12" spans="1:10">
      <c r="A12" t="s">
        <v>2</v>
      </c>
      <c r="B12" t="s">
        <v>24</v>
      </c>
      <c r="C12" s="1">
        <v>-5.0904160000000004E-3</v>
      </c>
      <c r="D12" s="1">
        <v>-1.6595509999999999E-15</v>
      </c>
      <c r="E12" s="1">
        <v>1.418793E-4</v>
      </c>
      <c r="F12" s="1">
        <v>7.0111929999999999E-6</v>
      </c>
      <c r="G12" s="1">
        <v>5.7984500000000001E-2</v>
      </c>
      <c r="H12">
        <f t="shared" si="0"/>
        <v>5</v>
      </c>
      <c r="I12">
        <f t="shared" si="1"/>
        <v>3</v>
      </c>
      <c r="J12">
        <f t="shared" si="2"/>
        <v>2</v>
      </c>
    </row>
    <row r="13" spans="1:10">
      <c r="A13" t="s">
        <v>9</v>
      </c>
      <c r="B13" t="s">
        <v>10</v>
      </c>
      <c r="C13" s="1">
        <v>-8.0892169999999992E-3</v>
      </c>
      <c r="D13" s="1">
        <v>-0.16691829999999999</v>
      </c>
      <c r="E13" s="1">
        <v>0.3562495</v>
      </c>
      <c r="F13" s="1">
        <v>0.2606098</v>
      </c>
      <c r="G13" s="1">
        <v>6.5197900000000003E-2</v>
      </c>
      <c r="H13">
        <f t="shared" si="0"/>
        <v>5</v>
      </c>
      <c r="I13">
        <f t="shared" si="1"/>
        <v>3</v>
      </c>
      <c r="J13">
        <f t="shared" si="2"/>
        <v>2</v>
      </c>
    </row>
    <row r="14" spans="1:10">
      <c r="A14" t="s">
        <v>2</v>
      </c>
      <c r="B14" t="s">
        <v>23</v>
      </c>
      <c r="C14" s="1">
        <v>-4.5650509999999999E-4</v>
      </c>
      <c r="D14" s="1">
        <v>3.452049E-3</v>
      </c>
      <c r="E14" s="1">
        <v>1.0182679999999999E-17</v>
      </c>
      <c r="F14" s="1">
        <v>-8.725289E-2</v>
      </c>
      <c r="G14" s="1">
        <v>0.44038660000000002</v>
      </c>
      <c r="H14">
        <f t="shared" si="0"/>
        <v>5</v>
      </c>
      <c r="I14">
        <f t="shared" si="1"/>
        <v>3</v>
      </c>
      <c r="J14">
        <f t="shared" si="2"/>
        <v>2</v>
      </c>
    </row>
    <row r="15" spans="1:10">
      <c r="A15" t="s">
        <v>21</v>
      </c>
      <c r="B15" t="s">
        <v>12</v>
      </c>
      <c r="C15" s="1">
        <v>7.4550309999999995E-2</v>
      </c>
      <c r="D15" s="1">
        <v>-7.6367070000000004E-3</v>
      </c>
      <c r="E15" s="1"/>
      <c r="F15" s="1">
        <v>-14.286630000000001</v>
      </c>
      <c r="G15" s="1">
        <v>-0.47391820000000001</v>
      </c>
      <c r="H15">
        <f t="shared" si="0"/>
        <v>4</v>
      </c>
      <c r="I15">
        <f t="shared" si="1"/>
        <v>2</v>
      </c>
      <c r="J15">
        <f t="shared" si="2"/>
        <v>2</v>
      </c>
    </row>
    <row r="16" spans="1:10">
      <c r="A16" t="s">
        <v>10</v>
      </c>
      <c r="B16" t="s">
        <v>9</v>
      </c>
      <c r="C16" s="1">
        <v>0.82457610000000003</v>
      </c>
      <c r="D16" s="1"/>
      <c r="E16" s="1">
        <v>1.1807530000000001E-3</v>
      </c>
      <c r="F16" s="1">
        <v>0.24043220000000001</v>
      </c>
      <c r="G16" s="1">
        <v>-0.37930330000000001</v>
      </c>
      <c r="H16">
        <f t="shared" si="0"/>
        <v>4</v>
      </c>
      <c r="I16">
        <f t="shared" si="1"/>
        <v>2</v>
      </c>
      <c r="J16">
        <f t="shared" si="2"/>
        <v>2</v>
      </c>
    </row>
    <row r="17" spans="1:10">
      <c r="A17" t="s">
        <v>6</v>
      </c>
      <c r="B17" t="s">
        <v>24</v>
      </c>
      <c r="C17" s="1"/>
      <c r="D17" s="1">
        <v>5.4376410000000002</v>
      </c>
      <c r="E17" s="1">
        <v>1.917582E-4</v>
      </c>
      <c r="F17" s="1">
        <v>-4.3510860000000001E-4</v>
      </c>
      <c r="G17" s="1">
        <v>-0.30660569999999998</v>
      </c>
      <c r="H17">
        <f t="shared" si="0"/>
        <v>4</v>
      </c>
      <c r="I17">
        <f t="shared" si="1"/>
        <v>2</v>
      </c>
      <c r="J17">
        <f t="shared" si="2"/>
        <v>2</v>
      </c>
    </row>
    <row r="18" spans="1:10">
      <c r="A18" t="s">
        <v>23</v>
      </c>
      <c r="B18" t="s">
        <v>9</v>
      </c>
      <c r="C18" s="1"/>
      <c r="D18" s="1">
        <v>-0.22092059999999999</v>
      </c>
      <c r="E18" s="1">
        <v>-1.9812699999999999E-2</v>
      </c>
      <c r="F18" s="1">
        <v>-1.3001250000000001E-2</v>
      </c>
      <c r="G18" s="1">
        <v>-0.1126171</v>
      </c>
      <c r="H18">
        <f t="shared" si="0"/>
        <v>4</v>
      </c>
      <c r="I18">
        <f t="shared" si="1"/>
        <v>2</v>
      </c>
      <c r="J18">
        <f t="shared" si="2"/>
        <v>2</v>
      </c>
    </row>
    <row r="19" spans="1:10">
      <c r="A19" t="s">
        <v>6</v>
      </c>
      <c r="B19" t="s">
        <v>15</v>
      </c>
      <c r="C19" s="1">
        <v>-0.59021520000000005</v>
      </c>
      <c r="D19" s="1"/>
      <c r="E19" s="1">
        <v>-1.222315E-4</v>
      </c>
      <c r="F19" s="1">
        <v>-1.6990289999999999</v>
      </c>
      <c r="G19" s="1">
        <v>-1.508518E-7</v>
      </c>
      <c r="H19">
        <f t="shared" si="0"/>
        <v>4</v>
      </c>
      <c r="I19">
        <f t="shared" si="1"/>
        <v>2</v>
      </c>
      <c r="J19">
        <f t="shared" si="2"/>
        <v>2</v>
      </c>
    </row>
    <row r="20" spans="1:10">
      <c r="A20" t="s">
        <v>12</v>
      </c>
      <c r="B20" t="s">
        <v>13</v>
      </c>
      <c r="C20" s="1">
        <v>-2.5438859999999999E-17</v>
      </c>
      <c r="D20" s="1">
        <v>-2.4519919999999999E-11</v>
      </c>
      <c r="E20" s="1"/>
      <c r="F20" s="1">
        <v>-0.52233629999999998</v>
      </c>
      <c r="G20" s="1">
        <v>0.14099970000000001</v>
      </c>
      <c r="H20">
        <f t="shared" si="0"/>
        <v>4</v>
      </c>
      <c r="I20">
        <f t="shared" si="1"/>
        <v>2</v>
      </c>
      <c r="J20">
        <f t="shared" si="2"/>
        <v>2</v>
      </c>
    </row>
    <row r="21" spans="1:10">
      <c r="A21" t="s">
        <v>10</v>
      </c>
      <c r="B21" t="s">
        <v>7</v>
      </c>
      <c r="C21" s="1">
        <v>2.214574E-3</v>
      </c>
      <c r="D21" s="1">
        <v>-4.6007470000000001E-4</v>
      </c>
      <c r="E21" s="1"/>
      <c r="F21" s="1">
        <v>-2.3063750000000001E-2</v>
      </c>
      <c r="G21" s="1">
        <v>0.20799490000000001</v>
      </c>
      <c r="H21">
        <f t="shared" si="0"/>
        <v>4</v>
      </c>
      <c r="I21">
        <f t="shared" si="1"/>
        <v>2</v>
      </c>
      <c r="J21">
        <f t="shared" si="2"/>
        <v>2</v>
      </c>
    </row>
    <row r="22" spans="1:10">
      <c r="A22" t="s">
        <v>22</v>
      </c>
      <c r="B22" t="s">
        <v>20</v>
      </c>
      <c r="C22" s="1">
        <v>-0.2490087</v>
      </c>
      <c r="D22" s="1"/>
      <c r="E22" s="1">
        <v>1.5814970000000001E-2</v>
      </c>
      <c r="F22" s="1">
        <v>44.882339999999999</v>
      </c>
      <c r="G22" s="1">
        <v>0.34237299999999998</v>
      </c>
      <c r="H22">
        <f t="shared" si="0"/>
        <v>4</v>
      </c>
      <c r="I22">
        <f t="shared" si="1"/>
        <v>2</v>
      </c>
      <c r="J22">
        <f t="shared" si="2"/>
        <v>2</v>
      </c>
    </row>
    <row r="23" spans="1:10">
      <c r="A23" t="s">
        <v>19</v>
      </c>
      <c r="B23" t="s">
        <v>23</v>
      </c>
      <c r="C23" s="1">
        <v>-4.1294879999999999E-2</v>
      </c>
      <c r="D23" s="1">
        <v>2.853224E-2</v>
      </c>
      <c r="E23" s="1"/>
      <c r="F23" s="1">
        <v>-2.8329060000000001E-3</v>
      </c>
      <c r="G23" s="1">
        <v>0.88023229999999997</v>
      </c>
      <c r="H23">
        <f t="shared" si="0"/>
        <v>4</v>
      </c>
      <c r="I23">
        <f t="shared" si="1"/>
        <v>2</v>
      </c>
      <c r="J23">
        <f t="shared" si="2"/>
        <v>2</v>
      </c>
    </row>
    <row r="24" spans="1:10">
      <c r="A24" t="s">
        <v>4</v>
      </c>
      <c r="B24" t="s">
        <v>3</v>
      </c>
      <c r="C24" s="1">
        <v>0.12711220000000001</v>
      </c>
      <c r="D24" s="1">
        <v>-2.9073160000000001E-2</v>
      </c>
      <c r="E24" s="1"/>
      <c r="F24" s="1">
        <v>-0.31709660000000001</v>
      </c>
      <c r="G24" s="1">
        <v>1.1943839999999999</v>
      </c>
      <c r="H24">
        <f t="shared" si="0"/>
        <v>4</v>
      </c>
      <c r="I24">
        <f t="shared" si="1"/>
        <v>2</v>
      </c>
      <c r="J24">
        <f t="shared" si="2"/>
        <v>2</v>
      </c>
    </row>
    <row r="25" spans="1:10">
      <c r="A25" t="s">
        <v>10</v>
      </c>
      <c r="B25" t="s">
        <v>18</v>
      </c>
      <c r="C25" s="1"/>
      <c r="D25" s="1">
        <v>2.008221E-6</v>
      </c>
      <c r="E25" s="1"/>
      <c r="F25" s="1">
        <v>-2.0135930000000002</v>
      </c>
      <c r="G25" s="1">
        <v>-1.227069</v>
      </c>
      <c r="H25">
        <f t="shared" si="0"/>
        <v>3</v>
      </c>
      <c r="I25">
        <f t="shared" si="1"/>
        <v>1</v>
      </c>
      <c r="J25">
        <f t="shared" si="2"/>
        <v>2</v>
      </c>
    </row>
    <row r="26" spans="1:10">
      <c r="A26" t="s">
        <v>6</v>
      </c>
      <c r="B26" t="s">
        <v>9</v>
      </c>
      <c r="C26" s="1"/>
      <c r="D26" s="1">
        <v>7.9393740000000004E-2</v>
      </c>
      <c r="E26" s="1"/>
      <c r="F26" s="1">
        <v>-1.1623790000000001</v>
      </c>
      <c r="G26" s="1">
        <v>-1.0560430000000001</v>
      </c>
      <c r="H26">
        <f t="shared" si="0"/>
        <v>3</v>
      </c>
      <c r="I26">
        <f t="shared" si="1"/>
        <v>1</v>
      </c>
      <c r="J26">
        <f t="shared" si="2"/>
        <v>2</v>
      </c>
    </row>
    <row r="27" spans="1:10">
      <c r="A27" t="s">
        <v>19</v>
      </c>
      <c r="B27" t="s">
        <v>20</v>
      </c>
      <c r="C27" s="1"/>
      <c r="D27" s="1">
        <v>8.2890720000000009</v>
      </c>
      <c r="E27" s="1"/>
      <c r="F27" s="1">
        <v>350.75209999999998</v>
      </c>
      <c r="G27" s="1">
        <v>-0.2211101</v>
      </c>
      <c r="H27">
        <f t="shared" si="0"/>
        <v>3</v>
      </c>
      <c r="I27">
        <f t="shared" si="1"/>
        <v>1</v>
      </c>
      <c r="J27">
        <f t="shared" si="2"/>
        <v>2</v>
      </c>
    </row>
    <row r="28" spans="1:10">
      <c r="A28" t="s">
        <v>3</v>
      </c>
      <c r="B28" t="s">
        <v>4</v>
      </c>
      <c r="C28" s="1">
        <v>2.9710859999999998E-18</v>
      </c>
      <c r="D28" s="1"/>
      <c r="E28" s="1"/>
      <c r="F28" s="1">
        <v>0.63263230000000004</v>
      </c>
      <c r="G28" s="1">
        <v>-2.4364589999999998E-2</v>
      </c>
      <c r="H28">
        <f t="shared" si="0"/>
        <v>3</v>
      </c>
      <c r="I28">
        <f t="shared" si="1"/>
        <v>1</v>
      </c>
      <c r="J28">
        <f t="shared" si="2"/>
        <v>2</v>
      </c>
    </row>
    <row r="29" spans="1:10">
      <c r="A29" t="s">
        <v>7</v>
      </c>
      <c r="B29" t="s">
        <v>10</v>
      </c>
      <c r="C29" s="1"/>
      <c r="D29" s="1">
        <v>0.3353082</v>
      </c>
      <c r="E29" s="1"/>
      <c r="F29" s="1">
        <v>-9.9494299999999994E-2</v>
      </c>
      <c r="G29" s="1">
        <v>-3.1706499999999999E-7</v>
      </c>
      <c r="H29">
        <f t="shared" si="0"/>
        <v>3</v>
      </c>
      <c r="I29">
        <f t="shared" si="1"/>
        <v>1</v>
      </c>
      <c r="J29">
        <f t="shared" si="2"/>
        <v>2</v>
      </c>
    </row>
    <row r="30" spans="1:10">
      <c r="A30" t="s">
        <v>12</v>
      </c>
      <c r="B30" t="s">
        <v>1</v>
      </c>
      <c r="C30" s="1"/>
      <c r="D30" s="1"/>
      <c r="E30" s="1">
        <v>0.1088889</v>
      </c>
      <c r="F30" s="1">
        <v>-0.72452030000000001</v>
      </c>
      <c r="G30" s="1">
        <v>2486.4450000000002</v>
      </c>
      <c r="H30">
        <f t="shared" si="0"/>
        <v>3</v>
      </c>
      <c r="I30">
        <f t="shared" si="1"/>
        <v>1</v>
      </c>
      <c r="J30">
        <f t="shared" si="2"/>
        <v>2</v>
      </c>
    </row>
    <row r="31" spans="1:10">
      <c r="A31" t="s">
        <v>19</v>
      </c>
      <c r="B31" t="s">
        <v>12</v>
      </c>
      <c r="C31" s="1">
        <v>-0.1090206</v>
      </c>
      <c r="D31" s="1">
        <v>8.1500600000000006E-2</v>
      </c>
      <c r="E31" s="1">
        <v>-3.0692940000000002</v>
      </c>
      <c r="F31" s="1"/>
      <c r="G31" s="1">
        <v>-8.1316139999999995E-2</v>
      </c>
      <c r="H31">
        <f t="shared" si="0"/>
        <v>4</v>
      </c>
      <c r="I31">
        <f t="shared" si="1"/>
        <v>3</v>
      </c>
      <c r="J31">
        <f t="shared" si="2"/>
        <v>1</v>
      </c>
    </row>
    <row r="32" spans="1:10">
      <c r="A32" t="s">
        <v>19</v>
      </c>
      <c r="B32" t="s">
        <v>6</v>
      </c>
      <c r="C32" s="1">
        <v>2.6306419999999999E-3</v>
      </c>
      <c r="D32" s="1">
        <v>3.004805E-2</v>
      </c>
      <c r="E32" s="1">
        <v>-0.25772200000000001</v>
      </c>
      <c r="F32" s="1"/>
      <c r="G32" s="1">
        <v>-7.2388079999999994E-2</v>
      </c>
      <c r="H32">
        <f t="shared" si="0"/>
        <v>4</v>
      </c>
      <c r="I32">
        <f t="shared" si="1"/>
        <v>3</v>
      </c>
      <c r="J32">
        <f t="shared" si="2"/>
        <v>1</v>
      </c>
    </row>
    <row r="33" spans="1:10">
      <c r="A33" t="s">
        <v>3</v>
      </c>
      <c r="B33" t="s">
        <v>10</v>
      </c>
      <c r="C33" s="1">
        <v>1.7037210000000001E-3</v>
      </c>
      <c r="D33" s="1">
        <v>-6.055721E-2</v>
      </c>
      <c r="E33" s="1">
        <v>-0.20978479999999999</v>
      </c>
      <c r="F33" s="1"/>
      <c r="G33" s="1">
        <v>-4.466672E-2</v>
      </c>
      <c r="H33">
        <f t="shared" si="0"/>
        <v>4</v>
      </c>
      <c r="I33">
        <f t="shared" si="1"/>
        <v>3</v>
      </c>
      <c r="J33">
        <f t="shared" si="2"/>
        <v>1</v>
      </c>
    </row>
    <row r="34" spans="1:10">
      <c r="A34" t="s">
        <v>9</v>
      </c>
      <c r="B34" t="s">
        <v>11</v>
      </c>
      <c r="C34" s="1">
        <v>-1.094597E-6</v>
      </c>
      <c r="D34" s="1">
        <v>-7.3752260000000001E-8</v>
      </c>
      <c r="E34" s="1">
        <v>0.46181919999999999</v>
      </c>
      <c r="F34" s="1"/>
      <c r="G34" s="1">
        <v>-1.7094479999999999E-2</v>
      </c>
      <c r="H34">
        <f t="shared" si="0"/>
        <v>4</v>
      </c>
      <c r="I34">
        <f t="shared" si="1"/>
        <v>3</v>
      </c>
      <c r="J34">
        <f t="shared" si="2"/>
        <v>1</v>
      </c>
    </row>
    <row r="35" spans="1:10">
      <c r="A35" t="s">
        <v>23</v>
      </c>
      <c r="B35" t="s">
        <v>17</v>
      </c>
      <c r="C35" s="1">
        <v>5.1413280000000003E-12</v>
      </c>
      <c r="D35" s="1">
        <v>-0.83441160000000003</v>
      </c>
      <c r="E35" s="1">
        <v>0.25651230000000003</v>
      </c>
      <c r="F35" s="1"/>
      <c r="G35" s="1">
        <v>6.2680940000000001E-4</v>
      </c>
      <c r="H35">
        <f t="shared" ref="H35:H44" si="3">COUNT(C35:G35)</f>
        <v>4</v>
      </c>
      <c r="I35">
        <f t="shared" ref="I35:I44" si="4">COUNT(C35:E35)</f>
        <v>3</v>
      </c>
      <c r="J35">
        <f t="shared" ref="J35:J44" si="5">COUNT(F35:G35)</f>
        <v>1</v>
      </c>
    </row>
    <row r="36" spans="1:10">
      <c r="A36" t="s">
        <v>6</v>
      </c>
      <c r="B36" t="s">
        <v>12</v>
      </c>
      <c r="C36" s="1">
        <v>1.3904119999999999E-16</v>
      </c>
      <c r="D36" s="1">
        <v>-1.129425E-2</v>
      </c>
      <c r="E36" s="1">
        <v>-0.91662480000000002</v>
      </c>
      <c r="F36" s="1"/>
      <c r="G36" s="1">
        <v>0.44119130000000001</v>
      </c>
      <c r="H36">
        <f t="shared" si="3"/>
        <v>4</v>
      </c>
      <c r="I36">
        <f t="shared" si="4"/>
        <v>3</v>
      </c>
      <c r="J36">
        <f t="shared" si="5"/>
        <v>1</v>
      </c>
    </row>
    <row r="37" spans="1:10">
      <c r="A37" t="s">
        <v>8</v>
      </c>
      <c r="B37" t="s">
        <v>1</v>
      </c>
      <c r="C37" s="1">
        <v>-2.5160559999999998</v>
      </c>
      <c r="D37" s="1">
        <v>-2.969166</v>
      </c>
      <c r="E37" s="1">
        <v>50.750190000000003</v>
      </c>
      <c r="F37" s="1">
        <v>-5.8909589999999996</v>
      </c>
      <c r="G37" s="1"/>
      <c r="H37">
        <f t="shared" si="3"/>
        <v>4</v>
      </c>
      <c r="I37">
        <f t="shared" si="4"/>
        <v>3</v>
      </c>
      <c r="J37">
        <f t="shared" si="5"/>
        <v>1</v>
      </c>
    </row>
    <row r="38" spans="1:10">
      <c r="A38" t="s">
        <v>2</v>
      </c>
      <c r="B38" t="s">
        <v>0</v>
      </c>
      <c r="C38" s="1">
        <v>-5.2280759999999999E-3</v>
      </c>
      <c r="D38" s="1">
        <v>-2.5005189999999999E-18</v>
      </c>
      <c r="E38" s="1">
        <v>1.3493349999999999E-3</v>
      </c>
      <c r="F38" s="1">
        <v>-1.723962</v>
      </c>
      <c r="G38" s="1"/>
      <c r="H38">
        <f t="shared" si="3"/>
        <v>4</v>
      </c>
      <c r="I38">
        <f t="shared" si="4"/>
        <v>3</v>
      </c>
      <c r="J38">
        <f t="shared" si="5"/>
        <v>1</v>
      </c>
    </row>
    <row r="39" spans="1:10">
      <c r="A39" t="s">
        <v>1</v>
      </c>
      <c r="B39" t="s">
        <v>17</v>
      </c>
      <c r="C39" s="1">
        <v>0.1657555</v>
      </c>
      <c r="D39" s="1">
        <v>-8.0874150000000004E-4</v>
      </c>
      <c r="E39" s="1">
        <v>1.4467810000000001E-3</v>
      </c>
      <c r="F39" s="1">
        <v>5.486709E-2</v>
      </c>
      <c r="G39" s="1"/>
      <c r="H39">
        <f t="shared" si="3"/>
        <v>4</v>
      </c>
      <c r="I39">
        <f t="shared" si="4"/>
        <v>3</v>
      </c>
      <c r="J39">
        <f t="shared" si="5"/>
        <v>1</v>
      </c>
    </row>
    <row r="40" spans="1:10">
      <c r="A40" t="s">
        <v>5</v>
      </c>
      <c r="B40" t="s">
        <v>2</v>
      </c>
      <c r="C40" s="1">
        <v>-1.5046220000000001E-16</v>
      </c>
      <c r="D40" s="1">
        <v>0.1437089</v>
      </c>
      <c r="E40" s="1">
        <v>3.7539829999999998E-4</v>
      </c>
      <c r="F40" s="1">
        <v>6.9356609999999996</v>
      </c>
      <c r="G40" s="1"/>
      <c r="H40">
        <f t="shared" si="3"/>
        <v>4</v>
      </c>
      <c r="I40">
        <f t="shared" si="4"/>
        <v>3</v>
      </c>
      <c r="J40">
        <f t="shared" si="5"/>
        <v>1</v>
      </c>
    </row>
    <row r="41" spans="1:10">
      <c r="A41" t="s">
        <v>10</v>
      </c>
      <c r="B41" t="s">
        <v>3</v>
      </c>
      <c r="C41" s="1">
        <v>0.1316272</v>
      </c>
      <c r="D41" s="1">
        <v>8.0519860000000001E-4</v>
      </c>
      <c r="E41" s="1">
        <v>1.109157E-2</v>
      </c>
      <c r="F41" s="1">
        <v>15.3552</v>
      </c>
      <c r="G41" s="1"/>
      <c r="H41">
        <f t="shared" si="3"/>
        <v>4</v>
      </c>
      <c r="I41">
        <f t="shared" si="4"/>
        <v>3</v>
      </c>
      <c r="J41">
        <f t="shared" si="5"/>
        <v>1</v>
      </c>
    </row>
    <row r="42" spans="1:10">
      <c r="A42" t="s">
        <v>4</v>
      </c>
      <c r="B42" t="s">
        <v>11</v>
      </c>
      <c r="C42" s="1">
        <v>-1.124353E-4</v>
      </c>
      <c r="D42" s="1">
        <v>1.126134E-7</v>
      </c>
      <c r="E42" s="1">
        <v>-2.3468</v>
      </c>
      <c r="F42" s="1"/>
      <c r="G42" s="1"/>
      <c r="H42">
        <f t="shared" si="3"/>
        <v>3</v>
      </c>
      <c r="I42">
        <f t="shared" si="4"/>
        <v>3</v>
      </c>
      <c r="J42">
        <f t="shared" si="5"/>
        <v>0</v>
      </c>
    </row>
    <row r="43" spans="1:10">
      <c r="A43" t="s">
        <v>8</v>
      </c>
      <c r="B43" t="s">
        <v>16</v>
      </c>
      <c r="C43" s="1">
        <v>-0.1598125</v>
      </c>
      <c r="D43" s="1">
        <v>-3.7556920000000001E-6</v>
      </c>
      <c r="E43" s="1">
        <v>-7.2511359999999997E-2</v>
      </c>
      <c r="F43" s="1"/>
      <c r="G43" s="1"/>
      <c r="H43">
        <f t="shared" si="3"/>
        <v>3</v>
      </c>
      <c r="I43">
        <f t="shared" si="4"/>
        <v>3</v>
      </c>
      <c r="J43">
        <f t="shared" si="5"/>
        <v>0</v>
      </c>
    </row>
    <row r="44" spans="1:10">
      <c r="A44" t="s">
        <v>23</v>
      </c>
      <c r="B44" t="s">
        <v>21</v>
      </c>
      <c r="C44" s="1">
        <v>-0.31390980000000002</v>
      </c>
      <c r="D44" s="1">
        <v>-0.80961349999999999</v>
      </c>
      <c r="E44" s="1">
        <v>0.46418179999999998</v>
      </c>
      <c r="F44" s="1"/>
      <c r="G44" s="1"/>
      <c r="H44">
        <f t="shared" si="3"/>
        <v>3</v>
      </c>
      <c r="I44">
        <f t="shared" si="4"/>
        <v>3</v>
      </c>
      <c r="J44">
        <f t="shared" si="5"/>
        <v>0</v>
      </c>
    </row>
    <row r="45" spans="1:10" ht="15">
      <c r="A45" s="4" t="s">
        <v>9</v>
      </c>
      <c r="B45" s="4" t="s">
        <v>4</v>
      </c>
      <c r="C45" s="5"/>
      <c r="D45" s="5">
        <v>-3.5197100000000002E-2</v>
      </c>
      <c r="E45" s="5">
        <v>-1.5656139999999999E-2</v>
      </c>
      <c r="F45" s="5"/>
      <c r="G45" s="5">
        <v>-1.2099839999999999</v>
      </c>
      <c r="H45" s="4">
        <f>COUNT(C45:G45)</f>
        <v>3</v>
      </c>
      <c r="I45" s="4">
        <f>COUNT(C45:E45)</f>
        <v>2</v>
      </c>
      <c r="J45" s="4">
        <f>COUNT(F45:G45)</f>
        <v>1</v>
      </c>
    </row>
    <row r="46" spans="1:10" ht="15">
      <c r="A46" s="4" t="s">
        <v>19</v>
      </c>
      <c r="B46" s="4" t="s">
        <v>2</v>
      </c>
      <c r="C46" s="5">
        <v>11.62565</v>
      </c>
      <c r="D46" s="5"/>
      <c r="E46" s="5">
        <v>-9.1804869999999997E-2</v>
      </c>
      <c r="F46" s="5"/>
      <c r="G46" s="5">
        <v>-1.095488</v>
      </c>
      <c r="H46" s="4">
        <f>COUNT(C46:G46)</f>
        <v>3</v>
      </c>
      <c r="I46" s="4">
        <f>COUNT(C46:E46)</f>
        <v>2</v>
      </c>
      <c r="J46" s="4">
        <f>COUNT(F46:G46)</f>
        <v>1</v>
      </c>
    </row>
    <row r="47" spans="1:10" ht="15">
      <c r="A47" s="4" t="s">
        <v>8</v>
      </c>
      <c r="B47" s="4" t="s">
        <v>15</v>
      </c>
      <c r="C47" s="5"/>
      <c r="D47" s="5">
        <v>-1.8880389999999999E-5</v>
      </c>
      <c r="E47" s="5">
        <v>-4.0719710000000002E-4</v>
      </c>
      <c r="F47" s="5"/>
      <c r="G47" s="5">
        <v>-5.1793069999999998E-9</v>
      </c>
      <c r="H47" s="4">
        <f>COUNT(C47:G47)</f>
        <v>3</v>
      </c>
      <c r="I47" s="4">
        <f>COUNT(C47:E47)</f>
        <v>2</v>
      </c>
      <c r="J47" s="4">
        <f>COUNT(F47:G47)</f>
        <v>1</v>
      </c>
    </row>
    <row r="48" spans="1:10" ht="15">
      <c r="A48" s="4" t="s">
        <v>12</v>
      </c>
      <c r="B48" s="4" t="s">
        <v>16</v>
      </c>
      <c r="C48" s="5">
        <v>-0.13932530000000001</v>
      </c>
      <c r="D48" s="5"/>
      <c r="E48" s="5">
        <v>1.2599340000000001E-2</v>
      </c>
      <c r="F48" s="5"/>
      <c r="G48" s="5">
        <v>2.9935380000000001E-7</v>
      </c>
      <c r="H48" s="4">
        <f>COUNT(C48:G48)</f>
        <v>3</v>
      </c>
      <c r="I48" s="4">
        <f>COUNT(C48:E48)</f>
        <v>2</v>
      </c>
      <c r="J48" s="4">
        <f>COUNT(F48:G48)</f>
        <v>1</v>
      </c>
    </row>
    <row r="49" spans="1:10" ht="15">
      <c r="A49" s="4" t="s">
        <v>21</v>
      </c>
      <c r="B49" s="4" t="s">
        <v>17</v>
      </c>
      <c r="C49" s="5">
        <v>-17.746420000000001</v>
      </c>
      <c r="D49" s="5"/>
      <c r="E49" s="5">
        <v>-3.0922560000000002E-2</v>
      </c>
      <c r="F49" s="5"/>
      <c r="G49" s="5">
        <v>5.7271010000000001E-3</v>
      </c>
      <c r="H49" s="4">
        <f>COUNT(C49:G49)</f>
        <v>3</v>
      </c>
      <c r="I49" s="4">
        <f>COUNT(C49:E49)</f>
        <v>2</v>
      </c>
      <c r="J49" s="4">
        <f>COUNT(F49:G49)</f>
        <v>1</v>
      </c>
    </row>
    <row r="50" spans="1:10" ht="15">
      <c r="A50" s="4" t="s">
        <v>20</v>
      </c>
      <c r="B50" s="4" t="s">
        <v>22</v>
      </c>
      <c r="C50" s="5">
        <v>-4.0321679999999999E-2</v>
      </c>
      <c r="D50" s="5"/>
      <c r="E50" s="5">
        <v>-9.474606E-4</v>
      </c>
      <c r="F50" s="5"/>
      <c r="G50" s="5">
        <v>6.0705739999999996E-3</v>
      </c>
      <c r="H50" s="4">
        <f>COUNT(C50:G50)</f>
        <v>3</v>
      </c>
      <c r="I50" s="4">
        <f>COUNT(C50:E50)</f>
        <v>2</v>
      </c>
      <c r="J50" s="4">
        <f>COUNT(F50:G50)</f>
        <v>1</v>
      </c>
    </row>
    <row r="51" spans="1:10" ht="15">
      <c r="A51" s="4" t="s">
        <v>12</v>
      </c>
      <c r="B51" s="4" t="s">
        <v>0</v>
      </c>
      <c r="C51" s="5">
        <v>0.2988324</v>
      </c>
      <c r="D51" s="5"/>
      <c r="E51" s="5">
        <v>3.0342199999999999E-5</v>
      </c>
      <c r="F51" s="5"/>
      <c r="G51" s="5">
        <v>8.7134250000000003E-3</v>
      </c>
      <c r="H51" s="4">
        <f>COUNT(C51:G51)</f>
        <v>3</v>
      </c>
      <c r="I51" s="4">
        <f>COUNT(C51:E51)</f>
        <v>2</v>
      </c>
      <c r="J51" s="4">
        <f>COUNT(F51:G51)</f>
        <v>1</v>
      </c>
    </row>
    <row r="52" spans="1:10" ht="15">
      <c r="A52" s="4" t="s">
        <v>7</v>
      </c>
      <c r="B52" s="4" t="s">
        <v>18</v>
      </c>
      <c r="C52" s="5"/>
      <c r="D52" s="5">
        <v>-3.3714170000000001E-5</v>
      </c>
      <c r="E52" s="5">
        <v>0.56776519999999997</v>
      </c>
      <c r="F52" s="5">
        <v>-34.69265</v>
      </c>
      <c r="G52" s="5"/>
      <c r="H52" s="4">
        <f>COUNT(C52:G52)</f>
        <v>3</v>
      </c>
      <c r="I52" s="4">
        <f>COUNT(C52:E52)</f>
        <v>2</v>
      </c>
      <c r="J52" s="4">
        <f>COUNT(F52:G52)</f>
        <v>1</v>
      </c>
    </row>
    <row r="53" spans="1:10" ht="15">
      <c r="A53" s="4" t="s">
        <v>6</v>
      </c>
      <c r="B53" s="4" t="s">
        <v>21</v>
      </c>
      <c r="C53" s="5"/>
      <c r="D53" s="5">
        <v>0.56216239999999995</v>
      </c>
      <c r="E53" s="5">
        <v>0.15382760000000001</v>
      </c>
      <c r="F53" s="5">
        <v>-1.674695E-2</v>
      </c>
      <c r="G53" s="5"/>
      <c r="H53" s="4">
        <f>COUNT(C53:G53)</f>
        <v>3</v>
      </c>
      <c r="I53" s="4">
        <f>COUNT(C53:E53)</f>
        <v>2</v>
      </c>
      <c r="J53" s="4">
        <f>COUNT(F53:G53)</f>
        <v>1</v>
      </c>
    </row>
    <row r="54" spans="1:10" ht="15">
      <c r="A54" s="4" t="s">
        <v>17</v>
      </c>
      <c r="B54" s="4" t="s">
        <v>1</v>
      </c>
      <c r="C54" s="5"/>
      <c r="D54" s="5">
        <v>-0.3602882</v>
      </c>
      <c r="E54" s="5">
        <v>0.24959919999999999</v>
      </c>
      <c r="F54" s="5">
        <v>3.146506</v>
      </c>
      <c r="G54" s="5"/>
      <c r="H54" s="4">
        <f>COUNT(C54:G54)</f>
        <v>3</v>
      </c>
      <c r="I54" s="4">
        <f>COUNT(C54:E54)</f>
        <v>2</v>
      </c>
      <c r="J54" s="4">
        <f>COUNT(F54:G54)</f>
        <v>1</v>
      </c>
    </row>
    <row r="55" spans="1:10" ht="15">
      <c r="A55" s="4" t="s">
        <v>23</v>
      </c>
      <c r="B55" s="4" t="s">
        <v>2</v>
      </c>
      <c r="C55" s="5"/>
      <c r="D55" s="5">
        <v>-0.56824750000000002</v>
      </c>
      <c r="E55" s="5">
        <v>1.5964780000000001E-2</v>
      </c>
      <c r="F55" s="5">
        <v>6.4134669999999998</v>
      </c>
      <c r="G55" s="5"/>
      <c r="H55" s="4">
        <f>COUNT(C55:G55)</f>
        <v>3</v>
      </c>
      <c r="I55" s="4">
        <f>COUNT(C55:E55)</f>
        <v>2</v>
      </c>
      <c r="J55" s="4">
        <f>COUNT(F55:G55)</f>
        <v>1</v>
      </c>
    </row>
    <row r="56" spans="1:10" ht="15">
      <c r="A56" s="4" t="s">
        <v>0</v>
      </c>
      <c r="B56" s="4" t="s">
        <v>1</v>
      </c>
      <c r="C56" s="5"/>
      <c r="D56" s="5"/>
      <c r="E56" s="5">
        <v>-7.4213659999999999</v>
      </c>
      <c r="F56" s="5"/>
      <c r="G56" s="5">
        <v>-1.187049E-11</v>
      </c>
      <c r="H56" s="4">
        <f>COUNT(C56:G56)</f>
        <v>2</v>
      </c>
      <c r="I56" s="4">
        <f>COUNT(C56:E56)</f>
        <v>1</v>
      </c>
      <c r="J56" s="4">
        <f>COUNT(F56:G56)</f>
        <v>1</v>
      </c>
    </row>
    <row r="57" spans="1:10" ht="15">
      <c r="A57" s="4" t="s">
        <v>5</v>
      </c>
      <c r="B57" s="4" t="s">
        <v>15</v>
      </c>
      <c r="C57" s="5"/>
      <c r="D57" s="5">
        <v>-6.8199889999999998E-6</v>
      </c>
      <c r="E57" s="5"/>
      <c r="F57" s="5"/>
      <c r="G57" s="5">
        <v>1.200558E-8</v>
      </c>
      <c r="H57" s="4">
        <f>COUNT(C57:G57)</f>
        <v>2</v>
      </c>
      <c r="I57" s="4">
        <f>COUNT(C57:E57)</f>
        <v>1</v>
      </c>
      <c r="J57" s="4">
        <f>COUNT(F57:G57)</f>
        <v>1</v>
      </c>
    </row>
    <row r="58" spans="1:10" ht="15">
      <c r="A58" s="4" t="s">
        <v>20</v>
      </c>
      <c r="B58" s="4" t="s">
        <v>7</v>
      </c>
      <c r="C58" s="5">
        <v>2.110027E-3</v>
      </c>
      <c r="D58" s="5"/>
      <c r="E58" s="5"/>
      <c r="F58" s="5"/>
      <c r="G58" s="5">
        <v>4.8699569999999998E-2</v>
      </c>
      <c r="H58" s="4">
        <f>COUNT(C58:G58)</f>
        <v>2</v>
      </c>
      <c r="I58" s="4">
        <f>COUNT(C58:E58)</f>
        <v>1</v>
      </c>
      <c r="J58" s="4">
        <f>COUNT(F58:G58)</f>
        <v>1</v>
      </c>
    </row>
    <row r="59" spans="1:10" ht="15">
      <c r="A59" s="4" t="s">
        <v>7</v>
      </c>
      <c r="B59" s="4" t="s">
        <v>8</v>
      </c>
      <c r="C59" s="5">
        <v>-0.31644749999999999</v>
      </c>
      <c r="D59" s="5"/>
      <c r="E59" s="5"/>
      <c r="F59" s="5">
        <v>-5.28823E-2</v>
      </c>
      <c r="G59" s="5"/>
      <c r="H59" s="4">
        <f>COUNT(C59:G59)</f>
        <v>2</v>
      </c>
      <c r="I59" s="4">
        <f>COUNT(C59:E59)</f>
        <v>1</v>
      </c>
      <c r="J59" s="4">
        <f>COUNT(F59:G59)</f>
        <v>1</v>
      </c>
    </row>
    <row r="60" spans="1:10" ht="15">
      <c r="A60" s="4" t="s">
        <v>6</v>
      </c>
      <c r="B60" s="4" t="s">
        <v>11</v>
      </c>
      <c r="C60" s="5"/>
      <c r="D60" s="5"/>
      <c r="E60" s="5">
        <v>1.840843</v>
      </c>
      <c r="F60" s="5">
        <v>-2.2387489999999999E-2</v>
      </c>
      <c r="G60" s="5"/>
      <c r="H60" s="4">
        <f>COUNT(C60:G60)</f>
        <v>2</v>
      </c>
      <c r="I60" s="4">
        <f>COUNT(C60:E60)</f>
        <v>1</v>
      </c>
      <c r="J60" s="4">
        <f>COUNT(F60:G60)</f>
        <v>1</v>
      </c>
    </row>
    <row r="61" spans="1:10" ht="15">
      <c r="A61" s="4" t="s">
        <v>0</v>
      </c>
      <c r="B61" s="4" t="s">
        <v>17</v>
      </c>
      <c r="C61" s="5">
        <v>-2.1406179999999999</v>
      </c>
      <c r="D61" s="5"/>
      <c r="E61" s="5"/>
      <c r="F61" s="5">
        <v>-2.2678030000000001E-3</v>
      </c>
      <c r="G61" s="5"/>
      <c r="H61" s="4">
        <f>COUNT(C61:G61)</f>
        <v>2</v>
      </c>
      <c r="I61" s="4">
        <f>COUNT(C61:E61)</f>
        <v>1</v>
      </c>
      <c r="J61" s="4">
        <f>COUNT(F61:G61)</f>
        <v>1</v>
      </c>
    </row>
    <row r="62" spans="1:10" ht="15">
      <c r="A62" s="4" t="s">
        <v>19</v>
      </c>
      <c r="B62" s="4" t="s">
        <v>21</v>
      </c>
      <c r="C62" s="5"/>
      <c r="D62" s="5"/>
      <c r="E62" s="5"/>
      <c r="F62" s="5"/>
      <c r="G62" s="5">
        <v>-0.19187750000000001</v>
      </c>
      <c r="H62" s="4">
        <f>COUNT(C62:G62)</f>
        <v>1</v>
      </c>
      <c r="I62" s="4">
        <f>COUNT(C62:E62)</f>
        <v>0</v>
      </c>
      <c r="J62" s="4">
        <f>COUNT(F62:G62)</f>
        <v>1</v>
      </c>
    </row>
  </sheetData>
  <sortState ref="A2:K62">
    <sortCondition descending="1" ref="J3:J62"/>
  </sortState>
  <mergeCells count="2">
    <mergeCell ref="C1:G1"/>
    <mergeCell ref="H1:J1"/>
  </mergeCells>
  <phoneticPr fontId="2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>
      <selection activeCell="C2" sqref="C2"/>
    </sheetView>
  </sheetViews>
  <sheetFormatPr baseColWidth="10" defaultRowHeight="13" x14ac:dyDescent="0"/>
  <cols>
    <col min="1" max="2" width="8.7109375" customWidth="1"/>
    <col min="3" max="3" width="12.7109375" customWidth="1"/>
    <col min="4" max="4" width="12" customWidth="1"/>
  </cols>
  <sheetData>
    <row r="1" spans="1:5">
      <c r="C1" s="6" t="s">
        <v>39</v>
      </c>
      <c r="D1" s="6"/>
    </row>
    <row r="2" spans="1:5">
      <c r="A2" t="s">
        <v>25</v>
      </c>
      <c r="B2" t="s">
        <v>26</v>
      </c>
      <c r="C2" s="3" t="s">
        <v>36</v>
      </c>
      <c r="D2" s="3" t="s">
        <v>37</v>
      </c>
      <c r="E2" s="3" t="s">
        <v>33</v>
      </c>
    </row>
    <row r="3" spans="1:5">
      <c r="A3" t="s">
        <v>6</v>
      </c>
      <c r="B3" t="s">
        <v>5</v>
      </c>
      <c r="C3" s="1">
        <v>1.2126402666666667</v>
      </c>
      <c r="D3" s="1">
        <v>-27.030449999999998</v>
      </c>
      <c r="E3" s="2">
        <v>1</v>
      </c>
    </row>
    <row r="4" spans="1:5">
      <c r="A4" t="s">
        <v>10</v>
      </c>
      <c r="B4" t="s">
        <v>8</v>
      </c>
      <c r="C4" s="1">
        <v>-0.19722213</v>
      </c>
      <c r="D4" s="1">
        <v>-0.61533619249999993</v>
      </c>
      <c r="E4" s="2">
        <v>0</v>
      </c>
    </row>
    <row r="5" spans="1:5">
      <c r="A5" t="s">
        <v>8</v>
      </c>
      <c r="B5" t="s">
        <v>7</v>
      </c>
      <c r="C5" s="1">
        <v>-2.081759166666669E-3</v>
      </c>
      <c r="D5" s="1">
        <v>6.1153500000000333E-4</v>
      </c>
      <c r="E5" s="2">
        <v>1</v>
      </c>
    </row>
    <row r="6" spans="1:5">
      <c r="A6" t="s">
        <v>20</v>
      </c>
      <c r="B6" t="s">
        <v>19</v>
      </c>
      <c r="C6" s="1">
        <v>-3.3675318599999997E-2</v>
      </c>
      <c r="D6" s="1">
        <v>4.3819795000000133E-4</v>
      </c>
      <c r="E6" s="2">
        <v>1</v>
      </c>
    </row>
    <row r="7" spans="1:5">
      <c r="A7" t="s">
        <v>6</v>
      </c>
      <c r="B7" t="s">
        <v>14</v>
      </c>
      <c r="C7" s="1">
        <v>-2.6748737333333335E-17</v>
      </c>
      <c r="D7" s="1">
        <v>-2.0448134999999999E-2</v>
      </c>
      <c r="E7" s="2">
        <v>1</v>
      </c>
    </row>
    <row r="8" spans="1:5">
      <c r="A8" t="s">
        <v>0</v>
      </c>
      <c r="B8" t="s">
        <v>16</v>
      </c>
      <c r="C8" s="1">
        <v>2.8101257734000001E-2</v>
      </c>
      <c r="D8" s="1">
        <v>2.597452812E-4</v>
      </c>
      <c r="E8" s="2">
        <v>0</v>
      </c>
    </row>
    <row r="9" spans="1:5">
      <c r="A9" t="s">
        <v>4</v>
      </c>
      <c r="B9" t="s">
        <v>13</v>
      </c>
      <c r="C9" s="1">
        <v>3.2543040498772131E-10</v>
      </c>
      <c r="D9" s="1">
        <v>-1.9859394500000002E-2</v>
      </c>
      <c r="E9" s="2">
        <v>1</v>
      </c>
    </row>
    <row r="10" spans="1:5">
      <c r="A10" t="s">
        <v>5</v>
      </c>
      <c r="B10" t="s">
        <v>6</v>
      </c>
      <c r="C10" s="1">
        <v>7.6742977000000004E-2</v>
      </c>
      <c r="D10" s="1">
        <v>6.2300554500000001E-2</v>
      </c>
      <c r="E10" s="2">
        <v>0</v>
      </c>
    </row>
    <row r="11" spans="1:5">
      <c r="A11" t="s">
        <v>19</v>
      </c>
      <c r="B11" t="s">
        <v>22</v>
      </c>
      <c r="C11" s="1">
        <v>5.6410932999999996E-2</v>
      </c>
      <c r="D11" s="1">
        <v>452.75357803000003</v>
      </c>
      <c r="E11" s="2">
        <v>0</v>
      </c>
    </row>
    <row r="12" spans="1:5">
      <c r="A12" t="s">
        <v>2</v>
      </c>
      <c r="B12" t="s">
        <v>24</v>
      </c>
      <c r="C12" s="1">
        <v>-1.6495122333338866E-3</v>
      </c>
      <c r="D12" s="1">
        <v>2.89957555965E-2</v>
      </c>
      <c r="E12" s="2">
        <v>1</v>
      </c>
    </row>
    <row r="13" spans="1:5">
      <c r="A13" t="s">
        <v>9</v>
      </c>
      <c r="B13" t="s">
        <v>10</v>
      </c>
      <c r="C13" s="1">
        <v>6.0413994333333332E-2</v>
      </c>
      <c r="D13" s="1">
        <v>0.16290385000000002</v>
      </c>
      <c r="E13" s="2">
        <v>0</v>
      </c>
    </row>
    <row r="14" spans="1:5">
      <c r="A14" t="s">
        <v>2</v>
      </c>
      <c r="B14" t="s">
        <v>23</v>
      </c>
      <c r="C14" s="1">
        <v>9.9851463333333677E-4</v>
      </c>
      <c r="D14" s="1">
        <v>0.17656685500000002</v>
      </c>
      <c r="E14" s="2">
        <v>0</v>
      </c>
    </row>
    <row r="15" spans="1:5">
      <c r="A15" t="s">
        <v>21</v>
      </c>
      <c r="B15" t="s">
        <v>12</v>
      </c>
      <c r="C15" s="1">
        <v>3.3456801499999994E-2</v>
      </c>
      <c r="D15" s="1">
        <v>-7.3802741000000003</v>
      </c>
      <c r="E15" s="2">
        <v>1</v>
      </c>
    </row>
    <row r="16" spans="1:5">
      <c r="A16" t="s">
        <v>10</v>
      </c>
      <c r="B16" t="s">
        <v>9</v>
      </c>
      <c r="C16" s="1">
        <v>0.41287842650000001</v>
      </c>
      <c r="D16" s="1">
        <v>-6.9435549999999999E-2</v>
      </c>
      <c r="E16" s="2">
        <v>1</v>
      </c>
    </row>
    <row r="17" spans="1:5">
      <c r="A17" t="s">
        <v>6</v>
      </c>
      <c r="B17" t="s">
        <v>24</v>
      </c>
      <c r="C17" s="1">
        <v>2.7189163790999999</v>
      </c>
      <c r="D17" s="1">
        <v>-0.1535204043</v>
      </c>
      <c r="E17" s="2">
        <v>1</v>
      </c>
    </row>
    <row r="18" spans="1:5">
      <c r="A18" t="s">
        <v>23</v>
      </c>
      <c r="B18" t="s">
        <v>9</v>
      </c>
      <c r="C18" s="1">
        <v>-0.12036664999999999</v>
      </c>
      <c r="D18" s="1">
        <v>-6.2809174999999995E-2</v>
      </c>
      <c r="E18" s="2">
        <v>0</v>
      </c>
    </row>
    <row r="19" spans="1:5">
      <c r="A19" t="s">
        <v>6</v>
      </c>
      <c r="B19" t="s">
        <v>15</v>
      </c>
      <c r="C19" s="1">
        <v>-0.29516871575000003</v>
      </c>
      <c r="D19" s="1">
        <v>-0.84951457542589992</v>
      </c>
      <c r="E19" s="2">
        <v>0</v>
      </c>
    </row>
    <row r="20" spans="1:5">
      <c r="A20" t="s">
        <v>12</v>
      </c>
      <c r="B20" t="s">
        <v>13</v>
      </c>
      <c r="C20" s="1">
        <v>-1.2259972719429999E-11</v>
      </c>
      <c r="D20" s="1">
        <v>-0.19066829999999999</v>
      </c>
      <c r="E20" s="2">
        <v>1</v>
      </c>
    </row>
    <row r="21" spans="1:5">
      <c r="A21" t="s">
        <v>10</v>
      </c>
      <c r="B21" t="s">
        <v>7</v>
      </c>
      <c r="C21" s="1">
        <v>8.7724964999999998E-4</v>
      </c>
      <c r="D21" s="1">
        <v>9.2465575000000008E-2</v>
      </c>
      <c r="E21" s="2">
        <v>0</v>
      </c>
    </row>
    <row r="22" spans="1:5">
      <c r="A22" t="s">
        <v>22</v>
      </c>
      <c r="B22" t="s">
        <v>20</v>
      </c>
      <c r="C22" s="1">
        <v>-0.11659686499999999</v>
      </c>
      <c r="D22" s="1">
        <v>22.612356500000001</v>
      </c>
      <c r="E22" s="2">
        <v>1</v>
      </c>
    </row>
    <row r="23" spans="1:5">
      <c r="A23" t="s">
        <v>19</v>
      </c>
      <c r="B23" t="s">
        <v>23</v>
      </c>
      <c r="C23" s="1">
        <v>-6.3813199999999994E-3</v>
      </c>
      <c r="D23" s="1">
        <v>0.438699697</v>
      </c>
      <c r="E23" s="2">
        <v>1</v>
      </c>
    </row>
    <row r="24" spans="1:5">
      <c r="A24" t="s">
        <v>4</v>
      </c>
      <c r="B24" t="s">
        <v>3</v>
      </c>
      <c r="C24" s="1">
        <v>4.9019520000000004E-2</v>
      </c>
      <c r="D24" s="1">
        <v>0.43864369999999997</v>
      </c>
      <c r="E24" s="2">
        <v>1</v>
      </c>
    </row>
    <row r="25" spans="1:5">
      <c r="A25" t="s">
        <v>10</v>
      </c>
      <c r="B25" t="s">
        <v>18</v>
      </c>
      <c r="C25" s="1">
        <v>2.008221E-6</v>
      </c>
      <c r="D25" s="1">
        <v>-1.6203310000000002</v>
      </c>
      <c r="E25" s="2">
        <v>1</v>
      </c>
    </row>
    <row r="26" spans="1:5">
      <c r="A26" t="s">
        <v>6</v>
      </c>
      <c r="B26" t="s">
        <v>9</v>
      </c>
      <c r="C26" s="1">
        <v>7.9393740000000004E-2</v>
      </c>
      <c r="D26" s="1">
        <v>-1.1092110000000002</v>
      </c>
      <c r="E26" s="2">
        <v>1</v>
      </c>
    </row>
    <row r="27" spans="1:5">
      <c r="A27" t="s">
        <v>19</v>
      </c>
      <c r="B27" t="s">
        <v>20</v>
      </c>
      <c r="C27" s="1">
        <v>8.2890720000000009</v>
      </c>
      <c r="D27" s="1">
        <v>175.26549495</v>
      </c>
      <c r="E27" s="2">
        <v>0</v>
      </c>
    </row>
    <row r="28" spans="1:5">
      <c r="A28" t="s">
        <v>3</v>
      </c>
      <c r="B28" t="s">
        <v>4</v>
      </c>
      <c r="C28" s="1">
        <v>2.9710859999999998E-18</v>
      </c>
      <c r="D28" s="1">
        <v>0.30413385500000001</v>
      </c>
      <c r="E28" s="2">
        <v>0</v>
      </c>
    </row>
    <row r="29" spans="1:5">
      <c r="A29" t="s">
        <v>7</v>
      </c>
      <c r="B29" t="s">
        <v>10</v>
      </c>
      <c r="C29" s="1">
        <v>0.3353082</v>
      </c>
      <c r="D29" s="1">
        <v>-4.9747308532499999E-2</v>
      </c>
      <c r="E29" s="2">
        <v>1</v>
      </c>
    </row>
    <row r="30" spans="1:5">
      <c r="A30" t="s">
        <v>12</v>
      </c>
      <c r="B30" t="s">
        <v>1</v>
      </c>
      <c r="C30" s="1">
        <v>0.1088889</v>
      </c>
      <c r="D30" s="1">
        <v>1242.86023985</v>
      </c>
      <c r="E30" s="2">
        <v>0</v>
      </c>
    </row>
    <row r="31" spans="1:5">
      <c r="A31" t="s">
        <v>19</v>
      </c>
      <c r="B31" t="s">
        <v>12</v>
      </c>
      <c r="C31" s="1">
        <v>-1.0322713333333333</v>
      </c>
      <c r="D31" s="1">
        <v>-8.1316139999999995E-2</v>
      </c>
      <c r="E31" s="2">
        <v>0</v>
      </c>
    </row>
    <row r="32" spans="1:5">
      <c r="A32" t="s">
        <v>19</v>
      </c>
      <c r="B32" t="s">
        <v>6</v>
      </c>
      <c r="C32" s="1">
        <v>-7.5014436000000004E-2</v>
      </c>
      <c r="D32" s="1">
        <v>-7.2388079999999994E-2</v>
      </c>
      <c r="E32" s="2">
        <v>0</v>
      </c>
    </row>
    <row r="33" spans="1:5">
      <c r="A33" t="s">
        <v>3</v>
      </c>
      <c r="B33" t="s">
        <v>10</v>
      </c>
      <c r="C33" s="1">
        <v>-8.9546096333333325E-2</v>
      </c>
      <c r="D33" s="1">
        <v>-4.466672E-2</v>
      </c>
      <c r="E33" s="2">
        <v>0</v>
      </c>
    </row>
    <row r="34" spans="1:5">
      <c r="A34" t="s">
        <v>9</v>
      </c>
      <c r="B34" t="s">
        <v>11</v>
      </c>
      <c r="C34" s="1">
        <v>0.15393934388357999</v>
      </c>
      <c r="D34" s="1">
        <v>-1.7094479999999999E-2</v>
      </c>
      <c r="E34" s="2">
        <v>1</v>
      </c>
    </row>
    <row r="35" spans="1:5">
      <c r="A35" t="s">
        <v>23</v>
      </c>
      <c r="B35" t="s">
        <v>17</v>
      </c>
      <c r="C35" s="1">
        <v>-0.19263309999828623</v>
      </c>
      <c r="D35" s="1">
        <v>6.2680940000000001E-4</v>
      </c>
      <c r="E35" s="2">
        <v>1</v>
      </c>
    </row>
    <row r="36" spans="1:5">
      <c r="A36" t="s">
        <v>6</v>
      </c>
      <c r="B36" t="s">
        <v>12</v>
      </c>
      <c r="C36" s="1">
        <v>-0.30930634999999995</v>
      </c>
      <c r="D36" s="1">
        <v>0.44119130000000001</v>
      </c>
      <c r="E36" s="2">
        <v>1</v>
      </c>
    </row>
    <row r="37" spans="1:5">
      <c r="A37" t="s">
        <v>8</v>
      </c>
      <c r="B37" t="s">
        <v>1</v>
      </c>
      <c r="C37" s="1">
        <v>15.088322666666668</v>
      </c>
      <c r="D37" s="1">
        <v>-5.8909589999999996</v>
      </c>
      <c r="E37" s="2">
        <v>1</v>
      </c>
    </row>
    <row r="38" spans="1:5">
      <c r="A38" t="s">
        <v>2</v>
      </c>
      <c r="B38" t="s">
        <v>0</v>
      </c>
      <c r="C38" s="1">
        <v>-1.2929136666666675E-3</v>
      </c>
      <c r="D38" s="1">
        <v>-1.723962</v>
      </c>
      <c r="E38" s="2">
        <v>0</v>
      </c>
    </row>
    <row r="39" spans="1:5">
      <c r="A39" t="s">
        <v>1</v>
      </c>
      <c r="B39" t="s">
        <v>17</v>
      </c>
      <c r="C39" s="1">
        <v>5.5464513166666674E-2</v>
      </c>
      <c r="D39" s="1">
        <v>5.486709E-2</v>
      </c>
      <c r="E39" s="2">
        <v>0</v>
      </c>
    </row>
    <row r="40" spans="1:5">
      <c r="A40" t="s">
        <v>5</v>
      </c>
      <c r="B40" t="s">
        <v>2</v>
      </c>
      <c r="C40" s="1">
        <v>4.8028099433333284E-2</v>
      </c>
      <c r="D40" s="1">
        <v>6.9356609999999996</v>
      </c>
      <c r="E40" s="2">
        <v>0</v>
      </c>
    </row>
    <row r="41" spans="1:5">
      <c r="A41" t="s">
        <v>10</v>
      </c>
      <c r="B41" t="s">
        <v>3</v>
      </c>
      <c r="C41" s="1">
        <v>4.7841322866666668E-2</v>
      </c>
      <c r="D41" s="1">
        <v>15.3552</v>
      </c>
      <c r="E41" s="2">
        <v>0</v>
      </c>
    </row>
    <row r="42" spans="1:5">
      <c r="A42" t="s">
        <v>4</v>
      </c>
      <c r="B42" t="s">
        <v>11</v>
      </c>
      <c r="C42" s="1">
        <v>-0.78230410756220004</v>
      </c>
      <c r="D42" s="1">
        <v>0</v>
      </c>
      <c r="E42" s="2">
        <v>1</v>
      </c>
    </row>
    <row r="43" spans="1:5">
      <c r="A43" t="s">
        <v>8</v>
      </c>
      <c r="B43" t="s">
        <v>16</v>
      </c>
      <c r="C43" s="1">
        <v>-7.7442538564000005E-2</v>
      </c>
      <c r="D43" s="1">
        <v>0</v>
      </c>
      <c r="E43" s="2">
        <v>1</v>
      </c>
    </row>
    <row r="44" spans="1:5">
      <c r="A44" t="s">
        <v>23</v>
      </c>
      <c r="B44" t="s">
        <v>21</v>
      </c>
      <c r="C44" s="1">
        <v>-0.21978050000000002</v>
      </c>
      <c r="D44" s="1">
        <v>0</v>
      </c>
      <c r="E44" s="2">
        <v>1</v>
      </c>
    </row>
    <row r="45" spans="1:5">
      <c r="C45" s="1"/>
    </row>
    <row r="46" spans="1:5">
      <c r="C46" s="1"/>
    </row>
  </sheetData>
  <mergeCells count="1">
    <mergeCell ref="C1:D1"/>
  </mergeCells>
  <phoneticPr fontId="2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OptimizedEdges</vt:lpstr>
      <vt:lpstr>SummaryEdges</vt:lpstr>
    </vt:vector>
  </TitlesOfParts>
  <Company>Battelle for the US DOE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McDermott</dc:creator>
  <cp:lastModifiedBy>Jason McDermott</cp:lastModifiedBy>
  <dcterms:created xsi:type="dcterms:W3CDTF">2011-12-07T20:02:27Z</dcterms:created>
  <dcterms:modified xsi:type="dcterms:W3CDTF">2012-02-07T23:41:15Z</dcterms:modified>
</cp:coreProperties>
</file>