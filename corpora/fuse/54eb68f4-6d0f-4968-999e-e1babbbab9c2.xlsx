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DATA\BUSOFFC\Lori\"/>
    </mc:Choice>
  </mc:AlternateContent>
  <bookViews>
    <workbookView xWindow="0" yWindow="0" windowWidth="19200" windowHeight="11745"/>
  </bookViews>
  <sheets>
    <sheet name="Sheet1" sheetId="1" r:id="rId1"/>
    <sheet name="SAMPL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3" l="1"/>
  <c r="G36" i="3"/>
  <c r="E36" i="3"/>
  <c r="E39" i="3" s="1"/>
  <c r="G16" i="3"/>
  <c r="E16" i="3"/>
  <c r="G15" i="3"/>
  <c r="E15" i="3"/>
  <c r="G14" i="3"/>
  <c r="G17" i="3" s="1"/>
  <c r="G41" i="3" s="1"/>
  <c r="E14" i="3"/>
  <c r="E17" i="3" s="1"/>
  <c r="E41" i="3" l="1"/>
  <c r="G43" i="3"/>
  <c r="G16" i="1"/>
  <c r="G15" i="1"/>
  <c r="G14" i="1"/>
  <c r="E16" i="1"/>
  <c r="E15" i="1"/>
  <c r="E14" i="1"/>
  <c r="E39" i="1" l="1"/>
  <c r="G36" i="1"/>
  <c r="G39" i="1"/>
  <c r="G17" i="1"/>
  <c r="E36" i="1"/>
  <c r="E17" i="1"/>
  <c r="E41" i="1" l="1"/>
  <c r="G41" i="1"/>
  <c r="G43" i="1" s="1"/>
</calcChain>
</file>

<file path=xl/sharedStrings.xml><?xml version="1.0" encoding="utf-8"?>
<sst xmlns="http://schemas.openxmlformats.org/spreadsheetml/2006/main" count="66" uniqueCount="37">
  <si>
    <t>Northland College</t>
  </si>
  <si>
    <t>Sustainability Funds Application Budget Template</t>
  </si>
  <si>
    <t>Submission Date:</t>
  </si>
  <si>
    <t xml:space="preserve">Proposal Name: </t>
  </si>
  <si>
    <t>Departments Involved:</t>
  </si>
  <si>
    <t>Projected savings</t>
  </si>
  <si>
    <t>Energy savings</t>
  </si>
  <si>
    <t>kwh rate</t>
  </si>
  <si>
    <t>ccf rate</t>
  </si>
  <si>
    <t>Start up</t>
  </si>
  <si>
    <t>Expenses:</t>
  </si>
  <si>
    <t>Supplies</t>
  </si>
  <si>
    <t>Contracted services</t>
  </si>
  <si>
    <t>Equipment needs</t>
  </si>
  <si>
    <t>Other</t>
  </si>
  <si>
    <t>staff time</t>
  </si>
  <si>
    <t>avg hrly rate</t>
  </si>
  <si>
    <t>Facilities (staff time - hours)</t>
  </si>
  <si>
    <t>Total Expenses</t>
  </si>
  <si>
    <t>Total savings</t>
  </si>
  <si>
    <t>Anticpated payback (savings less expenses)</t>
  </si>
  <si>
    <t>Year 1  Plus</t>
  </si>
  <si>
    <t>ongoing?</t>
  </si>
  <si>
    <t>yes</t>
  </si>
  <si>
    <t>Window film for Science Building</t>
  </si>
  <si>
    <t>Facilities</t>
  </si>
  <si>
    <t>Window film</t>
  </si>
  <si>
    <t>no</t>
  </si>
  <si>
    <t>labor for installation</t>
  </si>
  <si>
    <t>gallons rate</t>
  </si>
  <si>
    <t>electric savings (kwh)</t>
  </si>
  <si>
    <t>gas savings (ccf)</t>
  </si>
  <si>
    <t>water savings (gallons)</t>
  </si>
  <si>
    <t>Anticpated payback in years</t>
  </si>
  <si>
    <t>input the item description here</t>
  </si>
  <si>
    <t>input the costs here</t>
  </si>
  <si>
    <t>yes or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</si>
</sst>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i/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44" fontId="3" fillId="0" borderId="3" xfId="1" applyFont="1" applyBorder="1"/>
    <xf numFmtId="0" fontId="2" fillId="0" borderId="0" xfId="0" applyFont="1" applyFill="1"/>
    <xf numFmtId="44" fontId="2" fillId="0" borderId="3" xfId="1" applyFont="1" applyBorder="1"/>
    <xf numFmtId="44" fontId="3" fillId="0" borderId="0" xfId="1" applyFont="1"/>
    <xf numFmtId="44" fontId="2" fillId="0" borderId="0" xfId="1" applyFont="1"/>
    <xf numFmtId="164" fontId="3" fillId="0" borderId="0" xfId="1" applyNumberFormat="1" applyFont="1"/>
    <xf numFmtId="165" fontId="2" fillId="0" borderId="3" xfId="2" applyNumberFormat="1" applyFont="1" applyBorder="1"/>
    <xf numFmtId="0" fontId="3" fillId="0" borderId="0" xfId="0" applyFont="1" applyProtection="1"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Protection="1"/>
    <xf numFmtId="44" fontId="3" fillId="0" borderId="0" xfId="1" applyFont="1" applyFill="1" applyProtection="1"/>
    <xf numFmtId="44" fontId="3" fillId="0" borderId="3" xfId="1" applyFont="1" applyBorder="1" applyProtection="1"/>
    <xf numFmtId="44" fontId="2" fillId="0" borderId="3" xfId="1" applyFont="1" applyBorder="1" applyProtection="1"/>
    <xf numFmtId="0" fontId="2" fillId="0" borderId="0" xfId="0" applyFont="1" applyProtection="1"/>
    <xf numFmtId="44" fontId="3" fillId="0" borderId="0" xfId="1" applyFont="1" applyProtection="1"/>
    <xf numFmtId="44" fontId="2" fillId="0" borderId="0" xfId="1" applyFont="1" applyProtection="1"/>
    <xf numFmtId="165" fontId="2" fillId="0" borderId="3" xfId="2" applyNumberFormat="1" applyFont="1" applyBorder="1" applyProtection="1"/>
    <xf numFmtId="164" fontId="3" fillId="0" borderId="0" xfId="1" applyNumberFormat="1" applyFont="1" applyProtection="1"/>
    <xf numFmtId="0" fontId="2" fillId="0" borderId="0" xfId="0" applyFont="1" applyFill="1" applyProtection="1"/>
    <xf numFmtId="0" fontId="2" fillId="0" borderId="0" xfId="0" applyFont="1" applyAlignment="1" applyProtection="1">
      <alignment horizontal="centerContinuous"/>
      <protection locked="0"/>
    </xf>
    <xf numFmtId="0" fontId="2" fillId="0" borderId="0" xfId="0" applyFont="1" applyProtection="1">
      <protection locked="0"/>
    </xf>
    <xf numFmtId="44" fontId="3" fillId="0" borderId="0" xfId="1" applyFont="1" applyFill="1"/>
    <xf numFmtId="0" fontId="3" fillId="2" borderId="0" xfId="0" applyFont="1" applyFill="1"/>
    <xf numFmtId="44" fontId="3" fillId="2" borderId="0" xfId="1" applyFont="1" applyFill="1"/>
    <xf numFmtId="0" fontId="3" fillId="2" borderId="1" xfId="0" applyFont="1" applyFill="1" applyBorder="1"/>
    <xf numFmtId="44" fontId="3" fillId="2" borderId="3" xfId="1" applyFont="1" applyFill="1" applyBorder="1"/>
    <xf numFmtId="0" fontId="3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0" xfId="0" applyFont="1" applyFill="1"/>
    <xf numFmtId="44" fontId="4" fillId="2" borderId="3" xfId="1" applyFont="1" applyFill="1" applyBorder="1"/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 applyProtection="1">
      <protection locked="0"/>
    </xf>
    <xf numFmtId="0" fontId="3" fillId="2" borderId="3" xfId="0" applyFont="1" applyFill="1" applyBorder="1"/>
    <xf numFmtId="14" fontId="3" fillId="2" borderId="2" xfId="0" applyNumberFormat="1" applyFont="1" applyFill="1" applyBorder="1" applyAlignment="1">
      <alignment horizontal="left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EAEAEA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abSelected="1" workbookViewId="0">
      <selection activeCell="G41" sqref="G41"/>
    </sheetView>
  </sheetViews>
  <sheetFormatPr defaultRowHeight="14.25" x14ac:dyDescent="0.2"/>
  <cols>
    <col min="1" max="1" width="2.42578125" style="2" customWidth="1"/>
    <col min="2" max="2" width="25.5703125" style="2" customWidth="1"/>
    <col min="3" max="3" width="27.85546875" style="2" customWidth="1"/>
    <col min="4" max="4" width="11.140625" style="2" bestFit="1" customWidth="1"/>
    <col min="5" max="5" width="19.7109375" style="2" customWidth="1"/>
    <col min="6" max="6" width="9.140625" style="2"/>
    <col min="7" max="7" width="19.7109375" style="2" customWidth="1"/>
    <col min="8" max="16384" width="9.140625" style="2"/>
  </cols>
  <sheetData>
    <row r="1" spans="1:7" s="12" customFormat="1" x14ac:dyDescent="0.2">
      <c r="A1" s="24" t="s">
        <v>0</v>
      </c>
      <c r="B1" s="24"/>
      <c r="C1" s="24"/>
      <c r="D1" s="24"/>
      <c r="E1" s="24"/>
      <c r="F1" s="24"/>
      <c r="G1" s="24"/>
    </row>
    <row r="2" spans="1:7" s="12" customFormat="1" x14ac:dyDescent="0.2">
      <c r="A2" s="24" t="s">
        <v>1</v>
      </c>
      <c r="B2" s="24"/>
      <c r="C2" s="24"/>
      <c r="D2" s="24"/>
      <c r="E2" s="24"/>
      <c r="F2" s="24"/>
      <c r="G2" s="24"/>
    </row>
    <row r="3" spans="1:7" s="14" customFormat="1" x14ac:dyDescent="0.2">
      <c r="A3" s="12"/>
      <c r="B3" s="12"/>
    </row>
    <row r="4" spans="1:7" x14ac:dyDescent="0.2">
      <c r="A4" s="25" t="s">
        <v>3</v>
      </c>
      <c r="B4" s="25"/>
      <c r="C4" s="29"/>
      <c r="D4" s="29"/>
      <c r="E4" s="29"/>
      <c r="F4" s="29"/>
      <c r="G4" s="29"/>
    </row>
    <row r="5" spans="1:7" x14ac:dyDescent="0.2">
      <c r="A5" s="25" t="s">
        <v>2</v>
      </c>
      <c r="B5" s="25"/>
      <c r="C5" s="36"/>
      <c r="D5" s="36"/>
      <c r="E5" s="36"/>
      <c r="F5" s="36"/>
      <c r="G5" s="36"/>
    </row>
    <row r="6" spans="1:7" x14ac:dyDescent="0.2">
      <c r="A6" s="25" t="s">
        <v>4</v>
      </c>
      <c r="B6" s="25"/>
      <c r="C6" s="36"/>
      <c r="D6" s="36"/>
      <c r="E6" s="36"/>
      <c r="F6" s="36"/>
      <c r="G6" s="36"/>
    </row>
    <row r="7" spans="1:7" x14ac:dyDescent="0.2">
      <c r="A7" s="12"/>
      <c r="B7" s="12"/>
    </row>
    <row r="9" spans="1:7" x14ac:dyDescent="0.2">
      <c r="E9" s="3" t="s">
        <v>9</v>
      </c>
      <c r="F9" s="3"/>
      <c r="G9" s="3" t="s">
        <v>21</v>
      </c>
    </row>
    <row r="10" spans="1:7" x14ac:dyDescent="0.2">
      <c r="A10" s="4" t="s">
        <v>5</v>
      </c>
    </row>
    <row r="11" spans="1:7" x14ac:dyDescent="0.2">
      <c r="A11" s="12"/>
      <c r="B11" s="12" t="s">
        <v>6</v>
      </c>
      <c r="C11" s="14" t="s">
        <v>30</v>
      </c>
      <c r="D11" s="12"/>
      <c r="E11" s="37"/>
      <c r="F11" s="27"/>
      <c r="G11" s="38"/>
    </row>
    <row r="12" spans="1:7" x14ac:dyDescent="0.2">
      <c r="A12" s="12"/>
      <c r="B12" s="12"/>
      <c r="C12" s="14" t="s">
        <v>31</v>
      </c>
      <c r="D12" s="12"/>
      <c r="E12" s="37"/>
      <c r="F12" s="27"/>
      <c r="G12" s="38"/>
    </row>
    <row r="13" spans="1:7" x14ac:dyDescent="0.2">
      <c r="A13" s="12"/>
      <c r="B13" s="12"/>
      <c r="C13" s="14" t="s">
        <v>32</v>
      </c>
      <c r="D13" s="13"/>
      <c r="E13" s="37"/>
      <c r="F13" s="27"/>
      <c r="G13" s="38"/>
    </row>
    <row r="14" spans="1:7" s="12" customFormat="1" x14ac:dyDescent="0.2">
      <c r="C14" s="12" t="s">
        <v>7</v>
      </c>
      <c r="D14" s="15">
        <v>7.0000000000000007E-2</v>
      </c>
      <c r="E14" s="16">
        <f>E11*D14</f>
        <v>0</v>
      </c>
      <c r="G14" s="16">
        <f>G11*D14</f>
        <v>0</v>
      </c>
    </row>
    <row r="15" spans="1:7" s="12" customFormat="1" x14ac:dyDescent="0.2">
      <c r="C15" s="12" t="s">
        <v>8</v>
      </c>
      <c r="D15" s="15">
        <v>0.6</v>
      </c>
      <c r="E15" s="16">
        <f>E12*D15</f>
        <v>0</v>
      </c>
      <c r="G15" s="16">
        <f>G12*D15</f>
        <v>0</v>
      </c>
    </row>
    <row r="16" spans="1:7" s="12" customFormat="1" x14ac:dyDescent="0.2">
      <c r="C16" s="12" t="s">
        <v>29</v>
      </c>
      <c r="D16" s="15">
        <v>0.02</v>
      </c>
      <c r="E16" s="16">
        <f>E13*D16</f>
        <v>0</v>
      </c>
      <c r="G16" s="16">
        <f>G13*D16</f>
        <v>0</v>
      </c>
    </row>
    <row r="17" spans="1:7" s="25" customFormat="1" x14ac:dyDescent="0.2">
      <c r="A17" s="25" t="s">
        <v>19</v>
      </c>
      <c r="D17" s="23"/>
      <c r="E17" s="17">
        <f>SUM(E14:E16)</f>
        <v>0</v>
      </c>
      <c r="G17" s="17">
        <f>SUM(G14:G16)</f>
        <v>0</v>
      </c>
    </row>
    <row r="18" spans="1:7" x14ac:dyDescent="0.2">
      <c r="E18" s="8"/>
      <c r="G18" s="8"/>
    </row>
    <row r="19" spans="1:7" x14ac:dyDescent="0.2">
      <c r="A19" s="25" t="s">
        <v>10</v>
      </c>
      <c r="B19" s="12"/>
      <c r="E19" s="8"/>
      <c r="F19" s="2" t="s">
        <v>22</v>
      </c>
      <c r="G19" s="8"/>
    </row>
    <row r="20" spans="1:7" x14ac:dyDescent="0.2">
      <c r="A20" s="12"/>
      <c r="B20" s="12" t="s">
        <v>11</v>
      </c>
      <c r="C20" s="29"/>
      <c r="D20" s="27"/>
      <c r="E20" s="30"/>
      <c r="F20" s="31" t="s">
        <v>23</v>
      </c>
      <c r="G20" s="30"/>
    </row>
    <row r="21" spans="1:7" x14ac:dyDescent="0.2">
      <c r="A21" s="12"/>
      <c r="B21" s="12"/>
      <c r="C21" s="29"/>
      <c r="D21" s="27"/>
      <c r="E21" s="30"/>
      <c r="F21" s="31"/>
      <c r="G21" s="30"/>
    </row>
    <row r="22" spans="1:7" x14ac:dyDescent="0.2">
      <c r="A22" s="12"/>
      <c r="B22" s="12"/>
      <c r="C22" s="29"/>
      <c r="D22" s="27"/>
      <c r="E22" s="30"/>
      <c r="F22" s="31"/>
      <c r="G22" s="30"/>
    </row>
    <row r="23" spans="1:7" x14ac:dyDescent="0.2">
      <c r="A23" s="12"/>
      <c r="B23" s="12"/>
      <c r="C23" s="29"/>
      <c r="D23" s="27"/>
      <c r="E23" s="30"/>
      <c r="F23" s="31"/>
      <c r="G23" s="30"/>
    </row>
    <row r="24" spans="1:7" x14ac:dyDescent="0.2">
      <c r="A24" s="12"/>
      <c r="B24" s="12"/>
      <c r="C24" s="29"/>
      <c r="D24" s="27"/>
      <c r="E24" s="30"/>
      <c r="F24" s="31"/>
      <c r="G24" s="30"/>
    </row>
    <row r="25" spans="1:7" x14ac:dyDescent="0.2">
      <c r="A25" s="12"/>
      <c r="B25" s="12" t="s">
        <v>12</v>
      </c>
      <c r="C25" s="29"/>
      <c r="D25" s="27"/>
      <c r="E25" s="30"/>
      <c r="F25" s="31"/>
      <c r="G25" s="30"/>
    </row>
    <row r="26" spans="1:7" x14ac:dyDescent="0.2">
      <c r="A26" s="12"/>
      <c r="B26" s="12"/>
      <c r="C26" s="29"/>
      <c r="D26" s="27"/>
      <c r="E26" s="30"/>
      <c r="F26" s="31"/>
      <c r="G26" s="30"/>
    </row>
    <row r="27" spans="1:7" x14ac:dyDescent="0.2">
      <c r="A27" s="12"/>
      <c r="B27" s="12"/>
      <c r="C27" s="29"/>
      <c r="D27" s="27"/>
      <c r="E27" s="30"/>
      <c r="F27" s="31"/>
      <c r="G27" s="30"/>
    </row>
    <row r="28" spans="1:7" x14ac:dyDescent="0.2">
      <c r="A28" s="12"/>
      <c r="B28" s="12" t="s">
        <v>13</v>
      </c>
      <c r="C28" s="29"/>
      <c r="D28" s="27"/>
      <c r="E28" s="30"/>
      <c r="F28" s="31"/>
      <c r="G28" s="30"/>
    </row>
    <row r="29" spans="1:7" x14ac:dyDescent="0.2">
      <c r="A29" s="12"/>
      <c r="B29" s="12"/>
      <c r="C29" s="29"/>
      <c r="D29" s="27"/>
      <c r="E29" s="30"/>
      <c r="F29" s="31"/>
      <c r="G29" s="30"/>
    </row>
    <row r="30" spans="1:7" x14ac:dyDescent="0.2">
      <c r="A30" s="12"/>
      <c r="B30" s="12"/>
      <c r="C30" s="29"/>
      <c r="D30" s="27"/>
      <c r="E30" s="30"/>
      <c r="F30" s="31"/>
      <c r="G30" s="30"/>
    </row>
    <row r="31" spans="1:7" x14ac:dyDescent="0.2">
      <c r="A31" s="12"/>
      <c r="B31" s="12"/>
      <c r="C31" s="29"/>
      <c r="D31" s="27"/>
      <c r="E31" s="30"/>
      <c r="F31" s="31"/>
      <c r="G31" s="30"/>
    </row>
    <row r="32" spans="1:7" x14ac:dyDescent="0.2">
      <c r="B32" s="12" t="s">
        <v>14</v>
      </c>
      <c r="C32" s="29"/>
      <c r="D32" s="27"/>
      <c r="E32" s="30"/>
      <c r="F32" s="31"/>
      <c r="G32" s="30"/>
    </row>
    <row r="33" spans="1:7" x14ac:dyDescent="0.2">
      <c r="B33" s="12"/>
      <c r="C33" s="29"/>
      <c r="D33" s="27"/>
      <c r="E33" s="30"/>
      <c r="F33" s="31"/>
      <c r="G33" s="30"/>
    </row>
    <row r="34" spans="1:7" x14ac:dyDescent="0.2">
      <c r="B34" s="12"/>
      <c r="C34" s="29"/>
      <c r="D34" s="27"/>
      <c r="E34" s="30"/>
      <c r="F34" s="31"/>
      <c r="G34" s="30"/>
    </row>
    <row r="35" spans="1:7" x14ac:dyDescent="0.2">
      <c r="B35" s="12" t="s">
        <v>17</v>
      </c>
      <c r="C35" s="14"/>
      <c r="D35" s="12"/>
      <c r="E35" s="27"/>
      <c r="F35" s="27"/>
      <c r="G35" s="28"/>
    </row>
    <row r="36" spans="1:7" s="12" customFormat="1" x14ac:dyDescent="0.2">
      <c r="B36" s="12" t="s">
        <v>15</v>
      </c>
      <c r="C36" s="12" t="s">
        <v>16</v>
      </c>
      <c r="D36" s="15">
        <v>20</v>
      </c>
      <c r="E36" s="16">
        <f>D36*E35</f>
        <v>0</v>
      </c>
      <c r="F36" s="14"/>
      <c r="G36" s="16">
        <f>G35*D36</f>
        <v>0</v>
      </c>
    </row>
    <row r="37" spans="1:7" s="12" customFormat="1" x14ac:dyDescent="0.2">
      <c r="E37" s="16"/>
      <c r="F37" s="14"/>
      <c r="G37" s="16"/>
    </row>
    <row r="38" spans="1:7" s="12" customFormat="1" x14ac:dyDescent="0.2">
      <c r="E38" s="19"/>
      <c r="F38" s="14"/>
      <c r="G38" s="19"/>
    </row>
    <row r="39" spans="1:7" s="25" customFormat="1" x14ac:dyDescent="0.2">
      <c r="A39" s="25" t="s">
        <v>18</v>
      </c>
      <c r="E39" s="17">
        <f>SUM(E20:E34)+SUM(E36:E38)</f>
        <v>0</v>
      </c>
      <c r="F39" s="18"/>
      <c r="G39" s="17">
        <f>SUM(G20:G34)+SUM(G36:G38)</f>
        <v>0</v>
      </c>
    </row>
    <row r="40" spans="1:7" s="25" customFormat="1" ht="15" customHeight="1" x14ac:dyDescent="0.2">
      <c r="E40" s="20"/>
      <c r="F40" s="18"/>
      <c r="G40" s="20"/>
    </row>
    <row r="41" spans="1:7" s="25" customFormat="1" x14ac:dyDescent="0.2">
      <c r="A41" s="25" t="s">
        <v>20</v>
      </c>
      <c r="E41" s="17">
        <f>E17-E39</f>
        <v>0</v>
      </c>
      <c r="F41" s="18"/>
      <c r="G41" s="17">
        <f>G17-G39</f>
        <v>0</v>
      </c>
    </row>
    <row r="42" spans="1:7" s="12" customFormat="1" x14ac:dyDescent="0.2">
      <c r="E42" s="19"/>
      <c r="F42" s="14"/>
      <c r="G42" s="19"/>
    </row>
    <row r="43" spans="1:7" s="25" customFormat="1" x14ac:dyDescent="0.2">
      <c r="A43" s="25" t="s">
        <v>33</v>
      </c>
      <c r="E43" s="17"/>
      <c r="F43" s="18"/>
      <c r="G43" s="21" t="e">
        <f>E39/G41</f>
        <v>#DIV/0!</v>
      </c>
    </row>
    <row r="44" spans="1:7" s="12" customFormat="1" x14ac:dyDescent="0.2">
      <c r="E44" s="14"/>
      <c r="F44" s="14"/>
      <c r="G44" s="22"/>
    </row>
  </sheetData>
  <sheetProtection algorithmName="SHA-512" hashValue="xTQYPR5pJs0w5GI0xLebFPFQgJBoBszNyz4hE/oIu+lSVK+CMz6rPvpMGY54CCumvQqJRVnp+kp1+4WcVVYJsw==" saltValue="JoYW6o3Uuf8iTi0/1a0RaQ==" spinCount="100000" sheet="1" objects="1" scenarios="1"/>
  <protectedRanges>
    <protectedRange sqref="E11:G13 E35:G35 C20:G34 C4:G7" name="formula"/>
  </protectedRanges>
  <pageMargins left="0.7" right="0.7" top="0.75" bottom="0.75" header="0.3" footer="0.3"/>
  <pageSetup scale="7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workbookViewId="0">
      <selection activeCell="C6" sqref="C6:C7"/>
    </sheetView>
  </sheetViews>
  <sheetFormatPr defaultRowHeight="14.25" x14ac:dyDescent="0.2"/>
  <cols>
    <col min="1" max="1" width="2.42578125" style="2" customWidth="1"/>
    <col min="2" max="2" width="25.5703125" style="2" customWidth="1"/>
    <col min="3" max="3" width="27.85546875" style="2" customWidth="1"/>
    <col min="4" max="4" width="11.140625" style="2" bestFit="1" customWidth="1"/>
    <col min="5" max="5" width="19.7109375" style="2" customWidth="1"/>
    <col min="6" max="6" width="12" style="2" bestFit="1" customWidth="1"/>
    <col min="7" max="7" width="19.7109375" style="2" customWidth="1"/>
    <col min="8" max="16384" width="9.140625" style="2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1" t="s">
        <v>1</v>
      </c>
      <c r="B2" s="1"/>
      <c r="C2" s="1"/>
      <c r="D2" s="1"/>
      <c r="E2" s="1"/>
      <c r="F2" s="1"/>
      <c r="G2" s="1"/>
    </row>
    <row r="4" spans="1:7" x14ac:dyDescent="0.2">
      <c r="A4" s="4" t="s">
        <v>3</v>
      </c>
      <c r="B4" s="4"/>
      <c r="C4" s="29" t="s">
        <v>24</v>
      </c>
      <c r="D4" s="29"/>
      <c r="E4" s="29"/>
      <c r="F4" s="29"/>
      <c r="G4" s="29"/>
    </row>
    <row r="5" spans="1:7" x14ac:dyDescent="0.2">
      <c r="A5" s="4" t="s">
        <v>2</v>
      </c>
      <c r="B5" s="4"/>
      <c r="C5" s="39">
        <v>41597</v>
      </c>
      <c r="D5" s="36"/>
      <c r="E5" s="36"/>
      <c r="F5" s="36"/>
      <c r="G5" s="36"/>
    </row>
    <row r="6" spans="1:7" x14ac:dyDescent="0.2">
      <c r="A6" s="4" t="s">
        <v>4</v>
      </c>
      <c r="B6" s="4"/>
      <c r="C6" s="36" t="s">
        <v>25</v>
      </c>
      <c r="D6" s="36"/>
      <c r="E6" s="36"/>
      <c r="F6" s="36"/>
      <c r="G6" s="36"/>
    </row>
    <row r="9" spans="1:7" x14ac:dyDescent="0.2">
      <c r="E9" s="3" t="s">
        <v>9</v>
      </c>
      <c r="F9" s="3"/>
      <c r="G9" s="3" t="s">
        <v>21</v>
      </c>
    </row>
    <row r="10" spans="1:7" x14ac:dyDescent="0.2">
      <c r="A10" s="4" t="s">
        <v>5</v>
      </c>
    </row>
    <row r="11" spans="1:7" x14ac:dyDescent="0.2">
      <c r="B11" s="2" t="s">
        <v>6</v>
      </c>
      <c r="C11" s="2" t="s">
        <v>30</v>
      </c>
      <c r="E11" s="27">
        <v>100</v>
      </c>
      <c r="F11" s="27"/>
      <c r="G11" s="27">
        <v>500</v>
      </c>
    </row>
    <row r="12" spans="1:7" x14ac:dyDescent="0.2">
      <c r="C12" s="2" t="s">
        <v>31</v>
      </c>
      <c r="E12" s="27">
        <v>20</v>
      </c>
      <c r="F12" s="27"/>
      <c r="G12" s="27">
        <v>100</v>
      </c>
    </row>
    <row r="13" spans="1:7" x14ac:dyDescent="0.2">
      <c r="C13" s="2" t="s">
        <v>32</v>
      </c>
      <c r="E13" s="27"/>
      <c r="F13" s="27"/>
      <c r="G13" s="27"/>
    </row>
    <row r="14" spans="1:7" x14ac:dyDescent="0.2">
      <c r="C14" s="2" t="s">
        <v>7</v>
      </c>
      <c r="D14" s="26">
        <v>7.0000000000000007E-2</v>
      </c>
      <c r="E14" s="5">
        <f>E11*D14</f>
        <v>7.0000000000000009</v>
      </c>
      <c r="G14" s="5">
        <f>G11*D14</f>
        <v>35</v>
      </c>
    </row>
    <row r="15" spans="1:7" x14ac:dyDescent="0.2">
      <c r="C15" s="2" t="s">
        <v>8</v>
      </c>
      <c r="D15" s="26">
        <v>0.6</v>
      </c>
      <c r="E15" s="5">
        <f>E12*D15</f>
        <v>12</v>
      </c>
      <c r="G15" s="5">
        <f>G12*D15</f>
        <v>60</v>
      </c>
    </row>
    <row r="16" spans="1:7" x14ac:dyDescent="0.2">
      <c r="C16" s="2" t="s">
        <v>29</v>
      </c>
      <c r="D16" s="26">
        <v>0.02</v>
      </c>
      <c r="E16" s="5">
        <f>E13*D16</f>
        <v>0</v>
      </c>
      <c r="G16" s="5">
        <f>G13*D16</f>
        <v>0</v>
      </c>
    </row>
    <row r="17" spans="1:7" s="4" customFormat="1" x14ac:dyDescent="0.2">
      <c r="A17" s="4" t="s">
        <v>19</v>
      </c>
      <c r="D17" s="6"/>
      <c r="E17" s="7">
        <f>SUM(E14:E16)</f>
        <v>19</v>
      </c>
      <c r="G17" s="7">
        <f>SUM(G14:G16)</f>
        <v>95</v>
      </c>
    </row>
    <row r="18" spans="1:7" x14ac:dyDescent="0.2">
      <c r="E18" s="8"/>
      <c r="G18" s="8"/>
    </row>
    <row r="19" spans="1:7" x14ac:dyDescent="0.2">
      <c r="A19" s="4" t="s">
        <v>10</v>
      </c>
      <c r="C19" s="27"/>
      <c r="D19" s="27"/>
      <c r="E19" s="28"/>
      <c r="F19" s="27" t="s">
        <v>22</v>
      </c>
      <c r="G19" s="28"/>
    </row>
    <row r="20" spans="1:7" x14ac:dyDescent="0.2">
      <c r="B20" s="2" t="s">
        <v>11</v>
      </c>
      <c r="C20" s="29" t="s">
        <v>26</v>
      </c>
      <c r="D20" s="27"/>
      <c r="E20" s="30">
        <v>35000</v>
      </c>
      <c r="F20" s="31" t="s">
        <v>27</v>
      </c>
      <c r="G20" s="30"/>
    </row>
    <row r="21" spans="1:7" x14ac:dyDescent="0.2">
      <c r="C21" s="32" t="s">
        <v>34</v>
      </c>
      <c r="D21" s="33"/>
      <c r="E21" s="34" t="s">
        <v>35</v>
      </c>
      <c r="F21" s="35" t="s">
        <v>36</v>
      </c>
      <c r="G21" s="30"/>
    </row>
    <row r="22" spans="1:7" x14ac:dyDescent="0.2">
      <c r="C22" s="29"/>
      <c r="D22" s="27"/>
      <c r="E22" s="30"/>
      <c r="F22" s="31"/>
      <c r="G22" s="30"/>
    </row>
    <row r="23" spans="1:7" x14ac:dyDescent="0.2">
      <c r="C23" s="29"/>
      <c r="D23" s="27"/>
      <c r="E23" s="30"/>
      <c r="F23" s="31"/>
      <c r="G23" s="30"/>
    </row>
    <row r="24" spans="1:7" x14ac:dyDescent="0.2">
      <c r="C24" s="29"/>
      <c r="D24" s="27"/>
      <c r="E24" s="30"/>
      <c r="F24" s="31"/>
      <c r="G24" s="30"/>
    </row>
    <row r="25" spans="1:7" x14ac:dyDescent="0.2">
      <c r="B25" s="2" t="s">
        <v>12</v>
      </c>
      <c r="C25" s="29" t="s">
        <v>28</v>
      </c>
      <c r="D25" s="27"/>
      <c r="E25" s="30">
        <v>10000</v>
      </c>
      <c r="F25" s="31" t="s">
        <v>27</v>
      </c>
      <c r="G25" s="30"/>
    </row>
    <row r="26" spans="1:7" x14ac:dyDescent="0.2">
      <c r="C26" s="29"/>
      <c r="D26" s="27"/>
      <c r="E26" s="30"/>
      <c r="F26" s="31"/>
      <c r="G26" s="30"/>
    </row>
    <row r="27" spans="1:7" x14ac:dyDescent="0.2">
      <c r="C27" s="29"/>
      <c r="D27" s="27"/>
      <c r="E27" s="30"/>
      <c r="F27" s="31"/>
      <c r="G27" s="30"/>
    </row>
    <row r="28" spans="1:7" x14ac:dyDescent="0.2">
      <c r="B28" s="2" t="s">
        <v>13</v>
      </c>
      <c r="C28" s="29"/>
      <c r="D28" s="27"/>
      <c r="E28" s="30"/>
      <c r="F28" s="31"/>
      <c r="G28" s="30"/>
    </row>
    <row r="29" spans="1:7" x14ac:dyDescent="0.2">
      <c r="C29" s="29"/>
      <c r="D29" s="27"/>
      <c r="E29" s="30"/>
      <c r="F29" s="31"/>
      <c r="G29" s="30"/>
    </row>
    <row r="30" spans="1:7" x14ac:dyDescent="0.2">
      <c r="C30" s="29"/>
      <c r="D30" s="27"/>
      <c r="E30" s="30"/>
      <c r="F30" s="31"/>
      <c r="G30" s="30"/>
    </row>
    <row r="31" spans="1:7" x14ac:dyDescent="0.2">
      <c r="C31" s="29"/>
      <c r="D31" s="27"/>
      <c r="E31" s="30"/>
      <c r="F31" s="31"/>
      <c r="G31" s="30"/>
    </row>
    <row r="32" spans="1:7" x14ac:dyDescent="0.2">
      <c r="B32" s="2" t="s">
        <v>14</v>
      </c>
      <c r="C32" s="29"/>
      <c r="D32" s="27"/>
      <c r="E32" s="30"/>
      <c r="F32" s="31"/>
      <c r="G32" s="30"/>
    </row>
    <row r="33" spans="1:7" x14ac:dyDescent="0.2">
      <c r="C33" s="29"/>
      <c r="D33" s="27"/>
      <c r="E33" s="30"/>
      <c r="F33" s="31"/>
      <c r="G33" s="30"/>
    </row>
    <row r="34" spans="1:7" x14ac:dyDescent="0.2">
      <c r="C34" s="29"/>
      <c r="D34" s="27"/>
      <c r="E34" s="30"/>
      <c r="F34" s="31"/>
      <c r="G34" s="30"/>
    </row>
    <row r="35" spans="1:7" x14ac:dyDescent="0.2">
      <c r="B35" s="2" t="s">
        <v>17</v>
      </c>
      <c r="C35" s="27"/>
      <c r="D35" s="27"/>
      <c r="E35" s="27">
        <v>2</v>
      </c>
      <c r="F35" s="27"/>
      <c r="G35" s="28"/>
    </row>
    <row r="36" spans="1:7" x14ac:dyDescent="0.2">
      <c r="B36" s="2" t="s">
        <v>15</v>
      </c>
      <c r="C36" s="2" t="s">
        <v>16</v>
      </c>
      <c r="D36" s="26">
        <v>20</v>
      </c>
      <c r="E36" s="5">
        <f>D36*E35</f>
        <v>40</v>
      </c>
      <c r="G36" s="5">
        <f>G35*D36</f>
        <v>0</v>
      </c>
    </row>
    <row r="37" spans="1:7" x14ac:dyDescent="0.2">
      <c r="E37" s="5"/>
      <c r="G37" s="5"/>
    </row>
    <row r="38" spans="1:7" x14ac:dyDescent="0.2">
      <c r="E38" s="8"/>
      <c r="G38" s="8"/>
    </row>
    <row r="39" spans="1:7" s="4" customFormat="1" x14ac:dyDescent="0.2">
      <c r="A39" s="4" t="s">
        <v>18</v>
      </c>
      <c r="E39" s="7">
        <f>SUM(E20:E34)+SUM(E36:E38)</f>
        <v>45040</v>
      </c>
      <c r="G39" s="7">
        <f>SUM(G20:G34)+SUM(G36:G38)</f>
        <v>0</v>
      </c>
    </row>
    <row r="40" spans="1:7" s="4" customFormat="1" ht="15" customHeight="1" x14ac:dyDescent="0.2">
      <c r="E40" s="9"/>
      <c r="G40" s="9"/>
    </row>
    <row r="41" spans="1:7" s="4" customFormat="1" x14ac:dyDescent="0.2">
      <c r="A41" s="4" t="s">
        <v>20</v>
      </c>
      <c r="E41" s="7">
        <f>E17-E39</f>
        <v>-45021</v>
      </c>
      <c r="G41" s="7">
        <f>G17-G39</f>
        <v>95</v>
      </c>
    </row>
    <row r="42" spans="1:7" x14ac:dyDescent="0.2">
      <c r="E42" s="8"/>
      <c r="G42" s="8"/>
    </row>
    <row r="43" spans="1:7" s="4" customFormat="1" x14ac:dyDescent="0.2">
      <c r="A43" s="4" t="s">
        <v>33</v>
      </c>
      <c r="E43" s="7"/>
      <c r="G43" s="11">
        <f>E39/G41</f>
        <v>474.10526315789474</v>
      </c>
    </row>
    <row r="44" spans="1:7" x14ac:dyDescent="0.2">
      <c r="G44" s="10"/>
    </row>
  </sheetData>
  <pageMargins left="0.7" right="0.7" top="0.75" bottom="0.75" header="0.3" footer="0.3"/>
  <pageSetup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</vt:lpstr>
    </vt:vector>
  </TitlesOfParts>
  <Company>Northland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</dc:creator>
  <cp:lastModifiedBy>Image</cp:lastModifiedBy>
  <cp:lastPrinted>2013-11-19T16:39:50Z</cp:lastPrinted>
  <dcterms:created xsi:type="dcterms:W3CDTF">2013-11-19T16:24:31Z</dcterms:created>
  <dcterms:modified xsi:type="dcterms:W3CDTF">2013-11-20T17:25:28Z</dcterms:modified>
</cp:coreProperties>
</file>