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15" windowWidth="19875" windowHeight="7200"/>
  </bookViews>
  <sheets>
    <sheet name="Total per Region" sheetId="2" r:id="rId1"/>
    <sheet name="Region 1" sheetId="4" r:id="rId2"/>
    <sheet name="Region 2" sheetId="5" r:id="rId3"/>
    <sheet name="Region 3" sheetId="6" r:id="rId4"/>
    <sheet name="Region 4" sheetId="7" r:id="rId5"/>
    <sheet name="Region 5" sheetId="8" r:id="rId6"/>
    <sheet name="Region 6E" sheetId="9" r:id="rId7"/>
    <sheet name="Region 6W" sheetId="10" r:id="rId8"/>
    <sheet name="Region 7E" sheetId="11" r:id="rId9"/>
    <sheet name="Region 7W" sheetId="12" r:id="rId10"/>
    <sheet name="Region 8" sheetId="13" r:id="rId11"/>
    <sheet name="Region 9" sheetId="14" r:id="rId12"/>
    <sheet name="Region 10" sheetId="15" r:id="rId13"/>
    <sheet name="Region 11" sheetId="16" r:id="rId14"/>
  </sheets>
  <calcPr calcId="145621"/>
</workbook>
</file>

<file path=xl/calcChain.xml><?xml version="1.0" encoding="utf-8"?>
<calcChain xmlns="http://schemas.openxmlformats.org/spreadsheetml/2006/main">
  <c r="P16" i="16" l="1"/>
  <c r="P17" i="16"/>
  <c r="P18" i="16"/>
  <c r="P19" i="16"/>
  <c r="P20" i="16"/>
  <c r="P21" i="16"/>
  <c r="P22" i="16"/>
  <c r="P23" i="16"/>
  <c r="P24" i="16"/>
  <c r="P25" i="16"/>
  <c r="P26" i="16"/>
  <c r="P27" i="16"/>
  <c r="P28" i="16"/>
  <c r="P29" i="16"/>
  <c r="P30" i="16"/>
  <c r="P31" i="16"/>
  <c r="P32" i="16"/>
  <c r="P33" i="16"/>
  <c r="P34" i="16"/>
  <c r="P35" i="16"/>
  <c r="P36" i="16"/>
  <c r="P37" i="16"/>
  <c r="P38" i="16"/>
  <c r="P39" i="16"/>
  <c r="P40" i="16"/>
  <c r="P41" i="16"/>
  <c r="P42" i="16"/>
  <c r="P43" i="16"/>
  <c r="P44" i="16"/>
  <c r="P45" i="16"/>
  <c r="P46" i="16"/>
  <c r="P47" i="16"/>
  <c r="P48" i="16"/>
  <c r="P49" i="16"/>
  <c r="P50" i="16"/>
  <c r="P51" i="16"/>
  <c r="P52" i="16"/>
  <c r="P53" i="16"/>
  <c r="P54" i="16"/>
  <c r="P55" i="16"/>
  <c r="P56" i="16"/>
  <c r="P57" i="16"/>
  <c r="P58" i="16"/>
  <c r="P59" i="16"/>
  <c r="P60" i="16"/>
  <c r="P61" i="16"/>
  <c r="P62" i="16"/>
  <c r="P15" i="16"/>
  <c r="O16" i="16"/>
  <c r="O17" i="16"/>
  <c r="O18" i="16"/>
  <c r="O19" i="16"/>
  <c r="O20" i="16"/>
  <c r="O21" i="16"/>
  <c r="O22" i="16"/>
  <c r="O23" i="16"/>
  <c r="O24" i="16"/>
  <c r="O25" i="16"/>
  <c r="O26" i="16"/>
  <c r="O27" i="16"/>
  <c r="O28" i="16"/>
  <c r="O29" i="16"/>
  <c r="O30" i="16"/>
  <c r="O31" i="16"/>
  <c r="O32" i="16"/>
  <c r="O33" i="16"/>
  <c r="O34" i="16"/>
  <c r="O35" i="16"/>
  <c r="O36" i="16"/>
  <c r="O37" i="16"/>
  <c r="O38" i="16"/>
  <c r="O39" i="16"/>
  <c r="O40" i="16"/>
  <c r="O41" i="16"/>
  <c r="O42" i="16"/>
  <c r="O43" i="16"/>
  <c r="O44" i="16"/>
  <c r="O45" i="16"/>
  <c r="O46" i="16"/>
  <c r="O47" i="16"/>
  <c r="O48" i="16"/>
  <c r="O49" i="16"/>
  <c r="O50" i="16"/>
  <c r="O51" i="16"/>
  <c r="O52" i="16"/>
  <c r="O53" i="16"/>
  <c r="O54" i="16"/>
  <c r="O55" i="16"/>
  <c r="O56" i="16"/>
  <c r="O57" i="16"/>
  <c r="O58" i="16"/>
  <c r="O59" i="16"/>
  <c r="O60" i="16"/>
  <c r="O61" i="16"/>
  <c r="O62" i="16"/>
  <c r="O15" i="16"/>
  <c r="P16" i="15"/>
  <c r="P17" i="15"/>
  <c r="P18" i="15"/>
  <c r="P19" i="15"/>
  <c r="P20" i="15"/>
  <c r="P21" i="15"/>
  <c r="P22" i="15"/>
  <c r="P23" i="15"/>
  <c r="P24" i="15"/>
  <c r="P25" i="15"/>
  <c r="P26" i="15"/>
  <c r="P27" i="15"/>
  <c r="P28" i="15"/>
  <c r="P29" i="15"/>
  <c r="P30" i="15"/>
  <c r="P31" i="15"/>
  <c r="P32" i="15"/>
  <c r="P33" i="15"/>
  <c r="P34" i="15"/>
  <c r="P35" i="15"/>
  <c r="P36" i="15"/>
  <c r="P37" i="15"/>
  <c r="P38" i="15"/>
  <c r="P39" i="15"/>
  <c r="P40" i="15"/>
  <c r="P41" i="15"/>
  <c r="P42" i="15"/>
  <c r="P43" i="15"/>
  <c r="P44" i="15"/>
  <c r="P45" i="15"/>
  <c r="P46" i="15"/>
  <c r="P47" i="15"/>
  <c r="P48" i="15"/>
  <c r="P49" i="15"/>
  <c r="P50" i="15"/>
  <c r="P51" i="15"/>
  <c r="P52" i="15"/>
  <c r="P53" i="15"/>
  <c r="P54" i="15"/>
  <c r="P55" i="15"/>
  <c r="P56" i="15"/>
  <c r="P15" i="15"/>
  <c r="O16" i="15"/>
  <c r="O17" i="15"/>
  <c r="O18" i="15"/>
  <c r="O19" i="15"/>
  <c r="O20" i="15"/>
  <c r="O21" i="15"/>
  <c r="O22" i="15"/>
  <c r="O23" i="15"/>
  <c r="O24" i="15"/>
  <c r="O25" i="15"/>
  <c r="O26" i="15"/>
  <c r="O27" i="15"/>
  <c r="O28" i="15"/>
  <c r="O29" i="15"/>
  <c r="O30" i="15"/>
  <c r="O31" i="15"/>
  <c r="O32" i="15"/>
  <c r="O33" i="15"/>
  <c r="O34" i="15"/>
  <c r="O35" i="15"/>
  <c r="O36" i="15"/>
  <c r="O37" i="15"/>
  <c r="O38" i="15"/>
  <c r="O39" i="15"/>
  <c r="O40" i="15"/>
  <c r="O41" i="15"/>
  <c r="O42" i="15"/>
  <c r="O43" i="15"/>
  <c r="O44" i="15"/>
  <c r="O45" i="15"/>
  <c r="O46" i="15"/>
  <c r="O47" i="15"/>
  <c r="O48" i="15"/>
  <c r="O49" i="15"/>
  <c r="O50" i="15"/>
  <c r="O51" i="15"/>
  <c r="O52" i="15"/>
  <c r="O53" i="15"/>
  <c r="O54" i="15"/>
  <c r="O55" i="15"/>
  <c r="O56" i="15"/>
  <c r="O15" i="15"/>
  <c r="P16" i="14"/>
  <c r="P17" i="14"/>
  <c r="P18" i="14"/>
  <c r="P19" i="14"/>
  <c r="P20" i="14"/>
  <c r="P21" i="14"/>
  <c r="P22" i="14"/>
  <c r="P23" i="14"/>
  <c r="P24" i="14"/>
  <c r="P25" i="14"/>
  <c r="P26" i="14"/>
  <c r="P27" i="14"/>
  <c r="P28" i="14"/>
  <c r="P29" i="14"/>
  <c r="P30" i="14"/>
  <c r="P31" i="14"/>
  <c r="P32" i="14"/>
  <c r="P33" i="14"/>
  <c r="P34" i="14"/>
  <c r="P35" i="14"/>
  <c r="P36" i="14"/>
  <c r="P37" i="14"/>
  <c r="P38" i="14"/>
  <c r="P39" i="14"/>
  <c r="P40" i="14"/>
  <c r="P41" i="14"/>
  <c r="P42" i="14"/>
  <c r="P15" i="14"/>
  <c r="O16" i="14"/>
  <c r="O17" i="14"/>
  <c r="O18" i="14"/>
  <c r="O19" i="14"/>
  <c r="O20" i="14"/>
  <c r="O21" i="14"/>
  <c r="O22" i="14"/>
  <c r="O23" i="14"/>
  <c r="O24" i="14"/>
  <c r="O25" i="14"/>
  <c r="O26" i="14"/>
  <c r="O27" i="14"/>
  <c r="O28" i="14"/>
  <c r="O29" i="14"/>
  <c r="O30" i="14"/>
  <c r="O31" i="14"/>
  <c r="O32" i="14"/>
  <c r="O33" i="14"/>
  <c r="O34" i="14"/>
  <c r="O35" i="14"/>
  <c r="O36" i="14"/>
  <c r="O37" i="14"/>
  <c r="O38" i="14"/>
  <c r="O39" i="14"/>
  <c r="O40" i="14"/>
  <c r="O41" i="14"/>
  <c r="O42" i="14"/>
  <c r="O15" i="14"/>
  <c r="P16" i="13"/>
  <c r="P17" i="13"/>
  <c r="P18" i="13"/>
  <c r="P19" i="13"/>
  <c r="P20" i="13"/>
  <c r="P21" i="13"/>
  <c r="P22" i="13"/>
  <c r="P23" i="13"/>
  <c r="P24" i="13"/>
  <c r="P25" i="13"/>
  <c r="P26" i="13"/>
  <c r="P27" i="13"/>
  <c r="P28" i="13"/>
  <c r="P29" i="13"/>
  <c r="P30" i="13"/>
  <c r="P31" i="13"/>
  <c r="P32" i="13"/>
  <c r="P33" i="13"/>
  <c r="P34" i="13"/>
  <c r="P35" i="13"/>
  <c r="P36" i="13"/>
  <c r="P37" i="13"/>
  <c r="P38" i="13"/>
  <c r="P39" i="13"/>
  <c r="P40" i="13"/>
  <c r="P41" i="13"/>
  <c r="P42" i="13"/>
  <c r="P43" i="13"/>
  <c r="P44" i="13"/>
  <c r="P15" i="13"/>
  <c r="O16" i="13"/>
  <c r="O17" i="13"/>
  <c r="O18" i="13"/>
  <c r="O19" i="13"/>
  <c r="O20" i="13"/>
  <c r="O21" i="13"/>
  <c r="O22" i="13"/>
  <c r="O23" i="13"/>
  <c r="O24" i="13"/>
  <c r="O25" i="13"/>
  <c r="O26" i="13"/>
  <c r="O27" i="13"/>
  <c r="O28" i="13"/>
  <c r="O29" i="13"/>
  <c r="O30" i="13"/>
  <c r="O31" i="13"/>
  <c r="O32" i="13"/>
  <c r="O33" i="13"/>
  <c r="O34" i="13"/>
  <c r="O35" i="13"/>
  <c r="O36" i="13"/>
  <c r="O37" i="13"/>
  <c r="O38" i="13"/>
  <c r="O39" i="13"/>
  <c r="O40" i="13"/>
  <c r="O41" i="13"/>
  <c r="O42" i="13"/>
  <c r="O43" i="13"/>
  <c r="O44" i="13"/>
  <c r="O15" i="13"/>
  <c r="P16" i="12"/>
  <c r="P17" i="12"/>
  <c r="P18" i="12"/>
  <c r="P19" i="12"/>
  <c r="P20" i="12"/>
  <c r="P21" i="12"/>
  <c r="P22" i="12"/>
  <c r="P23" i="12"/>
  <c r="P24" i="12"/>
  <c r="P25" i="12"/>
  <c r="P26" i="12"/>
  <c r="P27" i="12"/>
  <c r="P28" i="12"/>
  <c r="P29" i="12"/>
  <c r="P30" i="12"/>
  <c r="P31" i="12"/>
  <c r="P32" i="12"/>
  <c r="P33" i="12"/>
  <c r="P34" i="12"/>
  <c r="P35" i="12"/>
  <c r="P36" i="12"/>
  <c r="P37" i="12"/>
  <c r="P38" i="12"/>
  <c r="P15" i="12"/>
  <c r="O16" i="12"/>
  <c r="O17" i="12"/>
  <c r="O18" i="12"/>
  <c r="O19" i="12"/>
  <c r="O20" i="12"/>
  <c r="O21" i="12"/>
  <c r="O22" i="12"/>
  <c r="O23" i="12"/>
  <c r="O24" i="12"/>
  <c r="O25" i="12"/>
  <c r="O26" i="12"/>
  <c r="O27" i="12"/>
  <c r="O28" i="12"/>
  <c r="O29" i="12"/>
  <c r="O30" i="12"/>
  <c r="O31" i="12"/>
  <c r="O32" i="12"/>
  <c r="O33" i="12"/>
  <c r="O34" i="12"/>
  <c r="O35" i="12"/>
  <c r="O36" i="12"/>
  <c r="O37" i="12"/>
  <c r="O38" i="12"/>
  <c r="O15" i="12"/>
  <c r="P16" i="11"/>
  <c r="P17" i="11"/>
  <c r="P18" i="11"/>
  <c r="P19" i="11"/>
  <c r="P20" i="11"/>
  <c r="P21" i="11"/>
  <c r="P22" i="11"/>
  <c r="P23" i="11"/>
  <c r="P24" i="11"/>
  <c r="P25" i="11"/>
  <c r="P26" i="11"/>
  <c r="P27" i="11"/>
  <c r="P28" i="11"/>
  <c r="P29" i="11"/>
  <c r="P15" i="11"/>
  <c r="O16" i="11"/>
  <c r="O17" i="11"/>
  <c r="O18" i="11"/>
  <c r="O19" i="11"/>
  <c r="O20" i="11"/>
  <c r="O21" i="11"/>
  <c r="O22" i="11"/>
  <c r="O23" i="11"/>
  <c r="O24" i="11"/>
  <c r="O25" i="11"/>
  <c r="O26" i="11"/>
  <c r="O27" i="11"/>
  <c r="O28" i="11"/>
  <c r="O29" i="11"/>
  <c r="O15" i="11"/>
  <c r="P16" i="10"/>
  <c r="P17" i="10"/>
  <c r="P18" i="10"/>
  <c r="P19" i="10"/>
  <c r="P20" i="10"/>
  <c r="P21" i="10"/>
  <c r="P22" i="10"/>
  <c r="P23" i="10"/>
  <c r="P24" i="10"/>
  <c r="P15" i="10"/>
  <c r="O16" i="10"/>
  <c r="O17" i="10"/>
  <c r="O18" i="10"/>
  <c r="O19" i="10"/>
  <c r="O20" i="10"/>
  <c r="O21" i="10"/>
  <c r="O22" i="10"/>
  <c r="O23" i="10"/>
  <c r="O24" i="10"/>
  <c r="O15" i="10"/>
  <c r="P16" i="9"/>
  <c r="P17" i="9"/>
  <c r="P18" i="9"/>
  <c r="P19" i="9"/>
  <c r="P20" i="9"/>
  <c r="P21" i="9"/>
  <c r="P22" i="9"/>
  <c r="P23" i="9"/>
  <c r="P24" i="9"/>
  <c r="P25" i="9"/>
  <c r="P15" i="9"/>
  <c r="O16" i="9"/>
  <c r="O17" i="9"/>
  <c r="O18" i="9"/>
  <c r="O19" i="9"/>
  <c r="O20" i="9"/>
  <c r="O21" i="9"/>
  <c r="O22" i="9"/>
  <c r="O23" i="9"/>
  <c r="O24" i="9"/>
  <c r="O25" i="9"/>
  <c r="O15" i="9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35" i="8"/>
  <c r="O36" i="8"/>
  <c r="O15" i="8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P35" i="7"/>
  <c r="P36" i="7"/>
  <c r="P37" i="7"/>
  <c r="P38" i="7"/>
  <c r="P39" i="7"/>
  <c r="P40" i="7"/>
  <c r="P41" i="7"/>
  <c r="P42" i="7"/>
  <c r="P43" i="7"/>
  <c r="P44" i="7"/>
  <c r="P45" i="7"/>
  <c r="P46" i="7"/>
  <c r="P47" i="7"/>
  <c r="P48" i="7"/>
  <c r="P15" i="7"/>
  <c r="O16" i="7"/>
  <c r="O17" i="7"/>
  <c r="O18" i="7"/>
  <c r="O19" i="7"/>
  <c r="O20" i="7"/>
  <c r="O21" i="7"/>
  <c r="O22" i="7"/>
  <c r="O23" i="7"/>
  <c r="O24" i="7"/>
  <c r="O25" i="7"/>
  <c r="O26" i="7"/>
  <c r="O27" i="7"/>
  <c r="O28" i="7"/>
  <c r="O29" i="7"/>
  <c r="O30" i="7"/>
  <c r="O31" i="7"/>
  <c r="O32" i="7"/>
  <c r="O33" i="7"/>
  <c r="O34" i="7"/>
  <c r="O35" i="7"/>
  <c r="O36" i="7"/>
  <c r="O37" i="7"/>
  <c r="O38" i="7"/>
  <c r="O39" i="7"/>
  <c r="O40" i="7"/>
  <c r="O41" i="7"/>
  <c r="O42" i="7"/>
  <c r="O43" i="7"/>
  <c r="O44" i="7"/>
  <c r="O45" i="7"/>
  <c r="O46" i="7"/>
  <c r="O47" i="7"/>
  <c r="O48" i="7"/>
  <c r="O15" i="7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3" i="6"/>
  <c r="P34" i="6"/>
  <c r="P35" i="6"/>
  <c r="P36" i="6"/>
  <c r="P37" i="6"/>
  <c r="P38" i="6"/>
  <c r="P39" i="6"/>
  <c r="P40" i="6"/>
  <c r="P41" i="6"/>
  <c r="P42" i="6"/>
  <c r="P43" i="6"/>
  <c r="P44" i="6"/>
  <c r="P45" i="6"/>
  <c r="P46" i="6"/>
  <c r="P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3" i="6"/>
  <c r="O34" i="6"/>
  <c r="O35" i="6"/>
  <c r="O36" i="6"/>
  <c r="O37" i="6"/>
  <c r="O38" i="6"/>
  <c r="O39" i="6"/>
  <c r="O40" i="6"/>
  <c r="O41" i="6"/>
  <c r="O42" i="6"/>
  <c r="O43" i="6"/>
  <c r="O44" i="6"/>
  <c r="O45" i="6"/>
  <c r="O46" i="6"/>
  <c r="O15" i="6"/>
  <c r="P16" i="5"/>
  <c r="P17" i="5"/>
  <c r="P18" i="5"/>
  <c r="P19" i="5"/>
  <c r="P20" i="5"/>
  <c r="P21" i="5"/>
  <c r="P22" i="5"/>
  <c r="P23" i="5"/>
  <c r="P24" i="5"/>
  <c r="P25" i="5"/>
  <c r="P26" i="5"/>
  <c r="P15" i="5"/>
  <c r="O16" i="5"/>
  <c r="O17" i="5"/>
  <c r="O18" i="5"/>
  <c r="O19" i="5"/>
  <c r="O20" i="5"/>
  <c r="O21" i="5"/>
  <c r="O22" i="5"/>
  <c r="O23" i="5"/>
  <c r="O24" i="5"/>
  <c r="O25" i="5"/>
  <c r="O26" i="5"/>
  <c r="O15" i="5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15" i="4"/>
  <c r="P30" i="11" l="1"/>
  <c r="N10" i="11"/>
  <c r="P43" i="14" l="1"/>
  <c r="P45" i="13"/>
  <c r="P39" i="1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28" i="2"/>
  <c r="R12" i="2" l="1"/>
  <c r="O12" i="2"/>
  <c r="L43" i="13" l="1"/>
  <c r="L44" i="13"/>
  <c r="M43" i="13" l="1"/>
  <c r="M44" i="13"/>
  <c r="H39" i="4" l="1"/>
  <c r="I39" i="4" s="1"/>
  <c r="H37" i="4"/>
  <c r="I37" i="4" s="1"/>
  <c r="H38" i="4"/>
  <c r="I38" i="4" s="1"/>
  <c r="H35" i="4"/>
  <c r="I35" i="4" s="1"/>
  <c r="H36" i="4"/>
  <c r="I36" i="4" s="1"/>
  <c r="H33" i="4"/>
  <c r="I33" i="4" s="1"/>
  <c r="H34" i="4"/>
  <c r="I34" i="4" s="1"/>
  <c r="H32" i="4"/>
  <c r="I32" i="4" s="1"/>
  <c r="H31" i="4"/>
  <c r="I31" i="4" s="1"/>
  <c r="H28" i="4"/>
  <c r="I28" i="4" s="1"/>
  <c r="H25" i="4"/>
  <c r="I25" i="4" s="1"/>
  <c r="H30" i="4"/>
  <c r="I30" i="4" s="1"/>
  <c r="H29" i="4"/>
  <c r="I29" i="4" s="1"/>
  <c r="H27" i="4"/>
  <c r="I27" i="4" s="1"/>
  <c r="H23" i="4"/>
  <c r="I23" i="4" s="1"/>
  <c r="H24" i="4"/>
  <c r="I24" i="4" s="1"/>
  <c r="H26" i="4"/>
  <c r="I26" i="4" s="1"/>
  <c r="H22" i="4"/>
  <c r="I22" i="4" s="1"/>
  <c r="H21" i="4"/>
  <c r="I21" i="4" s="1"/>
  <c r="H20" i="4"/>
  <c r="I20" i="4" s="1"/>
  <c r="H17" i="4"/>
  <c r="I17" i="4" s="1"/>
  <c r="H18" i="4"/>
  <c r="I18" i="4" s="1"/>
  <c r="H19" i="4"/>
  <c r="I19" i="4" s="1"/>
  <c r="H16" i="4"/>
  <c r="I16" i="4" s="1"/>
  <c r="H15" i="4"/>
  <c r="I15" i="4" s="1"/>
  <c r="H26" i="5"/>
  <c r="I26" i="5" s="1"/>
  <c r="H25" i="5"/>
  <c r="I25" i="5" s="1"/>
  <c r="H24" i="5"/>
  <c r="I24" i="5" s="1"/>
  <c r="H23" i="5"/>
  <c r="I23" i="5" s="1"/>
  <c r="H22" i="5"/>
  <c r="I22" i="5" s="1"/>
  <c r="H21" i="5"/>
  <c r="I21" i="5" s="1"/>
  <c r="H20" i="5"/>
  <c r="I20" i="5" s="1"/>
  <c r="H19" i="5"/>
  <c r="I19" i="5" s="1"/>
  <c r="H17" i="5"/>
  <c r="I17" i="5" s="1"/>
  <c r="H18" i="5"/>
  <c r="I18" i="5" s="1"/>
  <c r="H16" i="5"/>
  <c r="I16" i="5" s="1"/>
  <c r="H15" i="5"/>
  <c r="I15" i="5" s="1"/>
  <c r="H46" i="6"/>
  <c r="I46" i="6" s="1"/>
  <c r="H45" i="6"/>
  <c r="I45" i="6" s="1"/>
  <c r="H44" i="6"/>
  <c r="I44" i="6" s="1"/>
  <c r="H43" i="6"/>
  <c r="I43" i="6" s="1"/>
  <c r="H42" i="6"/>
  <c r="I42" i="6" s="1"/>
  <c r="H40" i="6"/>
  <c r="I40" i="6" s="1"/>
  <c r="H39" i="6"/>
  <c r="I39" i="6" s="1"/>
  <c r="H41" i="6"/>
  <c r="I41" i="6" s="1"/>
  <c r="H35" i="6"/>
  <c r="I35" i="6" s="1"/>
  <c r="H37" i="6"/>
  <c r="I37" i="6" s="1"/>
  <c r="H38" i="6"/>
  <c r="I38" i="6" s="1"/>
  <c r="H31" i="6"/>
  <c r="I31" i="6" s="1"/>
  <c r="H32" i="6"/>
  <c r="I32" i="6" s="1"/>
  <c r="H30" i="6"/>
  <c r="I30" i="6" s="1"/>
  <c r="H33" i="6"/>
  <c r="I33" i="6" s="1"/>
  <c r="H36" i="6"/>
  <c r="I36" i="6" s="1"/>
  <c r="H34" i="6"/>
  <c r="I34" i="6" s="1"/>
  <c r="H27" i="6"/>
  <c r="I27" i="6" s="1"/>
  <c r="H29" i="6"/>
  <c r="I29" i="6" s="1"/>
  <c r="H25" i="6"/>
  <c r="I25" i="6" s="1"/>
  <c r="H26" i="6"/>
  <c r="I26" i="6" s="1"/>
  <c r="H24" i="6"/>
  <c r="I24" i="6" s="1"/>
  <c r="H28" i="6"/>
  <c r="I28" i="6" s="1"/>
  <c r="H23" i="6"/>
  <c r="I23" i="6" s="1"/>
  <c r="H22" i="6"/>
  <c r="I22" i="6" s="1"/>
  <c r="H21" i="6"/>
  <c r="I21" i="6" s="1"/>
  <c r="H20" i="6"/>
  <c r="I20" i="6" s="1"/>
  <c r="H19" i="6"/>
  <c r="I19" i="6" s="1"/>
  <c r="H18" i="6"/>
  <c r="I18" i="6" s="1"/>
  <c r="H17" i="6"/>
  <c r="I17" i="6" s="1"/>
  <c r="H16" i="6"/>
  <c r="I16" i="6" s="1"/>
  <c r="H15" i="6"/>
  <c r="I15" i="6" s="1"/>
  <c r="H48" i="7"/>
  <c r="I48" i="7" s="1"/>
  <c r="H47" i="7"/>
  <c r="I47" i="7" s="1"/>
  <c r="H46" i="7"/>
  <c r="I46" i="7" s="1"/>
  <c r="H45" i="7"/>
  <c r="I45" i="7" s="1"/>
  <c r="H44" i="7"/>
  <c r="I44" i="7" s="1"/>
  <c r="H42" i="7"/>
  <c r="I42" i="7" s="1"/>
  <c r="H41" i="7"/>
  <c r="I41" i="7" s="1"/>
  <c r="H40" i="7"/>
  <c r="I40" i="7" s="1"/>
  <c r="H43" i="7"/>
  <c r="I43" i="7" s="1"/>
  <c r="H39" i="7"/>
  <c r="I39" i="7" s="1"/>
  <c r="H36" i="7"/>
  <c r="I36" i="7" s="1"/>
  <c r="H35" i="7"/>
  <c r="I35" i="7" s="1"/>
  <c r="H30" i="7"/>
  <c r="I30" i="7" s="1"/>
  <c r="H37" i="7"/>
  <c r="I37" i="7" s="1"/>
  <c r="H34" i="7"/>
  <c r="I34" i="7" s="1"/>
  <c r="H32" i="7"/>
  <c r="I32" i="7" s="1"/>
  <c r="H31" i="7"/>
  <c r="I31" i="7" s="1"/>
  <c r="H27" i="7"/>
  <c r="I27" i="7" s="1"/>
  <c r="H29" i="7"/>
  <c r="I29" i="7" s="1"/>
  <c r="H26" i="7"/>
  <c r="I26" i="7" s="1"/>
  <c r="H38" i="7"/>
  <c r="I38" i="7" s="1"/>
  <c r="H33" i="7"/>
  <c r="I33" i="7" s="1"/>
  <c r="H24" i="7"/>
  <c r="I24" i="7" s="1"/>
  <c r="H28" i="7"/>
  <c r="I28" i="7" s="1"/>
  <c r="H25" i="7"/>
  <c r="I25" i="7" s="1"/>
  <c r="H22" i="7"/>
  <c r="I22" i="7" s="1"/>
  <c r="H21" i="7"/>
  <c r="I21" i="7" s="1"/>
  <c r="H20" i="7"/>
  <c r="I20" i="7" s="1"/>
  <c r="H23" i="7"/>
  <c r="I23" i="7" s="1"/>
  <c r="H19" i="7"/>
  <c r="I19" i="7" s="1"/>
  <c r="H17" i="7"/>
  <c r="I17" i="7" s="1"/>
  <c r="H18" i="7"/>
  <c r="I18" i="7" s="1"/>
  <c r="H16" i="7"/>
  <c r="I16" i="7" s="1"/>
  <c r="H15" i="7"/>
  <c r="I15" i="7" s="1"/>
  <c r="H35" i="8"/>
  <c r="I35" i="8" s="1"/>
  <c r="H36" i="8"/>
  <c r="I36" i="8" s="1"/>
  <c r="H34" i="8"/>
  <c r="I34" i="8" s="1"/>
  <c r="H33" i="8"/>
  <c r="I33" i="8" s="1"/>
  <c r="H29" i="8"/>
  <c r="I29" i="8" s="1"/>
  <c r="H31" i="8"/>
  <c r="I31" i="8" s="1"/>
  <c r="H32" i="8"/>
  <c r="I32" i="8" s="1"/>
  <c r="H27" i="8"/>
  <c r="I27" i="8" s="1"/>
  <c r="H28" i="8"/>
  <c r="I28" i="8" s="1"/>
  <c r="H30" i="8"/>
  <c r="I30" i="8" s="1"/>
  <c r="H26" i="8"/>
  <c r="I26" i="8" s="1"/>
  <c r="H24" i="8"/>
  <c r="I24" i="8" s="1"/>
  <c r="H25" i="8"/>
  <c r="I25" i="8" s="1"/>
  <c r="H23" i="8"/>
  <c r="I23" i="8" s="1"/>
  <c r="H22" i="8"/>
  <c r="I22" i="8" s="1"/>
  <c r="H21" i="8"/>
  <c r="I21" i="8" s="1"/>
  <c r="H20" i="8"/>
  <c r="I20" i="8" s="1"/>
  <c r="H18" i="8"/>
  <c r="I18" i="8" s="1"/>
  <c r="H19" i="8"/>
  <c r="I19" i="8" s="1"/>
  <c r="H17" i="8"/>
  <c r="I17" i="8" s="1"/>
  <c r="H16" i="8"/>
  <c r="I16" i="8" s="1"/>
  <c r="H15" i="8"/>
  <c r="I15" i="8" s="1"/>
  <c r="H24" i="9"/>
  <c r="I24" i="9" s="1"/>
  <c r="H25" i="9"/>
  <c r="I25" i="9" s="1"/>
  <c r="H23" i="9"/>
  <c r="I23" i="9" s="1"/>
  <c r="H22" i="9"/>
  <c r="I22" i="9" s="1"/>
  <c r="H21" i="9"/>
  <c r="I21" i="9" s="1"/>
  <c r="H20" i="9"/>
  <c r="I20" i="9" s="1"/>
  <c r="H19" i="9"/>
  <c r="I19" i="9" s="1"/>
  <c r="H18" i="9"/>
  <c r="I18" i="9" s="1"/>
  <c r="H17" i="9"/>
  <c r="I17" i="9" s="1"/>
  <c r="H15" i="9"/>
  <c r="I15" i="9" s="1"/>
  <c r="H16" i="9"/>
  <c r="I16" i="9" s="1"/>
  <c r="H24" i="10"/>
  <c r="I24" i="10" s="1"/>
  <c r="H22" i="10"/>
  <c r="I22" i="10" s="1"/>
  <c r="H23" i="10"/>
  <c r="I23" i="10" s="1"/>
  <c r="H19" i="10"/>
  <c r="I19" i="10" s="1"/>
  <c r="H21" i="10"/>
  <c r="I21" i="10" s="1"/>
  <c r="H20" i="10"/>
  <c r="I20" i="10" s="1"/>
  <c r="H17" i="10"/>
  <c r="I17" i="10" s="1"/>
  <c r="H18" i="10"/>
  <c r="I18" i="10" s="1"/>
  <c r="H16" i="10"/>
  <c r="I16" i="10" s="1"/>
  <c r="H15" i="10"/>
  <c r="I15" i="10" s="1"/>
  <c r="H29" i="11"/>
  <c r="I29" i="11" s="1"/>
  <c r="H27" i="11"/>
  <c r="I27" i="11" s="1"/>
  <c r="H28" i="11"/>
  <c r="I28" i="11" s="1"/>
  <c r="H26" i="11"/>
  <c r="I26" i="11" s="1"/>
  <c r="H24" i="11"/>
  <c r="I24" i="11" s="1"/>
  <c r="H25" i="11"/>
  <c r="I25" i="11" s="1"/>
  <c r="H22" i="11"/>
  <c r="I22" i="11" s="1"/>
  <c r="H23" i="11"/>
  <c r="I23" i="11" s="1"/>
  <c r="H21" i="11"/>
  <c r="I21" i="11" s="1"/>
  <c r="H19" i="11"/>
  <c r="I19" i="11" s="1"/>
  <c r="H18" i="11"/>
  <c r="I18" i="11" s="1"/>
  <c r="H20" i="11"/>
  <c r="I20" i="11" s="1"/>
  <c r="H17" i="11"/>
  <c r="I17" i="11" s="1"/>
  <c r="H16" i="11"/>
  <c r="I16" i="11" s="1"/>
  <c r="H15" i="11"/>
  <c r="I15" i="11" s="1"/>
  <c r="H38" i="12"/>
  <c r="I38" i="12" s="1"/>
  <c r="H37" i="12"/>
  <c r="I37" i="12" s="1"/>
  <c r="H36" i="12"/>
  <c r="I36" i="12" s="1"/>
  <c r="H35" i="12"/>
  <c r="I35" i="12" s="1"/>
  <c r="I34" i="12"/>
  <c r="H34" i="12"/>
  <c r="H33" i="12"/>
  <c r="I33" i="12" s="1"/>
  <c r="H29" i="12"/>
  <c r="I29" i="12" s="1"/>
  <c r="H32" i="12"/>
  <c r="I32" i="12" s="1"/>
  <c r="H31" i="12"/>
  <c r="I31" i="12" s="1"/>
  <c r="H26" i="12"/>
  <c r="I26" i="12" s="1"/>
  <c r="H25" i="12"/>
  <c r="I25" i="12" s="1"/>
  <c r="H27" i="12"/>
  <c r="I27" i="12" s="1"/>
  <c r="H30" i="12"/>
  <c r="I30" i="12" s="1"/>
  <c r="H28" i="12"/>
  <c r="I28" i="12" s="1"/>
  <c r="H22" i="12"/>
  <c r="I22" i="12" s="1"/>
  <c r="H24" i="12"/>
  <c r="I24" i="12" s="1"/>
  <c r="H21" i="12"/>
  <c r="I21" i="12" s="1"/>
  <c r="H23" i="12"/>
  <c r="I23" i="12" s="1"/>
  <c r="H20" i="12"/>
  <c r="I20" i="12" s="1"/>
  <c r="H18" i="12"/>
  <c r="I18" i="12" s="1"/>
  <c r="H19" i="12"/>
  <c r="I19" i="12" s="1"/>
  <c r="H17" i="12"/>
  <c r="I17" i="12" s="1"/>
  <c r="H15" i="12"/>
  <c r="I15" i="12" s="1"/>
  <c r="H16" i="12"/>
  <c r="I16" i="12" s="1"/>
  <c r="H44" i="13"/>
  <c r="H43" i="13"/>
  <c r="H41" i="13"/>
  <c r="I41" i="13" s="1"/>
  <c r="H42" i="13"/>
  <c r="I42" i="13" s="1"/>
  <c r="H40" i="13"/>
  <c r="I40" i="13" s="1"/>
  <c r="H39" i="13"/>
  <c r="I39" i="13" s="1"/>
  <c r="H35" i="13"/>
  <c r="I35" i="13" s="1"/>
  <c r="H37" i="13"/>
  <c r="I37" i="13" s="1"/>
  <c r="H36" i="13"/>
  <c r="I36" i="13" s="1"/>
  <c r="H34" i="13"/>
  <c r="I34" i="13" s="1"/>
  <c r="H38" i="13"/>
  <c r="I38" i="13" s="1"/>
  <c r="H33" i="13"/>
  <c r="I33" i="13" s="1"/>
  <c r="H32" i="13"/>
  <c r="I32" i="13" s="1"/>
  <c r="H31" i="13"/>
  <c r="I31" i="13" s="1"/>
  <c r="H28" i="13"/>
  <c r="I28" i="13" s="1"/>
  <c r="H29" i="13"/>
  <c r="I29" i="13" s="1"/>
  <c r="H26" i="13"/>
  <c r="I26" i="13" s="1"/>
  <c r="H25" i="13"/>
  <c r="I25" i="13" s="1"/>
  <c r="H24" i="13"/>
  <c r="I24" i="13" s="1"/>
  <c r="H30" i="13"/>
  <c r="I30" i="13" s="1"/>
  <c r="H27" i="13"/>
  <c r="I27" i="13" s="1"/>
  <c r="H23" i="13"/>
  <c r="I23" i="13" s="1"/>
  <c r="H21" i="13"/>
  <c r="I21" i="13" s="1"/>
  <c r="H22" i="13"/>
  <c r="I22" i="13" s="1"/>
  <c r="H20" i="13"/>
  <c r="I20" i="13" s="1"/>
  <c r="H19" i="13"/>
  <c r="I19" i="13" s="1"/>
  <c r="H18" i="13"/>
  <c r="I18" i="13" s="1"/>
  <c r="H16" i="13"/>
  <c r="I16" i="13" s="1"/>
  <c r="H17" i="13"/>
  <c r="I17" i="13" s="1"/>
  <c r="H15" i="13"/>
  <c r="I15" i="13" s="1"/>
  <c r="H42" i="14"/>
  <c r="I42" i="14" s="1"/>
  <c r="H41" i="14"/>
  <c r="I41" i="14" s="1"/>
  <c r="H40" i="14"/>
  <c r="I40" i="14" s="1"/>
  <c r="H37" i="14"/>
  <c r="I37" i="14" s="1"/>
  <c r="H39" i="14"/>
  <c r="I39" i="14" s="1"/>
  <c r="H38" i="14"/>
  <c r="I38" i="14" s="1"/>
  <c r="H36" i="14"/>
  <c r="I36" i="14" s="1"/>
  <c r="H35" i="14"/>
  <c r="I35" i="14" s="1"/>
  <c r="H33" i="14"/>
  <c r="I33" i="14" s="1"/>
  <c r="H31" i="14"/>
  <c r="I31" i="14" s="1"/>
  <c r="H34" i="14"/>
  <c r="I34" i="14" s="1"/>
  <c r="H32" i="14"/>
  <c r="I32" i="14" s="1"/>
  <c r="H30" i="14"/>
  <c r="I30" i="14" s="1"/>
  <c r="H28" i="14"/>
  <c r="I28" i="14" s="1"/>
  <c r="H29" i="14"/>
  <c r="I29" i="14" s="1"/>
  <c r="H26" i="14"/>
  <c r="I26" i="14" s="1"/>
  <c r="H27" i="14"/>
  <c r="I27" i="14" s="1"/>
  <c r="H25" i="14"/>
  <c r="I25" i="14" s="1"/>
  <c r="H24" i="14"/>
  <c r="I24" i="14" s="1"/>
  <c r="H23" i="14"/>
  <c r="I23" i="14" s="1"/>
  <c r="H20" i="14"/>
  <c r="I20" i="14" s="1"/>
  <c r="H22" i="14"/>
  <c r="I22" i="14" s="1"/>
  <c r="H21" i="14"/>
  <c r="I21" i="14" s="1"/>
  <c r="H19" i="14"/>
  <c r="I19" i="14" s="1"/>
  <c r="H18" i="14"/>
  <c r="I18" i="14" s="1"/>
  <c r="H15" i="14"/>
  <c r="I15" i="14" s="1"/>
  <c r="H16" i="14"/>
  <c r="I16" i="14" s="1"/>
  <c r="H17" i="14"/>
  <c r="I17" i="14" s="1"/>
  <c r="I56" i="15"/>
  <c r="H56" i="15"/>
  <c r="H55" i="15"/>
  <c r="I55" i="15" s="1"/>
  <c r="H54" i="15"/>
  <c r="I54" i="15" s="1"/>
  <c r="H53" i="15"/>
  <c r="I53" i="15" s="1"/>
  <c r="H52" i="15"/>
  <c r="I52" i="15" s="1"/>
  <c r="H51" i="15"/>
  <c r="I51" i="15" s="1"/>
  <c r="H49" i="15"/>
  <c r="I49" i="15" s="1"/>
  <c r="H47" i="15"/>
  <c r="I47" i="15" s="1"/>
  <c r="H48" i="15"/>
  <c r="I48" i="15" s="1"/>
  <c r="H43" i="15"/>
  <c r="I43" i="15" s="1"/>
  <c r="H50" i="15"/>
  <c r="I50" i="15" s="1"/>
  <c r="H45" i="15"/>
  <c r="I45" i="15" s="1"/>
  <c r="H46" i="15"/>
  <c r="I46" i="15" s="1"/>
  <c r="H44" i="15"/>
  <c r="I44" i="15" s="1"/>
  <c r="H41" i="15"/>
  <c r="I41" i="15" s="1"/>
  <c r="H40" i="15"/>
  <c r="I40" i="15" s="1"/>
  <c r="H42" i="15"/>
  <c r="I42" i="15" s="1"/>
  <c r="H35" i="15"/>
  <c r="I35" i="15" s="1"/>
  <c r="H39" i="15"/>
  <c r="I39" i="15" s="1"/>
  <c r="H37" i="15"/>
  <c r="I37" i="15" s="1"/>
  <c r="H31" i="15"/>
  <c r="I31" i="15" s="1"/>
  <c r="H32" i="15"/>
  <c r="I32" i="15" s="1"/>
  <c r="H33" i="15"/>
  <c r="I33" i="15" s="1"/>
  <c r="H34" i="15"/>
  <c r="I34" i="15" s="1"/>
  <c r="H38" i="15"/>
  <c r="I38" i="15" s="1"/>
  <c r="H36" i="15"/>
  <c r="I36" i="15" s="1"/>
  <c r="H30" i="15"/>
  <c r="I30" i="15" s="1"/>
  <c r="H26" i="15"/>
  <c r="I26" i="15" s="1"/>
  <c r="H28" i="15"/>
  <c r="I28" i="15" s="1"/>
  <c r="H29" i="15"/>
  <c r="I29" i="15" s="1"/>
  <c r="H21" i="15"/>
  <c r="I21" i="15" s="1"/>
  <c r="H25" i="15"/>
  <c r="I25" i="15" s="1"/>
  <c r="H23" i="15"/>
  <c r="I23" i="15" s="1"/>
  <c r="H27" i="15"/>
  <c r="I27" i="15" s="1"/>
  <c r="H22" i="15"/>
  <c r="I22" i="15" s="1"/>
  <c r="H24" i="15"/>
  <c r="I24" i="15" s="1"/>
  <c r="H20" i="15"/>
  <c r="I20" i="15" s="1"/>
  <c r="H18" i="15"/>
  <c r="I18" i="15" s="1"/>
  <c r="H19" i="15"/>
  <c r="I19" i="15" s="1"/>
  <c r="H17" i="15"/>
  <c r="I17" i="15" s="1"/>
  <c r="H16" i="15"/>
  <c r="I16" i="15" s="1"/>
  <c r="H15" i="15"/>
  <c r="I15" i="15" s="1"/>
  <c r="K50" i="15" l="1"/>
  <c r="L50" i="15" s="1"/>
  <c r="M50" i="15" s="1"/>
  <c r="J50" i="15"/>
  <c r="J42" i="15"/>
  <c r="K42" i="15" s="1"/>
  <c r="L42" i="15" s="1"/>
  <c r="M42" i="15" s="1"/>
  <c r="J17" i="15"/>
  <c r="K17" i="15" s="1"/>
  <c r="L17" i="15" s="1"/>
  <c r="M17" i="15" s="1"/>
  <c r="J28" i="15"/>
  <c r="K28" i="15" s="1"/>
  <c r="L28" i="15" s="1"/>
  <c r="M28" i="15" s="1"/>
  <c r="J32" i="15"/>
  <c r="K32" i="15" s="1"/>
  <c r="L32" i="15" s="1"/>
  <c r="M32" i="15" s="1"/>
  <c r="J41" i="15"/>
  <c r="K41" i="15" s="1"/>
  <c r="L41" i="15" s="1"/>
  <c r="M41" i="15" s="1"/>
  <c r="J47" i="15"/>
  <c r="K47" i="15" s="1"/>
  <c r="L47" i="15" s="1"/>
  <c r="M47" i="15" s="1"/>
  <c r="J56" i="15"/>
  <c r="K56" i="15" s="1"/>
  <c r="L56" i="15" s="1"/>
  <c r="M56" i="15" s="1"/>
  <c r="J19" i="15"/>
  <c r="K19" i="15" s="1"/>
  <c r="L19" i="15" s="1"/>
  <c r="M19" i="15" s="1"/>
  <c r="J25" i="15"/>
  <c r="K25" i="15" s="1"/>
  <c r="L25" i="15" s="1"/>
  <c r="M25" i="15" s="1"/>
  <c r="J38" i="15"/>
  <c r="K38" i="15" s="1"/>
  <c r="L38" i="15" s="1"/>
  <c r="M38" i="15" s="1"/>
  <c r="J49" i="15"/>
  <c r="K49" i="15" s="1"/>
  <c r="L49" i="15" s="1"/>
  <c r="M49" i="15" s="1"/>
  <c r="J16" i="15"/>
  <c r="K16" i="15" s="1"/>
  <c r="L16" i="15" s="1"/>
  <c r="M16" i="15" s="1"/>
  <c r="J20" i="15"/>
  <c r="K20" i="15" s="1"/>
  <c r="L20" i="15" s="1"/>
  <c r="M20" i="15" s="1"/>
  <c r="J29" i="15"/>
  <c r="K29" i="15" s="1"/>
  <c r="L29" i="15" s="1"/>
  <c r="M29" i="15" s="1"/>
  <c r="J30" i="15"/>
  <c r="K30" i="15" s="1"/>
  <c r="L30" i="15" s="1"/>
  <c r="M30" i="15" s="1"/>
  <c r="J33" i="15"/>
  <c r="K33" i="15" s="1"/>
  <c r="L33" i="15" s="1"/>
  <c r="M33" i="15" s="1"/>
  <c r="J39" i="15"/>
  <c r="K39" i="15" s="1"/>
  <c r="L39" i="15" s="1"/>
  <c r="M39" i="15" s="1"/>
  <c r="J40" i="15"/>
  <c r="K40" i="15" s="1"/>
  <c r="L40" i="15" s="1"/>
  <c r="M40" i="15" s="1"/>
  <c r="J45" i="15"/>
  <c r="K45" i="15" s="1"/>
  <c r="L45" i="15" s="1"/>
  <c r="M45" i="15" s="1"/>
  <c r="J48" i="15"/>
  <c r="K48" i="15" s="1"/>
  <c r="L48" i="15" s="1"/>
  <c r="M48" i="15" s="1"/>
  <c r="J52" i="15"/>
  <c r="K52" i="15" s="1"/>
  <c r="L52" i="15" s="1"/>
  <c r="M52" i="15" s="1"/>
  <c r="J24" i="15"/>
  <c r="K24" i="15" s="1"/>
  <c r="L24" i="15" s="1"/>
  <c r="M24" i="15" s="1"/>
  <c r="J23" i="15"/>
  <c r="K23" i="15" s="1"/>
  <c r="L23" i="15" s="1"/>
  <c r="M23" i="15" s="1"/>
  <c r="J36" i="15"/>
  <c r="K36" i="15" s="1"/>
  <c r="L36" i="15" s="1"/>
  <c r="M36" i="15" s="1"/>
  <c r="J35" i="15"/>
  <c r="K35" i="15" s="1"/>
  <c r="L35" i="15" s="1"/>
  <c r="M35" i="15" s="1"/>
  <c r="J53" i="15"/>
  <c r="K53" i="15" s="1"/>
  <c r="L53" i="15" s="1"/>
  <c r="M53" i="15" s="1"/>
  <c r="J22" i="15"/>
  <c r="K22" i="15" s="1"/>
  <c r="L22" i="15" s="1"/>
  <c r="M22" i="15" s="1"/>
  <c r="J26" i="15"/>
  <c r="K26" i="15" s="1"/>
  <c r="L26" i="15" s="1"/>
  <c r="M26" i="15" s="1"/>
  <c r="J31" i="15"/>
  <c r="K31" i="15" s="1"/>
  <c r="L31" i="15" s="1"/>
  <c r="M31" i="15" s="1"/>
  <c r="J44" i="15"/>
  <c r="K44" i="15" s="1"/>
  <c r="L44" i="15" s="1"/>
  <c r="M44" i="15" s="1"/>
  <c r="J54" i="15"/>
  <c r="K54" i="15" s="1"/>
  <c r="L54" i="15" s="1"/>
  <c r="M54" i="15" s="1"/>
  <c r="J15" i="15"/>
  <c r="K15" i="15" s="1"/>
  <c r="L15" i="15" s="1"/>
  <c r="M15" i="15" s="1"/>
  <c r="J18" i="15"/>
  <c r="K18" i="15" s="1"/>
  <c r="J27" i="15"/>
  <c r="K27" i="15" s="1"/>
  <c r="L27" i="15" s="1"/>
  <c r="M27" i="15" s="1"/>
  <c r="J21" i="15"/>
  <c r="K21" i="15" s="1"/>
  <c r="L21" i="15" s="1"/>
  <c r="M21" i="15" s="1"/>
  <c r="J34" i="15"/>
  <c r="K34" i="15" s="1"/>
  <c r="L34" i="15" s="1"/>
  <c r="M34" i="15" s="1"/>
  <c r="J37" i="15"/>
  <c r="K37" i="15" s="1"/>
  <c r="L37" i="15" s="1"/>
  <c r="M37" i="15" s="1"/>
  <c r="J46" i="15"/>
  <c r="K46" i="15" s="1"/>
  <c r="L46" i="15" s="1"/>
  <c r="M46" i="15" s="1"/>
  <c r="J43" i="15"/>
  <c r="K43" i="15" s="1"/>
  <c r="L43" i="15" s="1"/>
  <c r="M43" i="15" s="1"/>
  <c r="J51" i="15"/>
  <c r="K51" i="15" s="1"/>
  <c r="L51" i="15" s="1"/>
  <c r="M51" i="15" s="1"/>
  <c r="J55" i="15"/>
  <c r="K55" i="15" s="1"/>
  <c r="L55" i="15" s="1"/>
  <c r="M55" i="15" s="1"/>
  <c r="J27" i="14"/>
  <c r="K27" i="14" s="1"/>
  <c r="L27" i="14" s="1"/>
  <c r="M27" i="14" s="1"/>
  <c r="J18" i="14"/>
  <c r="K18" i="14" s="1"/>
  <c r="L18" i="14" s="1"/>
  <c r="M18" i="14" s="1"/>
  <c r="J31" i="14"/>
  <c r="K31" i="14" s="1"/>
  <c r="J41" i="14"/>
  <c r="K41" i="14" s="1"/>
  <c r="L41" i="14" s="1"/>
  <c r="M41" i="14" s="1"/>
  <c r="J17" i="14"/>
  <c r="K17" i="14" s="1"/>
  <c r="J19" i="14"/>
  <c r="K19" i="14" s="1"/>
  <c r="L19" i="14" s="1"/>
  <c r="M19" i="14" s="1"/>
  <c r="J23" i="14"/>
  <c r="K23" i="14" s="1"/>
  <c r="L23" i="14" s="1"/>
  <c r="M23" i="14" s="1"/>
  <c r="J30" i="14"/>
  <c r="K30" i="14" s="1"/>
  <c r="L30" i="14" s="1"/>
  <c r="M30" i="14" s="1"/>
  <c r="J33" i="14"/>
  <c r="K33" i="14" s="1"/>
  <c r="L33" i="14" s="1"/>
  <c r="M33" i="14" s="1"/>
  <c r="J39" i="14"/>
  <c r="K39" i="14" s="1"/>
  <c r="L39" i="14" s="1"/>
  <c r="M39" i="14" s="1"/>
  <c r="J42" i="14"/>
  <c r="K42" i="14" s="1"/>
  <c r="L42" i="14" s="1"/>
  <c r="M42" i="14" s="1"/>
  <c r="J16" i="14"/>
  <c r="K16" i="14" s="1"/>
  <c r="L16" i="14" s="1"/>
  <c r="M16" i="14" s="1"/>
  <c r="J21" i="14"/>
  <c r="K21" i="14" s="1"/>
  <c r="L21" i="14" s="1"/>
  <c r="M21" i="14" s="1"/>
  <c r="J24" i="14"/>
  <c r="K24" i="14" s="1"/>
  <c r="L24" i="14" s="1"/>
  <c r="M24" i="14" s="1"/>
  <c r="J26" i="14"/>
  <c r="K26" i="14" s="1"/>
  <c r="L26" i="14" s="1"/>
  <c r="M26" i="14" s="1"/>
  <c r="J32" i="14"/>
  <c r="K32" i="14" s="1"/>
  <c r="L32" i="14" s="1"/>
  <c r="M32" i="14" s="1"/>
  <c r="J35" i="14"/>
  <c r="K35" i="14" s="1"/>
  <c r="L35" i="14" s="1"/>
  <c r="M35" i="14" s="1"/>
  <c r="J37" i="14"/>
  <c r="K37" i="14" s="1"/>
  <c r="L37" i="14" s="1"/>
  <c r="M37" i="14" s="1"/>
  <c r="J20" i="14"/>
  <c r="K20" i="14" s="1"/>
  <c r="J28" i="14"/>
  <c r="K28" i="14" s="1"/>
  <c r="L28" i="14" s="1"/>
  <c r="M28" i="14" s="1"/>
  <c r="J38" i="14"/>
  <c r="K38" i="14" s="1"/>
  <c r="L38" i="14" s="1"/>
  <c r="M38" i="14" s="1"/>
  <c r="J15" i="14"/>
  <c r="K15" i="14" s="1"/>
  <c r="L15" i="14" s="1"/>
  <c r="M15" i="14" s="1"/>
  <c r="J22" i="14"/>
  <c r="K22" i="14" s="1"/>
  <c r="L22" i="14" s="1"/>
  <c r="M22" i="14" s="1"/>
  <c r="J25" i="14"/>
  <c r="K25" i="14" s="1"/>
  <c r="L25" i="14" s="1"/>
  <c r="M25" i="14" s="1"/>
  <c r="J29" i="14"/>
  <c r="K29" i="14" s="1"/>
  <c r="L29" i="14" s="1"/>
  <c r="M29" i="14" s="1"/>
  <c r="J34" i="14"/>
  <c r="K34" i="14" s="1"/>
  <c r="L34" i="14" s="1"/>
  <c r="M34" i="14" s="1"/>
  <c r="J36" i="14"/>
  <c r="K36" i="14" s="1"/>
  <c r="L36" i="14" s="1"/>
  <c r="M36" i="14" s="1"/>
  <c r="J40" i="14"/>
  <c r="K40" i="14" s="1"/>
  <c r="L40" i="14" s="1"/>
  <c r="M40" i="14" s="1"/>
  <c r="J26" i="13"/>
  <c r="K26" i="13" s="1"/>
  <c r="L26" i="13" s="1"/>
  <c r="M26" i="13" s="1"/>
  <c r="J18" i="13"/>
  <c r="K18" i="13" s="1"/>
  <c r="L18" i="13" s="1"/>
  <c r="M18" i="13" s="1"/>
  <c r="J24" i="13"/>
  <c r="K24" i="13" s="1"/>
  <c r="J38" i="13"/>
  <c r="K38" i="13" s="1"/>
  <c r="L38" i="13" s="1"/>
  <c r="M38" i="13" s="1"/>
  <c r="J41" i="13"/>
  <c r="K41" i="13" s="1"/>
  <c r="L41" i="13" s="1"/>
  <c r="M41" i="13" s="1"/>
  <c r="J27" i="13"/>
  <c r="K27" i="13" s="1"/>
  <c r="L27" i="13" s="1"/>
  <c r="M27" i="13" s="1"/>
  <c r="J28" i="13"/>
  <c r="K28" i="13" s="1"/>
  <c r="L28" i="13" s="1"/>
  <c r="M28" i="13" s="1"/>
  <c r="J40" i="13"/>
  <c r="K40" i="13" s="1"/>
  <c r="L40" i="13" s="1"/>
  <c r="M40" i="13" s="1"/>
  <c r="J15" i="13"/>
  <c r="K15" i="13" s="1"/>
  <c r="J30" i="13"/>
  <c r="K30" i="13" s="1"/>
  <c r="L30" i="13" s="1"/>
  <c r="M30" i="13" s="1"/>
  <c r="J31" i="13"/>
  <c r="K31" i="13" s="1"/>
  <c r="L31" i="13" s="1"/>
  <c r="M31" i="13" s="1"/>
  <c r="J37" i="13"/>
  <c r="K37" i="13" s="1"/>
  <c r="L37" i="13" s="1"/>
  <c r="M37" i="13" s="1"/>
  <c r="J17" i="13"/>
  <c r="K17" i="13" s="1"/>
  <c r="L17" i="13" s="1"/>
  <c r="M17" i="13" s="1"/>
  <c r="J19" i="13"/>
  <c r="K19" i="13" s="1"/>
  <c r="L19" i="13" s="1"/>
  <c r="M19" i="13" s="1"/>
  <c r="J21" i="13"/>
  <c r="K21" i="13" s="1"/>
  <c r="L21" i="13" s="1"/>
  <c r="M21" i="13" s="1"/>
  <c r="K32" i="13"/>
  <c r="L32" i="13" s="1"/>
  <c r="M32" i="13" s="1"/>
  <c r="J32" i="13"/>
  <c r="J34" i="13"/>
  <c r="K34" i="13" s="1"/>
  <c r="L34" i="13" s="1"/>
  <c r="M34" i="13" s="1"/>
  <c r="J16" i="13"/>
  <c r="K16" i="13" s="1"/>
  <c r="L16" i="13" s="1"/>
  <c r="M16" i="13" s="1"/>
  <c r="J23" i="13"/>
  <c r="K23" i="13" s="1"/>
  <c r="J29" i="13"/>
  <c r="K29" i="13" s="1"/>
  <c r="L29" i="13" s="1"/>
  <c r="M29" i="13" s="1"/>
  <c r="J33" i="13"/>
  <c r="K33" i="13" s="1"/>
  <c r="L33" i="13" s="1"/>
  <c r="M33" i="13" s="1"/>
  <c r="J39" i="13"/>
  <c r="K39" i="13" s="1"/>
  <c r="L39" i="13" s="1"/>
  <c r="M39" i="13" s="1"/>
  <c r="J20" i="13"/>
  <c r="K20" i="13" s="1"/>
  <c r="L20" i="13" s="1"/>
  <c r="M20" i="13" s="1"/>
  <c r="J25" i="13"/>
  <c r="K25" i="13" s="1"/>
  <c r="L25" i="13" s="1"/>
  <c r="M25" i="13" s="1"/>
  <c r="J36" i="13"/>
  <c r="K36" i="13" s="1"/>
  <c r="L36" i="13" s="1"/>
  <c r="M36" i="13" s="1"/>
  <c r="J22" i="13"/>
  <c r="K22" i="13" s="1"/>
  <c r="L22" i="13" s="1"/>
  <c r="M22" i="13" s="1"/>
  <c r="J42" i="13"/>
  <c r="K42" i="13" s="1"/>
  <c r="L42" i="13" s="1"/>
  <c r="M42" i="13" s="1"/>
  <c r="J35" i="13"/>
  <c r="K35" i="13" s="1"/>
  <c r="L35" i="13" s="1"/>
  <c r="M35" i="13" s="1"/>
  <c r="J16" i="12"/>
  <c r="K16" i="12" s="1"/>
  <c r="L16" i="12" s="1"/>
  <c r="M16" i="12" s="1"/>
  <c r="J18" i="12"/>
  <c r="K18" i="12" s="1"/>
  <c r="L18" i="12" s="1"/>
  <c r="M18" i="12" s="1"/>
  <c r="J24" i="12"/>
  <c r="K24" i="12" s="1"/>
  <c r="L24" i="12" s="1"/>
  <c r="M24" i="12" s="1"/>
  <c r="K32" i="12"/>
  <c r="L32" i="12" s="1"/>
  <c r="M32" i="12" s="1"/>
  <c r="J32" i="12"/>
  <c r="J38" i="12"/>
  <c r="K38" i="12" s="1"/>
  <c r="L38" i="12" s="1"/>
  <c r="M38" i="12" s="1"/>
  <c r="J15" i="12"/>
  <c r="K15" i="12" s="1"/>
  <c r="L15" i="12" s="1"/>
  <c r="M15" i="12" s="1"/>
  <c r="J20" i="12"/>
  <c r="K20" i="12" s="1"/>
  <c r="L20" i="12" s="1"/>
  <c r="M20" i="12" s="1"/>
  <c r="J22" i="12"/>
  <c r="K22" i="12" s="1"/>
  <c r="L22" i="12" s="1"/>
  <c r="M22" i="12" s="1"/>
  <c r="J25" i="12"/>
  <c r="K25" i="12" s="1"/>
  <c r="L25" i="12" s="1"/>
  <c r="M25" i="12" s="1"/>
  <c r="J29" i="12"/>
  <c r="K29" i="12" s="1"/>
  <c r="L29" i="12" s="1"/>
  <c r="M29" i="12" s="1"/>
  <c r="J35" i="12"/>
  <c r="K35" i="12" s="1"/>
  <c r="L35" i="12" s="1"/>
  <c r="M35" i="12" s="1"/>
  <c r="J17" i="12"/>
  <c r="K17" i="12" s="1"/>
  <c r="L17" i="12" s="1"/>
  <c r="M17" i="12" s="1"/>
  <c r="J23" i="12"/>
  <c r="K23" i="12" s="1"/>
  <c r="L23" i="12" s="1"/>
  <c r="M23" i="12" s="1"/>
  <c r="J28" i="12"/>
  <c r="K28" i="12" s="1"/>
  <c r="L28" i="12" s="1"/>
  <c r="M28" i="12" s="1"/>
  <c r="J26" i="12"/>
  <c r="K26" i="12" s="1"/>
  <c r="L26" i="12" s="1"/>
  <c r="M26" i="12" s="1"/>
  <c r="J33" i="12"/>
  <c r="K33" i="12" s="1"/>
  <c r="L33" i="12" s="1"/>
  <c r="M33" i="12" s="1"/>
  <c r="J36" i="12"/>
  <c r="K36" i="12" s="1"/>
  <c r="L36" i="12" s="1"/>
  <c r="M36" i="12" s="1"/>
  <c r="J27" i="12"/>
  <c r="K27" i="12" s="1"/>
  <c r="L27" i="12" s="1"/>
  <c r="M27" i="12" s="1"/>
  <c r="J34" i="12"/>
  <c r="K34" i="12" s="1"/>
  <c r="L34" i="12" s="1"/>
  <c r="M34" i="12" s="1"/>
  <c r="K19" i="12"/>
  <c r="L19" i="12" s="1"/>
  <c r="M19" i="12" s="1"/>
  <c r="J19" i="12"/>
  <c r="J21" i="12"/>
  <c r="K21" i="12" s="1"/>
  <c r="L21" i="12" s="1"/>
  <c r="M21" i="12" s="1"/>
  <c r="J30" i="12"/>
  <c r="K30" i="12" s="1"/>
  <c r="L30" i="12" s="1"/>
  <c r="M30" i="12" s="1"/>
  <c r="J31" i="12"/>
  <c r="K31" i="12" s="1"/>
  <c r="L31" i="12" s="1"/>
  <c r="M31" i="12" s="1"/>
  <c r="J37" i="12"/>
  <c r="K37" i="12" s="1"/>
  <c r="L37" i="12" s="1"/>
  <c r="M37" i="12" s="1"/>
  <c r="J26" i="11"/>
  <c r="K26" i="11" s="1"/>
  <c r="L26" i="11" s="1"/>
  <c r="M26" i="11" s="1"/>
  <c r="J15" i="11"/>
  <c r="K15" i="11" s="1"/>
  <c r="L15" i="11" s="1"/>
  <c r="M15" i="11" s="1"/>
  <c r="J20" i="11"/>
  <c r="K20" i="11" s="1"/>
  <c r="L20" i="11" s="1"/>
  <c r="M20" i="11" s="1"/>
  <c r="K23" i="11"/>
  <c r="L23" i="11" s="1"/>
  <c r="M23" i="11" s="1"/>
  <c r="J23" i="11"/>
  <c r="J29" i="11"/>
  <c r="K29" i="11" s="1"/>
  <c r="L29" i="11" s="1"/>
  <c r="M29" i="11" s="1"/>
  <c r="J16" i="11"/>
  <c r="K16" i="11" s="1"/>
  <c r="L16" i="11" s="1"/>
  <c r="M16" i="11" s="1"/>
  <c r="J18" i="11"/>
  <c r="K18" i="11" s="1"/>
  <c r="L18" i="11" s="1"/>
  <c r="M18" i="11" s="1"/>
  <c r="J22" i="11"/>
  <c r="K22" i="11" s="1"/>
  <c r="L22" i="11" s="1"/>
  <c r="M22" i="11" s="1"/>
  <c r="J17" i="11"/>
  <c r="K17" i="11" s="1"/>
  <c r="L17" i="11" s="1"/>
  <c r="M17" i="11" s="1"/>
  <c r="J19" i="11"/>
  <c r="K19" i="11" s="1"/>
  <c r="L19" i="11" s="1"/>
  <c r="M19" i="11" s="1"/>
  <c r="J25" i="11"/>
  <c r="K25" i="11" s="1"/>
  <c r="L25" i="11" s="1"/>
  <c r="M25" i="11" s="1"/>
  <c r="J28" i="11"/>
  <c r="K28" i="11" s="1"/>
  <c r="L28" i="11" s="1"/>
  <c r="M28" i="11" s="1"/>
  <c r="J21" i="11"/>
  <c r="K21" i="11" s="1"/>
  <c r="L21" i="11" s="1"/>
  <c r="M21" i="11" s="1"/>
  <c r="K24" i="11"/>
  <c r="L24" i="11" s="1"/>
  <c r="M24" i="11" s="1"/>
  <c r="J24" i="11"/>
  <c r="J27" i="11"/>
  <c r="K27" i="11" s="1"/>
  <c r="L27" i="11" s="1"/>
  <c r="M27" i="11" s="1"/>
  <c r="J18" i="10"/>
  <c r="K18" i="10" s="1"/>
  <c r="J24" i="10"/>
  <c r="K24" i="10" s="1"/>
  <c r="J17" i="10"/>
  <c r="K17" i="10" s="1"/>
  <c r="J23" i="10"/>
  <c r="K23" i="10" s="1"/>
  <c r="J15" i="10"/>
  <c r="K15" i="10" s="1"/>
  <c r="J20" i="10"/>
  <c r="K20" i="10" s="1"/>
  <c r="J19" i="10"/>
  <c r="K19" i="10" s="1"/>
  <c r="J16" i="10"/>
  <c r="K16" i="10" s="1"/>
  <c r="J21" i="10"/>
  <c r="K21" i="10" s="1"/>
  <c r="J22" i="10"/>
  <c r="K22" i="10" s="1"/>
  <c r="J23" i="9"/>
  <c r="K23" i="9" s="1"/>
  <c r="L23" i="9" s="1"/>
  <c r="M23" i="9" s="1"/>
  <c r="J24" i="9"/>
  <c r="K24" i="9" s="1"/>
  <c r="L24" i="9" s="1"/>
  <c r="M24" i="9" s="1"/>
  <c r="J19" i="9"/>
  <c r="K19" i="9" s="1"/>
  <c r="L19" i="9" s="1"/>
  <c r="M19" i="9" s="1"/>
  <c r="J15" i="9"/>
  <c r="K15" i="9" s="1"/>
  <c r="J20" i="9"/>
  <c r="K20" i="9" s="1"/>
  <c r="L20" i="9" s="1"/>
  <c r="M20" i="9" s="1"/>
  <c r="J18" i="9"/>
  <c r="K18" i="9" s="1"/>
  <c r="L18" i="9" s="1"/>
  <c r="M18" i="9" s="1"/>
  <c r="J22" i="9"/>
  <c r="K22" i="9" s="1"/>
  <c r="L22" i="9" s="1"/>
  <c r="M22" i="9" s="1"/>
  <c r="J16" i="9"/>
  <c r="K16" i="9" s="1"/>
  <c r="L16" i="9" s="1"/>
  <c r="M16" i="9" s="1"/>
  <c r="J17" i="9"/>
  <c r="K17" i="9" s="1"/>
  <c r="L17" i="9" s="1"/>
  <c r="M17" i="9" s="1"/>
  <c r="J21" i="9"/>
  <c r="K21" i="9" s="1"/>
  <c r="L21" i="9" s="1"/>
  <c r="M21" i="9" s="1"/>
  <c r="J25" i="9"/>
  <c r="K25" i="9" s="1"/>
  <c r="L25" i="9" s="1"/>
  <c r="M25" i="9" s="1"/>
  <c r="J19" i="8"/>
  <c r="K19" i="8" s="1"/>
  <c r="L19" i="8" s="1"/>
  <c r="M19" i="8" s="1"/>
  <c r="J34" i="8"/>
  <c r="K34" i="8" s="1"/>
  <c r="J16" i="8"/>
  <c r="K16" i="8" s="1"/>
  <c r="L16" i="8" s="1"/>
  <c r="M16" i="8" s="1"/>
  <c r="J25" i="8"/>
  <c r="K25" i="8" s="1"/>
  <c r="J29" i="8"/>
  <c r="K29" i="8" s="1"/>
  <c r="J17" i="8"/>
  <c r="K17" i="8" s="1"/>
  <c r="J20" i="8"/>
  <c r="K20" i="8" s="1"/>
  <c r="J26" i="8"/>
  <c r="K26" i="8" s="1"/>
  <c r="J32" i="8"/>
  <c r="K32" i="8" s="1"/>
  <c r="L32" i="8" s="1"/>
  <c r="M32" i="8" s="1"/>
  <c r="J33" i="8"/>
  <c r="K33" i="8" s="1"/>
  <c r="J35" i="8"/>
  <c r="K35" i="8" s="1"/>
  <c r="J15" i="8"/>
  <c r="K15" i="8" s="1"/>
  <c r="J21" i="8"/>
  <c r="K21" i="8" s="1"/>
  <c r="J30" i="8"/>
  <c r="K30" i="8" s="1"/>
  <c r="J31" i="8"/>
  <c r="K31" i="8" s="1"/>
  <c r="J22" i="8"/>
  <c r="K22" i="8" s="1"/>
  <c r="J24" i="8"/>
  <c r="K24" i="8" s="1"/>
  <c r="L24" i="8" s="1"/>
  <c r="M24" i="8" s="1"/>
  <c r="J28" i="8"/>
  <c r="K28" i="8" s="1"/>
  <c r="J18" i="8"/>
  <c r="K18" i="8" s="1"/>
  <c r="J23" i="8"/>
  <c r="K23" i="8" s="1"/>
  <c r="J27" i="8"/>
  <c r="K27" i="8" s="1"/>
  <c r="J36" i="8"/>
  <c r="K36" i="8" s="1"/>
  <c r="J43" i="7"/>
  <c r="K43" i="7" s="1"/>
  <c r="J16" i="7"/>
  <c r="K16" i="7" s="1"/>
  <c r="L16" i="7" s="1"/>
  <c r="M16" i="7" s="1"/>
  <c r="J25" i="7"/>
  <c r="K25" i="7" s="1"/>
  <c r="J31" i="7"/>
  <c r="K31" i="7" s="1"/>
  <c r="J47" i="7"/>
  <c r="K47" i="7" s="1"/>
  <c r="J18" i="7"/>
  <c r="K18" i="7" s="1"/>
  <c r="L18" i="7" s="1"/>
  <c r="M18" i="7" s="1"/>
  <c r="J28" i="7"/>
  <c r="K28" i="7" s="1"/>
  <c r="J32" i="7"/>
  <c r="K32" i="7" s="1"/>
  <c r="L32" i="7" s="1"/>
  <c r="M32" i="7" s="1"/>
  <c r="J35" i="7"/>
  <c r="K35" i="7" s="1"/>
  <c r="J44" i="7"/>
  <c r="K44" i="7" s="1"/>
  <c r="J48" i="7"/>
  <c r="K48" i="7" s="1"/>
  <c r="J24" i="7"/>
  <c r="K24" i="7" s="1"/>
  <c r="J15" i="7"/>
  <c r="K15" i="7" s="1"/>
  <c r="J19" i="7"/>
  <c r="K19" i="7" s="1"/>
  <c r="L19" i="7" s="1"/>
  <c r="M19" i="7" s="1"/>
  <c r="J22" i="7"/>
  <c r="K22" i="7" s="1"/>
  <c r="J33" i="7"/>
  <c r="K33" i="7" s="1"/>
  <c r="L33" i="7" s="1"/>
  <c r="M33" i="7" s="1"/>
  <c r="J27" i="7"/>
  <c r="K27" i="7" s="1"/>
  <c r="J37" i="7"/>
  <c r="K37" i="7" s="1"/>
  <c r="J39" i="7"/>
  <c r="K39" i="7" s="1"/>
  <c r="J41" i="7"/>
  <c r="K41" i="7" s="1"/>
  <c r="L41" i="7" s="1"/>
  <c r="M41" i="7" s="1"/>
  <c r="J46" i="7"/>
  <c r="K46" i="7" s="1"/>
  <c r="J23" i="7"/>
  <c r="K23" i="7" s="1"/>
  <c r="L23" i="7" s="1"/>
  <c r="M23" i="7" s="1"/>
  <c r="J38" i="7"/>
  <c r="K38" i="7" s="1"/>
  <c r="J30" i="7"/>
  <c r="K30" i="7" s="1"/>
  <c r="L30" i="7" s="1"/>
  <c r="M30" i="7" s="1"/>
  <c r="J42" i="7"/>
  <c r="K42" i="7" s="1"/>
  <c r="J20" i="7"/>
  <c r="K20" i="7" s="1"/>
  <c r="J26" i="7"/>
  <c r="K26" i="7" s="1"/>
  <c r="J17" i="7"/>
  <c r="K17" i="7" s="1"/>
  <c r="L17" i="7" s="1"/>
  <c r="M17" i="7" s="1"/>
  <c r="J21" i="7"/>
  <c r="K21" i="7" s="1"/>
  <c r="J29" i="7"/>
  <c r="K29" i="7" s="1"/>
  <c r="J34" i="7"/>
  <c r="K34" i="7" s="1"/>
  <c r="J36" i="7"/>
  <c r="K36" i="7" s="1"/>
  <c r="L36" i="7" s="1"/>
  <c r="M36" i="7" s="1"/>
  <c r="J40" i="7"/>
  <c r="K40" i="7" s="1"/>
  <c r="J45" i="7"/>
  <c r="K45" i="7" s="1"/>
  <c r="J19" i="6"/>
  <c r="K19" i="6" s="1"/>
  <c r="J25" i="6"/>
  <c r="K25" i="6" s="1"/>
  <c r="L25" i="6" s="1"/>
  <c r="M25" i="6" s="1"/>
  <c r="J31" i="6"/>
  <c r="K31" i="6" s="1"/>
  <c r="J41" i="6"/>
  <c r="K41" i="6" s="1"/>
  <c r="J20" i="6"/>
  <c r="K20" i="6" s="1"/>
  <c r="J29" i="6"/>
  <c r="K29" i="6" s="1"/>
  <c r="L29" i="6" s="1"/>
  <c r="M29" i="6" s="1"/>
  <c r="J39" i="6"/>
  <c r="K39" i="6" s="1"/>
  <c r="J17" i="6"/>
  <c r="K17" i="6" s="1"/>
  <c r="J21" i="6"/>
  <c r="K21" i="6" s="1"/>
  <c r="J24" i="6"/>
  <c r="K24" i="6" s="1"/>
  <c r="L24" i="6" s="1"/>
  <c r="M24" i="6" s="1"/>
  <c r="J27" i="6"/>
  <c r="K27" i="6" s="1"/>
  <c r="J30" i="6"/>
  <c r="K30" i="6" s="1"/>
  <c r="L30" i="6" s="1"/>
  <c r="M30" i="6" s="1"/>
  <c r="J37" i="6"/>
  <c r="K37" i="6" s="1"/>
  <c r="J40" i="6"/>
  <c r="K40" i="6" s="1"/>
  <c r="J45" i="6"/>
  <c r="K45" i="6" s="1"/>
  <c r="J15" i="6"/>
  <c r="K15" i="6" s="1"/>
  <c r="J23" i="6"/>
  <c r="K23" i="6" s="1"/>
  <c r="J36" i="6"/>
  <c r="K36" i="6" s="1"/>
  <c r="J43" i="6"/>
  <c r="K43" i="6" s="1"/>
  <c r="J16" i="6"/>
  <c r="K16" i="6" s="1"/>
  <c r="L16" i="6" s="1"/>
  <c r="M16" i="6" s="1"/>
  <c r="J28" i="6"/>
  <c r="K28" i="6" s="1"/>
  <c r="J33" i="6"/>
  <c r="K33" i="6" s="1"/>
  <c r="L33" i="6" s="1"/>
  <c r="M33" i="6" s="1"/>
  <c r="J38" i="6"/>
  <c r="K38" i="6" s="1"/>
  <c r="J44" i="6"/>
  <c r="K44" i="6" s="1"/>
  <c r="J18" i="6"/>
  <c r="K18" i="6" s="1"/>
  <c r="J22" i="6"/>
  <c r="K22" i="6" s="1"/>
  <c r="L22" i="6" s="1"/>
  <c r="M22" i="6" s="1"/>
  <c r="J26" i="6"/>
  <c r="K26" i="6" s="1"/>
  <c r="J34" i="6"/>
  <c r="K34" i="6" s="1"/>
  <c r="L34" i="6" s="1"/>
  <c r="M34" i="6" s="1"/>
  <c r="J32" i="6"/>
  <c r="K32" i="6" s="1"/>
  <c r="J35" i="6"/>
  <c r="K35" i="6" s="1"/>
  <c r="J42" i="6"/>
  <c r="K42" i="6" s="1"/>
  <c r="J46" i="6"/>
  <c r="K46" i="6" s="1"/>
  <c r="J19" i="5"/>
  <c r="K19" i="5" s="1"/>
  <c r="J20" i="5"/>
  <c r="K20" i="5" s="1"/>
  <c r="J18" i="5"/>
  <c r="K18" i="5" s="1"/>
  <c r="L18" i="5" s="1"/>
  <c r="M18" i="5" s="1"/>
  <c r="J21" i="5"/>
  <c r="K21" i="5" s="1"/>
  <c r="J25" i="5"/>
  <c r="K25" i="5" s="1"/>
  <c r="J15" i="5"/>
  <c r="K15" i="5" s="1"/>
  <c r="J23" i="5"/>
  <c r="K23" i="5" s="1"/>
  <c r="J16" i="5"/>
  <c r="K16" i="5" s="1"/>
  <c r="J24" i="5"/>
  <c r="K24" i="5" s="1"/>
  <c r="J17" i="5"/>
  <c r="K17" i="5" s="1"/>
  <c r="J22" i="5"/>
  <c r="K22" i="5" s="1"/>
  <c r="J26" i="5"/>
  <c r="K26" i="5" s="1"/>
  <c r="J22" i="4"/>
  <c r="K22" i="4" s="1"/>
  <c r="J20" i="4"/>
  <c r="K20" i="4" s="1"/>
  <c r="J29" i="4"/>
  <c r="K29" i="4" s="1"/>
  <c r="J36" i="4"/>
  <c r="K36" i="4" s="1"/>
  <c r="J19" i="4"/>
  <c r="K19" i="4" s="1"/>
  <c r="J24" i="4"/>
  <c r="K24" i="4" s="1"/>
  <c r="J30" i="4"/>
  <c r="K30" i="4" s="1"/>
  <c r="J35" i="4"/>
  <c r="K35" i="4" s="1"/>
  <c r="J15" i="4"/>
  <c r="K15" i="4" s="1"/>
  <c r="J17" i="4"/>
  <c r="K17" i="4" s="1"/>
  <c r="J27" i="4"/>
  <c r="K27" i="4" s="1"/>
  <c r="J28" i="4"/>
  <c r="K28" i="4" s="1"/>
  <c r="J33" i="4"/>
  <c r="K33" i="4" s="1"/>
  <c r="J37" i="4"/>
  <c r="K37" i="4" s="1"/>
  <c r="J16" i="4"/>
  <c r="K16" i="4" s="1"/>
  <c r="J26" i="4"/>
  <c r="K26" i="4" s="1"/>
  <c r="J31" i="4"/>
  <c r="K31" i="4" s="1"/>
  <c r="J39" i="4"/>
  <c r="K39" i="4" s="1"/>
  <c r="J21" i="4"/>
  <c r="K21" i="4" s="1"/>
  <c r="J32" i="4"/>
  <c r="K32" i="4" s="1"/>
  <c r="J18" i="4"/>
  <c r="K18" i="4" s="1"/>
  <c r="J23" i="4"/>
  <c r="K23" i="4" s="1"/>
  <c r="J25" i="4"/>
  <c r="K25" i="4" s="1"/>
  <c r="J34" i="4"/>
  <c r="K34" i="4" s="1"/>
  <c r="J38" i="4"/>
  <c r="K38" i="4" s="1"/>
  <c r="L18" i="15" l="1"/>
  <c r="M18" i="15" s="1"/>
  <c r="K14" i="15"/>
  <c r="L17" i="14"/>
  <c r="M17" i="14" s="1"/>
  <c r="K14" i="14"/>
  <c r="L24" i="2" s="1"/>
  <c r="L20" i="14"/>
  <c r="M20" i="14" s="1"/>
  <c r="L31" i="14"/>
  <c r="M31" i="14" s="1"/>
  <c r="L15" i="13"/>
  <c r="M15" i="13" s="1"/>
  <c r="K14" i="13"/>
  <c r="L23" i="13"/>
  <c r="M23" i="13" s="1"/>
  <c r="L24" i="13"/>
  <c r="M24" i="13" s="1"/>
  <c r="K14" i="12"/>
  <c r="L22" i="2" s="1"/>
  <c r="K14" i="11"/>
  <c r="L21" i="2" s="1"/>
  <c r="L16" i="10"/>
  <c r="M16" i="10" s="1"/>
  <c r="K14" i="10"/>
  <c r="L22" i="10"/>
  <c r="M22" i="10" s="1"/>
  <c r="L24" i="10"/>
  <c r="M24" i="10" s="1"/>
  <c r="L23" i="10"/>
  <c r="M23" i="10" s="1"/>
  <c r="L20" i="10"/>
  <c r="M20" i="10" s="1"/>
  <c r="L21" i="10"/>
  <c r="M21" i="10" s="1"/>
  <c r="L19" i="10"/>
  <c r="M19" i="10" s="1"/>
  <c r="L15" i="10"/>
  <c r="M15" i="10" s="1"/>
  <c r="L17" i="10"/>
  <c r="M17" i="10" s="1"/>
  <c r="L18" i="10"/>
  <c r="M18" i="10" s="1"/>
  <c r="L15" i="9"/>
  <c r="M15" i="9" s="1"/>
  <c r="K14" i="9"/>
  <c r="L19" i="2" s="1"/>
  <c r="L18" i="8"/>
  <c r="M18" i="8" s="1"/>
  <c r="L29" i="8"/>
  <c r="M29" i="8" s="1"/>
  <c r="L31" i="8"/>
  <c r="M31" i="8" s="1"/>
  <c r="L35" i="8"/>
  <c r="M35" i="8" s="1"/>
  <c r="L27" i="8"/>
  <c r="M27" i="8" s="1"/>
  <c r="L20" i="8"/>
  <c r="M20" i="8" s="1"/>
  <c r="L21" i="8"/>
  <c r="M21" i="8" s="1"/>
  <c r="L22" i="8"/>
  <c r="M22" i="8" s="1"/>
  <c r="L26" i="8"/>
  <c r="M26" i="8" s="1"/>
  <c r="L28" i="8"/>
  <c r="M28" i="8" s="1"/>
  <c r="L33" i="8"/>
  <c r="M33" i="8" s="1"/>
  <c r="L34" i="8"/>
  <c r="M34" i="8" s="1"/>
  <c r="L23" i="8"/>
  <c r="M23" i="8" s="1"/>
  <c r="L15" i="8"/>
  <c r="M15" i="8" s="1"/>
  <c r="K14" i="8"/>
  <c r="L18" i="2" s="1"/>
  <c r="L25" i="8"/>
  <c r="M25" i="8" s="1"/>
  <c r="L36" i="8"/>
  <c r="M36" i="8" s="1"/>
  <c r="L30" i="8"/>
  <c r="M30" i="8" s="1"/>
  <c r="L17" i="8"/>
  <c r="M17" i="8" s="1"/>
  <c r="L44" i="7"/>
  <c r="M44" i="7" s="1"/>
  <c r="L45" i="7"/>
  <c r="M45" i="7" s="1"/>
  <c r="L29" i="7"/>
  <c r="M29" i="7" s="1"/>
  <c r="L20" i="7"/>
  <c r="M20" i="7" s="1"/>
  <c r="L24" i="7"/>
  <c r="M24" i="7" s="1"/>
  <c r="L37" i="7"/>
  <c r="M37" i="7" s="1"/>
  <c r="L31" i="7"/>
  <c r="M31" i="7" s="1"/>
  <c r="L26" i="7"/>
  <c r="M26" i="7" s="1"/>
  <c r="L39" i="7"/>
  <c r="M39" i="7" s="1"/>
  <c r="L48" i="7"/>
  <c r="M48" i="7" s="1"/>
  <c r="L25" i="7"/>
  <c r="M25" i="7" s="1"/>
  <c r="L21" i="7"/>
  <c r="M21" i="7" s="1"/>
  <c r="L46" i="7"/>
  <c r="M46" i="7" s="1"/>
  <c r="L15" i="7"/>
  <c r="M15" i="7" s="1"/>
  <c r="K14" i="7"/>
  <c r="L17" i="2" s="1"/>
  <c r="L47" i="7"/>
  <c r="M47" i="7" s="1"/>
  <c r="L34" i="7"/>
  <c r="M34" i="7" s="1"/>
  <c r="L38" i="7"/>
  <c r="M38" i="7" s="1"/>
  <c r="L22" i="7"/>
  <c r="M22" i="7" s="1"/>
  <c r="L28" i="7"/>
  <c r="M28" i="7" s="1"/>
  <c r="L40" i="7"/>
  <c r="M40" i="7" s="1"/>
  <c r="L42" i="7"/>
  <c r="M42" i="7" s="1"/>
  <c r="L27" i="7"/>
  <c r="M27" i="7" s="1"/>
  <c r="L35" i="7"/>
  <c r="M35" i="7" s="1"/>
  <c r="L43" i="7"/>
  <c r="M43" i="7" s="1"/>
  <c r="L15" i="6"/>
  <c r="M15" i="6" s="1"/>
  <c r="L17" i="6"/>
  <c r="M17" i="6" s="1"/>
  <c r="L32" i="6"/>
  <c r="M32" i="6" s="1"/>
  <c r="L28" i="6"/>
  <c r="M28" i="6" s="1"/>
  <c r="L37" i="6"/>
  <c r="M37" i="6" s="1"/>
  <c r="L20" i="6"/>
  <c r="M20" i="6" s="1"/>
  <c r="L42" i="6"/>
  <c r="M42" i="6" s="1"/>
  <c r="L38" i="6"/>
  <c r="M38" i="6" s="1"/>
  <c r="L45" i="6"/>
  <c r="M45" i="6" s="1"/>
  <c r="L39" i="6"/>
  <c r="M39" i="6" s="1"/>
  <c r="L18" i="6"/>
  <c r="M18" i="6" s="1"/>
  <c r="L23" i="6"/>
  <c r="M23" i="6" s="1"/>
  <c r="L21" i="6"/>
  <c r="M21" i="6" s="1"/>
  <c r="L19" i="6"/>
  <c r="M19" i="6" s="1"/>
  <c r="L26" i="6"/>
  <c r="M26" i="6" s="1"/>
  <c r="L43" i="6"/>
  <c r="M43" i="6" s="1"/>
  <c r="L27" i="6"/>
  <c r="M27" i="6" s="1"/>
  <c r="L31" i="6"/>
  <c r="M31" i="6" s="1"/>
  <c r="L35" i="6"/>
  <c r="M35" i="6" s="1"/>
  <c r="L44" i="6"/>
  <c r="M44" i="6" s="1"/>
  <c r="L36" i="6"/>
  <c r="M36" i="6" s="1"/>
  <c r="K14" i="6"/>
  <c r="L46" i="6"/>
  <c r="M46" i="6" s="1"/>
  <c r="L40" i="6"/>
  <c r="M40" i="6" s="1"/>
  <c r="L41" i="6"/>
  <c r="M41" i="6" s="1"/>
  <c r="L24" i="5"/>
  <c r="M24" i="5" s="1"/>
  <c r="L22" i="5"/>
  <c r="M22" i="5" s="1"/>
  <c r="L25" i="5"/>
  <c r="M25" i="5" s="1"/>
  <c r="L23" i="5"/>
  <c r="M23" i="5" s="1"/>
  <c r="L16" i="5"/>
  <c r="M16" i="5" s="1"/>
  <c r="L17" i="5"/>
  <c r="M17" i="5" s="1"/>
  <c r="L20" i="5"/>
  <c r="M20" i="5" s="1"/>
  <c r="L26" i="5"/>
  <c r="M26" i="5" s="1"/>
  <c r="L21" i="5"/>
  <c r="M21" i="5" s="1"/>
  <c r="L15" i="5"/>
  <c r="M15" i="5" s="1"/>
  <c r="K14" i="5"/>
  <c r="L19" i="5"/>
  <c r="M19" i="5" s="1"/>
  <c r="K14" i="4"/>
  <c r="L21" i="4"/>
  <c r="M21" i="4" s="1"/>
  <c r="L19" i="4"/>
  <c r="M19" i="4" s="1"/>
  <c r="L22" i="4"/>
  <c r="M22" i="4" s="1"/>
  <c r="L15" i="4"/>
  <c r="M15" i="4" s="1"/>
  <c r="L39" i="4"/>
  <c r="M39" i="4" s="1"/>
  <c r="L17" i="4"/>
  <c r="M17" i="4" s="1"/>
  <c r="L20" i="4"/>
  <c r="M20" i="4" s="1"/>
  <c r="L32" i="4"/>
  <c r="M32" i="4" s="1"/>
  <c r="L28" i="4"/>
  <c r="M28" i="4" s="1"/>
  <c r="L36" i="4"/>
  <c r="M36" i="4" s="1"/>
  <c r="L23" i="4"/>
  <c r="M23" i="4" s="1"/>
  <c r="L37" i="4"/>
  <c r="M37" i="4" s="1"/>
  <c r="L34" i="4"/>
  <c r="M34" i="4" s="1"/>
  <c r="L26" i="4"/>
  <c r="M26" i="4" s="1"/>
  <c r="L35" i="4"/>
  <c r="M35" i="4" s="1"/>
  <c r="L24" i="4"/>
  <c r="M24" i="4" s="1"/>
  <c r="L38" i="4"/>
  <c r="M38" i="4" s="1"/>
  <c r="L25" i="4"/>
  <c r="M25" i="4" s="1"/>
  <c r="L18" i="4"/>
  <c r="M18" i="4" s="1"/>
  <c r="L31" i="4"/>
  <c r="M31" i="4" s="1"/>
  <c r="L16" i="4"/>
  <c r="M16" i="4" s="1"/>
  <c r="L33" i="4"/>
  <c r="M33" i="4" s="1"/>
  <c r="L27" i="4"/>
  <c r="M27" i="4" s="1"/>
  <c r="L30" i="4"/>
  <c r="M30" i="4" s="1"/>
  <c r="L29" i="4"/>
  <c r="M29" i="4" s="1"/>
  <c r="L16" i="2"/>
  <c r="L23" i="2"/>
  <c r="L25" i="2"/>
  <c r="H15" i="16"/>
  <c r="I15" i="16" s="1"/>
  <c r="J15" i="16" s="1"/>
  <c r="K15" i="16" s="1"/>
  <c r="H16" i="16"/>
  <c r="I16" i="16" s="1"/>
  <c r="H22" i="16"/>
  <c r="I22" i="16" s="1"/>
  <c r="H17" i="16"/>
  <c r="I17" i="16" s="1"/>
  <c r="H18" i="16"/>
  <c r="I18" i="16" s="1"/>
  <c r="H23" i="16"/>
  <c r="I23" i="16" s="1"/>
  <c r="H24" i="16"/>
  <c r="I24" i="16" s="1"/>
  <c r="H19" i="16"/>
  <c r="I19" i="16" s="1"/>
  <c r="H25" i="16"/>
  <c r="I25" i="16" s="1"/>
  <c r="H27" i="16"/>
  <c r="I27" i="16" s="1"/>
  <c r="H26" i="16"/>
  <c r="I26" i="16" s="1"/>
  <c r="H28" i="16"/>
  <c r="I28" i="16" s="1"/>
  <c r="H20" i="16"/>
  <c r="I20" i="16" s="1"/>
  <c r="H29" i="16"/>
  <c r="I29" i="16" s="1"/>
  <c r="H30" i="16"/>
  <c r="I30" i="16" s="1"/>
  <c r="H31" i="16"/>
  <c r="I31" i="16" s="1"/>
  <c r="H33" i="16"/>
  <c r="I33" i="16" s="1"/>
  <c r="H34" i="16"/>
  <c r="I34" i="16" s="1"/>
  <c r="H32" i="16"/>
  <c r="I32" i="16" s="1"/>
  <c r="H35" i="16"/>
  <c r="I35" i="16" s="1"/>
  <c r="H37" i="16"/>
  <c r="I37" i="16" s="1"/>
  <c r="H36" i="16"/>
  <c r="I36" i="16" s="1"/>
  <c r="H38" i="16"/>
  <c r="I38" i="16" s="1"/>
  <c r="H41" i="16"/>
  <c r="I41" i="16" s="1"/>
  <c r="H42" i="16"/>
  <c r="I42" i="16" s="1"/>
  <c r="H40" i="16"/>
  <c r="I40" i="16" s="1"/>
  <c r="H44" i="16"/>
  <c r="I44" i="16" s="1"/>
  <c r="H43" i="16"/>
  <c r="I43" i="16" s="1"/>
  <c r="H39" i="16"/>
  <c r="I39" i="16" s="1"/>
  <c r="H46" i="16"/>
  <c r="I46" i="16" s="1"/>
  <c r="H45" i="16"/>
  <c r="I45" i="16" s="1"/>
  <c r="H47" i="16"/>
  <c r="I47" i="16" s="1"/>
  <c r="H48" i="16"/>
  <c r="I48" i="16" s="1"/>
  <c r="H50" i="16"/>
  <c r="I50" i="16" s="1"/>
  <c r="H49" i="16"/>
  <c r="I49" i="16" s="1"/>
  <c r="H51" i="16"/>
  <c r="I51" i="16" s="1"/>
  <c r="H52" i="16"/>
  <c r="I52" i="16" s="1"/>
  <c r="H54" i="16"/>
  <c r="I54" i="16" s="1"/>
  <c r="H55" i="16"/>
  <c r="I55" i="16" s="1"/>
  <c r="H53" i="16"/>
  <c r="I53" i="16" s="1"/>
  <c r="H56" i="16"/>
  <c r="I56" i="16" s="1"/>
  <c r="H58" i="16"/>
  <c r="I58" i="16" s="1"/>
  <c r="H57" i="16"/>
  <c r="I57" i="16" s="1"/>
  <c r="H59" i="16"/>
  <c r="I59" i="16" s="1"/>
  <c r="H60" i="16"/>
  <c r="I60" i="16" s="1"/>
  <c r="H61" i="16"/>
  <c r="I61" i="16" s="1"/>
  <c r="H62" i="16"/>
  <c r="I62" i="16" s="1"/>
  <c r="H21" i="16"/>
  <c r="I21" i="16" s="1"/>
  <c r="L15" i="16" l="1"/>
  <c r="M15" i="16" s="1"/>
  <c r="L20" i="2"/>
  <c r="L15" i="2"/>
  <c r="L14" i="2"/>
  <c r="J59" i="16"/>
  <c r="K59" i="16" s="1"/>
  <c r="J51" i="16"/>
  <c r="K51" i="16" s="1"/>
  <c r="L51" i="16" s="1"/>
  <c r="J43" i="16"/>
  <c r="K43" i="16" s="1"/>
  <c r="J41" i="16"/>
  <c r="K41" i="16" s="1"/>
  <c r="J28" i="16"/>
  <c r="K28" i="16" s="1"/>
  <c r="J17" i="16"/>
  <c r="K17" i="16" s="1"/>
  <c r="L17" i="16" s="1"/>
  <c r="J62" i="16"/>
  <c r="K62" i="16" s="1"/>
  <c r="J55" i="16"/>
  <c r="K55" i="16" s="1"/>
  <c r="L55" i="16" s="1"/>
  <c r="J44" i="16"/>
  <c r="K44" i="16" s="1"/>
  <c r="J38" i="16"/>
  <c r="K38" i="16" s="1"/>
  <c r="L38" i="16" s="1"/>
  <c r="J30" i="16"/>
  <c r="K30" i="16" s="1"/>
  <c r="J26" i="16"/>
  <c r="K26" i="16" s="1"/>
  <c r="J22" i="16"/>
  <c r="K22" i="16" s="1"/>
  <c r="J61" i="16"/>
  <c r="K61" i="16" s="1"/>
  <c r="L61" i="16" s="1"/>
  <c r="J58" i="16"/>
  <c r="K58" i="16" s="1"/>
  <c r="J54" i="16"/>
  <c r="K54" i="16" s="1"/>
  <c r="J50" i="16"/>
  <c r="K50" i="16" s="1"/>
  <c r="J46" i="16"/>
  <c r="K46" i="16" s="1"/>
  <c r="L46" i="16" s="1"/>
  <c r="J40" i="16"/>
  <c r="K40" i="16" s="1"/>
  <c r="J36" i="16"/>
  <c r="K36" i="16" s="1"/>
  <c r="J34" i="16"/>
  <c r="K34" i="16" s="1"/>
  <c r="J29" i="16"/>
  <c r="K29" i="16" s="1"/>
  <c r="L29" i="16" s="1"/>
  <c r="J27" i="16"/>
  <c r="K27" i="16" s="1"/>
  <c r="J23" i="16"/>
  <c r="K23" i="16" s="1"/>
  <c r="L23" i="16" s="1"/>
  <c r="J16" i="16"/>
  <c r="K16" i="16" s="1"/>
  <c r="J21" i="16"/>
  <c r="K21" i="16" s="1"/>
  <c r="L21" i="16" s="1"/>
  <c r="J53" i="16"/>
  <c r="K53" i="16" s="1"/>
  <c r="J47" i="16"/>
  <c r="K47" i="16" s="1"/>
  <c r="J35" i="16"/>
  <c r="K35" i="16" s="1"/>
  <c r="J31" i="16"/>
  <c r="K31" i="16" s="1"/>
  <c r="L31" i="16" s="1"/>
  <c r="J19" i="16"/>
  <c r="K19" i="16" s="1"/>
  <c r="J57" i="16"/>
  <c r="K57" i="16" s="1"/>
  <c r="L57" i="16" s="1"/>
  <c r="J49" i="16"/>
  <c r="K49" i="16" s="1"/>
  <c r="J45" i="16"/>
  <c r="K45" i="16" s="1"/>
  <c r="L45" i="16" s="1"/>
  <c r="J32" i="16"/>
  <c r="K32" i="16" s="1"/>
  <c r="J24" i="16"/>
  <c r="K24" i="16" s="1"/>
  <c r="J60" i="16"/>
  <c r="K60" i="16" s="1"/>
  <c r="J56" i="16"/>
  <c r="K56" i="16" s="1"/>
  <c r="L56" i="16" s="1"/>
  <c r="J52" i="16"/>
  <c r="K52" i="16" s="1"/>
  <c r="J48" i="16"/>
  <c r="K48" i="16" s="1"/>
  <c r="L48" i="16" s="1"/>
  <c r="J39" i="16"/>
  <c r="K39" i="16" s="1"/>
  <c r="J42" i="16"/>
  <c r="K42" i="16" s="1"/>
  <c r="L42" i="16" s="1"/>
  <c r="J37" i="16"/>
  <c r="K37" i="16" s="1"/>
  <c r="J33" i="16"/>
  <c r="K33" i="16" s="1"/>
  <c r="J20" i="16"/>
  <c r="K20" i="16" s="1"/>
  <c r="J25" i="16"/>
  <c r="K25" i="16" s="1"/>
  <c r="J18" i="16"/>
  <c r="K18" i="16" s="1"/>
  <c r="L47" i="16" l="1"/>
  <c r="M47" i="16" s="1"/>
  <c r="L36" i="16"/>
  <c r="M36" i="16" s="1"/>
  <c r="L26" i="16"/>
  <c r="M26" i="16" s="1"/>
  <c r="L33" i="16"/>
  <c r="M33" i="16" s="1"/>
  <c r="M25" i="16"/>
  <c r="L25" i="16"/>
  <c r="L52" i="16"/>
  <c r="M52" i="16" s="1"/>
  <c r="L24" i="16"/>
  <c r="M24" i="16" s="1"/>
  <c r="L34" i="16"/>
  <c r="M34" i="16" s="1"/>
  <c r="L30" i="16"/>
  <c r="M30" i="16" s="1"/>
  <c r="L41" i="16"/>
  <c r="M41" i="16" s="1"/>
  <c r="L32" i="16"/>
  <c r="M32" i="16" s="1"/>
  <c r="L22" i="16"/>
  <c r="M22" i="16" s="1"/>
  <c r="L43" i="16"/>
  <c r="M43" i="16" s="1"/>
  <c r="L39" i="16"/>
  <c r="M39" i="16" s="1"/>
  <c r="L53" i="16"/>
  <c r="M53" i="16" s="1"/>
  <c r="L27" i="16"/>
  <c r="M27" i="16" s="1"/>
  <c r="L54" i="16"/>
  <c r="M54" i="16" s="1"/>
  <c r="L44" i="16"/>
  <c r="M44" i="16" s="1"/>
  <c r="L18" i="16"/>
  <c r="M18" i="16" s="1"/>
  <c r="L49" i="16"/>
  <c r="M49" i="16" s="1"/>
  <c r="L35" i="16"/>
  <c r="M35" i="16" s="1"/>
  <c r="L40" i="16"/>
  <c r="M40" i="16" s="1"/>
  <c r="L58" i="16"/>
  <c r="M58" i="16" s="1"/>
  <c r="L59" i="16"/>
  <c r="M59" i="16" s="1"/>
  <c r="L37" i="16"/>
  <c r="M37" i="16" s="1"/>
  <c r="L16" i="16"/>
  <c r="M16" i="16" s="1"/>
  <c r="L62" i="16"/>
  <c r="M62" i="16" s="1"/>
  <c r="L20" i="16"/>
  <c r="M20" i="16" s="1"/>
  <c r="L19" i="16"/>
  <c r="M19" i="16" s="1"/>
  <c r="L50" i="16"/>
  <c r="M50" i="16" s="1"/>
  <c r="L60" i="16"/>
  <c r="M60" i="16" s="1"/>
  <c r="L28" i="16"/>
  <c r="M28" i="16" s="1"/>
  <c r="M42" i="16"/>
  <c r="M56" i="16"/>
  <c r="M23" i="16"/>
  <c r="M38" i="16"/>
  <c r="M17" i="16"/>
  <c r="M45" i="16"/>
  <c r="M31" i="16"/>
  <c r="M51" i="16"/>
  <c r="M48" i="16"/>
  <c r="M21" i="16"/>
  <c r="M29" i="16"/>
  <c r="M55" i="16"/>
  <c r="M57" i="16"/>
  <c r="M46" i="16"/>
  <c r="M61" i="16"/>
  <c r="K14" i="16"/>
  <c r="N15" i="16"/>
  <c r="N15" i="13"/>
  <c r="N15" i="11"/>
  <c r="L26" i="2" l="1"/>
  <c r="L12" i="2" s="1"/>
  <c r="M26" i="2" s="1"/>
  <c r="N15" i="15"/>
  <c r="N15" i="10"/>
  <c r="N15" i="8"/>
  <c r="N15" i="7"/>
  <c r="O26" i="2" l="1"/>
  <c r="N26" i="2"/>
  <c r="N13" i="16" s="1"/>
  <c r="N10" i="16" s="1"/>
  <c r="M15" i="2"/>
  <c r="M21" i="2"/>
  <c r="M16" i="2"/>
  <c r="M24" i="2"/>
  <c r="M25" i="2"/>
  <c r="M22" i="2"/>
  <c r="M17" i="2"/>
  <c r="M14" i="2"/>
  <c r="M18" i="2"/>
  <c r="M23" i="2"/>
  <c r="M20" i="2"/>
  <c r="M19" i="2"/>
  <c r="N15" i="5"/>
  <c r="N15" i="4"/>
  <c r="O23" i="2" l="1"/>
  <c r="O22" i="2"/>
  <c r="O21" i="2"/>
  <c r="O18" i="2"/>
  <c r="O25" i="2"/>
  <c r="O15" i="2"/>
  <c r="O19" i="2"/>
  <c r="O14" i="2"/>
  <c r="O24" i="2"/>
  <c r="O20" i="2"/>
  <c r="O17" i="2"/>
  <c r="O16" i="2"/>
  <c r="N16" i="16"/>
  <c r="N17" i="16" s="1"/>
  <c r="N18" i="16" s="1"/>
  <c r="N19" i="16" s="1"/>
  <c r="N20" i="16" s="1"/>
  <c r="N21" i="16" s="1"/>
  <c r="N20" i="2"/>
  <c r="N13" i="10" s="1"/>
  <c r="N17" i="2"/>
  <c r="N13" i="7" s="1"/>
  <c r="N16" i="2"/>
  <c r="N13" i="6" s="1"/>
  <c r="N18" i="2"/>
  <c r="N16" i="8" s="1"/>
  <c r="N25" i="2"/>
  <c r="N13" i="15" s="1"/>
  <c r="N15" i="2"/>
  <c r="N13" i="5" s="1"/>
  <c r="N19" i="2"/>
  <c r="N13" i="9" s="1"/>
  <c r="N14" i="2"/>
  <c r="N13" i="4" s="1"/>
  <c r="N24" i="2"/>
  <c r="N23" i="2"/>
  <c r="N13" i="13" s="1"/>
  <c r="N22" i="2"/>
  <c r="N21" i="2"/>
  <c r="N13" i="11" s="1"/>
  <c r="N15" i="6"/>
  <c r="N10" i="10" l="1"/>
  <c r="N10" i="9"/>
  <c r="N10" i="7"/>
  <c r="N10" i="6"/>
  <c r="N10" i="5"/>
  <c r="N10" i="15"/>
  <c r="N10" i="4"/>
  <c r="N10" i="13"/>
  <c r="N15" i="12"/>
  <c r="N13" i="14"/>
  <c r="N15" i="14"/>
  <c r="N16" i="11"/>
  <c r="N16" i="4"/>
  <c r="N17" i="4" s="1"/>
  <c r="N16" i="5"/>
  <c r="N17" i="5" s="1"/>
  <c r="N18" i="5" s="1"/>
  <c r="N19" i="5" s="1"/>
  <c r="N20" i="5" s="1"/>
  <c r="N21" i="5" s="1"/>
  <c r="N22" i="5" s="1"/>
  <c r="N23" i="5" s="1"/>
  <c r="N24" i="5" s="1"/>
  <c r="N25" i="5" s="1"/>
  <c r="N26" i="5" s="1"/>
  <c r="N15" i="9"/>
  <c r="N16" i="9" s="1"/>
  <c r="N17" i="9" s="1"/>
  <c r="N13" i="12"/>
  <c r="N13" i="8"/>
  <c r="N16" i="6"/>
  <c r="N17" i="6" s="1"/>
  <c r="N18" i="6" s="1"/>
  <c r="N19" i="6" s="1"/>
  <c r="N20" i="6" s="1"/>
  <c r="N21" i="6" s="1"/>
  <c r="N22" i="6" s="1"/>
  <c r="N23" i="6" s="1"/>
  <c r="N24" i="6" s="1"/>
  <c r="N25" i="6" s="1"/>
  <c r="N26" i="6" s="1"/>
  <c r="N27" i="6" s="1"/>
  <c r="N28" i="6" s="1"/>
  <c r="N29" i="6" s="1"/>
  <c r="N30" i="6" s="1"/>
  <c r="N31" i="6" s="1"/>
  <c r="N32" i="6" s="1"/>
  <c r="N33" i="6" s="1"/>
  <c r="N34" i="6" s="1"/>
  <c r="N35" i="6" s="1"/>
  <c r="N36" i="6" s="1"/>
  <c r="N37" i="6" s="1"/>
  <c r="N38" i="6" s="1"/>
  <c r="N39" i="6" s="1"/>
  <c r="N40" i="6" s="1"/>
  <c r="N41" i="6" s="1"/>
  <c r="N42" i="6" s="1"/>
  <c r="N43" i="6" s="1"/>
  <c r="N44" i="6" s="1"/>
  <c r="N45" i="6" s="1"/>
  <c r="N46" i="6" s="1"/>
  <c r="N16" i="13"/>
  <c r="N17" i="13" s="1"/>
  <c r="N18" i="13" s="1"/>
  <c r="N19" i="13" s="1"/>
  <c r="N20" i="13" s="1"/>
  <c r="N21" i="13" s="1"/>
  <c r="N22" i="13" s="1"/>
  <c r="N23" i="13" s="1"/>
  <c r="N24" i="13" s="1"/>
  <c r="N25" i="13" s="1"/>
  <c r="N26" i="13" s="1"/>
  <c r="N27" i="13" s="1"/>
  <c r="N28" i="13" s="1"/>
  <c r="N29" i="13" s="1"/>
  <c r="N30" i="13" s="1"/>
  <c r="N31" i="13" s="1"/>
  <c r="N32" i="13" s="1"/>
  <c r="N33" i="13" s="1"/>
  <c r="N34" i="13" s="1"/>
  <c r="N35" i="13" s="1"/>
  <c r="N36" i="13" s="1"/>
  <c r="N37" i="13" s="1"/>
  <c r="N38" i="13" s="1"/>
  <c r="N39" i="13" s="1"/>
  <c r="N40" i="13" s="1"/>
  <c r="N41" i="13" s="1"/>
  <c r="N42" i="13" s="1"/>
  <c r="N43" i="13" s="1"/>
  <c r="N44" i="13" s="1"/>
  <c r="N16" i="7"/>
  <c r="N17" i="7" s="1"/>
  <c r="N18" i="7" s="1"/>
  <c r="N19" i="7" s="1"/>
  <c r="N20" i="7" s="1"/>
  <c r="N21" i="7" s="1"/>
  <c r="N22" i="7" s="1"/>
  <c r="N23" i="7" s="1"/>
  <c r="N24" i="7" s="1"/>
  <c r="N25" i="7" s="1"/>
  <c r="N26" i="7" s="1"/>
  <c r="N27" i="7" s="1"/>
  <c r="N28" i="7" s="1"/>
  <c r="N29" i="7" s="1"/>
  <c r="N30" i="7" s="1"/>
  <c r="N31" i="7" s="1"/>
  <c r="N32" i="7" s="1"/>
  <c r="N33" i="7" s="1"/>
  <c r="N34" i="7" s="1"/>
  <c r="N35" i="7" s="1"/>
  <c r="N36" i="7" s="1"/>
  <c r="N37" i="7" s="1"/>
  <c r="N38" i="7" s="1"/>
  <c r="N39" i="7" s="1"/>
  <c r="N40" i="7" s="1"/>
  <c r="N41" i="7" s="1"/>
  <c r="N42" i="7" s="1"/>
  <c r="N43" i="7" s="1"/>
  <c r="N44" i="7" s="1"/>
  <c r="N45" i="7" s="1"/>
  <c r="N46" i="7" s="1"/>
  <c r="N47" i="7" s="1"/>
  <c r="N48" i="7" s="1"/>
  <c r="N16" i="15"/>
  <c r="N16" i="10"/>
  <c r="N17" i="10" s="1"/>
  <c r="N18" i="10" s="1"/>
  <c r="N19" i="10" s="1"/>
  <c r="N20" i="10" s="1"/>
  <c r="N21" i="10" s="1"/>
  <c r="N22" i="10" s="1"/>
  <c r="N23" i="10" s="1"/>
  <c r="N24" i="10" s="1"/>
  <c r="N17" i="8"/>
  <c r="N22" i="16"/>
  <c r="N10" i="8" l="1"/>
  <c r="N10" i="14"/>
  <c r="N10" i="12"/>
  <c r="N17" i="11"/>
  <c r="N18" i="11" s="1"/>
  <c r="N19" i="11" s="1"/>
  <c r="N20" i="11" s="1"/>
  <c r="N21" i="11" s="1"/>
  <c r="N22" i="11" s="1"/>
  <c r="N23" i="11" s="1"/>
  <c r="N24" i="11" s="1"/>
  <c r="N25" i="11" s="1"/>
  <c r="N26" i="11" s="1"/>
  <c r="N27" i="11" s="1"/>
  <c r="N28" i="11" s="1"/>
  <c r="N29" i="11" s="1"/>
  <c r="N16" i="12"/>
  <c r="N17" i="12" s="1"/>
  <c r="N16" i="14"/>
  <c r="N17" i="14" s="1"/>
  <c r="N18" i="14" s="1"/>
  <c r="N17" i="15"/>
  <c r="N23" i="16"/>
  <c r="N18" i="8"/>
  <c r="N19" i="8" s="1"/>
  <c r="N20" i="8" s="1"/>
  <c r="N21" i="8" s="1"/>
  <c r="N22" i="8" s="1"/>
  <c r="N23" i="8" s="1"/>
  <c r="N24" i="8" s="1"/>
  <c r="N25" i="8" s="1"/>
  <c r="N26" i="8" s="1"/>
  <c r="N27" i="8" s="1"/>
  <c r="N28" i="8" s="1"/>
  <c r="N29" i="8" s="1"/>
  <c r="N30" i="8" s="1"/>
  <c r="N31" i="8" s="1"/>
  <c r="N32" i="8" s="1"/>
  <c r="N33" i="8" s="1"/>
  <c r="N34" i="8" s="1"/>
  <c r="N35" i="8" s="1"/>
  <c r="N36" i="8" s="1"/>
  <c r="N18" i="9"/>
  <c r="N18" i="4"/>
  <c r="N18" i="12" l="1"/>
  <c r="N19" i="12" s="1"/>
  <c r="N20" i="12" s="1"/>
  <c r="N21" i="12" s="1"/>
  <c r="N22" i="12" s="1"/>
  <c r="N23" i="12" s="1"/>
  <c r="N24" i="12" s="1"/>
  <c r="N25" i="12" s="1"/>
  <c r="N26" i="12" s="1"/>
  <c r="N27" i="12" s="1"/>
  <c r="N28" i="12" s="1"/>
  <c r="N29" i="12" s="1"/>
  <c r="N30" i="12" s="1"/>
  <c r="N31" i="12" s="1"/>
  <c r="N32" i="12" s="1"/>
  <c r="N33" i="12" s="1"/>
  <c r="N34" i="12" s="1"/>
  <c r="N35" i="12" s="1"/>
  <c r="N36" i="12" s="1"/>
  <c r="N37" i="12" s="1"/>
  <c r="N38" i="12" s="1"/>
  <c r="N19" i="14"/>
  <c r="N18" i="15"/>
  <c r="N19" i="15" s="1"/>
  <c r="N20" i="15" s="1"/>
  <c r="N21" i="15" s="1"/>
  <c r="N22" i="15" s="1"/>
  <c r="N23" i="15" s="1"/>
  <c r="N24" i="15" s="1"/>
  <c r="N25" i="15" s="1"/>
  <c r="N26" i="15" s="1"/>
  <c r="N27" i="15" s="1"/>
  <c r="N28" i="15" s="1"/>
  <c r="N29" i="15" s="1"/>
  <c r="N30" i="15" s="1"/>
  <c r="N31" i="15" s="1"/>
  <c r="N32" i="15" s="1"/>
  <c r="N33" i="15" s="1"/>
  <c r="N34" i="15" s="1"/>
  <c r="N35" i="15" s="1"/>
  <c r="N36" i="15" s="1"/>
  <c r="N37" i="15" s="1"/>
  <c r="N38" i="15" s="1"/>
  <c r="N39" i="15" s="1"/>
  <c r="N40" i="15" s="1"/>
  <c r="N41" i="15" s="1"/>
  <c r="N42" i="15" s="1"/>
  <c r="N43" i="15" s="1"/>
  <c r="N44" i="15" s="1"/>
  <c r="N45" i="15" s="1"/>
  <c r="N46" i="15" s="1"/>
  <c r="N47" i="15" s="1"/>
  <c r="N48" i="15" s="1"/>
  <c r="N49" i="15" s="1"/>
  <c r="N50" i="15" s="1"/>
  <c r="N51" i="15" s="1"/>
  <c r="N52" i="15" s="1"/>
  <c r="N53" i="15" s="1"/>
  <c r="N54" i="15" s="1"/>
  <c r="N55" i="15" s="1"/>
  <c r="N56" i="15" s="1"/>
  <c r="N19" i="9"/>
  <c r="N24" i="16"/>
  <c r="N19" i="4"/>
  <c r="N20" i="14" l="1"/>
  <c r="N21" i="14" s="1"/>
  <c r="N22" i="14" s="1"/>
  <c r="N23" i="14" s="1"/>
  <c r="N24" i="14" s="1"/>
  <c r="N25" i="14" s="1"/>
  <c r="N26" i="14" s="1"/>
  <c r="N27" i="14" s="1"/>
  <c r="N28" i="14" s="1"/>
  <c r="N29" i="14" s="1"/>
  <c r="N30" i="14" s="1"/>
  <c r="N31" i="14" s="1"/>
  <c r="N32" i="14" s="1"/>
  <c r="N33" i="14" s="1"/>
  <c r="N34" i="14" s="1"/>
  <c r="N35" i="14" s="1"/>
  <c r="N36" i="14" s="1"/>
  <c r="N37" i="14" s="1"/>
  <c r="N38" i="14" s="1"/>
  <c r="N39" i="14" s="1"/>
  <c r="N40" i="14" s="1"/>
  <c r="N41" i="14" s="1"/>
  <c r="N42" i="14" s="1"/>
  <c r="N25" i="16"/>
  <c r="N26" i="16" s="1"/>
  <c r="N27" i="16" s="1"/>
  <c r="N28" i="16" s="1"/>
  <c r="N29" i="16" s="1"/>
  <c r="N30" i="16" s="1"/>
  <c r="N31" i="16" s="1"/>
  <c r="N32" i="16" s="1"/>
  <c r="N33" i="16" s="1"/>
  <c r="N34" i="16" s="1"/>
  <c r="N35" i="16" s="1"/>
  <c r="N36" i="16" s="1"/>
  <c r="N37" i="16" s="1"/>
  <c r="N38" i="16" s="1"/>
  <c r="N20" i="9"/>
  <c r="N20" i="4"/>
  <c r="N21" i="9" l="1"/>
  <c r="N39" i="16"/>
  <c r="N40" i="16" s="1"/>
  <c r="N41" i="16" s="1"/>
  <c r="N42" i="16" s="1"/>
  <c r="N43" i="16" s="1"/>
  <c r="N44" i="16" s="1"/>
  <c r="N45" i="16" s="1"/>
  <c r="N46" i="16" s="1"/>
  <c r="N47" i="16" s="1"/>
  <c r="N48" i="16" s="1"/>
  <c r="N49" i="16" s="1"/>
  <c r="N50" i="16" s="1"/>
  <c r="N51" i="16" s="1"/>
  <c r="N52" i="16" s="1"/>
  <c r="N53" i="16" s="1"/>
  <c r="N54" i="16" s="1"/>
  <c r="N55" i="16" s="1"/>
  <c r="N56" i="16" s="1"/>
  <c r="N57" i="16" s="1"/>
  <c r="N58" i="16" s="1"/>
  <c r="N59" i="16" s="1"/>
  <c r="N60" i="16" s="1"/>
  <c r="N61" i="16" s="1"/>
  <c r="N62" i="16" s="1"/>
  <c r="N21" i="4"/>
  <c r="N22" i="9" l="1"/>
  <c r="N22" i="4"/>
  <c r="N23" i="9" l="1"/>
  <c r="N23" i="4"/>
  <c r="N24" i="9" l="1"/>
  <c r="N25" i="9" s="1"/>
  <c r="N24" i="4"/>
  <c r="P24" i="2" l="1"/>
  <c r="Q24" i="2" s="1"/>
  <c r="P15" i="2"/>
  <c r="Q15" i="2" s="1"/>
  <c r="P19" i="2"/>
  <c r="Q19" i="2" s="1"/>
  <c r="P26" i="2"/>
  <c r="Q26" i="2" s="1"/>
  <c r="P17" i="2"/>
  <c r="Q17" i="2" s="1"/>
  <c r="P16" i="2"/>
  <c r="Q16" i="2" s="1"/>
  <c r="P18" i="2"/>
  <c r="Q18" i="2" s="1"/>
  <c r="P20" i="2"/>
  <c r="Q20" i="2" s="1"/>
  <c r="P21" i="2"/>
  <c r="Q21" i="2" s="1"/>
  <c r="P14" i="2"/>
  <c r="Q14" i="2" s="1"/>
  <c r="P23" i="2"/>
  <c r="Q23" i="2" s="1"/>
  <c r="P22" i="2"/>
  <c r="Q22" i="2" s="1"/>
  <c r="P25" i="2"/>
  <c r="Q25" i="2" s="1"/>
  <c r="N25" i="4"/>
  <c r="Q12" i="2" l="1"/>
  <c r="P12" i="2"/>
  <c r="N26" i="4"/>
  <c r="K182" i="2"/>
  <c r="K215" i="2"/>
  <c r="K10" i="2"/>
  <c r="J10" i="2"/>
  <c r="H12" i="2"/>
  <c r="I12" i="2"/>
  <c r="H14" i="2"/>
  <c r="I14" i="2"/>
  <c r="H15" i="2"/>
  <c r="I15" i="2"/>
  <c r="H16" i="2"/>
  <c r="I16" i="2"/>
  <c r="H17" i="2"/>
  <c r="I17" i="2"/>
  <c r="H18" i="2"/>
  <c r="I18" i="2"/>
  <c r="H19" i="2"/>
  <c r="I19" i="2"/>
  <c r="H20" i="2"/>
  <c r="I20" i="2"/>
  <c r="H21" i="2"/>
  <c r="I21" i="2"/>
  <c r="H22" i="2"/>
  <c r="I22" i="2"/>
  <c r="H23" i="2"/>
  <c r="I23" i="2"/>
  <c r="H24" i="2"/>
  <c r="I24" i="2"/>
  <c r="H25" i="2"/>
  <c r="I25" i="2"/>
  <c r="H26" i="2"/>
  <c r="I26" i="2"/>
  <c r="G25" i="2"/>
  <c r="G24" i="2"/>
  <c r="G15" i="2"/>
  <c r="G16" i="2"/>
  <c r="G17" i="2"/>
  <c r="G18" i="2"/>
  <c r="G19" i="2"/>
  <c r="G20" i="2"/>
  <c r="G21" i="2"/>
  <c r="G22" i="2"/>
  <c r="G23" i="2"/>
  <c r="G26" i="2"/>
  <c r="G14" i="2"/>
  <c r="G12" i="2"/>
  <c r="R26" i="2" l="1"/>
  <c r="R23" i="2"/>
  <c r="R21" i="2"/>
  <c r="R25" i="2"/>
  <c r="R19" i="2"/>
  <c r="R24" i="2"/>
  <c r="R17" i="2"/>
  <c r="R22" i="2"/>
  <c r="R18" i="2"/>
  <c r="R15" i="2"/>
  <c r="R14" i="2"/>
  <c r="R20" i="2"/>
  <c r="R16" i="2"/>
  <c r="N27" i="4"/>
  <c r="K269" i="2"/>
  <c r="K112" i="2"/>
  <c r="K111" i="2"/>
  <c r="K120" i="2"/>
  <c r="K235" i="2"/>
  <c r="K114" i="2"/>
  <c r="K62" i="2"/>
  <c r="K84" i="2"/>
  <c r="K83" i="2"/>
  <c r="K85" i="2"/>
  <c r="K237" i="2"/>
  <c r="K233" i="2"/>
  <c r="K118" i="2"/>
  <c r="K271" i="2"/>
  <c r="K34" i="2"/>
  <c r="K113" i="2"/>
  <c r="K64" i="2"/>
  <c r="K270" i="2"/>
  <c r="K61" i="2"/>
  <c r="K86" i="2"/>
  <c r="K89" i="2"/>
  <c r="K110" i="2"/>
  <c r="K211" i="2"/>
  <c r="K234" i="2"/>
  <c r="K37" i="2"/>
  <c r="K208" i="2"/>
  <c r="K63" i="2"/>
  <c r="K38" i="2"/>
  <c r="K236" i="2"/>
  <c r="K268" i="2"/>
  <c r="K33" i="2"/>
  <c r="K119" i="2"/>
  <c r="K108" i="2"/>
  <c r="K87" i="2"/>
  <c r="K115" i="2"/>
  <c r="K210" i="2"/>
  <c r="K88" i="2"/>
  <c r="K109" i="2"/>
  <c r="K32" i="2"/>
  <c r="K117" i="2"/>
  <c r="K82" i="2"/>
  <c r="K209" i="2"/>
  <c r="K116" i="2"/>
  <c r="K36" i="2"/>
  <c r="K212" i="2"/>
  <c r="K121" i="2"/>
  <c r="K35" i="2"/>
  <c r="K91" i="2"/>
  <c r="K123" i="2"/>
  <c r="K104" i="2"/>
  <c r="K184" i="2"/>
  <c r="K125" i="2"/>
  <c r="K185" i="2"/>
  <c r="K341" i="2"/>
  <c r="K102" i="2"/>
  <c r="K186" i="2"/>
  <c r="K279" i="2"/>
  <c r="K175" i="2"/>
  <c r="K103" i="2"/>
  <c r="K96" i="2"/>
  <c r="K124" i="2"/>
  <c r="K122" i="2"/>
  <c r="K252" i="2"/>
  <c r="K317" i="2"/>
  <c r="K263" i="2"/>
  <c r="K349" i="2"/>
  <c r="K172" i="2"/>
  <c r="K218" i="2"/>
  <c r="K356" i="2"/>
  <c r="K98" i="2"/>
  <c r="K311" i="2"/>
  <c r="K262" i="2"/>
  <c r="K296" i="2"/>
  <c r="K105" i="2"/>
  <c r="K293" i="2"/>
  <c r="K173" i="2"/>
  <c r="K174" i="2"/>
  <c r="K251" i="2"/>
  <c r="K278" i="2"/>
  <c r="K99" i="2"/>
  <c r="K101" i="2"/>
  <c r="K250" i="2"/>
  <c r="K280" i="2"/>
  <c r="K100" i="2"/>
  <c r="K97" i="2"/>
  <c r="K171" i="2"/>
  <c r="K217" i="2"/>
  <c r="K187" i="2"/>
  <c r="K177" i="2"/>
  <c r="K50" i="2"/>
  <c r="K53" i="2"/>
  <c r="K298" i="2"/>
  <c r="K292" i="2"/>
  <c r="K360" i="2"/>
  <c r="K342" i="2"/>
  <c r="K146" i="2"/>
  <c r="K49" i="2"/>
  <c r="K307" i="2"/>
  <c r="K327" i="2"/>
  <c r="K52" i="2"/>
  <c r="K324" i="2"/>
  <c r="K326" i="2"/>
  <c r="K319" i="2"/>
  <c r="K337" i="2"/>
  <c r="K267" i="2"/>
  <c r="K347" i="2"/>
  <c r="K294" i="2"/>
  <c r="K51" i="2"/>
  <c r="K330" i="2"/>
  <c r="K273" i="2"/>
  <c r="K159" i="2"/>
  <c r="K272" i="2"/>
  <c r="K178" i="2"/>
  <c r="K295" i="2"/>
  <c r="K274" i="2"/>
  <c r="K149" i="2"/>
  <c r="K357" i="2"/>
  <c r="K216" i="2"/>
  <c r="K219" i="2"/>
  <c r="K151" i="2"/>
  <c r="K315" i="2"/>
  <c r="K353" i="2"/>
  <c r="K176" i="2"/>
  <c r="K306" i="2"/>
  <c r="K78" i="2"/>
  <c r="K181" i="2"/>
  <c r="K308" i="2"/>
  <c r="K355" i="2"/>
  <c r="K354" i="2"/>
  <c r="K150" i="2"/>
  <c r="K335" i="2"/>
  <c r="K179" i="2"/>
  <c r="K200" i="2"/>
  <c r="K339" i="2"/>
  <c r="K359" i="2"/>
  <c r="K348" i="2"/>
  <c r="K148" i="2"/>
  <c r="K152" i="2"/>
  <c r="K180" i="2"/>
  <c r="K183" i="2"/>
  <c r="K134" i="2"/>
  <c r="K147" i="2"/>
  <c r="K287" i="2"/>
  <c r="K283" i="2"/>
  <c r="K248" i="2"/>
  <c r="K238" i="2"/>
  <c r="K247" i="2"/>
  <c r="K240" i="2"/>
  <c r="K241" i="2"/>
  <c r="K282" i="2"/>
  <c r="K239" i="2"/>
  <c r="K249" i="2"/>
  <c r="K286" i="2"/>
  <c r="K285" i="2"/>
  <c r="K242" i="2"/>
  <c r="K162" i="2"/>
  <c r="K281" i="2"/>
  <c r="K47" i="2"/>
  <c r="K284" i="2"/>
  <c r="K244" i="2"/>
  <c r="K334" i="2"/>
  <c r="K323" i="2"/>
  <c r="K246" i="2"/>
  <c r="K245" i="2"/>
  <c r="K243" i="2"/>
  <c r="K299" i="2"/>
  <c r="K198" i="2"/>
  <c r="K164" i="2"/>
  <c r="K289" i="2"/>
  <c r="K290" i="2"/>
  <c r="K71" i="2"/>
  <c r="K129" i="2"/>
  <c r="K199" i="2"/>
  <c r="K136" i="2"/>
  <c r="K135" i="2"/>
  <c r="K163" i="2"/>
  <c r="K331" i="2"/>
  <c r="K305" i="2"/>
  <c r="K165" i="2"/>
  <c r="K257" i="2"/>
  <c r="K143" i="2"/>
  <c r="K350" i="2"/>
  <c r="K358" i="2"/>
  <c r="K288" i="2"/>
  <c r="K343" i="2"/>
  <c r="K314" i="2"/>
  <c r="K256" i="2"/>
  <c r="K316" i="2"/>
  <c r="K154" i="2"/>
  <c r="K153" i="2"/>
  <c r="K303" i="2"/>
  <c r="K160" i="2"/>
  <c r="K346" i="2"/>
  <c r="K161" i="2"/>
  <c r="K329" i="2"/>
  <c r="K352" i="2"/>
  <c r="K325" i="2"/>
  <c r="K138" i="2"/>
  <c r="K168" i="2"/>
  <c r="K81" i="2"/>
  <c r="K170" i="2"/>
  <c r="K340" i="2"/>
  <c r="K259" i="2"/>
  <c r="K167" i="2"/>
  <c r="K265" i="2"/>
  <c r="K79" i="2"/>
  <c r="K266" i="2"/>
  <c r="K169" i="2"/>
  <c r="K67" i="2"/>
  <c r="K309" i="2"/>
  <c r="K166" i="2"/>
  <c r="K302" i="2"/>
  <c r="K338" i="2"/>
  <c r="K264" i="2"/>
  <c r="K80" i="2"/>
  <c r="K258" i="2"/>
  <c r="K312" i="2"/>
  <c r="K68" i="2"/>
  <c r="K66" i="2"/>
  <c r="K253" i="2"/>
  <c r="K191" i="2"/>
  <c r="K73" i="2"/>
  <c r="K72" i="2"/>
  <c r="K304" i="2"/>
  <c r="K261" i="2"/>
  <c r="K300" i="2"/>
  <c r="K95" i="2"/>
  <c r="K93" i="2"/>
  <c r="K92" i="2"/>
  <c r="K106" i="2"/>
  <c r="K74" i="2"/>
  <c r="K188" i="2"/>
  <c r="K321" i="2"/>
  <c r="K254" i="2"/>
  <c r="K107" i="2"/>
  <c r="K277" i="2"/>
  <c r="K276" i="2"/>
  <c r="K189" i="2"/>
  <c r="K275" i="2"/>
  <c r="K94" i="2"/>
  <c r="K207" i="2"/>
  <c r="K291" i="2"/>
  <c r="K190" i="2"/>
  <c r="K40" i="2"/>
  <c r="K351" i="2"/>
  <c r="K193" i="2"/>
  <c r="K195" i="2"/>
  <c r="K194" i="2"/>
  <c r="K255" i="2"/>
  <c r="K192" i="2"/>
  <c r="K260" i="2"/>
  <c r="K41" i="2"/>
  <c r="K59" i="2"/>
  <c r="K224" i="2"/>
  <c r="K226" i="2"/>
  <c r="K141" i="2"/>
  <c r="K58" i="2"/>
  <c r="K57" i="2"/>
  <c r="K144" i="2"/>
  <c r="K76" i="2"/>
  <c r="K336" i="2"/>
  <c r="K297" i="2"/>
  <c r="K55" i="2"/>
  <c r="K223" i="2"/>
  <c r="K232" i="2"/>
  <c r="K301" i="2"/>
  <c r="K132" i="2"/>
  <c r="K54" i="2"/>
  <c r="K56" i="2"/>
  <c r="K229" i="2"/>
  <c r="K140" i="2"/>
  <c r="K30" i="2"/>
  <c r="K225" i="2"/>
  <c r="K60" i="2"/>
  <c r="K130" i="2"/>
  <c r="K142" i="2"/>
  <c r="K227" i="2"/>
  <c r="K31" i="2"/>
  <c r="K131" i="2"/>
  <c r="K230" i="2"/>
  <c r="K228" i="2"/>
  <c r="K231" i="2"/>
  <c r="K133" i="2"/>
  <c r="K126" i="2"/>
  <c r="K145" i="2"/>
  <c r="K127" i="2"/>
  <c r="K128" i="2"/>
  <c r="K43" i="2"/>
  <c r="K156" i="2"/>
  <c r="K44" i="2"/>
  <c r="K320" i="2"/>
  <c r="K75" i="2"/>
  <c r="K155" i="2"/>
  <c r="K45" i="2"/>
  <c r="K310" i="2"/>
  <c r="K221" i="2"/>
  <c r="K333" i="2"/>
  <c r="K344" i="2"/>
  <c r="K214" i="2"/>
  <c r="K204" i="2"/>
  <c r="K157" i="2"/>
  <c r="K203" i="2"/>
  <c r="K158" i="2"/>
  <c r="K197" i="2"/>
  <c r="K345" i="2"/>
  <c r="K220" i="2"/>
  <c r="K322" i="2"/>
  <c r="K196" i="2"/>
  <c r="K313" i="2"/>
  <c r="K205" i="2"/>
  <c r="K222" i="2"/>
  <c r="K213" i="2"/>
  <c r="K202" i="2"/>
  <c r="K206" i="2"/>
  <c r="K332" i="2"/>
  <c r="K328" i="2"/>
  <c r="K318" i="2"/>
  <c r="K201" i="2"/>
  <c r="N28" i="4" l="1"/>
  <c r="K139" i="2"/>
  <c r="J14" i="2"/>
  <c r="K14" i="2" s="1"/>
  <c r="K42" i="2"/>
  <c r="J15" i="2"/>
  <c r="K15" i="2" s="1"/>
  <c r="K65" i="2"/>
  <c r="J18" i="2"/>
  <c r="K18" i="2" s="1"/>
  <c r="K77" i="2"/>
  <c r="J23" i="2"/>
  <c r="K23" i="2" s="1"/>
  <c r="K48" i="2"/>
  <c r="J24" i="2"/>
  <c r="K24" i="2" s="1"/>
  <c r="K90" i="2"/>
  <c r="J25" i="2"/>
  <c r="K25" i="2" s="1"/>
  <c r="K29" i="2"/>
  <c r="J26" i="2"/>
  <c r="K26" i="2" s="1"/>
  <c r="K28" i="2"/>
  <c r="J12" i="2"/>
  <c r="K12" i="2" s="1"/>
  <c r="J16" i="2"/>
  <c r="K16" i="2" s="1"/>
  <c r="K39" i="2"/>
  <c r="J17" i="2"/>
  <c r="K17" i="2" s="1"/>
  <c r="K137" i="2"/>
  <c r="J19" i="2"/>
  <c r="K19" i="2" s="1"/>
  <c r="K69" i="2"/>
  <c r="J20" i="2"/>
  <c r="K20" i="2" s="1"/>
  <c r="K70" i="2"/>
  <c r="J21" i="2"/>
  <c r="K21" i="2" s="1"/>
  <c r="K46" i="2"/>
  <c r="J22" i="2"/>
  <c r="K22" i="2" s="1"/>
  <c r="N29" i="4" l="1"/>
  <c r="N30" i="4" l="1"/>
  <c r="N31" i="4" l="1"/>
  <c r="N32" i="4" l="1"/>
  <c r="N33" i="4" l="1"/>
  <c r="N34" i="4" l="1"/>
  <c r="N35" i="4" l="1"/>
  <c r="N36" i="4" l="1"/>
  <c r="N37" i="4" l="1"/>
  <c r="N38" i="4" l="1"/>
  <c r="N39" i="4" l="1"/>
  <c r="P40" i="4" l="1"/>
  <c r="O40" i="4"/>
  <c r="P63" i="16" l="1"/>
  <c r="O63" i="16"/>
  <c r="P26" i="9"/>
  <c r="O26" i="9" l="1"/>
  <c r="P25" i="10" l="1"/>
  <c r="O25" i="10" l="1"/>
  <c r="P27" i="5"/>
  <c r="O27" i="5" l="1"/>
  <c r="O30" i="11" l="1"/>
  <c r="P37" i="8"/>
  <c r="O37" i="8" l="1"/>
  <c r="P47" i="6" l="1"/>
  <c r="O47" i="6"/>
  <c r="O39" i="12" l="1"/>
  <c r="P49" i="7" l="1"/>
  <c r="O49" i="7" l="1"/>
  <c r="O45" i="13" l="1"/>
  <c r="O43" i="14" l="1"/>
  <c r="P57" i="15" l="1"/>
  <c r="O57" i="15"/>
</calcChain>
</file>

<file path=xl/sharedStrings.xml><?xml version="1.0" encoding="utf-8"?>
<sst xmlns="http://schemas.openxmlformats.org/spreadsheetml/2006/main" count="2724" uniqueCount="514">
  <si>
    <t>O</t>
  </si>
  <si>
    <t>P</t>
  </si>
  <si>
    <t>Metro</t>
  </si>
  <si>
    <t>BROOKLYN CENTER SCHOOL DISTRICT</t>
  </si>
  <si>
    <t>11</t>
  </si>
  <si>
    <t>COLUMBIA HEIGHTS PUBLIC SCHOOL DIST</t>
  </si>
  <si>
    <t>ST. PAUL PUBLIC SCHOOL DISTRICT</t>
  </si>
  <si>
    <t>FRIDLEY PUBLIC SCHOOL DISTRICT</t>
  </si>
  <si>
    <t>MINNEAPOLIS PUBLIC SCHOOL DIST.</t>
  </si>
  <si>
    <t>RICHFIELD PUBLIC SCHOOL DISTRICT</t>
  </si>
  <si>
    <t>NORTH ST PAUL-MAPLEWOOD SCHOOL DIST</t>
  </si>
  <si>
    <t>BURNSVILLE PUBLIC SCHOOL DISTRICT</t>
  </si>
  <si>
    <t>SOUTH ST. PAUL PUBLIC SCHOOL DIST.</t>
  </si>
  <si>
    <t>ROBBINSDALE PUBLIC SCHOOL DISTRICT</t>
  </si>
  <si>
    <t>ROSEVILLE PUBLIC SCHOOL DISTRICT</t>
  </si>
  <si>
    <t>INVER GROVE HEIGHTS SCHOOLS</t>
  </si>
  <si>
    <t>BLOOMINGTON PUBLIC SCHOOL DISTRICT</t>
  </si>
  <si>
    <t>OSSEO PUBLIC SCHOOL DISTRICT</t>
  </si>
  <si>
    <t>HOPKINS PUBLIC SCHOOL DISTRICT</t>
  </si>
  <si>
    <t>WEST ST. PAUL-MENDOTA HTS.-EAGAN</t>
  </si>
  <si>
    <t>ST. LOUIS PARK PUBLIC SCHOOL DIST.</t>
  </si>
  <si>
    <t>FOREST LAKE PUBLIC SCHOOL DISTRICT</t>
  </si>
  <si>
    <t>ANOKA-HENNEPIN PUBLIC SCHOOL DIST.</t>
  </si>
  <si>
    <t>SHAKOPEE PUBLIC SCHOOL DISTRICT</t>
  </si>
  <si>
    <t>MOUNDS VIEW PUBLIC SCHOOL DISTRICT</t>
  </si>
  <si>
    <t>WATERTOWN-MAYER PUBLIC SCHOOL DIST.</t>
  </si>
  <si>
    <t>SPRING LAKE PARK PUBLIC SCHOOLS</t>
  </si>
  <si>
    <t>ST. FRANCIS PUBLIC SCHOOL DISTRICT</t>
  </si>
  <si>
    <t>JORDAN PUBLIC SCHOOL DISTRICT</t>
  </si>
  <si>
    <t>HASTINGS PUBLIC SCHOOL DISTRICT</t>
  </si>
  <si>
    <t>EDEN PRAIRIE PUBLIC SCHOOL DISTRICT</t>
  </si>
  <si>
    <t>ROSEMOUNT-APPLE VALLEY-EAGAN</t>
  </si>
  <si>
    <t>NORWOOD PUBLIC SCHOOL DISTRICT</t>
  </si>
  <si>
    <t>WESTONKA PUBLIC SCHOOL DISTRICT</t>
  </si>
  <si>
    <t>SOUTH WASHINGTON COUNTY SCHOOL DIST</t>
  </si>
  <si>
    <t>CENTENNIAL PUBLIC SCHOOL DISTRICT</t>
  </si>
  <si>
    <t>WHITE BEAR LAKE SCHOOL DISTRICT</t>
  </si>
  <si>
    <t>CHASKA PUBLIC SCHOOL DISTRICT</t>
  </si>
  <si>
    <t>STILLWATER PUBLIC SCHOOL DISTRICT</t>
  </si>
  <si>
    <t>ST. ANTHONY-NEW BRIGHTON SCHOOLS</t>
  </si>
  <si>
    <t>NEW PRAGUE AREA SCHOOLS</t>
  </si>
  <si>
    <t>BELLE PLAINE PUBLIC SCHOOL DISTRICT</t>
  </si>
  <si>
    <t>RANDOLPH PUBLIC SCHOOL DISTRICT</t>
  </si>
  <si>
    <t>LAKEVILLE PUBLIC SCHOOL DISTRICT</t>
  </si>
  <si>
    <t>FARMINGTON PUBLIC SCHOOL DISTRICT</t>
  </si>
  <si>
    <t>WACONIA PUBLIC SCHOOL DISTRICT</t>
  </si>
  <si>
    <t>ORONO PUBLIC SCHOOL DISTRICT</t>
  </si>
  <si>
    <t>PRIOR LAKE-SAVAGE AREA SCHOOLS</t>
  </si>
  <si>
    <t>WAYZATA PUBLIC SCHOOL DISTRICT</t>
  </si>
  <si>
    <t>MAHTOMEDI PUBLIC SCHOOL DISTRICT</t>
  </si>
  <si>
    <t>MINNETONKA PUBLIC SCHOOL DISTRICT</t>
  </si>
  <si>
    <t>EDINA PUBLIC SCHOOL DISTRICT</t>
  </si>
  <si>
    <t>PINE POINT PUBLIC SCHOOL DISTRICT</t>
  </si>
  <si>
    <t>04</t>
  </si>
  <si>
    <t>01</t>
  </si>
  <si>
    <t>HENDRICKS PUBLIC SCHOOL DISTRICT</t>
  </si>
  <si>
    <t>08</t>
  </si>
  <si>
    <t>CASS LAKE-BENA PUBLIC SCHOOLS</t>
  </si>
  <si>
    <t>05</t>
  </si>
  <si>
    <t>BROWNS VALLEY PUBLIC SCHOOL DIST.</t>
  </si>
  <si>
    <t>KELLIHER PUBLIC SCHOOL DISTRICT</t>
  </si>
  <si>
    <t>02</t>
  </si>
  <si>
    <t>NORTHLAND COMMUNITY SCHOOLS</t>
  </si>
  <si>
    <t>RED LAKE PUBLIC SCHOOL DISTRICT</t>
  </si>
  <si>
    <t>WAUBUN PUBLIC SCHOOL DISTRICT</t>
  </si>
  <si>
    <t>CLIMAX PUBLIC SCHOOL DISTRICT</t>
  </si>
  <si>
    <t>HERON LAKE-OKABENA SCHOOL DISTRICT</t>
  </si>
  <si>
    <t>NORMAN COUNTY EAST SCHOOL DISTRICT</t>
  </si>
  <si>
    <t>BLACKDUCK PUBLIC SCHOOL DISTRICT</t>
  </si>
  <si>
    <t>BUTTERFIELD PUBLIC SCHOOL DISTRICT</t>
  </si>
  <si>
    <t>09</t>
  </si>
  <si>
    <t>NORMAN COUNTY WEST SCHOOL DISTRICT</t>
  </si>
  <si>
    <t>PINE RIVER-BACKUS SCHOOL DISTRICT</t>
  </si>
  <si>
    <t>MAHNOMEN PUBLIC SCHOOL DISTRICT</t>
  </si>
  <si>
    <t>DEER RIVER PUBLIC SCHOOL DISTRICT</t>
  </si>
  <si>
    <t>03</t>
  </si>
  <si>
    <t>NETT LAKE PUBLIC SCHOOL DISTRICT</t>
  </si>
  <si>
    <t>CROSBY-IRONTON PUBLIC SCHOOL DIST.</t>
  </si>
  <si>
    <t>WORTHINGTON PUBLIC SCHOOL DISTRICT</t>
  </si>
  <si>
    <t>ONAMIA PUBLIC SCHOOL DISTRICT</t>
  </si>
  <si>
    <t>07E</t>
  </si>
  <si>
    <t>LONG PRAIRIE-GREY EAGLE SCHOOL DIST</t>
  </si>
  <si>
    <t>VERNDALE PUBLIC SCHOOL DISTRICT</t>
  </si>
  <si>
    <t>MCGREGOR PUBLIC SCHOOL DISTRICT</t>
  </si>
  <si>
    <t>BERTHA-HEWITT PUBLIC SCHOOL DIST.</t>
  </si>
  <si>
    <t>CLEARBROOK-GONVICK SCHOOL DISTRICT</t>
  </si>
  <si>
    <t>PELICAN RAPIDS PUBLIC SCHOOL DIST.</t>
  </si>
  <si>
    <t>LYND PUBLIC SCHOOL DISTRICT</t>
  </si>
  <si>
    <t>WIN-E-MAC SCHOOL DISTRICT</t>
  </si>
  <si>
    <t>FARIBAULT PUBLIC SCHOOL DISTRICT</t>
  </si>
  <si>
    <t>10</t>
  </si>
  <si>
    <t>WADENA-DEER CREEK SCHOOL DISTRICT</t>
  </si>
  <si>
    <t>WILLMAR PUBLIC SCHOOL DISTRICT</t>
  </si>
  <si>
    <t>06E</t>
  </si>
  <si>
    <t>BREWSTER PUBLIC SCHOOL DISTRICT</t>
  </si>
  <si>
    <t>RED ROCK CENTRAL SCHOOL DISTRICT</t>
  </si>
  <si>
    <t>ST. JAMES PUBLIC SCHOOL DISTRICT</t>
  </si>
  <si>
    <t>TRUMAN PUBLIC SCHOOL DISTRICT</t>
  </si>
  <si>
    <t>RENVILLE COUNTY WEST SCHOOL DIST.</t>
  </si>
  <si>
    <t>YELLOW MEDICINE EAST</t>
  </si>
  <si>
    <t>06W</t>
  </si>
  <si>
    <t>CHOKIO-ALBERTA PUBLIC SCHOOL DIST.</t>
  </si>
  <si>
    <t>FOSSTON PUBLIC SCHOOL DISTRICT</t>
  </si>
  <si>
    <t>EAST CENTRAL SCHOOL DISTRICT</t>
  </si>
  <si>
    <t>AUSTIN PUBLIC SCHOOL DISTRICT</t>
  </si>
  <si>
    <t>HINCKLEY-FINLAYSON SCHOOL DISTRICT</t>
  </si>
  <si>
    <t>UNDERWOOD PUBLIC SCHOOL DISTRICT</t>
  </si>
  <si>
    <t>GRANADA HUNTLEY-EAST CHAIN #2536</t>
  </si>
  <si>
    <t>CROOKSTON PUBLIC SCHOOL DISTRICT</t>
  </si>
  <si>
    <t>UNITED SOUTH CENTRAL SCHOOL DIST.</t>
  </si>
  <si>
    <t>STAPLES-MOTLEY SCHOOL DISTRICT</t>
  </si>
  <si>
    <t>HIBBING PUBLIC SCHOOL DISTRICT</t>
  </si>
  <si>
    <t>MOUNTAIN LAKE PUBLIC SCHOOLS</t>
  </si>
  <si>
    <t>MADELIA PUBLIC SCHOOL DISTRICT</t>
  </si>
  <si>
    <t>LANESBORO PUBLIC SCHOOL DISTRICT</t>
  </si>
  <si>
    <t>IVANHOE PUBLIC SCHOOL DISTRICT</t>
  </si>
  <si>
    <t>WARROAD PUBLIC SCHOOL DISTRICT</t>
  </si>
  <si>
    <t>WALKER-HACKENSACK-AKELEY SCHL. DIST</t>
  </si>
  <si>
    <t>KERKHOVEN-MURDOCK-SUNBURG</t>
  </si>
  <si>
    <t>BAGLEY PUBLIC SCHOOL DISTRICT</t>
  </si>
  <si>
    <t>SOUTH KOOCHICHING SCHOOL DISTRICT</t>
  </si>
  <si>
    <t>CEDAR MOUNTAIN SCHOOL DISTRICT</t>
  </si>
  <si>
    <t>NASHWAUK-KEEWATIN SCHOOL DISTRICT</t>
  </si>
  <si>
    <t>PARK RAPIDS PUBLIC SCHOOL DISTRICT</t>
  </si>
  <si>
    <t>GREENWAY PUBLIC SCHOOL DISTRICT</t>
  </si>
  <si>
    <t>ISLE PUBLIC SCHOOL DISTRICT</t>
  </si>
  <si>
    <t>TRACY AREA PUBLIC SCHOOL DISTRICT</t>
  </si>
  <si>
    <t>PILLAGER PUBLIC SCHOOL DISTRICT</t>
  </si>
  <si>
    <t>MORA PUBLIC SCHOOL DISTRICT</t>
  </si>
  <si>
    <t>NEVIS PUBLIC SCHOOL DISTRICT</t>
  </si>
  <si>
    <t>PLUMMER PUBLIC SCHOOL DISTRICT</t>
  </si>
  <si>
    <t>BEMIDJI PUBLIC SCHOOL DISTRICT</t>
  </si>
  <si>
    <t>DETROIT LAKES PUBLIC SCHOOL DIST.</t>
  </si>
  <si>
    <t>AITKIN PUBLIC SCHOOL DISTRICT</t>
  </si>
  <si>
    <t>ST. CLOUD PUBLIC SCHOOL DISTRICT</t>
  </si>
  <si>
    <t>07W</t>
  </si>
  <si>
    <t>ALBERT LEA PUBLIC SCHOOL DISTRICT</t>
  </si>
  <si>
    <t>BIRD ISLAND-OLIVIA-LAKE LILLIAN</t>
  </si>
  <si>
    <t>LAC QUI PARLE VALLEY SCHOOL DIST.</t>
  </si>
  <si>
    <t>SLEEPY EYE PUBLIC SCHOOL DISTRICT</t>
  </si>
  <si>
    <t>LITTLE FALLS PUBLIC SCHOOL DISTRICT</t>
  </si>
  <si>
    <t>MENAHGA PUBLIC SCHOOL DISTRICT</t>
  </si>
  <si>
    <t>PERHAM PUBLIC SCHOOL DISTRICT</t>
  </si>
  <si>
    <t>OGILVIE PUBLIC SCHOOL DISTRICT</t>
  </si>
  <si>
    <t>WESTBROOK-WALNUT GROVE SCHOOLS</t>
  </si>
  <si>
    <t>PIPESTONE AREA SCHOOL DISTRICT</t>
  </si>
  <si>
    <t>EVELETH-GILBERT SCHOOL DISTRICT</t>
  </si>
  <si>
    <t>BLUE EARTH AREA PUBLIC SCHOOL</t>
  </si>
  <si>
    <t>HENNING PUBLIC SCHOOL DISTRICT</t>
  </si>
  <si>
    <t>ADRIAN PUBLIC SCHOOL DISTRICT</t>
  </si>
  <si>
    <t>NEW YORK MILLS PUBLIC SCHOOL DIST.</t>
  </si>
  <si>
    <t>FRAZEE-VERGAS PUBLIC SCHOOL DIST.</t>
  </si>
  <si>
    <t>A.C.G.C.</t>
  </si>
  <si>
    <t>BRAINERD PUBLIC SCHOOL DISTRICT</t>
  </si>
  <si>
    <t>ORTONVILLE PUBLIC SCHOOLS</t>
  </si>
  <si>
    <t>LAKE PARK AUDUBON SCHOOL DISTRICT</t>
  </si>
  <si>
    <t>FAIRMONT AREA SCHOOL DISTRICT</t>
  </si>
  <si>
    <t>HILL CITY PUBLIC SCHOOL DISTRICT</t>
  </si>
  <si>
    <t>WRENSHALL PUBLIC SCHOOL DISTRICT</t>
  </si>
  <si>
    <t>WASECA PUBLIC SCHOOL DISTRICT</t>
  </si>
  <si>
    <t>M.A.C.C.R.A.Y. SCHOOL DISTRICT</t>
  </si>
  <si>
    <t>MONTEVIDEO PUBLIC SCHOOL DISTRICT</t>
  </si>
  <si>
    <t>DULUTH PUBLIC SCHOOL DISTRICT</t>
  </si>
  <si>
    <t>MOUNTAIN IRON-BUHL SCHOOL DISTRICT</t>
  </si>
  <si>
    <t>DAWSON-BOYD PUBLIC SCHOOL DISTRICT</t>
  </si>
  <si>
    <t>RUSHFORD-PETERSON PUBLIC SCHLS.</t>
  </si>
  <si>
    <t>LITCHFIELD PUBLIC SCHOOL DISTRICT</t>
  </si>
  <si>
    <t>CLINTON-GRACEVILLE-BEARDSLEY</t>
  </si>
  <si>
    <t>VIRGINIA PUBLIC SCHOOL DISTRICT</t>
  </si>
  <si>
    <t>PINE CITY PUBLIC SCHOOL DISTRICT</t>
  </si>
  <si>
    <t>MELROSE PUBLIC SCHOOL DISTRICT</t>
  </si>
  <si>
    <t>LESUEUR-HENDERSON SCHOOL DISTRICT</t>
  </si>
  <si>
    <t>GRYGLA PUBLIC SCHOOL DISTRICT</t>
  </si>
  <si>
    <t>SWANVILLE PUBLIC SCHOOL DISTRICT</t>
  </si>
  <si>
    <t>GOODRIDGE PUBLIC SCHOOL DISTRICT</t>
  </si>
  <si>
    <t>FLOODWOOD PUBLIC SCHOOL DISTRICT</t>
  </si>
  <si>
    <t>STEPHEN-ARGYLE CENTRAL SCHOOLS</t>
  </si>
  <si>
    <t>GRAND RAPIDS PUBLIC SCHOOL DISTRICT</t>
  </si>
  <si>
    <t>SIBLEY EAST SCHOOL DISTRICT</t>
  </si>
  <si>
    <t>INTERNATIONAL FALLS SCHOOL DISTRICT</t>
  </si>
  <si>
    <t>BLOOMING PRAIRIE PUBLIC SCHOOL DIST</t>
  </si>
  <si>
    <t>MILACA PUBLIC SCHOOL DISTRICT</t>
  </si>
  <si>
    <t>G.F.W.</t>
  </si>
  <si>
    <t>BRECKENRIDGE PUBLIC SCHOOL DISTRICT</t>
  </si>
  <si>
    <t>TRITON SCHOOL DISTRICT</t>
  </si>
  <si>
    <t>SPRINGFIELD PUBLIC SCHOOL DISTRICT</t>
  </si>
  <si>
    <t>OWATONNA PUBLIC SCHOOL DISTRICT</t>
  </si>
  <si>
    <t>BROWERVILLE PUBLIC SCHOOL DISTRICT</t>
  </si>
  <si>
    <t>FISHER PUBLIC SCHOOL DISTRICT</t>
  </si>
  <si>
    <t>GLENCOE-SILVER LAKE SCHOOL DISTRICT</t>
  </si>
  <si>
    <t>WINONA AREA PUBLIC SCHOOL DISTRICT</t>
  </si>
  <si>
    <t>CLOQUET PUBLIC SCHOOL DISTRICT</t>
  </si>
  <si>
    <t>ST. LOUIS COUNTY SCHOOL DISTRICT</t>
  </si>
  <si>
    <t>LAKE OF THE WOODS SCHOOL DISTRICT</t>
  </si>
  <si>
    <t>BATTLE LAKE PUBLIC SCHOOL DISTRICT</t>
  </si>
  <si>
    <t>ULEN-HITTERDAL PUBLIC SCHOOL DIST</t>
  </si>
  <si>
    <t>ALDEN-CONGER PUBLIC SCHOOL DISTRICT</t>
  </si>
  <si>
    <t>FERGUS FALLS PUBLIC SCHOOL DISTRICT</t>
  </si>
  <si>
    <t>SEBEKA PUBLIC SCHOOL DISTRICT</t>
  </si>
  <si>
    <t>THIEF RIVER FALLS SCHOOL DISTRICT</t>
  </si>
  <si>
    <t>BARNUM PUBLIC SCHOOL DISTRICT</t>
  </si>
  <si>
    <t>BRAHAM PUBLIC SCHOOL DISTRICT</t>
  </si>
  <si>
    <t>WARREN-ALVARADO-OSLO SCHOOL DIST.</t>
  </si>
  <si>
    <t>CROMWELL-WRIGHT PUBLIC SCHOOLS</t>
  </si>
  <si>
    <t>RUSH CITY PUBLIC SCHOOL DISTRICT</t>
  </si>
  <si>
    <t>EDEN VALLEY-WATKINS SCHOOL DISTRICT</t>
  </si>
  <si>
    <t>LYLE PUBLIC SCHOOL DISTRICT</t>
  </si>
  <si>
    <t>CANBY PUBLIC SCHOOL DISTRICT</t>
  </si>
  <si>
    <t>MINNEOTA PUBLIC SCHOOL DISTRICT</t>
  </si>
  <si>
    <t>ROTHSAY PUBLIC SCHOOL DISTRICT</t>
  </si>
  <si>
    <t>BADGER PUBLIC SCHOOL DISTRICT</t>
  </si>
  <si>
    <t>MESABI EAST SCHOOL DISTRICT</t>
  </si>
  <si>
    <t>ELLSWORTH PUBLIC SCHOOL DISTRICT</t>
  </si>
  <si>
    <t>CAMPBELL-TINTAH PUBLIC SCHOOL DIST.</t>
  </si>
  <si>
    <t>MARSHALL PUBLIC SCHOOL DISTRICT</t>
  </si>
  <si>
    <t>MURRAY COUNTY CENTRAL SCHOOL DIST.</t>
  </si>
  <si>
    <t>EDGERTON PUBLIC SCHOOL DISTRICT</t>
  </si>
  <si>
    <t>CHISHOLM PUBLIC SCHOOL DISTRICT</t>
  </si>
  <si>
    <t>BELGRADE-BROOTEN-ELROSA SCHOOL DIST</t>
  </si>
  <si>
    <t>PAYNESVILLE PUBLIC SCHOOL DISTRICT</t>
  </si>
  <si>
    <t>BENSON PUBLIC SCHOOL DISTRICT</t>
  </si>
  <si>
    <t>LAPORTE PUBLIC SCHOOL DISTRICT</t>
  </si>
  <si>
    <t>REDWOOD AREA SCHOOL DISTRICT</t>
  </si>
  <si>
    <t>RED WING PUBLIC SCHOOL DISTRICT</t>
  </si>
  <si>
    <t>SAUK CENTRE PUBLIC SCHOOL DISTRICT</t>
  </si>
  <si>
    <t>LAKEVIEW SCHOOL DISTRICT</t>
  </si>
  <si>
    <t>WINDOM PUBLIC SCHOOL DISTRICT</t>
  </si>
  <si>
    <t>ST. PETER PUBLIC SCHOOL DISTRICT</t>
  </si>
  <si>
    <t>SOUTHLAND PUBLIC SCHOOL DISTRICT</t>
  </si>
  <si>
    <t>WABASHA-KELLOGG PUBLIC SCHOOL DIST.</t>
  </si>
  <si>
    <t>LEWISTON-ALTURA PUBLIC SCHOOL DIST.</t>
  </si>
  <si>
    <t>MORRIS PUBLIC SCHOOL DISTRICT</t>
  </si>
  <si>
    <t>KENYON-WANAMINGO SCHOOL DISTRICT</t>
  </si>
  <si>
    <t>UPSALA PUBLIC SCHOOL DISTRICT</t>
  </si>
  <si>
    <t>GLENVILLE-EMMONS SCHOOL DISTRICT</t>
  </si>
  <si>
    <t>CAMBRIDGE-ISANTI PUBLIC SCHOOL DIST</t>
  </si>
  <si>
    <t>MOOSE LAKE PUBLIC SCHOOL DISTRICT</t>
  </si>
  <si>
    <t>WEST CENTRAL AREA</t>
  </si>
  <si>
    <t>ADA-BORUP PUBLIC SCHOOL DISTRICT</t>
  </si>
  <si>
    <t>ALEXANDRIA PUBLIC SCHOOL DISTRICT</t>
  </si>
  <si>
    <t>LAKE CITY PUBLIC SCHOOL DISTRICT</t>
  </si>
  <si>
    <t>NORTHFIELD PUBLIC SCHOOL DISTRICT</t>
  </si>
  <si>
    <t>ASHBY PUBLIC SCHOOL DISTRICT</t>
  </si>
  <si>
    <t>MARTIN COUNTY WEST SCHOOL DISTRICT</t>
  </si>
  <si>
    <t>HAYFIELD PUBLIC SCHOOL DISTRICT</t>
  </si>
  <si>
    <t>HERMAN-NORCROSS SCHOOL DISTRICT</t>
  </si>
  <si>
    <t>SAUK RAPIDS PUBLIC SCHOOL DISTRICT</t>
  </si>
  <si>
    <t>PLAINVIEW-ELGIN-MILLVILLE</t>
  </si>
  <si>
    <t>TRI-COUNTY SCHOOL DISTRICT</t>
  </si>
  <si>
    <t>JACKSON COUNTY CENTRAL SCHOOL DIST.</t>
  </si>
  <si>
    <t>MANKATO PUBLIC SCHOOL DISTRICT</t>
  </si>
  <si>
    <t>LEROY PUBLIC SCHOOL DISTRICT</t>
  </si>
  <si>
    <t>CARLTON PUBLIC SCHOOL DISTRICT</t>
  </si>
  <si>
    <t>FULDA PUBLIC SCHOOL DISTRICT</t>
  </si>
  <si>
    <t>CYRUS PUBLIC SCHOOL DISTRICT</t>
  </si>
  <si>
    <t>MAPLE RIVER SCHOOL DISTRICT</t>
  </si>
  <si>
    <t>LUVERNE PUBLIC SCHOOL DISTRICT</t>
  </si>
  <si>
    <t>CALEDONIA PUBLIC SCHOOL DISTRICT</t>
  </si>
  <si>
    <t>MARSHALL COUNTY CENTRAL SCHOOLS</t>
  </si>
  <si>
    <t>CLEVELAND PUBLIC SCHOOL DISTRICT</t>
  </si>
  <si>
    <t>LANCASTER PUBLIC SCHOOL DISTRICT</t>
  </si>
  <si>
    <t>EAST GRAND FORKS PUBLIC SCHOOL DIST</t>
  </si>
  <si>
    <t>PIERZ PUBLIC SCHOOL DISTRICT</t>
  </si>
  <si>
    <t>COOK COUNTY PUBLIC SCHOOLS</t>
  </si>
  <si>
    <t>WABASSO PUBLIC SCHOOL DISTRICT</t>
  </si>
  <si>
    <t>KINGSLAND PUBLIC SCHOOL DISTRICT</t>
  </si>
  <si>
    <t>BUFFALO LAKE-HECTOR SCHOOL DISTRICT</t>
  </si>
  <si>
    <t>RED LAKE FALLS PUBLIC SCHOOL DIST.</t>
  </si>
  <si>
    <t>HUTCHINSON PUBLIC SCHOOL DISTRICT</t>
  </si>
  <si>
    <t>MOORHEAD PUBLIC SCHOOL DISTRICT</t>
  </si>
  <si>
    <t>EVANSVILLE PUBLIC SCHOOL DISTRICT</t>
  </si>
  <si>
    <t>MABEL-CANTON PUBLIC SCHOOL DIST.</t>
  </si>
  <si>
    <t>HOWARD LAKE-WAVERLY-WINSTED</t>
  </si>
  <si>
    <t>ROCHESTER PUBLIC SCHOOL DISTRICT</t>
  </si>
  <si>
    <t>FERTILE-BELTRAMI SCHOOL DISTRICT</t>
  </si>
  <si>
    <t>BRANDON PUBLIC SCHOOL DISTRICT</t>
  </si>
  <si>
    <t>WATERVILLE-ELYSIAN-MORRISTOWN</t>
  </si>
  <si>
    <t>MEDFORD PUBLIC SCHOOL DISTRICT</t>
  </si>
  <si>
    <t>NEW ULM PUBLIC SCHOOL DISTRICT</t>
  </si>
  <si>
    <t>OSAKIS PUBLIC SCHOOL DISTRICT</t>
  </si>
  <si>
    <t>LAKE SUPERIOR PUBLIC SCHOOL DIST.</t>
  </si>
  <si>
    <t>N.R.H.E.G. SCHOOL DISTRICT</t>
  </si>
  <si>
    <t>GRAND MEADOW PUBLIC SCHOOL DISTRICT</t>
  </si>
  <si>
    <t>FILLMORE CENTRAL</t>
  </si>
  <si>
    <t>FOLEY PUBLIC SCHOOL DISTRICT</t>
  </si>
  <si>
    <t>MINNEWASKA SCHOOL DISTRICT</t>
  </si>
  <si>
    <t>EAGLE VALLEY PUBLIC SCHOOL DISTRICT</t>
  </si>
  <si>
    <t>MAPLE LAKE PUBLIC SCHOOL DISTRICT</t>
  </si>
  <si>
    <t>PRINCETON PUBLIC SCHOOL DISTRICT</t>
  </si>
  <si>
    <t>LAKE CRYSTAL-WELLCOME MEMORIAL</t>
  </si>
  <si>
    <t>ST. CHARLES PUBLIC SCHOOL DISTRICT</t>
  </si>
  <si>
    <t>NEW LONDON-SPICER SCHOOL DISTRICT</t>
  </si>
  <si>
    <t>HOUSTON PUBLIC SCHOOL DISTRICT</t>
  </si>
  <si>
    <t>KIMBALL PUBLIC SCHOOL DISTRICT</t>
  </si>
  <si>
    <t>GREENBUSH-MIDDLE RIVER SCHOOL DIST.</t>
  </si>
  <si>
    <t>ROCKFORD PUBLIC SCHOOL DISTRICT</t>
  </si>
  <si>
    <t>NORTH BRANCH PUBLIC SCHOOLS</t>
  </si>
  <si>
    <t>PEQUOT LAKES PUBLIC SCHOOLS</t>
  </si>
  <si>
    <t>DILWORTH-GLYNDON-FELTON</t>
  </si>
  <si>
    <t>JANESVILLE-WALDORF-PEMBERTON</t>
  </si>
  <si>
    <t>ANNANDALE PUBLIC SCHOOL DISTRICT</t>
  </si>
  <si>
    <t xml:space="preserve">TRI-CITY UNITED SCHOOL DISTRICT    </t>
  </si>
  <si>
    <t>WILLOW RIVER PUBLIC SCHOOL DISTRICT</t>
  </si>
  <si>
    <t>LAKE BENTON PUBLIC SCHOOL DISTRICT</t>
  </si>
  <si>
    <t>DASSEL-COKATO PUBLIC SCHOOL DIST.</t>
  </si>
  <si>
    <t>KITTSON CENTRAL SCHOOL DISTRICT</t>
  </si>
  <si>
    <t>HILLS-BEAVER CREEK SCHOOL DISTRICT</t>
  </si>
  <si>
    <t>LESTER PRAIRIE PUBLIC SCHOOL DIST.</t>
  </si>
  <si>
    <t>ROCORI PUBLIC SCHOOL DISTRICT</t>
  </si>
  <si>
    <t>MONTICELLO PUBLIC SCHOOL DISTRICT</t>
  </si>
  <si>
    <t>CHATFIELD PUBLIC SCHOOLS</t>
  </si>
  <si>
    <t>ROSEAU PUBLIC SCHOOL DISTRICT</t>
  </si>
  <si>
    <t>BIG LAKE PUBLIC SCHOOL DISTRICT</t>
  </si>
  <si>
    <t>HOLDINGFORD PUBLIC SCHOOL DISTRICT</t>
  </si>
  <si>
    <t>BUFFALO PUBLIC SCHOOL DISTRICT</t>
  </si>
  <si>
    <t>ST. CLAIR PUBLIC SCHOOL DISTRICT</t>
  </si>
  <si>
    <t>STEWARTVILLE PUBLIC SCHOOL DISTRICT</t>
  </si>
  <si>
    <t>HERMANTOWN PUBLIC SCHOOL DISTRICT</t>
  </si>
  <si>
    <t>DOVER-EYOTA PUBLIC SCHOOL DISTRICT</t>
  </si>
  <si>
    <t>WHEATON AREA PUBLIC SCHOOL DISTRICT</t>
  </si>
  <si>
    <t>LITTLEFORK-BIG FALLS SCHOOL DIST.</t>
  </si>
  <si>
    <t>GOODHUE PUBLIC SCHOOL DISTRICT</t>
  </si>
  <si>
    <t>CANNON FALLS PUBLIC SCHOOL DISTRICT</t>
  </si>
  <si>
    <t>PINE ISLAND PUBLIC SCHOOL DIST.</t>
  </si>
  <si>
    <t>ROYALTON PUBLIC SCHOOL DISTRICT</t>
  </si>
  <si>
    <t>COMFREY PUBLIC SCHOOL DISTRICT</t>
  </si>
  <si>
    <t>BARNESVILLE PUBLIC SCHOOL DIST.</t>
  </si>
  <si>
    <t>ALBANY PUBLIC SCHOOL DISTRICT</t>
  </si>
  <si>
    <t>CHISAGO LAKES SCHOOL DISTRICT</t>
  </si>
  <si>
    <t>RTR PUBLIC SCHOOLS</t>
  </si>
  <si>
    <t>HAWLEY PUBLIC SCHOOL DISTRICT</t>
  </si>
  <si>
    <t>ZUMBROTA-MAZEPPA SCHOOL DISTRICT</t>
  </si>
  <si>
    <t>ELK RIVER PUBLIC SCHOOL DISTRICT</t>
  </si>
  <si>
    <t>ELY PUBLIC SCHOOL DISTRICT</t>
  </si>
  <si>
    <t>NICOLLET PUBLIC SCHOOL DISTRICT</t>
  </si>
  <si>
    <t>PARKERS PRAIRIE PUBLIC SCHOOL DIST.</t>
  </si>
  <si>
    <t>BECKER PUBLIC SCHOOL DISTRICT</t>
  </si>
  <si>
    <t>BYRON PUBLIC SCHOOL DISTRICT</t>
  </si>
  <si>
    <t>LACRESCENT-HOKAH SCHOOL DISTRICT</t>
  </si>
  <si>
    <t>PROCTOR PUBLIC SCHOOL DISTRICT</t>
  </si>
  <si>
    <t>SPRING GROVE SCHOOL DISTRICT</t>
  </si>
  <si>
    <t>HANCOCK PUBLIC SCHOOL DISTRICT</t>
  </si>
  <si>
    <t>KASSON-MANTORVILLE SCHOOL DIST.</t>
  </si>
  <si>
    <t>SARTELL-ST. STEPHEN SCHOOL DISTRICT</t>
  </si>
  <si>
    <t>DELANO PUBLIC SCHOOL DISTRICT</t>
  </si>
  <si>
    <t>ST. MICHAEL-ALBERTVILLE SCHOOL DIST</t>
  </si>
  <si>
    <t>ESKO PUBLIC SCHOOL DISTRICT</t>
  </si>
  <si>
    <t>XXXX</t>
  </si>
  <si>
    <t>MILROY PUBLIC SCHOOL DISTRICT</t>
  </si>
  <si>
    <t>District #</t>
  </si>
  <si>
    <t>Type</t>
  </si>
  <si>
    <t>District Name</t>
  </si>
  <si>
    <t>EconDev</t>
  </si>
  <si>
    <t>Ktotal</t>
  </si>
  <si>
    <t>K Free</t>
  </si>
  <si>
    <t>K Reduced</t>
  </si>
  <si>
    <t>County</t>
  </si>
  <si>
    <t xml:space="preserve">Polk                                         </t>
  </si>
  <si>
    <t xml:space="preserve">Norman                                       </t>
  </si>
  <si>
    <t xml:space="preserve">Red Lake                                     </t>
  </si>
  <si>
    <t xml:space="preserve">Roseau                                       </t>
  </si>
  <si>
    <t xml:space="preserve">Marshall                                     </t>
  </si>
  <si>
    <t xml:space="preserve">Kittson                                      </t>
  </si>
  <si>
    <t xml:space="preserve">Pennington                                   </t>
  </si>
  <si>
    <t xml:space="preserve">Beltrami                                     </t>
  </si>
  <si>
    <t xml:space="preserve">Mahnomen                                     </t>
  </si>
  <si>
    <t xml:space="preserve">Clearwater                                   </t>
  </si>
  <si>
    <t xml:space="preserve">Hubbard                                      </t>
  </si>
  <si>
    <t xml:space="preserve">Lake of the Woods                            </t>
  </si>
  <si>
    <t xml:space="preserve">St. Louis                                    </t>
  </si>
  <si>
    <t>Itasca</t>
  </si>
  <si>
    <t xml:space="preserve">Itasca                                       </t>
  </si>
  <si>
    <t xml:space="preserve">Aitkin                                       </t>
  </si>
  <si>
    <t xml:space="preserve">Koochiching                                  </t>
  </si>
  <si>
    <t xml:space="preserve">Carlton                                      </t>
  </si>
  <si>
    <t xml:space="preserve">Cook                                         </t>
  </si>
  <si>
    <t xml:space="preserve">Lake                                         </t>
  </si>
  <si>
    <t xml:space="preserve">Becker                                       </t>
  </si>
  <si>
    <t xml:space="preserve">Traverse                                     </t>
  </si>
  <si>
    <t xml:space="preserve">Otter Tail                                   </t>
  </si>
  <si>
    <t xml:space="preserve">Stevens                                      </t>
  </si>
  <si>
    <t xml:space="preserve">Douglas                                      </t>
  </si>
  <si>
    <t xml:space="preserve">Clay                                         </t>
  </si>
  <si>
    <t xml:space="preserve">Pope                                         </t>
  </si>
  <si>
    <t xml:space="preserve">Wilkin                                       </t>
  </si>
  <si>
    <t xml:space="preserve">Grant                                        </t>
  </si>
  <si>
    <t xml:space="preserve">Cass                                         </t>
  </si>
  <si>
    <t xml:space="preserve">Todd                                         </t>
  </si>
  <si>
    <t xml:space="preserve">Crow Wing                                    </t>
  </si>
  <si>
    <t xml:space="preserve">Wadena                                       </t>
  </si>
  <si>
    <t xml:space="preserve">Morrison                                     </t>
  </si>
  <si>
    <t xml:space="preserve">Kandiyohi                                    </t>
  </si>
  <si>
    <t xml:space="preserve">Renville                                     </t>
  </si>
  <si>
    <t xml:space="preserve">Meeker                                       </t>
  </si>
  <si>
    <t xml:space="preserve">McLeod                                       </t>
  </si>
  <si>
    <t xml:space="preserve">Yellow Medicine                              </t>
  </si>
  <si>
    <t xml:space="preserve">Swift                                        </t>
  </si>
  <si>
    <t xml:space="preserve">Chippewa                                     </t>
  </si>
  <si>
    <t xml:space="preserve">Lac qui Parle                                </t>
  </si>
  <si>
    <t xml:space="preserve">Big Stone                                    </t>
  </si>
  <si>
    <t xml:space="preserve">Mille Lacs                                   </t>
  </si>
  <si>
    <t xml:space="preserve">Pine                                         </t>
  </si>
  <si>
    <t xml:space="preserve">Kanabec                                      </t>
  </si>
  <si>
    <t xml:space="preserve">Isanti                                       </t>
  </si>
  <si>
    <t xml:space="preserve">Chisago                                      </t>
  </si>
  <si>
    <t xml:space="preserve">Stearns                                      </t>
  </si>
  <si>
    <t xml:space="preserve">Benton                                       </t>
  </si>
  <si>
    <t xml:space="preserve">Wright                                       </t>
  </si>
  <si>
    <t xml:space="preserve">Sherburne                                    </t>
  </si>
  <si>
    <t xml:space="preserve">Lincoln                                      </t>
  </si>
  <si>
    <t xml:space="preserve">Jackson                                      </t>
  </si>
  <si>
    <t xml:space="preserve">Nobles                                       </t>
  </si>
  <si>
    <t xml:space="preserve">Cottonwood                                   </t>
  </si>
  <si>
    <t xml:space="preserve">Lyon                                         </t>
  </si>
  <si>
    <t xml:space="preserve">Redwood                                      </t>
  </si>
  <si>
    <t xml:space="preserve">Pipestone                                    </t>
  </si>
  <si>
    <t xml:space="preserve">Murray                                       </t>
  </si>
  <si>
    <t xml:space="preserve">Rock                                         </t>
  </si>
  <si>
    <t xml:space="preserve">Watonwan                                     </t>
  </si>
  <si>
    <t xml:space="preserve">Blue Earth                                   </t>
  </si>
  <si>
    <t xml:space="preserve">Nicollet                                     </t>
  </si>
  <si>
    <t xml:space="preserve">Martin                                       </t>
  </si>
  <si>
    <t xml:space="preserve">Brown                                        </t>
  </si>
  <si>
    <t xml:space="preserve">Faribault                                    </t>
  </si>
  <si>
    <t xml:space="preserve">Waseca                                       </t>
  </si>
  <si>
    <t xml:space="preserve">Sibley                                       </t>
  </si>
  <si>
    <t xml:space="preserve">Le Sueur                                     </t>
  </si>
  <si>
    <t xml:space="preserve">Rice                                         </t>
  </si>
  <si>
    <t xml:space="preserve">Mower                                        </t>
  </si>
  <si>
    <t xml:space="preserve">Fillmore                                     </t>
  </si>
  <si>
    <t xml:space="preserve">Freeborn                                     </t>
  </si>
  <si>
    <t xml:space="preserve">Winona                                       </t>
  </si>
  <si>
    <t xml:space="preserve">Steele                                       </t>
  </si>
  <si>
    <t xml:space="preserve">Dodge                                        </t>
  </si>
  <si>
    <t xml:space="preserve">Goodhue                                      </t>
  </si>
  <si>
    <t xml:space="preserve">Wabasha                                      </t>
  </si>
  <si>
    <t xml:space="preserve">Olmsted                                      </t>
  </si>
  <si>
    <t xml:space="preserve">Houston                                      </t>
  </si>
  <si>
    <t>Hennepin</t>
  </si>
  <si>
    <t>Ramsey</t>
  </si>
  <si>
    <t>Dakota</t>
  </si>
  <si>
    <t>Anoka</t>
  </si>
  <si>
    <t>Washington</t>
  </si>
  <si>
    <t>Scott</t>
  </si>
  <si>
    <t>K FRL</t>
  </si>
  <si>
    <t>A</t>
  </si>
  <si>
    <t>B</t>
  </si>
  <si>
    <t>C</t>
  </si>
  <si>
    <t>D</t>
  </si>
  <si>
    <t>E</t>
  </si>
  <si>
    <t>Scholarships</t>
  </si>
  <si>
    <t>F</t>
  </si>
  <si>
    <t>G</t>
  </si>
  <si>
    <t>H</t>
  </si>
  <si>
    <t>I</t>
  </si>
  <si>
    <t>J</t>
  </si>
  <si>
    <t>S</t>
  </si>
  <si>
    <t>K</t>
  </si>
  <si>
    <t>Cumulative</t>
  </si>
  <si>
    <t>Available</t>
  </si>
  <si>
    <t>Early Scholars by Region</t>
  </si>
  <si>
    <t>Funding</t>
  </si>
  <si>
    <t>Funding for</t>
  </si>
  <si>
    <t>Pathway II</t>
  </si>
  <si>
    <t>L</t>
  </si>
  <si>
    <t>M</t>
  </si>
  <si>
    <t>N</t>
  </si>
  <si>
    <t>Compensatory</t>
  </si>
  <si>
    <t>Pupil Units</t>
  </si>
  <si>
    <t>Carver</t>
  </si>
  <si>
    <t>=D/A</t>
  </si>
  <si>
    <t>Parent</t>
  </si>
  <si>
    <t>Aware</t>
  </si>
  <si>
    <t>E or .8</t>
  </si>
  <si>
    <t>8% Admin</t>
  </si>
  <si>
    <t>Pathway I</t>
  </si>
  <si>
    <t>Enrollment</t>
  </si>
  <si>
    <t>KGN</t>
  </si>
  <si>
    <t>Total</t>
  </si>
  <si>
    <t>Free</t>
  </si>
  <si>
    <t>Reduced</t>
  </si>
  <si>
    <t>Low</t>
  </si>
  <si>
    <t>Income</t>
  </si>
  <si>
    <t>=E+F*0.5</t>
  </si>
  <si>
    <t>Poverty</t>
  </si>
  <si>
    <t>Concentration</t>
  </si>
  <si>
    <t>Capped</t>
  </si>
  <si>
    <t>Portion</t>
  </si>
  <si>
    <t>= Lesser of</t>
  </si>
  <si>
    <t>Adjusted</t>
  </si>
  <si>
    <t>For Low</t>
  </si>
  <si>
    <t>=D*F</t>
  </si>
  <si>
    <t>Initial</t>
  </si>
  <si>
    <t>Scholarship</t>
  </si>
  <si>
    <t>Count</t>
  </si>
  <si>
    <t xml:space="preserve">=Greater of </t>
  </si>
  <si>
    <t>10 or G</t>
  </si>
  <si>
    <t>for Cap</t>
  </si>
  <si>
    <t>Until Cap of</t>
  </si>
  <si>
    <t>is Reached</t>
  </si>
  <si>
    <t xml:space="preserve">Existence of </t>
  </si>
  <si>
    <t>FY13 Scholarships (S),</t>
  </si>
  <si>
    <t>or Priority School (P)</t>
  </si>
  <si>
    <t>City of 1st Class (C),</t>
  </si>
  <si>
    <t xml:space="preserve">Total Amount </t>
  </si>
  <si>
    <t>for all 4 Star</t>
  </si>
  <si>
    <t>Programs within</t>
  </si>
  <si>
    <t>District Boundary</t>
  </si>
  <si>
    <t>Compensatory Multiplier</t>
  </si>
  <si>
    <t>Inputs:</t>
  </si>
  <si>
    <t>Multiplier</t>
  </si>
  <si>
    <t>* G</t>
  </si>
  <si>
    <t>Portion of</t>
  </si>
  <si>
    <t>After Adjusting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</si>
</sst>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,##0.0000"/>
    <numFmt numFmtId="165" formatCode="#,##0.00000"/>
    <numFmt numFmtId="166" formatCode="&quot;$&quot;#,##0.00"/>
    <numFmt numFmtId="167" formatCode="&quot;$&quot;#,##0"/>
  </numFmts>
  <fonts count="4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3" fontId="0" fillId="0" borderId="0" xfId="0" applyNumberFormat="1"/>
    <xf numFmtId="0" fontId="0" fillId="0" borderId="0" xfId="0" applyAlignment="1">
      <alignment horizontal="right"/>
    </xf>
    <xf numFmtId="164" fontId="0" fillId="0" borderId="0" xfId="0" applyNumberFormat="1"/>
    <xf numFmtId="0" fontId="2" fillId="0" borderId="0" xfId="1" quotePrefix="1" applyNumberFormat="1" applyFont="1"/>
    <xf numFmtId="0" fontId="2" fillId="0" borderId="0" xfId="1" applyNumberFormat="1" applyFont="1" applyFill="1"/>
    <xf numFmtId="3" fontId="2" fillId="0" borderId="0" xfId="1" quotePrefix="1" applyNumberFormat="1" applyFont="1"/>
    <xf numFmtId="3" fontId="2" fillId="0" borderId="0" xfId="1" applyNumberFormat="1" applyFont="1" applyFill="1"/>
    <xf numFmtId="3" fontId="0" fillId="0" borderId="0" xfId="0" applyNumberFormat="1" applyAlignment="1">
      <alignment horizontal="right"/>
    </xf>
    <xf numFmtId="10" fontId="0" fillId="0" borderId="0" xfId="0" applyNumberFormat="1"/>
    <xf numFmtId="165" fontId="0" fillId="0" borderId="0" xfId="0" applyNumberFormat="1"/>
    <xf numFmtId="0" fontId="0" fillId="0" borderId="0" xfId="0" quotePrefix="1" applyAlignment="1">
      <alignment horizontal="right"/>
    </xf>
    <xf numFmtId="3" fontId="0" fillId="0" borderId="0" xfId="0" applyNumberFormat="1" applyFill="1"/>
    <xf numFmtId="0" fontId="0" fillId="0" borderId="0" xfId="0" applyFill="1"/>
    <xf numFmtId="3" fontId="3" fillId="0" borderId="0" xfId="0" applyNumberFormat="1" applyFont="1"/>
    <xf numFmtId="0" fontId="3" fillId="0" borderId="0" xfId="0" applyFont="1"/>
    <xf numFmtId="166" fontId="0" fillId="0" borderId="0" xfId="0" applyNumberFormat="1"/>
    <xf numFmtId="4" fontId="0" fillId="0" borderId="0" xfId="0" applyNumberFormat="1"/>
    <xf numFmtId="166" fontId="3" fillId="0" borderId="0" xfId="0" applyNumberFormat="1" applyFont="1"/>
    <xf numFmtId="0" fontId="2" fillId="0" borderId="0" xfId="1" quotePrefix="1" applyNumberFormat="1" applyFont="1" applyFill="1"/>
    <xf numFmtId="0" fontId="0" fillId="0" borderId="0" xfId="0" applyFill="1" applyAlignment="1">
      <alignment horizontal="right"/>
    </xf>
    <xf numFmtId="165" fontId="0" fillId="0" borderId="0" xfId="0" applyNumberFormat="1" applyFill="1"/>
    <xf numFmtId="167" fontId="3" fillId="0" borderId="0" xfId="0" applyNumberFormat="1" applyFo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387"/>
  <sheetViews>
    <sheetView tabSelected="1" zoomScale="75" zoomScaleNormal="75" workbookViewId="0">
      <pane ySplit="27" topLeftCell="A28" activePane="bottomLeft" state="frozen"/>
      <selection pane="bottomLeft"/>
    </sheetView>
  </sheetViews>
  <sheetFormatPr defaultRowHeight="15" x14ac:dyDescent="0.25"/>
  <cols>
    <col min="2" max="2" width="3.7109375" customWidth="1"/>
    <col min="3" max="3" width="16.7109375" customWidth="1"/>
    <col min="4" max="5" width="0" hidden="1" customWidth="1"/>
    <col min="6" max="6" width="8.7109375" customWidth="1"/>
    <col min="7" max="10" width="10.7109375" customWidth="1"/>
    <col min="11" max="11" width="14.7109375" customWidth="1"/>
    <col min="12" max="12" width="14.85546875" customWidth="1"/>
    <col min="15" max="15" width="15.7109375" bestFit="1" customWidth="1"/>
    <col min="16" max="17" width="15.7109375" customWidth="1"/>
    <col min="18" max="18" width="18.5703125" bestFit="1" customWidth="1"/>
    <col min="20" max="22" width="10.42578125" bestFit="1" customWidth="1"/>
    <col min="36" max="36" width="9.5703125" bestFit="1" customWidth="1"/>
  </cols>
  <sheetData>
    <row r="1" spans="1:40" x14ac:dyDescent="0.25">
      <c r="A1" t="s">
        <v>349</v>
      </c>
      <c r="B1" t="s">
        <v>350</v>
      </c>
      <c r="C1" t="s">
        <v>351</v>
      </c>
      <c r="D1" t="s">
        <v>2</v>
      </c>
      <c r="E1" t="s">
        <v>352</v>
      </c>
      <c r="F1" t="s">
        <v>352</v>
      </c>
    </row>
    <row r="4" spans="1:40" x14ac:dyDescent="0.25">
      <c r="G4" s="2" t="s">
        <v>445</v>
      </c>
      <c r="H4" s="2" t="s">
        <v>446</v>
      </c>
      <c r="I4" s="2" t="s">
        <v>447</v>
      </c>
      <c r="J4" s="2" t="s">
        <v>448</v>
      </c>
      <c r="K4" s="2" t="s">
        <v>449</v>
      </c>
      <c r="L4" s="2" t="s">
        <v>451</v>
      </c>
      <c r="M4" s="2" t="s">
        <v>452</v>
      </c>
      <c r="N4" s="2" t="s">
        <v>453</v>
      </c>
      <c r="O4" s="2" t="s">
        <v>454</v>
      </c>
      <c r="P4" s="2" t="s">
        <v>455</v>
      </c>
      <c r="Q4" s="2" t="s">
        <v>457</v>
      </c>
      <c r="R4" s="2" t="s">
        <v>464</v>
      </c>
    </row>
    <row r="9" spans="1:40" x14ac:dyDescent="0.25">
      <c r="J9" s="2" t="s">
        <v>444</v>
      </c>
      <c r="L9" t="s">
        <v>467</v>
      </c>
      <c r="Q9" s="2" t="s">
        <v>462</v>
      </c>
      <c r="R9" s="2" t="s">
        <v>462</v>
      </c>
    </row>
    <row r="10" spans="1:40" x14ac:dyDescent="0.25">
      <c r="G10" s="2" t="s">
        <v>353</v>
      </c>
      <c r="H10" s="2" t="s">
        <v>354</v>
      </c>
      <c r="I10" s="2" t="s">
        <v>355</v>
      </c>
      <c r="J10" s="2" t="str">
        <f>+"= "&amp;+H4&amp;"+"&amp;+I4</f>
        <v>= B+C</v>
      </c>
      <c r="K10" s="2" t="str">
        <f>+"= "&amp;+J4&amp;"/"&amp;+G4</f>
        <v>= D/A</v>
      </c>
      <c r="L10" s="1" t="s">
        <v>468</v>
      </c>
      <c r="M10" s="1"/>
      <c r="N10" s="1"/>
      <c r="O10" s="8" t="s">
        <v>461</v>
      </c>
      <c r="P10" s="8" t="s">
        <v>474</v>
      </c>
      <c r="Q10" s="8" t="s">
        <v>475</v>
      </c>
      <c r="R10" s="8" t="s">
        <v>463</v>
      </c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</row>
    <row r="11" spans="1:40" x14ac:dyDescent="0.25"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</row>
    <row r="12" spans="1:40" x14ac:dyDescent="0.25">
      <c r="G12" s="1">
        <f>SUM(G28:G360)</f>
        <v>61266</v>
      </c>
      <c r="H12" s="1">
        <f t="shared" ref="H12:J12" si="0">SUM(H28:H360)</f>
        <v>21349</v>
      </c>
      <c r="I12" s="1">
        <f t="shared" si="0"/>
        <v>4364</v>
      </c>
      <c r="J12" s="1">
        <f t="shared" si="0"/>
        <v>23531</v>
      </c>
      <c r="K12" s="3">
        <f>IF(G12=0,0,J12/G12)</f>
        <v>0.38407926092775763</v>
      </c>
      <c r="L12" s="1">
        <f>SUM(L14:L26)</f>
        <v>10795.957584597909</v>
      </c>
      <c r="M12" s="1"/>
      <c r="N12" s="1">
        <v>4057</v>
      </c>
      <c r="O12" s="1">
        <f>23000000-950000</f>
        <v>22050000</v>
      </c>
      <c r="P12" s="1">
        <f>SUM(P14:P26)</f>
        <v>1764000</v>
      </c>
      <c r="Q12" s="1">
        <f>SUM(Q14:Q26)</f>
        <v>10143000</v>
      </c>
      <c r="R12" s="1">
        <f>(22050000*0.92)/2</f>
        <v>10143000</v>
      </c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</row>
    <row r="13" spans="1:40" x14ac:dyDescent="0.25">
      <c r="G13" s="1"/>
      <c r="H13" s="1"/>
      <c r="I13" s="1"/>
      <c r="J13" s="1"/>
      <c r="K13" s="3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</row>
    <row r="14" spans="1:40" x14ac:dyDescent="0.25">
      <c r="F14">
        <v>1</v>
      </c>
      <c r="G14" s="1">
        <f t="shared" ref="G14:G26" si="1">SUMIF($F$28:$F$360,$F14,G$28:G$360)</f>
        <v>1084</v>
      </c>
      <c r="H14" s="1">
        <f t="shared" ref="H14:J26" si="2">SUMIF($F$28:$F$360,$F14,H$28:H$360)</f>
        <v>396</v>
      </c>
      <c r="I14" s="1">
        <f t="shared" si="2"/>
        <v>121</v>
      </c>
      <c r="J14" s="1">
        <f t="shared" si="2"/>
        <v>456.5</v>
      </c>
      <c r="K14" s="3">
        <f t="shared" ref="K14:K26" si="3">IF(G14=0,0,J14/G14)</f>
        <v>0.42112546125461253</v>
      </c>
      <c r="L14" s="1">
        <f>'Region 1'!$K$14</f>
        <v>207.68154210777266</v>
      </c>
      <c r="M14" s="9">
        <f>L14/$L$12</f>
        <v>1.9236972772481271E-2</v>
      </c>
      <c r="N14" s="1">
        <f t="shared" ref="N14:N25" si="4">$N$12*M14</f>
        <v>78.044398537956525</v>
      </c>
      <c r="O14" s="1">
        <f>M14*$O$12</f>
        <v>424175.24963321205</v>
      </c>
      <c r="P14" s="1">
        <f>O14*0.08</f>
        <v>33934.019970656962</v>
      </c>
      <c r="Q14" s="1">
        <f>(O14-P14)/2</f>
        <v>195120.61483127755</v>
      </c>
      <c r="R14" s="1">
        <f>M14*$Q$12</f>
        <v>195120.61483127755</v>
      </c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</row>
    <row r="15" spans="1:40" x14ac:dyDescent="0.25">
      <c r="F15">
        <v>2</v>
      </c>
      <c r="G15" s="1">
        <f t="shared" si="1"/>
        <v>1106</v>
      </c>
      <c r="H15" s="1">
        <f t="shared" si="2"/>
        <v>608</v>
      </c>
      <c r="I15" s="1">
        <f t="shared" si="2"/>
        <v>98</v>
      </c>
      <c r="J15" s="1">
        <f t="shared" si="2"/>
        <v>657</v>
      </c>
      <c r="K15" s="3">
        <f t="shared" si="3"/>
        <v>0.5940325497287523</v>
      </c>
      <c r="L15" s="1">
        <f>'Region 2'!$K$14</f>
        <v>402.86008298047943</v>
      </c>
      <c r="M15" s="9">
        <f t="shared" ref="M15:M26" si="5">L15/$L$12</f>
        <v>3.7315826764197479E-2</v>
      </c>
      <c r="N15" s="1">
        <f t="shared" si="4"/>
        <v>151.39030918234917</v>
      </c>
      <c r="O15" s="1">
        <f>M15*$O$12</f>
        <v>822813.98015055445</v>
      </c>
      <c r="P15" s="1">
        <f t="shared" ref="P15:P26" si="6">O15*0.08</f>
        <v>65825.11841204435</v>
      </c>
      <c r="Q15" s="1">
        <f t="shared" ref="Q15:Q26" si="7">(O15-P15)/2</f>
        <v>378494.43086925504</v>
      </c>
      <c r="R15" s="1">
        <f t="shared" ref="R15:R26" si="8">M15*$Q$12</f>
        <v>378494.43086925504</v>
      </c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</row>
    <row r="16" spans="1:40" x14ac:dyDescent="0.25">
      <c r="F16">
        <v>3</v>
      </c>
      <c r="G16" s="1">
        <f t="shared" si="1"/>
        <v>3234</v>
      </c>
      <c r="H16" s="1">
        <f t="shared" si="2"/>
        <v>1324</v>
      </c>
      <c r="I16" s="1">
        <f t="shared" si="2"/>
        <v>248</v>
      </c>
      <c r="J16" s="1">
        <f t="shared" si="2"/>
        <v>1448</v>
      </c>
      <c r="K16" s="3">
        <f t="shared" si="3"/>
        <v>0.44774273345701915</v>
      </c>
      <c r="L16" s="1">
        <f>'Region 3'!$K$14</f>
        <v>697.17879371039044</v>
      </c>
      <c r="M16" s="9">
        <f t="shared" si="5"/>
        <v>6.4577763319950701E-2</v>
      </c>
      <c r="N16" s="1">
        <f t="shared" si="4"/>
        <v>261.99198578903997</v>
      </c>
      <c r="O16" s="1">
        <f>M16*$O$12</f>
        <v>1423939.681204913</v>
      </c>
      <c r="P16" s="1">
        <f t="shared" si="6"/>
        <v>113915.17449639304</v>
      </c>
      <c r="Q16" s="1">
        <f t="shared" si="7"/>
        <v>655012.25335426</v>
      </c>
      <c r="R16" s="1">
        <f t="shared" si="8"/>
        <v>655012.25335426</v>
      </c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</row>
    <row r="17" spans="1:40" x14ac:dyDescent="0.25">
      <c r="F17">
        <v>4</v>
      </c>
      <c r="G17" s="1">
        <f t="shared" si="1"/>
        <v>2521</v>
      </c>
      <c r="H17" s="1">
        <f t="shared" si="2"/>
        <v>832</v>
      </c>
      <c r="I17" s="1">
        <f t="shared" si="2"/>
        <v>268</v>
      </c>
      <c r="J17" s="1">
        <f t="shared" si="2"/>
        <v>966</v>
      </c>
      <c r="K17" s="3">
        <f t="shared" si="3"/>
        <v>0.38318127727092421</v>
      </c>
      <c r="L17" s="1">
        <f>'Region 4'!$K$14</f>
        <v>396.07592870668049</v>
      </c>
      <c r="M17" s="9">
        <f t="shared" si="5"/>
        <v>3.6687429123632681E-2</v>
      </c>
      <c r="N17" s="1">
        <f t="shared" si="4"/>
        <v>148.84089995457779</v>
      </c>
      <c r="O17" s="1">
        <f>M17*$O$12</f>
        <v>808957.81217610056</v>
      </c>
      <c r="P17" s="1">
        <f t="shared" si="6"/>
        <v>64716.624974088045</v>
      </c>
      <c r="Q17" s="1">
        <f t="shared" si="7"/>
        <v>372120.59360100626</v>
      </c>
      <c r="R17" s="1">
        <f t="shared" si="8"/>
        <v>372120.59360100626</v>
      </c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</row>
    <row r="18" spans="1:40" x14ac:dyDescent="0.25">
      <c r="F18">
        <v>5</v>
      </c>
      <c r="G18" s="1">
        <f t="shared" si="1"/>
        <v>1949</v>
      </c>
      <c r="H18" s="1">
        <f t="shared" si="2"/>
        <v>870</v>
      </c>
      <c r="I18" s="1">
        <f t="shared" si="2"/>
        <v>220</v>
      </c>
      <c r="J18" s="1">
        <f t="shared" si="2"/>
        <v>980</v>
      </c>
      <c r="K18" s="3">
        <f t="shared" si="3"/>
        <v>0.50282195997947665</v>
      </c>
      <c r="L18" s="1">
        <f>'Region 5'!$K$14</f>
        <v>531.15858873361856</v>
      </c>
      <c r="M18" s="9">
        <f t="shared" si="5"/>
        <v>4.9199766169088867E-2</v>
      </c>
      <c r="N18" s="1">
        <f t="shared" si="4"/>
        <v>199.60345134799354</v>
      </c>
      <c r="O18" s="1">
        <f t="shared" ref="O18:O26" si="9">M18*$O$12</f>
        <v>1084854.8440284096</v>
      </c>
      <c r="P18" s="1">
        <f t="shared" si="6"/>
        <v>86788.387522272766</v>
      </c>
      <c r="Q18" s="1">
        <f t="shared" si="7"/>
        <v>499033.2282530684</v>
      </c>
      <c r="R18" s="1">
        <f t="shared" si="8"/>
        <v>499033.2282530684</v>
      </c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</row>
    <row r="19" spans="1:40" x14ac:dyDescent="0.25">
      <c r="F19">
        <v>6.1</v>
      </c>
      <c r="G19" s="1">
        <f t="shared" si="1"/>
        <v>1243</v>
      </c>
      <c r="H19" s="1">
        <f t="shared" si="2"/>
        <v>512</v>
      </c>
      <c r="I19" s="1">
        <f t="shared" si="2"/>
        <v>116</v>
      </c>
      <c r="J19" s="1">
        <f t="shared" si="2"/>
        <v>570</v>
      </c>
      <c r="K19" s="3">
        <f t="shared" si="3"/>
        <v>0.45856798069187449</v>
      </c>
      <c r="L19" s="1">
        <f>'Region 6E'!$K$14</f>
        <v>281.41288779641741</v>
      </c>
      <c r="M19" s="9">
        <f t="shared" si="5"/>
        <v>2.6066505503680018E-2</v>
      </c>
      <c r="N19" s="1">
        <f t="shared" si="4"/>
        <v>105.75181282842983</v>
      </c>
      <c r="O19" s="1">
        <f t="shared" si="9"/>
        <v>574766.44635614438</v>
      </c>
      <c r="P19" s="1">
        <f t="shared" si="6"/>
        <v>45981.315708491551</v>
      </c>
      <c r="Q19" s="1">
        <f t="shared" si="7"/>
        <v>264392.56532382639</v>
      </c>
      <c r="R19" s="1">
        <f t="shared" si="8"/>
        <v>264392.56532382645</v>
      </c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</row>
    <row r="20" spans="1:40" x14ac:dyDescent="0.25">
      <c r="F20">
        <v>6.2</v>
      </c>
      <c r="G20" s="1">
        <f t="shared" si="1"/>
        <v>573</v>
      </c>
      <c r="H20" s="1">
        <f t="shared" si="2"/>
        <v>216</v>
      </c>
      <c r="I20" s="1">
        <f t="shared" si="2"/>
        <v>84</v>
      </c>
      <c r="J20" s="1">
        <f t="shared" si="2"/>
        <v>258</v>
      </c>
      <c r="K20" s="3">
        <f t="shared" si="3"/>
        <v>0.45026178010471202</v>
      </c>
      <c r="L20" s="1">
        <f>'Region 6W'!$K$14</f>
        <v>119.08680511831982</v>
      </c>
      <c r="M20" s="9">
        <f t="shared" si="5"/>
        <v>1.1030684789667516E-2</v>
      </c>
      <c r="N20" s="1">
        <f t="shared" si="4"/>
        <v>44.751488191681112</v>
      </c>
      <c r="O20" s="1">
        <f t="shared" si="9"/>
        <v>243226.59961216873</v>
      </c>
      <c r="P20" s="1">
        <f t="shared" si="6"/>
        <v>19458.127968973498</v>
      </c>
      <c r="Q20" s="1">
        <f t="shared" si="7"/>
        <v>111884.23582159761</v>
      </c>
      <c r="R20" s="1">
        <f t="shared" si="8"/>
        <v>111884.23582159761</v>
      </c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</row>
    <row r="21" spans="1:40" x14ac:dyDescent="0.25">
      <c r="F21">
        <v>7.1</v>
      </c>
      <c r="G21" s="1">
        <f t="shared" si="1"/>
        <v>1928</v>
      </c>
      <c r="H21" s="1">
        <f t="shared" si="2"/>
        <v>688</v>
      </c>
      <c r="I21" s="1">
        <f t="shared" si="2"/>
        <v>146</v>
      </c>
      <c r="J21" s="1">
        <f t="shared" si="2"/>
        <v>761</v>
      </c>
      <c r="K21" s="3">
        <f t="shared" si="3"/>
        <v>0.39470954356846472</v>
      </c>
      <c r="L21" s="1">
        <f>'Region 7E'!$K$14</f>
        <v>327.43034080022244</v>
      </c>
      <c r="M21" s="9">
        <f t="shared" si="5"/>
        <v>3.0328976214889183E-2</v>
      </c>
      <c r="N21" s="1">
        <f t="shared" si="4"/>
        <v>123.04465650380541</v>
      </c>
      <c r="O21" s="1">
        <f t="shared" si="9"/>
        <v>668753.92553830647</v>
      </c>
      <c r="P21" s="1">
        <f t="shared" si="6"/>
        <v>53500.314043064522</v>
      </c>
      <c r="Q21" s="1">
        <f t="shared" si="7"/>
        <v>307626.80574762099</v>
      </c>
      <c r="R21" s="1">
        <f t="shared" si="8"/>
        <v>307626.80574762099</v>
      </c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</row>
    <row r="22" spans="1:40" x14ac:dyDescent="0.25">
      <c r="F22">
        <v>7.2</v>
      </c>
      <c r="G22" s="1">
        <f t="shared" si="1"/>
        <v>5573</v>
      </c>
      <c r="H22" s="1">
        <f t="shared" si="2"/>
        <v>1434</v>
      </c>
      <c r="I22" s="1">
        <f t="shared" si="2"/>
        <v>403</v>
      </c>
      <c r="J22" s="1">
        <f t="shared" si="2"/>
        <v>1635.5</v>
      </c>
      <c r="K22" s="3">
        <f t="shared" si="3"/>
        <v>0.29346850888211018</v>
      </c>
      <c r="L22" s="1">
        <f>'Region 7W'!$K$14</f>
        <v>578.42093809125822</v>
      </c>
      <c r="M22" s="9">
        <f t="shared" si="5"/>
        <v>5.3577548221981207E-2</v>
      </c>
      <c r="N22" s="1">
        <f t="shared" si="4"/>
        <v>217.36411313657774</v>
      </c>
      <c r="O22" s="1">
        <f t="shared" si="9"/>
        <v>1181384.9382946857</v>
      </c>
      <c r="P22" s="1">
        <f t="shared" si="6"/>
        <v>94510.795063574857</v>
      </c>
      <c r="Q22" s="1">
        <f t="shared" si="7"/>
        <v>543437.07161555544</v>
      </c>
      <c r="R22" s="1">
        <f t="shared" si="8"/>
        <v>543437.07161555532</v>
      </c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</row>
    <row r="23" spans="1:40" x14ac:dyDescent="0.25">
      <c r="F23">
        <v>8</v>
      </c>
      <c r="G23" s="1">
        <f t="shared" si="1"/>
        <v>1500</v>
      </c>
      <c r="H23" s="1">
        <f t="shared" si="2"/>
        <v>624</v>
      </c>
      <c r="I23" s="1">
        <f t="shared" si="2"/>
        <v>157</v>
      </c>
      <c r="J23" s="1">
        <f t="shared" si="2"/>
        <v>702.5</v>
      </c>
      <c r="K23" s="3">
        <f t="shared" si="3"/>
        <v>0.46833333333333332</v>
      </c>
      <c r="L23" s="1">
        <f>'Region 8'!$K$14</f>
        <v>357.09582772395652</v>
      </c>
      <c r="M23" s="9">
        <f t="shared" si="5"/>
        <v>3.3076809067257594E-2</v>
      </c>
      <c r="N23" s="1">
        <f t="shared" si="4"/>
        <v>134.19261438586406</v>
      </c>
      <c r="O23" s="1">
        <f t="shared" si="9"/>
        <v>729343.63993303</v>
      </c>
      <c r="P23" s="1">
        <f t="shared" si="6"/>
        <v>58347.491194642404</v>
      </c>
      <c r="Q23" s="1">
        <f t="shared" si="7"/>
        <v>335498.07436919381</v>
      </c>
      <c r="R23" s="1">
        <f t="shared" si="8"/>
        <v>335498.07436919375</v>
      </c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</row>
    <row r="24" spans="1:40" x14ac:dyDescent="0.25">
      <c r="F24">
        <v>9</v>
      </c>
      <c r="G24" s="1">
        <f t="shared" si="1"/>
        <v>2614</v>
      </c>
      <c r="H24" s="1">
        <f t="shared" si="2"/>
        <v>954</v>
      </c>
      <c r="I24" s="1">
        <f t="shared" si="2"/>
        <v>209</v>
      </c>
      <c r="J24" s="1">
        <f t="shared" si="2"/>
        <v>1058.5</v>
      </c>
      <c r="K24" s="3">
        <f t="shared" si="3"/>
        <v>0.40493496557000763</v>
      </c>
      <c r="L24" s="1">
        <f>'Region 9'!$K$14</f>
        <v>449.49910615085673</v>
      </c>
      <c r="M24" s="9">
        <f t="shared" si="5"/>
        <v>4.1635871818553293E-2</v>
      </c>
      <c r="N24" s="1">
        <f t="shared" si="4"/>
        <v>168.9167319678707</v>
      </c>
      <c r="O24" s="1">
        <f t="shared" si="9"/>
        <v>918070.97359910014</v>
      </c>
      <c r="P24" s="1">
        <f t="shared" si="6"/>
        <v>73445.677887928017</v>
      </c>
      <c r="Q24" s="1">
        <f t="shared" si="7"/>
        <v>422312.64785558608</v>
      </c>
      <c r="R24" s="1">
        <f t="shared" si="8"/>
        <v>422312.64785558602</v>
      </c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</row>
    <row r="25" spans="1:40" x14ac:dyDescent="0.25">
      <c r="F25">
        <v>10</v>
      </c>
      <c r="G25" s="1">
        <f t="shared" si="1"/>
        <v>5481</v>
      </c>
      <c r="H25" s="1">
        <f t="shared" si="2"/>
        <v>1879</v>
      </c>
      <c r="I25" s="1">
        <f t="shared" si="2"/>
        <v>406</v>
      </c>
      <c r="J25" s="1">
        <f t="shared" si="2"/>
        <v>2082</v>
      </c>
      <c r="K25" s="3">
        <f t="shared" si="3"/>
        <v>0.37985769020251781</v>
      </c>
      <c r="L25" s="1">
        <f>'Region 10'!$K$14</f>
        <v>882.10684078750023</v>
      </c>
      <c r="M25" s="9">
        <f t="shared" si="5"/>
        <v>8.1707142129380086E-2</v>
      </c>
      <c r="N25" s="1">
        <f t="shared" si="4"/>
        <v>331.48587561889502</v>
      </c>
      <c r="O25" s="1">
        <f t="shared" si="9"/>
        <v>1801642.483952831</v>
      </c>
      <c r="P25" s="1">
        <f t="shared" si="6"/>
        <v>144131.39871622648</v>
      </c>
      <c r="Q25" s="1">
        <f t="shared" si="7"/>
        <v>828755.54261830228</v>
      </c>
      <c r="R25" s="1">
        <f t="shared" si="8"/>
        <v>828755.54261830216</v>
      </c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</row>
    <row r="26" spans="1:40" x14ac:dyDescent="0.25">
      <c r="F26">
        <v>11</v>
      </c>
      <c r="G26" s="1">
        <f t="shared" si="1"/>
        <v>32460</v>
      </c>
      <c r="H26" s="1">
        <f t="shared" si="2"/>
        <v>11012</v>
      </c>
      <c r="I26" s="1">
        <f t="shared" si="2"/>
        <v>1888</v>
      </c>
      <c r="J26" s="1">
        <f t="shared" si="2"/>
        <v>11956</v>
      </c>
      <c r="K26" s="3">
        <f t="shared" si="3"/>
        <v>0.36833025261860752</v>
      </c>
      <c r="L26" s="1">
        <f>'Region 11'!$K$14</f>
        <v>5565.9499018904362</v>
      </c>
      <c r="M26" s="9">
        <f t="shared" si="5"/>
        <v>0.51555870410524007</v>
      </c>
      <c r="N26" s="1">
        <f>$N$12*M26</f>
        <v>2091.6216625549591</v>
      </c>
      <c r="O26" s="1">
        <f t="shared" si="9"/>
        <v>11368069.425520543</v>
      </c>
      <c r="P26" s="1">
        <f t="shared" si="6"/>
        <v>909445.55404164351</v>
      </c>
      <c r="Q26" s="1">
        <f t="shared" si="7"/>
        <v>5229311.9357394502</v>
      </c>
      <c r="R26" s="1">
        <f t="shared" si="8"/>
        <v>5229311.9357394502</v>
      </c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</row>
    <row r="27" spans="1:40" x14ac:dyDescent="0.25">
      <c r="G27" s="1"/>
      <c r="H27" s="1"/>
      <c r="I27" s="1"/>
      <c r="J27" s="1"/>
      <c r="K27" s="3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</row>
    <row r="28" spans="1:40" x14ac:dyDescent="0.25">
      <c r="A28">
        <v>1</v>
      </c>
      <c r="B28">
        <v>1</v>
      </c>
      <c r="C28" t="s">
        <v>133</v>
      </c>
      <c r="D28">
        <v>0</v>
      </c>
      <c r="E28" s="2" t="s">
        <v>75</v>
      </c>
      <c r="F28" s="2">
        <v>3</v>
      </c>
      <c r="G28" s="1">
        <v>93</v>
      </c>
      <c r="H28" s="1">
        <v>39</v>
      </c>
      <c r="I28" s="1">
        <v>13</v>
      </c>
      <c r="J28" s="1">
        <f>H28+I28*0.5</f>
        <v>45.5</v>
      </c>
      <c r="K28" s="3">
        <f t="shared" ref="K28:K91" si="10">IF(G28=0,0,J28/G28)</f>
        <v>0.489247311827957</v>
      </c>
      <c r="L28" s="1"/>
      <c r="M28" s="1"/>
      <c r="N28" s="6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</row>
    <row r="29" spans="1:40" x14ac:dyDescent="0.25">
      <c r="A29">
        <v>1.2</v>
      </c>
      <c r="B29">
        <v>3</v>
      </c>
      <c r="C29" t="s">
        <v>8</v>
      </c>
      <c r="D29">
        <v>1</v>
      </c>
      <c r="E29" s="2" t="s">
        <v>4</v>
      </c>
      <c r="F29" s="2">
        <v>11</v>
      </c>
      <c r="G29" s="1">
        <v>3450</v>
      </c>
      <c r="H29" s="1">
        <v>1992</v>
      </c>
      <c r="I29" s="1">
        <v>206</v>
      </c>
      <c r="J29" s="1">
        <f t="shared" ref="J29:J92" si="11">H29+I29*0.5</f>
        <v>2095</v>
      </c>
      <c r="K29" s="3">
        <f t="shared" si="10"/>
        <v>0.60724637681159421</v>
      </c>
      <c r="L29" s="1"/>
      <c r="M29" s="1"/>
      <c r="N29" s="6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</row>
    <row r="30" spans="1:40" x14ac:dyDescent="0.25">
      <c r="A30">
        <v>2</v>
      </c>
      <c r="B30">
        <v>1</v>
      </c>
      <c r="C30" t="s">
        <v>157</v>
      </c>
      <c r="D30">
        <v>0</v>
      </c>
      <c r="E30" s="2" t="s">
        <v>75</v>
      </c>
      <c r="F30" s="2">
        <v>3</v>
      </c>
      <c r="G30" s="1">
        <v>20</v>
      </c>
      <c r="H30" s="1">
        <v>10</v>
      </c>
      <c r="I30" s="1">
        <v>1</v>
      </c>
      <c r="J30" s="1">
        <f t="shared" si="11"/>
        <v>10.5</v>
      </c>
      <c r="K30" s="3">
        <f t="shared" si="10"/>
        <v>0.52500000000000002</v>
      </c>
      <c r="L30" s="1"/>
      <c r="M30" s="1"/>
      <c r="N30" s="6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</row>
    <row r="31" spans="1:40" x14ac:dyDescent="0.25">
      <c r="A31">
        <v>4</v>
      </c>
      <c r="B31">
        <v>1</v>
      </c>
      <c r="C31" t="s">
        <v>83</v>
      </c>
      <c r="D31">
        <v>0</v>
      </c>
      <c r="E31" s="2" t="s">
        <v>75</v>
      </c>
      <c r="F31" s="2">
        <v>3</v>
      </c>
      <c r="G31" s="1">
        <v>39</v>
      </c>
      <c r="H31" s="1">
        <v>21</v>
      </c>
      <c r="I31" s="1">
        <v>8</v>
      </c>
      <c r="J31" s="1">
        <f t="shared" si="11"/>
        <v>25</v>
      </c>
      <c r="K31" s="3">
        <f t="shared" si="10"/>
        <v>0.64102564102564108</v>
      </c>
      <c r="L31" s="1"/>
      <c r="M31" s="1"/>
      <c r="N31" s="6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</row>
    <row r="32" spans="1:40" x14ac:dyDescent="0.25">
      <c r="A32">
        <v>6</v>
      </c>
      <c r="B32">
        <v>3</v>
      </c>
      <c r="C32" t="s">
        <v>12</v>
      </c>
      <c r="D32">
        <v>1</v>
      </c>
      <c r="E32" s="2" t="s">
        <v>4</v>
      </c>
      <c r="F32" s="2">
        <v>11</v>
      </c>
      <c r="G32" s="1">
        <v>284</v>
      </c>
      <c r="H32" s="1">
        <v>111</v>
      </c>
      <c r="I32" s="1">
        <v>21</v>
      </c>
      <c r="J32" s="1">
        <f t="shared" si="11"/>
        <v>121.5</v>
      </c>
      <c r="K32" s="3">
        <f t="shared" si="10"/>
        <v>0.42781690140845069</v>
      </c>
      <c r="L32" s="1"/>
      <c r="M32" s="1"/>
      <c r="N32" s="6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</row>
    <row r="33" spans="1:40" x14ac:dyDescent="0.25">
      <c r="A33">
        <v>11</v>
      </c>
      <c r="B33">
        <v>1</v>
      </c>
      <c r="C33" t="s">
        <v>22</v>
      </c>
      <c r="D33">
        <v>1</v>
      </c>
      <c r="E33" s="2" t="s">
        <v>4</v>
      </c>
      <c r="F33" s="2">
        <v>11</v>
      </c>
      <c r="G33" s="1">
        <v>2681</v>
      </c>
      <c r="H33" s="1">
        <v>763</v>
      </c>
      <c r="I33" s="1">
        <v>195</v>
      </c>
      <c r="J33" s="1">
        <f t="shared" si="11"/>
        <v>860.5</v>
      </c>
      <c r="K33" s="3">
        <f t="shared" si="10"/>
        <v>0.32096232748974263</v>
      </c>
      <c r="L33" s="1"/>
      <c r="M33" s="1"/>
      <c r="N33" s="6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</row>
    <row r="34" spans="1:40" x14ac:dyDescent="0.25">
      <c r="A34">
        <v>12</v>
      </c>
      <c r="B34">
        <v>1</v>
      </c>
      <c r="C34" t="s">
        <v>35</v>
      </c>
      <c r="D34">
        <v>1</v>
      </c>
      <c r="E34" s="2" t="s">
        <v>4</v>
      </c>
      <c r="F34" s="2">
        <v>11</v>
      </c>
      <c r="G34" s="1">
        <v>450</v>
      </c>
      <c r="H34" s="1">
        <v>77</v>
      </c>
      <c r="I34" s="1">
        <v>17</v>
      </c>
      <c r="J34" s="1">
        <f t="shared" si="11"/>
        <v>85.5</v>
      </c>
      <c r="K34" s="3">
        <f t="shared" si="10"/>
        <v>0.19</v>
      </c>
      <c r="L34" s="1"/>
      <c r="M34" s="1"/>
      <c r="N34" s="6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</row>
    <row r="35" spans="1:40" x14ac:dyDescent="0.25">
      <c r="A35">
        <v>13</v>
      </c>
      <c r="B35">
        <v>1</v>
      </c>
      <c r="C35" t="s">
        <v>5</v>
      </c>
      <c r="D35">
        <v>1</v>
      </c>
      <c r="E35" s="2" t="s">
        <v>4</v>
      </c>
      <c r="F35" s="2">
        <v>11</v>
      </c>
      <c r="G35" s="1">
        <v>271</v>
      </c>
      <c r="H35" s="1">
        <v>189</v>
      </c>
      <c r="I35" s="1">
        <v>27</v>
      </c>
      <c r="J35" s="1">
        <f t="shared" si="11"/>
        <v>202.5</v>
      </c>
      <c r="K35" s="3">
        <f t="shared" si="10"/>
        <v>0.74723247232472323</v>
      </c>
      <c r="L35" s="1"/>
      <c r="M35" s="1"/>
      <c r="N35" s="6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</row>
    <row r="36" spans="1:40" x14ac:dyDescent="0.25">
      <c r="A36">
        <v>14</v>
      </c>
      <c r="B36">
        <v>1</v>
      </c>
      <c r="C36" t="s">
        <v>7</v>
      </c>
      <c r="D36">
        <v>1</v>
      </c>
      <c r="E36" s="2" t="s">
        <v>4</v>
      </c>
      <c r="F36" s="2">
        <v>11</v>
      </c>
      <c r="G36" s="1">
        <v>237</v>
      </c>
      <c r="H36" s="1">
        <v>143</v>
      </c>
      <c r="I36" s="1">
        <v>19</v>
      </c>
      <c r="J36" s="1">
        <f t="shared" si="11"/>
        <v>152.5</v>
      </c>
      <c r="K36" s="3">
        <f t="shared" si="10"/>
        <v>0.64345991561181437</v>
      </c>
      <c r="L36" s="1"/>
      <c r="M36" s="1"/>
      <c r="N36" s="6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</row>
    <row r="37" spans="1:40" x14ac:dyDescent="0.25">
      <c r="A37">
        <v>15</v>
      </c>
      <c r="B37">
        <v>1</v>
      </c>
      <c r="C37" t="s">
        <v>27</v>
      </c>
      <c r="D37">
        <v>1</v>
      </c>
      <c r="E37" s="2" t="s">
        <v>4</v>
      </c>
      <c r="F37" s="2">
        <v>11</v>
      </c>
      <c r="G37" s="1">
        <v>318</v>
      </c>
      <c r="H37" s="1">
        <v>66</v>
      </c>
      <c r="I37" s="1">
        <v>29</v>
      </c>
      <c r="J37" s="1">
        <f t="shared" si="11"/>
        <v>80.5</v>
      </c>
      <c r="K37" s="3">
        <f t="shared" si="10"/>
        <v>0.25314465408805031</v>
      </c>
      <c r="L37" s="1"/>
      <c r="M37" s="1"/>
      <c r="N37" s="6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</row>
    <row r="38" spans="1:40" x14ac:dyDescent="0.25">
      <c r="A38">
        <v>16</v>
      </c>
      <c r="B38">
        <v>1</v>
      </c>
      <c r="C38" t="s">
        <v>26</v>
      </c>
      <c r="D38">
        <v>1</v>
      </c>
      <c r="E38" s="2" t="s">
        <v>4</v>
      </c>
      <c r="F38" s="2">
        <v>11</v>
      </c>
      <c r="G38" s="1">
        <v>484</v>
      </c>
      <c r="H38" s="1">
        <v>134</v>
      </c>
      <c r="I38" s="1">
        <v>23</v>
      </c>
      <c r="J38" s="1">
        <f t="shared" si="11"/>
        <v>145.5</v>
      </c>
      <c r="K38" s="3">
        <f t="shared" si="10"/>
        <v>0.30061983471074383</v>
      </c>
      <c r="L38" s="1"/>
      <c r="M38" s="1"/>
      <c r="N38" s="6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</row>
    <row r="39" spans="1:40" x14ac:dyDescent="0.25">
      <c r="A39">
        <v>22</v>
      </c>
      <c r="B39">
        <v>1</v>
      </c>
      <c r="C39" t="s">
        <v>132</v>
      </c>
      <c r="D39">
        <v>0</v>
      </c>
      <c r="E39" s="2" t="s">
        <v>53</v>
      </c>
      <c r="F39" s="2">
        <v>4</v>
      </c>
      <c r="G39" s="1">
        <v>225</v>
      </c>
      <c r="H39" s="1">
        <v>95</v>
      </c>
      <c r="I39" s="1">
        <v>27</v>
      </c>
      <c r="J39" s="1">
        <f t="shared" si="11"/>
        <v>108.5</v>
      </c>
      <c r="K39" s="3">
        <f t="shared" si="10"/>
        <v>0.48222222222222222</v>
      </c>
      <c r="L39" s="1"/>
      <c r="M39" s="1"/>
      <c r="N39" s="6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</row>
    <row r="40" spans="1:40" x14ac:dyDescent="0.25">
      <c r="A40">
        <v>23</v>
      </c>
      <c r="B40">
        <v>1</v>
      </c>
      <c r="C40" t="s">
        <v>151</v>
      </c>
      <c r="D40">
        <v>0</v>
      </c>
      <c r="E40" s="2" t="s">
        <v>53</v>
      </c>
      <c r="F40" s="2">
        <v>4</v>
      </c>
      <c r="G40" s="1">
        <v>72</v>
      </c>
      <c r="H40" s="1">
        <v>26</v>
      </c>
      <c r="I40" s="1">
        <v>11</v>
      </c>
      <c r="J40" s="1">
        <f t="shared" si="11"/>
        <v>31.5</v>
      </c>
      <c r="K40" s="3">
        <f t="shared" si="10"/>
        <v>0.4375</v>
      </c>
      <c r="L40" s="1"/>
      <c r="M40" s="1"/>
      <c r="N40" s="6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</row>
    <row r="41" spans="1:40" x14ac:dyDescent="0.25">
      <c r="A41">
        <v>25</v>
      </c>
      <c r="B41">
        <v>1</v>
      </c>
      <c r="C41" t="s">
        <v>52</v>
      </c>
      <c r="D41">
        <v>0</v>
      </c>
      <c r="E41" s="2" t="s">
        <v>53</v>
      </c>
      <c r="F41" s="2">
        <v>4</v>
      </c>
      <c r="G41" s="1">
        <v>10</v>
      </c>
      <c r="H41" s="1">
        <v>10</v>
      </c>
      <c r="I41" s="1">
        <v>0</v>
      </c>
      <c r="J41" s="1">
        <f t="shared" si="11"/>
        <v>10</v>
      </c>
      <c r="K41" s="3">
        <f t="shared" si="10"/>
        <v>1</v>
      </c>
      <c r="L41" s="1"/>
      <c r="M41" s="1"/>
      <c r="N41" s="6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</row>
    <row r="42" spans="1:40" x14ac:dyDescent="0.25">
      <c r="A42">
        <v>31</v>
      </c>
      <c r="B42">
        <v>1</v>
      </c>
      <c r="C42" t="s">
        <v>131</v>
      </c>
      <c r="D42">
        <v>0</v>
      </c>
      <c r="E42" s="2" t="s">
        <v>61</v>
      </c>
      <c r="F42" s="2">
        <v>2</v>
      </c>
      <c r="G42" s="1">
        <v>420</v>
      </c>
      <c r="H42" s="1">
        <v>195</v>
      </c>
      <c r="I42" s="1">
        <v>40</v>
      </c>
      <c r="J42" s="1">
        <f t="shared" si="11"/>
        <v>215</v>
      </c>
      <c r="K42" s="3">
        <f t="shared" si="10"/>
        <v>0.51190476190476186</v>
      </c>
      <c r="L42" s="1"/>
      <c r="M42" s="1"/>
      <c r="N42" s="6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</row>
    <row r="43" spans="1:40" x14ac:dyDescent="0.25">
      <c r="A43">
        <v>32</v>
      </c>
      <c r="B43">
        <v>1</v>
      </c>
      <c r="C43" t="s">
        <v>68</v>
      </c>
      <c r="D43">
        <v>0</v>
      </c>
      <c r="E43" s="2" t="s">
        <v>61</v>
      </c>
      <c r="F43" s="2">
        <v>2</v>
      </c>
      <c r="G43" s="1">
        <v>48</v>
      </c>
      <c r="H43" s="1">
        <v>27</v>
      </c>
      <c r="I43" s="1">
        <v>9</v>
      </c>
      <c r="J43" s="1">
        <f t="shared" si="11"/>
        <v>31.5</v>
      </c>
      <c r="K43" s="3">
        <f t="shared" si="10"/>
        <v>0.65625</v>
      </c>
      <c r="L43" s="1"/>
      <c r="M43" s="1"/>
      <c r="N43" s="6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</row>
    <row r="44" spans="1:40" x14ac:dyDescent="0.25">
      <c r="A44">
        <v>36</v>
      </c>
      <c r="B44">
        <v>1</v>
      </c>
      <c r="C44" t="s">
        <v>60</v>
      </c>
      <c r="D44">
        <v>0</v>
      </c>
      <c r="E44" s="2" t="s">
        <v>61</v>
      </c>
      <c r="F44" s="2">
        <v>2</v>
      </c>
      <c r="G44" s="1">
        <v>20</v>
      </c>
      <c r="H44" s="1">
        <v>13</v>
      </c>
      <c r="I44" s="1">
        <v>4</v>
      </c>
      <c r="J44" s="1">
        <f t="shared" si="11"/>
        <v>15</v>
      </c>
      <c r="K44" s="3">
        <f t="shared" si="10"/>
        <v>0.75</v>
      </c>
      <c r="L44" s="1"/>
      <c r="M44" s="1"/>
      <c r="N44" s="6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</row>
    <row r="45" spans="1:40" x14ac:dyDescent="0.25">
      <c r="A45">
        <v>38</v>
      </c>
      <c r="B45">
        <v>1</v>
      </c>
      <c r="C45" t="s">
        <v>63</v>
      </c>
      <c r="D45">
        <v>0</v>
      </c>
      <c r="E45" s="2" t="s">
        <v>61</v>
      </c>
      <c r="F45" s="2">
        <v>2</v>
      </c>
      <c r="G45" s="1">
        <v>169</v>
      </c>
      <c r="H45" s="1">
        <v>144</v>
      </c>
      <c r="I45" s="1">
        <v>3</v>
      </c>
      <c r="J45" s="1">
        <f t="shared" si="11"/>
        <v>145.5</v>
      </c>
      <c r="K45" s="3">
        <f t="shared" si="10"/>
        <v>0.86094674556213013</v>
      </c>
      <c r="L45" s="1"/>
      <c r="M45" s="1"/>
      <c r="N45" s="6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</row>
    <row r="46" spans="1:40" x14ac:dyDescent="0.25">
      <c r="A46">
        <v>47</v>
      </c>
      <c r="B46">
        <v>1</v>
      </c>
      <c r="C46" t="s">
        <v>246</v>
      </c>
      <c r="D46">
        <v>0</v>
      </c>
      <c r="E46" s="2" t="s">
        <v>135</v>
      </c>
      <c r="F46" s="2">
        <v>7.2</v>
      </c>
      <c r="G46" s="1">
        <v>316</v>
      </c>
      <c r="H46" s="1">
        <v>101</v>
      </c>
      <c r="I46" s="1">
        <v>40</v>
      </c>
      <c r="J46" s="1">
        <f t="shared" si="11"/>
        <v>121</v>
      </c>
      <c r="K46" s="3">
        <f t="shared" si="10"/>
        <v>0.38291139240506328</v>
      </c>
      <c r="L46" s="1"/>
      <c r="M46" s="1"/>
      <c r="N46" s="6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</row>
    <row r="47" spans="1:40" x14ac:dyDescent="0.25">
      <c r="A47">
        <v>51</v>
      </c>
      <c r="B47">
        <v>1</v>
      </c>
      <c r="C47" t="s">
        <v>284</v>
      </c>
      <c r="D47">
        <v>0</v>
      </c>
      <c r="E47" s="2" t="s">
        <v>135</v>
      </c>
      <c r="F47" s="2">
        <v>7.2</v>
      </c>
      <c r="G47" s="1">
        <v>138</v>
      </c>
      <c r="H47" s="1">
        <v>37</v>
      </c>
      <c r="I47" s="1">
        <v>12</v>
      </c>
      <c r="J47" s="1">
        <f t="shared" si="11"/>
        <v>43</v>
      </c>
      <c r="K47" s="3">
        <f t="shared" si="10"/>
        <v>0.31159420289855072</v>
      </c>
      <c r="L47" s="1"/>
      <c r="M47" s="1"/>
      <c r="N47" s="6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</row>
    <row r="48" spans="1:40" x14ac:dyDescent="0.25">
      <c r="A48">
        <v>75</v>
      </c>
      <c r="B48">
        <v>1</v>
      </c>
      <c r="C48" t="s">
        <v>315</v>
      </c>
      <c r="D48">
        <v>0</v>
      </c>
      <c r="E48" s="2" t="s">
        <v>70</v>
      </c>
      <c r="F48" s="2">
        <v>9</v>
      </c>
      <c r="G48" s="1">
        <v>60</v>
      </c>
      <c r="H48" s="1">
        <v>11</v>
      </c>
      <c r="I48" s="1">
        <v>6</v>
      </c>
      <c r="J48" s="1">
        <f t="shared" si="11"/>
        <v>14</v>
      </c>
      <c r="K48" s="3">
        <f t="shared" si="10"/>
        <v>0.23333333333333334</v>
      </c>
      <c r="L48" s="1"/>
      <c r="M48" s="1"/>
      <c r="N48" s="6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</row>
    <row r="49" spans="1:40" x14ac:dyDescent="0.25">
      <c r="A49">
        <v>77</v>
      </c>
      <c r="B49">
        <v>1</v>
      </c>
      <c r="C49" t="s">
        <v>250</v>
      </c>
      <c r="D49">
        <v>0</v>
      </c>
      <c r="E49" s="2" t="s">
        <v>70</v>
      </c>
      <c r="F49" s="2">
        <v>9</v>
      </c>
      <c r="G49" s="1">
        <v>693</v>
      </c>
      <c r="H49" s="1">
        <v>244</v>
      </c>
      <c r="I49" s="1">
        <v>34</v>
      </c>
      <c r="J49" s="1">
        <f t="shared" si="11"/>
        <v>261</v>
      </c>
      <c r="K49" s="3">
        <f t="shared" si="10"/>
        <v>0.37662337662337664</v>
      </c>
      <c r="L49" s="1"/>
      <c r="M49" s="1"/>
      <c r="N49" s="6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</row>
    <row r="50" spans="1:40" x14ac:dyDescent="0.25">
      <c r="A50">
        <v>81</v>
      </c>
      <c r="B50">
        <v>1</v>
      </c>
      <c r="C50" t="s">
        <v>325</v>
      </c>
      <c r="D50">
        <v>0</v>
      </c>
      <c r="E50" s="2" t="s">
        <v>70</v>
      </c>
      <c r="F50" s="2">
        <v>9</v>
      </c>
      <c r="G50" s="1">
        <v>13</v>
      </c>
      <c r="H50" s="1">
        <v>3</v>
      </c>
      <c r="I50" s="1">
        <v>1</v>
      </c>
      <c r="J50" s="1">
        <f t="shared" si="11"/>
        <v>3.5</v>
      </c>
      <c r="K50" s="3">
        <f t="shared" si="10"/>
        <v>0.26923076923076922</v>
      </c>
      <c r="L50" s="1"/>
      <c r="M50" s="1"/>
      <c r="N50" s="6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</row>
    <row r="51" spans="1:40" x14ac:dyDescent="0.25">
      <c r="A51">
        <v>84</v>
      </c>
      <c r="B51">
        <v>1</v>
      </c>
      <c r="C51" t="s">
        <v>139</v>
      </c>
      <c r="D51">
        <v>0</v>
      </c>
      <c r="E51" s="2" t="s">
        <v>70</v>
      </c>
      <c r="F51" s="2">
        <v>9</v>
      </c>
      <c r="G51" s="1">
        <v>49</v>
      </c>
      <c r="H51" s="1">
        <v>28</v>
      </c>
      <c r="I51" s="1">
        <v>2</v>
      </c>
      <c r="J51" s="1">
        <f t="shared" si="11"/>
        <v>29</v>
      </c>
      <c r="K51" s="3">
        <f t="shared" si="10"/>
        <v>0.59183673469387754</v>
      </c>
      <c r="L51" s="1"/>
      <c r="M51" s="1"/>
      <c r="N51" s="6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</row>
    <row r="52" spans="1:40" x14ac:dyDescent="0.25">
      <c r="A52">
        <v>85</v>
      </c>
      <c r="B52">
        <v>1</v>
      </c>
      <c r="C52" t="s">
        <v>185</v>
      </c>
      <c r="D52">
        <v>0</v>
      </c>
      <c r="E52" s="2" t="s">
        <v>70</v>
      </c>
      <c r="F52" s="2">
        <v>9</v>
      </c>
      <c r="G52" s="1">
        <v>56</v>
      </c>
      <c r="H52" s="1">
        <v>21</v>
      </c>
      <c r="I52" s="1">
        <v>3</v>
      </c>
      <c r="J52" s="1">
        <f t="shared" si="11"/>
        <v>22.5</v>
      </c>
      <c r="K52" s="3">
        <f t="shared" si="10"/>
        <v>0.4017857142857143</v>
      </c>
      <c r="L52" s="1"/>
      <c r="M52" s="1"/>
      <c r="N52" s="6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</row>
    <row r="53" spans="1:40" x14ac:dyDescent="0.25">
      <c r="A53">
        <v>88</v>
      </c>
      <c r="B53">
        <v>1</v>
      </c>
      <c r="C53" t="s">
        <v>278</v>
      </c>
      <c r="D53">
        <v>0</v>
      </c>
      <c r="E53" s="2" t="s">
        <v>70</v>
      </c>
      <c r="F53" s="2">
        <v>9</v>
      </c>
      <c r="G53" s="1">
        <v>154</v>
      </c>
      <c r="H53" s="1">
        <v>46</v>
      </c>
      <c r="I53" s="1">
        <v>6</v>
      </c>
      <c r="J53" s="1">
        <f t="shared" si="11"/>
        <v>49</v>
      </c>
      <c r="K53" s="3">
        <f t="shared" si="10"/>
        <v>0.31818181818181818</v>
      </c>
      <c r="L53" s="1"/>
      <c r="M53" s="1"/>
      <c r="N53" s="6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</row>
    <row r="54" spans="1:40" x14ac:dyDescent="0.25">
      <c r="A54">
        <v>91</v>
      </c>
      <c r="B54">
        <v>1</v>
      </c>
      <c r="C54" t="s">
        <v>200</v>
      </c>
      <c r="D54">
        <v>0</v>
      </c>
      <c r="E54" s="2" t="s">
        <v>75</v>
      </c>
      <c r="F54" s="2">
        <v>3</v>
      </c>
      <c r="G54" s="1">
        <v>60</v>
      </c>
      <c r="H54" s="1">
        <v>20</v>
      </c>
      <c r="I54" s="1">
        <v>9</v>
      </c>
      <c r="J54" s="1">
        <f t="shared" si="11"/>
        <v>24.5</v>
      </c>
      <c r="K54" s="3">
        <f t="shared" si="10"/>
        <v>0.40833333333333333</v>
      </c>
      <c r="L54" s="1"/>
      <c r="M54" s="1"/>
      <c r="N54" s="6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</row>
    <row r="55" spans="1:40" x14ac:dyDescent="0.25">
      <c r="A55">
        <v>93</v>
      </c>
      <c r="B55">
        <v>1</v>
      </c>
      <c r="C55" t="s">
        <v>252</v>
      </c>
      <c r="D55">
        <v>0</v>
      </c>
      <c r="E55" s="2" t="s">
        <v>75</v>
      </c>
      <c r="F55" s="2">
        <v>3</v>
      </c>
      <c r="G55" s="1">
        <v>37</v>
      </c>
      <c r="H55" s="1">
        <v>12</v>
      </c>
      <c r="I55" s="1">
        <v>5</v>
      </c>
      <c r="J55" s="1">
        <f t="shared" si="11"/>
        <v>14.5</v>
      </c>
      <c r="K55" s="3">
        <f t="shared" si="10"/>
        <v>0.39189189189189189</v>
      </c>
      <c r="L55" s="1"/>
      <c r="M55" s="1"/>
      <c r="N55" s="6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</row>
    <row r="56" spans="1:40" x14ac:dyDescent="0.25">
      <c r="A56">
        <v>94</v>
      </c>
      <c r="B56">
        <v>1</v>
      </c>
      <c r="C56" t="s">
        <v>191</v>
      </c>
      <c r="D56">
        <v>0</v>
      </c>
      <c r="E56" s="2" t="s">
        <v>75</v>
      </c>
      <c r="F56" s="2">
        <v>3</v>
      </c>
      <c r="G56" s="1">
        <v>213</v>
      </c>
      <c r="H56" s="1">
        <v>80</v>
      </c>
      <c r="I56" s="1">
        <v>25</v>
      </c>
      <c r="J56" s="1">
        <f t="shared" si="11"/>
        <v>92.5</v>
      </c>
      <c r="K56" s="3">
        <f t="shared" si="10"/>
        <v>0.43427230046948356</v>
      </c>
      <c r="L56" s="1"/>
      <c r="M56" s="1"/>
      <c r="N56" s="6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</row>
    <row r="57" spans="1:40" x14ac:dyDescent="0.25">
      <c r="A57">
        <v>95</v>
      </c>
      <c r="B57">
        <v>1</v>
      </c>
      <c r="C57" t="s">
        <v>203</v>
      </c>
      <c r="D57">
        <v>0</v>
      </c>
      <c r="E57" s="2" t="s">
        <v>75</v>
      </c>
      <c r="F57" s="2">
        <v>3</v>
      </c>
      <c r="G57" s="1">
        <v>25</v>
      </c>
      <c r="H57" s="1">
        <v>9</v>
      </c>
      <c r="I57" s="1">
        <v>1</v>
      </c>
      <c r="J57" s="1">
        <f t="shared" si="11"/>
        <v>9.5</v>
      </c>
      <c r="K57" s="3">
        <f t="shared" si="10"/>
        <v>0.38</v>
      </c>
      <c r="L57" s="1"/>
      <c r="M57" s="1"/>
      <c r="N57" s="6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</row>
    <row r="58" spans="1:40" x14ac:dyDescent="0.25">
      <c r="A58">
        <v>97</v>
      </c>
      <c r="B58">
        <v>1</v>
      </c>
      <c r="C58" t="s">
        <v>236</v>
      </c>
      <c r="D58">
        <v>0</v>
      </c>
      <c r="E58" s="2" t="s">
        <v>75</v>
      </c>
      <c r="F58" s="2">
        <v>3</v>
      </c>
      <c r="G58" s="1">
        <v>43</v>
      </c>
      <c r="H58" s="1">
        <v>11</v>
      </c>
      <c r="I58" s="1">
        <v>6</v>
      </c>
      <c r="J58" s="1">
        <f t="shared" si="11"/>
        <v>14</v>
      </c>
      <c r="K58" s="3">
        <f t="shared" si="10"/>
        <v>0.32558139534883723</v>
      </c>
      <c r="L58" s="1"/>
      <c r="M58" s="1"/>
      <c r="N58" s="6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</row>
    <row r="59" spans="1:40" x14ac:dyDescent="0.25">
      <c r="A59">
        <v>99</v>
      </c>
      <c r="B59">
        <v>1</v>
      </c>
      <c r="C59" t="s">
        <v>346</v>
      </c>
      <c r="D59">
        <v>0</v>
      </c>
      <c r="E59" s="2" t="s">
        <v>75</v>
      </c>
      <c r="F59" s="2">
        <v>3</v>
      </c>
      <c r="G59" s="1">
        <v>85</v>
      </c>
      <c r="H59" s="1">
        <v>7</v>
      </c>
      <c r="I59" s="1">
        <v>2</v>
      </c>
      <c r="J59" s="1">
        <f t="shared" si="11"/>
        <v>8</v>
      </c>
      <c r="K59" s="3">
        <f t="shared" si="10"/>
        <v>9.4117647058823528E-2</v>
      </c>
      <c r="L59" s="1"/>
      <c r="M59" s="1"/>
      <c r="N59" s="6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</row>
    <row r="60" spans="1:40" x14ac:dyDescent="0.25">
      <c r="A60">
        <v>100</v>
      </c>
      <c r="B60">
        <v>1</v>
      </c>
      <c r="C60" t="s">
        <v>158</v>
      </c>
      <c r="D60">
        <v>0</v>
      </c>
      <c r="E60" s="2" t="s">
        <v>75</v>
      </c>
      <c r="F60" s="2">
        <v>3</v>
      </c>
      <c r="G60" s="1">
        <v>15</v>
      </c>
      <c r="H60" s="1">
        <v>5</v>
      </c>
      <c r="I60" s="1">
        <v>4</v>
      </c>
      <c r="J60" s="1">
        <f t="shared" si="11"/>
        <v>7</v>
      </c>
      <c r="K60" s="3">
        <f t="shared" si="10"/>
        <v>0.46666666666666667</v>
      </c>
      <c r="L60" s="1"/>
      <c r="M60" s="1"/>
      <c r="N60" s="6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</row>
    <row r="61" spans="1:40" x14ac:dyDescent="0.25">
      <c r="A61">
        <v>108</v>
      </c>
      <c r="B61">
        <v>1</v>
      </c>
      <c r="C61" t="s">
        <v>32</v>
      </c>
      <c r="D61">
        <v>1</v>
      </c>
      <c r="E61" s="2" t="s">
        <v>4</v>
      </c>
      <c r="F61" s="2">
        <v>11</v>
      </c>
      <c r="G61" s="1">
        <v>91</v>
      </c>
      <c r="H61" s="1">
        <v>23</v>
      </c>
      <c r="I61" s="1">
        <v>0</v>
      </c>
      <c r="J61" s="1">
        <f t="shared" si="11"/>
        <v>23</v>
      </c>
      <c r="K61" s="3">
        <f t="shared" si="10"/>
        <v>0.25274725274725274</v>
      </c>
      <c r="L61" s="1"/>
      <c r="M61" s="1"/>
      <c r="N61" s="6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</row>
    <row r="62" spans="1:40" x14ac:dyDescent="0.25">
      <c r="A62">
        <v>110</v>
      </c>
      <c r="B62">
        <v>1</v>
      </c>
      <c r="C62" t="s">
        <v>45</v>
      </c>
      <c r="D62">
        <v>1</v>
      </c>
      <c r="E62" s="2" t="s">
        <v>4</v>
      </c>
      <c r="F62" s="2">
        <v>11</v>
      </c>
      <c r="G62" s="1">
        <v>259</v>
      </c>
      <c r="H62" s="1">
        <v>26</v>
      </c>
      <c r="I62" s="1">
        <v>11</v>
      </c>
      <c r="J62" s="1">
        <f t="shared" si="11"/>
        <v>31.5</v>
      </c>
      <c r="K62" s="3">
        <f t="shared" si="10"/>
        <v>0.12162162162162163</v>
      </c>
      <c r="L62" s="1"/>
      <c r="M62" s="1"/>
      <c r="N62" s="6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</row>
    <row r="63" spans="1:40" x14ac:dyDescent="0.25">
      <c r="A63">
        <v>111</v>
      </c>
      <c r="B63">
        <v>1</v>
      </c>
      <c r="C63" t="s">
        <v>25</v>
      </c>
      <c r="D63">
        <v>1</v>
      </c>
      <c r="E63" s="2" t="s">
        <v>4</v>
      </c>
      <c r="F63" s="2">
        <v>11</v>
      </c>
      <c r="G63" s="1">
        <v>118</v>
      </c>
      <c r="H63" s="1">
        <v>22</v>
      </c>
      <c r="I63" s="1">
        <v>16</v>
      </c>
      <c r="J63" s="1">
        <f t="shared" si="11"/>
        <v>30</v>
      </c>
      <c r="K63" s="3">
        <f t="shared" si="10"/>
        <v>0.25423728813559321</v>
      </c>
      <c r="L63" s="1"/>
      <c r="M63" s="1"/>
      <c r="N63" s="6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</row>
    <row r="64" spans="1:40" x14ac:dyDescent="0.25">
      <c r="A64">
        <v>112</v>
      </c>
      <c r="B64">
        <v>1</v>
      </c>
      <c r="C64" t="s">
        <v>37</v>
      </c>
      <c r="D64">
        <v>1</v>
      </c>
      <c r="E64" s="2" t="s">
        <v>4</v>
      </c>
      <c r="F64" s="2">
        <v>11</v>
      </c>
      <c r="G64" s="1">
        <v>664</v>
      </c>
      <c r="H64" s="1">
        <v>121</v>
      </c>
      <c r="I64" s="1">
        <v>29</v>
      </c>
      <c r="J64" s="1">
        <f t="shared" si="11"/>
        <v>135.5</v>
      </c>
      <c r="K64" s="3">
        <f t="shared" si="10"/>
        <v>0.20406626506024098</v>
      </c>
      <c r="L64" s="1"/>
      <c r="M64" s="1"/>
      <c r="N64" s="6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</row>
    <row r="65" spans="1:40" x14ac:dyDescent="0.25">
      <c r="A65">
        <v>113</v>
      </c>
      <c r="B65">
        <v>1</v>
      </c>
      <c r="C65" t="s">
        <v>117</v>
      </c>
      <c r="D65">
        <v>0</v>
      </c>
      <c r="E65" s="2" t="s">
        <v>58</v>
      </c>
      <c r="F65" s="2">
        <v>5</v>
      </c>
      <c r="G65" s="1">
        <v>63</v>
      </c>
      <c r="H65" s="1">
        <v>33</v>
      </c>
      <c r="I65" s="1">
        <v>6</v>
      </c>
      <c r="J65" s="1">
        <f t="shared" si="11"/>
        <v>36</v>
      </c>
      <c r="K65" s="3">
        <f t="shared" si="10"/>
        <v>0.5714285714285714</v>
      </c>
      <c r="L65" s="1"/>
      <c r="M65" s="1"/>
      <c r="N65" s="6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</row>
    <row r="66" spans="1:40" x14ac:dyDescent="0.25">
      <c r="A66">
        <v>115</v>
      </c>
      <c r="B66">
        <v>1</v>
      </c>
      <c r="C66" t="s">
        <v>57</v>
      </c>
      <c r="D66">
        <v>0</v>
      </c>
      <c r="E66" s="2" t="s">
        <v>58</v>
      </c>
      <c r="F66" s="2">
        <v>5</v>
      </c>
      <c r="G66" s="1">
        <v>120</v>
      </c>
      <c r="H66" s="1">
        <v>105</v>
      </c>
      <c r="I66" s="1">
        <v>1</v>
      </c>
      <c r="J66" s="1">
        <f t="shared" si="11"/>
        <v>105.5</v>
      </c>
      <c r="K66" s="3">
        <f t="shared" si="10"/>
        <v>0.87916666666666665</v>
      </c>
      <c r="L66" s="1"/>
      <c r="M66" s="1"/>
      <c r="N66" s="6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</row>
    <row r="67" spans="1:40" x14ac:dyDescent="0.25">
      <c r="A67">
        <v>116</v>
      </c>
      <c r="B67">
        <v>1</v>
      </c>
      <c r="C67" t="s">
        <v>127</v>
      </c>
      <c r="D67">
        <v>0</v>
      </c>
      <c r="E67" s="2" t="s">
        <v>58</v>
      </c>
      <c r="F67" s="2">
        <v>5</v>
      </c>
      <c r="G67" s="1">
        <v>74</v>
      </c>
      <c r="H67" s="1">
        <v>26</v>
      </c>
      <c r="I67" s="1">
        <v>16</v>
      </c>
      <c r="J67" s="1">
        <f t="shared" si="11"/>
        <v>34</v>
      </c>
      <c r="K67" s="3">
        <f t="shared" si="10"/>
        <v>0.45945945945945948</v>
      </c>
      <c r="L67" s="1"/>
      <c r="M67" s="1"/>
      <c r="N67" s="6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</row>
    <row r="68" spans="1:40" x14ac:dyDescent="0.25">
      <c r="A68">
        <v>118</v>
      </c>
      <c r="B68">
        <v>1</v>
      </c>
      <c r="C68" t="s">
        <v>62</v>
      </c>
      <c r="D68">
        <v>0</v>
      </c>
      <c r="E68" s="2" t="s">
        <v>58</v>
      </c>
      <c r="F68" s="2">
        <v>5</v>
      </c>
      <c r="G68" s="1">
        <v>25</v>
      </c>
      <c r="H68" s="1">
        <v>19</v>
      </c>
      <c r="I68" s="1">
        <v>2</v>
      </c>
      <c r="J68" s="1">
        <f t="shared" si="11"/>
        <v>20</v>
      </c>
      <c r="K68" s="3">
        <f t="shared" si="10"/>
        <v>0.8</v>
      </c>
      <c r="L68" s="1"/>
      <c r="M68" s="1"/>
      <c r="N68" s="6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</row>
    <row r="69" spans="1:40" x14ac:dyDescent="0.25">
      <c r="A69">
        <v>129</v>
      </c>
      <c r="B69">
        <v>1</v>
      </c>
      <c r="C69" t="s">
        <v>161</v>
      </c>
      <c r="D69">
        <v>0</v>
      </c>
      <c r="E69" s="2" t="s">
        <v>100</v>
      </c>
      <c r="F69" s="2">
        <v>6.2</v>
      </c>
      <c r="G69" s="1">
        <v>103</v>
      </c>
      <c r="H69" s="1">
        <v>38</v>
      </c>
      <c r="I69" s="1">
        <v>17</v>
      </c>
      <c r="J69" s="1">
        <f t="shared" si="11"/>
        <v>46.5</v>
      </c>
      <c r="K69" s="3">
        <f t="shared" si="10"/>
        <v>0.45145631067961167</v>
      </c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</row>
    <row r="70" spans="1:40" x14ac:dyDescent="0.25">
      <c r="A70">
        <v>138</v>
      </c>
      <c r="B70">
        <v>1</v>
      </c>
      <c r="C70" t="s">
        <v>296</v>
      </c>
      <c r="D70">
        <v>0</v>
      </c>
      <c r="E70" s="2" t="s">
        <v>80</v>
      </c>
      <c r="F70" s="2">
        <v>7.1</v>
      </c>
      <c r="G70" s="1">
        <v>208</v>
      </c>
      <c r="H70" s="1">
        <v>50</v>
      </c>
      <c r="I70" s="1">
        <v>16</v>
      </c>
      <c r="J70" s="1">
        <f t="shared" si="11"/>
        <v>58</v>
      </c>
      <c r="K70" s="3">
        <f t="shared" si="10"/>
        <v>0.27884615384615385</v>
      </c>
      <c r="L70" s="1"/>
      <c r="M70" s="1"/>
      <c r="N70" s="6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</row>
    <row r="71" spans="1:40" x14ac:dyDescent="0.25">
      <c r="A71">
        <v>139</v>
      </c>
      <c r="B71">
        <v>1</v>
      </c>
      <c r="C71" t="s">
        <v>204</v>
      </c>
      <c r="D71">
        <v>0</v>
      </c>
      <c r="E71" s="2" t="s">
        <v>80</v>
      </c>
      <c r="F71" s="2">
        <v>7.1</v>
      </c>
      <c r="G71" s="1">
        <v>64</v>
      </c>
      <c r="H71" s="1">
        <v>28</v>
      </c>
      <c r="I71" s="1">
        <v>2</v>
      </c>
      <c r="J71" s="1">
        <f t="shared" si="11"/>
        <v>29</v>
      </c>
      <c r="K71" s="3">
        <f t="shared" si="10"/>
        <v>0.453125</v>
      </c>
      <c r="L71" s="1"/>
      <c r="M71" s="1"/>
      <c r="N71" s="7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</row>
    <row r="72" spans="1:40" x14ac:dyDescent="0.25">
      <c r="A72">
        <v>146</v>
      </c>
      <c r="B72">
        <v>1</v>
      </c>
      <c r="C72" t="s">
        <v>326</v>
      </c>
      <c r="D72">
        <v>0</v>
      </c>
      <c r="E72" s="2" t="s">
        <v>53</v>
      </c>
      <c r="F72" s="2">
        <v>4</v>
      </c>
      <c r="G72" s="1">
        <v>64</v>
      </c>
      <c r="H72" s="1">
        <v>14</v>
      </c>
      <c r="I72" s="1">
        <v>3</v>
      </c>
      <c r="J72" s="1">
        <f t="shared" si="11"/>
        <v>15.5</v>
      </c>
      <c r="K72" s="3">
        <f t="shared" si="10"/>
        <v>0.2421875</v>
      </c>
      <c r="L72" s="1"/>
      <c r="M72" s="1"/>
      <c r="N72" s="6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</row>
    <row r="73" spans="1:40" x14ac:dyDescent="0.25">
      <c r="A73">
        <v>150</v>
      </c>
      <c r="B73">
        <v>1</v>
      </c>
      <c r="C73" t="s">
        <v>330</v>
      </c>
      <c r="D73">
        <v>0</v>
      </c>
      <c r="E73" s="2" t="s">
        <v>53</v>
      </c>
      <c r="F73" s="2">
        <v>4</v>
      </c>
      <c r="G73" s="1">
        <v>80</v>
      </c>
      <c r="H73" s="1">
        <v>13</v>
      </c>
      <c r="I73" s="1">
        <v>7</v>
      </c>
      <c r="J73" s="1">
        <f t="shared" si="11"/>
        <v>16.5</v>
      </c>
      <c r="K73" s="3">
        <f t="shared" si="10"/>
        <v>0.20624999999999999</v>
      </c>
      <c r="L73" s="1"/>
      <c r="M73" s="1"/>
      <c r="N73" s="6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</row>
    <row r="74" spans="1:40" x14ac:dyDescent="0.25">
      <c r="A74">
        <v>152</v>
      </c>
      <c r="B74">
        <v>1</v>
      </c>
      <c r="C74" t="s">
        <v>269</v>
      </c>
      <c r="D74">
        <v>0</v>
      </c>
      <c r="E74" s="2" t="s">
        <v>53</v>
      </c>
      <c r="F74" s="2">
        <v>4</v>
      </c>
      <c r="G74" s="1">
        <v>483</v>
      </c>
      <c r="H74" s="1">
        <v>156</v>
      </c>
      <c r="I74" s="1">
        <v>43</v>
      </c>
      <c r="J74" s="1">
        <f t="shared" si="11"/>
        <v>177.5</v>
      </c>
      <c r="K74" s="3">
        <f t="shared" si="10"/>
        <v>0.36749482401656314</v>
      </c>
      <c r="L74" s="1"/>
      <c r="M74" s="1"/>
      <c r="N74" s="6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</row>
    <row r="75" spans="1:40" x14ac:dyDescent="0.25">
      <c r="A75">
        <v>162</v>
      </c>
      <c r="B75">
        <v>1</v>
      </c>
      <c r="C75" t="s">
        <v>119</v>
      </c>
      <c r="D75">
        <v>0</v>
      </c>
      <c r="E75" s="2" t="s">
        <v>61</v>
      </c>
      <c r="F75" s="2">
        <v>2</v>
      </c>
      <c r="G75" s="1">
        <v>100</v>
      </c>
      <c r="H75" s="1">
        <v>53</v>
      </c>
      <c r="I75" s="1">
        <v>9</v>
      </c>
      <c r="J75" s="1">
        <f t="shared" si="11"/>
        <v>57.5</v>
      </c>
      <c r="K75" s="3">
        <f t="shared" si="10"/>
        <v>0.57499999999999996</v>
      </c>
      <c r="L75" s="1"/>
      <c r="M75" s="1"/>
      <c r="N75" s="6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</row>
    <row r="76" spans="1:40" x14ac:dyDescent="0.25">
      <c r="A76">
        <v>166</v>
      </c>
      <c r="B76">
        <v>1</v>
      </c>
      <c r="C76" t="s">
        <v>263</v>
      </c>
      <c r="D76">
        <v>0</v>
      </c>
      <c r="E76" s="2" t="s">
        <v>75</v>
      </c>
      <c r="F76" s="2">
        <v>3</v>
      </c>
      <c r="G76" s="1">
        <v>23</v>
      </c>
      <c r="H76" s="1">
        <v>7</v>
      </c>
      <c r="I76" s="1">
        <v>3</v>
      </c>
      <c r="J76" s="1">
        <f t="shared" si="11"/>
        <v>8.5</v>
      </c>
      <c r="K76" s="3">
        <f t="shared" si="10"/>
        <v>0.36956521739130432</v>
      </c>
      <c r="L76" s="1"/>
      <c r="M76" s="1"/>
      <c r="N76" s="6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</row>
    <row r="77" spans="1:40" x14ac:dyDescent="0.25">
      <c r="A77">
        <v>173</v>
      </c>
      <c r="B77">
        <v>1</v>
      </c>
      <c r="C77" t="s">
        <v>112</v>
      </c>
      <c r="D77">
        <v>0</v>
      </c>
      <c r="E77" s="2" t="s">
        <v>56</v>
      </c>
      <c r="F77" s="2">
        <v>8</v>
      </c>
      <c r="G77" s="1">
        <v>36</v>
      </c>
      <c r="H77" s="1">
        <v>19</v>
      </c>
      <c r="I77" s="1">
        <v>5</v>
      </c>
      <c r="J77" s="1">
        <f t="shared" si="11"/>
        <v>21.5</v>
      </c>
      <c r="K77" s="3">
        <f t="shared" si="10"/>
        <v>0.59722222222222221</v>
      </c>
      <c r="L77" s="1"/>
      <c r="M77" s="1"/>
      <c r="N77" s="6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</row>
    <row r="78" spans="1:40" x14ac:dyDescent="0.25">
      <c r="A78">
        <v>177</v>
      </c>
      <c r="B78">
        <v>1</v>
      </c>
      <c r="C78" t="s">
        <v>226</v>
      </c>
      <c r="D78">
        <v>0</v>
      </c>
      <c r="E78" s="2" t="s">
        <v>56</v>
      </c>
      <c r="F78" s="2">
        <v>8</v>
      </c>
      <c r="G78" s="1">
        <v>83</v>
      </c>
      <c r="H78" s="1">
        <v>28</v>
      </c>
      <c r="I78" s="1">
        <v>9</v>
      </c>
      <c r="J78" s="1">
        <f t="shared" si="11"/>
        <v>32.5</v>
      </c>
      <c r="K78" s="3">
        <f t="shared" si="10"/>
        <v>0.39156626506024095</v>
      </c>
      <c r="L78" s="1"/>
      <c r="M78" s="1"/>
      <c r="N78" s="6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</row>
    <row r="79" spans="1:40" x14ac:dyDescent="0.25">
      <c r="A79">
        <v>181</v>
      </c>
      <c r="B79">
        <v>1</v>
      </c>
      <c r="C79" t="s">
        <v>153</v>
      </c>
      <c r="D79">
        <v>0</v>
      </c>
      <c r="E79" s="2" t="s">
        <v>58</v>
      </c>
      <c r="F79" s="2">
        <v>5</v>
      </c>
      <c r="G79" s="1">
        <v>467</v>
      </c>
      <c r="H79" s="1">
        <v>180</v>
      </c>
      <c r="I79" s="1">
        <v>50</v>
      </c>
      <c r="J79" s="1">
        <f t="shared" si="11"/>
        <v>205</v>
      </c>
      <c r="K79" s="3">
        <f t="shared" si="10"/>
        <v>0.43897216274089934</v>
      </c>
      <c r="L79" s="1"/>
      <c r="M79" s="1"/>
      <c r="N79" s="6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</row>
    <row r="80" spans="1:40" x14ac:dyDescent="0.25">
      <c r="A80">
        <v>182</v>
      </c>
      <c r="B80">
        <v>1</v>
      </c>
      <c r="C80" t="s">
        <v>77</v>
      </c>
      <c r="D80">
        <v>0</v>
      </c>
      <c r="E80" s="2" t="s">
        <v>58</v>
      </c>
      <c r="F80" s="2">
        <v>5</v>
      </c>
      <c r="G80" s="1">
        <v>96</v>
      </c>
      <c r="H80" s="1">
        <v>57</v>
      </c>
      <c r="I80" s="1">
        <v>11</v>
      </c>
      <c r="J80" s="1">
        <f t="shared" si="11"/>
        <v>62.5</v>
      </c>
      <c r="K80" s="3">
        <f t="shared" si="10"/>
        <v>0.65104166666666663</v>
      </c>
      <c r="L80" s="1"/>
      <c r="M80" s="1"/>
      <c r="N80" s="6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</row>
    <row r="81" spans="1:40" x14ac:dyDescent="0.25">
      <c r="A81">
        <v>186</v>
      </c>
      <c r="B81">
        <v>1</v>
      </c>
      <c r="C81" t="s">
        <v>297</v>
      </c>
      <c r="D81">
        <v>0</v>
      </c>
      <c r="E81" s="2" t="s">
        <v>58</v>
      </c>
      <c r="F81" s="2">
        <v>5</v>
      </c>
      <c r="G81" s="1">
        <v>111</v>
      </c>
      <c r="H81" s="1">
        <v>20</v>
      </c>
      <c r="I81" s="1">
        <v>12</v>
      </c>
      <c r="J81" s="1">
        <f t="shared" si="11"/>
        <v>26</v>
      </c>
      <c r="K81" s="3">
        <f t="shared" si="10"/>
        <v>0.23423423423423423</v>
      </c>
      <c r="L81" s="1"/>
      <c r="M81" s="1"/>
      <c r="N81" s="6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</row>
    <row r="82" spans="1:40" x14ac:dyDescent="0.25">
      <c r="A82">
        <v>191</v>
      </c>
      <c r="B82">
        <v>1</v>
      </c>
      <c r="C82" t="s">
        <v>11</v>
      </c>
      <c r="D82">
        <v>1</v>
      </c>
      <c r="E82" s="2" t="s">
        <v>4</v>
      </c>
      <c r="F82" s="2">
        <v>11</v>
      </c>
      <c r="G82" s="1">
        <v>860</v>
      </c>
      <c r="H82" s="1">
        <v>359</v>
      </c>
      <c r="I82" s="1">
        <v>66</v>
      </c>
      <c r="J82" s="1">
        <f t="shared" si="11"/>
        <v>392</v>
      </c>
      <c r="K82" s="3">
        <f t="shared" si="10"/>
        <v>0.45581395348837211</v>
      </c>
      <c r="L82" s="1"/>
      <c r="M82" s="1"/>
      <c r="N82" s="6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</row>
    <row r="83" spans="1:40" x14ac:dyDescent="0.25">
      <c r="A83">
        <v>192</v>
      </c>
      <c r="B83">
        <v>1</v>
      </c>
      <c r="C83" t="s">
        <v>44</v>
      </c>
      <c r="D83">
        <v>1</v>
      </c>
      <c r="E83" s="2" t="s">
        <v>4</v>
      </c>
      <c r="F83" s="2">
        <v>11</v>
      </c>
      <c r="G83" s="1">
        <v>582</v>
      </c>
      <c r="H83" s="1">
        <v>63</v>
      </c>
      <c r="I83" s="1">
        <v>27</v>
      </c>
      <c r="J83" s="1">
        <f t="shared" si="11"/>
        <v>76.5</v>
      </c>
      <c r="K83" s="3">
        <f t="shared" si="10"/>
        <v>0.13144329896907217</v>
      </c>
      <c r="L83" s="1"/>
      <c r="M83" s="1"/>
      <c r="N83" s="6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</row>
    <row r="84" spans="1:40" x14ac:dyDescent="0.25">
      <c r="A84">
        <v>194</v>
      </c>
      <c r="B84">
        <v>1</v>
      </c>
      <c r="C84" t="s">
        <v>43</v>
      </c>
      <c r="D84">
        <v>1</v>
      </c>
      <c r="E84" s="2" t="s">
        <v>4</v>
      </c>
      <c r="F84" s="2">
        <v>11</v>
      </c>
      <c r="G84" s="1">
        <v>612</v>
      </c>
      <c r="H84" s="1">
        <v>76</v>
      </c>
      <c r="I84" s="1">
        <v>17</v>
      </c>
      <c r="J84" s="1">
        <f t="shared" si="11"/>
        <v>84.5</v>
      </c>
      <c r="K84" s="3">
        <f t="shared" si="10"/>
        <v>0.13807189542483661</v>
      </c>
      <c r="L84" s="1"/>
      <c r="M84" s="1"/>
      <c r="N84" s="6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</row>
    <row r="85" spans="1:40" x14ac:dyDescent="0.25">
      <c r="A85">
        <v>195</v>
      </c>
      <c r="B85">
        <v>1</v>
      </c>
      <c r="C85" t="s">
        <v>42</v>
      </c>
      <c r="D85">
        <v>1</v>
      </c>
      <c r="E85" s="2" t="s">
        <v>4</v>
      </c>
      <c r="F85" s="2">
        <v>11</v>
      </c>
      <c r="G85" s="1">
        <v>49</v>
      </c>
      <c r="H85" s="1">
        <v>5</v>
      </c>
      <c r="I85" s="1">
        <v>3</v>
      </c>
      <c r="J85" s="1">
        <f t="shared" si="11"/>
        <v>6.5</v>
      </c>
      <c r="K85" s="3">
        <f t="shared" si="10"/>
        <v>0.1326530612244898</v>
      </c>
      <c r="L85" s="1"/>
      <c r="M85" s="1"/>
      <c r="N85" s="6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</row>
    <row r="86" spans="1:40" x14ac:dyDescent="0.25">
      <c r="A86">
        <v>196</v>
      </c>
      <c r="B86">
        <v>1</v>
      </c>
      <c r="C86" t="s">
        <v>31</v>
      </c>
      <c r="D86">
        <v>1</v>
      </c>
      <c r="E86" s="2" t="s">
        <v>4</v>
      </c>
      <c r="F86" s="2">
        <v>11</v>
      </c>
      <c r="G86" s="1">
        <v>1918</v>
      </c>
      <c r="H86" s="1">
        <v>415</v>
      </c>
      <c r="I86" s="1">
        <v>74</v>
      </c>
      <c r="J86" s="1">
        <f t="shared" si="11"/>
        <v>452</v>
      </c>
      <c r="K86" s="3">
        <f t="shared" si="10"/>
        <v>0.23566214807090718</v>
      </c>
      <c r="L86" s="1"/>
      <c r="M86" s="1"/>
      <c r="N86" s="6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</row>
    <row r="87" spans="1:40" x14ac:dyDescent="0.25">
      <c r="A87">
        <v>197</v>
      </c>
      <c r="B87">
        <v>1</v>
      </c>
      <c r="C87" t="s">
        <v>19</v>
      </c>
      <c r="D87">
        <v>1</v>
      </c>
      <c r="E87" s="2" t="s">
        <v>4</v>
      </c>
      <c r="F87" s="2">
        <v>11</v>
      </c>
      <c r="G87" s="1">
        <v>380</v>
      </c>
      <c r="H87" s="1">
        <v>120</v>
      </c>
      <c r="I87" s="1">
        <v>24</v>
      </c>
      <c r="J87" s="1">
        <f t="shared" si="11"/>
        <v>132</v>
      </c>
      <c r="K87" s="3">
        <f t="shared" si="10"/>
        <v>0.3473684210526316</v>
      </c>
      <c r="L87" s="1"/>
      <c r="M87" s="1"/>
      <c r="N87" s="6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</row>
    <row r="88" spans="1:40" x14ac:dyDescent="0.25">
      <c r="A88">
        <v>199</v>
      </c>
      <c r="B88">
        <v>1</v>
      </c>
      <c r="C88" t="s">
        <v>15</v>
      </c>
      <c r="D88">
        <v>1</v>
      </c>
      <c r="E88" s="2" t="s">
        <v>4</v>
      </c>
      <c r="F88" s="2">
        <v>11</v>
      </c>
      <c r="G88" s="1">
        <v>287</v>
      </c>
      <c r="H88" s="1">
        <v>113</v>
      </c>
      <c r="I88" s="1">
        <v>17</v>
      </c>
      <c r="J88" s="1">
        <f t="shared" si="11"/>
        <v>121.5</v>
      </c>
      <c r="K88" s="3">
        <f t="shared" si="10"/>
        <v>0.42334494773519166</v>
      </c>
      <c r="L88" s="1"/>
      <c r="M88" s="1"/>
      <c r="N88" s="6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</row>
    <row r="89" spans="1:40" x14ac:dyDescent="0.25">
      <c r="A89">
        <v>200</v>
      </c>
      <c r="B89">
        <v>1</v>
      </c>
      <c r="C89" t="s">
        <v>29</v>
      </c>
      <c r="D89">
        <v>1</v>
      </c>
      <c r="E89" s="2" t="s">
        <v>4</v>
      </c>
      <c r="F89" s="2">
        <v>11</v>
      </c>
      <c r="G89" s="1">
        <v>311</v>
      </c>
      <c r="H89" s="1">
        <v>61</v>
      </c>
      <c r="I89" s="1">
        <v>22</v>
      </c>
      <c r="J89" s="1">
        <f t="shared" si="11"/>
        <v>72</v>
      </c>
      <c r="K89" s="3">
        <f t="shared" si="10"/>
        <v>0.23151125401929259</v>
      </c>
      <c r="L89" s="1"/>
      <c r="M89" s="1"/>
      <c r="N89" s="6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</row>
    <row r="90" spans="1:40" x14ac:dyDescent="0.25">
      <c r="A90">
        <v>203</v>
      </c>
      <c r="B90">
        <v>1</v>
      </c>
      <c r="C90" t="s">
        <v>244</v>
      </c>
      <c r="D90">
        <v>0</v>
      </c>
      <c r="E90" s="2" t="s">
        <v>90</v>
      </c>
      <c r="F90" s="2">
        <v>10</v>
      </c>
      <c r="G90" s="1">
        <v>60</v>
      </c>
      <c r="H90" s="1">
        <v>20</v>
      </c>
      <c r="I90" s="1">
        <v>3</v>
      </c>
      <c r="J90" s="1">
        <f t="shared" si="11"/>
        <v>21.5</v>
      </c>
      <c r="K90" s="3">
        <f t="shared" si="10"/>
        <v>0.35833333333333334</v>
      </c>
      <c r="L90" s="1"/>
      <c r="M90" s="1"/>
      <c r="N90" s="6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</row>
    <row r="91" spans="1:40" x14ac:dyDescent="0.25">
      <c r="A91">
        <v>204</v>
      </c>
      <c r="B91">
        <v>1</v>
      </c>
      <c r="C91" t="s">
        <v>342</v>
      </c>
      <c r="D91">
        <v>0</v>
      </c>
      <c r="E91" s="2" t="s">
        <v>90</v>
      </c>
      <c r="F91" s="2">
        <v>10</v>
      </c>
      <c r="G91" s="1">
        <v>129</v>
      </c>
      <c r="H91" s="1">
        <v>13</v>
      </c>
      <c r="I91" s="1">
        <v>7</v>
      </c>
      <c r="J91" s="1">
        <f t="shared" si="11"/>
        <v>16.5</v>
      </c>
      <c r="K91" s="3">
        <f t="shared" si="10"/>
        <v>0.12790697674418605</v>
      </c>
      <c r="L91" s="1"/>
      <c r="M91" s="1"/>
      <c r="N91" s="6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</row>
    <row r="92" spans="1:40" x14ac:dyDescent="0.25">
      <c r="A92">
        <v>206</v>
      </c>
      <c r="B92">
        <v>1</v>
      </c>
      <c r="C92" t="s">
        <v>239</v>
      </c>
      <c r="D92">
        <v>0</v>
      </c>
      <c r="E92" s="2" t="s">
        <v>53</v>
      </c>
      <c r="F92" s="2">
        <v>4</v>
      </c>
      <c r="G92" s="1">
        <v>311</v>
      </c>
      <c r="H92" s="1">
        <v>83</v>
      </c>
      <c r="I92" s="1">
        <v>35</v>
      </c>
      <c r="J92" s="1">
        <f t="shared" si="11"/>
        <v>100.5</v>
      </c>
      <c r="K92" s="3">
        <f t="shared" ref="K92:K155" si="12">IF(G92=0,0,J92/G92)</f>
        <v>0.32315112540192925</v>
      </c>
      <c r="L92" s="1"/>
      <c r="M92" s="1"/>
      <c r="N92" s="6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</row>
    <row r="93" spans="1:40" x14ac:dyDescent="0.25">
      <c r="A93">
        <v>207</v>
      </c>
      <c r="B93">
        <v>1</v>
      </c>
      <c r="C93" t="s">
        <v>275</v>
      </c>
      <c r="D93">
        <v>0</v>
      </c>
      <c r="E93" s="2" t="s">
        <v>53</v>
      </c>
      <c r="F93" s="2">
        <v>4</v>
      </c>
      <c r="G93" s="1">
        <v>24</v>
      </c>
      <c r="H93" s="1">
        <v>5</v>
      </c>
      <c r="I93" s="1">
        <v>4</v>
      </c>
      <c r="J93" s="1">
        <f t="shared" ref="J93:J156" si="13">H93+I93*0.5</f>
        <v>7</v>
      </c>
      <c r="K93" s="3">
        <f t="shared" si="12"/>
        <v>0.29166666666666669</v>
      </c>
      <c r="L93" s="1"/>
      <c r="M93" s="1"/>
      <c r="N93" s="6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</row>
    <row r="94" spans="1:40" x14ac:dyDescent="0.25">
      <c r="A94">
        <v>208</v>
      </c>
      <c r="B94">
        <v>1</v>
      </c>
      <c r="C94" t="s">
        <v>270</v>
      </c>
      <c r="D94">
        <v>0</v>
      </c>
      <c r="E94" s="2" t="s">
        <v>53</v>
      </c>
      <c r="F94" s="2">
        <v>4</v>
      </c>
      <c r="G94" s="1">
        <v>12</v>
      </c>
      <c r="H94" s="1">
        <v>2</v>
      </c>
      <c r="I94" s="1">
        <v>4</v>
      </c>
      <c r="J94" s="1">
        <f t="shared" si="13"/>
        <v>4</v>
      </c>
      <c r="K94" s="3">
        <f t="shared" si="12"/>
        <v>0.33333333333333331</v>
      </c>
      <c r="L94" s="1"/>
      <c r="M94" s="1"/>
      <c r="N94" s="6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</row>
    <row r="95" spans="1:40" x14ac:dyDescent="0.25">
      <c r="A95">
        <v>213</v>
      </c>
      <c r="B95">
        <v>1</v>
      </c>
      <c r="C95" t="s">
        <v>279</v>
      </c>
      <c r="D95">
        <v>0</v>
      </c>
      <c r="E95" s="2" t="s">
        <v>53</v>
      </c>
      <c r="F95" s="2">
        <v>4</v>
      </c>
      <c r="G95" s="1">
        <v>67</v>
      </c>
      <c r="H95" s="1">
        <v>17</v>
      </c>
      <c r="I95" s="1">
        <v>7</v>
      </c>
      <c r="J95" s="1">
        <f t="shared" si="13"/>
        <v>20.5</v>
      </c>
      <c r="K95" s="3">
        <f t="shared" si="12"/>
        <v>0.30597014925373134</v>
      </c>
      <c r="L95" s="1"/>
      <c r="M95" s="1"/>
      <c r="N95" s="6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</row>
    <row r="96" spans="1:40" x14ac:dyDescent="0.25">
      <c r="A96">
        <v>227</v>
      </c>
      <c r="B96">
        <v>1</v>
      </c>
      <c r="C96" t="s">
        <v>310</v>
      </c>
      <c r="D96">
        <v>0</v>
      </c>
      <c r="E96" s="2" t="s">
        <v>90</v>
      </c>
      <c r="F96" s="2">
        <v>10</v>
      </c>
      <c r="G96" s="1">
        <v>93</v>
      </c>
      <c r="H96" s="1">
        <v>19</v>
      </c>
      <c r="I96" s="1">
        <v>9</v>
      </c>
      <c r="J96" s="1">
        <f t="shared" si="13"/>
        <v>23.5</v>
      </c>
      <c r="K96" s="3">
        <f t="shared" si="12"/>
        <v>0.25268817204301075</v>
      </c>
      <c r="L96" s="1"/>
      <c r="M96" s="1"/>
      <c r="N96" s="6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</row>
    <row r="97" spans="1:40" x14ac:dyDescent="0.25">
      <c r="A97">
        <v>229</v>
      </c>
      <c r="B97">
        <v>1</v>
      </c>
      <c r="C97" t="s">
        <v>114</v>
      </c>
      <c r="D97">
        <v>0</v>
      </c>
      <c r="E97" s="2" t="s">
        <v>90</v>
      </c>
      <c r="F97" s="2">
        <v>10</v>
      </c>
      <c r="G97" s="1">
        <v>24</v>
      </c>
      <c r="H97" s="1">
        <v>9</v>
      </c>
      <c r="I97" s="1">
        <v>6</v>
      </c>
      <c r="J97" s="1">
        <f t="shared" si="13"/>
        <v>12</v>
      </c>
      <c r="K97" s="3">
        <f t="shared" si="12"/>
        <v>0.5</v>
      </c>
      <c r="L97" s="1"/>
      <c r="M97" s="1"/>
      <c r="N97" s="6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</row>
    <row r="98" spans="1:40" x14ac:dyDescent="0.25">
      <c r="A98">
        <v>238</v>
      </c>
      <c r="B98">
        <v>1</v>
      </c>
      <c r="C98" t="s">
        <v>271</v>
      </c>
      <c r="D98">
        <v>0</v>
      </c>
      <c r="E98" s="2" t="s">
        <v>90</v>
      </c>
      <c r="F98" s="2">
        <v>10</v>
      </c>
      <c r="G98" s="1">
        <v>29</v>
      </c>
      <c r="H98" s="1">
        <v>9</v>
      </c>
      <c r="I98" s="1">
        <v>3</v>
      </c>
      <c r="J98" s="1">
        <f t="shared" si="13"/>
        <v>10.5</v>
      </c>
      <c r="K98" s="3">
        <f t="shared" si="12"/>
        <v>0.36206896551724138</v>
      </c>
      <c r="L98" s="1"/>
      <c r="M98" s="1"/>
      <c r="N98" s="6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</row>
    <row r="99" spans="1:40" x14ac:dyDescent="0.25">
      <c r="A99">
        <v>239</v>
      </c>
      <c r="B99">
        <v>1</v>
      </c>
      <c r="C99" t="s">
        <v>165</v>
      </c>
      <c r="D99">
        <v>0</v>
      </c>
      <c r="E99" s="2" t="s">
        <v>90</v>
      </c>
      <c r="F99" s="2">
        <v>10</v>
      </c>
      <c r="G99" s="1">
        <v>47</v>
      </c>
      <c r="H99" s="1">
        <v>16</v>
      </c>
      <c r="I99" s="1">
        <v>7</v>
      </c>
      <c r="J99" s="1">
        <f t="shared" si="13"/>
        <v>19.5</v>
      </c>
      <c r="K99" s="3">
        <f t="shared" si="12"/>
        <v>0.41489361702127658</v>
      </c>
      <c r="L99" s="1"/>
      <c r="M99" s="1"/>
      <c r="N99" s="6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</row>
    <row r="100" spans="1:40" x14ac:dyDescent="0.25">
      <c r="A100">
        <v>241</v>
      </c>
      <c r="B100">
        <v>1</v>
      </c>
      <c r="C100" t="s">
        <v>136</v>
      </c>
      <c r="D100">
        <v>0</v>
      </c>
      <c r="E100" s="2" t="s">
        <v>90</v>
      </c>
      <c r="F100" s="2">
        <v>10</v>
      </c>
      <c r="G100" s="1">
        <v>256</v>
      </c>
      <c r="H100" s="1">
        <v>132</v>
      </c>
      <c r="I100" s="1">
        <v>21</v>
      </c>
      <c r="J100" s="1">
        <f t="shared" si="13"/>
        <v>142.5</v>
      </c>
      <c r="K100" s="3">
        <f t="shared" si="12"/>
        <v>0.556640625</v>
      </c>
      <c r="L100" s="1"/>
      <c r="M100" s="1"/>
      <c r="N100" s="6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</row>
    <row r="101" spans="1:40" x14ac:dyDescent="0.25">
      <c r="A101">
        <v>242</v>
      </c>
      <c r="B101">
        <v>1</v>
      </c>
      <c r="C101" t="s">
        <v>196</v>
      </c>
      <c r="D101">
        <v>0</v>
      </c>
      <c r="E101" s="2" t="s">
        <v>90</v>
      </c>
      <c r="F101" s="2">
        <v>10</v>
      </c>
      <c r="G101" s="1">
        <v>36</v>
      </c>
      <c r="H101" s="1">
        <v>15</v>
      </c>
      <c r="I101" s="1">
        <v>3</v>
      </c>
      <c r="J101" s="1">
        <f t="shared" si="13"/>
        <v>16.5</v>
      </c>
      <c r="K101" s="3">
        <f t="shared" si="12"/>
        <v>0.45833333333333331</v>
      </c>
      <c r="L101" s="1"/>
      <c r="M101" s="1"/>
      <c r="N101" s="6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</row>
    <row r="102" spans="1:40" x14ac:dyDescent="0.25">
      <c r="A102">
        <v>252</v>
      </c>
      <c r="B102">
        <v>1</v>
      </c>
      <c r="C102" t="s">
        <v>322</v>
      </c>
      <c r="D102">
        <v>0</v>
      </c>
      <c r="E102" s="2" t="s">
        <v>90</v>
      </c>
      <c r="F102" s="2">
        <v>10</v>
      </c>
      <c r="G102" s="1">
        <v>80</v>
      </c>
      <c r="H102" s="1">
        <v>17</v>
      </c>
      <c r="I102" s="1">
        <v>5</v>
      </c>
      <c r="J102" s="1">
        <f t="shared" si="13"/>
        <v>19.5</v>
      </c>
      <c r="K102" s="3">
        <f t="shared" si="12"/>
        <v>0.24374999999999999</v>
      </c>
      <c r="L102" s="1"/>
      <c r="M102" s="1"/>
      <c r="N102" s="6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</row>
    <row r="103" spans="1:40" x14ac:dyDescent="0.25">
      <c r="A103">
        <v>253</v>
      </c>
      <c r="B103">
        <v>1</v>
      </c>
      <c r="C103" t="s">
        <v>321</v>
      </c>
      <c r="D103">
        <v>0</v>
      </c>
      <c r="E103" s="2" t="s">
        <v>90</v>
      </c>
      <c r="F103" s="2">
        <v>10</v>
      </c>
      <c r="G103" s="1">
        <v>55</v>
      </c>
      <c r="H103" s="1">
        <v>13</v>
      </c>
      <c r="I103" s="1">
        <v>3</v>
      </c>
      <c r="J103" s="1">
        <f t="shared" si="13"/>
        <v>14.5</v>
      </c>
      <c r="K103" s="3">
        <f t="shared" si="12"/>
        <v>0.26363636363636361</v>
      </c>
      <c r="L103" s="1"/>
      <c r="M103" s="1"/>
      <c r="N103" s="6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</row>
    <row r="104" spans="1:40" x14ac:dyDescent="0.25">
      <c r="A104">
        <v>255</v>
      </c>
      <c r="B104">
        <v>1</v>
      </c>
      <c r="C104" t="s">
        <v>323</v>
      </c>
      <c r="D104">
        <v>0</v>
      </c>
      <c r="E104" s="2" t="s">
        <v>90</v>
      </c>
      <c r="F104" s="2">
        <v>10</v>
      </c>
      <c r="G104" s="1">
        <v>84</v>
      </c>
      <c r="H104" s="1">
        <v>11</v>
      </c>
      <c r="I104" s="1">
        <v>5</v>
      </c>
      <c r="J104" s="1">
        <f t="shared" si="13"/>
        <v>13.5</v>
      </c>
      <c r="K104" s="3">
        <f t="shared" si="12"/>
        <v>0.16071428571428573</v>
      </c>
      <c r="L104" s="1"/>
      <c r="M104" s="1"/>
      <c r="N104" s="6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</row>
    <row r="105" spans="1:40" x14ac:dyDescent="0.25">
      <c r="A105">
        <v>256</v>
      </c>
      <c r="B105">
        <v>1</v>
      </c>
      <c r="C105" t="s">
        <v>223</v>
      </c>
      <c r="D105">
        <v>0</v>
      </c>
      <c r="E105" s="2" t="s">
        <v>90</v>
      </c>
      <c r="F105" s="2">
        <v>10</v>
      </c>
      <c r="G105" s="1">
        <v>191</v>
      </c>
      <c r="H105" s="1">
        <v>72</v>
      </c>
      <c r="I105" s="1">
        <v>15</v>
      </c>
      <c r="J105" s="1">
        <f t="shared" si="13"/>
        <v>79.5</v>
      </c>
      <c r="K105" s="3">
        <f t="shared" si="12"/>
        <v>0.41623036649214662</v>
      </c>
      <c r="L105" s="1"/>
      <c r="M105" s="1"/>
      <c r="N105" s="6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</row>
    <row r="106" spans="1:40" x14ac:dyDescent="0.25">
      <c r="A106">
        <v>261</v>
      </c>
      <c r="B106">
        <v>1</v>
      </c>
      <c r="C106" t="s">
        <v>242</v>
      </c>
      <c r="D106">
        <v>0</v>
      </c>
      <c r="E106" s="2" t="s">
        <v>53</v>
      </c>
      <c r="F106" s="2">
        <v>4</v>
      </c>
      <c r="G106" s="1">
        <v>17</v>
      </c>
      <c r="H106" s="1">
        <v>5</v>
      </c>
      <c r="I106" s="1">
        <v>2</v>
      </c>
      <c r="J106" s="1">
        <f t="shared" si="13"/>
        <v>6</v>
      </c>
      <c r="K106" s="3">
        <f t="shared" si="12"/>
        <v>0.35294117647058826</v>
      </c>
      <c r="L106" s="1"/>
      <c r="M106" s="1"/>
      <c r="N106" s="6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</row>
    <row r="107" spans="1:40" x14ac:dyDescent="0.25">
      <c r="A107">
        <v>264</v>
      </c>
      <c r="B107">
        <v>1</v>
      </c>
      <c r="C107" t="s">
        <v>245</v>
      </c>
      <c r="D107">
        <v>0</v>
      </c>
      <c r="E107" s="2" t="s">
        <v>53</v>
      </c>
      <c r="F107" s="2">
        <v>4</v>
      </c>
      <c r="G107" s="1">
        <v>9</v>
      </c>
      <c r="H107" s="1">
        <v>3</v>
      </c>
      <c r="I107" s="1">
        <v>1</v>
      </c>
      <c r="J107" s="1">
        <f t="shared" si="13"/>
        <v>3.5</v>
      </c>
      <c r="K107" s="3">
        <f t="shared" si="12"/>
        <v>0.3888888888888889</v>
      </c>
      <c r="L107" s="1"/>
      <c r="M107" s="1"/>
      <c r="N107" s="6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</row>
    <row r="108" spans="1:40" x14ac:dyDescent="0.25">
      <c r="A108">
        <v>270</v>
      </c>
      <c r="B108">
        <v>1</v>
      </c>
      <c r="C108" t="s">
        <v>18</v>
      </c>
      <c r="D108">
        <v>1</v>
      </c>
      <c r="E108" s="2" t="s">
        <v>4</v>
      </c>
      <c r="F108" s="2">
        <v>11</v>
      </c>
      <c r="G108" s="1">
        <v>490</v>
      </c>
      <c r="H108" s="1">
        <v>154</v>
      </c>
      <c r="I108" s="1">
        <v>31</v>
      </c>
      <c r="J108" s="1">
        <f t="shared" si="13"/>
        <v>169.5</v>
      </c>
      <c r="K108" s="3">
        <f t="shared" si="12"/>
        <v>0.34591836734693876</v>
      </c>
      <c r="L108" s="1"/>
      <c r="M108" s="1"/>
      <c r="N108" s="6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</row>
    <row r="109" spans="1:40" x14ac:dyDescent="0.25">
      <c r="A109">
        <v>271</v>
      </c>
      <c r="B109">
        <v>1</v>
      </c>
      <c r="C109" t="s">
        <v>16</v>
      </c>
      <c r="D109">
        <v>1</v>
      </c>
      <c r="E109" s="2" t="s">
        <v>4</v>
      </c>
      <c r="F109" s="2">
        <v>11</v>
      </c>
      <c r="G109" s="1">
        <v>781</v>
      </c>
      <c r="H109" s="1">
        <v>297</v>
      </c>
      <c r="I109" s="1">
        <v>60</v>
      </c>
      <c r="J109" s="1">
        <f t="shared" si="13"/>
        <v>327</v>
      </c>
      <c r="K109" s="3">
        <f t="shared" si="12"/>
        <v>0.41869398207426378</v>
      </c>
      <c r="L109" s="1"/>
      <c r="M109" s="1"/>
      <c r="N109" s="6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</row>
    <row r="110" spans="1:40" x14ac:dyDescent="0.25">
      <c r="A110">
        <v>272</v>
      </c>
      <c r="B110">
        <v>1</v>
      </c>
      <c r="C110" t="s">
        <v>30</v>
      </c>
      <c r="D110">
        <v>1</v>
      </c>
      <c r="E110" s="2" t="s">
        <v>4</v>
      </c>
      <c r="F110" s="2">
        <v>11</v>
      </c>
      <c r="G110" s="1">
        <v>671</v>
      </c>
      <c r="H110" s="1">
        <v>159</v>
      </c>
      <c r="I110" s="1">
        <v>21</v>
      </c>
      <c r="J110" s="1">
        <f t="shared" si="13"/>
        <v>169.5</v>
      </c>
      <c r="K110" s="3">
        <f t="shared" si="12"/>
        <v>0.25260804769001488</v>
      </c>
      <c r="L110" s="1"/>
      <c r="M110" s="1"/>
      <c r="N110" s="6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</row>
    <row r="111" spans="1:40" x14ac:dyDescent="0.25">
      <c r="A111">
        <v>273</v>
      </c>
      <c r="B111">
        <v>1</v>
      </c>
      <c r="C111" t="s">
        <v>51</v>
      </c>
      <c r="D111">
        <v>1</v>
      </c>
      <c r="E111" s="2" t="s">
        <v>4</v>
      </c>
      <c r="F111" s="2">
        <v>11</v>
      </c>
      <c r="G111" s="1">
        <v>562</v>
      </c>
      <c r="H111" s="1">
        <v>43</v>
      </c>
      <c r="I111" s="1">
        <v>10</v>
      </c>
      <c r="J111" s="1">
        <f t="shared" si="13"/>
        <v>48</v>
      </c>
      <c r="K111" s="3">
        <f t="shared" si="12"/>
        <v>8.5409252669039148E-2</v>
      </c>
      <c r="L111" s="1"/>
      <c r="M111" s="1"/>
      <c r="N111" s="6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</row>
    <row r="112" spans="1:40" x14ac:dyDescent="0.25">
      <c r="A112">
        <v>276</v>
      </c>
      <c r="B112">
        <v>1</v>
      </c>
      <c r="C112" t="s">
        <v>50</v>
      </c>
      <c r="D112">
        <v>1</v>
      </c>
      <c r="E112" s="2" t="s">
        <v>4</v>
      </c>
      <c r="F112" s="2">
        <v>11</v>
      </c>
      <c r="G112" s="1">
        <v>812</v>
      </c>
      <c r="H112" s="1">
        <v>57</v>
      </c>
      <c r="I112" s="1">
        <v>14</v>
      </c>
      <c r="J112" s="1">
        <f t="shared" si="13"/>
        <v>64</v>
      </c>
      <c r="K112" s="3">
        <f t="shared" si="12"/>
        <v>7.8817733990147784E-2</v>
      </c>
      <c r="L112" s="1"/>
      <c r="M112" s="1"/>
      <c r="N112" s="6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</row>
    <row r="113" spans="1:40" x14ac:dyDescent="0.25">
      <c r="A113">
        <v>277</v>
      </c>
      <c r="B113">
        <v>1</v>
      </c>
      <c r="C113" t="s">
        <v>33</v>
      </c>
      <c r="D113">
        <v>1</v>
      </c>
      <c r="E113" s="2" t="s">
        <v>4</v>
      </c>
      <c r="F113" s="2">
        <v>11</v>
      </c>
      <c r="G113" s="1">
        <v>171</v>
      </c>
      <c r="H113" s="1">
        <v>30</v>
      </c>
      <c r="I113" s="1">
        <v>6</v>
      </c>
      <c r="J113" s="1">
        <f t="shared" si="13"/>
        <v>33</v>
      </c>
      <c r="K113" s="3">
        <f t="shared" si="12"/>
        <v>0.19298245614035087</v>
      </c>
      <c r="L113" s="1"/>
      <c r="M113" s="1"/>
      <c r="N113" s="6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</row>
    <row r="114" spans="1:40" x14ac:dyDescent="0.25">
      <c r="A114">
        <v>278</v>
      </c>
      <c r="B114">
        <v>1</v>
      </c>
      <c r="C114" t="s">
        <v>46</v>
      </c>
      <c r="D114">
        <v>1</v>
      </c>
      <c r="E114" s="2" t="s">
        <v>4</v>
      </c>
      <c r="F114" s="2">
        <v>11</v>
      </c>
      <c r="G114" s="1">
        <v>168</v>
      </c>
      <c r="H114" s="1">
        <v>17</v>
      </c>
      <c r="I114" s="1">
        <v>6</v>
      </c>
      <c r="J114" s="1">
        <f t="shared" si="13"/>
        <v>20</v>
      </c>
      <c r="K114" s="3">
        <f t="shared" si="12"/>
        <v>0.11904761904761904</v>
      </c>
      <c r="L114" s="1"/>
      <c r="M114" s="1"/>
      <c r="N114" s="6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</row>
    <row r="115" spans="1:40" x14ac:dyDescent="0.25">
      <c r="A115">
        <v>279</v>
      </c>
      <c r="B115">
        <v>1</v>
      </c>
      <c r="C115" t="s">
        <v>17</v>
      </c>
      <c r="D115">
        <v>1</v>
      </c>
      <c r="E115" s="2" t="s">
        <v>4</v>
      </c>
      <c r="F115" s="2">
        <v>11</v>
      </c>
      <c r="G115" s="1">
        <v>1599</v>
      </c>
      <c r="H115" s="1">
        <v>554</v>
      </c>
      <c r="I115" s="1">
        <v>104</v>
      </c>
      <c r="J115" s="1">
        <f t="shared" si="13"/>
        <v>606</v>
      </c>
      <c r="K115" s="3">
        <f t="shared" si="12"/>
        <v>0.37898686679174481</v>
      </c>
      <c r="L115" s="1"/>
      <c r="M115" s="1"/>
      <c r="N115" s="6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</row>
    <row r="116" spans="1:40" x14ac:dyDescent="0.25">
      <c r="A116">
        <v>280</v>
      </c>
      <c r="B116">
        <v>1</v>
      </c>
      <c r="C116" t="s">
        <v>9</v>
      </c>
      <c r="D116">
        <v>1</v>
      </c>
      <c r="E116" s="2" t="s">
        <v>4</v>
      </c>
      <c r="F116" s="2">
        <v>11</v>
      </c>
      <c r="G116" s="1">
        <v>458</v>
      </c>
      <c r="H116" s="1">
        <v>247</v>
      </c>
      <c r="I116" s="1">
        <v>39</v>
      </c>
      <c r="J116" s="1">
        <f t="shared" si="13"/>
        <v>266.5</v>
      </c>
      <c r="K116" s="3">
        <f t="shared" si="12"/>
        <v>0.58187772925764192</v>
      </c>
      <c r="L116" s="1"/>
      <c r="M116" s="1"/>
      <c r="N116" s="6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</row>
    <row r="117" spans="1:40" x14ac:dyDescent="0.25">
      <c r="A117">
        <v>281</v>
      </c>
      <c r="B117">
        <v>1</v>
      </c>
      <c r="C117" t="s">
        <v>13</v>
      </c>
      <c r="D117">
        <v>1</v>
      </c>
      <c r="E117" s="2" t="s">
        <v>4</v>
      </c>
      <c r="F117" s="2">
        <v>11</v>
      </c>
      <c r="G117" s="1">
        <v>901</v>
      </c>
      <c r="H117" s="1">
        <v>378</v>
      </c>
      <c r="I117" s="1">
        <v>55</v>
      </c>
      <c r="J117" s="1">
        <f t="shared" si="13"/>
        <v>405.5</v>
      </c>
      <c r="K117" s="3">
        <f t="shared" si="12"/>
        <v>0.45005549389567145</v>
      </c>
      <c r="L117" s="1"/>
      <c r="M117" s="1"/>
      <c r="N117" s="6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</row>
    <row r="118" spans="1:40" x14ac:dyDescent="0.25">
      <c r="A118">
        <v>282</v>
      </c>
      <c r="B118">
        <v>1</v>
      </c>
      <c r="C118" t="s">
        <v>39</v>
      </c>
      <c r="D118">
        <v>1</v>
      </c>
      <c r="E118" s="2" t="s">
        <v>4</v>
      </c>
      <c r="F118" s="2">
        <v>11</v>
      </c>
      <c r="G118" s="1">
        <v>89</v>
      </c>
      <c r="H118" s="1">
        <v>15</v>
      </c>
      <c r="I118" s="1">
        <v>2</v>
      </c>
      <c r="J118" s="1">
        <f t="shared" si="13"/>
        <v>16</v>
      </c>
      <c r="K118" s="3">
        <f t="shared" si="12"/>
        <v>0.1797752808988764</v>
      </c>
      <c r="L118" s="1"/>
      <c r="M118" s="1"/>
      <c r="N118" s="6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</row>
    <row r="119" spans="1:40" x14ac:dyDescent="0.25">
      <c r="A119">
        <v>283</v>
      </c>
      <c r="B119">
        <v>1</v>
      </c>
      <c r="C119" t="s">
        <v>20</v>
      </c>
      <c r="D119">
        <v>1</v>
      </c>
      <c r="E119" s="2" t="s">
        <v>4</v>
      </c>
      <c r="F119" s="2">
        <v>11</v>
      </c>
      <c r="G119" s="1">
        <v>408</v>
      </c>
      <c r="H119" s="1">
        <v>130</v>
      </c>
      <c r="I119" s="1">
        <v>21</v>
      </c>
      <c r="J119" s="1">
        <f t="shared" si="13"/>
        <v>140.5</v>
      </c>
      <c r="K119" s="3">
        <f t="shared" si="12"/>
        <v>0.34436274509803921</v>
      </c>
      <c r="L119" s="1"/>
      <c r="M119" s="1"/>
      <c r="N119" s="6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</row>
    <row r="120" spans="1:40" x14ac:dyDescent="0.25">
      <c r="A120">
        <v>284</v>
      </c>
      <c r="B120">
        <v>1</v>
      </c>
      <c r="C120" t="s">
        <v>48</v>
      </c>
      <c r="D120">
        <v>1</v>
      </c>
      <c r="E120" s="2" t="s">
        <v>4</v>
      </c>
      <c r="F120" s="2">
        <v>11</v>
      </c>
      <c r="G120" s="1">
        <v>703</v>
      </c>
      <c r="H120" s="1">
        <v>74</v>
      </c>
      <c r="I120" s="1">
        <v>13</v>
      </c>
      <c r="J120" s="1">
        <f t="shared" si="13"/>
        <v>80.5</v>
      </c>
      <c r="K120" s="3">
        <f t="shared" si="12"/>
        <v>0.11450924608819346</v>
      </c>
      <c r="L120" s="1"/>
      <c r="M120" s="1"/>
      <c r="N120" s="6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</row>
    <row r="121" spans="1:40" x14ac:dyDescent="0.25">
      <c r="A121">
        <v>286</v>
      </c>
      <c r="B121">
        <v>1</v>
      </c>
      <c r="C121" t="s">
        <v>3</v>
      </c>
      <c r="D121">
        <v>1</v>
      </c>
      <c r="E121" s="2" t="s">
        <v>4</v>
      </c>
      <c r="F121" s="2">
        <v>11</v>
      </c>
      <c r="G121" s="1">
        <v>215</v>
      </c>
      <c r="H121" s="1">
        <v>136</v>
      </c>
      <c r="I121" s="1">
        <v>22</v>
      </c>
      <c r="J121" s="1">
        <f t="shared" si="13"/>
        <v>147</v>
      </c>
      <c r="K121" s="3">
        <f t="shared" si="12"/>
        <v>0.68372093023255809</v>
      </c>
      <c r="L121" s="1"/>
      <c r="M121" s="1"/>
      <c r="N121" s="6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</row>
    <row r="122" spans="1:40" x14ac:dyDescent="0.25">
      <c r="A122">
        <v>294</v>
      </c>
      <c r="B122">
        <v>1</v>
      </c>
      <c r="C122" t="s">
        <v>292</v>
      </c>
      <c r="D122">
        <v>0</v>
      </c>
      <c r="E122" s="2" t="s">
        <v>90</v>
      </c>
      <c r="F122" s="2">
        <v>10</v>
      </c>
      <c r="G122" s="1">
        <v>138</v>
      </c>
      <c r="H122" s="1">
        <v>39</v>
      </c>
      <c r="I122" s="1">
        <v>8</v>
      </c>
      <c r="J122" s="1">
        <f t="shared" si="13"/>
        <v>43</v>
      </c>
      <c r="K122" s="3">
        <f t="shared" si="12"/>
        <v>0.31159420289855072</v>
      </c>
      <c r="L122" s="1"/>
      <c r="M122" s="1"/>
      <c r="N122" s="6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</row>
    <row r="123" spans="1:40" x14ac:dyDescent="0.25">
      <c r="A123">
        <v>297</v>
      </c>
      <c r="B123">
        <v>1</v>
      </c>
      <c r="C123" t="s">
        <v>340</v>
      </c>
      <c r="D123">
        <v>0</v>
      </c>
      <c r="E123" s="2" t="s">
        <v>90</v>
      </c>
      <c r="F123" s="2">
        <v>10</v>
      </c>
      <c r="G123" s="1">
        <v>40</v>
      </c>
      <c r="H123" s="1">
        <v>5</v>
      </c>
      <c r="I123" s="1">
        <v>2</v>
      </c>
      <c r="J123" s="1">
        <f t="shared" si="13"/>
        <v>6</v>
      </c>
      <c r="K123" s="3">
        <f t="shared" si="12"/>
        <v>0.15</v>
      </c>
      <c r="L123" s="1"/>
      <c r="M123" s="1"/>
      <c r="N123" s="6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</row>
    <row r="124" spans="1:40" x14ac:dyDescent="0.25">
      <c r="A124">
        <v>299</v>
      </c>
      <c r="B124">
        <v>1</v>
      </c>
      <c r="C124" t="s">
        <v>257</v>
      </c>
      <c r="D124">
        <v>0</v>
      </c>
      <c r="E124" s="2" t="s">
        <v>90</v>
      </c>
      <c r="F124" s="2">
        <v>10</v>
      </c>
      <c r="G124" s="1">
        <v>49</v>
      </c>
      <c r="H124" s="1">
        <v>11</v>
      </c>
      <c r="I124" s="1">
        <v>4</v>
      </c>
      <c r="J124" s="1">
        <f t="shared" si="13"/>
        <v>13</v>
      </c>
      <c r="K124" s="3">
        <f t="shared" si="12"/>
        <v>0.26530612244897961</v>
      </c>
      <c r="L124" s="1"/>
      <c r="M124" s="1"/>
      <c r="N124" s="6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</row>
    <row r="125" spans="1:40" x14ac:dyDescent="0.25">
      <c r="A125">
        <v>300</v>
      </c>
      <c r="B125">
        <v>1</v>
      </c>
      <c r="C125" t="s">
        <v>338</v>
      </c>
      <c r="D125">
        <v>0</v>
      </c>
      <c r="E125" s="2" t="s">
        <v>90</v>
      </c>
      <c r="F125" s="2">
        <v>10</v>
      </c>
      <c r="G125" s="1">
        <v>93</v>
      </c>
      <c r="H125" s="1">
        <v>18</v>
      </c>
      <c r="I125" s="1">
        <v>3</v>
      </c>
      <c r="J125" s="1">
        <f t="shared" si="13"/>
        <v>19.5</v>
      </c>
      <c r="K125" s="3">
        <f t="shared" si="12"/>
        <v>0.20967741935483872</v>
      </c>
      <c r="L125" s="1"/>
      <c r="M125" s="1"/>
      <c r="N125" s="6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</row>
    <row r="126" spans="1:40" x14ac:dyDescent="0.25">
      <c r="A126">
        <v>306</v>
      </c>
      <c r="B126">
        <v>1</v>
      </c>
      <c r="C126" t="s">
        <v>221</v>
      </c>
      <c r="D126">
        <v>0</v>
      </c>
      <c r="E126" s="2" t="s">
        <v>61</v>
      </c>
      <c r="F126" s="2">
        <v>2</v>
      </c>
      <c r="G126" s="1">
        <v>23</v>
      </c>
      <c r="H126" s="1">
        <v>5</v>
      </c>
      <c r="I126" s="1">
        <v>5</v>
      </c>
      <c r="J126" s="1">
        <f t="shared" si="13"/>
        <v>7.5</v>
      </c>
      <c r="K126" s="3">
        <f t="shared" si="12"/>
        <v>0.32608695652173914</v>
      </c>
      <c r="L126" s="1"/>
      <c r="M126" s="1"/>
      <c r="N126" s="6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</row>
    <row r="127" spans="1:40" x14ac:dyDescent="0.25">
      <c r="A127">
        <v>308</v>
      </c>
      <c r="B127">
        <v>1</v>
      </c>
      <c r="C127" t="s">
        <v>129</v>
      </c>
      <c r="D127">
        <v>0</v>
      </c>
      <c r="E127" s="2" t="s">
        <v>61</v>
      </c>
      <c r="F127" s="2">
        <v>2</v>
      </c>
      <c r="G127" s="1">
        <v>42</v>
      </c>
      <c r="H127" s="1">
        <v>19</v>
      </c>
      <c r="I127" s="1">
        <v>4</v>
      </c>
      <c r="J127" s="1">
        <f t="shared" si="13"/>
        <v>21</v>
      </c>
      <c r="K127" s="3">
        <f t="shared" si="12"/>
        <v>0.5</v>
      </c>
      <c r="L127" s="1"/>
      <c r="M127" s="1"/>
      <c r="N127" s="6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</row>
    <row r="128" spans="1:40" x14ac:dyDescent="0.25">
      <c r="A128">
        <v>309</v>
      </c>
      <c r="B128">
        <v>1</v>
      </c>
      <c r="C128" t="s">
        <v>123</v>
      </c>
      <c r="D128">
        <v>0</v>
      </c>
      <c r="E128" s="2" t="s">
        <v>61</v>
      </c>
      <c r="F128" s="2">
        <v>2</v>
      </c>
      <c r="G128" s="1">
        <v>125</v>
      </c>
      <c r="H128" s="1">
        <v>59</v>
      </c>
      <c r="I128" s="1">
        <v>11</v>
      </c>
      <c r="J128" s="1">
        <f t="shared" si="13"/>
        <v>64.5</v>
      </c>
      <c r="K128" s="3">
        <f t="shared" si="12"/>
        <v>0.51600000000000001</v>
      </c>
      <c r="L128" s="1"/>
      <c r="M128" s="1"/>
      <c r="N128" s="6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</row>
    <row r="129" spans="1:40" x14ac:dyDescent="0.25">
      <c r="A129">
        <v>314</v>
      </c>
      <c r="B129">
        <v>1</v>
      </c>
      <c r="C129" t="s">
        <v>201</v>
      </c>
      <c r="D129">
        <v>0</v>
      </c>
      <c r="E129" s="2" t="s">
        <v>80</v>
      </c>
      <c r="F129" s="2">
        <v>7.1</v>
      </c>
      <c r="G129" s="1">
        <v>55</v>
      </c>
      <c r="H129" s="1">
        <v>20</v>
      </c>
      <c r="I129" s="1">
        <v>7</v>
      </c>
      <c r="J129" s="1">
        <f t="shared" si="13"/>
        <v>23.5</v>
      </c>
      <c r="K129" s="3">
        <f t="shared" si="12"/>
        <v>0.42727272727272725</v>
      </c>
      <c r="L129" s="1"/>
      <c r="M129" s="1"/>
      <c r="N129" s="6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</row>
    <row r="130" spans="1:40" x14ac:dyDescent="0.25">
      <c r="A130">
        <v>316</v>
      </c>
      <c r="B130">
        <v>1</v>
      </c>
      <c r="C130" t="s">
        <v>124</v>
      </c>
      <c r="D130">
        <v>0</v>
      </c>
      <c r="E130" s="2" t="s">
        <v>75</v>
      </c>
      <c r="F130" s="2">
        <v>3</v>
      </c>
      <c r="G130" s="1">
        <v>79</v>
      </c>
      <c r="H130" s="1">
        <v>39</v>
      </c>
      <c r="I130" s="1">
        <v>9</v>
      </c>
      <c r="J130" s="1">
        <f t="shared" si="13"/>
        <v>43.5</v>
      </c>
      <c r="K130" s="3">
        <f t="shared" si="12"/>
        <v>0.55063291139240511</v>
      </c>
      <c r="L130" s="1"/>
      <c r="M130" s="1"/>
      <c r="N130" s="6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</row>
    <row r="131" spans="1:40" x14ac:dyDescent="0.25">
      <c r="A131">
        <v>317</v>
      </c>
      <c r="B131">
        <v>1</v>
      </c>
      <c r="C131" t="s">
        <v>74</v>
      </c>
      <c r="D131">
        <v>0</v>
      </c>
      <c r="E131" s="2" t="s">
        <v>75</v>
      </c>
      <c r="F131" s="2">
        <v>3</v>
      </c>
      <c r="G131" s="1">
        <v>90</v>
      </c>
      <c r="H131" s="1">
        <v>61</v>
      </c>
      <c r="I131" s="1">
        <v>6</v>
      </c>
      <c r="J131" s="1">
        <f t="shared" si="13"/>
        <v>64</v>
      </c>
      <c r="K131" s="3">
        <f t="shared" si="12"/>
        <v>0.71111111111111114</v>
      </c>
      <c r="L131" s="1"/>
      <c r="M131" s="1"/>
      <c r="N131" s="6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</row>
    <row r="132" spans="1:40" x14ac:dyDescent="0.25">
      <c r="A132">
        <v>318</v>
      </c>
      <c r="B132">
        <v>1</v>
      </c>
      <c r="C132" t="s">
        <v>177</v>
      </c>
      <c r="D132">
        <v>0</v>
      </c>
      <c r="E132" s="2" t="s">
        <v>75</v>
      </c>
      <c r="F132" s="2">
        <v>3</v>
      </c>
      <c r="G132" s="1">
        <v>339</v>
      </c>
      <c r="H132" s="1">
        <v>132</v>
      </c>
      <c r="I132" s="1">
        <v>31</v>
      </c>
      <c r="J132" s="1">
        <f t="shared" si="13"/>
        <v>147.5</v>
      </c>
      <c r="K132" s="3">
        <f t="shared" si="12"/>
        <v>0.43510324483775809</v>
      </c>
      <c r="L132" s="1"/>
      <c r="M132" s="1"/>
      <c r="N132" s="6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</row>
    <row r="133" spans="1:40" x14ac:dyDescent="0.25">
      <c r="A133">
        <v>319</v>
      </c>
      <c r="B133">
        <v>1</v>
      </c>
      <c r="C133" t="s">
        <v>122</v>
      </c>
      <c r="D133">
        <v>0</v>
      </c>
      <c r="E133" s="2" t="s">
        <v>75</v>
      </c>
      <c r="F133" s="2">
        <v>3</v>
      </c>
      <c r="G133" s="1">
        <v>44</v>
      </c>
      <c r="H133" s="1">
        <v>24</v>
      </c>
      <c r="I133" s="1">
        <v>0</v>
      </c>
      <c r="J133" s="1">
        <f t="shared" si="13"/>
        <v>24</v>
      </c>
      <c r="K133" s="3">
        <f t="shared" si="12"/>
        <v>0.54545454545454541</v>
      </c>
      <c r="L133" s="1"/>
      <c r="M133" s="1"/>
      <c r="N133" s="6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</row>
    <row r="134" spans="1:40" x14ac:dyDescent="0.25">
      <c r="A134">
        <v>330</v>
      </c>
      <c r="B134">
        <v>1</v>
      </c>
      <c r="C134" t="s">
        <v>66</v>
      </c>
      <c r="D134">
        <v>0</v>
      </c>
      <c r="E134" s="2" t="s">
        <v>56</v>
      </c>
      <c r="F134" s="2">
        <v>8</v>
      </c>
      <c r="G134" s="1">
        <v>21</v>
      </c>
      <c r="H134" s="1">
        <v>12</v>
      </c>
      <c r="I134" s="1">
        <v>5</v>
      </c>
      <c r="J134" s="1">
        <f t="shared" si="13"/>
        <v>14.5</v>
      </c>
      <c r="K134" s="3">
        <f t="shared" si="12"/>
        <v>0.69047619047619047</v>
      </c>
      <c r="L134" s="1"/>
      <c r="M134" s="1"/>
      <c r="N134" s="6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</row>
    <row r="135" spans="1:40" x14ac:dyDescent="0.25">
      <c r="A135">
        <v>332</v>
      </c>
      <c r="B135">
        <v>1</v>
      </c>
      <c r="C135" t="s">
        <v>128</v>
      </c>
      <c r="D135">
        <v>0</v>
      </c>
      <c r="E135" s="2" t="s">
        <v>80</v>
      </c>
      <c r="F135" s="2">
        <v>7.1</v>
      </c>
      <c r="G135" s="1">
        <v>148</v>
      </c>
      <c r="H135" s="1">
        <v>74</v>
      </c>
      <c r="I135" s="1">
        <v>12</v>
      </c>
      <c r="J135" s="1">
        <f t="shared" si="13"/>
        <v>80</v>
      </c>
      <c r="K135" s="3">
        <f t="shared" si="12"/>
        <v>0.54054054054054057</v>
      </c>
      <c r="L135" s="1"/>
      <c r="M135" s="1"/>
      <c r="N135" s="6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</row>
    <row r="136" spans="1:40" x14ac:dyDescent="0.25">
      <c r="A136">
        <v>333</v>
      </c>
      <c r="B136">
        <v>1</v>
      </c>
      <c r="C136" t="s">
        <v>143</v>
      </c>
      <c r="D136">
        <v>0</v>
      </c>
      <c r="E136" s="2" t="s">
        <v>80</v>
      </c>
      <c r="F136" s="2">
        <v>7.1</v>
      </c>
      <c r="G136" s="1">
        <v>51</v>
      </c>
      <c r="H136" s="1">
        <v>24</v>
      </c>
      <c r="I136" s="1">
        <v>5</v>
      </c>
      <c r="J136" s="1">
        <f t="shared" si="13"/>
        <v>26.5</v>
      </c>
      <c r="K136" s="3">
        <f t="shared" si="12"/>
        <v>0.51960784313725494</v>
      </c>
      <c r="L136" s="1"/>
      <c r="M136" s="1"/>
      <c r="N136" s="6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</row>
    <row r="137" spans="1:40" x14ac:dyDescent="0.25">
      <c r="A137">
        <v>345</v>
      </c>
      <c r="B137">
        <v>1</v>
      </c>
      <c r="C137" t="s">
        <v>291</v>
      </c>
      <c r="D137">
        <v>0</v>
      </c>
      <c r="E137" s="2" t="s">
        <v>93</v>
      </c>
      <c r="F137" s="2">
        <v>6.1</v>
      </c>
      <c r="G137" s="1">
        <v>113</v>
      </c>
      <c r="H137" s="1">
        <v>28</v>
      </c>
      <c r="I137" s="1">
        <v>9</v>
      </c>
      <c r="J137" s="1">
        <f t="shared" si="13"/>
        <v>32.5</v>
      </c>
      <c r="K137" s="3">
        <f t="shared" si="12"/>
        <v>0.28761061946902655</v>
      </c>
      <c r="L137" s="1"/>
      <c r="M137" s="1"/>
      <c r="N137" s="6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</row>
    <row r="138" spans="1:40" x14ac:dyDescent="0.25">
      <c r="A138">
        <v>347</v>
      </c>
      <c r="B138">
        <v>1</v>
      </c>
      <c r="C138" t="s">
        <v>92</v>
      </c>
      <c r="D138">
        <v>0</v>
      </c>
      <c r="E138" s="2" t="s">
        <v>93</v>
      </c>
      <c r="F138" s="2">
        <v>6.1</v>
      </c>
      <c r="G138" s="1">
        <v>333</v>
      </c>
      <c r="H138" s="1">
        <v>198</v>
      </c>
      <c r="I138" s="1">
        <v>26</v>
      </c>
      <c r="J138" s="1">
        <f t="shared" si="13"/>
        <v>211</v>
      </c>
      <c r="K138" s="3">
        <f t="shared" si="12"/>
        <v>0.63363363363363367</v>
      </c>
      <c r="L138" s="1"/>
      <c r="M138" s="1"/>
      <c r="N138" s="6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</row>
    <row r="139" spans="1:40" x14ac:dyDescent="0.25">
      <c r="A139">
        <v>356</v>
      </c>
      <c r="B139">
        <v>1</v>
      </c>
      <c r="C139" t="s">
        <v>260</v>
      </c>
      <c r="D139">
        <v>0</v>
      </c>
      <c r="E139" s="2" t="s">
        <v>54</v>
      </c>
      <c r="F139" s="2">
        <v>1</v>
      </c>
      <c r="G139" s="1">
        <v>14</v>
      </c>
      <c r="H139" s="1">
        <v>4</v>
      </c>
      <c r="I139" s="1">
        <v>3</v>
      </c>
      <c r="J139" s="1">
        <f t="shared" si="13"/>
        <v>5.5</v>
      </c>
      <c r="K139" s="3">
        <f t="shared" si="12"/>
        <v>0.39285714285714285</v>
      </c>
      <c r="L139" s="1"/>
      <c r="M139" s="1"/>
      <c r="N139" s="6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</row>
    <row r="140" spans="1:40" x14ac:dyDescent="0.25">
      <c r="A140">
        <v>361</v>
      </c>
      <c r="B140">
        <v>1</v>
      </c>
      <c r="C140" t="s">
        <v>179</v>
      </c>
      <c r="D140">
        <v>0</v>
      </c>
      <c r="E140" s="2" t="s">
        <v>75</v>
      </c>
      <c r="F140" s="2">
        <v>3</v>
      </c>
      <c r="G140" s="1">
        <v>78</v>
      </c>
      <c r="H140" s="1">
        <v>31</v>
      </c>
      <c r="I140" s="1">
        <v>9</v>
      </c>
      <c r="J140" s="1">
        <f t="shared" si="13"/>
        <v>35.5</v>
      </c>
      <c r="K140" s="3">
        <f t="shared" si="12"/>
        <v>0.45512820512820512</v>
      </c>
      <c r="L140" s="1"/>
      <c r="M140" s="1"/>
      <c r="N140" s="6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</row>
    <row r="141" spans="1:40" x14ac:dyDescent="0.25">
      <c r="A141">
        <v>362</v>
      </c>
      <c r="B141">
        <v>1</v>
      </c>
      <c r="C141" t="s">
        <v>320</v>
      </c>
      <c r="D141">
        <v>0</v>
      </c>
      <c r="E141" s="2" t="s">
        <v>75</v>
      </c>
      <c r="F141" s="2">
        <v>3</v>
      </c>
      <c r="G141" s="1">
        <v>24</v>
      </c>
      <c r="H141" s="1">
        <v>5</v>
      </c>
      <c r="I141" s="1">
        <v>2</v>
      </c>
      <c r="J141" s="1">
        <f t="shared" si="13"/>
        <v>6</v>
      </c>
      <c r="K141" s="3">
        <f t="shared" si="12"/>
        <v>0.25</v>
      </c>
      <c r="L141" s="1"/>
      <c r="M141" s="1"/>
      <c r="N141" s="6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</row>
    <row r="142" spans="1:40" x14ac:dyDescent="0.25">
      <c r="A142">
        <v>363</v>
      </c>
      <c r="B142">
        <v>1</v>
      </c>
      <c r="C142" t="s">
        <v>120</v>
      </c>
      <c r="D142">
        <v>0</v>
      </c>
      <c r="E142" s="2" t="s">
        <v>75</v>
      </c>
      <c r="F142" s="2">
        <v>3</v>
      </c>
      <c r="G142" s="1">
        <v>21</v>
      </c>
      <c r="H142" s="1">
        <v>11</v>
      </c>
      <c r="I142" s="1">
        <v>2</v>
      </c>
      <c r="J142" s="1">
        <f t="shared" si="13"/>
        <v>12</v>
      </c>
      <c r="K142" s="3">
        <f t="shared" si="12"/>
        <v>0.5714285714285714</v>
      </c>
      <c r="L142" s="1"/>
      <c r="M142" s="1"/>
      <c r="N142" s="6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</row>
    <row r="143" spans="1:40" x14ac:dyDescent="0.25">
      <c r="A143">
        <v>378</v>
      </c>
      <c r="B143">
        <v>1</v>
      </c>
      <c r="C143" t="s">
        <v>164</v>
      </c>
      <c r="D143">
        <v>0</v>
      </c>
      <c r="E143" s="2" t="s">
        <v>100</v>
      </c>
      <c r="F143" s="2">
        <v>6.2</v>
      </c>
      <c r="G143" s="1">
        <v>42</v>
      </c>
      <c r="H143" s="1">
        <v>13</v>
      </c>
      <c r="I143" s="1">
        <v>7</v>
      </c>
      <c r="J143" s="1">
        <f t="shared" si="13"/>
        <v>16.5</v>
      </c>
      <c r="K143" s="3">
        <f t="shared" si="12"/>
        <v>0.39285714285714285</v>
      </c>
      <c r="L143" s="1"/>
      <c r="M143" s="1"/>
      <c r="N143" s="6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</row>
    <row r="144" spans="1:40" x14ac:dyDescent="0.25">
      <c r="A144">
        <v>381</v>
      </c>
      <c r="B144">
        <v>1</v>
      </c>
      <c r="C144" t="s">
        <v>280</v>
      </c>
      <c r="D144">
        <v>0</v>
      </c>
      <c r="E144" s="2" t="s">
        <v>75</v>
      </c>
      <c r="F144" s="2">
        <v>3</v>
      </c>
      <c r="G144" s="1">
        <v>103</v>
      </c>
      <c r="H144" s="1">
        <v>37</v>
      </c>
      <c r="I144" s="1">
        <v>5</v>
      </c>
      <c r="J144" s="1">
        <f t="shared" si="13"/>
        <v>39.5</v>
      </c>
      <c r="K144" s="3">
        <f t="shared" si="12"/>
        <v>0.38349514563106796</v>
      </c>
      <c r="L144" s="1"/>
      <c r="M144" s="1"/>
      <c r="N144" s="6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</row>
    <row r="145" spans="1:40" x14ac:dyDescent="0.25">
      <c r="A145">
        <v>390</v>
      </c>
      <c r="B145">
        <v>1</v>
      </c>
      <c r="C145" t="s">
        <v>193</v>
      </c>
      <c r="D145">
        <v>0</v>
      </c>
      <c r="E145" s="2" t="s">
        <v>61</v>
      </c>
      <c r="F145" s="2">
        <v>2</v>
      </c>
      <c r="G145" s="1">
        <v>37</v>
      </c>
      <c r="H145" s="1">
        <v>14</v>
      </c>
      <c r="I145" s="1">
        <v>3</v>
      </c>
      <c r="J145" s="1">
        <f t="shared" si="13"/>
        <v>15.5</v>
      </c>
      <c r="K145" s="3">
        <f t="shared" si="12"/>
        <v>0.41891891891891891</v>
      </c>
      <c r="L145" s="1"/>
      <c r="M145" s="1"/>
      <c r="N145" s="6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</row>
    <row r="146" spans="1:40" x14ac:dyDescent="0.25">
      <c r="A146">
        <v>391</v>
      </c>
      <c r="B146">
        <v>1</v>
      </c>
      <c r="C146" t="s">
        <v>259</v>
      </c>
      <c r="D146">
        <v>0</v>
      </c>
      <c r="E146" s="2" t="s">
        <v>70</v>
      </c>
      <c r="F146" s="2">
        <v>9</v>
      </c>
      <c r="G146" s="1">
        <v>38</v>
      </c>
      <c r="H146" s="1">
        <v>12</v>
      </c>
      <c r="I146" s="1">
        <v>3</v>
      </c>
      <c r="J146" s="1">
        <f t="shared" si="13"/>
        <v>13.5</v>
      </c>
      <c r="K146" s="3">
        <f t="shared" si="12"/>
        <v>0.35526315789473684</v>
      </c>
      <c r="L146" s="1"/>
      <c r="M146" s="1"/>
      <c r="N146" s="6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</row>
    <row r="147" spans="1:40" x14ac:dyDescent="0.25">
      <c r="A147">
        <v>402</v>
      </c>
      <c r="B147">
        <v>1</v>
      </c>
      <c r="C147" t="s">
        <v>55</v>
      </c>
      <c r="D147">
        <v>0</v>
      </c>
      <c r="E147" s="2" t="s">
        <v>56</v>
      </c>
      <c r="F147" s="2">
        <v>8</v>
      </c>
      <c r="G147" s="1">
        <v>10</v>
      </c>
      <c r="H147" s="1">
        <v>6</v>
      </c>
      <c r="I147" s="1">
        <v>3</v>
      </c>
      <c r="J147" s="1">
        <f t="shared" si="13"/>
        <v>7.5</v>
      </c>
      <c r="K147" s="3">
        <f t="shared" si="12"/>
        <v>0.75</v>
      </c>
      <c r="L147" s="1"/>
      <c r="M147" s="1"/>
      <c r="N147" s="6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</row>
    <row r="148" spans="1:40" x14ac:dyDescent="0.25">
      <c r="A148">
        <v>403</v>
      </c>
      <c r="B148">
        <v>1</v>
      </c>
      <c r="C148" t="s">
        <v>115</v>
      </c>
      <c r="D148">
        <v>0</v>
      </c>
      <c r="E148" s="2" t="s">
        <v>56</v>
      </c>
      <c r="F148" s="2">
        <v>8</v>
      </c>
      <c r="G148" s="1">
        <v>17</v>
      </c>
      <c r="H148" s="1">
        <v>7</v>
      </c>
      <c r="I148" s="1">
        <v>4</v>
      </c>
      <c r="J148" s="1">
        <f t="shared" si="13"/>
        <v>9</v>
      </c>
      <c r="K148" s="3">
        <f t="shared" si="12"/>
        <v>0.52941176470588236</v>
      </c>
      <c r="L148" s="1"/>
      <c r="M148" s="1"/>
      <c r="N148" s="6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</row>
    <row r="149" spans="1:40" x14ac:dyDescent="0.25">
      <c r="A149">
        <v>404</v>
      </c>
      <c r="B149">
        <v>1</v>
      </c>
      <c r="C149" t="s">
        <v>303</v>
      </c>
      <c r="D149">
        <v>0</v>
      </c>
      <c r="E149" s="2" t="s">
        <v>56</v>
      </c>
      <c r="F149" s="2">
        <v>8</v>
      </c>
      <c r="G149" s="1">
        <v>18</v>
      </c>
      <c r="H149" s="1">
        <v>4</v>
      </c>
      <c r="I149" s="1">
        <v>0</v>
      </c>
      <c r="J149" s="1">
        <f t="shared" si="13"/>
        <v>4</v>
      </c>
      <c r="K149" s="3">
        <f t="shared" si="12"/>
        <v>0.22222222222222221</v>
      </c>
      <c r="L149" s="1"/>
      <c r="M149" s="1"/>
      <c r="N149" s="6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</row>
    <row r="150" spans="1:40" x14ac:dyDescent="0.25">
      <c r="A150">
        <v>413</v>
      </c>
      <c r="B150">
        <v>1</v>
      </c>
      <c r="C150" t="s">
        <v>214</v>
      </c>
      <c r="D150">
        <v>0</v>
      </c>
      <c r="E150" s="2" t="s">
        <v>56</v>
      </c>
      <c r="F150" s="2">
        <v>8</v>
      </c>
      <c r="G150" s="1">
        <v>186</v>
      </c>
      <c r="H150" s="1">
        <v>76</v>
      </c>
      <c r="I150" s="1">
        <v>15</v>
      </c>
      <c r="J150" s="1">
        <f t="shared" si="13"/>
        <v>83.5</v>
      </c>
      <c r="K150" s="3">
        <f t="shared" si="12"/>
        <v>0.44892473118279569</v>
      </c>
      <c r="L150" s="1"/>
      <c r="M150" s="1"/>
      <c r="N150" s="6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</row>
    <row r="151" spans="1:40" x14ac:dyDescent="0.25">
      <c r="A151">
        <v>414</v>
      </c>
      <c r="B151">
        <v>1</v>
      </c>
      <c r="C151" t="s">
        <v>208</v>
      </c>
      <c r="D151">
        <v>0</v>
      </c>
      <c r="E151" s="2" t="s">
        <v>56</v>
      </c>
      <c r="F151" s="2">
        <v>8</v>
      </c>
      <c r="G151" s="1">
        <v>27</v>
      </c>
      <c r="H151" s="1">
        <v>10</v>
      </c>
      <c r="I151" s="1">
        <v>0</v>
      </c>
      <c r="J151" s="1">
        <f t="shared" si="13"/>
        <v>10</v>
      </c>
      <c r="K151" s="3">
        <f t="shared" si="12"/>
        <v>0.37037037037037035</v>
      </c>
      <c r="L151" s="1"/>
      <c r="M151" s="1"/>
      <c r="N151" s="6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</row>
    <row r="152" spans="1:40" x14ac:dyDescent="0.25">
      <c r="A152">
        <v>415</v>
      </c>
      <c r="B152">
        <v>1</v>
      </c>
      <c r="C152" t="s">
        <v>87</v>
      </c>
      <c r="D152">
        <v>0</v>
      </c>
      <c r="E152" s="2" t="s">
        <v>56</v>
      </c>
      <c r="F152" s="2">
        <v>8</v>
      </c>
      <c r="G152" s="1">
        <v>26</v>
      </c>
      <c r="H152" s="1">
        <v>14</v>
      </c>
      <c r="I152" s="1">
        <v>3</v>
      </c>
      <c r="J152" s="1">
        <f t="shared" si="13"/>
        <v>15.5</v>
      </c>
      <c r="K152" s="3">
        <f t="shared" si="12"/>
        <v>0.59615384615384615</v>
      </c>
      <c r="L152" s="1"/>
      <c r="M152" s="1"/>
      <c r="N152" s="6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</row>
    <row r="153" spans="1:40" x14ac:dyDescent="0.25">
      <c r="A153">
        <v>423</v>
      </c>
      <c r="B153">
        <v>1</v>
      </c>
      <c r="C153" t="s">
        <v>268</v>
      </c>
      <c r="D153">
        <v>0</v>
      </c>
      <c r="E153" s="2" t="s">
        <v>93</v>
      </c>
      <c r="F153" s="2">
        <v>6.1</v>
      </c>
      <c r="G153" s="1">
        <v>214</v>
      </c>
      <c r="H153" s="1">
        <v>63</v>
      </c>
      <c r="I153" s="1">
        <v>15</v>
      </c>
      <c r="J153" s="1">
        <f t="shared" si="13"/>
        <v>70.5</v>
      </c>
      <c r="K153" s="3">
        <f t="shared" si="12"/>
        <v>0.32943925233644861</v>
      </c>
      <c r="L153" s="1"/>
      <c r="M153" s="1"/>
      <c r="N153" s="6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</row>
    <row r="154" spans="1:40" x14ac:dyDescent="0.25">
      <c r="A154">
        <v>424</v>
      </c>
      <c r="B154">
        <v>1</v>
      </c>
      <c r="C154" t="s">
        <v>307</v>
      </c>
      <c r="D154">
        <v>0</v>
      </c>
      <c r="E154" s="2" t="s">
        <v>93</v>
      </c>
      <c r="F154" s="2">
        <v>6.1</v>
      </c>
      <c r="G154" s="1">
        <v>33</v>
      </c>
      <c r="H154" s="1">
        <v>10</v>
      </c>
      <c r="I154" s="1">
        <v>0</v>
      </c>
      <c r="J154" s="1">
        <f t="shared" si="13"/>
        <v>10</v>
      </c>
      <c r="K154" s="3">
        <f t="shared" si="12"/>
        <v>0.30303030303030304</v>
      </c>
      <c r="L154" s="1"/>
      <c r="M154" s="1"/>
      <c r="N154" s="6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</row>
    <row r="155" spans="1:40" x14ac:dyDescent="0.25">
      <c r="A155">
        <v>432</v>
      </c>
      <c r="B155">
        <v>1</v>
      </c>
      <c r="C155" t="s">
        <v>73</v>
      </c>
      <c r="D155">
        <v>0</v>
      </c>
      <c r="E155" s="2" t="s">
        <v>61</v>
      </c>
      <c r="F155" s="2">
        <v>2</v>
      </c>
      <c r="G155" s="1">
        <v>47</v>
      </c>
      <c r="H155" s="1">
        <v>33</v>
      </c>
      <c r="I155" s="1">
        <v>2</v>
      </c>
      <c r="J155" s="1">
        <f t="shared" si="13"/>
        <v>34</v>
      </c>
      <c r="K155" s="3">
        <f t="shared" si="12"/>
        <v>0.72340425531914898</v>
      </c>
      <c r="L155" s="1"/>
      <c r="M155" s="1"/>
      <c r="N155" s="6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</row>
    <row r="156" spans="1:40" x14ac:dyDescent="0.25">
      <c r="A156">
        <v>435</v>
      </c>
      <c r="B156">
        <v>1</v>
      </c>
      <c r="C156" t="s">
        <v>64</v>
      </c>
      <c r="D156">
        <v>0</v>
      </c>
      <c r="E156" s="2" t="s">
        <v>61</v>
      </c>
      <c r="F156" s="2">
        <v>2</v>
      </c>
      <c r="G156" s="1">
        <v>47</v>
      </c>
      <c r="H156" s="1">
        <v>33</v>
      </c>
      <c r="I156" s="1">
        <v>4</v>
      </c>
      <c r="J156" s="1">
        <f t="shared" si="13"/>
        <v>35</v>
      </c>
      <c r="K156" s="3">
        <f t="shared" ref="K156:K219" si="14">IF(G156=0,0,J156/G156)</f>
        <v>0.74468085106382975</v>
      </c>
      <c r="L156" s="1"/>
      <c r="M156" s="1"/>
      <c r="N156" s="6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</row>
    <row r="157" spans="1:40" x14ac:dyDescent="0.25">
      <c r="A157">
        <v>441</v>
      </c>
      <c r="B157">
        <v>1</v>
      </c>
      <c r="C157" t="s">
        <v>258</v>
      </c>
      <c r="D157">
        <v>0</v>
      </c>
      <c r="E157" s="2" t="s">
        <v>54</v>
      </c>
      <c r="F157" s="2">
        <v>1</v>
      </c>
      <c r="G157" s="1">
        <v>26</v>
      </c>
      <c r="H157" s="1">
        <v>7</v>
      </c>
      <c r="I157" s="1">
        <v>3</v>
      </c>
      <c r="J157" s="1">
        <f t="shared" ref="J157:J220" si="15">H157+I157*0.5</f>
        <v>8.5</v>
      </c>
      <c r="K157" s="3">
        <f t="shared" si="14"/>
        <v>0.32692307692307693</v>
      </c>
      <c r="L157" s="1"/>
      <c r="M157" s="1"/>
      <c r="N157" s="6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</row>
    <row r="158" spans="1:40" x14ac:dyDescent="0.25">
      <c r="A158">
        <v>447</v>
      </c>
      <c r="B158">
        <v>1</v>
      </c>
      <c r="C158" t="s">
        <v>172</v>
      </c>
      <c r="D158">
        <v>0</v>
      </c>
      <c r="E158" s="2" t="s">
        <v>54</v>
      </c>
      <c r="F158" s="2">
        <v>1</v>
      </c>
      <c r="G158" s="1">
        <v>14</v>
      </c>
      <c r="H158" s="1">
        <v>4</v>
      </c>
      <c r="I158" s="1">
        <v>2</v>
      </c>
      <c r="J158" s="1">
        <f t="shared" si="15"/>
        <v>5</v>
      </c>
      <c r="K158" s="3">
        <f t="shared" si="14"/>
        <v>0.35714285714285715</v>
      </c>
      <c r="L158" s="1"/>
      <c r="M158" s="1"/>
      <c r="N158" s="6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</row>
    <row r="159" spans="1:40" x14ac:dyDescent="0.25">
      <c r="A159">
        <v>458</v>
      </c>
      <c r="B159">
        <v>1</v>
      </c>
      <c r="C159" t="s">
        <v>97</v>
      </c>
      <c r="D159">
        <v>0</v>
      </c>
      <c r="E159" s="2" t="s">
        <v>70</v>
      </c>
      <c r="F159" s="2">
        <v>9</v>
      </c>
      <c r="G159" s="1">
        <v>17</v>
      </c>
      <c r="H159" s="1">
        <v>10</v>
      </c>
      <c r="I159" s="1">
        <v>1</v>
      </c>
      <c r="J159" s="1">
        <f t="shared" si="15"/>
        <v>10.5</v>
      </c>
      <c r="K159" s="3">
        <f t="shared" si="14"/>
        <v>0.61764705882352944</v>
      </c>
      <c r="L159" s="1"/>
      <c r="M159" s="1"/>
      <c r="N159" s="6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</row>
    <row r="160" spans="1:40" x14ac:dyDescent="0.25">
      <c r="A160">
        <v>463</v>
      </c>
      <c r="B160">
        <v>1</v>
      </c>
      <c r="C160" t="s">
        <v>205</v>
      </c>
      <c r="D160">
        <v>0</v>
      </c>
      <c r="E160" s="2" t="s">
        <v>93</v>
      </c>
      <c r="F160" s="2">
        <v>6.1</v>
      </c>
      <c r="G160" s="1">
        <v>72</v>
      </c>
      <c r="H160" s="1">
        <v>23</v>
      </c>
      <c r="I160" s="1">
        <v>10</v>
      </c>
      <c r="J160" s="1">
        <f t="shared" si="15"/>
        <v>28</v>
      </c>
      <c r="K160" s="3">
        <f t="shared" si="14"/>
        <v>0.3888888888888889</v>
      </c>
      <c r="L160" s="1"/>
      <c r="M160" s="1"/>
      <c r="N160" s="6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</row>
    <row r="161" spans="1:40" x14ac:dyDescent="0.25">
      <c r="A161">
        <v>465</v>
      </c>
      <c r="B161">
        <v>1</v>
      </c>
      <c r="C161" t="s">
        <v>166</v>
      </c>
      <c r="D161">
        <v>0</v>
      </c>
      <c r="E161" s="2" t="s">
        <v>93</v>
      </c>
      <c r="F161" s="2">
        <v>6.1</v>
      </c>
      <c r="G161" s="1">
        <v>128</v>
      </c>
      <c r="H161" s="1">
        <v>51</v>
      </c>
      <c r="I161" s="1">
        <v>15</v>
      </c>
      <c r="J161" s="1">
        <f t="shared" si="15"/>
        <v>58.5</v>
      </c>
      <c r="K161" s="3">
        <f t="shared" si="14"/>
        <v>0.45703125</v>
      </c>
      <c r="L161" s="1"/>
      <c r="M161" s="1"/>
      <c r="N161" s="6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</row>
    <row r="162" spans="1:40" x14ac:dyDescent="0.25">
      <c r="A162">
        <v>466</v>
      </c>
      <c r="B162">
        <v>1</v>
      </c>
      <c r="C162" t="s">
        <v>304</v>
      </c>
      <c r="D162">
        <v>0</v>
      </c>
      <c r="E162" s="2" t="s">
        <v>135</v>
      </c>
      <c r="F162" s="2">
        <v>7.2</v>
      </c>
      <c r="G162" s="1">
        <v>183</v>
      </c>
      <c r="H162" s="1">
        <v>41</v>
      </c>
      <c r="I162" s="1">
        <v>18</v>
      </c>
      <c r="J162" s="1">
        <f t="shared" si="15"/>
        <v>50</v>
      </c>
      <c r="K162" s="3">
        <f t="shared" si="14"/>
        <v>0.27322404371584702</v>
      </c>
      <c r="L162" s="1"/>
      <c r="M162" s="1"/>
      <c r="N162" s="6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</row>
    <row r="163" spans="1:40" x14ac:dyDescent="0.25">
      <c r="A163">
        <v>473</v>
      </c>
      <c r="B163">
        <v>1</v>
      </c>
      <c r="C163" t="s">
        <v>125</v>
      </c>
      <c r="D163">
        <v>0</v>
      </c>
      <c r="E163" s="2" t="s">
        <v>80</v>
      </c>
      <c r="F163" s="2">
        <v>7.1</v>
      </c>
      <c r="G163" s="1">
        <v>40</v>
      </c>
      <c r="H163" s="1">
        <v>17</v>
      </c>
      <c r="I163" s="1">
        <v>7</v>
      </c>
      <c r="J163" s="1">
        <f t="shared" si="15"/>
        <v>20.5</v>
      </c>
      <c r="K163" s="3">
        <f t="shared" si="14"/>
        <v>0.51249999999999996</v>
      </c>
      <c r="L163" s="1"/>
      <c r="M163" s="1"/>
      <c r="N163" s="6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</row>
    <row r="164" spans="1:40" x14ac:dyDescent="0.25">
      <c r="A164">
        <v>477</v>
      </c>
      <c r="B164">
        <v>1</v>
      </c>
      <c r="C164" t="s">
        <v>288</v>
      </c>
      <c r="D164">
        <v>0</v>
      </c>
      <c r="E164" s="2" t="s">
        <v>80</v>
      </c>
      <c r="F164" s="2">
        <v>7.1</v>
      </c>
      <c r="G164" s="1">
        <v>237</v>
      </c>
      <c r="H164" s="1">
        <v>66</v>
      </c>
      <c r="I164" s="1">
        <v>13</v>
      </c>
      <c r="J164" s="1">
        <f t="shared" si="15"/>
        <v>72.5</v>
      </c>
      <c r="K164" s="3">
        <f t="shared" si="14"/>
        <v>0.30590717299578057</v>
      </c>
      <c r="L164" s="1"/>
      <c r="M164" s="1"/>
      <c r="N164" s="6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</row>
    <row r="165" spans="1:40" x14ac:dyDescent="0.25">
      <c r="A165">
        <v>480</v>
      </c>
      <c r="B165">
        <v>1</v>
      </c>
      <c r="C165" t="s">
        <v>79</v>
      </c>
      <c r="D165">
        <v>0</v>
      </c>
      <c r="E165" s="2" t="s">
        <v>80</v>
      </c>
      <c r="F165" s="2">
        <v>7.1</v>
      </c>
      <c r="G165" s="1">
        <v>41</v>
      </c>
      <c r="H165" s="1">
        <v>27</v>
      </c>
      <c r="I165" s="1">
        <v>4</v>
      </c>
      <c r="J165" s="1">
        <f t="shared" si="15"/>
        <v>29</v>
      </c>
      <c r="K165" s="3">
        <f t="shared" si="14"/>
        <v>0.70731707317073167</v>
      </c>
      <c r="L165" s="1"/>
      <c r="M165" s="1"/>
      <c r="N165" s="6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</row>
    <row r="166" spans="1:40" x14ac:dyDescent="0.25">
      <c r="A166">
        <v>482</v>
      </c>
      <c r="B166">
        <v>1</v>
      </c>
      <c r="C166" t="s">
        <v>140</v>
      </c>
      <c r="D166">
        <v>0</v>
      </c>
      <c r="E166" s="2" t="s">
        <v>58</v>
      </c>
      <c r="F166" s="2">
        <v>5</v>
      </c>
      <c r="G166" s="1">
        <v>185</v>
      </c>
      <c r="H166" s="1">
        <v>92</v>
      </c>
      <c r="I166" s="1">
        <v>18</v>
      </c>
      <c r="J166" s="1">
        <f t="shared" si="15"/>
        <v>101</v>
      </c>
      <c r="K166" s="3">
        <f t="shared" si="14"/>
        <v>0.54594594594594592</v>
      </c>
      <c r="L166" s="1"/>
      <c r="M166" s="1"/>
      <c r="N166" s="6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</row>
    <row r="167" spans="1:40" x14ac:dyDescent="0.25">
      <c r="A167">
        <v>484</v>
      </c>
      <c r="B167">
        <v>1</v>
      </c>
      <c r="C167" t="s">
        <v>262</v>
      </c>
      <c r="D167">
        <v>0</v>
      </c>
      <c r="E167" s="2" t="s">
        <v>58</v>
      </c>
      <c r="F167" s="2">
        <v>5</v>
      </c>
      <c r="G167" s="1">
        <v>79</v>
      </c>
      <c r="H167" s="1">
        <v>29</v>
      </c>
      <c r="I167" s="1">
        <v>7</v>
      </c>
      <c r="J167" s="1">
        <f t="shared" si="15"/>
        <v>32.5</v>
      </c>
      <c r="K167" s="3">
        <f t="shared" si="14"/>
        <v>0.41139240506329117</v>
      </c>
      <c r="L167" s="1"/>
      <c r="M167" s="1"/>
      <c r="N167" s="6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</row>
    <row r="168" spans="1:40" x14ac:dyDescent="0.25">
      <c r="A168">
        <v>485</v>
      </c>
      <c r="B168">
        <v>1</v>
      </c>
      <c r="C168" t="s">
        <v>324</v>
      </c>
      <c r="D168">
        <v>0</v>
      </c>
      <c r="E168" s="2" t="s">
        <v>58</v>
      </c>
      <c r="F168" s="2">
        <v>5</v>
      </c>
      <c r="G168" s="1">
        <v>92</v>
      </c>
      <c r="H168" s="1">
        <v>19</v>
      </c>
      <c r="I168" s="1">
        <v>6</v>
      </c>
      <c r="J168" s="1">
        <f t="shared" si="15"/>
        <v>22</v>
      </c>
      <c r="K168" s="3">
        <f t="shared" si="14"/>
        <v>0.2391304347826087</v>
      </c>
      <c r="L168" s="1"/>
      <c r="M168" s="1"/>
      <c r="N168" s="6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</row>
    <row r="169" spans="1:40" x14ac:dyDescent="0.25">
      <c r="A169">
        <v>486</v>
      </c>
      <c r="B169">
        <v>1</v>
      </c>
      <c r="C169" t="s">
        <v>173</v>
      </c>
      <c r="D169">
        <v>0</v>
      </c>
      <c r="E169" s="2" t="s">
        <v>58</v>
      </c>
      <c r="F169" s="2">
        <v>5</v>
      </c>
      <c r="G169" s="1">
        <v>29</v>
      </c>
      <c r="H169" s="1">
        <v>8</v>
      </c>
      <c r="I169" s="1">
        <v>8</v>
      </c>
      <c r="J169" s="1">
        <f t="shared" si="15"/>
        <v>12</v>
      </c>
      <c r="K169" s="3">
        <f t="shared" si="14"/>
        <v>0.41379310344827586</v>
      </c>
      <c r="L169" s="1"/>
      <c r="M169" s="1"/>
      <c r="N169" s="6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</row>
    <row r="170" spans="1:40" x14ac:dyDescent="0.25">
      <c r="A170">
        <v>487</v>
      </c>
      <c r="B170">
        <v>1</v>
      </c>
      <c r="C170" t="s">
        <v>233</v>
      </c>
      <c r="D170">
        <v>0</v>
      </c>
      <c r="E170" s="2" t="s">
        <v>58</v>
      </c>
      <c r="F170" s="2">
        <v>5</v>
      </c>
      <c r="G170" s="1">
        <v>26</v>
      </c>
      <c r="H170" s="1">
        <v>8</v>
      </c>
      <c r="I170" s="1">
        <v>1</v>
      </c>
      <c r="J170" s="1">
        <f t="shared" si="15"/>
        <v>8.5</v>
      </c>
      <c r="K170" s="3">
        <f t="shared" si="14"/>
        <v>0.32692307692307693</v>
      </c>
      <c r="L170" s="1"/>
      <c r="M170" s="1"/>
      <c r="N170" s="6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</row>
    <row r="171" spans="1:40" x14ac:dyDescent="0.25">
      <c r="A171">
        <v>492</v>
      </c>
      <c r="B171">
        <v>1</v>
      </c>
      <c r="C171" t="s">
        <v>104</v>
      </c>
      <c r="D171">
        <v>0</v>
      </c>
      <c r="E171" s="2" t="s">
        <v>90</v>
      </c>
      <c r="F171" s="2">
        <v>10</v>
      </c>
      <c r="G171" s="1">
        <v>385</v>
      </c>
      <c r="H171" s="1">
        <v>209</v>
      </c>
      <c r="I171" s="1">
        <v>37</v>
      </c>
      <c r="J171" s="1">
        <f t="shared" si="15"/>
        <v>227.5</v>
      </c>
      <c r="K171" s="3">
        <f t="shared" si="14"/>
        <v>0.59090909090909094</v>
      </c>
      <c r="L171" s="1"/>
      <c r="M171" s="1"/>
      <c r="N171" s="6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</row>
    <row r="172" spans="1:40" x14ac:dyDescent="0.25">
      <c r="A172">
        <v>495</v>
      </c>
      <c r="B172">
        <v>1</v>
      </c>
      <c r="C172" t="s">
        <v>282</v>
      </c>
      <c r="D172">
        <v>0</v>
      </c>
      <c r="E172" s="2" t="s">
        <v>90</v>
      </c>
      <c r="F172" s="2">
        <v>10</v>
      </c>
      <c r="G172" s="1">
        <v>30</v>
      </c>
      <c r="H172" s="1">
        <v>11</v>
      </c>
      <c r="I172" s="1">
        <v>1</v>
      </c>
      <c r="J172" s="1">
        <f t="shared" si="15"/>
        <v>11.5</v>
      </c>
      <c r="K172" s="3">
        <f t="shared" si="14"/>
        <v>0.38333333333333336</v>
      </c>
      <c r="L172" s="1"/>
      <c r="M172" s="1"/>
      <c r="N172" s="6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</row>
    <row r="173" spans="1:40" x14ac:dyDescent="0.25">
      <c r="A173">
        <v>497</v>
      </c>
      <c r="B173">
        <v>1</v>
      </c>
      <c r="C173" t="s">
        <v>206</v>
      </c>
      <c r="D173">
        <v>0</v>
      </c>
      <c r="E173" s="2" t="s">
        <v>90</v>
      </c>
      <c r="F173" s="2">
        <v>10</v>
      </c>
      <c r="G173" s="1">
        <v>15</v>
      </c>
      <c r="H173" s="1">
        <v>5</v>
      </c>
      <c r="I173" s="1">
        <v>2</v>
      </c>
      <c r="J173" s="1">
        <f t="shared" si="15"/>
        <v>6</v>
      </c>
      <c r="K173" s="3">
        <f t="shared" si="14"/>
        <v>0.4</v>
      </c>
      <c r="L173" s="1"/>
      <c r="M173" s="1"/>
      <c r="N173" s="6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</row>
    <row r="174" spans="1:40" x14ac:dyDescent="0.25">
      <c r="A174">
        <v>499</v>
      </c>
      <c r="B174">
        <v>1</v>
      </c>
      <c r="C174" t="s">
        <v>251</v>
      </c>
      <c r="D174">
        <v>0</v>
      </c>
      <c r="E174" s="2" t="s">
        <v>90</v>
      </c>
      <c r="F174" s="2">
        <v>10</v>
      </c>
      <c r="G174" s="1">
        <v>27</v>
      </c>
      <c r="H174" s="1">
        <v>12</v>
      </c>
      <c r="I174" s="1">
        <v>1</v>
      </c>
      <c r="J174" s="1">
        <f t="shared" si="15"/>
        <v>12.5</v>
      </c>
      <c r="K174" s="3">
        <f t="shared" si="14"/>
        <v>0.46296296296296297</v>
      </c>
      <c r="L174" s="1"/>
      <c r="M174" s="1"/>
      <c r="N174" s="6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</row>
    <row r="175" spans="1:40" x14ac:dyDescent="0.25">
      <c r="A175">
        <v>500</v>
      </c>
      <c r="B175">
        <v>1</v>
      </c>
      <c r="C175" t="s">
        <v>228</v>
      </c>
      <c r="D175">
        <v>0</v>
      </c>
      <c r="E175" s="2" t="s">
        <v>90</v>
      </c>
      <c r="F175" s="2">
        <v>10</v>
      </c>
      <c r="G175" s="1">
        <v>31</v>
      </c>
      <c r="H175" s="1">
        <v>5</v>
      </c>
      <c r="I175" s="1">
        <v>4</v>
      </c>
      <c r="J175" s="1">
        <f t="shared" si="15"/>
        <v>7</v>
      </c>
      <c r="K175" s="3">
        <f t="shared" si="14"/>
        <v>0.22580645161290322</v>
      </c>
      <c r="L175" s="1"/>
      <c r="M175" s="1"/>
      <c r="N175" s="6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</row>
    <row r="176" spans="1:40" x14ac:dyDescent="0.25">
      <c r="A176">
        <v>505</v>
      </c>
      <c r="B176">
        <v>1</v>
      </c>
      <c r="C176" t="s">
        <v>253</v>
      </c>
      <c r="D176">
        <v>0</v>
      </c>
      <c r="E176" s="2" t="s">
        <v>56</v>
      </c>
      <c r="F176" s="2">
        <v>8</v>
      </c>
      <c r="G176" s="1">
        <v>17</v>
      </c>
      <c r="H176" s="1">
        <v>6</v>
      </c>
      <c r="I176" s="1">
        <v>1</v>
      </c>
      <c r="J176" s="1">
        <f t="shared" si="15"/>
        <v>6.5</v>
      </c>
      <c r="K176" s="3">
        <f t="shared" si="14"/>
        <v>0.38235294117647056</v>
      </c>
      <c r="L176" s="1"/>
      <c r="M176" s="1"/>
      <c r="N176" s="6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</row>
    <row r="177" spans="1:40" x14ac:dyDescent="0.25">
      <c r="A177">
        <v>507</v>
      </c>
      <c r="B177">
        <v>1</v>
      </c>
      <c r="C177" t="s">
        <v>334</v>
      </c>
      <c r="D177">
        <v>0</v>
      </c>
      <c r="E177" s="2" t="s">
        <v>70</v>
      </c>
      <c r="F177" s="2">
        <v>9</v>
      </c>
      <c r="G177" s="1">
        <v>29</v>
      </c>
      <c r="H177" s="1">
        <v>5</v>
      </c>
      <c r="I177" s="1">
        <v>3</v>
      </c>
      <c r="J177" s="1">
        <f t="shared" si="15"/>
        <v>6.5</v>
      </c>
      <c r="K177" s="3">
        <f t="shared" si="14"/>
        <v>0.22413793103448276</v>
      </c>
      <c r="L177" s="1"/>
      <c r="M177" s="1"/>
      <c r="N177" s="6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</row>
    <row r="178" spans="1:40" x14ac:dyDescent="0.25">
      <c r="A178">
        <v>508</v>
      </c>
      <c r="B178">
        <v>1</v>
      </c>
      <c r="C178" t="s">
        <v>227</v>
      </c>
      <c r="D178">
        <v>0</v>
      </c>
      <c r="E178" s="2" t="s">
        <v>70</v>
      </c>
      <c r="F178" s="2">
        <v>9</v>
      </c>
      <c r="G178" s="1">
        <v>144</v>
      </c>
      <c r="H178" s="1">
        <v>50</v>
      </c>
      <c r="I178" s="1">
        <v>12</v>
      </c>
      <c r="J178" s="1">
        <f t="shared" si="15"/>
        <v>56</v>
      </c>
      <c r="K178" s="3">
        <f t="shared" si="14"/>
        <v>0.3888888888888889</v>
      </c>
      <c r="L178" s="1"/>
      <c r="M178" s="1"/>
      <c r="N178" s="6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</row>
    <row r="179" spans="1:40" x14ac:dyDescent="0.25">
      <c r="A179">
        <v>511</v>
      </c>
      <c r="B179">
        <v>1</v>
      </c>
      <c r="C179" t="s">
        <v>149</v>
      </c>
      <c r="D179">
        <v>0</v>
      </c>
      <c r="E179" s="2" t="s">
        <v>56</v>
      </c>
      <c r="F179" s="2">
        <v>8</v>
      </c>
      <c r="G179" s="1">
        <v>44</v>
      </c>
      <c r="H179" s="1">
        <v>22</v>
      </c>
      <c r="I179" s="1">
        <v>0</v>
      </c>
      <c r="J179" s="1">
        <f t="shared" si="15"/>
        <v>22</v>
      </c>
      <c r="K179" s="3">
        <f t="shared" si="14"/>
        <v>0.5</v>
      </c>
      <c r="L179" s="1"/>
      <c r="M179" s="1"/>
      <c r="N179" s="6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</row>
    <row r="180" spans="1:40" x14ac:dyDescent="0.25">
      <c r="A180">
        <v>513</v>
      </c>
      <c r="B180">
        <v>1</v>
      </c>
      <c r="C180" t="s">
        <v>94</v>
      </c>
      <c r="D180">
        <v>0</v>
      </c>
      <c r="E180" s="2" t="s">
        <v>56</v>
      </c>
      <c r="F180" s="2">
        <v>8</v>
      </c>
      <c r="G180" s="1">
        <v>21</v>
      </c>
      <c r="H180" s="1">
        <v>11</v>
      </c>
      <c r="I180" s="1">
        <v>4</v>
      </c>
      <c r="J180" s="1">
        <f t="shared" si="15"/>
        <v>13</v>
      </c>
      <c r="K180" s="3">
        <f t="shared" si="14"/>
        <v>0.61904761904761907</v>
      </c>
      <c r="L180" s="1"/>
      <c r="M180" s="1"/>
      <c r="N180" s="6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</row>
    <row r="181" spans="1:40" x14ac:dyDescent="0.25">
      <c r="A181">
        <v>514</v>
      </c>
      <c r="B181">
        <v>1</v>
      </c>
      <c r="C181" t="s">
        <v>212</v>
      </c>
      <c r="D181">
        <v>0</v>
      </c>
      <c r="E181" s="2" t="s">
        <v>56</v>
      </c>
      <c r="F181" s="2">
        <v>8</v>
      </c>
      <c r="G181" s="1">
        <v>11</v>
      </c>
      <c r="H181" s="1">
        <v>4</v>
      </c>
      <c r="I181" s="1">
        <v>1</v>
      </c>
      <c r="J181" s="1">
        <f t="shared" si="15"/>
        <v>4.5</v>
      </c>
      <c r="K181" s="3">
        <f t="shared" si="14"/>
        <v>0.40909090909090912</v>
      </c>
      <c r="L181" s="1"/>
      <c r="M181" s="1"/>
      <c r="N181" s="6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</row>
    <row r="182" spans="1:40" x14ac:dyDescent="0.25">
      <c r="A182">
        <v>516</v>
      </c>
      <c r="B182">
        <v>1</v>
      </c>
      <c r="C182" t="s">
        <v>347</v>
      </c>
      <c r="D182">
        <v>0</v>
      </c>
      <c r="E182" s="2" t="s">
        <v>56</v>
      </c>
      <c r="F182" s="2">
        <v>8</v>
      </c>
      <c r="G182" s="1">
        <v>0</v>
      </c>
      <c r="H182" s="1">
        <v>0</v>
      </c>
      <c r="I182" s="1">
        <v>0</v>
      </c>
      <c r="J182" s="1">
        <f t="shared" si="15"/>
        <v>0</v>
      </c>
      <c r="K182" s="3">
        <f t="shared" si="14"/>
        <v>0</v>
      </c>
      <c r="L182" s="1"/>
      <c r="M182" s="1"/>
      <c r="N182" s="6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</row>
    <row r="183" spans="1:40" x14ac:dyDescent="0.25">
      <c r="A183">
        <v>518</v>
      </c>
      <c r="B183">
        <v>1</v>
      </c>
      <c r="C183" t="s">
        <v>78</v>
      </c>
      <c r="D183">
        <v>0</v>
      </c>
      <c r="E183" s="2" t="s">
        <v>56</v>
      </c>
      <c r="F183" s="2">
        <v>8</v>
      </c>
      <c r="G183" s="1">
        <v>247</v>
      </c>
      <c r="H183" s="1">
        <v>162</v>
      </c>
      <c r="I183" s="1">
        <v>22</v>
      </c>
      <c r="J183" s="1">
        <f t="shared" si="15"/>
        <v>173</v>
      </c>
      <c r="K183" s="3">
        <f t="shared" si="14"/>
        <v>0.70040485829959509</v>
      </c>
      <c r="L183" s="1"/>
      <c r="M183" s="1"/>
      <c r="N183" s="6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</row>
    <row r="184" spans="1:40" x14ac:dyDescent="0.25">
      <c r="A184">
        <v>531</v>
      </c>
      <c r="B184">
        <v>1</v>
      </c>
      <c r="C184" t="s">
        <v>337</v>
      </c>
      <c r="D184">
        <v>0</v>
      </c>
      <c r="E184" s="2" t="s">
        <v>90</v>
      </c>
      <c r="F184" s="2">
        <v>10</v>
      </c>
      <c r="G184" s="1">
        <v>153</v>
      </c>
      <c r="H184" s="1">
        <v>21</v>
      </c>
      <c r="I184" s="1">
        <v>9</v>
      </c>
      <c r="J184" s="1">
        <f t="shared" si="15"/>
        <v>25.5</v>
      </c>
      <c r="K184" s="3">
        <f t="shared" si="14"/>
        <v>0.16666666666666666</v>
      </c>
      <c r="L184" s="1"/>
      <c r="M184" s="1"/>
      <c r="N184" s="6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</row>
    <row r="185" spans="1:40" x14ac:dyDescent="0.25">
      <c r="A185">
        <v>533</v>
      </c>
      <c r="B185">
        <v>1</v>
      </c>
      <c r="C185" t="s">
        <v>318</v>
      </c>
      <c r="D185">
        <v>0</v>
      </c>
      <c r="E185" s="2" t="s">
        <v>90</v>
      </c>
      <c r="F185" s="2">
        <v>10</v>
      </c>
      <c r="G185" s="1">
        <v>87</v>
      </c>
      <c r="H185" s="1">
        <v>15</v>
      </c>
      <c r="I185" s="1">
        <v>7</v>
      </c>
      <c r="J185" s="1">
        <f t="shared" si="15"/>
        <v>18.5</v>
      </c>
      <c r="K185" s="3">
        <f t="shared" si="14"/>
        <v>0.21264367816091953</v>
      </c>
      <c r="L185" s="1"/>
      <c r="M185" s="1"/>
      <c r="N185" s="6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</row>
    <row r="186" spans="1:40" x14ac:dyDescent="0.25">
      <c r="A186">
        <v>534</v>
      </c>
      <c r="B186">
        <v>1</v>
      </c>
      <c r="C186" t="s">
        <v>316</v>
      </c>
      <c r="D186">
        <v>0</v>
      </c>
      <c r="E186" s="2" t="s">
        <v>90</v>
      </c>
      <c r="F186" s="2">
        <v>10</v>
      </c>
      <c r="G186" s="1">
        <v>150</v>
      </c>
      <c r="H186" s="1">
        <v>30</v>
      </c>
      <c r="I186" s="1">
        <v>12</v>
      </c>
      <c r="J186" s="1">
        <f t="shared" si="15"/>
        <v>36</v>
      </c>
      <c r="K186" s="3">
        <f t="shared" si="14"/>
        <v>0.24</v>
      </c>
      <c r="L186" s="1"/>
      <c r="M186" s="1"/>
      <c r="N186" s="6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</row>
    <row r="187" spans="1:40" x14ac:dyDescent="0.25">
      <c r="A187">
        <v>535</v>
      </c>
      <c r="B187">
        <v>1</v>
      </c>
      <c r="C187" t="s">
        <v>273</v>
      </c>
      <c r="D187">
        <v>0</v>
      </c>
      <c r="E187" s="2" t="s">
        <v>90</v>
      </c>
      <c r="F187" s="2">
        <v>10</v>
      </c>
      <c r="G187" s="1">
        <v>1176</v>
      </c>
      <c r="H187" s="1">
        <v>375</v>
      </c>
      <c r="I187" s="1">
        <v>62</v>
      </c>
      <c r="J187" s="1">
        <f t="shared" si="15"/>
        <v>406</v>
      </c>
      <c r="K187" s="3">
        <f t="shared" si="14"/>
        <v>0.34523809523809523</v>
      </c>
      <c r="L187" s="1"/>
      <c r="M187" s="1"/>
      <c r="N187" s="6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</row>
    <row r="188" spans="1:40" x14ac:dyDescent="0.25">
      <c r="A188">
        <v>542</v>
      </c>
      <c r="B188">
        <v>1</v>
      </c>
      <c r="C188" t="s">
        <v>194</v>
      </c>
      <c r="D188">
        <v>0</v>
      </c>
      <c r="E188" s="2" t="s">
        <v>53</v>
      </c>
      <c r="F188" s="2">
        <v>4</v>
      </c>
      <c r="G188" s="1">
        <v>21</v>
      </c>
      <c r="H188" s="1">
        <v>8</v>
      </c>
      <c r="I188" s="1">
        <v>1</v>
      </c>
      <c r="J188" s="1">
        <f t="shared" si="15"/>
        <v>8.5</v>
      </c>
      <c r="K188" s="3">
        <f t="shared" si="14"/>
        <v>0.40476190476190477</v>
      </c>
      <c r="L188" s="1"/>
      <c r="M188" s="1"/>
      <c r="N188" s="6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</row>
    <row r="189" spans="1:40" x14ac:dyDescent="0.25">
      <c r="A189">
        <v>544</v>
      </c>
      <c r="B189">
        <v>1</v>
      </c>
      <c r="C189" t="s">
        <v>197</v>
      </c>
      <c r="D189">
        <v>0</v>
      </c>
      <c r="E189" s="2" t="s">
        <v>53</v>
      </c>
      <c r="F189" s="2">
        <v>4</v>
      </c>
      <c r="G189" s="1">
        <v>193</v>
      </c>
      <c r="H189" s="1">
        <v>70</v>
      </c>
      <c r="I189" s="1">
        <v>22</v>
      </c>
      <c r="J189" s="1">
        <f t="shared" si="15"/>
        <v>81</v>
      </c>
      <c r="K189" s="3">
        <f t="shared" si="14"/>
        <v>0.41968911917098445</v>
      </c>
      <c r="L189" s="1"/>
      <c r="M189" s="1"/>
      <c r="N189" s="6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</row>
    <row r="190" spans="1:40" x14ac:dyDescent="0.25">
      <c r="A190">
        <v>545</v>
      </c>
      <c r="B190">
        <v>1</v>
      </c>
      <c r="C190" t="s">
        <v>148</v>
      </c>
      <c r="D190">
        <v>0</v>
      </c>
      <c r="E190" s="2" t="s">
        <v>53</v>
      </c>
      <c r="F190" s="2">
        <v>4</v>
      </c>
      <c r="G190" s="1">
        <v>20</v>
      </c>
      <c r="H190" s="1">
        <v>7</v>
      </c>
      <c r="I190" s="1">
        <v>3</v>
      </c>
      <c r="J190" s="1">
        <f t="shared" si="15"/>
        <v>8.5</v>
      </c>
      <c r="K190" s="3">
        <f t="shared" si="14"/>
        <v>0.42499999999999999</v>
      </c>
      <c r="L190" s="1"/>
      <c r="M190" s="1"/>
      <c r="N190" s="6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</row>
    <row r="191" spans="1:40" x14ac:dyDescent="0.25">
      <c r="A191">
        <v>547</v>
      </c>
      <c r="B191">
        <v>1</v>
      </c>
      <c r="C191" t="s">
        <v>335</v>
      </c>
      <c r="D191">
        <v>0</v>
      </c>
      <c r="E191" s="2" t="s">
        <v>53</v>
      </c>
      <c r="F191" s="2">
        <v>4</v>
      </c>
      <c r="G191" s="1">
        <v>29</v>
      </c>
      <c r="H191" s="1">
        <v>4</v>
      </c>
      <c r="I191" s="1">
        <v>2</v>
      </c>
      <c r="J191" s="1">
        <f t="shared" si="15"/>
        <v>5</v>
      </c>
      <c r="K191" s="3">
        <f t="shared" si="14"/>
        <v>0.17241379310344829</v>
      </c>
      <c r="L191" s="1"/>
      <c r="M191" s="1"/>
      <c r="N191" s="6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</row>
    <row r="192" spans="1:40" x14ac:dyDescent="0.25">
      <c r="A192">
        <v>548</v>
      </c>
      <c r="B192">
        <v>1</v>
      </c>
      <c r="C192" t="s">
        <v>86</v>
      </c>
      <c r="D192">
        <v>0</v>
      </c>
      <c r="E192" s="2" t="s">
        <v>53</v>
      </c>
      <c r="F192" s="2">
        <v>4</v>
      </c>
      <c r="G192" s="1">
        <v>72</v>
      </c>
      <c r="H192" s="1">
        <v>39</v>
      </c>
      <c r="I192" s="1">
        <v>10</v>
      </c>
      <c r="J192" s="1">
        <f t="shared" si="15"/>
        <v>44</v>
      </c>
      <c r="K192" s="3">
        <f t="shared" si="14"/>
        <v>0.61111111111111116</v>
      </c>
      <c r="L192" s="1"/>
      <c r="M192" s="1"/>
      <c r="N192" s="6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</row>
    <row r="193" spans="1:40" x14ac:dyDescent="0.25">
      <c r="A193">
        <v>549</v>
      </c>
      <c r="B193">
        <v>1</v>
      </c>
      <c r="C193" t="s">
        <v>142</v>
      </c>
      <c r="D193">
        <v>0</v>
      </c>
      <c r="E193" s="2" t="s">
        <v>53</v>
      </c>
      <c r="F193" s="2">
        <v>4</v>
      </c>
      <c r="G193" s="1">
        <v>88</v>
      </c>
      <c r="H193" s="1">
        <v>38</v>
      </c>
      <c r="I193" s="1">
        <v>10</v>
      </c>
      <c r="J193" s="1">
        <f t="shared" si="15"/>
        <v>43</v>
      </c>
      <c r="K193" s="3">
        <f t="shared" si="14"/>
        <v>0.48863636363636365</v>
      </c>
      <c r="L193" s="1"/>
      <c r="M193" s="1"/>
      <c r="N193" s="6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</row>
    <row r="194" spans="1:40" x14ac:dyDescent="0.25">
      <c r="A194">
        <v>550</v>
      </c>
      <c r="B194">
        <v>1</v>
      </c>
      <c r="C194" t="s">
        <v>106</v>
      </c>
      <c r="D194">
        <v>0</v>
      </c>
      <c r="E194" s="2" t="s">
        <v>53</v>
      </c>
      <c r="F194" s="2">
        <v>4</v>
      </c>
      <c r="G194" s="1">
        <v>39</v>
      </c>
      <c r="H194" s="1">
        <v>20</v>
      </c>
      <c r="I194" s="1">
        <v>4</v>
      </c>
      <c r="J194" s="1">
        <f t="shared" si="15"/>
        <v>22</v>
      </c>
      <c r="K194" s="3">
        <f t="shared" si="14"/>
        <v>0.5641025641025641</v>
      </c>
      <c r="L194" s="1"/>
      <c r="M194" s="1"/>
      <c r="N194" s="6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</row>
    <row r="195" spans="1:40" x14ac:dyDescent="0.25">
      <c r="A195">
        <v>553</v>
      </c>
      <c r="B195">
        <v>1</v>
      </c>
      <c r="C195" t="s">
        <v>150</v>
      </c>
      <c r="D195">
        <v>0</v>
      </c>
      <c r="E195" s="2" t="s">
        <v>53</v>
      </c>
      <c r="F195" s="2">
        <v>4</v>
      </c>
      <c r="G195" s="1">
        <v>71</v>
      </c>
      <c r="H195" s="1">
        <v>26</v>
      </c>
      <c r="I195" s="1">
        <v>13</v>
      </c>
      <c r="J195" s="1">
        <f t="shared" si="15"/>
        <v>32.5</v>
      </c>
      <c r="K195" s="3">
        <f t="shared" si="14"/>
        <v>0.45774647887323944</v>
      </c>
      <c r="L195" s="1"/>
      <c r="M195" s="1"/>
      <c r="N195" s="6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</row>
    <row r="196" spans="1:40" x14ac:dyDescent="0.25">
      <c r="A196">
        <v>561</v>
      </c>
      <c r="B196">
        <v>1</v>
      </c>
      <c r="C196" t="s">
        <v>174</v>
      </c>
      <c r="D196">
        <v>0</v>
      </c>
      <c r="E196" s="2" t="s">
        <v>54</v>
      </c>
      <c r="F196" s="2">
        <v>1</v>
      </c>
      <c r="G196" s="1">
        <v>18</v>
      </c>
      <c r="H196" s="1">
        <v>8</v>
      </c>
      <c r="I196" s="1">
        <v>1</v>
      </c>
      <c r="J196" s="1">
        <f t="shared" si="15"/>
        <v>8.5</v>
      </c>
      <c r="K196" s="3">
        <f t="shared" si="14"/>
        <v>0.47222222222222221</v>
      </c>
      <c r="L196" s="1"/>
      <c r="M196" s="1"/>
      <c r="N196" s="6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</row>
    <row r="197" spans="1:40" x14ac:dyDescent="0.25">
      <c r="A197">
        <v>564</v>
      </c>
      <c r="B197">
        <v>1</v>
      </c>
      <c r="C197" t="s">
        <v>199</v>
      </c>
      <c r="D197">
        <v>0</v>
      </c>
      <c r="E197" s="2" t="s">
        <v>54</v>
      </c>
      <c r="F197" s="2">
        <v>1</v>
      </c>
      <c r="G197" s="1">
        <v>153</v>
      </c>
      <c r="H197" s="1">
        <v>54</v>
      </c>
      <c r="I197" s="1">
        <v>13</v>
      </c>
      <c r="J197" s="1">
        <f t="shared" si="15"/>
        <v>60.5</v>
      </c>
      <c r="K197" s="3">
        <f t="shared" si="14"/>
        <v>0.39542483660130717</v>
      </c>
      <c r="L197" s="1"/>
      <c r="M197" s="1"/>
      <c r="N197" s="6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</row>
    <row r="198" spans="1:40" x14ac:dyDescent="0.25">
      <c r="A198">
        <v>577</v>
      </c>
      <c r="B198">
        <v>1</v>
      </c>
      <c r="C198" t="s">
        <v>302</v>
      </c>
      <c r="D198">
        <v>0</v>
      </c>
      <c r="E198" s="2" t="s">
        <v>80</v>
      </c>
      <c r="F198" s="2">
        <v>7.1</v>
      </c>
      <c r="G198" s="1">
        <v>23</v>
      </c>
      <c r="H198" s="1">
        <v>6</v>
      </c>
      <c r="I198" s="1">
        <v>1</v>
      </c>
      <c r="J198" s="1">
        <f t="shared" si="15"/>
        <v>6.5</v>
      </c>
      <c r="K198" s="3">
        <f t="shared" si="14"/>
        <v>0.28260869565217389</v>
      </c>
      <c r="L198" s="1"/>
      <c r="M198" s="1"/>
      <c r="N198" s="6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</row>
    <row r="199" spans="1:40" x14ac:dyDescent="0.25">
      <c r="A199">
        <v>578</v>
      </c>
      <c r="B199">
        <v>1</v>
      </c>
      <c r="C199" t="s">
        <v>169</v>
      </c>
      <c r="D199">
        <v>0</v>
      </c>
      <c r="E199" s="2" t="s">
        <v>80</v>
      </c>
      <c r="F199" s="2">
        <v>7.1</v>
      </c>
      <c r="G199" s="1">
        <v>124</v>
      </c>
      <c r="H199" s="1">
        <v>56</v>
      </c>
      <c r="I199" s="1">
        <v>8</v>
      </c>
      <c r="J199" s="1">
        <f t="shared" si="15"/>
        <v>60</v>
      </c>
      <c r="K199" s="3">
        <f t="shared" si="14"/>
        <v>0.4838709677419355</v>
      </c>
      <c r="L199" s="1"/>
      <c r="M199" s="1"/>
      <c r="N199" s="6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</row>
    <row r="200" spans="1:40" x14ac:dyDescent="0.25">
      <c r="A200">
        <v>581</v>
      </c>
      <c r="B200">
        <v>1</v>
      </c>
      <c r="C200" t="s">
        <v>216</v>
      </c>
      <c r="D200">
        <v>0</v>
      </c>
      <c r="E200" s="2" t="s">
        <v>56</v>
      </c>
      <c r="F200" s="2">
        <v>8</v>
      </c>
      <c r="G200" s="1">
        <v>35</v>
      </c>
      <c r="H200" s="1">
        <v>11</v>
      </c>
      <c r="I200" s="1">
        <v>7</v>
      </c>
      <c r="J200" s="1">
        <f t="shared" si="15"/>
        <v>14.5</v>
      </c>
      <c r="K200" s="3">
        <f t="shared" si="14"/>
        <v>0.41428571428571431</v>
      </c>
      <c r="L200" s="1"/>
      <c r="M200" s="1"/>
      <c r="N200" s="6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</row>
    <row r="201" spans="1:40" x14ac:dyDescent="0.25">
      <c r="A201">
        <v>592</v>
      </c>
      <c r="B201">
        <v>1</v>
      </c>
      <c r="C201" t="s">
        <v>65</v>
      </c>
      <c r="D201">
        <v>0</v>
      </c>
      <c r="E201" s="2" t="s">
        <v>54</v>
      </c>
      <c r="F201" s="2">
        <v>1</v>
      </c>
      <c r="G201" s="1">
        <v>13</v>
      </c>
      <c r="H201" s="1">
        <v>8</v>
      </c>
      <c r="I201" s="1">
        <v>3</v>
      </c>
      <c r="J201" s="1">
        <f t="shared" si="15"/>
        <v>9.5</v>
      </c>
      <c r="K201" s="3">
        <f t="shared" si="14"/>
        <v>0.73076923076923073</v>
      </c>
      <c r="L201" s="1"/>
      <c r="M201" s="1"/>
      <c r="N201" s="6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</row>
    <row r="202" spans="1:40" x14ac:dyDescent="0.25">
      <c r="A202">
        <v>593</v>
      </c>
      <c r="B202">
        <v>1</v>
      </c>
      <c r="C202" t="s">
        <v>108</v>
      </c>
      <c r="D202">
        <v>0</v>
      </c>
      <c r="E202" s="2" t="s">
        <v>54</v>
      </c>
      <c r="F202" s="2">
        <v>1</v>
      </c>
      <c r="G202" s="1">
        <v>107</v>
      </c>
      <c r="H202" s="1">
        <v>58</v>
      </c>
      <c r="I202" s="1">
        <v>8</v>
      </c>
      <c r="J202" s="1">
        <f t="shared" si="15"/>
        <v>62</v>
      </c>
      <c r="K202" s="3">
        <f t="shared" si="14"/>
        <v>0.57943925233644855</v>
      </c>
      <c r="L202" s="1"/>
      <c r="M202" s="1"/>
      <c r="N202" s="6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</row>
    <row r="203" spans="1:40" x14ac:dyDescent="0.25">
      <c r="A203">
        <v>595</v>
      </c>
      <c r="B203">
        <v>1</v>
      </c>
      <c r="C203" t="s">
        <v>261</v>
      </c>
      <c r="D203">
        <v>0</v>
      </c>
      <c r="E203" s="2" t="s">
        <v>54</v>
      </c>
      <c r="F203" s="2">
        <v>1</v>
      </c>
      <c r="G203" s="1">
        <v>145</v>
      </c>
      <c r="H203" s="1">
        <v>45</v>
      </c>
      <c r="I203" s="1">
        <v>11</v>
      </c>
      <c r="J203" s="1">
        <f t="shared" si="15"/>
        <v>50.5</v>
      </c>
      <c r="K203" s="3">
        <f t="shared" si="14"/>
        <v>0.34827586206896549</v>
      </c>
      <c r="L203" s="1"/>
      <c r="M203" s="1"/>
      <c r="N203" s="6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</row>
    <row r="204" spans="1:40" x14ac:dyDescent="0.25">
      <c r="A204">
        <v>599</v>
      </c>
      <c r="B204">
        <v>1</v>
      </c>
      <c r="C204" t="s">
        <v>274</v>
      </c>
      <c r="D204">
        <v>0</v>
      </c>
      <c r="E204" s="2" t="s">
        <v>54</v>
      </c>
      <c r="F204" s="2">
        <v>1</v>
      </c>
      <c r="G204" s="1">
        <v>35</v>
      </c>
      <c r="H204" s="1">
        <v>11</v>
      </c>
      <c r="I204" s="1">
        <v>2</v>
      </c>
      <c r="J204" s="1">
        <f t="shared" si="15"/>
        <v>12</v>
      </c>
      <c r="K204" s="3">
        <f t="shared" si="14"/>
        <v>0.34285714285714286</v>
      </c>
      <c r="L204" s="1"/>
      <c r="M204" s="1"/>
      <c r="N204" s="6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</row>
    <row r="205" spans="1:40" x14ac:dyDescent="0.25">
      <c r="A205">
        <v>600</v>
      </c>
      <c r="B205">
        <v>1</v>
      </c>
      <c r="C205" t="s">
        <v>188</v>
      </c>
      <c r="D205">
        <v>0</v>
      </c>
      <c r="E205" s="2" t="s">
        <v>54</v>
      </c>
      <c r="F205" s="2">
        <v>1</v>
      </c>
      <c r="G205" s="1">
        <v>25</v>
      </c>
      <c r="H205" s="1">
        <v>9</v>
      </c>
      <c r="I205" s="1">
        <v>4</v>
      </c>
      <c r="J205" s="1">
        <f t="shared" si="15"/>
        <v>11</v>
      </c>
      <c r="K205" s="3">
        <f t="shared" si="14"/>
        <v>0.44</v>
      </c>
      <c r="L205" s="1"/>
      <c r="M205" s="1"/>
      <c r="N205" s="6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</row>
    <row r="206" spans="1:40" x14ac:dyDescent="0.25">
      <c r="A206">
        <v>601</v>
      </c>
      <c r="B206">
        <v>1</v>
      </c>
      <c r="C206" t="s">
        <v>102</v>
      </c>
      <c r="D206">
        <v>0</v>
      </c>
      <c r="E206" s="2" t="s">
        <v>54</v>
      </c>
      <c r="F206" s="2">
        <v>1</v>
      </c>
      <c r="G206" s="1">
        <v>44</v>
      </c>
      <c r="H206" s="1">
        <v>24</v>
      </c>
      <c r="I206" s="1">
        <v>5</v>
      </c>
      <c r="J206" s="1">
        <f t="shared" si="15"/>
        <v>26.5</v>
      </c>
      <c r="K206" s="3">
        <f t="shared" si="14"/>
        <v>0.60227272727272729</v>
      </c>
      <c r="L206" s="1"/>
      <c r="M206" s="1"/>
      <c r="N206" s="6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</row>
    <row r="207" spans="1:40" x14ac:dyDescent="0.25">
      <c r="A207">
        <v>611</v>
      </c>
      <c r="B207">
        <v>1</v>
      </c>
      <c r="C207" t="s">
        <v>254</v>
      </c>
      <c r="D207">
        <v>0</v>
      </c>
      <c r="E207" s="2" t="s">
        <v>53</v>
      </c>
      <c r="F207" s="2">
        <v>4</v>
      </c>
      <c r="G207" s="1">
        <v>4</v>
      </c>
      <c r="H207" s="1">
        <v>1</v>
      </c>
      <c r="I207" s="1">
        <v>1</v>
      </c>
      <c r="J207" s="1">
        <f t="shared" si="15"/>
        <v>1.5</v>
      </c>
      <c r="K207" s="3">
        <f t="shared" si="14"/>
        <v>0.375</v>
      </c>
      <c r="L207" s="1"/>
      <c r="M207" s="1"/>
      <c r="N207" s="6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</row>
    <row r="208" spans="1:40" x14ac:dyDescent="0.25">
      <c r="A208">
        <v>621</v>
      </c>
      <c r="B208">
        <v>1</v>
      </c>
      <c r="C208" t="s">
        <v>24</v>
      </c>
      <c r="D208">
        <v>1</v>
      </c>
      <c r="E208" s="2" t="s">
        <v>4</v>
      </c>
      <c r="F208" s="2">
        <v>11</v>
      </c>
      <c r="G208" s="1">
        <v>781</v>
      </c>
      <c r="H208" s="1">
        <v>207</v>
      </c>
      <c r="I208" s="1">
        <v>32</v>
      </c>
      <c r="J208" s="1">
        <f t="shared" si="15"/>
        <v>223</v>
      </c>
      <c r="K208" s="3">
        <f t="shared" si="14"/>
        <v>0.28553137003841228</v>
      </c>
      <c r="L208" s="1"/>
      <c r="M208" s="1"/>
      <c r="N208" s="6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</row>
    <row r="209" spans="1:40" x14ac:dyDescent="0.25">
      <c r="A209">
        <v>622</v>
      </c>
      <c r="B209">
        <v>1</v>
      </c>
      <c r="C209" t="s">
        <v>10</v>
      </c>
      <c r="D209">
        <v>1</v>
      </c>
      <c r="E209" s="2" t="s">
        <v>4</v>
      </c>
      <c r="F209" s="2">
        <v>11</v>
      </c>
      <c r="G209" s="1">
        <v>774</v>
      </c>
      <c r="H209" s="1">
        <v>342</v>
      </c>
      <c r="I209" s="1">
        <v>80</v>
      </c>
      <c r="J209" s="1">
        <f t="shared" si="15"/>
        <v>382</v>
      </c>
      <c r="K209" s="3">
        <f t="shared" si="14"/>
        <v>0.49354005167958659</v>
      </c>
      <c r="L209" s="1"/>
      <c r="M209" s="1"/>
      <c r="N209" s="6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</row>
    <row r="210" spans="1:40" x14ac:dyDescent="0.25">
      <c r="A210">
        <v>623</v>
      </c>
      <c r="B210">
        <v>1</v>
      </c>
      <c r="C210" t="s">
        <v>14</v>
      </c>
      <c r="D210">
        <v>1</v>
      </c>
      <c r="E210" s="2" t="s">
        <v>4</v>
      </c>
      <c r="F210" s="2">
        <v>11</v>
      </c>
      <c r="G210" s="1">
        <v>503</v>
      </c>
      <c r="H210" s="1">
        <v>183</v>
      </c>
      <c r="I210" s="1">
        <v>30</v>
      </c>
      <c r="J210" s="1">
        <f t="shared" si="15"/>
        <v>198</v>
      </c>
      <c r="K210" s="3">
        <f t="shared" si="14"/>
        <v>0.39363817097415504</v>
      </c>
      <c r="L210" s="1"/>
      <c r="M210" s="1"/>
      <c r="N210" s="6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</row>
    <row r="211" spans="1:40" x14ac:dyDescent="0.25">
      <c r="A211">
        <v>624</v>
      </c>
      <c r="B211">
        <v>1</v>
      </c>
      <c r="C211" t="s">
        <v>36</v>
      </c>
      <c r="D211">
        <v>1</v>
      </c>
      <c r="E211" s="2" t="s">
        <v>4</v>
      </c>
      <c r="F211" s="2">
        <v>11</v>
      </c>
      <c r="G211" s="1">
        <v>628</v>
      </c>
      <c r="H211" s="1">
        <v>137</v>
      </c>
      <c r="I211" s="1">
        <v>36</v>
      </c>
      <c r="J211" s="1">
        <f t="shared" si="15"/>
        <v>155</v>
      </c>
      <c r="K211" s="3">
        <f t="shared" si="14"/>
        <v>0.24681528662420382</v>
      </c>
      <c r="L211" s="1"/>
      <c r="M211" s="1"/>
      <c r="N211" s="6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</row>
    <row r="212" spans="1:40" x14ac:dyDescent="0.25">
      <c r="A212">
        <v>625</v>
      </c>
      <c r="B212">
        <v>1</v>
      </c>
      <c r="C212" t="s">
        <v>6</v>
      </c>
      <c r="D212">
        <v>1</v>
      </c>
      <c r="E212" s="2" t="s">
        <v>4</v>
      </c>
      <c r="F212" s="2">
        <v>11</v>
      </c>
      <c r="G212" s="1">
        <v>3479</v>
      </c>
      <c r="H212" s="1">
        <v>2242</v>
      </c>
      <c r="I212" s="1">
        <v>262</v>
      </c>
      <c r="J212" s="1">
        <f t="shared" si="15"/>
        <v>2373</v>
      </c>
      <c r="K212" s="3">
        <f t="shared" si="14"/>
        <v>0.68209255533199198</v>
      </c>
      <c r="L212" s="1"/>
      <c r="M212" s="1"/>
      <c r="N212" s="6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</row>
    <row r="213" spans="1:40" x14ac:dyDescent="0.25">
      <c r="A213">
        <v>628</v>
      </c>
      <c r="B213">
        <v>1</v>
      </c>
      <c r="C213" t="s">
        <v>130</v>
      </c>
      <c r="D213">
        <v>0</v>
      </c>
      <c r="E213" s="2" t="s">
        <v>54</v>
      </c>
      <c r="F213" s="2">
        <v>1</v>
      </c>
      <c r="G213" s="1">
        <v>34</v>
      </c>
      <c r="H213" s="1">
        <v>15</v>
      </c>
      <c r="I213" s="1">
        <v>5</v>
      </c>
      <c r="J213" s="1">
        <f t="shared" si="15"/>
        <v>17.5</v>
      </c>
      <c r="K213" s="3">
        <f t="shared" si="14"/>
        <v>0.51470588235294112</v>
      </c>
      <c r="L213" s="1"/>
      <c r="M213" s="1"/>
      <c r="N213" s="6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</row>
    <row r="214" spans="1:40" x14ac:dyDescent="0.25">
      <c r="A214">
        <v>630</v>
      </c>
      <c r="B214">
        <v>1</v>
      </c>
      <c r="C214" t="s">
        <v>267</v>
      </c>
      <c r="D214">
        <v>0</v>
      </c>
      <c r="E214" s="2" t="s">
        <v>54</v>
      </c>
      <c r="F214" s="2">
        <v>1</v>
      </c>
      <c r="G214" s="1">
        <v>25</v>
      </c>
      <c r="H214" s="1">
        <v>5</v>
      </c>
      <c r="I214" s="1">
        <v>4</v>
      </c>
      <c r="J214" s="1">
        <f t="shared" si="15"/>
        <v>7</v>
      </c>
      <c r="K214" s="3">
        <f t="shared" si="14"/>
        <v>0.28000000000000003</v>
      </c>
      <c r="L214" s="1"/>
      <c r="M214" s="1"/>
      <c r="N214" s="6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</row>
    <row r="215" spans="1:40" x14ac:dyDescent="0.25">
      <c r="A215">
        <v>635</v>
      </c>
      <c r="B215">
        <v>1</v>
      </c>
      <c r="C215" t="s">
        <v>348</v>
      </c>
      <c r="D215">
        <v>0</v>
      </c>
      <c r="E215" s="2" t="s">
        <v>56</v>
      </c>
      <c r="F215" s="2">
        <v>8</v>
      </c>
      <c r="G215" s="1">
        <v>0</v>
      </c>
      <c r="H215" s="1">
        <v>0</v>
      </c>
      <c r="I215" s="1">
        <v>0</v>
      </c>
      <c r="J215" s="1">
        <f t="shared" si="15"/>
        <v>0</v>
      </c>
      <c r="K215" s="3">
        <f t="shared" si="14"/>
        <v>0</v>
      </c>
      <c r="L215" s="1"/>
      <c r="M215" s="1"/>
      <c r="N215" s="6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</row>
    <row r="216" spans="1:40" x14ac:dyDescent="0.25">
      <c r="A216">
        <v>640</v>
      </c>
      <c r="B216">
        <v>1</v>
      </c>
      <c r="C216" t="s">
        <v>264</v>
      </c>
      <c r="D216">
        <v>0</v>
      </c>
      <c r="E216" s="2" t="s">
        <v>56</v>
      </c>
      <c r="F216" s="2">
        <v>8</v>
      </c>
      <c r="G216" s="1">
        <v>13</v>
      </c>
      <c r="H216" s="1">
        <v>3</v>
      </c>
      <c r="I216" s="1">
        <v>1</v>
      </c>
      <c r="J216" s="1">
        <f t="shared" si="15"/>
        <v>3.5</v>
      </c>
      <c r="K216" s="3">
        <f t="shared" si="14"/>
        <v>0.26923076923076922</v>
      </c>
      <c r="L216" s="1"/>
      <c r="M216" s="1"/>
      <c r="N216" s="6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</row>
    <row r="217" spans="1:40" x14ac:dyDescent="0.25">
      <c r="A217">
        <v>656</v>
      </c>
      <c r="B217">
        <v>1</v>
      </c>
      <c r="C217" t="s">
        <v>89</v>
      </c>
      <c r="D217">
        <v>0</v>
      </c>
      <c r="E217" s="2" t="s">
        <v>90</v>
      </c>
      <c r="F217" s="2">
        <v>10</v>
      </c>
      <c r="G217" s="1">
        <v>284</v>
      </c>
      <c r="H217" s="1">
        <v>170</v>
      </c>
      <c r="I217" s="1">
        <v>28</v>
      </c>
      <c r="J217" s="1">
        <f t="shared" si="15"/>
        <v>184</v>
      </c>
      <c r="K217" s="3">
        <f t="shared" si="14"/>
        <v>0.647887323943662</v>
      </c>
      <c r="L217" s="1"/>
      <c r="M217" s="1"/>
      <c r="N217" s="6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</row>
    <row r="218" spans="1:40" x14ac:dyDescent="0.25">
      <c r="A218">
        <v>659</v>
      </c>
      <c r="B218">
        <v>1</v>
      </c>
      <c r="C218" t="s">
        <v>241</v>
      </c>
      <c r="D218">
        <v>0</v>
      </c>
      <c r="E218" s="2" t="s">
        <v>90</v>
      </c>
      <c r="F218" s="2">
        <v>10</v>
      </c>
      <c r="G218" s="1">
        <v>281</v>
      </c>
      <c r="H218" s="1">
        <v>99</v>
      </c>
      <c r="I218" s="1">
        <v>14</v>
      </c>
      <c r="J218" s="1">
        <f t="shared" si="15"/>
        <v>106</v>
      </c>
      <c r="K218" s="3">
        <f t="shared" si="14"/>
        <v>0.37722419928825623</v>
      </c>
      <c r="L218" s="1"/>
      <c r="M218" s="1"/>
      <c r="N218" s="6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</row>
    <row r="219" spans="1:40" x14ac:dyDescent="0.25">
      <c r="A219">
        <v>671</v>
      </c>
      <c r="B219">
        <v>1</v>
      </c>
      <c r="C219" t="s">
        <v>306</v>
      </c>
      <c r="D219">
        <v>0</v>
      </c>
      <c r="E219" s="2" t="s">
        <v>56</v>
      </c>
      <c r="F219" s="2">
        <v>8</v>
      </c>
      <c r="G219" s="1">
        <v>25</v>
      </c>
      <c r="H219" s="1">
        <v>6</v>
      </c>
      <c r="I219" s="1">
        <v>2</v>
      </c>
      <c r="J219" s="1">
        <f t="shared" si="15"/>
        <v>7</v>
      </c>
      <c r="K219" s="3">
        <f t="shared" si="14"/>
        <v>0.28000000000000003</v>
      </c>
      <c r="L219" s="1"/>
      <c r="M219" s="1"/>
      <c r="N219" s="6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</row>
    <row r="220" spans="1:40" x14ac:dyDescent="0.25">
      <c r="A220">
        <v>676</v>
      </c>
      <c r="B220">
        <v>1</v>
      </c>
      <c r="C220" t="s">
        <v>210</v>
      </c>
      <c r="D220">
        <v>0</v>
      </c>
      <c r="E220" s="2" t="s">
        <v>54</v>
      </c>
      <c r="F220" s="2">
        <v>1</v>
      </c>
      <c r="G220" s="1">
        <v>20</v>
      </c>
      <c r="H220" s="1">
        <v>6</v>
      </c>
      <c r="I220" s="1">
        <v>3</v>
      </c>
      <c r="J220" s="1">
        <f t="shared" si="15"/>
        <v>7.5</v>
      </c>
      <c r="K220" s="3">
        <f t="shared" ref="K220:K283" si="16">IF(G220=0,0,J220/G220)</f>
        <v>0.375</v>
      </c>
      <c r="L220" s="1"/>
      <c r="M220" s="1"/>
      <c r="N220" s="6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</row>
    <row r="221" spans="1:40" x14ac:dyDescent="0.25">
      <c r="A221">
        <v>682</v>
      </c>
      <c r="B221">
        <v>1</v>
      </c>
      <c r="C221" t="s">
        <v>311</v>
      </c>
      <c r="D221">
        <v>0</v>
      </c>
      <c r="E221" s="2" t="s">
        <v>54</v>
      </c>
      <c r="F221" s="2">
        <v>1</v>
      </c>
      <c r="G221" s="1">
        <v>95</v>
      </c>
      <c r="H221" s="1">
        <v>21</v>
      </c>
      <c r="I221" s="1">
        <v>9</v>
      </c>
      <c r="J221" s="1">
        <f t="shared" ref="J221:J284" si="17">H221+I221*0.5</f>
        <v>25.5</v>
      </c>
      <c r="K221" s="3">
        <f t="shared" si="16"/>
        <v>0.26842105263157895</v>
      </c>
      <c r="L221" s="1"/>
      <c r="M221" s="1"/>
      <c r="N221" s="6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</row>
    <row r="222" spans="1:40" x14ac:dyDescent="0.25">
      <c r="A222">
        <v>690</v>
      </c>
      <c r="B222">
        <v>1</v>
      </c>
      <c r="C222" t="s">
        <v>116</v>
      </c>
      <c r="D222">
        <v>0</v>
      </c>
      <c r="E222" s="2" t="s">
        <v>54</v>
      </c>
      <c r="F222" s="2">
        <v>1</v>
      </c>
      <c r="G222" s="1">
        <v>66</v>
      </c>
      <c r="H222" s="1">
        <v>27</v>
      </c>
      <c r="I222" s="1">
        <v>11</v>
      </c>
      <c r="J222" s="1">
        <f t="shared" si="17"/>
        <v>32.5</v>
      </c>
      <c r="K222" s="3">
        <f t="shared" si="16"/>
        <v>0.49242424242424243</v>
      </c>
      <c r="L222" s="1"/>
      <c r="M222" s="1"/>
      <c r="N222" s="6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</row>
    <row r="223" spans="1:40" x14ac:dyDescent="0.25">
      <c r="A223">
        <v>695</v>
      </c>
      <c r="B223">
        <v>1</v>
      </c>
      <c r="C223" t="s">
        <v>217</v>
      </c>
      <c r="D223">
        <v>0</v>
      </c>
      <c r="E223" s="2" t="s">
        <v>75</v>
      </c>
      <c r="F223" s="2">
        <v>3</v>
      </c>
      <c r="G223" s="1">
        <v>62</v>
      </c>
      <c r="H223" s="1">
        <v>26</v>
      </c>
      <c r="I223" s="1">
        <v>3</v>
      </c>
      <c r="J223" s="1">
        <f t="shared" si="17"/>
        <v>27.5</v>
      </c>
      <c r="K223" s="3">
        <f t="shared" si="16"/>
        <v>0.44354838709677419</v>
      </c>
      <c r="L223" s="1"/>
      <c r="M223" s="1"/>
      <c r="N223" s="6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</row>
    <row r="224" spans="1:40" x14ac:dyDescent="0.25">
      <c r="A224">
        <v>696</v>
      </c>
      <c r="B224">
        <v>1</v>
      </c>
      <c r="C224" t="s">
        <v>333</v>
      </c>
      <c r="D224">
        <v>0</v>
      </c>
      <c r="E224" s="2" t="s">
        <v>75</v>
      </c>
      <c r="F224" s="2">
        <v>3</v>
      </c>
      <c r="G224" s="1">
        <v>55</v>
      </c>
      <c r="H224" s="1">
        <v>11</v>
      </c>
      <c r="I224" s="1">
        <v>2</v>
      </c>
      <c r="J224" s="1">
        <f t="shared" si="17"/>
        <v>12</v>
      </c>
      <c r="K224" s="3">
        <f t="shared" si="16"/>
        <v>0.21818181818181817</v>
      </c>
      <c r="L224" s="1"/>
      <c r="M224" s="1"/>
      <c r="N224" s="6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</row>
    <row r="225" spans="1:40" x14ac:dyDescent="0.25">
      <c r="A225">
        <v>698</v>
      </c>
      <c r="B225">
        <v>1</v>
      </c>
      <c r="C225" t="s">
        <v>175</v>
      </c>
      <c r="D225">
        <v>0</v>
      </c>
      <c r="E225" s="2" t="s">
        <v>75</v>
      </c>
      <c r="F225" s="2">
        <v>3</v>
      </c>
      <c r="G225" s="1">
        <v>14</v>
      </c>
      <c r="H225" s="1">
        <v>7</v>
      </c>
      <c r="I225" s="1">
        <v>1</v>
      </c>
      <c r="J225" s="1">
        <f t="shared" si="17"/>
        <v>7.5</v>
      </c>
      <c r="K225" s="3">
        <f t="shared" si="16"/>
        <v>0.5357142857142857</v>
      </c>
      <c r="L225" s="1"/>
      <c r="M225" s="1"/>
      <c r="N225" s="6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</row>
    <row r="226" spans="1:40" x14ac:dyDescent="0.25">
      <c r="A226">
        <v>700</v>
      </c>
      <c r="B226">
        <v>1</v>
      </c>
      <c r="C226" t="s">
        <v>317</v>
      </c>
      <c r="D226">
        <v>0</v>
      </c>
      <c r="E226" s="2" t="s">
        <v>75</v>
      </c>
      <c r="F226" s="2">
        <v>3</v>
      </c>
      <c r="G226" s="1">
        <v>125</v>
      </c>
      <c r="H226" s="1">
        <v>28</v>
      </c>
      <c r="I226" s="1">
        <v>5</v>
      </c>
      <c r="J226" s="1">
        <f t="shared" si="17"/>
        <v>30.5</v>
      </c>
      <c r="K226" s="3">
        <f t="shared" si="16"/>
        <v>0.24399999999999999</v>
      </c>
      <c r="L226" s="1"/>
      <c r="M226" s="1"/>
      <c r="N226" s="6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</row>
    <row r="227" spans="1:40" x14ac:dyDescent="0.25">
      <c r="A227">
        <v>701</v>
      </c>
      <c r="B227">
        <v>1</v>
      </c>
      <c r="C227" t="s">
        <v>111</v>
      </c>
      <c r="D227">
        <v>0</v>
      </c>
      <c r="E227" s="2" t="s">
        <v>75</v>
      </c>
      <c r="F227" s="2">
        <v>3</v>
      </c>
      <c r="G227" s="1">
        <v>212</v>
      </c>
      <c r="H227" s="1">
        <v>128</v>
      </c>
      <c r="I227" s="1">
        <v>14</v>
      </c>
      <c r="J227" s="1">
        <f t="shared" si="17"/>
        <v>135</v>
      </c>
      <c r="K227" s="3">
        <f t="shared" si="16"/>
        <v>0.6367924528301887</v>
      </c>
      <c r="L227" s="1"/>
      <c r="M227" s="1"/>
      <c r="N227" s="6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</row>
    <row r="228" spans="1:40" x14ac:dyDescent="0.25">
      <c r="A228">
        <v>704</v>
      </c>
      <c r="B228">
        <v>1</v>
      </c>
      <c r="C228" t="s">
        <v>339</v>
      </c>
      <c r="D228">
        <v>0</v>
      </c>
      <c r="E228" s="2" t="s">
        <v>75</v>
      </c>
      <c r="F228" s="2">
        <v>3</v>
      </c>
      <c r="G228" s="1">
        <v>111</v>
      </c>
      <c r="H228" s="1">
        <v>20</v>
      </c>
      <c r="I228" s="1">
        <v>4</v>
      </c>
      <c r="J228" s="1">
        <f t="shared" si="17"/>
        <v>22</v>
      </c>
      <c r="K228" s="3">
        <f t="shared" si="16"/>
        <v>0.1981981981981982</v>
      </c>
      <c r="L228" s="1"/>
      <c r="M228" s="1"/>
      <c r="N228" s="6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</row>
    <row r="229" spans="1:40" x14ac:dyDescent="0.25">
      <c r="A229">
        <v>706</v>
      </c>
      <c r="B229">
        <v>1</v>
      </c>
      <c r="C229" t="s">
        <v>168</v>
      </c>
      <c r="D229">
        <v>0</v>
      </c>
      <c r="E229" s="2" t="s">
        <v>75</v>
      </c>
      <c r="F229" s="2">
        <v>3</v>
      </c>
      <c r="G229" s="1">
        <v>168</v>
      </c>
      <c r="H229" s="1">
        <v>74</v>
      </c>
      <c r="I229" s="1">
        <v>10</v>
      </c>
      <c r="J229" s="1">
        <f t="shared" si="17"/>
        <v>79</v>
      </c>
      <c r="K229" s="3">
        <f t="shared" si="16"/>
        <v>0.47023809523809523</v>
      </c>
      <c r="L229" s="1"/>
      <c r="M229" s="1"/>
      <c r="N229" s="6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</row>
    <row r="230" spans="1:40" x14ac:dyDescent="0.25">
      <c r="A230">
        <v>707</v>
      </c>
      <c r="B230">
        <v>1</v>
      </c>
      <c r="C230" t="s">
        <v>76</v>
      </c>
      <c r="D230">
        <v>0</v>
      </c>
      <c r="E230" s="2" t="s">
        <v>75</v>
      </c>
      <c r="F230" s="2">
        <v>3</v>
      </c>
      <c r="G230" s="1">
        <v>9</v>
      </c>
      <c r="H230" s="1">
        <v>6</v>
      </c>
      <c r="I230" s="1">
        <v>1</v>
      </c>
      <c r="J230" s="1">
        <f t="shared" si="17"/>
        <v>6.5</v>
      </c>
      <c r="K230" s="3">
        <f t="shared" si="16"/>
        <v>0.72222222222222221</v>
      </c>
      <c r="L230" s="1"/>
      <c r="M230" s="1"/>
      <c r="N230" s="6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</row>
    <row r="231" spans="1:40" x14ac:dyDescent="0.25">
      <c r="A231">
        <v>709</v>
      </c>
      <c r="B231">
        <v>1</v>
      </c>
      <c r="C231" t="s">
        <v>162</v>
      </c>
      <c r="D231">
        <v>0</v>
      </c>
      <c r="E231" s="2" t="s">
        <v>75</v>
      </c>
      <c r="F231" s="2">
        <v>3</v>
      </c>
      <c r="G231" s="1">
        <v>704</v>
      </c>
      <c r="H231" s="1">
        <v>333</v>
      </c>
      <c r="I231" s="1">
        <v>42</v>
      </c>
      <c r="J231" s="1">
        <f t="shared" si="17"/>
        <v>354</v>
      </c>
      <c r="K231" s="3">
        <f t="shared" si="16"/>
        <v>0.50284090909090906</v>
      </c>
      <c r="L231" s="1"/>
      <c r="M231" s="1"/>
      <c r="N231" s="6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</row>
    <row r="232" spans="1:40" x14ac:dyDescent="0.25">
      <c r="A232">
        <v>712</v>
      </c>
      <c r="B232">
        <v>1</v>
      </c>
      <c r="C232" t="s">
        <v>163</v>
      </c>
      <c r="D232">
        <v>0</v>
      </c>
      <c r="E232" s="2" t="s">
        <v>75</v>
      </c>
      <c r="F232" s="2">
        <v>3</v>
      </c>
      <c r="G232" s="1">
        <v>32</v>
      </c>
      <c r="H232" s="1">
        <v>13</v>
      </c>
      <c r="I232" s="1">
        <v>2</v>
      </c>
      <c r="J232" s="1">
        <f t="shared" si="17"/>
        <v>14</v>
      </c>
      <c r="K232" s="3">
        <f t="shared" si="16"/>
        <v>0.4375</v>
      </c>
      <c r="L232" s="1"/>
      <c r="M232" s="1"/>
      <c r="N232" s="6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</row>
    <row r="233" spans="1:40" x14ac:dyDescent="0.25">
      <c r="A233">
        <v>716</v>
      </c>
      <c r="B233">
        <v>1</v>
      </c>
      <c r="C233" t="s">
        <v>41</v>
      </c>
      <c r="D233">
        <v>1</v>
      </c>
      <c r="E233" s="2" t="s">
        <v>4</v>
      </c>
      <c r="F233" s="2">
        <v>11</v>
      </c>
      <c r="G233" s="1">
        <v>144</v>
      </c>
      <c r="H233" s="1">
        <v>22</v>
      </c>
      <c r="I233" s="1">
        <v>5</v>
      </c>
      <c r="J233" s="1">
        <f t="shared" si="17"/>
        <v>24.5</v>
      </c>
      <c r="K233" s="3">
        <f t="shared" si="16"/>
        <v>0.1701388888888889</v>
      </c>
      <c r="L233" s="1"/>
      <c r="M233" s="1"/>
      <c r="N233" s="6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</row>
    <row r="234" spans="1:40" x14ac:dyDescent="0.25">
      <c r="A234">
        <v>717</v>
      </c>
      <c r="B234">
        <v>1</v>
      </c>
      <c r="C234" t="s">
        <v>28</v>
      </c>
      <c r="D234">
        <v>1</v>
      </c>
      <c r="E234" s="2" t="s">
        <v>4</v>
      </c>
      <c r="F234" s="2">
        <v>11</v>
      </c>
      <c r="G234" s="1">
        <v>127</v>
      </c>
      <c r="H234" s="1">
        <v>29</v>
      </c>
      <c r="I234" s="1">
        <v>6</v>
      </c>
      <c r="J234" s="1">
        <f t="shared" si="17"/>
        <v>32</v>
      </c>
      <c r="K234" s="3">
        <f t="shared" si="16"/>
        <v>0.25196850393700787</v>
      </c>
      <c r="L234" s="1"/>
      <c r="M234" s="1"/>
      <c r="N234" s="6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</row>
    <row r="235" spans="1:40" x14ac:dyDescent="0.25">
      <c r="A235">
        <v>719</v>
      </c>
      <c r="B235">
        <v>1</v>
      </c>
      <c r="C235" t="s">
        <v>47</v>
      </c>
      <c r="D235">
        <v>1</v>
      </c>
      <c r="E235" s="2" t="s">
        <v>4</v>
      </c>
      <c r="F235" s="2">
        <v>11</v>
      </c>
      <c r="G235" s="1">
        <v>508</v>
      </c>
      <c r="H235" s="1">
        <v>54</v>
      </c>
      <c r="I235" s="1">
        <v>14</v>
      </c>
      <c r="J235" s="1">
        <f t="shared" si="17"/>
        <v>61</v>
      </c>
      <c r="K235" s="3">
        <f t="shared" si="16"/>
        <v>0.12007874015748031</v>
      </c>
      <c r="L235" s="1"/>
      <c r="M235" s="1"/>
      <c r="N235" s="6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</row>
    <row r="236" spans="1:40" x14ac:dyDescent="0.25">
      <c r="A236">
        <v>720</v>
      </c>
      <c r="B236">
        <v>1</v>
      </c>
      <c r="C236" t="s">
        <v>23</v>
      </c>
      <c r="D236">
        <v>1</v>
      </c>
      <c r="E236" s="2" t="s">
        <v>4</v>
      </c>
      <c r="F236" s="2">
        <v>11</v>
      </c>
      <c r="G236" s="1">
        <v>620</v>
      </c>
      <c r="H236" s="1">
        <v>189</v>
      </c>
      <c r="I236" s="1">
        <v>29</v>
      </c>
      <c r="J236" s="1">
        <f t="shared" si="17"/>
        <v>203.5</v>
      </c>
      <c r="K236" s="3">
        <f t="shared" si="16"/>
        <v>0.32822580645161292</v>
      </c>
      <c r="L236" s="1"/>
      <c r="M236" s="1"/>
      <c r="N236" s="6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</row>
    <row r="237" spans="1:40" x14ac:dyDescent="0.25">
      <c r="A237">
        <v>721</v>
      </c>
      <c r="B237">
        <v>1</v>
      </c>
      <c r="C237" t="s">
        <v>40</v>
      </c>
      <c r="D237">
        <v>1</v>
      </c>
      <c r="E237" s="2" t="s">
        <v>4</v>
      </c>
      <c r="F237" s="2">
        <v>11</v>
      </c>
      <c r="G237" s="1">
        <v>287</v>
      </c>
      <c r="H237" s="1">
        <v>41</v>
      </c>
      <c r="I237" s="1">
        <v>11</v>
      </c>
      <c r="J237" s="1">
        <f t="shared" si="17"/>
        <v>46.5</v>
      </c>
      <c r="K237" s="3">
        <f t="shared" si="16"/>
        <v>0.16202090592334495</v>
      </c>
      <c r="L237" s="1"/>
      <c r="M237" s="1"/>
      <c r="N237" s="6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</row>
    <row r="238" spans="1:40" x14ac:dyDescent="0.25">
      <c r="A238">
        <v>726</v>
      </c>
      <c r="B238">
        <v>1</v>
      </c>
      <c r="C238" t="s">
        <v>336</v>
      </c>
      <c r="D238">
        <v>0</v>
      </c>
      <c r="E238" s="2" t="s">
        <v>135</v>
      </c>
      <c r="F238" s="2">
        <v>7.2</v>
      </c>
      <c r="G238" s="1">
        <v>201</v>
      </c>
      <c r="H238" s="1">
        <v>30</v>
      </c>
      <c r="I238" s="1">
        <v>14</v>
      </c>
      <c r="J238" s="1">
        <f t="shared" si="17"/>
        <v>37</v>
      </c>
      <c r="K238" s="3">
        <f t="shared" si="16"/>
        <v>0.18407960199004975</v>
      </c>
      <c r="L238" s="1"/>
      <c r="M238" s="1"/>
      <c r="N238" s="6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</row>
    <row r="239" spans="1:40" x14ac:dyDescent="0.25">
      <c r="A239">
        <v>727</v>
      </c>
      <c r="B239">
        <v>1</v>
      </c>
      <c r="C239" t="s">
        <v>312</v>
      </c>
      <c r="D239">
        <v>0</v>
      </c>
      <c r="E239" s="2" t="s">
        <v>135</v>
      </c>
      <c r="F239" s="2">
        <v>7.2</v>
      </c>
      <c r="G239" s="1">
        <v>249</v>
      </c>
      <c r="H239" s="1">
        <v>52</v>
      </c>
      <c r="I239" s="1">
        <v>25</v>
      </c>
      <c r="J239" s="1">
        <f t="shared" si="17"/>
        <v>64.5</v>
      </c>
      <c r="K239" s="3">
        <f t="shared" si="16"/>
        <v>0.25903614457831325</v>
      </c>
      <c r="L239" s="1"/>
      <c r="M239" s="1"/>
      <c r="N239" s="6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</row>
    <row r="240" spans="1:40" x14ac:dyDescent="0.25">
      <c r="A240">
        <v>728</v>
      </c>
      <c r="B240">
        <v>1</v>
      </c>
      <c r="C240" t="s">
        <v>332</v>
      </c>
      <c r="D240">
        <v>0</v>
      </c>
      <c r="E240" s="2" t="s">
        <v>135</v>
      </c>
      <c r="F240" s="2">
        <v>7.2</v>
      </c>
      <c r="G240" s="1">
        <v>896</v>
      </c>
      <c r="H240" s="1">
        <v>182</v>
      </c>
      <c r="I240" s="1">
        <v>57</v>
      </c>
      <c r="J240" s="1">
        <f t="shared" si="17"/>
        <v>210.5</v>
      </c>
      <c r="K240" s="3">
        <f t="shared" si="16"/>
        <v>0.23493303571428573</v>
      </c>
      <c r="L240" s="1"/>
      <c r="M240" s="1"/>
      <c r="N240" s="6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</row>
    <row r="241" spans="1:40" x14ac:dyDescent="0.25">
      <c r="A241">
        <v>738</v>
      </c>
      <c r="B241">
        <v>1</v>
      </c>
      <c r="C241" t="s">
        <v>313</v>
      </c>
      <c r="D241">
        <v>0</v>
      </c>
      <c r="E241" s="2" t="s">
        <v>135</v>
      </c>
      <c r="F241" s="2">
        <v>7.2</v>
      </c>
      <c r="G241" s="1">
        <v>80</v>
      </c>
      <c r="H241" s="1">
        <v>19</v>
      </c>
      <c r="I241" s="1">
        <v>4</v>
      </c>
      <c r="J241" s="1">
        <f t="shared" si="17"/>
        <v>21</v>
      </c>
      <c r="K241" s="3">
        <f t="shared" si="16"/>
        <v>0.26250000000000001</v>
      </c>
      <c r="L241" s="1"/>
      <c r="M241" s="1"/>
      <c r="N241" s="6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</row>
    <row r="242" spans="1:40" x14ac:dyDescent="0.25">
      <c r="A242">
        <v>739</v>
      </c>
      <c r="B242">
        <v>1</v>
      </c>
      <c r="C242" t="s">
        <v>293</v>
      </c>
      <c r="D242">
        <v>0</v>
      </c>
      <c r="E242" s="2" t="s">
        <v>135</v>
      </c>
      <c r="F242" s="2">
        <v>7.2</v>
      </c>
      <c r="G242" s="1">
        <v>50</v>
      </c>
      <c r="H242" s="1">
        <v>10</v>
      </c>
      <c r="I242" s="1">
        <v>6</v>
      </c>
      <c r="J242" s="1">
        <f t="shared" si="17"/>
        <v>13</v>
      </c>
      <c r="K242" s="3">
        <f t="shared" si="16"/>
        <v>0.26</v>
      </c>
      <c r="L242" s="1"/>
      <c r="M242" s="1"/>
      <c r="N242" s="6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</row>
    <row r="243" spans="1:40" x14ac:dyDescent="0.25">
      <c r="A243">
        <v>740</v>
      </c>
      <c r="B243">
        <v>1</v>
      </c>
      <c r="C243" t="s">
        <v>170</v>
      </c>
      <c r="D243">
        <v>0</v>
      </c>
      <c r="E243" s="2" t="s">
        <v>135</v>
      </c>
      <c r="F243" s="2">
        <v>7.2</v>
      </c>
      <c r="G243" s="1">
        <v>74</v>
      </c>
      <c r="H243" s="1">
        <v>34</v>
      </c>
      <c r="I243" s="1">
        <v>10</v>
      </c>
      <c r="J243" s="1">
        <f t="shared" si="17"/>
        <v>39</v>
      </c>
      <c r="K243" s="3">
        <f t="shared" si="16"/>
        <v>0.52702702702702697</v>
      </c>
      <c r="L243" s="1"/>
      <c r="M243" s="1"/>
      <c r="N243" s="6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</row>
    <row r="244" spans="1:40" x14ac:dyDescent="0.25">
      <c r="A244">
        <v>741</v>
      </c>
      <c r="B244">
        <v>1</v>
      </c>
      <c r="C244" t="s">
        <v>219</v>
      </c>
      <c r="D244">
        <v>0</v>
      </c>
      <c r="E244" s="2" t="s">
        <v>135</v>
      </c>
      <c r="F244" s="2">
        <v>7.2</v>
      </c>
      <c r="G244" s="1">
        <v>77</v>
      </c>
      <c r="H244" s="1">
        <v>18</v>
      </c>
      <c r="I244" s="1">
        <v>12</v>
      </c>
      <c r="J244" s="1">
        <f t="shared" si="17"/>
        <v>24</v>
      </c>
      <c r="K244" s="3">
        <f t="shared" si="16"/>
        <v>0.31168831168831168</v>
      </c>
      <c r="L244" s="1"/>
      <c r="M244" s="1"/>
      <c r="N244" s="6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</row>
    <row r="245" spans="1:40" x14ac:dyDescent="0.25">
      <c r="A245">
        <v>742</v>
      </c>
      <c r="B245">
        <v>1</v>
      </c>
      <c r="C245" t="s">
        <v>134</v>
      </c>
      <c r="D245">
        <v>0</v>
      </c>
      <c r="E245" s="2" t="s">
        <v>135</v>
      </c>
      <c r="F245" s="2">
        <v>7.2</v>
      </c>
      <c r="G245" s="1">
        <v>815</v>
      </c>
      <c r="H245" s="1">
        <v>418</v>
      </c>
      <c r="I245" s="1">
        <v>57</v>
      </c>
      <c r="J245" s="1">
        <f t="shared" si="17"/>
        <v>446.5</v>
      </c>
      <c r="K245" s="3">
        <f t="shared" si="16"/>
        <v>0.54785276073619626</v>
      </c>
      <c r="L245" s="1"/>
      <c r="M245" s="1"/>
      <c r="N245" s="6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</row>
    <row r="246" spans="1:40" x14ac:dyDescent="0.25">
      <c r="A246">
        <v>743</v>
      </c>
      <c r="B246">
        <v>1</v>
      </c>
      <c r="C246" t="s">
        <v>224</v>
      </c>
      <c r="D246">
        <v>0</v>
      </c>
      <c r="E246" s="2" t="s">
        <v>135</v>
      </c>
      <c r="F246" s="2">
        <v>7.2</v>
      </c>
      <c r="G246" s="1">
        <v>70</v>
      </c>
      <c r="H246" s="1">
        <v>29</v>
      </c>
      <c r="I246" s="1">
        <v>5</v>
      </c>
      <c r="J246" s="1">
        <f t="shared" si="17"/>
        <v>31.5</v>
      </c>
      <c r="K246" s="3">
        <f t="shared" si="16"/>
        <v>0.45</v>
      </c>
      <c r="L246" s="1"/>
      <c r="M246" s="1"/>
      <c r="N246" s="6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</row>
    <row r="247" spans="1:40" x14ac:dyDescent="0.25">
      <c r="A247">
        <v>745</v>
      </c>
      <c r="B247">
        <v>1</v>
      </c>
      <c r="C247" t="s">
        <v>327</v>
      </c>
      <c r="D247">
        <v>0</v>
      </c>
      <c r="E247" s="2" t="s">
        <v>135</v>
      </c>
      <c r="F247" s="2">
        <v>7.2</v>
      </c>
      <c r="G247" s="1">
        <v>135</v>
      </c>
      <c r="H247" s="1">
        <v>23</v>
      </c>
      <c r="I247" s="1">
        <v>11</v>
      </c>
      <c r="J247" s="1">
        <f t="shared" si="17"/>
        <v>28.5</v>
      </c>
      <c r="K247" s="3">
        <f t="shared" si="16"/>
        <v>0.21111111111111111</v>
      </c>
      <c r="L247" s="1"/>
      <c r="M247" s="1"/>
      <c r="N247" s="6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</row>
    <row r="248" spans="1:40" x14ac:dyDescent="0.25">
      <c r="A248">
        <v>748</v>
      </c>
      <c r="B248">
        <v>1</v>
      </c>
      <c r="C248" t="s">
        <v>343</v>
      </c>
      <c r="D248">
        <v>0</v>
      </c>
      <c r="E248" s="2" t="s">
        <v>135</v>
      </c>
      <c r="F248" s="2">
        <v>7.2</v>
      </c>
      <c r="G248" s="1">
        <v>251</v>
      </c>
      <c r="H248" s="1">
        <v>28</v>
      </c>
      <c r="I248" s="1">
        <v>16</v>
      </c>
      <c r="J248" s="1">
        <f t="shared" si="17"/>
        <v>36</v>
      </c>
      <c r="K248" s="3">
        <f t="shared" si="16"/>
        <v>0.14342629482071714</v>
      </c>
      <c r="L248" s="1"/>
      <c r="M248" s="1"/>
      <c r="N248" s="6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</row>
    <row r="249" spans="1:40" x14ac:dyDescent="0.25">
      <c r="A249">
        <v>750</v>
      </c>
      <c r="B249">
        <v>1</v>
      </c>
      <c r="C249" t="s">
        <v>308</v>
      </c>
      <c r="D249">
        <v>0</v>
      </c>
      <c r="E249" s="2" t="s">
        <v>135</v>
      </c>
      <c r="F249" s="2">
        <v>7.2</v>
      </c>
      <c r="G249" s="1">
        <v>128</v>
      </c>
      <c r="H249" s="1">
        <v>31</v>
      </c>
      <c r="I249" s="1">
        <v>9</v>
      </c>
      <c r="J249" s="1">
        <f t="shared" si="17"/>
        <v>35.5</v>
      </c>
      <c r="K249" s="3">
        <f t="shared" si="16"/>
        <v>0.27734375</v>
      </c>
      <c r="L249" s="1"/>
      <c r="M249" s="1"/>
      <c r="N249" s="6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</row>
    <row r="250" spans="1:40" x14ac:dyDescent="0.25">
      <c r="A250">
        <v>756</v>
      </c>
      <c r="B250">
        <v>1</v>
      </c>
      <c r="C250" t="s">
        <v>180</v>
      </c>
      <c r="D250">
        <v>0</v>
      </c>
      <c r="E250" s="2" t="s">
        <v>90</v>
      </c>
      <c r="F250" s="2">
        <v>10</v>
      </c>
      <c r="G250" s="1">
        <v>58</v>
      </c>
      <c r="H250" s="1">
        <v>23</v>
      </c>
      <c r="I250" s="1">
        <v>6</v>
      </c>
      <c r="J250" s="1">
        <f t="shared" si="17"/>
        <v>26</v>
      </c>
      <c r="K250" s="3">
        <f t="shared" si="16"/>
        <v>0.44827586206896552</v>
      </c>
      <c r="L250" s="1"/>
      <c r="M250" s="1"/>
      <c r="N250" s="6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</row>
    <row r="251" spans="1:40" x14ac:dyDescent="0.25">
      <c r="A251">
        <v>761</v>
      </c>
      <c r="B251">
        <v>1</v>
      </c>
      <c r="C251" t="s">
        <v>186</v>
      </c>
      <c r="D251">
        <v>0</v>
      </c>
      <c r="E251" s="2" t="s">
        <v>90</v>
      </c>
      <c r="F251" s="2">
        <v>10</v>
      </c>
      <c r="G251" s="1">
        <v>338</v>
      </c>
      <c r="H251" s="1">
        <v>137</v>
      </c>
      <c r="I251" s="1">
        <v>26</v>
      </c>
      <c r="J251" s="1">
        <f t="shared" si="17"/>
        <v>150</v>
      </c>
      <c r="K251" s="3">
        <f t="shared" si="16"/>
        <v>0.4437869822485207</v>
      </c>
      <c r="L251" s="1"/>
      <c r="M251" s="1"/>
      <c r="N251" s="6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</row>
    <row r="252" spans="1:40" x14ac:dyDescent="0.25">
      <c r="A252">
        <v>763</v>
      </c>
      <c r="B252">
        <v>1</v>
      </c>
      <c r="C252" t="s">
        <v>277</v>
      </c>
      <c r="D252">
        <v>0</v>
      </c>
      <c r="E252" s="2" t="s">
        <v>90</v>
      </c>
      <c r="F252" s="2">
        <v>10</v>
      </c>
      <c r="G252" s="1">
        <v>71</v>
      </c>
      <c r="H252" s="1">
        <v>22</v>
      </c>
      <c r="I252" s="1">
        <v>3</v>
      </c>
      <c r="J252" s="1">
        <f t="shared" si="17"/>
        <v>23.5</v>
      </c>
      <c r="K252" s="3">
        <f t="shared" si="16"/>
        <v>0.33098591549295775</v>
      </c>
      <c r="L252" s="1"/>
      <c r="M252" s="1"/>
      <c r="N252" s="6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</row>
    <row r="253" spans="1:40" x14ac:dyDescent="0.25">
      <c r="A253">
        <v>768</v>
      </c>
      <c r="B253">
        <v>1</v>
      </c>
      <c r="C253" t="s">
        <v>341</v>
      </c>
      <c r="D253">
        <v>0</v>
      </c>
      <c r="E253" s="2" t="s">
        <v>53</v>
      </c>
      <c r="F253" s="2">
        <v>4</v>
      </c>
      <c r="G253" s="1">
        <v>24</v>
      </c>
      <c r="H253" s="1">
        <v>2</v>
      </c>
      <c r="I253" s="1">
        <v>2</v>
      </c>
      <c r="J253" s="1">
        <f t="shared" si="17"/>
        <v>3</v>
      </c>
      <c r="K253" s="3">
        <f t="shared" si="16"/>
        <v>0.125</v>
      </c>
      <c r="L253" s="1"/>
      <c r="M253" s="1"/>
      <c r="N253" s="6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</row>
    <row r="254" spans="1:40" x14ac:dyDescent="0.25">
      <c r="A254">
        <v>769</v>
      </c>
      <c r="B254">
        <v>1</v>
      </c>
      <c r="C254" t="s">
        <v>231</v>
      </c>
      <c r="D254">
        <v>0</v>
      </c>
      <c r="E254" s="2" t="s">
        <v>53</v>
      </c>
      <c r="F254" s="2">
        <v>4</v>
      </c>
      <c r="G254" s="1">
        <v>76</v>
      </c>
      <c r="H254" s="1">
        <v>23</v>
      </c>
      <c r="I254" s="1">
        <v>10</v>
      </c>
      <c r="J254" s="1">
        <f t="shared" si="17"/>
        <v>28</v>
      </c>
      <c r="K254" s="3">
        <f t="shared" si="16"/>
        <v>0.36842105263157893</v>
      </c>
      <c r="L254" s="1"/>
      <c r="M254" s="1"/>
      <c r="N254" s="6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</row>
    <row r="255" spans="1:40" x14ac:dyDescent="0.25">
      <c r="A255">
        <v>771</v>
      </c>
      <c r="B255">
        <v>1</v>
      </c>
      <c r="C255" t="s">
        <v>101</v>
      </c>
      <c r="D255">
        <v>0</v>
      </c>
      <c r="E255" s="2" t="s">
        <v>53</v>
      </c>
      <c r="F255" s="2">
        <v>4</v>
      </c>
      <c r="G255" s="1">
        <v>12</v>
      </c>
      <c r="H255" s="1">
        <v>7</v>
      </c>
      <c r="I255" s="1">
        <v>1</v>
      </c>
      <c r="J255" s="1">
        <f t="shared" si="17"/>
        <v>7.5</v>
      </c>
      <c r="K255" s="3">
        <f t="shared" si="16"/>
        <v>0.625</v>
      </c>
      <c r="L255" s="1"/>
      <c r="M255" s="1"/>
      <c r="N255" s="6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</row>
    <row r="256" spans="1:40" x14ac:dyDescent="0.25">
      <c r="A256">
        <v>775</v>
      </c>
      <c r="B256">
        <v>1</v>
      </c>
      <c r="C256" t="s">
        <v>118</v>
      </c>
      <c r="D256">
        <v>0</v>
      </c>
      <c r="E256" s="2" t="s">
        <v>100</v>
      </c>
      <c r="F256" s="2">
        <v>6.2</v>
      </c>
      <c r="G256" s="1">
        <v>59</v>
      </c>
      <c r="H256" s="1">
        <v>25</v>
      </c>
      <c r="I256" s="1">
        <v>11</v>
      </c>
      <c r="J256" s="1">
        <f t="shared" si="17"/>
        <v>30.5</v>
      </c>
      <c r="K256" s="3">
        <f t="shared" si="16"/>
        <v>0.51694915254237284</v>
      </c>
      <c r="L256" s="1"/>
      <c r="M256" s="1"/>
      <c r="N256" s="6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</row>
    <row r="257" spans="1:40" x14ac:dyDescent="0.25">
      <c r="A257">
        <v>777</v>
      </c>
      <c r="B257">
        <v>1</v>
      </c>
      <c r="C257" t="s">
        <v>220</v>
      </c>
      <c r="D257">
        <v>0</v>
      </c>
      <c r="E257" s="2" t="s">
        <v>100</v>
      </c>
      <c r="F257" s="2">
        <v>6.2</v>
      </c>
      <c r="G257" s="1">
        <v>59</v>
      </c>
      <c r="H257" s="1">
        <v>18</v>
      </c>
      <c r="I257" s="1">
        <v>8</v>
      </c>
      <c r="J257" s="1">
        <f t="shared" si="17"/>
        <v>22</v>
      </c>
      <c r="K257" s="3">
        <f t="shared" si="16"/>
        <v>0.3728813559322034</v>
      </c>
      <c r="L257" s="1"/>
      <c r="M257" s="1"/>
      <c r="N257" s="6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</row>
    <row r="258" spans="1:40" x14ac:dyDescent="0.25">
      <c r="A258">
        <v>786</v>
      </c>
      <c r="B258">
        <v>1</v>
      </c>
      <c r="C258" t="s">
        <v>84</v>
      </c>
      <c r="D258">
        <v>0</v>
      </c>
      <c r="E258" s="2" t="s">
        <v>58</v>
      </c>
      <c r="F258" s="2">
        <v>5</v>
      </c>
      <c r="G258" s="1">
        <v>31</v>
      </c>
      <c r="H258" s="1">
        <v>16</v>
      </c>
      <c r="I258" s="1">
        <v>7</v>
      </c>
      <c r="J258" s="1">
        <f t="shared" si="17"/>
        <v>19.5</v>
      </c>
      <c r="K258" s="3">
        <f t="shared" si="16"/>
        <v>0.62903225806451613</v>
      </c>
      <c r="L258" s="1"/>
      <c r="M258" s="1"/>
      <c r="N258" s="6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</row>
    <row r="259" spans="1:40" x14ac:dyDescent="0.25">
      <c r="A259">
        <v>787</v>
      </c>
      <c r="B259">
        <v>1</v>
      </c>
      <c r="C259" t="s">
        <v>187</v>
      </c>
      <c r="D259">
        <v>0</v>
      </c>
      <c r="E259" s="2" t="s">
        <v>58</v>
      </c>
      <c r="F259" s="2">
        <v>5</v>
      </c>
      <c r="G259" s="1">
        <v>25</v>
      </c>
      <c r="H259" s="1">
        <v>10</v>
      </c>
      <c r="I259" s="1">
        <v>1</v>
      </c>
      <c r="J259" s="1">
        <f t="shared" si="17"/>
        <v>10.5</v>
      </c>
      <c r="K259" s="3">
        <f t="shared" si="16"/>
        <v>0.42</v>
      </c>
      <c r="L259" s="1"/>
      <c r="M259" s="1"/>
      <c r="N259" s="6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</row>
    <row r="260" spans="1:40" x14ac:dyDescent="0.25">
      <c r="A260">
        <v>801</v>
      </c>
      <c r="B260">
        <v>1</v>
      </c>
      <c r="C260" t="s">
        <v>59</v>
      </c>
      <c r="D260">
        <v>0</v>
      </c>
      <c r="E260" s="2" t="s">
        <v>53</v>
      </c>
      <c r="F260" s="2">
        <v>4</v>
      </c>
      <c r="G260" s="1">
        <v>15</v>
      </c>
      <c r="H260" s="1">
        <v>11</v>
      </c>
      <c r="I260" s="1">
        <v>2</v>
      </c>
      <c r="J260" s="1">
        <f t="shared" si="17"/>
        <v>12</v>
      </c>
      <c r="K260" s="3">
        <f t="shared" si="16"/>
        <v>0.8</v>
      </c>
      <c r="L260" s="1"/>
      <c r="M260" s="1"/>
      <c r="N260" s="6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</row>
    <row r="261" spans="1:40" x14ac:dyDescent="0.25">
      <c r="A261">
        <v>803</v>
      </c>
      <c r="B261">
        <v>1</v>
      </c>
      <c r="C261" t="s">
        <v>319</v>
      </c>
      <c r="D261">
        <v>0</v>
      </c>
      <c r="E261" s="2" t="s">
        <v>53</v>
      </c>
      <c r="F261" s="2">
        <v>4</v>
      </c>
      <c r="G261" s="1">
        <v>27</v>
      </c>
      <c r="H261" s="1">
        <v>7</v>
      </c>
      <c r="I261" s="1">
        <v>2</v>
      </c>
      <c r="J261" s="1">
        <f t="shared" si="17"/>
        <v>8</v>
      </c>
      <c r="K261" s="3">
        <f t="shared" si="16"/>
        <v>0.29629629629629628</v>
      </c>
      <c r="L261" s="1"/>
      <c r="M261" s="1"/>
      <c r="N261" s="6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</row>
    <row r="262" spans="1:40" x14ac:dyDescent="0.25">
      <c r="A262">
        <v>811</v>
      </c>
      <c r="B262">
        <v>1</v>
      </c>
      <c r="C262" t="s">
        <v>229</v>
      </c>
      <c r="D262">
        <v>0</v>
      </c>
      <c r="E262" s="2" t="s">
        <v>90</v>
      </c>
      <c r="F262" s="2">
        <v>10</v>
      </c>
      <c r="G262" s="1">
        <v>41</v>
      </c>
      <c r="H262" s="1">
        <v>12</v>
      </c>
      <c r="I262" s="1">
        <v>5</v>
      </c>
      <c r="J262" s="1">
        <f t="shared" si="17"/>
        <v>14.5</v>
      </c>
      <c r="K262" s="3">
        <f t="shared" si="16"/>
        <v>0.35365853658536583</v>
      </c>
      <c r="L262" s="1"/>
      <c r="M262" s="1"/>
      <c r="N262" s="6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</row>
    <row r="263" spans="1:40" x14ac:dyDescent="0.25">
      <c r="A263">
        <v>813</v>
      </c>
      <c r="B263">
        <v>1</v>
      </c>
      <c r="C263" t="s">
        <v>240</v>
      </c>
      <c r="D263">
        <v>0</v>
      </c>
      <c r="E263" s="2" t="s">
        <v>90</v>
      </c>
      <c r="F263" s="2">
        <v>10</v>
      </c>
      <c r="G263" s="1">
        <v>98</v>
      </c>
      <c r="H263" s="1">
        <v>29</v>
      </c>
      <c r="I263" s="1">
        <v>9</v>
      </c>
      <c r="J263" s="1">
        <f t="shared" si="17"/>
        <v>33.5</v>
      </c>
      <c r="K263" s="3">
        <f t="shared" si="16"/>
        <v>0.34183673469387754</v>
      </c>
      <c r="L263" s="1"/>
      <c r="M263" s="1"/>
      <c r="N263" s="6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</row>
    <row r="264" spans="1:40" x14ac:dyDescent="0.25">
      <c r="A264">
        <v>818</v>
      </c>
      <c r="B264">
        <v>1</v>
      </c>
      <c r="C264" t="s">
        <v>82</v>
      </c>
      <c r="D264">
        <v>0</v>
      </c>
      <c r="E264" s="2" t="s">
        <v>58</v>
      </c>
      <c r="F264" s="2">
        <v>5</v>
      </c>
      <c r="G264" s="1">
        <v>49</v>
      </c>
      <c r="H264" s="1">
        <v>26</v>
      </c>
      <c r="I264" s="1">
        <v>8</v>
      </c>
      <c r="J264" s="1">
        <f t="shared" si="17"/>
        <v>30</v>
      </c>
      <c r="K264" s="3">
        <f t="shared" si="16"/>
        <v>0.61224489795918369</v>
      </c>
      <c r="L264" s="1"/>
      <c r="M264" s="1"/>
      <c r="N264" s="6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</row>
    <row r="265" spans="1:40" x14ac:dyDescent="0.25">
      <c r="A265">
        <v>820</v>
      </c>
      <c r="B265">
        <v>1</v>
      </c>
      <c r="C265" t="s">
        <v>198</v>
      </c>
      <c r="D265">
        <v>0</v>
      </c>
      <c r="E265" s="2" t="s">
        <v>58</v>
      </c>
      <c r="F265" s="2">
        <v>5</v>
      </c>
      <c r="G265" s="1">
        <v>34</v>
      </c>
      <c r="H265" s="1">
        <v>10</v>
      </c>
      <c r="I265" s="1">
        <v>6</v>
      </c>
      <c r="J265" s="1">
        <f t="shared" si="17"/>
        <v>13</v>
      </c>
      <c r="K265" s="3">
        <f t="shared" si="16"/>
        <v>0.38235294117647056</v>
      </c>
      <c r="L265" s="1"/>
      <c r="M265" s="1"/>
      <c r="N265" s="6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</row>
    <row r="266" spans="1:40" x14ac:dyDescent="0.25">
      <c r="A266">
        <v>821</v>
      </c>
      <c r="B266">
        <v>1</v>
      </c>
      <c r="C266" t="s">
        <v>141</v>
      </c>
      <c r="D266">
        <v>0</v>
      </c>
      <c r="E266" s="2" t="s">
        <v>58</v>
      </c>
      <c r="F266" s="2">
        <v>5</v>
      </c>
      <c r="G266" s="1">
        <v>86</v>
      </c>
      <c r="H266" s="1">
        <v>27</v>
      </c>
      <c r="I266" s="1">
        <v>19</v>
      </c>
      <c r="J266" s="1">
        <f t="shared" si="17"/>
        <v>36.5</v>
      </c>
      <c r="K266" s="3">
        <f t="shared" si="16"/>
        <v>0.42441860465116277</v>
      </c>
      <c r="L266" s="1"/>
      <c r="M266" s="1"/>
      <c r="N266" s="6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</row>
    <row r="267" spans="1:40" x14ac:dyDescent="0.25">
      <c r="A267">
        <v>829</v>
      </c>
      <c r="B267">
        <v>1</v>
      </c>
      <c r="C267" t="s">
        <v>159</v>
      </c>
      <c r="D267">
        <v>0</v>
      </c>
      <c r="E267" s="2" t="s">
        <v>70</v>
      </c>
      <c r="F267" s="2">
        <v>9</v>
      </c>
      <c r="G267" s="1">
        <v>133</v>
      </c>
      <c r="H267" s="1">
        <v>58</v>
      </c>
      <c r="I267" s="1">
        <v>13</v>
      </c>
      <c r="J267" s="1">
        <f t="shared" si="17"/>
        <v>64.5</v>
      </c>
      <c r="K267" s="3">
        <f t="shared" si="16"/>
        <v>0.48496240601503759</v>
      </c>
      <c r="L267" s="1"/>
      <c r="M267" s="1"/>
      <c r="N267" s="6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</row>
    <row r="268" spans="1:40" x14ac:dyDescent="0.25">
      <c r="A268">
        <v>831</v>
      </c>
      <c r="B268">
        <v>1</v>
      </c>
      <c r="C268" t="s">
        <v>21</v>
      </c>
      <c r="D268">
        <v>1</v>
      </c>
      <c r="E268" s="2" t="s">
        <v>4</v>
      </c>
      <c r="F268" s="2">
        <v>11</v>
      </c>
      <c r="G268" s="1">
        <v>448</v>
      </c>
      <c r="H268" s="1">
        <v>118</v>
      </c>
      <c r="I268" s="1">
        <v>42</v>
      </c>
      <c r="J268" s="1">
        <f t="shared" si="17"/>
        <v>139</v>
      </c>
      <c r="K268" s="3">
        <f t="shared" si="16"/>
        <v>0.31026785714285715</v>
      </c>
      <c r="L268" s="1"/>
      <c r="M268" s="1"/>
      <c r="N268" s="6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</row>
    <row r="269" spans="1:40" x14ac:dyDescent="0.25">
      <c r="A269">
        <v>832</v>
      </c>
      <c r="B269">
        <v>1</v>
      </c>
      <c r="C269" t="s">
        <v>49</v>
      </c>
      <c r="D269">
        <v>1</v>
      </c>
      <c r="E269" s="2" t="s">
        <v>4</v>
      </c>
      <c r="F269" s="2">
        <v>11</v>
      </c>
      <c r="G269" s="1">
        <v>179</v>
      </c>
      <c r="H269" s="1">
        <v>10</v>
      </c>
      <c r="I269" s="1">
        <v>2</v>
      </c>
      <c r="J269" s="1">
        <f t="shared" si="17"/>
        <v>11</v>
      </c>
      <c r="K269" s="3">
        <f t="shared" si="16"/>
        <v>6.1452513966480445E-2</v>
      </c>
      <c r="L269" s="1"/>
      <c r="M269" s="1"/>
      <c r="N269" s="6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</row>
    <row r="270" spans="1:40" x14ac:dyDescent="0.25">
      <c r="A270">
        <v>833</v>
      </c>
      <c r="B270">
        <v>1</v>
      </c>
      <c r="C270" t="s">
        <v>34</v>
      </c>
      <c r="D270">
        <v>1</v>
      </c>
      <c r="E270" s="2" t="s">
        <v>4</v>
      </c>
      <c r="F270" s="2">
        <v>11</v>
      </c>
      <c r="G270" s="1">
        <v>1153</v>
      </c>
      <c r="H270" s="1">
        <v>190</v>
      </c>
      <c r="I270" s="1">
        <v>73</v>
      </c>
      <c r="J270" s="1">
        <f t="shared" si="17"/>
        <v>226.5</v>
      </c>
      <c r="K270" s="3">
        <f t="shared" si="16"/>
        <v>0.19644405897658282</v>
      </c>
      <c r="L270" s="1"/>
      <c r="M270" s="1"/>
      <c r="N270" s="6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</row>
    <row r="271" spans="1:40" x14ac:dyDescent="0.25">
      <c r="A271">
        <v>834</v>
      </c>
      <c r="B271">
        <v>1</v>
      </c>
      <c r="C271" t="s">
        <v>38</v>
      </c>
      <c r="D271">
        <v>1</v>
      </c>
      <c r="E271" s="2" t="s">
        <v>4</v>
      </c>
      <c r="F271" s="2">
        <v>11</v>
      </c>
      <c r="G271" s="1">
        <v>495</v>
      </c>
      <c r="H271" s="1">
        <v>78</v>
      </c>
      <c r="I271" s="1">
        <v>19</v>
      </c>
      <c r="J271" s="1">
        <f t="shared" si="17"/>
        <v>87.5</v>
      </c>
      <c r="K271" s="3">
        <f t="shared" si="16"/>
        <v>0.17676767676767677</v>
      </c>
      <c r="L271" s="1"/>
      <c r="M271" s="1"/>
      <c r="N271" s="6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</row>
    <row r="272" spans="1:40" x14ac:dyDescent="0.25">
      <c r="A272">
        <v>836</v>
      </c>
      <c r="B272">
        <v>1</v>
      </c>
      <c r="C272" t="s">
        <v>69</v>
      </c>
      <c r="D272">
        <v>0</v>
      </c>
      <c r="E272" s="2" t="s">
        <v>70</v>
      </c>
      <c r="F272" s="2">
        <v>9</v>
      </c>
      <c r="G272" s="1">
        <v>23</v>
      </c>
      <c r="H272" s="1">
        <v>17</v>
      </c>
      <c r="I272" s="1">
        <v>0</v>
      </c>
      <c r="J272" s="1">
        <f t="shared" si="17"/>
        <v>17</v>
      </c>
      <c r="K272" s="3">
        <f t="shared" si="16"/>
        <v>0.73913043478260865</v>
      </c>
      <c r="L272" s="1"/>
      <c r="M272" s="1"/>
      <c r="N272" s="6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</row>
    <row r="273" spans="1:40" x14ac:dyDescent="0.25">
      <c r="A273">
        <v>837</v>
      </c>
      <c r="B273">
        <v>1</v>
      </c>
      <c r="C273" t="s">
        <v>113</v>
      </c>
      <c r="D273">
        <v>0</v>
      </c>
      <c r="E273" s="2" t="s">
        <v>70</v>
      </c>
      <c r="F273" s="2">
        <v>9</v>
      </c>
      <c r="G273" s="1">
        <v>42</v>
      </c>
      <c r="H273" s="1">
        <v>22</v>
      </c>
      <c r="I273" s="1">
        <v>5</v>
      </c>
      <c r="J273" s="1">
        <f t="shared" si="17"/>
        <v>24.5</v>
      </c>
      <c r="K273" s="3">
        <f t="shared" si="16"/>
        <v>0.58333333333333337</v>
      </c>
      <c r="L273" s="1"/>
      <c r="M273" s="1"/>
      <c r="N273" s="6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</row>
    <row r="274" spans="1:40" x14ac:dyDescent="0.25">
      <c r="A274">
        <v>840</v>
      </c>
      <c r="B274">
        <v>1</v>
      </c>
      <c r="C274" t="s">
        <v>96</v>
      </c>
      <c r="D274">
        <v>0</v>
      </c>
      <c r="E274" s="2" t="s">
        <v>70</v>
      </c>
      <c r="F274" s="2">
        <v>9</v>
      </c>
      <c r="G274" s="1">
        <v>71</v>
      </c>
      <c r="H274" s="1">
        <v>40</v>
      </c>
      <c r="I274" s="1">
        <v>7</v>
      </c>
      <c r="J274" s="1">
        <f t="shared" si="17"/>
        <v>43.5</v>
      </c>
      <c r="K274" s="3">
        <f t="shared" si="16"/>
        <v>0.61267605633802813</v>
      </c>
      <c r="L274" s="1"/>
      <c r="M274" s="1"/>
      <c r="N274" s="6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</row>
    <row r="275" spans="1:40" x14ac:dyDescent="0.25">
      <c r="A275">
        <v>846</v>
      </c>
      <c r="B275">
        <v>1</v>
      </c>
      <c r="C275" t="s">
        <v>183</v>
      </c>
      <c r="D275">
        <v>0</v>
      </c>
      <c r="E275" s="2" t="s">
        <v>53</v>
      </c>
      <c r="F275" s="2">
        <v>4</v>
      </c>
      <c r="G275" s="1">
        <v>45</v>
      </c>
      <c r="H275" s="1">
        <v>17</v>
      </c>
      <c r="I275" s="1">
        <v>5</v>
      </c>
      <c r="J275" s="1">
        <f t="shared" si="17"/>
        <v>19.5</v>
      </c>
      <c r="K275" s="3">
        <f t="shared" si="16"/>
        <v>0.43333333333333335</v>
      </c>
      <c r="L275" s="1"/>
      <c r="M275" s="1"/>
      <c r="N275" s="6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</row>
    <row r="276" spans="1:40" x14ac:dyDescent="0.25">
      <c r="A276">
        <v>850</v>
      </c>
      <c r="B276">
        <v>1</v>
      </c>
      <c r="C276" t="s">
        <v>209</v>
      </c>
      <c r="D276">
        <v>0</v>
      </c>
      <c r="E276" s="2" t="s">
        <v>53</v>
      </c>
      <c r="F276" s="2">
        <v>4</v>
      </c>
      <c r="G276" s="1">
        <v>28</v>
      </c>
      <c r="H276" s="1">
        <v>11</v>
      </c>
      <c r="I276" s="1">
        <v>2</v>
      </c>
      <c r="J276" s="1">
        <f t="shared" si="17"/>
        <v>12</v>
      </c>
      <c r="K276" s="3">
        <f t="shared" si="16"/>
        <v>0.42857142857142855</v>
      </c>
      <c r="L276" s="1"/>
      <c r="M276" s="1"/>
      <c r="N276" s="6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</row>
    <row r="277" spans="1:40" x14ac:dyDescent="0.25">
      <c r="A277">
        <v>852</v>
      </c>
      <c r="B277">
        <v>1</v>
      </c>
      <c r="C277" t="s">
        <v>213</v>
      </c>
      <c r="D277">
        <v>0</v>
      </c>
      <c r="E277" s="2" t="s">
        <v>53</v>
      </c>
      <c r="F277" s="2">
        <v>4</v>
      </c>
      <c r="G277" s="1">
        <v>9</v>
      </c>
      <c r="H277" s="1">
        <v>3</v>
      </c>
      <c r="I277" s="1">
        <v>1</v>
      </c>
      <c r="J277" s="1">
        <f t="shared" si="17"/>
        <v>3.5</v>
      </c>
      <c r="K277" s="3">
        <f t="shared" si="16"/>
        <v>0.3888888888888889</v>
      </c>
      <c r="L277" s="1"/>
      <c r="M277" s="1"/>
      <c r="N277" s="6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</row>
    <row r="278" spans="1:40" x14ac:dyDescent="0.25">
      <c r="A278">
        <v>857</v>
      </c>
      <c r="B278">
        <v>1</v>
      </c>
      <c r="C278" t="s">
        <v>230</v>
      </c>
      <c r="D278">
        <v>0</v>
      </c>
      <c r="E278" s="2" t="s">
        <v>90</v>
      </c>
      <c r="F278" s="2">
        <v>10</v>
      </c>
      <c r="G278" s="1">
        <v>45</v>
      </c>
      <c r="H278" s="1">
        <v>19</v>
      </c>
      <c r="I278" s="1">
        <v>3</v>
      </c>
      <c r="J278" s="1">
        <f t="shared" si="17"/>
        <v>20.5</v>
      </c>
      <c r="K278" s="3">
        <f t="shared" si="16"/>
        <v>0.45555555555555555</v>
      </c>
      <c r="L278" s="1"/>
      <c r="M278" s="1"/>
      <c r="N278" s="6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</row>
    <row r="279" spans="1:40" x14ac:dyDescent="0.25">
      <c r="A279">
        <v>858</v>
      </c>
      <c r="B279">
        <v>1</v>
      </c>
      <c r="C279" t="s">
        <v>290</v>
      </c>
      <c r="D279">
        <v>0</v>
      </c>
      <c r="E279" s="2" t="s">
        <v>90</v>
      </c>
      <c r="F279" s="2">
        <v>10</v>
      </c>
      <c r="G279" s="1">
        <v>83</v>
      </c>
      <c r="H279" s="1">
        <v>22</v>
      </c>
      <c r="I279" s="1">
        <v>2</v>
      </c>
      <c r="J279" s="1">
        <f t="shared" si="17"/>
        <v>23</v>
      </c>
      <c r="K279" s="3">
        <f t="shared" si="16"/>
        <v>0.27710843373493976</v>
      </c>
      <c r="L279" s="1"/>
      <c r="M279" s="1"/>
      <c r="N279" s="6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</row>
    <row r="280" spans="1:40" x14ac:dyDescent="0.25">
      <c r="A280">
        <v>861</v>
      </c>
      <c r="B280">
        <v>1</v>
      </c>
      <c r="C280" t="s">
        <v>190</v>
      </c>
      <c r="D280">
        <v>0</v>
      </c>
      <c r="E280" s="2" t="s">
        <v>90</v>
      </c>
      <c r="F280" s="2">
        <v>10</v>
      </c>
      <c r="G280" s="1">
        <v>229</v>
      </c>
      <c r="H280" s="1">
        <v>99</v>
      </c>
      <c r="I280" s="1">
        <v>24</v>
      </c>
      <c r="J280" s="1">
        <f t="shared" si="17"/>
        <v>111</v>
      </c>
      <c r="K280" s="3">
        <f t="shared" si="16"/>
        <v>0.48471615720524019</v>
      </c>
      <c r="L280" s="1"/>
      <c r="M280" s="1"/>
      <c r="N280" s="6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</row>
    <row r="281" spans="1:40" x14ac:dyDescent="0.25">
      <c r="A281">
        <v>876</v>
      </c>
      <c r="B281">
        <v>1</v>
      </c>
      <c r="C281" t="s">
        <v>300</v>
      </c>
      <c r="D281">
        <v>0</v>
      </c>
      <c r="E281" s="2" t="s">
        <v>135</v>
      </c>
      <c r="F281" s="2">
        <v>7.2</v>
      </c>
      <c r="G281" s="1">
        <v>126</v>
      </c>
      <c r="H281" s="1">
        <v>37</v>
      </c>
      <c r="I281" s="1">
        <v>5</v>
      </c>
      <c r="J281" s="1">
        <f t="shared" si="17"/>
        <v>39.5</v>
      </c>
      <c r="K281" s="3">
        <f t="shared" si="16"/>
        <v>0.31349206349206349</v>
      </c>
      <c r="L281" s="1"/>
      <c r="M281" s="1"/>
      <c r="N281" s="6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</row>
    <row r="282" spans="1:40" x14ac:dyDescent="0.25">
      <c r="A282">
        <v>877</v>
      </c>
      <c r="B282">
        <v>1</v>
      </c>
      <c r="C282" t="s">
        <v>314</v>
      </c>
      <c r="D282">
        <v>0</v>
      </c>
      <c r="E282" s="2" t="s">
        <v>135</v>
      </c>
      <c r="F282" s="2">
        <v>7.2</v>
      </c>
      <c r="G282" s="1">
        <v>434</v>
      </c>
      <c r="H282" s="1">
        <v>98</v>
      </c>
      <c r="I282" s="1">
        <v>27</v>
      </c>
      <c r="J282" s="1">
        <f t="shared" si="17"/>
        <v>111.5</v>
      </c>
      <c r="K282" s="3">
        <f t="shared" si="16"/>
        <v>0.25691244239631339</v>
      </c>
      <c r="L282" s="1"/>
      <c r="M282" s="1"/>
      <c r="N282" s="6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</row>
    <row r="283" spans="1:40" x14ac:dyDescent="0.25">
      <c r="A283">
        <v>879</v>
      </c>
      <c r="B283">
        <v>1</v>
      </c>
      <c r="C283" t="s">
        <v>344</v>
      </c>
      <c r="D283">
        <v>0</v>
      </c>
      <c r="E283" s="2" t="s">
        <v>135</v>
      </c>
      <c r="F283" s="2">
        <v>7.2</v>
      </c>
      <c r="G283" s="1">
        <v>174</v>
      </c>
      <c r="H283" s="1">
        <v>14</v>
      </c>
      <c r="I283" s="1">
        <v>7</v>
      </c>
      <c r="J283" s="1">
        <f t="shared" si="17"/>
        <v>17.5</v>
      </c>
      <c r="K283" s="3">
        <f t="shared" si="16"/>
        <v>0.10057471264367816</v>
      </c>
      <c r="L283" s="1"/>
      <c r="M283" s="1"/>
      <c r="N283" s="6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</row>
    <row r="284" spans="1:40" x14ac:dyDescent="0.25">
      <c r="A284">
        <v>881</v>
      </c>
      <c r="B284">
        <v>1</v>
      </c>
      <c r="C284" t="s">
        <v>287</v>
      </c>
      <c r="D284">
        <v>0</v>
      </c>
      <c r="E284" s="2" t="s">
        <v>135</v>
      </c>
      <c r="F284" s="2">
        <v>7.2</v>
      </c>
      <c r="G284" s="1">
        <v>56</v>
      </c>
      <c r="H284" s="1">
        <v>17</v>
      </c>
      <c r="I284" s="1">
        <v>3</v>
      </c>
      <c r="J284" s="1">
        <f t="shared" si="17"/>
        <v>18.5</v>
      </c>
      <c r="K284" s="3">
        <f t="shared" ref="K284:K347" si="18">IF(G284=0,0,J284/G284)</f>
        <v>0.33035714285714285</v>
      </c>
      <c r="L284" s="1"/>
      <c r="M284" s="1"/>
      <c r="N284" s="6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</row>
    <row r="285" spans="1:40" x14ac:dyDescent="0.25">
      <c r="A285">
        <v>882</v>
      </c>
      <c r="B285">
        <v>1</v>
      </c>
      <c r="C285" t="s">
        <v>309</v>
      </c>
      <c r="D285">
        <v>0</v>
      </c>
      <c r="E285" s="2" t="s">
        <v>135</v>
      </c>
      <c r="F285" s="2">
        <v>7.2</v>
      </c>
      <c r="G285" s="1">
        <v>343</v>
      </c>
      <c r="H285" s="1">
        <v>80</v>
      </c>
      <c r="I285" s="1">
        <v>29</v>
      </c>
      <c r="J285" s="1">
        <f t="shared" ref="J285:J348" si="19">H285+I285*0.5</f>
        <v>94.5</v>
      </c>
      <c r="K285" s="3">
        <f t="shared" si="18"/>
        <v>0.27551020408163263</v>
      </c>
      <c r="L285" s="1"/>
      <c r="M285" s="1"/>
      <c r="N285" s="6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</row>
    <row r="286" spans="1:40" x14ac:dyDescent="0.25">
      <c r="A286">
        <v>883</v>
      </c>
      <c r="B286">
        <v>1</v>
      </c>
      <c r="C286" t="s">
        <v>295</v>
      </c>
      <c r="D286">
        <v>0</v>
      </c>
      <c r="E286" s="2" t="s">
        <v>135</v>
      </c>
      <c r="F286" s="2">
        <v>7.2</v>
      </c>
      <c r="G286" s="1">
        <v>149</v>
      </c>
      <c r="H286" s="1">
        <v>41</v>
      </c>
      <c r="I286" s="1">
        <v>6</v>
      </c>
      <c r="J286" s="1">
        <f t="shared" si="19"/>
        <v>44</v>
      </c>
      <c r="K286" s="3">
        <f t="shared" si="18"/>
        <v>0.29530201342281881</v>
      </c>
      <c r="L286" s="1"/>
      <c r="M286" s="1"/>
      <c r="N286" s="6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</row>
    <row r="287" spans="1:40" x14ac:dyDescent="0.25">
      <c r="A287">
        <v>885</v>
      </c>
      <c r="B287">
        <v>1</v>
      </c>
      <c r="C287" t="s">
        <v>345</v>
      </c>
      <c r="D287">
        <v>0</v>
      </c>
      <c r="E287" s="2" t="s">
        <v>135</v>
      </c>
      <c r="F287" s="2">
        <v>7.2</v>
      </c>
      <c r="G287" s="1">
        <v>448</v>
      </c>
      <c r="H287" s="1">
        <v>40</v>
      </c>
      <c r="I287" s="1">
        <v>10</v>
      </c>
      <c r="J287" s="1">
        <f t="shared" si="19"/>
        <v>45</v>
      </c>
      <c r="K287" s="3">
        <f t="shared" si="18"/>
        <v>0.10044642857142858</v>
      </c>
      <c r="L287" s="1"/>
      <c r="M287" s="1"/>
      <c r="N287" s="6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</row>
    <row r="288" spans="1:40" x14ac:dyDescent="0.25">
      <c r="A288">
        <v>891</v>
      </c>
      <c r="B288">
        <v>1</v>
      </c>
      <c r="C288" t="s">
        <v>207</v>
      </c>
      <c r="D288">
        <v>0</v>
      </c>
      <c r="E288" s="2" t="s">
        <v>100</v>
      </c>
      <c r="F288" s="2">
        <v>6.2</v>
      </c>
      <c r="G288" s="1">
        <v>37</v>
      </c>
      <c r="H288" s="1">
        <v>12</v>
      </c>
      <c r="I288" s="1">
        <v>6</v>
      </c>
      <c r="J288" s="1">
        <f t="shared" si="19"/>
        <v>15</v>
      </c>
      <c r="K288" s="3">
        <f t="shared" si="18"/>
        <v>0.40540540540540543</v>
      </c>
      <c r="L288" s="1"/>
      <c r="M288" s="1"/>
      <c r="N288" s="6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</row>
    <row r="289" spans="1:40" x14ac:dyDescent="0.25">
      <c r="A289">
        <v>911</v>
      </c>
      <c r="B289">
        <v>1</v>
      </c>
      <c r="C289" t="s">
        <v>235</v>
      </c>
      <c r="D289">
        <v>0</v>
      </c>
      <c r="E289" s="2" t="s">
        <v>80</v>
      </c>
      <c r="F289" s="2">
        <v>7.1</v>
      </c>
      <c r="G289" s="1">
        <v>421</v>
      </c>
      <c r="H289" s="1">
        <v>151</v>
      </c>
      <c r="I289" s="1">
        <v>32</v>
      </c>
      <c r="J289" s="1">
        <f t="shared" si="19"/>
        <v>167</v>
      </c>
      <c r="K289" s="3">
        <f t="shared" si="18"/>
        <v>0.39667458432304037</v>
      </c>
      <c r="L289" s="1"/>
      <c r="M289" s="1"/>
      <c r="N289" s="6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</row>
    <row r="290" spans="1:40" x14ac:dyDescent="0.25">
      <c r="A290">
        <v>912</v>
      </c>
      <c r="B290">
        <v>1</v>
      </c>
      <c r="C290" t="s">
        <v>181</v>
      </c>
      <c r="D290">
        <v>0</v>
      </c>
      <c r="E290" s="2" t="s">
        <v>80</v>
      </c>
      <c r="F290" s="2">
        <v>7.1</v>
      </c>
      <c r="G290" s="1">
        <v>149</v>
      </c>
      <c r="H290" s="1">
        <v>50</v>
      </c>
      <c r="I290" s="1">
        <v>15</v>
      </c>
      <c r="J290" s="1">
        <f t="shared" si="19"/>
        <v>57.5</v>
      </c>
      <c r="K290" s="3">
        <f t="shared" si="18"/>
        <v>0.38590604026845637</v>
      </c>
      <c r="L290" s="1"/>
      <c r="M290" s="1"/>
      <c r="N290" s="6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</row>
    <row r="291" spans="1:40" x14ac:dyDescent="0.25">
      <c r="A291">
        <v>914</v>
      </c>
      <c r="B291">
        <v>1</v>
      </c>
      <c r="C291" t="s">
        <v>195</v>
      </c>
      <c r="D291">
        <v>0</v>
      </c>
      <c r="E291" s="2" t="s">
        <v>53</v>
      </c>
      <c r="F291" s="2">
        <v>4</v>
      </c>
      <c r="G291" s="1">
        <v>22</v>
      </c>
      <c r="H291" s="1">
        <v>9</v>
      </c>
      <c r="I291" s="1">
        <v>2</v>
      </c>
      <c r="J291" s="1">
        <f t="shared" si="19"/>
        <v>10</v>
      </c>
      <c r="K291" s="3">
        <f t="shared" si="18"/>
        <v>0.45454545454545453</v>
      </c>
      <c r="L291" s="1"/>
      <c r="M291" s="1"/>
      <c r="N291" s="6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</row>
    <row r="292" spans="1:40" x14ac:dyDescent="0.25">
      <c r="A292">
        <v>2071</v>
      </c>
      <c r="B292">
        <v>1</v>
      </c>
      <c r="C292" t="s">
        <v>289</v>
      </c>
      <c r="D292">
        <v>0</v>
      </c>
      <c r="E292" s="2" t="s">
        <v>70</v>
      </c>
      <c r="F292" s="2">
        <v>9</v>
      </c>
      <c r="G292" s="1">
        <v>73</v>
      </c>
      <c r="H292" s="1">
        <v>18</v>
      </c>
      <c r="I292" s="1">
        <v>9</v>
      </c>
      <c r="J292" s="1">
        <f t="shared" si="19"/>
        <v>22.5</v>
      </c>
      <c r="K292" s="3">
        <f t="shared" si="18"/>
        <v>0.30821917808219179</v>
      </c>
      <c r="L292" s="1"/>
      <c r="M292" s="1"/>
      <c r="N292" s="6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</row>
    <row r="293" spans="1:40" x14ac:dyDescent="0.25">
      <c r="A293">
        <v>2125</v>
      </c>
      <c r="B293">
        <v>1</v>
      </c>
      <c r="C293" t="s">
        <v>184</v>
      </c>
      <c r="D293">
        <v>0</v>
      </c>
      <c r="E293" s="2" t="s">
        <v>90</v>
      </c>
      <c r="F293" s="2">
        <v>10</v>
      </c>
      <c r="G293" s="1">
        <v>100</v>
      </c>
      <c r="H293" s="1">
        <v>35</v>
      </c>
      <c r="I293" s="1">
        <v>11</v>
      </c>
      <c r="J293" s="1">
        <f t="shared" si="19"/>
        <v>40.5</v>
      </c>
      <c r="K293" s="3">
        <f t="shared" si="18"/>
        <v>0.40500000000000003</v>
      </c>
      <c r="L293" s="1"/>
      <c r="M293" s="1"/>
      <c r="N293" s="6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</row>
    <row r="294" spans="1:40" x14ac:dyDescent="0.25">
      <c r="A294">
        <v>2134</v>
      </c>
      <c r="B294">
        <v>1</v>
      </c>
      <c r="C294" t="s">
        <v>109</v>
      </c>
      <c r="D294">
        <v>0</v>
      </c>
      <c r="E294" s="2" t="s">
        <v>70</v>
      </c>
      <c r="F294" s="2">
        <v>9</v>
      </c>
      <c r="G294" s="1">
        <v>52</v>
      </c>
      <c r="H294" s="1">
        <v>24</v>
      </c>
      <c r="I294" s="1">
        <v>5</v>
      </c>
      <c r="J294" s="1">
        <f t="shared" si="19"/>
        <v>26.5</v>
      </c>
      <c r="K294" s="3">
        <f t="shared" si="18"/>
        <v>0.50961538461538458</v>
      </c>
      <c r="L294" s="1"/>
      <c r="M294" s="1"/>
      <c r="N294" s="6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</row>
    <row r="295" spans="1:40" x14ac:dyDescent="0.25">
      <c r="A295">
        <v>2135</v>
      </c>
      <c r="B295">
        <v>1</v>
      </c>
      <c r="C295" t="s">
        <v>255</v>
      </c>
      <c r="D295">
        <v>0</v>
      </c>
      <c r="E295" s="2" t="s">
        <v>70</v>
      </c>
      <c r="F295" s="2">
        <v>9</v>
      </c>
      <c r="G295" s="1">
        <v>67</v>
      </c>
      <c r="H295" s="1">
        <v>17</v>
      </c>
      <c r="I295" s="1">
        <v>14</v>
      </c>
      <c r="J295" s="1">
        <f t="shared" si="19"/>
        <v>24</v>
      </c>
      <c r="K295" s="3">
        <f t="shared" si="18"/>
        <v>0.35820895522388058</v>
      </c>
      <c r="L295" s="1"/>
      <c r="M295" s="1"/>
      <c r="N295" s="6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</row>
    <row r="296" spans="1:40" x14ac:dyDescent="0.25">
      <c r="A296">
        <v>2137</v>
      </c>
      <c r="B296">
        <v>1</v>
      </c>
      <c r="C296" t="s">
        <v>265</v>
      </c>
      <c r="D296">
        <v>0</v>
      </c>
      <c r="E296" s="2" t="s">
        <v>90</v>
      </c>
      <c r="F296" s="2">
        <v>10</v>
      </c>
      <c r="G296" s="1">
        <v>52</v>
      </c>
      <c r="H296" s="1">
        <v>18</v>
      </c>
      <c r="I296" s="1">
        <v>4</v>
      </c>
      <c r="J296" s="1">
        <f t="shared" si="19"/>
        <v>20</v>
      </c>
      <c r="K296" s="3">
        <f t="shared" si="18"/>
        <v>0.38461538461538464</v>
      </c>
      <c r="L296" s="1"/>
      <c r="M296" s="1"/>
      <c r="N296" s="6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</row>
    <row r="297" spans="1:40" x14ac:dyDescent="0.25">
      <c r="A297">
        <v>2142</v>
      </c>
      <c r="B297">
        <v>1</v>
      </c>
      <c r="C297" t="s">
        <v>192</v>
      </c>
      <c r="D297">
        <v>0</v>
      </c>
      <c r="E297" s="2" t="s">
        <v>75</v>
      </c>
      <c r="F297" s="2">
        <v>3</v>
      </c>
      <c r="G297" s="1">
        <v>156</v>
      </c>
      <c r="H297" s="1">
        <v>55</v>
      </c>
      <c r="I297" s="1">
        <v>14</v>
      </c>
      <c r="J297" s="1">
        <f t="shared" si="19"/>
        <v>62</v>
      </c>
      <c r="K297" s="3">
        <f t="shared" si="18"/>
        <v>0.39743589743589741</v>
      </c>
      <c r="L297" s="1"/>
      <c r="M297" s="1"/>
      <c r="N297" s="6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</row>
    <row r="298" spans="1:40" x14ac:dyDescent="0.25">
      <c r="A298">
        <v>2143</v>
      </c>
      <c r="B298">
        <v>1</v>
      </c>
      <c r="C298" t="s">
        <v>276</v>
      </c>
      <c r="D298">
        <v>0</v>
      </c>
      <c r="E298" s="2" t="s">
        <v>70</v>
      </c>
      <c r="F298" s="2">
        <v>9</v>
      </c>
      <c r="G298" s="1">
        <v>68</v>
      </c>
      <c r="H298" s="1">
        <v>16</v>
      </c>
      <c r="I298" s="1">
        <v>9</v>
      </c>
      <c r="J298" s="1">
        <f t="shared" si="19"/>
        <v>20.5</v>
      </c>
      <c r="K298" s="3">
        <f t="shared" si="18"/>
        <v>0.3014705882352941</v>
      </c>
      <c r="L298" s="1"/>
      <c r="M298" s="1"/>
      <c r="N298" s="6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</row>
    <row r="299" spans="1:40" x14ac:dyDescent="0.25">
      <c r="A299">
        <v>2144</v>
      </c>
      <c r="B299">
        <v>1</v>
      </c>
      <c r="C299" t="s">
        <v>328</v>
      </c>
      <c r="D299">
        <v>0</v>
      </c>
      <c r="E299" s="2" t="s">
        <v>80</v>
      </c>
      <c r="F299" s="2">
        <v>7.1</v>
      </c>
      <c r="G299" s="1">
        <v>228</v>
      </c>
      <c r="H299" s="1">
        <v>43</v>
      </c>
      <c r="I299" s="1">
        <v>13</v>
      </c>
      <c r="J299" s="1">
        <f t="shared" si="19"/>
        <v>49.5</v>
      </c>
      <c r="K299" s="3">
        <f t="shared" si="18"/>
        <v>0.21710526315789475</v>
      </c>
      <c r="L299" s="1"/>
      <c r="M299" s="1"/>
      <c r="N299" s="6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</row>
    <row r="300" spans="1:40" x14ac:dyDescent="0.25">
      <c r="A300">
        <v>2149</v>
      </c>
      <c r="B300">
        <v>1</v>
      </c>
      <c r="C300" t="s">
        <v>285</v>
      </c>
      <c r="D300">
        <v>0</v>
      </c>
      <c r="E300" s="2" t="s">
        <v>53</v>
      </c>
      <c r="F300" s="2">
        <v>4</v>
      </c>
      <c r="G300" s="1">
        <v>82</v>
      </c>
      <c r="H300" s="1">
        <v>21</v>
      </c>
      <c r="I300" s="1">
        <v>8</v>
      </c>
      <c r="J300" s="1">
        <f t="shared" si="19"/>
        <v>25</v>
      </c>
      <c r="K300" s="3">
        <f t="shared" si="18"/>
        <v>0.3048780487804878</v>
      </c>
      <c r="L300" s="1"/>
      <c r="M300" s="1"/>
      <c r="N300" s="6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</row>
    <row r="301" spans="1:40" x14ac:dyDescent="0.25">
      <c r="A301">
        <v>2154</v>
      </c>
      <c r="B301">
        <v>1</v>
      </c>
      <c r="C301" t="s">
        <v>146</v>
      </c>
      <c r="D301">
        <v>0</v>
      </c>
      <c r="E301" s="2" t="s">
        <v>75</v>
      </c>
      <c r="F301" s="2">
        <v>3</v>
      </c>
      <c r="G301" s="1">
        <v>69</v>
      </c>
      <c r="H301" s="1">
        <v>29</v>
      </c>
      <c r="I301" s="1">
        <v>4</v>
      </c>
      <c r="J301" s="1">
        <f t="shared" si="19"/>
        <v>31</v>
      </c>
      <c r="K301" s="3">
        <f t="shared" si="18"/>
        <v>0.44927536231884058</v>
      </c>
      <c r="L301" s="1"/>
      <c r="M301" s="1"/>
      <c r="N301" s="6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</row>
    <row r="302" spans="1:40" x14ac:dyDescent="0.25">
      <c r="A302">
        <v>2155</v>
      </c>
      <c r="B302">
        <v>1</v>
      </c>
      <c r="C302" t="s">
        <v>91</v>
      </c>
      <c r="D302">
        <v>0</v>
      </c>
      <c r="E302" s="2" t="s">
        <v>58</v>
      </c>
      <c r="F302" s="2">
        <v>5</v>
      </c>
      <c r="G302" s="1">
        <v>87</v>
      </c>
      <c r="H302" s="1">
        <v>48</v>
      </c>
      <c r="I302" s="1">
        <v>8</v>
      </c>
      <c r="J302" s="1">
        <f t="shared" si="19"/>
        <v>52</v>
      </c>
      <c r="K302" s="3">
        <f t="shared" si="18"/>
        <v>0.5977011494252874</v>
      </c>
      <c r="L302" s="1"/>
      <c r="M302" s="1"/>
      <c r="N302" s="6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</row>
    <row r="303" spans="1:40" x14ac:dyDescent="0.25">
      <c r="A303">
        <v>2159</v>
      </c>
      <c r="B303">
        <v>1</v>
      </c>
      <c r="C303" t="s">
        <v>266</v>
      </c>
      <c r="D303">
        <v>0</v>
      </c>
      <c r="E303" s="2" t="s">
        <v>93</v>
      </c>
      <c r="F303" s="2">
        <v>6.1</v>
      </c>
      <c r="G303" s="1">
        <v>40</v>
      </c>
      <c r="H303" s="1">
        <v>14</v>
      </c>
      <c r="I303" s="1">
        <v>2</v>
      </c>
      <c r="J303" s="1">
        <f t="shared" si="19"/>
        <v>15</v>
      </c>
      <c r="K303" s="3">
        <f t="shared" si="18"/>
        <v>0.375</v>
      </c>
      <c r="L303" s="1"/>
      <c r="M303" s="1"/>
      <c r="N303" s="6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</row>
    <row r="304" spans="1:40" x14ac:dyDescent="0.25">
      <c r="A304">
        <v>2164</v>
      </c>
      <c r="B304">
        <v>1</v>
      </c>
      <c r="C304" t="s">
        <v>298</v>
      </c>
      <c r="D304">
        <v>0</v>
      </c>
      <c r="E304" s="2" t="s">
        <v>53</v>
      </c>
      <c r="F304" s="2">
        <v>4</v>
      </c>
      <c r="G304" s="1">
        <v>158</v>
      </c>
      <c r="H304" s="1">
        <v>41</v>
      </c>
      <c r="I304" s="1">
        <v>7</v>
      </c>
      <c r="J304" s="1">
        <f t="shared" si="19"/>
        <v>44.5</v>
      </c>
      <c r="K304" s="3">
        <f t="shared" si="18"/>
        <v>0.28164556962025317</v>
      </c>
      <c r="L304" s="1"/>
      <c r="M304" s="1"/>
      <c r="N304" s="6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</row>
    <row r="305" spans="1:40" x14ac:dyDescent="0.25">
      <c r="A305">
        <v>2165</v>
      </c>
      <c r="B305">
        <v>1</v>
      </c>
      <c r="C305" t="s">
        <v>105</v>
      </c>
      <c r="D305">
        <v>0</v>
      </c>
      <c r="E305" s="2" t="s">
        <v>80</v>
      </c>
      <c r="F305" s="2">
        <v>7.1</v>
      </c>
      <c r="G305" s="1">
        <v>81</v>
      </c>
      <c r="H305" s="1">
        <v>45</v>
      </c>
      <c r="I305" s="1">
        <v>7</v>
      </c>
      <c r="J305" s="1">
        <f t="shared" si="19"/>
        <v>48.5</v>
      </c>
      <c r="K305" s="3">
        <f t="shared" si="18"/>
        <v>0.59876543209876543</v>
      </c>
      <c r="L305" s="1"/>
      <c r="M305" s="1"/>
      <c r="N305" s="6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</row>
    <row r="306" spans="1:40" x14ac:dyDescent="0.25">
      <c r="A306">
        <v>2167</v>
      </c>
      <c r="B306">
        <v>1</v>
      </c>
      <c r="C306" t="s">
        <v>225</v>
      </c>
      <c r="D306">
        <v>0</v>
      </c>
      <c r="E306" s="2" t="s">
        <v>56</v>
      </c>
      <c r="F306" s="2">
        <v>8</v>
      </c>
      <c r="G306" s="1">
        <v>49</v>
      </c>
      <c r="H306" s="1">
        <v>10</v>
      </c>
      <c r="I306" s="1">
        <v>11</v>
      </c>
      <c r="J306" s="1">
        <f t="shared" si="19"/>
        <v>15.5</v>
      </c>
      <c r="K306" s="3">
        <f t="shared" si="18"/>
        <v>0.31632653061224492</v>
      </c>
      <c r="L306" s="1"/>
      <c r="M306" s="1"/>
      <c r="N306" s="6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</row>
    <row r="307" spans="1:40" x14ac:dyDescent="0.25">
      <c r="A307">
        <v>2168</v>
      </c>
      <c r="B307">
        <v>1</v>
      </c>
      <c r="C307" t="s">
        <v>281</v>
      </c>
      <c r="D307">
        <v>0</v>
      </c>
      <c r="E307" s="2" t="s">
        <v>70</v>
      </c>
      <c r="F307" s="2">
        <v>9</v>
      </c>
      <c r="G307" s="1">
        <v>72</v>
      </c>
      <c r="H307" s="1">
        <v>22</v>
      </c>
      <c r="I307" s="1">
        <v>7</v>
      </c>
      <c r="J307" s="1">
        <f t="shared" si="19"/>
        <v>25.5</v>
      </c>
      <c r="K307" s="3">
        <f t="shared" si="18"/>
        <v>0.35416666666666669</v>
      </c>
      <c r="L307" s="1"/>
      <c r="M307" s="1"/>
      <c r="N307" s="6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</row>
    <row r="308" spans="1:40" x14ac:dyDescent="0.25">
      <c r="A308">
        <v>2169</v>
      </c>
      <c r="B308">
        <v>1</v>
      </c>
      <c r="C308" t="s">
        <v>215</v>
      </c>
      <c r="D308">
        <v>0</v>
      </c>
      <c r="E308" s="2" t="s">
        <v>56</v>
      </c>
      <c r="F308" s="2">
        <v>8</v>
      </c>
      <c r="G308" s="1">
        <v>57</v>
      </c>
      <c r="H308" s="1">
        <v>20</v>
      </c>
      <c r="I308" s="1">
        <v>7</v>
      </c>
      <c r="J308" s="1">
        <f t="shared" si="19"/>
        <v>23.5</v>
      </c>
      <c r="K308" s="3">
        <f t="shared" si="18"/>
        <v>0.41228070175438597</v>
      </c>
      <c r="L308" s="1"/>
      <c r="M308" s="1"/>
      <c r="N308" s="6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</row>
    <row r="309" spans="1:40" x14ac:dyDescent="0.25">
      <c r="A309">
        <v>2170</v>
      </c>
      <c r="B309">
        <v>1</v>
      </c>
      <c r="C309" t="s">
        <v>110</v>
      </c>
      <c r="D309">
        <v>0</v>
      </c>
      <c r="E309" s="2" t="s">
        <v>58</v>
      </c>
      <c r="F309" s="2">
        <v>5</v>
      </c>
      <c r="G309" s="1">
        <v>107</v>
      </c>
      <c r="H309" s="1">
        <v>55</v>
      </c>
      <c r="I309" s="1">
        <v>8</v>
      </c>
      <c r="J309" s="1">
        <f t="shared" si="19"/>
        <v>59</v>
      </c>
      <c r="K309" s="3">
        <f t="shared" si="18"/>
        <v>0.55140186915887845</v>
      </c>
      <c r="L309" s="1"/>
      <c r="M309" s="1"/>
      <c r="N309" s="6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</row>
    <row r="310" spans="1:40" x14ac:dyDescent="0.25">
      <c r="A310">
        <v>2171</v>
      </c>
      <c r="B310">
        <v>1</v>
      </c>
      <c r="C310" t="s">
        <v>305</v>
      </c>
      <c r="D310">
        <v>0</v>
      </c>
      <c r="E310" s="2" t="s">
        <v>54</v>
      </c>
      <c r="F310" s="2">
        <v>1</v>
      </c>
      <c r="G310" s="1">
        <v>30</v>
      </c>
      <c r="H310" s="1">
        <v>5</v>
      </c>
      <c r="I310" s="1">
        <v>4</v>
      </c>
      <c r="J310" s="1">
        <f t="shared" si="19"/>
        <v>7</v>
      </c>
      <c r="K310" s="3">
        <f t="shared" si="18"/>
        <v>0.23333333333333334</v>
      </c>
      <c r="L310" s="1"/>
      <c r="M310" s="1"/>
      <c r="N310" s="6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</row>
    <row r="311" spans="1:40" x14ac:dyDescent="0.25">
      <c r="A311">
        <v>2172</v>
      </c>
      <c r="B311">
        <v>1</v>
      </c>
      <c r="C311" t="s">
        <v>232</v>
      </c>
      <c r="D311">
        <v>0</v>
      </c>
      <c r="E311" s="2" t="s">
        <v>90</v>
      </c>
      <c r="F311" s="2">
        <v>10</v>
      </c>
      <c r="G311" s="1">
        <v>70</v>
      </c>
      <c r="H311" s="1">
        <v>19</v>
      </c>
      <c r="I311" s="1">
        <v>10</v>
      </c>
      <c r="J311" s="1">
        <f t="shared" si="19"/>
        <v>24</v>
      </c>
      <c r="K311" s="3">
        <f t="shared" si="18"/>
        <v>0.34285714285714286</v>
      </c>
      <c r="L311" s="1"/>
      <c r="M311" s="1"/>
      <c r="N311" s="6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</row>
    <row r="312" spans="1:40" x14ac:dyDescent="0.25">
      <c r="A312">
        <v>2174</v>
      </c>
      <c r="B312">
        <v>1</v>
      </c>
      <c r="C312" t="s">
        <v>72</v>
      </c>
      <c r="D312">
        <v>0</v>
      </c>
      <c r="E312" s="2" t="s">
        <v>58</v>
      </c>
      <c r="F312" s="2">
        <v>5</v>
      </c>
      <c r="G312" s="1">
        <v>70</v>
      </c>
      <c r="H312" s="1">
        <v>41</v>
      </c>
      <c r="I312" s="1">
        <v>11</v>
      </c>
      <c r="J312" s="1">
        <f t="shared" si="19"/>
        <v>46.5</v>
      </c>
      <c r="K312" s="3">
        <f t="shared" si="18"/>
        <v>0.66428571428571426</v>
      </c>
      <c r="L312" s="1"/>
      <c r="M312" s="1"/>
      <c r="N312" s="6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</row>
    <row r="313" spans="1:40" x14ac:dyDescent="0.25">
      <c r="A313">
        <v>2176</v>
      </c>
      <c r="B313">
        <v>1</v>
      </c>
      <c r="C313" t="s">
        <v>202</v>
      </c>
      <c r="D313">
        <v>0</v>
      </c>
      <c r="E313" s="2" t="s">
        <v>54</v>
      </c>
      <c r="F313" s="2">
        <v>1</v>
      </c>
      <c r="G313" s="1">
        <v>43</v>
      </c>
      <c r="H313" s="1">
        <v>17</v>
      </c>
      <c r="I313" s="1">
        <v>5</v>
      </c>
      <c r="J313" s="1">
        <f t="shared" si="19"/>
        <v>19.5</v>
      </c>
      <c r="K313" s="3">
        <f t="shared" si="18"/>
        <v>0.45348837209302323</v>
      </c>
      <c r="L313" s="1"/>
      <c r="M313" s="1"/>
      <c r="N313" s="6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</row>
    <row r="314" spans="1:40" x14ac:dyDescent="0.25">
      <c r="A314">
        <v>2180</v>
      </c>
      <c r="B314">
        <v>1</v>
      </c>
      <c r="C314" t="s">
        <v>160</v>
      </c>
      <c r="D314">
        <v>0</v>
      </c>
      <c r="E314" s="2" t="s">
        <v>100</v>
      </c>
      <c r="F314" s="2">
        <v>6.2</v>
      </c>
      <c r="G314" s="1">
        <v>65</v>
      </c>
      <c r="H314" s="1">
        <v>26</v>
      </c>
      <c r="I314" s="1">
        <v>7</v>
      </c>
      <c r="J314" s="1">
        <f t="shared" si="19"/>
        <v>29.5</v>
      </c>
      <c r="K314" s="3">
        <f t="shared" si="18"/>
        <v>0.45384615384615384</v>
      </c>
      <c r="L314" s="1"/>
      <c r="M314" s="1"/>
      <c r="N314" s="6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</row>
    <row r="315" spans="1:40" x14ac:dyDescent="0.25">
      <c r="A315">
        <v>2184</v>
      </c>
      <c r="B315">
        <v>1</v>
      </c>
      <c r="C315" t="s">
        <v>256</v>
      </c>
      <c r="D315">
        <v>0</v>
      </c>
      <c r="E315" s="2" t="s">
        <v>56</v>
      </c>
      <c r="F315" s="2">
        <v>8</v>
      </c>
      <c r="G315" s="1">
        <v>98</v>
      </c>
      <c r="H315" s="1">
        <v>26</v>
      </c>
      <c r="I315" s="1">
        <v>11</v>
      </c>
      <c r="J315" s="1">
        <f t="shared" si="19"/>
        <v>31.5</v>
      </c>
      <c r="K315" s="3">
        <f t="shared" si="18"/>
        <v>0.32142857142857145</v>
      </c>
      <c r="L315" s="1"/>
      <c r="M315" s="1"/>
      <c r="N315" s="6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</row>
    <row r="316" spans="1:40" x14ac:dyDescent="0.25">
      <c r="A316">
        <v>2190</v>
      </c>
      <c r="B316">
        <v>1</v>
      </c>
      <c r="C316" t="s">
        <v>99</v>
      </c>
      <c r="D316">
        <v>0</v>
      </c>
      <c r="E316" s="2" t="s">
        <v>100</v>
      </c>
      <c r="F316" s="2">
        <v>6.2</v>
      </c>
      <c r="G316" s="1">
        <v>62</v>
      </c>
      <c r="H316" s="1">
        <v>36</v>
      </c>
      <c r="I316" s="1">
        <v>5</v>
      </c>
      <c r="J316" s="1">
        <f t="shared" si="19"/>
        <v>38.5</v>
      </c>
      <c r="K316" s="3">
        <f t="shared" si="18"/>
        <v>0.62096774193548387</v>
      </c>
      <c r="L316" s="1"/>
      <c r="M316" s="1"/>
      <c r="N316" s="6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</row>
    <row r="317" spans="1:40" x14ac:dyDescent="0.25">
      <c r="A317">
        <v>2198</v>
      </c>
      <c r="B317">
        <v>1</v>
      </c>
      <c r="C317" t="s">
        <v>283</v>
      </c>
      <c r="D317">
        <v>0</v>
      </c>
      <c r="E317" s="2" t="s">
        <v>90</v>
      </c>
      <c r="F317" s="2">
        <v>10</v>
      </c>
      <c r="G317" s="1">
        <v>58</v>
      </c>
      <c r="H317" s="1">
        <v>15</v>
      </c>
      <c r="I317" s="1">
        <v>6</v>
      </c>
      <c r="J317" s="1">
        <f t="shared" si="19"/>
        <v>18</v>
      </c>
      <c r="K317" s="3">
        <f t="shared" si="18"/>
        <v>0.31034482758620691</v>
      </c>
      <c r="L317" s="1"/>
      <c r="M317" s="1"/>
      <c r="N317" s="6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</row>
    <row r="318" spans="1:40" x14ac:dyDescent="0.25">
      <c r="A318">
        <v>2215</v>
      </c>
      <c r="B318">
        <v>1</v>
      </c>
      <c r="C318" t="s">
        <v>67</v>
      </c>
      <c r="D318">
        <v>0</v>
      </c>
      <c r="E318" s="2" t="s">
        <v>54</v>
      </c>
      <c r="F318" s="2">
        <v>1</v>
      </c>
      <c r="G318" s="1">
        <v>19</v>
      </c>
      <c r="H318" s="1">
        <v>11</v>
      </c>
      <c r="I318" s="1">
        <v>3</v>
      </c>
      <c r="J318" s="1">
        <f t="shared" si="19"/>
        <v>12.5</v>
      </c>
      <c r="K318" s="3">
        <f t="shared" si="18"/>
        <v>0.65789473684210531</v>
      </c>
      <c r="L318" s="1"/>
      <c r="M318" s="1"/>
      <c r="N318" s="6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</row>
    <row r="319" spans="1:40" x14ac:dyDescent="0.25">
      <c r="A319">
        <v>2310</v>
      </c>
      <c r="B319">
        <v>1</v>
      </c>
      <c r="C319" t="s">
        <v>178</v>
      </c>
      <c r="D319">
        <v>0</v>
      </c>
      <c r="E319" s="2" t="s">
        <v>70</v>
      </c>
      <c r="F319" s="2">
        <v>9</v>
      </c>
      <c r="G319" s="1">
        <v>87</v>
      </c>
      <c r="H319" s="1">
        <v>37</v>
      </c>
      <c r="I319" s="1">
        <v>9</v>
      </c>
      <c r="J319" s="1">
        <f t="shared" si="19"/>
        <v>41.5</v>
      </c>
      <c r="K319" s="3">
        <f t="shared" si="18"/>
        <v>0.47701149425287354</v>
      </c>
      <c r="L319" s="1"/>
      <c r="M319" s="1"/>
      <c r="N319" s="6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</row>
    <row r="320" spans="1:40" x14ac:dyDescent="0.25">
      <c r="A320">
        <v>2311</v>
      </c>
      <c r="B320">
        <v>1</v>
      </c>
      <c r="C320" t="s">
        <v>85</v>
      </c>
      <c r="D320">
        <v>0</v>
      </c>
      <c r="E320" s="2" t="s">
        <v>61</v>
      </c>
      <c r="F320" s="2">
        <v>2</v>
      </c>
      <c r="G320" s="1">
        <v>28</v>
      </c>
      <c r="H320" s="1">
        <v>13</v>
      </c>
      <c r="I320" s="1">
        <v>4</v>
      </c>
      <c r="J320" s="1">
        <f t="shared" si="19"/>
        <v>15</v>
      </c>
      <c r="K320" s="3">
        <f t="shared" si="18"/>
        <v>0.5357142857142857</v>
      </c>
      <c r="L320" s="1"/>
      <c r="M320" s="1"/>
      <c r="N320" s="6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</row>
    <row r="321" spans="1:40" x14ac:dyDescent="0.25">
      <c r="A321">
        <v>2342</v>
      </c>
      <c r="B321">
        <v>1</v>
      </c>
      <c r="C321" t="s">
        <v>237</v>
      </c>
      <c r="D321">
        <v>0</v>
      </c>
      <c r="E321" s="2" t="s">
        <v>53</v>
      </c>
      <c r="F321" s="2">
        <v>4</v>
      </c>
      <c r="G321" s="1">
        <v>51</v>
      </c>
      <c r="H321" s="1">
        <v>13</v>
      </c>
      <c r="I321" s="1">
        <v>9</v>
      </c>
      <c r="J321" s="1">
        <f t="shared" si="19"/>
        <v>17.5</v>
      </c>
      <c r="K321" s="3">
        <f t="shared" si="18"/>
        <v>0.34313725490196079</v>
      </c>
      <c r="L321" s="1"/>
      <c r="M321" s="1"/>
      <c r="N321" s="6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</row>
    <row r="322" spans="1:40" x14ac:dyDescent="0.25">
      <c r="A322">
        <v>2358</v>
      </c>
      <c r="B322">
        <v>1</v>
      </c>
      <c r="C322" t="s">
        <v>248</v>
      </c>
      <c r="D322">
        <v>0</v>
      </c>
      <c r="E322" s="2" t="s">
        <v>54</v>
      </c>
      <c r="F322" s="2">
        <v>1</v>
      </c>
      <c r="G322" s="1">
        <v>16</v>
      </c>
      <c r="H322" s="1">
        <v>5</v>
      </c>
      <c r="I322" s="1">
        <v>3</v>
      </c>
      <c r="J322" s="1">
        <f t="shared" si="19"/>
        <v>6.5</v>
      </c>
      <c r="K322" s="3">
        <f t="shared" si="18"/>
        <v>0.40625</v>
      </c>
      <c r="L322" s="1"/>
      <c r="M322" s="1"/>
      <c r="N322" s="6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</row>
    <row r="323" spans="1:40" x14ac:dyDescent="0.25">
      <c r="A323">
        <v>2364</v>
      </c>
      <c r="B323">
        <v>1</v>
      </c>
      <c r="C323" t="s">
        <v>218</v>
      </c>
      <c r="D323">
        <v>0</v>
      </c>
      <c r="E323" s="2" t="s">
        <v>135</v>
      </c>
      <c r="F323" s="2">
        <v>7.2</v>
      </c>
      <c r="G323" s="1">
        <v>63</v>
      </c>
      <c r="H323" s="1">
        <v>21</v>
      </c>
      <c r="I323" s="1">
        <v>7</v>
      </c>
      <c r="J323" s="1">
        <f t="shared" si="19"/>
        <v>24.5</v>
      </c>
      <c r="K323" s="3">
        <f t="shared" si="18"/>
        <v>0.3888888888888889</v>
      </c>
      <c r="L323" s="1"/>
      <c r="M323" s="1"/>
      <c r="N323" s="6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</row>
    <row r="324" spans="1:40" x14ac:dyDescent="0.25">
      <c r="A324">
        <v>2365</v>
      </c>
      <c r="B324">
        <v>1</v>
      </c>
      <c r="C324" t="s">
        <v>182</v>
      </c>
      <c r="D324">
        <v>0</v>
      </c>
      <c r="E324" s="2" t="s">
        <v>70</v>
      </c>
      <c r="F324" s="2">
        <v>9</v>
      </c>
      <c r="G324" s="1">
        <v>52</v>
      </c>
      <c r="H324" s="1">
        <v>21</v>
      </c>
      <c r="I324" s="1">
        <v>3</v>
      </c>
      <c r="J324" s="1">
        <f t="shared" si="19"/>
        <v>22.5</v>
      </c>
      <c r="K324" s="3">
        <f t="shared" si="18"/>
        <v>0.43269230769230771</v>
      </c>
      <c r="L324" s="1"/>
      <c r="M324" s="1"/>
      <c r="N324" s="6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</row>
    <row r="325" spans="1:40" x14ac:dyDescent="0.25">
      <c r="A325">
        <v>2396</v>
      </c>
      <c r="B325">
        <v>1</v>
      </c>
      <c r="C325" t="s">
        <v>152</v>
      </c>
      <c r="D325">
        <v>0</v>
      </c>
      <c r="E325" s="2" t="s">
        <v>93</v>
      </c>
      <c r="F325" s="2">
        <v>6.1</v>
      </c>
      <c r="G325" s="1">
        <v>78</v>
      </c>
      <c r="H325" s="1">
        <v>30</v>
      </c>
      <c r="I325" s="1">
        <v>10</v>
      </c>
      <c r="J325" s="1">
        <f t="shared" si="19"/>
        <v>35</v>
      </c>
      <c r="K325" s="3">
        <f t="shared" si="18"/>
        <v>0.44871794871794873</v>
      </c>
      <c r="L325" s="1"/>
      <c r="M325" s="1"/>
      <c r="N325" s="6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</row>
    <row r="326" spans="1:40" x14ac:dyDescent="0.25">
      <c r="A326">
        <v>2397</v>
      </c>
      <c r="B326">
        <v>1</v>
      </c>
      <c r="C326" t="s">
        <v>171</v>
      </c>
      <c r="D326">
        <v>0</v>
      </c>
      <c r="E326" s="2" t="s">
        <v>70</v>
      </c>
      <c r="F326" s="2">
        <v>9</v>
      </c>
      <c r="G326" s="1">
        <v>72</v>
      </c>
      <c r="H326" s="1">
        <v>25</v>
      </c>
      <c r="I326" s="1">
        <v>10</v>
      </c>
      <c r="J326" s="1">
        <f t="shared" si="19"/>
        <v>30</v>
      </c>
      <c r="K326" s="3">
        <f t="shared" si="18"/>
        <v>0.41666666666666669</v>
      </c>
      <c r="L326" s="1"/>
      <c r="M326" s="1"/>
      <c r="N326" s="6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</row>
    <row r="327" spans="1:40" x14ac:dyDescent="0.25">
      <c r="A327">
        <v>2448</v>
      </c>
      <c r="B327">
        <v>1</v>
      </c>
      <c r="C327" t="s">
        <v>243</v>
      </c>
      <c r="D327">
        <v>0</v>
      </c>
      <c r="E327" s="2" t="s">
        <v>70</v>
      </c>
      <c r="F327" s="2">
        <v>9</v>
      </c>
      <c r="G327" s="1">
        <v>61</v>
      </c>
      <c r="H327" s="1">
        <v>19</v>
      </c>
      <c r="I327" s="1">
        <v>6</v>
      </c>
      <c r="J327" s="1">
        <f t="shared" si="19"/>
        <v>22</v>
      </c>
      <c r="K327" s="3">
        <f t="shared" si="18"/>
        <v>0.36065573770491804</v>
      </c>
      <c r="L327" s="1"/>
      <c r="M327" s="1"/>
      <c r="N327" s="6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</row>
    <row r="328" spans="1:40" x14ac:dyDescent="0.25">
      <c r="A328">
        <v>2527</v>
      </c>
      <c r="B328">
        <v>1</v>
      </c>
      <c r="C328" t="s">
        <v>71</v>
      </c>
      <c r="D328">
        <v>0</v>
      </c>
      <c r="E328" s="2" t="s">
        <v>54</v>
      </c>
      <c r="F328" s="2">
        <v>1</v>
      </c>
      <c r="G328" s="1">
        <v>24</v>
      </c>
      <c r="H328" s="1">
        <v>11</v>
      </c>
      <c r="I328" s="1">
        <v>6</v>
      </c>
      <c r="J328" s="1">
        <f t="shared" si="19"/>
        <v>14</v>
      </c>
      <c r="K328" s="3">
        <f t="shared" si="18"/>
        <v>0.58333333333333337</v>
      </c>
      <c r="L328" s="1"/>
      <c r="M328" s="1"/>
      <c r="N328" s="6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</row>
    <row r="329" spans="1:40" x14ac:dyDescent="0.25">
      <c r="A329">
        <v>2534</v>
      </c>
      <c r="B329">
        <v>1</v>
      </c>
      <c r="C329" t="s">
        <v>137</v>
      </c>
      <c r="D329">
        <v>0</v>
      </c>
      <c r="E329" s="2" t="s">
        <v>93</v>
      </c>
      <c r="F329" s="2">
        <v>6.1</v>
      </c>
      <c r="G329" s="1">
        <v>51</v>
      </c>
      <c r="H329" s="1">
        <v>20</v>
      </c>
      <c r="I329" s="1">
        <v>10</v>
      </c>
      <c r="J329" s="1">
        <f t="shared" si="19"/>
        <v>25</v>
      </c>
      <c r="K329" s="3">
        <f t="shared" si="18"/>
        <v>0.49019607843137253</v>
      </c>
      <c r="L329" s="1"/>
      <c r="M329" s="1"/>
      <c r="N329" s="6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</row>
    <row r="330" spans="1:40" x14ac:dyDescent="0.25">
      <c r="A330">
        <v>2536</v>
      </c>
      <c r="B330">
        <v>1</v>
      </c>
      <c r="C330" t="s">
        <v>107</v>
      </c>
      <c r="D330">
        <v>0</v>
      </c>
      <c r="E330" s="2" t="s">
        <v>70</v>
      </c>
      <c r="F330" s="2">
        <v>9</v>
      </c>
      <c r="G330" s="1">
        <v>16</v>
      </c>
      <c r="H330" s="1">
        <v>8</v>
      </c>
      <c r="I330" s="1">
        <v>2</v>
      </c>
      <c r="J330" s="1">
        <f t="shared" si="19"/>
        <v>9</v>
      </c>
      <c r="K330" s="3">
        <f t="shared" si="18"/>
        <v>0.5625</v>
      </c>
      <c r="L330" s="1"/>
      <c r="M330" s="1"/>
      <c r="N330" s="6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</row>
    <row r="331" spans="1:40" x14ac:dyDescent="0.25">
      <c r="A331">
        <v>2580</v>
      </c>
      <c r="B331">
        <v>1</v>
      </c>
      <c r="C331" t="s">
        <v>103</v>
      </c>
      <c r="D331">
        <v>0</v>
      </c>
      <c r="E331" s="2" t="s">
        <v>80</v>
      </c>
      <c r="F331" s="2">
        <v>7.1</v>
      </c>
      <c r="G331" s="1">
        <v>58</v>
      </c>
      <c r="H331" s="1">
        <v>31</v>
      </c>
      <c r="I331" s="1">
        <v>4</v>
      </c>
      <c r="J331" s="1">
        <f t="shared" si="19"/>
        <v>33</v>
      </c>
      <c r="K331" s="3">
        <f t="shared" si="18"/>
        <v>0.56896551724137934</v>
      </c>
      <c r="L331" s="1"/>
      <c r="M331" s="1"/>
      <c r="N331" s="6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</row>
    <row r="332" spans="1:40" x14ac:dyDescent="0.25">
      <c r="A332">
        <v>2609</v>
      </c>
      <c r="B332">
        <v>1</v>
      </c>
      <c r="C332" t="s">
        <v>88</v>
      </c>
      <c r="D332">
        <v>0</v>
      </c>
      <c r="E332" s="2" t="s">
        <v>54</v>
      </c>
      <c r="F332" s="2">
        <v>1</v>
      </c>
      <c r="G332" s="1">
        <v>36</v>
      </c>
      <c r="H332" s="1">
        <v>19</v>
      </c>
      <c r="I332" s="1">
        <v>5</v>
      </c>
      <c r="J332" s="1">
        <f t="shared" si="19"/>
        <v>21.5</v>
      </c>
      <c r="K332" s="3">
        <f t="shared" si="18"/>
        <v>0.59722222222222221</v>
      </c>
      <c r="L332" s="1"/>
      <c r="M332" s="1"/>
      <c r="N332" s="6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</row>
    <row r="333" spans="1:40" x14ac:dyDescent="0.25">
      <c r="A333">
        <v>2683</v>
      </c>
      <c r="B333">
        <v>1</v>
      </c>
      <c r="C333" t="s">
        <v>294</v>
      </c>
      <c r="D333">
        <v>0</v>
      </c>
      <c r="E333" s="2" t="s">
        <v>54</v>
      </c>
      <c r="F333" s="2">
        <v>1</v>
      </c>
      <c r="G333" s="1">
        <v>30</v>
      </c>
      <c r="H333" s="1">
        <v>5</v>
      </c>
      <c r="I333" s="1">
        <v>5</v>
      </c>
      <c r="J333" s="1">
        <f t="shared" si="19"/>
        <v>7.5</v>
      </c>
      <c r="K333" s="3">
        <f t="shared" si="18"/>
        <v>0.25</v>
      </c>
      <c r="L333" s="1"/>
      <c r="M333" s="1"/>
      <c r="N333" s="6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</row>
    <row r="334" spans="1:40" x14ac:dyDescent="0.25">
      <c r="A334">
        <v>2687</v>
      </c>
      <c r="B334">
        <v>1</v>
      </c>
      <c r="C334" t="s">
        <v>272</v>
      </c>
      <c r="D334">
        <v>0</v>
      </c>
      <c r="E334" s="2" t="s">
        <v>135</v>
      </c>
      <c r="F334" s="2">
        <v>7.2</v>
      </c>
      <c r="G334" s="1">
        <v>117</v>
      </c>
      <c r="H334" s="1">
        <v>33</v>
      </c>
      <c r="I334" s="1">
        <v>13</v>
      </c>
      <c r="J334" s="1">
        <f t="shared" si="19"/>
        <v>39.5</v>
      </c>
      <c r="K334" s="3">
        <f t="shared" si="18"/>
        <v>0.33760683760683763</v>
      </c>
      <c r="L334" s="1"/>
      <c r="M334" s="1"/>
      <c r="N334" s="6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</row>
    <row r="335" spans="1:40" x14ac:dyDescent="0.25">
      <c r="A335">
        <v>2689</v>
      </c>
      <c r="B335">
        <v>1</v>
      </c>
      <c r="C335" t="s">
        <v>145</v>
      </c>
      <c r="D335">
        <v>0</v>
      </c>
      <c r="E335" s="2" t="s">
        <v>56</v>
      </c>
      <c r="F335" s="2">
        <v>8</v>
      </c>
      <c r="G335" s="1">
        <v>99</v>
      </c>
      <c r="H335" s="1">
        <v>40</v>
      </c>
      <c r="I335" s="1">
        <v>9</v>
      </c>
      <c r="J335" s="1">
        <f t="shared" si="19"/>
        <v>44.5</v>
      </c>
      <c r="K335" s="3">
        <f t="shared" si="18"/>
        <v>0.4494949494949495</v>
      </c>
      <c r="L335" s="1"/>
      <c r="M335" s="1"/>
      <c r="N335" s="6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</row>
    <row r="336" spans="1:40" x14ac:dyDescent="0.25">
      <c r="A336">
        <v>2711</v>
      </c>
      <c r="B336">
        <v>1</v>
      </c>
      <c r="C336" t="s">
        <v>211</v>
      </c>
      <c r="D336">
        <v>0</v>
      </c>
      <c r="E336" s="2" t="s">
        <v>75</v>
      </c>
      <c r="F336" s="2">
        <v>3</v>
      </c>
      <c r="G336" s="1">
        <v>86</v>
      </c>
      <c r="H336" s="1">
        <v>33</v>
      </c>
      <c r="I336" s="1">
        <v>5</v>
      </c>
      <c r="J336" s="1">
        <f t="shared" si="19"/>
        <v>35.5</v>
      </c>
      <c r="K336" s="3">
        <f t="shared" si="18"/>
        <v>0.41279069767441862</v>
      </c>
      <c r="L336" s="1"/>
      <c r="M336" s="1"/>
      <c r="N336" s="6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</row>
    <row r="337" spans="1:40" x14ac:dyDescent="0.25">
      <c r="A337">
        <v>2752</v>
      </c>
      <c r="B337">
        <v>1</v>
      </c>
      <c r="C337" t="s">
        <v>156</v>
      </c>
      <c r="D337">
        <v>0</v>
      </c>
      <c r="E337" s="2" t="s">
        <v>70</v>
      </c>
      <c r="F337" s="2">
        <v>9</v>
      </c>
      <c r="G337" s="1">
        <v>151</v>
      </c>
      <c r="H337" s="1">
        <v>63</v>
      </c>
      <c r="I337" s="1">
        <v>17</v>
      </c>
      <c r="J337" s="1">
        <f t="shared" si="19"/>
        <v>71.5</v>
      </c>
      <c r="K337" s="3">
        <f t="shared" si="18"/>
        <v>0.47350993377483441</v>
      </c>
      <c r="L337" s="1"/>
      <c r="M337" s="1"/>
      <c r="N337" s="7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</row>
    <row r="338" spans="1:40" x14ac:dyDescent="0.25">
      <c r="A338">
        <v>2753</v>
      </c>
      <c r="B338">
        <v>1</v>
      </c>
      <c r="C338" t="s">
        <v>81</v>
      </c>
      <c r="D338">
        <v>0</v>
      </c>
      <c r="E338" s="2" t="s">
        <v>58</v>
      </c>
      <c r="F338" s="2">
        <v>5</v>
      </c>
      <c r="G338" s="1">
        <v>64</v>
      </c>
      <c r="H338" s="1">
        <v>33</v>
      </c>
      <c r="I338" s="1">
        <v>11</v>
      </c>
      <c r="J338" s="1">
        <f t="shared" si="19"/>
        <v>38.5</v>
      </c>
      <c r="K338" s="3">
        <f t="shared" si="18"/>
        <v>0.6015625</v>
      </c>
      <c r="L338" s="1"/>
      <c r="M338" s="1"/>
      <c r="N338" s="7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</row>
    <row r="339" spans="1:40" x14ac:dyDescent="0.25">
      <c r="A339">
        <v>2754</v>
      </c>
      <c r="B339">
        <v>1</v>
      </c>
      <c r="C339" t="s">
        <v>121</v>
      </c>
      <c r="D339">
        <v>0</v>
      </c>
      <c r="E339" s="2" t="s">
        <v>56</v>
      </c>
      <c r="F339" s="2">
        <v>8</v>
      </c>
      <c r="G339" s="1">
        <v>42</v>
      </c>
      <c r="H339" s="1">
        <v>15</v>
      </c>
      <c r="I339" s="1">
        <v>7</v>
      </c>
      <c r="J339" s="1">
        <f t="shared" si="19"/>
        <v>18.5</v>
      </c>
      <c r="K339" s="3">
        <f t="shared" si="18"/>
        <v>0.44047619047619047</v>
      </c>
      <c r="L339" s="1"/>
      <c r="M339" s="1"/>
      <c r="N339" s="7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</row>
    <row r="340" spans="1:40" x14ac:dyDescent="0.25">
      <c r="A340">
        <v>2759</v>
      </c>
      <c r="B340">
        <v>1</v>
      </c>
      <c r="C340" t="s">
        <v>286</v>
      </c>
      <c r="D340">
        <v>0</v>
      </c>
      <c r="E340" s="2" t="s">
        <v>58</v>
      </c>
      <c r="F340" s="2">
        <v>5</v>
      </c>
      <c r="G340" s="1">
        <v>29</v>
      </c>
      <c r="H340" s="1">
        <v>8</v>
      </c>
      <c r="I340" s="1">
        <v>3</v>
      </c>
      <c r="J340" s="1">
        <f t="shared" si="19"/>
        <v>9.5</v>
      </c>
      <c r="K340" s="3">
        <f t="shared" si="18"/>
        <v>0.32758620689655171</v>
      </c>
      <c r="L340" s="1"/>
      <c r="M340" s="1"/>
      <c r="N340" s="7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</row>
    <row r="341" spans="1:40" x14ac:dyDescent="0.25">
      <c r="A341">
        <v>2805</v>
      </c>
      <c r="B341">
        <v>1</v>
      </c>
      <c r="C341" t="s">
        <v>331</v>
      </c>
      <c r="D341">
        <v>0</v>
      </c>
      <c r="E341" s="2" t="s">
        <v>90</v>
      </c>
      <c r="F341" s="2">
        <v>10</v>
      </c>
      <c r="G341" s="1">
        <v>90</v>
      </c>
      <c r="H341" s="1">
        <v>19</v>
      </c>
      <c r="I341" s="1">
        <v>4</v>
      </c>
      <c r="J341" s="1">
        <f t="shared" si="19"/>
        <v>21</v>
      </c>
      <c r="K341" s="3">
        <f t="shared" si="18"/>
        <v>0.23333333333333334</v>
      </c>
      <c r="L341" s="1"/>
      <c r="M341" s="1"/>
      <c r="N341" s="7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</row>
    <row r="342" spans="1:40" x14ac:dyDescent="0.25">
      <c r="A342">
        <v>2835</v>
      </c>
      <c r="B342">
        <v>1</v>
      </c>
      <c r="C342" t="s">
        <v>299</v>
      </c>
      <c r="D342">
        <v>0</v>
      </c>
      <c r="E342" s="2" t="s">
        <v>70</v>
      </c>
      <c r="F342" s="2">
        <v>9</v>
      </c>
      <c r="G342" s="1">
        <v>48</v>
      </c>
      <c r="H342" s="1">
        <v>16</v>
      </c>
      <c r="I342" s="1">
        <v>2</v>
      </c>
      <c r="J342" s="1">
        <f t="shared" si="19"/>
        <v>17</v>
      </c>
      <c r="K342" s="3">
        <f t="shared" si="18"/>
        <v>0.35416666666666669</v>
      </c>
      <c r="L342" s="1"/>
      <c r="M342" s="1"/>
      <c r="N342" s="7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</row>
    <row r="343" spans="1:40" x14ac:dyDescent="0.25">
      <c r="A343">
        <v>2853</v>
      </c>
      <c r="B343">
        <v>1</v>
      </c>
      <c r="C343" t="s">
        <v>138</v>
      </c>
      <c r="D343">
        <v>0</v>
      </c>
      <c r="E343" s="2" t="s">
        <v>100</v>
      </c>
      <c r="F343" s="2">
        <v>6.2</v>
      </c>
      <c r="G343" s="1">
        <v>80</v>
      </c>
      <c r="H343" s="1">
        <v>27</v>
      </c>
      <c r="I343" s="1">
        <v>12</v>
      </c>
      <c r="J343" s="1">
        <f t="shared" si="19"/>
        <v>33</v>
      </c>
      <c r="K343" s="3">
        <f t="shared" si="18"/>
        <v>0.41249999999999998</v>
      </c>
      <c r="L343" s="1"/>
      <c r="M343" s="1"/>
      <c r="N343" s="7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</row>
    <row r="344" spans="1:40" x14ac:dyDescent="0.25">
      <c r="A344">
        <v>2854</v>
      </c>
      <c r="B344">
        <v>1</v>
      </c>
      <c r="C344" t="s">
        <v>238</v>
      </c>
      <c r="D344">
        <v>0</v>
      </c>
      <c r="E344" s="2" t="s">
        <v>54</v>
      </c>
      <c r="F344" s="2">
        <v>1</v>
      </c>
      <c r="G344" s="1">
        <v>34</v>
      </c>
      <c r="H344" s="1">
        <v>9</v>
      </c>
      <c r="I344" s="1">
        <v>3</v>
      </c>
      <c r="J344" s="1">
        <f t="shared" si="19"/>
        <v>10.5</v>
      </c>
      <c r="K344" s="3">
        <f t="shared" si="18"/>
        <v>0.30882352941176472</v>
      </c>
      <c r="L344" s="1"/>
      <c r="M344" s="1"/>
      <c r="N344" s="7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</row>
    <row r="345" spans="1:40" x14ac:dyDescent="0.25">
      <c r="A345">
        <v>2856</v>
      </c>
      <c r="B345">
        <v>1</v>
      </c>
      <c r="C345" t="s">
        <v>176</v>
      </c>
      <c r="D345">
        <v>0</v>
      </c>
      <c r="E345" s="2" t="s">
        <v>54</v>
      </c>
      <c r="F345" s="2">
        <v>1</v>
      </c>
      <c r="G345" s="1">
        <v>18</v>
      </c>
      <c r="H345" s="1">
        <v>8</v>
      </c>
      <c r="I345" s="1">
        <v>0</v>
      </c>
      <c r="J345" s="1">
        <f t="shared" si="19"/>
        <v>8</v>
      </c>
      <c r="K345" s="3">
        <f t="shared" si="18"/>
        <v>0.44444444444444442</v>
      </c>
      <c r="L345" s="1"/>
      <c r="M345" s="1"/>
      <c r="N345" s="7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</row>
    <row r="346" spans="1:40" x14ac:dyDescent="0.25">
      <c r="A346">
        <v>2859</v>
      </c>
      <c r="B346">
        <v>1</v>
      </c>
      <c r="C346" t="s">
        <v>189</v>
      </c>
      <c r="D346">
        <v>0</v>
      </c>
      <c r="E346" s="2" t="s">
        <v>93</v>
      </c>
      <c r="F346" s="2">
        <v>6.1</v>
      </c>
      <c r="G346" s="1">
        <v>137</v>
      </c>
      <c r="H346" s="1">
        <v>49</v>
      </c>
      <c r="I346" s="1">
        <v>16</v>
      </c>
      <c r="J346" s="1">
        <f t="shared" si="19"/>
        <v>57</v>
      </c>
      <c r="K346" s="3">
        <f t="shared" si="18"/>
        <v>0.41605839416058393</v>
      </c>
      <c r="L346" s="1"/>
      <c r="M346" s="1"/>
      <c r="N346" s="7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</row>
    <row r="347" spans="1:40" x14ac:dyDescent="0.25">
      <c r="A347">
        <v>2860</v>
      </c>
      <c r="B347">
        <v>1</v>
      </c>
      <c r="C347" t="s">
        <v>147</v>
      </c>
      <c r="D347">
        <v>0</v>
      </c>
      <c r="E347" s="2" t="s">
        <v>70</v>
      </c>
      <c r="F347" s="2">
        <v>9</v>
      </c>
      <c r="G347" s="1">
        <v>110</v>
      </c>
      <c r="H347" s="1">
        <v>50</v>
      </c>
      <c r="I347" s="1">
        <v>10</v>
      </c>
      <c r="J347" s="1">
        <f t="shared" si="19"/>
        <v>55</v>
      </c>
      <c r="K347" s="3">
        <f t="shared" si="18"/>
        <v>0.5</v>
      </c>
      <c r="L347" s="1"/>
      <c r="M347" s="1"/>
      <c r="N347" s="7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</row>
    <row r="348" spans="1:40" x14ac:dyDescent="0.25">
      <c r="A348">
        <v>2884</v>
      </c>
      <c r="B348">
        <v>1</v>
      </c>
      <c r="C348" t="s">
        <v>95</v>
      </c>
      <c r="D348">
        <v>0</v>
      </c>
      <c r="E348" s="2" t="s">
        <v>56</v>
      </c>
      <c r="F348" s="2">
        <v>8</v>
      </c>
      <c r="G348" s="1">
        <v>16</v>
      </c>
      <c r="H348" s="1">
        <v>8</v>
      </c>
      <c r="I348" s="1">
        <v>2</v>
      </c>
      <c r="J348" s="1">
        <f t="shared" si="19"/>
        <v>9</v>
      </c>
      <c r="K348" s="3">
        <f t="shared" ref="K348:K360" si="20">IF(G348=0,0,J348/G348)</f>
        <v>0.5625</v>
      </c>
      <c r="L348" s="1"/>
      <c r="M348" s="1"/>
      <c r="N348" s="7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</row>
    <row r="349" spans="1:40" x14ac:dyDescent="0.25">
      <c r="A349">
        <v>2886</v>
      </c>
      <c r="B349">
        <v>1</v>
      </c>
      <c r="C349" t="s">
        <v>234</v>
      </c>
      <c r="D349">
        <v>0</v>
      </c>
      <c r="E349" s="2" t="s">
        <v>90</v>
      </c>
      <c r="F349" s="2">
        <v>10</v>
      </c>
      <c r="G349" s="1">
        <v>23</v>
      </c>
      <c r="H349" s="1">
        <v>7</v>
      </c>
      <c r="I349" s="1">
        <v>2</v>
      </c>
      <c r="J349" s="1">
        <f t="shared" ref="J349:J360" si="21">H349+I349*0.5</f>
        <v>8</v>
      </c>
      <c r="K349" s="3">
        <f t="shared" si="20"/>
        <v>0.34782608695652173</v>
      </c>
      <c r="L349" s="1"/>
      <c r="M349" s="1"/>
      <c r="N349" s="7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</row>
    <row r="350" spans="1:40" x14ac:dyDescent="0.25">
      <c r="A350">
        <v>2888</v>
      </c>
      <c r="B350">
        <v>1</v>
      </c>
      <c r="C350" t="s">
        <v>167</v>
      </c>
      <c r="D350">
        <v>0</v>
      </c>
      <c r="E350" s="2" t="s">
        <v>100</v>
      </c>
      <c r="F350" s="2">
        <v>6.2</v>
      </c>
      <c r="G350" s="1">
        <v>31</v>
      </c>
      <c r="H350" s="1">
        <v>9</v>
      </c>
      <c r="I350" s="1">
        <v>6</v>
      </c>
      <c r="J350" s="1">
        <f t="shared" si="21"/>
        <v>12</v>
      </c>
      <c r="K350" s="3">
        <f t="shared" si="20"/>
        <v>0.38709677419354838</v>
      </c>
      <c r="L350" s="1"/>
      <c r="M350" s="1"/>
      <c r="N350" s="7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</row>
    <row r="351" spans="1:40" x14ac:dyDescent="0.25">
      <c r="A351">
        <v>2889</v>
      </c>
      <c r="B351">
        <v>1</v>
      </c>
      <c r="C351" t="s">
        <v>155</v>
      </c>
      <c r="D351">
        <v>0</v>
      </c>
      <c r="E351" s="2" t="s">
        <v>53</v>
      </c>
      <c r="F351" s="2">
        <v>4</v>
      </c>
      <c r="G351" s="1">
        <v>61</v>
      </c>
      <c r="H351" s="1">
        <v>25</v>
      </c>
      <c r="I351" s="1">
        <v>7</v>
      </c>
      <c r="J351" s="1">
        <f t="shared" si="21"/>
        <v>28.5</v>
      </c>
      <c r="K351" s="3">
        <f t="shared" si="20"/>
        <v>0.46721311475409838</v>
      </c>
      <c r="L351" s="1"/>
      <c r="M351" s="1"/>
      <c r="N351" s="7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</row>
    <row r="352" spans="1:40" x14ac:dyDescent="0.25">
      <c r="A352">
        <v>2890</v>
      </c>
      <c r="B352">
        <v>1</v>
      </c>
      <c r="C352" t="s">
        <v>98</v>
      </c>
      <c r="D352">
        <v>0</v>
      </c>
      <c r="E352" s="2" t="s">
        <v>93</v>
      </c>
      <c r="F352" s="2">
        <v>6.1</v>
      </c>
      <c r="G352" s="1">
        <v>44</v>
      </c>
      <c r="H352" s="1">
        <v>26</v>
      </c>
      <c r="I352" s="1">
        <v>3</v>
      </c>
      <c r="J352" s="1">
        <f t="shared" si="21"/>
        <v>27.5</v>
      </c>
      <c r="K352" s="3">
        <f t="shared" si="20"/>
        <v>0.625</v>
      </c>
      <c r="L352" s="1"/>
      <c r="M352" s="1"/>
      <c r="N352" s="7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</row>
    <row r="353" spans="1:40" x14ac:dyDescent="0.25">
      <c r="A353">
        <v>2895</v>
      </c>
      <c r="B353">
        <v>1</v>
      </c>
      <c r="C353" t="s">
        <v>249</v>
      </c>
      <c r="D353">
        <v>0</v>
      </c>
      <c r="E353" s="2" t="s">
        <v>56</v>
      </c>
      <c r="F353" s="2">
        <v>8</v>
      </c>
      <c r="G353" s="1">
        <v>106</v>
      </c>
      <c r="H353" s="1">
        <v>34</v>
      </c>
      <c r="I353" s="1">
        <v>9</v>
      </c>
      <c r="J353" s="1">
        <f t="shared" si="21"/>
        <v>38.5</v>
      </c>
      <c r="K353" s="3">
        <f t="shared" si="20"/>
        <v>0.3632075471698113</v>
      </c>
      <c r="L353" s="1"/>
      <c r="M353" s="1"/>
      <c r="N353" s="7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</row>
    <row r="354" spans="1:40" x14ac:dyDescent="0.25">
      <c r="A354">
        <v>2897</v>
      </c>
      <c r="B354">
        <v>1</v>
      </c>
      <c r="C354" t="s">
        <v>222</v>
      </c>
      <c r="D354">
        <v>0</v>
      </c>
      <c r="E354" s="2" t="s">
        <v>56</v>
      </c>
      <c r="F354" s="2">
        <v>8</v>
      </c>
      <c r="G354" s="1">
        <v>83</v>
      </c>
      <c r="H354" s="1">
        <v>32</v>
      </c>
      <c r="I354" s="1">
        <v>8</v>
      </c>
      <c r="J354" s="1">
        <f t="shared" si="21"/>
        <v>36</v>
      </c>
      <c r="K354" s="3">
        <f t="shared" si="20"/>
        <v>0.43373493975903615</v>
      </c>
      <c r="L354" s="1"/>
      <c r="M354" s="1"/>
      <c r="N354" s="7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</row>
    <row r="355" spans="1:40" x14ac:dyDescent="0.25">
      <c r="A355">
        <v>2898</v>
      </c>
      <c r="B355">
        <v>1</v>
      </c>
      <c r="C355" t="s">
        <v>144</v>
      </c>
      <c r="D355">
        <v>0</v>
      </c>
      <c r="E355" s="2" t="s">
        <v>56</v>
      </c>
      <c r="F355" s="2">
        <v>8</v>
      </c>
      <c r="G355" s="1">
        <v>23</v>
      </c>
      <c r="H355" s="1">
        <v>9</v>
      </c>
      <c r="I355" s="1">
        <v>2</v>
      </c>
      <c r="J355" s="1">
        <f t="shared" si="21"/>
        <v>10</v>
      </c>
      <c r="K355" s="3">
        <f t="shared" si="20"/>
        <v>0.43478260869565216</v>
      </c>
      <c r="L355" s="1"/>
      <c r="M355" s="1"/>
      <c r="N355" s="7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</row>
    <row r="356" spans="1:40" x14ac:dyDescent="0.25">
      <c r="A356">
        <v>2899</v>
      </c>
      <c r="B356">
        <v>1</v>
      </c>
      <c r="C356" t="s">
        <v>247</v>
      </c>
      <c r="D356">
        <v>0</v>
      </c>
      <c r="E356" s="2" t="s">
        <v>90</v>
      </c>
      <c r="F356" s="2">
        <v>10</v>
      </c>
      <c r="G356" s="1">
        <v>102</v>
      </c>
      <c r="H356" s="1">
        <v>32</v>
      </c>
      <c r="I356" s="1">
        <v>10</v>
      </c>
      <c r="J356" s="1">
        <f t="shared" si="21"/>
        <v>37</v>
      </c>
      <c r="K356" s="3">
        <f t="shared" si="20"/>
        <v>0.36274509803921567</v>
      </c>
      <c r="L356" s="1"/>
      <c r="M356" s="1"/>
      <c r="N356" s="7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</row>
    <row r="357" spans="1:40" x14ac:dyDescent="0.25">
      <c r="A357">
        <v>2902</v>
      </c>
      <c r="B357">
        <v>1</v>
      </c>
      <c r="C357" t="s">
        <v>329</v>
      </c>
      <c r="D357">
        <v>0</v>
      </c>
      <c r="E357" s="2" t="s">
        <v>56</v>
      </c>
      <c r="F357" s="2">
        <v>8</v>
      </c>
      <c r="G357" s="1">
        <v>38</v>
      </c>
      <c r="H357" s="1">
        <v>6</v>
      </c>
      <c r="I357" s="1">
        <v>3</v>
      </c>
      <c r="J357" s="1">
        <f t="shared" si="21"/>
        <v>7.5</v>
      </c>
      <c r="K357" s="3">
        <f t="shared" si="20"/>
        <v>0.19736842105263158</v>
      </c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</row>
    <row r="358" spans="1:40" x14ac:dyDescent="0.25">
      <c r="A358">
        <v>2903</v>
      </c>
      <c r="B358">
        <v>1</v>
      </c>
      <c r="C358" t="s">
        <v>154</v>
      </c>
      <c r="D358">
        <v>0</v>
      </c>
      <c r="E358" s="2" t="s">
        <v>100</v>
      </c>
      <c r="F358" s="2">
        <v>6.2</v>
      </c>
      <c r="G358" s="1">
        <v>35</v>
      </c>
      <c r="H358" s="1">
        <v>12</v>
      </c>
      <c r="I358" s="1">
        <v>5</v>
      </c>
      <c r="J358" s="1">
        <f t="shared" si="21"/>
        <v>14.5</v>
      </c>
      <c r="K358" s="3">
        <f t="shared" si="20"/>
        <v>0.41428571428571431</v>
      </c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</row>
    <row r="359" spans="1:40" x14ac:dyDescent="0.25">
      <c r="A359">
        <v>2904</v>
      </c>
      <c r="B359">
        <v>1</v>
      </c>
      <c r="C359" t="s">
        <v>126</v>
      </c>
      <c r="D359">
        <v>0</v>
      </c>
      <c r="E359" s="2" t="s">
        <v>56</v>
      </c>
      <c r="F359" s="2">
        <v>8</v>
      </c>
      <c r="G359" s="1">
        <v>52</v>
      </c>
      <c r="H359" s="1">
        <v>23</v>
      </c>
      <c r="I359" s="1">
        <v>6</v>
      </c>
      <c r="J359" s="1">
        <f t="shared" si="21"/>
        <v>26</v>
      </c>
      <c r="K359" s="3">
        <f t="shared" si="20"/>
        <v>0.5</v>
      </c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</row>
    <row r="360" spans="1:40" x14ac:dyDescent="0.25">
      <c r="A360">
        <v>2905</v>
      </c>
      <c r="B360">
        <v>1</v>
      </c>
      <c r="C360" t="s">
        <v>301</v>
      </c>
      <c r="D360">
        <v>0</v>
      </c>
      <c r="E360" s="2" t="s">
        <v>70</v>
      </c>
      <c r="F360" s="2">
        <v>9</v>
      </c>
      <c r="G360" s="1">
        <v>163</v>
      </c>
      <c r="H360" s="1">
        <v>51</v>
      </c>
      <c r="I360" s="1">
        <v>10</v>
      </c>
      <c r="J360" s="1">
        <f t="shared" si="21"/>
        <v>56</v>
      </c>
      <c r="K360" s="3">
        <f t="shared" si="20"/>
        <v>0.34355828220858897</v>
      </c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</row>
    <row r="361" spans="1:40" x14ac:dyDescent="0.25">
      <c r="E361" s="2"/>
      <c r="F361" s="2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</row>
    <row r="362" spans="1:40" x14ac:dyDescent="0.25">
      <c r="E362" s="2"/>
      <c r="F362" s="2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</row>
    <row r="363" spans="1:40" x14ac:dyDescent="0.25">
      <c r="E363" s="2"/>
      <c r="F363" s="2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</row>
    <row r="364" spans="1:40" x14ac:dyDescent="0.25">
      <c r="E364" s="2"/>
      <c r="F364" s="2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</row>
    <row r="365" spans="1:40" x14ac:dyDescent="0.25">
      <c r="E365" s="2"/>
      <c r="F365" s="2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</row>
    <row r="366" spans="1:40" x14ac:dyDescent="0.25">
      <c r="E366" s="2"/>
      <c r="F366" s="2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</row>
    <row r="367" spans="1:40" x14ac:dyDescent="0.25">
      <c r="E367" s="2"/>
      <c r="F367" s="2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</row>
    <row r="368" spans="1:40" x14ac:dyDescent="0.25">
      <c r="E368" s="2"/>
      <c r="F368" s="2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</row>
    <row r="369" spans="5:40" x14ac:dyDescent="0.25">
      <c r="E369" s="2"/>
      <c r="F369" s="2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</row>
    <row r="370" spans="5:40" x14ac:dyDescent="0.25">
      <c r="E370" s="2"/>
      <c r="F370" s="2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</row>
    <row r="371" spans="5:40" x14ac:dyDescent="0.25">
      <c r="E371" s="2"/>
      <c r="F371" s="2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</row>
    <row r="372" spans="5:40" x14ac:dyDescent="0.25">
      <c r="E372" s="2"/>
      <c r="F372" s="2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</row>
    <row r="373" spans="5:40" x14ac:dyDescent="0.25">
      <c r="E373" s="2"/>
      <c r="F373" s="2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</row>
    <row r="374" spans="5:40" x14ac:dyDescent="0.25">
      <c r="E374" s="2"/>
      <c r="F374" s="2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</row>
    <row r="375" spans="5:40" x14ac:dyDescent="0.25">
      <c r="E375" s="2"/>
      <c r="F375" s="2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</row>
    <row r="376" spans="5:40" x14ac:dyDescent="0.25">
      <c r="E376" s="2"/>
      <c r="F376" s="2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</row>
    <row r="377" spans="5:40" x14ac:dyDescent="0.25">
      <c r="E377" s="2"/>
      <c r="F377" s="2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</row>
    <row r="378" spans="5:40" x14ac:dyDescent="0.25">
      <c r="E378" s="2"/>
      <c r="F378" s="2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</row>
    <row r="379" spans="5:40" x14ac:dyDescent="0.25">
      <c r="E379" s="2"/>
      <c r="F379" s="2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</row>
    <row r="380" spans="5:40" x14ac:dyDescent="0.25">
      <c r="E380" s="2"/>
      <c r="F380" s="2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</row>
    <row r="381" spans="5:40" x14ac:dyDescent="0.25">
      <c r="E381" s="2"/>
      <c r="F381" s="2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</row>
    <row r="382" spans="5:40" x14ac:dyDescent="0.25">
      <c r="E382" s="2"/>
      <c r="F382" s="2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</row>
    <row r="383" spans="5:40" x14ac:dyDescent="0.25">
      <c r="E383" s="2"/>
      <c r="F383" s="2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</row>
    <row r="384" spans="5:40" x14ac:dyDescent="0.25">
      <c r="E384" s="2"/>
      <c r="F384" s="2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</row>
    <row r="385" spans="5:40" x14ac:dyDescent="0.25">
      <c r="E385" s="2"/>
      <c r="F385" s="2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</row>
    <row r="386" spans="5:40" x14ac:dyDescent="0.25"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</row>
    <row r="387" spans="5:40" x14ac:dyDescent="0.25"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</row>
  </sheetData>
  <sortState ref="A28:K360">
    <sortCondition ref="A28:A360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64"/>
  <sheetViews>
    <sheetView workbookViewId="0"/>
  </sheetViews>
  <sheetFormatPr defaultRowHeight="15" x14ac:dyDescent="0.25"/>
  <cols>
    <col min="2" max="2" width="5.28515625" bestFit="1" customWidth="1"/>
    <col min="3" max="3" width="39.140625" bestFit="1" customWidth="1"/>
    <col min="5" max="5" width="9.140625" customWidth="1"/>
    <col min="6" max="7" width="10.85546875" bestFit="1" customWidth="1"/>
    <col min="9" max="9" width="13.7109375" bestFit="1" customWidth="1"/>
    <col min="10" max="10" width="10.28515625" bestFit="1" customWidth="1"/>
    <col min="11" max="12" width="14" bestFit="1" customWidth="1"/>
    <col min="13" max="13" width="12" bestFit="1" customWidth="1"/>
    <col min="14" max="14" width="12.85546875" bestFit="1" customWidth="1"/>
    <col min="15" max="15" width="14.5703125" bestFit="1" customWidth="1"/>
    <col min="16" max="16" width="16.28515625" bestFit="1" customWidth="1"/>
    <col min="17" max="17" width="20.140625" bestFit="1" customWidth="1"/>
    <col min="18" max="18" width="14.140625" customWidth="1"/>
    <col min="19" max="19" width="6.85546875" bestFit="1" customWidth="1"/>
  </cols>
  <sheetData>
    <row r="1" spans="1:19" x14ac:dyDescent="0.25">
      <c r="A1" t="s">
        <v>460</v>
      </c>
      <c r="M1" s="2"/>
    </row>
    <row r="2" spans="1:19" x14ac:dyDescent="0.25">
      <c r="M2" s="2"/>
    </row>
    <row r="3" spans="1:19" x14ac:dyDescent="0.25">
      <c r="A3" t="s">
        <v>509</v>
      </c>
      <c r="C3" t="s">
        <v>508</v>
      </c>
      <c r="D3">
        <v>0.39</v>
      </c>
      <c r="M3" s="2"/>
    </row>
    <row r="4" spans="1:19" x14ac:dyDescent="0.25">
      <c r="M4" s="2"/>
    </row>
    <row r="5" spans="1:19" x14ac:dyDescent="0.25">
      <c r="E5" s="2" t="s">
        <v>445</v>
      </c>
      <c r="F5" s="2" t="s">
        <v>446</v>
      </c>
      <c r="G5" s="2" t="s">
        <v>447</v>
      </c>
      <c r="H5" s="2" t="s">
        <v>448</v>
      </c>
      <c r="I5" s="2" t="s">
        <v>449</v>
      </c>
      <c r="J5" s="2" t="s">
        <v>451</v>
      </c>
      <c r="K5" s="2" t="s">
        <v>452</v>
      </c>
      <c r="L5" s="2" t="s">
        <v>453</v>
      </c>
      <c r="M5" s="2" t="s">
        <v>454</v>
      </c>
      <c r="N5" s="2" t="s">
        <v>455</v>
      </c>
      <c r="O5" s="2" t="s">
        <v>457</v>
      </c>
      <c r="P5" s="2" t="s">
        <v>464</v>
      </c>
      <c r="Q5" s="2" t="s">
        <v>465</v>
      </c>
      <c r="R5" s="2" t="s">
        <v>466</v>
      </c>
      <c r="S5" s="2" t="s">
        <v>0</v>
      </c>
    </row>
    <row r="6" spans="1:19" x14ac:dyDescent="0.25">
      <c r="K6" s="2" t="s">
        <v>476</v>
      </c>
      <c r="O6" s="2" t="s">
        <v>512</v>
      </c>
    </row>
    <row r="7" spans="1:19" x14ac:dyDescent="0.25">
      <c r="H7" s="2" t="s">
        <v>476</v>
      </c>
      <c r="J7" s="2" t="s">
        <v>486</v>
      </c>
      <c r="K7" s="2" t="s">
        <v>489</v>
      </c>
      <c r="M7" s="2" t="s">
        <v>492</v>
      </c>
      <c r="N7" s="2" t="s">
        <v>458</v>
      </c>
      <c r="O7" s="2" t="s">
        <v>459</v>
      </c>
      <c r="P7" s="2" t="s">
        <v>463</v>
      </c>
    </row>
    <row r="8" spans="1:19" x14ac:dyDescent="0.25">
      <c r="E8" s="2"/>
      <c r="F8" s="2"/>
      <c r="G8" s="2"/>
      <c r="H8" s="2" t="s">
        <v>477</v>
      </c>
      <c r="I8" s="2"/>
      <c r="J8" s="2" t="s">
        <v>484</v>
      </c>
      <c r="K8" s="2" t="s">
        <v>490</v>
      </c>
      <c r="L8" s="2"/>
      <c r="M8" s="2" t="s">
        <v>493</v>
      </c>
      <c r="N8" s="2" t="s">
        <v>450</v>
      </c>
      <c r="O8" s="2" t="s">
        <v>463</v>
      </c>
      <c r="P8" s="2" t="s">
        <v>504</v>
      </c>
      <c r="Q8" s="2" t="s">
        <v>500</v>
      </c>
      <c r="R8" s="2"/>
    </row>
    <row r="9" spans="1:19" x14ac:dyDescent="0.25">
      <c r="E9" s="2" t="s">
        <v>476</v>
      </c>
      <c r="F9" s="2" t="s">
        <v>476</v>
      </c>
      <c r="G9" s="2" t="s">
        <v>476</v>
      </c>
      <c r="H9" s="2" t="s">
        <v>481</v>
      </c>
      <c r="I9" s="2" t="s">
        <v>484</v>
      </c>
      <c r="J9" s="2" t="s">
        <v>487</v>
      </c>
      <c r="K9" s="2" t="s">
        <v>482</v>
      </c>
      <c r="L9" s="2" t="s">
        <v>467</v>
      </c>
      <c r="M9" s="2" t="s">
        <v>494</v>
      </c>
      <c r="N9" s="2" t="s">
        <v>498</v>
      </c>
      <c r="O9" s="2" t="s">
        <v>450</v>
      </c>
      <c r="P9" s="8" t="s">
        <v>505</v>
      </c>
      <c r="Q9" s="2" t="s">
        <v>503</v>
      </c>
    </row>
    <row r="10" spans="1:19" x14ac:dyDescent="0.25">
      <c r="E10" s="2" t="s">
        <v>477</v>
      </c>
      <c r="F10" s="2" t="s">
        <v>477</v>
      </c>
      <c r="G10" s="2" t="s">
        <v>477</v>
      </c>
      <c r="H10" s="2" t="s">
        <v>482</v>
      </c>
      <c r="I10" s="2" t="s">
        <v>485</v>
      </c>
      <c r="J10" s="11" t="s">
        <v>488</v>
      </c>
      <c r="K10" s="2" t="s">
        <v>487</v>
      </c>
      <c r="L10" s="2" t="s">
        <v>510</v>
      </c>
      <c r="M10" s="11" t="s">
        <v>495</v>
      </c>
      <c r="N10" s="8">
        <f>ROUND(N13,0)</f>
        <v>78</v>
      </c>
      <c r="O10" s="2" t="s">
        <v>513</v>
      </c>
      <c r="P10" s="2" t="s">
        <v>506</v>
      </c>
      <c r="Q10" s="2" t="s">
        <v>501</v>
      </c>
      <c r="R10" s="2"/>
      <c r="S10" s="2" t="s">
        <v>471</v>
      </c>
    </row>
    <row r="11" spans="1:19" x14ac:dyDescent="0.25">
      <c r="A11" t="s">
        <v>349</v>
      </c>
      <c r="B11" t="s">
        <v>350</v>
      </c>
      <c r="C11" t="s">
        <v>351</v>
      </c>
      <c r="D11" t="s">
        <v>352</v>
      </c>
      <c r="E11" s="2" t="s">
        <v>478</v>
      </c>
      <c r="F11" s="2" t="s">
        <v>479</v>
      </c>
      <c r="G11" s="2" t="s">
        <v>480</v>
      </c>
      <c r="H11" s="11" t="s">
        <v>483</v>
      </c>
      <c r="I11" s="11" t="s">
        <v>470</v>
      </c>
      <c r="J11" s="11" t="s">
        <v>473</v>
      </c>
      <c r="K11" s="11" t="s">
        <v>491</v>
      </c>
      <c r="L11" s="11" t="s">
        <v>511</v>
      </c>
      <c r="M11" s="11" t="s">
        <v>496</v>
      </c>
      <c r="N11" s="2" t="s">
        <v>499</v>
      </c>
      <c r="O11" s="2" t="s">
        <v>497</v>
      </c>
      <c r="P11" s="2" t="s">
        <v>507</v>
      </c>
      <c r="Q11" s="2" t="s">
        <v>502</v>
      </c>
      <c r="R11" s="2" t="s">
        <v>356</v>
      </c>
      <c r="S11" s="2" t="s">
        <v>472</v>
      </c>
    </row>
    <row r="12" spans="1:19" x14ac:dyDescent="0.25">
      <c r="H12" s="17"/>
      <c r="M12" s="2"/>
      <c r="P12" s="1"/>
    </row>
    <row r="13" spans="1:19" x14ac:dyDescent="0.25">
      <c r="H13" s="17"/>
      <c r="N13" s="14">
        <f>'Total per Region'!N14</f>
        <v>78.044398537956525</v>
      </c>
      <c r="P13" s="14"/>
    </row>
    <row r="14" spans="1:19" x14ac:dyDescent="0.25">
      <c r="K14" s="1">
        <f>SUM(K15:K39)</f>
        <v>207.68154210777266</v>
      </c>
    </row>
    <row r="15" spans="1:19" x14ac:dyDescent="0.25">
      <c r="A15">
        <v>592</v>
      </c>
      <c r="B15">
        <v>1</v>
      </c>
      <c r="C15" t="s">
        <v>65</v>
      </c>
      <c r="D15" s="2" t="s">
        <v>54</v>
      </c>
      <c r="E15" s="1">
        <v>13</v>
      </c>
      <c r="F15" s="1">
        <v>8</v>
      </c>
      <c r="G15" s="1">
        <v>3</v>
      </c>
      <c r="H15" s="1">
        <f t="shared" ref="H15:H39" si="0">F15+0.5*G15</f>
        <v>9.5</v>
      </c>
      <c r="I15" s="10">
        <f t="shared" ref="I15:I39" si="1">H15/E15</f>
        <v>0.73076923076923073</v>
      </c>
      <c r="J15" s="10">
        <f t="shared" ref="J15:J39" si="2">MIN(I15,0.8)</f>
        <v>0.73076923076923073</v>
      </c>
      <c r="K15" s="1">
        <f t="shared" ref="K15:K39" si="3">J15*H15</f>
        <v>6.9423076923076916</v>
      </c>
      <c r="L15" s="12">
        <f t="shared" ref="L15:L39" si="4">(0.39)*K15</f>
        <v>2.7075</v>
      </c>
      <c r="M15" s="1">
        <f t="shared" ref="M15:M39" si="5">MAX(L15,10)</f>
        <v>10</v>
      </c>
      <c r="N15" s="1">
        <f>M15</f>
        <v>10</v>
      </c>
      <c r="O15" s="17">
        <f>(N15-N14)/2</f>
        <v>5</v>
      </c>
      <c r="P15" s="16">
        <f>(2*O15)/$N$13*'Total per Region'!$R$14</f>
        <v>25001.232437761893</v>
      </c>
      <c r="R15" s="19" t="s">
        <v>357</v>
      </c>
      <c r="S15">
        <v>13</v>
      </c>
    </row>
    <row r="16" spans="1:19" x14ac:dyDescent="0.25">
      <c r="A16">
        <v>2215</v>
      </c>
      <c r="B16">
        <v>1</v>
      </c>
      <c r="C16" t="s">
        <v>67</v>
      </c>
      <c r="D16" s="2" t="s">
        <v>54</v>
      </c>
      <c r="E16" s="1">
        <v>19</v>
      </c>
      <c r="F16" s="1">
        <v>11</v>
      </c>
      <c r="G16" s="1">
        <v>3</v>
      </c>
      <c r="H16" s="1">
        <f t="shared" si="0"/>
        <v>12.5</v>
      </c>
      <c r="I16" s="10">
        <f t="shared" si="1"/>
        <v>0.65789473684210531</v>
      </c>
      <c r="J16" s="10">
        <f t="shared" si="2"/>
        <v>0.65789473684210531</v>
      </c>
      <c r="K16" s="1">
        <f t="shared" si="3"/>
        <v>8.2236842105263168</v>
      </c>
      <c r="L16" s="12">
        <f t="shared" si="4"/>
        <v>3.2072368421052637</v>
      </c>
      <c r="M16" s="1">
        <f t="shared" si="5"/>
        <v>10</v>
      </c>
      <c r="N16" s="1">
        <f>MIN('Total per Region'!$N$14,N15+M16)</f>
        <v>20</v>
      </c>
      <c r="O16" s="17">
        <f t="shared" ref="O16:O39" si="6">(N16-N15)/2</f>
        <v>5</v>
      </c>
      <c r="P16" s="16">
        <f>(2*O16)/$N$13*'Total per Region'!$R$14</f>
        <v>25001.232437761893</v>
      </c>
      <c r="R16" s="19" t="s">
        <v>358</v>
      </c>
      <c r="S16">
        <v>14</v>
      </c>
    </row>
    <row r="17" spans="1:19" x14ac:dyDescent="0.25">
      <c r="A17">
        <v>601</v>
      </c>
      <c r="B17">
        <v>1</v>
      </c>
      <c r="C17" t="s">
        <v>102</v>
      </c>
      <c r="D17" s="2" t="s">
        <v>54</v>
      </c>
      <c r="E17" s="1">
        <v>44</v>
      </c>
      <c r="F17" s="1">
        <v>24</v>
      </c>
      <c r="G17" s="1">
        <v>5</v>
      </c>
      <c r="H17" s="1">
        <f t="shared" si="0"/>
        <v>26.5</v>
      </c>
      <c r="I17" s="10">
        <f t="shared" si="1"/>
        <v>0.60227272727272729</v>
      </c>
      <c r="J17" s="10">
        <f t="shared" si="2"/>
        <v>0.60227272727272729</v>
      </c>
      <c r="K17" s="1">
        <f t="shared" si="3"/>
        <v>15.960227272727273</v>
      </c>
      <c r="L17" s="12">
        <f t="shared" si="4"/>
        <v>6.2244886363636365</v>
      </c>
      <c r="M17" s="1">
        <f t="shared" si="5"/>
        <v>10</v>
      </c>
      <c r="N17" s="1">
        <f>MIN('Total per Region'!$N$14,N16+M17)</f>
        <v>30</v>
      </c>
      <c r="O17" s="17">
        <f t="shared" si="6"/>
        <v>5</v>
      </c>
      <c r="P17" s="16">
        <f>(2*O17)/$N$13*'Total per Region'!$R$14</f>
        <v>25001.232437761893</v>
      </c>
      <c r="R17" s="19" t="s">
        <v>357</v>
      </c>
      <c r="S17">
        <v>14</v>
      </c>
    </row>
    <row r="18" spans="1:19" x14ac:dyDescent="0.25">
      <c r="A18">
        <v>2609</v>
      </c>
      <c r="B18">
        <v>1</v>
      </c>
      <c r="C18" t="s">
        <v>88</v>
      </c>
      <c r="D18" s="2" t="s">
        <v>54</v>
      </c>
      <c r="E18" s="1">
        <v>36</v>
      </c>
      <c r="F18" s="1">
        <v>19</v>
      </c>
      <c r="G18" s="1">
        <v>5</v>
      </c>
      <c r="H18" s="1">
        <f t="shared" si="0"/>
        <v>21.5</v>
      </c>
      <c r="I18" s="10">
        <f t="shared" si="1"/>
        <v>0.59722222222222221</v>
      </c>
      <c r="J18" s="10">
        <f t="shared" si="2"/>
        <v>0.59722222222222221</v>
      </c>
      <c r="K18" s="1">
        <f t="shared" si="3"/>
        <v>12.840277777777777</v>
      </c>
      <c r="L18" s="12">
        <f t="shared" si="4"/>
        <v>5.0077083333333334</v>
      </c>
      <c r="M18" s="1">
        <f t="shared" si="5"/>
        <v>10</v>
      </c>
      <c r="N18" s="1">
        <f>MIN('Total per Region'!$N$14,N17+M18)</f>
        <v>40</v>
      </c>
      <c r="O18" s="17">
        <f t="shared" si="6"/>
        <v>5</v>
      </c>
      <c r="P18" s="16">
        <f>(2*O18)/$N$13*'Total per Region'!$R$14</f>
        <v>25001.232437761893</v>
      </c>
      <c r="R18" s="19" t="s">
        <v>357</v>
      </c>
      <c r="S18">
        <v>13</v>
      </c>
    </row>
    <row r="19" spans="1:19" x14ac:dyDescent="0.25">
      <c r="A19">
        <v>2527</v>
      </c>
      <c r="B19">
        <v>1</v>
      </c>
      <c r="C19" t="s">
        <v>71</v>
      </c>
      <c r="D19" s="2" t="s">
        <v>54</v>
      </c>
      <c r="E19" s="1">
        <v>24</v>
      </c>
      <c r="F19" s="1">
        <v>11</v>
      </c>
      <c r="G19" s="1">
        <v>6</v>
      </c>
      <c r="H19" s="1">
        <f t="shared" si="0"/>
        <v>14</v>
      </c>
      <c r="I19" s="10">
        <f t="shared" si="1"/>
        <v>0.58333333333333337</v>
      </c>
      <c r="J19" s="10">
        <f t="shared" si="2"/>
        <v>0.58333333333333337</v>
      </c>
      <c r="K19" s="1">
        <f t="shared" si="3"/>
        <v>8.1666666666666679</v>
      </c>
      <c r="L19" s="12">
        <f t="shared" si="4"/>
        <v>3.1850000000000005</v>
      </c>
      <c r="M19" s="1">
        <f t="shared" si="5"/>
        <v>10</v>
      </c>
      <c r="N19" s="1">
        <f>MIN('Total per Region'!$N$14,N18+M19)</f>
        <v>50</v>
      </c>
      <c r="O19" s="17">
        <f t="shared" si="6"/>
        <v>5</v>
      </c>
      <c r="P19" s="16">
        <f>(2*O19)/$N$13*'Total per Region'!$R$14</f>
        <v>25001.232437761893</v>
      </c>
      <c r="R19" s="19" t="s">
        <v>358</v>
      </c>
      <c r="S19">
        <v>13</v>
      </c>
    </row>
    <row r="20" spans="1:19" x14ac:dyDescent="0.25">
      <c r="A20">
        <v>593</v>
      </c>
      <c r="B20">
        <v>1</v>
      </c>
      <c r="C20" t="s">
        <v>108</v>
      </c>
      <c r="D20" s="2" t="s">
        <v>54</v>
      </c>
      <c r="E20" s="1">
        <v>107</v>
      </c>
      <c r="F20" s="1">
        <v>58</v>
      </c>
      <c r="G20" s="1">
        <v>8</v>
      </c>
      <c r="H20" s="1">
        <f t="shared" si="0"/>
        <v>62</v>
      </c>
      <c r="I20" s="10">
        <f t="shared" si="1"/>
        <v>0.57943925233644855</v>
      </c>
      <c r="J20" s="10">
        <f t="shared" si="2"/>
        <v>0.57943925233644855</v>
      </c>
      <c r="K20" s="1">
        <f t="shared" si="3"/>
        <v>35.925233644859809</v>
      </c>
      <c r="L20" s="12">
        <f t="shared" si="4"/>
        <v>14.010841121495325</v>
      </c>
      <c r="M20" s="1">
        <f t="shared" si="5"/>
        <v>14.010841121495325</v>
      </c>
      <c r="N20" s="1">
        <f>MIN('Total per Region'!$N$14,N19+M20)</f>
        <v>64.010841121495332</v>
      </c>
      <c r="O20" s="17">
        <f t="shared" si="6"/>
        <v>7.0054205607476661</v>
      </c>
      <c r="P20" s="16">
        <f>(2*O20)/$N$13*'Total per Region'!$R$14</f>
        <v>35028.829552705727</v>
      </c>
      <c r="R20" s="19" t="s">
        <v>357</v>
      </c>
      <c r="S20">
        <v>13</v>
      </c>
    </row>
    <row r="21" spans="1:19" x14ac:dyDescent="0.25">
      <c r="A21">
        <v>628</v>
      </c>
      <c r="B21">
        <v>1</v>
      </c>
      <c r="C21" t="s">
        <v>130</v>
      </c>
      <c r="D21" s="2" t="s">
        <v>54</v>
      </c>
      <c r="E21" s="1">
        <v>34</v>
      </c>
      <c r="F21" s="1">
        <v>15</v>
      </c>
      <c r="G21" s="1">
        <v>5</v>
      </c>
      <c r="H21" s="1">
        <f t="shared" si="0"/>
        <v>17.5</v>
      </c>
      <c r="I21" s="10">
        <f t="shared" si="1"/>
        <v>0.51470588235294112</v>
      </c>
      <c r="J21" s="10">
        <f t="shared" si="2"/>
        <v>0.51470588235294112</v>
      </c>
      <c r="K21" s="1">
        <f t="shared" si="3"/>
        <v>9.0073529411764692</v>
      </c>
      <c r="L21" s="12">
        <f t="shared" si="4"/>
        <v>3.5128676470588229</v>
      </c>
      <c r="M21" s="1">
        <f t="shared" si="5"/>
        <v>10</v>
      </c>
      <c r="N21" s="1">
        <f>MIN('Total per Region'!$N$14,N20+M21)</f>
        <v>74.010841121495332</v>
      </c>
      <c r="O21" s="17">
        <f t="shared" si="6"/>
        <v>5</v>
      </c>
      <c r="P21" s="16">
        <f>(2*O21)/$N$13*'Total per Region'!$R$14</f>
        <v>25001.232437761893</v>
      </c>
      <c r="R21" s="19" t="s">
        <v>359</v>
      </c>
      <c r="S21">
        <v>14</v>
      </c>
    </row>
    <row r="22" spans="1:19" x14ac:dyDescent="0.25">
      <c r="A22">
        <v>690</v>
      </c>
      <c r="B22">
        <v>1</v>
      </c>
      <c r="C22" t="s">
        <v>116</v>
      </c>
      <c r="D22" s="2" t="s">
        <v>54</v>
      </c>
      <c r="E22" s="1">
        <v>66</v>
      </c>
      <c r="F22" s="1">
        <v>27</v>
      </c>
      <c r="G22" s="1">
        <v>11</v>
      </c>
      <c r="H22" s="1">
        <f t="shared" si="0"/>
        <v>32.5</v>
      </c>
      <c r="I22" s="10">
        <f t="shared" si="1"/>
        <v>0.49242424242424243</v>
      </c>
      <c r="J22" s="10">
        <f t="shared" si="2"/>
        <v>0.49242424242424243</v>
      </c>
      <c r="K22" s="1">
        <f t="shared" si="3"/>
        <v>16.003787878787879</v>
      </c>
      <c r="L22" s="12">
        <f t="shared" si="4"/>
        <v>6.2414772727272734</v>
      </c>
      <c r="M22" s="1">
        <f t="shared" si="5"/>
        <v>10</v>
      </c>
      <c r="N22" s="1">
        <f>MIN('Total per Region'!$N$14,N21+M22)</f>
        <v>78.044398537956525</v>
      </c>
      <c r="O22" s="17">
        <f t="shared" si="6"/>
        <v>2.0167787082305964</v>
      </c>
      <c r="P22" s="16">
        <f>(2*O22)/$N$13*'Total per Region'!$R$14</f>
        <v>10084.390652000462</v>
      </c>
      <c r="R22" s="19" t="s">
        <v>360</v>
      </c>
      <c r="S22">
        <v>15</v>
      </c>
    </row>
    <row r="23" spans="1:19" x14ac:dyDescent="0.25">
      <c r="A23">
        <v>561</v>
      </c>
      <c r="B23">
        <v>1</v>
      </c>
      <c r="C23" t="s">
        <v>174</v>
      </c>
      <c r="D23" s="2" t="s">
        <v>54</v>
      </c>
      <c r="E23" s="1">
        <v>18</v>
      </c>
      <c r="F23" s="1">
        <v>8</v>
      </c>
      <c r="G23" s="1">
        <v>1</v>
      </c>
      <c r="H23" s="1">
        <f t="shared" si="0"/>
        <v>8.5</v>
      </c>
      <c r="I23" s="10">
        <f t="shared" si="1"/>
        <v>0.47222222222222221</v>
      </c>
      <c r="J23" s="10">
        <f t="shared" si="2"/>
        <v>0.47222222222222221</v>
      </c>
      <c r="K23" s="1">
        <f t="shared" si="3"/>
        <v>4.0138888888888884</v>
      </c>
      <c r="L23" s="12">
        <f t="shared" si="4"/>
        <v>1.5654166666666665</v>
      </c>
      <c r="M23" s="1">
        <f t="shared" si="5"/>
        <v>10</v>
      </c>
      <c r="N23" s="1">
        <f>MIN('Total per Region'!$N$14,N22+M23)</f>
        <v>78.044398537956525</v>
      </c>
      <c r="O23" s="17">
        <f t="shared" si="6"/>
        <v>0</v>
      </c>
      <c r="P23" s="16">
        <f>(2*O23)/$N$13*'Total per Region'!$R$14</f>
        <v>0</v>
      </c>
      <c r="R23" s="4" t="s">
        <v>362</v>
      </c>
      <c r="S23">
        <v>15</v>
      </c>
    </row>
    <row r="24" spans="1:19" x14ac:dyDescent="0.25">
      <c r="A24">
        <v>2176</v>
      </c>
      <c r="B24">
        <v>1</v>
      </c>
      <c r="C24" t="s">
        <v>202</v>
      </c>
      <c r="D24" s="2" t="s">
        <v>54</v>
      </c>
      <c r="E24" s="1">
        <v>43</v>
      </c>
      <c r="F24" s="1">
        <v>17</v>
      </c>
      <c r="G24" s="1">
        <v>5</v>
      </c>
      <c r="H24" s="1">
        <f t="shared" si="0"/>
        <v>19.5</v>
      </c>
      <c r="I24" s="10">
        <f t="shared" si="1"/>
        <v>0.45348837209302323</v>
      </c>
      <c r="J24" s="10">
        <f t="shared" si="2"/>
        <v>0.45348837209302323</v>
      </c>
      <c r="K24" s="1">
        <f t="shared" si="3"/>
        <v>8.8430232558139537</v>
      </c>
      <c r="L24" s="12">
        <f t="shared" si="4"/>
        <v>3.4487790697674421</v>
      </c>
      <c r="M24" s="1">
        <f t="shared" si="5"/>
        <v>10</v>
      </c>
      <c r="N24" s="1">
        <f>MIN('Total per Region'!$N$14,N23+M24)</f>
        <v>78.044398537956525</v>
      </c>
      <c r="O24" s="17">
        <f t="shared" si="6"/>
        <v>0</v>
      </c>
      <c r="P24" s="16">
        <f>(2*O24)/$N$13*'Total per Region'!$R$14</f>
        <v>0</v>
      </c>
      <c r="R24" s="4" t="s">
        <v>361</v>
      </c>
      <c r="S24">
        <v>14</v>
      </c>
    </row>
    <row r="25" spans="1:19" x14ac:dyDescent="0.25">
      <c r="A25">
        <v>2856</v>
      </c>
      <c r="B25">
        <v>1</v>
      </c>
      <c r="C25" t="s">
        <v>176</v>
      </c>
      <c r="D25" s="2" t="s">
        <v>54</v>
      </c>
      <c r="E25" s="1">
        <v>18</v>
      </c>
      <c r="F25" s="1">
        <v>8</v>
      </c>
      <c r="G25" s="1">
        <v>0</v>
      </c>
      <c r="H25" s="1">
        <f t="shared" si="0"/>
        <v>8</v>
      </c>
      <c r="I25" s="10">
        <f t="shared" si="1"/>
        <v>0.44444444444444442</v>
      </c>
      <c r="J25" s="10">
        <f t="shared" si="2"/>
        <v>0.44444444444444442</v>
      </c>
      <c r="K25" s="1">
        <f t="shared" si="3"/>
        <v>3.5555555555555554</v>
      </c>
      <c r="L25" s="12">
        <f t="shared" si="4"/>
        <v>1.3866666666666667</v>
      </c>
      <c r="M25" s="1">
        <f t="shared" si="5"/>
        <v>10</v>
      </c>
      <c r="N25" s="1">
        <f>MIN('Total per Region'!$N$14,N24+M25)</f>
        <v>78.044398537956525</v>
      </c>
      <c r="O25" s="17">
        <f t="shared" si="6"/>
        <v>0</v>
      </c>
      <c r="P25" s="16">
        <f>(2*O25)/$N$13*'Total per Region'!$R$14</f>
        <v>0</v>
      </c>
      <c r="R25" s="4" t="s">
        <v>361</v>
      </c>
      <c r="S25">
        <v>14</v>
      </c>
    </row>
    <row r="26" spans="1:19" x14ac:dyDescent="0.25">
      <c r="A26">
        <v>600</v>
      </c>
      <c r="B26">
        <v>1</v>
      </c>
      <c r="C26" t="s">
        <v>188</v>
      </c>
      <c r="D26" s="2" t="s">
        <v>54</v>
      </c>
      <c r="E26" s="1">
        <v>25</v>
      </c>
      <c r="F26" s="1">
        <v>9</v>
      </c>
      <c r="G26" s="1">
        <v>4</v>
      </c>
      <c r="H26" s="1">
        <f t="shared" si="0"/>
        <v>11</v>
      </c>
      <c r="I26" s="10">
        <f t="shared" si="1"/>
        <v>0.44</v>
      </c>
      <c r="J26" s="10">
        <f t="shared" si="2"/>
        <v>0.44</v>
      </c>
      <c r="K26" s="1">
        <f t="shared" si="3"/>
        <v>4.84</v>
      </c>
      <c r="L26" s="12">
        <f t="shared" si="4"/>
        <v>1.8875999999999999</v>
      </c>
      <c r="M26" s="1">
        <f t="shared" si="5"/>
        <v>10</v>
      </c>
      <c r="N26" s="1">
        <f>MIN('Total per Region'!$N$14,N25+M26)</f>
        <v>78.044398537956525</v>
      </c>
      <c r="O26" s="17">
        <f t="shared" si="6"/>
        <v>0</v>
      </c>
      <c r="P26" s="16">
        <f>(2*O26)/$N$13*'Total per Region'!$R$14</f>
        <v>0</v>
      </c>
      <c r="R26" s="4" t="s">
        <v>357</v>
      </c>
      <c r="S26">
        <v>13</v>
      </c>
    </row>
    <row r="27" spans="1:19" x14ac:dyDescent="0.25">
      <c r="A27">
        <v>2358</v>
      </c>
      <c r="B27">
        <v>1</v>
      </c>
      <c r="C27" t="s">
        <v>248</v>
      </c>
      <c r="D27" s="2" t="s">
        <v>54</v>
      </c>
      <c r="E27" s="1">
        <v>16</v>
      </c>
      <c r="F27" s="1">
        <v>5</v>
      </c>
      <c r="G27" s="1">
        <v>3</v>
      </c>
      <c r="H27" s="1">
        <f t="shared" si="0"/>
        <v>6.5</v>
      </c>
      <c r="I27" s="10">
        <f t="shared" si="1"/>
        <v>0.40625</v>
      </c>
      <c r="J27" s="10">
        <f t="shared" si="2"/>
        <v>0.40625</v>
      </c>
      <c r="K27" s="1">
        <f t="shared" si="3"/>
        <v>2.640625</v>
      </c>
      <c r="L27" s="12">
        <f t="shared" si="4"/>
        <v>1.0298437499999999</v>
      </c>
      <c r="M27" s="1">
        <f t="shared" si="5"/>
        <v>10</v>
      </c>
      <c r="N27" s="1">
        <f>MIN('Total per Region'!$N$14,N26+M27)</f>
        <v>78.044398537956525</v>
      </c>
      <c r="O27" s="17">
        <f t="shared" si="6"/>
        <v>0</v>
      </c>
      <c r="P27" s="16">
        <f>(2*O27)/$N$13*'Total per Region'!$R$14</f>
        <v>0</v>
      </c>
      <c r="R27" s="4" t="s">
        <v>362</v>
      </c>
      <c r="S27">
        <v>15</v>
      </c>
    </row>
    <row r="28" spans="1:19" x14ac:dyDescent="0.25">
      <c r="A28">
        <v>564</v>
      </c>
      <c r="B28">
        <v>1</v>
      </c>
      <c r="C28" t="s">
        <v>199</v>
      </c>
      <c r="D28" s="2" t="s">
        <v>54</v>
      </c>
      <c r="E28" s="1">
        <v>153</v>
      </c>
      <c r="F28" s="1">
        <v>54</v>
      </c>
      <c r="G28" s="1">
        <v>13</v>
      </c>
      <c r="H28" s="1">
        <f t="shared" si="0"/>
        <v>60.5</v>
      </c>
      <c r="I28" s="10">
        <f t="shared" si="1"/>
        <v>0.39542483660130717</v>
      </c>
      <c r="J28" s="10">
        <f t="shared" si="2"/>
        <v>0.39542483660130717</v>
      </c>
      <c r="K28" s="1">
        <f t="shared" si="3"/>
        <v>23.923202614379083</v>
      </c>
      <c r="L28" s="12">
        <f t="shared" si="4"/>
        <v>9.3300490196078432</v>
      </c>
      <c r="M28" s="1">
        <f t="shared" si="5"/>
        <v>10</v>
      </c>
      <c r="N28" s="1">
        <f>MIN('Total per Region'!$N$14,N27+M28)</f>
        <v>78.044398537956525</v>
      </c>
      <c r="O28" s="17">
        <f t="shared" si="6"/>
        <v>0</v>
      </c>
      <c r="P28" s="16">
        <f>(2*O28)/$N$13*'Total per Region'!$R$14</f>
        <v>0</v>
      </c>
      <c r="R28" s="4" t="s">
        <v>363</v>
      </c>
      <c r="S28">
        <v>15</v>
      </c>
    </row>
    <row r="29" spans="1:19" x14ac:dyDescent="0.25">
      <c r="A29">
        <v>356</v>
      </c>
      <c r="B29">
        <v>1</v>
      </c>
      <c r="C29" t="s">
        <v>260</v>
      </c>
      <c r="D29" s="2" t="s">
        <v>54</v>
      </c>
      <c r="E29" s="1">
        <v>14</v>
      </c>
      <c r="F29" s="1">
        <v>4</v>
      </c>
      <c r="G29" s="1">
        <v>3</v>
      </c>
      <c r="H29" s="1">
        <f t="shared" si="0"/>
        <v>5.5</v>
      </c>
      <c r="I29" s="10">
        <f t="shared" si="1"/>
        <v>0.39285714285714285</v>
      </c>
      <c r="J29" s="10">
        <f t="shared" si="2"/>
        <v>0.39285714285714285</v>
      </c>
      <c r="K29" s="1">
        <f t="shared" si="3"/>
        <v>2.1607142857142856</v>
      </c>
      <c r="L29" s="12">
        <f t="shared" si="4"/>
        <v>0.84267857142857139</v>
      </c>
      <c r="M29" s="1">
        <f t="shared" si="5"/>
        <v>10</v>
      </c>
      <c r="N29" s="1">
        <f>MIN('Total per Region'!$N$14,N28+M29)</f>
        <v>78.044398537956525</v>
      </c>
      <c r="O29" s="17">
        <f t="shared" si="6"/>
        <v>0</v>
      </c>
      <c r="P29" s="16">
        <f>(2*O29)/$N$13*'Total per Region'!$R$14</f>
        <v>0</v>
      </c>
      <c r="R29" s="4" t="s">
        <v>363</v>
      </c>
      <c r="S29">
        <v>15</v>
      </c>
    </row>
    <row r="30" spans="1:19" x14ac:dyDescent="0.25">
      <c r="A30">
        <v>676</v>
      </c>
      <c r="B30">
        <v>1</v>
      </c>
      <c r="C30" t="s">
        <v>210</v>
      </c>
      <c r="D30" s="2" t="s">
        <v>54</v>
      </c>
      <c r="E30" s="1">
        <v>20</v>
      </c>
      <c r="F30" s="1">
        <v>6</v>
      </c>
      <c r="G30" s="1">
        <v>3</v>
      </c>
      <c r="H30" s="1">
        <f t="shared" si="0"/>
        <v>7.5</v>
      </c>
      <c r="I30" s="10">
        <f t="shared" si="1"/>
        <v>0.375</v>
      </c>
      <c r="J30" s="10">
        <f t="shared" si="2"/>
        <v>0.375</v>
      </c>
      <c r="K30" s="1">
        <f t="shared" si="3"/>
        <v>2.8125</v>
      </c>
      <c r="L30" s="12">
        <f t="shared" si="4"/>
        <v>1.096875</v>
      </c>
      <c r="M30" s="1">
        <f t="shared" si="5"/>
        <v>10</v>
      </c>
      <c r="N30" s="1">
        <f>MIN('Total per Region'!$N$14,N29+M30)</f>
        <v>78.044398537956525</v>
      </c>
      <c r="O30" s="17">
        <f t="shared" si="6"/>
        <v>0</v>
      </c>
      <c r="P30" s="16">
        <f>(2*O30)/$N$13*'Total per Region'!$R$14</f>
        <v>0</v>
      </c>
      <c r="R30" s="4" t="s">
        <v>360</v>
      </c>
      <c r="S30">
        <v>15</v>
      </c>
    </row>
    <row r="31" spans="1:19" x14ac:dyDescent="0.25">
      <c r="A31">
        <v>447</v>
      </c>
      <c r="B31">
        <v>1</v>
      </c>
      <c r="C31" t="s">
        <v>172</v>
      </c>
      <c r="D31" s="2" t="s">
        <v>54</v>
      </c>
      <c r="E31" s="1">
        <v>14</v>
      </c>
      <c r="F31" s="1">
        <v>4</v>
      </c>
      <c r="G31" s="1">
        <v>2</v>
      </c>
      <c r="H31" s="1">
        <f t="shared" si="0"/>
        <v>5</v>
      </c>
      <c r="I31" s="10">
        <f t="shared" si="1"/>
        <v>0.35714285714285715</v>
      </c>
      <c r="J31" s="10">
        <f t="shared" si="2"/>
        <v>0.35714285714285715</v>
      </c>
      <c r="K31" s="1">
        <f t="shared" si="3"/>
        <v>1.7857142857142858</v>
      </c>
      <c r="L31" s="12">
        <f t="shared" si="4"/>
        <v>0.69642857142857151</v>
      </c>
      <c r="M31" s="1">
        <f t="shared" si="5"/>
        <v>10</v>
      </c>
      <c r="N31" s="1">
        <f>MIN('Total per Region'!$N$14,N30+M31)</f>
        <v>78.044398537956525</v>
      </c>
      <c r="O31" s="17">
        <f t="shared" si="6"/>
        <v>0</v>
      </c>
      <c r="P31" s="16">
        <f>(2*O31)/$N$13*'Total per Region'!$R$14</f>
        <v>0</v>
      </c>
      <c r="R31" s="4" t="s">
        <v>361</v>
      </c>
      <c r="S31">
        <v>14</v>
      </c>
    </row>
    <row r="32" spans="1:19" x14ac:dyDescent="0.25">
      <c r="A32">
        <v>595</v>
      </c>
      <c r="B32">
        <v>1</v>
      </c>
      <c r="C32" t="s">
        <v>261</v>
      </c>
      <c r="D32" s="2" t="s">
        <v>54</v>
      </c>
      <c r="E32" s="1">
        <v>145</v>
      </c>
      <c r="F32" s="1">
        <v>45</v>
      </c>
      <c r="G32" s="1">
        <v>11</v>
      </c>
      <c r="H32" s="1">
        <f t="shared" si="0"/>
        <v>50.5</v>
      </c>
      <c r="I32" s="10">
        <f t="shared" si="1"/>
        <v>0.34827586206896549</v>
      </c>
      <c r="J32" s="10">
        <f t="shared" si="2"/>
        <v>0.34827586206896549</v>
      </c>
      <c r="K32" s="1">
        <f t="shared" si="3"/>
        <v>17.587931034482757</v>
      </c>
      <c r="L32" s="12">
        <f t="shared" si="4"/>
        <v>6.8592931034482758</v>
      </c>
      <c r="M32" s="1">
        <f t="shared" si="5"/>
        <v>10</v>
      </c>
      <c r="N32" s="1">
        <f>MIN('Total per Region'!$N$14,N31+M32)</f>
        <v>78.044398537956525</v>
      </c>
      <c r="O32" s="17">
        <f t="shared" si="6"/>
        <v>0</v>
      </c>
      <c r="P32" s="16">
        <f>(2*O32)/$N$13*'Total per Region'!$R$14</f>
        <v>0</v>
      </c>
      <c r="R32" s="4" t="s">
        <v>357</v>
      </c>
      <c r="S32">
        <v>13</v>
      </c>
    </row>
    <row r="33" spans="1:19" x14ac:dyDescent="0.25">
      <c r="A33">
        <v>599</v>
      </c>
      <c r="B33">
        <v>1</v>
      </c>
      <c r="C33" t="s">
        <v>274</v>
      </c>
      <c r="D33" s="2" t="s">
        <v>54</v>
      </c>
      <c r="E33" s="1">
        <v>35</v>
      </c>
      <c r="F33" s="1">
        <v>11</v>
      </c>
      <c r="G33" s="1">
        <v>2</v>
      </c>
      <c r="H33" s="1">
        <f t="shared" si="0"/>
        <v>12</v>
      </c>
      <c r="I33" s="10">
        <f t="shared" si="1"/>
        <v>0.34285714285714286</v>
      </c>
      <c r="J33" s="10">
        <f t="shared" si="2"/>
        <v>0.34285714285714286</v>
      </c>
      <c r="K33" s="1">
        <f t="shared" si="3"/>
        <v>4.1142857142857139</v>
      </c>
      <c r="L33" s="12">
        <f t="shared" si="4"/>
        <v>1.6045714285714285</v>
      </c>
      <c r="M33" s="1">
        <f t="shared" si="5"/>
        <v>10</v>
      </c>
      <c r="N33" s="1">
        <f>MIN('Total per Region'!$N$14,N32+M33)</f>
        <v>78.044398537956525</v>
      </c>
      <c r="O33" s="17">
        <f t="shared" si="6"/>
        <v>0</v>
      </c>
      <c r="P33" s="16">
        <f>(2*O33)/$N$13*'Total per Region'!$R$14</f>
        <v>0</v>
      </c>
      <c r="R33" s="4" t="s">
        <v>357</v>
      </c>
      <c r="S33">
        <v>13</v>
      </c>
    </row>
    <row r="34" spans="1:19" x14ac:dyDescent="0.25">
      <c r="A34">
        <v>441</v>
      </c>
      <c r="B34">
        <v>1</v>
      </c>
      <c r="C34" t="s">
        <v>258</v>
      </c>
      <c r="D34" s="2" t="s">
        <v>54</v>
      </c>
      <c r="E34" s="1">
        <v>26</v>
      </c>
      <c r="F34" s="1">
        <v>7</v>
      </c>
      <c r="G34" s="1">
        <v>3</v>
      </c>
      <c r="H34" s="1">
        <f t="shared" si="0"/>
        <v>8.5</v>
      </c>
      <c r="I34" s="10">
        <f t="shared" si="1"/>
        <v>0.32692307692307693</v>
      </c>
      <c r="J34" s="10">
        <f t="shared" si="2"/>
        <v>0.32692307692307693</v>
      </c>
      <c r="K34" s="1">
        <f t="shared" si="3"/>
        <v>2.7788461538461537</v>
      </c>
      <c r="L34" s="12">
        <f t="shared" si="4"/>
        <v>1.08375</v>
      </c>
      <c r="M34" s="1">
        <f t="shared" si="5"/>
        <v>10</v>
      </c>
      <c r="N34" s="1">
        <f>MIN('Total per Region'!$N$14,N33+M34)</f>
        <v>78.044398537956525</v>
      </c>
      <c r="O34" s="17">
        <f t="shared" si="6"/>
        <v>0</v>
      </c>
      <c r="P34" s="16">
        <f>(2*O34)/$N$13*'Total per Region'!$R$14</f>
        <v>0</v>
      </c>
      <c r="R34" s="4" t="s">
        <v>361</v>
      </c>
      <c r="S34">
        <v>14</v>
      </c>
    </row>
    <row r="35" spans="1:19" x14ac:dyDescent="0.25">
      <c r="A35">
        <v>2854</v>
      </c>
      <c r="B35">
        <v>1</v>
      </c>
      <c r="C35" t="s">
        <v>238</v>
      </c>
      <c r="D35" s="2" t="s">
        <v>54</v>
      </c>
      <c r="E35" s="1">
        <v>34</v>
      </c>
      <c r="F35" s="1">
        <v>9</v>
      </c>
      <c r="G35" s="1">
        <v>3</v>
      </c>
      <c r="H35" s="1">
        <f t="shared" si="0"/>
        <v>10.5</v>
      </c>
      <c r="I35" s="10">
        <f t="shared" si="1"/>
        <v>0.30882352941176472</v>
      </c>
      <c r="J35" s="10">
        <f t="shared" si="2"/>
        <v>0.30882352941176472</v>
      </c>
      <c r="K35" s="1">
        <f t="shared" si="3"/>
        <v>3.2426470588235294</v>
      </c>
      <c r="L35" s="12">
        <f t="shared" si="4"/>
        <v>1.2646323529411765</v>
      </c>
      <c r="M35" s="1">
        <f t="shared" si="5"/>
        <v>10</v>
      </c>
      <c r="N35" s="1">
        <f>MIN('Total per Region'!$N$14,N34+M35)</f>
        <v>78.044398537956525</v>
      </c>
      <c r="O35" s="17">
        <f t="shared" si="6"/>
        <v>0</v>
      </c>
      <c r="P35" s="16">
        <f>(2*O35)/$N$13*'Total per Region'!$R$14</f>
        <v>0</v>
      </c>
      <c r="R35" s="4" t="s">
        <v>358</v>
      </c>
      <c r="S35">
        <v>14</v>
      </c>
    </row>
    <row r="36" spans="1:19" x14ac:dyDescent="0.25">
      <c r="A36">
        <v>630</v>
      </c>
      <c r="B36">
        <v>1</v>
      </c>
      <c r="C36" t="s">
        <v>267</v>
      </c>
      <c r="D36" s="2" t="s">
        <v>54</v>
      </c>
      <c r="E36" s="1">
        <v>25</v>
      </c>
      <c r="F36" s="1">
        <v>5</v>
      </c>
      <c r="G36" s="1">
        <v>4</v>
      </c>
      <c r="H36" s="1">
        <f t="shared" si="0"/>
        <v>7</v>
      </c>
      <c r="I36" s="10">
        <f t="shared" si="1"/>
        <v>0.28000000000000003</v>
      </c>
      <c r="J36" s="10">
        <f t="shared" si="2"/>
        <v>0.28000000000000003</v>
      </c>
      <c r="K36" s="1">
        <f t="shared" si="3"/>
        <v>1.9600000000000002</v>
      </c>
      <c r="L36" s="12">
        <f t="shared" si="4"/>
        <v>0.76440000000000008</v>
      </c>
      <c r="M36" s="1">
        <f t="shared" si="5"/>
        <v>10</v>
      </c>
      <c r="N36" s="1">
        <f>MIN('Total per Region'!$N$14,N35+M36)</f>
        <v>78.044398537956525</v>
      </c>
      <c r="O36" s="17">
        <f t="shared" si="6"/>
        <v>0</v>
      </c>
      <c r="P36" s="16">
        <f>(2*O36)/$N$13*'Total per Region'!$R$14</f>
        <v>0</v>
      </c>
      <c r="R36" s="4" t="s">
        <v>359</v>
      </c>
      <c r="S36">
        <v>14</v>
      </c>
    </row>
    <row r="37" spans="1:19" x14ac:dyDescent="0.25">
      <c r="A37">
        <v>682</v>
      </c>
      <c r="B37">
        <v>1</v>
      </c>
      <c r="C37" t="s">
        <v>311</v>
      </c>
      <c r="D37" s="2" t="s">
        <v>54</v>
      </c>
      <c r="E37" s="1">
        <v>95</v>
      </c>
      <c r="F37" s="1">
        <v>21</v>
      </c>
      <c r="G37" s="1">
        <v>9</v>
      </c>
      <c r="H37" s="1">
        <f t="shared" si="0"/>
        <v>25.5</v>
      </c>
      <c r="I37" s="10">
        <f t="shared" si="1"/>
        <v>0.26842105263157895</v>
      </c>
      <c r="J37" s="10">
        <f t="shared" si="2"/>
        <v>0.26842105263157895</v>
      </c>
      <c r="K37" s="1">
        <f t="shared" si="3"/>
        <v>6.844736842105263</v>
      </c>
      <c r="L37" s="12">
        <f t="shared" si="4"/>
        <v>2.6694473684210527</v>
      </c>
      <c r="M37" s="1">
        <f t="shared" si="5"/>
        <v>10</v>
      </c>
      <c r="N37" s="1">
        <f>MIN('Total per Region'!$N$14,N36+M37)</f>
        <v>78.044398537956525</v>
      </c>
      <c r="O37" s="17">
        <f t="shared" si="6"/>
        <v>0</v>
      </c>
      <c r="P37" s="16">
        <f>(2*O37)/$N$13*'Total per Region'!$R$14</f>
        <v>0</v>
      </c>
      <c r="R37" s="4" t="s">
        <v>360</v>
      </c>
      <c r="S37">
        <v>15</v>
      </c>
    </row>
    <row r="38" spans="1:19" x14ac:dyDescent="0.25">
      <c r="A38">
        <v>2683</v>
      </c>
      <c r="B38">
        <v>1</v>
      </c>
      <c r="C38" t="s">
        <v>294</v>
      </c>
      <c r="D38" s="2" t="s">
        <v>54</v>
      </c>
      <c r="E38" s="1">
        <v>30</v>
      </c>
      <c r="F38" s="1">
        <v>5</v>
      </c>
      <c r="G38" s="1">
        <v>5</v>
      </c>
      <c r="H38" s="1">
        <f t="shared" si="0"/>
        <v>7.5</v>
      </c>
      <c r="I38" s="10">
        <f t="shared" si="1"/>
        <v>0.25</v>
      </c>
      <c r="J38" s="10">
        <f t="shared" si="2"/>
        <v>0.25</v>
      </c>
      <c r="K38" s="1">
        <f t="shared" si="3"/>
        <v>1.875</v>
      </c>
      <c r="L38" s="12">
        <f t="shared" si="4"/>
        <v>0.73125000000000007</v>
      </c>
      <c r="M38" s="1">
        <f t="shared" si="5"/>
        <v>10</v>
      </c>
      <c r="N38" s="1">
        <f>MIN('Total per Region'!$N$14,N37+M38)</f>
        <v>78.044398537956525</v>
      </c>
      <c r="O38" s="17">
        <f t="shared" si="6"/>
        <v>0</v>
      </c>
      <c r="P38" s="16">
        <f>(2*O38)/$N$13*'Total per Region'!$R$14</f>
        <v>0</v>
      </c>
      <c r="R38" s="4" t="s">
        <v>360</v>
      </c>
      <c r="S38">
        <v>15</v>
      </c>
    </row>
    <row r="39" spans="1:19" x14ac:dyDescent="0.25">
      <c r="A39">
        <v>2171</v>
      </c>
      <c r="B39">
        <v>1</v>
      </c>
      <c r="C39" t="s">
        <v>305</v>
      </c>
      <c r="D39" s="2" t="s">
        <v>54</v>
      </c>
      <c r="E39" s="1">
        <v>30</v>
      </c>
      <c r="F39" s="1">
        <v>5</v>
      </c>
      <c r="G39" s="1">
        <v>4</v>
      </c>
      <c r="H39" s="1">
        <f t="shared" si="0"/>
        <v>7</v>
      </c>
      <c r="I39" s="10">
        <f t="shared" si="1"/>
        <v>0.23333333333333334</v>
      </c>
      <c r="J39" s="10">
        <f t="shared" si="2"/>
        <v>0.23333333333333334</v>
      </c>
      <c r="K39" s="1">
        <f t="shared" si="3"/>
        <v>1.6333333333333333</v>
      </c>
      <c r="L39" s="12">
        <f t="shared" si="4"/>
        <v>0.63700000000000001</v>
      </c>
      <c r="M39" s="1">
        <f t="shared" si="5"/>
        <v>10</v>
      </c>
      <c r="N39" s="1">
        <f>MIN('Total per Region'!$N$14,N38+M39)</f>
        <v>78.044398537956525</v>
      </c>
      <c r="O39" s="17">
        <f t="shared" si="6"/>
        <v>0</v>
      </c>
      <c r="P39" s="16">
        <f>(2*O39)/$N$13*'Total per Region'!$R$14</f>
        <v>0</v>
      </c>
      <c r="R39" s="4" t="s">
        <v>362</v>
      </c>
      <c r="S39">
        <v>15</v>
      </c>
    </row>
    <row r="40" spans="1:19" x14ac:dyDescent="0.25">
      <c r="H40" s="1"/>
      <c r="I40" s="10"/>
      <c r="J40" s="10"/>
      <c r="K40" s="12"/>
      <c r="L40" s="12"/>
      <c r="O40" s="14">
        <f>SUM(O15:O39)</f>
        <v>39.022199268978262</v>
      </c>
      <c r="P40" s="18">
        <f>SUM(P15:P39)</f>
        <v>195120.61483127755</v>
      </c>
    </row>
    <row r="41" spans="1:19" x14ac:dyDescent="0.25">
      <c r="H41" s="1"/>
      <c r="I41" s="10"/>
      <c r="J41" s="10"/>
      <c r="K41" s="12"/>
      <c r="L41" s="12"/>
      <c r="P41" s="16"/>
    </row>
    <row r="42" spans="1:19" x14ac:dyDescent="0.25">
      <c r="H42" s="1"/>
      <c r="I42" s="10"/>
      <c r="J42" s="10"/>
      <c r="K42" s="12"/>
      <c r="L42" s="12"/>
      <c r="P42" s="16"/>
    </row>
    <row r="43" spans="1:19" x14ac:dyDescent="0.25">
      <c r="H43" s="1"/>
      <c r="I43" s="10"/>
      <c r="J43" s="10"/>
      <c r="K43" s="12"/>
      <c r="L43" s="12"/>
      <c r="P43" s="16"/>
    </row>
    <row r="44" spans="1:19" x14ac:dyDescent="0.25">
      <c r="H44" s="1"/>
      <c r="I44" s="10"/>
      <c r="J44" s="10"/>
      <c r="K44" s="12"/>
      <c r="L44" s="12"/>
      <c r="P44" s="16"/>
    </row>
    <row r="45" spans="1:19" x14ac:dyDescent="0.25">
      <c r="H45" s="1"/>
      <c r="I45" s="10"/>
      <c r="J45" s="10"/>
      <c r="K45" s="12"/>
      <c r="L45" s="12"/>
      <c r="P45" s="16"/>
    </row>
    <row r="46" spans="1:19" x14ac:dyDescent="0.25">
      <c r="H46" s="1"/>
      <c r="I46" s="10"/>
      <c r="J46" s="10"/>
      <c r="K46" s="12"/>
      <c r="L46" s="12"/>
      <c r="P46" s="16"/>
    </row>
    <row r="47" spans="1:19" x14ac:dyDescent="0.25">
      <c r="H47" s="1"/>
      <c r="I47" s="10"/>
      <c r="J47" s="10"/>
      <c r="K47" s="12"/>
      <c r="L47" s="12"/>
      <c r="P47" s="16"/>
    </row>
    <row r="48" spans="1:19" x14ac:dyDescent="0.25">
      <c r="H48" s="1"/>
      <c r="I48" s="10"/>
      <c r="J48" s="10"/>
      <c r="K48" s="1"/>
      <c r="L48" s="1"/>
      <c r="P48" s="16"/>
    </row>
    <row r="49" spans="8:16" x14ac:dyDescent="0.25">
      <c r="H49" s="1"/>
      <c r="I49" s="10"/>
      <c r="J49" s="10"/>
      <c r="K49" s="1"/>
      <c r="L49" s="1"/>
      <c r="P49" s="16"/>
    </row>
    <row r="50" spans="8:16" x14ac:dyDescent="0.25">
      <c r="H50" s="1"/>
      <c r="I50" s="10"/>
      <c r="J50" s="10"/>
      <c r="K50" s="1"/>
      <c r="L50" s="1"/>
      <c r="P50" s="16"/>
    </row>
    <row r="51" spans="8:16" x14ac:dyDescent="0.25">
      <c r="H51" s="1"/>
      <c r="I51" s="10"/>
      <c r="J51" s="10"/>
      <c r="K51" s="1"/>
      <c r="L51" s="1"/>
      <c r="P51" s="16"/>
    </row>
    <row r="52" spans="8:16" x14ac:dyDescent="0.25">
      <c r="H52" s="1"/>
      <c r="I52" s="10"/>
      <c r="J52" s="10"/>
      <c r="K52" s="1"/>
      <c r="L52" s="1"/>
      <c r="P52" s="16"/>
    </row>
    <row r="53" spans="8:16" x14ac:dyDescent="0.25">
      <c r="H53" s="1"/>
      <c r="I53" s="10"/>
      <c r="J53" s="10"/>
      <c r="K53" s="1"/>
      <c r="L53" s="1"/>
      <c r="P53" s="16"/>
    </row>
    <row r="54" spans="8:16" x14ac:dyDescent="0.25">
      <c r="H54" s="1"/>
      <c r="I54" s="10"/>
      <c r="J54" s="10"/>
      <c r="K54" s="1"/>
      <c r="L54" s="1"/>
      <c r="P54" s="16"/>
    </row>
    <row r="55" spans="8:16" x14ac:dyDescent="0.25">
      <c r="H55" s="1"/>
      <c r="I55" s="10"/>
      <c r="J55" s="10"/>
      <c r="K55" s="1"/>
      <c r="L55" s="1"/>
      <c r="P55" s="16"/>
    </row>
    <row r="56" spans="8:16" x14ac:dyDescent="0.25">
      <c r="H56" s="1"/>
      <c r="I56" s="10"/>
      <c r="J56" s="10"/>
      <c r="K56" s="1"/>
      <c r="L56" s="1"/>
      <c r="P56" s="16"/>
    </row>
    <row r="57" spans="8:16" x14ac:dyDescent="0.25">
      <c r="H57" s="1"/>
      <c r="I57" s="10"/>
      <c r="J57" s="10"/>
      <c r="K57" s="1"/>
      <c r="L57" s="1"/>
      <c r="P57" s="22"/>
    </row>
    <row r="58" spans="8:16" x14ac:dyDescent="0.25">
      <c r="H58" s="1"/>
      <c r="I58" s="10"/>
      <c r="J58" s="10"/>
      <c r="K58" s="1"/>
      <c r="L58" s="1"/>
      <c r="P58" s="16"/>
    </row>
    <row r="59" spans="8:16" x14ac:dyDescent="0.25">
      <c r="H59" s="1"/>
      <c r="I59" s="10"/>
      <c r="J59" s="10"/>
      <c r="K59" s="1"/>
      <c r="L59" s="1"/>
      <c r="P59" s="16"/>
    </row>
    <row r="60" spans="8:16" x14ac:dyDescent="0.25">
      <c r="H60" s="1"/>
      <c r="I60" s="10"/>
      <c r="J60" s="10"/>
      <c r="K60" s="1"/>
      <c r="L60" s="1"/>
      <c r="P60" s="16"/>
    </row>
    <row r="61" spans="8:16" x14ac:dyDescent="0.25">
      <c r="H61" s="1"/>
      <c r="I61" s="10"/>
      <c r="J61" s="10"/>
      <c r="K61" s="1"/>
      <c r="L61" s="1"/>
      <c r="P61" s="16"/>
    </row>
    <row r="62" spans="8:16" x14ac:dyDescent="0.25">
      <c r="H62" s="1"/>
      <c r="I62" s="10"/>
      <c r="J62" s="10"/>
      <c r="K62" s="1"/>
      <c r="L62" s="1"/>
      <c r="P62" s="16"/>
    </row>
    <row r="63" spans="8:16" x14ac:dyDescent="0.25">
      <c r="P63" s="18"/>
    </row>
    <row r="64" spans="8:16" x14ac:dyDescent="0.25">
      <c r="P64" s="18"/>
    </row>
  </sheetData>
  <sortState ref="A15:AB39">
    <sortCondition descending="1" ref="Q15:Q39"/>
    <sortCondition descending="1" ref="J15:J39"/>
  </sortState>
  <pageMargins left="0.7" right="0.7" top="0.75" bottom="0.75" header="0.3" footer="0.3"/>
  <pageSetup paperSize="5" scale="8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64"/>
  <sheetViews>
    <sheetView workbookViewId="0"/>
  </sheetViews>
  <sheetFormatPr defaultRowHeight="15" x14ac:dyDescent="0.25"/>
  <cols>
    <col min="3" max="3" width="38.42578125" bestFit="1" customWidth="1"/>
    <col min="5" max="6" width="9.140625" customWidth="1"/>
    <col min="7" max="7" width="10.28515625" bestFit="1" customWidth="1"/>
    <col min="9" max="9" width="9.140625" customWidth="1"/>
    <col min="11" max="12" width="14" bestFit="1" customWidth="1"/>
    <col min="13" max="14" width="12" bestFit="1" customWidth="1"/>
    <col min="15" max="15" width="14.5703125" bestFit="1" customWidth="1"/>
    <col min="16" max="16" width="16.28515625" bestFit="1" customWidth="1"/>
    <col min="17" max="17" width="20.140625" bestFit="1" customWidth="1"/>
    <col min="18" max="18" width="17.42578125" customWidth="1"/>
    <col min="19" max="19" width="6.85546875" bestFit="1" customWidth="1"/>
  </cols>
  <sheetData>
    <row r="1" spans="1:19" x14ac:dyDescent="0.25">
      <c r="A1" t="s">
        <v>460</v>
      </c>
      <c r="M1" s="2"/>
    </row>
    <row r="2" spans="1:19" x14ac:dyDescent="0.25">
      <c r="M2" s="2"/>
    </row>
    <row r="3" spans="1:19" x14ac:dyDescent="0.25">
      <c r="A3" t="s">
        <v>509</v>
      </c>
      <c r="C3" t="s">
        <v>508</v>
      </c>
      <c r="D3">
        <v>0.39</v>
      </c>
      <c r="M3" s="2"/>
    </row>
    <row r="4" spans="1:19" x14ac:dyDescent="0.25">
      <c r="M4" s="2"/>
    </row>
    <row r="5" spans="1:19" x14ac:dyDescent="0.25">
      <c r="E5" s="2" t="s">
        <v>445</v>
      </c>
      <c r="F5" s="2" t="s">
        <v>446</v>
      </c>
      <c r="G5" s="2" t="s">
        <v>447</v>
      </c>
      <c r="H5" s="2" t="s">
        <v>448</v>
      </c>
      <c r="I5" s="2" t="s">
        <v>449</v>
      </c>
      <c r="J5" s="2" t="s">
        <v>451</v>
      </c>
      <c r="K5" s="2" t="s">
        <v>452</v>
      </c>
      <c r="L5" s="2" t="s">
        <v>453</v>
      </c>
      <c r="M5" s="2" t="s">
        <v>454</v>
      </c>
      <c r="N5" s="2" t="s">
        <v>455</v>
      </c>
      <c r="O5" s="2" t="s">
        <v>457</v>
      </c>
      <c r="P5" s="2" t="s">
        <v>464</v>
      </c>
      <c r="Q5" s="2" t="s">
        <v>465</v>
      </c>
      <c r="R5" s="2" t="s">
        <v>466</v>
      </c>
      <c r="S5" s="2" t="s">
        <v>0</v>
      </c>
    </row>
    <row r="6" spans="1:19" x14ac:dyDescent="0.25">
      <c r="K6" s="2" t="s">
        <v>476</v>
      </c>
      <c r="O6" s="2" t="s">
        <v>512</v>
      </c>
    </row>
    <row r="7" spans="1:19" x14ac:dyDescent="0.25">
      <c r="H7" s="2" t="s">
        <v>476</v>
      </c>
      <c r="J7" s="2" t="s">
        <v>486</v>
      </c>
      <c r="K7" s="2" t="s">
        <v>489</v>
      </c>
      <c r="M7" s="2" t="s">
        <v>492</v>
      </c>
      <c r="N7" s="2" t="s">
        <v>458</v>
      </c>
      <c r="O7" s="2" t="s">
        <v>459</v>
      </c>
      <c r="P7" s="2" t="s">
        <v>463</v>
      </c>
    </row>
    <row r="8" spans="1:19" x14ac:dyDescent="0.25">
      <c r="E8" s="2"/>
      <c r="F8" s="2"/>
      <c r="G8" s="2"/>
      <c r="H8" s="2" t="s">
        <v>477</v>
      </c>
      <c r="I8" s="2"/>
      <c r="J8" s="2" t="s">
        <v>484</v>
      </c>
      <c r="K8" s="2" t="s">
        <v>490</v>
      </c>
      <c r="L8" s="2"/>
      <c r="M8" s="2" t="s">
        <v>493</v>
      </c>
      <c r="N8" s="2" t="s">
        <v>450</v>
      </c>
      <c r="O8" s="2" t="s">
        <v>463</v>
      </c>
      <c r="P8" s="2" t="s">
        <v>504</v>
      </c>
      <c r="Q8" s="2" t="s">
        <v>500</v>
      </c>
      <c r="R8" s="2"/>
    </row>
    <row r="9" spans="1:19" x14ac:dyDescent="0.25">
      <c r="E9" s="2" t="s">
        <v>476</v>
      </c>
      <c r="F9" s="2" t="s">
        <v>476</v>
      </c>
      <c r="G9" s="2" t="s">
        <v>476</v>
      </c>
      <c r="H9" s="2" t="s">
        <v>481</v>
      </c>
      <c r="I9" s="2" t="s">
        <v>484</v>
      </c>
      <c r="J9" s="2" t="s">
        <v>487</v>
      </c>
      <c r="K9" s="2" t="s">
        <v>482</v>
      </c>
      <c r="L9" s="2" t="s">
        <v>467</v>
      </c>
      <c r="M9" s="2" t="s">
        <v>494</v>
      </c>
      <c r="N9" s="2" t="s">
        <v>498</v>
      </c>
      <c r="O9" s="2" t="s">
        <v>450</v>
      </c>
      <c r="P9" s="8" t="s">
        <v>505</v>
      </c>
      <c r="Q9" s="2" t="s">
        <v>503</v>
      </c>
    </row>
    <row r="10" spans="1:19" x14ac:dyDescent="0.25">
      <c r="E10" s="2" t="s">
        <v>477</v>
      </c>
      <c r="F10" s="2" t="s">
        <v>477</v>
      </c>
      <c r="G10" s="2" t="s">
        <v>477</v>
      </c>
      <c r="H10" s="2" t="s">
        <v>482</v>
      </c>
      <c r="I10" s="2" t="s">
        <v>485</v>
      </c>
      <c r="J10" s="11" t="s">
        <v>488</v>
      </c>
      <c r="K10" s="2" t="s">
        <v>487</v>
      </c>
      <c r="L10" s="2" t="s">
        <v>510</v>
      </c>
      <c r="M10" s="11" t="s">
        <v>495</v>
      </c>
      <c r="N10" s="8">
        <f>ROUND(N13,0)</f>
        <v>151</v>
      </c>
      <c r="O10" s="2" t="s">
        <v>513</v>
      </c>
      <c r="P10" s="2" t="s">
        <v>506</v>
      </c>
      <c r="Q10" s="2" t="s">
        <v>501</v>
      </c>
      <c r="R10" s="2"/>
      <c r="S10" s="2" t="s">
        <v>471</v>
      </c>
    </row>
    <row r="11" spans="1:19" x14ac:dyDescent="0.25">
      <c r="A11" t="s">
        <v>349</v>
      </c>
      <c r="B11" t="s">
        <v>350</v>
      </c>
      <c r="C11" t="s">
        <v>351</v>
      </c>
      <c r="D11" t="s">
        <v>352</v>
      </c>
      <c r="E11" s="2" t="s">
        <v>478</v>
      </c>
      <c r="F11" s="2" t="s">
        <v>479</v>
      </c>
      <c r="G11" s="2" t="s">
        <v>480</v>
      </c>
      <c r="H11" s="11" t="s">
        <v>483</v>
      </c>
      <c r="I11" s="11" t="s">
        <v>470</v>
      </c>
      <c r="J11" s="11" t="s">
        <v>473</v>
      </c>
      <c r="K11" s="11" t="s">
        <v>491</v>
      </c>
      <c r="L11" s="11" t="s">
        <v>511</v>
      </c>
      <c r="M11" s="11" t="s">
        <v>496</v>
      </c>
      <c r="N11" s="2" t="s">
        <v>499</v>
      </c>
      <c r="O11" s="2" t="s">
        <v>497</v>
      </c>
      <c r="P11" s="2" t="s">
        <v>507</v>
      </c>
      <c r="Q11" s="2" t="s">
        <v>502</v>
      </c>
      <c r="R11" s="2" t="s">
        <v>356</v>
      </c>
      <c r="S11" s="2" t="s">
        <v>472</v>
      </c>
    </row>
    <row r="12" spans="1:19" x14ac:dyDescent="0.25">
      <c r="M12" s="2"/>
      <c r="P12" s="1"/>
    </row>
    <row r="13" spans="1:19" x14ac:dyDescent="0.25">
      <c r="N13" s="14">
        <f>'Total per Region'!N15</f>
        <v>151.39030918234917</v>
      </c>
      <c r="P13" s="14"/>
    </row>
    <row r="14" spans="1:19" x14ac:dyDescent="0.25">
      <c r="K14" s="1">
        <f>SUM(K15:K62)</f>
        <v>402.86008298047943</v>
      </c>
    </row>
    <row r="15" spans="1:19" x14ac:dyDescent="0.25">
      <c r="A15">
        <v>162</v>
      </c>
      <c r="B15">
        <v>1</v>
      </c>
      <c r="C15" t="s">
        <v>119</v>
      </c>
      <c r="D15" s="2" t="s">
        <v>61</v>
      </c>
      <c r="E15" s="1">
        <v>100</v>
      </c>
      <c r="F15" s="1">
        <v>53</v>
      </c>
      <c r="G15" s="1">
        <v>9</v>
      </c>
      <c r="H15" s="1">
        <f t="shared" ref="H15:H26" si="0">F15+0.5*G15</f>
        <v>57.5</v>
      </c>
      <c r="I15" s="10">
        <f t="shared" ref="I15:I26" si="1">H15/E15</f>
        <v>0.57499999999999996</v>
      </c>
      <c r="J15" s="10">
        <f>MIN(I15,0.8)</f>
        <v>0.57499999999999996</v>
      </c>
      <c r="K15" s="1">
        <f t="shared" ref="K15:K26" si="2">J15*H15</f>
        <v>33.0625</v>
      </c>
      <c r="L15" s="12">
        <f t="shared" ref="L15:L26" si="3">(0.39)*K15</f>
        <v>12.894375</v>
      </c>
      <c r="M15" s="1">
        <f t="shared" ref="M15:M26" si="4">MAX(L15,10)</f>
        <v>12.894375</v>
      </c>
      <c r="N15" s="1">
        <f>M15</f>
        <v>12.894375</v>
      </c>
      <c r="O15" s="17">
        <f>(N15-N14)/2</f>
        <v>6.4471875000000001</v>
      </c>
      <c r="P15" s="16">
        <f>(2*O15)/$N$13*'Total per Region'!$R$15</f>
        <v>32237.526651466604</v>
      </c>
      <c r="Q15" t="s">
        <v>456</v>
      </c>
      <c r="R15" s="19" t="s">
        <v>366</v>
      </c>
      <c r="S15">
        <v>12</v>
      </c>
    </row>
    <row r="16" spans="1:19" x14ac:dyDescent="0.25">
      <c r="A16">
        <v>2311</v>
      </c>
      <c r="B16">
        <v>1</v>
      </c>
      <c r="C16" t="s">
        <v>85</v>
      </c>
      <c r="D16" s="2" t="s">
        <v>61</v>
      </c>
      <c r="E16" s="1">
        <v>28</v>
      </c>
      <c r="F16" s="1">
        <v>13</v>
      </c>
      <c r="G16" s="1">
        <v>4</v>
      </c>
      <c r="H16" s="1">
        <f t="shared" si="0"/>
        <v>15</v>
      </c>
      <c r="I16" s="10">
        <f t="shared" si="1"/>
        <v>0.5357142857142857</v>
      </c>
      <c r="J16" s="10">
        <f t="shared" ref="J16:J26" si="5">MIN(I16,0.8)</f>
        <v>0.5357142857142857</v>
      </c>
      <c r="K16" s="1">
        <f t="shared" si="2"/>
        <v>8.0357142857142847</v>
      </c>
      <c r="L16" s="12">
        <f t="shared" si="3"/>
        <v>3.1339285714285712</v>
      </c>
      <c r="M16" s="1">
        <f t="shared" si="4"/>
        <v>10</v>
      </c>
      <c r="N16" s="1">
        <f>MIN('Total per Region'!$N$15,N15+M16)</f>
        <v>22.894375</v>
      </c>
      <c r="O16" s="17">
        <f t="shared" ref="O16:O26" si="6">(N16-N15)/2</f>
        <v>5</v>
      </c>
      <c r="P16" s="16">
        <f>(2*O16)/$N$13*'Total per Region'!$R$15</f>
        <v>25001.232437761893</v>
      </c>
      <c r="Q16" t="s">
        <v>456</v>
      </c>
      <c r="R16" s="19" t="s">
        <v>366</v>
      </c>
      <c r="S16">
        <v>12</v>
      </c>
    </row>
    <row r="17" spans="1:19" x14ac:dyDescent="0.25">
      <c r="A17">
        <v>38</v>
      </c>
      <c r="B17">
        <v>1</v>
      </c>
      <c r="C17" t="s">
        <v>63</v>
      </c>
      <c r="D17" s="2" t="s">
        <v>61</v>
      </c>
      <c r="E17" s="1">
        <v>169</v>
      </c>
      <c r="F17" s="1">
        <v>144</v>
      </c>
      <c r="G17" s="1">
        <v>3</v>
      </c>
      <c r="H17" s="1">
        <f t="shared" si="0"/>
        <v>145.5</v>
      </c>
      <c r="I17" s="10">
        <f t="shared" si="1"/>
        <v>0.86094674556213013</v>
      </c>
      <c r="J17" s="10">
        <f t="shared" si="5"/>
        <v>0.8</v>
      </c>
      <c r="K17" s="1">
        <f t="shared" si="2"/>
        <v>116.4</v>
      </c>
      <c r="L17" s="12">
        <f t="shared" si="3"/>
        <v>45.396000000000001</v>
      </c>
      <c r="M17" s="1">
        <f t="shared" si="4"/>
        <v>45.396000000000001</v>
      </c>
      <c r="N17" s="1">
        <f>MIN('Total per Region'!$N$15,N16+M17)</f>
        <v>68.290374999999997</v>
      </c>
      <c r="O17" s="17">
        <f t="shared" si="6"/>
        <v>22.698</v>
      </c>
      <c r="P17" s="16">
        <f>(2*O17)/$N$13*'Total per Region'!$R$15</f>
        <v>113495.5947744639</v>
      </c>
      <c r="Q17" t="s">
        <v>1</v>
      </c>
      <c r="R17" s="19" t="s">
        <v>364</v>
      </c>
      <c r="S17">
        <v>14</v>
      </c>
    </row>
    <row r="18" spans="1:19" x14ac:dyDescent="0.25">
      <c r="A18">
        <v>432</v>
      </c>
      <c r="B18">
        <v>1</v>
      </c>
      <c r="C18" t="s">
        <v>73</v>
      </c>
      <c r="D18" s="2" t="s">
        <v>61</v>
      </c>
      <c r="E18" s="1">
        <v>47</v>
      </c>
      <c r="F18" s="1">
        <v>33</v>
      </c>
      <c r="G18" s="1">
        <v>2</v>
      </c>
      <c r="H18" s="1">
        <f t="shared" si="0"/>
        <v>34</v>
      </c>
      <c r="I18" s="10">
        <f t="shared" si="1"/>
        <v>0.72340425531914898</v>
      </c>
      <c r="J18" s="10">
        <f t="shared" si="5"/>
        <v>0.72340425531914898</v>
      </c>
      <c r="K18" s="1">
        <f t="shared" si="2"/>
        <v>24.595744680851066</v>
      </c>
      <c r="L18" s="12">
        <f t="shared" si="3"/>
        <v>9.5923404255319156</v>
      </c>
      <c r="M18" s="1">
        <f t="shared" si="4"/>
        <v>10</v>
      </c>
      <c r="N18" s="1">
        <f>MIN('Total per Region'!$N$15,N17+M18)</f>
        <v>78.290374999999997</v>
      </c>
      <c r="O18" s="17">
        <f t="shared" si="6"/>
        <v>5</v>
      </c>
      <c r="P18" s="16">
        <f>(2*O18)/$N$13*'Total per Region'!$R$15</f>
        <v>25001.232437761893</v>
      </c>
      <c r="Q18" t="s">
        <v>1</v>
      </c>
      <c r="R18" s="19" t="s">
        <v>365</v>
      </c>
      <c r="S18">
        <v>12</v>
      </c>
    </row>
    <row r="19" spans="1:19" x14ac:dyDescent="0.25">
      <c r="A19">
        <v>36</v>
      </c>
      <c r="B19">
        <v>1</v>
      </c>
      <c r="C19" t="s">
        <v>60</v>
      </c>
      <c r="D19" s="2" t="s">
        <v>61</v>
      </c>
      <c r="E19" s="1">
        <v>20</v>
      </c>
      <c r="F19" s="1">
        <v>13</v>
      </c>
      <c r="G19" s="1">
        <v>4</v>
      </c>
      <c r="H19" s="1">
        <f t="shared" si="0"/>
        <v>15</v>
      </c>
      <c r="I19" s="10">
        <f t="shared" si="1"/>
        <v>0.75</v>
      </c>
      <c r="J19" s="10">
        <f t="shared" si="5"/>
        <v>0.75</v>
      </c>
      <c r="K19" s="1">
        <f t="shared" si="2"/>
        <v>11.25</v>
      </c>
      <c r="L19" s="12">
        <f t="shared" si="3"/>
        <v>4.3875000000000002</v>
      </c>
      <c r="M19" s="1">
        <f t="shared" si="4"/>
        <v>10</v>
      </c>
      <c r="N19" s="1">
        <f>MIN('Total per Region'!$N$15,N18+M19)</f>
        <v>88.290374999999997</v>
      </c>
      <c r="O19" s="17">
        <f t="shared" si="6"/>
        <v>5</v>
      </c>
      <c r="P19" s="16">
        <f>(2*O19)/$N$13*'Total per Region'!$R$15</f>
        <v>25001.232437761893</v>
      </c>
      <c r="R19" s="19" t="s">
        <v>364</v>
      </c>
      <c r="S19">
        <v>14</v>
      </c>
    </row>
    <row r="20" spans="1:19" x14ac:dyDescent="0.25">
      <c r="A20">
        <v>435</v>
      </c>
      <c r="B20">
        <v>1</v>
      </c>
      <c r="C20" t="s">
        <v>64</v>
      </c>
      <c r="D20" s="2" t="s">
        <v>61</v>
      </c>
      <c r="E20" s="1">
        <v>47</v>
      </c>
      <c r="F20" s="1">
        <v>33</v>
      </c>
      <c r="G20" s="1">
        <v>4</v>
      </c>
      <c r="H20" s="1">
        <f t="shared" si="0"/>
        <v>35</v>
      </c>
      <c r="I20" s="10">
        <f t="shared" si="1"/>
        <v>0.74468085106382975</v>
      </c>
      <c r="J20" s="10">
        <f t="shared" si="5"/>
        <v>0.74468085106382975</v>
      </c>
      <c r="K20" s="1">
        <f t="shared" si="2"/>
        <v>26.063829787234042</v>
      </c>
      <c r="L20" s="12">
        <f t="shared" si="3"/>
        <v>10.164893617021276</v>
      </c>
      <c r="M20" s="1">
        <f t="shared" si="4"/>
        <v>10.164893617021276</v>
      </c>
      <c r="N20" s="1">
        <f>MIN('Total per Region'!$N$15,N19+M20)</f>
        <v>98.455268617021275</v>
      </c>
      <c r="O20" s="17">
        <f t="shared" si="6"/>
        <v>5.0824468085106389</v>
      </c>
      <c r="P20" s="16">
        <f>(2*O20)/$N$13*'Total per Region'!$R$15</f>
        <v>25413.48680242712</v>
      </c>
      <c r="R20" s="19" t="s">
        <v>365</v>
      </c>
      <c r="S20">
        <v>12</v>
      </c>
    </row>
    <row r="21" spans="1:19" x14ac:dyDescent="0.25">
      <c r="A21">
        <v>32</v>
      </c>
      <c r="B21">
        <v>1</v>
      </c>
      <c r="C21" t="s">
        <v>68</v>
      </c>
      <c r="D21" s="2" t="s">
        <v>61</v>
      </c>
      <c r="E21" s="1">
        <v>48</v>
      </c>
      <c r="F21" s="1">
        <v>27</v>
      </c>
      <c r="G21" s="1">
        <v>9</v>
      </c>
      <c r="H21" s="1">
        <f t="shared" si="0"/>
        <v>31.5</v>
      </c>
      <c r="I21" s="10">
        <f t="shared" si="1"/>
        <v>0.65625</v>
      </c>
      <c r="J21" s="10">
        <f t="shared" si="5"/>
        <v>0.65625</v>
      </c>
      <c r="K21" s="1">
        <f t="shared" si="2"/>
        <v>20.671875</v>
      </c>
      <c r="L21" s="12">
        <f t="shared" si="3"/>
        <v>8.0620312500000004</v>
      </c>
      <c r="M21" s="1">
        <f t="shared" si="4"/>
        <v>10</v>
      </c>
      <c r="N21" s="1">
        <f>MIN('Total per Region'!$N$15,N20+M21)</f>
        <v>108.45526861702128</v>
      </c>
      <c r="O21" s="17">
        <f t="shared" si="6"/>
        <v>5</v>
      </c>
      <c r="P21" s="16">
        <f>(2*O21)/$N$13*'Total per Region'!$R$15</f>
        <v>25001.232437761893</v>
      </c>
      <c r="R21" s="19" t="s">
        <v>364</v>
      </c>
      <c r="S21">
        <v>14</v>
      </c>
    </row>
    <row r="22" spans="1:19" x14ac:dyDescent="0.25">
      <c r="A22">
        <v>309</v>
      </c>
      <c r="B22">
        <v>1</v>
      </c>
      <c r="C22" t="s">
        <v>123</v>
      </c>
      <c r="D22" s="2" t="s">
        <v>61</v>
      </c>
      <c r="E22" s="1">
        <v>125</v>
      </c>
      <c r="F22" s="1">
        <v>59</v>
      </c>
      <c r="G22" s="1">
        <v>11</v>
      </c>
      <c r="H22" s="1">
        <f t="shared" si="0"/>
        <v>64.5</v>
      </c>
      <c r="I22" s="10">
        <f t="shared" si="1"/>
        <v>0.51600000000000001</v>
      </c>
      <c r="J22" s="10">
        <f t="shared" si="5"/>
        <v>0.51600000000000001</v>
      </c>
      <c r="K22" s="1">
        <f t="shared" si="2"/>
        <v>33.282000000000004</v>
      </c>
      <c r="L22" s="12">
        <f t="shared" si="3"/>
        <v>12.979980000000001</v>
      </c>
      <c r="M22" s="1">
        <f t="shared" si="4"/>
        <v>12.979980000000001</v>
      </c>
      <c r="N22" s="1">
        <f>MIN('Total per Region'!$N$15,N21+M22)</f>
        <v>121.43524861702127</v>
      </c>
      <c r="O22" s="17">
        <f t="shared" si="6"/>
        <v>6.4899899999999988</v>
      </c>
      <c r="P22" s="16">
        <f>(2*O22)/$N$13*'Total per Region'!$R$15</f>
        <v>32451.549701750057</v>
      </c>
      <c r="R22" s="19" t="s">
        <v>367</v>
      </c>
      <c r="S22">
        <v>15</v>
      </c>
    </row>
    <row r="23" spans="1:19" x14ac:dyDescent="0.25">
      <c r="A23">
        <v>31</v>
      </c>
      <c r="B23">
        <v>1</v>
      </c>
      <c r="C23" t="s">
        <v>131</v>
      </c>
      <c r="D23" s="2" t="s">
        <v>61</v>
      </c>
      <c r="E23" s="1">
        <v>420</v>
      </c>
      <c r="F23" s="1">
        <v>195</v>
      </c>
      <c r="G23" s="1">
        <v>40</v>
      </c>
      <c r="H23" s="1">
        <f t="shared" si="0"/>
        <v>215</v>
      </c>
      <c r="I23" s="10">
        <f t="shared" si="1"/>
        <v>0.51190476190476186</v>
      </c>
      <c r="J23" s="10">
        <f t="shared" si="5"/>
        <v>0.51190476190476186</v>
      </c>
      <c r="K23" s="1">
        <f t="shared" si="2"/>
        <v>110.0595238095238</v>
      </c>
      <c r="L23" s="12">
        <f t="shared" si="3"/>
        <v>42.92321428571428</v>
      </c>
      <c r="M23" s="1">
        <f t="shared" si="4"/>
        <v>42.92321428571428</v>
      </c>
      <c r="N23" s="1">
        <f>MIN('Total per Region'!$N$15,N22+M23)</f>
        <v>151.39030918234917</v>
      </c>
      <c r="O23" s="17">
        <f t="shared" si="6"/>
        <v>14.977530282663949</v>
      </c>
      <c r="P23" s="16">
        <f>(2*O23)/$N$13*'Total per Region'!$R$15</f>
        <v>74891.343188099796</v>
      </c>
      <c r="R23" s="19" t="s">
        <v>364</v>
      </c>
      <c r="S23">
        <v>14</v>
      </c>
    </row>
    <row r="24" spans="1:19" x14ac:dyDescent="0.25">
      <c r="A24">
        <v>308</v>
      </c>
      <c r="B24">
        <v>1</v>
      </c>
      <c r="C24" t="s">
        <v>129</v>
      </c>
      <c r="D24" s="2" t="s">
        <v>61</v>
      </c>
      <c r="E24" s="1">
        <v>42</v>
      </c>
      <c r="F24" s="1">
        <v>19</v>
      </c>
      <c r="G24" s="1">
        <v>4</v>
      </c>
      <c r="H24" s="1">
        <f t="shared" si="0"/>
        <v>21</v>
      </c>
      <c r="I24" s="10">
        <f t="shared" si="1"/>
        <v>0.5</v>
      </c>
      <c r="J24" s="10">
        <f t="shared" si="5"/>
        <v>0.5</v>
      </c>
      <c r="K24" s="1">
        <f t="shared" si="2"/>
        <v>10.5</v>
      </c>
      <c r="L24" s="12">
        <f t="shared" si="3"/>
        <v>4.0949999999999998</v>
      </c>
      <c r="M24" s="1">
        <f t="shared" si="4"/>
        <v>10</v>
      </c>
      <c r="N24" s="1">
        <f>MIN('Total per Region'!$N$15,N23+M24)</f>
        <v>151.39030918234917</v>
      </c>
      <c r="O24" s="17">
        <f t="shared" si="6"/>
        <v>0</v>
      </c>
      <c r="P24" s="16">
        <f>(2*O24)/$N$13*'Total per Region'!$R$15</f>
        <v>0</v>
      </c>
      <c r="R24" s="19" t="s">
        <v>367</v>
      </c>
      <c r="S24">
        <v>15</v>
      </c>
    </row>
    <row r="25" spans="1:19" x14ac:dyDescent="0.25">
      <c r="A25">
        <v>390</v>
      </c>
      <c r="B25">
        <v>1</v>
      </c>
      <c r="C25" t="s">
        <v>193</v>
      </c>
      <c r="D25" s="2" t="s">
        <v>61</v>
      </c>
      <c r="E25" s="1">
        <v>37</v>
      </c>
      <c r="F25" s="1">
        <v>14</v>
      </c>
      <c r="G25" s="1">
        <v>3</v>
      </c>
      <c r="H25" s="1">
        <f t="shared" si="0"/>
        <v>15.5</v>
      </c>
      <c r="I25" s="10">
        <f t="shared" si="1"/>
        <v>0.41891891891891891</v>
      </c>
      <c r="J25" s="10">
        <f t="shared" si="5"/>
        <v>0.41891891891891891</v>
      </c>
      <c r="K25" s="1">
        <f t="shared" si="2"/>
        <v>6.493243243243243</v>
      </c>
      <c r="L25" s="12">
        <f t="shared" si="3"/>
        <v>2.5323648648648649</v>
      </c>
      <c r="M25" s="1">
        <f t="shared" si="4"/>
        <v>10</v>
      </c>
      <c r="N25" s="1">
        <f>MIN('Total per Region'!$N$15,N24+M25)</f>
        <v>151.39030918234917</v>
      </c>
      <c r="O25" s="17">
        <f t="shared" si="6"/>
        <v>0</v>
      </c>
      <c r="P25" s="16">
        <f>(2*O25)/$N$13*'Total per Region'!$R$15</f>
        <v>0</v>
      </c>
      <c r="R25" s="19" t="s">
        <v>368</v>
      </c>
      <c r="S25">
        <v>15</v>
      </c>
    </row>
    <row r="26" spans="1:19" x14ac:dyDescent="0.25">
      <c r="A26">
        <v>306</v>
      </c>
      <c r="B26">
        <v>1</v>
      </c>
      <c r="C26" t="s">
        <v>221</v>
      </c>
      <c r="D26" s="2" t="s">
        <v>61</v>
      </c>
      <c r="E26" s="1">
        <v>23</v>
      </c>
      <c r="F26" s="1">
        <v>5</v>
      </c>
      <c r="G26" s="1">
        <v>5</v>
      </c>
      <c r="H26" s="1">
        <f t="shared" si="0"/>
        <v>7.5</v>
      </c>
      <c r="I26" s="10">
        <f t="shared" si="1"/>
        <v>0.32608695652173914</v>
      </c>
      <c r="J26" s="10">
        <f t="shared" si="5"/>
        <v>0.32608695652173914</v>
      </c>
      <c r="K26" s="1">
        <f t="shared" si="2"/>
        <v>2.4456521739130435</v>
      </c>
      <c r="L26" s="12">
        <f t="shared" si="3"/>
        <v>0.95380434782608703</v>
      </c>
      <c r="M26" s="1">
        <f t="shared" si="4"/>
        <v>10</v>
      </c>
      <c r="N26" s="1">
        <f>MIN('Total per Region'!$N$15,N25+M26)</f>
        <v>151.39030918234917</v>
      </c>
      <c r="O26" s="17">
        <f t="shared" si="6"/>
        <v>0</v>
      </c>
      <c r="P26" s="16">
        <f>(2*O26)/$N$13*'Total per Region'!$R$15</f>
        <v>0</v>
      </c>
      <c r="R26" s="19" t="s">
        <v>367</v>
      </c>
      <c r="S26">
        <v>15</v>
      </c>
    </row>
    <row r="27" spans="1:19" x14ac:dyDescent="0.25">
      <c r="H27" s="1"/>
      <c r="I27" s="10"/>
      <c r="J27" s="10"/>
      <c r="K27" s="12"/>
      <c r="L27" s="12"/>
      <c r="O27" s="14">
        <f>SUM(O15:O26)</f>
        <v>75.695154591174585</v>
      </c>
      <c r="P27" s="18">
        <f>SUM(P15:P26)</f>
        <v>378494.43086925504</v>
      </c>
      <c r="R27" s="13"/>
    </row>
    <row r="28" spans="1:19" x14ac:dyDescent="0.25">
      <c r="H28" s="1"/>
      <c r="I28" s="10"/>
      <c r="J28" s="10"/>
      <c r="K28" s="12"/>
      <c r="L28" s="12"/>
      <c r="P28" s="16"/>
    </row>
    <row r="29" spans="1:19" x14ac:dyDescent="0.25">
      <c r="H29" s="1"/>
      <c r="I29" s="10"/>
      <c r="J29" s="10"/>
      <c r="K29" s="12"/>
      <c r="L29" s="12"/>
      <c r="P29" s="16"/>
    </row>
    <row r="30" spans="1:19" x14ac:dyDescent="0.25">
      <c r="H30" s="1"/>
      <c r="I30" s="10"/>
      <c r="J30" s="10"/>
      <c r="K30" s="12"/>
      <c r="L30" s="12"/>
      <c r="P30" s="16"/>
    </row>
    <row r="31" spans="1:19" x14ac:dyDescent="0.25">
      <c r="H31" s="1"/>
      <c r="I31" s="10"/>
      <c r="J31" s="10"/>
      <c r="K31" s="12"/>
      <c r="L31" s="12"/>
      <c r="P31" s="16"/>
    </row>
    <row r="32" spans="1:19" x14ac:dyDescent="0.25">
      <c r="H32" s="1"/>
      <c r="I32" s="10"/>
      <c r="J32" s="10"/>
      <c r="K32" s="12"/>
      <c r="L32" s="12"/>
      <c r="P32" s="16"/>
    </row>
    <row r="33" spans="8:16" x14ac:dyDescent="0.25">
      <c r="H33" s="1"/>
      <c r="I33" s="10"/>
      <c r="J33" s="10"/>
      <c r="K33" s="12"/>
      <c r="L33" s="12"/>
      <c r="P33" s="16"/>
    </row>
    <row r="34" spans="8:16" x14ac:dyDescent="0.25">
      <c r="H34" s="1"/>
      <c r="I34" s="10"/>
      <c r="J34" s="10"/>
      <c r="K34" s="12"/>
      <c r="L34" s="12"/>
      <c r="P34" s="16"/>
    </row>
    <row r="35" spans="8:16" x14ac:dyDescent="0.25">
      <c r="H35" s="1"/>
      <c r="I35" s="10"/>
      <c r="J35" s="10"/>
      <c r="K35" s="12"/>
      <c r="L35" s="12"/>
      <c r="P35" s="16"/>
    </row>
    <row r="36" spans="8:16" x14ac:dyDescent="0.25">
      <c r="H36" s="1"/>
      <c r="I36" s="10"/>
      <c r="J36" s="10"/>
      <c r="K36" s="12"/>
      <c r="L36" s="12"/>
      <c r="P36" s="16"/>
    </row>
    <row r="37" spans="8:16" x14ac:dyDescent="0.25">
      <c r="H37" s="1"/>
      <c r="I37" s="10"/>
      <c r="J37" s="10"/>
      <c r="K37" s="12"/>
      <c r="L37" s="12"/>
      <c r="P37" s="16"/>
    </row>
    <row r="38" spans="8:16" x14ac:dyDescent="0.25">
      <c r="H38" s="1"/>
      <c r="I38" s="10"/>
      <c r="J38" s="10"/>
      <c r="K38" s="12"/>
      <c r="L38" s="12"/>
      <c r="P38" s="16"/>
    </row>
    <row r="39" spans="8:16" x14ac:dyDescent="0.25">
      <c r="H39" s="1"/>
      <c r="I39" s="10"/>
      <c r="J39" s="10"/>
      <c r="K39" s="12"/>
      <c r="L39" s="12"/>
      <c r="P39" s="16"/>
    </row>
    <row r="40" spans="8:16" x14ac:dyDescent="0.25">
      <c r="H40" s="1"/>
      <c r="I40" s="10"/>
      <c r="J40" s="10"/>
      <c r="K40" s="12"/>
      <c r="L40" s="12"/>
      <c r="P40" s="16"/>
    </row>
    <row r="41" spans="8:16" x14ac:dyDescent="0.25">
      <c r="H41" s="1"/>
      <c r="I41" s="10"/>
      <c r="J41" s="10"/>
      <c r="K41" s="12"/>
      <c r="L41" s="12"/>
      <c r="P41" s="16"/>
    </row>
    <row r="42" spans="8:16" x14ac:dyDescent="0.25">
      <c r="H42" s="1"/>
      <c r="I42" s="10"/>
      <c r="J42" s="10"/>
      <c r="K42" s="12"/>
      <c r="L42" s="12"/>
      <c r="P42" s="16"/>
    </row>
    <row r="43" spans="8:16" x14ac:dyDescent="0.25">
      <c r="H43" s="1"/>
      <c r="I43" s="10"/>
      <c r="J43" s="10"/>
      <c r="K43" s="12"/>
      <c r="L43" s="12"/>
      <c r="P43" s="16"/>
    </row>
    <row r="44" spans="8:16" x14ac:dyDescent="0.25">
      <c r="H44" s="1"/>
      <c r="I44" s="10"/>
      <c r="J44" s="10"/>
      <c r="K44" s="12"/>
      <c r="L44" s="12"/>
      <c r="P44" s="16"/>
    </row>
    <row r="45" spans="8:16" x14ac:dyDescent="0.25">
      <c r="H45" s="1"/>
      <c r="I45" s="10"/>
      <c r="J45" s="10"/>
      <c r="K45" s="12"/>
      <c r="L45" s="12"/>
      <c r="P45" s="16"/>
    </row>
    <row r="46" spans="8:16" x14ac:dyDescent="0.25">
      <c r="H46" s="1"/>
      <c r="I46" s="10"/>
      <c r="J46" s="10"/>
      <c r="K46" s="12"/>
      <c r="L46" s="12"/>
      <c r="P46" s="16"/>
    </row>
    <row r="47" spans="8:16" x14ac:dyDescent="0.25">
      <c r="H47" s="1"/>
      <c r="I47" s="10"/>
      <c r="J47" s="10"/>
      <c r="K47" s="12"/>
      <c r="L47" s="12"/>
      <c r="P47" s="16"/>
    </row>
    <row r="48" spans="8:16" x14ac:dyDescent="0.25">
      <c r="H48" s="1"/>
      <c r="I48" s="10"/>
      <c r="J48" s="10"/>
      <c r="K48" s="1"/>
      <c r="L48" s="1"/>
      <c r="P48" s="16"/>
    </row>
    <row r="49" spans="8:16" x14ac:dyDescent="0.25">
      <c r="H49" s="1"/>
      <c r="I49" s="10"/>
      <c r="J49" s="10"/>
      <c r="K49" s="1"/>
      <c r="L49" s="1"/>
      <c r="P49" s="16"/>
    </row>
    <row r="50" spans="8:16" x14ac:dyDescent="0.25">
      <c r="H50" s="1"/>
      <c r="I50" s="10"/>
      <c r="J50" s="10"/>
      <c r="K50" s="1"/>
      <c r="L50" s="1"/>
      <c r="P50" s="16"/>
    </row>
    <row r="51" spans="8:16" x14ac:dyDescent="0.25">
      <c r="H51" s="1"/>
      <c r="I51" s="10"/>
      <c r="J51" s="10"/>
      <c r="K51" s="1"/>
      <c r="L51" s="1"/>
      <c r="P51" s="16"/>
    </row>
    <row r="52" spans="8:16" x14ac:dyDescent="0.25">
      <c r="H52" s="1"/>
      <c r="I52" s="10"/>
      <c r="J52" s="10"/>
      <c r="K52" s="1"/>
      <c r="L52" s="1"/>
      <c r="P52" s="16"/>
    </row>
    <row r="53" spans="8:16" x14ac:dyDescent="0.25">
      <c r="H53" s="1"/>
      <c r="I53" s="10"/>
      <c r="J53" s="10"/>
      <c r="K53" s="1"/>
      <c r="L53" s="1"/>
      <c r="P53" s="16"/>
    </row>
    <row r="54" spans="8:16" x14ac:dyDescent="0.25">
      <c r="H54" s="1"/>
      <c r="I54" s="10"/>
      <c r="J54" s="10"/>
      <c r="K54" s="1"/>
      <c r="L54" s="1"/>
      <c r="P54" s="16"/>
    </row>
    <row r="55" spans="8:16" x14ac:dyDescent="0.25">
      <c r="H55" s="1"/>
      <c r="I55" s="10"/>
      <c r="J55" s="10"/>
      <c r="K55" s="1"/>
      <c r="L55" s="1"/>
      <c r="P55" s="16"/>
    </row>
    <row r="56" spans="8:16" x14ac:dyDescent="0.25">
      <c r="H56" s="1"/>
      <c r="I56" s="10"/>
      <c r="J56" s="10"/>
      <c r="K56" s="1"/>
      <c r="L56" s="1"/>
      <c r="P56" s="16"/>
    </row>
    <row r="57" spans="8:16" x14ac:dyDescent="0.25">
      <c r="H57" s="1"/>
      <c r="I57" s="10"/>
      <c r="J57" s="10"/>
      <c r="K57" s="1"/>
      <c r="L57" s="1"/>
      <c r="P57" s="22"/>
    </row>
    <row r="58" spans="8:16" x14ac:dyDescent="0.25">
      <c r="H58" s="1"/>
      <c r="I58" s="10"/>
      <c r="J58" s="10"/>
      <c r="K58" s="1"/>
      <c r="L58" s="1"/>
      <c r="P58" s="16"/>
    </row>
    <row r="59" spans="8:16" x14ac:dyDescent="0.25">
      <c r="H59" s="1"/>
      <c r="I59" s="10"/>
      <c r="J59" s="10"/>
      <c r="K59" s="1"/>
      <c r="L59" s="1"/>
      <c r="P59" s="16"/>
    </row>
    <row r="60" spans="8:16" x14ac:dyDescent="0.25">
      <c r="H60" s="1"/>
      <c r="I60" s="10"/>
      <c r="J60" s="10"/>
      <c r="K60" s="1"/>
      <c r="L60" s="1"/>
      <c r="P60" s="16"/>
    </row>
    <row r="61" spans="8:16" x14ac:dyDescent="0.25">
      <c r="H61" s="1"/>
      <c r="I61" s="10"/>
      <c r="J61" s="10"/>
      <c r="K61" s="1"/>
      <c r="L61" s="1"/>
      <c r="P61" s="16"/>
    </row>
    <row r="62" spans="8:16" x14ac:dyDescent="0.25">
      <c r="H62" s="1"/>
      <c r="I62" s="10"/>
      <c r="J62" s="10"/>
      <c r="K62" s="1"/>
      <c r="L62" s="1"/>
      <c r="P62" s="16"/>
    </row>
    <row r="63" spans="8:16" x14ac:dyDescent="0.25">
      <c r="P63" s="18"/>
    </row>
    <row r="64" spans="8:16" x14ac:dyDescent="0.25">
      <c r="P64" s="18"/>
    </row>
  </sheetData>
  <sortState ref="A15:AA26">
    <sortCondition descending="1" ref="Q15:Q26"/>
    <sortCondition descending="1" ref="J15:J26"/>
  </sortState>
  <pageMargins left="0.7" right="0.7" top="0.75" bottom="0.75" header="0.3" footer="0.3"/>
  <pageSetup paperSize="5" scale="82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4"/>
  <sheetViews>
    <sheetView workbookViewId="0"/>
  </sheetViews>
  <sheetFormatPr defaultRowHeight="15" x14ac:dyDescent="0.25"/>
  <cols>
    <col min="3" max="3" width="38.28515625" bestFit="1" customWidth="1"/>
    <col min="4" max="7" width="9.140625" customWidth="1"/>
    <col min="9" max="9" width="9.140625" customWidth="1"/>
    <col min="11" max="12" width="14" bestFit="1" customWidth="1"/>
    <col min="13" max="14" width="12" bestFit="1" customWidth="1"/>
    <col min="15" max="15" width="14.5703125" bestFit="1" customWidth="1"/>
    <col min="16" max="16" width="16.28515625" bestFit="1" customWidth="1"/>
    <col min="17" max="17" width="20.140625" bestFit="1" customWidth="1"/>
    <col min="18" max="18" width="12.7109375" customWidth="1"/>
    <col min="19" max="19" width="6.85546875" bestFit="1" customWidth="1"/>
  </cols>
  <sheetData>
    <row r="1" spans="1:19" x14ac:dyDescent="0.25">
      <c r="A1" t="s">
        <v>460</v>
      </c>
      <c r="M1" s="2"/>
    </row>
    <row r="2" spans="1:19" x14ac:dyDescent="0.25">
      <c r="M2" s="2"/>
    </row>
    <row r="3" spans="1:19" x14ac:dyDescent="0.25">
      <c r="A3" t="s">
        <v>509</v>
      </c>
      <c r="C3" t="s">
        <v>508</v>
      </c>
      <c r="D3">
        <v>0.39</v>
      </c>
      <c r="M3" s="2"/>
    </row>
    <row r="4" spans="1:19" x14ac:dyDescent="0.25">
      <c r="M4" s="2"/>
    </row>
    <row r="5" spans="1:19" x14ac:dyDescent="0.25">
      <c r="E5" s="2" t="s">
        <v>445</v>
      </c>
      <c r="F5" s="2" t="s">
        <v>446</v>
      </c>
      <c r="G5" s="2" t="s">
        <v>447</v>
      </c>
      <c r="H5" s="2" t="s">
        <v>448</v>
      </c>
      <c r="I5" s="2" t="s">
        <v>449</v>
      </c>
      <c r="J5" s="2" t="s">
        <v>451</v>
      </c>
      <c r="K5" s="2" t="s">
        <v>452</v>
      </c>
      <c r="L5" s="2" t="s">
        <v>453</v>
      </c>
      <c r="M5" s="2" t="s">
        <v>454</v>
      </c>
      <c r="N5" s="2" t="s">
        <v>455</v>
      </c>
      <c r="O5" s="2" t="s">
        <v>457</v>
      </c>
      <c r="P5" s="2" t="s">
        <v>464</v>
      </c>
      <c r="Q5" s="2" t="s">
        <v>465</v>
      </c>
      <c r="R5" s="2" t="s">
        <v>466</v>
      </c>
      <c r="S5" s="2" t="s">
        <v>0</v>
      </c>
    </row>
    <row r="6" spans="1:19" x14ac:dyDescent="0.25">
      <c r="K6" s="2" t="s">
        <v>476</v>
      </c>
      <c r="O6" s="2" t="s">
        <v>512</v>
      </c>
    </row>
    <row r="7" spans="1:19" x14ac:dyDescent="0.25">
      <c r="H7" s="2" t="s">
        <v>476</v>
      </c>
      <c r="J7" s="2" t="s">
        <v>486</v>
      </c>
      <c r="K7" s="2" t="s">
        <v>489</v>
      </c>
      <c r="M7" s="2" t="s">
        <v>492</v>
      </c>
      <c r="N7" s="2" t="s">
        <v>458</v>
      </c>
      <c r="O7" s="2" t="s">
        <v>459</v>
      </c>
      <c r="P7" s="2" t="s">
        <v>463</v>
      </c>
    </row>
    <row r="8" spans="1:19" x14ac:dyDescent="0.25">
      <c r="E8" s="2"/>
      <c r="F8" s="2"/>
      <c r="G8" s="2"/>
      <c r="H8" s="2" t="s">
        <v>477</v>
      </c>
      <c r="I8" s="2"/>
      <c r="J8" s="2" t="s">
        <v>484</v>
      </c>
      <c r="K8" s="2" t="s">
        <v>490</v>
      </c>
      <c r="L8" s="2"/>
      <c r="M8" s="2" t="s">
        <v>493</v>
      </c>
      <c r="N8" s="2" t="s">
        <v>450</v>
      </c>
      <c r="O8" s="2" t="s">
        <v>463</v>
      </c>
      <c r="P8" s="2" t="s">
        <v>504</v>
      </c>
      <c r="Q8" s="2" t="s">
        <v>500</v>
      </c>
      <c r="R8" s="2"/>
    </row>
    <row r="9" spans="1:19" x14ac:dyDescent="0.25">
      <c r="E9" s="2" t="s">
        <v>476</v>
      </c>
      <c r="F9" s="2" t="s">
        <v>476</v>
      </c>
      <c r="G9" s="2" t="s">
        <v>476</v>
      </c>
      <c r="H9" s="2" t="s">
        <v>481</v>
      </c>
      <c r="I9" s="2" t="s">
        <v>484</v>
      </c>
      <c r="J9" s="2" t="s">
        <v>487</v>
      </c>
      <c r="K9" s="2" t="s">
        <v>482</v>
      </c>
      <c r="L9" s="2" t="s">
        <v>467</v>
      </c>
      <c r="M9" s="2" t="s">
        <v>494</v>
      </c>
      <c r="N9" s="2" t="s">
        <v>498</v>
      </c>
      <c r="O9" s="2" t="s">
        <v>450</v>
      </c>
      <c r="P9" s="8" t="s">
        <v>505</v>
      </c>
      <c r="Q9" s="2" t="s">
        <v>503</v>
      </c>
    </row>
    <row r="10" spans="1:19" x14ac:dyDescent="0.25">
      <c r="E10" s="2" t="s">
        <v>477</v>
      </c>
      <c r="F10" s="2" t="s">
        <v>477</v>
      </c>
      <c r="G10" s="2" t="s">
        <v>477</v>
      </c>
      <c r="H10" s="2" t="s">
        <v>482</v>
      </c>
      <c r="I10" s="2" t="s">
        <v>485</v>
      </c>
      <c r="J10" s="11" t="s">
        <v>488</v>
      </c>
      <c r="K10" s="2" t="s">
        <v>487</v>
      </c>
      <c r="L10" s="2" t="s">
        <v>510</v>
      </c>
      <c r="M10" s="11" t="s">
        <v>495</v>
      </c>
      <c r="N10" s="8">
        <f>ROUND(N13,0)</f>
        <v>262</v>
      </c>
      <c r="O10" s="2" t="s">
        <v>513</v>
      </c>
      <c r="P10" s="2" t="s">
        <v>506</v>
      </c>
      <c r="Q10" s="2" t="s">
        <v>501</v>
      </c>
      <c r="R10" s="2"/>
      <c r="S10" s="2" t="s">
        <v>471</v>
      </c>
    </row>
    <row r="11" spans="1:19" x14ac:dyDescent="0.25">
      <c r="A11" t="s">
        <v>349</v>
      </c>
      <c r="B11" t="s">
        <v>350</v>
      </c>
      <c r="C11" t="s">
        <v>351</v>
      </c>
      <c r="D11" t="s">
        <v>352</v>
      </c>
      <c r="E11" s="2" t="s">
        <v>478</v>
      </c>
      <c r="F11" s="2" t="s">
        <v>479</v>
      </c>
      <c r="G11" s="2" t="s">
        <v>480</v>
      </c>
      <c r="H11" s="11" t="s">
        <v>483</v>
      </c>
      <c r="I11" s="11" t="s">
        <v>470</v>
      </c>
      <c r="J11" s="11" t="s">
        <v>473</v>
      </c>
      <c r="K11" s="11" t="s">
        <v>491</v>
      </c>
      <c r="L11" s="11" t="s">
        <v>511</v>
      </c>
      <c r="M11" s="11" t="s">
        <v>496</v>
      </c>
      <c r="N11" s="2" t="s">
        <v>499</v>
      </c>
      <c r="O11" s="2" t="s">
        <v>497</v>
      </c>
      <c r="P11" s="2" t="s">
        <v>507</v>
      </c>
      <c r="Q11" s="2" t="s">
        <v>502</v>
      </c>
      <c r="R11" s="2" t="s">
        <v>356</v>
      </c>
      <c r="S11" s="2" t="s">
        <v>472</v>
      </c>
    </row>
    <row r="12" spans="1:19" x14ac:dyDescent="0.25">
      <c r="M12" s="2"/>
      <c r="P12" s="1"/>
    </row>
    <row r="13" spans="1:19" x14ac:dyDescent="0.25">
      <c r="N13" s="14">
        <f>'Total per Region'!N16</f>
        <v>261.99198578903997</v>
      </c>
      <c r="P13" s="14"/>
    </row>
    <row r="14" spans="1:19" x14ac:dyDescent="0.25">
      <c r="K14" s="1">
        <f>SUM(K15:K62)</f>
        <v>697.17879371039044</v>
      </c>
    </row>
    <row r="15" spans="1:19" x14ac:dyDescent="0.25">
      <c r="A15">
        <v>319</v>
      </c>
      <c r="B15">
        <v>1</v>
      </c>
      <c r="C15" t="s">
        <v>122</v>
      </c>
      <c r="D15" s="2">
        <v>3</v>
      </c>
      <c r="E15" s="1">
        <v>44</v>
      </c>
      <c r="F15" s="1">
        <v>24</v>
      </c>
      <c r="G15" s="1">
        <v>0</v>
      </c>
      <c r="H15" s="1">
        <f t="shared" ref="H15:H46" si="0">F15+0.5*G15</f>
        <v>24</v>
      </c>
      <c r="I15" s="10">
        <f t="shared" ref="I15:I46" si="1">H15/E15</f>
        <v>0.54545454545454541</v>
      </c>
      <c r="J15" s="10">
        <f>MIN(I15,0.8)</f>
        <v>0.54545454545454541</v>
      </c>
      <c r="K15" s="1">
        <f t="shared" ref="K15:K46" si="2">J15*H15</f>
        <v>13.09090909090909</v>
      </c>
      <c r="L15" s="12">
        <f t="shared" ref="L15:L46" si="3">(0.39)*K15</f>
        <v>5.1054545454545455</v>
      </c>
      <c r="M15" s="1">
        <f t="shared" ref="M15:M46" si="4">MAX(L15,10)</f>
        <v>10</v>
      </c>
      <c r="N15" s="1">
        <f>M15</f>
        <v>10</v>
      </c>
      <c r="O15" s="17">
        <f>(N15-N14)/2</f>
        <v>5</v>
      </c>
      <c r="P15" s="16">
        <f>(2*O15)/$N$13*'Total per Region'!$R$16</f>
        <v>25001.232437761897</v>
      </c>
      <c r="Q15" t="s">
        <v>1</v>
      </c>
      <c r="R15" s="13" t="s">
        <v>370</v>
      </c>
      <c r="S15">
        <v>12</v>
      </c>
    </row>
    <row r="16" spans="1:19" x14ac:dyDescent="0.25">
      <c r="A16">
        <v>709</v>
      </c>
      <c r="B16">
        <v>1</v>
      </c>
      <c r="C16" t="s">
        <v>162</v>
      </c>
      <c r="D16" s="2">
        <v>3</v>
      </c>
      <c r="E16" s="1">
        <v>704</v>
      </c>
      <c r="F16" s="1">
        <v>333</v>
      </c>
      <c r="G16" s="1">
        <v>42</v>
      </c>
      <c r="H16" s="1">
        <f t="shared" si="0"/>
        <v>354</v>
      </c>
      <c r="I16" s="10">
        <f t="shared" si="1"/>
        <v>0.50284090909090906</v>
      </c>
      <c r="J16" s="10">
        <f t="shared" ref="J16:J46" si="5">MIN(I16,0.8)</f>
        <v>0.50284090909090906</v>
      </c>
      <c r="K16" s="1">
        <f t="shared" si="2"/>
        <v>178.00568181818181</v>
      </c>
      <c r="L16" s="12">
        <f t="shared" si="3"/>
        <v>69.422215909090909</v>
      </c>
      <c r="M16" s="1">
        <f t="shared" si="4"/>
        <v>69.422215909090909</v>
      </c>
      <c r="N16" s="1">
        <f>MIN('Total per Region'!$N$16,N15+M16)</f>
        <v>79.422215909090909</v>
      </c>
      <c r="O16" s="17">
        <f t="shared" ref="O16:O46" si="6">(N16-N15)/2</f>
        <v>34.711107954545454</v>
      </c>
      <c r="P16" s="16">
        <f>(2*O16)/$N$13*'Total per Region'!$R$16</f>
        <v>173564.09562876736</v>
      </c>
      <c r="Q16" t="s">
        <v>1</v>
      </c>
      <c r="R16" s="19" t="s">
        <v>369</v>
      </c>
      <c r="S16">
        <v>13</v>
      </c>
    </row>
    <row r="17" spans="1:19" x14ac:dyDescent="0.25">
      <c r="A17">
        <v>704</v>
      </c>
      <c r="B17">
        <v>1</v>
      </c>
      <c r="C17" t="s">
        <v>339</v>
      </c>
      <c r="D17" s="2">
        <v>3</v>
      </c>
      <c r="E17" s="1">
        <v>111</v>
      </c>
      <c r="F17" s="1">
        <v>20</v>
      </c>
      <c r="G17" s="1">
        <v>4</v>
      </c>
      <c r="H17" s="1">
        <f t="shared" si="0"/>
        <v>22</v>
      </c>
      <c r="I17" s="10">
        <f t="shared" si="1"/>
        <v>0.1981981981981982</v>
      </c>
      <c r="J17" s="10">
        <f t="shared" si="5"/>
        <v>0.1981981981981982</v>
      </c>
      <c r="K17" s="1">
        <f t="shared" si="2"/>
        <v>4.3603603603603602</v>
      </c>
      <c r="L17" s="12">
        <f t="shared" si="3"/>
        <v>1.7005405405405405</v>
      </c>
      <c r="M17" s="1">
        <f t="shared" si="4"/>
        <v>10</v>
      </c>
      <c r="N17" s="1">
        <f>MIN('Total per Region'!$N$16,N16+M17)</f>
        <v>89.422215909090909</v>
      </c>
      <c r="O17" s="17">
        <f t="shared" si="6"/>
        <v>5</v>
      </c>
      <c r="P17" s="16">
        <f>(2*O17)/$N$13*'Total per Region'!$R$16</f>
        <v>25001.232437761897</v>
      </c>
      <c r="Q17" t="s">
        <v>1</v>
      </c>
      <c r="R17" s="5" t="s">
        <v>369</v>
      </c>
      <c r="S17">
        <v>13</v>
      </c>
    </row>
    <row r="18" spans="1:19" x14ac:dyDescent="0.25">
      <c r="A18">
        <v>707</v>
      </c>
      <c r="B18">
        <v>1</v>
      </c>
      <c r="C18" t="s">
        <v>76</v>
      </c>
      <c r="D18" s="2">
        <v>3</v>
      </c>
      <c r="E18" s="1">
        <v>9</v>
      </c>
      <c r="F18" s="1">
        <v>6</v>
      </c>
      <c r="G18" s="1">
        <v>1</v>
      </c>
      <c r="H18" s="1">
        <f t="shared" si="0"/>
        <v>6.5</v>
      </c>
      <c r="I18" s="10">
        <f t="shared" si="1"/>
        <v>0.72222222222222221</v>
      </c>
      <c r="J18" s="10">
        <f t="shared" si="5"/>
        <v>0.72222222222222221</v>
      </c>
      <c r="K18" s="1">
        <f t="shared" si="2"/>
        <v>4.6944444444444446</v>
      </c>
      <c r="L18" s="12">
        <f t="shared" si="3"/>
        <v>1.8308333333333335</v>
      </c>
      <c r="M18" s="1">
        <f t="shared" si="4"/>
        <v>10</v>
      </c>
      <c r="N18" s="1">
        <f>MIN('Total per Region'!$N$16,N17+M18)</f>
        <v>99.422215909090909</v>
      </c>
      <c r="O18" s="17">
        <f t="shared" si="6"/>
        <v>5</v>
      </c>
      <c r="P18" s="16">
        <f>(2*O18)/$N$13*'Total per Region'!$R$16</f>
        <v>25001.232437761897</v>
      </c>
      <c r="R18" s="19" t="s">
        <v>369</v>
      </c>
      <c r="S18">
        <v>13</v>
      </c>
    </row>
    <row r="19" spans="1:19" x14ac:dyDescent="0.25">
      <c r="A19">
        <v>317</v>
      </c>
      <c r="B19">
        <v>1</v>
      </c>
      <c r="C19" t="s">
        <v>74</v>
      </c>
      <c r="D19" s="2">
        <v>3</v>
      </c>
      <c r="E19" s="1">
        <v>90</v>
      </c>
      <c r="F19" s="1">
        <v>61</v>
      </c>
      <c r="G19" s="1">
        <v>6</v>
      </c>
      <c r="H19" s="1">
        <f t="shared" si="0"/>
        <v>64</v>
      </c>
      <c r="I19" s="10">
        <f t="shared" si="1"/>
        <v>0.71111111111111114</v>
      </c>
      <c r="J19" s="10">
        <f t="shared" si="5"/>
        <v>0.71111111111111114</v>
      </c>
      <c r="K19" s="1">
        <f t="shared" si="2"/>
        <v>45.511111111111113</v>
      </c>
      <c r="L19" s="12">
        <f t="shared" si="3"/>
        <v>17.749333333333336</v>
      </c>
      <c r="M19" s="1">
        <f t="shared" si="4"/>
        <v>17.749333333333336</v>
      </c>
      <c r="N19" s="1">
        <f>MIN('Total per Region'!$N$16,N18+M19)</f>
        <v>117.17154924242425</v>
      </c>
      <c r="O19" s="17">
        <f t="shared" si="6"/>
        <v>8.8746666666666698</v>
      </c>
      <c r="P19" s="16">
        <f>(2*O19)/$N$13*'Total per Region'!$R$16</f>
        <v>44375.520828198198</v>
      </c>
      <c r="R19" s="19" t="s">
        <v>371</v>
      </c>
      <c r="S19">
        <v>12</v>
      </c>
    </row>
    <row r="20" spans="1:19" x14ac:dyDescent="0.25">
      <c r="A20">
        <v>4</v>
      </c>
      <c r="B20">
        <v>1</v>
      </c>
      <c r="C20" t="s">
        <v>83</v>
      </c>
      <c r="D20" s="2">
        <v>3</v>
      </c>
      <c r="E20" s="1">
        <v>39</v>
      </c>
      <c r="F20" s="1">
        <v>21</v>
      </c>
      <c r="G20" s="1">
        <v>8</v>
      </c>
      <c r="H20" s="1">
        <f t="shared" si="0"/>
        <v>25</v>
      </c>
      <c r="I20" s="10">
        <f t="shared" si="1"/>
        <v>0.64102564102564108</v>
      </c>
      <c r="J20" s="10">
        <f t="shared" si="5"/>
        <v>0.64102564102564108</v>
      </c>
      <c r="K20" s="1">
        <f t="shared" si="2"/>
        <v>16.025641025641026</v>
      </c>
      <c r="L20" s="12">
        <f t="shared" si="3"/>
        <v>6.25</v>
      </c>
      <c r="M20" s="1">
        <f t="shared" si="4"/>
        <v>10</v>
      </c>
      <c r="N20" s="1">
        <f>MIN('Total per Region'!$N$16,N19+M20)</f>
        <v>127.17154924242425</v>
      </c>
      <c r="O20" s="17">
        <f t="shared" si="6"/>
        <v>5</v>
      </c>
      <c r="P20" s="16">
        <f>(2*O20)/$N$13*'Total per Region'!$R$16</f>
        <v>25001.232437761897</v>
      </c>
      <c r="R20" s="19" t="s">
        <v>372</v>
      </c>
      <c r="S20">
        <v>15</v>
      </c>
    </row>
    <row r="21" spans="1:19" x14ac:dyDescent="0.25">
      <c r="A21">
        <v>701</v>
      </c>
      <c r="B21">
        <v>1</v>
      </c>
      <c r="C21" t="s">
        <v>111</v>
      </c>
      <c r="D21" s="2">
        <v>3</v>
      </c>
      <c r="E21" s="1">
        <v>212</v>
      </c>
      <c r="F21" s="1">
        <v>128</v>
      </c>
      <c r="G21" s="1">
        <v>14</v>
      </c>
      <c r="H21" s="1">
        <f t="shared" si="0"/>
        <v>135</v>
      </c>
      <c r="I21" s="10">
        <f t="shared" si="1"/>
        <v>0.6367924528301887</v>
      </c>
      <c r="J21" s="10">
        <f t="shared" si="5"/>
        <v>0.6367924528301887</v>
      </c>
      <c r="K21" s="1">
        <f t="shared" si="2"/>
        <v>85.966981132075475</v>
      </c>
      <c r="L21" s="12">
        <f t="shared" si="3"/>
        <v>33.527122641509436</v>
      </c>
      <c r="M21" s="1">
        <f t="shared" si="4"/>
        <v>33.527122641509436</v>
      </c>
      <c r="N21" s="1">
        <f>MIN('Total per Region'!$N$16,N20+M21)</f>
        <v>160.69867188393368</v>
      </c>
      <c r="O21" s="17">
        <f t="shared" si="6"/>
        <v>16.763561320754718</v>
      </c>
      <c r="P21" s="16">
        <f>(2*O21)/$N$13*'Total per Region'!$R$16</f>
        <v>83821.938612972706</v>
      </c>
      <c r="R21" s="19" t="s">
        <v>369</v>
      </c>
      <c r="S21">
        <v>13</v>
      </c>
    </row>
    <row r="22" spans="1:19" x14ac:dyDescent="0.25">
      <c r="A22">
        <v>363</v>
      </c>
      <c r="B22">
        <v>1</v>
      </c>
      <c r="C22" t="s">
        <v>120</v>
      </c>
      <c r="D22" s="2">
        <v>3</v>
      </c>
      <c r="E22" s="1">
        <v>21</v>
      </c>
      <c r="F22" s="1">
        <v>11</v>
      </c>
      <c r="G22" s="1">
        <v>2</v>
      </c>
      <c r="H22" s="1">
        <f t="shared" si="0"/>
        <v>12</v>
      </c>
      <c r="I22" s="10">
        <f t="shared" si="1"/>
        <v>0.5714285714285714</v>
      </c>
      <c r="J22" s="10">
        <f t="shared" si="5"/>
        <v>0.5714285714285714</v>
      </c>
      <c r="K22" s="1">
        <f t="shared" si="2"/>
        <v>6.8571428571428568</v>
      </c>
      <c r="L22" s="12">
        <f t="shared" si="3"/>
        <v>2.6742857142857144</v>
      </c>
      <c r="M22" s="1">
        <f t="shared" si="4"/>
        <v>10</v>
      </c>
      <c r="N22" s="1">
        <f>MIN('Total per Region'!$N$16,N21+M22)</f>
        <v>170.69867188393368</v>
      </c>
      <c r="O22" s="17">
        <f t="shared" si="6"/>
        <v>5</v>
      </c>
      <c r="P22" s="16">
        <f>(2*O22)/$N$13*'Total per Region'!$R$16</f>
        <v>25001.232437761897</v>
      </c>
      <c r="R22" s="19" t="s">
        <v>373</v>
      </c>
      <c r="S22">
        <v>15</v>
      </c>
    </row>
    <row r="23" spans="1:19" x14ac:dyDescent="0.25">
      <c r="A23">
        <v>316</v>
      </c>
      <c r="B23">
        <v>1</v>
      </c>
      <c r="C23" t="s">
        <v>124</v>
      </c>
      <c r="D23" s="2">
        <v>3</v>
      </c>
      <c r="E23" s="1">
        <v>79</v>
      </c>
      <c r="F23" s="1">
        <v>39</v>
      </c>
      <c r="G23" s="1">
        <v>9</v>
      </c>
      <c r="H23" s="1">
        <f t="shared" si="0"/>
        <v>43.5</v>
      </c>
      <c r="I23" s="10">
        <f t="shared" si="1"/>
        <v>0.55063291139240511</v>
      </c>
      <c r="J23" s="10">
        <f t="shared" si="5"/>
        <v>0.55063291139240511</v>
      </c>
      <c r="K23" s="1">
        <f t="shared" si="2"/>
        <v>23.952531645569621</v>
      </c>
      <c r="L23" s="12">
        <f t="shared" si="3"/>
        <v>9.3414873417721527</v>
      </c>
      <c r="M23" s="1">
        <f t="shared" si="4"/>
        <v>10</v>
      </c>
      <c r="N23" s="1">
        <f>MIN('Total per Region'!$N$16,N22+M23)</f>
        <v>180.69867188393368</v>
      </c>
      <c r="O23" s="17">
        <f t="shared" si="6"/>
        <v>5</v>
      </c>
      <c r="P23" s="16">
        <f>(2*O23)/$N$13*'Total per Region'!$R$16</f>
        <v>25001.232437761897</v>
      </c>
      <c r="R23" s="19" t="s">
        <v>371</v>
      </c>
      <c r="S23">
        <v>12</v>
      </c>
    </row>
    <row r="24" spans="1:19" x14ac:dyDescent="0.25">
      <c r="A24">
        <v>698</v>
      </c>
      <c r="B24">
        <v>1</v>
      </c>
      <c r="C24" t="s">
        <v>175</v>
      </c>
      <c r="D24" s="2">
        <v>3</v>
      </c>
      <c r="E24" s="1">
        <v>14</v>
      </c>
      <c r="F24" s="1">
        <v>7</v>
      </c>
      <c r="G24" s="1">
        <v>1</v>
      </c>
      <c r="H24" s="1">
        <f t="shared" si="0"/>
        <v>7.5</v>
      </c>
      <c r="I24" s="10">
        <f t="shared" si="1"/>
        <v>0.5357142857142857</v>
      </c>
      <c r="J24" s="10">
        <f t="shared" si="5"/>
        <v>0.5357142857142857</v>
      </c>
      <c r="K24" s="1">
        <f t="shared" si="2"/>
        <v>4.0178571428571423</v>
      </c>
      <c r="L24" s="12">
        <f t="shared" si="3"/>
        <v>1.5669642857142856</v>
      </c>
      <c r="M24" s="1">
        <f t="shared" si="4"/>
        <v>10</v>
      </c>
      <c r="N24" s="1">
        <f>MIN('Total per Region'!$N$16,N23+M24)</f>
        <v>190.69867188393368</v>
      </c>
      <c r="O24" s="17">
        <f t="shared" si="6"/>
        <v>5</v>
      </c>
      <c r="P24" s="16">
        <f>(2*O24)/$N$13*'Total per Region'!$R$16</f>
        <v>25001.232437761897</v>
      </c>
      <c r="R24" s="19" t="s">
        <v>369</v>
      </c>
      <c r="S24">
        <v>13</v>
      </c>
    </row>
    <row r="25" spans="1:19" x14ac:dyDescent="0.25">
      <c r="A25">
        <v>2</v>
      </c>
      <c r="B25">
        <v>1</v>
      </c>
      <c r="C25" t="s">
        <v>157</v>
      </c>
      <c r="D25" s="2">
        <v>3</v>
      </c>
      <c r="E25" s="1">
        <v>20</v>
      </c>
      <c r="F25" s="1">
        <v>10</v>
      </c>
      <c r="G25" s="1">
        <v>1</v>
      </c>
      <c r="H25" s="1">
        <f t="shared" si="0"/>
        <v>10.5</v>
      </c>
      <c r="I25" s="10">
        <f t="shared" si="1"/>
        <v>0.52500000000000002</v>
      </c>
      <c r="J25" s="10">
        <f t="shared" si="5"/>
        <v>0.52500000000000002</v>
      </c>
      <c r="K25" s="1">
        <f t="shared" si="2"/>
        <v>5.5125000000000002</v>
      </c>
      <c r="L25" s="12">
        <f t="shared" si="3"/>
        <v>2.1498750000000002</v>
      </c>
      <c r="M25" s="1">
        <f t="shared" si="4"/>
        <v>10</v>
      </c>
      <c r="N25" s="1">
        <f>MIN('Total per Region'!$N$16,N24+M25)</f>
        <v>200.69867188393368</v>
      </c>
      <c r="O25" s="17">
        <f t="shared" si="6"/>
        <v>5</v>
      </c>
      <c r="P25" s="16">
        <f>(2*O25)/$N$13*'Total per Region'!$R$16</f>
        <v>25001.232437761897</v>
      </c>
      <c r="R25" s="19" t="s">
        <v>372</v>
      </c>
      <c r="S25">
        <v>15</v>
      </c>
    </row>
    <row r="26" spans="1:19" x14ac:dyDescent="0.25">
      <c r="A26">
        <v>1</v>
      </c>
      <c r="B26">
        <v>1</v>
      </c>
      <c r="C26" t="s">
        <v>133</v>
      </c>
      <c r="D26" s="2">
        <v>3</v>
      </c>
      <c r="E26" s="1">
        <v>93</v>
      </c>
      <c r="F26" s="1">
        <v>39</v>
      </c>
      <c r="G26" s="1">
        <v>13</v>
      </c>
      <c r="H26" s="1">
        <f t="shared" si="0"/>
        <v>45.5</v>
      </c>
      <c r="I26" s="10">
        <f t="shared" si="1"/>
        <v>0.489247311827957</v>
      </c>
      <c r="J26" s="10">
        <f t="shared" si="5"/>
        <v>0.489247311827957</v>
      </c>
      <c r="K26" s="1">
        <f t="shared" si="2"/>
        <v>22.260752688172044</v>
      </c>
      <c r="L26" s="12">
        <f t="shared" si="3"/>
        <v>8.6816935483870967</v>
      </c>
      <c r="M26" s="1">
        <f t="shared" si="4"/>
        <v>10</v>
      </c>
      <c r="N26" s="1">
        <f>MIN('Total per Region'!$N$16,N25+M26)</f>
        <v>210.69867188393368</v>
      </c>
      <c r="O26" s="17">
        <f t="shared" si="6"/>
        <v>5</v>
      </c>
      <c r="P26" s="16">
        <f>(2*O26)/$N$13*'Total per Region'!$R$16</f>
        <v>25001.232437761897</v>
      </c>
      <c r="R26" s="19" t="s">
        <v>372</v>
      </c>
      <c r="S26">
        <v>15</v>
      </c>
    </row>
    <row r="27" spans="1:19" x14ac:dyDescent="0.25">
      <c r="A27">
        <v>706</v>
      </c>
      <c r="B27">
        <v>1</v>
      </c>
      <c r="C27" t="s">
        <v>168</v>
      </c>
      <c r="D27" s="2">
        <v>3</v>
      </c>
      <c r="E27" s="1">
        <v>168</v>
      </c>
      <c r="F27" s="1">
        <v>74</v>
      </c>
      <c r="G27" s="1">
        <v>10</v>
      </c>
      <c r="H27" s="1">
        <f t="shared" si="0"/>
        <v>79</v>
      </c>
      <c r="I27" s="10">
        <f t="shared" si="1"/>
        <v>0.47023809523809523</v>
      </c>
      <c r="J27" s="10">
        <f t="shared" si="5"/>
        <v>0.47023809523809523</v>
      </c>
      <c r="K27" s="1">
        <f t="shared" si="2"/>
        <v>37.148809523809526</v>
      </c>
      <c r="L27" s="12">
        <f t="shared" si="3"/>
        <v>14.488035714285715</v>
      </c>
      <c r="M27" s="1">
        <f t="shared" si="4"/>
        <v>14.488035714285715</v>
      </c>
      <c r="N27" s="1">
        <f>MIN('Total per Region'!$N$16,N26+M27)</f>
        <v>225.18670759821941</v>
      </c>
      <c r="O27" s="17">
        <f t="shared" si="6"/>
        <v>7.2440178571428646</v>
      </c>
      <c r="P27" s="16">
        <f>(2*O27)/$N$13*'Total per Region'!$R$16</f>
        <v>36221.87484594532</v>
      </c>
      <c r="R27" s="19" t="s">
        <v>369</v>
      </c>
      <c r="S27">
        <v>13</v>
      </c>
    </row>
    <row r="28" spans="1:19" x14ac:dyDescent="0.25">
      <c r="A28">
        <v>100</v>
      </c>
      <c r="B28">
        <v>1</v>
      </c>
      <c r="C28" t="s">
        <v>158</v>
      </c>
      <c r="D28" s="2">
        <v>3</v>
      </c>
      <c r="E28" s="1">
        <v>15</v>
      </c>
      <c r="F28" s="1">
        <v>5</v>
      </c>
      <c r="G28" s="1">
        <v>4</v>
      </c>
      <c r="H28" s="1">
        <f t="shared" si="0"/>
        <v>7</v>
      </c>
      <c r="I28" s="10">
        <f t="shared" si="1"/>
        <v>0.46666666666666667</v>
      </c>
      <c r="J28" s="10">
        <f t="shared" si="5"/>
        <v>0.46666666666666667</v>
      </c>
      <c r="K28" s="1">
        <f t="shared" si="2"/>
        <v>3.2666666666666666</v>
      </c>
      <c r="L28" s="12">
        <f t="shared" si="3"/>
        <v>1.274</v>
      </c>
      <c r="M28" s="1">
        <f t="shared" si="4"/>
        <v>10</v>
      </c>
      <c r="N28" s="1">
        <f>MIN('Total per Region'!$N$16,N27+M28)</f>
        <v>235.18670759821941</v>
      </c>
      <c r="O28" s="17">
        <f t="shared" si="6"/>
        <v>5</v>
      </c>
      <c r="P28" s="16">
        <f>(2*O28)/$N$13*'Total per Region'!$R$16</f>
        <v>25001.232437761897</v>
      </c>
      <c r="R28" s="19" t="s">
        <v>374</v>
      </c>
      <c r="S28">
        <v>14</v>
      </c>
    </row>
    <row r="29" spans="1:19" x14ac:dyDescent="0.25">
      <c r="A29">
        <v>361</v>
      </c>
      <c r="B29">
        <v>1</v>
      </c>
      <c r="C29" t="s">
        <v>179</v>
      </c>
      <c r="D29" s="2">
        <v>3</v>
      </c>
      <c r="E29" s="1">
        <v>78</v>
      </c>
      <c r="F29" s="1">
        <v>31</v>
      </c>
      <c r="G29" s="1">
        <v>9</v>
      </c>
      <c r="H29" s="1">
        <f t="shared" si="0"/>
        <v>35.5</v>
      </c>
      <c r="I29" s="10">
        <f t="shared" si="1"/>
        <v>0.45512820512820512</v>
      </c>
      <c r="J29" s="10">
        <f t="shared" si="5"/>
        <v>0.45512820512820512</v>
      </c>
      <c r="K29" s="1">
        <f t="shared" si="2"/>
        <v>16.157051282051281</v>
      </c>
      <c r="L29" s="12">
        <f t="shared" si="3"/>
        <v>6.3012499999999996</v>
      </c>
      <c r="M29" s="1">
        <f t="shared" si="4"/>
        <v>10</v>
      </c>
      <c r="N29" s="1">
        <f>MIN('Total per Region'!$N$16,N28+M29)</f>
        <v>245.18670759821941</v>
      </c>
      <c r="O29" s="17">
        <f t="shared" si="6"/>
        <v>5</v>
      </c>
      <c r="P29" s="16">
        <f>(2*O29)/$N$13*'Total per Region'!$R$16</f>
        <v>25001.232437761897</v>
      </c>
      <c r="R29" s="19" t="s">
        <v>373</v>
      </c>
      <c r="S29">
        <v>15</v>
      </c>
    </row>
    <row r="30" spans="1:19" x14ac:dyDescent="0.25">
      <c r="A30">
        <v>2154</v>
      </c>
      <c r="B30">
        <v>1</v>
      </c>
      <c r="C30" t="s">
        <v>146</v>
      </c>
      <c r="D30" s="2">
        <v>3</v>
      </c>
      <c r="E30" s="1">
        <v>69</v>
      </c>
      <c r="F30" s="1">
        <v>29</v>
      </c>
      <c r="G30" s="1">
        <v>4</v>
      </c>
      <c r="H30" s="1">
        <f t="shared" si="0"/>
        <v>31</v>
      </c>
      <c r="I30" s="10">
        <f t="shared" si="1"/>
        <v>0.44927536231884058</v>
      </c>
      <c r="J30" s="10">
        <f t="shared" si="5"/>
        <v>0.44927536231884058</v>
      </c>
      <c r="K30" s="1">
        <f t="shared" si="2"/>
        <v>13.927536231884059</v>
      </c>
      <c r="L30" s="12">
        <f t="shared" si="3"/>
        <v>5.4317391304347833</v>
      </c>
      <c r="M30" s="1">
        <f t="shared" si="4"/>
        <v>10</v>
      </c>
      <c r="N30" s="1">
        <f>MIN('Total per Region'!$N$16,N29+M30)</f>
        <v>255.18670759821941</v>
      </c>
      <c r="O30" s="17">
        <f t="shared" si="6"/>
        <v>5</v>
      </c>
      <c r="P30" s="16">
        <f>(2*O30)/$N$13*'Total per Region'!$R$16</f>
        <v>25001.232437761897</v>
      </c>
      <c r="R30" s="19" t="s">
        <v>369</v>
      </c>
      <c r="S30">
        <v>13</v>
      </c>
    </row>
    <row r="31" spans="1:19" x14ac:dyDescent="0.25">
      <c r="A31">
        <v>695</v>
      </c>
      <c r="B31">
        <v>1</v>
      </c>
      <c r="C31" t="s">
        <v>217</v>
      </c>
      <c r="D31" s="2">
        <v>3</v>
      </c>
      <c r="E31" s="1">
        <v>62</v>
      </c>
      <c r="F31" s="1">
        <v>26</v>
      </c>
      <c r="G31" s="1">
        <v>3</v>
      </c>
      <c r="H31" s="1">
        <f t="shared" si="0"/>
        <v>27.5</v>
      </c>
      <c r="I31" s="10">
        <f t="shared" si="1"/>
        <v>0.44354838709677419</v>
      </c>
      <c r="J31" s="10">
        <f t="shared" si="5"/>
        <v>0.44354838709677419</v>
      </c>
      <c r="K31" s="1">
        <f t="shared" si="2"/>
        <v>12.19758064516129</v>
      </c>
      <c r="L31" s="12">
        <f t="shared" si="3"/>
        <v>4.757056451612903</v>
      </c>
      <c r="M31" s="1">
        <f t="shared" si="4"/>
        <v>10</v>
      </c>
      <c r="N31" s="1">
        <f>MIN('Total per Region'!$N$16,N30+M31)</f>
        <v>261.99198578903997</v>
      </c>
      <c r="O31" s="17">
        <f t="shared" si="6"/>
        <v>3.4026390954102794</v>
      </c>
      <c r="P31" s="16">
        <f>(2*O31)/$N$13*'Total per Region'!$R$16</f>
        <v>17014.034185233653</v>
      </c>
      <c r="R31" s="19" t="s">
        <v>369</v>
      </c>
      <c r="S31">
        <v>13</v>
      </c>
    </row>
    <row r="32" spans="1:19" x14ac:dyDescent="0.25">
      <c r="A32">
        <v>712</v>
      </c>
      <c r="B32">
        <v>1</v>
      </c>
      <c r="C32" t="s">
        <v>163</v>
      </c>
      <c r="D32" s="2">
        <v>3</v>
      </c>
      <c r="E32" s="1">
        <v>32</v>
      </c>
      <c r="F32" s="1">
        <v>13</v>
      </c>
      <c r="G32" s="1">
        <v>2</v>
      </c>
      <c r="H32" s="1">
        <f t="shared" si="0"/>
        <v>14</v>
      </c>
      <c r="I32" s="10">
        <f t="shared" si="1"/>
        <v>0.4375</v>
      </c>
      <c r="J32" s="10">
        <f t="shared" si="5"/>
        <v>0.4375</v>
      </c>
      <c r="K32" s="1">
        <f t="shared" si="2"/>
        <v>6.125</v>
      </c>
      <c r="L32" s="12">
        <f t="shared" si="3"/>
        <v>2.3887499999999999</v>
      </c>
      <c r="M32" s="1">
        <f t="shared" si="4"/>
        <v>10</v>
      </c>
      <c r="N32" s="1">
        <f>MIN('Total per Region'!$N$16,N31+M32)</f>
        <v>261.99198578903997</v>
      </c>
      <c r="O32" s="17">
        <f t="shared" si="6"/>
        <v>0</v>
      </c>
      <c r="P32" s="16">
        <f>(2*O32)/$N$13*'Total per Region'!$R$16</f>
        <v>0</v>
      </c>
      <c r="R32" s="4" t="s">
        <v>369</v>
      </c>
      <c r="S32">
        <v>13</v>
      </c>
    </row>
    <row r="33" spans="1:19" x14ac:dyDescent="0.25">
      <c r="A33">
        <v>318</v>
      </c>
      <c r="B33">
        <v>1</v>
      </c>
      <c r="C33" t="s">
        <v>177</v>
      </c>
      <c r="D33" s="2">
        <v>3</v>
      </c>
      <c r="E33" s="1">
        <v>339</v>
      </c>
      <c r="F33" s="1">
        <v>132</v>
      </c>
      <c r="G33" s="1">
        <v>31</v>
      </c>
      <c r="H33" s="1">
        <f t="shared" si="0"/>
        <v>147.5</v>
      </c>
      <c r="I33" s="10">
        <f t="shared" si="1"/>
        <v>0.43510324483775809</v>
      </c>
      <c r="J33" s="10">
        <f t="shared" si="5"/>
        <v>0.43510324483775809</v>
      </c>
      <c r="K33" s="1">
        <f t="shared" si="2"/>
        <v>64.177728613569315</v>
      </c>
      <c r="L33" s="12">
        <f t="shared" si="3"/>
        <v>25.029314159292035</v>
      </c>
      <c r="M33" s="1">
        <f t="shared" si="4"/>
        <v>25.029314159292035</v>
      </c>
      <c r="N33" s="1">
        <f>MIN('Total per Region'!$N$16,N32+M33)</f>
        <v>261.99198578903997</v>
      </c>
      <c r="O33" s="17">
        <f t="shared" si="6"/>
        <v>0</v>
      </c>
      <c r="P33" s="16">
        <f>(2*O33)/$N$13*'Total per Region'!$R$16</f>
        <v>0</v>
      </c>
      <c r="R33" s="4" t="s">
        <v>371</v>
      </c>
      <c r="S33">
        <v>12</v>
      </c>
    </row>
    <row r="34" spans="1:19" x14ac:dyDescent="0.25">
      <c r="A34">
        <v>94</v>
      </c>
      <c r="B34">
        <v>1</v>
      </c>
      <c r="C34" t="s">
        <v>191</v>
      </c>
      <c r="D34" s="2">
        <v>3</v>
      </c>
      <c r="E34" s="1">
        <v>213</v>
      </c>
      <c r="F34" s="1">
        <v>80</v>
      </c>
      <c r="G34" s="1">
        <v>25</v>
      </c>
      <c r="H34" s="1">
        <f t="shared" si="0"/>
        <v>92.5</v>
      </c>
      <c r="I34" s="10">
        <f t="shared" si="1"/>
        <v>0.43427230046948356</v>
      </c>
      <c r="J34" s="10">
        <f t="shared" si="5"/>
        <v>0.43427230046948356</v>
      </c>
      <c r="K34" s="1">
        <f t="shared" si="2"/>
        <v>40.170187793427232</v>
      </c>
      <c r="L34" s="12">
        <f t="shared" si="3"/>
        <v>15.666373239436622</v>
      </c>
      <c r="M34" s="1">
        <f t="shared" si="4"/>
        <v>15.666373239436622</v>
      </c>
      <c r="N34" s="1">
        <f>MIN('Total per Region'!$N$16,N33+M34)</f>
        <v>261.99198578903997</v>
      </c>
      <c r="O34" s="17">
        <f t="shared" si="6"/>
        <v>0</v>
      </c>
      <c r="P34" s="16">
        <f>(2*O34)/$N$13*'Total per Region'!$R$16</f>
        <v>0</v>
      </c>
      <c r="R34" s="4" t="s">
        <v>374</v>
      </c>
      <c r="S34">
        <v>14</v>
      </c>
    </row>
    <row r="35" spans="1:19" x14ac:dyDescent="0.25">
      <c r="A35">
        <v>2711</v>
      </c>
      <c r="B35">
        <v>1</v>
      </c>
      <c r="C35" t="s">
        <v>211</v>
      </c>
      <c r="D35" s="2">
        <v>3</v>
      </c>
      <c r="E35" s="1">
        <v>86</v>
      </c>
      <c r="F35" s="1">
        <v>33</v>
      </c>
      <c r="G35" s="1">
        <v>5</v>
      </c>
      <c r="H35" s="1">
        <f t="shared" si="0"/>
        <v>35.5</v>
      </c>
      <c r="I35" s="10">
        <f t="shared" si="1"/>
        <v>0.41279069767441862</v>
      </c>
      <c r="J35" s="10">
        <f t="shared" si="5"/>
        <v>0.41279069767441862</v>
      </c>
      <c r="K35" s="1">
        <f t="shared" si="2"/>
        <v>14.654069767441861</v>
      </c>
      <c r="L35" s="12">
        <f t="shared" si="3"/>
        <v>5.7150872093023262</v>
      </c>
      <c r="M35" s="1">
        <f t="shared" si="4"/>
        <v>10</v>
      </c>
      <c r="N35" s="1">
        <f>MIN('Total per Region'!$N$16,N34+M35)</f>
        <v>261.99198578903997</v>
      </c>
      <c r="O35" s="17">
        <f t="shared" si="6"/>
        <v>0</v>
      </c>
      <c r="P35" s="16">
        <f>(2*O35)/$N$13*'Total per Region'!$R$16</f>
        <v>0</v>
      </c>
      <c r="R35" s="4" t="s">
        <v>369</v>
      </c>
      <c r="S35">
        <v>13</v>
      </c>
    </row>
    <row r="36" spans="1:19" x14ac:dyDescent="0.25">
      <c r="A36">
        <v>91</v>
      </c>
      <c r="B36">
        <v>1</v>
      </c>
      <c r="C36" t="s">
        <v>200</v>
      </c>
      <c r="D36" s="2">
        <v>3</v>
      </c>
      <c r="E36" s="1">
        <v>60</v>
      </c>
      <c r="F36" s="1">
        <v>20</v>
      </c>
      <c r="G36" s="1">
        <v>9</v>
      </c>
      <c r="H36" s="1">
        <f t="shared" si="0"/>
        <v>24.5</v>
      </c>
      <c r="I36" s="10">
        <f t="shared" si="1"/>
        <v>0.40833333333333333</v>
      </c>
      <c r="J36" s="10">
        <f t="shared" si="5"/>
        <v>0.40833333333333333</v>
      </c>
      <c r="K36" s="1">
        <f t="shared" si="2"/>
        <v>10.004166666666666</v>
      </c>
      <c r="L36" s="12">
        <f t="shared" si="3"/>
        <v>3.9016250000000001</v>
      </c>
      <c r="M36" s="1">
        <f t="shared" si="4"/>
        <v>10</v>
      </c>
      <c r="N36" s="1">
        <f>MIN('Total per Region'!$N$16,N35+M36)</f>
        <v>261.99198578903997</v>
      </c>
      <c r="O36" s="17">
        <f t="shared" si="6"/>
        <v>0</v>
      </c>
      <c r="P36" s="16">
        <f>(2*O36)/$N$13*'Total per Region'!$R$16</f>
        <v>0</v>
      </c>
      <c r="R36" s="4" t="s">
        <v>374</v>
      </c>
      <c r="S36">
        <v>14</v>
      </c>
    </row>
    <row r="37" spans="1:19" x14ac:dyDescent="0.25">
      <c r="A37">
        <v>2142</v>
      </c>
      <c r="B37">
        <v>1</v>
      </c>
      <c r="C37" t="s">
        <v>192</v>
      </c>
      <c r="D37" s="2">
        <v>3</v>
      </c>
      <c r="E37" s="1">
        <v>156</v>
      </c>
      <c r="F37" s="1">
        <v>55</v>
      </c>
      <c r="G37" s="1">
        <v>14</v>
      </c>
      <c r="H37" s="1">
        <f t="shared" si="0"/>
        <v>62</v>
      </c>
      <c r="I37" s="10">
        <f t="shared" si="1"/>
        <v>0.39743589743589741</v>
      </c>
      <c r="J37" s="10">
        <f t="shared" si="5"/>
        <v>0.39743589743589741</v>
      </c>
      <c r="K37" s="1">
        <f t="shared" si="2"/>
        <v>24.641025641025639</v>
      </c>
      <c r="L37" s="12">
        <f t="shared" si="3"/>
        <v>9.61</v>
      </c>
      <c r="M37" s="1">
        <f t="shared" si="4"/>
        <v>10</v>
      </c>
      <c r="N37" s="1">
        <f>MIN('Total per Region'!$N$16,N36+M37)</f>
        <v>261.99198578903997</v>
      </c>
      <c r="O37" s="17">
        <f t="shared" si="6"/>
        <v>0</v>
      </c>
      <c r="P37" s="16">
        <f>(2*O37)/$N$13*'Total per Region'!$R$16</f>
        <v>0</v>
      </c>
      <c r="R37" s="4" t="s">
        <v>369</v>
      </c>
      <c r="S37">
        <v>13</v>
      </c>
    </row>
    <row r="38" spans="1:19" x14ac:dyDescent="0.25">
      <c r="A38">
        <v>93</v>
      </c>
      <c r="B38">
        <v>1</v>
      </c>
      <c r="C38" t="s">
        <v>252</v>
      </c>
      <c r="D38" s="2">
        <v>3</v>
      </c>
      <c r="E38" s="1">
        <v>37</v>
      </c>
      <c r="F38" s="1">
        <v>12</v>
      </c>
      <c r="G38" s="1">
        <v>5</v>
      </c>
      <c r="H38" s="1">
        <f t="shared" si="0"/>
        <v>14.5</v>
      </c>
      <c r="I38" s="10">
        <f t="shared" si="1"/>
        <v>0.39189189189189189</v>
      </c>
      <c r="J38" s="10">
        <f t="shared" si="5"/>
        <v>0.39189189189189189</v>
      </c>
      <c r="K38" s="1">
        <f t="shared" si="2"/>
        <v>5.6824324324324325</v>
      </c>
      <c r="L38" s="12">
        <f t="shared" si="3"/>
        <v>2.2161486486486486</v>
      </c>
      <c r="M38" s="1">
        <f t="shared" si="4"/>
        <v>10</v>
      </c>
      <c r="N38" s="1">
        <f>MIN('Total per Region'!$N$16,N37+M38)</f>
        <v>261.99198578903997</v>
      </c>
      <c r="O38" s="17">
        <f t="shared" si="6"/>
        <v>0</v>
      </c>
      <c r="P38" s="16">
        <f>(2*O38)/$N$13*'Total per Region'!$R$16</f>
        <v>0</v>
      </c>
      <c r="R38" s="4" t="s">
        <v>374</v>
      </c>
      <c r="S38">
        <v>14</v>
      </c>
    </row>
    <row r="39" spans="1:19" x14ac:dyDescent="0.25">
      <c r="A39">
        <v>381</v>
      </c>
      <c r="B39">
        <v>1</v>
      </c>
      <c r="C39" t="s">
        <v>280</v>
      </c>
      <c r="D39" s="2">
        <v>3</v>
      </c>
      <c r="E39" s="1">
        <v>103</v>
      </c>
      <c r="F39" s="1">
        <v>37</v>
      </c>
      <c r="G39" s="1">
        <v>5</v>
      </c>
      <c r="H39" s="1">
        <f t="shared" si="0"/>
        <v>39.5</v>
      </c>
      <c r="I39" s="10">
        <f t="shared" si="1"/>
        <v>0.38349514563106796</v>
      </c>
      <c r="J39" s="10">
        <f t="shared" si="5"/>
        <v>0.38349514563106796</v>
      </c>
      <c r="K39" s="1">
        <f t="shared" si="2"/>
        <v>15.148058252427184</v>
      </c>
      <c r="L39" s="12">
        <f t="shared" si="3"/>
        <v>5.9077427184466016</v>
      </c>
      <c r="M39" s="1">
        <f t="shared" si="4"/>
        <v>10</v>
      </c>
      <c r="N39" s="1">
        <f>MIN('Total per Region'!$N$16,N38+M39)</f>
        <v>261.99198578903997</v>
      </c>
      <c r="O39" s="17">
        <f t="shared" si="6"/>
        <v>0</v>
      </c>
      <c r="P39" s="16">
        <f>(2*O39)/$N$13*'Total per Region'!$R$16</f>
        <v>0</v>
      </c>
      <c r="R39" s="4" t="s">
        <v>376</v>
      </c>
      <c r="S39">
        <v>15</v>
      </c>
    </row>
    <row r="40" spans="1:19" x14ac:dyDescent="0.25">
      <c r="A40">
        <v>95</v>
      </c>
      <c r="B40">
        <v>1</v>
      </c>
      <c r="C40" t="s">
        <v>203</v>
      </c>
      <c r="D40" s="2">
        <v>3</v>
      </c>
      <c r="E40" s="1">
        <v>25</v>
      </c>
      <c r="F40" s="1">
        <v>9</v>
      </c>
      <c r="G40" s="1">
        <v>1</v>
      </c>
      <c r="H40" s="1">
        <f t="shared" si="0"/>
        <v>9.5</v>
      </c>
      <c r="I40" s="10">
        <f t="shared" si="1"/>
        <v>0.38</v>
      </c>
      <c r="J40" s="10">
        <f t="shared" si="5"/>
        <v>0.38</v>
      </c>
      <c r="K40" s="1">
        <f t="shared" si="2"/>
        <v>3.61</v>
      </c>
      <c r="L40" s="12">
        <f t="shared" si="3"/>
        <v>1.4078999999999999</v>
      </c>
      <c r="M40" s="1">
        <f t="shared" si="4"/>
        <v>10</v>
      </c>
      <c r="N40" s="1">
        <f>MIN('Total per Region'!$N$16,N39+M40)</f>
        <v>261.99198578903997</v>
      </c>
      <c r="O40" s="17">
        <f t="shared" si="6"/>
        <v>0</v>
      </c>
      <c r="P40" s="16">
        <f>(2*O40)/$N$13*'Total per Region'!$R$16</f>
        <v>0</v>
      </c>
      <c r="R40" s="4" t="s">
        <v>374</v>
      </c>
      <c r="S40">
        <v>14</v>
      </c>
    </row>
    <row r="41" spans="1:19" x14ac:dyDescent="0.25">
      <c r="A41">
        <v>166</v>
      </c>
      <c r="B41">
        <v>1</v>
      </c>
      <c r="C41" t="s">
        <v>263</v>
      </c>
      <c r="D41" s="2">
        <v>3</v>
      </c>
      <c r="E41" s="1">
        <v>23</v>
      </c>
      <c r="F41" s="1">
        <v>7</v>
      </c>
      <c r="G41" s="1">
        <v>3</v>
      </c>
      <c r="H41" s="1">
        <f t="shared" si="0"/>
        <v>8.5</v>
      </c>
      <c r="I41" s="10">
        <f t="shared" si="1"/>
        <v>0.36956521739130432</v>
      </c>
      <c r="J41" s="10">
        <f t="shared" si="5"/>
        <v>0.36956521739130432</v>
      </c>
      <c r="K41" s="1">
        <f t="shared" si="2"/>
        <v>3.1413043478260869</v>
      </c>
      <c r="L41" s="12">
        <f t="shared" si="3"/>
        <v>1.225108695652174</v>
      </c>
      <c r="M41" s="1">
        <f t="shared" si="4"/>
        <v>10</v>
      </c>
      <c r="N41" s="1">
        <f>MIN('Total per Region'!$N$16,N40+M41)</f>
        <v>261.99198578903997</v>
      </c>
      <c r="O41" s="17">
        <f t="shared" si="6"/>
        <v>0</v>
      </c>
      <c r="P41" s="16">
        <f>(2*O41)/$N$13*'Total per Region'!$R$16</f>
        <v>0</v>
      </c>
      <c r="R41" s="4" t="s">
        <v>375</v>
      </c>
      <c r="S41">
        <v>15</v>
      </c>
    </row>
    <row r="42" spans="1:19" x14ac:dyDescent="0.25">
      <c r="A42">
        <v>97</v>
      </c>
      <c r="B42">
        <v>1</v>
      </c>
      <c r="C42" t="s">
        <v>236</v>
      </c>
      <c r="D42" s="2">
        <v>3</v>
      </c>
      <c r="E42" s="1">
        <v>43</v>
      </c>
      <c r="F42" s="1">
        <v>11</v>
      </c>
      <c r="G42" s="1">
        <v>6</v>
      </c>
      <c r="H42" s="1">
        <f t="shared" si="0"/>
        <v>14</v>
      </c>
      <c r="I42" s="10">
        <f t="shared" si="1"/>
        <v>0.32558139534883723</v>
      </c>
      <c r="J42" s="10">
        <f t="shared" si="5"/>
        <v>0.32558139534883723</v>
      </c>
      <c r="K42" s="1">
        <f t="shared" si="2"/>
        <v>4.558139534883721</v>
      </c>
      <c r="L42" s="12">
        <f t="shared" si="3"/>
        <v>1.7776744186046514</v>
      </c>
      <c r="M42" s="1">
        <f t="shared" si="4"/>
        <v>10</v>
      </c>
      <c r="N42" s="1">
        <f>MIN('Total per Region'!$N$16,N41+M42)</f>
        <v>261.99198578903997</v>
      </c>
      <c r="O42" s="17">
        <f t="shared" si="6"/>
        <v>0</v>
      </c>
      <c r="P42" s="16">
        <f>(2*O42)/$N$13*'Total per Region'!$R$16</f>
        <v>0</v>
      </c>
      <c r="R42" s="4" t="s">
        <v>374</v>
      </c>
      <c r="S42">
        <v>14</v>
      </c>
    </row>
    <row r="43" spans="1:19" x14ac:dyDescent="0.25">
      <c r="A43">
        <v>362</v>
      </c>
      <c r="B43">
        <v>1</v>
      </c>
      <c r="C43" t="s">
        <v>320</v>
      </c>
      <c r="D43" s="2">
        <v>3</v>
      </c>
      <c r="E43" s="1">
        <v>24</v>
      </c>
      <c r="F43" s="1">
        <v>5</v>
      </c>
      <c r="G43" s="1">
        <v>2</v>
      </c>
      <c r="H43" s="1">
        <f t="shared" si="0"/>
        <v>6</v>
      </c>
      <c r="I43" s="10">
        <f t="shared" si="1"/>
        <v>0.25</v>
      </c>
      <c r="J43" s="10">
        <f t="shared" si="5"/>
        <v>0.25</v>
      </c>
      <c r="K43" s="1">
        <f t="shared" si="2"/>
        <v>1.5</v>
      </c>
      <c r="L43" s="12">
        <f t="shared" si="3"/>
        <v>0.58499999999999996</v>
      </c>
      <c r="M43" s="1">
        <f t="shared" si="4"/>
        <v>10</v>
      </c>
      <c r="N43" s="1">
        <f>MIN('Total per Region'!$N$16,N42+M43)</f>
        <v>261.99198578903997</v>
      </c>
      <c r="O43" s="17">
        <f t="shared" si="6"/>
        <v>0</v>
      </c>
      <c r="P43" s="16">
        <f>(2*O43)/$N$13*'Total per Region'!$R$16</f>
        <v>0</v>
      </c>
      <c r="R43" s="4" t="s">
        <v>373</v>
      </c>
      <c r="S43">
        <v>15</v>
      </c>
    </row>
    <row r="44" spans="1:19" x14ac:dyDescent="0.25">
      <c r="A44">
        <v>700</v>
      </c>
      <c r="B44">
        <v>1</v>
      </c>
      <c r="C44" t="s">
        <v>317</v>
      </c>
      <c r="D44" s="2">
        <v>3</v>
      </c>
      <c r="E44" s="1">
        <v>125</v>
      </c>
      <c r="F44" s="1">
        <v>28</v>
      </c>
      <c r="G44" s="1">
        <v>5</v>
      </c>
      <c r="H44" s="1">
        <f t="shared" si="0"/>
        <v>30.5</v>
      </c>
      <c r="I44" s="10">
        <f t="shared" si="1"/>
        <v>0.24399999999999999</v>
      </c>
      <c r="J44" s="10">
        <f t="shared" si="5"/>
        <v>0.24399999999999999</v>
      </c>
      <c r="K44" s="1">
        <f t="shared" si="2"/>
        <v>7.4420000000000002</v>
      </c>
      <c r="L44" s="12">
        <f t="shared" si="3"/>
        <v>2.90238</v>
      </c>
      <c r="M44" s="1">
        <f t="shared" si="4"/>
        <v>10</v>
      </c>
      <c r="N44" s="1">
        <f>MIN('Total per Region'!$N$16,N43+M44)</f>
        <v>261.99198578903997</v>
      </c>
      <c r="O44" s="17">
        <f t="shared" si="6"/>
        <v>0</v>
      </c>
      <c r="P44" s="16">
        <f>(2*O44)/$N$13*'Total per Region'!$R$16</f>
        <v>0</v>
      </c>
      <c r="R44" s="4" t="s">
        <v>369</v>
      </c>
      <c r="S44">
        <v>13</v>
      </c>
    </row>
    <row r="45" spans="1:19" x14ac:dyDescent="0.25">
      <c r="A45">
        <v>696</v>
      </c>
      <c r="B45">
        <v>1</v>
      </c>
      <c r="C45" t="s">
        <v>333</v>
      </c>
      <c r="D45" s="2">
        <v>3</v>
      </c>
      <c r="E45" s="1">
        <v>55</v>
      </c>
      <c r="F45" s="1">
        <v>11</v>
      </c>
      <c r="G45" s="1">
        <v>2</v>
      </c>
      <c r="H45" s="1">
        <f t="shared" si="0"/>
        <v>12</v>
      </c>
      <c r="I45" s="10">
        <f t="shared" si="1"/>
        <v>0.21818181818181817</v>
      </c>
      <c r="J45" s="10">
        <f t="shared" si="5"/>
        <v>0.21818181818181817</v>
      </c>
      <c r="K45" s="1">
        <f t="shared" si="2"/>
        <v>2.6181818181818182</v>
      </c>
      <c r="L45" s="12">
        <f t="shared" si="3"/>
        <v>1.021090909090909</v>
      </c>
      <c r="M45" s="1">
        <f t="shared" si="4"/>
        <v>10</v>
      </c>
      <c r="N45" s="1">
        <f>MIN('Total per Region'!$N$16,N44+M45)</f>
        <v>261.99198578903997</v>
      </c>
      <c r="O45" s="17">
        <f t="shared" si="6"/>
        <v>0</v>
      </c>
      <c r="P45" s="16">
        <f>(2*O45)/$N$13*'Total per Region'!$R$16</f>
        <v>0</v>
      </c>
      <c r="R45" s="4" t="s">
        <v>369</v>
      </c>
      <c r="S45">
        <v>13</v>
      </c>
    </row>
    <row r="46" spans="1:19" x14ac:dyDescent="0.25">
      <c r="A46">
        <v>99</v>
      </c>
      <c r="B46">
        <v>1</v>
      </c>
      <c r="C46" t="s">
        <v>346</v>
      </c>
      <c r="D46" s="2">
        <v>3</v>
      </c>
      <c r="E46" s="1">
        <v>85</v>
      </c>
      <c r="F46" s="1">
        <v>7</v>
      </c>
      <c r="G46" s="1">
        <v>2</v>
      </c>
      <c r="H46" s="1">
        <f t="shared" si="0"/>
        <v>8</v>
      </c>
      <c r="I46" s="10">
        <f t="shared" si="1"/>
        <v>9.4117647058823528E-2</v>
      </c>
      <c r="J46" s="10">
        <f t="shared" si="5"/>
        <v>9.4117647058823528E-2</v>
      </c>
      <c r="K46" s="1">
        <f t="shared" si="2"/>
        <v>0.75294117647058822</v>
      </c>
      <c r="L46" s="12">
        <f t="shared" si="3"/>
        <v>0.29364705882352943</v>
      </c>
      <c r="M46" s="1">
        <f t="shared" si="4"/>
        <v>10</v>
      </c>
      <c r="N46" s="1">
        <f>MIN('Total per Region'!$N$16,N45+M46)</f>
        <v>261.99198578903997</v>
      </c>
      <c r="O46" s="17">
        <f t="shared" si="6"/>
        <v>0</v>
      </c>
      <c r="P46" s="16">
        <f>(2*O46)/$N$13*'Total per Region'!$R$16</f>
        <v>0</v>
      </c>
      <c r="R46" s="4" t="s">
        <v>374</v>
      </c>
      <c r="S46">
        <v>14</v>
      </c>
    </row>
    <row r="47" spans="1:19" x14ac:dyDescent="0.25">
      <c r="H47" s="1"/>
      <c r="I47" s="10"/>
      <c r="J47" s="10"/>
      <c r="K47" s="1"/>
      <c r="L47" s="1"/>
      <c r="O47" s="14">
        <f>SUM(O15:O46)</f>
        <v>130.99599289451999</v>
      </c>
      <c r="P47" s="18">
        <f>SUM(P15:P46)</f>
        <v>655012.25335425988</v>
      </c>
    </row>
    <row r="48" spans="1:19" x14ac:dyDescent="0.25">
      <c r="H48" s="1"/>
      <c r="I48" s="10"/>
      <c r="J48" s="10"/>
      <c r="K48" s="1"/>
      <c r="L48" s="1"/>
      <c r="P48" s="16"/>
    </row>
    <row r="49" spans="8:16" x14ac:dyDescent="0.25">
      <c r="H49" s="1"/>
      <c r="I49" s="10"/>
      <c r="J49" s="10"/>
      <c r="K49" s="1"/>
      <c r="L49" s="1"/>
      <c r="P49" s="16"/>
    </row>
    <row r="50" spans="8:16" x14ac:dyDescent="0.25">
      <c r="H50" s="1"/>
      <c r="I50" s="10"/>
      <c r="J50" s="10"/>
      <c r="K50" s="1"/>
      <c r="L50" s="1"/>
      <c r="P50" s="16"/>
    </row>
    <row r="51" spans="8:16" x14ac:dyDescent="0.25">
      <c r="H51" s="1"/>
      <c r="I51" s="10"/>
      <c r="J51" s="10"/>
      <c r="K51" s="1"/>
      <c r="L51" s="1"/>
      <c r="P51" s="16"/>
    </row>
    <row r="52" spans="8:16" x14ac:dyDescent="0.25">
      <c r="H52" s="1"/>
      <c r="I52" s="10"/>
      <c r="J52" s="10"/>
      <c r="K52" s="1"/>
      <c r="L52" s="1"/>
      <c r="P52" s="16"/>
    </row>
    <row r="53" spans="8:16" x14ac:dyDescent="0.25">
      <c r="H53" s="1"/>
      <c r="I53" s="10"/>
      <c r="J53" s="10"/>
      <c r="K53" s="1"/>
      <c r="L53" s="1"/>
      <c r="P53" s="16"/>
    </row>
    <row r="54" spans="8:16" x14ac:dyDescent="0.25">
      <c r="H54" s="1"/>
      <c r="I54" s="10"/>
      <c r="J54" s="10"/>
      <c r="K54" s="1"/>
      <c r="L54" s="1"/>
      <c r="P54" s="16"/>
    </row>
    <row r="55" spans="8:16" x14ac:dyDescent="0.25">
      <c r="H55" s="1"/>
      <c r="I55" s="10"/>
      <c r="J55" s="10"/>
      <c r="K55" s="1"/>
      <c r="L55" s="1"/>
      <c r="P55" s="16"/>
    </row>
    <row r="56" spans="8:16" x14ac:dyDescent="0.25">
      <c r="H56" s="1"/>
      <c r="I56" s="10"/>
      <c r="J56" s="10"/>
      <c r="K56" s="1"/>
      <c r="L56" s="1"/>
      <c r="P56" s="16"/>
    </row>
    <row r="57" spans="8:16" x14ac:dyDescent="0.25">
      <c r="H57" s="1"/>
      <c r="I57" s="10"/>
      <c r="J57" s="10"/>
      <c r="K57" s="1"/>
      <c r="L57" s="1"/>
      <c r="P57" s="22"/>
    </row>
    <row r="58" spans="8:16" x14ac:dyDescent="0.25">
      <c r="H58" s="1"/>
      <c r="I58" s="10"/>
      <c r="J58" s="10"/>
      <c r="K58" s="1"/>
      <c r="L58" s="1"/>
      <c r="P58" s="16"/>
    </row>
    <row r="59" spans="8:16" x14ac:dyDescent="0.25">
      <c r="H59" s="1"/>
      <c r="I59" s="10"/>
      <c r="J59" s="10"/>
      <c r="K59" s="1"/>
      <c r="L59" s="1"/>
      <c r="P59" s="16"/>
    </row>
    <row r="60" spans="8:16" x14ac:dyDescent="0.25">
      <c r="H60" s="1"/>
      <c r="I60" s="10"/>
      <c r="J60" s="10"/>
      <c r="K60" s="1"/>
      <c r="L60" s="1"/>
      <c r="P60" s="16"/>
    </row>
    <row r="61" spans="8:16" x14ac:dyDescent="0.25">
      <c r="H61" s="1"/>
      <c r="I61" s="10"/>
      <c r="J61" s="10"/>
      <c r="K61" s="1"/>
      <c r="L61" s="1"/>
      <c r="P61" s="16"/>
    </row>
    <row r="62" spans="8:16" x14ac:dyDescent="0.25">
      <c r="H62" s="1"/>
      <c r="I62" s="10"/>
      <c r="J62" s="10"/>
      <c r="K62" s="1"/>
      <c r="L62" s="1"/>
      <c r="P62" s="16"/>
    </row>
    <row r="63" spans="8:16" x14ac:dyDescent="0.25">
      <c r="P63" s="18"/>
    </row>
    <row r="64" spans="8:16" x14ac:dyDescent="0.25">
      <c r="P64" s="18"/>
    </row>
  </sheetData>
  <sortState ref="A15:AA46">
    <sortCondition descending="1" ref="Q15:Q46"/>
    <sortCondition descending="1" ref="J15:J46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4"/>
  <sheetViews>
    <sheetView workbookViewId="0">
      <selection activeCell="E26" sqref="E26"/>
    </sheetView>
  </sheetViews>
  <sheetFormatPr defaultRowHeight="15" x14ac:dyDescent="0.25"/>
  <cols>
    <col min="3" max="3" width="38.7109375" bestFit="1" customWidth="1"/>
    <col min="5" max="8" width="10.85546875" bestFit="1" customWidth="1"/>
    <col min="9" max="9" width="13.7109375" bestFit="1" customWidth="1"/>
    <col min="10" max="10" width="10.28515625" bestFit="1" customWidth="1"/>
    <col min="11" max="11" width="10.85546875" bestFit="1" customWidth="1"/>
    <col min="12" max="12" width="14" bestFit="1" customWidth="1"/>
    <col min="13" max="13" width="11.42578125" bestFit="1" customWidth="1"/>
    <col min="14" max="14" width="12" bestFit="1" customWidth="1"/>
    <col min="15" max="15" width="14.5703125" bestFit="1" customWidth="1"/>
    <col min="16" max="16" width="16.28515625" bestFit="1" customWidth="1"/>
    <col min="17" max="17" width="20.140625" bestFit="1" customWidth="1"/>
    <col min="18" max="18" width="12.42578125" customWidth="1"/>
    <col min="19" max="19" width="6.85546875" bestFit="1" customWidth="1"/>
  </cols>
  <sheetData>
    <row r="1" spans="1:19" x14ac:dyDescent="0.25">
      <c r="A1" t="s">
        <v>460</v>
      </c>
      <c r="M1" s="2"/>
    </row>
    <row r="2" spans="1:19" x14ac:dyDescent="0.25">
      <c r="M2" s="2"/>
    </row>
    <row r="3" spans="1:19" x14ac:dyDescent="0.25">
      <c r="A3" t="s">
        <v>509</v>
      </c>
      <c r="C3" t="s">
        <v>508</v>
      </c>
      <c r="D3">
        <v>0.39</v>
      </c>
      <c r="M3" s="2"/>
    </row>
    <row r="4" spans="1:19" x14ac:dyDescent="0.25">
      <c r="M4" s="2"/>
    </row>
    <row r="5" spans="1:19" x14ac:dyDescent="0.25">
      <c r="E5" s="2" t="s">
        <v>445</v>
      </c>
      <c r="F5" s="2" t="s">
        <v>446</v>
      </c>
      <c r="G5" s="2" t="s">
        <v>447</v>
      </c>
      <c r="H5" s="2" t="s">
        <v>448</v>
      </c>
      <c r="I5" s="2" t="s">
        <v>449</v>
      </c>
      <c r="J5" s="2" t="s">
        <v>451</v>
      </c>
      <c r="K5" s="2" t="s">
        <v>452</v>
      </c>
      <c r="L5" s="2" t="s">
        <v>453</v>
      </c>
      <c r="M5" s="2" t="s">
        <v>454</v>
      </c>
      <c r="N5" s="2" t="s">
        <v>455</v>
      </c>
      <c r="O5" s="2" t="s">
        <v>457</v>
      </c>
      <c r="P5" s="2" t="s">
        <v>464</v>
      </c>
      <c r="Q5" s="2" t="s">
        <v>465</v>
      </c>
      <c r="R5" s="2" t="s">
        <v>466</v>
      </c>
      <c r="S5" s="2" t="s">
        <v>0</v>
      </c>
    </row>
    <row r="6" spans="1:19" x14ac:dyDescent="0.25">
      <c r="K6" s="2" t="s">
        <v>476</v>
      </c>
      <c r="O6" s="2" t="s">
        <v>512</v>
      </c>
    </row>
    <row r="7" spans="1:19" x14ac:dyDescent="0.25">
      <c r="H7" s="2" t="s">
        <v>476</v>
      </c>
      <c r="J7" s="2" t="s">
        <v>486</v>
      </c>
      <c r="K7" s="2" t="s">
        <v>489</v>
      </c>
      <c r="M7" s="2" t="s">
        <v>492</v>
      </c>
      <c r="N7" s="2" t="s">
        <v>458</v>
      </c>
      <c r="O7" s="2" t="s">
        <v>459</v>
      </c>
      <c r="P7" s="2" t="s">
        <v>463</v>
      </c>
    </row>
    <row r="8" spans="1:19" x14ac:dyDescent="0.25">
      <c r="E8" s="2"/>
      <c r="F8" s="2"/>
      <c r="G8" s="2"/>
      <c r="H8" s="2" t="s">
        <v>477</v>
      </c>
      <c r="I8" s="2"/>
      <c r="J8" s="2" t="s">
        <v>484</v>
      </c>
      <c r="K8" s="2" t="s">
        <v>490</v>
      </c>
      <c r="L8" s="2"/>
      <c r="M8" s="2" t="s">
        <v>493</v>
      </c>
      <c r="N8" s="2" t="s">
        <v>450</v>
      </c>
      <c r="O8" s="2" t="s">
        <v>463</v>
      </c>
      <c r="P8" s="2" t="s">
        <v>504</v>
      </c>
      <c r="Q8" s="2" t="s">
        <v>500</v>
      </c>
      <c r="R8" s="2"/>
    </row>
    <row r="9" spans="1:19" x14ac:dyDescent="0.25">
      <c r="E9" s="2" t="s">
        <v>476</v>
      </c>
      <c r="F9" s="2" t="s">
        <v>476</v>
      </c>
      <c r="G9" s="2" t="s">
        <v>476</v>
      </c>
      <c r="H9" s="2" t="s">
        <v>481</v>
      </c>
      <c r="I9" s="2" t="s">
        <v>484</v>
      </c>
      <c r="J9" s="2" t="s">
        <v>487</v>
      </c>
      <c r="K9" s="2" t="s">
        <v>482</v>
      </c>
      <c r="L9" s="2" t="s">
        <v>467</v>
      </c>
      <c r="M9" s="2" t="s">
        <v>494</v>
      </c>
      <c r="N9" s="2" t="s">
        <v>498</v>
      </c>
      <c r="O9" s="2" t="s">
        <v>450</v>
      </c>
      <c r="P9" s="8" t="s">
        <v>505</v>
      </c>
      <c r="Q9" s="2" t="s">
        <v>503</v>
      </c>
    </row>
    <row r="10" spans="1:19" x14ac:dyDescent="0.25">
      <c r="E10" s="2" t="s">
        <v>477</v>
      </c>
      <c r="F10" s="2" t="s">
        <v>477</v>
      </c>
      <c r="G10" s="2" t="s">
        <v>477</v>
      </c>
      <c r="H10" s="2" t="s">
        <v>482</v>
      </c>
      <c r="I10" s="2" t="s">
        <v>485</v>
      </c>
      <c r="J10" s="11" t="s">
        <v>488</v>
      </c>
      <c r="K10" s="2" t="s">
        <v>487</v>
      </c>
      <c r="L10" s="2" t="s">
        <v>510</v>
      </c>
      <c r="M10" s="11" t="s">
        <v>495</v>
      </c>
      <c r="N10" s="8">
        <f>ROUND(N13,0)</f>
        <v>149</v>
      </c>
      <c r="O10" s="2" t="s">
        <v>513</v>
      </c>
      <c r="P10" s="2" t="s">
        <v>506</v>
      </c>
      <c r="Q10" s="2" t="s">
        <v>501</v>
      </c>
      <c r="R10" s="2"/>
      <c r="S10" s="2" t="s">
        <v>471</v>
      </c>
    </row>
    <row r="11" spans="1:19" x14ac:dyDescent="0.25">
      <c r="A11" t="s">
        <v>349</v>
      </c>
      <c r="B11" t="s">
        <v>350</v>
      </c>
      <c r="C11" t="s">
        <v>351</v>
      </c>
      <c r="D11" t="s">
        <v>352</v>
      </c>
      <c r="E11" s="2" t="s">
        <v>478</v>
      </c>
      <c r="F11" s="2" t="s">
        <v>479</v>
      </c>
      <c r="G11" s="2" t="s">
        <v>480</v>
      </c>
      <c r="H11" s="11" t="s">
        <v>483</v>
      </c>
      <c r="I11" s="11" t="s">
        <v>470</v>
      </c>
      <c r="J11" s="11" t="s">
        <v>473</v>
      </c>
      <c r="K11" s="11" t="s">
        <v>491</v>
      </c>
      <c r="L11" s="11" t="s">
        <v>511</v>
      </c>
      <c r="M11" s="11" t="s">
        <v>496</v>
      </c>
      <c r="N11" s="2" t="s">
        <v>499</v>
      </c>
      <c r="O11" s="2" t="s">
        <v>497</v>
      </c>
      <c r="P11" s="2" t="s">
        <v>507</v>
      </c>
      <c r="Q11" s="2" t="s">
        <v>502</v>
      </c>
      <c r="R11" s="2" t="s">
        <v>356</v>
      </c>
      <c r="S11" s="2" t="s">
        <v>472</v>
      </c>
    </row>
    <row r="12" spans="1:19" x14ac:dyDescent="0.25">
      <c r="M12" s="2"/>
      <c r="P12" s="1"/>
    </row>
    <row r="13" spans="1:19" x14ac:dyDescent="0.25">
      <c r="N13" s="14">
        <f>'Total per Region'!N17</f>
        <v>148.84089995457779</v>
      </c>
      <c r="P13" s="14"/>
    </row>
    <row r="14" spans="1:19" x14ac:dyDescent="0.25">
      <c r="K14" s="1">
        <f>SUM(K15:K62)</f>
        <v>396.07592870668049</v>
      </c>
    </row>
    <row r="15" spans="1:19" x14ac:dyDescent="0.25">
      <c r="A15">
        <v>25</v>
      </c>
      <c r="B15">
        <v>1</v>
      </c>
      <c r="C15" t="s">
        <v>52</v>
      </c>
      <c r="D15" s="2" t="s">
        <v>53</v>
      </c>
      <c r="E15" s="1">
        <v>10</v>
      </c>
      <c r="F15" s="1">
        <v>10</v>
      </c>
      <c r="G15" s="1">
        <v>0</v>
      </c>
      <c r="H15" s="1">
        <f t="shared" ref="H15:H48" si="0">F15+0.5*G15</f>
        <v>10</v>
      </c>
      <c r="I15" s="10">
        <f t="shared" ref="I15:I48" si="1">H15/E15</f>
        <v>1</v>
      </c>
      <c r="J15" s="10">
        <f>MIN(I15,0.8)</f>
        <v>0.8</v>
      </c>
      <c r="K15" s="1">
        <f t="shared" ref="K15:K48" si="2">J15*H15</f>
        <v>8</v>
      </c>
      <c r="L15" s="12">
        <f t="shared" ref="L15:L48" si="3">(0.39)*K15</f>
        <v>3.12</v>
      </c>
      <c r="M15" s="1">
        <f t="shared" ref="M15:M48" si="4">MAX(L15,10)</f>
        <v>10</v>
      </c>
      <c r="N15" s="1">
        <f>M15</f>
        <v>10</v>
      </c>
      <c r="O15" s="17">
        <f>(N15-N14)/2</f>
        <v>5</v>
      </c>
      <c r="P15" s="16">
        <f>(2*O15)/$N$13*'Total per Region'!$R$17</f>
        <v>25001.23243776189</v>
      </c>
      <c r="Q15" t="s">
        <v>456</v>
      </c>
      <c r="R15" s="19" t="s">
        <v>377</v>
      </c>
      <c r="S15">
        <v>12</v>
      </c>
    </row>
    <row r="16" spans="1:19" x14ac:dyDescent="0.25">
      <c r="A16">
        <v>801</v>
      </c>
      <c r="B16">
        <v>1</v>
      </c>
      <c r="C16" t="s">
        <v>59</v>
      </c>
      <c r="D16" s="2" t="s">
        <v>53</v>
      </c>
      <c r="E16" s="1">
        <v>15</v>
      </c>
      <c r="F16" s="1">
        <v>11</v>
      </c>
      <c r="G16" s="1">
        <v>2</v>
      </c>
      <c r="H16" s="1">
        <f t="shared" si="0"/>
        <v>12</v>
      </c>
      <c r="I16" s="10">
        <f t="shared" si="1"/>
        <v>0.8</v>
      </c>
      <c r="J16" s="10">
        <f t="shared" ref="J16:J48" si="5">MIN(I16,0.8)</f>
        <v>0.8</v>
      </c>
      <c r="K16" s="1">
        <f t="shared" si="2"/>
        <v>9.6000000000000014</v>
      </c>
      <c r="L16" s="12">
        <f t="shared" si="3"/>
        <v>3.7440000000000007</v>
      </c>
      <c r="M16" s="1">
        <f t="shared" si="4"/>
        <v>10</v>
      </c>
      <c r="N16" s="1">
        <f>MIN('Total per Region'!$N$17,N15+M16)</f>
        <v>20</v>
      </c>
      <c r="O16" s="17">
        <f t="shared" ref="O16:O48" si="6">(N16-N15)/2</f>
        <v>5</v>
      </c>
      <c r="P16" s="16">
        <f>(2*O16)/$N$13*'Total per Region'!$R$17</f>
        <v>25001.23243776189</v>
      </c>
      <c r="R16" s="19" t="s">
        <v>378</v>
      </c>
      <c r="S16">
        <v>15</v>
      </c>
    </row>
    <row r="17" spans="1:19" x14ac:dyDescent="0.25">
      <c r="A17">
        <v>771</v>
      </c>
      <c r="B17">
        <v>1</v>
      </c>
      <c r="C17" t="s">
        <v>101</v>
      </c>
      <c r="D17" s="2" t="s">
        <v>53</v>
      </c>
      <c r="E17" s="1">
        <v>12</v>
      </c>
      <c r="F17" s="1">
        <v>7</v>
      </c>
      <c r="G17" s="1">
        <v>1</v>
      </c>
      <c r="H17" s="1">
        <f t="shared" si="0"/>
        <v>7.5</v>
      </c>
      <c r="I17" s="10">
        <f t="shared" si="1"/>
        <v>0.625</v>
      </c>
      <c r="J17" s="10">
        <f t="shared" si="5"/>
        <v>0.625</v>
      </c>
      <c r="K17" s="1">
        <f t="shared" si="2"/>
        <v>4.6875</v>
      </c>
      <c r="L17" s="12">
        <f t="shared" si="3"/>
        <v>1.828125</v>
      </c>
      <c r="M17" s="1">
        <f t="shared" si="4"/>
        <v>10</v>
      </c>
      <c r="N17" s="1">
        <f>MIN('Total per Region'!$N$17,N16+M17)</f>
        <v>30</v>
      </c>
      <c r="O17" s="17">
        <f t="shared" si="6"/>
        <v>5</v>
      </c>
      <c r="P17" s="16">
        <f>(2*O17)/$N$13*'Total per Region'!$R$17</f>
        <v>25001.23243776189</v>
      </c>
      <c r="R17" s="19" t="s">
        <v>380</v>
      </c>
      <c r="S17">
        <v>15</v>
      </c>
    </row>
    <row r="18" spans="1:19" x14ac:dyDescent="0.25">
      <c r="A18">
        <v>548</v>
      </c>
      <c r="B18">
        <v>1</v>
      </c>
      <c r="C18" t="s">
        <v>86</v>
      </c>
      <c r="D18" s="2" t="s">
        <v>53</v>
      </c>
      <c r="E18" s="1">
        <v>72</v>
      </c>
      <c r="F18" s="1">
        <v>39</v>
      </c>
      <c r="G18" s="1">
        <v>10</v>
      </c>
      <c r="H18" s="1">
        <f t="shared" si="0"/>
        <v>44</v>
      </c>
      <c r="I18" s="10">
        <f t="shared" si="1"/>
        <v>0.61111111111111116</v>
      </c>
      <c r="J18" s="10">
        <f t="shared" si="5"/>
        <v>0.61111111111111116</v>
      </c>
      <c r="K18" s="1">
        <f t="shared" si="2"/>
        <v>26.888888888888893</v>
      </c>
      <c r="L18" s="12">
        <f t="shared" si="3"/>
        <v>10.486666666666668</v>
      </c>
      <c r="M18" s="1">
        <f t="shared" si="4"/>
        <v>10.486666666666668</v>
      </c>
      <c r="N18" s="1">
        <f>MIN('Total per Region'!$N$17,N17+M18)</f>
        <v>40.486666666666665</v>
      </c>
      <c r="O18" s="17">
        <f t="shared" si="6"/>
        <v>5.2433333333333323</v>
      </c>
      <c r="P18" s="16">
        <f>(2*O18)/$N$13*'Total per Region'!$R$17</f>
        <v>26217.959083066296</v>
      </c>
      <c r="R18" s="19" t="s">
        <v>379</v>
      </c>
      <c r="S18">
        <v>14</v>
      </c>
    </row>
    <row r="19" spans="1:19" x14ac:dyDescent="0.25">
      <c r="A19">
        <v>550</v>
      </c>
      <c r="B19">
        <v>1</v>
      </c>
      <c r="C19" t="s">
        <v>106</v>
      </c>
      <c r="D19" s="2" t="s">
        <v>53</v>
      </c>
      <c r="E19" s="1">
        <v>39</v>
      </c>
      <c r="F19" s="1">
        <v>20</v>
      </c>
      <c r="G19" s="1">
        <v>4</v>
      </c>
      <c r="H19" s="1">
        <f t="shared" si="0"/>
        <v>22</v>
      </c>
      <c r="I19" s="10">
        <f t="shared" si="1"/>
        <v>0.5641025641025641</v>
      </c>
      <c r="J19" s="10">
        <f t="shared" si="5"/>
        <v>0.5641025641025641</v>
      </c>
      <c r="K19" s="1">
        <f t="shared" si="2"/>
        <v>12.410256410256411</v>
      </c>
      <c r="L19" s="12">
        <f t="shared" si="3"/>
        <v>4.84</v>
      </c>
      <c r="M19" s="1">
        <f t="shared" si="4"/>
        <v>10</v>
      </c>
      <c r="N19" s="1">
        <f>MIN('Total per Region'!$N$17,N18+M19)</f>
        <v>50.486666666666665</v>
      </c>
      <c r="O19" s="17">
        <f t="shared" si="6"/>
        <v>5</v>
      </c>
      <c r="P19" s="16">
        <f>(2*O19)/$N$13*'Total per Region'!$R$17</f>
        <v>25001.23243776189</v>
      </c>
      <c r="R19" s="19" t="s">
        <v>379</v>
      </c>
      <c r="S19">
        <v>14</v>
      </c>
    </row>
    <row r="20" spans="1:19" x14ac:dyDescent="0.25">
      <c r="A20">
        <v>549</v>
      </c>
      <c r="B20">
        <v>1</v>
      </c>
      <c r="C20" t="s">
        <v>142</v>
      </c>
      <c r="D20" s="2" t="s">
        <v>53</v>
      </c>
      <c r="E20" s="1">
        <v>88</v>
      </c>
      <c r="F20" s="1">
        <v>38</v>
      </c>
      <c r="G20" s="1">
        <v>10</v>
      </c>
      <c r="H20" s="1">
        <f t="shared" si="0"/>
        <v>43</v>
      </c>
      <c r="I20" s="10">
        <f t="shared" si="1"/>
        <v>0.48863636363636365</v>
      </c>
      <c r="J20" s="10">
        <f t="shared" si="5"/>
        <v>0.48863636363636365</v>
      </c>
      <c r="K20" s="1">
        <f t="shared" si="2"/>
        <v>21.011363636363637</v>
      </c>
      <c r="L20" s="12">
        <f t="shared" si="3"/>
        <v>8.194431818181819</v>
      </c>
      <c r="M20" s="1">
        <f t="shared" si="4"/>
        <v>10</v>
      </c>
      <c r="N20" s="1">
        <f>MIN('Total per Region'!$N$17,N19+M20)</f>
        <v>60.486666666666665</v>
      </c>
      <c r="O20" s="17">
        <f t="shared" si="6"/>
        <v>5</v>
      </c>
      <c r="P20" s="16">
        <f>(2*O20)/$N$13*'Total per Region'!$R$17</f>
        <v>25001.23243776189</v>
      </c>
      <c r="R20" s="19" t="s">
        <v>379</v>
      </c>
      <c r="S20">
        <v>14</v>
      </c>
    </row>
    <row r="21" spans="1:19" x14ac:dyDescent="0.25">
      <c r="A21">
        <v>22</v>
      </c>
      <c r="B21">
        <v>1</v>
      </c>
      <c r="C21" t="s">
        <v>132</v>
      </c>
      <c r="D21" s="2" t="s">
        <v>53</v>
      </c>
      <c r="E21" s="1">
        <v>225</v>
      </c>
      <c r="F21" s="1">
        <v>95</v>
      </c>
      <c r="G21" s="1">
        <v>27</v>
      </c>
      <c r="H21" s="1">
        <f t="shared" si="0"/>
        <v>108.5</v>
      </c>
      <c r="I21" s="10">
        <f t="shared" si="1"/>
        <v>0.48222222222222222</v>
      </c>
      <c r="J21" s="10">
        <f t="shared" si="5"/>
        <v>0.48222222222222222</v>
      </c>
      <c r="K21" s="1">
        <f t="shared" si="2"/>
        <v>52.321111111111108</v>
      </c>
      <c r="L21" s="12">
        <f t="shared" si="3"/>
        <v>20.405233333333332</v>
      </c>
      <c r="M21" s="1">
        <f t="shared" si="4"/>
        <v>20.405233333333332</v>
      </c>
      <c r="N21" s="1">
        <f>MIN('Total per Region'!$N$17,N20+M21)</f>
        <v>80.891899999999993</v>
      </c>
      <c r="O21" s="17">
        <f t="shared" si="6"/>
        <v>10.202616666666664</v>
      </c>
      <c r="P21" s="16">
        <f>(2*O21)/$N$13*'Total per Region'!$R$17</f>
        <v>51015.598151343336</v>
      </c>
      <c r="R21" s="19" t="s">
        <v>377</v>
      </c>
      <c r="S21">
        <v>12</v>
      </c>
    </row>
    <row r="22" spans="1:19" x14ac:dyDescent="0.25">
      <c r="A22">
        <v>2889</v>
      </c>
      <c r="B22">
        <v>1</v>
      </c>
      <c r="C22" t="s">
        <v>155</v>
      </c>
      <c r="D22" s="2" t="s">
        <v>53</v>
      </c>
      <c r="E22" s="1">
        <v>61</v>
      </c>
      <c r="F22" s="1">
        <v>25</v>
      </c>
      <c r="G22" s="1">
        <v>7</v>
      </c>
      <c r="H22" s="1">
        <f t="shared" si="0"/>
        <v>28.5</v>
      </c>
      <c r="I22" s="10">
        <f t="shared" si="1"/>
        <v>0.46721311475409838</v>
      </c>
      <c r="J22" s="10">
        <f t="shared" si="5"/>
        <v>0.46721311475409838</v>
      </c>
      <c r="K22" s="1">
        <f t="shared" si="2"/>
        <v>13.315573770491804</v>
      </c>
      <c r="L22" s="12">
        <f t="shared" si="3"/>
        <v>5.1930737704918037</v>
      </c>
      <c r="M22" s="1">
        <f t="shared" si="4"/>
        <v>10</v>
      </c>
      <c r="N22" s="1">
        <f>MIN('Total per Region'!$N$17,N21+M22)</f>
        <v>90.891899999999993</v>
      </c>
      <c r="O22" s="17">
        <f t="shared" si="6"/>
        <v>5</v>
      </c>
      <c r="P22" s="16">
        <f>(2*O22)/$N$13*'Total per Region'!$R$17</f>
        <v>25001.23243776189</v>
      </c>
      <c r="R22" s="19" t="s">
        <v>377</v>
      </c>
      <c r="S22">
        <v>12</v>
      </c>
    </row>
    <row r="23" spans="1:19" x14ac:dyDescent="0.25">
      <c r="A23">
        <v>553</v>
      </c>
      <c r="B23">
        <v>1</v>
      </c>
      <c r="C23" t="s">
        <v>150</v>
      </c>
      <c r="D23" s="2" t="s">
        <v>53</v>
      </c>
      <c r="E23" s="1">
        <v>71</v>
      </c>
      <c r="F23" s="1">
        <v>26</v>
      </c>
      <c r="G23" s="1">
        <v>13</v>
      </c>
      <c r="H23" s="1">
        <f t="shared" si="0"/>
        <v>32.5</v>
      </c>
      <c r="I23" s="10">
        <f t="shared" si="1"/>
        <v>0.45774647887323944</v>
      </c>
      <c r="J23" s="10">
        <f t="shared" si="5"/>
        <v>0.45774647887323944</v>
      </c>
      <c r="K23" s="1">
        <f t="shared" si="2"/>
        <v>14.876760563380282</v>
      </c>
      <c r="L23" s="12">
        <f t="shared" si="3"/>
        <v>5.80193661971831</v>
      </c>
      <c r="M23" s="1">
        <f t="shared" si="4"/>
        <v>10</v>
      </c>
      <c r="N23" s="1">
        <f>MIN('Total per Region'!$N$17,N22+M23)</f>
        <v>100.89189999999999</v>
      </c>
      <c r="O23" s="17">
        <f t="shared" si="6"/>
        <v>5</v>
      </c>
      <c r="P23" s="16">
        <f>(2*O23)/$N$13*'Total per Region'!$R$17</f>
        <v>25001.23243776189</v>
      </c>
      <c r="R23" s="19" t="s">
        <v>379</v>
      </c>
      <c r="S23">
        <v>14</v>
      </c>
    </row>
    <row r="24" spans="1:19" x14ac:dyDescent="0.25">
      <c r="A24">
        <v>914</v>
      </c>
      <c r="B24">
        <v>1</v>
      </c>
      <c r="C24" t="s">
        <v>195</v>
      </c>
      <c r="D24" s="2" t="s">
        <v>53</v>
      </c>
      <c r="E24" s="1">
        <v>22</v>
      </c>
      <c r="F24" s="1">
        <v>9</v>
      </c>
      <c r="G24" s="1">
        <v>2</v>
      </c>
      <c r="H24" s="1">
        <f t="shared" si="0"/>
        <v>10</v>
      </c>
      <c r="I24" s="10">
        <f t="shared" si="1"/>
        <v>0.45454545454545453</v>
      </c>
      <c r="J24" s="10">
        <f t="shared" si="5"/>
        <v>0.45454545454545453</v>
      </c>
      <c r="K24" s="1">
        <f t="shared" si="2"/>
        <v>4.545454545454545</v>
      </c>
      <c r="L24" s="12">
        <f t="shared" si="3"/>
        <v>1.7727272727272727</v>
      </c>
      <c r="M24" s="1">
        <f t="shared" si="4"/>
        <v>10</v>
      </c>
      <c r="N24" s="1">
        <f>MIN('Total per Region'!$N$17,N23+M24)</f>
        <v>110.89189999999999</v>
      </c>
      <c r="O24" s="17">
        <f t="shared" si="6"/>
        <v>5</v>
      </c>
      <c r="P24" s="16">
        <f>(2*O24)/$N$13*'Total per Region'!$R$17</f>
        <v>25001.23243776189</v>
      </c>
      <c r="R24" s="19" t="s">
        <v>379</v>
      </c>
      <c r="S24">
        <v>14</v>
      </c>
    </row>
    <row r="25" spans="1:19" x14ac:dyDescent="0.25">
      <c r="A25">
        <v>23</v>
      </c>
      <c r="B25">
        <v>1</v>
      </c>
      <c r="C25" t="s">
        <v>151</v>
      </c>
      <c r="D25" s="2" t="s">
        <v>53</v>
      </c>
      <c r="E25" s="1">
        <v>72</v>
      </c>
      <c r="F25" s="1">
        <v>26</v>
      </c>
      <c r="G25" s="1">
        <v>11</v>
      </c>
      <c r="H25" s="1">
        <f t="shared" si="0"/>
        <v>31.5</v>
      </c>
      <c r="I25" s="10">
        <f t="shared" si="1"/>
        <v>0.4375</v>
      </c>
      <c r="J25" s="10">
        <f t="shared" si="5"/>
        <v>0.4375</v>
      </c>
      <c r="K25" s="1">
        <f t="shared" si="2"/>
        <v>13.78125</v>
      </c>
      <c r="L25" s="12">
        <f t="shared" si="3"/>
        <v>5.3746875000000003</v>
      </c>
      <c r="M25" s="1">
        <f t="shared" si="4"/>
        <v>10</v>
      </c>
      <c r="N25" s="1">
        <f>MIN('Total per Region'!$N$17,N24+M25)</f>
        <v>120.89189999999999</v>
      </c>
      <c r="O25" s="17">
        <f t="shared" si="6"/>
        <v>5</v>
      </c>
      <c r="P25" s="16">
        <f>(2*O25)/$N$13*'Total per Region'!$R$17</f>
        <v>25001.23243776189</v>
      </c>
      <c r="R25" s="19" t="s">
        <v>377</v>
      </c>
      <c r="S25">
        <v>12</v>
      </c>
    </row>
    <row r="26" spans="1:19" x14ac:dyDescent="0.25">
      <c r="A26">
        <v>846</v>
      </c>
      <c r="B26">
        <v>1</v>
      </c>
      <c r="C26" t="s">
        <v>183</v>
      </c>
      <c r="D26" s="2" t="s">
        <v>53</v>
      </c>
      <c r="E26" s="1">
        <v>45</v>
      </c>
      <c r="F26" s="1">
        <v>17</v>
      </c>
      <c r="G26" s="1">
        <v>5</v>
      </c>
      <c r="H26" s="1">
        <f t="shared" si="0"/>
        <v>19.5</v>
      </c>
      <c r="I26" s="10">
        <f t="shared" si="1"/>
        <v>0.43333333333333335</v>
      </c>
      <c r="J26" s="10">
        <f t="shared" si="5"/>
        <v>0.43333333333333335</v>
      </c>
      <c r="K26" s="1">
        <f t="shared" si="2"/>
        <v>8.4500000000000011</v>
      </c>
      <c r="L26" s="12">
        <f t="shared" si="3"/>
        <v>3.2955000000000005</v>
      </c>
      <c r="M26" s="1">
        <f t="shared" si="4"/>
        <v>10</v>
      </c>
      <c r="N26" s="1">
        <f>MIN('Total per Region'!$N$17,N25+M26)</f>
        <v>130.89189999999999</v>
      </c>
      <c r="O26" s="17">
        <f t="shared" si="6"/>
        <v>5</v>
      </c>
      <c r="P26" s="16">
        <f>(2*O26)/$N$13*'Total per Region'!$R$17</f>
        <v>25001.23243776189</v>
      </c>
      <c r="R26" s="19" t="s">
        <v>384</v>
      </c>
      <c r="S26">
        <v>15</v>
      </c>
    </row>
    <row r="27" spans="1:19" x14ac:dyDescent="0.25">
      <c r="A27">
        <v>850</v>
      </c>
      <c r="B27">
        <v>1</v>
      </c>
      <c r="C27" t="s">
        <v>209</v>
      </c>
      <c r="D27" s="2" t="s">
        <v>53</v>
      </c>
      <c r="E27" s="1">
        <v>28</v>
      </c>
      <c r="F27" s="1">
        <v>11</v>
      </c>
      <c r="G27" s="1">
        <v>2</v>
      </c>
      <c r="H27" s="1">
        <f t="shared" si="0"/>
        <v>12</v>
      </c>
      <c r="I27" s="10">
        <f t="shared" si="1"/>
        <v>0.42857142857142855</v>
      </c>
      <c r="J27" s="10">
        <f t="shared" si="5"/>
        <v>0.42857142857142855</v>
      </c>
      <c r="K27" s="1">
        <f t="shared" si="2"/>
        <v>5.1428571428571423</v>
      </c>
      <c r="L27" s="12">
        <f t="shared" si="3"/>
        <v>2.0057142857142858</v>
      </c>
      <c r="M27" s="1">
        <f t="shared" si="4"/>
        <v>10</v>
      </c>
      <c r="N27" s="1">
        <f>MIN('Total per Region'!$N$17,N26+M27)</f>
        <v>140.89189999999999</v>
      </c>
      <c r="O27" s="17">
        <f t="shared" si="6"/>
        <v>5</v>
      </c>
      <c r="P27" s="16">
        <f>(2*O27)/$N$13*'Total per Region'!$R$17</f>
        <v>25001.23243776189</v>
      </c>
      <c r="R27" s="19" t="s">
        <v>384</v>
      </c>
      <c r="S27">
        <v>15</v>
      </c>
    </row>
    <row r="28" spans="1:19" x14ac:dyDescent="0.25">
      <c r="A28">
        <v>545</v>
      </c>
      <c r="B28">
        <v>1</v>
      </c>
      <c r="C28" t="s">
        <v>148</v>
      </c>
      <c r="D28" s="2" t="s">
        <v>53</v>
      </c>
      <c r="E28" s="1">
        <v>20</v>
      </c>
      <c r="F28" s="1">
        <v>7</v>
      </c>
      <c r="G28" s="1">
        <v>3</v>
      </c>
      <c r="H28" s="1">
        <f t="shared" si="0"/>
        <v>8.5</v>
      </c>
      <c r="I28" s="10">
        <f t="shared" si="1"/>
        <v>0.42499999999999999</v>
      </c>
      <c r="J28" s="10">
        <f t="shared" si="5"/>
        <v>0.42499999999999999</v>
      </c>
      <c r="K28" s="1">
        <f t="shared" si="2"/>
        <v>3.6124999999999998</v>
      </c>
      <c r="L28" s="12">
        <f t="shared" si="3"/>
        <v>1.4088749999999999</v>
      </c>
      <c r="M28" s="1">
        <f t="shared" si="4"/>
        <v>10</v>
      </c>
      <c r="N28" s="1">
        <f>MIN('Total per Region'!$N$17,N27+M28)</f>
        <v>148.84089995457779</v>
      </c>
      <c r="O28" s="17">
        <f t="shared" si="6"/>
        <v>3.9744999772889003</v>
      </c>
      <c r="P28" s="16">
        <f>(2*O28)/$N$13*'Total per Region'!$R$17</f>
        <v>19873.479551215831</v>
      </c>
      <c r="R28" s="19" t="s">
        <v>381</v>
      </c>
      <c r="S28">
        <v>14</v>
      </c>
    </row>
    <row r="29" spans="1:19" x14ac:dyDescent="0.25">
      <c r="A29">
        <v>544</v>
      </c>
      <c r="B29">
        <v>1</v>
      </c>
      <c r="C29" t="s">
        <v>197</v>
      </c>
      <c r="D29" s="2" t="s">
        <v>53</v>
      </c>
      <c r="E29" s="1">
        <v>193</v>
      </c>
      <c r="F29" s="1">
        <v>70</v>
      </c>
      <c r="G29" s="1">
        <v>22</v>
      </c>
      <c r="H29" s="1">
        <f t="shared" si="0"/>
        <v>81</v>
      </c>
      <c r="I29" s="10">
        <f t="shared" si="1"/>
        <v>0.41968911917098445</v>
      </c>
      <c r="J29" s="10">
        <f t="shared" si="5"/>
        <v>0.41968911917098445</v>
      </c>
      <c r="K29" s="1">
        <f t="shared" si="2"/>
        <v>33.994818652849737</v>
      </c>
      <c r="L29" s="12">
        <f t="shared" si="3"/>
        <v>13.257979274611397</v>
      </c>
      <c r="M29" s="1">
        <f t="shared" si="4"/>
        <v>13.257979274611397</v>
      </c>
      <c r="N29" s="1">
        <f>MIN('Total per Region'!$N$17,N28+M29)</f>
        <v>148.84089995457779</v>
      </c>
      <c r="O29" s="17">
        <f t="shared" si="6"/>
        <v>0</v>
      </c>
      <c r="P29" s="16">
        <f>(2*O29)/$N$13*'Total per Region'!$R$17</f>
        <v>0</v>
      </c>
      <c r="R29" s="19" t="s">
        <v>379</v>
      </c>
      <c r="S29">
        <v>14</v>
      </c>
    </row>
    <row r="30" spans="1:19" x14ac:dyDescent="0.25">
      <c r="A30">
        <v>542</v>
      </c>
      <c r="B30">
        <v>1</v>
      </c>
      <c r="C30" t="s">
        <v>194</v>
      </c>
      <c r="D30" s="2" t="s">
        <v>53</v>
      </c>
      <c r="E30" s="1">
        <v>21</v>
      </c>
      <c r="F30" s="1">
        <v>8</v>
      </c>
      <c r="G30" s="1">
        <v>1</v>
      </c>
      <c r="H30" s="1">
        <f t="shared" si="0"/>
        <v>8.5</v>
      </c>
      <c r="I30" s="10">
        <f t="shared" si="1"/>
        <v>0.40476190476190477</v>
      </c>
      <c r="J30" s="10">
        <f t="shared" si="5"/>
        <v>0.40476190476190477</v>
      </c>
      <c r="K30" s="1">
        <f t="shared" si="2"/>
        <v>3.4404761904761907</v>
      </c>
      <c r="L30" s="12">
        <f t="shared" si="3"/>
        <v>1.3417857142857144</v>
      </c>
      <c r="M30" s="1">
        <f t="shared" si="4"/>
        <v>10</v>
      </c>
      <c r="N30" s="1">
        <f>MIN('Total per Region'!$N$17,N29+M30)</f>
        <v>148.84089995457779</v>
      </c>
      <c r="O30" s="17">
        <f t="shared" si="6"/>
        <v>0</v>
      </c>
      <c r="P30" s="16">
        <f>(2*O30)/$N$13*'Total per Region'!$R$17</f>
        <v>0</v>
      </c>
      <c r="R30" s="19" t="s">
        <v>379</v>
      </c>
      <c r="S30">
        <v>14</v>
      </c>
    </row>
    <row r="31" spans="1:19" x14ac:dyDescent="0.25">
      <c r="A31">
        <v>852</v>
      </c>
      <c r="B31">
        <v>1</v>
      </c>
      <c r="C31" t="s">
        <v>213</v>
      </c>
      <c r="D31" s="2" t="s">
        <v>53</v>
      </c>
      <c r="E31" s="1">
        <v>9</v>
      </c>
      <c r="F31" s="1">
        <v>3</v>
      </c>
      <c r="G31" s="1">
        <v>1</v>
      </c>
      <c r="H31" s="1">
        <f t="shared" si="0"/>
        <v>3.5</v>
      </c>
      <c r="I31" s="10">
        <f t="shared" si="1"/>
        <v>0.3888888888888889</v>
      </c>
      <c r="J31" s="10">
        <f t="shared" si="5"/>
        <v>0.3888888888888889</v>
      </c>
      <c r="K31" s="1">
        <f t="shared" si="2"/>
        <v>1.3611111111111112</v>
      </c>
      <c r="L31" s="12">
        <f t="shared" si="3"/>
        <v>0.53083333333333338</v>
      </c>
      <c r="M31" s="1">
        <f t="shared" si="4"/>
        <v>10</v>
      </c>
      <c r="N31" s="1">
        <f>MIN('Total per Region'!$N$17,N30+M31)</f>
        <v>148.84089995457779</v>
      </c>
      <c r="O31" s="17">
        <f t="shared" si="6"/>
        <v>0</v>
      </c>
      <c r="P31" s="16">
        <f>(2*O31)/$N$13*'Total per Region'!$R$17</f>
        <v>0</v>
      </c>
      <c r="R31" s="4" t="s">
        <v>385</v>
      </c>
      <c r="S31">
        <v>15</v>
      </c>
    </row>
    <row r="32" spans="1:19" x14ac:dyDescent="0.25">
      <c r="A32">
        <v>264</v>
      </c>
      <c r="B32">
        <v>1</v>
      </c>
      <c r="C32" t="s">
        <v>245</v>
      </c>
      <c r="D32" s="2" t="s">
        <v>53</v>
      </c>
      <c r="E32" s="1">
        <v>9</v>
      </c>
      <c r="F32" s="1">
        <v>3</v>
      </c>
      <c r="G32" s="1">
        <v>1</v>
      </c>
      <c r="H32" s="1">
        <f t="shared" si="0"/>
        <v>3.5</v>
      </c>
      <c r="I32" s="10">
        <f t="shared" si="1"/>
        <v>0.3888888888888889</v>
      </c>
      <c r="J32" s="10">
        <f t="shared" si="5"/>
        <v>0.3888888888888889</v>
      </c>
      <c r="K32" s="1">
        <f t="shared" si="2"/>
        <v>1.3611111111111112</v>
      </c>
      <c r="L32" s="12">
        <f t="shared" si="3"/>
        <v>0.53083333333333338</v>
      </c>
      <c r="M32" s="1">
        <f t="shared" si="4"/>
        <v>10</v>
      </c>
      <c r="N32" s="1">
        <f>MIN('Total per Region'!$N$17,N31+M32)</f>
        <v>148.84089995457779</v>
      </c>
      <c r="O32" s="17">
        <f t="shared" si="6"/>
        <v>0</v>
      </c>
      <c r="P32" s="16">
        <f>(2*O32)/$N$13*'Total per Region'!$R$17</f>
        <v>0</v>
      </c>
      <c r="R32" s="4" t="s">
        <v>384</v>
      </c>
      <c r="S32">
        <v>15</v>
      </c>
    </row>
    <row r="33" spans="1:19" x14ac:dyDescent="0.25">
      <c r="A33">
        <v>611</v>
      </c>
      <c r="B33">
        <v>1</v>
      </c>
      <c r="C33" t="s">
        <v>254</v>
      </c>
      <c r="D33" s="2" t="s">
        <v>53</v>
      </c>
      <c r="E33" s="1">
        <v>4</v>
      </c>
      <c r="F33" s="1">
        <v>1</v>
      </c>
      <c r="G33" s="1">
        <v>1</v>
      </c>
      <c r="H33" s="1">
        <f t="shared" si="0"/>
        <v>1.5</v>
      </c>
      <c r="I33" s="10">
        <f t="shared" si="1"/>
        <v>0.375</v>
      </c>
      <c r="J33" s="10">
        <f t="shared" si="5"/>
        <v>0.375</v>
      </c>
      <c r="K33" s="1">
        <f t="shared" si="2"/>
        <v>0.5625</v>
      </c>
      <c r="L33" s="12">
        <f t="shared" si="3"/>
        <v>0.21937500000000001</v>
      </c>
      <c r="M33" s="1">
        <f t="shared" si="4"/>
        <v>10</v>
      </c>
      <c r="N33" s="1">
        <f>MIN('Total per Region'!$N$17,N32+M33)</f>
        <v>148.84089995457779</v>
      </c>
      <c r="O33" s="17">
        <f t="shared" si="6"/>
        <v>0</v>
      </c>
      <c r="P33" s="16">
        <f>(2*O33)/$N$13*'Total per Region'!$R$17</f>
        <v>0</v>
      </c>
      <c r="R33" s="4" t="s">
        <v>382</v>
      </c>
      <c r="S33">
        <v>15</v>
      </c>
    </row>
    <row r="34" spans="1:19" x14ac:dyDescent="0.25">
      <c r="A34">
        <v>769</v>
      </c>
      <c r="B34">
        <v>1</v>
      </c>
      <c r="C34" t="s">
        <v>231</v>
      </c>
      <c r="D34" s="2" t="s">
        <v>53</v>
      </c>
      <c r="E34" s="1">
        <v>76</v>
      </c>
      <c r="F34" s="1">
        <v>23</v>
      </c>
      <c r="G34" s="1">
        <v>10</v>
      </c>
      <c r="H34" s="1">
        <f t="shared" si="0"/>
        <v>28</v>
      </c>
      <c r="I34" s="10">
        <f t="shared" si="1"/>
        <v>0.36842105263157893</v>
      </c>
      <c r="J34" s="10">
        <f t="shared" si="5"/>
        <v>0.36842105263157893</v>
      </c>
      <c r="K34" s="1">
        <f t="shared" si="2"/>
        <v>10.315789473684211</v>
      </c>
      <c r="L34" s="12">
        <f t="shared" si="3"/>
        <v>4.0231578947368423</v>
      </c>
      <c r="M34" s="1">
        <f t="shared" si="4"/>
        <v>10</v>
      </c>
      <c r="N34" s="1">
        <f>MIN('Total per Region'!$N$17,N33+M34)</f>
        <v>148.84089995457779</v>
      </c>
      <c r="O34" s="17">
        <f t="shared" si="6"/>
        <v>0</v>
      </c>
      <c r="P34" s="16">
        <f>(2*O34)/$N$13*'Total per Region'!$R$17</f>
        <v>0</v>
      </c>
      <c r="R34" s="4" t="s">
        <v>380</v>
      </c>
      <c r="S34">
        <v>15</v>
      </c>
    </row>
    <row r="35" spans="1:19" x14ac:dyDescent="0.25">
      <c r="A35">
        <v>152</v>
      </c>
      <c r="B35">
        <v>1</v>
      </c>
      <c r="C35" t="s">
        <v>269</v>
      </c>
      <c r="D35" s="2" t="s">
        <v>53</v>
      </c>
      <c r="E35" s="1">
        <v>483</v>
      </c>
      <c r="F35" s="1">
        <v>156</v>
      </c>
      <c r="G35" s="1">
        <v>43</v>
      </c>
      <c r="H35" s="1">
        <f t="shared" si="0"/>
        <v>177.5</v>
      </c>
      <c r="I35" s="10">
        <f t="shared" si="1"/>
        <v>0.36749482401656314</v>
      </c>
      <c r="J35" s="10">
        <f t="shared" si="5"/>
        <v>0.36749482401656314</v>
      </c>
      <c r="K35" s="1">
        <f t="shared" si="2"/>
        <v>65.230331262939956</v>
      </c>
      <c r="L35" s="12">
        <f t="shared" si="3"/>
        <v>25.439829192546583</v>
      </c>
      <c r="M35" s="1">
        <f t="shared" si="4"/>
        <v>25.439829192546583</v>
      </c>
      <c r="N35" s="1">
        <f>MIN('Total per Region'!$N$17,N34+M35)</f>
        <v>148.84089995457779</v>
      </c>
      <c r="O35" s="17">
        <f t="shared" si="6"/>
        <v>0</v>
      </c>
      <c r="P35" s="16">
        <f>(2*O35)/$N$13*'Total per Region'!$R$17</f>
        <v>0</v>
      </c>
      <c r="R35" s="4" t="s">
        <v>382</v>
      </c>
      <c r="S35">
        <v>15</v>
      </c>
    </row>
    <row r="36" spans="1:19" x14ac:dyDescent="0.25">
      <c r="A36">
        <v>261</v>
      </c>
      <c r="B36">
        <v>1</v>
      </c>
      <c r="C36" t="s">
        <v>242</v>
      </c>
      <c r="D36" s="2" t="s">
        <v>53</v>
      </c>
      <c r="E36" s="1">
        <v>17</v>
      </c>
      <c r="F36" s="1">
        <v>5</v>
      </c>
      <c r="G36" s="1">
        <v>2</v>
      </c>
      <c r="H36" s="1">
        <f t="shared" si="0"/>
        <v>6</v>
      </c>
      <c r="I36" s="10">
        <f t="shared" si="1"/>
        <v>0.35294117647058826</v>
      </c>
      <c r="J36" s="10">
        <f t="shared" si="5"/>
        <v>0.35294117647058826</v>
      </c>
      <c r="K36" s="1">
        <f t="shared" si="2"/>
        <v>2.1176470588235294</v>
      </c>
      <c r="L36" s="12">
        <f t="shared" si="3"/>
        <v>0.82588235294117651</v>
      </c>
      <c r="M36" s="1">
        <f t="shared" si="4"/>
        <v>10</v>
      </c>
      <c r="N36" s="1">
        <f>MIN('Total per Region'!$N$17,N35+M36)</f>
        <v>148.84089995457779</v>
      </c>
      <c r="O36" s="17">
        <f t="shared" si="6"/>
        <v>0</v>
      </c>
      <c r="P36" s="16">
        <f>(2*O36)/$N$13*'Total per Region'!$R$17</f>
        <v>0</v>
      </c>
      <c r="R36" s="4" t="s">
        <v>385</v>
      </c>
      <c r="S36">
        <v>15</v>
      </c>
    </row>
    <row r="37" spans="1:19" x14ac:dyDescent="0.25">
      <c r="A37">
        <v>2342</v>
      </c>
      <c r="B37">
        <v>1</v>
      </c>
      <c r="C37" t="s">
        <v>237</v>
      </c>
      <c r="D37" s="2" t="s">
        <v>53</v>
      </c>
      <c r="E37" s="1">
        <v>51</v>
      </c>
      <c r="F37" s="1">
        <v>13</v>
      </c>
      <c r="G37" s="1">
        <v>9</v>
      </c>
      <c r="H37" s="1">
        <f t="shared" si="0"/>
        <v>17.5</v>
      </c>
      <c r="I37" s="10">
        <f t="shared" si="1"/>
        <v>0.34313725490196079</v>
      </c>
      <c r="J37" s="10">
        <f t="shared" si="5"/>
        <v>0.34313725490196079</v>
      </c>
      <c r="K37" s="1">
        <f t="shared" si="2"/>
        <v>6.0049019607843137</v>
      </c>
      <c r="L37" s="12">
        <f t="shared" si="3"/>
        <v>2.3419117647058822</v>
      </c>
      <c r="M37" s="1">
        <f t="shared" si="4"/>
        <v>10</v>
      </c>
      <c r="N37" s="1">
        <f>MIN('Total per Region'!$N$17,N36+M37)</f>
        <v>148.84089995457779</v>
      </c>
      <c r="O37" s="17">
        <f t="shared" si="6"/>
        <v>0</v>
      </c>
      <c r="P37" s="16">
        <f>(2*O37)/$N$13*'Total per Region'!$R$17</f>
        <v>0</v>
      </c>
      <c r="R37" s="4" t="s">
        <v>385</v>
      </c>
      <c r="S37">
        <v>15</v>
      </c>
    </row>
    <row r="38" spans="1:19" x14ac:dyDescent="0.25">
      <c r="A38">
        <v>208</v>
      </c>
      <c r="B38">
        <v>1</v>
      </c>
      <c r="C38" t="s">
        <v>270</v>
      </c>
      <c r="D38" s="2" t="s">
        <v>53</v>
      </c>
      <c r="E38" s="1">
        <v>12</v>
      </c>
      <c r="F38" s="1">
        <v>2</v>
      </c>
      <c r="G38" s="1">
        <v>4</v>
      </c>
      <c r="H38" s="1">
        <f t="shared" si="0"/>
        <v>4</v>
      </c>
      <c r="I38" s="10">
        <f t="shared" si="1"/>
        <v>0.33333333333333331</v>
      </c>
      <c r="J38" s="10">
        <f t="shared" si="5"/>
        <v>0.33333333333333331</v>
      </c>
      <c r="K38" s="1">
        <f t="shared" si="2"/>
        <v>1.3333333333333333</v>
      </c>
      <c r="L38" s="12">
        <f t="shared" si="3"/>
        <v>0.52</v>
      </c>
      <c r="M38" s="1">
        <f t="shared" si="4"/>
        <v>10</v>
      </c>
      <c r="N38" s="1">
        <f>MIN('Total per Region'!$N$17,N37+M38)</f>
        <v>148.84089995457779</v>
      </c>
      <c r="O38" s="17">
        <f t="shared" si="6"/>
        <v>0</v>
      </c>
      <c r="P38" s="16">
        <f>(2*O38)/$N$13*'Total per Region'!$R$17</f>
        <v>0</v>
      </c>
      <c r="R38" s="4" t="s">
        <v>383</v>
      </c>
      <c r="S38">
        <v>15</v>
      </c>
    </row>
    <row r="39" spans="1:19" x14ac:dyDescent="0.25">
      <c r="A39">
        <v>206</v>
      </c>
      <c r="B39">
        <v>1</v>
      </c>
      <c r="C39" t="s">
        <v>239</v>
      </c>
      <c r="D39" s="2" t="s">
        <v>53</v>
      </c>
      <c r="E39" s="1">
        <v>311</v>
      </c>
      <c r="F39" s="1">
        <v>83</v>
      </c>
      <c r="G39" s="1">
        <v>35</v>
      </c>
      <c r="H39" s="1">
        <f t="shared" si="0"/>
        <v>100.5</v>
      </c>
      <c r="I39" s="10">
        <f t="shared" si="1"/>
        <v>0.32315112540192925</v>
      </c>
      <c r="J39" s="10">
        <f t="shared" si="5"/>
        <v>0.32315112540192925</v>
      </c>
      <c r="K39" s="1">
        <f t="shared" si="2"/>
        <v>32.476688102893888</v>
      </c>
      <c r="L39" s="12">
        <f t="shared" si="3"/>
        <v>12.665908360128617</v>
      </c>
      <c r="M39" s="1">
        <f t="shared" si="4"/>
        <v>12.665908360128617</v>
      </c>
      <c r="N39" s="1">
        <f>MIN('Total per Region'!$N$17,N38+M39)</f>
        <v>148.84089995457779</v>
      </c>
      <c r="O39" s="17">
        <f t="shared" si="6"/>
        <v>0</v>
      </c>
      <c r="P39" s="16">
        <f>(2*O39)/$N$13*'Total per Region'!$R$17</f>
        <v>0</v>
      </c>
      <c r="R39" s="4" t="s">
        <v>381</v>
      </c>
      <c r="S39">
        <v>14</v>
      </c>
    </row>
    <row r="40" spans="1:19" x14ac:dyDescent="0.25">
      <c r="A40">
        <v>213</v>
      </c>
      <c r="B40">
        <v>1</v>
      </c>
      <c r="C40" t="s">
        <v>279</v>
      </c>
      <c r="D40" s="2" t="s">
        <v>53</v>
      </c>
      <c r="E40" s="1">
        <v>67</v>
      </c>
      <c r="F40" s="1">
        <v>17</v>
      </c>
      <c r="G40" s="1">
        <v>7</v>
      </c>
      <c r="H40" s="1">
        <f t="shared" si="0"/>
        <v>20.5</v>
      </c>
      <c r="I40" s="10">
        <f t="shared" si="1"/>
        <v>0.30597014925373134</v>
      </c>
      <c r="J40" s="10">
        <f t="shared" si="5"/>
        <v>0.30597014925373134</v>
      </c>
      <c r="K40" s="1">
        <f t="shared" si="2"/>
        <v>6.272388059701492</v>
      </c>
      <c r="L40" s="12">
        <f t="shared" si="3"/>
        <v>2.446231343283582</v>
      </c>
      <c r="M40" s="1">
        <f t="shared" si="4"/>
        <v>10</v>
      </c>
      <c r="N40" s="1">
        <f>MIN('Total per Region'!$N$17,N39+M40)</f>
        <v>148.84089995457779</v>
      </c>
      <c r="O40" s="17">
        <f t="shared" si="6"/>
        <v>0</v>
      </c>
      <c r="P40" s="16">
        <f>(2*O40)/$N$13*'Total per Region'!$R$17</f>
        <v>0</v>
      </c>
      <c r="R40" s="4" t="s">
        <v>381</v>
      </c>
      <c r="S40">
        <v>14</v>
      </c>
    </row>
    <row r="41" spans="1:19" x14ac:dyDescent="0.25">
      <c r="A41">
        <v>2149</v>
      </c>
      <c r="B41">
        <v>1</v>
      </c>
      <c r="C41" t="s">
        <v>285</v>
      </c>
      <c r="D41" s="2" t="s">
        <v>53</v>
      </c>
      <c r="E41" s="1">
        <v>82</v>
      </c>
      <c r="F41" s="1">
        <v>21</v>
      </c>
      <c r="G41" s="1">
        <v>8</v>
      </c>
      <c r="H41" s="1">
        <f t="shared" si="0"/>
        <v>25</v>
      </c>
      <c r="I41" s="10">
        <f t="shared" si="1"/>
        <v>0.3048780487804878</v>
      </c>
      <c r="J41" s="10">
        <f t="shared" si="5"/>
        <v>0.3048780487804878</v>
      </c>
      <c r="K41" s="1">
        <f t="shared" si="2"/>
        <v>7.6219512195121952</v>
      </c>
      <c r="L41" s="12">
        <f t="shared" si="3"/>
        <v>2.9725609756097562</v>
      </c>
      <c r="M41" s="1">
        <f t="shared" si="4"/>
        <v>10</v>
      </c>
      <c r="N41" s="1">
        <f>MIN('Total per Region'!$N$17,N40+M41)</f>
        <v>148.84089995457779</v>
      </c>
      <c r="O41" s="17">
        <f t="shared" si="6"/>
        <v>0</v>
      </c>
      <c r="P41" s="16">
        <f>(2*O41)/$N$13*'Total per Region'!$R$17</f>
        <v>0</v>
      </c>
      <c r="R41" s="4" t="s">
        <v>383</v>
      </c>
      <c r="S41">
        <v>15</v>
      </c>
    </row>
    <row r="42" spans="1:19" x14ac:dyDescent="0.25">
      <c r="A42">
        <v>803</v>
      </c>
      <c r="B42">
        <v>1</v>
      </c>
      <c r="C42" t="s">
        <v>319</v>
      </c>
      <c r="D42" s="2" t="s">
        <v>53</v>
      </c>
      <c r="E42" s="1">
        <v>27</v>
      </c>
      <c r="F42" s="1">
        <v>7</v>
      </c>
      <c r="G42" s="1">
        <v>2</v>
      </c>
      <c r="H42" s="1">
        <f t="shared" si="0"/>
        <v>8</v>
      </c>
      <c r="I42" s="10">
        <f t="shared" si="1"/>
        <v>0.29629629629629628</v>
      </c>
      <c r="J42" s="10">
        <f t="shared" si="5"/>
        <v>0.29629629629629628</v>
      </c>
      <c r="K42" s="1">
        <f t="shared" si="2"/>
        <v>2.3703703703703702</v>
      </c>
      <c r="L42" s="12">
        <f t="shared" si="3"/>
        <v>0.9244444444444444</v>
      </c>
      <c r="M42" s="1">
        <f t="shared" si="4"/>
        <v>10</v>
      </c>
      <c r="N42" s="1">
        <f>MIN('Total per Region'!$N$17,N41+M42)</f>
        <v>148.84089995457779</v>
      </c>
      <c r="O42" s="17">
        <f t="shared" si="6"/>
        <v>0</v>
      </c>
      <c r="P42" s="16">
        <f>(2*O42)/$N$13*'Total per Region'!$R$17</f>
        <v>0</v>
      </c>
      <c r="R42" s="4" t="s">
        <v>378</v>
      </c>
      <c r="S42">
        <v>15</v>
      </c>
    </row>
    <row r="43" spans="1:19" x14ac:dyDescent="0.25">
      <c r="A43">
        <v>207</v>
      </c>
      <c r="B43">
        <v>1</v>
      </c>
      <c r="C43" t="s">
        <v>275</v>
      </c>
      <c r="D43" s="2" t="s">
        <v>53</v>
      </c>
      <c r="E43" s="1">
        <v>24</v>
      </c>
      <c r="F43" s="1">
        <v>5</v>
      </c>
      <c r="G43" s="1">
        <v>4</v>
      </c>
      <c r="H43" s="1">
        <f t="shared" si="0"/>
        <v>7</v>
      </c>
      <c r="I43" s="10">
        <f t="shared" si="1"/>
        <v>0.29166666666666669</v>
      </c>
      <c r="J43" s="10">
        <f t="shared" si="5"/>
        <v>0.29166666666666669</v>
      </c>
      <c r="K43" s="1">
        <f t="shared" si="2"/>
        <v>2.041666666666667</v>
      </c>
      <c r="L43" s="12">
        <f t="shared" si="3"/>
        <v>0.79625000000000012</v>
      </c>
      <c r="M43" s="1">
        <f t="shared" si="4"/>
        <v>10</v>
      </c>
      <c r="N43" s="1">
        <f>MIN('Total per Region'!$N$17,N42+M43)</f>
        <v>148.84089995457779</v>
      </c>
      <c r="O43" s="17">
        <f t="shared" si="6"/>
        <v>0</v>
      </c>
      <c r="P43" s="16">
        <f>(2*O43)/$N$13*'Total per Region'!$R$17</f>
        <v>0</v>
      </c>
      <c r="R43" s="4" t="s">
        <v>381</v>
      </c>
      <c r="S43">
        <v>14</v>
      </c>
    </row>
    <row r="44" spans="1:19" x14ac:dyDescent="0.25">
      <c r="A44">
        <v>2164</v>
      </c>
      <c r="B44">
        <v>1</v>
      </c>
      <c r="C44" t="s">
        <v>298</v>
      </c>
      <c r="D44" s="2" t="s">
        <v>53</v>
      </c>
      <c r="E44" s="1">
        <v>158</v>
      </c>
      <c r="F44" s="1">
        <v>41</v>
      </c>
      <c r="G44" s="1">
        <v>7</v>
      </c>
      <c r="H44" s="1">
        <f t="shared" si="0"/>
        <v>44.5</v>
      </c>
      <c r="I44" s="10">
        <f t="shared" si="1"/>
        <v>0.28164556962025317</v>
      </c>
      <c r="J44" s="10">
        <f t="shared" si="5"/>
        <v>0.28164556962025317</v>
      </c>
      <c r="K44" s="1">
        <f t="shared" si="2"/>
        <v>12.533227848101266</v>
      </c>
      <c r="L44" s="12">
        <f t="shared" si="3"/>
        <v>4.8879588607594942</v>
      </c>
      <c r="M44" s="1">
        <f t="shared" si="4"/>
        <v>10</v>
      </c>
      <c r="N44" s="1">
        <f>MIN('Total per Region'!$N$17,N43+M44)</f>
        <v>148.84089995457779</v>
      </c>
      <c r="O44" s="17">
        <f t="shared" si="6"/>
        <v>0</v>
      </c>
      <c r="P44" s="16">
        <f>(2*O44)/$N$13*'Total per Region'!$R$17</f>
        <v>0</v>
      </c>
      <c r="R44" s="4" t="s">
        <v>382</v>
      </c>
      <c r="S44">
        <v>15</v>
      </c>
    </row>
    <row r="45" spans="1:19" x14ac:dyDescent="0.25">
      <c r="A45">
        <v>146</v>
      </c>
      <c r="B45">
        <v>1</v>
      </c>
      <c r="C45" t="s">
        <v>326</v>
      </c>
      <c r="D45" s="2" t="s">
        <v>53</v>
      </c>
      <c r="E45" s="1">
        <v>64</v>
      </c>
      <c r="F45" s="1">
        <v>14</v>
      </c>
      <c r="G45" s="1">
        <v>3</v>
      </c>
      <c r="H45" s="1">
        <f t="shared" si="0"/>
        <v>15.5</v>
      </c>
      <c r="I45" s="10">
        <f t="shared" si="1"/>
        <v>0.2421875</v>
      </c>
      <c r="J45" s="10">
        <f t="shared" si="5"/>
        <v>0.2421875</v>
      </c>
      <c r="K45" s="1">
        <f t="shared" si="2"/>
        <v>3.75390625</v>
      </c>
      <c r="L45" s="12">
        <f t="shared" si="3"/>
        <v>1.4640234375000001</v>
      </c>
      <c r="M45" s="1">
        <f t="shared" si="4"/>
        <v>10</v>
      </c>
      <c r="N45" s="1">
        <f>MIN('Total per Region'!$N$17,N44+M45)</f>
        <v>148.84089995457779</v>
      </c>
      <c r="O45" s="17">
        <f t="shared" si="6"/>
        <v>0</v>
      </c>
      <c r="P45" s="16">
        <f>(2*O45)/$N$13*'Total per Region'!$R$17</f>
        <v>0</v>
      </c>
      <c r="R45" s="4" t="s">
        <v>382</v>
      </c>
      <c r="S45">
        <v>15</v>
      </c>
    </row>
    <row r="46" spans="1:19" x14ac:dyDescent="0.25">
      <c r="A46">
        <v>150</v>
      </c>
      <c r="B46">
        <v>1</v>
      </c>
      <c r="C46" t="s">
        <v>330</v>
      </c>
      <c r="D46" s="2" t="s">
        <v>53</v>
      </c>
      <c r="E46" s="1">
        <v>80</v>
      </c>
      <c r="F46" s="1">
        <v>13</v>
      </c>
      <c r="G46" s="1">
        <v>7</v>
      </c>
      <c r="H46" s="1">
        <f t="shared" si="0"/>
        <v>16.5</v>
      </c>
      <c r="I46" s="10">
        <f t="shared" si="1"/>
        <v>0.20624999999999999</v>
      </c>
      <c r="J46" s="10">
        <f t="shared" si="5"/>
        <v>0.20624999999999999</v>
      </c>
      <c r="K46" s="1">
        <f t="shared" si="2"/>
        <v>3.4031249999999997</v>
      </c>
      <c r="L46" s="12">
        <f t="shared" si="3"/>
        <v>1.3272187499999999</v>
      </c>
      <c r="M46" s="1">
        <f t="shared" si="4"/>
        <v>10</v>
      </c>
      <c r="N46" s="1">
        <f>MIN('Total per Region'!$N$17,N45+M46)</f>
        <v>148.84089995457779</v>
      </c>
      <c r="O46" s="17">
        <f t="shared" si="6"/>
        <v>0</v>
      </c>
      <c r="P46" s="16">
        <f>(2*O46)/$N$13*'Total per Region'!$R$17</f>
        <v>0</v>
      </c>
      <c r="R46" s="4" t="s">
        <v>382</v>
      </c>
      <c r="S46">
        <v>15</v>
      </c>
    </row>
    <row r="47" spans="1:19" x14ac:dyDescent="0.25">
      <c r="A47">
        <v>547</v>
      </c>
      <c r="B47">
        <v>1</v>
      </c>
      <c r="C47" t="s">
        <v>335</v>
      </c>
      <c r="D47" s="2" t="s">
        <v>53</v>
      </c>
      <c r="E47" s="1">
        <v>29</v>
      </c>
      <c r="F47" s="1">
        <v>4</v>
      </c>
      <c r="G47" s="1">
        <v>2</v>
      </c>
      <c r="H47" s="1">
        <f t="shared" si="0"/>
        <v>5</v>
      </c>
      <c r="I47" s="10">
        <f t="shared" si="1"/>
        <v>0.17241379310344829</v>
      </c>
      <c r="J47" s="10">
        <f t="shared" si="5"/>
        <v>0.17241379310344829</v>
      </c>
      <c r="K47" s="1">
        <f t="shared" si="2"/>
        <v>0.86206896551724144</v>
      </c>
      <c r="L47" s="12">
        <f t="shared" si="3"/>
        <v>0.3362068965517242</v>
      </c>
      <c r="M47" s="1">
        <f t="shared" si="4"/>
        <v>10</v>
      </c>
      <c r="N47" s="1">
        <f>MIN('Total per Region'!$N$17,N46+M47)</f>
        <v>148.84089995457779</v>
      </c>
      <c r="O47" s="17">
        <f t="shared" si="6"/>
        <v>0</v>
      </c>
      <c r="P47" s="16">
        <f>(2*O47)/$N$13*'Total per Region'!$R$17</f>
        <v>0</v>
      </c>
      <c r="R47" s="4" t="s">
        <v>379</v>
      </c>
      <c r="S47">
        <v>14</v>
      </c>
    </row>
    <row r="48" spans="1:19" x14ac:dyDescent="0.25">
      <c r="A48">
        <v>768</v>
      </c>
      <c r="B48">
        <v>1</v>
      </c>
      <c r="C48" t="s">
        <v>341</v>
      </c>
      <c r="D48" s="2" t="s">
        <v>53</v>
      </c>
      <c r="E48" s="1">
        <v>24</v>
      </c>
      <c r="F48" s="1">
        <v>2</v>
      </c>
      <c r="G48" s="1">
        <v>2</v>
      </c>
      <c r="H48" s="1">
        <f t="shared" si="0"/>
        <v>3</v>
      </c>
      <c r="I48" s="10">
        <f t="shared" si="1"/>
        <v>0.125</v>
      </c>
      <c r="J48" s="10">
        <f t="shared" si="5"/>
        <v>0.125</v>
      </c>
      <c r="K48" s="1">
        <f t="shared" si="2"/>
        <v>0.375</v>
      </c>
      <c r="L48" s="12">
        <f t="shared" si="3"/>
        <v>0.14624999999999999</v>
      </c>
      <c r="M48" s="1">
        <f t="shared" si="4"/>
        <v>10</v>
      </c>
      <c r="N48" s="1">
        <f>MIN('Total per Region'!$N$17,N47+M48)</f>
        <v>148.84089995457779</v>
      </c>
      <c r="O48" s="17">
        <f t="shared" si="6"/>
        <v>0</v>
      </c>
      <c r="P48" s="16">
        <f>(2*O48)/$N$13*'Total per Region'!$R$17</f>
        <v>0</v>
      </c>
      <c r="R48" s="4" t="s">
        <v>380</v>
      </c>
      <c r="S48">
        <v>15</v>
      </c>
    </row>
    <row r="49" spans="8:16" x14ac:dyDescent="0.25">
      <c r="H49" s="1"/>
      <c r="I49" s="10"/>
      <c r="J49" s="10"/>
      <c r="K49" s="1"/>
      <c r="L49" s="1"/>
      <c r="O49" s="14">
        <f>SUM(O15:O48)</f>
        <v>74.420449977288897</v>
      </c>
      <c r="P49" s="18">
        <f>SUM(P15:P48)</f>
        <v>372120.59360100632</v>
      </c>
    </row>
    <row r="50" spans="8:16" x14ac:dyDescent="0.25">
      <c r="H50" s="1"/>
      <c r="I50" s="10"/>
      <c r="J50" s="10"/>
      <c r="K50" s="1"/>
      <c r="L50" s="1"/>
      <c r="P50" s="16"/>
    </row>
    <row r="51" spans="8:16" x14ac:dyDescent="0.25">
      <c r="H51" s="1"/>
      <c r="I51" s="10"/>
      <c r="J51" s="10"/>
      <c r="K51" s="1"/>
      <c r="L51" s="1"/>
      <c r="P51" s="16"/>
    </row>
    <row r="52" spans="8:16" x14ac:dyDescent="0.25">
      <c r="H52" s="1"/>
      <c r="I52" s="10"/>
      <c r="J52" s="10"/>
      <c r="K52" s="1"/>
      <c r="L52" s="1"/>
      <c r="P52" s="16"/>
    </row>
    <row r="53" spans="8:16" x14ac:dyDescent="0.25">
      <c r="H53" s="1"/>
      <c r="I53" s="10"/>
      <c r="J53" s="10"/>
      <c r="K53" s="1"/>
      <c r="L53" s="1"/>
      <c r="P53" s="16"/>
    </row>
    <row r="54" spans="8:16" x14ac:dyDescent="0.25">
      <c r="H54" s="1"/>
      <c r="I54" s="10"/>
      <c r="J54" s="10"/>
      <c r="K54" s="1"/>
      <c r="L54" s="1"/>
      <c r="P54" s="16"/>
    </row>
    <row r="55" spans="8:16" x14ac:dyDescent="0.25">
      <c r="H55" s="1"/>
      <c r="I55" s="10"/>
      <c r="J55" s="10"/>
      <c r="K55" s="1"/>
      <c r="L55" s="1"/>
      <c r="P55" s="16"/>
    </row>
    <row r="56" spans="8:16" x14ac:dyDescent="0.25">
      <c r="H56" s="1"/>
      <c r="I56" s="10"/>
      <c r="J56" s="10"/>
      <c r="K56" s="1"/>
      <c r="L56" s="1"/>
      <c r="P56" s="16"/>
    </row>
    <row r="57" spans="8:16" x14ac:dyDescent="0.25">
      <c r="H57" s="1"/>
      <c r="I57" s="10"/>
      <c r="J57" s="10"/>
      <c r="K57" s="1"/>
      <c r="L57" s="1"/>
      <c r="P57" s="22"/>
    </row>
    <row r="58" spans="8:16" x14ac:dyDescent="0.25">
      <c r="H58" s="1"/>
      <c r="I58" s="10"/>
      <c r="J58" s="10"/>
      <c r="K58" s="1"/>
      <c r="L58" s="1"/>
      <c r="P58" s="16"/>
    </row>
    <row r="59" spans="8:16" x14ac:dyDescent="0.25">
      <c r="H59" s="1"/>
      <c r="I59" s="10"/>
      <c r="J59" s="10"/>
      <c r="K59" s="1"/>
      <c r="L59" s="1"/>
      <c r="P59" s="16"/>
    </row>
    <row r="60" spans="8:16" x14ac:dyDescent="0.25">
      <c r="H60" s="1"/>
      <c r="I60" s="10"/>
      <c r="J60" s="10"/>
      <c r="K60" s="1"/>
      <c r="L60" s="1"/>
      <c r="P60" s="16"/>
    </row>
    <row r="61" spans="8:16" x14ac:dyDescent="0.25">
      <c r="H61" s="1"/>
      <c r="I61" s="10"/>
      <c r="J61" s="10"/>
      <c r="K61" s="1"/>
      <c r="L61" s="1"/>
      <c r="P61" s="16"/>
    </row>
    <row r="62" spans="8:16" x14ac:dyDescent="0.25">
      <c r="H62" s="1"/>
      <c r="I62" s="10"/>
      <c r="J62" s="10"/>
      <c r="K62" s="1"/>
      <c r="L62" s="1"/>
      <c r="P62" s="16"/>
    </row>
    <row r="63" spans="8:16" x14ac:dyDescent="0.25">
      <c r="P63" s="18"/>
    </row>
    <row r="64" spans="8:16" x14ac:dyDescent="0.25">
      <c r="P64" s="18"/>
    </row>
  </sheetData>
  <sortState ref="A15:AA48">
    <sortCondition descending="1" ref="Q15:Q48"/>
    <sortCondition descending="1" ref="J15:J48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4"/>
  <sheetViews>
    <sheetView workbookViewId="0">
      <selection activeCell="A23" sqref="A23"/>
    </sheetView>
  </sheetViews>
  <sheetFormatPr defaultRowHeight="15" x14ac:dyDescent="0.25"/>
  <cols>
    <col min="3" max="3" width="38.42578125" bestFit="1" customWidth="1"/>
    <col min="5" max="8" width="10.85546875" bestFit="1" customWidth="1"/>
    <col min="9" max="9" width="13.7109375" bestFit="1" customWidth="1"/>
    <col min="11" max="12" width="14" bestFit="1" customWidth="1"/>
    <col min="13" max="14" width="12" bestFit="1" customWidth="1"/>
    <col min="15" max="15" width="14.5703125" bestFit="1" customWidth="1"/>
    <col min="16" max="16" width="16.28515625" bestFit="1" customWidth="1"/>
    <col min="17" max="17" width="20.140625" bestFit="1" customWidth="1"/>
    <col min="18" max="18" width="12.28515625" customWidth="1"/>
    <col min="19" max="19" width="6.85546875" bestFit="1" customWidth="1"/>
  </cols>
  <sheetData>
    <row r="1" spans="1:19" x14ac:dyDescent="0.25">
      <c r="A1" t="s">
        <v>460</v>
      </c>
      <c r="M1" s="2"/>
    </row>
    <row r="2" spans="1:19" x14ac:dyDescent="0.25">
      <c r="M2" s="2"/>
    </row>
    <row r="3" spans="1:19" x14ac:dyDescent="0.25">
      <c r="A3" t="s">
        <v>509</v>
      </c>
      <c r="C3" t="s">
        <v>508</v>
      </c>
      <c r="D3">
        <v>0.39</v>
      </c>
      <c r="M3" s="2"/>
    </row>
    <row r="4" spans="1:19" x14ac:dyDescent="0.25">
      <c r="M4" s="2"/>
    </row>
    <row r="5" spans="1:19" x14ac:dyDescent="0.25">
      <c r="E5" s="2" t="s">
        <v>445</v>
      </c>
      <c r="F5" s="2" t="s">
        <v>446</v>
      </c>
      <c r="G5" s="2" t="s">
        <v>447</v>
      </c>
      <c r="H5" s="2" t="s">
        <v>448</v>
      </c>
      <c r="I5" s="2" t="s">
        <v>449</v>
      </c>
      <c r="J5" s="2" t="s">
        <v>451</v>
      </c>
      <c r="K5" s="2" t="s">
        <v>452</v>
      </c>
      <c r="L5" s="2" t="s">
        <v>453</v>
      </c>
      <c r="M5" s="2" t="s">
        <v>454</v>
      </c>
      <c r="N5" s="2" t="s">
        <v>455</v>
      </c>
      <c r="O5" s="2" t="s">
        <v>457</v>
      </c>
      <c r="P5" s="2" t="s">
        <v>464</v>
      </c>
      <c r="Q5" s="2" t="s">
        <v>465</v>
      </c>
      <c r="R5" s="2" t="s">
        <v>466</v>
      </c>
      <c r="S5" s="2" t="s">
        <v>0</v>
      </c>
    </row>
    <row r="6" spans="1:19" x14ac:dyDescent="0.25">
      <c r="K6" s="2" t="s">
        <v>476</v>
      </c>
      <c r="O6" s="2" t="s">
        <v>512</v>
      </c>
    </row>
    <row r="7" spans="1:19" x14ac:dyDescent="0.25">
      <c r="H7" s="2" t="s">
        <v>476</v>
      </c>
      <c r="J7" s="2" t="s">
        <v>486</v>
      </c>
      <c r="K7" s="2" t="s">
        <v>489</v>
      </c>
      <c r="M7" s="2" t="s">
        <v>492</v>
      </c>
      <c r="N7" s="2" t="s">
        <v>458</v>
      </c>
      <c r="O7" s="2" t="s">
        <v>459</v>
      </c>
      <c r="P7" s="2" t="s">
        <v>463</v>
      </c>
    </row>
    <row r="8" spans="1:19" x14ac:dyDescent="0.25">
      <c r="E8" s="2"/>
      <c r="F8" s="2"/>
      <c r="G8" s="2"/>
      <c r="H8" s="2" t="s">
        <v>477</v>
      </c>
      <c r="I8" s="2"/>
      <c r="J8" s="2" t="s">
        <v>484</v>
      </c>
      <c r="K8" s="2" t="s">
        <v>490</v>
      </c>
      <c r="L8" s="2"/>
      <c r="M8" s="2" t="s">
        <v>493</v>
      </c>
      <c r="N8" s="2" t="s">
        <v>450</v>
      </c>
      <c r="O8" s="2" t="s">
        <v>463</v>
      </c>
      <c r="P8" s="2" t="s">
        <v>504</v>
      </c>
      <c r="Q8" s="2" t="s">
        <v>500</v>
      </c>
      <c r="R8" s="2"/>
    </row>
    <row r="9" spans="1:19" x14ac:dyDescent="0.25">
      <c r="E9" s="2" t="s">
        <v>476</v>
      </c>
      <c r="F9" s="2" t="s">
        <v>476</v>
      </c>
      <c r="G9" s="2" t="s">
        <v>476</v>
      </c>
      <c r="H9" s="2" t="s">
        <v>481</v>
      </c>
      <c r="I9" s="2" t="s">
        <v>484</v>
      </c>
      <c r="J9" s="2" t="s">
        <v>487</v>
      </c>
      <c r="K9" s="2" t="s">
        <v>482</v>
      </c>
      <c r="L9" s="2" t="s">
        <v>467</v>
      </c>
      <c r="M9" s="2" t="s">
        <v>494</v>
      </c>
      <c r="N9" s="2" t="s">
        <v>498</v>
      </c>
      <c r="O9" s="2" t="s">
        <v>450</v>
      </c>
      <c r="P9" s="8" t="s">
        <v>505</v>
      </c>
      <c r="Q9" s="2" t="s">
        <v>503</v>
      </c>
    </row>
    <row r="10" spans="1:19" x14ac:dyDescent="0.25">
      <c r="E10" s="2" t="s">
        <v>477</v>
      </c>
      <c r="F10" s="2" t="s">
        <v>477</v>
      </c>
      <c r="G10" s="2" t="s">
        <v>477</v>
      </c>
      <c r="H10" s="2" t="s">
        <v>482</v>
      </c>
      <c r="I10" s="2" t="s">
        <v>485</v>
      </c>
      <c r="J10" s="11" t="s">
        <v>488</v>
      </c>
      <c r="K10" s="2" t="s">
        <v>487</v>
      </c>
      <c r="L10" s="2" t="s">
        <v>510</v>
      </c>
      <c r="M10" s="11" t="s">
        <v>495</v>
      </c>
      <c r="N10" s="8">
        <f>ROUND(N13,0)</f>
        <v>200</v>
      </c>
      <c r="O10" s="2" t="s">
        <v>513</v>
      </c>
      <c r="P10" s="2" t="s">
        <v>506</v>
      </c>
      <c r="Q10" s="2" t="s">
        <v>501</v>
      </c>
      <c r="R10" s="2"/>
      <c r="S10" s="2" t="s">
        <v>471</v>
      </c>
    </row>
    <row r="11" spans="1:19" x14ac:dyDescent="0.25">
      <c r="A11" t="s">
        <v>349</v>
      </c>
      <c r="B11" t="s">
        <v>350</v>
      </c>
      <c r="C11" t="s">
        <v>351</v>
      </c>
      <c r="D11" t="s">
        <v>352</v>
      </c>
      <c r="E11" s="2" t="s">
        <v>478</v>
      </c>
      <c r="F11" s="2" t="s">
        <v>479</v>
      </c>
      <c r="G11" s="2" t="s">
        <v>480</v>
      </c>
      <c r="H11" s="11" t="s">
        <v>483</v>
      </c>
      <c r="I11" s="11" t="s">
        <v>470</v>
      </c>
      <c r="J11" s="11" t="s">
        <v>473</v>
      </c>
      <c r="K11" s="11" t="s">
        <v>491</v>
      </c>
      <c r="L11" s="11" t="s">
        <v>511</v>
      </c>
      <c r="M11" s="11" t="s">
        <v>496</v>
      </c>
      <c r="N11" s="2" t="s">
        <v>499</v>
      </c>
      <c r="O11" s="2" t="s">
        <v>497</v>
      </c>
      <c r="P11" s="2" t="s">
        <v>507</v>
      </c>
      <c r="Q11" s="2" t="s">
        <v>502</v>
      </c>
      <c r="R11" s="2" t="s">
        <v>356</v>
      </c>
      <c r="S11" s="2" t="s">
        <v>472</v>
      </c>
    </row>
    <row r="12" spans="1:19" x14ac:dyDescent="0.25">
      <c r="M12" s="2"/>
      <c r="P12" s="1"/>
    </row>
    <row r="13" spans="1:19" x14ac:dyDescent="0.25">
      <c r="N13" s="14">
        <f>'Total per Region'!N18</f>
        <v>199.60345134799354</v>
      </c>
      <c r="P13" s="14"/>
    </row>
    <row r="14" spans="1:19" x14ac:dyDescent="0.25">
      <c r="K14" s="1">
        <f>SUM(K15:K62)</f>
        <v>531.15858873361856</v>
      </c>
    </row>
    <row r="15" spans="1:19" x14ac:dyDescent="0.25">
      <c r="A15">
        <v>115</v>
      </c>
      <c r="B15">
        <v>1</v>
      </c>
      <c r="C15" t="s">
        <v>57</v>
      </c>
      <c r="D15" s="2" t="s">
        <v>58</v>
      </c>
      <c r="E15" s="1">
        <v>120</v>
      </c>
      <c r="F15" s="1">
        <v>105</v>
      </c>
      <c r="G15" s="1">
        <v>1</v>
      </c>
      <c r="H15" s="1">
        <f t="shared" ref="H15:H36" si="0">F15+0.5*G15</f>
        <v>105.5</v>
      </c>
      <c r="I15" s="10">
        <f t="shared" ref="I15:I36" si="1">H15/E15</f>
        <v>0.87916666666666665</v>
      </c>
      <c r="J15" s="10">
        <f>MIN(I15,0.8)</f>
        <v>0.8</v>
      </c>
      <c r="K15" s="1">
        <f t="shared" ref="K15:K36" si="2">J15*H15</f>
        <v>84.4</v>
      </c>
      <c r="L15" s="12">
        <f t="shared" ref="L15:L36" si="3">(0.39)*K15</f>
        <v>32.916000000000004</v>
      </c>
      <c r="M15" s="1">
        <f t="shared" ref="M15:M36" si="4">MAX(L15,10)</f>
        <v>32.916000000000004</v>
      </c>
      <c r="N15" s="1">
        <f>M15</f>
        <v>32.916000000000004</v>
      </c>
      <c r="O15" s="17">
        <f>(N15-N14)/2</f>
        <v>16.458000000000002</v>
      </c>
      <c r="P15" s="16">
        <f>(2*O15)/$N$13*'Total per Region'!$R$18</f>
        <v>82294.056692137063</v>
      </c>
      <c r="R15" s="19" t="s">
        <v>386</v>
      </c>
      <c r="S15">
        <v>13</v>
      </c>
    </row>
    <row r="16" spans="1:19" x14ac:dyDescent="0.25">
      <c r="A16">
        <v>118</v>
      </c>
      <c r="B16">
        <v>1</v>
      </c>
      <c r="C16" t="s">
        <v>62</v>
      </c>
      <c r="D16" s="2" t="s">
        <v>58</v>
      </c>
      <c r="E16" s="1">
        <v>25</v>
      </c>
      <c r="F16" s="1">
        <v>19</v>
      </c>
      <c r="G16" s="1">
        <v>2</v>
      </c>
      <c r="H16" s="1">
        <f t="shared" si="0"/>
        <v>20</v>
      </c>
      <c r="I16" s="10">
        <f t="shared" si="1"/>
        <v>0.8</v>
      </c>
      <c r="J16" s="10">
        <f t="shared" ref="J16:J36" si="5">MIN(I16,0.8)</f>
        <v>0.8</v>
      </c>
      <c r="K16" s="1">
        <f t="shared" si="2"/>
        <v>16</v>
      </c>
      <c r="L16" s="12">
        <f t="shared" si="3"/>
        <v>6.24</v>
      </c>
      <c r="M16" s="1">
        <f t="shared" si="4"/>
        <v>10</v>
      </c>
      <c r="N16" s="1">
        <f>MIN('Total per Region'!$N$18,N15+M16)</f>
        <v>42.916000000000004</v>
      </c>
      <c r="O16" s="17">
        <f t="shared" ref="O16:O36" si="6">(N16-N15)/2</f>
        <v>5</v>
      </c>
      <c r="P16" s="16">
        <f>(2*O16)/$N$13*'Total per Region'!$R$18</f>
        <v>25001.232437761893</v>
      </c>
      <c r="R16" s="19" t="s">
        <v>386</v>
      </c>
      <c r="S16">
        <v>13</v>
      </c>
    </row>
    <row r="17" spans="1:19" x14ac:dyDescent="0.25">
      <c r="A17">
        <v>2174</v>
      </c>
      <c r="B17">
        <v>1</v>
      </c>
      <c r="C17" t="s">
        <v>72</v>
      </c>
      <c r="D17" s="2" t="s">
        <v>58</v>
      </c>
      <c r="E17" s="1">
        <v>70</v>
      </c>
      <c r="F17" s="1">
        <v>41</v>
      </c>
      <c r="G17" s="1">
        <v>11</v>
      </c>
      <c r="H17" s="1">
        <f t="shared" si="0"/>
        <v>46.5</v>
      </c>
      <c r="I17" s="10">
        <f t="shared" si="1"/>
        <v>0.66428571428571426</v>
      </c>
      <c r="J17" s="10">
        <f t="shared" si="5"/>
        <v>0.66428571428571426</v>
      </c>
      <c r="K17" s="1">
        <f t="shared" si="2"/>
        <v>30.889285714285712</v>
      </c>
      <c r="L17" s="12">
        <f t="shared" si="3"/>
        <v>12.046821428571429</v>
      </c>
      <c r="M17" s="1">
        <f t="shared" si="4"/>
        <v>12.046821428571429</v>
      </c>
      <c r="N17" s="1">
        <f>MIN('Total per Region'!$N$18,N16+M17)</f>
        <v>54.962821428571431</v>
      </c>
      <c r="O17" s="17">
        <f t="shared" si="6"/>
        <v>6.0234107142857134</v>
      </c>
      <c r="P17" s="16">
        <f>(2*O17)/$N$13*'Total per Region'!$R$18</f>
        <v>30118.5382671925</v>
      </c>
      <c r="R17" s="19" t="s">
        <v>386</v>
      </c>
      <c r="S17">
        <v>13</v>
      </c>
    </row>
    <row r="18" spans="1:19" x14ac:dyDescent="0.25">
      <c r="A18">
        <v>182</v>
      </c>
      <c r="B18">
        <v>1</v>
      </c>
      <c r="C18" t="s">
        <v>77</v>
      </c>
      <c r="D18" s="2" t="s">
        <v>58</v>
      </c>
      <c r="E18" s="1">
        <v>96</v>
      </c>
      <c r="F18" s="1">
        <v>57</v>
      </c>
      <c r="G18" s="1">
        <v>11</v>
      </c>
      <c r="H18" s="1">
        <f t="shared" si="0"/>
        <v>62.5</v>
      </c>
      <c r="I18" s="10">
        <f t="shared" si="1"/>
        <v>0.65104166666666663</v>
      </c>
      <c r="J18" s="10">
        <f t="shared" si="5"/>
        <v>0.65104166666666663</v>
      </c>
      <c r="K18" s="1">
        <f t="shared" si="2"/>
        <v>40.690104166666664</v>
      </c>
      <c r="L18" s="12">
        <f t="shared" si="3"/>
        <v>15.869140625</v>
      </c>
      <c r="M18" s="1">
        <f t="shared" si="4"/>
        <v>15.869140625</v>
      </c>
      <c r="N18" s="1">
        <f>MIN('Total per Region'!$N$18,N17+M18)</f>
        <v>70.831962053571431</v>
      </c>
      <c r="O18" s="17">
        <f t="shared" si="6"/>
        <v>7.9345703125</v>
      </c>
      <c r="P18" s="16">
        <f>(2*O18)/$N$13*'Total per Region'!$R$18</f>
        <v>39674.807335315505</v>
      </c>
      <c r="R18" s="19" t="s">
        <v>388</v>
      </c>
      <c r="S18">
        <v>14</v>
      </c>
    </row>
    <row r="19" spans="1:19" x14ac:dyDescent="0.25">
      <c r="A19">
        <v>786</v>
      </c>
      <c r="B19">
        <v>1</v>
      </c>
      <c r="C19" t="s">
        <v>84</v>
      </c>
      <c r="D19" s="2" t="s">
        <v>58</v>
      </c>
      <c r="E19" s="1">
        <v>31</v>
      </c>
      <c r="F19" s="1">
        <v>16</v>
      </c>
      <c r="G19" s="1">
        <v>7</v>
      </c>
      <c r="H19" s="1">
        <f t="shared" si="0"/>
        <v>19.5</v>
      </c>
      <c r="I19" s="10">
        <f t="shared" si="1"/>
        <v>0.62903225806451613</v>
      </c>
      <c r="J19" s="10">
        <f t="shared" si="5"/>
        <v>0.62903225806451613</v>
      </c>
      <c r="K19" s="1">
        <f t="shared" si="2"/>
        <v>12.266129032258064</v>
      </c>
      <c r="L19" s="12">
        <f t="shared" si="3"/>
        <v>4.7837903225806455</v>
      </c>
      <c r="M19" s="1">
        <f t="shared" si="4"/>
        <v>10</v>
      </c>
      <c r="N19" s="1">
        <f>MIN('Total per Region'!$N$18,N18+M19)</f>
        <v>80.831962053571431</v>
      </c>
      <c r="O19" s="17">
        <f t="shared" si="6"/>
        <v>5</v>
      </c>
      <c r="P19" s="16">
        <f>(2*O19)/$N$13*'Total per Region'!$R$18</f>
        <v>25001.232437761893</v>
      </c>
      <c r="R19" s="19" t="s">
        <v>387</v>
      </c>
      <c r="S19">
        <v>15</v>
      </c>
    </row>
    <row r="20" spans="1:19" x14ac:dyDescent="0.25">
      <c r="A20">
        <v>818</v>
      </c>
      <c r="B20">
        <v>1</v>
      </c>
      <c r="C20" t="s">
        <v>82</v>
      </c>
      <c r="D20" s="2" t="s">
        <v>58</v>
      </c>
      <c r="E20" s="1">
        <v>49</v>
      </c>
      <c r="F20" s="1">
        <v>26</v>
      </c>
      <c r="G20" s="1">
        <v>8</v>
      </c>
      <c r="H20" s="1">
        <f t="shared" si="0"/>
        <v>30</v>
      </c>
      <c r="I20" s="10">
        <f t="shared" si="1"/>
        <v>0.61224489795918369</v>
      </c>
      <c r="J20" s="10">
        <f t="shared" si="5"/>
        <v>0.61224489795918369</v>
      </c>
      <c r="K20" s="1">
        <f t="shared" si="2"/>
        <v>18.367346938775512</v>
      </c>
      <c r="L20" s="12">
        <f t="shared" si="3"/>
        <v>7.16326530612245</v>
      </c>
      <c r="M20" s="1">
        <f t="shared" si="4"/>
        <v>10</v>
      </c>
      <c r="N20" s="1">
        <f>MIN('Total per Region'!$N$18,N19+M20)</f>
        <v>90.831962053571431</v>
      </c>
      <c r="O20" s="17">
        <f t="shared" si="6"/>
        <v>5</v>
      </c>
      <c r="P20" s="16">
        <f>(2*O20)/$N$13*'Total per Region'!$R$18</f>
        <v>25001.232437761893</v>
      </c>
      <c r="R20" s="19" t="s">
        <v>389</v>
      </c>
      <c r="S20">
        <v>13</v>
      </c>
    </row>
    <row r="21" spans="1:19" x14ac:dyDescent="0.25">
      <c r="A21">
        <v>2753</v>
      </c>
      <c r="B21">
        <v>1</v>
      </c>
      <c r="C21" t="s">
        <v>81</v>
      </c>
      <c r="D21" s="2" t="s">
        <v>58</v>
      </c>
      <c r="E21" s="1">
        <v>64</v>
      </c>
      <c r="F21" s="1">
        <v>33</v>
      </c>
      <c r="G21" s="1">
        <v>11</v>
      </c>
      <c r="H21" s="1">
        <f t="shared" si="0"/>
        <v>38.5</v>
      </c>
      <c r="I21" s="10">
        <f t="shared" si="1"/>
        <v>0.6015625</v>
      </c>
      <c r="J21" s="10">
        <f t="shared" si="5"/>
        <v>0.6015625</v>
      </c>
      <c r="K21" s="1">
        <f t="shared" si="2"/>
        <v>23.16015625</v>
      </c>
      <c r="L21" s="12">
        <f t="shared" si="3"/>
        <v>9.0324609374999998</v>
      </c>
      <c r="M21" s="1">
        <f t="shared" si="4"/>
        <v>10</v>
      </c>
      <c r="N21" s="1">
        <f>MIN('Total per Region'!$N$18,N20+M21)</f>
        <v>100.83196205357143</v>
      </c>
      <c r="O21" s="17">
        <f t="shared" si="6"/>
        <v>5</v>
      </c>
      <c r="P21" s="16">
        <f>(2*O21)/$N$13*'Total per Region'!$R$18</f>
        <v>25001.232437761893</v>
      </c>
      <c r="R21" s="19" t="s">
        <v>387</v>
      </c>
      <c r="S21">
        <v>15</v>
      </c>
    </row>
    <row r="22" spans="1:19" x14ac:dyDescent="0.25">
      <c r="A22">
        <v>2155</v>
      </c>
      <c r="B22">
        <v>1</v>
      </c>
      <c r="C22" t="s">
        <v>91</v>
      </c>
      <c r="D22" s="2" t="s">
        <v>58</v>
      </c>
      <c r="E22" s="1">
        <v>87</v>
      </c>
      <c r="F22" s="1">
        <v>48</v>
      </c>
      <c r="G22" s="1">
        <v>8</v>
      </c>
      <c r="H22" s="1">
        <f t="shared" si="0"/>
        <v>52</v>
      </c>
      <c r="I22" s="10">
        <f t="shared" si="1"/>
        <v>0.5977011494252874</v>
      </c>
      <c r="J22" s="10">
        <f t="shared" si="5"/>
        <v>0.5977011494252874</v>
      </c>
      <c r="K22" s="1">
        <f t="shared" si="2"/>
        <v>31.080459770114945</v>
      </c>
      <c r="L22" s="12">
        <f t="shared" si="3"/>
        <v>12.12137931034483</v>
      </c>
      <c r="M22" s="1">
        <f t="shared" si="4"/>
        <v>12.12137931034483</v>
      </c>
      <c r="N22" s="1">
        <f>MIN('Total per Region'!$N$18,N21+M22)</f>
        <v>112.95334136391627</v>
      </c>
      <c r="O22" s="17">
        <f t="shared" si="6"/>
        <v>6.0606896551724176</v>
      </c>
      <c r="P22" s="16">
        <f>(2*O22)/$N$13*'Total per Region'!$R$18</f>
        <v>30304.94216042092</v>
      </c>
      <c r="R22" s="19" t="s">
        <v>389</v>
      </c>
      <c r="S22">
        <v>13</v>
      </c>
    </row>
    <row r="23" spans="1:19" x14ac:dyDescent="0.25">
      <c r="A23">
        <v>113</v>
      </c>
      <c r="B23">
        <v>1</v>
      </c>
      <c r="C23" t="s">
        <v>117</v>
      </c>
      <c r="D23" s="2" t="s">
        <v>58</v>
      </c>
      <c r="E23" s="1">
        <v>63</v>
      </c>
      <c r="F23" s="1">
        <v>33</v>
      </c>
      <c r="G23" s="1">
        <v>6</v>
      </c>
      <c r="H23" s="1">
        <f t="shared" si="0"/>
        <v>36</v>
      </c>
      <c r="I23" s="10">
        <f t="shared" si="1"/>
        <v>0.5714285714285714</v>
      </c>
      <c r="J23" s="10">
        <f t="shared" si="5"/>
        <v>0.5714285714285714</v>
      </c>
      <c r="K23" s="1">
        <f t="shared" si="2"/>
        <v>20.571428571428569</v>
      </c>
      <c r="L23" s="12">
        <f t="shared" si="3"/>
        <v>8.0228571428571431</v>
      </c>
      <c r="M23" s="1">
        <f t="shared" si="4"/>
        <v>10</v>
      </c>
      <c r="N23" s="1">
        <f>MIN('Total per Region'!$N$18,N22+M23)</f>
        <v>122.95334136391627</v>
      </c>
      <c r="O23" s="17">
        <f t="shared" si="6"/>
        <v>5</v>
      </c>
      <c r="P23" s="16">
        <f>(2*O23)/$N$13*'Total per Region'!$R$18</f>
        <v>25001.232437761893</v>
      </c>
      <c r="R23" s="19" t="s">
        <v>386</v>
      </c>
      <c r="S23">
        <v>13</v>
      </c>
    </row>
    <row r="24" spans="1:19" x14ac:dyDescent="0.25">
      <c r="A24">
        <v>2170</v>
      </c>
      <c r="B24">
        <v>1</v>
      </c>
      <c r="C24" t="s">
        <v>110</v>
      </c>
      <c r="D24" s="2" t="s">
        <v>58</v>
      </c>
      <c r="E24" s="1">
        <v>107</v>
      </c>
      <c r="F24" s="1">
        <v>55</v>
      </c>
      <c r="G24" s="1">
        <v>8</v>
      </c>
      <c r="H24" s="1">
        <f t="shared" si="0"/>
        <v>59</v>
      </c>
      <c r="I24" s="10">
        <f t="shared" si="1"/>
        <v>0.55140186915887845</v>
      </c>
      <c r="J24" s="10">
        <f t="shared" si="5"/>
        <v>0.55140186915887845</v>
      </c>
      <c r="K24" s="1">
        <f t="shared" si="2"/>
        <v>32.532710280373827</v>
      </c>
      <c r="L24" s="12">
        <f t="shared" si="3"/>
        <v>12.687757009345793</v>
      </c>
      <c r="M24" s="1">
        <f t="shared" si="4"/>
        <v>12.687757009345793</v>
      </c>
      <c r="N24" s="1">
        <f>MIN('Total per Region'!$N$18,N23+M24)</f>
        <v>135.64109837326205</v>
      </c>
      <c r="O24" s="17">
        <f t="shared" si="6"/>
        <v>6.3438785046728938</v>
      </c>
      <c r="P24" s="16">
        <f>(2*O24)/$N$13*'Total per Region'!$R$18</f>
        <v>31720.956210449676</v>
      </c>
      <c r="R24" s="19" t="s">
        <v>387</v>
      </c>
      <c r="S24">
        <v>15</v>
      </c>
    </row>
    <row r="25" spans="1:19" x14ac:dyDescent="0.25">
      <c r="A25">
        <v>482</v>
      </c>
      <c r="B25">
        <v>1</v>
      </c>
      <c r="C25" t="s">
        <v>140</v>
      </c>
      <c r="D25" s="2" t="s">
        <v>58</v>
      </c>
      <c r="E25" s="1">
        <v>185</v>
      </c>
      <c r="F25" s="1">
        <v>92</v>
      </c>
      <c r="G25" s="1">
        <v>18</v>
      </c>
      <c r="H25" s="1">
        <f t="shared" si="0"/>
        <v>101</v>
      </c>
      <c r="I25" s="10">
        <f t="shared" si="1"/>
        <v>0.54594594594594592</v>
      </c>
      <c r="J25" s="10">
        <f t="shared" si="5"/>
        <v>0.54594594594594592</v>
      </c>
      <c r="K25" s="1">
        <f t="shared" si="2"/>
        <v>55.140540540540535</v>
      </c>
      <c r="L25" s="12">
        <f t="shared" si="3"/>
        <v>21.50481081081081</v>
      </c>
      <c r="M25" s="1">
        <f t="shared" si="4"/>
        <v>21.50481081081081</v>
      </c>
      <c r="N25" s="1">
        <f>MIN('Total per Region'!$N$18,N24+M25)</f>
        <v>157.14590918407288</v>
      </c>
      <c r="O25" s="17">
        <f t="shared" si="6"/>
        <v>10.752405405405412</v>
      </c>
      <c r="P25" s="16">
        <f>(2*O25)/$N$13*'Total per Region'!$R$18</f>
        <v>53764.677361117618</v>
      </c>
      <c r="R25" s="19" t="s">
        <v>390</v>
      </c>
      <c r="S25">
        <v>14</v>
      </c>
    </row>
    <row r="26" spans="1:19" x14ac:dyDescent="0.25">
      <c r="A26">
        <v>116</v>
      </c>
      <c r="B26">
        <v>1</v>
      </c>
      <c r="C26" t="s">
        <v>127</v>
      </c>
      <c r="D26" s="2" t="s">
        <v>58</v>
      </c>
      <c r="E26" s="1">
        <v>74</v>
      </c>
      <c r="F26" s="1">
        <v>26</v>
      </c>
      <c r="G26" s="1">
        <v>16</v>
      </c>
      <c r="H26" s="1">
        <f t="shared" si="0"/>
        <v>34</v>
      </c>
      <c r="I26" s="10">
        <f t="shared" si="1"/>
        <v>0.45945945945945948</v>
      </c>
      <c r="J26" s="10">
        <f t="shared" si="5"/>
        <v>0.45945945945945948</v>
      </c>
      <c r="K26" s="1">
        <f t="shared" si="2"/>
        <v>15.621621621621623</v>
      </c>
      <c r="L26" s="12">
        <f t="shared" si="3"/>
        <v>6.0924324324324335</v>
      </c>
      <c r="M26" s="1">
        <f t="shared" si="4"/>
        <v>10</v>
      </c>
      <c r="N26" s="1">
        <f>MIN('Total per Region'!$N$18,N25+M26)</f>
        <v>167.14590918407288</v>
      </c>
      <c r="O26" s="17">
        <f t="shared" si="6"/>
        <v>5</v>
      </c>
      <c r="P26" s="16">
        <f>(2*O26)/$N$13*'Total per Region'!$R$18</f>
        <v>25001.232437761893</v>
      </c>
      <c r="R26" s="19" t="s">
        <v>386</v>
      </c>
      <c r="S26">
        <v>13</v>
      </c>
    </row>
    <row r="27" spans="1:19" x14ac:dyDescent="0.25">
      <c r="A27">
        <v>181</v>
      </c>
      <c r="B27">
        <v>1</v>
      </c>
      <c r="C27" t="s">
        <v>153</v>
      </c>
      <c r="D27" s="2" t="s">
        <v>58</v>
      </c>
      <c r="E27" s="1">
        <v>467</v>
      </c>
      <c r="F27" s="1">
        <v>180</v>
      </c>
      <c r="G27" s="1">
        <v>50</v>
      </c>
      <c r="H27" s="1">
        <f t="shared" si="0"/>
        <v>205</v>
      </c>
      <c r="I27" s="10">
        <f t="shared" si="1"/>
        <v>0.43897216274089934</v>
      </c>
      <c r="J27" s="10">
        <f t="shared" si="5"/>
        <v>0.43897216274089934</v>
      </c>
      <c r="K27" s="1">
        <f t="shared" si="2"/>
        <v>89.989293361884364</v>
      </c>
      <c r="L27" s="12">
        <f t="shared" si="3"/>
        <v>35.095824411134906</v>
      </c>
      <c r="M27" s="1">
        <f t="shared" si="4"/>
        <v>35.095824411134906</v>
      </c>
      <c r="N27" s="1">
        <f>MIN('Total per Region'!$N$18,N26+M27)</f>
        <v>199.60345134799354</v>
      </c>
      <c r="O27" s="17">
        <f t="shared" si="6"/>
        <v>16.228771081960332</v>
      </c>
      <c r="P27" s="16">
        <f>(2*O27)/$N$13*'Total per Region'!$R$18</f>
        <v>81147.85559986376</v>
      </c>
      <c r="R27" s="19" t="s">
        <v>388</v>
      </c>
      <c r="S27">
        <v>14</v>
      </c>
    </row>
    <row r="28" spans="1:19" x14ac:dyDescent="0.25">
      <c r="A28">
        <v>821</v>
      </c>
      <c r="B28">
        <v>1</v>
      </c>
      <c r="C28" t="s">
        <v>141</v>
      </c>
      <c r="D28" s="2" t="s">
        <v>58</v>
      </c>
      <c r="E28" s="1">
        <v>86</v>
      </c>
      <c r="F28" s="1">
        <v>27</v>
      </c>
      <c r="G28" s="1">
        <v>19</v>
      </c>
      <c r="H28" s="1">
        <f t="shared" si="0"/>
        <v>36.5</v>
      </c>
      <c r="I28" s="10">
        <f t="shared" si="1"/>
        <v>0.42441860465116277</v>
      </c>
      <c r="J28" s="10">
        <f t="shared" si="5"/>
        <v>0.42441860465116277</v>
      </c>
      <c r="K28" s="1">
        <f t="shared" si="2"/>
        <v>15.49127906976744</v>
      </c>
      <c r="L28" s="12">
        <f t="shared" si="3"/>
        <v>6.0415988372093024</v>
      </c>
      <c r="M28" s="1">
        <f t="shared" si="4"/>
        <v>10</v>
      </c>
      <c r="N28" s="1">
        <f>MIN('Total per Region'!$N$18,N27+M28)</f>
        <v>199.60345134799354</v>
      </c>
      <c r="O28" s="17">
        <f t="shared" si="6"/>
        <v>0</v>
      </c>
      <c r="P28" s="16">
        <f>(2*O28)/$N$13*'Total per Region'!$R$18</f>
        <v>0</v>
      </c>
      <c r="R28" s="4" t="s">
        <v>389</v>
      </c>
      <c r="S28">
        <v>13</v>
      </c>
    </row>
    <row r="29" spans="1:19" x14ac:dyDescent="0.25">
      <c r="A29">
        <v>787</v>
      </c>
      <c r="B29">
        <v>1</v>
      </c>
      <c r="C29" t="s">
        <v>187</v>
      </c>
      <c r="D29" s="2" t="s">
        <v>58</v>
      </c>
      <c r="E29" s="1">
        <v>25</v>
      </c>
      <c r="F29" s="1">
        <v>10</v>
      </c>
      <c r="G29" s="1">
        <v>1</v>
      </c>
      <c r="H29" s="1">
        <f t="shared" si="0"/>
        <v>10.5</v>
      </c>
      <c r="I29" s="10">
        <f t="shared" si="1"/>
        <v>0.42</v>
      </c>
      <c r="J29" s="10">
        <f t="shared" si="5"/>
        <v>0.42</v>
      </c>
      <c r="K29" s="1">
        <f t="shared" si="2"/>
        <v>4.41</v>
      </c>
      <c r="L29" s="12">
        <f t="shared" si="3"/>
        <v>1.7199000000000002</v>
      </c>
      <c r="M29" s="1">
        <f t="shared" si="4"/>
        <v>10</v>
      </c>
      <c r="N29" s="1">
        <f>MIN('Total per Region'!$N$18,N28+M29)</f>
        <v>199.60345134799354</v>
      </c>
      <c r="O29" s="17">
        <f t="shared" si="6"/>
        <v>0</v>
      </c>
      <c r="P29" s="16">
        <f>(2*O29)/$N$13*'Total per Region'!$R$18</f>
        <v>0</v>
      </c>
      <c r="R29" s="4" t="s">
        <v>387</v>
      </c>
      <c r="S29">
        <v>15</v>
      </c>
    </row>
    <row r="30" spans="1:19" x14ac:dyDescent="0.25">
      <c r="A30">
        <v>486</v>
      </c>
      <c r="B30">
        <v>1</v>
      </c>
      <c r="C30" t="s">
        <v>173</v>
      </c>
      <c r="D30" s="2" t="s">
        <v>58</v>
      </c>
      <c r="E30" s="1">
        <v>29</v>
      </c>
      <c r="F30" s="1">
        <v>8</v>
      </c>
      <c r="G30" s="1">
        <v>8</v>
      </c>
      <c r="H30" s="1">
        <f t="shared" si="0"/>
        <v>12</v>
      </c>
      <c r="I30" s="10">
        <f t="shared" si="1"/>
        <v>0.41379310344827586</v>
      </c>
      <c r="J30" s="10">
        <f t="shared" si="5"/>
        <v>0.41379310344827586</v>
      </c>
      <c r="K30" s="1">
        <f t="shared" si="2"/>
        <v>4.9655172413793105</v>
      </c>
      <c r="L30" s="12">
        <f t="shared" si="3"/>
        <v>1.9365517241379311</v>
      </c>
      <c r="M30" s="1">
        <f t="shared" si="4"/>
        <v>10</v>
      </c>
      <c r="N30" s="1">
        <f>MIN('Total per Region'!$N$18,N29+M30)</f>
        <v>199.60345134799354</v>
      </c>
      <c r="O30" s="17">
        <f t="shared" si="6"/>
        <v>0</v>
      </c>
      <c r="P30" s="16">
        <f>(2*O30)/$N$13*'Total per Region'!$R$18</f>
        <v>0</v>
      </c>
      <c r="R30" s="4" t="s">
        <v>390</v>
      </c>
      <c r="S30">
        <v>14</v>
      </c>
    </row>
    <row r="31" spans="1:19" x14ac:dyDescent="0.25">
      <c r="A31">
        <v>484</v>
      </c>
      <c r="B31">
        <v>1</v>
      </c>
      <c r="C31" t="s">
        <v>262</v>
      </c>
      <c r="D31" s="2" t="s">
        <v>58</v>
      </c>
      <c r="E31" s="1">
        <v>79</v>
      </c>
      <c r="F31" s="1">
        <v>29</v>
      </c>
      <c r="G31" s="1">
        <v>7</v>
      </c>
      <c r="H31" s="1">
        <f t="shared" si="0"/>
        <v>32.5</v>
      </c>
      <c r="I31" s="10">
        <f t="shared" si="1"/>
        <v>0.41139240506329117</v>
      </c>
      <c r="J31" s="10">
        <f t="shared" si="5"/>
        <v>0.41139240506329117</v>
      </c>
      <c r="K31" s="1">
        <f t="shared" si="2"/>
        <v>13.370253164556964</v>
      </c>
      <c r="L31" s="12">
        <f t="shared" si="3"/>
        <v>5.214398734177216</v>
      </c>
      <c r="M31" s="1">
        <f t="shared" si="4"/>
        <v>10</v>
      </c>
      <c r="N31" s="1">
        <f>MIN('Total per Region'!$N$18,N30+M31)</f>
        <v>199.60345134799354</v>
      </c>
      <c r="O31" s="17">
        <f t="shared" si="6"/>
        <v>0</v>
      </c>
      <c r="P31" s="16">
        <f>(2*O31)/$N$13*'Total per Region'!$R$18</f>
        <v>0</v>
      </c>
      <c r="R31" s="4" t="s">
        <v>390</v>
      </c>
      <c r="S31">
        <v>14</v>
      </c>
    </row>
    <row r="32" spans="1:19" x14ac:dyDescent="0.25">
      <c r="A32">
        <v>820</v>
      </c>
      <c r="B32">
        <v>1</v>
      </c>
      <c r="C32" t="s">
        <v>198</v>
      </c>
      <c r="D32" s="2" t="s">
        <v>58</v>
      </c>
      <c r="E32" s="1">
        <v>34</v>
      </c>
      <c r="F32" s="1">
        <v>10</v>
      </c>
      <c r="G32" s="1">
        <v>6</v>
      </c>
      <c r="H32" s="1">
        <f t="shared" si="0"/>
        <v>13</v>
      </c>
      <c r="I32" s="10">
        <f t="shared" si="1"/>
        <v>0.38235294117647056</v>
      </c>
      <c r="J32" s="10">
        <f t="shared" si="5"/>
        <v>0.38235294117647056</v>
      </c>
      <c r="K32" s="1">
        <f t="shared" si="2"/>
        <v>4.9705882352941178</v>
      </c>
      <c r="L32" s="12">
        <f t="shared" si="3"/>
        <v>1.9385294117647061</v>
      </c>
      <c r="M32" s="1">
        <f t="shared" si="4"/>
        <v>10</v>
      </c>
      <c r="N32" s="1">
        <f>MIN('Total per Region'!$N$18,N31+M32)</f>
        <v>199.60345134799354</v>
      </c>
      <c r="O32" s="17">
        <f t="shared" si="6"/>
        <v>0</v>
      </c>
      <c r="P32" s="16">
        <f>(2*O32)/$N$13*'Total per Region'!$R$18</f>
        <v>0</v>
      </c>
      <c r="R32" s="4" t="s">
        <v>389</v>
      </c>
      <c r="S32">
        <v>13</v>
      </c>
    </row>
    <row r="33" spans="1:19" x14ac:dyDescent="0.25">
      <c r="A33">
        <v>2759</v>
      </c>
      <c r="B33">
        <v>1</v>
      </c>
      <c r="C33" t="s">
        <v>286</v>
      </c>
      <c r="D33" s="2" t="s">
        <v>58</v>
      </c>
      <c r="E33" s="1">
        <v>29</v>
      </c>
      <c r="F33" s="1">
        <v>8</v>
      </c>
      <c r="G33" s="1">
        <v>3</v>
      </c>
      <c r="H33" s="1">
        <f t="shared" si="0"/>
        <v>9.5</v>
      </c>
      <c r="I33" s="10">
        <f t="shared" si="1"/>
        <v>0.32758620689655171</v>
      </c>
      <c r="J33" s="10">
        <f t="shared" si="5"/>
        <v>0.32758620689655171</v>
      </c>
      <c r="K33" s="1">
        <f t="shared" si="2"/>
        <v>3.1120689655172411</v>
      </c>
      <c r="L33" s="12">
        <f t="shared" si="3"/>
        <v>1.2137068965517241</v>
      </c>
      <c r="M33" s="1">
        <f t="shared" si="4"/>
        <v>10</v>
      </c>
      <c r="N33" s="1">
        <f>MIN('Total per Region'!$N$18,N32+M33)</f>
        <v>199.60345134799354</v>
      </c>
      <c r="O33" s="17">
        <f t="shared" si="6"/>
        <v>0</v>
      </c>
      <c r="P33" s="16">
        <f>(2*O33)/$N$13*'Total per Region'!$R$18</f>
        <v>0</v>
      </c>
      <c r="R33" s="4" t="s">
        <v>387</v>
      </c>
      <c r="S33">
        <v>15</v>
      </c>
    </row>
    <row r="34" spans="1:19" x14ac:dyDescent="0.25">
      <c r="A34">
        <v>487</v>
      </c>
      <c r="B34">
        <v>1</v>
      </c>
      <c r="C34" t="s">
        <v>233</v>
      </c>
      <c r="D34" s="2" t="s">
        <v>58</v>
      </c>
      <c r="E34" s="1">
        <v>26</v>
      </c>
      <c r="F34" s="1">
        <v>8</v>
      </c>
      <c r="G34" s="1">
        <v>1</v>
      </c>
      <c r="H34" s="1">
        <f t="shared" si="0"/>
        <v>8.5</v>
      </c>
      <c r="I34" s="10">
        <f t="shared" si="1"/>
        <v>0.32692307692307693</v>
      </c>
      <c r="J34" s="10">
        <f t="shared" si="5"/>
        <v>0.32692307692307693</v>
      </c>
      <c r="K34" s="1">
        <f t="shared" si="2"/>
        <v>2.7788461538461537</v>
      </c>
      <c r="L34" s="12">
        <f t="shared" si="3"/>
        <v>1.08375</v>
      </c>
      <c r="M34" s="1">
        <f t="shared" si="4"/>
        <v>10</v>
      </c>
      <c r="N34" s="1">
        <f>MIN('Total per Region'!$N$18,N33+M34)</f>
        <v>199.60345134799354</v>
      </c>
      <c r="O34" s="17">
        <f t="shared" si="6"/>
        <v>0</v>
      </c>
      <c r="P34" s="16">
        <f>(2*O34)/$N$13*'Total per Region'!$R$18</f>
        <v>0</v>
      </c>
      <c r="R34" s="4" t="s">
        <v>390</v>
      </c>
      <c r="S34">
        <v>14</v>
      </c>
    </row>
    <row r="35" spans="1:19" x14ac:dyDescent="0.25">
      <c r="A35">
        <v>485</v>
      </c>
      <c r="B35">
        <v>1</v>
      </c>
      <c r="C35" t="s">
        <v>324</v>
      </c>
      <c r="D35" s="2" t="s">
        <v>58</v>
      </c>
      <c r="E35" s="1">
        <v>92</v>
      </c>
      <c r="F35" s="1">
        <v>19</v>
      </c>
      <c r="G35" s="1">
        <v>6</v>
      </c>
      <c r="H35" s="1">
        <f t="shared" si="0"/>
        <v>22</v>
      </c>
      <c r="I35" s="10">
        <f t="shared" si="1"/>
        <v>0.2391304347826087</v>
      </c>
      <c r="J35" s="10">
        <f t="shared" si="5"/>
        <v>0.2391304347826087</v>
      </c>
      <c r="K35" s="1">
        <f t="shared" si="2"/>
        <v>5.2608695652173916</v>
      </c>
      <c r="L35" s="12">
        <f t="shared" si="3"/>
        <v>2.051739130434783</v>
      </c>
      <c r="M35" s="1">
        <f t="shared" si="4"/>
        <v>10</v>
      </c>
      <c r="N35" s="1">
        <f>MIN('Total per Region'!$N$18,N34+M35)</f>
        <v>199.60345134799354</v>
      </c>
      <c r="O35" s="17">
        <f t="shared" si="6"/>
        <v>0</v>
      </c>
      <c r="P35" s="16">
        <f>(2*O35)/$N$13*'Total per Region'!$R$18</f>
        <v>0</v>
      </c>
      <c r="R35" s="4" t="s">
        <v>390</v>
      </c>
      <c r="S35">
        <v>14</v>
      </c>
    </row>
    <row r="36" spans="1:19" x14ac:dyDescent="0.25">
      <c r="A36">
        <v>186</v>
      </c>
      <c r="B36">
        <v>1</v>
      </c>
      <c r="C36" t="s">
        <v>297</v>
      </c>
      <c r="D36" s="2" t="s">
        <v>58</v>
      </c>
      <c r="E36" s="1">
        <v>111</v>
      </c>
      <c r="F36" s="1">
        <v>20</v>
      </c>
      <c r="G36" s="1">
        <v>12</v>
      </c>
      <c r="H36" s="1">
        <f t="shared" si="0"/>
        <v>26</v>
      </c>
      <c r="I36" s="10">
        <f t="shared" si="1"/>
        <v>0.23423423423423423</v>
      </c>
      <c r="J36" s="10">
        <f t="shared" si="5"/>
        <v>0.23423423423423423</v>
      </c>
      <c r="K36" s="1">
        <f t="shared" si="2"/>
        <v>6.0900900900900901</v>
      </c>
      <c r="L36" s="12">
        <f t="shared" si="3"/>
        <v>2.3751351351351353</v>
      </c>
      <c r="M36" s="1">
        <f t="shared" si="4"/>
        <v>10</v>
      </c>
      <c r="N36" s="1">
        <f>MIN('Total per Region'!$N$18,N35+M36)</f>
        <v>199.60345134799354</v>
      </c>
      <c r="O36" s="17">
        <f t="shared" si="6"/>
        <v>0</v>
      </c>
      <c r="P36" s="16">
        <f>(2*O36)/$N$13*'Total per Region'!$R$18</f>
        <v>0</v>
      </c>
      <c r="R36" s="4" t="s">
        <v>388</v>
      </c>
      <c r="S36">
        <v>14</v>
      </c>
    </row>
    <row r="37" spans="1:19" x14ac:dyDescent="0.25">
      <c r="H37" s="1"/>
      <c r="I37" s="10"/>
      <c r="J37" s="10"/>
      <c r="K37" s="1"/>
      <c r="L37" s="1"/>
      <c r="O37" s="14">
        <f>SUM(O15:O36)</f>
        <v>99.801725673996771</v>
      </c>
      <c r="P37" s="18">
        <f>SUM(P15:P36)</f>
        <v>499033.22825306846</v>
      </c>
    </row>
    <row r="38" spans="1:19" x14ac:dyDescent="0.25">
      <c r="H38" s="1"/>
      <c r="I38" s="10"/>
      <c r="J38" s="10"/>
      <c r="K38" s="1"/>
      <c r="L38" s="1"/>
      <c r="P38" s="16"/>
    </row>
    <row r="39" spans="1:19" x14ac:dyDescent="0.25">
      <c r="H39" s="1"/>
      <c r="I39" s="10"/>
      <c r="J39" s="10"/>
      <c r="K39" s="1"/>
      <c r="L39" s="1"/>
      <c r="P39" s="16"/>
    </row>
    <row r="40" spans="1:19" x14ac:dyDescent="0.25">
      <c r="H40" s="1"/>
      <c r="I40" s="10"/>
      <c r="J40" s="10"/>
      <c r="K40" s="1"/>
      <c r="L40" s="1"/>
      <c r="P40" s="16"/>
    </row>
    <row r="41" spans="1:19" x14ac:dyDescent="0.25">
      <c r="H41" s="1"/>
      <c r="I41" s="10"/>
      <c r="J41" s="10"/>
      <c r="K41" s="1"/>
      <c r="L41" s="1"/>
      <c r="P41" s="16"/>
    </row>
    <row r="42" spans="1:19" x14ac:dyDescent="0.25">
      <c r="H42" s="1"/>
      <c r="I42" s="10"/>
      <c r="J42" s="10"/>
      <c r="K42" s="1"/>
      <c r="L42" s="1"/>
      <c r="P42" s="16"/>
    </row>
    <row r="43" spans="1:19" x14ac:dyDescent="0.25">
      <c r="H43" s="1"/>
      <c r="I43" s="10"/>
      <c r="J43" s="10"/>
      <c r="K43" s="1"/>
      <c r="L43" s="1"/>
      <c r="P43" s="16"/>
    </row>
    <row r="44" spans="1:19" x14ac:dyDescent="0.25">
      <c r="H44" s="1"/>
      <c r="I44" s="10"/>
      <c r="J44" s="10"/>
      <c r="K44" s="1"/>
      <c r="L44" s="1"/>
      <c r="P44" s="16"/>
    </row>
    <row r="45" spans="1:19" x14ac:dyDescent="0.25">
      <c r="H45" s="1"/>
      <c r="I45" s="10"/>
      <c r="J45" s="10"/>
      <c r="K45" s="1"/>
      <c r="L45" s="1"/>
      <c r="P45" s="16"/>
    </row>
    <row r="46" spans="1:19" x14ac:dyDescent="0.25">
      <c r="H46" s="1"/>
      <c r="I46" s="10"/>
      <c r="J46" s="10"/>
      <c r="K46" s="1"/>
      <c r="L46" s="1"/>
      <c r="P46" s="16"/>
    </row>
    <row r="47" spans="1:19" x14ac:dyDescent="0.25">
      <c r="H47" s="1"/>
      <c r="I47" s="10"/>
      <c r="J47" s="10"/>
      <c r="K47" s="1"/>
      <c r="L47" s="1"/>
      <c r="P47" s="16"/>
    </row>
    <row r="48" spans="1:19" x14ac:dyDescent="0.25">
      <c r="H48" s="1"/>
      <c r="I48" s="10"/>
      <c r="J48" s="10"/>
      <c r="K48" s="1"/>
      <c r="L48" s="1"/>
      <c r="P48" s="16"/>
    </row>
    <row r="49" spans="8:16" x14ac:dyDescent="0.25">
      <c r="H49" s="1"/>
      <c r="I49" s="10"/>
      <c r="J49" s="10"/>
      <c r="K49" s="1"/>
      <c r="L49" s="1"/>
      <c r="P49" s="16"/>
    </row>
    <row r="50" spans="8:16" x14ac:dyDescent="0.25">
      <c r="H50" s="1"/>
      <c r="I50" s="10"/>
      <c r="J50" s="10"/>
      <c r="K50" s="1"/>
      <c r="L50" s="1"/>
      <c r="P50" s="16"/>
    </row>
    <row r="51" spans="8:16" x14ac:dyDescent="0.25">
      <c r="H51" s="1"/>
      <c r="I51" s="10"/>
      <c r="J51" s="10"/>
      <c r="K51" s="1"/>
      <c r="L51" s="1"/>
      <c r="P51" s="16"/>
    </row>
    <row r="52" spans="8:16" x14ac:dyDescent="0.25">
      <c r="H52" s="1"/>
      <c r="I52" s="10"/>
      <c r="J52" s="10"/>
      <c r="K52" s="1"/>
      <c r="L52" s="1"/>
      <c r="P52" s="16"/>
    </row>
    <row r="53" spans="8:16" x14ac:dyDescent="0.25">
      <c r="H53" s="1"/>
      <c r="I53" s="10"/>
      <c r="J53" s="10"/>
      <c r="K53" s="1"/>
      <c r="L53" s="1"/>
      <c r="P53" s="16"/>
    </row>
    <row r="54" spans="8:16" x14ac:dyDescent="0.25">
      <c r="H54" s="1"/>
      <c r="I54" s="10"/>
      <c r="J54" s="10"/>
      <c r="K54" s="1"/>
      <c r="L54" s="1"/>
      <c r="P54" s="16"/>
    </row>
    <row r="55" spans="8:16" x14ac:dyDescent="0.25">
      <c r="H55" s="1"/>
      <c r="I55" s="10"/>
      <c r="J55" s="10"/>
      <c r="K55" s="1"/>
      <c r="L55" s="1"/>
      <c r="P55" s="16"/>
    </row>
    <row r="56" spans="8:16" x14ac:dyDescent="0.25">
      <c r="H56" s="1"/>
      <c r="I56" s="10"/>
      <c r="J56" s="10"/>
      <c r="K56" s="1"/>
      <c r="L56" s="1"/>
      <c r="P56" s="16"/>
    </row>
    <row r="57" spans="8:16" x14ac:dyDescent="0.25">
      <c r="H57" s="1"/>
      <c r="I57" s="10"/>
      <c r="J57" s="10"/>
      <c r="K57" s="1"/>
      <c r="L57" s="1"/>
      <c r="P57" s="22"/>
    </row>
    <row r="58" spans="8:16" x14ac:dyDescent="0.25">
      <c r="H58" s="1"/>
      <c r="I58" s="10"/>
      <c r="J58" s="10"/>
      <c r="K58" s="1"/>
      <c r="L58" s="1"/>
      <c r="P58" s="16"/>
    </row>
    <row r="59" spans="8:16" x14ac:dyDescent="0.25">
      <c r="H59" s="1"/>
      <c r="I59" s="10"/>
      <c r="J59" s="10"/>
      <c r="K59" s="1"/>
      <c r="L59" s="1"/>
      <c r="P59" s="16"/>
    </row>
    <row r="60" spans="8:16" x14ac:dyDescent="0.25">
      <c r="H60" s="1"/>
      <c r="I60" s="10"/>
      <c r="J60" s="10"/>
      <c r="K60" s="1"/>
      <c r="L60" s="1"/>
      <c r="P60" s="16"/>
    </row>
    <row r="61" spans="8:16" x14ac:dyDescent="0.25">
      <c r="H61" s="1"/>
      <c r="I61" s="10"/>
      <c r="J61" s="10"/>
      <c r="K61" s="1"/>
      <c r="L61" s="1"/>
      <c r="P61" s="16"/>
    </row>
    <row r="62" spans="8:16" x14ac:dyDescent="0.25">
      <c r="H62" s="1"/>
      <c r="I62" s="10"/>
      <c r="J62" s="10"/>
      <c r="K62" s="1"/>
      <c r="L62" s="1"/>
      <c r="P62" s="16"/>
    </row>
    <row r="63" spans="8:16" x14ac:dyDescent="0.25">
      <c r="P63" s="18"/>
    </row>
    <row r="64" spans="8:16" x14ac:dyDescent="0.25">
      <c r="P64" s="18"/>
    </row>
  </sheetData>
  <sortState ref="A15:AA36">
    <sortCondition descending="1" ref="Q15:Q36"/>
    <sortCondition descending="1" ref="J15:J36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4"/>
  <sheetViews>
    <sheetView workbookViewId="0"/>
  </sheetViews>
  <sheetFormatPr defaultRowHeight="15" x14ac:dyDescent="0.25"/>
  <cols>
    <col min="3" max="3" width="38.140625" bestFit="1" customWidth="1"/>
    <col min="5" max="8" width="10.85546875" bestFit="1" customWidth="1"/>
    <col min="9" max="9" width="13.7109375" bestFit="1" customWidth="1"/>
    <col min="10" max="10" width="10.28515625" bestFit="1" customWidth="1"/>
    <col min="11" max="11" width="10.85546875" bestFit="1" customWidth="1"/>
    <col min="12" max="12" width="14" bestFit="1" customWidth="1"/>
    <col min="13" max="13" width="11.42578125" bestFit="1" customWidth="1"/>
    <col min="14" max="14" width="12" bestFit="1" customWidth="1"/>
    <col min="15" max="15" width="14.5703125" bestFit="1" customWidth="1"/>
    <col min="16" max="16" width="16.28515625" bestFit="1" customWidth="1"/>
    <col min="17" max="17" width="20.140625" bestFit="1" customWidth="1"/>
    <col min="18" max="18" width="9.85546875" customWidth="1"/>
    <col min="19" max="19" width="6.85546875" bestFit="1" customWidth="1"/>
  </cols>
  <sheetData>
    <row r="1" spans="1:19" x14ac:dyDescent="0.25">
      <c r="A1" t="s">
        <v>460</v>
      </c>
      <c r="M1" s="2"/>
    </row>
    <row r="2" spans="1:19" x14ac:dyDescent="0.25">
      <c r="M2" s="2"/>
    </row>
    <row r="3" spans="1:19" x14ac:dyDescent="0.25">
      <c r="A3" t="s">
        <v>509</v>
      </c>
      <c r="C3" t="s">
        <v>508</v>
      </c>
      <c r="D3">
        <v>0.39</v>
      </c>
      <c r="M3" s="2"/>
    </row>
    <row r="4" spans="1:19" x14ac:dyDescent="0.25">
      <c r="M4" s="2"/>
    </row>
    <row r="5" spans="1:19" x14ac:dyDescent="0.25">
      <c r="E5" s="2" t="s">
        <v>445</v>
      </c>
      <c r="F5" s="2" t="s">
        <v>446</v>
      </c>
      <c r="G5" s="2" t="s">
        <v>447</v>
      </c>
      <c r="H5" s="2" t="s">
        <v>448</v>
      </c>
      <c r="I5" s="2" t="s">
        <v>449</v>
      </c>
      <c r="J5" s="2" t="s">
        <v>451</v>
      </c>
      <c r="K5" s="2" t="s">
        <v>452</v>
      </c>
      <c r="L5" s="2" t="s">
        <v>453</v>
      </c>
      <c r="M5" s="2" t="s">
        <v>454</v>
      </c>
      <c r="N5" s="2" t="s">
        <v>455</v>
      </c>
      <c r="O5" s="2" t="s">
        <v>457</v>
      </c>
      <c r="P5" s="2" t="s">
        <v>464</v>
      </c>
      <c r="Q5" s="2" t="s">
        <v>465</v>
      </c>
      <c r="R5" s="2" t="s">
        <v>466</v>
      </c>
      <c r="S5" s="2" t="s">
        <v>0</v>
      </c>
    </row>
    <row r="6" spans="1:19" x14ac:dyDescent="0.25">
      <c r="K6" s="2" t="s">
        <v>476</v>
      </c>
      <c r="O6" s="2" t="s">
        <v>512</v>
      </c>
    </row>
    <row r="7" spans="1:19" x14ac:dyDescent="0.25">
      <c r="H7" s="2" t="s">
        <v>476</v>
      </c>
      <c r="J7" s="2" t="s">
        <v>486</v>
      </c>
      <c r="K7" s="2" t="s">
        <v>489</v>
      </c>
      <c r="M7" s="2" t="s">
        <v>492</v>
      </c>
      <c r="N7" s="2" t="s">
        <v>458</v>
      </c>
      <c r="O7" s="2" t="s">
        <v>459</v>
      </c>
      <c r="P7" s="2" t="s">
        <v>463</v>
      </c>
    </row>
    <row r="8" spans="1:19" x14ac:dyDescent="0.25">
      <c r="E8" s="2"/>
      <c r="F8" s="2"/>
      <c r="G8" s="2"/>
      <c r="H8" s="2" t="s">
        <v>477</v>
      </c>
      <c r="I8" s="2"/>
      <c r="J8" s="2" t="s">
        <v>484</v>
      </c>
      <c r="K8" s="2" t="s">
        <v>490</v>
      </c>
      <c r="L8" s="2"/>
      <c r="M8" s="2" t="s">
        <v>493</v>
      </c>
      <c r="N8" s="2" t="s">
        <v>450</v>
      </c>
      <c r="O8" s="2" t="s">
        <v>463</v>
      </c>
      <c r="P8" s="2" t="s">
        <v>504</v>
      </c>
      <c r="Q8" s="2" t="s">
        <v>500</v>
      </c>
      <c r="R8" s="2"/>
    </row>
    <row r="9" spans="1:19" x14ac:dyDescent="0.25">
      <c r="E9" s="2" t="s">
        <v>476</v>
      </c>
      <c r="F9" s="2" t="s">
        <v>476</v>
      </c>
      <c r="G9" s="2" t="s">
        <v>476</v>
      </c>
      <c r="H9" s="2" t="s">
        <v>481</v>
      </c>
      <c r="I9" s="2" t="s">
        <v>484</v>
      </c>
      <c r="J9" s="2" t="s">
        <v>487</v>
      </c>
      <c r="K9" s="2" t="s">
        <v>482</v>
      </c>
      <c r="L9" s="2" t="s">
        <v>467</v>
      </c>
      <c r="M9" s="2" t="s">
        <v>494</v>
      </c>
      <c r="N9" s="2" t="s">
        <v>498</v>
      </c>
      <c r="O9" s="2" t="s">
        <v>450</v>
      </c>
      <c r="P9" s="8" t="s">
        <v>505</v>
      </c>
      <c r="Q9" s="2" t="s">
        <v>503</v>
      </c>
    </row>
    <row r="10" spans="1:19" x14ac:dyDescent="0.25">
      <c r="E10" s="2" t="s">
        <v>477</v>
      </c>
      <c r="F10" s="2" t="s">
        <v>477</v>
      </c>
      <c r="G10" s="2" t="s">
        <v>477</v>
      </c>
      <c r="H10" s="2" t="s">
        <v>482</v>
      </c>
      <c r="I10" s="2" t="s">
        <v>485</v>
      </c>
      <c r="J10" s="11" t="s">
        <v>488</v>
      </c>
      <c r="K10" s="2" t="s">
        <v>487</v>
      </c>
      <c r="L10" s="2" t="s">
        <v>510</v>
      </c>
      <c r="M10" s="11" t="s">
        <v>495</v>
      </c>
      <c r="N10" s="8">
        <f>ROUND(N13,0)</f>
        <v>106</v>
      </c>
      <c r="O10" s="2" t="s">
        <v>513</v>
      </c>
      <c r="P10" s="2" t="s">
        <v>506</v>
      </c>
      <c r="Q10" s="2" t="s">
        <v>501</v>
      </c>
      <c r="R10" s="2"/>
      <c r="S10" s="2" t="s">
        <v>471</v>
      </c>
    </row>
    <row r="11" spans="1:19" x14ac:dyDescent="0.25">
      <c r="A11" t="s">
        <v>349</v>
      </c>
      <c r="B11" t="s">
        <v>350</v>
      </c>
      <c r="C11" t="s">
        <v>351</v>
      </c>
      <c r="D11" t="s">
        <v>352</v>
      </c>
      <c r="E11" s="2" t="s">
        <v>478</v>
      </c>
      <c r="F11" s="2" t="s">
        <v>479</v>
      </c>
      <c r="G11" s="2" t="s">
        <v>480</v>
      </c>
      <c r="H11" s="11" t="s">
        <v>483</v>
      </c>
      <c r="I11" s="11" t="s">
        <v>470</v>
      </c>
      <c r="J11" s="11" t="s">
        <v>473</v>
      </c>
      <c r="K11" s="11" t="s">
        <v>491</v>
      </c>
      <c r="L11" s="11" t="s">
        <v>511</v>
      </c>
      <c r="M11" s="11" t="s">
        <v>496</v>
      </c>
      <c r="N11" s="2" t="s">
        <v>499</v>
      </c>
      <c r="O11" s="2" t="s">
        <v>497</v>
      </c>
      <c r="P11" s="2" t="s">
        <v>507</v>
      </c>
      <c r="Q11" s="2" t="s">
        <v>502</v>
      </c>
      <c r="R11" s="2" t="s">
        <v>356</v>
      </c>
      <c r="S11" s="2" t="s">
        <v>472</v>
      </c>
    </row>
    <row r="12" spans="1:19" x14ac:dyDescent="0.25">
      <c r="M12" s="2"/>
      <c r="P12" s="1"/>
    </row>
    <row r="13" spans="1:19" x14ac:dyDescent="0.25">
      <c r="N13" s="14">
        <f>'Total per Region'!N19</f>
        <v>105.75181282842983</v>
      </c>
      <c r="P13" s="14"/>
    </row>
    <row r="14" spans="1:19" x14ac:dyDescent="0.25">
      <c r="K14" s="1">
        <f>SUM(K15:K62)</f>
        <v>281.41288779641741</v>
      </c>
      <c r="M14" s="2"/>
    </row>
    <row r="15" spans="1:19" x14ac:dyDescent="0.25">
      <c r="A15">
        <v>347</v>
      </c>
      <c r="B15">
        <v>1</v>
      </c>
      <c r="C15" t="s">
        <v>92</v>
      </c>
      <c r="D15" s="2" t="s">
        <v>93</v>
      </c>
      <c r="E15" s="1">
        <v>333</v>
      </c>
      <c r="F15" s="1">
        <v>198</v>
      </c>
      <c r="G15" s="1">
        <v>26</v>
      </c>
      <c r="H15" s="1">
        <f t="shared" ref="H15:H25" si="0">F15+0.5*G15</f>
        <v>211</v>
      </c>
      <c r="I15" s="10">
        <f t="shared" ref="I15:I25" si="1">H15/E15</f>
        <v>0.63363363363363367</v>
      </c>
      <c r="J15" s="10">
        <f>MIN(I15,0.8)</f>
        <v>0.63363363363363367</v>
      </c>
      <c r="K15" s="1">
        <f t="shared" ref="K15:K25" si="2">J15*H15</f>
        <v>133.6966966966967</v>
      </c>
      <c r="L15" s="12">
        <f t="shared" ref="L15:L25" si="3">(0.39)*K15</f>
        <v>52.141711711711714</v>
      </c>
      <c r="M15" s="1">
        <f t="shared" ref="M15:M25" si="4">MAX(L15,10)</f>
        <v>52.141711711711714</v>
      </c>
      <c r="N15" s="1">
        <f>MIN('Total per Region'!$N$19,N14+M15)</f>
        <v>52.141711711711714</v>
      </c>
      <c r="O15" s="17">
        <f>(N15-N14)/2</f>
        <v>26.070855855855857</v>
      </c>
      <c r="P15" s="16">
        <f>(2*O15)/$N$13*'Total per Region'!$R$19</f>
        <v>130360.70542072762</v>
      </c>
      <c r="Q15" t="s">
        <v>1</v>
      </c>
      <c r="R15" s="19" t="s">
        <v>391</v>
      </c>
      <c r="S15">
        <v>14</v>
      </c>
    </row>
    <row r="16" spans="1:19" x14ac:dyDescent="0.25">
      <c r="A16">
        <v>2396</v>
      </c>
      <c r="B16">
        <v>1</v>
      </c>
      <c r="C16" t="s">
        <v>152</v>
      </c>
      <c r="D16" s="2" t="s">
        <v>93</v>
      </c>
      <c r="E16" s="1">
        <v>78</v>
      </c>
      <c r="F16" s="1">
        <v>30</v>
      </c>
      <c r="G16" s="1">
        <v>10</v>
      </c>
      <c r="H16" s="1">
        <f t="shared" si="0"/>
        <v>35</v>
      </c>
      <c r="I16" s="10">
        <f t="shared" si="1"/>
        <v>0.44871794871794873</v>
      </c>
      <c r="J16" s="10">
        <f t="shared" ref="J16:J25" si="5">MIN(I16,0.8)</f>
        <v>0.44871794871794873</v>
      </c>
      <c r="K16" s="1">
        <f t="shared" si="2"/>
        <v>15.705128205128206</v>
      </c>
      <c r="L16" s="12">
        <f t="shared" si="3"/>
        <v>6.1250000000000009</v>
      </c>
      <c r="M16" s="1">
        <f t="shared" si="4"/>
        <v>10</v>
      </c>
      <c r="N16" s="1">
        <f>MIN('Total per Region'!$N$19,N15+M16)</f>
        <v>62.141711711711714</v>
      </c>
      <c r="O16" s="17">
        <f t="shared" ref="O16:O25" si="6">(N16-N15)/2</f>
        <v>5</v>
      </c>
      <c r="P16" s="16">
        <f>(2*O16)/$N$13*'Total per Region'!$R$19</f>
        <v>25001.232437761897</v>
      </c>
      <c r="Q16" t="s">
        <v>1</v>
      </c>
      <c r="R16" s="19" t="s">
        <v>393</v>
      </c>
      <c r="S16">
        <v>13</v>
      </c>
    </row>
    <row r="17" spans="1:19" x14ac:dyDescent="0.25">
      <c r="A17">
        <v>2890</v>
      </c>
      <c r="B17">
        <v>1</v>
      </c>
      <c r="C17" t="s">
        <v>98</v>
      </c>
      <c r="D17" s="2" t="s">
        <v>93</v>
      </c>
      <c r="E17" s="1">
        <v>44</v>
      </c>
      <c r="F17" s="1">
        <v>26</v>
      </c>
      <c r="G17" s="1">
        <v>3</v>
      </c>
      <c r="H17" s="1">
        <f t="shared" si="0"/>
        <v>27.5</v>
      </c>
      <c r="I17" s="10">
        <f t="shared" si="1"/>
        <v>0.625</v>
      </c>
      <c r="J17" s="10">
        <f t="shared" si="5"/>
        <v>0.625</v>
      </c>
      <c r="K17" s="1">
        <f t="shared" si="2"/>
        <v>17.1875</v>
      </c>
      <c r="L17" s="12">
        <f t="shared" si="3"/>
        <v>6.703125</v>
      </c>
      <c r="M17" s="1">
        <f t="shared" si="4"/>
        <v>10</v>
      </c>
      <c r="N17" s="1">
        <f>MIN('Total per Region'!$N$19,N16+M17)</f>
        <v>72.141711711711707</v>
      </c>
      <c r="O17" s="17">
        <f t="shared" si="6"/>
        <v>4.9999999999999964</v>
      </c>
      <c r="P17" s="16">
        <f>(2*O17)/$N$13*'Total per Region'!$R$19</f>
        <v>25001.232437761879</v>
      </c>
      <c r="R17" s="19" t="s">
        <v>392</v>
      </c>
      <c r="S17">
        <v>15</v>
      </c>
    </row>
    <row r="18" spans="1:19" x14ac:dyDescent="0.25">
      <c r="A18">
        <v>2534</v>
      </c>
      <c r="B18">
        <v>1</v>
      </c>
      <c r="C18" t="s">
        <v>137</v>
      </c>
      <c r="D18" s="2" t="s">
        <v>93</v>
      </c>
      <c r="E18" s="1">
        <v>51</v>
      </c>
      <c r="F18" s="1">
        <v>20</v>
      </c>
      <c r="G18" s="1">
        <v>10</v>
      </c>
      <c r="H18" s="1">
        <f t="shared" si="0"/>
        <v>25</v>
      </c>
      <c r="I18" s="10">
        <f t="shared" si="1"/>
        <v>0.49019607843137253</v>
      </c>
      <c r="J18" s="10">
        <f t="shared" si="5"/>
        <v>0.49019607843137253</v>
      </c>
      <c r="K18" s="1">
        <f t="shared" si="2"/>
        <v>12.254901960784313</v>
      </c>
      <c r="L18" s="12">
        <f t="shared" si="3"/>
        <v>4.7794117647058822</v>
      </c>
      <c r="M18" s="1">
        <f t="shared" si="4"/>
        <v>10</v>
      </c>
      <c r="N18" s="1">
        <f>MIN('Total per Region'!$N$19,N17+M18)</f>
        <v>82.141711711711707</v>
      </c>
      <c r="O18" s="17">
        <f t="shared" si="6"/>
        <v>5</v>
      </c>
      <c r="P18" s="16">
        <f>(2*O18)/$N$13*'Total per Region'!$R$19</f>
        <v>25001.232437761897</v>
      </c>
      <c r="R18" s="19" t="s">
        <v>392</v>
      </c>
      <c r="S18">
        <v>15</v>
      </c>
    </row>
    <row r="19" spans="1:19" x14ac:dyDescent="0.25">
      <c r="A19">
        <v>465</v>
      </c>
      <c r="B19">
        <v>1</v>
      </c>
      <c r="C19" t="s">
        <v>166</v>
      </c>
      <c r="D19" s="2" t="s">
        <v>93</v>
      </c>
      <c r="E19" s="1">
        <v>128</v>
      </c>
      <c r="F19" s="1">
        <v>51</v>
      </c>
      <c r="G19" s="1">
        <v>15</v>
      </c>
      <c r="H19" s="1">
        <f t="shared" si="0"/>
        <v>58.5</v>
      </c>
      <c r="I19" s="10">
        <f t="shared" si="1"/>
        <v>0.45703125</v>
      </c>
      <c r="J19" s="10">
        <f t="shared" si="5"/>
        <v>0.45703125</v>
      </c>
      <c r="K19" s="1">
        <f t="shared" si="2"/>
        <v>26.736328125</v>
      </c>
      <c r="L19" s="12">
        <f t="shared" si="3"/>
        <v>10.42716796875</v>
      </c>
      <c r="M19" s="1">
        <f t="shared" si="4"/>
        <v>10.42716796875</v>
      </c>
      <c r="N19" s="1">
        <f>MIN('Total per Region'!$N$19,N18+M19)</f>
        <v>92.568879680461706</v>
      </c>
      <c r="O19" s="17">
        <f t="shared" si="6"/>
        <v>5.2135839843749991</v>
      </c>
      <c r="P19" s="16">
        <f>(2*O19)/$N$13*'Total per Region'!$R$19</f>
        <v>26069.205005430427</v>
      </c>
      <c r="R19" s="19" t="s">
        <v>393</v>
      </c>
      <c r="S19">
        <v>13</v>
      </c>
    </row>
    <row r="20" spans="1:19" x14ac:dyDescent="0.25">
      <c r="A20">
        <v>2859</v>
      </c>
      <c r="B20">
        <v>1</v>
      </c>
      <c r="C20" t="s">
        <v>189</v>
      </c>
      <c r="D20" s="2" t="s">
        <v>93</v>
      </c>
      <c r="E20" s="1">
        <v>137</v>
      </c>
      <c r="F20" s="1">
        <v>49</v>
      </c>
      <c r="G20" s="1">
        <v>16</v>
      </c>
      <c r="H20" s="1">
        <f t="shared" si="0"/>
        <v>57</v>
      </c>
      <c r="I20" s="10">
        <f t="shared" si="1"/>
        <v>0.41605839416058393</v>
      </c>
      <c r="J20" s="10">
        <f t="shared" si="5"/>
        <v>0.41605839416058393</v>
      </c>
      <c r="K20" s="1">
        <f t="shared" si="2"/>
        <v>23.715328467153284</v>
      </c>
      <c r="L20" s="12">
        <f t="shared" si="3"/>
        <v>9.2489781021897812</v>
      </c>
      <c r="M20" s="1">
        <f t="shared" si="4"/>
        <v>10</v>
      </c>
      <c r="N20" s="1">
        <f>MIN('Total per Region'!$N$19,N19+M20)</f>
        <v>102.56887968046171</v>
      </c>
      <c r="O20" s="17">
        <f t="shared" si="6"/>
        <v>5</v>
      </c>
      <c r="P20" s="16">
        <f>(2*O20)/$N$13*'Total per Region'!$R$19</f>
        <v>25001.232437761897</v>
      </c>
      <c r="R20" s="19" t="s">
        <v>394</v>
      </c>
      <c r="S20">
        <v>15</v>
      </c>
    </row>
    <row r="21" spans="1:19" x14ac:dyDescent="0.25">
      <c r="A21">
        <v>463</v>
      </c>
      <c r="B21">
        <v>1</v>
      </c>
      <c r="C21" t="s">
        <v>205</v>
      </c>
      <c r="D21" s="2" t="s">
        <v>93</v>
      </c>
      <c r="E21" s="1">
        <v>72</v>
      </c>
      <c r="F21" s="1">
        <v>23</v>
      </c>
      <c r="G21" s="1">
        <v>10</v>
      </c>
      <c r="H21" s="1">
        <f t="shared" si="0"/>
        <v>28</v>
      </c>
      <c r="I21" s="10">
        <f t="shared" si="1"/>
        <v>0.3888888888888889</v>
      </c>
      <c r="J21" s="10">
        <f t="shared" si="5"/>
        <v>0.3888888888888889</v>
      </c>
      <c r="K21" s="1">
        <f t="shared" si="2"/>
        <v>10.888888888888889</v>
      </c>
      <c r="L21" s="12">
        <f t="shared" si="3"/>
        <v>4.246666666666667</v>
      </c>
      <c r="M21" s="1">
        <f t="shared" si="4"/>
        <v>10</v>
      </c>
      <c r="N21" s="1">
        <f>MIN('Total per Region'!$N$19,N20+M21)</f>
        <v>105.75181282842983</v>
      </c>
      <c r="O21" s="17">
        <f t="shared" si="6"/>
        <v>1.5914665739840643</v>
      </c>
      <c r="P21" s="16">
        <f>(2*O21)/$N$13*'Total per Region'!$R$19</f>
        <v>7957.7251466208363</v>
      </c>
      <c r="R21" s="19" t="s">
        <v>393</v>
      </c>
      <c r="S21">
        <v>13</v>
      </c>
    </row>
    <row r="22" spans="1:19" x14ac:dyDescent="0.25">
      <c r="A22">
        <v>2159</v>
      </c>
      <c r="B22">
        <v>1</v>
      </c>
      <c r="C22" t="s">
        <v>266</v>
      </c>
      <c r="D22" s="2" t="s">
        <v>93</v>
      </c>
      <c r="E22" s="1">
        <v>40</v>
      </c>
      <c r="F22" s="1">
        <v>14</v>
      </c>
      <c r="G22" s="1">
        <v>2</v>
      </c>
      <c r="H22" s="1">
        <f t="shared" si="0"/>
        <v>15</v>
      </c>
      <c r="I22" s="10">
        <f t="shared" si="1"/>
        <v>0.375</v>
      </c>
      <c r="J22" s="10">
        <f t="shared" si="5"/>
        <v>0.375</v>
      </c>
      <c r="K22" s="1">
        <f t="shared" si="2"/>
        <v>5.625</v>
      </c>
      <c r="L22" s="12">
        <f t="shared" si="3"/>
        <v>2.1937500000000001</v>
      </c>
      <c r="M22" s="1">
        <f t="shared" si="4"/>
        <v>10</v>
      </c>
      <c r="N22" s="1">
        <f>MIN('Total per Region'!$N$19,N21+M22)</f>
        <v>105.75181282842983</v>
      </c>
      <c r="O22" s="17">
        <f t="shared" si="6"/>
        <v>0</v>
      </c>
      <c r="P22" s="16">
        <f>(2*O22)/$N$13*'Total per Region'!$R$19</f>
        <v>0</v>
      </c>
      <c r="R22" s="19" t="s">
        <v>392</v>
      </c>
      <c r="S22">
        <v>15</v>
      </c>
    </row>
    <row r="23" spans="1:19" x14ac:dyDescent="0.25">
      <c r="A23">
        <v>423</v>
      </c>
      <c r="B23">
        <v>1</v>
      </c>
      <c r="C23" t="s">
        <v>268</v>
      </c>
      <c r="D23" s="2" t="s">
        <v>93</v>
      </c>
      <c r="E23" s="1">
        <v>214</v>
      </c>
      <c r="F23" s="1">
        <v>63</v>
      </c>
      <c r="G23" s="1">
        <v>15</v>
      </c>
      <c r="H23" s="1">
        <f t="shared" si="0"/>
        <v>70.5</v>
      </c>
      <c r="I23" s="10">
        <f t="shared" si="1"/>
        <v>0.32943925233644861</v>
      </c>
      <c r="J23" s="10">
        <f t="shared" si="5"/>
        <v>0.32943925233644861</v>
      </c>
      <c r="K23" s="1">
        <f t="shared" si="2"/>
        <v>23.225467289719628</v>
      </c>
      <c r="L23" s="12">
        <f t="shared" si="3"/>
        <v>9.0579322429906544</v>
      </c>
      <c r="M23" s="1">
        <f t="shared" si="4"/>
        <v>10</v>
      </c>
      <c r="N23" s="1">
        <f>MIN('Total per Region'!$N$19,N22+M23)</f>
        <v>105.75181282842983</v>
      </c>
      <c r="O23" s="17">
        <f t="shared" si="6"/>
        <v>0</v>
      </c>
      <c r="P23" s="16">
        <f>(2*O23)/$N$13*'Total per Region'!$R$19</f>
        <v>0</v>
      </c>
      <c r="R23" s="19" t="s">
        <v>394</v>
      </c>
      <c r="S23">
        <v>15</v>
      </c>
    </row>
    <row r="24" spans="1:19" x14ac:dyDescent="0.25">
      <c r="A24">
        <v>424</v>
      </c>
      <c r="B24">
        <v>1</v>
      </c>
      <c r="C24" t="s">
        <v>307</v>
      </c>
      <c r="D24" s="2" t="s">
        <v>93</v>
      </c>
      <c r="E24" s="1">
        <v>33</v>
      </c>
      <c r="F24" s="1">
        <v>10</v>
      </c>
      <c r="G24" s="1">
        <v>0</v>
      </c>
      <c r="H24" s="1">
        <f t="shared" si="0"/>
        <v>10</v>
      </c>
      <c r="I24" s="10">
        <f t="shared" si="1"/>
        <v>0.30303030303030304</v>
      </c>
      <c r="J24" s="10">
        <f t="shared" si="5"/>
        <v>0.30303030303030304</v>
      </c>
      <c r="K24" s="1">
        <f t="shared" si="2"/>
        <v>3.0303030303030303</v>
      </c>
      <c r="L24" s="12">
        <f t="shared" si="3"/>
        <v>1.1818181818181819</v>
      </c>
      <c r="M24" s="1">
        <f t="shared" si="4"/>
        <v>10</v>
      </c>
      <c r="N24" s="1">
        <f>MIN('Total per Region'!$N$19,N23+M24)</f>
        <v>105.75181282842983</v>
      </c>
      <c r="O24" s="17">
        <f t="shared" si="6"/>
        <v>0</v>
      </c>
      <c r="P24" s="16">
        <f>(2*O24)/$N$13*'Total per Region'!$R$19</f>
        <v>0</v>
      </c>
      <c r="R24" s="19" t="s">
        <v>394</v>
      </c>
      <c r="S24">
        <v>15</v>
      </c>
    </row>
    <row r="25" spans="1:19" x14ac:dyDescent="0.25">
      <c r="A25">
        <v>345</v>
      </c>
      <c r="B25">
        <v>1</v>
      </c>
      <c r="C25" t="s">
        <v>291</v>
      </c>
      <c r="D25" s="2" t="s">
        <v>93</v>
      </c>
      <c r="E25" s="1">
        <v>113</v>
      </c>
      <c r="F25" s="1">
        <v>28</v>
      </c>
      <c r="G25" s="1">
        <v>9</v>
      </c>
      <c r="H25" s="1">
        <f t="shared" si="0"/>
        <v>32.5</v>
      </c>
      <c r="I25" s="10">
        <f t="shared" si="1"/>
        <v>0.28761061946902655</v>
      </c>
      <c r="J25" s="10">
        <f t="shared" si="5"/>
        <v>0.28761061946902655</v>
      </c>
      <c r="K25" s="1">
        <f t="shared" si="2"/>
        <v>9.3473451327433636</v>
      </c>
      <c r="L25" s="12">
        <f t="shared" si="3"/>
        <v>3.6454646017699122</v>
      </c>
      <c r="M25" s="1">
        <f t="shared" si="4"/>
        <v>10</v>
      </c>
      <c r="N25" s="1">
        <f>MIN('Total per Region'!$N$19,N24+M25)</f>
        <v>105.75181282842983</v>
      </c>
      <c r="O25" s="17">
        <f t="shared" si="6"/>
        <v>0</v>
      </c>
      <c r="P25" s="16">
        <f>(2*O25)/$N$13*'Total per Region'!$R$19</f>
        <v>0</v>
      </c>
      <c r="R25" s="19" t="s">
        <v>391</v>
      </c>
      <c r="S25">
        <v>14</v>
      </c>
    </row>
    <row r="26" spans="1:19" x14ac:dyDescent="0.25">
      <c r="H26" s="1"/>
      <c r="I26" s="10"/>
      <c r="J26" s="10"/>
      <c r="K26" s="1"/>
      <c r="L26" s="12"/>
      <c r="O26" s="14">
        <f>SUM(O15:O25)</f>
        <v>52.875906414214917</v>
      </c>
      <c r="P26" s="18">
        <f>SUM(P15:P25)</f>
        <v>264392.56532382645</v>
      </c>
    </row>
    <row r="27" spans="1:19" x14ac:dyDescent="0.25">
      <c r="H27" s="1"/>
      <c r="I27" s="10"/>
      <c r="J27" s="10"/>
      <c r="K27" s="1"/>
      <c r="L27" s="12"/>
      <c r="P27" s="16"/>
    </row>
    <row r="28" spans="1:19" x14ac:dyDescent="0.25">
      <c r="H28" s="1"/>
      <c r="I28" s="10"/>
      <c r="J28" s="10"/>
      <c r="K28" s="1"/>
      <c r="L28" s="12"/>
      <c r="P28" s="16"/>
    </row>
    <row r="29" spans="1:19" x14ac:dyDescent="0.25">
      <c r="H29" s="1"/>
      <c r="I29" s="10"/>
      <c r="J29" s="10"/>
      <c r="K29" s="1"/>
      <c r="L29" s="12"/>
      <c r="P29" s="16"/>
    </row>
    <row r="30" spans="1:19" x14ac:dyDescent="0.25">
      <c r="H30" s="1"/>
      <c r="I30" s="10"/>
      <c r="J30" s="10"/>
      <c r="K30" s="1"/>
      <c r="L30" s="12"/>
      <c r="P30" s="16"/>
    </row>
    <row r="31" spans="1:19" x14ac:dyDescent="0.25">
      <c r="H31" s="1"/>
      <c r="I31" s="10"/>
      <c r="J31" s="10"/>
      <c r="K31" s="1"/>
      <c r="L31" s="12"/>
      <c r="P31" s="16"/>
    </row>
    <row r="32" spans="1:19" x14ac:dyDescent="0.25">
      <c r="H32" s="1"/>
      <c r="I32" s="10"/>
      <c r="J32" s="10"/>
      <c r="K32" s="1"/>
      <c r="L32" s="12"/>
      <c r="P32" s="16"/>
    </row>
    <row r="33" spans="8:16" x14ac:dyDescent="0.25">
      <c r="H33" s="1"/>
      <c r="I33" s="10"/>
      <c r="J33" s="10"/>
      <c r="K33" s="1"/>
      <c r="L33" s="12"/>
      <c r="P33" s="16"/>
    </row>
    <row r="34" spans="8:16" x14ac:dyDescent="0.25">
      <c r="H34" s="1"/>
      <c r="I34" s="10"/>
      <c r="J34" s="10"/>
      <c r="K34" s="1"/>
      <c r="L34" s="1"/>
      <c r="P34" s="16"/>
    </row>
    <row r="35" spans="8:16" x14ac:dyDescent="0.25">
      <c r="H35" s="1"/>
      <c r="I35" s="10"/>
      <c r="J35" s="10"/>
      <c r="K35" s="1"/>
      <c r="L35" s="1"/>
      <c r="P35" s="16"/>
    </row>
    <row r="36" spans="8:16" x14ac:dyDescent="0.25">
      <c r="H36" s="1"/>
      <c r="I36" s="10"/>
      <c r="J36" s="10"/>
      <c r="K36" s="1"/>
      <c r="L36" s="1"/>
      <c r="P36" s="16"/>
    </row>
    <row r="37" spans="8:16" x14ac:dyDescent="0.25">
      <c r="H37" s="1"/>
      <c r="I37" s="10"/>
      <c r="J37" s="10"/>
      <c r="K37" s="1"/>
      <c r="L37" s="1"/>
      <c r="P37" s="16"/>
    </row>
    <row r="38" spans="8:16" x14ac:dyDescent="0.25">
      <c r="H38" s="1"/>
      <c r="I38" s="10"/>
      <c r="J38" s="10"/>
      <c r="K38" s="1"/>
      <c r="L38" s="1"/>
      <c r="P38" s="16"/>
    </row>
    <row r="39" spans="8:16" x14ac:dyDescent="0.25">
      <c r="H39" s="1"/>
      <c r="I39" s="10"/>
      <c r="J39" s="10"/>
      <c r="K39" s="1"/>
      <c r="L39" s="1"/>
      <c r="P39" s="16"/>
    </row>
    <row r="40" spans="8:16" x14ac:dyDescent="0.25">
      <c r="H40" s="1"/>
      <c r="I40" s="10"/>
      <c r="J40" s="10"/>
      <c r="K40" s="1"/>
      <c r="L40" s="1"/>
      <c r="P40" s="16"/>
    </row>
    <row r="41" spans="8:16" x14ac:dyDescent="0.25">
      <c r="H41" s="1"/>
      <c r="I41" s="10"/>
      <c r="J41" s="10"/>
      <c r="K41" s="1"/>
      <c r="L41" s="1"/>
      <c r="P41" s="16"/>
    </row>
    <row r="42" spans="8:16" x14ac:dyDescent="0.25">
      <c r="H42" s="1"/>
      <c r="I42" s="10"/>
      <c r="J42" s="10"/>
      <c r="K42" s="1"/>
      <c r="L42" s="1"/>
      <c r="P42" s="16"/>
    </row>
    <row r="43" spans="8:16" x14ac:dyDescent="0.25">
      <c r="H43" s="1"/>
      <c r="I43" s="10"/>
      <c r="J43" s="10"/>
      <c r="K43" s="1"/>
      <c r="L43" s="1"/>
      <c r="P43" s="16"/>
    </row>
    <row r="44" spans="8:16" x14ac:dyDescent="0.25">
      <c r="H44" s="1"/>
      <c r="I44" s="10"/>
      <c r="J44" s="10"/>
      <c r="K44" s="1"/>
      <c r="L44" s="1"/>
      <c r="P44" s="16"/>
    </row>
    <row r="45" spans="8:16" x14ac:dyDescent="0.25">
      <c r="H45" s="1"/>
      <c r="I45" s="10"/>
      <c r="J45" s="10"/>
      <c r="K45" s="1"/>
      <c r="L45" s="1"/>
      <c r="P45" s="16"/>
    </row>
    <row r="46" spans="8:16" x14ac:dyDescent="0.25">
      <c r="H46" s="1"/>
      <c r="I46" s="10"/>
      <c r="J46" s="10"/>
      <c r="K46" s="1"/>
      <c r="L46" s="1"/>
      <c r="P46" s="16"/>
    </row>
    <row r="47" spans="8:16" x14ac:dyDescent="0.25">
      <c r="H47" s="1"/>
      <c r="I47" s="10"/>
      <c r="J47" s="10"/>
      <c r="K47" s="1"/>
      <c r="L47" s="1"/>
      <c r="P47" s="16"/>
    </row>
    <row r="48" spans="8:16" x14ac:dyDescent="0.25">
      <c r="H48" s="1"/>
      <c r="I48" s="10"/>
      <c r="J48" s="10"/>
      <c r="K48" s="1"/>
      <c r="L48" s="1"/>
      <c r="P48" s="16"/>
    </row>
    <row r="49" spans="8:16" x14ac:dyDescent="0.25">
      <c r="H49" s="1"/>
      <c r="I49" s="10"/>
      <c r="J49" s="10"/>
      <c r="K49" s="1"/>
      <c r="L49" s="1"/>
      <c r="P49" s="16"/>
    </row>
    <row r="50" spans="8:16" x14ac:dyDescent="0.25">
      <c r="H50" s="1"/>
      <c r="I50" s="10"/>
      <c r="J50" s="10"/>
      <c r="K50" s="1"/>
      <c r="L50" s="1"/>
      <c r="P50" s="16"/>
    </row>
    <row r="51" spans="8:16" x14ac:dyDescent="0.25">
      <c r="H51" s="1"/>
      <c r="I51" s="10"/>
      <c r="J51" s="10"/>
      <c r="K51" s="1"/>
      <c r="L51" s="1"/>
      <c r="P51" s="16"/>
    </row>
    <row r="52" spans="8:16" x14ac:dyDescent="0.25">
      <c r="H52" s="1"/>
      <c r="I52" s="10"/>
      <c r="J52" s="10"/>
      <c r="K52" s="1"/>
      <c r="L52" s="1"/>
      <c r="P52" s="16"/>
    </row>
    <row r="53" spans="8:16" x14ac:dyDescent="0.25">
      <c r="H53" s="1"/>
      <c r="I53" s="10"/>
      <c r="J53" s="10"/>
      <c r="K53" s="1"/>
      <c r="L53" s="1"/>
      <c r="P53" s="16"/>
    </row>
    <row r="54" spans="8:16" x14ac:dyDescent="0.25">
      <c r="H54" s="1"/>
      <c r="I54" s="10"/>
      <c r="J54" s="10"/>
      <c r="K54" s="1"/>
      <c r="L54" s="1"/>
      <c r="P54" s="16"/>
    </row>
    <row r="55" spans="8:16" x14ac:dyDescent="0.25">
      <c r="H55" s="1"/>
      <c r="I55" s="10"/>
      <c r="J55" s="10"/>
      <c r="K55" s="1"/>
      <c r="L55" s="1"/>
      <c r="P55" s="16"/>
    </row>
    <row r="56" spans="8:16" x14ac:dyDescent="0.25">
      <c r="H56" s="1"/>
      <c r="I56" s="10"/>
      <c r="J56" s="10"/>
      <c r="K56" s="1"/>
      <c r="L56" s="1"/>
      <c r="P56" s="16"/>
    </row>
    <row r="57" spans="8:16" x14ac:dyDescent="0.25">
      <c r="H57" s="1"/>
      <c r="I57" s="10"/>
      <c r="J57" s="10"/>
      <c r="K57" s="1"/>
      <c r="L57" s="1"/>
      <c r="P57" s="22"/>
    </row>
    <row r="58" spans="8:16" x14ac:dyDescent="0.25">
      <c r="H58" s="1"/>
      <c r="I58" s="10"/>
      <c r="J58" s="10"/>
      <c r="K58" s="1"/>
      <c r="L58" s="1"/>
      <c r="P58" s="16"/>
    </row>
    <row r="59" spans="8:16" x14ac:dyDescent="0.25">
      <c r="H59" s="1"/>
      <c r="I59" s="10"/>
      <c r="J59" s="10"/>
      <c r="K59" s="1"/>
      <c r="L59" s="1"/>
      <c r="P59" s="16"/>
    </row>
    <row r="60" spans="8:16" x14ac:dyDescent="0.25">
      <c r="H60" s="1"/>
      <c r="I60" s="10"/>
      <c r="J60" s="10"/>
      <c r="K60" s="1"/>
      <c r="L60" s="1"/>
      <c r="P60" s="16"/>
    </row>
    <row r="61" spans="8:16" x14ac:dyDescent="0.25">
      <c r="H61" s="1"/>
      <c r="I61" s="10"/>
      <c r="J61" s="10"/>
      <c r="K61" s="1"/>
      <c r="L61" s="1"/>
      <c r="P61" s="16"/>
    </row>
    <row r="62" spans="8:16" x14ac:dyDescent="0.25">
      <c r="H62" s="1"/>
      <c r="I62" s="10"/>
      <c r="J62" s="10"/>
      <c r="K62" s="1"/>
      <c r="L62" s="1"/>
      <c r="P62" s="16"/>
    </row>
    <row r="63" spans="8:16" x14ac:dyDescent="0.25">
      <c r="P63" s="18"/>
    </row>
    <row r="64" spans="8:16" x14ac:dyDescent="0.25">
      <c r="P64" s="18"/>
    </row>
  </sheetData>
  <sortState ref="A15:AA25">
    <sortCondition descending="1" ref="Q15:Q25"/>
    <sortCondition descending="1" ref="J15:J25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0"/>
  <sheetViews>
    <sheetView topLeftCell="D1" workbookViewId="0"/>
  </sheetViews>
  <sheetFormatPr defaultRowHeight="15" x14ac:dyDescent="0.25"/>
  <cols>
    <col min="3" max="3" width="38.140625" bestFit="1" customWidth="1"/>
    <col min="5" max="8" width="10.85546875" bestFit="1" customWidth="1"/>
    <col min="9" max="9" width="13.7109375" bestFit="1" customWidth="1"/>
    <col min="10" max="10" width="10.28515625" bestFit="1" customWidth="1"/>
    <col min="11" max="11" width="10.85546875" bestFit="1" customWidth="1"/>
    <col min="12" max="12" width="14" bestFit="1" customWidth="1"/>
    <col min="13" max="13" width="11.42578125" bestFit="1" customWidth="1"/>
    <col min="14" max="14" width="12" bestFit="1" customWidth="1"/>
    <col min="15" max="15" width="14.5703125" bestFit="1" customWidth="1"/>
    <col min="16" max="16" width="16.28515625" bestFit="1" customWidth="1"/>
    <col min="17" max="17" width="20.140625" bestFit="1" customWidth="1"/>
    <col min="18" max="18" width="16.28515625" customWidth="1"/>
    <col min="19" max="19" width="6.85546875" bestFit="1" customWidth="1"/>
  </cols>
  <sheetData>
    <row r="1" spans="1:19" x14ac:dyDescent="0.25">
      <c r="A1" t="s">
        <v>460</v>
      </c>
      <c r="M1" s="2"/>
    </row>
    <row r="2" spans="1:19" x14ac:dyDescent="0.25">
      <c r="M2" s="2"/>
    </row>
    <row r="3" spans="1:19" x14ac:dyDescent="0.25">
      <c r="A3" t="s">
        <v>509</v>
      </c>
      <c r="C3" t="s">
        <v>508</v>
      </c>
      <c r="D3">
        <v>0.39</v>
      </c>
      <c r="M3" s="2"/>
    </row>
    <row r="4" spans="1:19" x14ac:dyDescent="0.25">
      <c r="M4" s="2"/>
    </row>
    <row r="5" spans="1:19" x14ac:dyDescent="0.25">
      <c r="E5" s="2" t="s">
        <v>445</v>
      </c>
      <c r="F5" s="2" t="s">
        <v>446</v>
      </c>
      <c r="G5" s="2" t="s">
        <v>447</v>
      </c>
      <c r="H5" s="2" t="s">
        <v>448</v>
      </c>
      <c r="I5" s="2" t="s">
        <v>449</v>
      </c>
      <c r="J5" s="2" t="s">
        <v>451</v>
      </c>
      <c r="K5" s="2" t="s">
        <v>452</v>
      </c>
      <c r="L5" s="2" t="s">
        <v>453</v>
      </c>
      <c r="M5" s="2" t="s">
        <v>454</v>
      </c>
      <c r="N5" s="2" t="s">
        <v>455</v>
      </c>
      <c r="O5" s="2" t="s">
        <v>457</v>
      </c>
      <c r="P5" s="2" t="s">
        <v>464</v>
      </c>
      <c r="Q5" s="2" t="s">
        <v>465</v>
      </c>
      <c r="R5" s="2" t="s">
        <v>466</v>
      </c>
      <c r="S5" s="2" t="s">
        <v>0</v>
      </c>
    </row>
    <row r="6" spans="1:19" x14ac:dyDescent="0.25">
      <c r="K6" s="2" t="s">
        <v>476</v>
      </c>
      <c r="O6" s="2" t="s">
        <v>512</v>
      </c>
    </row>
    <row r="7" spans="1:19" x14ac:dyDescent="0.25">
      <c r="H7" s="2" t="s">
        <v>476</v>
      </c>
      <c r="J7" s="2" t="s">
        <v>486</v>
      </c>
      <c r="K7" s="2" t="s">
        <v>489</v>
      </c>
      <c r="M7" s="2" t="s">
        <v>492</v>
      </c>
      <c r="N7" s="2" t="s">
        <v>458</v>
      </c>
      <c r="O7" s="2" t="s">
        <v>459</v>
      </c>
      <c r="P7" s="2" t="s">
        <v>463</v>
      </c>
    </row>
    <row r="8" spans="1:19" x14ac:dyDescent="0.25">
      <c r="E8" s="2"/>
      <c r="F8" s="2"/>
      <c r="G8" s="2"/>
      <c r="H8" s="2" t="s">
        <v>477</v>
      </c>
      <c r="I8" s="2"/>
      <c r="J8" s="2" t="s">
        <v>484</v>
      </c>
      <c r="K8" s="2" t="s">
        <v>490</v>
      </c>
      <c r="L8" s="2"/>
      <c r="M8" s="2" t="s">
        <v>493</v>
      </c>
      <c r="N8" s="2" t="s">
        <v>450</v>
      </c>
      <c r="O8" s="2" t="s">
        <v>463</v>
      </c>
      <c r="P8" s="2" t="s">
        <v>504</v>
      </c>
      <c r="Q8" s="2" t="s">
        <v>500</v>
      </c>
      <c r="R8" s="2"/>
    </row>
    <row r="9" spans="1:19" x14ac:dyDescent="0.25">
      <c r="E9" s="2" t="s">
        <v>476</v>
      </c>
      <c r="F9" s="2" t="s">
        <v>476</v>
      </c>
      <c r="G9" s="2" t="s">
        <v>476</v>
      </c>
      <c r="H9" s="2" t="s">
        <v>481</v>
      </c>
      <c r="I9" s="2" t="s">
        <v>484</v>
      </c>
      <c r="J9" s="2" t="s">
        <v>487</v>
      </c>
      <c r="K9" s="2" t="s">
        <v>482</v>
      </c>
      <c r="L9" s="2" t="s">
        <v>467</v>
      </c>
      <c r="M9" s="2" t="s">
        <v>494</v>
      </c>
      <c r="N9" s="2" t="s">
        <v>498</v>
      </c>
      <c r="O9" s="2" t="s">
        <v>450</v>
      </c>
      <c r="P9" s="8" t="s">
        <v>505</v>
      </c>
      <c r="Q9" s="2" t="s">
        <v>503</v>
      </c>
    </row>
    <row r="10" spans="1:19" x14ac:dyDescent="0.25">
      <c r="E10" s="2" t="s">
        <v>477</v>
      </c>
      <c r="F10" s="2" t="s">
        <v>477</v>
      </c>
      <c r="G10" s="2" t="s">
        <v>477</v>
      </c>
      <c r="H10" s="2" t="s">
        <v>482</v>
      </c>
      <c r="I10" s="2" t="s">
        <v>485</v>
      </c>
      <c r="J10" s="11" t="s">
        <v>488</v>
      </c>
      <c r="K10" s="2" t="s">
        <v>487</v>
      </c>
      <c r="L10" s="2" t="s">
        <v>510</v>
      </c>
      <c r="M10" s="11" t="s">
        <v>495</v>
      </c>
      <c r="N10" s="8">
        <f>ROUND(N13,0)</f>
        <v>45</v>
      </c>
      <c r="O10" s="2" t="s">
        <v>513</v>
      </c>
      <c r="P10" s="2" t="s">
        <v>506</v>
      </c>
      <c r="Q10" s="2" t="s">
        <v>501</v>
      </c>
      <c r="R10" s="2"/>
      <c r="S10" s="2" t="s">
        <v>471</v>
      </c>
    </row>
    <row r="11" spans="1:19" x14ac:dyDescent="0.25">
      <c r="A11" t="s">
        <v>349</v>
      </c>
      <c r="B11" t="s">
        <v>350</v>
      </c>
      <c r="C11" t="s">
        <v>351</v>
      </c>
      <c r="D11" t="s">
        <v>352</v>
      </c>
      <c r="E11" s="2" t="s">
        <v>478</v>
      </c>
      <c r="F11" s="2" t="s">
        <v>479</v>
      </c>
      <c r="G11" s="2" t="s">
        <v>480</v>
      </c>
      <c r="H11" s="11" t="s">
        <v>483</v>
      </c>
      <c r="I11" s="11" t="s">
        <v>470</v>
      </c>
      <c r="J11" s="11" t="s">
        <v>473</v>
      </c>
      <c r="K11" s="11" t="s">
        <v>491</v>
      </c>
      <c r="L11" s="11" t="s">
        <v>511</v>
      </c>
      <c r="M11" s="11" t="s">
        <v>496</v>
      </c>
      <c r="N11" s="2" t="s">
        <v>499</v>
      </c>
      <c r="O11" s="2" t="s">
        <v>497</v>
      </c>
      <c r="P11" s="2" t="s">
        <v>507</v>
      </c>
      <c r="Q11" s="2" t="s">
        <v>502</v>
      </c>
      <c r="R11" s="2" t="s">
        <v>356</v>
      </c>
      <c r="S11" s="2" t="s">
        <v>472</v>
      </c>
    </row>
    <row r="12" spans="1:19" x14ac:dyDescent="0.25">
      <c r="M12" s="2"/>
      <c r="P12" s="1"/>
    </row>
    <row r="13" spans="1:19" x14ac:dyDescent="0.25">
      <c r="N13" s="14">
        <f>'Total per Region'!N20</f>
        <v>44.751488191681112</v>
      </c>
      <c r="P13" s="14"/>
    </row>
    <row r="14" spans="1:19" x14ac:dyDescent="0.25">
      <c r="K14" s="1">
        <f>SUM(K15:K62)</f>
        <v>119.08680511831982</v>
      </c>
    </row>
    <row r="15" spans="1:19" x14ac:dyDescent="0.25">
      <c r="A15">
        <v>2190</v>
      </c>
      <c r="B15">
        <v>1</v>
      </c>
      <c r="C15" t="s">
        <v>99</v>
      </c>
      <c r="D15" s="2" t="s">
        <v>100</v>
      </c>
      <c r="E15" s="1">
        <v>62</v>
      </c>
      <c r="F15" s="1">
        <v>36</v>
      </c>
      <c r="G15" s="1">
        <v>5</v>
      </c>
      <c r="H15" s="1">
        <f t="shared" ref="H15:H24" si="0">F15+0.5*G15</f>
        <v>38.5</v>
      </c>
      <c r="I15" s="10">
        <f t="shared" ref="I15:I24" si="1">H15/E15</f>
        <v>0.62096774193548387</v>
      </c>
      <c r="J15" s="10">
        <f>MIN(I15,0.8)</f>
        <v>0.62096774193548387</v>
      </c>
      <c r="K15" s="1">
        <f t="shared" ref="K15:K24" si="2">J15*H15</f>
        <v>23.907258064516128</v>
      </c>
      <c r="L15" s="12">
        <f t="shared" ref="L15:L24" si="3">(0.39)*K15</f>
        <v>9.3238306451612907</v>
      </c>
      <c r="M15" s="1">
        <f t="shared" ref="M15:M24" si="4">MAX(L15,10)</f>
        <v>10</v>
      </c>
      <c r="N15" s="1">
        <f>M15</f>
        <v>10</v>
      </c>
      <c r="O15" s="17">
        <f>(N15-N14)/2</f>
        <v>5</v>
      </c>
      <c r="P15" s="16">
        <f>(2*O15)/$N$13*'Total per Region'!$R$20</f>
        <v>25001.232437761893</v>
      </c>
      <c r="R15" s="19" t="s">
        <v>395</v>
      </c>
      <c r="S15">
        <v>14</v>
      </c>
    </row>
    <row r="16" spans="1:19" x14ac:dyDescent="0.25">
      <c r="A16">
        <v>775</v>
      </c>
      <c r="B16">
        <v>1</v>
      </c>
      <c r="C16" t="s">
        <v>118</v>
      </c>
      <c r="D16" s="2" t="s">
        <v>100</v>
      </c>
      <c r="E16" s="1">
        <v>59</v>
      </c>
      <c r="F16" s="1">
        <v>25</v>
      </c>
      <c r="G16" s="1">
        <v>11</v>
      </c>
      <c r="H16" s="1">
        <f t="shared" si="0"/>
        <v>30.5</v>
      </c>
      <c r="I16" s="10">
        <f t="shared" si="1"/>
        <v>0.51694915254237284</v>
      </c>
      <c r="J16" s="10">
        <f t="shared" ref="J16:J24" si="5">MIN(I16,0.8)</f>
        <v>0.51694915254237284</v>
      </c>
      <c r="K16" s="1">
        <f t="shared" si="2"/>
        <v>15.766949152542372</v>
      </c>
      <c r="L16" s="12">
        <f t="shared" si="3"/>
        <v>6.1491101694915251</v>
      </c>
      <c r="M16" s="1">
        <f t="shared" si="4"/>
        <v>10</v>
      </c>
      <c r="N16" s="1">
        <f>MIN('Total per Region'!$N$20,N15+M16)</f>
        <v>20</v>
      </c>
      <c r="O16" s="17">
        <f t="shared" ref="O16:O24" si="6">(N16-N15)/2</f>
        <v>5</v>
      </c>
      <c r="P16" s="16">
        <f>(2*O16)/$N$13*'Total per Region'!$R$20</f>
        <v>25001.232437761893</v>
      </c>
      <c r="R16" s="19" t="s">
        <v>396</v>
      </c>
      <c r="S16">
        <v>14</v>
      </c>
    </row>
    <row r="17" spans="1:19" x14ac:dyDescent="0.25">
      <c r="A17">
        <v>2180</v>
      </c>
      <c r="B17">
        <v>1</v>
      </c>
      <c r="C17" t="s">
        <v>160</v>
      </c>
      <c r="D17" s="2" t="s">
        <v>100</v>
      </c>
      <c r="E17" s="1">
        <v>65</v>
      </c>
      <c r="F17" s="1">
        <v>26</v>
      </c>
      <c r="G17" s="1">
        <v>7</v>
      </c>
      <c r="H17" s="1">
        <f t="shared" si="0"/>
        <v>29.5</v>
      </c>
      <c r="I17" s="10">
        <f t="shared" si="1"/>
        <v>0.45384615384615384</v>
      </c>
      <c r="J17" s="10">
        <f t="shared" si="5"/>
        <v>0.45384615384615384</v>
      </c>
      <c r="K17" s="1">
        <f t="shared" si="2"/>
        <v>13.388461538461538</v>
      </c>
      <c r="L17" s="12">
        <f t="shared" si="3"/>
        <v>5.2214999999999998</v>
      </c>
      <c r="M17" s="1">
        <f t="shared" si="4"/>
        <v>10</v>
      </c>
      <c r="N17" s="1">
        <f>MIN('Total per Region'!$N$20,N16+M17)</f>
        <v>30</v>
      </c>
      <c r="O17" s="17">
        <f t="shared" si="6"/>
        <v>5</v>
      </c>
      <c r="P17" s="16">
        <f>(2*O17)/$N$13*'Total per Region'!$R$20</f>
        <v>25001.232437761893</v>
      </c>
      <c r="R17" s="19" t="s">
        <v>397</v>
      </c>
      <c r="S17">
        <v>13</v>
      </c>
    </row>
    <row r="18" spans="1:19" x14ac:dyDescent="0.25">
      <c r="A18">
        <v>129</v>
      </c>
      <c r="B18">
        <v>1</v>
      </c>
      <c r="C18" t="s">
        <v>161</v>
      </c>
      <c r="D18" s="2" t="s">
        <v>100</v>
      </c>
      <c r="E18" s="1">
        <v>103</v>
      </c>
      <c r="F18" s="1">
        <v>38</v>
      </c>
      <c r="G18" s="1">
        <v>17</v>
      </c>
      <c r="H18" s="1">
        <f t="shared" si="0"/>
        <v>46.5</v>
      </c>
      <c r="I18" s="10">
        <f t="shared" si="1"/>
        <v>0.45145631067961167</v>
      </c>
      <c r="J18" s="10">
        <f t="shared" si="5"/>
        <v>0.45145631067961167</v>
      </c>
      <c r="K18" s="1">
        <f t="shared" si="2"/>
        <v>20.992718446601941</v>
      </c>
      <c r="L18" s="12">
        <f t="shared" si="3"/>
        <v>8.1871601941747567</v>
      </c>
      <c r="M18" s="1">
        <f t="shared" si="4"/>
        <v>10</v>
      </c>
      <c r="N18" s="1">
        <f>MIN('Total per Region'!$N$20,N17+M18)</f>
        <v>40</v>
      </c>
      <c r="O18" s="17">
        <f t="shared" si="6"/>
        <v>5</v>
      </c>
      <c r="P18" s="16">
        <f>(2*O18)/$N$13*'Total per Region'!$R$20</f>
        <v>25001.232437761893</v>
      </c>
      <c r="R18" s="19" t="s">
        <v>397</v>
      </c>
      <c r="S18">
        <v>13</v>
      </c>
    </row>
    <row r="19" spans="1:19" x14ac:dyDescent="0.25">
      <c r="A19">
        <v>2903</v>
      </c>
      <c r="B19">
        <v>1</v>
      </c>
      <c r="C19" t="s">
        <v>154</v>
      </c>
      <c r="D19" s="2" t="s">
        <v>100</v>
      </c>
      <c r="E19" s="1">
        <v>35</v>
      </c>
      <c r="F19" s="1">
        <v>12</v>
      </c>
      <c r="G19" s="1">
        <v>5</v>
      </c>
      <c r="H19" s="1">
        <f t="shared" si="0"/>
        <v>14.5</v>
      </c>
      <c r="I19" s="10">
        <f t="shared" si="1"/>
        <v>0.41428571428571431</v>
      </c>
      <c r="J19" s="10">
        <f t="shared" si="5"/>
        <v>0.41428571428571431</v>
      </c>
      <c r="K19" s="1">
        <f t="shared" si="2"/>
        <v>6.0071428571428571</v>
      </c>
      <c r="L19" s="12">
        <f t="shared" si="3"/>
        <v>2.3427857142857142</v>
      </c>
      <c r="M19" s="1">
        <f t="shared" si="4"/>
        <v>10</v>
      </c>
      <c r="N19" s="1">
        <f>MIN('Total per Region'!$N$20,N18+M19)</f>
        <v>44.751488191681112</v>
      </c>
      <c r="O19" s="17">
        <f t="shared" si="6"/>
        <v>2.375744095840556</v>
      </c>
      <c r="P19" s="16">
        <f>(2*O19)/$N$13*'Total per Region'!$R$20</f>
        <v>11879.306070550041</v>
      </c>
      <c r="R19" s="19" t="s">
        <v>399</v>
      </c>
      <c r="S19">
        <v>15</v>
      </c>
    </row>
    <row r="20" spans="1:19" x14ac:dyDescent="0.25">
      <c r="A20">
        <v>2853</v>
      </c>
      <c r="B20">
        <v>1</v>
      </c>
      <c r="C20" t="s">
        <v>138</v>
      </c>
      <c r="D20" s="2" t="s">
        <v>100</v>
      </c>
      <c r="E20" s="1">
        <v>80</v>
      </c>
      <c r="F20" s="1">
        <v>27</v>
      </c>
      <c r="G20" s="1">
        <v>12</v>
      </c>
      <c r="H20" s="1">
        <f t="shared" si="0"/>
        <v>33</v>
      </c>
      <c r="I20" s="10">
        <f t="shared" si="1"/>
        <v>0.41249999999999998</v>
      </c>
      <c r="J20" s="10">
        <f t="shared" si="5"/>
        <v>0.41249999999999998</v>
      </c>
      <c r="K20" s="1">
        <f t="shared" si="2"/>
        <v>13.612499999999999</v>
      </c>
      <c r="L20" s="12">
        <f t="shared" si="3"/>
        <v>5.3088749999999996</v>
      </c>
      <c r="M20" s="1">
        <f t="shared" si="4"/>
        <v>10</v>
      </c>
      <c r="N20" s="1">
        <f>MIN('Total per Region'!$N$20,N19+M20)</f>
        <v>44.751488191681112</v>
      </c>
      <c r="O20" s="17">
        <f t="shared" si="6"/>
        <v>0</v>
      </c>
      <c r="P20" s="16">
        <f>(2*O20)/$N$13*'Total per Region'!$R$20</f>
        <v>0</v>
      </c>
      <c r="R20" s="19" t="s">
        <v>398</v>
      </c>
      <c r="S20">
        <v>15</v>
      </c>
    </row>
    <row r="21" spans="1:19" x14ac:dyDescent="0.25">
      <c r="A21">
        <v>891</v>
      </c>
      <c r="B21">
        <v>1</v>
      </c>
      <c r="C21" t="s">
        <v>207</v>
      </c>
      <c r="D21" s="2" t="s">
        <v>100</v>
      </c>
      <c r="E21" s="1">
        <v>37</v>
      </c>
      <c r="F21" s="1">
        <v>12</v>
      </c>
      <c r="G21" s="1">
        <v>6</v>
      </c>
      <c r="H21" s="1">
        <f t="shared" si="0"/>
        <v>15</v>
      </c>
      <c r="I21" s="10">
        <f t="shared" si="1"/>
        <v>0.40540540540540543</v>
      </c>
      <c r="J21" s="10">
        <f t="shared" si="5"/>
        <v>0.40540540540540543</v>
      </c>
      <c r="K21" s="1">
        <f t="shared" si="2"/>
        <v>6.0810810810810816</v>
      </c>
      <c r="L21" s="12">
        <f t="shared" si="3"/>
        <v>2.3716216216216219</v>
      </c>
      <c r="M21" s="1">
        <f t="shared" si="4"/>
        <v>10</v>
      </c>
      <c r="N21" s="1">
        <f>MIN('Total per Region'!$N$20,N20+M21)</f>
        <v>44.751488191681112</v>
      </c>
      <c r="O21" s="17">
        <f t="shared" si="6"/>
        <v>0</v>
      </c>
      <c r="P21" s="16">
        <f>(2*O21)/$N$13*'Total per Region'!$R$20</f>
        <v>0</v>
      </c>
      <c r="R21" s="19" t="s">
        <v>395</v>
      </c>
      <c r="S21">
        <v>14</v>
      </c>
    </row>
    <row r="22" spans="1:19" x14ac:dyDescent="0.25">
      <c r="A22">
        <v>378</v>
      </c>
      <c r="B22">
        <v>1</v>
      </c>
      <c r="C22" t="s">
        <v>164</v>
      </c>
      <c r="D22" s="2" t="s">
        <v>100</v>
      </c>
      <c r="E22" s="1">
        <v>42</v>
      </c>
      <c r="F22" s="1">
        <v>13</v>
      </c>
      <c r="G22" s="1">
        <v>7</v>
      </c>
      <c r="H22" s="1">
        <f t="shared" si="0"/>
        <v>16.5</v>
      </c>
      <c r="I22" s="10">
        <f t="shared" si="1"/>
        <v>0.39285714285714285</v>
      </c>
      <c r="J22" s="10">
        <f t="shared" si="5"/>
        <v>0.39285714285714285</v>
      </c>
      <c r="K22" s="1">
        <f t="shared" si="2"/>
        <v>6.4821428571428568</v>
      </c>
      <c r="L22" s="12">
        <f t="shared" si="3"/>
        <v>2.5280357142857142</v>
      </c>
      <c r="M22" s="1">
        <f t="shared" si="4"/>
        <v>10</v>
      </c>
      <c r="N22" s="1">
        <f>MIN('Total per Region'!$N$20,N21+M22)</f>
        <v>44.751488191681112</v>
      </c>
      <c r="O22" s="17">
        <f t="shared" si="6"/>
        <v>0</v>
      </c>
      <c r="P22" s="16">
        <f>(2*O22)/$N$13*'Total per Region'!$R$20</f>
        <v>0</v>
      </c>
      <c r="R22" s="19" t="s">
        <v>398</v>
      </c>
      <c r="S22">
        <v>15</v>
      </c>
    </row>
    <row r="23" spans="1:19" x14ac:dyDescent="0.25">
      <c r="A23">
        <v>2888</v>
      </c>
      <c r="B23">
        <v>1</v>
      </c>
      <c r="C23" t="s">
        <v>167</v>
      </c>
      <c r="D23" s="2" t="s">
        <v>100</v>
      </c>
      <c r="E23" s="1">
        <v>31</v>
      </c>
      <c r="F23" s="1">
        <v>9</v>
      </c>
      <c r="G23" s="1">
        <v>6</v>
      </c>
      <c r="H23" s="1">
        <f t="shared" si="0"/>
        <v>12</v>
      </c>
      <c r="I23" s="10">
        <f t="shared" si="1"/>
        <v>0.38709677419354838</v>
      </c>
      <c r="J23" s="10">
        <f t="shared" si="5"/>
        <v>0.38709677419354838</v>
      </c>
      <c r="K23" s="1">
        <f t="shared" si="2"/>
        <v>4.6451612903225801</v>
      </c>
      <c r="L23" s="12">
        <f t="shared" si="3"/>
        <v>1.8116129032258064</v>
      </c>
      <c r="M23" s="1">
        <f t="shared" si="4"/>
        <v>10</v>
      </c>
      <c r="N23" s="1">
        <f>MIN('Total per Region'!$N$20,N22+M23)</f>
        <v>44.751488191681112</v>
      </c>
      <c r="O23" s="17">
        <f t="shared" si="6"/>
        <v>0</v>
      </c>
      <c r="P23" s="16">
        <f>(2*O23)/$N$13*'Total per Region'!$R$20</f>
        <v>0</v>
      </c>
      <c r="R23" s="19" t="s">
        <v>399</v>
      </c>
      <c r="S23">
        <v>15</v>
      </c>
    </row>
    <row r="24" spans="1:19" x14ac:dyDescent="0.25">
      <c r="A24">
        <v>777</v>
      </c>
      <c r="B24">
        <v>1</v>
      </c>
      <c r="C24" t="s">
        <v>220</v>
      </c>
      <c r="D24" s="2" t="s">
        <v>100</v>
      </c>
      <c r="E24" s="1">
        <v>59</v>
      </c>
      <c r="F24" s="1">
        <v>18</v>
      </c>
      <c r="G24" s="1">
        <v>8</v>
      </c>
      <c r="H24" s="1">
        <f t="shared" si="0"/>
        <v>22</v>
      </c>
      <c r="I24" s="10">
        <f t="shared" si="1"/>
        <v>0.3728813559322034</v>
      </c>
      <c r="J24" s="10">
        <f t="shared" si="5"/>
        <v>0.3728813559322034</v>
      </c>
      <c r="K24" s="1">
        <f t="shared" si="2"/>
        <v>8.203389830508474</v>
      </c>
      <c r="L24" s="12">
        <f t="shared" si="3"/>
        <v>3.1993220338983051</v>
      </c>
      <c r="M24" s="1">
        <f t="shared" si="4"/>
        <v>10</v>
      </c>
      <c r="N24" s="1">
        <f>MIN('Total per Region'!$N$20,N23+M24)</f>
        <v>44.751488191681112</v>
      </c>
      <c r="O24" s="17">
        <f t="shared" si="6"/>
        <v>0</v>
      </c>
      <c r="P24" s="16">
        <f>(2*O24)/$N$13*'Total per Region'!$R$20</f>
        <v>0</v>
      </c>
      <c r="R24" s="19" t="s">
        <v>396</v>
      </c>
      <c r="S24">
        <v>14</v>
      </c>
    </row>
    <row r="25" spans="1:19" x14ac:dyDescent="0.25">
      <c r="H25" s="1"/>
      <c r="I25" s="10"/>
      <c r="J25" s="10"/>
      <c r="K25" s="1"/>
      <c r="L25" s="12"/>
      <c r="O25" s="14">
        <f>SUM(O15:O24)</f>
        <v>22.375744095840556</v>
      </c>
      <c r="P25" s="18">
        <f>SUM(P15:P24)</f>
        <v>111884.23582159761</v>
      </c>
    </row>
    <row r="26" spans="1:19" x14ac:dyDescent="0.25">
      <c r="H26" s="1"/>
      <c r="I26" s="10"/>
      <c r="J26" s="10"/>
      <c r="K26" s="1"/>
      <c r="L26" s="12"/>
      <c r="P26" s="16"/>
    </row>
    <row r="27" spans="1:19" x14ac:dyDescent="0.25">
      <c r="H27" s="1"/>
      <c r="I27" s="10"/>
      <c r="J27" s="10"/>
      <c r="K27" s="1"/>
      <c r="L27" s="12"/>
      <c r="P27" s="16"/>
    </row>
    <row r="28" spans="1:19" x14ac:dyDescent="0.25">
      <c r="H28" s="1"/>
      <c r="I28" s="10"/>
      <c r="J28" s="10"/>
      <c r="K28" s="1"/>
      <c r="L28" s="12"/>
      <c r="P28" s="16"/>
    </row>
    <row r="29" spans="1:19" x14ac:dyDescent="0.25">
      <c r="H29" s="1"/>
      <c r="I29" s="10"/>
      <c r="J29" s="10"/>
      <c r="K29" s="1"/>
      <c r="L29" s="12"/>
      <c r="P29" s="16"/>
    </row>
    <row r="30" spans="1:19" x14ac:dyDescent="0.25">
      <c r="H30" s="1"/>
      <c r="I30" s="10"/>
      <c r="J30" s="10"/>
      <c r="K30" s="1"/>
      <c r="L30" s="12"/>
      <c r="P30" s="16"/>
    </row>
    <row r="31" spans="1:19" x14ac:dyDescent="0.25">
      <c r="H31" s="1"/>
      <c r="I31" s="10"/>
      <c r="J31" s="10"/>
      <c r="K31" s="1"/>
      <c r="L31" s="12"/>
      <c r="P31" s="16"/>
    </row>
    <row r="32" spans="1:19" x14ac:dyDescent="0.25">
      <c r="H32" s="1"/>
      <c r="I32" s="10"/>
      <c r="J32" s="10"/>
      <c r="K32" s="1"/>
      <c r="L32" s="12"/>
      <c r="P32" s="16"/>
    </row>
    <row r="33" spans="8:16" x14ac:dyDescent="0.25">
      <c r="H33" s="1"/>
      <c r="I33" s="10"/>
      <c r="J33" s="10"/>
      <c r="K33" s="1"/>
      <c r="L33" s="12"/>
      <c r="P33" s="16"/>
    </row>
    <row r="34" spans="8:16" x14ac:dyDescent="0.25">
      <c r="H34" s="1"/>
      <c r="I34" s="10"/>
      <c r="J34" s="10"/>
      <c r="K34" s="1"/>
      <c r="L34" s="12"/>
      <c r="P34" s="16"/>
    </row>
    <row r="35" spans="8:16" x14ac:dyDescent="0.25">
      <c r="H35" s="1"/>
      <c r="I35" s="10"/>
      <c r="J35" s="10"/>
      <c r="K35" s="1"/>
      <c r="L35" s="12"/>
      <c r="P35" s="16"/>
    </row>
    <row r="36" spans="8:16" x14ac:dyDescent="0.25">
      <c r="H36" s="1"/>
      <c r="I36" s="10"/>
      <c r="J36" s="10"/>
      <c r="K36" s="1"/>
      <c r="L36" s="12"/>
      <c r="P36" s="16"/>
    </row>
    <row r="37" spans="8:16" x14ac:dyDescent="0.25">
      <c r="H37" s="1"/>
      <c r="I37" s="10"/>
      <c r="J37" s="10"/>
      <c r="K37" s="1"/>
      <c r="L37" s="12"/>
      <c r="P37" s="16"/>
    </row>
    <row r="38" spans="8:16" x14ac:dyDescent="0.25">
      <c r="H38" s="1"/>
      <c r="I38" s="10"/>
      <c r="J38" s="10"/>
      <c r="K38" s="1"/>
      <c r="L38" s="12"/>
      <c r="P38" s="16"/>
    </row>
    <row r="39" spans="8:16" x14ac:dyDescent="0.25">
      <c r="H39" s="1"/>
      <c r="I39" s="10"/>
      <c r="J39" s="10"/>
      <c r="K39" s="1"/>
      <c r="L39" s="12"/>
      <c r="P39" s="16"/>
    </row>
    <row r="40" spans="8:16" x14ac:dyDescent="0.25">
      <c r="H40" s="1"/>
      <c r="I40" s="10"/>
      <c r="J40" s="10"/>
      <c r="K40" s="1"/>
      <c r="L40" s="12"/>
      <c r="P40" s="16"/>
    </row>
    <row r="41" spans="8:16" x14ac:dyDescent="0.25">
      <c r="H41" s="1"/>
      <c r="I41" s="10"/>
      <c r="J41" s="10"/>
      <c r="K41" s="1"/>
      <c r="L41" s="12"/>
      <c r="P41" s="16"/>
    </row>
    <row r="42" spans="8:16" x14ac:dyDescent="0.25">
      <c r="H42" s="1"/>
      <c r="I42" s="10"/>
      <c r="J42" s="10"/>
      <c r="K42" s="1"/>
      <c r="L42" s="12"/>
      <c r="P42" s="16"/>
    </row>
    <row r="43" spans="8:16" x14ac:dyDescent="0.25">
      <c r="H43" s="1"/>
      <c r="I43" s="10"/>
      <c r="J43" s="10"/>
      <c r="K43" s="1"/>
      <c r="L43" s="12"/>
      <c r="P43" s="16"/>
    </row>
    <row r="44" spans="8:16" x14ac:dyDescent="0.25">
      <c r="H44" s="1"/>
      <c r="I44" s="10"/>
      <c r="J44" s="10"/>
      <c r="K44" s="1"/>
      <c r="L44" s="12"/>
      <c r="P44" s="16"/>
    </row>
    <row r="45" spans="8:16" x14ac:dyDescent="0.25">
      <c r="H45" s="1"/>
      <c r="I45" s="10"/>
      <c r="J45" s="10"/>
      <c r="K45" s="1"/>
      <c r="L45" s="12"/>
      <c r="P45" s="16"/>
    </row>
    <row r="46" spans="8:16" x14ac:dyDescent="0.25">
      <c r="H46" s="1"/>
      <c r="I46" s="10"/>
      <c r="J46" s="10"/>
      <c r="K46" s="1"/>
      <c r="L46" s="12"/>
      <c r="P46" s="16"/>
    </row>
    <row r="47" spans="8:16" x14ac:dyDescent="0.25">
      <c r="H47" s="1"/>
      <c r="I47" s="10"/>
      <c r="J47" s="10"/>
      <c r="K47" s="1"/>
      <c r="L47" s="12"/>
      <c r="P47" s="16"/>
    </row>
    <row r="48" spans="8:16" x14ac:dyDescent="0.25">
      <c r="H48" s="1"/>
      <c r="I48" s="10"/>
      <c r="J48" s="10"/>
      <c r="K48" s="1"/>
      <c r="L48" s="12"/>
      <c r="P48" s="16"/>
    </row>
    <row r="49" spans="8:16" x14ac:dyDescent="0.25">
      <c r="H49" s="1"/>
      <c r="I49" s="10"/>
      <c r="J49" s="10"/>
      <c r="K49" s="1"/>
      <c r="L49" s="12"/>
      <c r="P49" s="16"/>
    </row>
    <row r="50" spans="8:16" x14ac:dyDescent="0.25">
      <c r="H50" s="1"/>
      <c r="I50" s="10"/>
      <c r="J50" s="10"/>
      <c r="K50" s="1"/>
      <c r="L50" s="12"/>
      <c r="P50" s="16"/>
    </row>
    <row r="51" spans="8:16" x14ac:dyDescent="0.25">
      <c r="H51" s="1"/>
      <c r="I51" s="10"/>
      <c r="J51" s="10"/>
      <c r="K51" s="1"/>
      <c r="L51" s="12"/>
      <c r="P51" s="16"/>
    </row>
    <row r="52" spans="8:16" x14ac:dyDescent="0.25">
      <c r="H52" s="1"/>
      <c r="I52" s="10"/>
      <c r="J52" s="10"/>
      <c r="K52" s="1"/>
      <c r="L52" s="12"/>
      <c r="P52" s="16"/>
    </row>
    <row r="53" spans="8:16" x14ac:dyDescent="0.25">
      <c r="H53" s="1"/>
      <c r="I53" s="10"/>
      <c r="J53" s="10"/>
      <c r="K53" s="1"/>
      <c r="L53" s="12"/>
      <c r="P53" s="16"/>
    </row>
    <row r="54" spans="8:16" x14ac:dyDescent="0.25">
      <c r="H54" s="1"/>
      <c r="I54" s="10"/>
      <c r="J54" s="10"/>
      <c r="K54" s="1"/>
      <c r="L54" s="12"/>
      <c r="P54" s="16"/>
    </row>
    <row r="55" spans="8:16" x14ac:dyDescent="0.25">
      <c r="H55" s="1"/>
      <c r="I55" s="10"/>
      <c r="J55" s="10"/>
      <c r="K55" s="1"/>
      <c r="L55" s="12"/>
      <c r="P55" s="16"/>
    </row>
    <row r="56" spans="8:16" x14ac:dyDescent="0.25">
      <c r="H56" s="1"/>
      <c r="I56" s="10"/>
      <c r="J56" s="10"/>
      <c r="K56" s="1"/>
      <c r="L56" s="12"/>
      <c r="P56" s="16"/>
    </row>
    <row r="57" spans="8:16" x14ac:dyDescent="0.25">
      <c r="H57" s="1"/>
      <c r="I57" s="10"/>
      <c r="J57" s="10"/>
      <c r="K57" s="1"/>
      <c r="L57" s="12"/>
      <c r="P57" s="22"/>
    </row>
    <row r="58" spans="8:16" x14ac:dyDescent="0.25">
      <c r="H58" s="1"/>
      <c r="I58" s="10"/>
      <c r="J58" s="10"/>
      <c r="K58" s="1"/>
      <c r="L58" s="12"/>
      <c r="P58" s="16"/>
    </row>
    <row r="59" spans="8:16" x14ac:dyDescent="0.25">
      <c r="H59" s="1"/>
      <c r="I59" s="10"/>
      <c r="J59" s="10"/>
      <c r="K59" s="1"/>
      <c r="L59" s="12"/>
      <c r="P59" s="16"/>
    </row>
    <row r="60" spans="8:16" x14ac:dyDescent="0.25">
      <c r="H60" s="1"/>
      <c r="I60" s="10"/>
      <c r="J60" s="10"/>
      <c r="K60" s="1"/>
      <c r="L60" s="12"/>
      <c r="P60" s="16"/>
    </row>
    <row r="61" spans="8:16" x14ac:dyDescent="0.25">
      <c r="H61" s="1"/>
      <c r="I61" s="10"/>
      <c r="J61" s="10"/>
      <c r="K61" s="1"/>
      <c r="L61" s="12"/>
      <c r="P61" s="16"/>
    </row>
    <row r="62" spans="8:16" x14ac:dyDescent="0.25">
      <c r="H62" s="1"/>
      <c r="I62" s="10"/>
      <c r="J62" s="10"/>
      <c r="K62" s="1"/>
      <c r="L62" s="12"/>
      <c r="P62" s="16"/>
    </row>
    <row r="63" spans="8:16" x14ac:dyDescent="0.25">
      <c r="L63" s="13"/>
      <c r="P63" s="18"/>
    </row>
    <row r="64" spans="8:16" x14ac:dyDescent="0.25">
      <c r="L64" s="13"/>
      <c r="P64" s="18"/>
    </row>
    <row r="65" spans="12:12" x14ac:dyDescent="0.25">
      <c r="L65" s="13"/>
    </row>
    <row r="66" spans="12:12" x14ac:dyDescent="0.25">
      <c r="L66" s="13"/>
    </row>
    <row r="67" spans="12:12" x14ac:dyDescent="0.25">
      <c r="L67" s="13"/>
    </row>
    <row r="68" spans="12:12" x14ac:dyDescent="0.25">
      <c r="L68" s="13"/>
    </row>
    <row r="69" spans="12:12" x14ac:dyDescent="0.25">
      <c r="L69" s="13"/>
    </row>
    <row r="70" spans="12:12" x14ac:dyDescent="0.25">
      <c r="L70" s="13"/>
    </row>
  </sheetData>
  <sortState ref="A15:AA24">
    <sortCondition descending="1" ref="Q15:Q24"/>
    <sortCondition descending="1" ref="J15:J24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4"/>
  <sheetViews>
    <sheetView workbookViewId="0"/>
  </sheetViews>
  <sheetFormatPr defaultRowHeight="15" x14ac:dyDescent="0.25"/>
  <cols>
    <col min="3" max="3" width="37.42578125" bestFit="1" customWidth="1"/>
    <col min="5" max="8" width="10.85546875" bestFit="1" customWidth="1"/>
    <col min="9" max="9" width="13.7109375" bestFit="1" customWidth="1"/>
    <col min="10" max="10" width="10.28515625" bestFit="1" customWidth="1"/>
    <col min="11" max="11" width="10.85546875" bestFit="1" customWidth="1"/>
    <col min="12" max="12" width="14" bestFit="1" customWidth="1"/>
    <col min="13" max="13" width="11.42578125" bestFit="1" customWidth="1"/>
    <col min="14" max="14" width="12" bestFit="1" customWidth="1"/>
    <col min="15" max="15" width="14.5703125" bestFit="1" customWidth="1"/>
    <col min="16" max="16" width="16.28515625" bestFit="1" customWidth="1"/>
    <col min="17" max="17" width="20.140625" bestFit="1" customWidth="1"/>
    <col min="18" max="18" width="10.42578125" customWidth="1"/>
    <col min="19" max="19" width="6.85546875" bestFit="1" customWidth="1"/>
  </cols>
  <sheetData>
    <row r="1" spans="1:19" x14ac:dyDescent="0.25">
      <c r="A1" t="s">
        <v>460</v>
      </c>
      <c r="M1" s="2"/>
    </row>
    <row r="2" spans="1:19" x14ac:dyDescent="0.25">
      <c r="M2" s="2"/>
    </row>
    <row r="3" spans="1:19" x14ac:dyDescent="0.25">
      <c r="A3" t="s">
        <v>509</v>
      </c>
      <c r="C3" t="s">
        <v>508</v>
      </c>
      <c r="D3">
        <v>0.39</v>
      </c>
      <c r="M3" s="2"/>
    </row>
    <row r="4" spans="1:19" x14ac:dyDescent="0.25">
      <c r="M4" s="2"/>
    </row>
    <row r="5" spans="1:19" x14ac:dyDescent="0.25">
      <c r="E5" s="2" t="s">
        <v>445</v>
      </c>
      <c r="F5" s="2" t="s">
        <v>446</v>
      </c>
      <c r="G5" s="2" t="s">
        <v>447</v>
      </c>
      <c r="H5" s="2" t="s">
        <v>448</v>
      </c>
      <c r="I5" s="2" t="s">
        <v>449</v>
      </c>
      <c r="J5" s="2" t="s">
        <v>451</v>
      </c>
      <c r="K5" s="2" t="s">
        <v>452</v>
      </c>
      <c r="L5" s="2" t="s">
        <v>453</v>
      </c>
      <c r="M5" s="2" t="s">
        <v>454</v>
      </c>
      <c r="N5" s="2" t="s">
        <v>455</v>
      </c>
      <c r="O5" s="2" t="s">
        <v>457</v>
      </c>
      <c r="P5" s="2" t="s">
        <v>464</v>
      </c>
      <c r="Q5" s="2" t="s">
        <v>465</v>
      </c>
      <c r="R5" s="2" t="s">
        <v>466</v>
      </c>
      <c r="S5" s="2" t="s">
        <v>0</v>
      </c>
    </row>
    <row r="6" spans="1:19" x14ac:dyDescent="0.25">
      <c r="K6" s="2" t="s">
        <v>476</v>
      </c>
      <c r="O6" s="2" t="s">
        <v>512</v>
      </c>
    </row>
    <row r="7" spans="1:19" x14ac:dyDescent="0.25">
      <c r="H7" s="2" t="s">
        <v>476</v>
      </c>
      <c r="J7" s="2" t="s">
        <v>486</v>
      </c>
      <c r="K7" s="2" t="s">
        <v>489</v>
      </c>
      <c r="M7" s="2" t="s">
        <v>492</v>
      </c>
      <c r="N7" s="2" t="s">
        <v>458</v>
      </c>
      <c r="O7" s="2" t="s">
        <v>459</v>
      </c>
      <c r="P7" s="2" t="s">
        <v>463</v>
      </c>
    </row>
    <row r="8" spans="1:19" x14ac:dyDescent="0.25">
      <c r="E8" s="2"/>
      <c r="F8" s="2"/>
      <c r="G8" s="2"/>
      <c r="H8" s="2" t="s">
        <v>477</v>
      </c>
      <c r="I8" s="2"/>
      <c r="J8" s="2" t="s">
        <v>484</v>
      </c>
      <c r="K8" s="2" t="s">
        <v>490</v>
      </c>
      <c r="L8" s="2"/>
      <c r="M8" s="2" t="s">
        <v>493</v>
      </c>
      <c r="N8" s="2" t="s">
        <v>450</v>
      </c>
      <c r="O8" s="2" t="s">
        <v>463</v>
      </c>
      <c r="P8" s="2" t="s">
        <v>504</v>
      </c>
      <c r="Q8" s="2" t="s">
        <v>500</v>
      </c>
      <c r="R8" s="2"/>
    </row>
    <row r="9" spans="1:19" x14ac:dyDescent="0.25">
      <c r="E9" s="2" t="s">
        <v>476</v>
      </c>
      <c r="F9" s="2" t="s">
        <v>476</v>
      </c>
      <c r="G9" s="2" t="s">
        <v>476</v>
      </c>
      <c r="H9" s="2" t="s">
        <v>481</v>
      </c>
      <c r="I9" s="2" t="s">
        <v>484</v>
      </c>
      <c r="J9" s="2" t="s">
        <v>487</v>
      </c>
      <c r="K9" s="2" t="s">
        <v>482</v>
      </c>
      <c r="L9" s="2" t="s">
        <v>467</v>
      </c>
      <c r="M9" s="2" t="s">
        <v>494</v>
      </c>
      <c r="N9" s="2" t="s">
        <v>498</v>
      </c>
      <c r="O9" s="2" t="s">
        <v>450</v>
      </c>
      <c r="P9" s="8" t="s">
        <v>505</v>
      </c>
      <c r="Q9" s="2" t="s">
        <v>503</v>
      </c>
    </row>
    <row r="10" spans="1:19" x14ac:dyDescent="0.25">
      <c r="E10" s="2" t="s">
        <v>477</v>
      </c>
      <c r="F10" s="2" t="s">
        <v>477</v>
      </c>
      <c r="G10" s="2" t="s">
        <v>477</v>
      </c>
      <c r="H10" s="2" t="s">
        <v>482</v>
      </c>
      <c r="I10" s="2" t="s">
        <v>485</v>
      </c>
      <c r="J10" s="11" t="s">
        <v>488</v>
      </c>
      <c r="K10" s="2" t="s">
        <v>487</v>
      </c>
      <c r="L10" s="2" t="s">
        <v>510</v>
      </c>
      <c r="M10" s="11" t="s">
        <v>495</v>
      </c>
      <c r="N10" s="8">
        <f>ROUND(N13,0)</f>
        <v>123</v>
      </c>
      <c r="O10" s="2" t="s">
        <v>513</v>
      </c>
      <c r="P10" s="2" t="s">
        <v>506</v>
      </c>
      <c r="Q10" s="2" t="s">
        <v>501</v>
      </c>
      <c r="R10" s="2"/>
      <c r="S10" s="2" t="s">
        <v>471</v>
      </c>
    </row>
    <row r="11" spans="1:19" x14ac:dyDescent="0.25">
      <c r="A11" t="s">
        <v>349</v>
      </c>
      <c r="B11" t="s">
        <v>350</v>
      </c>
      <c r="C11" t="s">
        <v>351</v>
      </c>
      <c r="D11" t="s">
        <v>352</v>
      </c>
      <c r="E11" s="2" t="s">
        <v>478</v>
      </c>
      <c r="F11" s="2" t="s">
        <v>479</v>
      </c>
      <c r="G11" s="2" t="s">
        <v>480</v>
      </c>
      <c r="H11" s="11" t="s">
        <v>483</v>
      </c>
      <c r="I11" s="11" t="s">
        <v>470</v>
      </c>
      <c r="J11" s="11" t="s">
        <v>473</v>
      </c>
      <c r="K11" s="11" t="s">
        <v>491</v>
      </c>
      <c r="L11" s="11" t="s">
        <v>511</v>
      </c>
      <c r="M11" s="11" t="s">
        <v>496</v>
      </c>
      <c r="N11" s="2" t="s">
        <v>499</v>
      </c>
      <c r="O11" s="2" t="s">
        <v>497</v>
      </c>
      <c r="P11" s="2" t="s">
        <v>507</v>
      </c>
      <c r="Q11" s="2" t="s">
        <v>502</v>
      </c>
      <c r="R11" s="2" t="s">
        <v>356</v>
      </c>
      <c r="S11" s="2" t="s">
        <v>472</v>
      </c>
    </row>
    <row r="12" spans="1:19" x14ac:dyDescent="0.25">
      <c r="M12" s="2"/>
      <c r="P12" s="1"/>
    </row>
    <row r="13" spans="1:19" x14ac:dyDescent="0.25">
      <c r="N13" s="14">
        <f>'Total per Region'!N21</f>
        <v>123.04465650380541</v>
      </c>
      <c r="P13" s="14"/>
    </row>
    <row r="14" spans="1:19" x14ac:dyDescent="0.25">
      <c r="K14" s="1">
        <f>SUM(K15:K62)</f>
        <v>327.43034080022244</v>
      </c>
    </row>
    <row r="15" spans="1:19" x14ac:dyDescent="0.25">
      <c r="A15">
        <v>480</v>
      </c>
      <c r="B15">
        <v>1</v>
      </c>
      <c r="C15" t="s">
        <v>79</v>
      </c>
      <c r="D15" s="2" t="s">
        <v>80</v>
      </c>
      <c r="E15" s="1">
        <v>41</v>
      </c>
      <c r="F15" s="1">
        <v>27</v>
      </c>
      <c r="G15" s="1">
        <v>4</v>
      </c>
      <c r="H15" s="1">
        <f t="shared" ref="H15:H29" si="0">F15+0.5*G15</f>
        <v>29</v>
      </c>
      <c r="I15" s="10">
        <f t="shared" ref="I15:I29" si="1">H15/E15</f>
        <v>0.70731707317073167</v>
      </c>
      <c r="J15" s="10">
        <f>MIN(I15,0.8)</f>
        <v>0.70731707317073167</v>
      </c>
      <c r="K15" s="1">
        <f t="shared" ref="K15:K29" si="2">J15*H15</f>
        <v>20.512195121951219</v>
      </c>
      <c r="L15" s="12">
        <f t="shared" ref="L15:L29" si="3">(0.39)*K15</f>
        <v>7.9997560975609758</v>
      </c>
      <c r="M15" s="1">
        <f t="shared" ref="M15:M29" si="4">MAX(L15,10)</f>
        <v>10</v>
      </c>
      <c r="N15" s="1">
        <f>M15</f>
        <v>10</v>
      </c>
      <c r="O15" s="17">
        <f>(N15-N14)/2</f>
        <v>5</v>
      </c>
      <c r="P15" s="16">
        <f>(2*O15)/$N$13*'Total per Region'!$R$21</f>
        <v>25001.232437761893</v>
      </c>
      <c r="Q15" t="s">
        <v>1</v>
      </c>
      <c r="R15" s="19" t="s">
        <v>400</v>
      </c>
      <c r="S15">
        <v>14</v>
      </c>
    </row>
    <row r="16" spans="1:19" x14ac:dyDescent="0.25">
      <c r="A16">
        <v>2165</v>
      </c>
      <c r="B16">
        <v>1</v>
      </c>
      <c r="C16" t="s">
        <v>105</v>
      </c>
      <c r="D16" s="2" t="s">
        <v>80</v>
      </c>
      <c r="E16" s="1">
        <v>81</v>
      </c>
      <c r="F16" s="1">
        <v>45</v>
      </c>
      <c r="G16" s="1">
        <v>7</v>
      </c>
      <c r="H16" s="1">
        <f t="shared" si="0"/>
        <v>48.5</v>
      </c>
      <c r="I16" s="10">
        <f t="shared" si="1"/>
        <v>0.59876543209876543</v>
      </c>
      <c r="J16" s="10">
        <f t="shared" ref="J16:J29" si="5">MIN(I16,0.8)</f>
        <v>0.59876543209876543</v>
      </c>
      <c r="K16" s="1">
        <f t="shared" si="2"/>
        <v>29.040123456790123</v>
      </c>
      <c r="L16" s="12">
        <f t="shared" si="3"/>
        <v>11.325648148148149</v>
      </c>
      <c r="M16" s="1">
        <f t="shared" si="4"/>
        <v>11.325648148148149</v>
      </c>
      <c r="N16" s="1">
        <f>MIN('Total per Region'!$N$21,N15+M16)</f>
        <v>21.325648148148147</v>
      </c>
      <c r="O16" s="17">
        <f t="shared" ref="O16:O29" si="6">(N16-N15)/2</f>
        <v>5.6628240740740736</v>
      </c>
      <c r="P16" s="16">
        <f>(2*O16)/$N$13*'Total per Region'!$R$21</f>
        <v>28315.516186015939</v>
      </c>
      <c r="R16" s="19" t="s">
        <v>401</v>
      </c>
      <c r="S16">
        <v>13</v>
      </c>
    </row>
    <row r="17" spans="1:19" x14ac:dyDescent="0.25">
      <c r="A17">
        <v>2580</v>
      </c>
      <c r="B17">
        <v>1</v>
      </c>
      <c r="C17" t="s">
        <v>103</v>
      </c>
      <c r="D17" s="2" t="s">
        <v>80</v>
      </c>
      <c r="E17" s="1">
        <v>58</v>
      </c>
      <c r="F17" s="1">
        <v>31</v>
      </c>
      <c r="G17" s="1">
        <v>4</v>
      </c>
      <c r="H17" s="1">
        <f t="shared" si="0"/>
        <v>33</v>
      </c>
      <c r="I17" s="10">
        <f t="shared" si="1"/>
        <v>0.56896551724137934</v>
      </c>
      <c r="J17" s="10">
        <f t="shared" si="5"/>
        <v>0.56896551724137934</v>
      </c>
      <c r="K17" s="1">
        <f t="shared" si="2"/>
        <v>18.77586206896552</v>
      </c>
      <c r="L17" s="12">
        <f t="shared" si="3"/>
        <v>7.3225862068965526</v>
      </c>
      <c r="M17" s="1">
        <f t="shared" si="4"/>
        <v>10</v>
      </c>
      <c r="N17" s="1">
        <f>MIN('Total per Region'!$N$21,N16+M17)</f>
        <v>31.325648148148147</v>
      </c>
      <c r="O17" s="17">
        <f t="shared" si="6"/>
        <v>5</v>
      </c>
      <c r="P17" s="16">
        <f>(2*O17)/$N$13*'Total per Region'!$R$21</f>
        <v>25001.232437761893</v>
      </c>
      <c r="R17" s="19" t="s">
        <v>401</v>
      </c>
      <c r="S17">
        <v>13</v>
      </c>
    </row>
    <row r="18" spans="1:19" x14ac:dyDescent="0.25">
      <c r="A18">
        <v>332</v>
      </c>
      <c r="B18">
        <v>1</v>
      </c>
      <c r="C18" t="s">
        <v>128</v>
      </c>
      <c r="D18" s="2" t="s">
        <v>80</v>
      </c>
      <c r="E18" s="1">
        <v>148</v>
      </c>
      <c r="F18" s="1">
        <v>74</v>
      </c>
      <c r="G18" s="1">
        <v>12</v>
      </c>
      <c r="H18" s="1">
        <f t="shared" si="0"/>
        <v>80</v>
      </c>
      <c r="I18" s="10">
        <f t="shared" si="1"/>
        <v>0.54054054054054057</v>
      </c>
      <c r="J18" s="10">
        <f t="shared" si="5"/>
        <v>0.54054054054054057</v>
      </c>
      <c r="K18" s="1">
        <f t="shared" si="2"/>
        <v>43.243243243243242</v>
      </c>
      <c r="L18" s="12">
        <f t="shared" si="3"/>
        <v>16.864864864864867</v>
      </c>
      <c r="M18" s="1">
        <f t="shared" si="4"/>
        <v>16.864864864864867</v>
      </c>
      <c r="N18" s="1">
        <f>MIN('Total per Region'!$N$21,N17+M18)</f>
        <v>48.190513013013017</v>
      </c>
      <c r="O18" s="17">
        <f t="shared" si="6"/>
        <v>8.4324324324324351</v>
      </c>
      <c r="P18" s="16">
        <f>(2*O18)/$N$13*'Total per Region'!$R$21</f>
        <v>42164.24065179305</v>
      </c>
      <c r="R18" s="19" t="s">
        <v>402</v>
      </c>
      <c r="S18">
        <v>14</v>
      </c>
    </row>
    <row r="19" spans="1:19" x14ac:dyDescent="0.25">
      <c r="A19">
        <v>333</v>
      </c>
      <c r="B19">
        <v>1</v>
      </c>
      <c r="C19" t="s">
        <v>143</v>
      </c>
      <c r="D19" s="2" t="s">
        <v>80</v>
      </c>
      <c r="E19" s="1">
        <v>51</v>
      </c>
      <c r="F19" s="1">
        <v>24</v>
      </c>
      <c r="G19" s="1">
        <v>5</v>
      </c>
      <c r="H19" s="1">
        <f t="shared" si="0"/>
        <v>26.5</v>
      </c>
      <c r="I19" s="10">
        <f t="shared" si="1"/>
        <v>0.51960784313725494</v>
      </c>
      <c r="J19" s="10">
        <f t="shared" si="5"/>
        <v>0.51960784313725494</v>
      </c>
      <c r="K19" s="1">
        <f t="shared" si="2"/>
        <v>13.769607843137257</v>
      </c>
      <c r="L19" s="12">
        <f t="shared" si="3"/>
        <v>5.3701470588235303</v>
      </c>
      <c r="M19" s="1">
        <f t="shared" si="4"/>
        <v>10</v>
      </c>
      <c r="N19" s="1">
        <f>MIN('Total per Region'!$N$21,N18+M19)</f>
        <v>58.190513013013017</v>
      </c>
      <c r="O19" s="17">
        <f t="shared" si="6"/>
        <v>5</v>
      </c>
      <c r="P19" s="16">
        <f>(2*O19)/$N$13*'Total per Region'!$R$21</f>
        <v>25001.232437761893</v>
      </c>
      <c r="R19" s="19" t="s">
        <v>402</v>
      </c>
      <c r="S19">
        <v>14</v>
      </c>
    </row>
    <row r="20" spans="1:19" x14ac:dyDescent="0.25">
      <c r="A20">
        <v>473</v>
      </c>
      <c r="B20">
        <v>1</v>
      </c>
      <c r="C20" t="s">
        <v>125</v>
      </c>
      <c r="D20" s="2" t="s">
        <v>80</v>
      </c>
      <c r="E20" s="1">
        <v>40</v>
      </c>
      <c r="F20" s="1">
        <v>17</v>
      </c>
      <c r="G20" s="1">
        <v>7</v>
      </c>
      <c r="H20" s="1">
        <f t="shared" si="0"/>
        <v>20.5</v>
      </c>
      <c r="I20" s="10">
        <f t="shared" si="1"/>
        <v>0.51249999999999996</v>
      </c>
      <c r="J20" s="10">
        <f t="shared" si="5"/>
        <v>0.51249999999999996</v>
      </c>
      <c r="K20" s="1">
        <f t="shared" si="2"/>
        <v>10.50625</v>
      </c>
      <c r="L20" s="12">
        <f t="shared" si="3"/>
        <v>4.0974374999999998</v>
      </c>
      <c r="M20" s="1">
        <f t="shared" si="4"/>
        <v>10</v>
      </c>
      <c r="N20" s="1">
        <f>MIN('Total per Region'!$N$21,N19+M20)</f>
        <v>68.190513013013017</v>
      </c>
      <c r="O20" s="17">
        <f t="shared" si="6"/>
        <v>5</v>
      </c>
      <c r="P20" s="16">
        <f>(2*O20)/$N$13*'Total per Region'!$R$21</f>
        <v>25001.232437761893</v>
      </c>
      <c r="R20" s="19" t="s">
        <v>400</v>
      </c>
      <c r="S20">
        <v>14</v>
      </c>
    </row>
    <row r="21" spans="1:19" x14ac:dyDescent="0.25">
      <c r="A21">
        <v>578</v>
      </c>
      <c r="B21">
        <v>1</v>
      </c>
      <c r="C21" t="s">
        <v>169</v>
      </c>
      <c r="D21" s="2" t="s">
        <v>80</v>
      </c>
      <c r="E21" s="1">
        <v>124</v>
      </c>
      <c r="F21" s="1">
        <v>56</v>
      </c>
      <c r="G21" s="1">
        <v>8</v>
      </c>
      <c r="H21" s="1">
        <f t="shared" si="0"/>
        <v>60</v>
      </c>
      <c r="I21" s="10">
        <f t="shared" si="1"/>
        <v>0.4838709677419355</v>
      </c>
      <c r="J21" s="10">
        <f t="shared" si="5"/>
        <v>0.4838709677419355</v>
      </c>
      <c r="K21" s="1">
        <f t="shared" si="2"/>
        <v>29.032258064516128</v>
      </c>
      <c r="L21" s="12">
        <f t="shared" si="3"/>
        <v>11.32258064516129</v>
      </c>
      <c r="M21" s="1">
        <f t="shared" si="4"/>
        <v>11.32258064516129</v>
      </c>
      <c r="N21" s="1">
        <f>MIN('Total per Region'!$N$21,N20+M21)</f>
        <v>79.513093658174313</v>
      </c>
      <c r="O21" s="17">
        <f t="shared" si="6"/>
        <v>5.6612903225806477</v>
      </c>
      <c r="P21" s="16">
        <f>(2*O21)/$N$13*'Total per Region'!$R$21</f>
        <v>28307.84705049816</v>
      </c>
      <c r="R21" s="19" t="s">
        <v>401</v>
      </c>
      <c r="S21">
        <v>13</v>
      </c>
    </row>
    <row r="22" spans="1:19" x14ac:dyDescent="0.25">
      <c r="A22">
        <v>139</v>
      </c>
      <c r="B22">
        <v>1</v>
      </c>
      <c r="C22" t="s">
        <v>204</v>
      </c>
      <c r="D22" s="2" t="s">
        <v>80</v>
      </c>
      <c r="E22" s="1">
        <v>64</v>
      </c>
      <c r="F22" s="1">
        <v>28</v>
      </c>
      <c r="G22" s="1">
        <v>2</v>
      </c>
      <c r="H22" s="1">
        <f t="shared" si="0"/>
        <v>29</v>
      </c>
      <c r="I22" s="10">
        <f t="shared" si="1"/>
        <v>0.453125</v>
      </c>
      <c r="J22" s="10">
        <f t="shared" si="5"/>
        <v>0.453125</v>
      </c>
      <c r="K22" s="1">
        <f t="shared" si="2"/>
        <v>13.140625</v>
      </c>
      <c r="L22" s="12">
        <f t="shared" si="3"/>
        <v>5.1248437500000001</v>
      </c>
      <c r="M22" s="1">
        <f t="shared" si="4"/>
        <v>10</v>
      </c>
      <c r="N22" s="1">
        <f>MIN('Total per Region'!$N$21,N21+M22)</f>
        <v>89.513093658174313</v>
      </c>
      <c r="O22" s="17">
        <f t="shared" si="6"/>
        <v>5</v>
      </c>
      <c r="P22" s="16">
        <f>(2*O22)/$N$13*'Total per Region'!$R$21</f>
        <v>25001.232437761893</v>
      </c>
      <c r="R22" s="19" t="s">
        <v>404</v>
      </c>
      <c r="S22">
        <v>15</v>
      </c>
    </row>
    <row r="23" spans="1:19" x14ac:dyDescent="0.25">
      <c r="A23">
        <v>314</v>
      </c>
      <c r="B23">
        <v>1</v>
      </c>
      <c r="C23" t="s">
        <v>201</v>
      </c>
      <c r="D23" s="2" t="s">
        <v>80</v>
      </c>
      <c r="E23" s="1">
        <v>55</v>
      </c>
      <c r="F23" s="1">
        <v>20</v>
      </c>
      <c r="G23" s="1">
        <v>7</v>
      </c>
      <c r="H23" s="1">
        <f t="shared" si="0"/>
        <v>23.5</v>
      </c>
      <c r="I23" s="10">
        <f t="shared" si="1"/>
        <v>0.42727272727272725</v>
      </c>
      <c r="J23" s="10">
        <f t="shared" si="5"/>
        <v>0.42727272727272725</v>
      </c>
      <c r="K23" s="1">
        <f t="shared" si="2"/>
        <v>10.040909090909091</v>
      </c>
      <c r="L23" s="12">
        <f t="shared" si="3"/>
        <v>3.9159545454545457</v>
      </c>
      <c r="M23" s="1">
        <f t="shared" si="4"/>
        <v>10</v>
      </c>
      <c r="N23" s="1">
        <f>MIN('Total per Region'!$N$21,N22+M23)</f>
        <v>99.513093658174313</v>
      </c>
      <c r="O23" s="17">
        <f t="shared" si="6"/>
        <v>5</v>
      </c>
      <c r="P23" s="16">
        <f>(2*O23)/$N$13*'Total per Region'!$R$21</f>
        <v>25001.232437761893</v>
      </c>
      <c r="R23" s="19" t="s">
        <v>403</v>
      </c>
      <c r="S23">
        <v>14</v>
      </c>
    </row>
    <row r="24" spans="1:19" x14ac:dyDescent="0.25">
      <c r="A24">
        <v>911</v>
      </c>
      <c r="B24">
        <v>1</v>
      </c>
      <c r="C24" t="s">
        <v>235</v>
      </c>
      <c r="D24" s="2" t="s">
        <v>80</v>
      </c>
      <c r="E24" s="1">
        <v>421</v>
      </c>
      <c r="F24" s="1">
        <v>151</v>
      </c>
      <c r="G24" s="1">
        <v>32</v>
      </c>
      <c r="H24" s="1">
        <f t="shared" si="0"/>
        <v>167</v>
      </c>
      <c r="I24" s="10">
        <f t="shared" si="1"/>
        <v>0.39667458432304037</v>
      </c>
      <c r="J24" s="10">
        <f t="shared" si="5"/>
        <v>0.39667458432304037</v>
      </c>
      <c r="K24" s="1">
        <f t="shared" si="2"/>
        <v>66.24465558194774</v>
      </c>
      <c r="L24" s="12">
        <f t="shared" si="3"/>
        <v>25.83541567695962</v>
      </c>
      <c r="M24" s="1">
        <f t="shared" si="4"/>
        <v>25.83541567695962</v>
      </c>
      <c r="N24" s="1">
        <f>MIN('Total per Region'!$N$21,N23+M24)</f>
        <v>123.04465650380541</v>
      </c>
      <c r="O24" s="17">
        <f t="shared" si="6"/>
        <v>11.76578142281555</v>
      </c>
      <c r="P24" s="16">
        <f>(2*O24)/$N$13*'Total per Region'!$R$21</f>
        <v>58831.807232742482</v>
      </c>
      <c r="R24" s="19" t="s">
        <v>403</v>
      </c>
      <c r="S24">
        <v>14</v>
      </c>
    </row>
    <row r="25" spans="1:19" x14ac:dyDescent="0.25">
      <c r="A25">
        <v>912</v>
      </c>
      <c r="B25">
        <v>1</v>
      </c>
      <c r="C25" t="s">
        <v>181</v>
      </c>
      <c r="D25" s="2" t="s">
        <v>80</v>
      </c>
      <c r="E25" s="1">
        <v>149</v>
      </c>
      <c r="F25" s="1">
        <v>50</v>
      </c>
      <c r="G25" s="1">
        <v>15</v>
      </c>
      <c r="H25" s="1">
        <f t="shared" si="0"/>
        <v>57.5</v>
      </c>
      <c r="I25" s="10">
        <f t="shared" si="1"/>
        <v>0.38590604026845637</v>
      </c>
      <c r="J25" s="10">
        <f t="shared" si="5"/>
        <v>0.38590604026845637</v>
      </c>
      <c r="K25" s="1">
        <f t="shared" si="2"/>
        <v>22.189597315436242</v>
      </c>
      <c r="L25" s="12">
        <f t="shared" si="3"/>
        <v>8.6539429530201346</v>
      </c>
      <c r="M25" s="1">
        <f t="shared" si="4"/>
        <v>10</v>
      </c>
      <c r="N25" s="1">
        <f>MIN('Total per Region'!$N$21,N24+M25)</f>
        <v>123.04465650380541</v>
      </c>
      <c r="O25" s="17">
        <f t="shared" si="6"/>
        <v>0</v>
      </c>
      <c r="P25" s="16">
        <f>(2*O25)/$N$13*'Total per Region'!$R$21</f>
        <v>0</v>
      </c>
      <c r="R25" s="19" t="s">
        <v>400</v>
      </c>
      <c r="S25">
        <v>14</v>
      </c>
    </row>
    <row r="26" spans="1:19" x14ac:dyDescent="0.25">
      <c r="A26">
        <v>477</v>
      </c>
      <c r="B26">
        <v>1</v>
      </c>
      <c r="C26" t="s">
        <v>288</v>
      </c>
      <c r="D26" s="2" t="s">
        <v>80</v>
      </c>
      <c r="E26" s="1">
        <v>237</v>
      </c>
      <c r="F26" s="1">
        <v>66</v>
      </c>
      <c r="G26" s="1">
        <v>13</v>
      </c>
      <c r="H26" s="1">
        <f t="shared" si="0"/>
        <v>72.5</v>
      </c>
      <c r="I26" s="10">
        <f t="shared" si="1"/>
        <v>0.30590717299578057</v>
      </c>
      <c r="J26" s="10">
        <f t="shared" si="5"/>
        <v>0.30590717299578057</v>
      </c>
      <c r="K26" s="1">
        <f t="shared" si="2"/>
        <v>22.178270042194093</v>
      </c>
      <c r="L26" s="12">
        <f t="shared" si="3"/>
        <v>8.649525316455696</v>
      </c>
      <c r="M26" s="1">
        <f t="shared" si="4"/>
        <v>10</v>
      </c>
      <c r="N26" s="1">
        <f>MIN('Total per Region'!$N$21,N25+M26)</f>
        <v>123.04465650380541</v>
      </c>
      <c r="O26" s="17">
        <f t="shared" si="6"/>
        <v>0</v>
      </c>
      <c r="P26" s="16">
        <f>(2*O26)/$N$13*'Total per Region'!$R$21</f>
        <v>0</v>
      </c>
      <c r="R26" s="19" t="s">
        <v>400</v>
      </c>
      <c r="S26">
        <v>14</v>
      </c>
    </row>
    <row r="27" spans="1:19" x14ac:dyDescent="0.25">
      <c r="A27">
        <v>577</v>
      </c>
      <c r="B27">
        <v>1</v>
      </c>
      <c r="C27" t="s">
        <v>302</v>
      </c>
      <c r="D27" s="2" t="s">
        <v>80</v>
      </c>
      <c r="E27" s="1">
        <v>23</v>
      </c>
      <c r="F27" s="1">
        <v>6</v>
      </c>
      <c r="G27" s="1">
        <v>1</v>
      </c>
      <c r="H27" s="1">
        <f t="shared" si="0"/>
        <v>6.5</v>
      </c>
      <c r="I27" s="10">
        <f t="shared" si="1"/>
        <v>0.28260869565217389</v>
      </c>
      <c r="J27" s="10">
        <f t="shared" si="5"/>
        <v>0.28260869565217389</v>
      </c>
      <c r="K27" s="1">
        <f t="shared" si="2"/>
        <v>1.8369565217391304</v>
      </c>
      <c r="L27" s="12">
        <f t="shared" si="3"/>
        <v>0.71641304347826085</v>
      </c>
      <c r="M27" s="1">
        <f t="shared" si="4"/>
        <v>10</v>
      </c>
      <c r="N27" s="1">
        <f>MIN('Total per Region'!$N$21,N26+M27)</f>
        <v>123.04465650380541</v>
      </c>
      <c r="O27" s="17">
        <f t="shared" si="6"/>
        <v>0</v>
      </c>
      <c r="P27" s="16">
        <f>(2*O27)/$N$13*'Total per Region'!$R$21</f>
        <v>0</v>
      </c>
      <c r="R27" s="19" t="s">
        <v>401</v>
      </c>
      <c r="S27">
        <v>13</v>
      </c>
    </row>
    <row r="28" spans="1:19" x14ac:dyDescent="0.25">
      <c r="A28">
        <v>138</v>
      </c>
      <c r="B28">
        <v>1</v>
      </c>
      <c r="C28" t="s">
        <v>296</v>
      </c>
      <c r="D28" s="2" t="s">
        <v>80</v>
      </c>
      <c r="E28" s="1">
        <v>208</v>
      </c>
      <c r="F28" s="1">
        <v>50</v>
      </c>
      <c r="G28" s="1">
        <v>16</v>
      </c>
      <c r="H28" s="1">
        <f t="shared" si="0"/>
        <v>58</v>
      </c>
      <c r="I28" s="10">
        <f t="shared" si="1"/>
        <v>0.27884615384615385</v>
      </c>
      <c r="J28" s="10">
        <f t="shared" si="5"/>
        <v>0.27884615384615385</v>
      </c>
      <c r="K28" s="1">
        <f t="shared" si="2"/>
        <v>16.173076923076923</v>
      </c>
      <c r="L28" s="12">
        <f t="shared" si="3"/>
        <v>6.3075000000000001</v>
      </c>
      <c r="M28" s="1">
        <f t="shared" si="4"/>
        <v>10</v>
      </c>
      <c r="N28" s="1">
        <f>MIN('Total per Region'!$N$21,N27+M28)</f>
        <v>123.04465650380541</v>
      </c>
      <c r="O28" s="17">
        <f t="shared" si="6"/>
        <v>0</v>
      </c>
      <c r="P28" s="16">
        <f>(2*O28)/$N$13*'Total per Region'!$R$21</f>
        <v>0</v>
      </c>
      <c r="R28" s="19" t="s">
        <v>404</v>
      </c>
      <c r="S28">
        <v>15</v>
      </c>
    </row>
    <row r="29" spans="1:19" x14ac:dyDescent="0.25">
      <c r="A29">
        <v>2144</v>
      </c>
      <c r="B29">
        <v>1</v>
      </c>
      <c r="C29" t="s">
        <v>328</v>
      </c>
      <c r="D29" s="2" t="s">
        <v>80</v>
      </c>
      <c r="E29" s="1">
        <v>228</v>
      </c>
      <c r="F29" s="1">
        <v>43</v>
      </c>
      <c r="G29" s="1">
        <v>13</v>
      </c>
      <c r="H29" s="1">
        <f t="shared" si="0"/>
        <v>49.5</v>
      </c>
      <c r="I29" s="10">
        <f t="shared" si="1"/>
        <v>0.21710526315789475</v>
      </c>
      <c r="J29" s="10">
        <f t="shared" si="5"/>
        <v>0.21710526315789475</v>
      </c>
      <c r="K29" s="1">
        <f t="shared" si="2"/>
        <v>10.746710526315789</v>
      </c>
      <c r="L29" s="12">
        <f t="shared" si="3"/>
        <v>4.1912171052631582</v>
      </c>
      <c r="M29" s="1">
        <f t="shared" si="4"/>
        <v>10</v>
      </c>
      <c r="N29" s="1">
        <f>MIN('Total per Region'!$N$21,N28+M29)</f>
        <v>123.04465650380541</v>
      </c>
      <c r="O29" s="17">
        <f t="shared" si="6"/>
        <v>0</v>
      </c>
      <c r="P29" s="16">
        <f>(2*O29)/$N$13*'Total per Region'!$R$21</f>
        <v>0</v>
      </c>
      <c r="R29" s="19" t="s">
        <v>404</v>
      </c>
      <c r="S29">
        <v>15</v>
      </c>
    </row>
    <row r="30" spans="1:19" x14ac:dyDescent="0.25">
      <c r="H30" s="1"/>
      <c r="I30" s="10"/>
      <c r="J30" s="10"/>
      <c r="K30" s="1"/>
      <c r="L30" s="12"/>
      <c r="O30" s="14">
        <f>SUM(O15:O29)</f>
        <v>61.522328251902707</v>
      </c>
      <c r="P30" s="18">
        <f>SUM(P15:P29)</f>
        <v>307626.80574762099</v>
      </c>
    </row>
    <row r="31" spans="1:19" x14ac:dyDescent="0.25">
      <c r="H31" s="1"/>
      <c r="I31" s="10"/>
      <c r="J31" s="10"/>
      <c r="K31" s="1"/>
      <c r="L31" s="12"/>
      <c r="P31" s="16"/>
    </row>
    <row r="32" spans="1:19" x14ac:dyDescent="0.25">
      <c r="H32" s="1"/>
      <c r="I32" s="10"/>
      <c r="J32" s="10"/>
      <c r="K32" s="1"/>
      <c r="L32" s="12"/>
      <c r="P32" s="16"/>
    </row>
    <row r="33" spans="8:16" x14ac:dyDescent="0.25">
      <c r="H33" s="1"/>
      <c r="I33" s="10"/>
      <c r="J33" s="10"/>
      <c r="K33" s="1"/>
      <c r="L33" s="12"/>
      <c r="P33" s="16"/>
    </row>
    <row r="34" spans="8:16" x14ac:dyDescent="0.25">
      <c r="H34" s="1"/>
      <c r="I34" s="10"/>
      <c r="J34" s="10"/>
      <c r="K34" s="1"/>
      <c r="L34" s="1"/>
      <c r="P34" s="16"/>
    </row>
    <row r="35" spans="8:16" x14ac:dyDescent="0.25">
      <c r="H35" s="1"/>
      <c r="I35" s="10"/>
      <c r="J35" s="10"/>
      <c r="K35" s="1"/>
      <c r="L35" s="1"/>
      <c r="P35" s="16"/>
    </row>
    <row r="36" spans="8:16" x14ac:dyDescent="0.25">
      <c r="H36" s="1"/>
      <c r="I36" s="10"/>
      <c r="J36" s="10"/>
      <c r="K36" s="1"/>
      <c r="L36" s="1"/>
      <c r="P36" s="16"/>
    </row>
    <row r="37" spans="8:16" x14ac:dyDescent="0.25">
      <c r="H37" s="1"/>
      <c r="I37" s="10"/>
      <c r="J37" s="10"/>
      <c r="K37" s="1"/>
      <c r="L37" s="1"/>
      <c r="P37" s="16"/>
    </row>
    <row r="38" spans="8:16" x14ac:dyDescent="0.25">
      <c r="H38" s="1"/>
      <c r="I38" s="10"/>
      <c r="J38" s="10"/>
      <c r="K38" s="1"/>
      <c r="L38" s="1"/>
      <c r="P38" s="16"/>
    </row>
    <row r="39" spans="8:16" x14ac:dyDescent="0.25">
      <c r="H39" s="1"/>
      <c r="I39" s="10"/>
      <c r="J39" s="10"/>
      <c r="K39" s="1"/>
      <c r="L39" s="1"/>
      <c r="P39" s="16"/>
    </row>
    <row r="40" spans="8:16" x14ac:dyDescent="0.25">
      <c r="H40" s="1"/>
      <c r="I40" s="10"/>
      <c r="J40" s="10"/>
      <c r="K40" s="1"/>
      <c r="L40" s="1"/>
      <c r="P40" s="16"/>
    </row>
    <row r="41" spans="8:16" x14ac:dyDescent="0.25">
      <c r="H41" s="1"/>
      <c r="I41" s="10"/>
      <c r="J41" s="10"/>
      <c r="K41" s="1"/>
      <c r="L41" s="1"/>
      <c r="P41" s="16"/>
    </row>
    <row r="42" spans="8:16" x14ac:dyDescent="0.25">
      <c r="H42" s="1"/>
      <c r="I42" s="10"/>
      <c r="J42" s="10"/>
      <c r="K42" s="1"/>
      <c r="L42" s="1"/>
      <c r="P42" s="16"/>
    </row>
    <row r="43" spans="8:16" x14ac:dyDescent="0.25">
      <c r="H43" s="1"/>
      <c r="I43" s="10"/>
      <c r="J43" s="10"/>
      <c r="K43" s="1"/>
      <c r="L43" s="1"/>
      <c r="P43" s="16"/>
    </row>
    <row r="44" spans="8:16" x14ac:dyDescent="0.25">
      <c r="H44" s="1"/>
      <c r="I44" s="10"/>
      <c r="J44" s="10"/>
      <c r="K44" s="1"/>
      <c r="L44" s="1"/>
      <c r="P44" s="16"/>
    </row>
    <row r="45" spans="8:16" x14ac:dyDescent="0.25">
      <c r="H45" s="1"/>
      <c r="I45" s="10"/>
      <c r="J45" s="10"/>
      <c r="K45" s="1"/>
      <c r="L45" s="1"/>
      <c r="P45" s="16"/>
    </row>
    <row r="46" spans="8:16" x14ac:dyDescent="0.25">
      <c r="H46" s="1"/>
      <c r="I46" s="10"/>
      <c r="J46" s="10"/>
      <c r="K46" s="1"/>
      <c r="L46" s="1"/>
      <c r="P46" s="16"/>
    </row>
    <row r="47" spans="8:16" x14ac:dyDescent="0.25">
      <c r="H47" s="1"/>
      <c r="I47" s="10"/>
      <c r="J47" s="10"/>
      <c r="K47" s="1"/>
      <c r="L47" s="1"/>
      <c r="P47" s="16"/>
    </row>
    <row r="48" spans="8:16" x14ac:dyDescent="0.25">
      <c r="H48" s="1"/>
      <c r="I48" s="10"/>
      <c r="J48" s="10"/>
      <c r="K48" s="1"/>
      <c r="L48" s="1"/>
      <c r="P48" s="16"/>
    </row>
    <row r="49" spans="8:16" x14ac:dyDescent="0.25">
      <c r="H49" s="1"/>
      <c r="I49" s="10"/>
      <c r="J49" s="10"/>
      <c r="K49" s="1"/>
      <c r="L49" s="1"/>
      <c r="P49" s="16"/>
    </row>
    <row r="50" spans="8:16" x14ac:dyDescent="0.25">
      <c r="H50" s="1"/>
      <c r="I50" s="10"/>
      <c r="J50" s="10"/>
      <c r="K50" s="1"/>
      <c r="L50" s="1"/>
      <c r="P50" s="16"/>
    </row>
    <row r="51" spans="8:16" x14ac:dyDescent="0.25">
      <c r="H51" s="1"/>
      <c r="I51" s="10"/>
      <c r="J51" s="10"/>
      <c r="K51" s="1"/>
      <c r="L51" s="1"/>
      <c r="P51" s="16"/>
    </row>
    <row r="52" spans="8:16" x14ac:dyDescent="0.25">
      <c r="H52" s="1"/>
      <c r="I52" s="10"/>
      <c r="J52" s="10"/>
      <c r="K52" s="1"/>
      <c r="L52" s="1"/>
      <c r="P52" s="16"/>
    </row>
    <row r="53" spans="8:16" x14ac:dyDescent="0.25">
      <c r="H53" s="1"/>
      <c r="I53" s="10"/>
      <c r="J53" s="10"/>
      <c r="K53" s="1"/>
      <c r="L53" s="1"/>
      <c r="P53" s="16"/>
    </row>
    <row r="54" spans="8:16" x14ac:dyDescent="0.25">
      <c r="H54" s="1"/>
      <c r="I54" s="10"/>
      <c r="J54" s="10"/>
      <c r="K54" s="1"/>
      <c r="L54" s="1"/>
      <c r="P54" s="16"/>
    </row>
    <row r="55" spans="8:16" x14ac:dyDescent="0.25">
      <c r="H55" s="1"/>
      <c r="I55" s="10"/>
      <c r="J55" s="10"/>
      <c r="K55" s="1"/>
      <c r="L55" s="1"/>
      <c r="P55" s="16"/>
    </row>
    <row r="56" spans="8:16" x14ac:dyDescent="0.25">
      <c r="H56" s="1"/>
      <c r="I56" s="10"/>
      <c r="J56" s="10"/>
      <c r="K56" s="1"/>
      <c r="L56" s="1"/>
      <c r="P56" s="16"/>
    </row>
    <row r="57" spans="8:16" x14ac:dyDescent="0.25">
      <c r="H57" s="1"/>
      <c r="I57" s="10"/>
      <c r="J57" s="10"/>
      <c r="K57" s="1"/>
      <c r="L57" s="1"/>
      <c r="P57" s="22"/>
    </row>
    <row r="58" spans="8:16" x14ac:dyDescent="0.25">
      <c r="H58" s="1"/>
      <c r="I58" s="10"/>
      <c r="J58" s="10"/>
      <c r="K58" s="1"/>
      <c r="L58" s="1"/>
      <c r="P58" s="16"/>
    </row>
    <row r="59" spans="8:16" x14ac:dyDescent="0.25">
      <c r="H59" s="1"/>
      <c r="I59" s="10"/>
      <c r="J59" s="10"/>
      <c r="K59" s="1"/>
      <c r="L59" s="1"/>
      <c r="P59" s="16"/>
    </row>
    <row r="60" spans="8:16" x14ac:dyDescent="0.25">
      <c r="H60" s="1"/>
      <c r="I60" s="10"/>
      <c r="J60" s="10"/>
      <c r="K60" s="1"/>
      <c r="L60" s="1"/>
      <c r="P60" s="16"/>
    </row>
    <row r="61" spans="8:16" x14ac:dyDescent="0.25">
      <c r="H61" s="1"/>
      <c r="I61" s="10"/>
      <c r="J61" s="10"/>
      <c r="K61" s="1"/>
      <c r="L61" s="1"/>
      <c r="P61" s="16"/>
    </row>
    <row r="62" spans="8:16" x14ac:dyDescent="0.25">
      <c r="H62" s="1"/>
      <c r="I62" s="10"/>
      <c r="J62" s="10"/>
      <c r="K62" s="1"/>
      <c r="L62" s="1"/>
      <c r="P62" s="16"/>
    </row>
    <row r="63" spans="8:16" x14ac:dyDescent="0.25">
      <c r="P63" s="18"/>
    </row>
    <row r="64" spans="8:16" x14ac:dyDescent="0.25">
      <c r="P64" s="18"/>
    </row>
  </sheetData>
  <sortState ref="A15:AA29">
    <sortCondition descending="1" ref="Q15:Q29"/>
    <sortCondition descending="1" ref="J15:J29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4"/>
  <sheetViews>
    <sheetView workbookViewId="0"/>
  </sheetViews>
  <sheetFormatPr defaultRowHeight="15" x14ac:dyDescent="0.25"/>
  <cols>
    <col min="3" max="3" width="39.5703125" bestFit="1" customWidth="1"/>
    <col min="4" max="4" width="8.5703125" bestFit="1" customWidth="1"/>
    <col min="5" max="8" width="10.85546875" bestFit="1" customWidth="1"/>
    <col min="9" max="9" width="13.7109375" bestFit="1" customWidth="1"/>
    <col min="10" max="10" width="10.28515625" bestFit="1" customWidth="1"/>
    <col min="11" max="11" width="10.85546875" bestFit="1" customWidth="1"/>
    <col min="12" max="12" width="14" bestFit="1" customWidth="1"/>
    <col min="13" max="13" width="11.42578125" bestFit="1" customWidth="1"/>
    <col min="14" max="14" width="12" bestFit="1" customWidth="1"/>
    <col min="15" max="15" width="14.5703125" bestFit="1" customWidth="1"/>
    <col min="16" max="16" width="16.28515625" bestFit="1" customWidth="1"/>
    <col min="17" max="17" width="20.140625" bestFit="1" customWidth="1"/>
    <col min="18" max="18" width="14.7109375" customWidth="1"/>
    <col min="19" max="19" width="6.85546875" bestFit="1" customWidth="1"/>
  </cols>
  <sheetData>
    <row r="1" spans="1:19" x14ac:dyDescent="0.25">
      <c r="A1" t="s">
        <v>460</v>
      </c>
      <c r="N1" s="2"/>
    </row>
    <row r="2" spans="1:19" x14ac:dyDescent="0.25">
      <c r="N2" s="2"/>
    </row>
    <row r="3" spans="1:19" x14ac:dyDescent="0.25">
      <c r="A3" t="s">
        <v>509</v>
      </c>
      <c r="C3" t="s">
        <v>508</v>
      </c>
      <c r="D3">
        <v>0.39</v>
      </c>
      <c r="N3" s="2"/>
    </row>
    <row r="4" spans="1:19" x14ac:dyDescent="0.25">
      <c r="N4" s="2"/>
    </row>
    <row r="5" spans="1:19" x14ac:dyDescent="0.25">
      <c r="E5" s="2" t="s">
        <v>445</v>
      </c>
      <c r="F5" s="2" t="s">
        <v>446</v>
      </c>
      <c r="G5" s="2" t="s">
        <v>447</v>
      </c>
      <c r="H5" s="2" t="s">
        <v>448</v>
      </c>
      <c r="I5" s="2" t="s">
        <v>449</v>
      </c>
      <c r="J5" s="2" t="s">
        <v>451</v>
      </c>
      <c r="K5" s="2" t="s">
        <v>452</v>
      </c>
      <c r="L5" s="2" t="s">
        <v>453</v>
      </c>
      <c r="M5" s="2" t="s">
        <v>454</v>
      </c>
      <c r="N5" s="2" t="s">
        <v>455</v>
      </c>
      <c r="O5" s="2" t="s">
        <v>457</v>
      </c>
      <c r="P5" s="2" t="s">
        <v>464</v>
      </c>
      <c r="Q5" s="2" t="s">
        <v>465</v>
      </c>
      <c r="R5" s="2" t="s">
        <v>466</v>
      </c>
      <c r="S5" s="2" t="s">
        <v>0</v>
      </c>
    </row>
    <row r="6" spans="1:19" x14ac:dyDescent="0.25">
      <c r="K6" s="2" t="s">
        <v>476</v>
      </c>
      <c r="O6" s="2" t="s">
        <v>512</v>
      </c>
    </row>
    <row r="7" spans="1:19" x14ac:dyDescent="0.25">
      <c r="H7" s="2" t="s">
        <v>476</v>
      </c>
      <c r="J7" s="2" t="s">
        <v>486</v>
      </c>
      <c r="K7" s="2" t="s">
        <v>489</v>
      </c>
      <c r="M7" s="2" t="s">
        <v>492</v>
      </c>
      <c r="N7" s="2" t="s">
        <v>458</v>
      </c>
      <c r="O7" s="2" t="s">
        <v>459</v>
      </c>
      <c r="P7" s="2" t="s">
        <v>463</v>
      </c>
    </row>
    <row r="8" spans="1:19" x14ac:dyDescent="0.25">
      <c r="E8" s="2"/>
      <c r="F8" s="2"/>
      <c r="G8" s="2"/>
      <c r="H8" s="2" t="s">
        <v>477</v>
      </c>
      <c r="I8" s="2"/>
      <c r="J8" s="2" t="s">
        <v>484</v>
      </c>
      <c r="K8" s="2" t="s">
        <v>490</v>
      </c>
      <c r="L8" s="2"/>
      <c r="M8" s="2" t="s">
        <v>493</v>
      </c>
      <c r="N8" s="2" t="s">
        <v>450</v>
      </c>
      <c r="O8" s="2" t="s">
        <v>463</v>
      </c>
      <c r="P8" s="2" t="s">
        <v>504</v>
      </c>
      <c r="Q8" s="2" t="s">
        <v>500</v>
      </c>
      <c r="R8" s="2"/>
    </row>
    <row r="9" spans="1:19" x14ac:dyDescent="0.25">
      <c r="E9" s="2" t="s">
        <v>476</v>
      </c>
      <c r="F9" s="2" t="s">
        <v>476</v>
      </c>
      <c r="G9" s="2" t="s">
        <v>476</v>
      </c>
      <c r="H9" s="2" t="s">
        <v>481</v>
      </c>
      <c r="I9" s="2" t="s">
        <v>484</v>
      </c>
      <c r="J9" s="2" t="s">
        <v>487</v>
      </c>
      <c r="K9" s="2" t="s">
        <v>482</v>
      </c>
      <c r="L9" s="2" t="s">
        <v>467</v>
      </c>
      <c r="M9" s="2" t="s">
        <v>494</v>
      </c>
      <c r="N9" s="2" t="s">
        <v>498</v>
      </c>
      <c r="O9" s="2" t="s">
        <v>450</v>
      </c>
      <c r="P9" s="8" t="s">
        <v>505</v>
      </c>
      <c r="Q9" s="2" t="s">
        <v>503</v>
      </c>
    </row>
    <row r="10" spans="1:19" x14ac:dyDescent="0.25">
      <c r="E10" s="2" t="s">
        <v>477</v>
      </c>
      <c r="F10" s="2" t="s">
        <v>477</v>
      </c>
      <c r="G10" s="2" t="s">
        <v>477</v>
      </c>
      <c r="H10" s="2" t="s">
        <v>482</v>
      </c>
      <c r="I10" s="2" t="s">
        <v>485</v>
      </c>
      <c r="J10" s="11" t="s">
        <v>488</v>
      </c>
      <c r="K10" s="2" t="s">
        <v>487</v>
      </c>
      <c r="L10" s="2" t="s">
        <v>510</v>
      </c>
      <c r="M10" s="11" t="s">
        <v>495</v>
      </c>
      <c r="N10" s="8">
        <f>ROUND(N13,0)</f>
        <v>217</v>
      </c>
      <c r="O10" s="2" t="s">
        <v>513</v>
      </c>
      <c r="P10" s="2" t="s">
        <v>506</v>
      </c>
      <c r="Q10" s="2" t="s">
        <v>501</v>
      </c>
      <c r="R10" s="2"/>
      <c r="S10" s="2" t="s">
        <v>471</v>
      </c>
    </row>
    <row r="11" spans="1:19" x14ac:dyDescent="0.25">
      <c r="A11" t="s">
        <v>349</v>
      </c>
      <c r="B11" t="s">
        <v>350</v>
      </c>
      <c r="C11" t="s">
        <v>351</v>
      </c>
      <c r="D11" t="s">
        <v>352</v>
      </c>
      <c r="E11" s="2" t="s">
        <v>478</v>
      </c>
      <c r="F11" s="2" t="s">
        <v>479</v>
      </c>
      <c r="G11" s="2" t="s">
        <v>480</v>
      </c>
      <c r="H11" s="11" t="s">
        <v>483</v>
      </c>
      <c r="I11" s="11" t="s">
        <v>470</v>
      </c>
      <c r="J11" s="11" t="s">
        <v>473</v>
      </c>
      <c r="K11" s="11" t="s">
        <v>491</v>
      </c>
      <c r="L11" s="11" t="s">
        <v>511</v>
      </c>
      <c r="M11" s="11" t="s">
        <v>496</v>
      </c>
      <c r="N11" s="2" t="s">
        <v>499</v>
      </c>
      <c r="O11" s="2" t="s">
        <v>497</v>
      </c>
      <c r="P11" s="2" t="s">
        <v>507</v>
      </c>
      <c r="Q11" s="2" t="s">
        <v>502</v>
      </c>
      <c r="R11" s="2" t="s">
        <v>356</v>
      </c>
      <c r="S11" s="2" t="s">
        <v>472</v>
      </c>
    </row>
    <row r="12" spans="1:19" x14ac:dyDescent="0.25">
      <c r="M12" s="2"/>
      <c r="P12" s="1"/>
    </row>
    <row r="13" spans="1:19" x14ac:dyDescent="0.25">
      <c r="N13" s="14">
        <f>'Total per Region'!N22</f>
        <v>217.36411313657774</v>
      </c>
      <c r="P13" s="14"/>
    </row>
    <row r="14" spans="1:19" x14ac:dyDescent="0.25">
      <c r="K14" s="1">
        <f>SUM(K15:K62)</f>
        <v>578.42093809125822</v>
      </c>
    </row>
    <row r="15" spans="1:19" x14ac:dyDescent="0.25">
      <c r="A15">
        <v>742</v>
      </c>
      <c r="B15">
        <v>1</v>
      </c>
      <c r="C15" t="s">
        <v>134</v>
      </c>
      <c r="D15" s="2" t="s">
        <v>135</v>
      </c>
      <c r="E15" s="1">
        <v>815</v>
      </c>
      <c r="F15" s="1">
        <v>418</v>
      </c>
      <c r="G15" s="1">
        <v>57</v>
      </c>
      <c r="H15" s="1">
        <f t="shared" ref="H15:H38" si="0">F15+0.5*G15</f>
        <v>446.5</v>
      </c>
      <c r="I15" s="10">
        <f t="shared" ref="I15:I38" si="1">H15/E15</f>
        <v>0.54785276073619626</v>
      </c>
      <c r="J15" s="10">
        <f>MIN(I15,0.8)</f>
        <v>0.54785276073619626</v>
      </c>
      <c r="K15" s="1">
        <f t="shared" ref="K15:K38" si="2">J15*H15</f>
        <v>244.61625766871163</v>
      </c>
      <c r="L15" s="12">
        <f t="shared" ref="L15:L38" si="3">(0.39)*K15</f>
        <v>95.400340490797532</v>
      </c>
      <c r="M15" s="1">
        <f t="shared" ref="M15:M38" si="4">MAX(L15,10)</f>
        <v>95.400340490797532</v>
      </c>
      <c r="N15" s="1">
        <f>MIN('Total per Region'!$N$22,N14+M15)</f>
        <v>95.400340490797532</v>
      </c>
      <c r="O15" s="17">
        <f>(N15-N14)/2</f>
        <v>47.700170245398766</v>
      </c>
      <c r="P15" s="16">
        <f>(2*O15)/$N$13*'Total per Region'!$R$22</f>
        <v>238512.60872520565</v>
      </c>
      <c r="R15" s="19" t="s">
        <v>405</v>
      </c>
      <c r="S15">
        <v>13</v>
      </c>
    </row>
    <row r="16" spans="1:19" x14ac:dyDescent="0.25">
      <c r="A16">
        <v>740</v>
      </c>
      <c r="B16">
        <v>1</v>
      </c>
      <c r="C16" t="s">
        <v>170</v>
      </c>
      <c r="D16" s="2" t="s">
        <v>135</v>
      </c>
      <c r="E16" s="1">
        <v>74</v>
      </c>
      <c r="F16" s="1">
        <v>34</v>
      </c>
      <c r="G16" s="1">
        <v>10</v>
      </c>
      <c r="H16" s="1">
        <f t="shared" si="0"/>
        <v>39</v>
      </c>
      <c r="I16" s="10">
        <f t="shared" si="1"/>
        <v>0.52702702702702697</v>
      </c>
      <c r="J16" s="10">
        <f t="shared" ref="J16:J38" si="5">MIN(I16,0.8)</f>
        <v>0.52702702702702697</v>
      </c>
      <c r="K16" s="1">
        <f t="shared" si="2"/>
        <v>20.554054054054053</v>
      </c>
      <c r="L16" s="12">
        <f t="shared" si="3"/>
        <v>8.0160810810810812</v>
      </c>
      <c r="M16" s="1">
        <f t="shared" si="4"/>
        <v>10</v>
      </c>
      <c r="N16" s="1">
        <f>MIN('Total per Region'!$N$22,N15+M16)</f>
        <v>105.40034049079753</v>
      </c>
      <c r="O16" s="17">
        <f t="shared" ref="O16:O38" si="6">(N16-N15)/2</f>
        <v>5</v>
      </c>
      <c r="P16" s="16">
        <f>(2*O16)/$N$13*'Total per Region'!$R$22</f>
        <v>25001.232437761893</v>
      </c>
      <c r="R16" s="19" t="s">
        <v>405</v>
      </c>
      <c r="S16">
        <v>13</v>
      </c>
    </row>
    <row r="17" spans="1:19" x14ac:dyDescent="0.25">
      <c r="A17">
        <v>743</v>
      </c>
      <c r="B17">
        <v>1</v>
      </c>
      <c r="C17" t="s">
        <v>224</v>
      </c>
      <c r="D17" s="2" t="s">
        <v>135</v>
      </c>
      <c r="E17" s="1">
        <v>70</v>
      </c>
      <c r="F17" s="1">
        <v>29</v>
      </c>
      <c r="G17" s="1">
        <v>5</v>
      </c>
      <c r="H17" s="1">
        <f t="shared" si="0"/>
        <v>31.5</v>
      </c>
      <c r="I17" s="10">
        <f t="shared" si="1"/>
        <v>0.45</v>
      </c>
      <c r="J17" s="10">
        <f t="shared" si="5"/>
        <v>0.45</v>
      </c>
      <c r="K17" s="1">
        <f t="shared" si="2"/>
        <v>14.175000000000001</v>
      </c>
      <c r="L17" s="12">
        <f t="shared" si="3"/>
        <v>5.5282500000000008</v>
      </c>
      <c r="M17" s="1">
        <f t="shared" si="4"/>
        <v>10</v>
      </c>
      <c r="N17" s="1">
        <f>MIN('Total per Region'!$N$22,N16+M17)</f>
        <v>115.40034049079753</v>
      </c>
      <c r="O17" s="17">
        <f t="shared" si="6"/>
        <v>5</v>
      </c>
      <c r="P17" s="16">
        <f>(2*O17)/$N$13*'Total per Region'!$R$22</f>
        <v>25001.232437761893</v>
      </c>
      <c r="R17" s="19" t="s">
        <v>405</v>
      </c>
      <c r="S17">
        <v>13</v>
      </c>
    </row>
    <row r="18" spans="1:19" x14ac:dyDescent="0.25">
      <c r="A18">
        <v>2364</v>
      </c>
      <c r="B18">
        <v>1</v>
      </c>
      <c r="C18" t="s">
        <v>218</v>
      </c>
      <c r="D18" s="2" t="s">
        <v>135</v>
      </c>
      <c r="E18" s="1">
        <v>63</v>
      </c>
      <c r="F18" s="1">
        <v>21</v>
      </c>
      <c r="G18" s="1">
        <v>7</v>
      </c>
      <c r="H18" s="1">
        <f t="shared" si="0"/>
        <v>24.5</v>
      </c>
      <c r="I18" s="10">
        <f t="shared" si="1"/>
        <v>0.3888888888888889</v>
      </c>
      <c r="J18" s="10">
        <f t="shared" si="5"/>
        <v>0.3888888888888889</v>
      </c>
      <c r="K18" s="1">
        <f t="shared" si="2"/>
        <v>9.5277777777777786</v>
      </c>
      <c r="L18" s="12">
        <f t="shared" si="3"/>
        <v>3.7158333333333338</v>
      </c>
      <c r="M18" s="1">
        <f t="shared" si="4"/>
        <v>10</v>
      </c>
      <c r="N18" s="1">
        <f>MIN('Total per Region'!$N$22,N17+M18)</f>
        <v>125.40034049079753</v>
      </c>
      <c r="O18" s="17">
        <f t="shared" si="6"/>
        <v>5</v>
      </c>
      <c r="P18" s="16">
        <f>(2*O18)/$N$13*'Total per Region'!$R$22</f>
        <v>25001.232437761893</v>
      </c>
      <c r="R18" s="19" t="s">
        <v>405</v>
      </c>
      <c r="S18">
        <v>13</v>
      </c>
    </row>
    <row r="19" spans="1:19" x14ac:dyDescent="0.25">
      <c r="A19">
        <v>47</v>
      </c>
      <c r="B19">
        <v>1</v>
      </c>
      <c r="C19" t="s">
        <v>246</v>
      </c>
      <c r="D19" s="2" t="s">
        <v>135</v>
      </c>
      <c r="E19" s="1">
        <v>316</v>
      </c>
      <c r="F19" s="1">
        <v>101</v>
      </c>
      <c r="G19" s="1">
        <v>40</v>
      </c>
      <c r="H19" s="1">
        <f t="shared" si="0"/>
        <v>121</v>
      </c>
      <c r="I19" s="10">
        <f t="shared" si="1"/>
        <v>0.38291139240506328</v>
      </c>
      <c r="J19" s="10">
        <f t="shared" si="5"/>
        <v>0.38291139240506328</v>
      </c>
      <c r="K19" s="1">
        <f t="shared" si="2"/>
        <v>46.332278481012658</v>
      </c>
      <c r="L19" s="12">
        <f t="shared" si="3"/>
        <v>18.069588607594937</v>
      </c>
      <c r="M19" s="1">
        <f t="shared" si="4"/>
        <v>18.069588607594937</v>
      </c>
      <c r="N19" s="1">
        <f>MIN('Total per Region'!$N$22,N18+M19)</f>
        <v>143.46992909839247</v>
      </c>
      <c r="O19" s="17">
        <f t="shared" si="6"/>
        <v>9.0347943037974687</v>
      </c>
      <c r="P19" s="16">
        <f>(2*O19)/$N$13*'Total per Region'!$R$22</f>
        <v>45176.198483321525</v>
      </c>
      <c r="R19" s="19" t="s">
        <v>406</v>
      </c>
      <c r="S19">
        <v>14</v>
      </c>
    </row>
    <row r="20" spans="1:19" x14ac:dyDescent="0.25">
      <c r="A20">
        <v>2687</v>
      </c>
      <c r="B20">
        <v>1</v>
      </c>
      <c r="C20" t="s">
        <v>272</v>
      </c>
      <c r="D20" s="2" t="s">
        <v>135</v>
      </c>
      <c r="E20" s="1">
        <v>117</v>
      </c>
      <c r="F20" s="1">
        <v>33</v>
      </c>
      <c r="G20" s="1">
        <v>13</v>
      </c>
      <c r="H20" s="1">
        <f t="shared" si="0"/>
        <v>39.5</v>
      </c>
      <c r="I20" s="10">
        <f t="shared" si="1"/>
        <v>0.33760683760683763</v>
      </c>
      <c r="J20" s="10">
        <f t="shared" si="5"/>
        <v>0.33760683760683763</v>
      </c>
      <c r="K20" s="1">
        <f t="shared" si="2"/>
        <v>13.335470085470087</v>
      </c>
      <c r="L20" s="12">
        <f t="shared" si="3"/>
        <v>5.2008333333333336</v>
      </c>
      <c r="M20" s="1">
        <f t="shared" si="4"/>
        <v>10</v>
      </c>
      <c r="N20" s="1">
        <f>MIN('Total per Region'!$N$22,N19+M20)</f>
        <v>153.46992909839247</v>
      </c>
      <c r="O20" s="17">
        <f t="shared" si="6"/>
        <v>5</v>
      </c>
      <c r="P20" s="16">
        <f>(2*O20)/$N$13*'Total per Region'!$R$22</f>
        <v>25001.232437761893</v>
      </c>
      <c r="R20" s="19" t="s">
        <v>407</v>
      </c>
      <c r="S20">
        <v>14</v>
      </c>
    </row>
    <row r="21" spans="1:19" x14ac:dyDescent="0.25">
      <c r="A21">
        <v>881</v>
      </c>
      <c r="B21">
        <v>1</v>
      </c>
      <c r="C21" t="s">
        <v>287</v>
      </c>
      <c r="D21" s="2" t="s">
        <v>135</v>
      </c>
      <c r="E21" s="1">
        <v>56</v>
      </c>
      <c r="F21" s="1">
        <v>17</v>
      </c>
      <c r="G21" s="1">
        <v>3</v>
      </c>
      <c r="H21" s="1">
        <f t="shared" si="0"/>
        <v>18.5</v>
      </c>
      <c r="I21" s="10">
        <f t="shared" si="1"/>
        <v>0.33035714285714285</v>
      </c>
      <c r="J21" s="10">
        <f t="shared" si="5"/>
        <v>0.33035714285714285</v>
      </c>
      <c r="K21" s="1">
        <f t="shared" si="2"/>
        <v>6.1116071428571423</v>
      </c>
      <c r="L21" s="12">
        <f t="shared" si="3"/>
        <v>2.3835267857142854</v>
      </c>
      <c r="M21" s="1">
        <f t="shared" si="4"/>
        <v>10</v>
      </c>
      <c r="N21" s="1">
        <f>MIN('Total per Region'!$N$22,N20+M21)</f>
        <v>163.46992909839247</v>
      </c>
      <c r="O21" s="17">
        <f t="shared" si="6"/>
        <v>5</v>
      </c>
      <c r="P21" s="16">
        <f>(2*O21)/$N$13*'Total per Region'!$R$22</f>
        <v>25001.232437761893</v>
      </c>
      <c r="R21" s="19" t="s">
        <v>407</v>
      </c>
      <c r="S21">
        <v>14</v>
      </c>
    </row>
    <row r="22" spans="1:19" x14ac:dyDescent="0.25">
      <c r="A22">
        <v>876</v>
      </c>
      <c r="B22">
        <v>1</v>
      </c>
      <c r="C22" t="s">
        <v>300</v>
      </c>
      <c r="D22" s="2" t="s">
        <v>135</v>
      </c>
      <c r="E22" s="1">
        <v>126</v>
      </c>
      <c r="F22" s="1">
        <v>37</v>
      </c>
      <c r="G22" s="1">
        <v>5</v>
      </c>
      <c r="H22" s="1">
        <f t="shared" si="0"/>
        <v>39.5</v>
      </c>
      <c r="I22" s="10">
        <f t="shared" si="1"/>
        <v>0.31349206349206349</v>
      </c>
      <c r="J22" s="10">
        <f t="shared" si="5"/>
        <v>0.31349206349206349</v>
      </c>
      <c r="K22" s="1">
        <f t="shared" si="2"/>
        <v>12.382936507936508</v>
      </c>
      <c r="L22" s="12">
        <f t="shared" si="3"/>
        <v>4.8293452380952386</v>
      </c>
      <c r="M22" s="1">
        <f t="shared" si="4"/>
        <v>10</v>
      </c>
      <c r="N22" s="1">
        <f>MIN('Total per Region'!$N$22,N21+M22)</f>
        <v>173.46992909839247</v>
      </c>
      <c r="O22" s="17">
        <f t="shared" si="6"/>
        <v>5</v>
      </c>
      <c r="P22" s="16">
        <f>(2*O22)/$N$13*'Total per Region'!$R$22</f>
        <v>25001.232437761893</v>
      </c>
      <c r="R22" s="19" t="s">
        <v>407</v>
      </c>
      <c r="S22">
        <v>14</v>
      </c>
    </row>
    <row r="23" spans="1:19" x14ac:dyDescent="0.25">
      <c r="A23">
        <v>741</v>
      </c>
      <c r="B23">
        <v>1</v>
      </c>
      <c r="C23" t="s">
        <v>219</v>
      </c>
      <c r="D23" s="2" t="s">
        <v>135</v>
      </c>
      <c r="E23" s="1">
        <v>77</v>
      </c>
      <c r="F23" s="1">
        <v>18</v>
      </c>
      <c r="G23" s="1">
        <v>12</v>
      </c>
      <c r="H23" s="1">
        <f t="shared" si="0"/>
        <v>24</v>
      </c>
      <c r="I23" s="10">
        <f t="shared" si="1"/>
        <v>0.31168831168831168</v>
      </c>
      <c r="J23" s="10">
        <f t="shared" si="5"/>
        <v>0.31168831168831168</v>
      </c>
      <c r="K23" s="1">
        <f t="shared" si="2"/>
        <v>7.4805194805194803</v>
      </c>
      <c r="L23" s="12">
        <f t="shared" si="3"/>
        <v>2.9174025974025972</v>
      </c>
      <c r="M23" s="1">
        <f t="shared" si="4"/>
        <v>10</v>
      </c>
      <c r="N23" s="1">
        <f>MIN('Total per Region'!$N$22,N22+M23)</f>
        <v>183.46992909839247</v>
      </c>
      <c r="O23" s="17">
        <f t="shared" si="6"/>
        <v>5</v>
      </c>
      <c r="P23" s="16">
        <f>(2*O23)/$N$13*'Total per Region'!$R$22</f>
        <v>25001.232437761893</v>
      </c>
      <c r="R23" s="19" t="s">
        <v>405</v>
      </c>
      <c r="S23">
        <v>13</v>
      </c>
    </row>
    <row r="24" spans="1:19" x14ac:dyDescent="0.25">
      <c r="A24">
        <v>51</v>
      </c>
      <c r="B24">
        <v>1</v>
      </c>
      <c r="C24" t="s">
        <v>284</v>
      </c>
      <c r="D24" s="2" t="s">
        <v>135</v>
      </c>
      <c r="E24" s="1">
        <v>138</v>
      </c>
      <c r="F24" s="1">
        <v>37</v>
      </c>
      <c r="G24" s="1">
        <v>12</v>
      </c>
      <c r="H24" s="1">
        <f t="shared" si="0"/>
        <v>43</v>
      </c>
      <c r="I24" s="10">
        <f t="shared" si="1"/>
        <v>0.31159420289855072</v>
      </c>
      <c r="J24" s="10">
        <f t="shared" si="5"/>
        <v>0.31159420289855072</v>
      </c>
      <c r="K24" s="1">
        <f t="shared" si="2"/>
        <v>13.398550724637682</v>
      </c>
      <c r="L24" s="12">
        <f t="shared" si="3"/>
        <v>5.225434782608696</v>
      </c>
      <c r="M24" s="1">
        <f t="shared" si="4"/>
        <v>10</v>
      </c>
      <c r="N24" s="1">
        <f>MIN('Total per Region'!$N$22,N23+M24)</f>
        <v>193.46992909839247</v>
      </c>
      <c r="O24" s="17">
        <f t="shared" si="6"/>
        <v>5</v>
      </c>
      <c r="P24" s="16">
        <f>(2*O24)/$N$13*'Total per Region'!$R$22</f>
        <v>25001.232437761893</v>
      </c>
      <c r="R24" s="19" t="s">
        <v>406</v>
      </c>
      <c r="S24">
        <v>14</v>
      </c>
    </row>
    <row r="25" spans="1:19" x14ac:dyDescent="0.25">
      <c r="A25">
        <v>883</v>
      </c>
      <c r="B25">
        <v>1</v>
      </c>
      <c r="C25" t="s">
        <v>295</v>
      </c>
      <c r="D25" s="2" t="s">
        <v>135</v>
      </c>
      <c r="E25" s="1">
        <v>149</v>
      </c>
      <c r="F25" s="1">
        <v>41</v>
      </c>
      <c r="G25" s="1">
        <v>6</v>
      </c>
      <c r="H25" s="1">
        <f t="shared" si="0"/>
        <v>44</v>
      </c>
      <c r="I25" s="10">
        <f t="shared" si="1"/>
        <v>0.29530201342281881</v>
      </c>
      <c r="J25" s="10">
        <f t="shared" si="5"/>
        <v>0.29530201342281881</v>
      </c>
      <c r="K25" s="1">
        <f t="shared" si="2"/>
        <v>12.993288590604028</v>
      </c>
      <c r="L25" s="12">
        <f t="shared" si="3"/>
        <v>5.0673825503355712</v>
      </c>
      <c r="M25" s="1">
        <f t="shared" si="4"/>
        <v>10</v>
      </c>
      <c r="N25" s="1">
        <f>MIN('Total per Region'!$N$22,N24+M25)</f>
        <v>203.46992909839247</v>
      </c>
      <c r="O25" s="17">
        <f t="shared" si="6"/>
        <v>5</v>
      </c>
      <c r="P25" s="16">
        <f>(2*O25)/$N$13*'Total per Region'!$R$22</f>
        <v>25001.232437761893</v>
      </c>
      <c r="R25" s="19" t="s">
        <v>407</v>
      </c>
      <c r="S25">
        <v>14</v>
      </c>
    </row>
    <row r="26" spans="1:19" x14ac:dyDescent="0.25">
      <c r="A26">
        <v>750</v>
      </c>
      <c r="B26">
        <v>1</v>
      </c>
      <c r="C26" t="s">
        <v>308</v>
      </c>
      <c r="D26" s="2" t="s">
        <v>135</v>
      </c>
      <c r="E26" s="1">
        <v>128</v>
      </c>
      <c r="F26" s="1">
        <v>31</v>
      </c>
      <c r="G26" s="1">
        <v>9</v>
      </c>
      <c r="H26" s="1">
        <f t="shared" si="0"/>
        <v>35.5</v>
      </c>
      <c r="I26" s="10">
        <f t="shared" si="1"/>
        <v>0.27734375</v>
      </c>
      <c r="J26" s="10">
        <f t="shared" si="5"/>
        <v>0.27734375</v>
      </c>
      <c r="K26" s="1">
        <f t="shared" si="2"/>
        <v>9.845703125</v>
      </c>
      <c r="L26" s="12">
        <f t="shared" si="3"/>
        <v>3.83982421875</v>
      </c>
      <c r="M26" s="1">
        <f t="shared" si="4"/>
        <v>10</v>
      </c>
      <c r="N26" s="1">
        <f>MIN('Total per Region'!$N$22,N25+M26)</f>
        <v>213.46992909839247</v>
      </c>
      <c r="O26" s="17">
        <f t="shared" si="6"/>
        <v>5</v>
      </c>
      <c r="P26" s="16">
        <f>(2*O26)/$N$13*'Total per Region'!$R$22</f>
        <v>25001.232437761893</v>
      </c>
      <c r="R26" s="19" t="s">
        <v>405</v>
      </c>
      <c r="S26">
        <v>13</v>
      </c>
    </row>
    <row r="27" spans="1:19" x14ac:dyDescent="0.25">
      <c r="A27">
        <v>882</v>
      </c>
      <c r="B27">
        <v>1</v>
      </c>
      <c r="C27" t="s">
        <v>309</v>
      </c>
      <c r="D27" s="2" t="s">
        <v>135</v>
      </c>
      <c r="E27" s="1">
        <v>343</v>
      </c>
      <c r="F27" s="1">
        <v>80</v>
      </c>
      <c r="G27" s="1">
        <v>29</v>
      </c>
      <c r="H27" s="1">
        <f t="shared" si="0"/>
        <v>94.5</v>
      </c>
      <c r="I27" s="10">
        <f t="shared" si="1"/>
        <v>0.27551020408163263</v>
      </c>
      <c r="J27" s="10">
        <f t="shared" si="5"/>
        <v>0.27551020408163263</v>
      </c>
      <c r="K27" s="1">
        <f t="shared" si="2"/>
        <v>26.035714285714285</v>
      </c>
      <c r="L27" s="12">
        <f t="shared" si="3"/>
        <v>10.153928571428571</v>
      </c>
      <c r="M27" s="1">
        <f t="shared" si="4"/>
        <v>10.153928571428571</v>
      </c>
      <c r="N27" s="1">
        <f>MIN('Total per Region'!$N$22,N26+M27)</f>
        <v>217.36411313657774</v>
      </c>
      <c r="O27" s="17">
        <f t="shared" si="6"/>
        <v>1.9470920190926364</v>
      </c>
      <c r="P27" s="16">
        <f>(2*O27)/$N$13*'Total per Region'!$R$22</f>
        <v>9735.9400294092247</v>
      </c>
      <c r="R27" s="19" t="s">
        <v>407</v>
      </c>
      <c r="S27">
        <v>14</v>
      </c>
    </row>
    <row r="28" spans="1:19" x14ac:dyDescent="0.25">
      <c r="A28">
        <v>466</v>
      </c>
      <c r="B28">
        <v>1</v>
      </c>
      <c r="C28" t="s">
        <v>304</v>
      </c>
      <c r="D28" s="2" t="s">
        <v>135</v>
      </c>
      <c r="E28" s="1">
        <v>183</v>
      </c>
      <c r="F28" s="1">
        <v>41</v>
      </c>
      <c r="G28" s="1">
        <v>18</v>
      </c>
      <c r="H28" s="1">
        <f t="shared" si="0"/>
        <v>50</v>
      </c>
      <c r="I28" s="10">
        <f t="shared" si="1"/>
        <v>0.27322404371584702</v>
      </c>
      <c r="J28" s="10">
        <f t="shared" si="5"/>
        <v>0.27322404371584702</v>
      </c>
      <c r="K28" s="1">
        <f t="shared" si="2"/>
        <v>13.661202185792352</v>
      </c>
      <c r="L28" s="12">
        <f t="shared" si="3"/>
        <v>5.3278688524590176</v>
      </c>
      <c r="M28" s="1">
        <f t="shared" si="4"/>
        <v>10</v>
      </c>
      <c r="N28" s="1">
        <f>MIN('Total per Region'!$N$22,N27+M28)</f>
        <v>217.36411313657774</v>
      </c>
      <c r="O28" s="17">
        <f t="shared" si="6"/>
        <v>0</v>
      </c>
      <c r="P28" s="16">
        <f>(2*O28)/$N$13*'Total per Region'!$R$22</f>
        <v>0</v>
      </c>
      <c r="R28" s="4" t="s">
        <v>407</v>
      </c>
      <c r="S28">
        <v>14</v>
      </c>
    </row>
    <row r="29" spans="1:19" x14ac:dyDescent="0.25">
      <c r="A29">
        <v>738</v>
      </c>
      <c r="B29">
        <v>1</v>
      </c>
      <c r="C29" t="s">
        <v>313</v>
      </c>
      <c r="D29" s="2" t="s">
        <v>135</v>
      </c>
      <c r="E29" s="1">
        <v>80</v>
      </c>
      <c r="F29" s="1">
        <v>19</v>
      </c>
      <c r="G29" s="1">
        <v>4</v>
      </c>
      <c r="H29" s="1">
        <f t="shared" si="0"/>
        <v>21</v>
      </c>
      <c r="I29" s="10">
        <f t="shared" si="1"/>
        <v>0.26250000000000001</v>
      </c>
      <c r="J29" s="10">
        <f t="shared" si="5"/>
        <v>0.26250000000000001</v>
      </c>
      <c r="K29" s="1">
        <f t="shared" si="2"/>
        <v>5.5125000000000002</v>
      </c>
      <c r="L29" s="12">
        <f t="shared" si="3"/>
        <v>2.1498750000000002</v>
      </c>
      <c r="M29" s="1">
        <f t="shared" si="4"/>
        <v>10</v>
      </c>
      <c r="N29" s="1">
        <f>MIN('Total per Region'!$N$22,N28+M29)</f>
        <v>217.36411313657774</v>
      </c>
      <c r="O29" s="17">
        <f t="shared" si="6"/>
        <v>0</v>
      </c>
      <c r="P29" s="16">
        <f>(2*O29)/$N$13*'Total per Region'!$R$22</f>
        <v>0</v>
      </c>
      <c r="R29" s="4" t="s">
        <v>405</v>
      </c>
      <c r="S29">
        <v>13</v>
      </c>
    </row>
    <row r="30" spans="1:19" x14ac:dyDescent="0.25">
      <c r="A30">
        <v>739</v>
      </c>
      <c r="B30">
        <v>1</v>
      </c>
      <c r="C30" t="s">
        <v>293</v>
      </c>
      <c r="D30" s="2" t="s">
        <v>135</v>
      </c>
      <c r="E30" s="1">
        <v>50</v>
      </c>
      <c r="F30" s="1">
        <v>10</v>
      </c>
      <c r="G30" s="1">
        <v>6</v>
      </c>
      <c r="H30" s="1">
        <f t="shared" si="0"/>
        <v>13</v>
      </c>
      <c r="I30" s="10">
        <f t="shared" si="1"/>
        <v>0.26</v>
      </c>
      <c r="J30" s="10">
        <f t="shared" si="5"/>
        <v>0.26</v>
      </c>
      <c r="K30" s="1">
        <f t="shared" si="2"/>
        <v>3.38</v>
      </c>
      <c r="L30" s="12">
        <f t="shared" si="3"/>
        <v>1.3182</v>
      </c>
      <c r="M30" s="1">
        <f t="shared" si="4"/>
        <v>10</v>
      </c>
      <c r="N30" s="1">
        <f>MIN('Total per Region'!$N$22,N29+M30)</f>
        <v>217.36411313657774</v>
      </c>
      <c r="O30" s="17">
        <f t="shared" si="6"/>
        <v>0</v>
      </c>
      <c r="P30" s="16">
        <f>(2*O30)/$N$13*'Total per Region'!$R$22</f>
        <v>0</v>
      </c>
      <c r="R30" s="4" t="s">
        <v>405</v>
      </c>
      <c r="S30">
        <v>13</v>
      </c>
    </row>
    <row r="31" spans="1:19" x14ac:dyDescent="0.25">
      <c r="A31">
        <v>727</v>
      </c>
      <c r="B31">
        <v>1</v>
      </c>
      <c r="C31" t="s">
        <v>312</v>
      </c>
      <c r="D31" s="2" t="s">
        <v>135</v>
      </c>
      <c r="E31" s="1">
        <v>249</v>
      </c>
      <c r="F31" s="1">
        <v>52</v>
      </c>
      <c r="G31" s="1">
        <v>25</v>
      </c>
      <c r="H31" s="1">
        <f t="shared" si="0"/>
        <v>64.5</v>
      </c>
      <c r="I31" s="10">
        <f t="shared" si="1"/>
        <v>0.25903614457831325</v>
      </c>
      <c r="J31" s="10">
        <f t="shared" si="5"/>
        <v>0.25903614457831325</v>
      </c>
      <c r="K31" s="1">
        <f t="shared" si="2"/>
        <v>16.707831325301203</v>
      </c>
      <c r="L31" s="12">
        <f t="shared" si="3"/>
        <v>6.5160542168674693</v>
      </c>
      <c r="M31" s="1">
        <f t="shared" si="4"/>
        <v>10</v>
      </c>
      <c r="N31" s="1">
        <f>MIN('Total per Region'!$N$22,N30+M31)</f>
        <v>217.36411313657774</v>
      </c>
      <c r="O31" s="17">
        <f t="shared" si="6"/>
        <v>0</v>
      </c>
      <c r="P31" s="16">
        <f>(2*O31)/$N$13*'Total per Region'!$R$22</f>
        <v>0</v>
      </c>
      <c r="R31" s="4" t="s">
        <v>408</v>
      </c>
      <c r="S31">
        <v>15</v>
      </c>
    </row>
    <row r="32" spans="1:19" x14ac:dyDescent="0.25">
      <c r="A32">
        <v>877</v>
      </c>
      <c r="B32">
        <v>1</v>
      </c>
      <c r="C32" t="s">
        <v>314</v>
      </c>
      <c r="D32" s="2" t="s">
        <v>135</v>
      </c>
      <c r="E32" s="1">
        <v>434</v>
      </c>
      <c r="F32" s="1">
        <v>98</v>
      </c>
      <c r="G32" s="1">
        <v>27</v>
      </c>
      <c r="H32" s="1">
        <f t="shared" si="0"/>
        <v>111.5</v>
      </c>
      <c r="I32" s="10">
        <f t="shared" si="1"/>
        <v>0.25691244239631339</v>
      </c>
      <c r="J32" s="10">
        <f t="shared" si="5"/>
        <v>0.25691244239631339</v>
      </c>
      <c r="K32" s="1">
        <f t="shared" si="2"/>
        <v>28.645737327188943</v>
      </c>
      <c r="L32" s="12">
        <f t="shared" si="3"/>
        <v>11.171837557603688</v>
      </c>
      <c r="M32" s="1">
        <f t="shared" si="4"/>
        <v>11.171837557603688</v>
      </c>
      <c r="N32" s="1">
        <f>MIN('Total per Region'!$N$22,N31+M32)</f>
        <v>217.36411313657774</v>
      </c>
      <c r="O32" s="17">
        <f t="shared" si="6"/>
        <v>0</v>
      </c>
      <c r="P32" s="16">
        <f>(2*O32)/$N$13*'Total per Region'!$R$22</f>
        <v>0</v>
      </c>
      <c r="R32" s="4" t="s">
        <v>407</v>
      </c>
      <c r="S32">
        <v>14</v>
      </c>
    </row>
    <row r="33" spans="1:19" x14ac:dyDescent="0.25">
      <c r="A33">
        <v>728</v>
      </c>
      <c r="B33">
        <v>1</v>
      </c>
      <c r="C33" t="s">
        <v>332</v>
      </c>
      <c r="D33" s="2" t="s">
        <v>135</v>
      </c>
      <c r="E33" s="1">
        <v>896</v>
      </c>
      <c r="F33" s="1">
        <v>182</v>
      </c>
      <c r="G33" s="1">
        <v>57</v>
      </c>
      <c r="H33" s="1">
        <f t="shared" si="0"/>
        <v>210.5</v>
      </c>
      <c r="I33" s="10">
        <f t="shared" si="1"/>
        <v>0.23493303571428573</v>
      </c>
      <c r="J33" s="10">
        <f t="shared" si="5"/>
        <v>0.23493303571428573</v>
      </c>
      <c r="K33" s="1">
        <f t="shared" si="2"/>
        <v>49.453404017857146</v>
      </c>
      <c r="L33" s="12">
        <f t="shared" si="3"/>
        <v>19.286827566964288</v>
      </c>
      <c r="M33" s="1">
        <f t="shared" si="4"/>
        <v>19.286827566964288</v>
      </c>
      <c r="N33" s="1">
        <f>MIN('Total per Region'!$N$22,N32+M33)</f>
        <v>217.36411313657774</v>
      </c>
      <c r="O33" s="17">
        <f t="shared" si="6"/>
        <v>0</v>
      </c>
      <c r="P33" s="16">
        <f>(2*O33)/$N$13*'Total per Region'!$R$22</f>
        <v>0</v>
      </c>
      <c r="R33" s="4" t="s">
        <v>408</v>
      </c>
      <c r="S33">
        <v>15</v>
      </c>
    </row>
    <row r="34" spans="1:19" x14ac:dyDescent="0.25">
      <c r="A34">
        <v>745</v>
      </c>
      <c r="B34">
        <v>1</v>
      </c>
      <c r="C34" t="s">
        <v>327</v>
      </c>
      <c r="D34" s="2" t="s">
        <v>135</v>
      </c>
      <c r="E34" s="1">
        <v>135</v>
      </c>
      <c r="F34" s="1">
        <v>23</v>
      </c>
      <c r="G34" s="1">
        <v>11</v>
      </c>
      <c r="H34" s="1">
        <f t="shared" si="0"/>
        <v>28.5</v>
      </c>
      <c r="I34" s="10">
        <f t="shared" si="1"/>
        <v>0.21111111111111111</v>
      </c>
      <c r="J34" s="10">
        <f t="shared" si="5"/>
        <v>0.21111111111111111</v>
      </c>
      <c r="K34" s="1">
        <f t="shared" si="2"/>
        <v>6.0166666666666666</v>
      </c>
      <c r="L34" s="12">
        <f t="shared" si="3"/>
        <v>2.3465000000000003</v>
      </c>
      <c r="M34" s="1">
        <f t="shared" si="4"/>
        <v>10</v>
      </c>
      <c r="N34" s="1">
        <f>MIN('Total per Region'!$N$22,N33+M34)</f>
        <v>217.36411313657774</v>
      </c>
      <c r="O34" s="17">
        <f t="shared" si="6"/>
        <v>0</v>
      </c>
      <c r="P34" s="16">
        <f>(2*O34)/$N$13*'Total per Region'!$R$22</f>
        <v>0</v>
      </c>
      <c r="R34" s="4" t="s">
        <v>405</v>
      </c>
      <c r="S34">
        <v>13</v>
      </c>
    </row>
    <row r="35" spans="1:19" x14ac:dyDescent="0.25">
      <c r="A35">
        <v>726</v>
      </c>
      <c r="B35">
        <v>1</v>
      </c>
      <c r="C35" t="s">
        <v>336</v>
      </c>
      <c r="D35" s="2" t="s">
        <v>135</v>
      </c>
      <c r="E35" s="1">
        <v>201</v>
      </c>
      <c r="F35" s="1">
        <v>30</v>
      </c>
      <c r="G35" s="1">
        <v>14</v>
      </c>
      <c r="H35" s="1">
        <f t="shared" si="0"/>
        <v>37</v>
      </c>
      <c r="I35" s="10">
        <f t="shared" si="1"/>
        <v>0.18407960199004975</v>
      </c>
      <c r="J35" s="10">
        <f t="shared" si="5"/>
        <v>0.18407960199004975</v>
      </c>
      <c r="K35" s="1">
        <f t="shared" si="2"/>
        <v>6.810945273631841</v>
      </c>
      <c r="L35" s="12">
        <f t="shared" si="3"/>
        <v>2.656268656716418</v>
      </c>
      <c r="M35" s="1">
        <f t="shared" si="4"/>
        <v>10</v>
      </c>
      <c r="N35" s="1">
        <f>MIN('Total per Region'!$N$22,N34+M35)</f>
        <v>217.36411313657774</v>
      </c>
      <c r="O35" s="17">
        <f t="shared" si="6"/>
        <v>0</v>
      </c>
      <c r="P35" s="16">
        <f>(2*O35)/$N$13*'Total per Region'!$R$22</f>
        <v>0</v>
      </c>
      <c r="R35" s="4" t="s">
        <v>408</v>
      </c>
      <c r="S35">
        <v>15</v>
      </c>
    </row>
    <row r="36" spans="1:19" x14ac:dyDescent="0.25">
      <c r="A36">
        <v>748</v>
      </c>
      <c r="B36">
        <v>1</v>
      </c>
      <c r="C36" t="s">
        <v>343</v>
      </c>
      <c r="D36" s="2" t="s">
        <v>135</v>
      </c>
      <c r="E36" s="1">
        <v>251</v>
      </c>
      <c r="F36" s="1">
        <v>28</v>
      </c>
      <c r="G36" s="1">
        <v>16</v>
      </c>
      <c r="H36" s="1">
        <f t="shared" si="0"/>
        <v>36</v>
      </c>
      <c r="I36" s="10">
        <f t="shared" si="1"/>
        <v>0.14342629482071714</v>
      </c>
      <c r="J36" s="10">
        <f t="shared" si="5"/>
        <v>0.14342629482071714</v>
      </c>
      <c r="K36" s="1">
        <f t="shared" si="2"/>
        <v>5.1633466135458175</v>
      </c>
      <c r="L36" s="12">
        <f t="shared" si="3"/>
        <v>2.0137051792828689</v>
      </c>
      <c r="M36" s="1">
        <f t="shared" si="4"/>
        <v>10</v>
      </c>
      <c r="N36" s="1">
        <f>MIN('Total per Region'!$N$22,N35+M36)</f>
        <v>217.36411313657774</v>
      </c>
      <c r="O36" s="17">
        <f t="shared" si="6"/>
        <v>0</v>
      </c>
      <c r="P36" s="16">
        <f>(2*O36)/$N$13*'Total per Region'!$R$22</f>
        <v>0</v>
      </c>
      <c r="R36" s="4" t="s">
        <v>405</v>
      </c>
      <c r="S36">
        <v>13</v>
      </c>
    </row>
    <row r="37" spans="1:19" x14ac:dyDescent="0.25">
      <c r="A37">
        <v>879</v>
      </c>
      <c r="B37">
        <v>1</v>
      </c>
      <c r="C37" t="s">
        <v>344</v>
      </c>
      <c r="D37" s="2" t="s">
        <v>135</v>
      </c>
      <c r="E37" s="1">
        <v>174</v>
      </c>
      <c r="F37" s="1">
        <v>14</v>
      </c>
      <c r="G37" s="1">
        <v>7</v>
      </c>
      <c r="H37" s="1">
        <f t="shared" si="0"/>
        <v>17.5</v>
      </c>
      <c r="I37" s="10">
        <f t="shared" si="1"/>
        <v>0.10057471264367816</v>
      </c>
      <c r="J37" s="10">
        <f t="shared" si="5"/>
        <v>0.10057471264367816</v>
      </c>
      <c r="K37" s="1">
        <f t="shared" si="2"/>
        <v>1.760057471264368</v>
      </c>
      <c r="L37" s="12">
        <f t="shared" si="3"/>
        <v>0.68642241379310354</v>
      </c>
      <c r="M37" s="1">
        <f t="shared" si="4"/>
        <v>10</v>
      </c>
      <c r="N37" s="1">
        <f>MIN('Total per Region'!$N$22,N36+M37)</f>
        <v>217.36411313657774</v>
      </c>
      <c r="O37" s="17">
        <f t="shared" si="6"/>
        <v>0</v>
      </c>
      <c r="P37" s="16">
        <f>(2*O37)/$N$13*'Total per Region'!$R$22</f>
        <v>0</v>
      </c>
      <c r="R37" s="4" t="s">
        <v>407</v>
      </c>
      <c r="S37">
        <v>14</v>
      </c>
    </row>
    <row r="38" spans="1:19" x14ac:dyDescent="0.25">
      <c r="A38">
        <v>885</v>
      </c>
      <c r="B38">
        <v>1</v>
      </c>
      <c r="C38" t="s">
        <v>345</v>
      </c>
      <c r="D38" s="2" t="s">
        <v>135</v>
      </c>
      <c r="E38" s="1">
        <v>448</v>
      </c>
      <c r="F38" s="1">
        <v>40</v>
      </c>
      <c r="G38" s="1">
        <v>10</v>
      </c>
      <c r="H38" s="1">
        <f t="shared" si="0"/>
        <v>45</v>
      </c>
      <c r="I38" s="10">
        <f t="shared" si="1"/>
        <v>0.10044642857142858</v>
      </c>
      <c r="J38" s="10">
        <f t="shared" si="5"/>
        <v>0.10044642857142858</v>
      </c>
      <c r="K38" s="1">
        <f t="shared" si="2"/>
        <v>4.5200892857142856</v>
      </c>
      <c r="L38" s="12">
        <f t="shared" si="3"/>
        <v>1.7628348214285714</v>
      </c>
      <c r="M38" s="1">
        <f t="shared" si="4"/>
        <v>10</v>
      </c>
      <c r="N38" s="1">
        <f>MIN('Total per Region'!$N$22,N37+M38)</f>
        <v>217.36411313657774</v>
      </c>
      <c r="O38" s="17">
        <f t="shared" si="6"/>
        <v>0</v>
      </c>
      <c r="P38" s="16">
        <f>(2*O38)/$N$13*'Total per Region'!$R$22</f>
        <v>0</v>
      </c>
      <c r="R38" s="4" t="s">
        <v>407</v>
      </c>
      <c r="S38">
        <v>14</v>
      </c>
    </row>
    <row r="39" spans="1:19" x14ac:dyDescent="0.25">
      <c r="H39" s="1"/>
      <c r="I39" s="10"/>
      <c r="J39" s="10"/>
      <c r="K39" s="1"/>
      <c r="L39" s="1"/>
      <c r="O39" s="14">
        <f>SUM(O15:O38)</f>
        <v>108.68205656828887</v>
      </c>
      <c r="P39" s="18">
        <f>SUM(P15:P38)</f>
        <v>543437.07161555544</v>
      </c>
    </row>
    <row r="40" spans="1:19" x14ac:dyDescent="0.25">
      <c r="H40" s="1"/>
      <c r="I40" s="10"/>
      <c r="J40" s="10"/>
      <c r="K40" s="1"/>
      <c r="L40" s="1"/>
      <c r="P40" s="16"/>
    </row>
    <row r="41" spans="1:19" x14ac:dyDescent="0.25">
      <c r="H41" s="1"/>
      <c r="I41" s="10"/>
      <c r="J41" s="10"/>
      <c r="K41" s="1"/>
      <c r="L41" s="1"/>
      <c r="P41" s="16"/>
    </row>
    <row r="42" spans="1:19" x14ac:dyDescent="0.25">
      <c r="H42" s="1"/>
      <c r="I42" s="10"/>
      <c r="J42" s="10"/>
      <c r="K42" s="1"/>
      <c r="L42" s="1"/>
      <c r="P42" s="16"/>
    </row>
    <row r="43" spans="1:19" x14ac:dyDescent="0.25">
      <c r="H43" s="1"/>
      <c r="I43" s="10"/>
      <c r="J43" s="10"/>
      <c r="K43" s="1"/>
      <c r="L43" s="1"/>
      <c r="P43" s="16"/>
    </row>
    <row r="44" spans="1:19" x14ac:dyDescent="0.25">
      <c r="H44" s="1"/>
      <c r="I44" s="10"/>
      <c r="J44" s="10"/>
      <c r="K44" s="1"/>
      <c r="L44" s="1"/>
      <c r="P44" s="16"/>
    </row>
    <row r="45" spans="1:19" x14ac:dyDescent="0.25">
      <c r="H45" s="1"/>
      <c r="I45" s="10"/>
      <c r="J45" s="10"/>
      <c r="K45" s="1"/>
      <c r="L45" s="1"/>
      <c r="P45" s="16"/>
    </row>
    <row r="46" spans="1:19" x14ac:dyDescent="0.25">
      <c r="H46" s="1"/>
      <c r="I46" s="10"/>
      <c r="J46" s="10"/>
      <c r="K46" s="1"/>
      <c r="L46" s="1"/>
      <c r="P46" s="16"/>
    </row>
    <row r="47" spans="1:19" x14ac:dyDescent="0.25">
      <c r="H47" s="1"/>
      <c r="I47" s="10"/>
      <c r="J47" s="10"/>
      <c r="K47" s="1"/>
      <c r="L47" s="1"/>
      <c r="P47" s="16"/>
    </row>
    <row r="48" spans="1:19" x14ac:dyDescent="0.25">
      <c r="H48" s="1"/>
      <c r="I48" s="10"/>
      <c r="J48" s="10"/>
      <c r="K48" s="1"/>
      <c r="L48" s="1"/>
      <c r="P48" s="16"/>
    </row>
    <row r="49" spans="8:16" x14ac:dyDescent="0.25">
      <c r="H49" s="1"/>
      <c r="I49" s="10"/>
      <c r="J49" s="10"/>
      <c r="K49" s="1"/>
      <c r="L49" s="1"/>
      <c r="P49" s="16"/>
    </row>
    <row r="50" spans="8:16" x14ac:dyDescent="0.25">
      <c r="H50" s="1"/>
      <c r="I50" s="10"/>
      <c r="J50" s="10"/>
      <c r="K50" s="1"/>
      <c r="L50" s="1"/>
      <c r="P50" s="16"/>
    </row>
    <row r="51" spans="8:16" x14ac:dyDescent="0.25">
      <c r="H51" s="1"/>
      <c r="I51" s="10"/>
      <c r="J51" s="10"/>
      <c r="K51" s="1"/>
      <c r="L51" s="1"/>
      <c r="P51" s="16"/>
    </row>
    <row r="52" spans="8:16" x14ac:dyDescent="0.25">
      <c r="H52" s="1"/>
      <c r="I52" s="10"/>
      <c r="J52" s="10"/>
      <c r="K52" s="1"/>
      <c r="L52" s="1"/>
      <c r="P52" s="16"/>
    </row>
    <row r="53" spans="8:16" x14ac:dyDescent="0.25">
      <c r="H53" s="1"/>
      <c r="I53" s="10"/>
      <c r="J53" s="10"/>
      <c r="K53" s="1"/>
      <c r="L53" s="1"/>
      <c r="P53" s="16"/>
    </row>
    <row r="54" spans="8:16" x14ac:dyDescent="0.25">
      <c r="H54" s="1"/>
      <c r="I54" s="10"/>
      <c r="J54" s="10"/>
      <c r="K54" s="1"/>
      <c r="L54" s="1"/>
      <c r="P54" s="16"/>
    </row>
    <row r="55" spans="8:16" x14ac:dyDescent="0.25">
      <c r="H55" s="1"/>
      <c r="I55" s="10"/>
      <c r="J55" s="10"/>
      <c r="K55" s="1"/>
      <c r="L55" s="1"/>
      <c r="P55" s="16"/>
    </row>
    <row r="56" spans="8:16" x14ac:dyDescent="0.25">
      <c r="H56" s="1"/>
      <c r="I56" s="10"/>
      <c r="J56" s="10"/>
      <c r="K56" s="1"/>
      <c r="L56" s="1"/>
      <c r="P56" s="16"/>
    </row>
    <row r="57" spans="8:16" x14ac:dyDescent="0.25">
      <c r="H57" s="1"/>
      <c r="I57" s="10"/>
      <c r="J57" s="10"/>
      <c r="K57" s="1"/>
      <c r="L57" s="1"/>
      <c r="P57" s="22"/>
    </row>
    <row r="58" spans="8:16" x14ac:dyDescent="0.25">
      <c r="H58" s="1"/>
      <c r="I58" s="10"/>
      <c r="J58" s="10"/>
      <c r="K58" s="1"/>
      <c r="L58" s="1"/>
      <c r="P58" s="16"/>
    </row>
    <row r="59" spans="8:16" x14ac:dyDescent="0.25">
      <c r="H59" s="1"/>
      <c r="I59" s="10"/>
      <c r="J59" s="10"/>
      <c r="K59" s="1"/>
      <c r="L59" s="1"/>
      <c r="P59" s="16"/>
    </row>
    <row r="60" spans="8:16" x14ac:dyDescent="0.25">
      <c r="H60" s="1"/>
      <c r="I60" s="10"/>
      <c r="J60" s="10"/>
      <c r="K60" s="1"/>
      <c r="L60" s="1"/>
      <c r="P60" s="16"/>
    </row>
    <row r="61" spans="8:16" x14ac:dyDescent="0.25">
      <c r="H61" s="1"/>
      <c r="I61" s="10"/>
      <c r="J61" s="10"/>
      <c r="K61" s="1"/>
      <c r="L61" s="1"/>
      <c r="P61" s="16"/>
    </row>
    <row r="62" spans="8:16" x14ac:dyDescent="0.25">
      <c r="H62" s="1"/>
      <c r="I62" s="10"/>
      <c r="J62" s="10"/>
      <c r="K62" s="1"/>
      <c r="L62" s="1"/>
      <c r="P62" s="16"/>
    </row>
    <row r="63" spans="8:16" x14ac:dyDescent="0.25">
      <c r="P63" s="18"/>
    </row>
    <row r="64" spans="8:16" x14ac:dyDescent="0.25">
      <c r="P64" s="18"/>
    </row>
  </sheetData>
  <sortState ref="A15:AA38">
    <sortCondition descending="1" ref="Q15:Q38"/>
    <sortCondition descending="1" ref="J15:J38"/>
  </sortState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4"/>
  <sheetViews>
    <sheetView workbookViewId="0"/>
  </sheetViews>
  <sheetFormatPr defaultRowHeight="15" x14ac:dyDescent="0.25"/>
  <cols>
    <col min="3" max="3" width="38.5703125" bestFit="1" customWidth="1"/>
    <col min="5" max="8" width="10.85546875" bestFit="1" customWidth="1"/>
    <col min="9" max="9" width="13.7109375" bestFit="1" customWidth="1"/>
    <col min="10" max="10" width="10.28515625" bestFit="1" customWidth="1"/>
    <col min="11" max="11" width="10.85546875" bestFit="1" customWidth="1"/>
    <col min="12" max="12" width="14" bestFit="1" customWidth="1"/>
    <col min="13" max="13" width="11.42578125" bestFit="1" customWidth="1"/>
    <col min="14" max="14" width="12" bestFit="1" customWidth="1"/>
    <col min="15" max="15" width="14.5703125" bestFit="1" customWidth="1"/>
    <col min="16" max="16" width="16.28515625" bestFit="1" customWidth="1"/>
    <col min="17" max="17" width="20.140625" bestFit="1" customWidth="1"/>
    <col min="18" max="18" width="13.140625" customWidth="1"/>
    <col min="19" max="19" width="6.85546875" bestFit="1" customWidth="1"/>
  </cols>
  <sheetData>
    <row r="1" spans="1:19" x14ac:dyDescent="0.25">
      <c r="A1" t="s">
        <v>460</v>
      </c>
      <c r="N1" s="2"/>
    </row>
    <row r="2" spans="1:19" x14ac:dyDescent="0.25">
      <c r="N2" s="2"/>
    </row>
    <row r="3" spans="1:19" x14ac:dyDescent="0.25">
      <c r="A3" t="s">
        <v>509</v>
      </c>
      <c r="C3" t="s">
        <v>508</v>
      </c>
      <c r="D3">
        <v>0.39</v>
      </c>
      <c r="N3" s="2"/>
    </row>
    <row r="4" spans="1:19" x14ac:dyDescent="0.25">
      <c r="N4" s="2"/>
    </row>
    <row r="5" spans="1:19" x14ac:dyDescent="0.25">
      <c r="E5" s="2" t="s">
        <v>445</v>
      </c>
      <c r="F5" s="2" t="s">
        <v>446</v>
      </c>
      <c r="G5" s="2" t="s">
        <v>447</v>
      </c>
      <c r="H5" s="2" t="s">
        <v>448</v>
      </c>
      <c r="I5" s="2" t="s">
        <v>449</v>
      </c>
      <c r="J5" s="2" t="s">
        <v>451</v>
      </c>
      <c r="K5" s="2" t="s">
        <v>452</v>
      </c>
      <c r="L5" s="2" t="s">
        <v>453</v>
      </c>
      <c r="M5" s="2" t="s">
        <v>454</v>
      </c>
      <c r="N5" s="2" t="s">
        <v>455</v>
      </c>
      <c r="O5" s="2" t="s">
        <v>457</v>
      </c>
      <c r="P5" s="2" t="s">
        <v>464</v>
      </c>
      <c r="Q5" s="2" t="s">
        <v>465</v>
      </c>
      <c r="R5" s="2" t="s">
        <v>466</v>
      </c>
      <c r="S5" s="2" t="s">
        <v>0</v>
      </c>
    </row>
    <row r="6" spans="1:19" x14ac:dyDescent="0.25">
      <c r="K6" s="2" t="s">
        <v>476</v>
      </c>
      <c r="O6" s="2" t="s">
        <v>512</v>
      </c>
    </row>
    <row r="7" spans="1:19" x14ac:dyDescent="0.25">
      <c r="H7" s="2" t="s">
        <v>476</v>
      </c>
      <c r="J7" s="2" t="s">
        <v>486</v>
      </c>
      <c r="K7" s="2" t="s">
        <v>489</v>
      </c>
      <c r="M7" s="2" t="s">
        <v>492</v>
      </c>
      <c r="N7" s="2" t="s">
        <v>458</v>
      </c>
      <c r="O7" s="2" t="s">
        <v>459</v>
      </c>
      <c r="P7" s="2" t="s">
        <v>463</v>
      </c>
    </row>
    <row r="8" spans="1:19" x14ac:dyDescent="0.25">
      <c r="E8" s="2"/>
      <c r="F8" s="2"/>
      <c r="G8" s="2"/>
      <c r="H8" s="2" t="s">
        <v>477</v>
      </c>
      <c r="I8" s="2"/>
      <c r="J8" s="2" t="s">
        <v>484</v>
      </c>
      <c r="K8" s="2" t="s">
        <v>490</v>
      </c>
      <c r="L8" s="2"/>
      <c r="M8" s="2" t="s">
        <v>493</v>
      </c>
      <c r="N8" s="2" t="s">
        <v>450</v>
      </c>
      <c r="O8" s="2" t="s">
        <v>463</v>
      </c>
      <c r="P8" s="2" t="s">
        <v>504</v>
      </c>
      <c r="Q8" s="2" t="s">
        <v>500</v>
      </c>
      <c r="R8" s="2"/>
    </row>
    <row r="9" spans="1:19" x14ac:dyDescent="0.25">
      <c r="E9" s="2" t="s">
        <v>476</v>
      </c>
      <c r="F9" s="2" t="s">
        <v>476</v>
      </c>
      <c r="G9" s="2" t="s">
        <v>476</v>
      </c>
      <c r="H9" s="2" t="s">
        <v>481</v>
      </c>
      <c r="I9" s="2" t="s">
        <v>484</v>
      </c>
      <c r="J9" s="2" t="s">
        <v>487</v>
      </c>
      <c r="K9" s="2" t="s">
        <v>482</v>
      </c>
      <c r="L9" s="2" t="s">
        <v>467</v>
      </c>
      <c r="M9" s="2" t="s">
        <v>494</v>
      </c>
      <c r="N9" s="2" t="s">
        <v>498</v>
      </c>
      <c r="O9" s="2" t="s">
        <v>450</v>
      </c>
      <c r="P9" s="8" t="s">
        <v>505</v>
      </c>
      <c r="Q9" s="2" t="s">
        <v>503</v>
      </c>
    </row>
    <row r="10" spans="1:19" x14ac:dyDescent="0.25">
      <c r="E10" s="2" t="s">
        <v>477</v>
      </c>
      <c r="F10" s="2" t="s">
        <v>477</v>
      </c>
      <c r="G10" s="2" t="s">
        <v>477</v>
      </c>
      <c r="H10" s="2" t="s">
        <v>482</v>
      </c>
      <c r="I10" s="2" t="s">
        <v>485</v>
      </c>
      <c r="J10" s="11" t="s">
        <v>488</v>
      </c>
      <c r="K10" s="2" t="s">
        <v>487</v>
      </c>
      <c r="L10" s="2" t="s">
        <v>510</v>
      </c>
      <c r="M10" s="11" t="s">
        <v>495</v>
      </c>
      <c r="N10" s="8">
        <f>ROUND(N13,0)</f>
        <v>134</v>
      </c>
      <c r="O10" s="2" t="s">
        <v>513</v>
      </c>
      <c r="P10" s="2" t="s">
        <v>506</v>
      </c>
      <c r="Q10" s="2" t="s">
        <v>501</v>
      </c>
      <c r="R10" s="2"/>
      <c r="S10" s="2" t="s">
        <v>471</v>
      </c>
    </row>
    <row r="11" spans="1:19" x14ac:dyDescent="0.25">
      <c r="A11" t="s">
        <v>349</v>
      </c>
      <c r="B11" t="s">
        <v>350</v>
      </c>
      <c r="C11" t="s">
        <v>351</v>
      </c>
      <c r="D11" t="s">
        <v>352</v>
      </c>
      <c r="E11" s="2" t="s">
        <v>478</v>
      </c>
      <c r="F11" s="2" t="s">
        <v>479</v>
      </c>
      <c r="G11" s="2" t="s">
        <v>480</v>
      </c>
      <c r="H11" s="11" t="s">
        <v>483</v>
      </c>
      <c r="I11" s="11" t="s">
        <v>470</v>
      </c>
      <c r="J11" s="11" t="s">
        <v>473</v>
      </c>
      <c r="K11" s="11" t="s">
        <v>491</v>
      </c>
      <c r="L11" s="11" t="s">
        <v>511</v>
      </c>
      <c r="M11" s="11" t="s">
        <v>496</v>
      </c>
      <c r="N11" s="2" t="s">
        <v>499</v>
      </c>
      <c r="O11" s="2" t="s">
        <v>497</v>
      </c>
      <c r="P11" s="2" t="s">
        <v>507</v>
      </c>
      <c r="Q11" s="2" t="s">
        <v>502</v>
      </c>
      <c r="R11" s="2" t="s">
        <v>356</v>
      </c>
      <c r="S11" s="2" t="s">
        <v>472</v>
      </c>
    </row>
    <row r="12" spans="1:19" x14ac:dyDescent="0.25">
      <c r="N12" s="2"/>
      <c r="P12" s="1"/>
    </row>
    <row r="13" spans="1:19" x14ac:dyDescent="0.25">
      <c r="N13" s="14">
        <f>'Total per Region'!N23</f>
        <v>134.19261438586406</v>
      </c>
      <c r="P13" s="14"/>
    </row>
    <row r="14" spans="1:19" x14ac:dyDescent="0.25">
      <c r="K14" s="1">
        <f>SUM(K15:K62)</f>
        <v>357.09582772395652</v>
      </c>
    </row>
    <row r="15" spans="1:19" x14ac:dyDescent="0.25">
      <c r="A15">
        <v>402</v>
      </c>
      <c r="B15">
        <v>1</v>
      </c>
      <c r="C15" t="s">
        <v>55</v>
      </c>
      <c r="D15" s="2" t="s">
        <v>56</v>
      </c>
      <c r="E15" s="1">
        <v>10</v>
      </c>
      <c r="F15" s="1">
        <v>6</v>
      </c>
      <c r="G15" s="1">
        <v>3</v>
      </c>
      <c r="H15" s="1">
        <f t="shared" ref="H15:H44" si="0">F15+0.5*G15</f>
        <v>7.5</v>
      </c>
      <c r="I15" s="10">
        <f t="shared" ref="I15:I42" si="1">H15/E15</f>
        <v>0.75</v>
      </c>
      <c r="J15" s="10">
        <f>MIN(I15:I15,8)</f>
        <v>0.75</v>
      </c>
      <c r="K15" s="1">
        <f t="shared" ref="K15:K42" si="2">J15*H15</f>
        <v>5.625</v>
      </c>
      <c r="L15" s="12">
        <f t="shared" ref="L15:L44" si="3">(0.39)*K15</f>
        <v>2.1937500000000001</v>
      </c>
      <c r="M15" s="1">
        <f t="shared" ref="M15:M44" si="4">MAX(L15,10)</f>
        <v>10</v>
      </c>
      <c r="N15" s="1">
        <f>M15</f>
        <v>10</v>
      </c>
      <c r="O15" s="17">
        <f>(N15-N14)/2</f>
        <v>5</v>
      </c>
      <c r="P15" s="16">
        <f>(2*O15)/$N$13*'Total per Region'!$R$23</f>
        <v>25001.23243776189</v>
      </c>
      <c r="R15" s="19" t="s">
        <v>409</v>
      </c>
      <c r="S15">
        <v>14</v>
      </c>
    </row>
    <row r="16" spans="1:19" x14ac:dyDescent="0.25">
      <c r="A16">
        <v>518</v>
      </c>
      <c r="B16">
        <v>1</v>
      </c>
      <c r="C16" t="s">
        <v>78</v>
      </c>
      <c r="D16" s="2" t="s">
        <v>56</v>
      </c>
      <c r="E16" s="1">
        <v>247</v>
      </c>
      <c r="F16" s="1">
        <v>162</v>
      </c>
      <c r="G16" s="1">
        <v>22</v>
      </c>
      <c r="H16" s="1">
        <f t="shared" si="0"/>
        <v>173</v>
      </c>
      <c r="I16" s="10">
        <f t="shared" si="1"/>
        <v>0.70040485829959509</v>
      </c>
      <c r="J16" s="10">
        <f t="shared" ref="J16:J42" si="5">MIN(I16:I16,8)</f>
        <v>0.70040485829959509</v>
      </c>
      <c r="K16" s="1">
        <f t="shared" si="2"/>
        <v>121.17004048582994</v>
      </c>
      <c r="L16" s="12">
        <f t="shared" si="3"/>
        <v>47.256315789473682</v>
      </c>
      <c r="M16" s="1">
        <f t="shared" si="4"/>
        <v>47.256315789473682</v>
      </c>
      <c r="N16" s="1">
        <f>MIN('Total per Region'!$N$23,N15+M16)</f>
        <v>57.256315789473682</v>
      </c>
      <c r="O16" s="17">
        <f t="shared" ref="O16:O44" si="6">(N16-N15)/2</f>
        <v>23.628157894736841</v>
      </c>
      <c r="P16" s="16">
        <f>(2*O16)/$N$13*'Total per Region'!$R$23</f>
        <v>118146.61352049088</v>
      </c>
      <c r="R16" s="19" t="s">
        <v>411</v>
      </c>
      <c r="S16">
        <v>13</v>
      </c>
    </row>
    <row r="17" spans="1:19" x14ac:dyDescent="0.25">
      <c r="A17">
        <v>330</v>
      </c>
      <c r="B17">
        <v>1</v>
      </c>
      <c r="C17" t="s">
        <v>66</v>
      </c>
      <c r="D17" s="2" t="s">
        <v>56</v>
      </c>
      <c r="E17" s="1">
        <v>21</v>
      </c>
      <c r="F17" s="1">
        <v>12</v>
      </c>
      <c r="G17" s="1">
        <v>5</v>
      </c>
      <c r="H17" s="1">
        <f t="shared" si="0"/>
        <v>14.5</v>
      </c>
      <c r="I17" s="10">
        <f t="shared" si="1"/>
        <v>0.69047619047619047</v>
      </c>
      <c r="J17" s="10">
        <f t="shared" si="5"/>
        <v>0.69047619047619047</v>
      </c>
      <c r="K17" s="1">
        <f t="shared" si="2"/>
        <v>10.011904761904761</v>
      </c>
      <c r="L17" s="12">
        <f t="shared" si="3"/>
        <v>3.9046428571428571</v>
      </c>
      <c r="M17" s="1">
        <f t="shared" si="4"/>
        <v>10</v>
      </c>
      <c r="N17" s="1">
        <f>MIN('Total per Region'!$N$23,N16+M17)</f>
        <v>67.256315789473689</v>
      </c>
      <c r="O17" s="17">
        <f t="shared" si="6"/>
        <v>5.0000000000000036</v>
      </c>
      <c r="P17" s="16">
        <f>(2*O17)/$N$13*'Total per Region'!$R$23</f>
        <v>25001.232437761908</v>
      </c>
      <c r="R17" s="19" t="s">
        <v>410</v>
      </c>
      <c r="S17">
        <v>15</v>
      </c>
    </row>
    <row r="18" spans="1:19" x14ac:dyDescent="0.25">
      <c r="A18">
        <v>513</v>
      </c>
      <c r="B18">
        <v>1</v>
      </c>
      <c r="C18" t="s">
        <v>94</v>
      </c>
      <c r="D18" s="2" t="s">
        <v>56</v>
      </c>
      <c r="E18" s="1">
        <v>21</v>
      </c>
      <c r="F18" s="1">
        <v>11</v>
      </c>
      <c r="G18" s="1">
        <v>4</v>
      </c>
      <c r="H18" s="1">
        <f t="shared" si="0"/>
        <v>13</v>
      </c>
      <c r="I18" s="10">
        <f t="shared" si="1"/>
        <v>0.61904761904761907</v>
      </c>
      <c r="J18" s="10">
        <f t="shared" si="5"/>
        <v>0.61904761904761907</v>
      </c>
      <c r="K18" s="1">
        <f t="shared" si="2"/>
        <v>8.0476190476190474</v>
      </c>
      <c r="L18" s="12">
        <f t="shared" si="3"/>
        <v>3.1385714285714288</v>
      </c>
      <c r="M18" s="1">
        <f t="shared" si="4"/>
        <v>10</v>
      </c>
      <c r="N18" s="1">
        <f>MIN('Total per Region'!$N$23,N17+M18)</f>
        <v>77.256315789473689</v>
      </c>
      <c r="O18" s="17">
        <f t="shared" si="6"/>
        <v>5</v>
      </c>
      <c r="P18" s="16">
        <f>(2*O18)/$N$13*'Total per Region'!$R$23</f>
        <v>25001.23243776189</v>
      </c>
      <c r="R18" s="19" t="s">
        <v>411</v>
      </c>
      <c r="S18">
        <v>13</v>
      </c>
    </row>
    <row r="19" spans="1:19" x14ac:dyDescent="0.25">
      <c r="A19">
        <v>173</v>
      </c>
      <c r="B19">
        <v>1</v>
      </c>
      <c r="C19" t="s">
        <v>112</v>
      </c>
      <c r="D19" s="2" t="s">
        <v>56</v>
      </c>
      <c r="E19" s="1">
        <v>36</v>
      </c>
      <c r="F19" s="1">
        <v>19</v>
      </c>
      <c r="G19" s="1">
        <v>5</v>
      </c>
      <c r="H19" s="1">
        <f t="shared" si="0"/>
        <v>21.5</v>
      </c>
      <c r="I19" s="10">
        <f t="shared" si="1"/>
        <v>0.59722222222222221</v>
      </c>
      <c r="J19" s="10">
        <f t="shared" si="5"/>
        <v>0.59722222222222221</v>
      </c>
      <c r="K19" s="1">
        <f t="shared" si="2"/>
        <v>12.840277777777777</v>
      </c>
      <c r="L19" s="12">
        <f t="shared" si="3"/>
        <v>5.0077083333333334</v>
      </c>
      <c r="M19" s="1">
        <f t="shared" si="4"/>
        <v>10</v>
      </c>
      <c r="N19" s="1">
        <f>MIN('Total per Region'!$N$23,N18+M19)</f>
        <v>87.256315789473689</v>
      </c>
      <c r="O19" s="17">
        <f t="shared" si="6"/>
        <v>5</v>
      </c>
      <c r="P19" s="16">
        <f>(2*O19)/$N$13*'Total per Region'!$R$23</f>
        <v>25001.23243776189</v>
      </c>
      <c r="R19" s="19" t="s">
        <v>412</v>
      </c>
      <c r="S19">
        <v>15</v>
      </c>
    </row>
    <row r="20" spans="1:19" x14ac:dyDescent="0.25">
      <c r="A20">
        <v>415</v>
      </c>
      <c r="B20">
        <v>1</v>
      </c>
      <c r="C20" t="s">
        <v>87</v>
      </c>
      <c r="D20" s="2" t="s">
        <v>56</v>
      </c>
      <c r="E20" s="1">
        <v>26</v>
      </c>
      <c r="F20" s="1">
        <v>14</v>
      </c>
      <c r="G20" s="1">
        <v>3</v>
      </c>
      <c r="H20" s="1">
        <f t="shared" si="0"/>
        <v>15.5</v>
      </c>
      <c r="I20" s="10">
        <f t="shared" si="1"/>
        <v>0.59615384615384615</v>
      </c>
      <c r="J20" s="10">
        <f t="shared" si="5"/>
        <v>0.59615384615384615</v>
      </c>
      <c r="K20" s="1">
        <f t="shared" si="2"/>
        <v>9.240384615384615</v>
      </c>
      <c r="L20" s="12">
        <f t="shared" si="3"/>
        <v>3.6037499999999998</v>
      </c>
      <c r="M20" s="1">
        <f t="shared" si="4"/>
        <v>10</v>
      </c>
      <c r="N20" s="1">
        <f>MIN('Total per Region'!$N$23,N19+M20)</f>
        <v>97.256315789473689</v>
      </c>
      <c r="O20" s="17">
        <f t="shared" si="6"/>
        <v>5</v>
      </c>
      <c r="P20" s="16">
        <f>(2*O20)/$N$13*'Total per Region'!$R$23</f>
        <v>25001.23243776189</v>
      </c>
      <c r="R20" s="19" t="s">
        <v>413</v>
      </c>
      <c r="S20">
        <v>14</v>
      </c>
    </row>
    <row r="21" spans="1:19" x14ac:dyDescent="0.25">
      <c r="A21">
        <v>2884</v>
      </c>
      <c r="B21">
        <v>1</v>
      </c>
      <c r="C21" t="s">
        <v>95</v>
      </c>
      <c r="D21" s="2" t="s">
        <v>56</v>
      </c>
      <c r="E21" s="1">
        <v>16</v>
      </c>
      <c r="F21" s="1">
        <v>8</v>
      </c>
      <c r="G21" s="1">
        <v>2</v>
      </c>
      <c r="H21" s="1">
        <f t="shared" si="0"/>
        <v>9</v>
      </c>
      <c r="I21" s="10">
        <f t="shared" si="1"/>
        <v>0.5625</v>
      </c>
      <c r="J21" s="10">
        <f t="shared" si="5"/>
        <v>0.5625</v>
      </c>
      <c r="K21" s="1">
        <f t="shared" si="2"/>
        <v>5.0625</v>
      </c>
      <c r="L21" s="12">
        <f t="shared" si="3"/>
        <v>1.974375</v>
      </c>
      <c r="M21" s="1">
        <f t="shared" si="4"/>
        <v>10</v>
      </c>
      <c r="N21" s="1">
        <f>MIN('Total per Region'!$N$23,N20+M21)</f>
        <v>107.25631578947369</v>
      </c>
      <c r="O21" s="17">
        <f t="shared" si="6"/>
        <v>5</v>
      </c>
      <c r="P21" s="16">
        <f>(2*O21)/$N$13*'Total per Region'!$R$23</f>
        <v>25001.23243776189</v>
      </c>
      <c r="R21" s="19" t="s">
        <v>412</v>
      </c>
      <c r="S21">
        <v>15</v>
      </c>
    </row>
    <row r="22" spans="1:19" x14ac:dyDescent="0.25">
      <c r="A22">
        <v>403</v>
      </c>
      <c r="B22">
        <v>1</v>
      </c>
      <c r="C22" t="s">
        <v>115</v>
      </c>
      <c r="D22" s="2" t="s">
        <v>56</v>
      </c>
      <c r="E22" s="1">
        <v>17</v>
      </c>
      <c r="F22" s="1">
        <v>7</v>
      </c>
      <c r="G22" s="1">
        <v>4</v>
      </c>
      <c r="H22" s="1">
        <f t="shared" si="0"/>
        <v>9</v>
      </c>
      <c r="I22" s="10">
        <f t="shared" si="1"/>
        <v>0.52941176470588236</v>
      </c>
      <c r="J22" s="10">
        <f t="shared" si="5"/>
        <v>0.52941176470588236</v>
      </c>
      <c r="K22" s="1">
        <f t="shared" si="2"/>
        <v>4.7647058823529411</v>
      </c>
      <c r="L22" s="12">
        <f t="shared" si="3"/>
        <v>1.8582352941176472</v>
      </c>
      <c r="M22" s="1">
        <f t="shared" si="4"/>
        <v>10</v>
      </c>
      <c r="N22" s="1">
        <f>MIN('Total per Region'!$N$23,N21+M22)</f>
        <v>117.25631578947369</v>
      </c>
      <c r="O22" s="17">
        <f t="shared" si="6"/>
        <v>5</v>
      </c>
      <c r="P22" s="16">
        <f>(2*O22)/$N$13*'Total per Region'!$R$23</f>
        <v>25001.23243776189</v>
      </c>
      <c r="R22" s="19" t="s">
        <v>409</v>
      </c>
      <c r="S22">
        <v>14</v>
      </c>
    </row>
    <row r="23" spans="1:19" x14ac:dyDescent="0.25">
      <c r="A23">
        <v>2904</v>
      </c>
      <c r="B23">
        <v>1</v>
      </c>
      <c r="C23" t="s">
        <v>126</v>
      </c>
      <c r="D23" s="2" t="s">
        <v>56</v>
      </c>
      <c r="E23" s="1">
        <v>52</v>
      </c>
      <c r="F23" s="1">
        <v>23</v>
      </c>
      <c r="G23" s="1">
        <v>6</v>
      </c>
      <c r="H23" s="1">
        <f t="shared" si="0"/>
        <v>26</v>
      </c>
      <c r="I23" s="10">
        <f t="shared" si="1"/>
        <v>0.5</v>
      </c>
      <c r="J23" s="10">
        <f t="shared" si="5"/>
        <v>0.5</v>
      </c>
      <c r="K23" s="1">
        <f t="shared" si="2"/>
        <v>13</v>
      </c>
      <c r="L23" s="12">
        <f t="shared" si="3"/>
        <v>5.07</v>
      </c>
      <c r="M23" s="1">
        <f t="shared" si="4"/>
        <v>10</v>
      </c>
      <c r="N23" s="1">
        <f>MIN('Total per Region'!$N$23,N22+M23)</f>
        <v>127.25631578947369</v>
      </c>
      <c r="O23" s="17">
        <f t="shared" si="6"/>
        <v>5</v>
      </c>
      <c r="P23" s="16">
        <f>(2*O23)/$N$13*'Total per Region'!$R$23</f>
        <v>25001.23243776189</v>
      </c>
      <c r="R23" s="19" t="s">
        <v>413</v>
      </c>
      <c r="S23">
        <v>14</v>
      </c>
    </row>
    <row r="24" spans="1:19" x14ac:dyDescent="0.25">
      <c r="A24">
        <v>511</v>
      </c>
      <c r="B24">
        <v>1</v>
      </c>
      <c r="C24" t="s">
        <v>149</v>
      </c>
      <c r="D24" s="2" t="s">
        <v>56</v>
      </c>
      <c r="E24" s="1">
        <v>44</v>
      </c>
      <c r="F24" s="1">
        <v>22</v>
      </c>
      <c r="G24" s="1">
        <v>0</v>
      </c>
      <c r="H24" s="1">
        <f t="shared" si="0"/>
        <v>22</v>
      </c>
      <c r="I24" s="10">
        <f t="shared" si="1"/>
        <v>0.5</v>
      </c>
      <c r="J24" s="10">
        <f t="shared" si="5"/>
        <v>0.5</v>
      </c>
      <c r="K24" s="1">
        <f t="shared" si="2"/>
        <v>11</v>
      </c>
      <c r="L24" s="12">
        <f t="shared" si="3"/>
        <v>4.29</v>
      </c>
      <c r="M24" s="1">
        <f t="shared" si="4"/>
        <v>10</v>
      </c>
      <c r="N24" s="1">
        <f>MIN('Total per Region'!$N$23,N23+M24)</f>
        <v>134.19261438586406</v>
      </c>
      <c r="O24" s="17">
        <f t="shared" si="6"/>
        <v>3.4681492981951862</v>
      </c>
      <c r="P24" s="16">
        <f>(2*O24)/$N$13*'Total per Region'!$R$23</f>
        <v>17341.601346607724</v>
      </c>
      <c r="R24" s="19" t="s">
        <v>411</v>
      </c>
      <c r="S24">
        <v>13</v>
      </c>
    </row>
    <row r="25" spans="1:19" x14ac:dyDescent="0.25">
      <c r="A25">
        <v>2689</v>
      </c>
      <c r="B25">
        <v>1</v>
      </c>
      <c r="C25" t="s">
        <v>145</v>
      </c>
      <c r="D25" s="2" t="s">
        <v>56</v>
      </c>
      <c r="E25" s="1">
        <v>99</v>
      </c>
      <c r="F25" s="1">
        <v>40</v>
      </c>
      <c r="G25" s="1">
        <v>9</v>
      </c>
      <c r="H25" s="1">
        <f t="shared" si="0"/>
        <v>44.5</v>
      </c>
      <c r="I25" s="10">
        <f t="shared" si="1"/>
        <v>0.4494949494949495</v>
      </c>
      <c r="J25" s="10">
        <f t="shared" si="5"/>
        <v>0.4494949494949495</v>
      </c>
      <c r="K25" s="1">
        <f t="shared" si="2"/>
        <v>20.002525252525253</v>
      </c>
      <c r="L25" s="12">
        <f t="shared" si="3"/>
        <v>7.8009848484848492</v>
      </c>
      <c r="M25" s="1">
        <f t="shared" si="4"/>
        <v>10</v>
      </c>
      <c r="N25" s="1">
        <f>MIN('Total per Region'!$N$23,N24+M25)</f>
        <v>134.19261438586406</v>
      </c>
      <c r="O25" s="17">
        <f t="shared" si="6"/>
        <v>0</v>
      </c>
      <c r="P25" s="16">
        <f>(2*O25)/$N$13*'Total per Region'!$R$23</f>
        <v>0</v>
      </c>
      <c r="R25" s="4" t="s">
        <v>415</v>
      </c>
      <c r="S25">
        <v>15</v>
      </c>
    </row>
    <row r="26" spans="1:19" x14ac:dyDescent="0.25">
      <c r="A26">
        <v>413</v>
      </c>
      <c r="B26">
        <v>1</v>
      </c>
      <c r="C26" t="s">
        <v>214</v>
      </c>
      <c r="D26" s="2" t="s">
        <v>56</v>
      </c>
      <c r="E26" s="1">
        <v>186</v>
      </c>
      <c r="F26" s="1">
        <v>76</v>
      </c>
      <c r="G26" s="1">
        <v>15</v>
      </c>
      <c r="H26" s="1">
        <f t="shared" si="0"/>
        <v>83.5</v>
      </c>
      <c r="I26" s="10">
        <f t="shared" si="1"/>
        <v>0.44892473118279569</v>
      </c>
      <c r="J26" s="10">
        <f t="shared" si="5"/>
        <v>0.44892473118279569</v>
      </c>
      <c r="K26" s="1">
        <f t="shared" si="2"/>
        <v>37.48521505376344</v>
      </c>
      <c r="L26" s="12">
        <f t="shared" si="3"/>
        <v>14.619233870967742</v>
      </c>
      <c r="M26" s="1">
        <f t="shared" si="4"/>
        <v>14.619233870967742</v>
      </c>
      <c r="N26" s="1">
        <f>MIN('Total per Region'!$N$23,N25+M26)</f>
        <v>134.19261438586406</v>
      </c>
      <c r="O26" s="17">
        <f t="shared" si="6"/>
        <v>0</v>
      </c>
      <c r="P26" s="16">
        <f>(2*O26)/$N$13*'Total per Region'!$R$23</f>
        <v>0</v>
      </c>
      <c r="R26" s="4" t="s">
        <v>413</v>
      </c>
      <c r="S26">
        <v>14</v>
      </c>
    </row>
    <row r="27" spans="1:19" x14ac:dyDescent="0.25">
      <c r="A27">
        <v>2754</v>
      </c>
      <c r="B27">
        <v>1</v>
      </c>
      <c r="C27" t="s">
        <v>121</v>
      </c>
      <c r="D27" s="2" t="s">
        <v>56</v>
      </c>
      <c r="E27" s="1">
        <v>42</v>
      </c>
      <c r="F27" s="1">
        <v>15</v>
      </c>
      <c r="G27" s="1">
        <v>7</v>
      </c>
      <c r="H27" s="1">
        <f t="shared" si="0"/>
        <v>18.5</v>
      </c>
      <c r="I27" s="10">
        <f t="shared" si="1"/>
        <v>0.44047619047619047</v>
      </c>
      <c r="J27" s="10">
        <f t="shared" si="5"/>
        <v>0.44047619047619047</v>
      </c>
      <c r="K27" s="1">
        <f t="shared" si="2"/>
        <v>8.1488095238095237</v>
      </c>
      <c r="L27" s="12">
        <f t="shared" si="3"/>
        <v>3.1780357142857145</v>
      </c>
      <c r="M27" s="1">
        <f t="shared" si="4"/>
        <v>10</v>
      </c>
      <c r="N27" s="1">
        <f>MIN('Total per Region'!$N$23,N26+M27)</f>
        <v>134.19261438586406</v>
      </c>
      <c r="O27" s="17">
        <f t="shared" si="6"/>
        <v>0</v>
      </c>
      <c r="P27" s="16">
        <f>(2*O27)/$N$13*'Total per Region'!$R$23</f>
        <v>0</v>
      </c>
      <c r="R27" s="4" t="s">
        <v>414</v>
      </c>
      <c r="S27">
        <v>15</v>
      </c>
    </row>
    <row r="28" spans="1:19" x14ac:dyDescent="0.25">
      <c r="A28">
        <v>2898</v>
      </c>
      <c r="B28">
        <v>1</v>
      </c>
      <c r="C28" t="s">
        <v>144</v>
      </c>
      <c r="D28" s="2" t="s">
        <v>56</v>
      </c>
      <c r="E28" s="1">
        <v>23</v>
      </c>
      <c r="F28" s="1">
        <v>9</v>
      </c>
      <c r="G28" s="1">
        <v>2</v>
      </c>
      <c r="H28" s="1">
        <f t="shared" si="0"/>
        <v>10</v>
      </c>
      <c r="I28" s="10">
        <f t="shared" si="1"/>
        <v>0.43478260869565216</v>
      </c>
      <c r="J28" s="10">
        <f t="shared" si="5"/>
        <v>0.43478260869565216</v>
      </c>
      <c r="K28" s="1">
        <f t="shared" si="2"/>
        <v>4.3478260869565215</v>
      </c>
      <c r="L28" s="12">
        <f t="shared" si="3"/>
        <v>1.6956521739130435</v>
      </c>
      <c r="M28" s="1">
        <f t="shared" si="4"/>
        <v>10</v>
      </c>
      <c r="N28" s="1">
        <f>MIN('Total per Region'!$N$23,N27+M28)</f>
        <v>134.19261438586406</v>
      </c>
      <c r="O28" s="17">
        <f t="shared" si="6"/>
        <v>0</v>
      </c>
      <c r="P28" s="16">
        <f>(2*O28)/$N$13*'Total per Region'!$R$23</f>
        <v>0</v>
      </c>
      <c r="R28" s="4" t="s">
        <v>412</v>
      </c>
      <c r="S28">
        <v>15</v>
      </c>
    </row>
    <row r="29" spans="1:19" x14ac:dyDescent="0.25">
      <c r="A29">
        <v>2897</v>
      </c>
      <c r="B29">
        <v>1</v>
      </c>
      <c r="C29" t="s">
        <v>222</v>
      </c>
      <c r="D29" s="2" t="s">
        <v>56</v>
      </c>
      <c r="E29" s="1">
        <v>83</v>
      </c>
      <c r="F29" s="1">
        <v>32</v>
      </c>
      <c r="G29" s="1">
        <v>8</v>
      </c>
      <c r="H29" s="1">
        <f t="shared" si="0"/>
        <v>36</v>
      </c>
      <c r="I29" s="10">
        <f t="shared" si="1"/>
        <v>0.43373493975903615</v>
      </c>
      <c r="J29" s="10">
        <f t="shared" si="5"/>
        <v>0.43373493975903615</v>
      </c>
      <c r="K29" s="1">
        <f t="shared" si="2"/>
        <v>15.614457831325302</v>
      </c>
      <c r="L29" s="12">
        <f t="shared" si="3"/>
        <v>6.0896385542168678</v>
      </c>
      <c r="M29" s="1">
        <f t="shared" si="4"/>
        <v>10</v>
      </c>
      <c r="N29" s="1">
        <f>MIN('Total per Region'!$N$23,N28+M29)</f>
        <v>134.19261438586406</v>
      </c>
      <c r="O29" s="17">
        <f t="shared" si="6"/>
        <v>0</v>
      </c>
      <c r="P29" s="16">
        <f>(2*O29)/$N$13*'Total per Region'!$R$23</f>
        <v>0</v>
      </c>
      <c r="R29" s="4" t="s">
        <v>414</v>
      </c>
      <c r="S29">
        <v>15</v>
      </c>
    </row>
    <row r="30" spans="1:19" x14ac:dyDescent="0.25">
      <c r="A30">
        <v>581</v>
      </c>
      <c r="B30">
        <v>1</v>
      </c>
      <c r="C30" t="s">
        <v>216</v>
      </c>
      <c r="D30" s="2" t="s">
        <v>56</v>
      </c>
      <c r="E30" s="1">
        <v>35</v>
      </c>
      <c r="F30" s="1">
        <v>11</v>
      </c>
      <c r="G30" s="1">
        <v>7</v>
      </c>
      <c r="H30" s="1">
        <f t="shared" si="0"/>
        <v>14.5</v>
      </c>
      <c r="I30" s="10">
        <f t="shared" si="1"/>
        <v>0.41428571428571431</v>
      </c>
      <c r="J30" s="10">
        <f t="shared" si="5"/>
        <v>0.41428571428571431</v>
      </c>
      <c r="K30" s="1">
        <f t="shared" si="2"/>
        <v>6.0071428571428571</v>
      </c>
      <c r="L30" s="12">
        <f t="shared" si="3"/>
        <v>2.3427857142857142</v>
      </c>
      <c r="M30" s="1">
        <f t="shared" si="4"/>
        <v>10</v>
      </c>
      <c r="N30" s="1">
        <f>MIN('Total per Region'!$N$23,N29+M30)</f>
        <v>134.19261438586406</v>
      </c>
      <c r="O30" s="17">
        <f t="shared" si="6"/>
        <v>0</v>
      </c>
      <c r="P30" s="16">
        <f>(2*O30)/$N$13*'Total per Region'!$R$23</f>
        <v>0</v>
      </c>
      <c r="R30" s="4" t="s">
        <v>415</v>
      </c>
      <c r="S30">
        <v>15</v>
      </c>
    </row>
    <row r="31" spans="1:19" x14ac:dyDescent="0.25">
      <c r="A31">
        <v>2169</v>
      </c>
      <c r="B31">
        <v>1</v>
      </c>
      <c r="C31" t="s">
        <v>215</v>
      </c>
      <c r="D31" s="2" t="s">
        <v>56</v>
      </c>
      <c r="E31" s="1">
        <v>57</v>
      </c>
      <c r="F31" s="1">
        <v>20</v>
      </c>
      <c r="G31" s="1">
        <v>7</v>
      </c>
      <c r="H31" s="1">
        <f t="shared" si="0"/>
        <v>23.5</v>
      </c>
      <c r="I31" s="10">
        <f t="shared" si="1"/>
        <v>0.41228070175438597</v>
      </c>
      <c r="J31" s="10">
        <f t="shared" si="5"/>
        <v>0.41228070175438597</v>
      </c>
      <c r="K31" s="1">
        <f t="shared" si="2"/>
        <v>9.6885964912280702</v>
      </c>
      <c r="L31" s="12">
        <f t="shared" si="3"/>
        <v>3.7785526315789477</v>
      </c>
      <c r="M31" s="1">
        <f t="shared" si="4"/>
        <v>10</v>
      </c>
      <c r="N31" s="1">
        <f>MIN('Total per Region'!$N$23,N30+M31)</f>
        <v>134.19261438586406</v>
      </c>
      <c r="O31" s="17">
        <f t="shared" si="6"/>
        <v>0</v>
      </c>
      <c r="P31" s="16">
        <f>(2*O31)/$N$13*'Total per Region'!$R$23</f>
        <v>0</v>
      </c>
      <c r="R31" s="4" t="s">
        <v>416</v>
      </c>
      <c r="S31">
        <v>15</v>
      </c>
    </row>
    <row r="32" spans="1:19" x14ac:dyDescent="0.25">
      <c r="A32">
        <v>514</v>
      </c>
      <c r="B32">
        <v>1</v>
      </c>
      <c r="C32" t="s">
        <v>212</v>
      </c>
      <c r="D32" s="2" t="s">
        <v>56</v>
      </c>
      <c r="E32" s="1">
        <v>11</v>
      </c>
      <c r="F32" s="1">
        <v>4</v>
      </c>
      <c r="G32" s="1">
        <v>1</v>
      </c>
      <c r="H32" s="1">
        <f t="shared" si="0"/>
        <v>4.5</v>
      </c>
      <c r="I32" s="10">
        <f t="shared" si="1"/>
        <v>0.40909090909090912</v>
      </c>
      <c r="J32" s="10">
        <f t="shared" si="5"/>
        <v>0.40909090909090912</v>
      </c>
      <c r="K32" s="1">
        <f t="shared" si="2"/>
        <v>1.8409090909090911</v>
      </c>
      <c r="L32" s="12">
        <f t="shared" si="3"/>
        <v>0.71795454545454551</v>
      </c>
      <c r="M32" s="1">
        <f t="shared" si="4"/>
        <v>10</v>
      </c>
      <c r="N32" s="1">
        <f>MIN('Total per Region'!$N$23,N31+M32)</f>
        <v>134.19261438586406</v>
      </c>
      <c r="O32" s="17">
        <f t="shared" si="6"/>
        <v>0</v>
      </c>
      <c r="P32" s="16">
        <f>(2*O32)/$N$13*'Total per Region'!$R$23</f>
        <v>0</v>
      </c>
      <c r="R32" s="4" t="s">
        <v>411</v>
      </c>
      <c r="S32">
        <v>13</v>
      </c>
    </row>
    <row r="33" spans="1:19" x14ac:dyDescent="0.25">
      <c r="A33">
        <v>177</v>
      </c>
      <c r="B33">
        <v>1</v>
      </c>
      <c r="C33" t="s">
        <v>226</v>
      </c>
      <c r="D33" s="2" t="s">
        <v>56</v>
      </c>
      <c r="E33" s="1">
        <v>83</v>
      </c>
      <c r="F33" s="1">
        <v>28</v>
      </c>
      <c r="G33" s="1">
        <v>9</v>
      </c>
      <c r="H33" s="1">
        <f t="shared" si="0"/>
        <v>32.5</v>
      </c>
      <c r="I33" s="10">
        <f t="shared" si="1"/>
        <v>0.39156626506024095</v>
      </c>
      <c r="J33" s="10">
        <f t="shared" si="5"/>
        <v>0.39156626506024095</v>
      </c>
      <c r="K33" s="1">
        <f t="shared" si="2"/>
        <v>12.725903614457831</v>
      </c>
      <c r="L33" s="12">
        <f t="shared" si="3"/>
        <v>4.9631024096385543</v>
      </c>
      <c r="M33" s="1">
        <f t="shared" si="4"/>
        <v>10</v>
      </c>
      <c r="N33" s="1">
        <f>MIN('Total per Region'!$N$23,N32+M33)</f>
        <v>134.19261438586406</v>
      </c>
      <c r="O33" s="17">
        <f t="shared" si="6"/>
        <v>0</v>
      </c>
      <c r="P33" s="16">
        <f>(2*O33)/$N$13*'Total per Region'!$R$23</f>
        <v>0</v>
      </c>
      <c r="R33" s="4" t="s">
        <v>412</v>
      </c>
      <c r="S33">
        <v>15</v>
      </c>
    </row>
    <row r="34" spans="1:19" x14ac:dyDescent="0.25">
      <c r="A34">
        <v>505</v>
      </c>
      <c r="B34">
        <v>1</v>
      </c>
      <c r="C34" t="s">
        <v>253</v>
      </c>
      <c r="D34" s="2" t="s">
        <v>56</v>
      </c>
      <c r="E34" s="1">
        <v>17</v>
      </c>
      <c r="F34" s="1">
        <v>6</v>
      </c>
      <c r="G34" s="1">
        <v>1</v>
      </c>
      <c r="H34" s="1">
        <f t="shared" si="0"/>
        <v>6.5</v>
      </c>
      <c r="I34" s="10">
        <f t="shared" si="1"/>
        <v>0.38235294117647056</v>
      </c>
      <c r="J34" s="10">
        <f t="shared" si="5"/>
        <v>0.38235294117647056</v>
      </c>
      <c r="K34" s="1">
        <f t="shared" si="2"/>
        <v>2.4852941176470589</v>
      </c>
      <c r="L34" s="12">
        <f t="shared" si="3"/>
        <v>0.96926470588235303</v>
      </c>
      <c r="M34" s="1">
        <f t="shared" si="4"/>
        <v>10</v>
      </c>
      <c r="N34" s="1">
        <f>MIN('Total per Region'!$N$23,N33+M34)</f>
        <v>134.19261438586406</v>
      </c>
      <c r="O34" s="17">
        <f t="shared" si="6"/>
        <v>0</v>
      </c>
      <c r="P34" s="16">
        <f>(2*O34)/$N$13*'Total per Region'!$R$23</f>
        <v>0</v>
      </c>
      <c r="R34" s="4" t="s">
        <v>416</v>
      </c>
      <c r="S34">
        <v>15</v>
      </c>
    </row>
    <row r="35" spans="1:19" x14ac:dyDescent="0.25">
      <c r="A35">
        <v>414</v>
      </c>
      <c r="B35">
        <v>1</v>
      </c>
      <c r="C35" t="s">
        <v>208</v>
      </c>
      <c r="D35" s="2" t="s">
        <v>56</v>
      </c>
      <c r="E35" s="1">
        <v>27</v>
      </c>
      <c r="F35" s="1">
        <v>10</v>
      </c>
      <c r="G35" s="1">
        <v>0</v>
      </c>
      <c r="H35" s="1">
        <f t="shared" si="0"/>
        <v>10</v>
      </c>
      <c r="I35" s="10">
        <f t="shared" si="1"/>
        <v>0.37037037037037035</v>
      </c>
      <c r="J35" s="10">
        <f t="shared" si="5"/>
        <v>0.37037037037037035</v>
      </c>
      <c r="K35" s="1">
        <f t="shared" si="2"/>
        <v>3.7037037037037033</v>
      </c>
      <c r="L35" s="12">
        <f t="shared" si="3"/>
        <v>1.4444444444444444</v>
      </c>
      <c r="M35" s="1">
        <f t="shared" si="4"/>
        <v>10</v>
      </c>
      <c r="N35" s="1">
        <f>MIN('Total per Region'!$N$23,N34+M35)</f>
        <v>134.19261438586406</v>
      </c>
      <c r="O35" s="17">
        <f t="shared" si="6"/>
        <v>0</v>
      </c>
      <c r="P35" s="16">
        <f>(2*O35)/$N$13*'Total per Region'!$R$23</f>
        <v>0</v>
      </c>
      <c r="R35" s="4" t="s">
        <v>413</v>
      </c>
      <c r="S35">
        <v>14</v>
      </c>
    </row>
    <row r="36" spans="1:19" x14ac:dyDescent="0.25">
      <c r="A36">
        <v>2895</v>
      </c>
      <c r="B36">
        <v>1</v>
      </c>
      <c r="C36" t="s">
        <v>249</v>
      </c>
      <c r="D36" s="2" t="s">
        <v>56</v>
      </c>
      <c r="E36" s="1">
        <v>106</v>
      </c>
      <c r="F36" s="1">
        <v>34</v>
      </c>
      <c r="G36" s="1">
        <v>9</v>
      </c>
      <c r="H36" s="1">
        <f t="shared" si="0"/>
        <v>38.5</v>
      </c>
      <c r="I36" s="10">
        <f t="shared" si="1"/>
        <v>0.3632075471698113</v>
      </c>
      <c r="J36" s="10">
        <f t="shared" si="5"/>
        <v>0.3632075471698113</v>
      </c>
      <c r="K36" s="1">
        <f t="shared" si="2"/>
        <v>13.983490566037736</v>
      </c>
      <c r="L36" s="12">
        <f t="shared" si="3"/>
        <v>5.4535613207547167</v>
      </c>
      <c r="M36" s="1">
        <f t="shared" si="4"/>
        <v>10</v>
      </c>
      <c r="N36" s="1">
        <f>MIN('Total per Region'!$N$23,N35+M36)</f>
        <v>134.19261438586406</v>
      </c>
      <c r="O36" s="17">
        <f t="shared" si="6"/>
        <v>0</v>
      </c>
      <c r="P36" s="16">
        <f>(2*O36)/$N$13*'Total per Region'!$R$23</f>
        <v>0</v>
      </c>
      <c r="R36" s="4" t="s">
        <v>410</v>
      </c>
      <c r="S36">
        <v>15</v>
      </c>
    </row>
    <row r="37" spans="1:19" x14ac:dyDescent="0.25">
      <c r="A37">
        <v>2184</v>
      </c>
      <c r="B37">
        <v>1</v>
      </c>
      <c r="C37" t="s">
        <v>256</v>
      </c>
      <c r="D37" s="2" t="s">
        <v>56</v>
      </c>
      <c r="E37" s="1">
        <v>98</v>
      </c>
      <c r="F37" s="1">
        <v>26</v>
      </c>
      <c r="G37" s="1">
        <v>11</v>
      </c>
      <c r="H37" s="1">
        <f t="shared" si="0"/>
        <v>31.5</v>
      </c>
      <c r="I37" s="10">
        <f t="shared" si="1"/>
        <v>0.32142857142857145</v>
      </c>
      <c r="J37" s="10">
        <f t="shared" si="5"/>
        <v>0.32142857142857145</v>
      </c>
      <c r="K37" s="1">
        <f t="shared" si="2"/>
        <v>10.125</v>
      </c>
      <c r="L37" s="12">
        <f t="shared" si="3"/>
        <v>3.94875</v>
      </c>
      <c r="M37" s="1">
        <f t="shared" si="4"/>
        <v>10</v>
      </c>
      <c r="N37" s="1">
        <f>MIN('Total per Region'!$N$23,N36+M37)</f>
        <v>134.19261438586406</v>
      </c>
      <c r="O37" s="17">
        <f t="shared" si="6"/>
        <v>0</v>
      </c>
      <c r="P37" s="16">
        <f>(2*O37)/$N$13*'Total per Region'!$R$23</f>
        <v>0</v>
      </c>
      <c r="R37" s="4" t="s">
        <v>417</v>
      </c>
      <c r="S37">
        <v>15</v>
      </c>
    </row>
    <row r="38" spans="1:19" x14ac:dyDescent="0.25">
      <c r="A38">
        <v>2167</v>
      </c>
      <c r="B38">
        <v>1</v>
      </c>
      <c r="C38" t="s">
        <v>225</v>
      </c>
      <c r="D38" s="2" t="s">
        <v>56</v>
      </c>
      <c r="E38" s="1">
        <v>49</v>
      </c>
      <c r="F38" s="1">
        <v>10</v>
      </c>
      <c r="G38" s="1">
        <v>11</v>
      </c>
      <c r="H38" s="1">
        <f t="shared" si="0"/>
        <v>15.5</v>
      </c>
      <c r="I38" s="10">
        <f t="shared" si="1"/>
        <v>0.31632653061224492</v>
      </c>
      <c r="J38" s="10">
        <f t="shared" si="5"/>
        <v>0.31632653061224492</v>
      </c>
      <c r="K38" s="1">
        <f t="shared" si="2"/>
        <v>4.9030612244897966</v>
      </c>
      <c r="L38" s="12">
        <f t="shared" si="3"/>
        <v>1.9121938775510208</v>
      </c>
      <c r="M38" s="1">
        <f t="shared" si="4"/>
        <v>10</v>
      </c>
      <c r="N38" s="1">
        <f>MIN('Total per Region'!$N$23,N37+M38)</f>
        <v>134.19261438586406</v>
      </c>
      <c r="O38" s="17">
        <f t="shared" si="6"/>
        <v>0</v>
      </c>
      <c r="P38" s="16">
        <f>(2*O38)/$N$13*'Total per Region'!$R$23</f>
        <v>0</v>
      </c>
      <c r="R38" s="4" t="s">
        <v>413</v>
      </c>
      <c r="S38">
        <v>14</v>
      </c>
    </row>
    <row r="39" spans="1:19" x14ac:dyDescent="0.25">
      <c r="A39">
        <v>671</v>
      </c>
      <c r="B39">
        <v>1</v>
      </c>
      <c r="C39" t="s">
        <v>306</v>
      </c>
      <c r="D39" s="2" t="s">
        <v>56</v>
      </c>
      <c r="E39" s="1">
        <v>25</v>
      </c>
      <c r="F39" s="1">
        <v>6</v>
      </c>
      <c r="G39" s="1">
        <v>2</v>
      </c>
      <c r="H39" s="1">
        <f t="shared" si="0"/>
        <v>7</v>
      </c>
      <c r="I39" s="10">
        <f t="shared" si="1"/>
        <v>0.28000000000000003</v>
      </c>
      <c r="J39" s="10">
        <f t="shared" si="5"/>
        <v>0.28000000000000003</v>
      </c>
      <c r="K39" s="1">
        <f t="shared" si="2"/>
        <v>1.9600000000000002</v>
      </c>
      <c r="L39" s="12">
        <f t="shared" si="3"/>
        <v>0.76440000000000008</v>
      </c>
      <c r="M39" s="1">
        <f t="shared" si="4"/>
        <v>10</v>
      </c>
      <c r="N39" s="1">
        <f>MIN('Total per Region'!$N$23,N38+M39)</f>
        <v>134.19261438586406</v>
      </c>
      <c r="O39" s="17">
        <f t="shared" si="6"/>
        <v>0</v>
      </c>
      <c r="P39" s="16">
        <f>(2*O39)/$N$13*'Total per Region'!$R$23</f>
        <v>0</v>
      </c>
      <c r="R39" s="4" t="s">
        <v>417</v>
      </c>
      <c r="S39">
        <v>15</v>
      </c>
    </row>
    <row r="40" spans="1:19" x14ac:dyDescent="0.25">
      <c r="A40">
        <v>640</v>
      </c>
      <c r="B40">
        <v>1</v>
      </c>
      <c r="C40" t="s">
        <v>264</v>
      </c>
      <c r="D40" s="2" t="s">
        <v>56</v>
      </c>
      <c r="E40" s="1">
        <v>13</v>
      </c>
      <c r="F40" s="1">
        <v>3</v>
      </c>
      <c r="G40" s="1">
        <v>1</v>
      </c>
      <c r="H40" s="1">
        <f t="shared" si="0"/>
        <v>3.5</v>
      </c>
      <c r="I40" s="10">
        <f t="shared" si="1"/>
        <v>0.26923076923076922</v>
      </c>
      <c r="J40" s="10">
        <f t="shared" si="5"/>
        <v>0.26923076923076922</v>
      </c>
      <c r="K40" s="1">
        <f t="shared" si="2"/>
        <v>0.94230769230769229</v>
      </c>
      <c r="L40" s="12">
        <f t="shared" si="3"/>
        <v>0.36749999999999999</v>
      </c>
      <c r="M40" s="1">
        <f t="shared" si="4"/>
        <v>10</v>
      </c>
      <c r="N40" s="1">
        <f>MIN('Total per Region'!$N$23,N39+M40)</f>
        <v>134.19261438586406</v>
      </c>
      <c r="O40" s="17">
        <f t="shared" si="6"/>
        <v>0</v>
      </c>
      <c r="P40" s="16">
        <f>(2*O40)/$N$13*'Total per Region'!$R$23</f>
        <v>0</v>
      </c>
      <c r="R40" s="4" t="s">
        <v>414</v>
      </c>
      <c r="S40">
        <v>15</v>
      </c>
    </row>
    <row r="41" spans="1:19" x14ac:dyDescent="0.25">
      <c r="A41">
        <v>404</v>
      </c>
      <c r="B41">
        <v>1</v>
      </c>
      <c r="C41" t="s">
        <v>303</v>
      </c>
      <c r="D41" s="2" t="s">
        <v>56</v>
      </c>
      <c r="E41" s="1">
        <v>18</v>
      </c>
      <c r="F41" s="1">
        <v>4</v>
      </c>
      <c r="G41" s="1">
        <v>0</v>
      </c>
      <c r="H41" s="1">
        <f t="shared" si="0"/>
        <v>4</v>
      </c>
      <c r="I41" s="10">
        <f t="shared" si="1"/>
        <v>0.22222222222222221</v>
      </c>
      <c r="J41" s="10">
        <f t="shared" si="5"/>
        <v>0.22222222222222221</v>
      </c>
      <c r="K41" s="1">
        <f t="shared" si="2"/>
        <v>0.88888888888888884</v>
      </c>
      <c r="L41" s="12">
        <f t="shared" si="3"/>
        <v>0.34666666666666668</v>
      </c>
      <c r="M41" s="1">
        <f t="shared" si="4"/>
        <v>10</v>
      </c>
      <c r="N41" s="1">
        <f>MIN('Total per Region'!$N$23,N40+M41)</f>
        <v>134.19261438586406</v>
      </c>
      <c r="O41" s="17">
        <f t="shared" si="6"/>
        <v>0</v>
      </c>
      <c r="P41" s="16">
        <f>(2*O41)/$N$13*'Total per Region'!$R$23</f>
        <v>0</v>
      </c>
      <c r="R41" s="4" t="s">
        <v>409</v>
      </c>
      <c r="S41">
        <v>14</v>
      </c>
    </row>
    <row r="42" spans="1:19" x14ac:dyDescent="0.25">
      <c r="A42">
        <v>2902</v>
      </c>
      <c r="B42">
        <v>1</v>
      </c>
      <c r="C42" t="s">
        <v>329</v>
      </c>
      <c r="D42" s="2" t="s">
        <v>56</v>
      </c>
      <c r="E42" s="1">
        <v>38</v>
      </c>
      <c r="F42" s="1">
        <v>6</v>
      </c>
      <c r="G42" s="1">
        <v>3</v>
      </c>
      <c r="H42" s="1">
        <f t="shared" si="0"/>
        <v>7.5</v>
      </c>
      <c r="I42" s="10">
        <f t="shared" si="1"/>
        <v>0.19736842105263158</v>
      </c>
      <c r="J42" s="10">
        <f t="shared" si="5"/>
        <v>0.19736842105263158</v>
      </c>
      <c r="K42" s="1">
        <f t="shared" si="2"/>
        <v>1.4802631578947369</v>
      </c>
      <c r="L42" s="12">
        <f t="shared" si="3"/>
        <v>0.57730263157894746</v>
      </c>
      <c r="M42" s="1">
        <f t="shared" si="4"/>
        <v>10</v>
      </c>
      <c r="N42" s="1">
        <f>MIN('Total per Region'!$N$23,N41+M42)</f>
        <v>134.19261438586406</v>
      </c>
      <c r="O42" s="17">
        <f t="shared" si="6"/>
        <v>0</v>
      </c>
      <c r="P42" s="16">
        <f>(2*O42)/$N$13*'Total per Region'!$R$23</f>
        <v>0</v>
      </c>
      <c r="R42" s="4" t="s">
        <v>409</v>
      </c>
      <c r="S42">
        <v>14</v>
      </c>
    </row>
    <row r="43" spans="1:19" x14ac:dyDescent="0.25">
      <c r="A43">
        <v>516</v>
      </c>
      <c r="B43">
        <v>1</v>
      </c>
      <c r="C43" t="s">
        <v>347</v>
      </c>
      <c r="D43" s="2" t="s">
        <v>56</v>
      </c>
      <c r="E43" s="1">
        <v>0</v>
      </c>
      <c r="F43" s="1">
        <v>0</v>
      </c>
      <c r="G43" s="1">
        <v>0</v>
      </c>
      <c r="H43" s="1">
        <f t="shared" si="0"/>
        <v>0</v>
      </c>
      <c r="I43" s="10"/>
      <c r="J43" s="10"/>
      <c r="K43" s="1"/>
      <c r="L43" s="12">
        <f t="shared" si="3"/>
        <v>0</v>
      </c>
      <c r="M43" s="1">
        <f t="shared" si="4"/>
        <v>10</v>
      </c>
      <c r="N43" s="1">
        <f>MIN('Total per Region'!$N$23,N42+M43)</f>
        <v>134.19261438586406</v>
      </c>
      <c r="O43" s="17">
        <f t="shared" si="6"/>
        <v>0</v>
      </c>
      <c r="P43" s="16">
        <f>(2*O43)/$N$13*'Total per Region'!$R$23</f>
        <v>0</v>
      </c>
      <c r="R43" s="4" t="s">
        <v>411</v>
      </c>
      <c r="S43">
        <v>13</v>
      </c>
    </row>
    <row r="44" spans="1:19" x14ac:dyDescent="0.25">
      <c r="A44">
        <v>635</v>
      </c>
      <c r="B44">
        <v>1</v>
      </c>
      <c r="C44" t="s">
        <v>348</v>
      </c>
      <c r="D44" s="2" t="s">
        <v>56</v>
      </c>
      <c r="E44" s="1">
        <v>0</v>
      </c>
      <c r="F44" s="1">
        <v>0</v>
      </c>
      <c r="G44" s="1">
        <v>0</v>
      </c>
      <c r="H44" s="1">
        <f t="shared" si="0"/>
        <v>0</v>
      </c>
      <c r="I44" s="10"/>
      <c r="J44" s="10"/>
      <c r="K44" s="1"/>
      <c r="L44" s="12">
        <f t="shared" si="3"/>
        <v>0</v>
      </c>
      <c r="M44" s="1">
        <f t="shared" si="4"/>
        <v>10</v>
      </c>
      <c r="N44" s="1">
        <f>MIN('Total per Region'!$N$23,N43+M44)</f>
        <v>134.19261438586406</v>
      </c>
      <c r="O44" s="17">
        <f t="shared" si="6"/>
        <v>0</v>
      </c>
      <c r="P44" s="16">
        <f>(2*O44)/$N$13*'Total per Region'!$R$23</f>
        <v>0</v>
      </c>
      <c r="R44" s="4" t="s">
        <v>414</v>
      </c>
      <c r="S44">
        <v>15</v>
      </c>
    </row>
    <row r="45" spans="1:19" x14ac:dyDescent="0.25">
      <c r="H45" s="1"/>
      <c r="I45" s="10"/>
      <c r="J45" s="10"/>
      <c r="K45" s="1"/>
      <c r="L45" s="1"/>
      <c r="O45" s="14">
        <f>SUM(O15:O44)</f>
        <v>67.096307192932031</v>
      </c>
      <c r="P45" s="18">
        <f>SUM(P15:P44)</f>
        <v>335498.07436919375</v>
      </c>
    </row>
    <row r="46" spans="1:19" x14ac:dyDescent="0.25">
      <c r="H46" s="1"/>
      <c r="I46" s="10"/>
      <c r="J46" s="10"/>
      <c r="K46" s="1"/>
      <c r="L46" s="1"/>
      <c r="P46" s="16"/>
    </row>
    <row r="47" spans="1:19" x14ac:dyDescent="0.25">
      <c r="H47" s="1"/>
      <c r="I47" s="10"/>
      <c r="J47" s="10"/>
      <c r="K47" s="1"/>
      <c r="L47" s="1"/>
      <c r="P47" s="16"/>
    </row>
    <row r="48" spans="1:19" x14ac:dyDescent="0.25">
      <c r="H48" s="1"/>
      <c r="I48" s="10"/>
      <c r="J48" s="10"/>
      <c r="K48" s="1"/>
      <c r="L48" s="1"/>
      <c r="P48" s="16"/>
    </row>
    <row r="49" spans="8:16" x14ac:dyDescent="0.25">
      <c r="H49" s="1"/>
      <c r="I49" s="10"/>
      <c r="J49" s="10"/>
      <c r="K49" s="1"/>
      <c r="L49" s="1"/>
      <c r="P49" s="16"/>
    </row>
    <row r="50" spans="8:16" x14ac:dyDescent="0.25">
      <c r="H50" s="1"/>
      <c r="I50" s="10"/>
      <c r="J50" s="10"/>
      <c r="K50" s="1"/>
      <c r="L50" s="1"/>
      <c r="P50" s="16"/>
    </row>
    <row r="51" spans="8:16" x14ac:dyDescent="0.25">
      <c r="H51" s="1"/>
      <c r="I51" s="10"/>
      <c r="J51" s="10"/>
      <c r="K51" s="1"/>
      <c r="L51" s="1"/>
      <c r="P51" s="16"/>
    </row>
    <row r="52" spans="8:16" x14ac:dyDescent="0.25">
      <c r="H52" s="1"/>
      <c r="I52" s="10"/>
      <c r="J52" s="10"/>
      <c r="K52" s="1"/>
      <c r="L52" s="1"/>
      <c r="P52" s="16"/>
    </row>
    <row r="53" spans="8:16" x14ac:dyDescent="0.25">
      <c r="H53" s="1"/>
      <c r="I53" s="10"/>
      <c r="J53" s="10"/>
      <c r="K53" s="1"/>
      <c r="L53" s="1"/>
      <c r="P53" s="16"/>
    </row>
    <row r="54" spans="8:16" x14ac:dyDescent="0.25">
      <c r="H54" s="1"/>
      <c r="I54" s="10"/>
      <c r="J54" s="10"/>
      <c r="K54" s="1"/>
      <c r="L54" s="1"/>
      <c r="P54" s="16"/>
    </row>
    <row r="55" spans="8:16" x14ac:dyDescent="0.25">
      <c r="H55" s="1"/>
      <c r="I55" s="10"/>
      <c r="J55" s="10"/>
      <c r="K55" s="1"/>
      <c r="L55" s="1"/>
      <c r="P55" s="16"/>
    </row>
    <row r="56" spans="8:16" x14ac:dyDescent="0.25">
      <c r="H56" s="1"/>
      <c r="I56" s="10"/>
      <c r="J56" s="10"/>
      <c r="K56" s="1"/>
      <c r="L56" s="1"/>
      <c r="P56" s="16"/>
    </row>
    <row r="57" spans="8:16" x14ac:dyDescent="0.25">
      <c r="H57" s="1"/>
      <c r="I57" s="10"/>
      <c r="J57" s="10"/>
      <c r="K57" s="1"/>
      <c r="L57" s="1"/>
      <c r="P57" s="22"/>
    </row>
    <row r="58" spans="8:16" x14ac:dyDescent="0.25">
      <c r="H58" s="1"/>
      <c r="I58" s="10"/>
      <c r="J58" s="10"/>
      <c r="K58" s="1"/>
      <c r="L58" s="1"/>
      <c r="P58" s="16"/>
    </row>
    <row r="59" spans="8:16" x14ac:dyDescent="0.25">
      <c r="H59" s="1"/>
      <c r="I59" s="10"/>
      <c r="J59" s="10"/>
      <c r="K59" s="1"/>
      <c r="L59" s="1"/>
      <c r="P59" s="16"/>
    </row>
    <row r="60" spans="8:16" x14ac:dyDescent="0.25">
      <c r="H60" s="1"/>
      <c r="I60" s="10"/>
      <c r="J60" s="10"/>
      <c r="K60" s="1"/>
      <c r="L60" s="1"/>
      <c r="P60" s="16"/>
    </row>
    <row r="61" spans="8:16" x14ac:dyDescent="0.25">
      <c r="H61" s="1"/>
      <c r="I61" s="10"/>
      <c r="J61" s="10"/>
      <c r="K61" s="1"/>
      <c r="L61" s="1"/>
      <c r="P61" s="16"/>
    </row>
    <row r="62" spans="8:16" x14ac:dyDescent="0.25">
      <c r="H62" s="1"/>
      <c r="I62" s="10"/>
      <c r="J62" s="10"/>
      <c r="K62" s="1"/>
      <c r="L62" s="1"/>
      <c r="P62" s="16"/>
    </row>
    <row r="63" spans="8:16" x14ac:dyDescent="0.25">
      <c r="P63" s="18"/>
    </row>
    <row r="64" spans="8:16" x14ac:dyDescent="0.25">
      <c r="P64" s="18"/>
    </row>
  </sheetData>
  <sortState ref="A15:AA44">
    <sortCondition descending="1" ref="Q15:Q44"/>
    <sortCondition descending="1" ref="J15:J44"/>
  </sortState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4"/>
  <sheetViews>
    <sheetView workbookViewId="0"/>
  </sheetViews>
  <sheetFormatPr defaultRowHeight="15" x14ac:dyDescent="0.25"/>
  <cols>
    <col min="3" max="3" width="37.7109375" bestFit="1" customWidth="1"/>
    <col min="5" max="8" width="10.85546875" bestFit="1" customWidth="1"/>
    <col min="9" max="9" width="13.7109375" bestFit="1" customWidth="1"/>
    <col min="10" max="10" width="10.28515625" bestFit="1" customWidth="1"/>
    <col min="11" max="11" width="10.85546875" bestFit="1" customWidth="1"/>
    <col min="12" max="12" width="14" bestFit="1" customWidth="1"/>
    <col min="13" max="13" width="11.42578125" bestFit="1" customWidth="1"/>
    <col min="14" max="14" width="12" bestFit="1" customWidth="1"/>
    <col min="15" max="15" width="14.5703125" bestFit="1" customWidth="1"/>
    <col min="16" max="16" width="16.28515625" bestFit="1" customWidth="1"/>
    <col min="17" max="17" width="20.140625" bestFit="1" customWidth="1"/>
    <col min="18" max="18" width="10.5703125" customWidth="1"/>
    <col min="19" max="19" width="6.85546875" bestFit="1" customWidth="1"/>
  </cols>
  <sheetData>
    <row r="1" spans="1:19" x14ac:dyDescent="0.25">
      <c r="A1" t="s">
        <v>460</v>
      </c>
      <c r="M1" s="2"/>
    </row>
    <row r="2" spans="1:19" x14ac:dyDescent="0.25">
      <c r="M2" s="2"/>
    </row>
    <row r="3" spans="1:19" x14ac:dyDescent="0.25">
      <c r="A3" t="s">
        <v>509</v>
      </c>
      <c r="C3" t="s">
        <v>508</v>
      </c>
      <c r="D3">
        <v>0.39</v>
      </c>
      <c r="M3" s="2"/>
    </row>
    <row r="4" spans="1:19" x14ac:dyDescent="0.25">
      <c r="M4" s="2"/>
    </row>
    <row r="5" spans="1:19" x14ac:dyDescent="0.25">
      <c r="E5" s="2" t="s">
        <v>445</v>
      </c>
      <c r="F5" s="2" t="s">
        <v>446</v>
      </c>
      <c r="G5" s="2" t="s">
        <v>447</v>
      </c>
      <c r="H5" s="2" t="s">
        <v>448</v>
      </c>
      <c r="I5" s="2" t="s">
        <v>449</v>
      </c>
      <c r="J5" s="2" t="s">
        <v>451</v>
      </c>
      <c r="K5" s="2" t="s">
        <v>452</v>
      </c>
      <c r="L5" s="2" t="s">
        <v>453</v>
      </c>
      <c r="M5" s="2" t="s">
        <v>454</v>
      </c>
      <c r="N5" s="2" t="s">
        <v>455</v>
      </c>
      <c r="O5" s="2" t="s">
        <v>457</v>
      </c>
      <c r="P5" s="2" t="s">
        <v>464</v>
      </c>
      <c r="Q5" s="2" t="s">
        <v>465</v>
      </c>
      <c r="R5" s="2" t="s">
        <v>466</v>
      </c>
      <c r="S5" s="2" t="s">
        <v>0</v>
      </c>
    </row>
    <row r="6" spans="1:19" x14ac:dyDescent="0.25">
      <c r="K6" s="2" t="s">
        <v>476</v>
      </c>
      <c r="O6" s="2" t="s">
        <v>512</v>
      </c>
    </row>
    <row r="7" spans="1:19" x14ac:dyDescent="0.25">
      <c r="H7" s="2" t="s">
        <v>476</v>
      </c>
      <c r="J7" s="2" t="s">
        <v>486</v>
      </c>
      <c r="K7" s="2" t="s">
        <v>489</v>
      </c>
      <c r="M7" s="2" t="s">
        <v>492</v>
      </c>
      <c r="N7" s="2" t="s">
        <v>458</v>
      </c>
      <c r="O7" s="2" t="s">
        <v>459</v>
      </c>
      <c r="P7" s="2" t="s">
        <v>463</v>
      </c>
    </row>
    <row r="8" spans="1:19" x14ac:dyDescent="0.25">
      <c r="E8" s="2"/>
      <c r="F8" s="2"/>
      <c r="G8" s="2"/>
      <c r="H8" s="2" t="s">
        <v>477</v>
      </c>
      <c r="I8" s="2"/>
      <c r="J8" s="2" t="s">
        <v>484</v>
      </c>
      <c r="K8" s="2" t="s">
        <v>490</v>
      </c>
      <c r="L8" s="2"/>
      <c r="M8" s="2" t="s">
        <v>493</v>
      </c>
      <c r="N8" s="2" t="s">
        <v>450</v>
      </c>
      <c r="O8" s="2" t="s">
        <v>463</v>
      </c>
      <c r="P8" s="2" t="s">
        <v>504</v>
      </c>
      <c r="Q8" s="2" t="s">
        <v>500</v>
      </c>
      <c r="R8" s="2"/>
    </row>
    <row r="9" spans="1:19" x14ac:dyDescent="0.25">
      <c r="E9" s="2" t="s">
        <v>476</v>
      </c>
      <c r="F9" s="2" t="s">
        <v>476</v>
      </c>
      <c r="G9" s="2" t="s">
        <v>476</v>
      </c>
      <c r="H9" s="2" t="s">
        <v>481</v>
      </c>
      <c r="I9" s="2" t="s">
        <v>484</v>
      </c>
      <c r="J9" s="2" t="s">
        <v>487</v>
      </c>
      <c r="K9" s="2" t="s">
        <v>482</v>
      </c>
      <c r="L9" s="2" t="s">
        <v>467</v>
      </c>
      <c r="M9" s="2" t="s">
        <v>494</v>
      </c>
      <c r="N9" s="2" t="s">
        <v>498</v>
      </c>
      <c r="O9" s="2" t="s">
        <v>450</v>
      </c>
      <c r="P9" s="8" t="s">
        <v>505</v>
      </c>
      <c r="Q9" s="2" t="s">
        <v>503</v>
      </c>
    </row>
    <row r="10" spans="1:19" x14ac:dyDescent="0.25">
      <c r="E10" s="2" t="s">
        <v>477</v>
      </c>
      <c r="F10" s="2" t="s">
        <v>477</v>
      </c>
      <c r="G10" s="2" t="s">
        <v>477</v>
      </c>
      <c r="H10" s="2" t="s">
        <v>482</v>
      </c>
      <c r="I10" s="2" t="s">
        <v>485</v>
      </c>
      <c r="J10" s="11" t="s">
        <v>488</v>
      </c>
      <c r="K10" s="2" t="s">
        <v>487</v>
      </c>
      <c r="L10" s="2" t="s">
        <v>510</v>
      </c>
      <c r="M10" s="11" t="s">
        <v>495</v>
      </c>
      <c r="N10" s="8">
        <f>ROUND(N13,0)</f>
        <v>169</v>
      </c>
      <c r="O10" s="2" t="s">
        <v>513</v>
      </c>
      <c r="P10" s="2" t="s">
        <v>506</v>
      </c>
      <c r="Q10" s="2" t="s">
        <v>501</v>
      </c>
      <c r="R10" s="2"/>
      <c r="S10" s="2" t="s">
        <v>471</v>
      </c>
    </row>
    <row r="11" spans="1:19" x14ac:dyDescent="0.25">
      <c r="A11" t="s">
        <v>349</v>
      </c>
      <c r="B11" t="s">
        <v>350</v>
      </c>
      <c r="C11" t="s">
        <v>351</v>
      </c>
      <c r="D11" t="s">
        <v>352</v>
      </c>
      <c r="E11" s="2" t="s">
        <v>478</v>
      </c>
      <c r="F11" s="2" t="s">
        <v>479</v>
      </c>
      <c r="G11" s="2" t="s">
        <v>480</v>
      </c>
      <c r="H11" s="11" t="s">
        <v>483</v>
      </c>
      <c r="I11" s="11" t="s">
        <v>470</v>
      </c>
      <c r="J11" s="11" t="s">
        <v>473</v>
      </c>
      <c r="K11" s="11" t="s">
        <v>491</v>
      </c>
      <c r="L11" s="11" t="s">
        <v>511</v>
      </c>
      <c r="M11" s="11" t="s">
        <v>496</v>
      </c>
      <c r="N11" s="2" t="s">
        <v>499</v>
      </c>
      <c r="O11" s="2" t="s">
        <v>497</v>
      </c>
      <c r="P11" s="2" t="s">
        <v>507</v>
      </c>
      <c r="Q11" s="2" t="s">
        <v>502</v>
      </c>
      <c r="R11" s="2" t="s">
        <v>356</v>
      </c>
      <c r="S11" s="2" t="s">
        <v>472</v>
      </c>
    </row>
    <row r="12" spans="1:19" x14ac:dyDescent="0.25">
      <c r="M12" s="2"/>
      <c r="P12" s="1"/>
    </row>
    <row r="13" spans="1:19" x14ac:dyDescent="0.25">
      <c r="N13" s="14">
        <f>'Total per Region'!N24</f>
        <v>168.9167319678707</v>
      </c>
      <c r="P13" s="14"/>
    </row>
    <row r="14" spans="1:19" x14ac:dyDescent="0.25">
      <c r="K14" s="1">
        <f>SUM(K15:K62)</f>
        <v>449.49910615085673</v>
      </c>
    </row>
    <row r="15" spans="1:19" x14ac:dyDescent="0.25">
      <c r="A15">
        <v>508</v>
      </c>
      <c r="B15">
        <v>1</v>
      </c>
      <c r="C15" t="s">
        <v>227</v>
      </c>
      <c r="D15" s="2" t="s">
        <v>70</v>
      </c>
      <c r="E15" s="1">
        <v>144</v>
      </c>
      <c r="F15" s="1">
        <v>50</v>
      </c>
      <c r="G15" s="1">
        <v>12</v>
      </c>
      <c r="H15" s="1">
        <f t="shared" ref="H15:H42" si="0">F15+0.5*G15</f>
        <v>56</v>
      </c>
      <c r="I15" s="10">
        <f t="shared" ref="I15:I42" si="1">H15/E15</f>
        <v>0.3888888888888889</v>
      </c>
      <c r="J15" s="10">
        <f>MIN(I15,0.8)</f>
        <v>0.3888888888888889</v>
      </c>
      <c r="K15" s="1">
        <f t="shared" ref="K15:K42" si="2">J15*H15</f>
        <v>21.777777777777779</v>
      </c>
      <c r="L15" s="12">
        <f t="shared" ref="L15:L42" si="3">(0.39)*K15</f>
        <v>8.4933333333333341</v>
      </c>
      <c r="M15" s="1">
        <f t="shared" ref="M15:M42" si="4">MAX(L15,10)</f>
        <v>10</v>
      </c>
      <c r="N15" s="1">
        <f>MIN('Total per Region'!$N$24,N14+M15)</f>
        <v>10</v>
      </c>
      <c r="O15" s="17">
        <f>(N15-N14)/2</f>
        <v>5</v>
      </c>
      <c r="P15" s="16">
        <f>(2*O15)/$N$13*'Total per Region'!$R$24</f>
        <v>25001.232437761893</v>
      </c>
      <c r="Q15" t="s">
        <v>456</v>
      </c>
      <c r="R15" s="19" t="s">
        <v>420</v>
      </c>
      <c r="S15">
        <v>12</v>
      </c>
    </row>
    <row r="16" spans="1:19" x14ac:dyDescent="0.25">
      <c r="A16">
        <v>2135</v>
      </c>
      <c r="B16">
        <v>1</v>
      </c>
      <c r="C16" t="s">
        <v>255</v>
      </c>
      <c r="D16" s="2" t="s">
        <v>70</v>
      </c>
      <c r="E16" s="1">
        <v>67</v>
      </c>
      <c r="F16" s="1">
        <v>17</v>
      </c>
      <c r="G16" s="1">
        <v>14</v>
      </c>
      <c r="H16" s="1">
        <f t="shared" si="0"/>
        <v>24</v>
      </c>
      <c r="I16" s="10">
        <f t="shared" si="1"/>
        <v>0.35820895522388058</v>
      </c>
      <c r="J16" s="10">
        <f t="shared" ref="J16:J42" si="5">MIN(I16,0.8)</f>
        <v>0.35820895522388058</v>
      </c>
      <c r="K16" s="1">
        <f t="shared" si="2"/>
        <v>8.5970149253731343</v>
      </c>
      <c r="L16" s="12">
        <f t="shared" si="3"/>
        <v>3.3528358208955225</v>
      </c>
      <c r="M16" s="1">
        <f t="shared" si="4"/>
        <v>10</v>
      </c>
      <c r="N16" s="1">
        <f>MIN('Total per Region'!$N$24,N15+M16)</f>
        <v>20</v>
      </c>
      <c r="O16" s="17">
        <f t="shared" ref="O16:O42" si="6">(N16-N15)/2</f>
        <v>5</v>
      </c>
      <c r="P16" s="16">
        <f>(2*O16)/$N$13*'Total per Region'!$R$24</f>
        <v>25001.232437761893</v>
      </c>
      <c r="Q16" t="s">
        <v>456</v>
      </c>
      <c r="R16" s="19" t="s">
        <v>419</v>
      </c>
      <c r="S16">
        <v>12</v>
      </c>
    </row>
    <row r="17" spans="1:19" x14ac:dyDescent="0.25">
      <c r="A17">
        <v>840</v>
      </c>
      <c r="B17">
        <v>1</v>
      </c>
      <c r="C17" t="s">
        <v>96</v>
      </c>
      <c r="D17" s="2" t="s">
        <v>70</v>
      </c>
      <c r="E17" s="1">
        <v>71</v>
      </c>
      <c r="F17" s="1">
        <v>40</v>
      </c>
      <c r="G17" s="1">
        <v>7</v>
      </c>
      <c r="H17" s="1">
        <f t="shared" si="0"/>
        <v>43.5</v>
      </c>
      <c r="I17" s="10">
        <f t="shared" si="1"/>
        <v>0.61267605633802813</v>
      </c>
      <c r="J17" s="10">
        <f t="shared" si="5"/>
        <v>0.61267605633802813</v>
      </c>
      <c r="K17" s="1">
        <f t="shared" si="2"/>
        <v>26.651408450704224</v>
      </c>
      <c r="L17" s="12">
        <f t="shared" si="3"/>
        <v>10.394049295774648</v>
      </c>
      <c r="M17" s="1">
        <f t="shared" si="4"/>
        <v>10.394049295774648</v>
      </c>
      <c r="N17" s="1">
        <f>MIN('Total per Region'!$N$24,N16+M17)</f>
        <v>30.39404929577465</v>
      </c>
      <c r="O17" s="17">
        <f t="shared" si="6"/>
        <v>5.197024647887325</v>
      </c>
      <c r="P17" s="16">
        <f>(2*O17)/$N$13*'Total per Region'!$R$24</f>
        <v>25986.404241321736</v>
      </c>
      <c r="Q17" t="s">
        <v>1</v>
      </c>
      <c r="R17" s="19" t="s">
        <v>418</v>
      </c>
      <c r="S17">
        <v>13</v>
      </c>
    </row>
    <row r="18" spans="1:19" x14ac:dyDescent="0.25">
      <c r="A18">
        <v>836</v>
      </c>
      <c r="B18">
        <v>1</v>
      </c>
      <c r="C18" t="s">
        <v>69</v>
      </c>
      <c r="D18" s="2" t="s">
        <v>70</v>
      </c>
      <c r="E18" s="1">
        <v>23</v>
      </c>
      <c r="F18" s="1">
        <v>17</v>
      </c>
      <c r="G18" s="1">
        <v>0</v>
      </c>
      <c r="H18" s="1">
        <f t="shared" si="0"/>
        <v>17</v>
      </c>
      <c r="I18" s="10">
        <f t="shared" si="1"/>
        <v>0.73913043478260865</v>
      </c>
      <c r="J18" s="10">
        <f t="shared" si="5"/>
        <v>0.73913043478260865</v>
      </c>
      <c r="K18" s="1">
        <f t="shared" si="2"/>
        <v>12.565217391304348</v>
      </c>
      <c r="L18" s="12">
        <f t="shared" si="3"/>
        <v>4.9004347826086958</v>
      </c>
      <c r="M18" s="1">
        <f t="shared" si="4"/>
        <v>10</v>
      </c>
      <c r="N18" s="1">
        <f>MIN('Total per Region'!$N$24,N17+M18)</f>
        <v>40.39404929577465</v>
      </c>
      <c r="O18" s="17">
        <f t="shared" si="6"/>
        <v>5</v>
      </c>
      <c r="P18" s="16">
        <f>(2*O18)/$N$13*'Total per Region'!$R$24</f>
        <v>25001.232437761893</v>
      </c>
      <c r="R18" s="19" t="s">
        <v>418</v>
      </c>
      <c r="S18">
        <v>13</v>
      </c>
    </row>
    <row r="19" spans="1:19" x14ac:dyDescent="0.25">
      <c r="A19">
        <v>458</v>
      </c>
      <c r="B19">
        <v>1</v>
      </c>
      <c r="C19" t="s">
        <v>97</v>
      </c>
      <c r="D19" s="2" t="s">
        <v>70</v>
      </c>
      <c r="E19" s="1">
        <v>17</v>
      </c>
      <c r="F19" s="1">
        <v>10</v>
      </c>
      <c r="G19" s="1">
        <v>1</v>
      </c>
      <c r="H19" s="1">
        <f t="shared" si="0"/>
        <v>10.5</v>
      </c>
      <c r="I19" s="10">
        <f t="shared" si="1"/>
        <v>0.61764705882352944</v>
      </c>
      <c r="J19" s="10">
        <f t="shared" si="5"/>
        <v>0.61764705882352944</v>
      </c>
      <c r="K19" s="1">
        <f t="shared" si="2"/>
        <v>6.4852941176470589</v>
      </c>
      <c r="L19" s="12">
        <f t="shared" si="3"/>
        <v>2.529264705882353</v>
      </c>
      <c r="M19" s="1">
        <f t="shared" si="4"/>
        <v>10</v>
      </c>
      <c r="N19" s="1">
        <f>MIN('Total per Region'!$N$24,N18+M19)</f>
        <v>50.39404929577465</v>
      </c>
      <c r="O19" s="17">
        <f t="shared" si="6"/>
        <v>5</v>
      </c>
      <c r="P19" s="16">
        <f>(2*O19)/$N$13*'Total per Region'!$R$24</f>
        <v>25001.232437761893</v>
      </c>
      <c r="R19" s="19" t="s">
        <v>421</v>
      </c>
      <c r="S19">
        <v>15</v>
      </c>
    </row>
    <row r="20" spans="1:19" x14ac:dyDescent="0.25">
      <c r="A20">
        <v>84</v>
      </c>
      <c r="B20">
        <v>1</v>
      </c>
      <c r="C20" t="s">
        <v>139</v>
      </c>
      <c r="D20" s="2" t="s">
        <v>70</v>
      </c>
      <c r="E20" s="1">
        <v>49</v>
      </c>
      <c r="F20" s="1">
        <v>28</v>
      </c>
      <c r="G20" s="1">
        <v>2</v>
      </c>
      <c r="H20" s="1">
        <f t="shared" si="0"/>
        <v>29</v>
      </c>
      <c r="I20" s="10">
        <f t="shared" si="1"/>
        <v>0.59183673469387754</v>
      </c>
      <c r="J20" s="10">
        <f t="shared" si="5"/>
        <v>0.59183673469387754</v>
      </c>
      <c r="K20" s="1">
        <f t="shared" si="2"/>
        <v>17.163265306122447</v>
      </c>
      <c r="L20" s="12">
        <f t="shared" si="3"/>
        <v>6.6936734693877549</v>
      </c>
      <c r="M20" s="1">
        <f t="shared" si="4"/>
        <v>10</v>
      </c>
      <c r="N20" s="1">
        <f>MIN('Total per Region'!$N$24,N19+M20)</f>
        <v>60.39404929577465</v>
      </c>
      <c r="O20" s="17">
        <f t="shared" si="6"/>
        <v>5</v>
      </c>
      <c r="P20" s="16">
        <f>(2*O20)/$N$13*'Total per Region'!$R$24</f>
        <v>25001.232437761893</v>
      </c>
      <c r="R20" s="19" t="s">
        <v>422</v>
      </c>
      <c r="S20">
        <v>14</v>
      </c>
    </row>
    <row r="21" spans="1:19" x14ac:dyDescent="0.25">
      <c r="A21">
        <v>837</v>
      </c>
      <c r="B21">
        <v>1</v>
      </c>
      <c r="C21" t="s">
        <v>113</v>
      </c>
      <c r="D21" s="2" t="s">
        <v>70</v>
      </c>
      <c r="E21" s="1">
        <v>42</v>
      </c>
      <c r="F21" s="1">
        <v>22</v>
      </c>
      <c r="G21" s="1">
        <v>5</v>
      </c>
      <c r="H21" s="1">
        <f t="shared" si="0"/>
        <v>24.5</v>
      </c>
      <c r="I21" s="10">
        <f t="shared" si="1"/>
        <v>0.58333333333333337</v>
      </c>
      <c r="J21" s="10">
        <f t="shared" si="5"/>
        <v>0.58333333333333337</v>
      </c>
      <c r="K21" s="1">
        <f t="shared" si="2"/>
        <v>14.291666666666668</v>
      </c>
      <c r="L21" s="12">
        <f t="shared" si="3"/>
        <v>5.5737500000000004</v>
      </c>
      <c r="M21" s="1">
        <f t="shared" si="4"/>
        <v>10</v>
      </c>
      <c r="N21" s="1">
        <f>MIN('Total per Region'!$N$24,N20+M21)</f>
        <v>70.39404929577465</v>
      </c>
      <c r="O21" s="17">
        <f t="shared" si="6"/>
        <v>5</v>
      </c>
      <c r="P21" s="16">
        <f>(2*O21)/$N$13*'Total per Region'!$R$24</f>
        <v>25001.232437761893</v>
      </c>
      <c r="R21" s="19" t="s">
        <v>418</v>
      </c>
      <c r="S21">
        <v>13</v>
      </c>
    </row>
    <row r="22" spans="1:19" x14ac:dyDescent="0.25">
      <c r="A22">
        <v>2536</v>
      </c>
      <c r="B22">
        <v>1</v>
      </c>
      <c r="C22" t="s">
        <v>107</v>
      </c>
      <c r="D22" s="2" t="s">
        <v>70</v>
      </c>
      <c r="E22" s="1">
        <v>16</v>
      </c>
      <c r="F22" s="1">
        <v>8</v>
      </c>
      <c r="G22" s="1">
        <v>2</v>
      </c>
      <c r="H22" s="1">
        <f t="shared" si="0"/>
        <v>9</v>
      </c>
      <c r="I22" s="10">
        <f t="shared" si="1"/>
        <v>0.5625</v>
      </c>
      <c r="J22" s="10">
        <f t="shared" si="5"/>
        <v>0.5625</v>
      </c>
      <c r="K22" s="1">
        <f t="shared" si="2"/>
        <v>5.0625</v>
      </c>
      <c r="L22" s="12">
        <f t="shared" si="3"/>
        <v>1.974375</v>
      </c>
      <c r="M22" s="1">
        <f t="shared" si="4"/>
        <v>10</v>
      </c>
      <c r="N22" s="1">
        <f>MIN('Total per Region'!$N$24,N21+M22)</f>
        <v>80.39404929577465</v>
      </c>
      <c r="O22" s="17">
        <f t="shared" si="6"/>
        <v>5</v>
      </c>
      <c r="P22" s="16">
        <f>(2*O22)/$N$13*'Total per Region'!$R$24</f>
        <v>25001.232437761893</v>
      </c>
      <c r="R22" s="19" t="s">
        <v>421</v>
      </c>
      <c r="S22">
        <v>15</v>
      </c>
    </row>
    <row r="23" spans="1:19" x14ac:dyDescent="0.25">
      <c r="A23">
        <v>2134</v>
      </c>
      <c r="B23">
        <v>1</v>
      </c>
      <c r="C23" t="s">
        <v>109</v>
      </c>
      <c r="D23" s="2" t="s">
        <v>70</v>
      </c>
      <c r="E23" s="1">
        <v>52</v>
      </c>
      <c r="F23" s="1">
        <v>24</v>
      </c>
      <c r="G23" s="1">
        <v>5</v>
      </c>
      <c r="H23" s="1">
        <f t="shared" si="0"/>
        <v>26.5</v>
      </c>
      <c r="I23" s="10">
        <f t="shared" si="1"/>
        <v>0.50961538461538458</v>
      </c>
      <c r="J23" s="10">
        <f t="shared" si="5"/>
        <v>0.50961538461538458</v>
      </c>
      <c r="K23" s="1">
        <f t="shared" si="2"/>
        <v>13.504807692307692</v>
      </c>
      <c r="L23" s="12">
        <f t="shared" si="3"/>
        <v>5.2668749999999998</v>
      </c>
      <c r="M23" s="1">
        <f t="shared" si="4"/>
        <v>10</v>
      </c>
      <c r="N23" s="1">
        <f>MIN('Total per Region'!$N$24,N22+M23)</f>
        <v>90.39404929577465</v>
      </c>
      <c r="O23" s="17">
        <f t="shared" si="6"/>
        <v>5</v>
      </c>
      <c r="P23" s="16">
        <f>(2*O23)/$N$13*'Total per Region'!$R$24</f>
        <v>25001.232437761893</v>
      </c>
      <c r="R23" s="19" t="s">
        <v>423</v>
      </c>
      <c r="S23">
        <v>15</v>
      </c>
    </row>
    <row r="24" spans="1:19" x14ac:dyDescent="0.25">
      <c r="A24">
        <v>2860</v>
      </c>
      <c r="B24">
        <v>1</v>
      </c>
      <c r="C24" t="s">
        <v>147</v>
      </c>
      <c r="D24" s="2" t="s">
        <v>70</v>
      </c>
      <c r="E24" s="1">
        <v>110</v>
      </c>
      <c r="F24" s="1">
        <v>50</v>
      </c>
      <c r="G24" s="1">
        <v>10</v>
      </c>
      <c r="H24" s="1">
        <f t="shared" si="0"/>
        <v>55</v>
      </c>
      <c r="I24" s="10">
        <f t="shared" si="1"/>
        <v>0.5</v>
      </c>
      <c r="J24" s="10">
        <f t="shared" si="5"/>
        <v>0.5</v>
      </c>
      <c r="K24" s="1">
        <f t="shared" si="2"/>
        <v>27.5</v>
      </c>
      <c r="L24" s="12">
        <f t="shared" si="3"/>
        <v>10.725</v>
      </c>
      <c r="M24" s="1">
        <f t="shared" si="4"/>
        <v>10.725</v>
      </c>
      <c r="N24" s="1">
        <f>MIN('Total per Region'!$N$24,N23+M24)</f>
        <v>101.11904929577464</v>
      </c>
      <c r="O24" s="17">
        <f t="shared" si="6"/>
        <v>5.3624999999999972</v>
      </c>
      <c r="P24" s="16">
        <f>(2*O24)/$N$13*'Total per Region'!$R$24</f>
        <v>26813.821789499612</v>
      </c>
      <c r="R24" s="19" t="s">
        <v>423</v>
      </c>
      <c r="S24">
        <v>15</v>
      </c>
    </row>
    <row r="25" spans="1:19" x14ac:dyDescent="0.25">
      <c r="A25">
        <v>829</v>
      </c>
      <c r="B25">
        <v>1</v>
      </c>
      <c r="C25" t="s">
        <v>159</v>
      </c>
      <c r="D25" s="2" t="s">
        <v>70</v>
      </c>
      <c r="E25" s="1">
        <v>133</v>
      </c>
      <c r="F25" s="1">
        <v>58</v>
      </c>
      <c r="G25" s="1">
        <v>13</v>
      </c>
      <c r="H25" s="1">
        <f t="shared" si="0"/>
        <v>64.5</v>
      </c>
      <c r="I25" s="10">
        <f t="shared" si="1"/>
        <v>0.48496240601503759</v>
      </c>
      <c r="J25" s="10">
        <f t="shared" si="5"/>
        <v>0.48496240601503759</v>
      </c>
      <c r="K25" s="1">
        <f t="shared" si="2"/>
        <v>31.280075187969924</v>
      </c>
      <c r="L25" s="12">
        <f t="shared" si="3"/>
        <v>12.199229323308272</v>
      </c>
      <c r="M25" s="1">
        <f t="shared" si="4"/>
        <v>12.199229323308272</v>
      </c>
      <c r="N25" s="1">
        <f>MIN('Total per Region'!$N$24,N24+M25)</f>
        <v>113.31827861908292</v>
      </c>
      <c r="O25" s="17">
        <f t="shared" si="6"/>
        <v>6.0996146616541367</v>
      </c>
      <c r="P25" s="16">
        <f>(2*O25)/$N$13*'Total per Region'!$R$24</f>
        <v>30499.576787359085</v>
      </c>
      <c r="R25" s="19" t="s">
        <v>424</v>
      </c>
      <c r="S25">
        <v>15</v>
      </c>
    </row>
    <row r="26" spans="1:19" x14ac:dyDescent="0.25">
      <c r="A26">
        <v>2310</v>
      </c>
      <c r="B26">
        <v>1</v>
      </c>
      <c r="C26" t="s">
        <v>178</v>
      </c>
      <c r="D26" s="2" t="s">
        <v>70</v>
      </c>
      <c r="E26" s="1">
        <v>87</v>
      </c>
      <c r="F26" s="1">
        <v>37</v>
      </c>
      <c r="G26" s="1">
        <v>9</v>
      </c>
      <c r="H26" s="1">
        <f t="shared" si="0"/>
        <v>41.5</v>
      </c>
      <c r="I26" s="10">
        <f t="shared" si="1"/>
        <v>0.47701149425287354</v>
      </c>
      <c r="J26" s="10">
        <f t="shared" si="5"/>
        <v>0.47701149425287354</v>
      </c>
      <c r="K26" s="1">
        <f t="shared" si="2"/>
        <v>19.795977011494251</v>
      </c>
      <c r="L26" s="12">
        <f t="shared" si="3"/>
        <v>7.7204310344827585</v>
      </c>
      <c r="M26" s="1">
        <f t="shared" si="4"/>
        <v>10</v>
      </c>
      <c r="N26" s="1">
        <f>MIN('Total per Region'!$N$24,N25+M26)</f>
        <v>123.31827861908292</v>
      </c>
      <c r="O26" s="17">
        <f t="shared" si="6"/>
        <v>5</v>
      </c>
      <c r="P26" s="16">
        <f>(2*O26)/$N$13*'Total per Region'!$R$24</f>
        <v>25001.232437761893</v>
      </c>
      <c r="R26" s="19" t="s">
        <v>425</v>
      </c>
      <c r="S26">
        <v>15</v>
      </c>
    </row>
    <row r="27" spans="1:19" x14ac:dyDescent="0.25">
      <c r="A27">
        <v>2752</v>
      </c>
      <c r="B27">
        <v>1</v>
      </c>
      <c r="C27" t="s">
        <v>156</v>
      </c>
      <c r="D27" s="2" t="s">
        <v>70</v>
      </c>
      <c r="E27" s="1">
        <v>151</v>
      </c>
      <c r="F27" s="1">
        <v>63</v>
      </c>
      <c r="G27" s="1">
        <v>17</v>
      </c>
      <c r="H27" s="1">
        <f t="shared" si="0"/>
        <v>71.5</v>
      </c>
      <c r="I27" s="10">
        <f t="shared" si="1"/>
        <v>0.47350993377483441</v>
      </c>
      <c r="J27" s="10">
        <f t="shared" si="5"/>
        <v>0.47350993377483441</v>
      </c>
      <c r="K27" s="1">
        <f t="shared" si="2"/>
        <v>33.855960264900659</v>
      </c>
      <c r="L27" s="12">
        <f t="shared" si="3"/>
        <v>13.203824503311257</v>
      </c>
      <c r="M27" s="1">
        <f t="shared" si="4"/>
        <v>13.203824503311257</v>
      </c>
      <c r="N27" s="1">
        <f>MIN('Total per Region'!$N$24,N26+M27)</f>
        <v>136.52210312239418</v>
      </c>
      <c r="O27" s="17">
        <f t="shared" si="6"/>
        <v>6.6019122516556337</v>
      </c>
      <c r="P27" s="16">
        <f>(2*O27)/$N$13*'Total per Region'!$R$24</f>
        <v>33011.188547470098</v>
      </c>
      <c r="R27" s="19" t="s">
        <v>421</v>
      </c>
      <c r="S27">
        <v>15</v>
      </c>
    </row>
    <row r="28" spans="1:19" x14ac:dyDescent="0.25">
      <c r="A28">
        <v>2365</v>
      </c>
      <c r="B28">
        <v>1</v>
      </c>
      <c r="C28" t="s">
        <v>182</v>
      </c>
      <c r="D28" s="2" t="s">
        <v>70</v>
      </c>
      <c r="E28" s="1">
        <v>52</v>
      </c>
      <c r="F28" s="1">
        <v>21</v>
      </c>
      <c r="G28" s="1">
        <v>3</v>
      </c>
      <c r="H28" s="1">
        <f t="shared" si="0"/>
        <v>22.5</v>
      </c>
      <c r="I28" s="10">
        <f t="shared" si="1"/>
        <v>0.43269230769230771</v>
      </c>
      <c r="J28" s="10">
        <f t="shared" si="5"/>
        <v>0.43269230769230771</v>
      </c>
      <c r="K28" s="1">
        <f t="shared" si="2"/>
        <v>9.7355769230769234</v>
      </c>
      <c r="L28" s="12">
        <f t="shared" si="3"/>
        <v>3.7968750000000004</v>
      </c>
      <c r="M28" s="1">
        <f t="shared" si="4"/>
        <v>10</v>
      </c>
      <c r="N28" s="1">
        <f>MIN('Total per Region'!$N$24,N27+M28)</f>
        <v>146.52210312239418</v>
      </c>
      <c r="O28" s="17">
        <f t="shared" si="6"/>
        <v>5</v>
      </c>
      <c r="P28" s="16">
        <f>(2*O28)/$N$13*'Total per Region'!$R$24</f>
        <v>25001.232437761893</v>
      </c>
      <c r="R28" s="19" t="s">
        <v>425</v>
      </c>
      <c r="S28">
        <v>15</v>
      </c>
    </row>
    <row r="29" spans="1:19" x14ac:dyDescent="0.25">
      <c r="A29">
        <v>2397</v>
      </c>
      <c r="B29">
        <v>1</v>
      </c>
      <c r="C29" t="s">
        <v>171</v>
      </c>
      <c r="D29" s="2" t="s">
        <v>70</v>
      </c>
      <c r="E29" s="1">
        <v>72</v>
      </c>
      <c r="F29" s="1">
        <v>25</v>
      </c>
      <c r="G29" s="1">
        <v>10</v>
      </c>
      <c r="H29" s="1">
        <f t="shared" si="0"/>
        <v>30</v>
      </c>
      <c r="I29" s="10">
        <f t="shared" si="1"/>
        <v>0.41666666666666669</v>
      </c>
      <c r="J29" s="10">
        <f t="shared" si="5"/>
        <v>0.41666666666666669</v>
      </c>
      <c r="K29" s="1">
        <f t="shared" si="2"/>
        <v>12.5</v>
      </c>
      <c r="L29" s="12">
        <f t="shared" si="3"/>
        <v>4.875</v>
      </c>
      <c r="M29" s="1">
        <f t="shared" si="4"/>
        <v>10</v>
      </c>
      <c r="N29" s="1">
        <f>MIN('Total per Region'!$N$24,N28+M29)</f>
        <v>156.52210312239418</v>
      </c>
      <c r="O29" s="17">
        <f t="shared" si="6"/>
        <v>5</v>
      </c>
      <c r="P29" s="16">
        <f>(2*O29)/$N$13*'Total per Region'!$R$24</f>
        <v>25001.232437761893</v>
      </c>
      <c r="R29" s="19" t="s">
        <v>426</v>
      </c>
      <c r="S29">
        <v>15</v>
      </c>
    </row>
    <row r="30" spans="1:19" x14ac:dyDescent="0.25">
      <c r="A30">
        <v>85</v>
      </c>
      <c r="B30">
        <v>1</v>
      </c>
      <c r="C30" t="s">
        <v>185</v>
      </c>
      <c r="D30" s="2" t="s">
        <v>70</v>
      </c>
      <c r="E30" s="1">
        <v>56</v>
      </c>
      <c r="F30" s="1">
        <v>21</v>
      </c>
      <c r="G30" s="1">
        <v>3</v>
      </c>
      <c r="H30" s="1">
        <f t="shared" si="0"/>
        <v>22.5</v>
      </c>
      <c r="I30" s="10">
        <f t="shared" si="1"/>
        <v>0.4017857142857143</v>
      </c>
      <c r="J30" s="10">
        <f t="shared" si="5"/>
        <v>0.4017857142857143</v>
      </c>
      <c r="K30" s="1">
        <f t="shared" si="2"/>
        <v>9.0401785714285712</v>
      </c>
      <c r="L30" s="12">
        <f t="shared" si="3"/>
        <v>3.5256696428571428</v>
      </c>
      <c r="M30" s="1">
        <f t="shared" si="4"/>
        <v>10</v>
      </c>
      <c r="N30" s="1">
        <f>MIN('Total per Region'!$N$24,N29+M30)</f>
        <v>166.52210312239418</v>
      </c>
      <c r="O30" s="17">
        <f t="shared" si="6"/>
        <v>5</v>
      </c>
      <c r="P30" s="16">
        <f>(2*O30)/$N$13*'Total per Region'!$R$24</f>
        <v>25001.232437761893</v>
      </c>
      <c r="R30" s="19" t="s">
        <v>422</v>
      </c>
      <c r="S30">
        <v>14</v>
      </c>
    </row>
    <row r="31" spans="1:19" x14ac:dyDescent="0.25">
      <c r="A31">
        <v>77</v>
      </c>
      <c r="B31">
        <v>1</v>
      </c>
      <c r="C31" t="s">
        <v>250</v>
      </c>
      <c r="D31" s="2" t="s">
        <v>70</v>
      </c>
      <c r="E31" s="1">
        <v>693</v>
      </c>
      <c r="F31" s="1">
        <v>244</v>
      </c>
      <c r="G31" s="1">
        <v>34</v>
      </c>
      <c r="H31" s="1">
        <f t="shared" si="0"/>
        <v>261</v>
      </c>
      <c r="I31" s="10">
        <f t="shared" si="1"/>
        <v>0.37662337662337664</v>
      </c>
      <c r="J31" s="10">
        <f t="shared" si="5"/>
        <v>0.37662337662337664</v>
      </c>
      <c r="K31" s="1">
        <f t="shared" si="2"/>
        <v>98.298701298701303</v>
      </c>
      <c r="L31" s="12">
        <f t="shared" si="3"/>
        <v>38.336493506493511</v>
      </c>
      <c r="M31" s="1">
        <f t="shared" si="4"/>
        <v>38.336493506493511</v>
      </c>
      <c r="N31" s="1">
        <f>MIN('Total per Region'!$N$24,N30+M31)</f>
        <v>168.9167319678707</v>
      </c>
      <c r="O31" s="17">
        <f t="shared" si="6"/>
        <v>1.1973144227382591</v>
      </c>
      <c r="P31" s="16">
        <f>(2*O31)/$N$13*'Total per Region'!$R$24</f>
        <v>5986.8672367927829</v>
      </c>
      <c r="R31" s="19" t="s">
        <v>419</v>
      </c>
      <c r="S31">
        <v>12</v>
      </c>
    </row>
    <row r="32" spans="1:19" x14ac:dyDescent="0.25">
      <c r="A32">
        <v>2448</v>
      </c>
      <c r="B32">
        <v>1</v>
      </c>
      <c r="C32" t="s">
        <v>243</v>
      </c>
      <c r="D32" s="2" t="s">
        <v>70</v>
      </c>
      <c r="E32" s="1">
        <v>61</v>
      </c>
      <c r="F32" s="1">
        <v>19</v>
      </c>
      <c r="G32" s="1">
        <v>6</v>
      </c>
      <c r="H32" s="1">
        <f t="shared" si="0"/>
        <v>22</v>
      </c>
      <c r="I32" s="10">
        <f t="shared" si="1"/>
        <v>0.36065573770491804</v>
      </c>
      <c r="J32" s="10">
        <f t="shared" si="5"/>
        <v>0.36065573770491804</v>
      </c>
      <c r="K32" s="1">
        <f t="shared" si="2"/>
        <v>7.9344262295081966</v>
      </c>
      <c r="L32" s="12">
        <f t="shared" si="3"/>
        <v>3.0944262295081968</v>
      </c>
      <c r="M32" s="1">
        <f t="shared" si="4"/>
        <v>10</v>
      </c>
      <c r="N32" s="1">
        <f>MIN('Total per Region'!$N$24,N31+M32)</f>
        <v>168.9167319678707</v>
      </c>
      <c r="O32" s="17">
        <f t="shared" si="6"/>
        <v>0</v>
      </c>
      <c r="P32" s="16">
        <f>(2*O32)/$N$13*'Total per Region'!$R$24</f>
        <v>0</v>
      </c>
      <c r="R32" s="4" t="s">
        <v>421</v>
      </c>
      <c r="S32">
        <v>15</v>
      </c>
    </row>
    <row r="33" spans="1:19" x14ac:dyDescent="0.25">
      <c r="A33">
        <v>391</v>
      </c>
      <c r="B33">
        <v>1</v>
      </c>
      <c r="C33" t="s">
        <v>259</v>
      </c>
      <c r="D33" s="2" t="s">
        <v>70</v>
      </c>
      <c r="E33" s="1">
        <v>38</v>
      </c>
      <c r="F33" s="1">
        <v>12</v>
      </c>
      <c r="G33" s="1">
        <v>3</v>
      </c>
      <c r="H33" s="1">
        <f t="shared" si="0"/>
        <v>13.5</v>
      </c>
      <c r="I33" s="10">
        <f t="shared" si="1"/>
        <v>0.35526315789473684</v>
      </c>
      <c r="J33" s="10">
        <f t="shared" si="5"/>
        <v>0.35526315789473684</v>
      </c>
      <c r="K33" s="1">
        <f t="shared" si="2"/>
        <v>4.7960526315789469</v>
      </c>
      <c r="L33" s="12">
        <f t="shared" si="3"/>
        <v>1.8704605263157894</v>
      </c>
      <c r="M33" s="1">
        <f t="shared" si="4"/>
        <v>10</v>
      </c>
      <c r="N33" s="1">
        <f>MIN('Total per Region'!$N$24,N32+M33)</f>
        <v>168.9167319678707</v>
      </c>
      <c r="O33" s="17">
        <f t="shared" si="6"/>
        <v>0</v>
      </c>
      <c r="P33" s="16">
        <f>(2*O33)/$N$13*'Total per Region'!$R$24</f>
        <v>0</v>
      </c>
      <c r="R33" s="4" t="s">
        <v>426</v>
      </c>
      <c r="S33">
        <v>15</v>
      </c>
    </row>
    <row r="34" spans="1:19" x14ac:dyDescent="0.25">
      <c r="A34">
        <v>2168</v>
      </c>
      <c r="B34">
        <v>1</v>
      </c>
      <c r="C34" t="s">
        <v>281</v>
      </c>
      <c r="D34" s="2" t="s">
        <v>70</v>
      </c>
      <c r="E34" s="1">
        <v>72</v>
      </c>
      <c r="F34" s="1">
        <v>22</v>
      </c>
      <c r="G34" s="1">
        <v>7</v>
      </c>
      <c r="H34" s="1">
        <f t="shared" si="0"/>
        <v>25.5</v>
      </c>
      <c r="I34" s="10">
        <f t="shared" si="1"/>
        <v>0.35416666666666669</v>
      </c>
      <c r="J34" s="10">
        <f t="shared" si="5"/>
        <v>0.35416666666666669</v>
      </c>
      <c r="K34" s="1">
        <f t="shared" si="2"/>
        <v>9.03125</v>
      </c>
      <c r="L34" s="12">
        <f t="shared" si="3"/>
        <v>3.5221875000000002</v>
      </c>
      <c r="M34" s="1">
        <f t="shared" si="4"/>
        <v>10</v>
      </c>
      <c r="N34" s="1">
        <f>MIN('Total per Region'!$N$24,N33+M34)</f>
        <v>168.9167319678707</v>
      </c>
      <c r="O34" s="17">
        <f t="shared" si="6"/>
        <v>0</v>
      </c>
      <c r="P34" s="16">
        <f>(2*O34)/$N$13*'Total per Region'!$R$24</f>
        <v>0</v>
      </c>
      <c r="R34" s="4" t="s">
        <v>424</v>
      </c>
      <c r="S34">
        <v>15</v>
      </c>
    </row>
    <row r="35" spans="1:19" x14ac:dyDescent="0.25">
      <c r="A35">
        <v>2835</v>
      </c>
      <c r="B35">
        <v>1</v>
      </c>
      <c r="C35" t="s">
        <v>299</v>
      </c>
      <c r="D35" s="2" t="s">
        <v>70</v>
      </c>
      <c r="E35" s="1">
        <v>48</v>
      </c>
      <c r="F35" s="1">
        <v>16</v>
      </c>
      <c r="G35" s="1">
        <v>2</v>
      </c>
      <c r="H35" s="1">
        <f t="shared" si="0"/>
        <v>17</v>
      </c>
      <c r="I35" s="10">
        <f t="shared" si="1"/>
        <v>0.35416666666666669</v>
      </c>
      <c r="J35" s="10">
        <f t="shared" si="5"/>
        <v>0.35416666666666669</v>
      </c>
      <c r="K35" s="1">
        <f t="shared" si="2"/>
        <v>6.0208333333333339</v>
      </c>
      <c r="L35" s="12">
        <f t="shared" si="3"/>
        <v>2.3481250000000005</v>
      </c>
      <c r="M35" s="1">
        <f t="shared" si="4"/>
        <v>10</v>
      </c>
      <c r="N35" s="1">
        <f>MIN('Total per Region'!$N$24,N34+M35)</f>
        <v>168.9167319678707</v>
      </c>
      <c r="O35" s="17">
        <f t="shared" si="6"/>
        <v>0</v>
      </c>
      <c r="P35" s="16">
        <f>(2*O35)/$N$13*'Total per Region'!$R$24</f>
        <v>0</v>
      </c>
      <c r="R35" s="4" t="s">
        <v>424</v>
      </c>
      <c r="S35">
        <v>15</v>
      </c>
    </row>
    <row r="36" spans="1:19" x14ac:dyDescent="0.25">
      <c r="A36">
        <v>2905</v>
      </c>
      <c r="B36">
        <v>1</v>
      </c>
      <c r="C36" t="s">
        <v>301</v>
      </c>
      <c r="D36" s="2" t="s">
        <v>70</v>
      </c>
      <c r="E36" s="1">
        <v>163</v>
      </c>
      <c r="F36" s="1">
        <v>51</v>
      </c>
      <c r="G36" s="1">
        <v>10</v>
      </c>
      <c r="H36" s="1">
        <f t="shared" si="0"/>
        <v>56</v>
      </c>
      <c r="I36" s="10">
        <f t="shared" si="1"/>
        <v>0.34355828220858897</v>
      </c>
      <c r="J36" s="10">
        <f t="shared" si="5"/>
        <v>0.34355828220858897</v>
      </c>
      <c r="K36" s="1">
        <f t="shared" si="2"/>
        <v>19.239263803680984</v>
      </c>
      <c r="L36" s="12">
        <f t="shared" si="3"/>
        <v>7.5033128834355844</v>
      </c>
      <c r="M36" s="1">
        <f t="shared" si="4"/>
        <v>10</v>
      </c>
      <c r="N36" s="1">
        <f>MIN('Total per Region'!$N$24,N35+M36)</f>
        <v>168.9167319678707</v>
      </c>
      <c r="O36" s="17">
        <f t="shared" si="6"/>
        <v>0</v>
      </c>
      <c r="P36" s="16">
        <f>(2*O36)/$N$13*'Total per Region'!$R$24</f>
        <v>0</v>
      </c>
      <c r="R36" s="4" t="s">
        <v>426</v>
      </c>
      <c r="S36">
        <v>15</v>
      </c>
    </row>
    <row r="37" spans="1:19" x14ac:dyDescent="0.25">
      <c r="A37">
        <v>88</v>
      </c>
      <c r="B37">
        <v>1</v>
      </c>
      <c r="C37" t="s">
        <v>278</v>
      </c>
      <c r="D37" s="2" t="s">
        <v>70</v>
      </c>
      <c r="E37" s="1">
        <v>154</v>
      </c>
      <c r="F37" s="1">
        <v>46</v>
      </c>
      <c r="G37" s="1">
        <v>6</v>
      </c>
      <c r="H37" s="1">
        <f t="shared" si="0"/>
        <v>49</v>
      </c>
      <c r="I37" s="10">
        <f t="shared" si="1"/>
        <v>0.31818181818181818</v>
      </c>
      <c r="J37" s="10">
        <f t="shared" si="5"/>
        <v>0.31818181818181818</v>
      </c>
      <c r="K37" s="1">
        <f t="shared" si="2"/>
        <v>15.59090909090909</v>
      </c>
      <c r="L37" s="12">
        <f t="shared" si="3"/>
        <v>6.0804545454545451</v>
      </c>
      <c r="M37" s="1">
        <f t="shared" si="4"/>
        <v>10</v>
      </c>
      <c r="N37" s="1">
        <f>MIN('Total per Region'!$N$24,N36+M37)</f>
        <v>168.9167319678707</v>
      </c>
      <c r="O37" s="17">
        <f t="shared" si="6"/>
        <v>0</v>
      </c>
      <c r="P37" s="16">
        <f>(2*O37)/$N$13*'Total per Region'!$R$24</f>
        <v>0</v>
      </c>
      <c r="R37" s="4" t="s">
        <v>422</v>
      </c>
      <c r="S37">
        <v>14</v>
      </c>
    </row>
    <row r="38" spans="1:19" x14ac:dyDescent="0.25">
      <c r="A38">
        <v>2071</v>
      </c>
      <c r="B38">
        <v>1</v>
      </c>
      <c r="C38" t="s">
        <v>289</v>
      </c>
      <c r="D38" s="2" t="s">
        <v>70</v>
      </c>
      <c r="E38" s="1">
        <v>73</v>
      </c>
      <c r="F38" s="1">
        <v>18</v>
      </c>
      <c r="G38" s="1">
        <v>9</v>
      </c>
      <c r="H38" s="1">
        <f t="shared" si="0"/>
        <v>22.5</v>
      </c>
      <c r="I38" s="10">
        <f t="shared" si="1"/>
        <v>0.30821917808219179</v>
      </c>
      <c r="J38" s="10">
        <f t="shared" si="5"/>
        <v>0.30821917808219179</v>
      </c>
      <c r="K38" s="1">
        <f t="shared" si="2"/>
        <v>6.9349315068493151</v>
      </c>
      <c r="L38" s="12">
        <f t="shared" si="3"/>
        <v>2.7046232876712328</v>
      </c>
      <c r="M38" s="1">
        <f t="shared" si="4"/>
        <v>10</v>
      </c>
      <c r="N38" s="1">
        <f>MIN('Total per Region'!$N$24,N37+M38)</f>
        <v>168.9167319678707</v>
      </c>
      <c r="O38" s="17">
        <f t="shared" si="6"/>
        <v>0</v>
      </c>
      <c r="P38" s="16">
        <f>(2*O38)/$N$13*'Total per Region'!$R$24</f>
        <v>0</v>
      </c>
      <c r="R38" s="4" t="s">
        <v>419</v>
      </c>
      <c r="S38">
        <v>12</v>
      </c>
    </row>
    <row r="39" spans="1:19" x14ac:dyDescent="0.25">
      <c r="A39">
        <v>2143</v>
      </c>
      <c r="B39">
        <v>1</v>
      </c>
      <c r="C39" t="s">
        <v>276</v>
      </c>
      <c r="D39" s="2" t="s">
        <v>70</v>
      </c>
      <c r="E39" s="1">
        <v>68</v>
      </c>
      <c r="F39" s="1">
        <v>16</v>
      </c>
      <c r="G39" s="1">
        <v>9</v>
      </c>
      <c r="H39" s="1">
        <f t="shared" si="0"/>
        <v>20.5</v>
      </c>
      <c r="I39" s="10">
        <f t="shared" si="1"/>
        <v>0.3014705882352941</v>
      </c>
      <c r="J39" s="10">
        <f t="shared" si="5"/>
        <v>0.3014705882352941</v>
      </c>
      <c r="K39" s="1">
        <f t="shared" si="2"/>
        <v>6.180147058823529</v>
      </c>
      <c r="L39" s="12">
        <f t="shared" si="3"/>
        <v>2.4102573529411764</v>
      </c>
      <c r="M39" s="1">
        <f t="shared" si="4"/>
        <v>10</v>
      </c>
      <c r="N39" s="1">
        <f>MIN('Total per Region'!$N$24,N38+M39)</f>
        <v>168.9167319678707</v>
      </c>
      <c r="O39" s="17">
        <f t="shared" si="6"/>
        <v>0</v>
      </c>
      <c r="P39" s="16">
        <f>(2*O39)/$N$13*'Total per Region'!$R$24</f>
        <v>0</v>
      </c>
      <c r="R39" s="4" t="s">
        <v>426</v>
      </c>
      <c r="S39">
        <v>15</v>
      </c>
    </row>
    <row r="40" spans="1:19" x14ac:dyDescent="0.25">
      <c r="A40">
        <v>81</v>
      </c>
      <c r="B40">
        <v>1</v>
      </c>
      <c r="C40" t="s">
        <v>325</v>
      </c>
      <c r="D40" s="2" t="s">
        <v>70</v>
      </c>
      <c r="E40" s="1">
        <v>13</v>
      </c>
      <c r="F40" s="1">
        <v>3</v>
      </c>
      <c r="G40" s="1">
        <v>1</v>
      </c>
      <c r="H40" s="1">
        <f t="shared" si="0"/>
        <v>3.5</v>
      </c>
      <c r="I40" s="10">
        <f t="shared" si="1"/>
        <v>0.26923076923076922</v>
      </c>
      <c r="J40" s="10">
        <f t="shared" si="5"/>
        <v>0.26923076923076922</v>
      </c>
      <c r="K40" s="1">
        <f t="shared" si="2"/>
        <v>0.94230769230769229</v>
      </c>
      <c r="L40" s="12">
        <f t="shared" si="3"/>
        <v>0.36749999999999999</v>
      </c>
      <c r="M40" s="1">
        <f t="shared" si="4"/>
        <v>10</v>
      </c>
      <c r="N40" s="1">
        <f>MIN('Total per Region'!$N$24,N39+M40)</f>
        <v>168.9167319678707</v>
      </c>
      <c r="O40" s="17">
        <f t="shared" si="6"/>
        <v>0</v>
      </c>
      <c r="P40" s="16">
        <f>(2*O40)/$N$13*'Total per Region'!$R$24</f>
        <v>0</v>
      </c>
      <c r="R40" s="4" t="s">
        <v>422</v>
      </c>
      <c r="S40">
        <v>14</v>
      </c>
    </row>
    <row r="41" spans="1:19" x14ac:dyDescent="0.25">
      <c r="A41">
        <v>75</v>
      </c>
      <c r="B41">
        <v>1</v>
      </c>
      <c r="C41" t="s">
        <v>315</v>
      </c>
      <c r="D41" s="2" t="s">
        <v>70</v>
      </c>
      <c r="E41" s="1">
        <v>60</v>
      </c>
      <c r="F41" s="1">
        <v>11</v>
      </c>
      <c r="G41" s="1">
        <v>6</v>
      </c>
      <c r="H41" s="1">
        <f t="shared" si="0"/>
        <v>14</v>
      </c>
      <c r="I41" s="10">
        <f t="shared" si="1"/>
        <v>0.23333333333333334</v>
      </c>
      <c r="J41" s="10">
        <f t="shared" si="5"/>
        <v>0.23333333333333334</v>
      </c>
      <c r="K41" s="1">
        <f t="shared" si="2"/>
        <v>3.2666666666666666</v>
      </c>
      <c r="L41" s="12">
        <f t="shared" si="3"/>
        <v>1.274</v>
      </c>
      <c r="M41" s="1">
        <f t="shared" si="4"/>
        <v>10</v>
      </c>
      <c r="N41" s="1">
        <f>MIN('Total per Region'!$N$24,N40+M41)</f>
        <v>168.9167319678707</v>
      </c>
      <c r="O41" s="17">
        <f t="shared" si="6"/>
        <v>0</v>
      </c>
      <c r="P41" s="16">
        <f>(2*O41)/$N$13*'Total per Region'!$R$24</f>
        <v>0</v>
      </c>
      <c r="R41" s="4" t="s">
        <v>419</v>
      </c>
      <c r="S41">
        <v>15</v>
      </c>
    </row>
    <row r="42" spans="1:19" x14ac:dyDescent="0.25">
      <c r="A42">
        <v>507</v>
      </c>
      <c r="B42">
        <v>1</v>
      </c>
      <c r="C42" t="s">
        <v>334</v>
      </c>
      <c r="D42" s="2" t="s">
        <v>70</v>
      </c>
      <c r="E42" s="1">
        <v>29</v>
      </c>
      <c r="F42" s="1">
        <v>5</v>
      </c>
      <c r="G42" s="1">
        <v>3</v>
      </c>
      <c r="H42" s="1">
        <f t="shared" si="0"/>
        <v>6.5</v>
      </c>
      <c r="I42" s="10">
        <f t="shared" si="1"/>
        <v>0.22413793103448276</v>
      </c>
      <c r="J42" s="10">
        <f t="shared" si="5"/>
        <v>0.22413793103448276</v>
      </c>
      <c r="K42" s="1">
        <f t="shared" si="2"/>
        <v>1.4568965517241379</v>
      </c>
      <c r="L42" s="12">
        <f t="shared" si="3"/>
        <v>0.56818965517241382</v>
      </c>
      <c r="M42" s="1">
        <f t="shared" si="4"/>
        <v>10</v>
      </c>
      <c r="N42" s="1">
        <f>MIN('Total per Region'!$N$24,N41+M42)</f>
        <v>168.9167319678707</v>
      </c>
      <c r="O42" s="17">
        <f t="shared" si="6"/>
        <v>0</v>
      </c>
      <c r="P42" s="16">
        <f>(2*O42)/$N$13*'Total per Region'!$R$24</f>
        <v>0</v>
      </c>
      <c r="R42" s="4" t="s">
        <v>420</v>
      </c>
      <c r="S42">
        <v>15</v>
      </c>
    </row>
    <row r="43" spans="1:19" x14ac:dyDescent="0.25">
      <c r="H43" s="1"/>
      <c r="I43" s="10"/>
      <c r="J43" s="10"/>
      <c r="K43" s="1"/>
      <c r="L43" s="1"/>
      <c r="O43" s="14">
        <f>SUM(O15:O42)</f>
        <v>84.458365983935352</v>
      </c>
      <c r="P43" s="18">
        <f>SUM(P15:P42)</f>
        <v>422312.64785558614</v>
      </c>
    </row>
    <row r="44" spans="1:19" x14ac:dyDescent="0.25">
      <c r="H44" s="1"/>
      <c r="I44" s="10"/>
      <c r="J44" s="10"/>
      <c r="K44" s="1"/>
      <c r="L44" s="1"/>
      <c r="O44" s="15"/>
      <c r="P44" s="16"/>
    </row>
    <row r="45" spans="1:19" x14ac:dyDescent="0.25">
      <c r="H45" s="1"/>
      <c r="I45" s="10"/>
      <c r="J45" s="10"/>
      <c r="K45" s="1"/>
      <c r="L45" s="1"/>
      <c r="P45" s="16"/>
    </row>
    <row r="46" spans="1:19" x14ac:dyDescent="0.25">
      <c r="H46" s="1"/>
      <c r="I46" s="10"/>
      <c r="J46" s="10"/>
      <c r="K46" s="1"/>
      <c r="L46" s="1"/>
      <c r="P46" s="16"/>
    </row>
    <row r="47" spans="1:19" x14ac:dyDescent="0.25">
      <c r="H47" s="1"/>
      <c r="I47" s="10"/>
      <c r="J47" s="10"/>
      <c r="K47" s="1"/>
      <c r="L47" s="1"/>
      <c r="P47" s="16"/>
    </row>
    <row r="48" spans="1:19" x14ac:dyDescent="0.25">
      <c r="H48" s="1"/>
      <c r="I48" s="10"/>
      <c r="J48" s="10"/>
      <c r="K48" s="1"/>
      <c r="L48" s="1"/>
      <c r="P48" s="16"/>
    </row>
    <row r="49" spans="8:16" x14ac:dyDescent="0.25">
      <c r="H49" s="1"/>
      <c r="I49" s="10"/>
      <c r="J49" s="10"/>
      <c r="K49" s="1"/>
      <c r="L49" s="1"/>
      <c r="P49" s="16"/>
    </row>
    <row r="50" spans="8:16" x14ac:dyDescent="0.25">
      <c r="H50" s="1"/>
      <c r="I50" s="10"/>
      <c r="J50" s="10"/>
      <c r="K50" s="1"/>
      <c r="L50" s="1"/>
      <c r="P50" s="16"/>
    </row>
    <row r="51" spans="8:16" x14ac:dyDescent="0.25">
      <c r="H51" s="1"/>
      <c r="I51" s="10"/>
      <c r="J51" s="10"/>
      <c r="K51" s="1"/>
      <c r="L51" s="1"/>
      <c r="P51" s="16"/>
    </row>
    <row r="52" spans="8:16" x14ac:dyDescent="0.25">
      <c r="H52" s="1"/>
      <c r="I52" s="10"/>
      <c r="J52" s="10"/>
      <c r="K52" s="1"/>
      <c r="L52" s="1"/>
      <c r="P52" s="16"/>
    </row>
    <row r="53" spans="8:16" x14ac:dyDescent="0.25">
      <c r="H53" s="1"/>
      <c r="I53" s="10"/>
      <c r="J53" s="10"/>
      <c r="K53" s="1"/>
      <c r="L53" s="1"/>
      <c r="P53" s="16"/>
    </row>
    <row r="54" spans="8:16" x14ac:dyDescent="0.25">
      <c r="H54" s="1"/>
      <c r="I54" s="10"/>
      <c r="J54" s="10"/>
      <c r="K54" s="1"/>
      <c r="L54" s="1"/>
      <c r="P54" s="16"/>
    </row>
    <row r="55" spans="8:16" x14ac:dyDescent="0.25">
      <c r="H55" s="1"/>
      <c r="I55" s="10"/>
      <c r="J55" s="10"/>
      <c r="K55" s="1"/>
      <c r="L55" s="1"/>
      <c r="P55" s="16"/>
    </row>
    <row r="56" spans="8:16" x14ac:dyDescent="0.25">
      <c r="H56" s="1"/>
      <c r="I56" s="10"/>
      <c r="J56" s="10"/>
      <c r="K56" s="1"/>
      <c r="L56" s="1"/>
      <c r="P56" s="16"/>
    </row>
    <row r="57" spans="8:16" x14ac:dyDescent="0.25">
      <c r="H57" s="1"/>
      <c r="I57" s="10"/>
      <c r="J57" s="10"/>
      <c r="K57" s="1"/>
      <c r="L57" s="1"/>
      <c r="P57" s="22"/>
    </row>
    <row r="58" spans="8:16" x14ac:dyDescent="0.25">
      <c r="H58" s="1"/>
      <c r="I58" s="10"/>
      <c r="J58" s="10"/>
      <c r="K58" s="1"/>
      <c r="L58" s="1"/>
      <c r="P58" s="16"/>
    </row>
    <row r="59" spans="8:16" x14ac:dyDescent="0.25">
      <c r="H59" s="1"/>
      <c r="I59" s="10"/>
      <c r="J59" s="10"/>
      <c r="K59" s="1"/>
      <c r="L59" s="1"/>
      <c r="P59" s="16"/>
    </row>
    <row r="60" spans="8:16" x14ac:dyDescent="0.25">
      <c r="H60" s="1"/>
      <c r="I60" s="10"/>
      <c r="J60" s="10"/>
      <c r="K60" s="1"/>
      <c r="L60" s="1"/>
      <c r="P60" s="16"/>
    </row>
    <row r="61" spans="8:16" x14ac:dyDescent="0.25">
      <c r="H61" s="1"/>
      <c r="I61" s="10"/>
      <c r="J61" s="10"/>
      <c r="K61" s="1"/>
      <c r="L61" s="1"/>
      <c r="P61" s="16"/>
    </row>
    <row r="62" spans="8:16" x14ac:dyDescent="0.25">
      <c r="H62" s="1"/>
      <c r="I62" s="10"/>
      <c r="J62" s="10"/>
      <c r="K62" s="1"/>
      <c r="L62" s="1"/>
      <c r="P62" s="16"/>
    </row>
    <row r="63" spans="8:16" x14ac:dyDescent="0.25">
      <c r="P63" s="18"/>
    </row>
    <row r="64" spans="8:16" x14ac:dyDescent="0.25">
      <c r="P64" s="18"/>
    </row>
  </sheetData>
  <sortState ref="A15:AA42">
    <sortCondition descending="1" ref="Q15:Q42"/>
    <sortCondition descending="1" ref="J15:J42"/>
  </sortState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4"/>
  <sheetViews>
    <sheetView workbookViewId="0">
      <selection activeCell="A8" sqref="A8"/>
    </sheetView>
  </sheetViews>
  <sheetFormatPr defaultRowHeight="15" x14ac:dyDescent="0.25"/>
  <cols>
    <col min="3" max="3" width="39.7109375" bestFit="1" customWidth="1"/>
    <col min="5" max="8" width="10.85546875" bestFit="1" customWidth="1"/>
    <col min="9" max="9" width="13.7109375" bestFit="1" customWidth="1"/>
    <col min="10" max="10" width="10.28515625" bestFit="1" customWidth="1"/>
    <col min="11" max="11" width="10.85546875" bestFit="1" customWidth="1"/>
    <col min="12" max="12" width="14" bestFit="1" customWidth="1"/>
    <col min="13" max="13" width="11.42578125" bestFit="1" customWidth="1"/>
    <col min="14" max="14" width="12" bestFit="1" customWidth="1"/>
    <col min="15" max="15" width="14.5703125" bestFit="1" customWidth="1"/>
    <col min="16" max="16" width="16.28515625" bestFit="1" customWidth="1"/>
    <col min="17" max="17" width="20.140625" bestFit="1" customWidth="1"/>
    <col min="18" max="18" width="11.140625" customWidth="1"/>
  </cols>
  <sheetData>
    <row r="1" spans="1:19" x14ac:dyDescent="0.25">
      <c r="A1" t="s">
        <v>460</v>
      </c>
      <c r="M1" s="2"/>
    </row>
    <row r="2" spans="1:19" x14ac:dyDescent="0.25">
      <c r="M2" s="2"/>
    </row>
    <row r="3" spans="1:19" x14ac:dyDescent="0.25">
      <c r="A3" t="s">
        <v>509</v>
      </c>
      <c r="C3" t="s">
        <v>508</v>
      </c>
      <c r="D3">
        <v>0.39</v>
      </c>
      <c r="M3" s="2"/>
    </row>
    <row r="4" spans="1:19" x14ac:dyDescent="0.25">
      <c r="M4" s="2"/>
    </row>
    <row r="5" spans="1:19" x14ac:dyDescent="0.25">
      <c r="E5" s="2" t="s">
        <v>445</v>
      </c>
      <c r="F5" s="2" t="s">
        <v>446</v>
      </c>
      <c r="G5" s="2" t="s">
        <v>447</v>
      </c>
      <c r="H5" s="2" t="s">
        <v>448</v>
      </c>
      <c r="I5" s="2" t="s">
        <v>449</v>
      </c>
      <c r="J5" s="2" t="s">
        <v>451</v>
      </c>
      <c r="K5" s="2" t="s">
        <v>452</v>
      </c>
      <c r="L5" s="2" t="s">
        <v>453</v>
      </c>
      <c r="M5" s="2" t="s">
        <v>454</v>
      </c>
      <c r="N5" s="2" t="s">
        <v>455</v>
      </c>
      <c r="O5" s="2" t="s">
        <v>457</v>
      </c>
      <c r="P5" s="2" t="s">
        <v>464</v>
      </c>
      <c r="Q5" s="2" t="s">
        <v>465</v>
      </c>
      <c r="R5" s="2" t="s">
        <v>466</v>
      </c>
      <c r="S5" s="2" t="s">
        <v>0</v>
      </c>
    </row>
    <row r="6" spans="1:19" x14ac:dyDescent="0.25">
      <c r="K6" s="2" t="s">
        <v>476</v>
      </c>
      <c r="O6" s="2" t="s">
        <v>512</v>
      </c>
    </row>
    <row r="7" spans="1:19" x14ac:dyDescent="0.25">
      <c r="H7" s="2" t="s">
        <v>476</v>
      </c>
      <c r="J7" s="2" t="s">
        <v>486</v>
      </c>
      <c r="K7" s="2" t="s">
        <v>489</v>
      </c>
      <c r="M7" s="2" t="s">
        <v>492</v>
      </c>
      <c r="N7" s="2" t="s">
        <v>458</v>
      </c>
      <c r="O7" s="2" t="s">
        <v>459</v>
      </c>
      <c r="P7" s="2" t="s">
        <v>463</v>
      </c>
    </row>
    <row r="8" spans="1:19" x14ac:dyDescent="0.25">
      <c r="E8" s="2"/>
      <c r="F8" s="2"/>
      <c r="G8" s="2"/>
      <c r="H8" s="2" t="s">
        <v>477</v>
      </c>
      <c r="I8" s="2"/>
      <c r="J8" s="2" t="s">
        <v>484</v>
      </c>
      <c r="K8" s="2" t="s">
        <v>490</v>
      </c>
      <c r="L8" s="2"/>
      <c r="M8" s="2" t="s">
        <v>493</v>
      </c>
      <c r="N8" s="2" t="s">
        <v>450</v>
      </c>
      <c r="O8" s="2" t="s">
        <v>463</v>
      </c>
      <c r="P8" s="2" t="s">
        <v>504</v>
      </c>
      <c r="Q8" s="2" t="s">
        <v>500</v>
      </c>
      <c r="R8" s="2"/>
    </row>
    <row r="9" spans="1:19" x14ac:dyDescent="0.25">
      <c r="E9" s="2" t="s">
        <v>476</v>
      </c>
      <c r="F9" s="2" t="s">
        <v>476</v>
      </c>
      <c r="G9" s="2" t="s">
        <v>476</v>
      </c>
      <c r="H9" s="2" t="s">
        <v>481</v>
      </c>
      <c r="I9" s="2" t="s">
        <v>484</v>
      </c>
      <c r="J9" s="2" t="s">
        <v>487</v>
      </c>
      <c r="K9" s="2" t="s">
        <v>482</v>
      </c>
      <c r="L9" s="2" t="s">
        <v>467</v>
      </c>
      <c r="M9" s="2" t="s">
        <v>494</v>
      </c>
      <c r="N9" s="2" t="s">
        <v>498</v>
      </c>
      <c r="O9" s="2" t="s">
        <v>450</v>
      </c>
      <c r="P9" s="8" t="s">
        <v>505</v>
      </c>
      <c r="Q9" s="2" t="s">
        <v>503</v>
      </c>
    </row>
    <row r="10" spans="1:19" x14ac:dyDescent="0.25">
      <c r="E10" s="2" t="s">
        <v>477</v>
      </c>
      <c r="F10" s="2" t="s">
        <v>477</v>
      </c>
      <c r="G10" s="2" t="s">
        <v>477</v>
      </c>
      <c r="H10" s="2" t="s">
        <v>482</v>
      </c>
      <c r="I10" s="2" t="s">
        <v>485</v>
      </c>
      <c r="J10" s="11" t="s">
        <v>488</v>
      </c>
      <c r="K10" s="2" t="s">
        <v>487</v>
      </c>
      <c r="L10" s="2" t="s">
        <v>510</v>
      </c>
      <c r="M10" s="11" t="s">
        <v>495</v>
      </c>
      <c r="N10" s="8">
        <f>ROUND(N13,0)</f>
        <v>331</v>
      </c>
      <c r="O10" s="2" t="s">
        <v>513</v>
      </c>
      <c r="P10" s="2" t="s">
        <v>506</v>
      </c>
      <c r="Q10" s="2" t="s">
        <v>501</v>
      </c>
      <c r="R10" s="2"/>
      <c r="S10" s="2" t="s">
        <v>471</v>
      </c>
    </row>
    <row r="11" spans="1:19" x14ac:dyDescent="0.25">
      <c r="A11" t="s">
        <v>349</v>
      </c>
      <c r="B11" t="s">
        <v>350</v>
      </c>
      <c r="C11" t="s">
        <v>351</v>
      </c>
      <c r="D11" t="s">
        <v>352</v>
      </c>
      <c r="E11" s="2" t="s">
        <v>478</v>
      </c>
      <c r="F11" s="2" t="s">
        <v>479</v>
      </c>
      <c r="G11" s="2" t="s">
        <v>480</v>
      </c>
      <c r="H11" s="11" t="s">
        <v>483</v>
      </c>
      <c r="I11" s="11" t="s">
        <v>470</v>
      </c>
      <c r="J11" s="11" t="s">
        <v>473</v>
      </c>
      <c r="K11" s="11" t="s">
        <v>491</v>
      </c>
      <c r="L11" s="11" t="s">
        <v>511</v>
      </c>
      <c r="M11" s="11" t="s">
        <v>496</v>
      </c>
      <c r="N11" s="2" t="s">
        <v>499</v>
      </c>
      <c r="O11" s="2" t="s">
        <v>497</v>
      </c>
      <c r="P11" s="2" t="s">
        <v>507</v>
      </c>
      <c r="Q11" s="2" t="s">
        <v>502</v>
      </c>
      <c r="R11" s="2" t="s">
        <v>356</v>
      </c>
      <c r="S11" s="2" t="s">
        <v>472</v>
      </c>
    </row>
    <row r="12" spans="1:19" x14ac:dyDescent="0.25">
      <c r="M12" s="2"/>
      <c r="O12" s="14"/>
      <c r="P12" s="1"/>
    </row>
    <row r="13" spans="1:19" x14ac:dyDescent="0.25">
      <c r="N13" s="14">
        <f>'Total per Region'!N25</f>
        <v>331.48587561889502</v>
      </c>
      <c r="P13" s="14"/>
    </row>
    <row r="14" spans="1:19" x14ac:dyDescent="0.25">
      <c r="K14" s="1">
        <f>SUM(K15:K62)</f>
        <v>882.10684078750023</v>
      </c>
    </row>
    <row r="15" spans="1:19" x14ac:dyDescent="0.25">
      <c r="A15">
        <v>535</v>
      </c>
      <c r="B15">
        <v>1</v>
      </c>
      <c r="C15" t="s">
        <v>273</v>
      </c>
      <c r="D15" s="2" t="s">
        <v>90</v>
      </c>
      <c r="E15" s="1">
        <v>1176</v>
      </c>
      <c r="F15" s="1">
        <v>375</v>
      </c>
      <c r="G15" s="1">
        <v>62</v>
      </c>
      <c r="H15" s="1">
        <f t="shared" ref="H15:H56" si="0">F15+0.5*G15</f>
        <v>406</v>
      </c>
      <c r="I15" s="10">
        <f t="shared" ref="I15:I56" si="1">H15/E15</f>
        <v>0.34523809523809523</v>
      </c>
      <c r="J15" s="10">
        <f>MIN(I15,0.8)</f>
        <v>0.34523809523809523</v>
      </c>
      <c r="K15" s="1">
        <f t="shared" ref="K15:K56" si="2">J15*H15</f>
        <v>140.16666666666666</v>
      </c>
      <c r="L15" s="12">
        <f t="shared" ref="L15:L56" si="3">(0.39)*K15</f>
        <v>54.664999999999999</v>
      </c>
      <c r="M15" s="1">
        <f t="shared" ref="M15:M56" si="4">MAX(L15,10)</f>
        <v>54.664999999999999</v>
      </c>
      <c r="N15" s="1">
        <f>M15</f>
        <v>54.664999999999999</v>
      </c>
      <c r="O15" s="17">
        <f>(N15-N14)/2</f>
        <v>27.3325</v>
      </c>
      <c r="P15" s="16">
        <f>(2*O15)/$N$13*'Total per Region'!$R$25</f>
        <v>136669.23712102536</v>
      </c>
      <c r="Q15" t="s">
        <v>456</v>
      </c>
      <c r="R15" s="19" t="s">
        <v>436</v>
      </c>
      <c r="S15">
        <v>13</v>
      </c>
    </row>
    <row r="16" spans="1:19" x14ac:dyDescent="0.25">
      <c r="A16">
        <v>656</v>
      </c>
      <c r="B16">
        <v>1</v>
      </c>
      <c r="C16" t="s">
        <v>89</v>
      </c>
      <c r="D16" s="2" t="s">
        <v>90</v>
      </c>
      <c r="E16" s="1">
        <v>284</v>
      </c>
      <c r="F16" s="1">
        <v>170</v>
      </c>
      <c r="G16" s="1">
        <v>28</v>
      </c>
      <c r="H16" s="1">
        <f t="shared" si="0"/>
        <v>184</v>
      </c>
      <c r="I16" s="10">
        <f t="shared" si="1"/>
        <v>0.647887323943662</v>
      </c>
      <c r="J16" s="10">
        <f t="shared" ref="J16:J56" si="5">MIN(I16,0.8)</f>
        <v>0.647887323943662</v>
      </c>
      <c r="K16" s="1">
        <f t="shared" si="2"/>
        <v>119.21126760563381</v>
      </c>
      <c r="L16" s="12">
        <f t="shared" si="3"/>
        <v>46.492394366197189</v>
      </c>
      <c r="M16" s="1">
        <f t="shared" si="4"/>
        <v>46.492394366197189</v>
      </c>
      <c r="N16" s="1">
        <f>MIN('Total per Region'!$N$25,N15+M16)</f>
        <v>101.1573943661972</v>
      </c>
      <c r="O16" s="17">
        <f t="shared" ref="O16:O56" si="6">(N16-N15)/2</f>
        <v>23.246197183098598</v>
      </c>
      <c r="P16" s="16">
        <f>(2*O16)/$N$13*'Total per Region'!$R$25</f>
        <v>116236.71581373875</v>
      </c>
      <c r="R16" s="19" t="s">
        <v>427</v>
      </c>
      <c r="S16">
        <v>14</v>
      </c>
    </row>
    <row r="17" spans="1:19" x14ac:dyDescent="0.25">
      <c r="A17">
        <v>492</v>
      </c>
      <c r="B17">
        <v>1</v>
      </c>
      <c r="C17" t="s">
        <v>104</v>
      </c>
      <c r="D17" s="2" t="s">
        <v>90</v>
      </c>
      <c r="E17" s="1">
        <v>385</v>
      </c>
      <c r="F17" s="1">
        <v>209</v>
      </c>
      <c r="G17" s="1">
        <v>37</v>
      </c>
      <c r="H17" s="1">
        <f t="shared" si="0"/>
        <v>227.5</v>
      </c>
      <c r="I17" s="10">
        <f t="shared" si="1"/>
        <v>0.59090909090909094</v>
      </c>
      <c r="J17" s="10">
        <f t="shared" si="5"/>
        <v>0.59090909090909094</v>
      </c>
      <c r="K17" s="1">
        <f t="shared" si="2"/>
        <v>134.43181818181819</v>
      </c>
      <c r="L17" s="12">
        <f t="shared" si="3"/>
        <v>52.428409090909092</v>
      </c>
      <c r="M17" s="1">
        <f t="shared" si="4"/>
        <v>52.428409090909092</v>
      </c>
      <c r="N17" s="1">
        <f>MIN('Total per Region'!$N$25,N16+M17)</f>
        <v>153.58580345710629</v>
      </c>
      <c r="O17" s="17">
        <f t="shared" si="6"/>
        <v>26.21420454545455</v>
      </c>
      <c r="P17" s="16">
        <f>(2*O17)/$N$13*'Total per Region'!$R$25</f>
        <v>131077.4842023887</v>
      </c>
      <c r="R17" s="19" t="s">
        <v>428</v>
      </c>
      <c r="S17">
        <v>14</v>
      </c>
    </row>
    <row r="18" spans="1:19" x14ac:dyDescent="0.25">
      <c r="A18">
        <v>241</v>
      </c>
      <c r="B18">
        <v>1</v>
      </c>
      <c r="C18" t="s">
        <v>136</v>
      </c>
      <c r="D18" s="2" t="s">
        <v>90</v>
      </c>
      <c r="E18" s="1">
        <v>256</v>
      </c>
      <c r="F18" s="1">
        <v>132</v>
      </c>
      <c r="G18" s="1">
        <v>21</v>
      </c>
      <c r="H18" s="1">
        <f t="shared" si="0"/>
        <v>142.5</v>
      </c>
      <c r="I18" s="10">
        <f t="shared" si="1"/>
        <v>0.556640625</v>
      </c>
      <c r="J18" s="10">
        <f t="shared" si="5"/>
        <v>0.556640625</v>
      </c>
      <c r="K18" s="1">
        <f t="shared" si="2"/>
        <v>79.3212890625</v>
      </c>
      <c r="L18" s="12">
        <f t="shared" si="3"/>
        <v>30.935302734375</v>
      </c>
      <c r="M18" s="1">
        <f t="shared" si="4"/>
        <v>30.935302734375</v>
      </c>
      <c r="N18" s="1">
        <f>MIN('Total per Region'!$N$25,N17+M18)</f>
        <v>184.52110619148129</v>
      </c>
      <c r="O18" s="17">
        <f t="shared" si="6"/>
        <v>15.4676513671875</v>
      </c>
      <c r="P18" s="16">
        <f>(2*O18)/$N$13*'Total per Region'!$R$25</f>
        <v>77342.069419464038</v>
      </c>
      <c r="R18" s="19" t="s">
        <v>430</v>
      </c>
      <c r="S18">
        <v>15</v>
      </c>
    </row>
    <row r="19" spans="1:19" x14ac:dyDescent="0.25">
      <c r="A19">
        <v>229</v>
      </c>
      <c r="B19">
        <v>1</v>
      </c>
      <c r="C19" t="s">
        <v>114</v>
      </c>
      <c r="D19" s="2" t="s">
        <v>90</v>
      </c>
      <c r="E19" s="1">
        <v>24</v>
      </c>
      <c r="F19" s="1">
        <v>9</v>
      </c>
      <c r="G19" s="1">
        <v>6</v>
      </c>
      <c r="H19" s="1">
        <f t="shared" si="0"/>
        <v>12</v>
      </c>
      <c r="I19" s="10">
        <f t="shared" si="1"/>
        <v>0.5</v>
      </c>
      <c r="J19" s="10">
        <f t="shared" si="5"/>
        <v>0.5</v>
      </c>
      <c r="K19" s="1">
        <f t="shared" si="2"/>
        <v>6</v>
      </c>
      <c r="L19" s="12">
        <f t="shared" si="3"/>
        <v>2.34</v>
      </c>
      <c r="M19" s="1">
        <f t="shared" si="4"/>
        <v>10</v>
      </c>
      <c r="N19" s="1">
        <f>MIN('Total per Region'!$N$25,N18+M19)</f>
        <v>194.52110619148129</v>
      </c>
      <c r="O19" s="17">
        <f t="shared" si="6"/>
        <v>5</v>
      </c>
      <c r="P19" s="16">
        <f>(2*O19)/$N$13*'Total per Region'!$R$25</f>
        <v>25001.23243776189</v>
      </c>
      <c r="R19" s="19" t="s">
        <v>429</v>
      </c>
      <c r="S19">
        <v>15</v>
      </c>
    </row>
    <row r="20" spans="1:19" x14ac:dyDescent="0.25">
      <c r="A20">
        <v>861</v>
      </c>
      <c r="B20">
        <v>1</v>
      </c>
      <c r="C20" t="s">
        <v>190</v>
      </c>
      <c r="D20" s="2" t="s">
        <v>90</v>
      </c>
      <c r="E20" s="1">
        <v>229</v>
      </c>
      <c r="F20" s="1">
        <v>99</v>
      </c>
      <c r="G20" s="1">
        <v>24</v>
      </c>
      <c r="H20" s="1">
        <f t="shared" si="0"/>
        <v>111</v>
      </c>
      <c r="I20" s="10">
        <f t="shared" si="1"/>
        <v>0.48471615720524019</v>
      </c>
      <c r="J20" s="10">
        <f t="shared" si="5"/>
        <v>0.48471615720524019</v>
      </c>
      <c r="K20" s="1">
        <f t="shared" si="2"/>
        <v>53.803493449781662</v>
      </c>
      <c r="L20" s="12">
        <f t="shared" si="3"/>
        <v>20.983362445414848</v>
      </c>
      <c r="M20" s="1">
        <f t="shared" si="4"/>
        <v>20.983362445414848</v>
      </c>
      <c r="N20" s="1">
        <f>MIN('Total per Region'!$N$25,N19+M20)</f>
        <v>215.50446863689615</v>
      </c>
      <c r="O20" s="17">
        <f t="shared" si="6"/>
        <v>10.491681222707427</v>
      </c>
      <c r="P20" s="16">
        <f>(2*O20)/$N$13*'Total per Region'!$R$25</f>
        <v>52460.992182362053</v>
      </c>
      <c r="R20" s="19" t="s">
        <v>431</v>
      </c>
      <c r="S20">
        <v>14</v>
      </c>
    </row>
    <row r="21" spans="1:19" x14ac:dyDescent="0.25">
      <c r="A21">
        <v>499</v>
      </c>
      <c r="B21">
        <v>1</v>
      </c>
      <c r="C21" t="s">
        <v>251</v>
      </c>
      <c r="D21" s="2" t="s">
        <v>90</v>
      </c>
      <c r="E21" s="1">
        <v>27</v>
      </c>
      <c r="F21" s="1">
        <v>12</v>
      </c>
      <c r="G21" s="1">
        <v>1</v>
      </c>
      <c r="H21" s="1">
        <f t="shared" si="0"/>
        <v>12.5</v>
      </c>
      <c r="I21" s="10">
        <f t="shared" si="1"/>
        <v>0.46296296296296297</v>
      </c>
      <c r="J21" s="10">
        <f t="shared" si="5"/>
        <v>0.46296296296296297</v>
      </c>
      <c r="K21" s="1">
        <f t="shared" si="2"/>
        <v>5.7870370370370372</v>
      </c>
      <c r="L21" s="12">
        <f t="shared" si="3"/>
        <v>2.2569444444444446</v>
      </c>
      <c r="M21" s="1">
        <f t="shared" si="4"/>
        <v>10</v>
      </c>
      <c r="N21" s="1">
        <f>MIN('Total per Region'!$N$25,N20+M21)</f>
        <v>225.50446863689615</v>
      </c>
      <c r="O21" s="17">
        <f t="shared" si="6"/>
        <v>5</v>
      </c>
      <c r="P21" s="16">
        <f>(2*O21)/$N$13*'Total per Region'!$R$25</f>
        <v>25001.23243776189</v>
      </c>
      <c r="R21" s="19" t="s">
        <v>428</v>
      </c>
      <c r="S21">
        <v>14</v>
      </c>
    </row>
    <row r="22" spans="1:19" x14ac:dyDescent="0.25">
      <c r="A22">
        <v>242</v>
      </c>
      <c r="B22">
        <v>1</v>
      </c>
      <c r="C22" t="s">
        <v>196</v>
      </c>
      <c r="D22" s="2" t="s">
        <v>90</v>
      </c>
      <c r="E22" s="1">
        <v>36</v>
      </c>
      <c r="F22" s="1">
        <v>15</v>
      </c>
      <c r="G22" s="1">
        <v>3</v>
      </c>
      <c r="H22" s="1">
        <f t="shared" si="0"/>
        <v>16.5</v>
      </c>
      <c r="I22" s="10">
        <f t="shared" si="1"/>
        <v>0.45833333333333331</v>
      </c>
      <c r="J22" s="10">
        <f t="shared" si="5"/>
        <v>0.45833333333333331</v>
      </c>
      <c r="K22" s="1">
        <f t="shared" si="2"/>
        <v>7.5625</v>
      </c>
      <c r="L22" s="12">
        <f t="shared" si="3"/>
        <v>2.9493750000000003</v>
      </c>
      <c r="M22" s="1">
        <f t="shared" si="4"/>
        <v>10</v>
      </c>
      <c r="N22" s="1">
        <f>MIN('Total per Region'!$N$25,N21+M22)</f>
        <v>235.50446863689615</v>
      </c>
      <c r="O22" s="17">
        <f t="shared" si="6"/>
        <v>5</v>
      </c>
      <c r="P22" s="16">
        <f>(2*O22)/$N$13*'Total per Region'!$R$25</f>
        <v>25001.23243776189</v>
      </c>
      <c r="R22" s="19" t="s">
        <v>430</v>
      </c>
      <c r="S22">
        <v>15</v>
      </c>
    </row>
    <row r="23" spans="1:19" x14ac:dyDescent="0.25">
      <c r="A23">
        <v>857</v>
      </c>
      <c r="B23">
        <v>1</v>
      </c>
      <c r="C23" t="s">
        <v>230</v>
      </c>
      <c r="D23" s="2" t="s">
        <v>90</v>
      </c>
      <c r="E23" s="1">
        <v>45</v>
      </c>
      <c r="F23" s="1">
        <v>19</v>
      </c>
      <c r="G23" s="1">
        <v>3</v>
      </c>
      <c r="H23" s="1">
        <f t="shared" si="0"/>
        <v>20.5</v>
      </c>
      <c r="I23" s="10">
        <f t="shared" si="1"/>
        <v>0.45555555555555555</v>
      </c>
      <c r="J23" s="10">
        <f t="shared" si="5"/>
        <v>0.45555555555555555</v>
      </c>
      <c r="K23" s="1">
        <f t="shared" si="2"/>
        <v>9.3388888888888886</v>
      </c>
      <c r="L23" s="12">
        <f t="shared" si="3"/>
        <v>3.6421666666666668</v>
      </c>
      <c r="M23" s="1">
        <f t="shared" si="4"/>
        <v>10</v>
      </c>
      <c r="N23" s="1">
        <f>MIN('Total per Region'!$N$25,N22+M23)</f>
        <v>245.50446863689615</v>
      </c>
      <c r="O23" s="17">
        <f t="shared" si="6"/>
        <v>5</v>
      </c>
      <c r="P23" s="16">
        <f>(2*O23)/$N$13*'Total per Region'!$R$25</f>
        <v>25001.23243776189</v>
      </c>
      <c r="R23" s="19" t="s">
        <v>431</v>
      </c>
      <c r="S23">
        <v>14</v>
      </c>
    </row>
    <row r="24" spans="1:19" x14ac:dyDescent="0.25">
      <c r="A24">
        <v>756</v>
      </c>
      <c r="B24">
        <v>1</v>
      </c>
      <c r="C24" t="s">
        <v>180</v>
      </c>
      <c r="D24" s="2" t="s">
        <v>90</v>
      </c>
      <c r="E24" s="1">
        <v>58</v>
      </c>
      <c r="F24" s="1">
        <v>23</v>
      </c>
      <c r="G24" s="1">
        <v>6</v>
      </c>
      <c r="H24" s="1">
        <f t="shared" si="0"/>
        <v>26</v>
      </c>
      <c r="I24" s="10">
        <f t="shared" si="1"/>
        <v>0.44827586206896552</v>
      </c>
      <c r="J24" s="10">
        <f t="shared" si="5"/>
        <v>0.44827586206896552</v>
      </c>
      <c r="K24" s="1">
        <f t="shared" si="2"/>
        <v>11.655172413793103</v>
      </c>
      <c r="L24" s="12">
        <f t="shared" si="3"/>
        <v>4.5455172413793106</v>
      </c>
      <c r="M24" s="1">
        <f t="shared" si="4"/>
        <v>10</v>
      </c>
      <c r="N24" s="1">
        <f>MIN('Total per Region'!$N$25,N23+M24)</f>
        <v>255.50446863689615</v>
      </c>
      <c r="O24" s="17">
        <f t="shared" si="6"/>
        <v>5</v>
      </c>
      <c r="P24" s="16">
        <f>(2*O24)/$N$13*'Total per Region'!$R$25</f>
        <v>25001.23243776189</v>
      </c>
      <c r="R24" s="19" t="s">
        <v>432</v>
      </c>
      <c r="S24">
        <v>15</v>
      </c>
    </row>
    <row r="25" spans="1:19" x14ac:dyDescent="0.25">
      <c r="A25">
        <v>761</v>
      </c>
      <c r="B25">
        <v>1</v>
      </c>
      <c r="C25" t="s">
        <v>186</v>
      </c>
      <c r="D25" s="2" t="s">
        <v>90</v>
      </c>
      <c r="E25" s="1">
        <v>338</v>
      </c>
      <c r="F25" s="1">
        <v>137</v>
      </c>
      <c r="G25" s="1">
        <v>26</v>
      </c>
      <c r="H25" s="1">
        <f t="shared" si="0"/>
        <v>150</v>
      </c>
      <c r="I25" s="10">
        <f t="shared" si="1"/>
        <v>0.4437869822485207</v>
      </c>
      <c r="J25" s="10">
        <f t="shared" si="5"/>
        <v>0.4437869822485207</v>
      </c>
      <c r="K25" s="1">
        <f t="shared" si="2"/>
        <v>66.568047337278102</v>
      </c>
      <c r="L25" s="12">
        <f t="shared" si="3"/>
        <v>25.96153846153846</v>
      </c>
      <c r="M25" s="1">
        <f t="shared" si="4"/>
        <v>25.96153846153846</v>
      </c>
      <c r="N25" s="1">
        <f>MIN('Total per Region'!$N$25,N24+M25)</f>
        <v>281.4660070984346</v>
      </c>
      <c r="O25" s="17">
        <f t="shared" si="6"/>
        <v>12.980769230769226</v>
      </c>
      <c r="P25" s="16">
        <f>(2*O25)/$N$13*'Total per Region'!$R$25</f>
        <v>64907.045751881808</v>
      </c>
      <c r="R25" s="19" t="s">
        <v>432</v>
      </c>
      <c r="S25">
        <v>15</v>
      </c>
    </row>
    <row r="26" spans="1:19" x14ac:dyDescent="0.25">
      <c r="A26">
        <v>256</v>
      </c>
      <c r="B26">
        <v>1</v>
      </c>
      <c r="C26" t="s">
        <v>223</v>
      </c>
      <c r="D26" s="2" t="s">
        <v>90</v>
      </c>
      <c r="E26" s="1">
        <v>191</v>
      </c>
      <c r="F26" s="1">
        <v>72</v>
      </c>
      <c r="G26" s="1">
        <v>15</v>
      </c>
      <c r="H26" s="1">
        <f t="shared" si="0"/>
        <v>79.5</v>
      </c>
      <c r="I26" s="10">
        <f t="shared" si="1"/>
        <v>0.41623036649214662</v>
      </c>
      <c r="J26" s="10">
        <f t="shared" si="5"/>
        <v>0.41623036649214662</v>
      </c>
      <c r="K26" s="1">
        <f t="shared" si="2"/>
        <v>33.090314136125656</v>
      </c>
      <c r="L26" s="12">
        <f t="shared" si="3"/>
        <v>12.905222513089006</v>
      </c>
      <c r="M26" s="1">
        <f t="shared" si="4"/>
        <v>12.905222513089006</v>
      </c>
      <c r="N26" s="1">
        <f>MIN('Total per Region'!$N$25,N25+M26)</f>
        <v>294.37122961152363</v>
      </c>
      <c r="O26" s="17">
        <f t="shared" si="6"/>
        <v>6.4526112565445146</v>
      </c>
      <c r="P26" s="16">
        <f>(2*O26)/$N$13*'Total per Region'!$R$25</f>
        <v>32264.646771077645</v>
      </c>
      <c r="R26" s="19" t="s">
        <v>434</v>
      </c>
      <c r="S26">
        <v>15</v>
      </c>
    </row>
    <row r="27" spans="1:19" x14ac:dyDescent="0.25">
      <c r="A27">
        <v>239</v>
      </c>
      <c r="B27">
        <v>1</v>
      </c>
      <c r="C27" t="s">
        <v>165</v>
      </c>
      <c r="D27" s="2" t="s">
        <v>90</v>
      </c>
      <c r="E27" s="1">
        <v>47</v>
      </c>
      <c r="F27" s="1">
        <v>16</v>
      </c>
      <c r="G27" s="1">
        <v>7</v>
      </c>
      <c r="H27" s="1">
        <f t="shared" si="0"/>
        <v>19.5</v>
      </c>
      <c r="I27" s="10">
        <f t="shared" si="1"/>
        <v>0.41489361702127658</v>
      </c>
      <c r="J27" s="10">
        <f t="shared" si="5"/>
        <v>0.41489361702127658</v>
      </c>
      <c r="K27" s="1">
        <f t="shared" si="2"/>
        <v>8.0904255319148941</v>
      </c>
      <c r="L27" s="12">
        <f t="shared" si="3"/>
        <v>3.1552659574468089</v>
      </c>
      <c r="M27" s="1">
        <f t="shared" si="4"/>
        <v>10</v>
      </c>
      <c r="N27" s="1">
        <f>MIN('Total per Region'!$N$25,N26+M27)</f>
        <v>304.37122961152363</v>
      </c>
      <c r="O27" s="17">
        <f t="shared" si="6"/>
        <v>5</v>
      </c>
      <c r="P27" s="16">
        <f>(2*O27)/$N$13*'Total per Region'!$R$25</f>
        <v>25001.23243776189</v>
      </c>
      <c r="R27" s="19" t="s">
        <v>429</v>
      </c>
      <c r="S27">
        <v>15</v>
      </c>
    </row>
    <row r="28" spans="1:19" x14ac:dyDescent="0.25">
      <c r="A28">
        <v>2125</v>
      </c>
      <c r="B28">
        <v>1</v>
      </c>
      <c r="C28" t="s">
        <v>184</v>
      </c>
      <c r="D28" s="2" t="s">
        <v>90</v>
      </c>
      <c r="E28" s="1">
        <v>100</v>
      </c>
      <c r="F28" s="1">
        <v>35</v>
      </c>
      <c r="G28" s="1">
        <v>11</v>
      </c>
      <c r="H28" s="1">
        <f t="shared" si="0"/>
        <v>40.5</v>
      </c>
      <c r="I28" s="10">
        <f t="shared" si="1"/>
        <v>0.40500000000000003</v>
      </c>
      <c r="J28" s="10">
        <f t="shared" si="5"/>
        <v>0.40500000000000003</v>
      </c>
      <c r="K28" s="1">
        <f t="shared" si="2"/>
        <v>16.4025</v>
      </c>
      <c r="L28" s="12">
        <f t="shared" si="3"/>
        <v>6.3969750000000003</v>
      </c>
      <c r="M28" s="1">
        <f t="shared" si="4"/>
        <v>10</v>
      </c>
      <c r="N28" s="1">
        <f>MIN('Total per Region'!$N$25,N27+M28)</f>
        <v>314.37122961152363</v>
      </c>
      <c r="O28" s="17">
        <f t="shared" si="6"/>
        <v>5</v>
      </c>
      <c r="P28" s="16">
        <f>(2*O28)/$N$13*'Total per Region'!$R$25</f>
        <v>25001.23243776189</v>
      </c>
      <c r="R28" s="19" t="s">
        <v>433</v>
      </c>
      <c r="S28">
        <v>15</v>
      </c>
    </row>
    <row r="29" spans="1:19" x14ac:dyDescent="0.25">
      <c r="A29">
        <v>497</v>
      </c>
      <c r="B29">
        <v>1</v>
      </c>
      <c r="C29" t="s">
        <v>206</v>
      </c>
      <c r="D29" s="2" t="s">
        <v>90</v>
      </c>
      <c r="E29" s="1">
        <v>15</v>
      </c>
      <c r="F29" s="1">
        <v>5</v>
      </c>
      <c r="G29" s="1">
        <v>2</v>
      </c>
      <c r="H29" s="1">
        <f t="shared" si="0"/>
        <v>6</v>
      </c>
      <c r="I29" s="10">
        <f t="shared" si="1"/>
        <v>0.4</v>
      </c>
      <c r="J29" s="10">
        <f t="shared" si="5"/>
        <v>0.4</v>
      </c>
      <c r="K29" s="1">
        <f t="shared" si="2"/>
        <v>2.4000000000000004</v>
      </c>
      <c r="L29" s="12">
        <f t="shared" si="3"/>
        <v>0.93600000000000017</v>
      </c>
      <c r="M29" s="1">
        <f t="shared" si="4"/>
        <v>10</v>
      </c>
      <c r="N29" s="1">
        <f>MIN('Total per Region'!$N$25,N28+M29)</f>
        <v>324.37122961152363</v>
      </c>
      <c r="O29" s="17">
        <f t="shared" si="6"/>
        <v>5</v>
      </c>
      <c r="P29" s="16">
        <f>(2*O29)/$N$13*'Total per Region'!$R$25</f>
        <v>25001.23243776189</v>
      </c>
      <c r="R29" s="19" t="s">
        <v>428</v>
      </c>
      <c r="S29">
        <v>14</v>
      </c>
    </row>
    <row r="30" spans="1:19" x14ac:dyDescent="0.25">
      <c r="A30">
        <v>2137</v>
      </c>
      <c r="B30">
        <v>1</v>
      </c>
      <c r="C30" t="s">
        <v>265</v>
      </c>
      <c r="D30" s="2" t="s">
        <v>90</v>
      </c>
      <c r="E30" s="1">
        <v>52</v>
      </c>
      <c r="F30" s="1">
        <v>18</v>
      </c>
      <c r="G30" s="1">
        <v>4</v>
      </c>
      <c r="H30" s="1">
        <f t="shared" si="0"/>
        <v>20</v>
      </c>
      <c r="I30" s="10">
        <f t="shared" si="1"/>
        <v>0.38461538461538464</v>
      </c>
      <c r="J30" s="10">
        <f t="shared" si="5"/>
        <v>0.38461538461538464</v>
      </c>
      <c r="K30" s="1">
        <f t="shared" si="2"/>
        <v>7.6923076923076925</v>
      </c>
      <c r="L30" s="12">
        <f t="shared" si="3"/>
        <v>3</v>
      </c>
      <c r="M30" s="1">
        <f t="shared" si="4"/>
        <v>10</v>
      </c>
      <c r="N30" s="1">
        <f>MIN('Total per Region'!$N$25,N29+M30)</f>
        <v>331.48587561889502</v>
      </c>
      <c r="O30" s="17">
        <f t="shared" si="6"/>
        <v>3.5573230036856955</v>
      </c>
      <c r="P30" s="16">
        <f>(2*O30)/$N$13*'Total per Region'!$R$25</f>
        <v>17787.491854268676</v>
      </c>
      <c r="R30" s="19" t="s">
        <v>429</v>
      </c>
      <c r="S30">
        <v>15</v>
      </c>
    </row>
    <row r="31" spans="1:19" x14ac:dyDescent="0.25">
      <c r="A31">
        <v>495</v>
      </c>
      <c r="B31">
        <v>1</v>
      </c>
      <c r="C31" t="s">
        <v>282</v>
      </c>
      <c r="D31" s="2" t="s">
        <v>90</v>
      </c>
      <c r="E31" s="1">
        <v>30</v>
      </c>
      <c r="F31" s="1">
        <v>11</v>
      </c>
      <c r="G31" s="1">
        <v>1</v>
      </c>
      <c r="H31" s="1">
        <f t="shared" si="0"/>
        <v>11.5</v>
      </c>
      <c r="I31" s="10">
        <f t="shared" si="1"/>
        <v>0.38333333333333336</v>
      </c>
      <c r="J31" s="10">
        <f t="shared" si="5"/>
        <v>0.38333333333333336</v>
      </c>
      <c r="K31" s="1">
        <f t="shared" si="2"/>
        <v>4.4083333333333332</v>
      </c>
      <c r="L31" s="12">
        <f t="shared" si="3"/>
        <v>1.7192499999999999</v>
      </c>
      <c r="M31" s="1">
        <f t="shared" si="4"/>
        <v>10</v>
      </c>
      <c r="N31" s="1">
        <f>MIN('Total per Region'!$N$25,N30+M31)</f>
        <v>331.48587561889502</v>
      </c>
      <c r="O31" s="17">
        <f t="shared" si="6"/>
        <v>0</v>
      </c>
      <c r="P31" s="16">
        <f>(2*O31)/$N$13*'Total per Region'!$R$25</f>
        <v>0</v>
      </c>
      <c r="R31" s="4" t="s">
        <v>428</v>
      </c>
      <c r="S31">
        <v>14</v>
      </c>
    </row>
    <row r="32" spans="1:19" x14ac:dyDescent="0.25">
      <c r="A32">
        <v>659</v>
      </c>
      <c r="B32">
        <v>1</v>
      </c>
      <c r="C32" t="s">
        <v>241</v>
      </c>
      <c r="D32" s="2" t="s">
        <v>90</v>
      </c>
      <c r="E32" s="1">
        <v>281</v>
      </c>
      <c r="F32" s="1">
        <v>99</v>
      </c>
      <c r="G32" s="1">
        <v>14</v>
      </c>
      <c r="H32" s="1">
        <f t="shared" si="0"/>
        <v>106</v>
      </c>
      <c r="I32" s="10">
        <f t="shared" si="1"/>
        <v>0.37722419928825623</v>
      </c>
      <c r="J32" s="10">
        <f t="shared" si="5"/>
        <v>0.37722419928825623</v>
      </c>
      <c r="K32" s="1">
        <f t="shared" si="2"/>
        <v>39.985765124555158</v>
      </c>
      <c r="L32" s="12">
        <f t="shared" si="3"/>
        <v>15.594448398576512</v>
      </c>
      <c r="M32" s="1">
        <f t="shared" si="4"/>
        <v>15.594448398576512</v>
      </c>
      <c r="N32" s="1">
        <f>MIN('Total per Region'!$N$25,N31+M32)</f>
        <v>331.48587561889502</v>
      </c>
      <c r="O32" s="17">
        <f t="shared" si="6"/>
        <v>0</v>
      </c>
      <c r="P32" s="16">
        <f>(2*O32)/$N$13*'Total per Region'!$R$25</f>
        <v>0</v>
      </c>
      <c r="R32" s="4" t="s">
        <v>427</v>
      </c>
      <c r="S32">
        <v>14</v>
      </c>
    </row>
    <row r="33" spans="1:19" x14ac:dyDescent="0.25">
      <c r="A33">
        <v>2899</v>
      </c>
      <c r="B33">
        <v>1</v>
      </c>
      <c r="C33" t="s">
        <v>247</v>
      </c>
      <c r="D33" s="2" t="s">
        <v>90</v>
      </c>
      <c r="E33" s="1">
        <v>102</v>
      </c>
      <c r="F33" s="1">
        <v>32</v>
      </c>
      <c r="G33" s="1">
        <v>10</v>
      </c>
      <c r="H33" s="1">
        <f t="shared" si="0"/>
        <v>37</v>
      </c>
      <c r="I33" s="10">
        <f t="shared" si="1"/>
        <v>0.36274509803921567</v>
      </c>
      <c r="J33" s="10">
        <f t="shared" si="5"/>
        <v>0.36274509803921567</v>
      </c>
      <c r="K33" s="1">
        <f t="shared" si="2"/>
        <v>13.421568627450981</v>
      </c>
      <c r="L33" s="12">
        <f t="shared" si="3"/>
        <v>5.2344117647058823</v>
      </c>
      <c r="M33" s="1">
        <f t="shared" si="4"/>
        <v>10</v>
      </c>
      <c r="N33" s="1">
        <f>MIN('Total per Region'!$N$25,N32+M33)</f>
        <v>331.48587561889502</v>
      </c>
      <c r="O33" s="17">
        <f t="shared" si="6"/>
        <v>0</v>
      </c>
      <c r="P33" s="16">
        <f>(2*O33)/$N$13*'Total per Region'!$R$25</f>
        <v>0</v>
      </c>
      <c r="R33" s="4" t="s">
        <v>435</v>
      </c>
      <c r="S33">
        <v>15</v>
      </c>
    </row>
    <row r="34" spans="1:19" x14ac:dyDescent="0.25">
      <c r="A34">
        <v>238</v>
      </c>
      <c r="B34">
        <v>1</v>
      </c>
      <c r="C34" t="s">
        <v>271</v>
      </c>
      <c r="D34" s="2" t="s">
        <v>90</v>
      </c>
      <c r="E34" s="1">
        <v>29</v>
      </c>
      <c r="F34" s="1">
        <v>9</v>
      </c>
      <c r="G34" s="1">
        <v>3</v>
      </c>
      <c r="H34" s="1">
        <f t="shared" si="0"/>
        <v>10.5</v>
      </c>
      <c r="I34" s="10">
        <f t="shared" si="1"/>
        <v>0.36206896551724138</v>
      </c>
      <c r="J34" s="10">
        <f t="shared" si="5"/>
        <v>0.36206896551724138</v>
      </c>
      <c r="K34" s="1">
        <f t="shared" si="2"/>
        <v>3.8017241379310347</v>
      </c>
      <c r="L34" s="12">
        <f t="shared" si="3"/>
        <v>1.4826724137931035</v>
      </c>
      <c r="M34" s="1">
        <f t="shared" si="4"/>
        <v>10</v>
      </c>
      <c r="N34" s="1">
        <f>MIN('Total per Region'!$N$25,N33+M34)</f>
        <v>331.48587561889502</v>
      </c>
      <c r="O34" s="17">
        <f t="shared" si="6"/>
        <v>0</v>
      </c>
      <c r="P34" s="16">
        <f>(2*O34)/$N$13*'Total per Region'!$R$25</f>
        <v>0</v>
      </c>
      <c r="R34" s="4" t="s">
        <v>429</v>
      </c>
      <c r="S34">
        <v>15</v>
      </c>
    </row>
    <row r="35" spans="1:19" x14ac:dyDescent="0.25">
      <c r="A35">
        <v>203</v>
      </c>
      <c r="B35">
        <v>1</v>
      </c>
      <c r="C35" t="s">
        <v>244</v>
      </c>
      <c r="D35" s="2" t="s">
        <v>90</v>
      </c>
      <c r="E35" s="1">
        <v>60</v>
      </c>
      <c r="F35" s="1">
        <v>20</v>
      </c>
      <c r="G35" s="1">
        <v>3</v>
      </c>
      <c r="H35" s="1">
        <f t="shared" si="0"/>
        <v>21.5</v>
      </c>
      <c r="I35" s="10">
        <f t="shared" si="1"/>
        <v>0.35833333333333334</v>
      </c>
      <c r="J35" s="10">
        <f t="shared" si="5"/>
        <v>0.35833333333333334</v>
      </c>
      <c r="K35" s="1">
        <f t="shared" si="2"/>
        <v>7.7041666666666666</v>
      </c>
      <c r="L35" s="12">
        <f t="shared" si="3"/>
        <v>3.0046249999999999</v>
      </c>
      <c r="M35" s="1">
        <f t="shared" si="4"/>
        <v>10</v>
      </c>
      <c r="N35" s="1">
        <f>MIN('Total per Region'!$N$25,N34+M35)</f>
        <v>331.48587561889502</v>
      </c>
      <c r="O35" s="17">
        <f t="shared" si="6"/>
        <v>0</v>
      </c>
      <c r="P35" s="16">
        <f>(2*O35)/$N$13*'Total per Region'!$R$25</f>
        <v>0</v>
      </c>
      <c r="R35" s="4" t="s">
        <v>433</v>
      </c>
      <c r="S35">
        <v>15</v>
      </c>
    </row>
    <row r="36" spans="1:19" x14ac:dyDescent="0.25">
      <c r="A36">
        <v>811</v>
      </c>
      <c r="B36">
        <v>1</v>
      </c>
      <c r="C36" t="s">
        <v>229</v>
      </c>
      <c r="D36" s="2" t="s">
        <v>90</v>
      </c>
      <c r="E36" s="1">
        <v>41</v>
      </c>
      <c r="F36" s="1">
        <v>12</v>
      </c>
      <c r="G36" s="1">
        <v>5</v>
      </c>
      <c r="H36" s="1">
        <f t="shared" si="0"/>
        <v>14.5</v>
      </c>
      <c r="I36" s="10">
        <f t="shared" si="1"/>
        <v>0.35365853658536583</v>
      </c>
      <c r="J36" s="10">
        <f t="shared" si="5"/>
        <v>0.35365853658536583</v>
      </c>
      <c r="K36" s="1">
        <f t="shared" si="2"/>
        <v>5.1280487804878048</v>
      </c>
      <c r="L36" s="12">
        <f t="shared" si="3"/>
        <v>1.999939024390244</v>
      </c>
      <c r="M36" s="1">
        <f t="shared" si="4"/>
        <v>10</v>
      </c>
      <c r="N36" s="1">
        <f>MIN('Total per Region'!$N$25,N35+M36)</f>
        <v>331.48587561889502</v>
      </c>
      <c r="O36" s="17">
        <f t="shared" si="6"/>
        <v>0</v>
      </c>
      <c r="P36" s="16">
        <f>(2*O36)/$N$13*'Total per Region'!$R$25</f>
        <v>0</v>
      </c>
      <c r="R36" s="4" t="s">
        <v>435</v>
      </c>
      <c r="S36">
        <v>15</v>
      </c>
    </row>
    <row r="37" spans="1:19" x14ac:dyDescent="0.25">
      <c r="A37">
        <v>2886</v>
      </c>
      <c r="B37">
        <v>1</v>
      </c>
      <c r="C37" t="s">
        <v>234</v>
      </c>
      <c r="D37" s="2" t="s">
        <v>90</v>
      </c>
      <c r="E37" s="1">
        <v>23</v>
      </c>
      <c r="F37" s="1">
        <v>7</v>
      </c>
      <c r="G37" s="1">
        <v>2</v>
      </c>
      <c r="H37" s="1">
        <f t="shared" si="0"/>
        <v>8</v>
      </c>
      <c r="I37" s="10">
        <f t="shared" si="1"/>
        <v>0.34782608695652173</v>
      </c>
      <c r="J37" s="10">
        <f t="shared" si="5"/>
        <v>0.34782608695652173</v>
      </c>
      <c r="K37" s="1">
        <f t="shared" si="2"/>
        <v>2.7826086956521738</v>
      </c>
      <c r="L37" s="12">
        <f t="shared" si="3"/>
        <v>1.0852173913043479</v>
      </c>
      <c r="M37" s="1">
        <f t="shared" si="4"/>
        <v>10</v>
      </c>
      <c r="N37" s="1">
        <f>MIN('Total per Region'!$N$25,N36+M37)</f>
        <v>331.48587561889502</v>
      </c>
      <c r="O37" s="17">
        <f t="shared" si="6"/>
        <v>0</v>
      </c>
      <c r="P37" s="16">
        <f>(2*O37)/$N$13*'Total per Region'!$R$25</f>
        <v>0</v>
      </c>
      <c r="R37" s="4" t="s">
        <v>430</v>
      </c>
      <c r="S37">
        <v>15</v>
      </c>
    </row>
    <row r="38" spans="1:19" x14ac:dyDescent="0.25">
      <c r="A38">
        <v>2172</v>
      </c>
      <c r="B38">
        <v>1</v>
      </c>
      <c r="C38" t="s">
        <v>232</v>
      </c>
      <c r="D38" s="2" t="s">
        <v>90</v>
      </c>
      <c r="E38" s="1">
        <v>70</v>
      </c>
      <c r="F38" s="1">
        <v>19</v>
      </c>
      <c r="G38" s="1">
        <v>10</v>
      </c>
      <c r="H38" s="1">
        <f t="shared" si="0"/>
        <v>24</v>
      </c>
      <c r="I38" s="10">
        <f t="shared" si="1"/>
        <v>0.34285714285714286</v>
      </c>
      <c r="J38" s="10">
        <f t="shared" si="5"/>
        <v>0.34285714285714286</v>
      </c>
      <c r="K38" s="1">
        <f t="shared" si="2"/>
        <v>8.2285714285714278</v>
      </c>
      <c r="L38" s="12">
        <f t="shared" si="3"/>
        <v>3.2091428571428571</v>
      </c>
      <c r="M38" s="1">
        <f t="shared" si="4"/>
        <v>10</v>
      </c>
      <c r="N38" s="1">
        <f>MIN('Total per Region'!$N$25,N37+M38)</f>
        <v>331.48587561889502</v>
      </c>
      <c r="O38" s="17">
        <f t="shared" si="6"/>
        <v>0</v>
      </c>
      <c r="P38" s="16">
        <f>(2*O38)/$N$13*'Total per Region'!$R$25</f>
        <v>0</v>
      </c>
      <c r="R38" s="4" t="s">
        <v>434</v>
      </c>
      <c r="S38">
        <v>15</v>
      </c>
    </row>
    <row r="39" spans="1:19" x14ac:dyDescent="0.25">
      <c r="A39">
        <v>813</v>
      </c>
      <c r="B39">
        <v>1</v>
      </c>
      <c r="C39" t="s">
        <v>240</v>
      </c>
      <c r="D39" s="2" t="s">
        <v>90</v>
      </c>
      <c r="E39" s="1">
        <v>98</v>
      </c>
      <c r="F39" s="1">
        <v>29</v>
      </c>
      <c r="G39" s="1">
        <v>9</v>
      </c>
      <c r="H39" s="1">
        <f t="shared" si="0"/>
        <v>33.5</v>
      </c>
      <c r="I39" s="10">
        <f t="shared" si="1"/>
        <v>0.34183673469387754</v>
      </c>
      <c r="J39" s="10">
        <f t="shared" si="5"/>
        <v>0.34183673469387754</v>
      </c>
      <c r="K39" s="1">
        <f t="shared" si="2"/>
        <v>11.451530612244898</v>
      </c>
      <c r="L39" s="12">
        <f t="shared" si="3"/>
        <v>4.4660969387755101</v>
      </c>
      <c r="M39" s="1">
        <f t="shared" si="4"/>
        <v>10</v>
      </c>
      <c r="N39" s="1">
        <f>MIN('Total per Region'!$N$25,N38+M39)</f>
        <v>331.48587561889502</v>
      </c>
      <c r="O39" s="17">
        <f t="shared" si="6"/>
        <v>0</v>
      </c>
      <c r="P39" s="16">
        <f>(2*O39)/$N$13*'Total per Region'!$R$25</f>
        <v>0</v>
      </c>
      <c r="R39" s="4" t="s">
        <v>435</v>
      </c>
      <c r="S39">
        <v>15</v>
      </c>
    </row>
    <row r="40" spans="1:19" x14ac:dyDescent="0.25">
      <c r="A40">
        <v>763</v>
      </c>
      <c r="B40">
        <v>1</v>
      </c>
      <c r="C40" t="s">
        <v>277</v>
      </c>
      <c r="D40" s="2" t="s">
        <v>90</v>
      </c>
      <c r="E40" s="1">
        <v>71</v>
      </c>
      <c r="F40" s="1">
        <v>22</v>
      </c>
      <c r="G40" s="1">
        <v>3</v>
      </c>
      <c r="H40" s="1">
        <f t="shared" si="0"/>
        <v>23.5</v>
      </c>
      <c r="I40" s="10">
        <f t="shared" si="1"/>
        <v>0.33098591549295775</v>
      </c>
      <c r="J40" s="10">
        <f t="shared" si="5"/>
        <v>0.33098591549295775</v>
      </c>
      <c r="K40" s="1">
        <f t="shared" si="2"/>
        <v>7.778169014084507</v>
      </c>
      <c r="L40" s="12">
        <f t="shared" si="3"/>
        <v>3.0334859154929577</v>
      </c>
      <c r="M40" s="1">
        <f t="shared" si="4"/>
        <v>10</v>
      </c>
      <c r="N40" s="1">
        <f>MIN('Total per Region'!$N$25,N39+M40)</f>
        <v>331.48587561889502</v>
      </c>
      <c r="O40" s="17">
        <f t="shared" si="6"/>
        <v>0</v>
      </c>
      <c r="P40" s="16">
        <f>(2*O40)/$N$13*'Total per Region'!$R$25</f>
        <v>0</v>
      </c>
      <c r="R40" s="4" t="s">
        <v>432</v>
      </c>
      <c r="S40">
        <v>15</v>
      </c>
    </row>
    <row r="41" spans="1:19" x14ac:dyDescent="0.25">
      <c r="A41">
        <v>294</v>
      </c>
      <c r="B41">
        <v>1</v>
      </c>
      <c r="C41" t="s">
        <v>292</v>
      </c>
      <c r="D41" s="2" t="s">
        <v>90</v>
      </c>
      <c r="E41" s="1">
        <v>138</v>
      </c>
      <c r="F41" s="1">
        <v>39</v>
      </c>
      <c r="G41" s="1">
        <v>8</v>
      </c>
      <c r="H41" s="1">
        <f t="shared" si="0"/>
        <v>43</v>
      </c>
      <c r="I41" s="10">
        <f t="shared" si="1"/>
        <v>0.31159420289855072</v>
      </c>
      <c r="J41" s="10">
        <f t="shared" si="5"/>
        <v>0.31159420289855072</v>
      </c>
      <c r="K41" s="1">
        <f t="shared" si="2"/>
        <v>13.398550724637682</v>
      </c>
      <c r="L41" s="12">
        <f t="shared" si="3"/>
        <v>5.225434782608696</v>
      </c>
      <c r="M41" s="1">
        <f t="shared" si="4"/>
        <v>10</v>
      </c>
      <c r="N41" s="1">
        <f>MIN('Total per Region'!$N$25,N40+M41)</f>
        <v>331.48587561889502</v>
      </c>
      <c r="O41" s="17">
        <f t="shared" si="6"/>
        <v>0</v>
      </c>
      <c r="P41" s="16">
        <f>(2*O41)/$N$13*'Total per Region'!$R$25</f>
        <v>0</v>
      </c>
      <c r="R41" s="4" t="s">
        <v>437</v>
      </c>
      <c r="S41">
        <v>15</v>
      </c>
    </row>
    <row r="42" spans="1:19" x14ac:dyDescent="0.25">
      <c r="A42">
        <v>2198</v>
      </c>
      <c r="B42">
        <v>1</v>
      </c>
      <c r="C42" t="s">
        <v>283</v>
      </c>
      <c r="D42" s="2" t="s">
        <v>90</v>
      </c>
      <c r="E42" s="1">
        <v>58</v>
      </c>
      <c r="F42" s="1">
        <v>15</v>
      </c>
      <c r="G42" s="1">
        <v>6</v>
      </c>
      <c r="H42" s="1">
        <f t="shared" si="0"/>
        <v>18</v>
      </c>
      <c r="I42" s="10">
        <f t="shared" si="1"/>
        <v>0.31034482758620691</v>
      </c>
      <c r="J42" s="10">
        <f t="shared" si="5"/>
        <v>0.31034482758620691</v>
      </c>
      <c r="K42" s="1">
        <f t="shared" si="2"/>
        <v>5.5862068965517242</v>
      </c>
      <c r="L42" s="12">
        <f t="shared" si="3"/>
        <v>2.1786206896551725</v>
      </c>
      <c r="M42" s="1">
        <f t="shared" si="4"/>
        <v>10</v>
      </c>
      <c r="N42" s="1">
        <f>MIN('Total per Region'!$N$25,N41+M42)</f>
        <v>331.48587561889502</v>
      </c>
      <c r="O42" s="17">
        <f t="shared" si="6"/>
        <v>0</v>
      </c>
      <c r="P42" s="16">
        <f>(2*O42)/$N$13*'Total per Region'!$R$25</f>
        <v>0</v>
      </c>
      <c r="R42" s="4" t="s">
        <v>429</v>
      </c>
      <c r="S42">
        <v>15</v>
      </c>
    </row>
    <row r="43" spans="1:19" x14ac:dyDescent="0.25">
      <c r="A43">
        <v>858</v>
      </c>
      <c r="B43">
        <v>1</v>
      </c>
      <c r="C43" t="s">
        <v>290</v>
      </c>
      <c r="D43" s="2" t="s">
        <v>90</v>
      </c>
      <c r="E43" s="1">
        <v>83</v>
      </c>
      <c r="F43" s="1">
        <v>22</v>
      </c>
      <c r="G43" s="1">
        <v>2</v>
      </c>
      <c r="H43" s="1">
        <f t="shared" si="0"/>
        <v>23</v>
      </c>
      <c r="I43" s="10">
        <f t="shared" si="1"/>
        <v>0.27710843373493976</v>
      </c>
      <c r="J43" s="10">
        <f t="shared" si="5"/>
        <v>0.27710843373493976</v>
      </c>
      <c r="K43" s="1">
        <f t="shared" si="2"/>
        <v>6.3734939759036147</v>
      </c>
      <c r="L43" s="12">
        <f t="shared" si="3"/>
        <v>2.4856626506024098</v>
      </c>
      <c r="M43" s="1">
        <f t="shared" si="4"/>
        <v>10</v>
      </c>
      <c r="N43" s="1">
        <f>MIN('Total per Region'!$N$25,N42+M43)</f>
        <v>331.48587561889502</v>
      </c>
      <c r="O43" s="17">
        <f t="shared" si="6"/>
        <v>0</v>
      </c>
      <c r="P43" s="16">
        <f>(2*O43)/$N$13*'Total per Region'!$R$25</f>
        <v>0</v>
      </c>
      <c r="R43" s="4" t="s">
        <v>431</v>
      </c>
      <c r="S43">
        <v>14</v>
      </c>
    </row>
    <row r="44" spans="1:19" x14ac:dyDescent="0.25">
      <c r="A44">
        <v>299</v>
      </c>
      <c r="B44">
        <v>1</v>
      </c>
      <c r="C44" t="s">
        <v>257</v>
      </c>
      <c r="D44" s="2" t="s">
        <v>90</v>
      </c>
      <c r="E44" s="1">
        <v>49</v>
      </c>
      <c r="F44" s="1">
        <v>11</v>
      </c>
      <c r="G44" s="1">
        <v>4</v>
      </c>
      <c r="H44" s="1">
        <f t="shared" si="0"/>
        <v>13</v>
      </c>
      <c r="I44" s="10">
        <f t="shared" si="1"/>
        <v>0.26530612244897961</v>
      </c>
      <c r="J44" s="10">
        <f t="shared" si="5"/>
        <v>0.26530612244897961</v>
      </c>
      <c r="K44" s="1">
        <f t="shared" si="2"/>
        <v>3.4489795918367347</v>
      </c>
      <c r="L44" s="12">
        <f t="shared" si="3"/>
        <v>1.3451020408163266</v>
      </c>
      <c r="M44" s="1">
        <f t="shared" si="4"/>
        <v>10</v>
      </c>
      <c r="N44" s="1">
        <f>MIN('Total per Region'!$N$25,N43+M44)</f>
        <v>331.48587561889502</v>
      </c>
      <c r="O44" s="17">
        <f t="shared" si="6"/>
        <v>0</v>
      </c>
      <c r="P44" s="16">
        <f>(2*O44)/$N$13*'Total per Region'!$R$25</f>
        <v>0</v>
      </c>
      <c r="R44" s="4" t="s">
        <v>437</v>
      </c>
      <c r="S44">
        <v>15</v>
      </c>
    </row>
    <row r="45" spans="1:19" x14ac:dyDescent="0.25">
      <c r="A45">
        <v>253</v>
      </c>
      <c r="B45">
        <v>1</v>
      </c>
      <c r="C45" t="s">
        <v>321</v>
      </c>
      <c r="D45" s="2" t="s">
        <v>90</v>
      </c>
      <c r="E45" s="1">
        <v>55</v>
      </c>
      <c r="F45" s="1">
        <v>13</v>
      </c>
      <c r="G45" s="1">
        <v>3</v>
      </c>
      <c r="H45" s="1">
        <f t="shared" si="0"/>
        <v>14.5</v>
      </c>
      <c r="I45" s="10">
        <f t="shared" si="1"/>
        <v>0.26363636363636361</v>
      </c>
      <c r="J45" s="10">
        <f t="shared" si="5"/>
        <v>0.26363636363636361</v>
      </c>
      <c r="K45" s="1">
        <f t="shared" si="2"/>
        <v>3.8227272727272723</v>
      </c>
      <c r="L45" s="12">
        <f t="shared" si="3"/>
        <v>1.4908636363636363</v>
      </c>
      <c r="M45" s="1">
        <f t="shared" si="4"/>
        <v>10</v>
      </c>
      <c r="N45" s="1">
        <f>MIN('Total per Region'!$N$25,N44+M45)</f>
        <v>331.48587561889502</v>
      </c>
      <c r="O45" s="17">
        <f t="shared" si="6"/>
        <v>0</v>
      </c>
      <c r="P45" s="16">
        <f>(2*O45)/$N$13*'Total per Region'!$R$25</f>
        <v>0</v>
      </c>
      <c r="R45" s="4" t="s">
        <v>434</v>
      </c>
      <c r="S45">
        <v>15</v>
      </c>
    </row>
    <row r="46" spans="1:19" x14ac:dyDescent="0.25">
      <c r="A46">
        <v>227</v>
      </c>
      <c r="B46">
        <v>1</v>
      </c>
      <c r="C46" t="s">
        <v>310</v>
      </c>
      <c r="D46" s="2" t="s">
        <v>90</v>
      </c>
      <c r="E46" s="1">
        <v>93</v>
      </c>
      <c r="F46" s="1">
        <v>19</v>
      </c>
      <c r="G46" s="1">
        <v>9</v>
      </c>
      <c r="H46" s="1">
        <f t="shared" si="0"/>
        <v>23.5</v>
      </c>
      <c r="I46" s="10">
        <f t="shared" si="1"/>
        <v>0.25268817204301075</v>
      </c>
      <c r="J46" s="10">
        <f t="shared" si="5"/>
        <v>0.25268817204301075</v>
      </c>
      <c r="K46" s="1">
        <f t="shared" si="2"/>
        <v>5.938172043010753</v>
      </c>
      <c r="L46" s="12">
        <f t="shared" si="3"/>
        <v>2.3158870967741936</v>
      </c>
      <c r="M46" s="1">
        <f t="shared" si="4"/>
        <v>10</v>
      </c>
      <c r="N46" s="1">
        <f>MIN('Total per Region'!$N$25,N45+M46)</f>
        <v>331.48587561889502</v>
      </c>
      <c r="O46" s="17">
        <f t="shared" si="6"/>
        <v>0</v>
      </c>
      <c r="P46" s="16">
        <f>(2*O46)/$N$13*'Total per Region'!$R$25</f>
        <v>0</v>
      </c>
      <c r="R46" s="4" t="s">
        <v>436</v>
      </c>
      <c r="S46">
        <v>13</v>
      </c>
    </row>
    <row r="47" spans="1:19" x14ac:dyDescent="0.25">
      <c r="A47">
        <v>252</v>
      </c>
      <c r="B47">
        <v>1</v>
      </c>
      <c r="C47" t="s">
        <v>322</v>
      </c>
      <c r="D47" s="2" t="s">
        <v>90</v>
      </c>
      <c r="E47" s="1">
        <v>80</v>
      </c>
      <c r="F47" s="1">
        <v>17</v>
      </c>
      <c r="G47" s="1">
        <v>5</v>
      </c>
      <c r="H47" s="1">
        <f t="shared" si="0"/>
        <v>19.5</v>
      </c>
      <c r="I47" s="10">
        <f t="shared" si="1"/>
        <v>0.24374999999999999</v>
      </c>
      <c r="J47" s="10">
        <f t="shared" si="5"/>
        <v>0.24374999999999999</v>
      </c>
      <c r="K47" s="1">
        <f t="shared" si="2"/>
        <v>4.7531249999999998</v>
      </c>
      <c r="L47" s="12">
        <f t="shared" si="3"/>
        <v>1.8537187500000001</v>
      </c>
      <c r="M47" s="1">
        <f t="shared" si="4"/>
        <v>10</v>
      </c>
      <c r="N47" s="1">
        <f>MIN('Total per Region'!$N$25,N46+M47)</f>
        <v>331.48587561889502</v>
      </c>
      <c r="O47" s="17">
        <f t="shared" si="6"/>
        <v>0</v>
      </c>
      <c r="P47" s="16">
        <f>(2*O47)/$N$13*'Total per Region'!$R$25</f>
        <v>0</v>
      </c>
      <c r="R47" s="4" t="s">
        <v>434</v>
      </c>
      <c r="S47">
        <v>15</v>
      </c>
    </row>
    <row r="48" spans="1:19" x14ac:dyDescent="0.25">
      <c r="A48">
        <v>534</v>
      </c>
      <c r="B48">
        <v>1</v>
      </c>
      <c r="C48" t="s">
        <v>316</v>
      </c>
      <c r="D48" s="2" t="s">
        <v>90</v>
      </c>
      <c r="E48" s="1">
        <v>150</v>
      </c>
      <c r="F48" s="1">
        <v>30</v>
      </c>
      <c r="G48" s="1">
        <v>12</v>
      </c>
      <c r="H48" s="1">
        <f t="shared" si="0"/>
        <v>36</v>
      </c>
      <c r="I48" s="10">
        <f t="shared" si="1"/>
        <v>0.24</v>
      </c>
      <c r="J48" s="10">
        <f t="shared" si="5"/>
        <v>0.24</v>
      </c>
      <c r="K48" s="1">
        <f t="shared" si="2"/>
        <v>8.64</v>
      </c>
      <c r="L48" s="12">
        <f t="shared" si="3"/>
        <v>3.3696000000000002</v>
      </c>
      <c r="M48" s="1">
        <f t="shared" si="4"/>
        <v>10</v>
      </c>
      <c r="N48" s="1">
        <f>MIN('Total per Region'!$N$25,N47+M48)</f>
        <v>331.48587561889502</v>
      </c>
      <c r="O48" s="17">
        <f t="shared" si="6"/>
        <v>0</v>
      </c>
      <c r="P48" s="16">
        <f>(2*O48)/$N$13*'Total per Region'!$R$25</f>
        <v>0</v>
      </c>
      <c r="R48" s="4" t="s">
        <v>436</v>
      </c>
      <c r="S48">
        <v>13</v>
      </c>
    </row>
    <row r="49" spans="1:19" x14ac:dyDescent="0.25">
      <c r="A49">
        <v>2805</v>
      </c>
      <c r="B49">
        <v>1</v>
      </c>
      <c r="C49" t="s">
        <v>331</v>
      </c>
      <c r="D49" s="2" t="s">
        <v>90</v>
      </c>
      <c r="E49" s="1">
        <v>90</v>
      </c>
      <c r="F49" s="1">
        <v>19</v>
      </c>
      <c r="G49" s="1">
        <v>4</v>
      </c>
      <c r="H49" s="1">
        <f t="shared" si="0"/>
        <v>21</v>
      </c>
      <c r="I49" s="10">
        <f t="shared" si="1"/>
        <v>0.23333333333333334</v>
      </c>
      <c r="J49" s="10">
        <f t="shared" si="5"/>
        <v>0.23333333333333334</v>
      </c>
      <c r="K49" s="1">
        <f t="shared" si="2"/>
        <v>4.9000000000000004</v>
      </c>
      <c r="L49" s="12">
        <f t="shared" si="3"/>
        <v>1.9110000000000003</v>
      </c>
      <c r="M49" s="1">
        <f t="shared" si="4"/>
        <v>10</v>
      </c>
      <c r="N49" s="1">
        <f>MIN('Total per Region'!$N$25,N48+M49)</f>
        <v>331.48587561889502</v>
      </c>
      <c r="O49" s="17">
        <f t="shared" si="6"/>
        <v>0</v>
      </c>
      <c r="P49" s="16">
        <f>(2*O49)/$N$13*'Total per Region'!$R$25</f>
        <v>0</v>
      </c>
      <c r="R49" s="4" t="s">
        <v>435</v>
      </c>
      <c r="S49">
        <v>15</v>
      </c>
    </row>
    <row r="50" spans="1:19" x14ac:dyDescent="0.25">
      <c r="A50">
        <v>500</v>
      </c>
      <c r="B50">
        <v>1</v>
      </c>
      <c r="C50" t="s">
        <v>228</v>
      </c>
      <c r="D50" s="2" t="s">
        <v>90</v>
      </c>
      <c r="E50" s="1">
        <v>31</v>
      </c>
      <c r="F50" s="1">
        <v>5</v>
      </c>
      <c r="G50" s="1">
        <v>4</v>
      </c>
      <c r="H50" s="1">
        <f t="shared" si="0"/>
        <v>7</v>
      </c>
      <c r="I50" s="10">
        <f t="shared" si="1"/>
        <v>0.22580645161290322</v>
      </c>
      <c r="J50" s="10">
        <f t="shared" si="5"/>
        <v>0.22580645161290322</v>
      </c>
      <c r="K50" s="1">
        <f t="shared" si="2"/>
        <v>1.5806451612903225</v>
      </c>
      <c r="L50" s="12">
        <f t="shared" si="3"/>
        <v>0.61645161290322581</v>
      </c>
      <c r="M50" s="1">
        <f t="shared" si="4"/>
        <v>10</v>
      </c>
      <c r="N50" s="1">
        <f>MIN('Total per Region'!$N$25,N49+M50)</f>
        <v>331.48587561889502</v>
      </c>
      <c r="O50" s="17">
        <f t="shared" si="6"/>
        <v>0</v>
      </c>
      <c r="P50" s="16">
        <f>(2*O50)/$N$13*'Total per Region'!$R$25</f>
        <v>0</v>
      </c>
      <c r="R50" s="4" t="s">
        <v>428</v>
      </c>
      <c r="S50">
        <v>14</v>
      </c>
    </row>
    <row r="51" spans="1:19" x14ac:dyDescent="0.25">
      <c r="A51">
        <v>533</v>
      </c>
      <c r="B51">
        <v>1</v>
      </c>
      <c r="C51" t="s">
        <v>318</v>
      </c>
      <c r="D51" s="2" t="s">
        <v>90</v>
      </c>
      <c r="E51" s="1">
        <v>87</v>
      </c>
      <c r="F51" s="1">
        <v>15</v>
      </c>
      <c r="G51" s="1">
        <v>7</v>
      </c>
      <c r="H51" s="1">
        <f t="shared" si="0"/>
        <v>18.5</v>
      </c>
      <c r="I51" s="10">
        <f t="shared" si="1"/>
        <v>0.21264367816091953</v>
      </c>
      <c r="J51" s="10">
        <f t="shared" si="5"/>
        <v>0.21264367816091953</v>
      </c>
      <c r="K51" s="1">
        <f t="shared" si="2"/>
        <v>3.9339080459770113</v>
      </c>
      <c r="L51" s="12">
        <f t="shared" si="3"/>
        <v>1.5342241379310344</v>
      </c>
      <c r="M51" s="1">
        <f t="shared" si="4"/>
        <v>10</v>
      </c>
      <c r="N51" s="1">
        <f>MIN('Total per Region'!$N$25,N50+M51)</f>
        <v>331.48587561889502</v>
      </c>
      <c r="O51" s="17">
        <f t="shared" si="6"/>
        <v>0</v>
      </c>
      <c r="P51" s="16">
        <f>(2*O51)/$N$13*'Total per Region'!$R$25</f>
        <v>0</v>
      </c>
      <c r="R51" s="4" t="s">
        <v>436</v>
      </c>
      <c r="S51">
        <v>13</v>
      </c>
    </row>
    <row r="52" spans="1:19" x14ac:dyDescent="0.25">
      <c r="A52">
        <v>300</v>
      </c>
      <c r="B52">
        <v>1</v>
      </c>
      <c r="C52" t="s">
        <v>338</v>
      </c>
      <c r="D52" s="2" t="s">
        <v>90</v>
      </c>
      <c r="E52" s="1">
        <v>93</v>
      </c>
      <c r="F52" s="1">
        <v>18</v>
      </c>
      <c r="G52" s="1">
        <v>3</v>
      </c>
      <c r="H52" s="1">
        <f t="shared" si="0"/>
        <v>19.5</v>
      </c>
      <c r="I52" s="10">
        <f t="shared" si="1"/>
        <v>0.20967741935483872</v>
      </c>
      <c r="J52" s="10">
        <f t="shared" si="5"/>
        <v>0.20967741935483872</v>
      </c>
      <c r="K52" s="1">
        <f t="shared" si="2"/>
        <v>4.088709677419355</v>
      </c>
      <c r="L52" s="12">
        <f t="shared" si="3"/>
        <v>1.5945967741935485</v>
      </c>
      <c r="M52" s="1">
        <f t="shared" si="4"/>
        <v>10</v>
      </c>
      <c r="N52" s="1">
        <f>MIN('Total per Region'!$N$25,N51+M52)</f>
        <v>331.48587561889502</v>
      </c>
      <c r="O52" s="17">
        <f t="shared" si="6"/>
        <v>0</v>
      </c>
      <c r="P52" s="16">
        <f>(2*O52)/$N$13*'Total per Region'!$R$25</f>
        <v>0</v>
      </c>
      <c r="R52" s="4" t="s">
        <v>437</v>
      </c>
      <c r="S52">
        <v>15</v>
      </c>
    </row>
    <row r="53" spans="1:19" x14ac:dyDescent="0.25">
      <c r="A53">
        <v>531</v>
      </c>
      <c r="B53">
        <v>1</v>
      </c>
      <c r="C53" t="s">
        <v>337</v>
      </c>
      <c r="D53" s="2" t="s">
        <v>90</v>
      </c>
      <c r="E53" s="1">
        <v>153</v>
      </c>
      <c r="F53" s="1">
        <v>21</v>
      </c>
      <c r="G53" s="1">
        <v>9</v>
      </c>
      <c r="H53" s="1">
        <f t="shared" si="0"/>
        <v>25.5</v>
      </c>
      <c r="I53" s="10">
        <f t="shared" si="1"/>
        <v>0.16666666666666666</v>
      </c>
      <c r="J53" s="10">
        <f t="shared" si="5"/>
        <v>0.16666666666666666</v>
      </c>
      <c r="K53" s="1">
        <f t="shared" si="2"/>
        <v>4.25</v>
      </c>
      <c r="L53" s="12">
        <f t="shared" si="3"/>
        <v>1.6575</v>
      </c>
      <c r="M53" s="1">
        <f t="shared" si="4"/>
        <v>10</v>
      </c>
      <c r="N53" s="1">
        <f>MIN('Total per Region'!$N$25,N52+M53)</f>
        <v>331.48587561889502</v>
      </c>
      <c r="O53" s="17">
        <f t="shared" si="6"/>
        <v>0</v>
      </c>
      <c r="P53" s="16">
        <f>(2*O53)/$N$13*'Total per Region'!$R$25</f>
        <v>0</v>
      </c>
      <c r="R53" s="4" t="s">
        <v>436</v>
      </c>
      <c r="S53">
        <v>13</v>
      </c>
    </row>
    <row r="54" spans="1:19" x14ac:dyDescent="0.25">
      <c r="A54">
        <v>255</v>
      </c>
      <c r="B54">
        <v>1</v>
      </c>
      <c r="C54" t="s">
        <v>323</v>
      </c>
      <c r="D54" s="2" t="s">
        <v>90</v>
      </c>
      <c r="E54" s="1">
        <v>84</v>
      </c>
      <c r="F54" s="1">
        <v>11</v>
      </c>
      <c r="G54" s="1">
        <v>5</v>
      </c>
      <c r="H54" s="1">
        <f t="shared" si="0"/>
        <v>13.5</v>
      </c>
      <c r="I54" s="10">
        <f t="shared" si="1"/>
        <v>0.16071428571428573</v>
      </c>
      <c r="J54" s="10">
        <f t="shared" si="5"/>
        <v>0.16071428571428573</v>
      </c>
      <c r="K54" s="1">
        <f t="shared" si="2"/>
        <v>2.1696428571428572</v>
      </c>
      <c r="L54" s="12">
        <f t="shared" si="3"/>
        <v>0.84616071428571438</v>
      </c>
      <c r="M54" s="1">
        <f t="shared" si="4"/>
        <v>10</v>
      </c>
      <c r="N54" s="1">
        <f>MIN('Total per Region'!$N$25,N53+M54)</f>
        <v>331.48587561889502</v>
      </c>
      <c r="O54" s="17">
        <f t="shared" si="6"/>
        <v>0</v>
      </c>
      <c r="P54" s="16">
        <f>(2*O54)/$N$13*'Total per Region'!$R$25</f>
        <v>0</v>
      </c>
      <c r="R54" s="4" t="s">
        <v>434</v>
      </c>
      <c r="S54">
        <v>15</v>
      </c>
    </row>
    <row r="55" spans="1:19" x14ac:dyDescent="0.25">
      <c r="A55">
        <v>297</v>
      </c>
      <c r="B55">
        <v>1</v>
      </c>
      <c r="C55" t="s">
        <v>340</v>
      </c>
      <c r="D55" s="2" t="s">
        <v>90</v>
      </c>
      <c r="E55" s="1">
        <v>40</v>
      </c>
      <c r="F55" s="1">
        <v>5</v>
      </c>
      <c r="G55" s="1">
        <v>2</v>
      </c>
      <c r="H55" s="1">
        <f t="shared" si="0"/>
        <v>6</v>
      </c>
      <c r="I55" s="10">
        <f t="shared" si="1"/>
        <v>0.15</v>
      </c>
      <c r="J55" s="10">
        <f t="shared" si="5"/>
        <v>0.15</v>
      </c>
      <c r="K55" s="1">
        <f t="shared" si="2"/>
        <v>0.89999999999999991</v>
      </c>
      <c r="L55" s="12">
        <f t="shared" si="3"/>
        <v>0.35099999999999998</v>
      </c>
      <c r="M55" s="1">
        <f t="shared" si="4"/>
        <v>10</v>
      </c>
      <c r="N55" s="1">
        <f>MIN('Total per Region'!$N$25,N54+M55)</f>
        <v>331.48587561889502</v>
      </c>
      <c r="O55" s="17">
        <f t="shared" si="6"/>
        <v>0</v>
      </c>
      <c r="P55" s="16">
        <f>(2*O55)/$N$13*'Total per Region'!$R$25</f>
        <v>0</v>
      </c>
      <c r="R55" s="4" t="s">
        <v>437</v>
      </c>
      <c r="S55">
        <v>15</v>
      </c>
    </row>
    <row r="56" spans="1:19" x14ac:dyDescent="0.25">
      <c r="A56">
        <v>204</v>
      </c>
      <c r="B56">
        <v>1</v>
      </c>
      <c r="C56" t="s">
        <v>342</v>
      </c>
      <c r="D56" s="2" t="s">
        <v>90</v>
      </c>
      <c r="E56" s="1">
        <v>129</v>
      </c>
      <c r="F56" s="1">
        <v>13</v>
      </c>
      <c r="G56" s="1">
        <v>7</v>
      </c>
      <c r="H56" s="1">
        <f t="shared" si="0"/>
        <v>16.5</v>
      </c>
      <c r="I56" s="10">
        <f t="shared" si="1"/>
        <v>0.12790697674418605</v>
      </c>
      <c r="J56" s="10">
        <f t="shared" si="5"/>
        <v>0.12790697674418605</v>
      </c>
      <c r="K56" s="1">
        <f t="shared" si="2"/>
        <v>2.11046511627907</v>
      </c>
      <c r="L56" s="12">
        <f t="shared" si="3"/>
        <v>0.82308139534883729</v>
      </c>
      <c r="M56" s="1">
        <f t="shared" si="4"/>
        <v>10</v>
      </c>
      <c r="N56" s="1">
        <f>MIN('Total per Region'!$N$25,N55+M56)</f>
        <v>331.48587561889502</v>
      </c>
      <c r="O56" s="17">
        <f t="shared" si="6"/>
        <v>0</v>
      </c>
      <c r="P56" s="16">
        <f>(2*O56)/$N$13*'Total per Region'!$R$25</f>
        <v>0</v>
      </c>
      <c r="R56" s="4" t="s">
        <v>433</v>
      </c>
      <c r="S56">
        <v>15</v>
      </c>
    </row>
    <row r="57" spans="1:19" x14ac:dyDescent="0.25">
      <c r="H57" s="1"/>
      <c r="I57" s="10"/>
      <c r="J57" s="10"/>
      <c r="K57" s="1"/>
      <c r="L57" s="1"/>
      <c r="O57" s="14">
        <f>SUM(O15:O56)</f>
        <v>165.74293780944751</v>
      </c>
      <c r="P57" s="22">
        <f>SUM(P15:P56)</f>
        <v>828755.54261830181</v>
      </c>
    </row>
    <row r="58" spans="1:19" x14ac:dyDescent="0.25">
      <c r="H58" s="1"/>
      <c r="I58" s="10"/>
      <c r="J58" s="10"/>
      <c r="K58" s="1"/>
      <c r="L58" s="1"/>
      <c r="P58" s="16"/>
    </row>
    <row r="59" spans="1:19" x14ac:dyDescent="0.25">
      <c r="H59" s="1"/>
      <c r="I59" s="10"/>
      <c r="J59" s="10"/>
      <c r="K59" s="1"/>
      <c r="L59" s="1"/>
      <c r="P59" s="16"/>
    </row>
    <row r="60" spans="1:19" x14ac:dyDescent="0.25">
      <c r="H60" s="1"/>
      <c r="I60" s="10"/>
      <c r="J60" s="10"/>
      <c r="K60" s="1"/>
      <c r="L60" s="1"/>
      <c r="P60" s="16"/>
    </row>
    <row r="61" spans="1:19" x14ac:dyDescent="0.25">
      <c r="H61" s="1"/>
      <c r="I61" s="10"/>
      <c r="J61" s="10"/>
      <c r="K61" s="1"/>
      <c r="L61" s="1"/>
      <c r="P61" s="16"/>
    </row>
    <row r="62" spans="1:19" x14ac:dyDescent="0.25">
      <c r="H62" s="1"/>
      <c r="I62" s="10"/>
      <c r="J62" s="10"/>
      <c r="K62" s="1"/>
      <c r="L62" s="1"/>
      <c r="P62" s="16"/>
    </row>
    <row r="63" spans="1:19" x14ac:dyDescent="0.25">
      <c r="P63" s="18"/>
    </row>
    <row r="64" spans="1:19" x14ac:dyDescent="0.25">
      <c r="P64" s="18"/>
    </row>
  </sheetData>
  <sortState ref="A15:AA56">
    <sortCondition descending="1" ref="Q15:Q56"/>
    <sortCondition descending="1" ref="J15:J56"/>
  </sortState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4"/>
  <sheetViews>
    <sheetView zoomScale="75" zoomScaleNormal="75" workbookViewId="0">
      <selection activeCell="O29" sqref="O29"/>
    </sheetView>
  </sheetViews>
  <sheetFormatPr defaultRowHeight="15" x14ac:dyDescent="0.25"/>
  <cols>
    <col min="3" max="3" width="40.5703125" bestFit="1" customWidth="1"/>
    <col min="4" max="4" width="9.140625" customWidth="1"/>
    <col min="5" max="8" width="11.140625" customWidth="1"/>
    <col min="9" max="9" width="14.28515625" bestFit="1" customWidth="1"/>
    <col min="10" max="10" width="10.5703125" bestFit="1" customWidth="1"/>
    <col min="11" max="11" width="11.140625" bestFit="1" customWidth="1"/>
    <col min="12" max="12" width="14.42578125" bestFit="1" customWidth="1"/>
    <col min="13" max="13" width="11.7109375" customWidth="1"/>
    <col min="14" max="14" width="12.7109375" bestFit="1" customWidth="1"/>
    <col min="15" max="15" width="14.5703125" bestFit="1" customWidth="1"/>
    <col min="16" max="16" width="17.140625" bestFit="1" customWidth="1"/>
    <col min="17" max="17" width="20.7109375" bestFit="1" customWidth="1"/>
    <col min="18" max="18" width="12.140625" bestFit="1" customWidth="1"/>
    <col min="19" max="19" width="13.42578125" bestFit="1" customWidth="1"/>
  </cols>
  <sheetData>
    <row r="1" spans="1:19" x14ac:dyDescent="0.25">
      <c r="A1" t="s">
        <v>460</v>
      </c>
      <c r="M1" s="2"/>
    </row>
    <row r="2" spans="1:19" x14ac:dyDescent="0.25">
      <c r="M2" s="2"/>
    </row>
    <row r="3" spans="1:19" x14ac:dyDescent="0.25">
      <c r="A3" t="s">
        <v>509</v>
      </c>
      <c r="C3" t="s">
        <v>508</v>
      </c>
      <c r="D3">
        <v>0.39</v>
      </c>
      <c r="M3" s="2"/>
    </row>
    <row r="4" spans="1:19" x14ac:dyDescent="0.25">
      <c r="M4" s="2"/>
    </row>
    <row r="5" spans="1:19" x14ac:dyDescent="0.25">
      <c r="E5" s="2" t="s">
        <v>445</v>
      </c>
      <c r="F5" s="2" t="s">
        <v>446</v>
      </c>
      <c r="G5" s="2" t="s">
        <v>447</v>
      </c>
      <c r="H5" s="2" t="s">
        <v>448</v>
      </c>
      <c r="I5" s="2" t="s">
        <v>449</v>
      </c>
      <c r="J5" s="2" t="s">
        <v>451</v>
      </c>
      <c r="K5" s="2" t="s">
        <v>452</v>
      </c>
      <c r="L5" s="2" t="s">
        <v>453</v>
      </c>
      <c r="M5" s="2" t="s">
        <v>454</v>
      </c>
      <c r="N5" s="2" t="s">
        <v>455</v>
      </c>
      <c r="O5" s="2" t="s">
        <v>457</v>
      </c>
      <c r="P5" s="2" t="s">
        <v>464</v>
      </c>
      <c r="Q5" s="2" t="s">
        <v>465</v>
      </c>
      <c r="R5" s="2" t="s">
        <v>466</v>
      </c>
      <c r="S5" s="2" t="s">
        <v>0</v>
      </c>
    </row>
    <row r="6" spans="1:19" x14ac:dyDescent="0.25">
      <c r="K6" s="2" t="s">
        <v>476</v>
      </c>
      <c r="O6" s="2" t="s">
        <v>512</v>
      </c>
    </row>
    <row r="7" spans="1:19" x14ac:dyDescent="0.25">
      <c r="H7" s="2" t="s">
        <v>476</v>
      </c>
      <c r="J7" s="2" t="s">
        <v>486</v>
      </c>
      <c r="K7" s="2" t="s">
        <v>489</v>
      </c>
      <c r="M7" s="2" t="s">
        <v>492</v>
      </c>
      <c r="N7" s="2" t="s">
        <v>458</v>
      </c>
      <c r="O7" s="2" t="s">
        <v>459</v>
      </c>
      <c r="P7" s="2" t="s">
        <v>463</v>
      </c>
    </row>
    <row r="8" spans="1:19" x14ac:dyDescent="0.25">
      <c r="E8" s="2"/>
      <c r="F8" s="2"/>
      <c r="G8" s="2"/>
      <c r="H8" s="2" t="s">
        <v>477</v>
      </c>
      <c r="I8" s="2"/>
      <c r="J8" s="2" t="s">
        <v>484</v>
      </c>
      <c r="K8" s="2" t="s">
        <v>490</v>
      </c>
      <c r="L8" s="2"/>
      <c r="M8" s="2" t="s">
        <v>493</v>
      </c>
      <c r="N8" s="2" t="s">
        <v>450</v>
      </c>
      <c r="O8" s="2" t="s">
        <v>463</v>
      </c>
      <c r="P8" s="2" t="s">
        <v>504</v>
      </c>
      <c r="Q8" s="2" t="s">
        <v>500</v>
      </c>
      <c r="R8" s="2"/>
    </row>
    <row r="9" spans="1:19" x14ac:dyDescent="0.25">
      <c r="E9" s="2" t="s">
        <v>476</v>
      </c>
      <c r="F9" s="2" t="s">
        <v>476</v>
      </c>
      <c r="G9" s="2" t="s">
        <v>476</v>
      </c>
      <c r="H9" s="2" t="s">
        <v>481</v>
      </c>
      <c r="I9" s="2" t="s">
        <v>484</v>
      </c>
      <c r="J9" s="2" t="s">
        <v>487</v>
      </c>
      <c r="K9" s="2" t="s">
        <v>482</v>
      </c>
      <c r="L9" s="2" t="s">
        <v>467</v>
      </c>
      <c r="M9" s="2" t="s">
        <v>494</v>
      </c>
      <c r="N9" s="2" t="s">
        <v>498</v>
      </c>
      <c r="O9" s="2" t="s">
        <v>450</v>
      </c>
      <c r="P9" s="8" t="s">
        <v>505</v>
      </c>
      <c r="Q9" s="2" t="s">
        <v>503</v>
      </c>
    </row>
    <row r="10" spans="1:19" x14ac:dyDescent="0.25">
      <c r="E10" s="2" t="s">
        <v>477</v>
      </c>
      <c r="F10" s="2" t="s">
        <v>477</v>
      </c>
      <c r="G10" s="2" t="s">
        <v>477</v>
      </c>
      <c r="H10" s="2" t="s">
        <v>482</v>
      </c>
      <c r="I10" s="2" t="s">
        <v>485</v>
      </c>
      <c r="J10" s="11" t="s">
        <v>488</v>
      </c>
      <c r="K10" s="2" t="s">
        <v>487</v>
      </c>
      <c r="L10" s="2" t="s">
        <v>510</v>
      </c>
      <c r="M10" s="11" t="s">
        <v>495</v>
      </c>
      <c r="N10" s="8">
        <f>ROUND(N13,0)</f>
        <v>2092</v>
      </c>
      <c r="O10" s="2" t="s">
        <v>513</v>
      </c>
      <c r="P10" s="2" t="s">
        <v>506</v>
      </c>
      <c r="Q10" s="2" t="s">
        <v>501</v>
      </c>
      <c r="R10" s="2"/>
      <c r="S10" s="2" t="s">
        <v>471</v>
      </c>
    </row>
    <row r="11" spans="1:19" x14ac:dyDescent="0.25">
      <c r="A11" t="s">
        <v>349</v>
      </c>
      <c r="B11" t="s">
        <v>350</v>
      </c>
      <c r="C11" t="s">
        <v>351</v>
      </c>
      <c r="D11" t="s">
        <v>352</v>
      </c>
      <c r="E11" s="2" t="s">
        <v>478</v>
      </c>
      <c r="F11" s="2" t="s">
        <v>479</v>
      </c>
      <c r="G11" s="2" t="s">
        <v>480</v>
      </c>
      <c r="H11" s="11" t="s">
        <v>483</v>
      </c>
      <c r="I11" s="11" t="s">
        <v>470</v>
      </c>
      <c r="J11" s="11" t="s">
        <v>473</v>
      </c>
      <c r="K11" s="11" t="s">
        <v>491</v>
      </c>
      <c r="L11" s="11" t="s">
        <v>511</v>
      </c>
      <c r="M11" s="11" t="s">
        <v>496</v>
      </c>
      <c r="N11" s="2" t="s">
        <v>499</v>
      </c>
      <c r="O11" s="2" t="s">
        <v>497</v>
      </c>
      <c r="P11" s="2" t="s">
        <v>507</v>
      </c>
      <c r="Q11" s="2" t="s">
        <v>502</v>
      </c>
      <c r="R11" s="2" t="s">
        <v>356</v>
      </c>
      <c r="S11" s="2" t="s">
        <v>472</v>
      </c>
    </row>
    <row r="12" spans="1:19" x14ac:dyDescent="0.25">
      <c r="M12" s="2"/>
      <c r="O12" s="1"/>
      <c r="P12" s="1"/>
    </row>
    <row r="13" spans="1:19" x14ac:dyDescent="0.25">
      <c r="M13" s="1"/>
      <c r="N13" s="14">
        <f>'Total per Region'!N26</f>
        <v>2091.6216625549591</v>
      </c>
      <c r="P13" s="14"/>
    </row>
    <row r="14" spans="1:19" x14ac:dyDescent="0.25">
      <c r="K14" s="1">
        <f>SUM(K15:K62)</f>
        <v>5565.9499018904362</v>
      </c>
    </row>
    <row r="15" spans="1:19" x14ac:dyDescent="0.25">
      <c r="A15">
        <v>286</v>
      </c>
      <c r="B15">
        <v>1</v>
      </c>
      <c r="C15" t="s">
        <v>3</v>
      </c>
      <c r="D15" s="2" t="s">
        <v>4</v>
      </c>
      <c r="E15" s="1">
        <v>215</v>
      </c>
      <c r="F15" s="1">
        <v>136</v>
      </c>
      <c r="G15" s="1">
        <v>22</v>
      </c>
      <c r="H15" s="1">
        <f t="shared" ref="H15:H62" si="0">F15+0.5*G15</f>
        <v>147</v>
      </c>
      <c r="I15" s="10">
        <f t="shared" ref="I15:I62" si="1">H15/E15</f>
        <v>0.68372093023255809</v>
      </c>
      <c r="J15" s="10">
        <f>MIN(I15,0.8)</f>
        <v>0.68372093023255809</v>
      </c>
      <c r="K15" s="1">
        <f>J15*H15</f>
        <v>100.50697674418603</v>
      </c>
      <c r="L15" s="12">
        <f t="shared" ref="L15:L62" si="2">(0.39)*K15</f>
        <v>39.197720930232556</v>
      </c>
      <c r="M15" s="1">
        <f>L15</f>
        <v>39.197720930232556</v>
      </c>
      <c r="N15" s="1">
        <f>M15</f>
        <v>39.197720930232556</v>
      </c>
      <c r="O15" s="17">
        <f>(N15-N14)/2</f>
        <v>19.598860465116278</v>
      </c>
      <c r="P15" s="16">
        <f>(2*O15)/$N$13*'Total per Region'!$R$26</f>
        <v>97999.13320072685</v>
      </c>
      <c r="Q15" t="s">
        <v>1</v>
      </c>
      <c r="R15" s="5" t="s">
        <v>438</v>
      </c>
      <c r="S15" s="1">
        <v>12</v>
      </c>
    </row>
    <row r="16" spans="1:19" x14ac:dyDescent="0.25">
      <c r="A16">
        <v>625</v>
      </c>
      <c r="B16">
        <v>1</v>
      </c>
      <c r="C16" t="s">
        <v>6</v>
      </c>
      <c r="D16" s="2" t="s">
        <v>4</v>
      </c>
      <c r="E16" s="1">
        <v>3479</v>
      </c>
      <c r="F16" s="1">
        <v>2242</v>
      </c>
      <c r="G16" s="1">
        <v>262</v>
      </c>
      <c r="H16" s="1">
        <f t="shared" si="0"/>
        <v>2373</v>
      </c>
      <c r="I16" s="10">
        <f t="shared" si="1"/>
        <v>0.68209255533199198</v>
      </c>
      <c r="J16" s="10">
        <f t="shared" ref="J16:J62" si="3">MIN(I16,0.8)</f>
        <v>0.68209255533199198</v>
      </c>
      <c r="K16" s="1">
        <f t="shared" ref="K16:K62" si="4">J16*H16</f>
        <v>1618.605633802817</v>
      </c>
      <c r="L16" s="12">
        <f t="shared" si="2"/>
        <v>631.25619718309861</v>
      </c>
      <c r="M16" s="1">
        <f t="shared" ref="M16:M62" si="5">L16</f>
        <v>631.25619718309861</v>
      </c>
      <c r="N16" s="1">
        <f>MIN('Total per Region'!$N$26,N15+M16)</f>
        <v>670.45391811333116</v>
      </c>
      <c r="O16" s="17">
        <f t="shared" ref="O16:O62" si="6">(N16-N15)/2</f>
        <v>315.6280985915493</v>
      </c>
      <c r="P16" s="16">
        <f>(2*O16)/$N$13*'Total per Region'!$R$26</f>
        <v>1578218.2913552301</v>
      </c>
      <c r="Q16" t="s">
        <v>1</v>
      </c>
      <c r="R16" s="5" t="s">
        <v>439</v>
      </c>
      <c r="S16" s="1">
        <v>12</v>
      </c>
    </row>
    <row r="17" spans="1:19" x14ac:dyDescent="0.25">
      <c r="A17">
        <v>1.2</v>
      </c>
      <c r="B17">
        <v>3</v>
      </c>
      <c r="C17" t="s">
        <v>8</v>
      </c>
      <c r="D17" s="2" t="s">
        <v>4</v>
      </c>
      <c r="E17" s="1">
        <v>3450</v>
      </c>
      <c r="F17" s="1">
        <v>1992</v>
      </c>
      <c r="G17" s="1">
        <v>206</v>
      </c>
      <c r="H17" s="1">
        <f t="shared" si="0"/>
        <v>2095</v>
      </c>
      <c r="I17" s="10">
        <f t="shared" si="1"/>
        <v>0.60724637681159421</v>
      </c>
      <c r="J17" s="10">
        <f t="shared" si="3"/>
        <v>0.60724637681159421</v>
      </c>
      <c r="K17" s="1">
        <f t="shared" si="4"/>
        <v>1272.18115942029</v>
      </c>
      <c r="L17" s="12">
        <f t="shared" si="2"/>
        <v>496.1506521739131</v>
      </c>
      <c r="M17" s="1">
        <f t="shared" si="5"/>
        <v>496.1506521739131</v>
      </c>
      <c r="N17" s="1">
        <f>MIN('Total per Region'!$N$26,N16+M17)</f>
        <v>1166.6045702872443</v>
      </c>
      <c r="O17" s="17">
        <f t="shared" si="6"/>
        <v>248.07532608695658</v>
      </c>
      <c r="P17" s="16">
        <f>(2*O17)/$N$13*'Total per Region'!$R$26</f>
        <v>1240437.7779147155</v>
      </c>
      <c r="Q17" t="s">
        <v>1</v>
      </c>
      <c r="R17" s="5" t="s">
        <v>438</v>
      </c>
      <c r="S17" s="1">
        <v>12</v>
      </c>
    </row>
    <row r="18" spans="1:19" x14ac:dyDescent="0.25">
      <c r="A18">
        <v>280</v>
      </c>
      <c r="B18">
        <v>1</v>
      </c>
      <c r="C18" t="s">
        <v>9</v>
      </c>
      <c r="D18" s="2" t="s">
        <v>4</v>
      </c>
      <c r="E18" s="1">
        <v>458</v>
      </c>
      <c r="F18" s="1">
        <v>247</v>
      </c>
      <c r="G18" s="1">
        <v>39</v>
      </c>
      <c r="H18" s="1">
        <f t="shared" si="0"/>
        <v>266.5</v>
      </c>
      <c r="I18" s="10">
        <f t="shared" si="1"/>
        <v>0.58187772925764192</v>
      </c>
      <c r="J18" s="10">
        <f t="shared" si="3"/>
        <v>0.58187772925764192</v>
      </c>
      <c r="K18" s="1">
        <f t="shared" si="4"/>
        <v>155.07041484716157</v>
      </c>
      <c r="L18" s="12">
        <f t="shared" si="2"/>
        <v>60.477461790393015</v>
      </c>
      <c r="M18" s="1">
        <f t="shared" si="5"/>
        <v>60.477461790393015</v>
      </c>
      <c r="N18" s="1">
        <f>MIN('Total per Region'!$N$26,N17+M18)</f>
        <v>1227.0820320776372</v>
      </c>
      <c r="O18" s="17">
        <f t="shared" si="6"/>
        <v>30.238730895196454</v>
      </c>
      <c r="P18" s="16">
        <f>(2*O18)/$N$13*'Total per Region'!$R$26</f>
        <v>151201.10794674765</v>
      </c>
      <c r="Q18" t="s">
        <v>1</v>
      </c>
      <c r="R18" s="5" t="s">
        <v>438</v>
      </c>
      <c r="S18" s="1">
        <v>12</v>
      </c>
    </row>
    <row r="19" spans="1:19" x14ac:dyDescent="0.25">
      <c r="A19">
        <v>281</v>
      </c>
      <c r="B19">
        <v>1</v>
      </c>
      <c r="C19" t="s">
        <v>13</v>
      </c>
      <c r="D19" s="2" t="s">
        <v>4</v>
      </c>
      <c r="E19" s="1">
        <v>901</v>
      </c>
      <c r="F19" s="1">
        <v>378</v>
      </c>
      <c r="G19" s="1">
        <v>55</v>
      </c>
      <c r="H19" s="1">
        <f t="shared" si="0"/>
        <v>405.5</v>
      </c>
      <c r="I19" s="10">
        <f t="shared" si="1"/>
        <v>0.45005549389567145</v>
      </c>
      <c r="J19" s="10">
        <f t="shared" si="3"/>
        <v>0.45005549389567145</v>
      </c>
      <c r="K19" s="1">
        <f t="shared" si="4"/>
        <v>182.49750277469477</v>
      </c>
      <c r="L19" s="12">
        <f t="shared" si="2"/>
        <v>71.174026082130965</v>
      </c>
      <c r="M19" s="1">
        <f t="shared" si="5"/>
        <v>71.174026082130965</v>
      </c>
      <c r="N19" s="1">
        <f>MIN('Total per Region'!$N$26,N18+M19)</f>
        <v>1298.2560581597681</v>
      </c>
      <c r="O19" s="17">
        <f t="shared" si="6"/>
        <v>35.587013041065461</v>
      </c>
      <c r="P19" s="16">
        <f>(2*O19)/$N$13*'Total per Region'!$R$26</f>
        <v>177943.83696106827</v>
      </c>
      <c r="Q19" t="s">
        <v>1</v>
      </c>
      <c r="R19" s="5" t="s">
        <v>438</v>
      </c>
      <c r="S19" s="1">
        <v>12</v>
      </c>
    </row>
    <row r="20" spans="1:19" x14ac:dyDescent="0.25">
      <c r="A20">
        <v>279</v>
      </c>
      <c r="B20">
        <v>1</v>
      </c>
      <c r="C20" t="s">
        <v>17</v>
      </c>
      <c r="D20" s="2" t="s">
        <v>4</v>
      </c>
      <c r="E20" s="1">
        <v>1599</v>
      </c>
      <c r="F20" s="1">
        <v>554</v>
      </c>
      <c r="G20" s="1">
        <v>104</v>
      </c>
      <c r="H20" s="1">
        <f t="shared" si="0"/>
        <v>606</v>
      </c>
      <c r="I20" s="10">
        <f t="shared" si="1"/>
        <v>0.37898686679174481</v>
      </c>
      <c r="J20" s="10">
        <f t="shared" si="3"/>
        <v>0.37898686679174481</v>
      </c>
      <c r="K20" s="1">
        <f t="shared" si="4"/>
        <v>229.66604127579737</v>
      </c>
      <c r="L20" s="12">
        <f t="shared" si="2"/>
        <v>89.569756097560983</v>
      </c>
      <c r="M20" s="1">
        <f t="shared" si="5"/>
        <v>89.569756097560983</v>
      </c>
      <c r="N20" s="1">
        <f>MIN('Total per Region'!$N$26,N19+M20)</f>
        <v>1387.8258142573291</v>
      </c>
      <c r="O20" s="17">
        <f t="shared" si="6"/>
        <v>44.784878048780456</v>
      </c>
      <c r="P20" s="16">
        <f>(2*O20)/$N$13*'Total per Region'!$R$26</f>
        <v>223935.42915887607</v>
      </c>
      <c r="Q20" t="s">
        <v>1</v>
      </c>
      <c r="R20" s="5" t="s">
        <v>438</v>
      </c>
      <c r="S20" s="1">
        <v>12</v>
      </c>
    </row>
    <row r="21" spans="1:19" x14ac:dyDescent="0.25">
      <c r="A21">
        <v>13</v>
      </c>
      <c r="B21">
        <v>1</v>
      </c>
      <c r="C21" t="s">
        <v>5</v>
      </c>
      <c r="D21" s="2" t="s">
        <v>4</v>
      </c>
      <c r="E21" s="1">
        <v>271</v>
      </c>
      <c r="F21" s="1">
        <v>189</v>
      </c>
      <c r="G21" s="1">
        <v>27</v>
      </c>
      <c r="H21" s="1">
        <f t="shared" si="0"/>
        <v>202.5</v>
      </c>
      <c r="I21" s="10">
        <f t="shared" si="1"/>
        <v>0.74723247232472323</v>
      </c>
      <c r="J21" s="10">
        <f t="shared" si="3"/>
        <v>0.74723247232472323</v>
      </c>
      <c r="K21" s="1">
        <f t="shared" si="4"/>
        <v>151.31457564575646</v>
      </c>
      <c r="L21" s="12">
        <f t="shared" si="2"/>
        <v>59.012684501845023</v>
      </c>
      <c r="M21" s="1">
        <f t="shared" si="5"/>
        <v>59.012684501845023</v>
      </c>
      <c r="N21" s="1">
        <f>MIN('Total per Region'!$N$26,N20+M21)</f>
        <v>1446.8384987591742</v>
      </c>
      <c r="O21" s="17">
        <f t="shared" si="6"/>
        <v>29.506342250922557</v>
      </c>
      <c r="P21" s="16">
        <f>(2*O21)/$N$13*'Total per Region'!$R$26</f>
        <v>147538.98420069384</v>
      </c>
      <c r="R21" s="5" t="s">
        <v>438</v>
      </c>
      <c r="S21" s="1">
        <v>12</v>
      </c>
    </row>
    <row r="22" spans="1:19" x14ac:dyDescent="0.25">
      <c r="A22">
        <v>14</v>
      </c>
      <c r="B22">
        <v>1</v>
      </c>
      <c r="C22" t="s">
        <v>7</v>
      </c>
      <c r="D22" s="2" t="s">
        <v>4</v>
      </c>
      <c r="E22" s="1">
        <v>237</v>
      </c>
      <c r="F22" s="1">
        <v>143</v>
      </c>
      <c r="G22" s="1">
        <v>19</v>
      </c>
      <c r="H22" s="1">
        <f t="shared" si="0"/>
        <v>152.5</v>
      </c>
      <c r="I22" s="10">
        <f t="shared" si="1"/>
        <v>0.64345991561181437</v>
      </c>
      <c r="J22" s="10">
        <f t="shared" si="3"/>
        <v>0.64345991561181437</v>
      </c>
      <c r="K22" s="1">
        <f t="shared" si="4"/>
        <v>98.127637130801688</v>
      </c>
      <c r="L22" s="12">
        <f t="shared" si="2"/>
        <v>38.269778481012658</v>
      </c>
      <c r="M22" s="1">
        <f t="shared" si="5"/>
        <v>38.269778481012658</v>
      </c>
      <c r="N22" s="1">
        <f>MIN('Total per Region'!$N$26,N21+M22)</f>
        <v>1485.1082772401869</v>
      </c>
      <c r="O22" s="17">
        <f t="shared" si="6"/>
        <v>19.134889240506368</v>
      </c>
      <c r="P22" s="16">
        <f>(2*O22)/$N$13*'Total per Region'!$R$26</f>
        <v>95679.162714545761</v>
      </c>
      <c r="R22" s="5" t="s">
        <v>438</v>
      </c>
      <c r="S22" s="1">
        <v>12</v>
      </c>
    </row>
    <row r="23" spans="1:19" x14ac:dyDescent="0.25">
      <c r="A23">
        <v>622</v>
      </c>
      <c r="B23">
        <v>1</v>
      </c>
      <c r="C23" t="s">
        <v>10</v>
      </c>
      <c r="D23" s="2" t="s">
        <v>4</v>
      </c>
      <c r="E23" s="1">
        <v>774</v>
      </c>
      <c r="F23" s="1">
        <v>342</v>
      </c>
      <c r="G23" s="1">
        <v>80</v>
      </c>
      <c r="H23" s="1">
        <f t="shared" si="0"/>
        <v>382</v>
      </c>
      <c r="I23" s="10">
        <f t="shared" si="1"/>
        <v>0.49354005167958659</v>
      </c>
      <c r="J23" s="10">
        <f t="shared" si="3"/>
        <v>0.49354005167958659</v>
      </c>
      <c r="K23" s="1">
        <f t="shared" si="4"/>
        <v>188.53229974160209</v>
      </c>
      <c r="L23" s="12">
        <f t="shared" si="2"/>
        <v>73.527596899224818</v>
      </c>
      <c r="M23" s="1">
        <f t="shared" si="5"/>
        <v>73.527596899224818</v>
      </c>
      <c r="N23" s="1">
        <f>MIN('Total per Region'!$N$26,N22+M23)</f>
        <v>1558.6358741394117</v>
      </c>
      <c r="O23" s="17">
        <f t="shared" si="6"/>
        <v>36.763798449612409</v>
      </c>
      <c r="P23" s="16">
        <f>(2*O23)/$N$13*'Total per Region'!$R$26</f>
        <v>183828.05406675802</v>
      </c>
      <c r="R23" s="5" t="s">
        <v>439</v>
      </c>
      <c r="S23" s="1">
        <v>12</v>
      </c>
    </row>
    <row r="24" spans="1:19" x14ac:dyDescent="0.25">
      <c r="A24">
        <v>191</v>
      </c>
      <c r="B24">
        <v>1</v>
      </c>
      <c r="C24" t="s">
        <v>11</v>
      </c>
      <c r="D24" s="2" t="s">
        <v>4</v>
      </c>
      <c r="E24" s="1">
        <v>860</v>
      </c>
      <c r="F24" s="1">
        <v>359</v>
      </c>
      <c r="G24" s="1">
        <v>66</v>
      </c>
      <c r="H24" s="1">
        <f t="shared" si="0"/>
        <v>392</v>
      </c>
      <c r="I24" s="10">
        <f t="shared" si="1"/>
        <v>0.45581395348837211</v>
      </c>
      <c r="J24" s="10">
        <f t="shared" si="3"/>
        <v>0.45581395348837211</v>
      </c>
      <c r="K24" s="1">
        <f t="shared" si="4"/>
        <v>178.67906976744186</v>
      </c>
      <c r="L24" s="12">
        <f t="shared" si="2"/>
        <v>69.68483720930233</v>
      </c>
      <c r="M24" s="1">
        <f t="shared" si="5"/>
        <v>69.68483720930233</v>
      </c>
      <c r="N24" s="1">
        <f>MIN('Total per Region'!$N$26,N23+M24)</f>
        <v>1628.320711348714</v>
      </c>
      <c r="O24" s="17">
        <f t="shared" si="6"/>
        <v>34.842418604651129</v>
      </c>
      <c r="P24" s="16">
        <f>(2*O24)/$N$13*'Total per Region'!$R$26</f>
        <v>174220.68124573646</v>
      </c>
      <c r="R24" s="5" t="s">
        <v>440</v>
      </c>
      <c r="S24" s="1">
        <v>13</v>
      </c>
    </row>
    <row r="25" spans="1:19" x14ac:dyDescent="0.25">
      <c r="A25">
        <v>6</v>
      </c>
      <c r="B25">
        <v>3</v>
      </c>
      <c r="C25" t="s">
        <v>12</v>
      </c>
      <c r="D25" s="2" t="s">
        <v>4</v>
      </c>
      <c r="E25" s="1">
        <v>284</v>
      </c>
      <c r="F25" s="1">
        <v>111</v>
      </c>
      <c r="G25" s="1">
        <v>21</v>
      </c>
      <c r="H25" s="1">
        <f t="shared" si="0"/>
        <v>121.5</v>
      </c>
      <c r="I25" s="10">
        <f t="shared" si="1"/>
        <v>0.42781690140845069</v>
      </c>
      <c r="J25" s="10">
        <f t="shared" si="3"/>
        <v>0.42781690140845069</v>
      </c>
      <c r="K25" s="1">
        <f t="shared" si="4"/>
        <v>51.97975352112676</v>
      </c>
      <c r="L25" s="12">
        <f t="shared" si="2"/>
        <v>20.272103873239438</v>
      </c>
      <c r="M25" s="1">
        <f t="shared" si="5"/>
        <v>20.272103873239438</v>
      </c>
      <c r="N25" s="1">
        <f>MIN('Total per Region'!$N$26,N24+M25)</f>
        <v>1648.5928152219535</v>
      </c>
      <c r="O25" s="17">
        <f t="shared" si="6"/>
        <v>10.136051936619765</v>
      </c>
      <c r="P25" s="16">
        <f>(2*O25)/$N$13*'Total per Region'!$R$26</f>
        <v>50682.758093731463</v>
      </c>
      <c r="R25" s="5" t="s">
        <v>439</v>
      </c>
      <c r="S25" s="1">
        <v>12</v>
      </c>
    </row>
    <row r="26" spans="1:19" x14ac:dyDescent="0.25">
      <c r="A26">
        <v>199</v>
      </c>
      <c r="B26">
        <v>1</v>
      </c>
      <c r="C26" t="s">
        <v>15</v>
      </c>
      <c r="D26" s="2" t="s">
        <v>4</v>
      </c>
      <c r="E26" s="1">
        <v>287</v>
      </c>
      <c r="F26" s="1">
        <v>113</v>
      </c>
      <c r="G26" s="1">
        <v>17</v>
      </c>
      <c r="H26" s="1">
        <f t="shared" si="0"/>
        <v>121.5</v>
      </c>
      <c r="I26" s="10">
        <f t="shared" si="1"/>
        <v>0.42334494773519166</v>
      </c>
      <c r="J26" s="10">
        <f t="shared" si="3"/>
        <v>0.42334494773519166</v>
      </c>
      <c r="K26" s="1">
        <f t="shared" si="4"/>
        <v>51.436411149825787</v>
      </c>
      <c r="L26" s="12">
        <f t="shared" si="2"/>
        <v>20.060200348432058</v>
      </c>
      <c r="M26" s="1">
        <f t="shared" si="5"/>
        <v>20.060200348432058</v>
      </c>
      <c r="N26" s="1">
        <f>MIN('Total per Region'!$N$26,N25+M26)</f>
        <v>1668.6530155703856</v>
      </c>
      <c r="O26" s="17">
        <f t="shared" si="6"/>
        <v>10.030100174216045</v>
      </c>
      <c r="P26" s="16">
        <f>(2*O26)/$N$13*'Total per Region'!$R$26</f>
        <v>50152.973165922274</v>
      </c>
      <c r="R26" s="5" t="s">
        <v>440</v>
      </c>
      <c r="S26" s="1">
        <v>13</v>
      </c>
    </row>
    <row r="27" spans="1:19" x14ac:dyDescent="0.25">
      <c r="A27">
        <v>271</v>
      </c>
      <c r="B27">
        <v>1</v>
      </c>
      <c r="C27" t="s">
        <v>16</v>
      </c>
      <c r="D27" s="2" t="s">
        <v>4</v>
      </c>
      <c r="E27" s="1">
        <v>781</v>
      </c>
      <c r="F27" s="1">
        <v>297</v>
      </c>
      <c r="G27" s="1">
        <v>60</v>
      </c>
      <c r="H27" s="1">
        <f t="shared" si="0"/>
        <v>327</v>
      </c>
      <c r="I27" s="10">
        <f t="shared" si="1"/>
        <v>0.41869398207426378</v>
      </c>
      <c r="J27" s="10">
        <f t="shared" si="3"/>
        <v>0.41869398207426378</v>
      </c>
      <c r="K27" s="1">
        <f t="shared" si="4"/>
        <v>136.91293213828425</v>
      </c>
      <c r="L27" s="12">
        <f t="shared" si="2"/>
        <v>53.396043533930857</v>
      </c>
      <c r="M27" s="1">
        <f t="shared" si="5"/>
        <v>53.396043533930857</v>
      </c>
      <c r="N27" s="1">
        <f>MIN('Total per Region'!$N$26,N26+M27)</f>
        <v>1722.0490591043165</v>
      </c>
      <c r="O27" s="17">
        <f t="shared" si="6"/>
        <v>26.698021766965439</v>
      </c>
      <c r="P27" s="16">
        <f>(2*O27)/$N$13*'Total per Region'!$R$26</f>
        <v>133496.68956486587</v>
      </c>
      <c r="R27" s="5" t="s">
        <v>438</v>
      </c>
      <c r="S27" s="1">
        <v>12</v>
      </c>
    </row>
    <row r="28" spans="1:19" x14ac:dyDescent="0.25">
      <c r="A28">
        <v>623</v>
      </c>
      <c r="B28">
        <v>1</v>
      </c>
      <c r="C28" t="s">
        <v>14</v>
      </c>
      <c r="D28" s="2" t="s">
        <v>4</v>
      </c>
      <c r="E28" s="1">
        <v>503</v>
      </c>
      <c r="F28" s="1">
        <v>183</v>
      </c>
      <c r="G28" s="1">
        <v>30</v>
      </c>
      <c r="H28" s="1">
        <f t="shared" si="0"/>
        <v>198</v>
      </c>
      <c r="I28" s="10">
        <f t="shared" si="1"/>
        <v>0.39363817097415504</v>
      </c>
      <c r="J28" s="10">
        <f t="shared" si="3"/>
        <v>0.39363817097415504</v>
      </c>
      <c r="K28" s="1">
        <f t="shared" si="4"/>
        <v>77.940357852882698</v>
      </c>
      <c r="L28" s="12">
        <f t="shared" si="2"/>
        <v>30.396739562624255</v>
      </c>
      <c r="M28" s="1">
        <f t="shared" si="5"/>
        <v>30.396739562624255</v>
      </c>
      <c r="N28" s="1">
        <f>MIN('Total per Region'!$N$26,N27+M28)</f>
        <v>1752.4457986669408</v>
      </c>
      <c r="O28" s="17">
        <f t="shared" si="6"/>
        <v>15.198369781312181</v>
      </c>
      <c r="P28" s="16">
        <f>(2*O28)/$N$13*'Total per Region'!$R$26</f>
        <v>75995.595115528442</v>
      </c>
      <c r="R28" s="5" t="s">
        <v>439</v>
      </c>
      <c r="S28" s="1">
        <v>12</v>
      </c>
    </row>
    <row r="29" spans="1:19" x14ac:dyDescent="0.25">
      <c r="A29">
        <v>197</v>
      </c>
      <c r="B29">
        <v>1</v>
      </c>
      <c r="C29" t="s">
        <v>19</v>
      </c>
      <c r="D29" s="2" t="s">
        <v>4</v>
      </c>
      <c r="E29" s="1">
        <v>380</v>
      </c>
      <c r="F29" s="1">
        <v>120</v>
      </c>
      <c r="G29" s="1">
        <v>24</v>
      </c>
      <c r="H29" s="1">
        <f t="shared" si="0"/>
        <v>132</v>
      </c>
      <c r="I29" s="10">
        <f t="shared" si="1"/>
        <v>0.3473684210526316</v>
      </c>
      <c r="J29" s="10">
        <f t="shared" si="3"/>
        <v>0.3473684210526316</v>
      </c>
      <c r="K29" s="1">
        <f t="shared" si="4"/>
        <v>45.852631578947374</v>
      </c>
      <c r="L29" s="12">
        <f t="shared" si="2"/>
        <v>17.882526315789477</v>
      </c>
      <c r="M29" s="1">
        <f t="shared" si="5"/>
        <v>17.882526315789477</v>
      </c>
      <c r="N29" s="1">
        <f>MIN('Total per Region'!$N$26,N28+M29)</f>
        <v>1770.3283249827302</v>
      </c>
      <c r="O29" s="17">
        <f t="shared" si="6"/>
        <v>8.9412631578946957</v>
      </c>
      <c r="P29" s="16">
        <f>(2*O29)/$N$13*'Total per Region'!$R$26</f>
        <v>44708.519699544442</v>
      </c>
      <c r="R29" s="5" t="s">
        <v>439</v>
      </c>
      <c r="S29" s="1">
        <v>12</v>
      </c>
    </row>
    <row r="30" spans="1:19" x14ac:dyDescent="0.25">
      <c r="A30">
        <v>270</v>
      </c>
      <c r="B30">
        <v>1</v>
      </c>
      <c r="C30" t="s">
        <v>18</v>
      </c>
      <c r="D30" s="2" t="s">
        <v>4</v>
      </c>
      <c r="E30" s="1">
        <v>490</v>
      </c>
      <c r="F30" s="1">
        <v>154</v>
      </c>
      <c r="G30" s="1">
        <v>31</v>
      </c>
      <c r="H30" s="1">
        <f t="shared" si="0"/>
        <v>169.5</v>
      </c>
      <c r="I30" s="10">
        <f t="shared" si="1"/>
        <v>0.34591836734693876</v>
      </c>
      <c r="J30" s="10">
        <f t="shared" si="3"/>
        <v>0.34591836734693876</v>
      </c>
      <c r="K30" s="1">
        <f t="shared" si="4"/>
        <v>58.633163265306116</v>
      </c>
      <c r="L30" s="12">
        <f t="shared" si="2"/>
        <v>22.866933673469386</v>
      </c>
      <c r="M30" s="1">
        <f t="shared" si="5"/>
        <v>22.866933673469386</v>
      </c>
      <c r="N30" s="1">
        <f>MIN('Total per Region'!$N$26,N29+M30)</f>
        <v>1793.1952586561997</v>
      </c>
      <c r="O30" s="17">
        <f t="shared" si="6"/>
        <v>11.433466836734738</v>
      </c>
      <c r="P30" s="16">
        <f>(2*O30)/$N$13*'Total per Region'!$R$26</f>
        <v>57170.15239092947</v>
      </c>
      <c r="R30" s="5" t="s">
        <v>438</v>
      </c>
      <c r="S30" s="1">
        <v>12</v>
      </c>
    </row>
    <row r="31" spans="1:19" x14ac:dyDescent="0.25">
      <c r="A31">
        <v>283</v>
      </c>
      <c r="B31">
        <v>1</v>
      </c>
      <c r="C31" t="s">
        <v>20</v>
      </c>
      <c r="D31" s="2" t="s">
        <v>4</v>
      </c>
      <c r="E31" s="1">
        <v>408</v>
      </c>
      <c r="F31" s="1">
        <v>130</v>
      </c>
      <c r="G31" s="1">
        <v>21</v>
      </c>
      <c r="H31" s="1">
        <f t="shared" si="0"/>
        <v>140.5</v>
      </c>
      <c r="I31" s="10">
        <f t="shared" si="1"/>
        <v>0.34436274509803921</v>
      </c>
      <c r="J31" s="10">
        <f t="shared" si="3"/>
        <v>0.34436274509803921</v>
      </c>
      <c r="K31" s="1">
        <f t="shared" si="4"/>
        <v>48.38296568627451</v>
      </c>
      <c r="L31" s="12">
        <f t="shared" si="2"/>
        <v>18.86935661764706</v>
      </c>
      <c r="M31" s="1">
        <f t="shared" si="5"/>
        <v>18.86935661764706</v>
      </c>
      <c r="N31" s="1">
        <f>MIN('Total per Region'!$N$26,N30+M31)</f>
        <v>1812.0646152738468</v>
      </c>
      <c r="O31" s="17">
        <f t="shared" si="6"/>
        <v>9.4346783088235497</v>
      </c>
      <c r="P31" s="16">
        <f>(2*O31)/$N$13*'Total per Region'!$R$26</f>
        <v>47175.71707488157</v>
      </c>
      <c r="R31" s="5" t="s">
        <v>438</v>
      </c>
      <c r="S31" s="1">
        <v>12</v>
      </c>
    </row>
    <row r="32" spans="1:19" x14ac:dyDescent="0.25">
      <c r="A32">
        <v>720</v>
      </c>
      <c r="B32">
        <v>1</v>
      </c>
      <c r="C32" t="s">
        <v>23</v>
      </c>
      <c r="D32" s="2" t="s">
        <v>4</v>
      </c>
      <c r="E32" s="1">
        <v>620</v>
      </c>
      <c r="F32" s="1">
        <v>189</v>
      </c>
      <c r="G32" s="1">
        <v>29</v>
      </c>
      <c r="H32" s="1">
        <f t="shared" si="0"/>
        <v>203.5</v>
      </c>
      <c r="I32" s="10">
        <f t="shared" si="1"/>
        <v>0.32822580645161292</v>
      </c>
      <c r="J32" s="10">
        <f t="shared" si="3"/>
        <v>0.32822580645161292</v>
      </c>
      <c r="K32" s="1">
        <f t="shared" si="4"/>
        <v>66.793951612903228</v>
      </c>
      <c r="L32" s="12">
        <f t="shared" si="2"/>
        <v>26.04964112903226</v>
      </c>
      <c r="M32" s="1">
        <f t="shared" si="5"/>
        <v>26.04964112903226</v>
      </c>
      <c r="N32" s="1">
        <f>MIN('Total per Region'!$N$26,N31+M32)</f>
        <v>1838.1142564028792</v>
      </c>
      <c r="O32" s="17">
        <f t="shared" si="6"/>
        <v>13.024820564516176</v>
      </c>
      <c r="P32" s="16">
        <f>(2*O32)/$N$13*'Total per Region'!$R$26</f>
        <v>65127.313278721995</v>
      </c>
      <c r="R32" s="5" t="s">
        <v>443</v>
      </c>
      <c r="S32" s="1">
        <v>13</v>
      </c>
    </row>
    <row r="33" spans="1:19" x14ac:dyDescent="0.25">
      <c r="A33">
        <v>11</v>
      </c>
      <c r="B33">
        <v>1</v>
      </c>
      <c r="C33" t="s">
        <v>22</v>
      </c>
      <c r="D33" s="2" t="s">
        <v>4</v>
      </c>
      <c r="E33" s="1">
        <v>2681</v>
      </c>
      <c r="F33" s="1">
        <v>763</v>
      </c>
      <c r="G33" s="1">
        <v>195</v>
      </c>
      <c r="H33" s="1">
        <f t="shared" si="0"/>
        <v>860.5</v>
      </c>
      <c r="I33" s="10">
        <f t="shared" si="1"/>
        <v>0.32096232748974263</v>
      </c>
      <c r="J33" s="10">
        <f t="shared" si="3"/>
        <v>0.32096232748974263</v>
      </c>
      <c r="K33" s="1">
        <f t="shared" si="4"/>
        <v>276.18808280492351</v>
      </c>
      <c r="L33" s="12">
        <f t="shared" si="2"/>
        <v>107.71335229392017</v>
      </c>
      <c r="M33" s="1">
        <f t="shared" si="5"/>
        <v>107.71335229392017</v>
      </c>
      <c r="N33" s="1">
        <f>MIN('Total per Region'!$N$26,N32+M33)</f>
        <v>1945.8276086967994</v>
      </c>
      <c r="O33" s="17">
        <f t="shared" si="6"/>
        <v>53.856676146960126</v>
      </c>
      <c r="P33" s="16">
        <f>(2*O33)/$N$13*'Total per Region'!$R$26</f>
        <v>269296.65573508333</v>
      </c>
      <c r="R33" s="5" t="s">
        <v>441</v>
      </c>
      <c r="S33" s="1">
        <v>13</v>
      </c>
    </row>
    <row r="34" spans="1:19" x14ac:dyDescent="0.25">
      <c r="A34">
        <v>831</v>
      </c>
      <c r="B34">
        <v>1</v>
      </c>
      <c r="C34" t="s">
        <v>21</v>
      </c>
      <c r="D34" s="2" t="s">
        <v>4</v>
      </c>
      <c r="E34" s="1">
        <v>448</v>
      </c>
      <c r="F34" s="1">
        <v>118</v>
      </c>
      <c r="G34" s="1">
        <v>42</v>
      </c>
      <c r="H34" s="1">
        <f t="shared" si="0"/>
        <v>139</v>
      </c>
      <c r="I34" s="10">
        <f t="shared" si="1"/>
        <v>0.31026785714285715</v>
      </c>
      <c r="J34" s="10">
        <f t="shared" si="3"/>
        <v>0.31026785714285715</v>
      </c>
      <c r="K34" s="1">
        <f t="shared" si="4"/>
        <v>43.127232142857146</v>
      </c>
      <c r="L34" s="12">
        <f t="shared" si="2"/>
        <v>16.819620535714286</v>
      </c>
      <c r="M34" s="1">
        <f t="shared" si="5"/>
        <v>16.819620535714286</v>
      </c>
      <c r="N34" s="1">
        <f>MIN('Total per Region'!$N$26,N33+M34)</f>
        <v>1962.6472292325136</v>
      </c>
      <c r="O34" s="17">
        <f t="shared" si="6"/>
        <v>8.4098102678570967</v>
      </c>
      <c r="P34" s="16">
        <f>(2*O34)/$N$13*'Total per Region'!$R$26</f>
        <v>42051.124252834379</v>
      </c>
      <c r="R34" s="5" t="s">
        <v>442</v>
      </c>
      <c r="S34" s="1">
        <v>14</v>
      </c>
    </row>
    <row r="35" spans="1:19" x14ac:dyDescent="0.25">
      <c r="A35">
        <v>16</v>
      </c>
      <c r="B35">
        <v>1</v>
      </c>
      <c r="C35" t="s">
        <v>26</v>
      </c>
      <c r="D35" s="2" t="s">
        <v>4</v>
      </c>
      <c r="E35" s="1">
        <v>484</v>
      </c>
      <c r="F35" s="1">
        <v>134</v>
      </c>
      <c r="G35" s="1">
        <v>23</v>
      </c>
      <c r="H35" s="1">
        <f t="shared" si="0"/>
        <v>145.5</v>
      </c>
      <c r="I35" s="10">
        <f t="shared" si="1"/>
        <v>0.30061983471074383</v>
      </c>
      <c r="J35" s="10">
        <f t="shared" si="3"/>
        <v>0.30061983471074383</v>
      </c>
      <c r="K35" s="1">
        <f t="shared" si="4"/>
        <v>43.740185950413228</v>
      </c>
      <c r="L35" s="12">
        <f t="shared" si="2"/>
        <v>17.058672520661158</v>
      </c>
      <c r="M35" s="1">
        <f t="shared" si="5"/>
        <v>17.058672520661158</v>
      </c>
      <c r="N35" s="1">
        <f>MIN('Total per Region'!$N$26,N34+M35)</f>
        <v>1979.7059017531747</v>
      </c>
      <c r="O35" s="17">
        <f t="shared" si="6"/>
        <v>8.5293362603305241</v>
      </c>
      <c r="P35" s="16">
        <f>(2*O35)/$N$13*'Total per Region'!$R$26</f>
        <v>42648.783676870837</v>
      </c>
      <c r="R35" s="5" t="s">
        <v>441</v>
      </c>
      <c r="S35" s="1">
        <v>13</v>
      </c>
    </row>
    <row r="36" spans="1:19" x14ac:dyDescent="0.25">
      <c r="A36">
        <v>621</v>
      </c>
      <c r="B36">
        <v>1</v>
      </c>
      <c r="C36" t="s">
        <v>24</v>
      </c>
      <c r="D36" s="2" t="s">
        <v>4</v>
      </c>
      <c r="E36" s="1">
        <v>781</v>
      </c>
      <c r="F36" s="1">
        <v>207</v>
      </c>
      <c r="G36" s="1">
        <v>32</v>
      </c>
      <c r="H36" s="1">
        <f t="shared" si="0"/>
        <v>223</v>
      </c>
      <c r="I36" s="10">
        <f t="shared" si="1"/>
        <v>0.28553137003841228</v>
      </c>
      <c r="J36" s="10">
        <f t="shared" si="3"/>
        <v>0.28553137003841228</v>
      </c>
      <c r="K36" s="1">
        <f t="shared" si="4"/>
        <v>63.673495518565936</v>
      </c>
      <c r="L36" s="12">
        <f t="shared" si="2"/>
        <v>24.832663252240717</v>
      </c>
      <c r="M36" s="1">
        <f t="shared" si="5"/>
        <v>24.832663252240717</v>
      </c>
      <c r="N36" s="1">
        <f>MIN('Total per Region'!$N$26,N35+M36)</f>
        <v>2004.5385650054154</v>
      </c>
      <c r="O36" s="17">
        <f t="shared" si="6"/>
        <v>12.416331626120382</v>
      </c>
      <c r="P36" s="16">
        <f>(2*O36)/$N$13*'Total per Region'!$R$26</f>
        <v>62084.718601793946</v>
      </c>
      <c r="R36" s="5" t="s">
        <v>439</v>
      </c>
      <c r="S36" s="1">
        <v>12</v>
      </c>
    </row>
    <row r="37" spans="1:19" x14ac:dyDescent="0.25">
      <c r="A37">
        <v>111</v>
      </c>
      <c r="B37">
        <v>1</v>
      </c>
      <c r="C37" t="s">
        <v>25</v>
      </c>
      <c r="D37" s="2" t="s">
        <v>4</v>
      </c>
      <c r="E37" s="1">
        <v>118</v>
      </c>
      <c r="F37" s="1">
        <v>22</v>
      </c>
      <c r="G37" s="1">
        <v>16</v>
      </c>
      <c r="H37" s="1">
        <f t="shared" si="0"/>
        <v>30</v>
      </c>
      <c r="I37" s="10">
        <f t="shared" si="1"/>
        <v>0.25423728813559321</v>
      </c>
      <c r="J37" s="10">
        <f t="shared" si="3"/>
        <v>0.25423728813559321</v>
      </c>
      <c r="K37" s="1">
        <f t="shared" si="4"/>
        <v>7.6271186440677958</v>
      </c>
      <c r="L37" s="12">
        <f t="shared" si="2"/>
        <v>2.9745762711864403</v>
      </c>
      <c r="M37" s="1">
        <f t="shared" si="5"/>
        <v>2.9745762711864403</v>
      </c>
      <c r="N37" s="1">
        <f>MIN('Total per Region'!$N$26,N36+M37)</f>
        <v>2007.5131412766018</v>
      </c>
      <c r="O37" s="17">
        <f t="shared" si="6"/>
        <v>1.4872881355931895</v>
      </c>
      <c r="P37" s="16">
        <f>(2*O37)/$N$13*'Total per Region'!$R$26</f>
        <v>7436.8072759781717</v>
      </c>
      <c r="R37" s="5" t="s">
        <v>469</v>
      </c>
      <c r="S37" s="1">
        <v>15</v>
      </c>
    </row>
    <row r="38" spans="1:19" x14ac:dyDescent="0.25">
      <c r="A38">
        <v>15</v>
      </c>
      <c r="B38">
        <v>1</v>
      </c>
      <c r="C38" t="s">
        <v>27</v>
      </c>
      <c r="D38" s="2" t="s">
        <v>4</v>
      </c>
      <c r="E38" s="1">
        <v>318</v>
      </c>
      <c r="F38" s="1">
        <v>66</v>
      </c>
      <c r="G38" s="1">
        <v>29</v>
      </c>
      <c r="H38" s="1">
        <f t="shared" si="0"/>
        <v>80.5</v>
      </c>
      <c r="I38" s="10">
        <f t="shared" si="1"/>
        <v>0.25314465408805031</v>
      </c>
      <c r="J38" s="10">
        <f t="shared" si="3"/>
        <v>0.25314465408805031</v>
      </c>
      <c r="K38" s="1">
        <f t="shared" si="4"/>
        <v>20.37814465408805</v>
      </c>
      <c r="L38" s="12">
        <f t="shared" si="2"/>
        <v>7.9474764150943402</v>
      </c>
      <c r="M38" s="1">
        <f t="shared" si="5"/>
        <v>7.9474764150943402</v>
      </c>
      <c r="N38" s="1">
        <f>MIN('Total per Region'!$N$26,N37+M38)</f>
        <v>2015.4606176916961</v>
      </c>
      <c r="O38" s="17">
        <f t="shared" si="6"/>
        <v>3.9737382075471714</v>
      </c>
      <c r="P38" s="16">
        <f>(2*O38)/$N$13*'Total per Region'!$R$26</f>
        <v>19869.670514740428</v>
      </c>
      <c r="R38" s="5" t="s">
        <v>441</v>
      </c>
      <c r="S38" s="1">
        <v>13</v>
      </c>
    </row>
    <row r="39" spans="1:19" x14ac:dyDescent="0.25">
      <c r="A39">
        <v>108</v>
      </c>
      <c r="B39">
        <v>1</v>
      </c>
      <c r="C39" t="s">
        <v>32</v>
      </c>
      <c r="D39" s="2" t="s">
        <v>4</v>
      </c>
      <c r="E39" s="1">
        <v>91</v>
      </c>
      <c r="F39" s="1">
        <v>23</v>
      </c>
      <c r="G39" s="1">
        <v>0</v>
      </c>
      <c r="H39" s="1">
        <f t="shared" si="0"/>
        <v>23</v>
      </c>
      <c r="I39" s="10">
        <f t="shared" si="1"/>
        <v>0.25274725274725274</v>
      </c>
      <c r="J39" s="10">
        <f t="shared" si="3"/>
        <v>0.25274725274725274</v>
      </c>
      <c r="K39" s="1">
        <f t="shared" si="4"/>
        <v>5.813186813186813</v>
      </c>
      <c r="L39" s="12">
        <f t="shared" si="2"/>
        <v>2.2671428571428573</v>
      </c>
      <c r="M39" s="1">
        <f t="shared" si="5"/>
        <v>2.2671428571428573</v>
      </c>
      <c r="N39" s="1">
        <f>MIN('Total per Region'!$N$26,N38+M39)</f>
        <v>2017.7277605488389</v>
      </c>
      <c r="O39" s="17">
        <f t="shared" si="6"/>
        <v>1.1335714285713721</v>
      </c>
      <c r="P39" s="16">
        <f>(2*O39)/$N$13*'Total per Region'!$R$26</f>
        <v>5668.1365541037349</v>
      </c>
      <c r="R39" s="5" t="s">
        <v>469</v>
      </c>
      <c r="S39" s="1">
        <v>15</v>
      </c>
    </row>
    <row r="40" spans="1:19" x14ac:dyDescent="0.25">
      <c r="A40">
        <v>272</v>
      </c>
      <c r="B40">
        <v>1</v>
      </c>
      <c r="C40" t="s">
        <v>30</v>
      </c>
      <c r="D40" s="2" t="s">
        <v>4</v>
      </c>
      <c r="E40" s="1">
        <v>671</v>
      </c>
      <c r="F40" s="1">
        <v>159</v>
      </c>
      <c r="G40" s="1">
        <v>21</v>
      </c>
      <c r="H40" s="1">
        <f t="shared" si="0"/>
        <v>169.5</v>
      </c>
      <c r="I40" s="10">
        <f t="shared" si="1"/>
        <v>0.25260804769001488</v>
      </c>
      <c r="J40" s="10">
        <f t="shared" si="3"/>
        <v>0.25260804769001488</v>
      </c>
      <c r="K40" s="1">
        <f t="shared" si="4"/>
        <v>42.817064083457524</v>
      </c>
      <c r="L40" s="12">
        <f t="shared" si="2"/>
        <v>16.698654992548434</v>
      </c>
      <c r="M40" s="1">
        <f t="shared" si="5"/>
        <v>16.698654992548434</v>
      </c>
      <c r="N40" s="1">
        <f>MIN('Total per Region'!$N$26,N39+M40)</f>
        <v>2034.4264155413873</v>
      </c>
      <c r="O40" s="17">
        <f t="shared" si="6"/>
        <v>8.3493274962742134</v>
      </c>
      <c r="P40" s="16">
        <f>(2*O40)/$N$13*'Total per Region'!$R$26</f>
        <v>41748.695486669625</v>
      </c>
      <c r="R40" t="s">
        <v>438</v>
      </c>
      <c r="S40" s="1">
        <v>12</v>
      </c>
    </row>
    <row r="41" spans="1:19" x14ac:dyDescent="0.25">
      <c r="A41">
        <v>717</v>
      </c>
      <c r="B41">
        <v>1</v>
      </c>
      <c r="C41" t="s">
        <v>28</v>
      </c>
      <c r="D41" s="2" t="s">
        <v>4</v>
      </c>
      <c r="E41" s="1">
        <v>127</v>
      </c>
      <c r="F41" s="1">
        <v>29</v>
      </c>
      <c r="G41" s="1">
        <v>6</v>
      </c>
      <c r="H41" s="1">
        <f t="shared" si="0"/>
        <v>32</v>
      </c>
      <c r="I41" s="10">
        <f t="shared" si="1"/>
        <v>0.25196850393700787</v>
      </c>
      <c r="J41" s="10">
        <f t="shared" si="3"/>
        <v>0.25196850393700787</v>
      </c>
      <c r="K41" s="1">
        <f t="shared" si="4"/>
        <v>8.0629921259842519</v>
      </c>
      <c r="L41" s="12">
        <f t="shared" si="2"/>
        <v>3.1445669291338585</v>
      </c>
      <c r="M41" s="1">
        <f t="shared" si="5"/>
        <v>3.1445669291338585</v>
      </c>
      <c r="N41" s="1">
        <f>MIN('Total per Region'!$N$26,N40+M41)</f>
        <v>2037.5709824705211</v>
      </c>
      <c r="O41" s="17">
        <f t="shared" si="6"/>
        <v>1.5722834645669082</v>
      </c>
      <c r="P41" s="16">
        <f>(2*O41)/$N$13*'Total per Region'!$R$26</f>
        <v>7861.8048711373658</v>
      </c>
      <c r="R41" t="s">
        <v>443</v>
      </c>
      <c r="S41" s="1">
        <v>13</v>
      </c>
    </row>
    <row r="42" spans="1:19" x14ac:dyDescent="0.25">
      <c r="A42">
        <v>624</v>
      </c>
      <c r="B42">
        <v>1</v>
      </c>
      <c r="C42" t="s">
        <v>36</v>
      </c>
      <c r="D42" s="2" t="s">
        <v>4</v>
      </c>
      <c r="E42" s="1">
        <v>628</v>
      </c>
      <c r="F42" s="1">
        <v>137</v>
      </c>
      <c r="G42" s="1">
        <v>36</v>
      </c>
      <c r="H42" s="1">
        <f t="shared" si="0"/>
        <v>155</v>
      </c>
      <c r="I42" s="10">
        <f t="shared" si="1"/>
        <v>0.24681528662420382</v>
      </c>
      <c r="J42" s="10">
        <f t="shared" si="3"/>
        <v>0.24681528662420382</v>
      </c>
      <c r="K42" s="1">
        <f t="shared" si="4"/>
        <v>38.25636942675159</v>
      </c>
      <c r="L42" s="12">
        <f t="shared" si="2"/>
        <v>14.919984076433121</v>
      </c>
      <c r="M42" s="1">
        <f t="shared" si="5"/>
        <v>14.919984076433121</v>
      </c>
      <c r="N42" s="1">
        <f>MIN('Total per Region'!$N$26,N41+M42)</f>
        <v>2052.490966546954</v>
      </c>
      <c r="O42" s="17">
        <f t="shared" si="6"/>
        <v>7.4599920382164555</v>
      </c>
      <c r="P42" s="16">
        <f>(2*O42)/$N$13*'Total per Region'!$R$26</f>
        <v>37301.798986260539</v>
      </c>
      <c r="R42" t="s">
        <v>439</v>
      </c>
      <c r="S42" s="1">
        <v>12</v>
      </c>
    </row>
    <row r="43" spans="1:19" s="13" customFormat="1" x14ac:dyDescent="0.25">
      <c r="A43" s="13">
        <v>196</v>
      </c>
      <c r="B43" s="13">
        <v>1</v>
      </c>
      <c r="C43" s="13" t="s">
        <v>31</v>
      </c>
      <c r="D43" s="20" t="s">
        <v>4</v>
      </c>
      <c r="E43" s="12">
        <v>1918</v>
      </c>
      <c r="F43" s="12">
        <v>415</v>
      </c>
      <c r="G43" s="12">
        <v>74</v>
      </c>
      <c r="H43" s="12">
        <f t="shared" si="0"/>
        <v>452</v>
      </c>
      <c r="I43" s="21">
        <f t="shared" si="1"/>
        <v>0.23566214807090718</v>
      </c>
      <c r="J43" s="21">
        <f t="shared" si="3"/>
        <v>0.23566214807090718</v>
      </c>
      <c r="K43" s="12">
        <f t="shared" si="4"/>
        <v>106.51929092805005</v>
      </c>
      <c r="L43" s="12">
        <f t="shared" si="2"/>
        <v>41.542523461939524</v>
      </c>
      <c r="M43" s="12">
        <f t="shared" si="5"/>
        <v>41.542523461939524</v>
      </c>
      <c r="N43" s="12">
        <f>MIN('Total per Region'!$N$26,N42+M43)</f>
        <v>2091.6216625549591</v>
      </c>
      <c r="O43" s="17">
        <f t="shared" si="6"/>
        <v>19.565348004002544</v>
      </c>
      <c r="P43" s="16">
        <f>(2*O43)/$N$13*'Total per Region'!$R$26</f>
        <v>97831.562634753645</v>
      </c>
      <c r="R43" s="13" t="s">
        <v>440</v>
      </c>
      <c r="S43" s="12">
        <v>13</v>
      </c>
    </row>
    <row r="44" spans="1:19" x14ac:dyDescent="0.25">
      <c r="A44">
        <v>200</v>
      </c>
      <c r="B44">
        <v>1</v>
      </c>
      <c r="C44" t="s">
        <v>29</v>
      </c>
      <c r="D44" s="2" t="s">
        <v>4</v>
      </c>
      <c r="E44" s="1">
        <v>311</v>
      </c>
      <c r="F44" s="1">
        <v>61</v>
      </c>
      <c r="G44" s="1">
        <v>22</v>
      </c>
      <c r="H44" s="1">
        <f t="shared" si="0"/>
        <v>72</v>
      </c>
      <c r="I44" s="10">
        <f t="shared" si="1"/>
        <v>0.23151125401929259</v>
      </c>
      <c r="J44" s="10">
        <f t="shared" si="3"/>
        <v>0.23151125401929259</v>
      </c>
      <c r="K44" s="1">
        <f t="shared" si="4"/>
        <v>16.668810289389068</v>
      </c>
      <c r="L44" s="12">
        <f t="shared" si="2"/>
        <v>6.5008360128617371</v>
      </c>
      <c r="M44" s="1">
        <f t="shared" si="5"/>
        <v>6.5008360128617371</v>
      </c>
      <c r="N44" s="1">
        <f>MIN('Total per Region'!$N$26,N43+M44)</f>
        <v>2091.6216625549591</v>
      </c>
      <c r="O44" s="17">
        <f t="shared" si="6"/>
        <v>0</v>
      </c>
      <c r="P44" s="16">
        <f>(2*O44)/$N$13*'Total per Region'!$R$26</f>
        <v>0</v>
      </c>
      <c r="R44" s="13" t="s">
        <v>440</v>
      </c>
      <c r="S44" s="1">
        <v>13</v>
      </c>
    </row>
    <row r="45" spans="1:19" x14ac:dyDescent="0.25">
      <c r="A45">
        <v>112</v>
      </c>
      <c r="B45">
        <v>1</v>
      </c>
      <c r="C45" t="s">
        <v>37</v>
      </c>
      <c r="D45" s="2" t="s">
        <v>4</v>
      </c>
      <c r="E45" s="1">
        <v>664</v>
      </c>
      <c r="F45" s="1">
        <v>121</v>
      </c>
      <c r="G45" s="1">
        <v>29</v>
      </c>
      <c r="H45" s="1">
        <f t="shared" si="0"/>
        <v>135.5</v>
      </c>
      <c r="I45" s="10">
        <f t="shared" si="1"/>
        <v>0.20406626506024098</v>
      </c>
      <c r="J45" s="10">
        <f t="shared" si="3"/>
        <v>0.20406626506024098</v>
      </c>
      <c r="K45" s="1">
        <f t="shared" si="4"/>
        <v>27.650978915662652</v>
      </c>
      <c r="L45" s="12">
        <f t="shared" si="2"/>
        <v>10.783881777108435</v>
      </c>
      <c r="M45" s="1">
        <f t="shared" si="5"/>
        <v>10.783881777108435</v>
      </c>
      <c r="N45" s="1">
        <f>MIN('Total per Region'!$N$26,N44+M45)</f>
        <v>2091.6216625549591</v>
      </c>
      <c r="O45" s="17">
        <f t="shared" si="6"/>
        <v>0</v>
      </c>
      <c r="P45" s="16">
        <f>(2*O45)/$N$13*'Total per Region'!$R$26</f>
        <v>0</v>
      </c>
      <c r="R45" t="s">
        <v>469</v>
      </c>
      <c r="S45" s="1">
        <v>15</v>
      </c>
    </row>
    <row r="46" spans="1:19" x14ac:dyDescent="0.25">
      <c r="A46">
        <v>833</v>
      </c>
      <c r="B46">
        <v>1</v>
      </c>
      <c r="C46" t="s">
        <v>34</v>
      </c>
      <c r="D46" s="2" t="s">
        <v>4</v>
      </c>
      <c r="E46" s="1">
        <v>1153</v>
      </c>
      <c r="F46" s="1">
        <v>190</v>
      </c>
      <c r="G46" s="1">
        <v>73</v>
      </c>
      <c r="H46" s="1">
        <f t="shared" si="0"/>
        <v>226.5</v>
      </c>
      <c r="I46" s="10">
        <f t="shared" si="1"/>
        <v>0.19644405897658282</v>
      </c>
      <c r="J46" s="10">
        <f t="shared" si="3"/>
        <v>0.19644405897658282</v>
      </c>
      <c r="K46" s="1">
        <f t="shared" si="4"/>
        <v>44.494579358196006</v>
      </c>
      <c r="L46" s="12">
        <f t="shared" si="2"/>
        <v>17.352885949696443</v>
      </c>
      <c r="M46" s="1">
        <f t="shared" si="5"/>
        <v>17.352885949696443</v>
      </c>
      <c r="N46" s="1">
        <f>MIN('Total per Region'!$N$26,N45+M46)</f>
        <v>2091.6216625549591</v>
      </c>
      <c r="O46" s="17">
        <f t="shared" si="6"/>
        <v>0</v>
      </c>
      <c r="P46" s="16">
        <f>(2*O46)/$N$13*'Total per Region'!$R$26</f>
        <v>0</v>
      </c>
      <c r="R46" t="s">
        <v>442</v>
      </c>
      <c r="S46" s="1">
        <v>13</v>
      </c>
    </row>
    <row r="47" spans="1:19" x14ac:dyDescent="0.25">
      <c r="A47">
        <v>277</v>
      </c>
      <c r="B47">
        <v>1</v>
      </c>
      <c r="C47" t="s">
        <v>33</v>
      </c>
      <c r="D47" s="2" t="s">
        <v>4</v>
      </c>
      <c r="E47" s="1">
        <v>171</v>
      </c>
      <c r="F47" s="1">
        <v>30</v>
      </c>
      <c r="G47" s="1">
        <v>6</v>
      </c>
      <c r="H47" s="1">
        <f t="shared" si="0"/>
        <v>33</v>
      </c>
      <c r="I47" s="10">
        <f t="shared" si="1"/>
        <v>0.19298245614035087</v>
      </c>
      <c r="J47" s="10">
        <f t="shared" si="3"/>
        <v>0.19298245614035087</v>
      </c>
      <c r="K47" s="1">
        <f t="shared" si="4"/>
        <v>6.3684210526315788</v>
      </c>
      <c r="L47" s="12">
        <f t="shared" si="2"/>
        <v>2.4836842105263157</v>
      </c>
      <c r="M47" s="1">
        <f t="shared" si="5"/>
        <v>2.4836842105263157</v>
      </c>
      <c r="N47" s="1">
        <f>MIN('Total per Region'!$N$26,N46+M47)</f>
        <v>2091.6216625549591</v>
      </c>
      <c r="O47" s="17">
        <f t="shared" si="6"/>
        <v>0</v>
      </c>
      <c r="P47" s="16">
        <f>(2*O47)/$N$13*'Total per Region'!$R$26</f>
        <v>0</v>
      </c>
      <c r="R47" t="s">
        <v>438</v>
      </c>
      <c r="S47" s="1">
        <v>12</v>
      </c>
    </row>
    <row r="48" spans="1:19" x14ac:dyDescent="0.25">
      <c r="A48">
        <v>12</v>
      </c>
      <c r="B48">
        <v>1</v>
      </c>
      <c r="C48" t="s">
        <v>35</v>
      </c>
      <c r="D48" s="2" t="s">
        <v>4</v>
      </c>
      <c r="E48" s="1">
        <v>450</v>
      </c>
      <c r="F48" s="1">
        <v>77</v>
      </c>
      <c r="G48" s="1">
        <v>17</v>
      </c>
      <c r="H48" s="1">
        <f t="shared" si="0"/>
        <v>85.5</v>
      </c>
      <c r="I48" s="10">
        <f t="shared" si="1"/>
        <v>0.19</v>
      </c>
      <c r="J48" s="10">
        <f t="shared" si="3"/>
        <v>0.19</v>
      </c>
      <c r="K48" s="1">
        <f t="shared" si="4"/>
        <v>16.245000000000001</v>
      </c>
      <c r="L48" s="12">
        <f t="shared" si="2"/>
        <v>6.3355500000000005</v>
      </c>
      <c r="M48" s="1">
        <f t="shared" si="5"/>
        <v>6.3355500000000005</v>
      </c>
      <c r="N48" s="1">
        <f>MIN('Total per Region'!$N$26,N47+M48)</f>
        <v>2091.6216625549591</v>
      </c>
      <c r="O48" s="17">
        <f t="shared" si="6"/>
        <v>0</v>
      </c>
      <c r="P48" s="16">
        <f>(2*O48)/$N$13*'Total per Region'!$R$26</f>
        <v>0</v>
      </c>
      <c r="R48" t="s">
        <v>441</v>
      </c>
      <c r="S48" s="1">
        <v>13</v>
      </c>
    </row>
    <row r="49" spans="1:19" x14ac:dyDescent="0.25">
      <c r="A49">
        <v>282</v>
      </c>
      <c r="B49">
        <v>1</v>
      </c>
      <c r="C49" t="s">
        <v>39</v>
      </c>
      <c r="D49" s="2" t="s">
        <v>4</v>
      </c>
      <c r="E49" s="1">
        <v>89</v>
      </c>
      <c r="F49" s="1">
        <v>15</v>
      </c>
      <c r="G49" s="1">
        <v>2</v>
      </c>
      <c r="H49" s="1">
        <f t="shared" si="0"/>
        <v>16</v>
      </c>
      <c r="I49" s="10">
        <f t="shared" si="1"/>
        <v>0.1797752808988764</v>
      </c>
      <c r="J49" s="10">
        <f t="shared" si="3"/>
        <v>0.1797752808988764</v>
      </c>
      <c r="K49" s="1">
        <f t="shared" si="4"/>
        <v>2.8764044943820224</v>
      </c>
      <c r="L49" s="12">
        <f t="shared" si="2"/>
        <v>1.1217977528089889</v>
      </c>
      <c r="M49" s="1">
        <f t="shared" si="5"/>
        <v>1.1217977528089889</v>
      </c>
      <c r="N49" s="1">
        <f>MIN('Total per Region'!$N$26,N48+M49)</f>
        <v>2091.6216625549591</v>
      </c>
      <c r="O49" s="17">
        <f t="shared" si="6"/>
        <v>0</v>
      </c>
      <c r="P49" s="16">
        <f>(2*O49)/$N$13*'Total per Region'!$R$26</f>
        <v>0</v>
      </c>
      <c r="R49" t="s">
        <v>438</v>
      </c>
      <c r="S49" s="1">
        <v>12</v>
      </c>
    </row>
    <row r="50" spans="1:19" x14ac:dyDescent="0.25">
      <c r="A50">
        <v>834</v>
      </c>
      <c r="B50">
        <v>1</v>
      </c>
      <c r="C50" t="s">
        <v>38</v>
      </c>
      <c r="D50" s="2" t="s">
        <v>4</v>
      </c>
      <c r="E50" s="1">
        <v>495</v>
      </c>
      <c r="F50" s="1">
        <v>78</v>
      </c>
      <c r="G50" s="1">
        <v>19</v>
      </c>
      <c r="H50" s="1">
        <f t="shared" si="0"/>
        <v>87.5</v>
      </c>
      <c r="I50" s="10">
        <f t="shared" si="1"/>
        <v>0.17676767676767677</v>
      </c>
      <c r="J50" s="10">
        <f t="shared" si="3"/>
        <v>0.17676767676767677</v>
      </c>
      <c r="K50" s="1">
        <f t="shared" si="4"/>
        <v>15.467171717171718</v>
      </c>
      <c r="L50" s="12">
        <f t="shared" si="2"/>
        <v>6.0321969696969706</v>
      </c>
      <c r="M50" s="1">
        <f t="shared" si="5"/>
        <v>6.0321969696969706</v>
      </c>
      <c r="N50" s="1">
        <f>MIN('Total per Region'!$N$26,N49+M50)</f>
        <v>2091.6216625549591</v>
      </c>
      <c r="O50" s="17">
        <f t="shared" si="6"/>
        <v>0</v>
      </c>
      <c r="P50" s="16">
        <f>(2*O50)/$N$13*'Total per Region'!$R$26</f>
        <v>0</v>
      </c>
      <c r="R50" t="s">
        <v>442</v>
      </c>
      <c r="S50" s="1">
        <v>14</v>
      </c>
    </row>
    <row r="51" spans="1:19" x14ac:dyDescent="0.25">
      <c r="A51">
        <v>716</v>
      </c>
      <c r="B51">
        <v>1</v>
      </c>
      <c r="C51" t="s">
        <v>41</v>
      </c>
      <c r="D51" s="2" t="s">
        <v>4</v>
      </c>
      <c r="E51" s="1">
        <v>144</v>
      </c>
      <c r="F51" s="1">
        <v>22</v>
      </c>
      <c r="G51" s="1">
        <v>5</v>
      </c>
      <c r="H51" s="1">
        <f t="shared" si="0"/>
        <v>24.5</v>
      </c>
      <c r="I51" s="10">
        <f t="shared" si="1"/>
        <v>0.1701388888888889</v>
      </c>
      <c r="J51" s="10">
        <f t="shared" si="3"/>
        <v>0.1701388888888889</v>
      </c>
      <c r="K51" s="1">
        <f t="shared" si="4"/>
        <v>4.1684027777777777</v>
      </c>
      <c r="L51" s="12">
        <f t="shared" si="2"/>
        <v>1.6256770833333334</v>
      </c>
      <c r="M51" s="1">
        <f t="shared" si="5"/>
        <v>1.6256770833333334</v>
      </c>
      <c r="N51" s="1">
        <f>MIN('Total per Region'!$N$26,N50+M51)</f>
        <v>2091.6216625549591</v>
      </c>
      <c r="O51" s="17">
        <f t="shared" si="6"/>
        <v>0</v>
      </c>
      <c r="P51" s="16">
        <f>(2*O51)/$N$13*'Total per Region'!$R$26</f>
        <v>0</v>
      </c>
      <c r="R51" t="s">
        <v>443</v>
      </c>
      <c r="S51" s="1">
        <v>13</v>
      </c>
    </row>
    <row r="52" spans="1:19" x14ac:dyDescent="0.25">
      <c r="A52">
        <v>721</v>
      </c>
      <c r="B52">
        <v>1</v>
      </c>
      <c r="C52" t="s">
        <v>40</v>
      </c>
      <c r="D52" s="2" t="s">
        <v>4</v>
      </c>
      <c r="E52" s="1">
        <v>287</v>
      </c>
      <c r="F52" s="1">
        <v>41</v>
      </c>
      <c r="G52" s="1">
        <v>11</v>
      </c>
      <c r="H52" s="1">
        <f t="shared" si="0"/>
        <v>46.5</v>
      </c>
      <c r="I52" s="10">
        <f t="shared" si="1"/>
        <v>0.16202090592334495</v>
      </c>
      <c r="J52" s="10">
        <f t="shared" si="3"/>
        <v>0.16202090592334495</v>
      </c>
      <c r="K52" s="1">
        <f t="shared" si="4"/>
        <v>7.5339721254355405</v>
      </c>
      <c r="L52" s="12">
        <f t="shared" si="2"/>
        <v>2.9382491289198609</v>
      </c>
      <c r="M52" s="1">
        <f t="shared" si="5"/>
        <v>2.9382491289198609</v>
      </c>
      <c r="N52" s="1">
        <f>MIN('Total per Region'!$N$26,N51+M52)</f>
        <v>2091.6216625549591</v>
      </c>
      <c r="O52" s="17">
        <f t="shared" si="6"/>
        <v>0</v>
      </c>
      <c r="P52" s="16">
        <f>(2*O52)/$N$13*'Total per Region'!$R$26</f>
        <v>0</v>
      </c>
      <c r="R52" t="s">
        <v>443</v>
      </c>
      <c r="S52" s="1">
        <v>13</v>
      </c>
    </row>
    <row r="53" spans="1:19" x14ac:dyDescent="0.25">
      <c r="A53">
        <v>194</v>
      </c>
      <c r="B53">
        <v>1</v>
      </c>
      <c r="C53" t="s">
        <v>43</v>
      </c>
      <c r="D53" s="2" t="s">
        <v>4</v>
      </c>
      <c r="E53" s="1">
        <v>612</v>
      </c>
      <c r="F53" s="1">
        <v>76</v>
      </c>
      <c r="G53" s="1">
        <v>17</v>
      </c>
      <c r="H53" s="1">
        <f t="shared" si="0"/>
        <v>84.5</v>
      </c>
      <c r="I53" s="10">
        <f t="shared" si="1"/>
        <v>0.13807189542483661</v>
      </c>
      <c r="J53" s="10">
        <f t="shared" si="3"/>
        <v>0.13807189542483661</v>
      </c>
      <c r="K53" s="1">
        <f t="shared" si="4"/>
        <v>11.667075163398694</v>
      </c>
      <c r="L53" s="12">
        <f t="shared" si="2"/>
        <v>4.5501593137254908</v>
      </c>
      <c r="M53" s="1">
        <f t="shared" si="5"/>
        <v>4.5501593137254908</v>
      </c>
      <c r="N53" s="1">
        <f>MIN('Total per Region'!$N$26,N52+M53)</f>
        <v>2091.6216625549591</v>
      </c>
      <c r="O53" s="17">
        <f t="shared" si="6"/>
        <v>0</v>
      </c>
      <c r="P53" s="16">
        <f>(2*O53)/$N$13*'Total per Region'!$R$26</f>
        <v>0</v>
      </c>
      <c r="R53" t="s">
        <v>440</v>
      </c>
      <c r="S53" s="1">
        <v>13</v>
      </c>
    </row>
    <row r="54" spans="1:19" x14ac:dyDescent="0.25">
      <c r="A54">
        <v>195</v>
      </c>
      <c r="B54">
        <v>1</v>
      </c>
      <c r="C54" t="s">
        <v>42</v>
      </c>
      <c r="D54" s="2" t="s">
        <v>4</v>
      </c>
      <c r="E54" s="1">
        <v>49</v>
      </c>
      <c r="F54" s="1">
        <v>5</v>
      </c>
      <c r="G54" s="1">
        <v>3</v>
      </c>
      <c r="H54" s="1">
        <f t="shared" si="0"/>
        <v>6.5</v>
      </c>
      <c r="I54" s="10">
        <f t="shared" si="1"/>
        <v>0.1326530612244898</v>
      </c>
      <c r="J54" s="10">
        <f t="shared" si="3"/>
        <v>0.1326530612244898</v>
      </c>
      <c r="K54" s="1">
        <f t="shared" si="4"/>
        <v>0.86224489795918369</v>
      </c>
      <c r="L54" s="12">
        <f t="shared" si="2"/>
        <v>0.33627551020408164</v>
      </c>
      <c r="M54" s="1">
        <f t="shared" si="5"/>
        <v>0.33627551020408164</v>
      </c>
      <c r="N54" s="1">
        <f>MIN('Total per Region'!$N$26,N53+M54)</f>
        <v>2091.6216625549591</v>
      </c>
      <c r="O54" s="17">
        <f t="shared" si="6"/>
        <v>0</v>
      </c>
      <c r="P54" s="16">
        <f>(2*O54)/$N$13*'Total per Region'!$R$26</f>
        <v>0</v>
      </c>
      <c r="R54" t="s">
        <v>440</v>
      </c>
      <c r="S54" s="1">
        <v>13</v>
      </c>
    </row>
    <row r="55" spans="1:19" x14ac:dyDescent="0.25">
      <c r="A55">
        <v>192</v>
      </c>
      <c r="B55">
        <v>1</v>
      </c>
      <c r="C55" t="s">
        <v>44</v>
      </c>
      <c r="D55" s="2" t="s">
        <v>4</v>
      </c>
      <c r="E55" s="1">
        <v>582</v>
      </c>
      <c r="F55" s="1">
        <v>63</v>
      </c>
      <c r="G55" s="1">
        <v>27</v>
      </c>
      <c r="H55" s="1">
        <f t="shared" si="0"/>
        <v>76.5</v>
      </c>
      <c r="I55" s="10">
        <f t="shared" si="1"/>
        <v>0.13144329896907217</v>
      </c>
      <c r="J55" s="10">
        <f t="shared" si="3"/>
        <v>0.13144329896907217</v>
      </c>
      <c r="K55" s="1">
        <f t="shared" si="4"/>
        <v>10.055412371134022</v>
      </c>
      <c r="L55" s="12">
        <f t="shared" si="2"/>
        <v>3.9216108247422685</v>
      </c>
      <c r="M55" s="1">
        <f t="shared" si="5"/>
        <v>3.9216108247422685</v>
      </c>
      <c r="N55" s="1">
        <f>MIN('Total per Region'!$N$26,N54+M55)</f>
        <v>2091.6216625549591</v>
      </c>
      <c r="O55" s="17">
        <f t="shared" si="6"/>
        <v>0</v>
      </c>
      <c r="P55" s="16">
        <f>(2*O55)/$N$13*'Total per Region'!$R$26</f>
        <v>0</v>
      </c>
      <c r="R55" t="s">
        <v>440</v>
      </c>
      <c r="S55" s="1">
        <v>13</v>
      </c>
    </row>
    <row r="56" spans="1:19" x14ac:dyDescent="0.25">
      <c r="A56">
        <v>110</v>
      </c>
      <c r="B56">
        <v>1</v>
      </c>
      <c r="C56" t="s">
        <v>45</v>
      </c>
      <c r="D56" s="2" t="s">
        <v>4</v>
      </c>
      <c r="E56" s="1">
        <v>259</v>
      </c>
      <c r="F56" s="1">
        <v>26</v>
      </c>
      <c r="G56" s="1">
        <v>11</v>
      </c>
      <c r="H56" s="1">
        <f t="shared" si="0"/>
        <v>31.5</v>
      </c>
      <c r="I56" s="10">
        <f t="shared" si="1"/>
        <v>0.12162162162162163</v>
      </c>
      <c r="J56" s="10">
        <f t="shared" si="3"/>
        <v>0.12162162162162163</v>
      </c>
      <c r="K56" s="1">
        <f t="shared" si="4"/>
        <v>3.8310810810810811</v>
      </c>
      <c r="L56" s="12">
        <f t="shared" si="2"/>
        <v>1.4941216216216218</v>
      </c>
      <c r="M56" s="1">
        <f t="shared" si="5"/>
        <v>1.4941216216216218</v>
      </c>
      <c r="N56" s="1">
        <f>MIN('Total per Region'!$N$26,N55+M56)</f>
        <v>2091.6216625549591</v>
      </c>
      <c r="O56" s="17">
        <f t="shared" si="6"/>
        <v>0</v>
      </c>
      <c r="P56" s="16">
        <f>(2*O56)/$N$13*'Total per Region'!$R$26</f>
        <v>0</v>
      </c>
      <c r="R56" t="s">
        <v>469</v>
      </c>
      <c r="S56" s="1">
        <v>15</v>
      </c>
    </row>
    <row r="57" spans="1:19" x14ac:dyDescent="0.25">
      <c r="A57">
        <v>719</v>
      </c>
      <c r="B57">
        <v>1</v>
      </c>
      <c r="C57" t="s">
        <v>47</v>
      </c>
      <c r="D57" s="2" t="s">
        <v>4</v>
      </c>
      <c r="E57" s="1">
        <v>508</v>
      </c>
      <c r="F57" s="1">
        <v>54</v>
      </c>
      <c r="G57" s="1">
        <v>14</v>
      </c>
      <c r="H57" s="1">
        <f t="shared" si="0"/>
        <v>61</v>
      </c>
      <c r="I57" s="10">
        <f t="shared" si="1"/>
        <v>0.12007874015748031</v>
      </c>
      <c r="J57" s="10">
        <f t="shared" si="3"/>
        <v>0.12007874015748031</v>
      </c>
      <c r="K57" s="1">
        <f t="shared" si="4"/>
        <v>7.3248031496062991</v>
      </c>
      <c r="L57" s="12">
        <f t="shared" si="2"/>
        <v>2.8566732283464566</v>
      </c>
      <c r="M57" s="1">
        <f t="shared" si="5"/>
        <v>2.8566732283464566</v>
      </c>
      <c r="N57" s="1">
        <f>MIN('Total per Region'!$N$26,N56+M57)</f>
        <v>2091.6216625549591</v>
      </c>
      <c r="O57" s="17">
        <f t="shared" si="6"/>
        <v>0</v>
      </c>
      <c r="P57" s="16">
        <f>(2*O57)/$N$13*'Total per Region'!$R$26</f>
        <v>0</v>
      </c>
      <c r="R57" t="s">
        <v>443</v>
      </c>
      <c r="S57" s="1">
        <v>13</v>
      </c>
    </row>
    <row r="58" spans="1:19" x14ac:dyDescent="0.25">
      <c r="A58">
        <v>278</v>
      </c>
      <c r="B58">
        <v>1</v>
      </c>
      <c r="C58" t="s">
        <v>46</v>
      </c>
      <c r="D58" s="2" t="s">
        <v>4</v>
      </c>
      <c r="E58" s="1">
        <v>168</v>
      </c>
      <c r="F58" s="1">
        <v>17</v>
      </c>
      <c r="G58" s="1">
        <v>6</v>
      </c>
      <c r="H58" s="1">
        <f t="shared" si="0"/>
        <v>20</v>
      </c>
      <c r="I58" s="10">
        <f t="shared" si="1"/>
        <v>0.11904761904761904</v>
      </c>
      <c r="J58" s="10">
        <f t="shared" si="3"/>
        <v>0.11904761904761904</v>
      </c>
      <c r="K58" s="1">
        <f t="shared" si="4"/>
        <v>2.3809523809523809</v>
      </c>
      <c r="L58" s="12">
        <f t="shared" si="2"/>
        <v>0.9285714285714286</v>
      </c>
      <c r="M58" s="1">
        <f t="shared" si="5"/>
        <v>0.9285714285714286</v>
      </c>
      <c r="N58" s="1">
        <f>MIN('Total per Region'!$N$26,N57+M58)</f>
        <v>2091.6216625549591</v>
      </c>
      <c r="O58" s="17">
        <f t="shared" si="6"/>
        <v>0</v>
      </c>
      <c r="P58" s="16">
        <f>(2*O58)/$N$13*'Total per Region'!$R$26</f>
        <v>0</v>
      </c>
      <c r="R58" t="s">
        <v>438</v>
      </c>
      <c r="S58" s="1">
        <v>12</v>
      </c>
    </row>
    <row r="59" spans="1:19" x14ac:dyDescent="0.25">
      <c r="A59">
        <v>284</v>
      </c>
      <c r="B59">
        <v>1</v>
      </c>
      <c r="C59" t="s">
        <v>48</v>
      </c>
      <c r="D59" s="2" t="s">
        <v>4</v>
      </c>
      <c r="E59" s="1">
        <v>703</v>
      </c>
      <c r="F59" s="1">
        <v>74</v>
      </c>
      <c r="G59" s="1">
        <v>13</v>
      </c>
      <c r="H59" s="1">
        <f t="shared" si="0"/>
        <v>80.5</v>
      </c>
      <c r="I59" s="10">
        <f t="shared" si="1"/>
        <v>0.11450924608819346</v>
      </c>
      <c r="J59" s="10">
        <f t="shared" si="3"/>
        <v>0.11450924608819346</v>
      </c>
      <c r="K59" s="1">
        <f t="shared" si="4"/>
        <v>9.2179943100995736</v>
      </c>
      <c r="L59" s="12">
        <f t="shared" si="2"/>
        <v>3.595017780938834</v>
      </c>
      <c r="M59" s="1">
        <f t="shared" si="5"/>
        <v>3.595017780938834</v>
      </c>
      <c r="N59" s="1">
        <f>MIN('Total per Region'!$N$26,N58+M59)</f>
        <v>2091.6216625549591</v>
      </c>
      <c r="O59" s="17">
        <f t="shared" si="6"/>
        <v>0</v>
      </c>
      <c r="P59" s="16">
        <f>(2*O59)/$N$13*'Total per Region'!$R$26</f>
        <v>0</v>
      </c>
      <c r="R59" t="s">
        <v>438</v>
      </c>
      <c r="S59" s="1">
        <v>12</v>
      </c>
    </row>
    <row r="60" spans="1:19" x14ac:dyDescent="0.25">
      <c r="A60">
        <v>273</v>
      </c>
      <c r="B60">
        <v>1</v>
      </c>
      <c r="C60" t="s">
        <v>51</v>
      </c>
      <c r="D60" s="2" t="s">
        <v>4</v>
      </c>
      <c r="E60" s="1">
        <v>562</v>
      </c>
      <c r="F60" s="1">
        <v>43</v>
      </c>
      <c r="G60" s="1">
        <v>10</v>
      </c>
      <c r="H60" s="1">
        <f t="shared" si="0"/>
        <v>48</v>
      </c>
      <c r="I60" s="10">
        <f t="shared" si="1"/>
        <v>8.5409252669039148E-2</v>
      </c>
      <c r="J60" s="10">
        <f t="shared" si="3"/>
        <v>8.5409252669039148E-2</v>
      </c>
      <c r="K60" s="1">
        <f t="shared" si="4"/>
        <v>4.0996441281138791</v>
      </c>
      <c r="L60" s="12">
        <f t="shared" si="2"/>
        <v>1.5988612099644128</v>
      </c>
      <c r="M60" s="1">
        <f t="shared" si="5"/>
        <v>1.5988612099644128</v>
      </c>
      <c r="N60" s="1">
        <f>MIN('Total per Region'!$N$26,N59+M60)</f>
        <v>2091.6216625549591</v>
      </c>
      <c r="O60" s="17">
        <f t="shared" si="6"/>
        <v>0</v>
      </c>
      <c r="P60" s="16">
        <f>(2*O60)/$N$13*'Total per Region'!$R$26</f>
        <v>0</v>
      </c>
      <c r="R60" t="s">
        <v>438</v>
      </c>
      <c r="S60" s="1">
        <v>12</v>
      </c>
    </row>
    <row r="61" spans="1:19" x14ac:dyDescent="0.25">
      <c r="A61">
        <v>276</v>
      </c>
      <c r="B61">
        <v>1</v>
      </c>
      <c r="C61" t="s">
        <v>50</v>
      </c>
      <c r="D61" s="2" t="s">
        <v>4</v>
      </c>
      <c r="E61" s="1">
        <v>812</v>
      </c>
      <c r="F61" s="1">
        <v>57</v>
      </c>
      <c r="G61" s="1">
        <v>14</v>
      </c>
      <c r="H61" s="1">
        <f t="shared" si="0"/>
        <v>64</v>
      </c>
      <c r="I61" s="10">
        <f t="shared" si="1"/>
        <v>7.8817733990147784E-2</v>
      </c>
      <c r="J61" s="10">
        <f t="shared" si="3"/>
        <v>7.8817733990147784E-2</v>
      </c>
      <c r="K61" s="1">
        <f t="shared" si="4"/>
        <v>5.0443349753694582</v>
      </c>
      <c r="L61" s="12">
        <f t="shared" si="2"/>
        <v>1.9672906403940889</v>
      </c>
      <c r="M61" s="1">
        <f t="shared" si="5"/>
        <v>1.9672906403940889</v>
      </c>
      <c r="N61" s="1">
        <f>MIN('Total per Region'!$N$26,N60+M61)</f>
        <v>2091.6216625549591</v>
      </c>
      <c r="O61" s="17">
        <f t="shared" si="6"/>
        <v>0</v>
      </c>
      <c r="P61" s="16">
        <f>(2*O61)/$N$13*'Total per Region'!$R$26</f>
        <v>0</v>
      </c>
      <c r="R61" t="s">
        <v>438</v>
      </c>
      <c r="S61" s="1">
        <v>12</v>
      </c>
    </row>
    <row r="62" spans="1:19" x14ac:dyDescent="0.25">
      <c r="A62">
        <v>832</v>
      </c>
      <c r="B62">
        <v>1</v>
      </c>
      <c r="C62" t="s">
        <v>49</v>
      </c>
      <c r="D62" s="2" t="s">
        <v>4</v>
      </c>
      <c r="E62" s="1">
        <v>179</v>
      </c>
      <c r="F62" s="1">
        <v>10</v>
      </c>
      <c r="G62" s="1">
        <v>2</v>
      </c>
      <c r="H62" s="1">
        <f t="shared" si="0"/>
        <v>11</v>
      </c>
      <c r="I62" s="10">
        <f t="shared" si="1"/>
        <v>6.1452513966480445E-2</v>
      </c>
      <c r="J62" s="10">
        <f t="shared" si="3"/>
        <v>6.1452513966480445E-2</v>
      </c>
      <c r="K62" s="1">
        <f t="shared" si="4"/>
        <v>0.67597765363128492</v>
      </c>
      <c r="L62" s="12">
        <f t="shared" si="2"/>
        <v>0.26363128491620114</v>
      </c>
      <c r="M62" s="1">
        <f t="shared" si="5"/>
        <v>0.26363128491620114</v>
      </c>
      <c r="N62" s="1">
        <f>MIN('Total per Region'!$N$26,N61+M62)</f>
        <v>2091.6216625549591</v>
      </c>
      <c r="O62" s="17">
        <f t="shared" si="6"/>
        <v>0</v>
      </c>
      <c r="P62" s="16">
        <f>(2*O62)/$N$13*'Total per Region'!$R$26</f>
        <v>0</v>
      </c>
      <c r="R62" t="s">
        <v>442</v>
      </c>
      <c r="S62" s="1">
        <v>14</v>
      </c>
    </row>
    <row r="63" spans="1:19" x14ac:dyDescent="0.25">
      <c r="O63" s="14">
        <f>SUM(O15:O62)</f>
        <v>1045.8108312774796</v>
      </c>
      <c r="P63" s="18">
        <f>SUM(P15:P62)</f>
        <v>5229311.9357394483</v>
      </c>
      <c r="Q63" s="14"/>
    </row>
    <row r="64" spans="1:19" x14ac:dyDescent="0.25">
      <c r="P64" s="18"/>
    </row>
  </sheetData>
  <sortState ref="A15:AE62">
    <sortCondition descending="1" ref="Q15:Q62"/>
    <sortCondition descending="1" ref="J15:J62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Total per Region</vt:lpstr>
      <vt:lpstr>Region 1</vt:lpstr>
      <vt:lpstr>Region 2</vt:lpstr>
      <vt:lpstr>Region 3</vt:lpstr>
      <vt:lpstr>Region 4</vt:lpstr>
      <vt:lpstr>Region 5</vt:lpstr>
      <vt:lpstr>Region 6E</vt:lpstr>
      <vt:lpstr>Region 6W</vt:lpstr>
      <vt:lpstr>Region 7E</vt:lpstr>
      <vt:lpstr>Region 7W</vt:lpstr>
      <vt:lpstr>Region 8</vt:lpstr>
      <vt:lpstr>Region 9</vt:lpstr>
      <vt:lpstr>Region 10</vt:lpstr>
      <vt:lpstr>Region 11</vt:lpstr>
    </vt:vector>
  </TitlesOfParts>
  <Company>Minnesota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Barnidge, Lisa</dc:creator>
  <cp:lastModifiedBy>Biringer, Catherine</cp:lastModifiedBy>
  <cp:lastPrinted>2013-07-16T20:48:44Z</cp:lastPrinted>
  <dcterms:created xsi:type="dcterms:W3CDTF">2013-06-21T15:57:48Z</dcterms:created>
  <dcterms:modified xsi:type="dcterms:W3CDTF">2013-07-26T18:15:38Z</dcterms:modified>
</cp:coreProperties>
</file>