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aveExternalLinkValues="0" defaultThemeVersion="124226"/>
  <bookViews>
    <workbookView xWindow="1005" yWindow="1005" windowWidth="15000" windowHeight="10005" activeTab="2"/>
  </bookViews>
  <sheets>
    <sheet name="06_04_13" sheetId="1" r:id="rId1"/>
    <sheet name="Stability" sheetId="2" r:id="rId2"/>
    <sheet name="Results" sheetId="3" r:id="rId3"/>
  </sheets>
  <calcPr calcId="125725"/>
</workbook>
</file>

<file path=xl/calcChain.xml><?xml version="1.0" encoding="utf-8"?>
<calcChain xmlns="http://schemas.openxmlformats.org/spreadsheetml/2006/main">
  <c r="F42" i="3"/>
  <c r="E40"/>
  <c r="G40"/>
  <c r="I40"/>
  <c r="K40"/>
  <c r="M40"/>
  <c r="O40"/>
  <c r="Q40"/>
  <c r="S40"/>
  <c r="U40"/>
  <c r="D42"/>
  <c r="H42"/>
  <c r="J42"/>
  <c r="L42"/>
  <c r="N42"/>
  <c r="P42"/>
  <c r="R42"/>
  <c r="F37"/>
  <c r="H37"/>
  <c r="J37"/>
  <c r="L37"/>
  <c r="N37"/>
  <c r="P37"/>
  <c r="T37"/>
  <c r="D37"/>
  <c r="S6"/>
  <c r="S8"/>
  <c r="S10"/>
  <c r="S12"/>
  <c r="S14"/>
  <c r="S16"/>
  <c r="S18"/>
  <c r="S20"/>
  <c r="S22"/>
  <c r="S24"/>
  <c r="S26"/>
  <c r="S5"/>
  <c r="O6"/>
  <c r="O8"/>
  <c r="O10"/>
  <c r="O12"/>
  <c r="O14"/>
  <c r="O16"/>
  <c r="O18"/>
  <c r="O20"/>
  <c r="O22"/>
  <c r="O24"/>
  <c r="O26"/>
  <c r="O5"/>
  <c r="K32"/>
  <c r="K7"/>
  <c r="K9"/>
  <c r="K11"/>
  <c r="K13"/>
  <c r="K15"/>
  <c r="K17"/>
  <c r="K19"/>
  <c r="K21"/>
  <c r="K23"/>
  <c r="K25"/>
  <c r="K27"/>
  <c r="G7"/>
  <c r="G9"/>
  <c r="G11"/>
  <c r="G13"/>
  <c r="G15"/>
  <c r="G17"/>
  <c r="G19"/>
  <c r="G21"/>
  <c r="G23"/>
  <c r="G25"/>
  <c r="G27"/>
  <c r="E6"/>
  <c r="E8"/>
  <c r="E10"/>
  <c r="E12"/>
  <c r="E14"/>
  <c r="E16"/>
  <c r="E18"/>
  <c r="E20"/>
  <c r="E22"/>
  <c r="E24"/>
  <c r="E26"/>
  <c r="E5"/>
  <c r="AA25"/>
  <c r="AA26" s="1"/>
  <c r="AA27" s="1"/>
  <c r="AB25"/>
  <c r="AB26" s="1"/>
  <c r="AB27" s="1"/>
  <c r="I32" s="1"/>
  <c r="AC25"/>
  <c r="AC26" s="1"/>
  <c r="AC27" s="1"/>
  <c r="AD25"/>
  <c r="AD26" s="1"/>
  <c r="AD27" s="1"/>
  <c r="AE25"/>
  <c r="AE26" s="1"/>
  <c r="AE27" s="1"/>
  <c r="O32" s="1"/>
  <c r="AF25"/>
  <c r="AF26" s="1"/>
  <c r="AF27" s="1"/>
  <c r="AG25"/>
  <c r="AG26" s="1"/>
  <c r="AG27" s="1"/>
  <c r="AH25"/>
  <c r="AH26" s="1"/>
  <c r="AH27" s="1"/>
  <c r="Z25"/>
  <c r="Z26" s="1"/>
  <c r="Z27" s="1"/>
  <c r="AB6"/>
  <c r="AB7"/>
  <c r="AB8"/>
  <c r="AB9"/>
  <c r="AB10"/>
  <c r="AB11"/>
  <c r="AB12"/>
  <c r="AB13"/>
  <c r="AB5"/>
  <c r="I5" l="1"/>
  <c r="I26"/>
  <c r="I24"/>
  <c r="I22"/>
  <c r="I20"/>
  <c r="I18"/>
  <c r="I16"/>
  <c r="I14"/>
  <c r="I12"/>
  <c r="I10"/>
  <c r="I8"/>
  <c r="I6"/>
  <c r="M5"/>
  <c r="M26"/>
  <c r="M24"/>
  <c r="M22"/>
  <c r="M20"/>
  <c r="M18"/>
  <c r="M16"/>
  <c r="M14"/>
  <c r="M12"/>
  <c r="M10"/>
  <c r="M8"/>
  <c r="M6"/>
  <c r="Q27"/>
  <c r="Q25"/>
  <c r="Q23"/>
  <c r="Q21"/>
  <c r="Q19"/>
  <c r="Q17"/>
  <c r="Q15"/>
  <c r="Q13"/>
  <c r="Q11"/>
  <c r="Q9"/>
  <c r="Q7"/>
  <c r="Q32"/>
  <c r="U5"/>
  <c r="U26"/>
  <c r="U21"/>
  <c r="U19"/>
  <c r="U17"/>
  <c r="U15"/>
  <c r="U13"/>
  <c r="U11"/>
  <c r="U9"/>
  <c r="U7"/>
  <c r="U32"/>
  <c r="E27"/>
  <c r="E25"/>
  <c r="E23"/>
  <c r="E21"/>
  <c r="E19"/>
  <c r="E17"/>
  <c r="E15"/>
  <c r="E13"/>
  <c r="E11"/>
  <c r="E9"/>
  <c r="E7"/>
  <c r="G5"/>
  <c r="G26"/>
  <c r="G24"/>
  <c r="G22"/>
  <c r="G20"/>
  <c r="G18"/>
  <c r="G16"/>
  <c r="G14"/>
  <c r="G12"/>
  <c r="G10"/>
  <c r="G8"/>
  <c r="G6"/>
  <c r="I27"/>
  <c r="I25"/>
  <c r="I23"/>
  <c r="I21"/>
  <c r="I19"/>
  <c r="I17"/>
  <c r="I15"/>
  <c r="I13"/>
  <c r="I11"/>
  <c r="I9"/>
  <c r="I7"/>
  <c r="K5"/>
  <c r="K26"/>
  <c r="K24"/>
  <c r="K22"/>
  <c r="K20"/>
  <c r="K18"/>
  <c r="K16"/>
  <c r="K14"/>
  <c r="K12"/>
  <c r="K10"/>
  <c r="K8"/>
  <c r="K6"/>
  <c r="M27"/>
  <c r="M25"/>
  <c r="M23"/>
  <c r="M21"/>
  <c r="M19"/>
  <c r="M17"/>
  <c r="M15"/>
  <c r="M13"/>
  <c r="M11"/>
  <c r="M9"/>
  <c r="M7"/>
  <c r="O27"/>
  <c r="O25"/>
  <c r="O23"/>
  <c r="O21"/>
  <c r="O19"/>
  <c r="O17"/>
  <c r="O15"/>
  <c r="O13"/>
  <c r="O11"/>
  <c r="O9"/>
  <c r="O7"/>
  <c r="Q5"/>
  <c r="Q26"/>
  <c r="Q24"/>
  <c r="Q22"/>
  <c r="Q20"/>
  <c r="Q18"/>
  <c r="Q16"/>
  <c r="Q14"/>
  <c r="Q12"/>
  <c r="Q10"/>
  <c r="Q8"/>
  <c r="Q6"/>
  <c r="S27"/>
  <c r="S25"/>
  <c r="S23"/>
  <c r="S21"/>
  <c r="S19"/>
  <c r="S17"/>
  <c r="S15"/>
  <c r="S13"/>
  <c r="S11"/>
  <c r="S9"/>
  <c r="S7"/>
  <c r="U27"/>
  <c r="U22"/>
  <c r="U20"/>
  <c r="U18"/>
  <c r="U16"/>
  <c r="U14"/>
  <c r="U12"/>
  <c r="U10"/>
  <c r="U8"/>
  <c r="U6"/>
</calcChain>
</file>

<file path=xl/sharedStrings.xml><?xml version="1.0" encoding="utf-8"?>
<sst xmlns="http://schemas.openxmlformats.org/spreadsheetml/2006/main" count="1011" uniqueCount="360">
  <si>
    <t/>
  </si>
  <si>
    <t>0</t>
  </si>
  <si>
    <t>0.5</t>
  </si>
  <si>
    <t>001BLKV.D</t>
  </si>
  <si>
    <t>002BLKV.D</t>
  </si>
  <si>
    <t>003BLKV.D</t>
  </si>
  <si>
    <t>004BLKV.D</t>
  </si>
  <si>
    <t>005CALB.D</t>
  </si>
  <si>
    <t>006CALS.D</t>
  </si>
  <si>
    <t>007CALS.D</t>
  </si>
  <si>
    <t>008CALS.D</t>
  </si>
  <si>
    <t>009CALS.D</t>
  </si>
  <si>
    <t>010CALS.D</t>
  </si>
  <si>
    <t>011CALS.D</t>
  </si>
  <si>
    <t>012CALS.D</t>
  </si>
  <si>
    <t>013CALS.D</t>
  </si>
  <si>
    <t>014CALS.D</t>
  </si>
  <si>
    <t>015CALS.D</t>
  </si>
  <si>
    <t>016BLKV.D</t>
  </si>
  <si>
    <t>017BLKV.D</t>
  </si>
  <si>
    <t>018_QC1.D</t>
  </si>
  <si>
    <t>019BLKV.D</t>
  </si>
  <si>
    <t>020BLKV.D</t>
  </si>
  <si>
    <t>021_QC1.D</t>
  </si>
  <si>
    <t>022BLKV.D</t>
  </si>
  <si>
    <t>023SMPL.D</t>
  </si>
  <si>
    <t>024SMPL.D</t>
  </si>
  <si>
    <t>025BLKV.D</t>
  </si>
  <si>
    <t>026SMPL.D</t>
  </si>
  <si>
    <t>027BLKV.D</t>
  </si>
  <si>
    <t>028SMPL.D</t>
  </si>
  <si>
    <t>029SMPL.D</t>
  </si>
  <si>
    <t>030SMPL.D</t>
  </si>
  <si>
    <t>031SMPL.D</t>
  </si>
  <si>
    <t>032SMPL.D</t>
  </si>
  <si>
    <t>033SMPL.D</t>
  </si>
  <si>
    <t>034SMPL.D</t>
  </si>
  <si>
    <t>035SMPL.D</t>
  </si>
  <si>
    <t>036SMPL.D</t>
  </si>
  <si>
    <t>037BLKV.D</t>
  </si>
  <si>
    <t>038_QC1.D</t>
  </si>
  <si>
    <t>039BLKV.D</t>
  </si>
  <si>
    <t>040SMPL.D</t>
  </si>
  <si>
    <t>041SMPL.D</t>
  </si>
  <si>
    <t>042SMPL.D</t>
  </si>
  <si>
    <t>043SMPL.D</t>
  </si>
  <si>
    <t>044SMPL.D</t>
  </si>
  <si>
    <t>045SMPL.D</t>
  </si>
  <si>
    <t>046SMPL.D</t>
  </si>
  <si>
    <t>047SMPL.D</t>
  </si>
  <si>
    <t>048SMPL.D</t>
  </si>
  <si>
    <t>049BLKV.D</t>
  </si>
  <si>
    <t>050SMPL.D</t>
  </si>
  <si>
    <t>051SMPL.D</t>
  </si>
  <si>
    <t>052SMPL.D</t>
  </si>
  <si>
    <t>053BLKV.D</t>
  </si>
  <si>
    <t>054_QC1.D</t>
  </si>
  <si>
    <t>055BLKV.D</t>
  </si>
  <si>
    <t>056SMPL.D</t>
  </si>
  <si>
    <t>057SMPL.D</t>
  </si>
  <si>
    <t>058BLKV.D</t>
  </si>
  <si>
    <t>059_QC1.D</t>
  </si>
  <si>
    <t>060BLKV.D</t>
  </si>
  <si>
    <t>061SMPL.D</t>
  </si>
  <si>
    <t>062BLKV.D</t>
  </si>
  <si>
    <t>063_QC1.D</t>
  </si>
  <si>
    <t>064BLKV.D</t>
  </si>
  <si>
    <t>065BLKV.D</t>
  </si>
  <si>
    <t>066CALB.D</t>
  </si>
  <si>
    <t>067CALS.D</t>
  </si>
  <si>
    <t>068CALS.D</t>
  </si>
  <si>
    <t>069CALS.D</t>
  </si>
  <si>
    <t>070CALS.D</t>
  </si>
  <si>
    <t>071CALS.D</t>
  </si>
  <si>
    <t>072CALS.D</t>
  </si>
  <si>
    <t>073CALS.D</t>
  </si>
  <si>
    <t>074CALS.D</t>
  </si>
  <si>
    <t>075CALS.D</t>
  </si>
  <si>
    <t>076CALS.D</t>
  </si>
  <si>
    <t>077BLKV.D</t>
  </si>
  <si>
    <t>078_QC1.D</t>
  </si>
  <si>
    <t>079BLKV.D</t>
  </si>
  <si>
    <t>080BLKV.D</t>
  </si>
  <si>
    <t>081BLKV.D</t>
  </si>
  <si>
    <t>082BLKV.D</t>
  </si>
  <si>
    <t>083BLKV.D</t>
  </si>
  <si>
    <t>1</t>
  </si>
  <si>
    <t>10</t>
  </si>
  <si>
    <t>100</t>
  </si>
  <si>
    <t>1000</t>
  </si>
  <si>
    <t>11</t>
  </si>
  <si>
    <t xml:space="preserve">118  Sn  [ 1 ] </t>
  </si>
  <si>
    <t>1964-1</t>
  </si>
  <si>
    <t>1964-2</t>
  </si>
  <si>
    <t>1964-3</t>
  </si>
  <si>
    <t>1964-5</t>
  </si>
  <si>
    <t>1972-1</t>
  </si>
  <si>
    <t>1972-2</t>
  </si>
  <si>
    <t>1972-3</t>
  </si>
  <si>
    <t>1972-4</t>
  </si>
  <si>
    <t>1972-5</t>
  </si>
  <si>
    <t>1972-6</t>
  </si>
  <si>
    <t>1974-1</t>
  </si>
  <si>
    <t>1974-2</t>
  </si>
  <si>
    <t>1975-1</t>
  </si>
  <si>
    <t>1975-2</t>
  </si>
  <si>
    <t>1975-3</t>
  </si>
  <si>
    <t>1975-4</t>
  </si>
  <si>
    <t>1975-5</t>
  </si>
  <si>
    <t>1975-6</t>
  </si>
  <si>
    <t>1994-1</t>
  </si>
  <si>
    <t>1996-1</t>
  </si>
  <si>
    <t>1996-2</t>
  </si>
  <si>
    <t>1996-3</t>
  </si>
  <si>
    <t>1996-4</t>
  </si>
  <si>
    <t>2</t>
  </si>
  <si>
    <t>2000</t>
  </si>
  <si>
    <t xml:space="preserve">209  Bi ( ISTD )  [ 1 ] 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</si>
  <si>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</si>
  <si>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</si>
  <si>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</si>
  <si>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</si>
  <si>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</si>
  <si>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</si>
  <si>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</si>
  <si>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</si>
  <si>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</si>
  <si>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</si>
  <si>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</si>
  <si>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</si>
  <si>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2201</t>
  </si>
  <si>
    <t xml:space="preserve">24  Mg  [ 1 ] </t>
  </si>
  <si>
    <t>3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</si>
  <si>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</si>
  <si>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</si>
  <si>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</si>
  <si>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</si>
  <si>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</si>
  <si>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</si>
  <si>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</si>
  <si>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</si>
  <si>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</si>
  <si>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</si>
  <si>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</si>
  <si>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</si>
  <si>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</si>
  <si>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</si>
  <si>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</si>
  <si>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</si>
  <si>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</si>
  <si>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</si>
  <si>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</si>
  <si>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</si>
  <si>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</si>
  <si>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</si>
  <si>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</si>
  <si>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</si>
  <si>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3501</t>
  </si>
  <si>
    <t>3502</t>
  </si>
  <si>
    <t xml:space="preserve">39  K  [ 1 ] </t>
  </si>
  <si>
    <t>4</t>
  </si>
  <si>
    <t xml:space="preserve">44  Ca  [ 1 ] </t>
  </si>
  <si>
    <t xml:space="preserve">45  Sc ( ISTD )  [ 1 ] </t>
  </si>
  <si>
    <t>5</t>
  </si>
  <si>
    <t>50</t>
  </si>
  <si>
    <t>5000</t>
  </si>
  <si>
    <t xml:space="preserve">55  Mn  [ 1 ] </t>
  </si>
  <si>
    <t xml:space="preserve">56  Fe  [ 1 ] </t>
  </si>
  <si>
    <t xml:space="preserve">57  Fe  [ 1 ] </t>
  </si>
  <si>
    <t>6</t>
  </si>
  <si>
    <t xml:space="preserve">63  Cu  [ 1 ] </t>
  </si>
  <si>
    <t xml:space="preserve">64  Zn  [ 1 ] </t>
  </si>
  <si>
    <t xml:space="preserve">66  Zn  [ 1 ] </t>
  </si>
  <si>
    <t>7</t>
  </si>
  <si>
    <t xml:space="preserve">72  Ge ( ISTD )  [ 1 ] </t>
  </si>
  <si>
    <t xml:space="preserve">72  Ge ( ISTD )  [ 2 ] </t>
  </si>
  <si>
    <t xml:space="preserve">78  Se  [ 2 ] </t>
  </si>
  <si>
    <t>8</t>
  </si>
  <si>
    <t>9</t>
  </si>
  <si>
    <t>&lt;0.016</t>
  </si>
  <si>
    <t>&lt;0.017</t>
  </si>
  <si>
    <t>&lt;0.028</t>
  </si>
  <si>
    <t>&lt;0.043</t>
  </si>
  <si>
    <t>&lt;0.072</t>
  </si>
  <si>
    <t>&lt;0.073</t>
  </si>
  <si>
    <t>&lt;0.096</t>
  </si>
  <si>
    <t>&lt;0.142</t>
  </si>
  <si>
    <t>&lt;0.170</t>
  </si>
  <si>
    <t>&lt;0.176</t>
  </si>
  <si>
    <t>&lt;0.215</t>
  </si>
  <si>
    <t>&lt;0.259</t>
  </si>
  <si>
    <t>&lt;0.432</t>
  </si>
  <si>
    <t>&lt;0.838</t>
  </si>
  <si>
    <t>&lt;0.884</t>
  </si>
  <si>
    <t>&lt;1.578</t>
  </si>
  <si>
    <t>&lt;1.883</t>
  </si>
  <si>
    <t>&lt;2.076</t>
  </si>
  <si>
    <t>&lt;2.750</t>
  </si>
  <si>
    <t>&lt;3.576</t>
  </si>
  <si>
    <t>&lt;41.892</t>
  </si>
  <si>
    <t>&lt;69.367</t>
  </si>
  <si>
    <t>Acid Ctl</t>
  </si>
  <si>
    <t>Acq. Date-Time</t>
  </si>
  <si>
    <t>Bi[1]: CPS RSD value = 5.07 is over the allowed maximum = 5.00</t>
  </si>
  <si>
    <t>BlkVrfy</t>
  </si>
  <si>
    <t>Bovine Ctl</t>
  </si>
  <si>
    <t>CPS</t>
  </si>
  <si>
    <t>CPS RSD</t>
  </si>
  <si>
    <t>Ca[1]: Calibration Stability(QC1) value = 128.50% is outside the allowed range [80.00%, 120.00%]</t>
  </si>
  <si>
    <t>Ca[1]: Calibration Stability(QC1) value = 134.14% is outside the allowed range [80.00%, 120.00%]</t>
  </si>
  <si>
    <t>Ca[1]: Concentration value = 17193.62 is over the calibration range</t>
  </si>
  <si>
    <t>Ca[1]: Concentration value = 17280.24 is over the calibration range
Ge[2]: CPS RSD value = 5.72 is over the allowed maximum = 5.00</t>
  </si>
  <si>
    <t>Ca[1]: Concentration value = 19542.45 is over the calibration range</t>
  </si>
  <si>
    <t>Ca[1]: Concentration value = 21247.21 is over the calibration range
Ge[2]: CPS RSD value = 6.53 is over the allowed maximum = 5.00</t>
  </si>
  <si>
    <t>Ca[1]: Concentration value = 21620.02 is over the calibration range</t>
  </si>
  <si>
    <t>Ca[1]: Concentration value = 21755.91 is over the calibration range</t>
  </si>
  <si>
    <t>Ca[1]: Concentration value = 21834.57 is over the calibration range</t>
  </si>
  <si>
    <t>Ca[1]: Concentration value = 25705.16 is over the calibration range</t>
  </si>
  <si>
    <t>Ca[1]: Concentration value = 27618.36 is over the calibration range</t>
  </si>
  <si>
    <t>Ca[1]: Concentration value = 30353.87 is over the calibration range
Sc[1]: CPS RSD value = 5.76 is over the allowed maximum = 5.00
Bi[1]: CPS RSD value = 5.23 is over the allowed maximum = 5.00</t>
  </si>
  <si>
    <t>Ca[1]: Concentration value = 30792.93 is over the calibration range</t>
  </si>
  <si>
    <t>Ca[1]: Concentration value = 33322.94 is over the calibration range</t>
  </si>
  <si>
    <t>Ca[1]: Concentration value = 33389.67 is over the calibration range</t>
  </si>
  <si>
    <t>Ca[1]: Concentration value = 36308.57 is over the calibration range</t>
  </si>
  <si>
    <t>Ca[1]: Concentration value = 37941.15 is over the calibration range</t>
  </si>
  <si>
    <t>Ca[1]: Concentration value = 42893.42 is over the calibration range
Sc[1]: CPS RSD value = 7.15 is over the allowed maximum = 5.00
Ge[1]: CPS RSD value = 7.99 is over the allowed maximum = 5.00
Bi[1]: CPS RSD value = 7.78 is over the allowed maximum = 5.00</t>
  </si>
  <si>
    <t>Ca[1]: Concentration value = 44413.91 is over the calibration range</t>
  </si>
  <si>
    <t>Ca[1]: Concentration value = 45949.20 is over the calibration range</t>
  </si>
  <si>
    <t>Ca[1]: Concentration value = 48312.15 is over the calibration range</t>
  </si>
  <si>
    <t>Ca[1]: Concentration value = 50606.26 is over the calibration range</t>
  </si>
  <si>
    <t>Ca[1]: Concentration value = 54781.69 is over the calibration range</t>
  </si>
  <si>
    <t>Ca[1]: Concentration value = 58942.77 is over the calibration range</t>
  </si>
  <si>
    <t>Ca[1]: Concentration value = 78241.49 is over the calibration range
Sc[1]: CPS RSD value = 11.53 is over the allowed maximum = 5.00
Ge[1]: CPS RSD value = 10.29 is over the allowed maximum = 5.00
Bi[1]: CPS RSD value = 14.26 is over the allowed maximum = 5.00</t>
  </si>
  <si>
    <t>CalBlk</t>
  </si>
  <si>
    <t>CalStd</t>
  </si>
  <si>
    <t>Cem2 Ctl</t>
  </si>
  <si>
    <t>Check-10</t>
  </si>
  <si>
    <t>Conc. [ ppb ]</t>
  </si>
  <si>
    <t>Data File</t>
  </si>
  <si>
    <t>Dilution</t>
  </si>
  <si>
    <t>Fe[1]: CPS RSD value = 10.68 is over the allowed maximum = 5.00
Cu[1]: CPS RSD value = 39.24 is over the allowed maximum = 5.00
Sn[1]: CPS RSD value = 11.54 is over the allowed maximum = 5.00</t>
  </si>
  <si>
    <t>Fe[1]: CPS RSD value = 30.23 is over the allowed maximum = 5.00</t>
  </si>
  <si>
    <t>Ge[2]: CPS RSD value = 6.09 is over the allowed maximum = 5.00</t>
  </si>
  <si>
    <t>K[1]: CPS RSD value = 10.88 is over the allowed maximum = 5.00
Sc[1]: CPS RSD value = 46.46 is over the allowed maximum = 5.00
Sc[1]: ISTD Recovery Percent value = 219.70 is outside the allowed range [80.00, 120.00]
Ge[1]: CPS RSD value = 55.10 is over the allowed maximum = 5.00
Ge[1]: ISTD Recovery Percent value = 215.54 is outside the allowed range [80.00, 120.00]
Bi[1]: CPS RSD value = 46.80 is over the allowed maximum = 5.00
Bi[1]: ISTD Recovery Percent value = 244.29 is outside the allowed range [80.00, 120.00]</t>
  </si>
  <si>
    <t>K[1]: Calibration Stability(QC1) value = 120.73% is outside the allowed range [80.00%, 120.00%]
Ca[1]: Calibration Stability(QC1) value = 137.63% is outside the allowed range [80.00%, 120.00%]</t>
  </si>
  <si>
    <t>K[1]: Calibration Stability(QC1) value = 76.60% is outside the allowed range [80.00%, 120.00%]
Ca[1]: Calibration Stability(QC1) value = 127.69% is outside the allowed range [80.00%, 120.00%]</t>
  </si>
  <si>
    <t>K[1]: Concentration value = 8188.92 is over the calibration range</t>
  </si>
  <si>
    <t>Level</t>
  </si>
  <si>
    <t>QC1</t>
  </si>
  <si>
    <t>Rjct</t>
  </si>
  <si>
    <t>Sample</t>
  </si>
  <si>
    <t>Sample Name</t>
  </si>
  <si>
    <t>Sc[1]: CPS RSD value = 10.33 is over the allowed maximum = 5.00
Ge[1]: CPS RSD value = 10.26 is over the allowed maximum = 5.00
Bi[1]: CPS RSD value = 8.27 is over the allowed maximum = 5.00</t>
  </si>
  <si>
    <t>Sc[1]: CPS RSD value = 11.14 is over the allowed maximum = 5.00
Sc[1]: ISTD Recovery Percent value = 77.21 is outside the allowed range [80.00, 120.00]
Ge[1]: CPS RSD value = 13.39 is over the allowed maximum = 5.00
Bi[1]: CPS RSD value = 10.73 is over the allowed maximum = 5.00</t>
  </si>
  <si>
    <t>Sc[1]: CPS RSD value = 14.00 is over the allowed maximum = 5.00
Ge[1]: CPS RSD value = 10.74 is over the allowed maximum = 5.00
Bi[1]: CPS RSD value = 12.06 is over the allowed maximum = 5.00</t>
  </si>
  <si>
    <t>Sc[1]: CPS RSD value = 16.14 is over the allowed maximum = 5.00
Ge[1]: CPS RSD value = 11.12 is over the allowed maximum = 5.00
Bi[1]: CPS RSD value = 15.10 is over the allowed maximum = 5.00</t>
  </si>
  <si>
    <t>Sc[1]: CPS RSD value = 23.28 is over the allowed maximum = 5.00
Sc[1]: ISTD Recovery Percent value = 189.76 is outside the allowed range [80.00, 120.00]
Ge[1]: CPS RSD value = 15.77 is over the allowed maximum = 5.00
Ge[1]: ISTD Recovery Percent value = 234.92 is outside the allowed range [80.00, 120.00]
Bi[1]: CPS RSD value = 24.78 is over the allowed maximum = 5.00
Bi[1]: ISTD Recovery Percent value = 207.45 is outside the allowed range [80.00, 120.00]
Ge[2]: CPS RSD value = 13.62 is over the allowed maximum = 5.00
Ge[2]: ISTD Recovery Percent value = 361.64 is outside the allowed range [80.00, 120.00]</t>
  </si>
  <si>
    <t>Sc[1]: CPS RSD value = 31.06 is over the allowed maximum = 5.00
Ge[1]: CPS RSD value = 20.74 is over the allowed maximum = 5.00
Bi[1]: CPS RSD value = 16.65 is over the allowed maximum = 5.00</t>
  </si>
  <si>
    <t>Sc[1]: CPS RSD value = 35.03 is over the allowed maximum = 5.00
Ge[1]: CPS RSD value = 26.87 is over the allowed maximum = 5.00
Bi[1]: CPS RSD value = 10.76 is over the allowed maximum = 5.00
Bi[1]: ISTD Recovery Percent value = 77.73 is outside the allowed range [80.00, 120.00]</t>
  </si>
  <si>
    <t>Sc[1]: CPS RSD value = 6.43 is over the allowed maximum = 5.00
Ge[1]: CPS RSD value = 5.02 is over the allowed maximum = 5.00
Bi[1]: CPS RSD value = 6.46 is over the allowed maximum = 5.00</t>
  </si>
  <si>
    <t>Sc[1]: CPS RSD value = 6.89 is over the allowed maximum = 5.00
Bi[1]: CPS RSD value = 6.23 is over the allowed maximum = 5.00</t>
  </si>
  <si>
    <t>Sc[1]: CPS RSD value = 8.19 is over the allowed maximum = 5.00
Bi[1]: CPS RSD value = 7.16 is over the allowed maximum = 5.00</t>
  </si>
  <si>
    <t>Type</t>
  </si>
  <si>
    <t>Vial Number</t>
  </si>
  <si>
    <t>Mg [ppb]</t>
  </si>
  <si>
    <t>K [ppb]</t>
  </si>
  <si>
    <t>Ca [ppb]</t>
  </si>
  <si>
    <t>55 [ppb]</t>
  </si>
  <si>
    <t>Fe [ppb]</t>
  </si>
  <si>
    <t>Cu [ppb]</t>
  </si>
  <si>
    <t>Zn [ppb]</t>
  </si>
  <si>
    <t>Se [ppb]</t>
  </si>
  <si>
    <t>Sn [ppb]</t>
  </si>
  <si>
    <t>Tune Step</t>
  </si>
  <si>
    <t>Mass</t>
  </si>
  <si>
    <t>Name</t>
  </si>
  <si>
    <t>R</t>
  </si>
  <si>
    <t>a</t>
  </si>
  <si>
    <t>b (blank)</t>
  </si>
  <si>
    <t>DL</t>
  </si>
  <si>
    <t>BEC</t>
  </si>
  <si>
    <t>Mg</t>
  </si>
  <si>
    <t>K</t>
  </si>
  <si>
    <t>Ca</t>
  </si>
  <si>
    <t>Mn</t>
  </si>
  <si>
    <t>Fe</t>
  </si>
  <si>
    <t>Cu</t>
  </si>
  <si>
    <t>Zn</t>
  </si>
  <si>
    <t>Se</t>
  </si>
  <si>
    <t>Sn</t>
  </si>
  <si>
    <t>Average</t>
  </si>
  <si>
    <t>Standard deviation</t>
  </si>
  <si>
    <t>CoV</t>
  </si>
  <si>
    <t>Mg [ppm]</t>
  </si>
  <si>
    <t>K [ppm]</t>
  </si>
  <si>
    <t>Ca [ppm]</t>
  </si>
  <si>
    <t>Fe [ppm]</t>
  </si>
  <si>
    <t>Cu [ppm]</t>
  </si>
  <si>
    <t>Zn [ppm]</t>
  </si>
  <si>
    <t>Se [ppm]</t>
  </si>
  <si>
    <t>Sn [ppm]</t>
  </si>
  <si>
    <t>K [CPS]</t>
  </si>
  <si>
    <t>Mn CoV [ppm]</t>
  </si>
  <si>
    <t>K CoV [ppm]</t>
  </si>
  <si>
    <t>Ca CoV [ppm]</t>
  </si>
  <si>
    <t>Mn [ppm]</t>
  </si>
  <si>
    <t>Fe CoV [ppm]</t>
  </si>
  <si>
    <t>Mg CoV [ppm]</t>
  </si>
  <si>
    <t>Cu CoV [ppm]</t>
  </si>
  <si>
    <t>Zn CoV [ppm]</t>
  </si>
  <si>
    <t>Se CoV [ppm]</t>
  </si>
  <si>
    <t>Sn CoV [ppm]</t>
  </si>
  <si>
    <t>Mg CoV [ppb]</t>
  </si>
  <si>
    <t>K CoV [ppb]</t>
  </si>
  <si>
    <t>Ca CoV [ppb]</t>
  </si>
  <si>
    <t>Mn [ppb]</t>
  </si>
  <si>
    <t>Mn CoV [ppb]</t>
  </si>
  <si>
    <t>Fe CoV [ppb]</t>
  </si>
  <si>
    <t>Cu CoV [ppb]</t>
  </si>
  <si>
    <t>Zn CoV [ppb]</t>
  </si>
  <si>
    <t>Se CoV [ppb]</t>
  </si>
  <si>
    <t>Sn CoV [ppb]</t>
  </si>
  <si>
    <t>% recovery</t>
  </si>
  <si>
    <t>Published reference value</t>
  </si>
  <si>
    <t>n/a</t>
  </si>
  <si>
    <t>Detection limit [ppb]</t>
  </si>
  <si>
    <t>Background equivalent concentration [ppb]</t>
  </si>
  <si>
    <r>
      <t xml:space="preserve">Detection limit </t>
    </r>
    <r>
      <rPr>
        <b/>
        <sz val="10"/>
        <color theme="1"/>
        <rFont val="Calibri"/>
        <family val="2"/>
      </rPr>
      <t>×</t>
    </r>
    <r>
      <rPr>
        <b/>
        <sz val="10"/>
        <color theme="1"/>
        <rFont val="Arial"/>
        <family val="2"/>
      </rPr>
      <t xml:space="preserve"> 5 [ppb]</t>
    </r>
  </si>
  <si>
    <t>Mg [mg/g]</t>
  </si>
  <si>
    <t>Mg CoV [mg/g]</t>
  </si>
  <si>
    <t>K [mg/g]</t>
  </si>
  <si>
    <t>K CoV [mg/g]</t>
  </si>
  <si>
    <t>Ca [mg/g]</t>
  </si>
  <si>
    <t>Ca CoV [mg/g]</t>
  </si>
  <si>
    <t>Mn [ug/g]</t>
  </si>
  <si>
    <t>Mn CoV [ug/g]</t>
  </si>
  <si>
    <t>Fe [ug/g]</t>
  </si>
  <si>
    <t>Fe CoV [ug/g]</t>
  </si>
  <si>
    <t>Cu [ug/g]</t>
  </si>
  <si>
    <t>Cu CoV [ug/g]</t>
  </si>
  <si>
    <t>Zn [ug/g]</t>
  </si>
  <si>
    <t>Zn CoV [ug/g]</t>
  </si>
  <si>
    <t>Se [ug/g]</t>
  </si>
  <si>
    <t>Se CoV [ug/g]</t>
  </si>
  <si>
    <t>Sn [ug/g]</t>
  </si>
  <si>
    <t>Sn CoV [ug/g]</t>
  </si>
  <si>
    <t>Ca CoV [ug/g]</t>
  </si>
  <si>
    <t>Ca [ug/g]</t>
  </si>
  <si>
    <t>K CoV [ug/g]</t>
  </si>
  <si>
    <t>K [ug/g]</t>
  </si>
  <si>
    <t>Mg CoV [ug/g]</t>
  </si>
  <si>
    <t>Mg [ug/g]</t>
  </si>
  <si>
    <t>Sample measurements:</t>
  </si>
  <si>
    <t>Control measurements:</t>
  </si>
  <si>
    <t>Coefficient of Variance (CoV):</t>
  </si>
  <si>
    <t>Backgrounds and detection limits:</t>
  </si>
  <si>
    <t>NIST bovine liver control</t>
  </si>
  <si>
    <t>Elemental standard concentration</t>
  </si>
  <si>
    <t>Acid control</t>
  </si>
  <si>
    <t>Elemental standard control</t>
  </si>
</sst>
</file>

<file path=xl/styles.xml><?xml version="1.0" encoding="utf-8"?>
<styleSheet xmlns="http://schemas.openxmlformats.org/spreadsheetml/2006/main">
  <numFmts count="5">
    <numFmt numFmtId="164" formatCode="m/d/yyyy\ h:mm\ AM/PM"/>
    <numFmt numFmtId="165" formatCode="[$-409]m/d/yy\ h:mm\ AM/PM;@"/>
    <numFmt numFmtId="166" formatCode="0.0000"/>
    <numFmt numFmtId="167" formatCode="0.0"/>
    <numFmt numFmtId="168" formatCode="0.000"/>
  </numFmts>
  <fonts count="9">
    <font>
      <sz val="10"/>
      <name val="Arial"/>
    </font>
    <font>
      <sz val="10"/>
      <name val="Arial"/>
      <family val="2"/>
    </font>
    <font>
      <sz val="8.25"/>
      <color indexed="72"/>
      <name val="Arial"/>
      <family val="2"/>
    </font>
    <font>
      <sz val="8.25"/>
      <color indexed="64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10"/>
      </patternFill>
    </fill>
    <fill>
      <patternFill patternType="solid">
        <fgColor indexed="9"/>
        <bgColor indexed="10"/>
      </patternFill>
    </fill>
    <fill>
      <patternFill patternType="solid">
        <fgColor indexed="8"/>
        <bgColor indexed="9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65" fontId="0" fillId="0" borderId="0" xfId="0" applyNumberFormat="1"/>
    <xf numFmtId="165" fontId="4" fillId="0" borderId="6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1" fillId="0" borderId="0" xfId="0" applyNumberFormat="1" applyFont="1"/>
    <xf numFmtId="2" fontId="0" fillId="0" borderId="0" xfId="0" applyNumberFormat="1"/>
    <xf numFmtId="2" fontId="4" fillId="0" borderId="6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1" fillId="0" borderId="0" xfId="0" applyNumberFormat="1" applyFont="1"/>
    <xf numFmtId="1" fontId="0" fillId="0" borderId="1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0" fillId="0" borderId="0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6" fontId="8" fillId="0" borderId="9" xfId="0" applyNumberFormat="1" applyFont="1" applyBorder="1" applyAlignment="1">
      <alignment horizontal="center" vertical="center"/>
    </xf>
    <xf numFmtId="166" fontId="8" fillId="0" borderId="10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3"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m/d/yy\ h:mm\ AM/PM;@"/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</dxf>
    <dxf>
      <border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</dxf>
    <dxf>
      <border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</dxf>
    <dxf>
      <border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m/d/yy\ h:mm\ AM/PM;@"/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</dxf>
    <dxf>
      <border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0.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8" formatCode="0.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m/d/yy\ h:mm\ AM/PM;@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</dxf>
    <dxf>
      <border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0.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8" formatCode="0.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m/d/yy\ h:mm\ AM/PM;@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</dxf>
    <dxf>
      <border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EFEFEF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8</xdr:col>
      <xdr:colOff>600075</xdr:colOff>
      <xdr:row>35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590800"/>
          <a:ext cx="5476875" cy="3162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18</xdr:col>
      <xdr:colOff>600075</xdr:colOff>
      <xdr:row>35</xdr:row>
      <xdr:rowOff>85725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96000" y="2590800"/>
          <a:ext cx="5476875" cy="3162300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A4:U27" totalsRowShown="0" headerRowDxfId="132" dataDxfId="130" headerRowBorderDxfId="131" tableBorderDxfId="129" totalsRowBorderDxfId="128" headerRowCellStyle="Normal" dataCellStyle="Normal">
  <autoFilter ref="A4:U27"/>
  <tableColumns count="21">
    <tableColumn id="1" name="Sample Name" dataDxfId="127" dataCellStyle="Normal"/>
    <tableColumn id="2" name="Acq. Date-Time" dataDxfId="126" dataCellStyle="Normal"/>
    <tableColumn id="3" name="Dilution" dataDxfId="125" dataCellStyle="Normal"/>
    <tableColumn id="4" name="Mg [mg/g]" dataDxfId="124" dataCellStyle="Normal"/>
    <tableColumn id="5" name="Mg CoV [mg/g]" dataDxfId="123" dataCellStyle="Normal">
      <calculatedColumnFormula>D5*$Z$27</calculatedColumnFormula>
    </tableColumn>
    <tableColumn id="6" name="K [mg/g]" dataDxfId="122" dataCellStyle="Normal"/>
    <tableColumn id="7" name="K CoV [mg/g]" dataDxfId="121" dataCellStyle="Normal">
      <calculatedColumnFormula>F5*$AA$27</calculatedColumnFormula>
    </tableColumn>
    <tableColumn id="8" name="Ca [mg/g]" dataDxfId="120" dataCellStyle="Normal"/>
    <tableColumn id="9" name="Ca CoV [mg/g]" dataDxfId="119" dataCellStyle="Normal">
      <calculatedColumnFormula>H5*$AB$27</calculatedColumnFormula>
    </tableColumn>
    <tableColumn id="10" name="Mn [ug/g]" dataDxfId="118" dataCellStyle="Normal"/>
    <tableColumn id="11" name="Mn CoV [ug/g]" dataDxfId="117" dataCellStyle="Normal">
      <calculatedColumnFormula>J5*$AC$27</calculatedColumnFormula>
    </tableColumn>
    <tableColumn id="12" name="Fe [ug/g]" dataDxfId="116" dataCellStyle="Normal"/>
    <tableColumn id="13" name="Fe CoV [ug/g]" dataDxfId="115" dataCellStyle="Normal">
      <calculatedColumnFormula>L5*$AD$27</calculatedColumnFormula>
    </tableColumn>
    <tableColumn id="14" name="Cu [ug/g]" dataDxfId="114" dataCellStyle="Normal"/>
    <tableColumn id="15" name="Cu CoV [ug/g]" dataDxfId="113" dataCellStyle="Normal">
      <calculatedColumnFormula>N5*$AE$27</calculatedColumnFormula>
    </tableColumn>
    <tableColumn id="16" name="Zn [ug/g]" dataDxfId="112" dataCellStyle="Normal"/>
    <tableColumn id="17" name="Zn CoV [ug/g]" dataDxfId="111" dataCellStyle="Normal">
      <calculatedColumnFormula>P5*$AF$27</calculatedColumnFormula>
    </tableColumn>
    <tableColumn id="18" name="Se [ug/g]" dataDxfId="110" dataCellStyle="Normal"/>
    <tableColumn id="19" name="Se CoV [ug/g]" dataDxfId="109" dataCellStyle="Normal">
      <calculatedColumnFormula>R5*$AG$27</calculatedColumnFormula>
    </tableColumn>
    <tableColumn id="20" name="Sn [ug/g]" dataDxfId="108" dataCellStyle="Normal"/>
    <tableColumn id="21" name="Sn CoV [ug/g]" dataDxfId="107" dataCellStyle="Normal">
      <calculatedColumnFormula>T5*$AH$27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31:U32" totalsRowShown="0" headerRowDxfId="106" dataDxfId="104" headerRowBorderDxfId="105" tableBorderDxfId="103" totalsRowBorderDxfId="102" headerRowCellStyle="Normal" dataCellStyle="Normal">
  <autoFilter ref="A31:U32"/>
  <tableColumns count="21">
    <tableColumn id="1" name="Sample Name" dataDxfId="101" dataCellStyle="Normal"/>
    <tableColumn id="2" name="Acq. Date-Time" dataDxfId="100" dataCellStyle="Normal"/>
    <tableColumn id="3" name="Dilution" dataDxfId="99" dataCellStyle="Normal"/>
    <tableColumn id="4" name="Mg [ppb]" dataDxfId="98" dataCellStyle="Normal"/>
    <tableColumn id="5" name="Mg CoV [ppb]" dataDxfId="97" dataCellStyle="Normal"/>
    <tableColumn id="6" name="K [ppb]" dataDxfId="96" dataCellStyle="Normal"/>
    <tableColumn id="7" name="K CoV [ppb]" dataDxfId="95" dataCellStyle="Normal"/>
    <tableColumn id="8" name="Ca [ppb]" dataDxfId="94" dataCellStyle="Normal"/>
    <tableColumn id="9" name="Ca CoV [ppb]" dataDxfId="93" dataCellStyle="Normal">
      <calculatedColumnFormula>H32*$AB$27</calculatedColumnFormula>
    </tableColumn>
    <tableColumn id="10" name="Mn [ppb]" dataDxfId="92" dataCellStyle="Normal"/>
    <tableColumn id="11" name="Mn CoV [ppb]" dataDxfId="91" dataCellStyle="Normal">
      <calculatedColumnFormula>J32*$AC$27</calculatedColumnFormula>
    </tableColumn>
    <tableColumn id="12" name="Fe [ppb]" dataDxfId="90" dataCellStyle="Normal"/>
    <tableColumn id="13" name="Fe CoV [ppb]" dataDxfId="89" dataCellStyle="Normal"/>
    <tableColumn id="14" name="Cu [ppb]" dataDxfId="88" dataCellStyle="Normal"/>
    <tableColumn id="15" name="Cu CoV [ppb]" dataDxfId="87" dataCellStyle="Normal">
      <calculatedColumnFormula>N32*$AE$27</calculatedColumnFormula>
    </tableColumn>
    <tableColumn id="16" name="Zn [ppb]" dataDxfId="86" dataCellStyle="Normal"/>
    <tableColumn id="17" name="Zn CoV [ppb]" dataDxfId="85" dataCellStyle="Normal">
      <calculatedColumnFormula>P32*$AF$27</calculatedColumnFormula>
    </tableColumn>
    <tableColumn id="18" name="Se [ppb]" dataDxfId="84" dataCellStyle="Normal"/>
    <tableColumn id="19" name="Se CoV [ppb]" dataDxfId="83" dataCellStyle="Normal"/>
    <tableColumn id="20" name="Sn [ppb]" dataDxfId="82" dataCellStyle="Normal"/>
    <tableColumn id="21" name="Sn CoV [ppb]" dataDxfId="81" dataCellStyle="Normal">
      <calculatedColumnFormula>T32*$AH$27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34:U37" totalsRowShown="0" headerRowDxfId="80" dataDxfId="78" headerRowBorderDxfId="79" tableBorderDxfId="77" totalsRowBorderDxfId="76" headerRowCellStyle="Normal" dataCellStyle="Normal">
  <autoFilter ref="A34:U37"/>
  <tableColumns count="21">
    <tableColumn id="1" name="Sample Name" dataDxfId="75" dataCellStyle="Normal"/>
    <tableColumn id="2" name="Acq. Date-Time" dataDxfId="74" dataCellStyle="Normal"/>
    <tableColumn id="3" name="Dilution" dataDxfId="73" dataCellStyle="Normal"/>
    <tableColumn id="4" name="Mg [ppm]" dataDxfId="72" dataCellStyle="Normal"/>
    <tableColumn id="5" name="Mg CoV [ppm]" dataDxfId="71" dataCellStyle="Normal"/>
    <tableColumn id="6" name="K [ppm]" dataDxfId="70" dataCellStyle="Normal"/>
    <tableColumn id="7" name="K CoV [ppm]" dataDxfId="69" dataCellStyle="Normal"/>
    <tableColumn id="8" name="Ca [ppm]" dataDxfId="68" dataCellStyle="Normal"/>
    <tableColumn id="9" name="Ca CoV [ppm]" dataDxfId="67" dataCellStyle="Normal"/>
    <tableColumn id="10" name="Mn [ppm]" dataDxfId="66" dataCellStyle="Normal"/>
    <tableColumn id="11" name="Mn CoV [ppm]" dataDxfId="65" dataCellStyle="Normal"/>
    <tableColumn id="12" name="Fe [ppm]" dataDxfId="64" dataCellStyle="Normal"/>
    <tableColumn id="13" name="Fe CoV [ppm]" dataDxfId="63" dataCellStyle="Normal"/>
    <tableColumn id="14" name="Cu [ppm]" dataDxfId="62" dataCellStyle="Normal"/>
    <tableColumn id="15" name="Cu CoV [ppm]" dataDxfId="61" dataCellStyle="Normal"/>
    <tableColumn id="16" name="Zn [ppm]" dataDxfId="60" dataCellStyle="Normal"/>
    <tableColumn id="17" name="Zn CoV [ppm]" dataDxfId="59" dataCellStyle="Normal"/>
    <tableColumn id="18" name="Se [ppm]" dataDxfId="58" dataCellStyle="Normal"/>
    <tableColumn id="19" name="Se CoV [ppm]" dataDxfId="57" dataCellStyle="Normal"/>
    <tableColumn id="20" name="Sn [ppm]" dataDxfId="56" dataCellStyle="Normal"/>
    <tableColumn id="21" name="Sn CoV [ppm]" dataDxfId="55" dataCellStyle="Normal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W18:AH27" totalsRowShown="0" headerRowDxfId="54" dataDxfId="52" headerRowBorderDxfId="53" tableBorderDxfId="51" totalsRowBorderDxfId="50" headerRowCellStyle="Normal" dataCellStyle="Normal">
  <autoFilter ref="W18:AH27"/>
  <tableColumns count="12">
    <tableColumn id="1" name="Sample Name" dataDxfId="49" dataCellStyle="Normal"/>
    <tableColumn id="2" name="Acq. Date-Time" dataDxfId="48" dataCellStyle="Normal"/>
    <tableColumn id="3" name="Dilution" dataDxfId="47" dataCellStyle="Normal"/>
    <tableColumn id="4" name="Mg [ppb]" dataDxfId="46" dataCellStyle="Normal"/>
    <tableColumn id="5" name="K [CPS]" dataDxfId="45" dataCellStyle="Normal"/>
    <tableColumn id="6" name="Ca [ppb]" dataDxfId="44" dataCellStyle="Normal"/>
    <tableColumn id="7" name="Mn [ppb]" dataDxfId="43" dataCellStyle="Normal"/>
    <tableColumn id="8" name="Fe [ppb]" dataDxfId="42" dataCellStyle="Normal"/>
    <tableColumn id="9" name="Cu [ppb]" dataDxfId="41" dataCellStyle="Normal"/>
    <tableColumn id="10" name="Zn [ppb]" dataDxfId="40" dataCellStyle="Normal"/>
    <tableColumn id="11" name="Se [ppb]" dataDxfId="39" dataCellStyle="Normal"/>
    <tableColumn id="12" name="Sn [ppb]" dataDxfId="38" dataCellStyle="Normal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W4:AC13" totalsRowShown="0" headerRowDxfId="37" dataDxfId="35" headerRowBorderDxfId="36" tableBorderDxfId="34" totalsRowBorderDxfId="33" headerRowCellStyle="Normal" dataCellStyle="Normal">
  <autoFilter ref="W4:AC13"/>
  <tableColumns count="7">
    <tableColumn id="1" name="Name" dataDxfId="32" dataCellStyle="Normal"/>
    <tableColumn id="2" name="R" dataDxfId="31" dataCellStyle="Normal"/>
    <tableColumn id="3" name="a" dataDxfId="30" dataCellStyle="Normal"/>
    <tableColumn id="4" name="b (blank)" dataDxfId="29" dataCellStyle="Normal"/>
    <tableColumn id="5" name="Detection limit [ppb]" dataDxfId="28" dataCellStyle="Normal"/>
    <tableColumn id="6" name="Detection limit × 5 [ppb]" dataDxfId="27" dataCellStyle="Normal">
      <calculatedColumnFormula>AA5*5</calculatedColumnFormula>
    </tableColumn>
    <tableColumn id="7" name="Background equivalent concentration [ppb]" dataDxfId="26" dataCellStyle="Normal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5" name="Table5" displayName="Table5" ref="A39:U42" totalsRowShown="0" headerRowDxfId="25" dataDxfId="23" headerRowBorderDxfId="24" tableBorderDxfId="22" totalsRowBorderDxfId="21" headerRowCellStyle="Normal" dataCellStyle="Normal">
  <autoFilter ref="A39:U42"/>
  <tableColumns count="21">
    <tableColumn id="1" name="Sample Name" dataDxfId="20" dataCellStyle="Normal"/>
    <tableColumn id="2" name="Acq. Date-Time" dataDxfId="19" dataCellStyle="Normal"/>
    <tableColumn id="3" name="Dilution" dataDxfId="18" dataCellStyle="Normal"/>
    <tableColumn id="4" name="Mg [ug/g]" dataDxfId="17" dataCellStyle="Normal"/>
    <tableColumn id="5" name="Mg CoV [ug/g]" dataDxfId="16" dataCellStyle="Normal"/>
    <tableColumn id="6" name="K [ug/g]" dataDxfId="15" dataCellStyle="Normal"/>
    <tableColumn id="7" name="K CoV [ug/g]" dataDxfId="14" dataCellStyle="Normal"/>
    <tableColumn id="8" name="Ca [ug/g]" dataDxfId="13" dataCellStyle="Normal"/>
    <tableColumn id="9" name="Ca CoV [ug/g]" dataDxfId="12" dataCellStyle="Normal"/>
    <tableColumn id="10" name="Mn [ug/g]" dataDxfId="11" dataCellStyle="Normal"/>
    <tableColumn id="11" name="Mn CoV [ug/g]" dataDxfId="10" dataCellStyle="Normal"/>
    <tableColumn id="12" name="Fe [ug/g]" dataDxfId="9" dataCellStyle="Normal"/>
    <tableColumn id="13" name="Fe CoV [ug/g]" dataDxfId="8" dataCellStyle="Normal"/>
    <tableColumn id="14" name="Cu [ug/g]" dataDxfId="7" dataCellStyle="Normal"/>
    <tableColumn id="15" name="Cu CoV [ug/g]" dataDxfId="6" dataCellStyle="Normal"/>
    <tableColumn id="16" name="Zn [ug/g]" dataDxfId="5" dataCellStyle="Normal"/>
    <tableColumn id="17" name="Zn CoV [ug/g]" dataDxfId="4" dataCellStyle="Normal"/>
    <tableColumn id="18" name="Se [ug/g]" dataDxfId="3" dataCellStyle="Normal"/>
    <tableColumn id="19" name="Se CoV [ug/g]" dataDxfId="2" dataCellStyle="Normal"/>
    <tableColumn id="20" name="Sn [ug/g]" dataDxfId="1" dataCellStyle="Normal"/>
    <tableColumn id="21" name="Sn CoV [ug/g]" dataDxfId="0" dataCellStyle="Norm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X85"/>
  <sheetViews>
    <sheetView workbookViewId="0">
      <selection activeCell="C3" sqref="A1:IV65536"/>
    </sheetView>
  </sheetViews>
  <sheetFormatPr defaultRowHeight="12.75"/>
  <cols>
    <col min="1" max="1" width="4" customWidth="1"/>
    <col min="2" max="2" width="5.42578125" customWidth="1"/>
    <col min="3" max="3" width="26.42578125" customWidth="1"/>
    <col min="4" max="4" width="22.28515625" customWidth="1"/>
    <col min="5" max="5" width="18" customWidth="1"/>
    <col min="6" max="6" width="10.42578125" customWidth="1"/>
    <col min="7" max="7" width="53.42578125" customWidth="1"/>
    <col min="8" max="8" width="12.140625" customWidth="1"/>
    <col min="9" max="9" width="10.85546875" customWidth="1"/>
    <col min="10" max="10" width="11.140625" customWidth="1"/>
    <col min="11" max="11" width="10.7109375" customWidth="1"/>
    <col min="12" max="12" width="9.140625" customWidth="1"/>
    <col min="13" max="13" width="11.140625" customWidth="1"/>
    <col min="14" max="14" width="10.7109375" customWidth="1"/>
    <col min="15" max="15" width="9.140625" customWidth="1"/>
    <col min="16" max="16" width="11.140625" customWidth="1"/>
    <col min="17" max="17" width="10.7109375" customWidth="1"/>
    <col min="18" max="18" width="9.140625" customWidth="1"/>
    <col min="19" max="19" width="11.140625" customWidth="1"/>
    <col min="20" max="20" width="10.7109375" customWidth="1"/>
    <col min="21" max="21" width="9.140625" customWidth="1"/>
    <col min="22" max="22" width="11.140625" customWidth="1"/>
    <col min="23" max="23" width="10.7109375" customWidth="1"/>
    <col min="24" max="24" width="9.140625" customWidth="1"/>
    <col min="25" max="25" width="11.140625" customWidth="1"/>
    <col min="26" max="26" width="10.7109375" customWidth="1"/>
    <col min="27" max="27" width="9.140625" customWidth="1"/>
    <col min="28" max="28" width="11.140625" customWidth="1"/>
    <col min="29" max="29" width="10.7109375" customWidth="1"/>
    <col min="30" max="30" width="9.140625" customWidth="1"/>
    <col min="31" max="31" width="11.140625" customWidth="1"/>
    <col min="32" max="32" width="10.7109375" customWidth="1"/>
    <col min="33" max="33" width="9.140625" customWidth="1"/>
    <col min="34" max="34" width="11.140625" customWidth="1"/>
    <col min="35" max="35" width="10.7109375" customWidth="1"/>
    <col min="36" max="36" width="9.140625" customWidth="1"/>
    <col min="37" max="37" width="11.140625" customWidth="1"/>
    <col min="38" max="38" width="10.7109375" customWidth="1"/>
    <col min="39" max="39" width="9.140625" customWidth="1"/>
    <col min="40" max="40" width="11.140625" customWidth="1"/>
    <col min="41" max="41" width="10.7109375" customWidth="1"/>
    <col min="42" max="42" width="9.140625" customWidth="1"/>
    <col min="43" max="43" width="10.7109375" customWidth="1"/>
    <col min="44" max="44" width="9.140625" customWidth="1"/>
    <col min="45" max="45" width="10.7109375" customWidth="1"/>
    <col min="46" max="46" width="9.140625" customWidth="1"/>
    <col min="47" max="47" width="10.7109375" customWidth="1"/>
    <col min="48" max="48" width="9.140625" customWidth="1"/>
    <col min="49" max="49" width="10.7109375" customWidth="1"/>
    <col min="50" max="50" width="9.140625" customWidth="1"/>
  </cols>
  <sheetData>
    <row r="1" spans="1:50">
      <c r="A1" s="7" t="s">
        <v>250</v>
      </c>
      <c r="B1" s="8"/>
      <c r="C1" s="8"/>
      <c r="D1" s="8"/>
      <c r="E1" s="8"/>
      <c r="F1" s="8"/>
      <c r="G1" s="8"/>
      <c r="H1" s="8"/>
      <c r="I1" s="9"/>
      <c r="J1" s="68" t="s">
        <v>131</v>
      </c>
      <c r="K1" s="68"/>
      <c r="L1" s="68"/>
      <c r="M1" s="68" t="s">
        <v>159</v>
      </c>
      <c r="N1" s="68"/>
      <c r="O1" s="68"/>
      <c r="P1" s="68" t="s">
        <v>161</v>
      </c>
      <c r="Q1" s="68"/>
      <c r="R1" s="68"/>
      <c r="S1" s="68" t="s">
        <v>166</v>
      </c>
      <c r="T1" s="68"/>
      <c r="U1" s="68"/>
      <c r="V1" s="68" t="s">
        <v>167</v>
      </c>
      <c r="W1" s="68"/>
      <c r="X1" s="68"/>
      <c r="Y1" s="68" t="s">
        <v>168</v>
      </c>
      <c r="Z1" s="68"/>
      <c r="AA1" s="68"/>
      <c r="AB1" s="68" t="s">
        <v>170</v>
      </c>
      <c r="AC1" s="68"/>
      <c r="AD1" s="68"/>
      <c r="AE1" s="68" t="s">
        <v>171</v>
      </c>
      <c r="AF1" s="68"/>
      <c r="AG1" s="68"/>
      <c r="AH1" s="68" t="s">
        <v>172</v>
      </c>
      <c r="AI1" s="68"/>
      <c r="AJ1" s="68"/>
      <c r="AK1" s="68" t="s">
        <v>176</v>
      </c>
      <c r="AL1" s="68"/>
      <c r="AM1" s="68"/>
      <c r="AN1" s="68" t="s">
        <v>91</v>
      </c>
      <c r="AO1" s="68"/>
      <c r="AP1" s="68"/>
      <c r="AQ1" s="68" t="s">
        <v>162</v>
      </c>
      <c r="AR1" s="68"/>
      <c r="AS1" s="68" t="s">
        <v>174</v>
      </c>
      <c r="AT1" s="68"/>
      <c r="AU1" s="68" t="s">
        <v>175</v>
      </c>
      <c r="AV1" s="68"/>
      <c r="AW1" s="68" t="s">
        <v>117</v>
      </c>
      <c r="AX1" s="68"/>
    </row>
    <row r="2" spans="1:50">
      <c r="A2" s="1" t="s">
        <v>0</v>
      </c>
      <c r="B2" s="1" t="s">
        <v>249</v>
      </c>
      <c r="C2" s="1" t="s">
        <v>238</v>
      </c>
      <c r="D2" s="1" t="s">
        <v>251</v>
      </c>
      <c r="E2" s="1" t="s">
        <v>202</v>
      </c>
      <c r="F2" s="1" t="s">
        <v>262</v>
      </c>
      <c r="G2" s="1" t="s">
        <v>247</v>
      </c>
      <c r="H2" s="1" t="s">
        <v>239</v>
      </c>
      <c r="I2" s="1" t="s">
        <v>263</v>
      </c>
      <c r="J2" s="1" t="s">
        <v>237</v>
      </c>
      <c r="K2" s="1" t="s">
        <v>206</v>
      </c>
      <c r="L2" s="1" t="s">
        <v>207</v>
      </c>
      <c r="M2" s="1" t="s">
        <v>237</v>
      </c>
      <c r="N2" s="1" t="s">
        <v>206</v>
      </c>
      <c r="O2" s="1" t="s">
        <v>207</v>
      </c>
      <c r="P2" s="1" t="s">
        <v>237</v>
      </c>
      <c r="Q2" s="1" t="s">
        <v>206</v>
      </c>
      <c r="R2" s="1" t="s">
        <v>207</v>
      </c>
      <c r="S2" s="1" t="s">
        <v>237</v>
      </c>
      <c r="T2" s="1" t="s">
        <v>206</v>
      </c>
      <c r="U2" s="1" t="s">
        <v>207</v>
      </c>
      <c r="V2" s="1" t="s">
        <v>237</v>
      </c>
      <c r="W2" s="1" t="s">
        <v>206</v>
      </c>
      <c r="X2" s="1" t="s">
        <v>207</v>
      </c>
      <c r="Y2" s="1" t="s">
        <v>237</v>
      </c>
      <c r="Z2" s="1" t="s">
        <v>206</v>
      </c>
      <c r="AA2" s="1" t="s">
        <v>207</v>
      </c>
      <c r="AB2" s="1" t="s">
        <v>237</v>
      </c>
      <c r="AC2" s="1" t="s">
        <v>206</v>
      </c>
      <c r="AD2" s="1" t="s">
        <v>207</v>
      </c>
      <c r="AE2" s="1" t="s">
        <v>237</v>
      </c>
      <c r="AF2" s="1" t="s">
        <v>206</v>
      </c>
      <c r="AG2" s="1" t="s">
        <v>207</v>
      </c>
      <c r="AH2" s="1" t="s">
        <v>237</v>
      </c>
      <c r="AI2" s="1" t="s">
        <v>206</v>
      </c>
      <c r="AJ2" s="1" t="s">
        <v>207</v>
      </c>
      <c r="AK2" s="1" t="s">
        <v>237</v>
      </c>
      <c r="AL2" s="1" t="s">
        <v>206</v>
      </c>
      <c r="AM2" s="1" t="s">
        <v>207</v>
      </c>
      <c r="AN2" s="1" t="s">
        <v>237</v>
      </c>
      <c r="AO2" s="1" t="s">
        <v>206</v>
      </c>
      <c r="AP2" s="1" t="s">
        <v>207</v>
      </c>
      <c r="AQ2" s="1" t="s">
        <v>206</v>
      </c>
      <c r="AR2" s="1" t="s">
        <v>207</v>
      </c>
      <c r="AS2" s="1" t="s">
        <v>206</v>
      </c>
      <c r="AT2" s="1" t="s">
        <v>207</v>
      </c>
      <c r="AU2" s="1" t="s">
        <v>206</v>
      </c>
      <c r="AV2" s="1" t="s">
        <v>207</v>
      </c>
      <c r="AW2" s="1" t="s">
        <v>206</v>
      </c>
      <c r="AX2" s="1" t="s">
        <v>207</v>
      </c>
    </row>
    <row r="3" spans="1:50" ht="18.75" customHeight="1">
      <c r="A3" s="2"/>
      <c r="B3" s="2" t="b">
        <v>0</v>
      </c>
      <c r="C3" s="2" t="s">
        <v>3</v>
      </c>
      <c r="D3" s="2" t="s">
        <v>1</v>
      </c>
      <c r="E3" s="3">
        <v>41429.513136574074</v>
      </c>
      <c r="F3" s="4" t="s">
        <v>204</v>
      </c>
      <c r="G3" s="5" t="s">
        <v>0</v>
      </c>
      <c r="H3" s="5">
        <v>1</v>
      </c>
      <c r="I3" s="2" t="s">
        <v>118</v>
      </c>
      <c r="J3" s="6"/>
      <c r="K3" s="6">
        <v>1655.8</v>
      </c>
      <c r="L3" s="6">
        <v>8.3727456282499197</v>
      </c>
      <c r="M3" s="5"/>
      <c r="N3" s="5">
        <v>60877.860000000008</v>
      </c>
      <c r="O3" s="5">
        <v>0.66774689626723971</v>
      </c>
      <c r="P3" s="6"/>
      <c r="Q3" s="6">
        <v>160.01000000000002</v>
      </c>
      <c r="R3" s="6">
        <v>26.021700769330909</v>
      </c>
      <c r="S3" s="5"/>
      <c r="T3" s="5">
        <v>170.01000000000002</v>
      </c>
      <c r="U3" s="5">
        <v>24.48968980670135</v>
      </c>
      <c r="V3" s="6"/>
      <c r="W3" s="6">
        <v>10008.99</v>
      </c>
      <c r="X3" s="6">
        <v>0.89049428462133307</v>
      </c>
      <c r="Y3" s="5"/>
      <c r="Z3" s="5">
        <v>228.90333333333334</v>
      </c>
      <c r="AA3" s="5">
        <v>23.225145112892232</v>
      </c>
      <c r="AB3" s="6"/>
      <c r="AC3" s="6">
        <v>621.15333333333331</v>
      </c>
      <c r="AD3" s="6">
        <v>4.0277632615766752</v>
      </c>
      <c r="AE3" s="5"/>
      <c r="AF3" s="5">
        <v>737.82666666666671</v>
      </c>
      <c r="AG3" s="5">
        <v>15.136135059585683</v>
      </c>
      <c r="AH3" s="6"/>
      <c r="AI3" s="6">
        <v>441.1366666666666</v>
      </c>
      <c r="AJ3" s="6">
        <v>12.098233627525211</v>
      </c>
      <c r="AK3" s="5"/>
      <c r="AL3" s="5">
        <v>660.06</v>
      </c>
      <c r="AM3" s="5">
        <v>0.37259176087886925</v>
      </c>
      <c r="AN3" s="6"/>
      <c r="AO3" s="6">
        <v>962.29333333333341</v>
      </c>
      <c r="AP3" s="6">
        <v>7.608658291690432</v>
      </c>
      <c r="AQ3" s="5">
        <v>202644.23666666666</v>
      </c>
      <c r="AR3" s="5">
        <v>4.4958087639803237</v>
      </c>
      <c r="AS3" s="6">
        <v>117594.30333333334</v>
      </c>
      <c r="AT3" s="6">
        <v>2.7224259001695139</v>
      </c>
      <c r="AU3" s="5">
        <v>327153.80333333329</v>
      </c>
      <c r="AV3" s="5">
        <v>1.51002257166049</v>
      </c>
      <c r="AW3" s="6">
        <v>2454198.94</v>
      </c>
      <c r="AX3" s="6">
        <v>3.1292716437654104</v>
      </c>
    </row>
    <row r="4" spans="1:50" ht="18.75" customHeight="1">
      <c r="A4" s="2"/>
      <c r="B4" s="2" t="b">
        <v>0</v>
      </c>
      <c r="C4" s="2" t="s">
        <v>4</v>
      </c>
      <c r="D4" s="2" t="s">
        <v>1</v>
      </c>
      <c r="E4" s="3">
        <v>41429.516192129631</v>
      </c>
      <c r="F4" s="4" t="s">
        <v>204</v>
      </c>
      <c r="G4" s="5" t="s">
        <v>0</v>
      </c>
      <c r="H4" s="5">
        <v>1</v>
      </c>
      <c r="I4" s="2" t="s">
        <v>119</v>
      </c>
      <c r="J4" s="6"/>
      <c r="K4" s="6">
        <v>1529.0833333333333</v>
      </c>
      <c r="L4" s="6">
        <v>7.4303760335769287</v>
      </c>
      <c r="M4" s="5"/>
      <c r="N4" s="5">
        <v>64210.41</v>
      </c>
      <c r="O4" s="5">
        <v>0.97130610332957312</v>
      </c>
      <c r="P4" s="6"/>
      <c r="Q4" s="6">
        <v>111.11666666666667</v>
      </c>
      <c r="R4" s="6">
        <v>4.5816932193507567</v>
      </c>
      <c r="S4" s="5"/>
      <c r="T4" s="5">
        <v>150.00666666666666</v>
      </c>
      <c r="U4" s="5">
        <v>28.889485277919686</v>
      </c>
      <c r="V4" s="6"/>
      <c r="W4" s="6">
        <v>10162.463333333333</v>
      </c>
      <c r="X4" s="6">
        <v>1.7033713092111886</v>
      </c>
      <c r="Y4" s="5"/>
      <c r="Z4" s="5">
        <v>211.12333333333333</v>
      </c>
      <c r="AA4" s="5">
        <v>2.4119147509382177</v>
      </c>
      <c r="AB4" s="6"/>
      <c r="AC4" s="6">
        <v>586.70666666666671</v>
      </c>
      <c r="AD4" s="6">
        <v>7.4304123867322129</v>
      </c>
      <c r="AE4" s="5"/>
      <c r="AF4" s="5">
        <v>817.8366666666667</v>
      </c>
      <c r="AG4" s="5">
        <v>15.851738430271359</v>
      </c>
      <c r="AH4" s="6"/>
      <c r="AI4" s="6">
        <v>485.58333333333331</v>
      </c>
      <c r="AJ4" s="6">
        <v>9.5211639770566752</v>
      </c>
      <c r="AK4" s="5"/>
      <c r="AL4" s="5">
        <v>656.77</v>
      </c>
      <c r="AM4" s="5">
        <v>0.65307424651239598</v>
      </c>
      <c r="AN4" s="6"/>
      <c r="AO4" s="6">
        <v>855.62333333333333</v>
      </c>
      <c r="AP4" s="6">
        <v>5.3190329439243289</v>
      </c>
      <c r="AQ4" s="5">
        <v>204375.24666666667</v>
      </c>
      <c r="AR4" s="5">
        <v>0.45300223569947307</v>
      </c>
      <c r="AS4" s="6">
        <v>120017.92666666665</v>
      </c>
      <c r="AT4" s="6">
        <v>0.57814182266981762</v>
      </c>
      <c r="AU4" s="5">
        <v>333333.28333333338</v>
      </c>
      <c r="AV4" s="5">
        <v>3.1718033092821001</v>
      </c>
      <c r="AW4" s="6">
        <v>2465799.8233333332</v>
      </c>
      <c r="AX4" s="6">
        <v>0.75738659630055827</v>
      </c>
    </row>
    <row r="5" spans="1:50" ht="18.75" customHeight="1">
      <c r="A5" s="2"/>
      <c r="B5" s="2" t="b">
        <v>0</v>
      </c>
      <c r="C5" s="2" t="s">
        <v>5</v>
      </c>
      <c r="D5" s="2" t="s">
        <v>1</v>
      </c>
      <c r="E5" s="3">
        <v>41429.519224537034</v>
      </c>
      <c r="F5" s="4" t="s">
        <v>204</v>
      </c>
      <c r="G5" s="5" t="s">
        <v>0</v>
      </c>
      <c r="H5" s="5">
        <v>1</v>
      </c>
      <c r="I5" s="2" t="s">
        <v>118</v>
      </c>
      <c r="J5" s="6"/>
      <c r="K5" s="6">
        <v>1437.9666666666665</v>
      </c>
      <c r="L5" s="6">
        <v>5.0865882050663656</v>
      </c>
      <c r="M5" s="5"/>
      <c r="N5" s="5">
        <v>64135.49</v>
      </c>
      <c r="O5" s="5">
        <v>2.0262816267439518</v>
      </c>
      <c r="P5" s="6"/>
      <c r="Q5" s="6">
        <v>135.56333333333333</v>
      </c>
      <c r="R5" s="6">
        <v>9.310883888152901</v>
      </c>
      <c r="S5" s="5"/>
      <c r="T5" s="5">
        <v>135.56333333333336</v>
      </c>
      <c r="U5" s="5">
        <v>53.104857442198174</v>
      </c>
      <c r="V5" s="6"/>
      <c r="W5" s="6">
        <v>10541.883333333333</v>
      </c>
      <c r="X5" s="6">
        <v>2.9821853791427824</v>
      </c>
      <c r="Y5" s="5"/>
      <c r="Z5" s="5">
        <v>241.12333333333333</v>
      </c>
      <c r="AA5" s="5">
        <v>18.255392259468827</v>
      </c>
      <c r="AB5" s="6"/>
      <c r="AC5" s="6">
        <v>578.92333333333329</v>
      </c>
      <c r="AD5" s="6">
        <v>9.2552582383024102</v>
      </c>
      <c r="AE5" s="5"/>
      <c r="AF5" s="5">
        <v>684.4899999999999</v>
      </c>
      <c r="AG5" s="5">
        <v>17.568074248321054</v>
      </c>
      <c r="AH5" s="6"/>
      <c r="AI5" s="6">
        <v>416.68666666666667</v>
      </c>
      <c r="AJ5" s="6">
        <v>7.6308119157762837</v>
      </c>
      <c r="AK5" s="5"/>
      <c r="AL5" s="5">
        <v>658.61333333333334</v>
      </c>
      <c r="AM5" s="5">
        <v>1.4318229319032165</v>
      </c>
      <c r="AN5" s="6"/>
      <c r="AO5" s="6">
        <v>854.50666666666666</v>
      </c>
      <c r="AP5" s="6">
        <v>10.615168678252839</v>
      </c>
      <c r="AQ5" s="5">
        <v>205920.87333333332</v>
      </c>
      <c r="AR5" s="5">
        <v>0.93597440878594329</v>
      </c>
      <c r="AS5" s="6">
        <v>121870.10333333333</v>
      </c>
      <c r="AT5" s="6">
        <v>1.7494996287180333</v>
      </c>
      <c r="AU5" s="5">
        <v>327986.67</v>
      </c>
      <c r="AV5" s="5">
        <v>2.6970627378578509E-2</v>
      </c>
      <c r="AW5" s="6">
        <v>2488906.11</v>
      </c>
      <c r="AX5" s="6">
        <v>0.40981257565392282</v>
      </c>
    </row>
    <row r="6" spans="1:50" ht="18.75" customHeight="1">
      <c r="A6" s="2"/>
      <c r="B6" s="2" t="b">
        <v>0</v>
      </c>
      <c r="C6" s="2" t="s">
        <v>6</v>
      </c>
      <c r="D6" s="2" t="s">
        <v>1</v>
      </c>
      <c r="E6" s="3">
        <v>41429.522256944445</v>
      </c>
      <c r="F6" s="4" t="s">
        <v>204</v>
      </c>
      <c r="G6" s="5" t="s">
        <v>0</v>
      </c>
      <c r="H6" s="5">
        <v>1</v>
      </c>
      <c r="I6" s="2" t="s">
        <v>119</v>
      </c>
      <c r="J6" s="6"/>
      <c r="K6" s="6">
        <v>1602.4666666666665</v>
      </c>
      <c r="L6" s="6">
        <v>19.165255202210616</v>
      </c>
      <c r="M6" s="5"/>
      <c r="N6" s="5">
        <v>65047.063333333332</v>
      </c>
      <c r="O6" s="5">
        <v>1.3211690066596027</v>
      </c>
      <c r="P6" s="6"/>
      <c r="Q6" s="6">
        <v>128.89666666666668</v>
      </c>
      <c r="R6" s="6">
        <v>13.269154381779122</v>
      </c>
      <c r="S6" s="5"/>
      <c r="T6" s="5">
        <v>156.67333333333332</v>
      </c>
      <c r="U6" s="5">
        <v>20.517532787951577</v>
      </c>
      <c r="V6" s="6"/>
      <c r="W6" s="6">
        <v>10094.620000000001</v>
      </c>
      <c r="X6" s="6">
        <v>0.71181504092861869</v>
      </c>
      <c r="Y6" s="5"/>
      <c r="Z6" s="5">
        <v>233.34666666666666</v>
      </c>
      <c r="AA6" s="5">
        <v>4.9484338254072195</v>
      </c>
      <c r="AB6" s="6"/>
      <c r="AC6" s="6">
        <v>647.82000000000005</v>
      </c>
      <c r="AD6" s="6">
        <v>1.8067583361868602</v>
      </c>
      <c r="AE6" s="5"/>
      <c r="AF6" s="5">
        <v>854.50333333333322</v>
      </c>
      <c r="AG6" s="5">
        <v>3.2484619448346659</v>
      </c>
      <c r="AH6" s="6"/>
      <c r="AI6" s="6">
        <v>496.7</v>
      </c>
      <c r="AJ6" s="6">
        <v>7.7397464498089263</v>
      </c>
      <c r="AK6" s="5"/>
      <c r="AL6" s="5">
        <v>666.21666666666658</v>
      </c>
      <c r="AM6" s="5">
        <v>0.99445191494804941</v>
      </c>
      <c r="AN6" s="6"/>
      <c r="AO6" s="6">
        <v>665.60333333333335</v>
      </c>
      <c r="AP6" s="6">
        <v>4.079333411334467</v>
      </c>
      <c r="AQ6" s="5">
        <v>206348.34666666668</v>
      </c>
      <c r="AR6" s="5">
        <v>1.2973977518394828</v>
      </c>
      <c r="AS6" s="6">
        <v>120939.89333333333</v>
      </c>
      <c r="AT6" s="6">
        <v>1.2477479411760439</v>
      </c>
      <c r="AU6" s="5">
        <v>323971.33666666667</v>
      </c>
      <c r="AV6" s="5">
        <v>0.55237497408178138</v>
      </c>
      <c r="AW6" s="6">
        <v>2501313.5233333334</v>
      </c>
      <c r="AX6" s="6">
        <v>0.9117283779074089</v>
      </c>
    </row>
    <row r="7" spans="1:50" ht="18.75" customHeight="1">
      <c r="A7" s="2" t="s">
        <v>255</v>
      </c>
      <c r="B7" s="2" t="b">
        <v>0</v>
      </c>
      <c r="C7" s="2" t="s">
        <v>7</v>
      </c>
      <c r="D7" s="2" t="s">
        <v>1</v>
      </c>
      <c r="E7" s="3">
        <v>41429.525312500002</v>
      </c>
      <c r="F7" s="4" t="s">
        <v>233</v>
      </c>
      <c r="G7" s="5" t="s">
        <v>86</v>
      </c>
      <c r="H7" s="5">
        <v>1</v>
      </c>
      <c r="I7" s="2" t="s">
        <v>118</v>
      </c>
      <c r="J7" s="6" t="s">
        <v>195</v>
      </c>
      <c r="K7" s="6">
        <v>1544.6533333333334</v>
      </c>
      <c r="L7" s="6">
        <v>5.5674781108742906</v>
      </c>
      <c r="M7" s="5" t="s">
        <v>200</v>
      </c>
      <c r="N7" s="5">
        <v>64333.24</v>
      </c>
      <c r="O7" s="5">
        <v>0.99127452660326465</v>
      </c>
      <c r="P7" s="6" t="s">
        <v>197</v>
      </c>
      <c r="Q7" s="6">
        <v>133.34333333333333</v>
      </c>
      <c r="R7" s="6">
        <v>22.219382267081283</v>
      </c>
      <c r="S7" s="5" t="s">
        <v>181</v>
      </c>
      <c r="T7" s="5">
        <v>146.67333333333332</v>
      </c>
      <c r="U7" s="5">
        <v>22.382173566547582</v>
      </c>
      <c r="V7" s="6" t="s">
        <v>193</v>
      </c>
      <c r="W7" s="6">
        <v>10361.540000000001</v>
      </c>
      <c r="X7" s="6">
        <v>1.215689371773617</v>
      </c>
      <c r="Y7" s="5" t="s">
        <v>194</v>
      </c>
      <c r="Z7" s="5">
        <v>292.24</v>
      </c>
      <c r="AA7" s="5">
        <v>15.818388073497564</v>
      </c>
      <c r="AB7" s="6" t="s">
        <v>180</v>
      </c>
      <c r="AC7" s="6">
        <v>667.82333333333338</v>
      </c>
      <c r="AD7" s="6">
        <v>9.4232437909023137</v>
      </c>
      <c r="AE7" s="5" t="s">
        <v>187</v>
      </c>
      <c r="AF7" s="5">
        <v>768.94333333333327</v>
      </c>
      <c r="AG7" s="5">
        <v>13.711688278530106</v>
      </c>
      <c r="AH7" s="6" t="s">
        <v>190</v>
      </c>
      <c r="AI7" s="6">
        <v>457.80666666666667</v>
      </c>
      <c r="AJ7" s="6">
        <v>29.129960428776556</v>
      </c>
      <c r="AK7" s="5" t="s">
        <v>189</v>
      </c>
      <c r="AL7" s="5">
        <v>655.41</v>
      </c>
      <c r="AM7" s="5">
        <v>2.0579137089863035</v>
      </c>
      <c r="AN7" s="6" t="s">
        <v>185</v>
      </c>
      <c r="AO7" s="6">
        <v>717.83</v>
      </c>
      <c r="AP7" s="6">
        <v>2.145066614559727</v>
      </c>
      <c r="AQ7" s="5">
        <v>198779.00666666668</v>
      </c>
      <c r="AR7" s="5">
        <v>16.137500110434395</v>
      </c>
      <c r="AS7" s="6">
        <v>118893.68</v>
      </c>
      <c r="AT7" s="6">
        <v>11.120281818996988</v>
      </c>
      <c r="AU7" s="5">
        <v>329266.1766666667</v>
      </c>
      <c r="AV7" s="5">
        <v>1.6938935189223416</v>
      </c>
      <c r="AW7" s="6">
        <v>2402489.7200000002</v>
      </c>
      <c r="AX7" s="6">
        <v>15.096449829025016</v>
      </c>
    </row>
    <row r="8" spans="1:50" ht="18.75" customHeight="1">
      <c r="A8" s="2"/>
      <c r="B8" s="2" t="b">
        <v>0</v>
      </c>
      <c r="C8" s="2" t="s">
        <v>8</v>
      </c>
      <c r="D8" s="2" t="s">
        <v>2</v>
      </c>
      <c r="E8" s="3">
        <v>41429.528344907405</v>
      </c>
      <c r="F8" s="4" t="s">
        <v>234</v>
      </c>
      <c r="G8" s="5" t="s">
        <v>115</v>
      </c>
      <c r="H8" s="5">
        <v>1</v>
      </c>
      <c r="I8" s="2" t="s">
        <v>120</v>
      </c>
      <c r="J8" s="6" t="s">
        <v>195</v>
      </c>
      <c r="K8" s="6">
        <v>2918.3233333333333</v>
      </c>
      <c r="L8" s="6">
        <v>7.5248693662635713</v>
      </c>
      <c r="M8" s="5" t="s">
        <v>200</v>
      </c>
      <c r="N8" s="5">
        <v>64917.829999999994</v>
      </c>
      <c r="O8" s="5">
        <v>0.99564374687253521</v>
      </c>
      <c r="P8" s="6" t="s">
        <v>197</v>
      </c>
      <c r="Q8" s="6">
        <v>297.79666666666668</v>
      </c>
      <c r="R8" s="6">
        <v>7.1093590832168401</v>
      </c>
      <c r="S8" s="5">
        <v>0.48255357448333103</v>
      </c>
      <c r="T8" s="5">
        <v>7144.07</v>
      </c>
      <c r="U8" s="5">
        <v>3.1404425428936409</v>
      </c>
      <c r="V8" s="6" t="s">
        <v>193</v>
      </c>
      <c r="W8" s="6">
        <v>27662.803333333333</v>
      </c>
      <c r="X8" s="6">
        <v>0.67055854939120041</v>
      </c>
      <c r="Y8" s="5" t="s">
        <v>194</v>
      </c>
      <c r="Z8" s="5">
        <v>725.60333333333335</v>
      </c>
      <c r="AA8" s="5">
        <v>9.6631075977019734</v>
      </c>
      <c r="AB8" s="6">
        <v>0.48796629008880599</v>
      </c>
      <c r="AC8" s="6">
        <v>14624.813333333334</v>
      </c>
      <c r="AD8" s="6">
        <v>0.29024029655317252</v>
      </c>
      <c r="AE8" s="5">
        <v>0.47639064617511501</v>
      </c>
      <c r="AF8" s="5">
        <v>4795.3566666666666</v>
      </c>
      <c r="AG8" s="5">
        <v>4.9056093223078623</v>
      </c>
      <c r="AH8" s="6">
        <v>0.48589166209071499</v>
      </c>
      <c r="AI8" s="6">
        <v>2894.82</v>
      </c>
      <c r="AJ8" s="6">
        <v>2.9952297599233888</v>
      </c>
      <c r="AK8" s="5">
        <v>0.486537674401814</v>
      </c>
      <c r="AL8" s="5">
        <v>1381.68</v>
      </c>
      <c r="AM8" s="5">
        <v>0.22694472330485019</v>
      </c>
      <c r="AN8" s="6">
        <v>0.44848016726645201</v>
      </c>
      <c r="AO8" s="6">
        <v>7144.12</v>
      </c>
      <c r="AP8" s="6">
        <v>1.3601507057152096</v>
      </c>
      <c r="AQ8" s="5">
        <v>197468.41666666666</v>
      </c>
      <c r="AR8" s="5">
        <v>2.9528546284103672</v>
      </c>
      <c r="AS8" s="6">
        <v>120120.63666666667</v>
      </c>
      <c r="AT8" s="6">
        <v>0.55719907030448157</v>
      </c>
      <c r="AU8" s="5">
        <v>326851.73666666663</v>
      </c>
      <c r="AV8" s="5">
        <v>6.066578754768949E-2</v>
      </c>
      <c r="AW8" s="6">
        <v>2422404.65</v>
      </c>
      <c r="AX8" s="6">
        <v>3.755243936959701</v>
      </c>
    </row>
    <row r="9" spans="1:50" ht="18.75" customHeight="1">
      <c r="A9" s="2" t="s">
        <v>242</v>
      </c>
      <c r="B9" s="2" t="b">
        <v>0</v>
      </c>
      <c r="C9" s="2" t="s">
        <v>9</v>
      </c>
      <c r="D9" s="2" t="s">
        <v>86</v>
      </c>
      <c r="E9" s="3">
        <v>41429.531388888892</v>
      </c>
      <c r="F9" s="4" t="s">
        <v>234</v>
      </c>
      <c r="G9" s="5" t="s">
        <v>132</v>
      </c>
      <c r="H9" s="5">
        <v>1</v>
      </c>
      <c r="I9" s="2" t="s">
        <v>121</v>
      </c>
      <c r="J9" s="6" t="s">
        <v>195</v>
      </c>
      <c r="K9" s="6">
        <v>3885.23</v>
      </c>
      <c r="L9" s="6">
        <v>2.7373592874539585</v>
      </c>
      <c r="M9" s="5" t="s">
        <v>200</v>
      </c>
      <c r="N9" s="5">
        <v>66249.923333333325</v>
      </c>
      <c r="O9" s="5">
        <v>1.1416040098563662</v>
      </c>
      <c r="P9" s="6" t="s">
        <v>197</v>
      </c>
      <c r="Q9" s="6">
        <v>322.24333333333334</v>
      </c>
      <c r="R9" s="6">
        <v>7.2660320976847546</v>
      </c>
      <c r="S9" s="5">
        <v>0.98946595034030105</v>
      </c>
      <c r="T9" s="5">
        <v>14491.31</v>
      </c>
      <c r="U9" s="5">
        <v>1.7238219682674225</v>
      </c>
      <c r="V9" s="6">
        <v>0.94340570253084999</v>
      </c>
      <c r="W9" s="6">
        <v>31238.14</v>
      </c>
      <c r="X9" s="6">
        <v>0.29066436574702997</v>
      </c>
      <c r="Y9" s="5" t="s">
        <v>194</v>
      </c>
      <c r="Z9" s="5">
        <v>732.27666666666664</v>
      </c>
      <c r="AA9" s="5">
        <v>6.9691115521387541</v>
      </c>
      <c r="AB9" s="6">
        <v>0.962383664009133</v>
      </c>
      <c r="AC9" s="6">
        <v>28185.946666666667</v>
      </c>
      <c r="AD9" s="6">
        <v>1.1861014580497788</v>
      </c>
      <c r="AE9" s="5">
        <v>0.94889995485786305</v>
      </c>
      <c r="AF9" s="5">
        <v>8776.0466666666671</v>
      </c>
      <c r="AG9" s="5">
        <v>2.3113707921040643</v>
      </c>
      <c r="AH9" s="6">
        <v>0.95708254533455395</v>
      </c>
      <c r="AI9" s="6">
        <v>5258.8466666666673</v>
      </c>
      <c r="AJ9" s="6">
        <v>2.0489795001483584</v>
      </c>
      <c r="AK9" s="5">
        <v>0.96108843278569001</v>
      </c>
      <c r="AL9" s="5">
        <v>2108.2666666666664</v>
      </c>
      <c r="AM9" s="5">
        <v>0.4326916205684857</v>
      </c>
      <c r="AN9" s="6">
        <v>0.90223983931526497</v>
      </c>
      <c r="AO9" s="6">
        <v>13630.85</v>
      </c>
      <c r="AP9" s="6">
        <v>2.7087276134640912</v>
      </c>
      <c r="AQ9" s="5">
        <v>206405.62666666668</v>
      </c>
      <c r="AR9" s="5">
        <v>0.53226016468420478</v>
      </c>
      <c r="AS9" s="6">
        <v>120115.37</v>
      </c>
      <c r="AT9" s="6">
        <v>0.42810850182254651</v>
      </c>
      <c r="AU9" s="5">
        <v>329813.29666666669</v>
      </c>
      <c r="AV9" s="5">
        <v>6.0866538860277695</v>
      </c>
      <c r="AW9" s="6">
        <v>2495904.0066666664</v>
      </c>
      <c r="AX9" s="6">
        <v>0.67362029480767094</v>
      </c>
    </row>
    <row r="10" spans="1:50" ht="18.75" customHeight="1">
      <c r="A10" s="2"/>
      <c r="B10" s="2" t="b">
        <v>0</v>
      </c>
      <c r="C10" s="2" t="s">
        <v>10</v>
      </c>
      <c r="D10" s="2" t="s">
        <v>115</v>
      </c>
      <c r="E10" s="3">
        <v>41429.534421296295</v>
      </c>
      <c r="F10" s="4" t="s">
        <v>234</v>
      </c>
      <c r="G10" s="5" t="s">
        <v>160</v>
      </c>
      <c r="H10" s="5">
        <v>1</v>
      </c>
      <c r="I10" s="2" t="s">
        <v>122</v>
      </c>
      <c r="J10" s="6">
        <v>2.0273117131159801</v>
      </c>
      <c r="K10" s="6">
        <v>5988.2266666666665</v>
      </c>
      <c r="L10" s="6">
        <v>0.57901571852186839</v>
      </c>
      <c r="M10" s="5" t="s">
        <v>200</v>
      </c>
      <c r="N10" s="5">
        <v>66693.976666666669</v>
      </c>
      <c r="O10" s="5">
        <v>0.78947519830043322</v>
      </c>
      <c r="P10" s="6">
        <v>5.1511755838372801</v>
      </c>
      <c r="Q10" s="6">
        <v>578.92666666666662</v>
      </c>
      <c r="R10" s="6">
        <v>13.679811570864707</v>
      </c>
      <c r="S10" s="5">
        <v>1.9572537126654701</v>
      </c>
      <c r="T10" s="5">
        <v>28341.676666666666</v>
      </c>
      <c r="U10" s="5">
        <v>1.2811306188819438</v>
      </c>
      <c r="V10" s="6">
        <v>2.0183699463703002</v>
      </c>
      <c r="W10" s="6">
        <v>54475.973333333335</v>
      </c>
      <c r="X10" s="6">
        <v>4.977461132621686</v>
      </c>
      <c r="Y10" s="5">
        <v>1.98022710048817</v>
      </c>
      <c r="Z10" s="5">
        <v>1336.7833333333335</v>
      </c>
      <c r="AA10" s="5">
        <v>6.0926311782614126</v>
      </c>
      <c r="AB10" s="6">
        <v>2.0470886513252702</v>
      </c>
      <c r="AC10" s="6">
        <v>58826.156666666669</v>
      </c>
      <c r="AD10" s="6">
        <v>0.31176890311722583</v>
      </c>
      <c r="AE10" s="5">
        <v>1.9540391853527701</v>
      </c>
      <c r="AF10" s="5">
        <v>17141.706666666665</v>
      </c>
      <c r="AG10" s="5">
        <v>0.81492878246344769</v>
      </c>
      <c r="AH10" s="6">
        <v>2.0156776166702102</v>
      </c>
      <c r="AI10" s="6">
        <v>10506.03</v>
      </c>
      <c r="AJ10" s="6">
        <v>0.69683057833698148</v>
      </c>
      <c r="AK10" s="5">
        <v>1.96858840935206</v>
      </c>
      <c r="AL10" s="5">
        <v>3615.6633333333334</v>
      </c>
      <c r="AM10" s="5">
        <v>0.43131622384448398</v>
      </c>
      <c r="AN10" s="6">
        <v>1.8381792130347701</v>
      </c>
      <c r="AO10" s="6">
        <v>26844.69</v>
      </c>
      <c r="AP10" s="6">
        <v>0.56049820775501158</v>
      </c>
      <c r="AQ10" s="5">
        <v>197967.9</v>
      </c>
      <c r="AR10" s="5">
        <v>2.3922812645298088</v>
      </c>
      <c r="AS10" s="6">
        <v>119387.90666666666</v>
      </c>
      <c r="AT10" s="6">
        <v>1.2000794475286236</v>
      </c>
      <c r="AU10" s="5">
        <v>327554.93333333335</v>
      </c>
      <c r="AV10" s="5">
        <v>0.80888562115766693</v>
      </c>
      <c r="AW10" s="6">
        <v>2443253.4866666668</v>
      </c>
      <c r="AX10" s="6">
        <v>3.0398709017561165</v>
      </c>
    </row>
    <row r="11" spans="1:50" ht="18.75" customHeight="1">
      <c r="A11" s="2"/>
      <c r="B11" s="2" t="b">
        <v>0</v>
      </c>
      <c r="C11" s="2" t="s">
        <v>11</v>
      </c>
      <c r="D11" s="2" t="s">
        <v>163</v>
      </c>
      <c r="E11" s="3">
        <v>41429.537453703706</v>
      </c>
      <c r="F11" s="4" t="s">
        <v>234</v>
      </c>
      <c r="G11" s="5" t="s">
        <v>163</v>
      </c>
      <c r="H11" s="5">
        <v>1</v>
      </c>
      <c r="I11" s="2" t="s">
        <v>123</v>
      </c>
      <c r="J11" s="6">
        <v>4.9937951807227101</v>
      </c>
      <c r="K11" s="6">
        <v>12639.246666666666</v>
      </c>
      <c r="L11" s="6">
        <v>2.2642374532022433</v>
      </c>
      <c r="M11" s="5" t="s">
        <v>200</v>
      </c>
      <c r="N11" s="5">
        <v>73095.67</v>
      </c>
      <c r="O11" s="5">
        <v>0.62416633256868248</v>
      </c>
      <c r="P11" s="6">
        <v>8.8777183080211692</v>
      </c>
      <c r="Q11" s="6">
        <v>916.73333333333323</v>
      </c>
      <c r="R11" s="6">
        <v>8.8258772357426931</v>
      </c>
      <c r="S11" s="5">
        <v>4.9086859879125697</v>
      </c>
      <c r="T11" s="5">
        <v>71950.116666666669</v>
      </c>
      <c r="U11" s="5">
        <v>1.5093578090892035</v>
      </c>
      <c r="V11" s="6">
        <v>4.90553687195073</v>
      </c>
      <c r="W11" s="6">
        <v>119138.97000000002</v>
      </c>
      <c r="X11" s="6">
        <v>0.70843323836589378</v>
      </c>
      <c r="Y11" s="5">
        <v>5.0217930816856597</v>
      </c>
      <c r="Z11" s="5">
        <v>2978.1766666666663</v>
      </c>
      <c r="AA11" s="5">
        <v>2.7289392753240089</v>
      </c>
      <c r="AB11" s="6">
        <v>5.0317403023145904</v>
      </c>
      <c r="AC11" s="6">
        <v>145817.05333333332</v>
      </c>
      <c r="AD11" s="6">
        <v>1.2680542453650236</v>
      </c>
      <c r="AE11" s="5">
        <v>5.8746037818966803</v>
      </c>
      <c r="AF11" s="5">
        <v>50745.506666666675</v>
      </c>
      <c r="AG11" s="5">
        <v>1.4284083247821719</v>
      </c>
      <c r="AH11" s="6">
        <v>5.9815783943190102</v>
      </c>
      <c r="AI11" s="6">
        <v>30746.240000000002</v>
      </c>
      <c r="AJ11" s="6">
        <v>1.4201093303031804</v>
      </c>
      <c r="AK11" s="5">
        <v>4.9088369537187502</v>
      </c>
      <c r="AL11" s="5">
        <v>8133.0800000000008</v>
      </c>
      <c r="AM11" s="5">
        <v>0.32695305908233752</v>
      </c>
      <c r="AN11" s="6">
        <v>4.6672903998085298</v>
      </c>
      <c r="AO11" s="6">
        <v>68072.416666666672</v>
      </c>
      <c r="AP11" s="6">
        <v>2.0423294466015167</v>
      </c>
      <c r="AQ11" s="5">
        <v>204738.41333333333</v>
      </c>
      <c r="AR11" s="5">
        <v>0.95730761833176659</v>
      </c>
      <c r="AS11" s="6">
        <v>121203.06</v>
      </c>
      <c r="AT11" s="6">
        <v>0.84568323776593124</v>
      </c>
      <c r="AU11" s="5">
        <v>331281.58999999997</v>
      </c>
      <c r="AV11" s="5">
        <v>0.79435191347987044</v>
      </c>
      <c r="AW11" s="6">
        <v>2493184.1133333333</v>
      </c>
      <c r="AX11" s="6">
        <v>0.53965096712183946</v>
      </c>
    </row>
    <row r="12" spans="1:50" ht="18.75" customHeight="1">
      <c r="A12" s="2"/>
      <c r="B12" s="2" t="b">
        <v>0</v>
      </c>
      <c r="C12" s="2" t="s">
        <v>12</v>
      </c>
      <c r="D12" s="2" t="s">
        <v>87</v>
      </c>
      <c r="E12" s="3">
        <v>41429.540509259263</v>
      </c>
      <c r="F12" s="4" t="s">
        <v>234</v>
      </c>
      <c r="G12" s="5" t="s">
        <v>169</v>
      </c>
      <c r="H12" s="5">
        <v>1</v>
      </c>
      <c r="I12" s="2" t="s">
        <v>124</v>
      </c>
      <c r="J12" s="6">
        <v>9.9252239495426302</v>
      </c>
      <c r="K12" s="6">
        <v>23179.8</v>
      </c>
      <c r="L12" s="6">
        <v>0.8821841978186713</v>
      </c>
      <c r="M12" s="5" t="s">
        <v>200</v>
      </c>
      <c r="N12" s="5">
        <v>83260.063333333339</v>
      </c>
      <c r="O12" s="5">
        <v>0.61908774165323388</v>
      </c>
      <c r="P12" s="6">
        <v>11.0899957495495</v>
      </c>
      <c r="Q12" s="6">
        <v>1093.4233333333334</v>
      </c>
      <c r="R12" s="6">
        <v>8.6452665560294299</v>
      </c>
      <c r="S12" s="5">
        <v>9.9310702575172805</v>
      </c>
      <c r="T12" s="5">
        <v>143133.83333333334</v>
      </c>
      <c r="U12" s="5">
        <v>0.27522986704353969</v>
      </c>
      <c r="V12" s="6">
        <v>9.9472314742317405</v>
      </c>
      <c r="W12" s="6">
        <v>227036.13333333333</v>
      </c>
      <c r="X12" s="6">
        <v>0.62757052313243222</v>
      </c>
      <c r="Y12" s="5">
        <v>10.045289867859401</v>
      </c>
      <c r="Z12" s="5">
        <v>5568.94</v>
      </c>
      <c r="AA12" s="5">
        <v>1.9679360062466504</v>
      </c>
      <c r="AB12" s="6">
        <v>10.1817887471404</v>
      </c>
      <c r="AC12" s="6">
        <v>289722.62333333335</v>
      </c>
      <c r="AD12" s="6">
        <v>1.1425429886900749</v>
      </c>
      <c r="AE12" s="5">
        <v>9.9779888641629295</v>
      </c>
      <c r="AF12" s="5">
        <v>84291.903333333335</v>
      </c>
      <c r="AG12" s="5">
        <v>0.97299670944032846</v>
      </c>
      <c r="AH12" s="6">
        <v>9.8423691743887201</v>
      </c>
      <c r="AI12" s="6">
        <v>49506.066666666673</v>
      </c>
      <c r="AJ12" s="6">
        <v>0.71955900191563005</v>
      </c>
      <c r="AK12" s="5">
        <v>9.8965926720069906</v>
      </c>
      <c r="AL12" s="5">
        <v>15701.366666666667</v>
      </c>
      <c r="AM12" s="5">
        <v>0.50084037226800726</v>
      </c>
      <c r="AN12" s="6">
        <v>9.3511161813660308</v>
      </c>
      <c r="AO12" s="6">
        <v>133512.82666666669</v>
      </c>
      <c r="AP12" s="6">
        <v>0.37448412206511228</v>
      </c>
      <c r="AQ12" s="5">
        <v>201502.74333333332</v>
      </c>
      <c r="AR12" s="5">
        <v>2.3540673510643764</v>
      </c>
      <c r="AS12" s="6">
        <v>119319.29</v>
      </c>
      <c r="AT12" s="6">
        <v>1.3115431012800505</v>
      </c>
      <c r="AU12" s="5">
        <v>330904.32000000001</v>
      </c>
      <c r="AV12" s="5">
        <v>2.9461052448259282</v>
      </c>
      <c r="AW12" s="6">
        <v>2464348.5566666666</v>
      </c>
      <c r="AX12" s="6">
        <v>2.3207104594879389</v>
      </c>
    </row>
    <row r="13" spans="1:50" ht="18.75" customHeight="1">
      <c r="A13" s="2"/>
      <c r="B13" s="2" t="b">
        <v>0</v>
      </c>
      <c r="C13" s="2" t="s">
        <v>13</v>
      </c>
      <c r="D13" s="2" t="s">
        <v>164</v>
      </c>
      <c r="E13" s="3">
        <v>41429.543553240743</v>
      </c>
      <c r="F13" s="4" t="s">
        <v>234</v>
      </c>
      <c r="G13" s="5" t="s">
        <v>173</v>
      </c>
      <c r="H13" s="5">
        <v>1</v>
      </c>
      <c r="I13" s="2" t="s">
        <v>125</v>
      </c>
      <c r="J13" s="6">
        <v>49.493920790193101</v>
      </c>
      <c r="K13" s="6">
        <v>109850.31333333334</v>
      </c>
      <c r="L13" s="6">
        <v>1.3227062356086432</v>
      </c>
      <c r="M13" s="5" t="s">
        <v>200</v>
      </c>
      <c r="N13" s="5">
        <v>146599.51666666669</v>
      </c>
      <c r="O13" s="5">
        <v>1.4370390393896615</v>
      </c>
      <c r="P13" s="6">
        <v>51.550914633867698</v>
      </c>
      <c r="Q13" s="6">
        <v>4623.0633333333335</v>
      </c>
      <c r="R13" s="6">
        <v>2.0730870767366807</v>
      </c>
      <c r="S13" s="5">
        <v>49.287414341250503</v>
      </c>
      <c r="T13" s="5">
        <v>713131.21333333338</v>
      </c>
      <c r="U13" s="5">
        <v>0.28599077912680887</v>
      </c>
      <c r="V13" s="6">
        <v>49.445110577966503</v>
      </c>
      <c r="W13" s="6">
        <v>1091964.0566666666</v>
      </c>
      <c r="X13" s="6">
        <v>0.30625489373578674</v>
      </c>
      <c r="Y13" s="5">
        <v>50.356069931807397</v>
      </c>
      <c r="Z13" s="5">
        <v>26857.123333333333</v>
      </c>
      <c r="AA13" s="5">
        <v>1.2327265129637357</v>
      </c>
      <c r="AB13" s="6">
        <v>52.391319618054702</v>
      </c>
      <c r="AC13" s="6">
        <v>1495156.14</v>
      </c>
      <c r="AD13" s="6">
        <v>0.61279258152483018</v>
      </c>
      <c r="AE13" s="5">
        <v>48.319700038059601</v>
      </c>
      <c r="AF13" s="5">
        <v>407161.26</v>
      </c>
      <c r="AG13" s="5">
        <v>0.24351621998108405</v>
      </c>
      <c r="AH13" s="6">
        <v>48.820532521262898</v>
      </c>
      <c r="AI13" s="6">
        <v>244918.59</v>
      </c>
      <c r="AJ13" s="6">
        <v>0.15141060462539987</v>
      </c>
      <c r="AK13" s="5">
        <v>49.7370064632211</v>
      </c>
      <c r="AL13" s="5">
        <v>76322.743333333332</v>
      </c>
      <c r="AM13" s="5">
        <v>0.77014712267399932</v>
      </c>
      <c r="AN13" s="6">
        <v>46.884115661609201</v>
      </c>
      <c r="AO13" s="6">
        <v>669650.34666666668</v>
      </c>
      <c r="AP13" s="6">
        <v>0.28959426357207729</v>
      </c>
      <c r="AQ13" s="5">
        <v>204029.45</v>
      </c>
      <c r="AR13" s="5">
        <v>0.65814838937843356</v>
      </c>
      <c r="AS13" s="6">
        <v>119870.08</v>
      </c>
      <c r="AT13" s="6">
        <v>0.55651828011341697</v>
      </c>
      <c r="AU13" s="5">
        <v>331009.64</v>
      </c>
      <c r="AV13" s="5">
        <v>0.79183110175989924</v>
      </c>
      <c r="AW13" s="6">
        <v>2503926.0733333332</v>
      </c>
      <c r="AX13" s="6">
        <v>0.6605229702162273</v>
      </c>
    </row>
    <row r="14" spans="1:50" ht="18.75" customHeight="1">
      <c r="A14" s="2" t="s">
        <v>257</v>
      </c>
      <c r="B14" s="2" t="b">
        <v>0</v>
      </c>
      <c r="C14" s="2" t="s">
        <v>14</v>
      </c>
      <c r="D14" s="2" t="s">
        <v>88</v>
      </c>
      <c r="E14" s="3">
        <v>41429.546597222223</v>
      </c>
      <c r="F14" s="4" t="s">
        <v>234</v>
      </c>
      <c r="G14" s="5" t="s">
        <v>177</v>
      </c>
      <c r="H14" s="5">
        <v>1</v>
      </c>
      <c r="I14" s="2" t="s">
        <v>126</v>
      </c>
      <c r="J14" s="6">
        <v>86.2137277776133</v>
      </c>
      <c r="K14" s="6">
        <v>215972.53333333333</v>
      </c>
      <c r="L14" s="6">
        <v>0.73659596064302424</v>
      </c>
      <c r="M14" s="5">
        <v>80.728090700005197</v>
      </c>
      <c r="N14" s="5">
        <v>228769.16</v>
      </c>
      <c r="O14" s="5">
        <v>1.0025791238822614</v>
      </c>
      <c r="P14" s="6">
        <v>91.313831731337004</v>
      </c>
      <c r="Q14" s="6">
        <v>9073.99</v>
      </c>
      <c r="R14" s="6">
        <v>2.2856006268027951</v>
      </c>
      <c r="S14" s="5">
        <v>90.3777062981016</v>
      </c>
      <c r="T14" s="5">
        <v>1483978.0666666664</v>
      </c>
      <c r="U14" s="5">
        <v>1.2695313808897504</v>
      </c>
      <c r="V14" s="6">
        <v>89.616177830785304</v>
      </c>
      <c r="W14" s="6">
        <v>2241254.5666666669</v>
      </c>
      <c r="X14" s="6">
        <v>1.9489489246300329</v>
      </c>
      <c r="Y14" s="5">
        <v>88.409686267908896</v>
      </c>
      <c r="Z14" s="5">
        <v>53340.820000000007</v>
      </c>
      <c r="AA14" s="5">
        <v>1.3051613522649599</v>
      </c>
      <c r="AB14" s="6">
        <v>92.547380413861404</v>
      </c>
      <c r="AC14" s="6">
        <v>2993199.9566666665</v>
      </c>
      <c r="AD14" s="6">
        <v>1.6495066853548199</v>
      </c>
      <c r="AE14" s="5">
        <v>85.604298776397499</v>
      </c>
      <c r="AF14" s="5">
        <v>817666.42</v>
      </c>
      <c r="AG14" s="5">
        <v>1.3345396445743931</v>
      </c>
      <c r="AH14" s="6">
        <v>85.575352943106907</v>
      </c>
      <c r="AI14" s="6">
        <v>486738.20666666661</v>
      </c>
      <c r="AJ14" s="6">
        <v>1.0872687139000836</v>
      </c>
      <c r="AK14" s="5">
        <v>100.09321805072599</v>
      </c>
      <c r="AL14" s="5">
        <v>151987.91666666666</v>
      </c>
      <c r="AM14" s="5">
        <v>0.2321737906695914</v>
      </c>
      <c r="AN14" s="6">
        <v>88.414708742849498</v>
      </c>
      <c r="AO14" s="6">
        <v>1439433.3633333333</v>
      </c>
      <c r="AP14" s="6">
        <v>2.2310353017820073</v>
      </c>
      <c r="AQ14" s="5">
        <v>220490.31666666665</v>
      </c>
      <c r="AR14" s="5">
        <v>31.064243780522808</v>
      </c>
      <c r="AS14" s="6">
        <v>138505.76999999999</v>
      </c>
      <c r="AT14" s="6">
        <v>20.735744495022512</v>
      </c>
      <c r="AU14" s="5">
        <v>329296.6933333333</v>
      </c>
      <c r="AV14" s="5">
        <v>3.7536835174049528</v>
      </c>
      <c r="AW14" s="6">
        <v>2223253.35</v>
      </c>
      <c r="AX14" s="6">
        <v>16.646622488855776</v>
      </c>
    </row>
    <row r="15" spans="1:50" ht="18.75" customHeight="1">
      <c r="A15" s="2"/>
      <c r="B15" s="2" t="b">
        <v>0</v>
      </c>
      <c r="C15" s="2" t="s">
        <v>15</v>
      </c>
      <c r="D15" s="2" t="s">
        <v>89</v>
      </c>
      <c r="E15" s="3">
        <v>41429.54959490741</v>
      </c>
      <c r="F15" s="4" t="s">
        <v>234</v>
      </c>
      <c r="G15" s="5" t="s">
        <v>178</v>
      </c>
      <c r="H15" s="5">
        <v>1</v>
      </c>
      <c r="I15" s="2" t="s">
        <v>127</v>
      </c>
      <c r="J15" s="6">
        <v>1029.9580195875001</v>
      </c>
      <c r="K15" s="6">
        <v>2124942.6766666668</v>
      </c>
      <c r="L15" s="6">
        <v>0.75422063667385897</v>
      </c>
      <c r="M15" s="5">
        <v>1030.2633133449599</v>
      </c>
      <c r="N15" s="5">
        <v>1716384.14</v>
      </c>
      <c r="O15" s="5">
        <v>0.23651622796257546</v>
      </c>
      <c r="P15" s="6">
        <v>1024.9078714433399</v>
      </c>
      <c r="Q15" s="6">
        <v>84262.486666666679</v>
      </c>
      <c r="R15" s="6">
        <v>0.87795477470074612</v>
      </c>
      <c r="S15" s="5">
        <v>1019.5084040875799</v>
      </c>
      <c r="T15" s="5">
        <v>13900451.460000001</v>
      </c>
      <c r="U15" s="5">
        <v>0.45330741752409776</v>
      </c>
      <c r="V15" s="6">
        <v>1019.2742710011599</v>
      </c>
      <c r="W15" s="6">
        <v>21021218.02333333</v>
      </c>
      <c r="X15" s="6">
        <v>0.61236277539986639</v>
      </c>
      <c r="Y15" s="5">
        <v>1017.338302877</v>
      </c>
      <c r="Z15" s="5">
        <v>505997.92</v>
      </c>
      <c r="AA15" s="5">
        <v>0.10453586882209502</v>
      </c>
      <c r="AB15" s="6">
        <v>1034.9240531789801</v>
      </c>
      <c r="AC15" s="6">
        <v>27825219.58666667</v>
      </c>
      <c r="AD15" s="6">
        <v>2.603440092870022E-2</v>
      </c>
      <c r="AE15" s="5">
        <v>1024.51469641573</v>
      </c>
      <c r="AF15" s="5">
        <v>8121906.4066666663</v>
      </c>
      <c r="AG15" s="5">
        <v>0.3351297794116499</v>
      </c>
      <c r="AH15" s="6">
        <v>1025.1199225939599</v>
      </c>
      <c r="AI15" s="6">
        <v>4838615</v>
      </c>
      <c r="AJ15" s="6">
        <v>0.2925570052411639</v>
      </c>
      <c r="AK15" s="5">
        <v>1000.00542622619</v>
      </c>
      <c r="AL15" s="5">
        <v>1507931.7866666669</v>
      </c>
      <c r="AM15" s="5">
        <v>2.8249171458093358</v>
      </c>
      <c r="AN15" s="6">
        <v>1020.76374692517</v>
      </c>
      <c r="AO15" s="6">
        <v>13726972.713333333</v>
      </c>
      <c r="AP15" s="6">
        <v>0.1665501420736461</v>
      </c>
      <c r="AQ15" s="5">
        <v>204871.78000000003</v>
      </c>
      <c r="AR15" s="5">
        <v>0.18995303849559877</v>
      </c>
      <c r="AS15" s="6">
        <v>112993.13333333335</v>
      </c>
      <c r="AT15" s="6">
        <v>1.4955763818295615</v>
      </c>
      <c r="AU15" s="5">
        <v>327917.25</v>
      </c>
      <c r="AV15" s="5">
        <v>1.5117462641736941</v>
      </c>
      <c r="AW15" s="6">
        <v>2427112.69</v>
      </c>
      <c r="AX15" s="6">
        <v>0.47332048830095441</v>
      </c>
    </row>
    <row r="16" spans="1:50" ht="18.75" customHeight="1">
      <c r="A16" s="2"/>
      <c r="B16" s="2" t="b">
        <v>0</v>
      </c>
      <c r="C16" s="2" t="s">
        <v>16</v>
      </c>
      <c r="D16" s="2" t="s">
        <v>116</v>
      </c>
      <c r="E16" s="3">
        <v>41429.553020833337</v>
      </c>
      <c r="F16" s="4" t="s">
        <v>234</v>
      </c>
      <c r="G16" s="5" t="s">
        <v>87</v>
      </c>
      <c r="H16" s="5">
        <v>1</v>
      </c>
      <c r="I16" s="2" t="s">
        <v>128</v>
      </c>
      <c r="J16" s="6">
        <v>1985.03395119007</v>
      </c>
      <c r="K16" s="6">
        <v>4125051.19</v>
      </c>
      <c r="L16" s="6">
        <v>0.28300035060685652</v>
      </c>
      <c r="M16" s="5">
        <v>1984.9283202035399</v>
      </c>
      <c r="N16" s="5">
        <v>3274077.7966666669</v>
      </c>
      <c r="O16" s="5">
        <v>0.65895939344097398</v>
      </c>
      <c r="P16" s="6">
        <v>1987.4880688969999</v>
      </c>
      <c r="Q16" s="6">
        <v>164501.81666666668</v>
      </c>
      <c r="R16" s="6">
        <v>0.9649864803703907</v>
      </c>
      <c r="S16" s="5">
        <v>1990.26423790634</v>
      </c>
      <c r="T16" s="5">
        <v>27337960.703333333</v>
      </c>
      <c r="U16" s="5">
        <v>1.2087051375261901</v>
      </c>
      <c r="V16" s="6">
        <v>1990.3771766075099</v>
      </c>
      <c r="W16" s="6">
        <v>41344681.050000004</v>
      </c>
      <c r="X16" s="6">
        <v>1.2692384975065802</v>
      </c>
      <c r="Y16" s="5">
        <v>1991.32169715808</v>
      </c>
      <c r="Z16" s="5">
        <v>997570.57</v>
      </c>
      <c r="AA16" s="5">
        <v>0.53811172056218237</v>
      </c>
      <c r="AB16" s="6">
        <v>1982.4771768535099</v>
      </c>
      <c r="AC16" s="6">
        <v>53699859.196666665</v>
      </c>
      <c r="AD16" s="6">
        <v>0.53601106875808313</v>
      </c>
      <c r="AE16" s="5">
        <v>1987.78266025058</v>
      </c>
      <c r="AF16" s="5">
        <v>15875238.93</v>
      </c>
      <c r="AG16" s="5">
        <v>0.94242554845767412</v>
      </c>
      <c r="AH16" s="6">
        <v>1987.4678689063301</v>
      </c>
      <c r="AI16" s="6">
        <v>9450449.0966666657</v>
      </c>
      <c r="AJ16" s="6">
        <v>0.58120210913277259</v>
      </c>
      <c r="AK16" s="5">
        <v>0.42332885077437499</v>
      </c>
      <c r="AL16" s="5">
        <v>1292.8766666666668</v>
      </c>
      <c r="AM16" s="5">
        <v>2.7085405407878809</v>
      </c>
      <c r="AN16" s="6">
        <v>1989.70032341979</v>
      </c>
      <c r="AO16" s="6">
        <v>26956460.986666668</v>
      </c>
      <c r="AP16" s="6">
        <v>0.83520351057971465</v>
      </c>
      <c r="AQ16" s="5">
        <v>211804.98</v>
      </c>
      <c r="AR16" s="5">
        <v>1.2093470203460173</v>
      </c>
      <c r="AS16" s="6">
        <v>113826.65999999999</v>
      </c>
      <c r="AT16" s="6">
        <v>0.59557278723701024</v>
      </c>
      <c r="AU16" s="5">
        <v>328388.3233333333</v>
      </c>
      <c r="AV16" s="5">
        <v>1.2832632258523293</v>
      </c>
      <c r="AW16" s="6">
        <v>2428842.5833333335</v>
      </c>
      <c r="AX16" s="6">
        <v>0.32588982176200237</v>
      </c>
    </row>
    <row r="17" spans="1:50" ht="18.75" customHeight="1">
      <c r="A17" s="2" t="s">
        <v>258</v>
      </c>
      <c r="B17" s="2" t="b">
        <v>0</v>
      </c>
      <c r="C17" s="2" t="s">
        <v>17</v>
      </c>
      <c r="D17" s="2" t="s">
        <v>165</v>
      </c>
      <c r="E17" s="3">
        <v>41429.556655092594</v>
      </c>
      <c r="F17" s="4" t="s">
        <v>234</v>
      </c>
      <c r="G17" s="5" t="s">
        <v>90</v>
      </c>
      <c r="H17" s="5">
        <v>1</v>
      </c>
      <c r="I17" s="2" t="s">
        <v>129</v>
      </c>
      <c r="J17" s="6">
        <v>3555.0552240494899</v>
      </c>
      <c r="K17" s="6">
        <v>7889710.6466666656</v>
      </c>
      <c r="L17" s="6">
        <v>3.0104944709960244</v>
      </c>
      <c r="M17" s="5">
        <v>3523.5319712281298</v>
      </c>
      <c r="N17" s="5">
        <v>6126565.8133333335</v>
      </c>
      <c r="O17" s="5">
        <v>1.939449219530115</v>
      </c>
      <c r="P17" s="6">
        <v>3564.98826360045</v>
      </c>
      <c r="Q17" s="6">
        <v>313473.51999999996</v>
      </c>
      <c r="R17" s="6">
        <v>2.2835847244714431</v>
      </c>
      <c r="S17" s="5">
        <v>3608.5398565393298</v>
      </c>
      <c r="T17" s="5">
        <v>52527710.883333333</v>
      </c>
      <c r="U17" s="5">
        <v>2.3431415612325739</v>
      </c>
      <c r="V17" s="6">
        <v>3591.3108865581498</v>
      </c>
      <c r="W17" s="6">
        <v>79532851.593333319</v>
      </c>
      <c r="X17" s="6">
        <v>3.020744768409477</v>
      </c>
      <c r="Y17" s="5">
        <v>3802.0496367492101</v>
      </c>
      <c r="Z17" s="5">
        <v>2017981.6733333336</v>
      </c>
      <c r="AA17" s="5">
        <v>2.7186812115817052</v>
      </c>
      <c r="AB17" s="6">
        <v>3517.82183562613</v>
      </c>
      <c r="AC17" s="6">
        <v>101117905.15999998</v>
      </c>
      <c r="AD17" s="6">
        <v>2.8573697680787626</v>
      </c>
      <c r="AE17" s="5">
        <v>3538.0307480513002</v>
      </c>
      <c r="AF17" s="5">
        <v>30026660.106666666</v>
      </c>
      <c r="AG17" s="5">
        <v>2.9632328862658328</v>
      </c>
      <c r="AH17" s="6">
        <v>3539.6528968908901</v>
      </c>
      <c r="AI17" s="6">
        <v>17877256.540000003</v>
      </c>
      <c r="AJ17" s="6">
        <v>2.6442835836115961</v>
      </c>
      <c r="AK17" s="5">
        <v>0.76004034879154803</v>
      </c>
      <c r="AL17" s="5">
        <v>1774.9833333333333</v>
      </c>
      <c r="AM17" s="5">
        <v>0.30491410516322454</v>
      </c>
      <c r="AN17" s="6">
        <v>3641.4296507180102</v>
      </c>
      <c r="AO17" s="6">
        <v>52372011.439999998</v>
      </c>
      <c r="AP17" s="6">
        <v>2.225488866264298</v>
      </c>
      <c r="AQ17" s="5">
        <v>206987.94666666666</v>
      </c>
      <c r="AR17" s="5">
        <v>35.030074310096879</v>
      </c>
      <c r="AS17" s="6">
        <v>124709.03</v>
      </c>
      <c r="AT17" s="6">
        <v>26.86924607373513</v>
      </c>
      <c r="AU17" s="5">
        <v>323882.8066666667</v>
      </c>
      <c r="AV17" s="5">
        <v>3.1121155892009758</v>
      </c>
      <c r="AW17" s="6">
        <v>1867453.2050000001</v>
      </c>
      <c r="AX17" s="6">
        <v>10.757655977973142</v>
      </c>
    </row>
    <row r="18" spans="1:50" ht="18.75" customHeight="1">
      <c r="A18" s="2"/>
      <c r="B18" s="2" t="b">
        <v>0</v>
      </c>
      <c r="C18" s="2" t="s">
        <v>18</v>
      </c>
      <c r="D18" s="2" t="s">
        <v>1</v>
      </c>
      <c r="E18" s="3">
        <v>41429.560277777775</v>
      </c>
      <c r="F18" s="4" t="s">
        <v>204</v>
      </c>
      <c r="G18" s="5" t="s">
        <v>0</v>
      </c>
      <c r="H18" s="5">
        <v>1</v>
      </c>
      <c r="I18" s="2" t="s">
        <v>118</v>
      </c>
      <c r="J18" s="6" t="s">
        <v>195</v>
      </c>
      <c r="K18" s="6">
        <v>1895.84</v>
      </c>
      <c r="L18" s="6">
        <v>4.1952571858756009</v>
      </c>
      <c r="M18" s="5" t="s">
        <v>200</v>
      </c>
      <c r="N18" s="5">
        <v>55934.383333333331</v>
      </c>
      <c r="O18" s="5">
        <v>1.8739056107468339</v>
      </c>
      <c r="P18" s="6" t="s">
        <v>197</v>
      </c>
      <c r="Q18" s="6">
        <v>120.00666666666667</v>
      </c>
      <c r="R18" s="6">
        <v>24.688682540693488</v>
      </c>
      <c r="S18" s="5">
        <v>0.27401040629062101</v>
      </c>
      <c r="T18" s="5">
        <v>3660.5733333333333</v>
      </c>
      <c r="U18" s="5">
        <v>2.1344182604709876</v>
      </c>
      <c r="V18" s="6" t="s">
        <v>193</v>
      </c>
      <c r="W18" s="6">
        <v>24666.866666666669</v>
      </c>
      <c r="X18" s="6">
        <v>2.5665560266445739</v>
      </c>
      <c r="Y18" s="5" t="s">
        <v>194</v>
      </c>
      <c r="Z18" s="5">
        <v>571.14666666666665</v>
      </c>
      <c r="AA18" s="5">
        <v>14.653876313606345</v>
      </c>
      <c r="AB18" s="6">
        <v>0.36005557521690501</v>
      </c>
      <c r="AC18" s="6">
        <v>9745.5199999999986</v>
      </c>
      <c r="AD18" s="6">
        <v>4.4041042241164563</v>
      </c>
      <c r="AE18" s="5">
        <v>0.36313733494779199</v>
      </c>
      <c r="AF18" s="5">
        <v>3410.5033333333336</v>
      </c>
      <c r="AG18" s="5">
        <v>5.1501477106250686</v>
      </c>
      <c r="AH18" s="6">
        <v>0.38377290573593897</v>
      </c>
      <c r="AI18" s="6">
        <v>2114.67</v>
      </c>
      <c r="AJ18" s="6">
        <v>5.3565266311112536</v>
      </c>
      <c r="AK18" s="5" t="s">
        <v>189</v>
      </c>
      <c r="AL18" s="5">
        <v>576.23333333333323</v>
      </c>
      <c r="AM18" s="5">
        <v>1.6730237265688035</v>
      </c>
      <c r="AN18" s="6">
        <v>1.1373334415160701</v>
      </c>
      <c r="AO18" s="6">
        <v>15094.416666666666</v>
      </c>
      <c r="AP18" s="6">
        <v>0.83111578142987597</v>
      </c>
      <c r="AQ18" s="5">
        <v>176362.2</v>
      </c>
      <c r="AR18" s="5">
        <v>0.52420358847823689</v>
      </c>
      <c r="AS18" s="6">
        <v>106712.06</v>
      </c>
      <c r="AT18" s="6">
        <v>1.7138306008098001</v>
      </c>
      <c r="AU18" s="5">
        <v>296625.35666666663</v>
      </c>
      <c r="AV18" s="5">
        <v>6.7056310570227651E-2</v>
      </c>
      <c r="AW18" s="6">
        <v>2396501.6633333331</v>
      </c>
      <c r="AX18" s="6">
        <v>0.65288752137983974</v>
      </c>
    </row>
    <row r="19" spans="1:50" ht="18.75" customHeight="1">
      <c r="A19" s="2"/>
      <c r="B19" s="2" t="b">
        <v>0</v>
      </c>
      <c r="C19" s="2" t="s">
        <v>19</v>
      </c>
      <c r="D19" s="2" t="s">
        <v>1</v>
      </c>
      <c r="E19" s="3">
        <v>41429.563321759262</v>
      </c>
      <c r="F19" s="4" t="s">
        <v>204</v>
      </c>
      <c r="G19" s="5" t="s">
        <v>0</v>
      </c>
      <c r="H19" s="5">
        <v>1</v>
      </c>
      <c r="I19" s="2" t="s">
        <v>119</v>
      </c>
      <c r="J19" s="6" t="s">
        <v>195</v>
      </c>
      <c r="K19" s="6">
        <v>1502.4366666666665</v>
      </c>
      <c r="L19" s="6">
        <v>5.5494322941906269</v>
      </c>
      <c r="M19" s="5" t="s">
        <v>200</v>
      </c>
      <c r="N19" s="5">
        <v>55492.5</v>
      </c>
      <c r="O19" s="5">
        <v>0.64747555881948304</v>
      </c>
      <c r="P19" s="6" t="s">
        <v>197</v>
      </c>
      <c r="Q19" s="6">
        <v>81.116666666666674</v>
      </c>
      <c r="R19" s="6">
        <v>8.5525610053886219</v>
      </c>
      <c r="S19" s="5">
        <v>5.4281408092931797E-2</v>
      </c>
      <c r="T19" s="5">
        <v>821.17</v>
      </c>
      <c r="U19" s="5">
        <v>3.7722996548220951</v>
      </c>
      <c r="V19" s="6" t="s">
        <v>193</v>
      </c>
      <c r="W19" s="6">
        <v>14010.906666666668</v>
      </c>
      <c r="X19" s="6">
        <v>3.3419518747605772</v>
      </c>
      <c r="Y19" s="5" t="s">
        <v>194</v>
      </c>
      <c r="Z19" s="5">
        <v>340.02</v>
      </c>
      <c r="AA19" s="5">
        <v>17.889425711129473</v>
      </c>
      <c r="AB19" s="6">
        <v>6.7583732144272907E-2</v>
      </c>
      <c r="AC19" s="6">
        <v>2290.2599999999998</v>
      </c>
      <c r="AD19" s="6">
        <v>3.0678981590463197</v>
      </c>
      <c r="AE19" s="5" t="s">
        <v>187</v>
      </c>
      <c r="AF19" s="5">
        <v>1040.0766666666666</v>
      </c>
      <c r="AG19" s="5">
        <v>11.591859846234101</v>
      </c>
      <c r="AH19" s="6" t="s">
        <v>190</v>
      </c>
      <c r="AI19" s="6">
        <v>694.49000000000012</v>
      </c>
      <c r="AJ19" s="6">
        <v>8.1646392482032546</v>
      </c>
      <c r="AK19" s="5" t="s">
        <v>189</v>
      </c>
      <c r="AL19" s="5">
        <v>582.94333333333327</v>
      </c>
      <c r="AM19" s="5">
        <v>0.96352099461640317</v>
      </c>
      <c r="AN19" s="6">
        <v>0.40845191196022301</v>
      </c>
      <c r="AO19" s="6">
        <v>5770.2066666666678</v>
      </c>
      <c r="AP19" s="6">
        <v>2.9708711449772043</v>
      </c>
      <c r="AQ19" s="5">
        <v>171595.26</v>
      </c>
      <c r="AR19" s="5">
        <v>3.3061127730712103</v>
      </c>
      <c r="AS19" s="6">
        <v>105471.70333333332</v>
      </c>
      <c r="AT19" s="6">
        <v>0.78644723152113316</v>
      </c>
      <c r="AU19" s="5">
        <v>297393.62999999995</v>
      </c>
      <c r="AV19" s="5">
        <v>0.43000193571726419</v>
      </c>
      <c r="AW19" s="6">
        <v>2343391.4066666667</v>
      </c>
      <c r="AX19" s="6">
        <v>2.8128564794762161</v>
      </c>
    </row>
    <row r="20" spans="1:50" ht="18.75" customHeight="1">
      <c r="A20" s="2"/>
      <c r="B20" s="2" t="b">
        <v>0</v>
      </c>
      <c r="C20" s="2" t="s">
        <v>20</v>
      </c>
      <c r="D20" s="2" t="s">
        <v>236</v>
      </c>
      <c r="E20" s="3">
        <v>41429.566365740742</v>
      </c>
      <c r="F20" s="4" t="s">
        <v>248</v>
      </c>
      <c r="G20" s="5" t="s">
        <v>0</v>
      </c>
      <c r="H20" s="5">
        <v>1</v>
      </c>
      <c r="I20" s="2" t="s">
        <v>130</v>
      </c>
      <c r="J20" s="6">
        <v>10.0235260141928</v>
      </c>
      <c r="K20" s="6">
        <v>20683.016666666666</v>
      </c>
      <c r="L20" s="6">
        <v>3.3450835631882816</v>
      </c>
      <c r="M20" s="5" t="s">
        <v>200</v>
      </c>
      <c r="N20" s="5">
        <v>70679.786666666667</v>
      </c>
      <c r="O20" s="5">
        <v>1.1846818855723904</v>
      </c>
      <c r="P20" s="6">
        <v>11.9156598700747</v>
      </c>
      <c r="Q20" s="6">
        <v>1030.08</v>
      </c>
      <c r="R20" s="6">
        <v>12.437813854480043</v>
      </c>
      <c r="S20" s="5">
        <v>9.9693403411092003</v>
      </c>
      <c r="T20" s="5">
        <v>127034.86333333334</v>
      </c>
      <c r="U20" s="5">
        <v>0.65655283311844559</v>
      </c>
      <c r="V20" s="6">
        <v>10.0496955074772</v>
      </c>
      <c r="W20" s="6">
        <v>202688.61666666667</v>
      </c>
      <c r="X20" s="6">
        <v>0.17194508942766287</v>
      </c>
      <c r="Y20" s="5">
        <v>10.1910872587827</v>
      </c>
      <c r="Z20" s="5">
        <v>4990.9800000000005</v>
      </c>
      <c r="AA20" s="5">
        <v>2.5458577036423566</v>
      </c>
      <c r="AB20" s="6">
        <v>10.297419801141601</v>
      </c>
      <c r="AC20" s="6">
        <v>259068.29666666666</v>
      </c>
      <c r="AD20" s="6">
        <v>0.89386805993048379</v>
      </c>
      <c r="AE20" s="5">
        <v>9.9136904330461704</v>
      </c>
      <c r="AF20" s="5">
        <v>74051.543333333335</v>
      </c>
      <c r="AG20" s="5">
        <v>0.73972205149108794</v>
      </c>
      <c r="AH20" s="6">
        <v>9.9051730613141107</v>
      </c>
      <c r="AI20" s="6">
        <v>44045.216666666667</v>
      </c>
      <c r="AJ20" s="6">
        <v>2.6494424124563416</v>
      </c>
      <c r="AK20" s="5">
        <v>9.8986074801956203</v>
      </c>
      <c r="AL20" s="5">
        <v>14256.396666666667</v>
      </c>
      <c r="AM20" s="5">
        <v>0.42320801113890394</v>
      </c>
      <c r="AN20" s="6">
        <v>9.7946897143474505</v>
      </c>
      <c r="AO20" s="6">
        <v>123608.2</v>
      </c>
      <c r="AP20" s="6">
        <v>1.1371835994076032</v>
      </c>
      <c r="AQ20" s="5">
        <v>172231.52666666664</v>
      </c>
      <c r="AR20" s="5">
        <v>2.6415444064208931</v>
      </c>
      <c r="AS20" s="6">
        <v>105480.82</v>
      </c>
      <c r="AT20" s="6">
        <v>0.5351527994778017</v>
      </c>
      <c r="AU20" s="5">
        <v>300251.3133333333</v>
      </c>
      <c r="AV20" s="5">
        <v>1.1298359277592189</v>
      </c>
      <c r="AW20" s="6">
        <v>2331479.41</v>
      </c>
      <c r="AX20" s="6">
        <v>2.9495927393599821</v>
      </c>
    </row>
    <row r="21" spans="1:50" ht="18.75" customHeight="1">
      <c r="A21" s="2"/>
      <c r="B21" s="2" t="b">
        <v>0</v>
      </c>
      <c r="C21" s="2" t="s">
        <v>21</v>
      </c>
      <c r="D21" s="2" t="s">
        <v>1</v>
      </c>
      <c r="E21" s="3">
        <v>41429.569421296299</v>
      </c>
      <c r="F21" s="4" t="s">
        <v>204</v>
      </c>
      <c r="G21" s="5" t="s">
        <v>0</v>
      </c>
      <c r="H21" s="5">
        <v>1</v>
      </c>
      <c r="I21" s="2" t="s">
        <v>119</v>
      </c>
      <c r="J21" s="6" t="s">
        <v>195</v>
      </c>
      <c r="K21" s="6">
        <v>1406.86</v>
      </c>
      <c r="L21" s="6">
        <v>1.4226718986676676</v>
      </c>
      <c r="M21" s="5" t="s">
        <v>200</v>
      </c>
      <c r="N21" s="5">
        <v>55334.54</v>
      </c>
      <c r="O21" s="5">
        <v>1.326576976343546</v>
      </c>
      <c r="P21" s="6" t="s">
        <v>197</v>
      </c>
      <c r="Q21" s="6">
        <v>86.673333333333332</v>
      </c>
      <c r="R21" s="6">
        <v>30.040312034850931</v>
      </c>
      <c r="S21" s="5">
        <v>3.8538040360671502E-2</v>
      </c>
      <c r="T21" s="5">
        <v>631.15333333333331</v>
      </c>
      <c r="U21" s="5">
        <v>12.875945375453213</v>
      </c>
      <c r="V21" s="6" t="s">
        <v>193</v>
      </c>
      <c r="W21" s="6">
        <v>11326</v>
      </c>
      <c r="X21" s="6">
        <v>1.8955656092515913</v>
      </c>
      <c r="Y21" s="5" t="s">
        <v>194</v>
      </c>
      <c r="Z21" s="5">
        <v>271.12666666666667</v>
      </c>
      <c r="AA21" s="5">
        <v>4.9680033121769815</v>
      </c>
      <c r="AB21" s="6">
        <v>3.5025286688312098E-2</v>
      </c>
      <c r="AC21" s="6">
        <v>1497.9133333333332</v>
      </c>
      <c r="AD21" s="6">
        <v>14.104764062712741</v>
      </c>
      <c r="AE21" s="5" t="s">
        <v>187</v>
      </c>
      <c r="AF21" s="5">
        <v>784.5</v>
      </c>
      <c r="AG21" s="5">
        <v>14.235709020249809</v>
      </c>
      <c r="AH21" s="6" t="s">
        <v>190</v>
      </c>
      <c r="AI21" s="6">
        <v>453.3633333333334</v>
      </c>
      <c r="AJ21" s="6">
        <v>15.907014799539493</v>
      </c>
      <c r="AK21" s="5" t="s">
        <v>189</v>
      </c>
      <c r="AL21" s="5">
        <v>584.25666666666666</v>
      </c>
      <c r="AM21" s="5">
        <v>0.55370581043360645</v>
      </c>
      <c r="AN21" s="6">
        <v>0.26529476293815901</v>
      </c>
      <c r="AO21" s="6">
        <v>4039.57</v>
      </c>
      <c r="AP21" s="6">
        <v>4.07074755256785</v>
      </c>
      <c r="AQ21" s="5">
        <v>176530.08</v>
      </c>
      <c r="AR21" s="5">
        <v>0.61868495364848874</v>
      </c>
      <c r="AS21" s="6">
        <v>107226.12666666666</v>
      </c>
      <c r="AT21" s="6">
        <v>0.42433817112652378</v>
      </c>
      <c r="AU21" s="5">
        <v>297612.91666666669</v>
      </c>
      <c r="AV21" s="5">
        <v>0.71674705521141202</v>
      </c>
      <c r="AW21" s="6">
        <v>2391275.2766666664</v>
      </c>
      <c r="AX21" s="6">
        <v>0.33366332121384251</v>
      </c>
    </row>
    <row r="22" spans="1:50" ht="18.75" customHeight="1">
      <c r="A22" s="2"/>
      <c r="B22" s="2" t="b">
        <v>0</v>
      </c>
      <c r="C22" s="2" t="s">
        <v>22</v>
      </c>
      <c r="D22" s="2" t="s">
        <v>1</v>
      </c>
      <c r="E22" s="3">
        <v>41429.572465277779</v>
      </c>
      <c r="F22" s="4" t="s">
        <v>204</v>
      </c>
      <c r="G22" s="5" t="s">
        <v>0</v>
      </c>
      <c r="H22" s="5">
        <v>1</v>
      </c>
      <c r="I22" s="2" t="s">
        <v>119</v>
      </c>
      <c r="J22" s="6" t="s">
        <v>195</v>
      </c>
      <c r="K22" s="6">
        <v>1435.75</v>
      </c>
      <c r="L22" s="6">
        <v>3.7828689471755896</v>
      </c>
      <c r="M22" s="5" t="s">
        <v>200</v>
      </c>
      <c r="N22" s="5">
        <v>55829.66</v>
      </c>
      <c r="O22" s="5">
        <v>0.73868029989374906</v>
      </c>
      <c r="P22" s="6" t="s">
        <v>197</v>
      </c>
      <c r="Q22" s="6">
        <v>107.78000000000002</v>
      </c>
      <c r="R22" s="6">
        <v>15.569215613732229</v>
      </c>
      <c r="S22" s="5">
        <v>3.0624935393278499E-2</v>
      </c>
      <c r="T22" s="5">
        <v>523.36333333333334</v>
      </c>
      <c r="U22" s="5">
        <v>4.1771043483747894</v>
      </c>
      <c r="V22" s="6" t="s">
        <v>193</v>
      </c>
      <c r="W22" s="6">
        <v>10487.053333333335</v>
      </c>
      <c r="X22" s="6">
        <v>2.4764996989618693</v>
      </c>
      <c r="Y22" s="5" t="s">
        <v>194</v>
      </c>
      <c r="Z22" s="5">
        <v>255.57333333333335</v>
      </c>
      <c r="AA22" s="5">
        <v>11.835273806744388</v>
      </c>
      <c r="AB22" s="6">
        <v>2.9389868250155101E-2</v>
      </c>
      <c r="AC22" s="6">
        <v>1340.11</v>
      </c>
      <c r="AD22" s="6">
        <v>2.632983376708343</v>
      </c>
      <c r="AE22" s="5" t="s">
        <v>187</v>
      </c>
      <c r="AF22" s="5">
        <v>744.49333333333323</v>
      </c>
      <c r="AG22" s="5">
        <v>5.4163087758381687</v>
      </c>
      <c r="AH22" s="6" t="s">
        <v>190</v>
      </c>
      <c r="AI22" s="6">
        <v>460.03</v>
      </c>
      <c r="AJ22" s="6">
        <v>11.973448500514115</v>
      </c>
      <c r="AK22" s="5" t="s">
        <v>189</v>
      </c>
      <c r="AL22" s="5">
        <v>571.09666666666669</v>
      </c>
      <c r="AM22" s="5">
        <v>1.5215888137705593</v>
      </c>
      <c r="AN22" s="6">
        <v>0.17113728322866201</v>
      </c>
      <c r="AO22" s="6">
        <v>2809.2633333333338</v>
      </c>
      <c r="AP22" s="6">
        <v>1.4838843426065731</v>
      </c>
      <c r="AQ22" s="5">
        <v>176668.32666666666</v>
      </c>
      <c r="AR22" s="5">
        <v>0.35321020751995419</v>
      </c>
      <c r="AS22" s="6">
        <v>106160.5</v>
      </c>
      <c r="AT22" s="6">
        <v>0.2659726798131552</v>
      </c>
      <c r="AU22" s="5">
        <v>302127.07666666666</v>
      </c>
      <c r="AV22" s="5">
        <v>1.1035214570799539</v>
      </c>
      <c r="AW22" s="6">
        <v>2378081.0933333333</v>
      </c>
      <c r="AX22" s="6">
        <v>0.16976966100454355</v>
      </c>
    </row>
    <row r="23" spans="1:50" ht="18.75" customHeight="1">
      <c r="A23" s="2" t="s">
        <v>245</v>
      </c>
      <c r="B23" s="2" t="b">
        <v>0</v>
      </c>
      <c r="C23" s="2" t="s">
        <v>23</v>
      </c>
      <c r="D23" s="2" t="s">
        <v>236</v>
      </c>
      <c r="E23" s="3">
        <v>41429.575486111113</v>
      </c>
      <c r="F23" s="4" t="s">
        <v>248</v>
      </c>
      <c r="G23" s="5" t="s">
        <v>0</v>
      </c>
      <c r="H23" s="5">
        <v>1</v>
      </c>
      <c r="I23" s="2" t="s">
        <v>130</v>
      </c>
      <c r="J23" s="6">
        <v>9.8701599679770293</v>
      </c>
      <c r="K23" s="6">
        <v>20707.583333333336</v>
      </c>
      <c r="L23" s="6">
        <v>1.7846848461422344</v>
      </c>
      <c r="M23" s="5" t="s">
        <v>200</v>
      </c>
      <c r="N23" s="5">
        <v>70147.44666666667</v>
      </c>
      <c r="O23" s="5">
        <v>1.3777696288606434</v>
      </c>
      <c r="P23" s="6">
        <v>12.7691889210234</v>
      </c>
      <c r="Q23" s="6">
        <v>1113.4233333333334</v>
      </c>
      <c r="R23" s="6">
        <v>7.0031313584578898</v>
      </c>
      <c r="S23" s="5">
        <v>9.7242767410666904</v>
      </c>
      <c r="T23" s="5">
        <v>125841.03333333333</v>
      </c>
      <c r="U23" s="5">
        <v>0.34646604964297506</v>
      </c>
      <c r="V23" s="6">
        <v>9.8384643225230892</v>
      </c>
      <c r="W23" s="6">
        <v>201708.36333333331</v>
      </c>
      <c r="X23" s="6">
        <v>0.69803375397039069</v>
      </c>
      <c r="Y23" s="5">
        <v>10.2775832046852</v>
      </c>
      <c r="Z23" s="5">
        <v>5109.9133333333339</v>
      </c>
      <c r="AA23" s="5">
        <v>2.9484211084204088</v>
      </c>
      <c r="AB23" s="6">
        <v>10.0827682622631</v>
      </c>
      <c r="AC23" s="6">
        <v>257642.86666666667</v>
      </c>
      <c r="AD23" s="6">
        <v>0.65593702959249944</v>
      </c>
      <c r="AE23" s="5">
        <v>9.8524022832422595</v>
      </c>
      <c r="AF23" s="5">
        <v>74746.423333333325</v>
      </c>
      <c r="AG23" s="5">
        <v>0.5195929510136299</v>
      </c>
      <c r="AH23" s="6">
        <v>9.8857823054296308</v>
      </c>
      <c r="AI23" s="6">
        <v>44645.703333333338</v>
      </c>
      <c r="AJ23" s="6">
        <v>0.43782958318453497</v>
      </c>
      <c r="AK23" s="5">
        <v>9.9112337235705805</v>
      </c>
      <c r="AL23" s="5">
        <v>14386.730000000001</v>
      </c>
      <c r="AM23" s="5">
        <v>0.20227361196337659</v>
      </c>
      <c r="AN23" s="6">
        <v>9.5765740900797507</v>
      </c>
      <c r="AO23" s="6">
        <v>122758.98</v>
      </c>
      <c r="AP23" s="6">
        <v>1.1726314341622515</v>
      </c>
      <c r="AQ23" s="5">
        <v>178495.59666666668</v>
      </c>
      <c r="AR23" s="5">
        <v>1.1060368902262252</v>
      </c>
      <c r="AS23" s="6">
        <v>107125.71666666667</v>
      </c>
      <c r="AT23" s="6">
        <v>0.81404335798857064</v>
      </c>
      <c r="AU23" s="5">
        <v>302611.15666666668</v>
      </c>
      <c r="AV23" s="5">
        <v>0.13710842609113363</v>
      </c>
      <c r="AW23" s="6">
        <v>2403429.8766666665</v>
      </c>
      <c r="AX23" s="6">
        <v>1.034748478015868</v>
      </c>
    </row>
    <row r="24" spans="1:50" ht="18.75" customHeight="1">
      <c r="A24" s="2"/>
      <c r="B24" s="2" t="b">
        <v>0</v>
      </c>
      <c r="C24" s="2" t="s">
        <v>24</v>
      </c>
      <c r="D24" s="2" t="s">
        <v>1</v>
      </c>
      <c r="E24" s="3">
        <v>41429.578530092593</v>
      </c>
      <c r="F24" s="4" t="s">
        <v>204</v>
      </c>
      <c r="G24" s="5" t="s">
        <v>0</v>
      </c>
      <c r="H24" s="5">
        <v>1</v>
      </c>
      <c r="I24" s="2" t="s">
        <v>119</v>
      </c>
      <c r="J24" s="6" t="s">
        <v>195</v>
      </c>
      <c r="K24" s="6">
        <v>1511.3133333333335</v>
      </c>
      <c r="L24" s="6">
        <v>8.6609417287479644</v>
      </c>
      <c r="M24" s="5" t="s">
        <v>200</v>
      </c>
      <c r="N24" s="5">
        <v>55167.079999999994</v>
      </c>
      <c r="O24" s="5">
        <v>0.74576175180307624</v>
      </c>
      <c r="P24" s="6" t="s">
        <v>197</v>
      </c>
      <c r="Q24" s="6">
        <v>76.67</v>
      </c>
      <c r="R24" s="6">
        <v>15.672614113459984</v>
      </c>
      <c r="S24" s="5">
        <v>3.7349243912148701E-2</v>
      </c>
      <c r="T24" s="5">
        <v>611.15</v>
      </c>
      <c r="U24" s="5">
        <v>13.909913317810464</v>
      </c>
      <c r="V24" s="6" t="s">
        <v>193</v>
      </c>
      <c r="W24" s="6">
        <v>10422.593333333332</v>
      </c>
      <c r="X24" s="6">
        <v>3.6168713438737519</v>
      </c>
      <c r="Y24" s="5" t="s">
        <v>194</v>
      </c>
      <c r="Z24" s="5">
        <v>235.56666666666669</v>
      </c>
      <c r="AA24" s="5">
        <v>12.20067833290388</v>
      </c>
      <c r="AB24" s="6">
        <v>3.07257702054471E-2</v>
      </c>
      <c r="AC24" s="6">
        <v>1377.8966666666668</v>
      </c>
      <c r="AD24" s="6">
        <v>5.9282836324407757</v>
      </c>
      <c r="AE24" s="5" t="s">
        <v>187</v>
      </c>
      <c r="AF24" s="5">
        <v>763.38333333333333</v>
      </c>
      <c r="AG24" s="5">
        <v>1.154861655410518</v>
      </c>
      <c r="AH24" s="6" t="s">
        <v>190</v>
      </c>
      <c r="AI24" s="6">
        <v>486.7</v>
      </c>
      <c r="AJ24" s="6">
        <v>13.013149905915283</v>
      </c>
      <c r="AK24" s="5" t="s">
        <v>189</v>
      </c>
      <c r="AL24" s="5">
        <v>586.79</v>
      </c>
      <c r="AM24" s="5">
        <v>1.6583265053506855</v>
      </c>
      <c r="AN24" s="6">
        <v>0.197399448366539</v>
      </c>
      <c r="AO24" s="6">
        <v>3150.4433333333327</v>
      </c>
      <c r="AP24" s="6">
        <v>3.0614076779246346</v>
      </c>
      <c r="AQ24" s="5">
        <v>178288.85666666666</v>
      </c>
      <c r="AR24" s="5">
        <v>0.53861797737262107</v>
      </c>
      <c r="AS24" s="6">
        <v>106472.44666666666</v>
      </c>
      <c r="AT24" s="6">
        <v>0.30331617926095594</v>
      </c>
      <c r="AU24" s="5">
        <v>304631.24666666664</v>
      </c>
      <c r="AV24" s="5">
        <v>0.11868511739163892</v>
      </c>
      <c r="AW24" s="6">
        <v>2389642.6033333335</v>
      </c>
      <c r="AX24" s="6">
        <v>0.7660871439376985</v>
      </c>
    </row>
    <row r="25" spans="1:50" ht="18.75" customHeight="1">
      <c r="A25" s="2"/>
      <c r="B25" s="2" t="b">
        <v>0</v>
      </c>
      <c r="C25" s="2" t="s">
        <v>25</v>
      </c>
      <c r="D25" s="2" t="s">
        <v>201</v>
      </c>
      <c r="E25" s="3">
        <v>41429.581585648149</v>
      </c>
      <c r="F25" s="4" t="s">
        <v>250</v>
      </c>
      <c r="G25" s="5" t="s">
        <v>0</v>
      </c>
      <c r="H25" s="5">
        <v>1</v>
      </c>
      <c r="I25" s="2" t="s">
        <v>133</v>
      </c>
      <c r="J25" s="6" t="s">
        <v>195</v>
      </c>
      <c r="K25" s="6">
        <v>2080.33</v>
      </c>
      <c r="L25" s="6">
        <v>6.7157509821155701</v>
      </c>
      <c r="M25" s="5" t="s">
        <v>200</v>
      </c>
      <c r="N25" s="5">
        <v>57029.19</v>
      </c>
      <c r="O25" s="5">
        <v>2.3418609321473127</v>
      </c>
      <c r="P25" s="6">
        <v>3.84870233606132</v>
      </c>
      <c r="Q25" s="6">
        <v>417.80333333333328</v>
      </c>
      <c r="R25" s="6">
        <v>4.3956870295557779</v>
      </c>
      <c r="S25" s="5">
        <v>2.9546161790937199E-2</v>
      </c>
      <c r="T25" s="5">
        <v>513.36666666666667</v>
      </c>
      <c r="U25" s="5">
        <v>17.65242781527872</v>
      </c>
      <c r="V25" s="6" t="s">
        <v>193</v>
      </c>
      <c r="W25" s="6">
        <v>14304.526666666667</v>
      </c>
      <c r="X25" s="6">
        <v>3.0301685779021574</v>
      </c>
      <c r="Y25" s="5" t="s">
        <v>194</v>
      </c>
      <c r="Z25" s="5">
        <v>378.92</v>
      </c>
      <c r="AA25" s="5">
        <v>5.8573749468400704</v>
      </c>
      <c r="AB25" s="6">
        <v>3.16357153542038E-2</v>
      </c>
      <c r="AC25" s="6">
        <v>1405.6833333333334</v>
      </c>
      <c r="AD25" s="6">
        <v>10.327454341907021</v>
      </c>
      <c r="AE25" s="5">
        <v>0.98919250594109798</v>
      </c>
      <c r="AF25" s="5">
        <v>8115.6633333333339</v>
      </c>
      <c r="AG25" s="5">
        <v>0.57528085546474517</v>
      </c>
      <c r="AH25" s="6">
        <v>1.06418841794096</v>
      </c>
      <c r="AI25" s="6">
        <v>5162.1233333333339</v>
      </c>
      <c r="AJ25" s="6">
        <v>3.6974096596958397</v>
      </c>
      <c r="AK25" s="5" t="s">
        <v>189</v>
      </c>
      <c r="AL25" s="5">
        <v>590.67666666666662</v>
      </c>
      <c r="AM25" s="5">
        <v>2.1660155418431106</v>
      </c>
      <c r="AN25" s="6">
        <v>0.166065171618723</v>
      </c>
      <c r="AO25" s="6">
        <v>2764.8233333333337</v>
      </c>
      <c r="AP25" s="6">
        <v>3.1039518866095137</v>
      </c>
      <c r="AQ25" s="5">
        <v>177655.20333333334</v>
      </c>
      <c r="AR25" s="5">
        <v>0.29811468881885811</v>
      </c>
      <c r="AS25" s="6">
        <v>106953.38</v>
      </c>
      <c r="AT25" s="6">
        <v>1.526726622562909</v>
      </c>
      <c r="AU25" s="5">
        <v>305819.10000000003</v>
      </c>
      <c r="AV25" s="5">
        <v>1.9774341016281907</v>
      </c>
      <c r="AW25" s="6">
        <v>2410418.9200000004</v>
      </c>
      <c r="AX25" s="6">
        <v>0.23841016417257538</v>
      </c>
    </row>
    <row r="26" spans="1:50" ht="18.75" customHeight="1">
      <c r="A26" s="2" t="s">
        <v>246</v>
      </c>
      <c r="B26" s="2" t="b">
        <v>0</v>
      </c>
      <c r="C26" s="2" t="s">
        <v>26</v>
      </c>
      <c r="D26" s="2" t="s">
        <v>205</v>
      </c>
      <c r="E26" s="3">
        <v>41429.584641203706</v>
      </c>
      <c r="F26" s="4" t="s">
        <v>250</v>
      </c>
      <c r="G26" s="5" t="s">
        <v>0</v>
      </c>
      <c r="H26" s="5">
        <v>1.1904761904761905</v>
      </c>
      <c r="I26" s="2" t="s">
        <v>134</v>
      </c>
      <c r="J26" s="6">
        <v>558.54780024925901</v>
      </c>
      <c r="K26" s="6">
        <v>920451.12333333341</v>
      </c>
      <c r="L26" s="6">
        <v>0.2692636233371643</v>
      </c>
      <c r="M26" s="5">
        <v>9748.7118925294108</v>
      </c>
      <c r="N26" s="5">
        <v>12553841.480000002</v>
      </c>
      <c r="O26" s="5">
        <v>0.67456532522081025</v>
      </c>
      <c r="P26" s="6">
        <v>131.938914555335</v>
      </c>
      <c r="Q26" s="6">
        <v>8762.6666666666661</v>
      </c>
      <c r="R26" s="6">
        <v>2.5155885952048349</v>
      </c>
      <c r="S26" s="5">
        <v>9.5833170228921105</v>
      </c>
      <c r="T26" s="5">
        <v>104403.21</v>
      </c>
      <c r="U26" s="5">
        <v>0.77643842655619655</v>
      </c>
      <c r="V26" s="6">
        <v>189.39636406714899</v>
      </c>
      <c r="W26" s="6">
        <v>3125050.9933333336</v>
      </c>
      <c r="X26" s="6">
        <v>0.66433789861926429</v>
      </c>
      <c r="Y26" s="5">
        <v>188.43699253876801</v>
      </c>
      <c r="Z26" s="5">
        <v>75018.506666666653</v>
      </c>
      <c r="AA26" s="5">
        <v>0.25151923119753034</v>
      </c>
      <c r="AB26" s="6">
        <v>275.26929425610899</v>
      </c>
      <c r="AC26" s="6">
        <v>5906634.4966666671</v>
      </c>
      <c r="AD26" s="6">
        <v>0.54737784178965965</v>
      </c>
      <c r="AE26" s="5">
        <v>154.39124064436101</v>
      </c>
      <c r="AF26" s="5">
        <v>977344.38666666672</v>
      </c>
      <c r="AG26" s="5">
        <v>1.0450711662440375</v>
      </c>
      <c r="AH26" s="6">
        <v>166.66022677406499</v>
      </c>
      <c r="AI26" s="6">
        <v>628099.95333333348</v>
      </c>
      <c r="AJ26" s="6">
        <v>0.13957696320036406</v>
      </c>
      <c r="AK26" s="5">
        <v>1.69538018331882</v>
      </c>
      <c r="AL26" s="5">
        <v>2644.6333333333332</v>
      </c>
      <c r="AM26" s="5">
        <v>0.53717528593165209</v>
      </c>
      <c r="AN26" s="6">
        <v>0.91873080642332905</v>
      </c>
      <c r="AO26" s="6">
        <v>10512.793333333335</v>
      </c>
      <c r="AP26" s="6">
        <v>2.6046574314425754</v>
      </c>
      <c r="AQ26" s="5">
        <v>182049.13333333333</v>
      </c>
      <c r="AR26" s="5">
        <v>0.81298325842783015</v>
      </c>
      <c r="AS26" s="6">
        <v>107332.07333333332</v>
      </c>
      <c r="AT26" s="6">
        <v>0.22184759814771465</v>
      </c>
      <c r="AU26" s="5">
        <v>309811.86333333334</v>
      </c>
      <c r="AV26" s="5">
        <v>0.50736184677448204</v>
      </c>
      <c r="AW26" s="6">
        <v>2435427.5699999998</v>
      </c>
      <c r="AX26" s="6">
        <v>1.9624943980731624</v>
      </c>
    </row>
    <row r="27" spans="1:50" ht="18.75" customHeight="1">
      <c r="A27" s="2"/>
      <c r="B27" s="2" t="b">
        <v>0</v>
      </c>
      <c r="C27" s="2" t="s">
        <v>27</v>
      </c>
      <c r="D27" s="2" t="s">
        <v>1</v>
      </c>
      <c r="E27" s="3">
        <v>41429.587777777779</v>
      </c>
      <c r="F27" s="4" t="s">
        <v>204</v>
      </c>
      <c r="G27" s="5" t="s">
        <v>0</v>
      </c>
      <c r="H27" s="5">
        <v>1</v>
      </c>
      <c r="I27" s="2" t="s">
        <v>119</v>
      </c>
      <c r="J27" s="6" t="s">
        <v>195</v>
      </c>
      <c r="K27" s="6">
        <v>1464.65</v>
      </c>
      <c r="L27" s="6">
        <v>14.370834923623422</v>
      </c>
      <c r="M27" s="5" t="s">
        <v>200</v>
      </c>
      <c r="N27" s="5">
        <v>58639.1</v>
      </c>
      <c r="O27" s="5">
        <v>1.4787852840033386</v>
      </c>
      <c r="P27" s="6" t="s">
        <v>197</v>
      </c>
      <c r="Q27" s="6">
        <v>78.893333333333331</v>
      </c>
      <c r="R27" s="6">
        <v>34.417870825786082</v>
      </c>
      <c r="S27" s="5">
        <v>3.8598465433618098E-2</v>
      </c>
      <c r="T27" s="5">
        <v>630.04</v>
      </c>
      <c r="U27" s="5">
        <v>3.815522803934579</v>
      </c>
      <c r="V27" s="6" t="s">
        <v>193</v>
      </c>
      <c r="W27" s="6">
        <v>10148.11</v>
      </c>
      <c r="X27" s="6">
        <v>3.4653454063091074</v>
      </c>
      <c r="Y27" s="5" t="s">
        <v>194</v>
      </c>
      <c r="Z27" s="5">
        <v>260.01666666666671</v>
      </c>
      <c r="AA27" s="5">
        <v>10.013565714123333</v>
      </c>
      <c r="AB27" s="6">
        <v>6.40646967108736E-2</v>
      </c>
      <c r="AC27" s="6">
        <v>2232.4733333333334</v>
      </c>
      <c r="AD27" s="6">
        <v>3.0654823613922488</v>
      </c>
      <c r="AE27" s="5" t="s">
        <v>187</v>
      </c>
      <c r="AF27" s="5">
        <v>792.27999999999986</v>
      </c>
      <c r="AG27" s="5">
        <v>7.4357256368781917</v>
      </c>
      <c r="AH27" s="6" t="s">
        <v>190</v>
      </c>
      <c r="AI27" s="6">
        <v>437.80333333333334</v>
      </c>
      <c r="AJ27" s="6">
        <v>6.4762999750005772</v>
      </c>
      <c r="AK27" s="5" t="s">
        <v>189</v>
      </c>
      <c r="AL27" s="5">
        <v>607.32000000000005</v>
      </c>
      <c r="AM27" s="5">
        <v>1.2542594203965107</v>
      </c>
      <c r="AN27" s="6">
        <v>0.104246286292314</v>
      </c>
      <c r="AO27" s="6">
        <v>1979.1066666666666</v>
      </c>
      <c r="AP27" s="6">
        <v>4.6568467729197502</v>
      </c>
      <c r="AQ27" s="5">
        <v>176173</v>
      </c>
      <c r="AR27" s="5">
        <v>0.64820936459280931</v>
      </c>
      <c r="AS27" s="6">
        <v>106951.04666666668</v>
      </c>
      <c r="AT27" s="6">
        <v>0.86349311351468838</v>
      </c>
      <c r="AU27" s="5">
        <v>305373.46333333332</v>
      </c>
      <c r="AV27" s="5">
        <v>0.50864524217265439</v>
      </c>
      <c r="AW27" s="6">
        <v>2387421.7200000002</v>
      </c>
      <c r="AX27" s="6">
        <v>0.44099354458562828</v>
      </c>
    </row>
    <row r="28" spans="1:50" ht="18.75" customHeight="1">
      <c r="A28" s="2" t="s">
        <v>253</v>
      </c>
      <c r="B28" s="2" t="b">
        <v>0</v>
      </c>
      <c r="C28" s="2" t="s">
        <v>28</v>
      </c>
      <c r="D28" s="2" t="s">
        <v>235</v>
      </c>
      <c r="E28" s="3">
        <v>41429.590798611112</v>
      </c>
      <c r="F28" s="4" t="s">
        <v>250</v>
      </c>
      <c r="G28" s="5" t="s">
        <v>0</v>
      </c>
      <c r="H28" s="5">
        <v>866</v>
      </c>
      <c r="I28" s="2" t="s">
        <v>135</v>
      </c>
      <c r="J28" s="6">
        <v>97767.646111214097</v>
      </c>
      <c r="K28" s="6">
        <v>195763.59</v>
      </c>
      <c r="L28" s="6">
        <v>1.1901810195430067</v>
      </c>
      <c r="M28" s="5">
        <v>154945.62737258</v>
      </c>
      <c r="N28" s="5">
        <v>291953.94666666666</v>
      </c>
      <c r="O28" s="5">
        <v>0.17708682935777795</v>
      </c>
      <c r="P28" s="6">
        <v>108791.31739935699</v>
      </c>
      <c r="Q28" s="6">
        <v>8717.1299999999992</v>
      </c>
      <c r="R28" s="6">
        <v>2.5641097024387922</v>
      </c>
      <c r="S28" s="5">
        <v>98682.274702828407</v>
      </c>
      <c r="T28" s="5">
        <v>1298431.8833333331</v>
      </c>
      <c r="U28" s="5">
        <v>1.0489581700532049</v>
      </c>
      <c r="V28" s="6">
        <v>100330.223028787</v>
      </c>
      <c r="W28" s="6">
        <v>2002897.1933333334</v>
      </c>
      <c r="X28" s="6">
        <v>1.6708833024108642</v>
      </c>
      <c r="Y28" s="5">
        <v>99091.8262207605</v>
      </c>
      <c r="Z28" s="5">
        <v>47750.693333333329</v>
      </c>
      <c r="AA28" s="5">
        <v>1.8799621204617989</v>
      </c>
      <c r="AB28" s="6">
        <v>100507.16273741001</v>
      </c>
      <c r="AC28" s="6">
        <v>2609745.9</v>
      </c>
      <c r="AD28" s="6">
        <v>0.7015277545605848</v>
      </c>
      <c r="AE28" s="5">
        <v>93042.166251111397</v>
      </c>
      <c r="AF28" s="5">
        <v>712835.57</v>
      </c>
      <c r="AG28" s="5">
        <v>0.25515730972667028</v>
      </c>
      <c r="AH28" s="6">
        <v>92664.846938317001</v>
      </c>
      <c r="AI28" s="6">
        <v>422641.77</v>
      </c>
      <c r="AJ28" s="6">
        <v>0.49132500987720867</v>
      </c>
      <c r="AK28" s="5">
        <v>6.8881801789025001</v>
      </c>
      <c r="AL28" s="5">
        <v>633.63666666666666</v>
      </c>
      <c r="AM28" s="5">
        <v>1.0961517993130092</v>
      </c>
      <c r="AN28" s="6">
        <v>85526.936381850595</v>
      </c>
      <c r="AO28" s="6">
        <v>1109956</v>
      </c>
      <c r="AP28" s="6">
        <v>1.5014147726986331</v>
      </c>
      <c r="AQ28" s="5">
        <v>153481.23666666666</v>
      </c>
      <c r="AR28" s="5">
        <v>11.142604527001208</v>
      </c>
      <c r="AS28" s="6">
        <v>95721.373333333337</v>
      </c>
      <c r="AT28" s="6">
        <v>13.39260070193701</v>
      </c>
      <c r="AU28" s="5">
        <v>312628.9366666667</v>
      </c>
      <c r="AV28" s="5">
        <v>2.1732389284361395</v>
      </c>
      <c r="AW28" s="6">
        <v>2103638.7366666668</v>
      </c>
      <c r="AX28" s="6">
        <v>10.730573707190501</v>
      </c>
    </row>
    <row r="29" spans="1:50" ht="18.75" customHeight="1">
      <c r="A29" s="2"/>
      <c r="B29" s="2" t="b">
        <v>0</v>
      </c>
      <c r="C29" s="2" t="s">
        <v>29</v>
      </c>
      <c r="D29" s="2" t="s">
        <v>1</v>
      </c>
      <c r="E29" s="3">
        <v>41429.593981481485</v>
      </c>
      <c r="F29" s="4" t="s">
        <v>204</v>
      </c>
      <c r="G29" s="5" t="s">
        <v>0</v>
      </c>
      <c r="H29" s="5">
        <v>1</v>
      </c>
      <c r="I29" s="2" t="s">
        <v>119</v>
      </c>
      <c r="J29" s="6" t="s">
        <v>195</v>
      </c>
      <c r="K29" s="6">
        <v>1533.5466666666664</v>
      </c>
      <c r="L29" s="6">
        <v>8.5645997438074666</v>
      </c>
      <c r="M29" s="5" t="s">
        <v>200</v>
      </c>
      <c r="N29" s="5">
        <v>56741.19</v>
      </c>
      <c r="O29" s="5">
        <v>1.4158928470936158</v>
      </c>
      <c r="P29" s="6" t="s">
        <v>197</v>
      </c>
      <c r="Q29" s="6">
        <v>78.896666666666661</v>
      </c>
      <c r="R29" s="6">
        <v>45.571696586074552</v>
      </c>
      <c r="S29" s="5">
        <v>3.19619622369062E-2</v>
      </c>
      <c r="T29" s="5">
        <v>554.47666666666669</v>
      </c>
      <c r="U29" s="5">
        <v>13.191026323383264</v>
      </c>
      <c r="V29" s="6" t="s">
        <v>193</v>
      </c>
      <c r="W29" s="6">
        <v>10986.336666666664</v>
      </c>
      <c r="X29" s="6">
        <v>2.5417904768347288</v>
      </c>
      <c r="Y29" s="5" t="s">
        <v>194</v>
      </c>
      <c r="Z29" s="5">
        <v>256.68</v>
      </c>
      <c r="AA29" s="5">
        <v>9.0916427474766657</v>
      </c>
      <c r="AB29" s="6">
        <v>3.5833549999266703E-2</v>
      </c>
      <c r="AC29" s="6">
        <v>1541.2533333333333</v>
      </c>
      <c r="AD29" s="6">
        <v>7.7425097198843096</v>
      </c>
      <c r="AE29" s="5" t="s">
        <v>187</v>
      </c>
      <c r="AF29" s="5">
        <v>810.05666666666673</v>
      </c>
      <c r="AG29" s="5">
        <v>3.9257462707616617</v>
      </c>
      <c r="AH29" s="6" t="s">
        <v>190</v>
      </c>
      <c r="AI29" s="6">
        <v>441.14000000000004</v>
      </c>
      <c r="AJ29" s="6">
        <v>11.343099204484858</v>
      </c>
      <c r="AK29" s="5" t="s">
        <v>189</v>
      </c>
      <c r="AL29" s="5">
        <v>608.94333333333327</v>
      </c>
      <c r="AM29" s="5">
        <v>1.3211431191726752</v>
      </c>
      <c r="AN29" s="6">
        <v>0.64241887316754298</v>
      </c>
      <c r="AO29" s="6">
        <v>8989.6233333333348</v>
      </c>
      <c r="AP29" s="6">
        <v>1.1780246353785044</v>
      </c>
      <c r="AQ29" s="5">
        <v>181455.35999999999</v>
      </c>
      <c r="AR29" s="5">
        <v>0.41898454428763149</v>
      </c>
      <c r="AS29" s="6">
        <v>108889.32333333332</v>
      </c>
      <c r="AT29" s="6">
        <v>0.31497629932394744</v>
      </c>
      <c r="AU29" s="5">
        <v>311188.0633333333</v>
      </c>
      <c r="AV29" s="5">
        <v>1.3108492160360676</v>
      </c>
      <c r="AW29" s="6">
        <v>2437919.3566666669</v>
      </c>
      <c r="AX29" s="6">
        <v>0.58549655134245238</v>
      </c>
    </row>
    <row r="30" spans="1:50" ht="18.75" customHeight="1">
      <c r="A30" s="2" t="s">
        <v>214</v>
      </c>
      <c r="B30" s="2" t="b">
        <v>0</v>
      </c>
      <c r="C30" s="2" t="s">
        <v>30</v>
      </c>
      <c r="D30" s="2" t="s">
        <v>92</v>
      </c>
      <c r="E30" s="3">
        <v>41429.597037037034</v>
      </c>
      <c r="F30" s="4" t="s">
        <v>250</v>
      </c>
      <c r="G30" s="5" t="s">
        <v>0</v>
      </c>
      <c r="H30" s="5">
        <v>5.8714285714285719</v>
      </c>
      <c r="I30" s="2" t="s">
        <v>136</v>
      </c>
      <c r="J30" s="6">
        <v>2355.3225409352999</v>
      </c>
      <c r="K30" s="6">
        <v>788551.44666666666</v>
      </c>
      <c r="L30" s="6">
        <v>0.64434360427492188</v>
      </c>
      <c r="M30" s="5">
        <v>1169.57007024223</v>
      </c>
      <c r="N30" s="5">
        <v>363178.47</v>
      </c>
      <c r="O30" s="5">
        <v>0.45149283107548077</v>
      </c>
      <c r="P30" s="6">
        <v>126940.39597678999</v>
      </c>
      <c r="Q30" s="6">
        <v>1689205.2</v>
      </c>
      <c r="R30" s="6">
        <v>0.35705492558780394</v>
      </c>
      <c r="S30" s="5">
        <v>9.1493018467510705</v>
      </c>
      <c r="T30" s="5">
        <v>20352.013333333332</v>
      </c>
      <c r="U30" s="5">
        <v>2.0470916928143899</v>
      </c>
      <c r="V30" s="6">
        <v>97.783468327691295</v>
      </c>
      <c r="W30" s="6">
        <v>336174.61333333334</v>
      </c>
      <c r="X30" s="6">
        <v>0.58168386010678264</v>
      </c>
      <c r="Y30" s="5">
        <v>132.825735538803</v>
      </c>
      <c r="Z30" s="5">
        <v>10968.54</v>
      </c>
      <c r="AA30" s="5">
        <v>0.78323092938808037</v>
      </c>
      <c r="AB30" s="6">
        <v>9.1426906171556102</v>
      </c>
      <c r="AC30" s="6">
        <v>40448.003333333334</v>
      </c>
      <c r="AD30" s="6">
        <v>0.81350039547736097</v>
      </c>
      <c r="AE30" s="5">
        <v>105.230087484368</v>
      </c>
      <c r="AF30" s="5">
        <v>135902.29666666666</v>
      </c>
      <c r="AG30" s="5">
        <v>0.33517098479065932</v>
      </c>
      <c r="AH30" s="6">
        <v>112.49653298974999</v>
      </c>
      <c r="AI30" s="6">
        <v>86463.54</v>
      </c>
      <c r="AJ30" s="6">
        <v>1.1993234912366555</v>
      </c>
      <c r="AK30" s="5">
        <v>1.2703060206293599</v>
      </c>
      <c r="AL30" s="5">
        <v>927.84999999999991</v>
      </c>
      <c r="AM30" s="5">
        <v>0.73316469192587497</v>
      </c>
      <c r="AN30" s="6">
        <v>2.94273136198751</v>
      </c>
      <c r="AO30" s="6">
        <v>7069.6733333333332</v>
      </c>
      <c r="AP30" s="6">
        <v>4.6317614779018212</v>
      </c>
      <c r="AQ30" s="5">
        <v>182285.92</v>
      </c>
      <c r="AR30" s="5">
        <v>7.5231887723941557E-2</v>
      </c>
      <c r="AS30" s="6">
        <v>107518.90333333334</v>
      </c>
      <c r="AT30" s="6">
        <v>0.4015007551794757</v>
      </c>
      <c r="AU30" s="5">
        <v>310811.87000000005</v>
      </c>
      <c r="AV30" s="5">
        <v>0.82903345782693294</v>
      </c>
      <c r="AW30" s="6">
        <v>2380428.6800000002</v>
      </c>
      <c r="AX30" s="6">
        <v>0.76002216021518465</v>
      </c>
    </row>
    <row r="31" spans="1:50" ht="18.75" customHeight="1">
      <c r="A31" s="2" t="s">
        <v>226</v>
      </c>
      <c r="B31" s="2" t="b">
        <v>0</v>
      </c>
      <c r="C31" s="2" t="s">
        <v>31</v>
      </c>
      <c r="D31" s="2" t="s">
        <v>93</v>
      </c>
      <c r="E31" s="3">
        <v>41429.600081018521</v>
      </c>
      <c r="F31" s="4" t="s">
        <v>250</v>
      </c>
      <c r="G31" s="5" t="s">
        <v>0</v>
      </c>
      <c r="H31" s="5">
        <v>2.4909090909090912</v>
      </c>
      <c r="I31" s="2" t="s">
        <v>137</v>
      </c>
      <c r="J31" s="6">
        <v>2152.9931880343902</v>
      </c>
      <c r="K31" s="6">
        <v>1761205.8933333333</v>
      </c>
      <c r="L31" s="6">
        <v>0.65721122485490691</v>
      </c>
      <c r="M31" s="5">
        <v>798.91212154901905</v>
      </c>
      <c r="N31" s="5">
        <v>569589.82666666666</v>
      </c>
      <c r="O31" s="5">
        <v>0.99709642045258273</v>
      </c>
      <c r="P31" s="6">
        <v>110631.007236395</v>
      </c>
      <c r="Q31" s="6">
        <v>3600464.9466666668</v>
      </c>
      <c r="R31" s="6">
        <v>0.59338183937558864</v>
      </c>
      <c r="S31" s="5">
        <v>8.8299115200889204</v>
      </c>
      <c r="T31" s="5">
        <v>47863.110000000008</v>
      </c>
      <c r="U31" s="5">
        <v>0.59400353228656866</v>
      </c>
      <c r="V31" s="6">
        <v>60.657850030388602</v>
      </c>
      <c r="W31" s="6">
        <v>505492.28333333338</v>
      </c>
      <c r="X31" s="6">
        <v>0.27845930895835797</v>
      </c>
      <c r="Y31" s="5">
        <v>89.410403310552198</v>
      </c>
      <c r="Z31" s="5">
        <v>17894.793333333335</v>
      </c>
      <c r="AA31" s="5">
        <v>1.5664072780997236</v>
      </c>
      <c r="AB31" s="6">
        <v>6.0863532097177204</v>
      </c>
      <c r="AC31" s="6">
        <v>65499.07666666666</v>
      </c>
      <c r="AD31" s="6">
        <v>1.3135203236018702</v>
      </c>
      <c r="AE31" s="5">
        <v>112.994211130097</v>
      </c>
      <c r="AF31" s="5">
        <v>355791.79333333339</v>
      </c>
      <c r="AG31" s="5">
        <v>0.85880765049091334</v>
      </c>
      <c r="AH31" s="6">
        <v>120.99574503904699</v>
      </c>
      <c r="AI31" s="6">
        <v>226798.65333333332</v>
      </c>
      <c r="AJ31" s="6">
        <v>0.86715473111424746</v>
      </c>
      <c r="AK31" s="5">
        <v>1.2056098917396501</v>
      </c>
      <c r="AL31" s="5">
        <v>1346.8766666666666</v>
      </c>
      <c r="AM31" s="5">
        <v>1.0634940441618481</v>
      </c>
      <c r="AN31" s="6">
        <v>1.98097068621782</v>
      </c>
      <c r="AO31" s="6">
        <v>11240.08</v>
      </c>
      <c r="AP31" s="6">
        <v>0.79743046734567569</v>
      </c>
      <c r="AQ31" s="5">
        <v>190354.81333333332</v>
      </c>
      <c r="AR31" s="5">
        <v>0.61352743360303397</v>
      </c>
      <c r="AS31" s="6">
        <v>111561.57</v>
      </c>
      <c r="AT31" s="6">
        <v>0.66570359213764629</v>
      </c>
      <c r="AU31" s="5">
        <v>319502.35666666669</v>
      </c>
      <c r="AV31" s="5">
        <v>0.42984202439702796</v>
      </c>
      <c r="AW31" s="6">
        <v>2364331.5966666662</v>
      </c>
      <c r="AX31" s="6">
        <v>0.53917276809081616</v>
      </c>
    </row>
    <row r="32" spans="1:50" ht="18.75" customHeight="1">
      <c r="A32" s="2" t="s">
        <v>222</v>
      </c>
      <c r="B32" s="2" t="b">
        <v>0</v>
      </c>
      <c r="C32" s="2" t="s">
        <v>32</v>
      </c>
      <c r="D32" s="2" t="s">
        <v>94</v>
      </c>
      <c r="E32" s="3">
        <v>41429.603148148148</v>
      </c>
      <c r="F32" s="4" t="s">
        <v>250</v>
      </c>
      <c r="G32" s="5" t="s">
        <v>0</v>
      </c>
      <c r="H32" s="5">
        <v>3.0148148148148146</v>
      </c>
      <c r="I32" s="2" t="s">
        <v>138</v>
      </c>
      <c r="J32" s="6">
        <v>1951.14512885768</v>
      </c>
      <c r="K32" s="6">
        <v>1320721.96</v>
      </c>
      <c r="L32" s="6">
        <v>1.0606992847390246</v>
      </c>
      <c r="M32" s="5">
        <v>821.355350503762</v>
      </c>
      <c r="N32" s="5">
        <v>493601.58333333331</v>
      </c>
      <c r="O32" s="5">
        <v>0.87463470605520566</v>
      </c>
      <c r="P32" s="6">
        <v>100663.68592177601</v>
      </c>
      <c r="Q32" s="6">
        <v>2710092.98</v>
      </c>
      <c r="R32" s="6">
        <v>2.8203098765295719E-2</v>
      </c>
      <c r="S32" s="5">
        <v>9.6643350614094903</v>
      </c>
      <c r="T32" s="5">
        <v>43347.406666666662</v>
      </c>
      <c r="U32" s="5">
        <v>1.0032546906779045</v>
      </c>
      <c r="V32" s="6">
        <v>89.4908924746357</v>
      </c>
      <c r="W32" s="6">
        <v>614776.42666666675</v>
      </c>
      <c r="X32" s="6">
        <v>0.55766916812475509</v>
      </c>
      <c r="Y32" s="5">
        <v>118.408186117802</v>
      </c>
      <c r="Z32" s="5">
        <v>19580.02</v>
      </c>
      <c r="AA32" s="5">
        <v>2.152337939314807</v>
      </c>
      <c r="AB32" s="6">
        <v>7.2952527401490004</v>
      </c>
      <c r="AC32" s="6">
        <v>64949.06</v>
      </c>
      <c r="AD32" s="6">
        <v>1.1590239957459438</v>
      </c>
      <c r="AE32" s="5">
        <v>93.507412288363994</v>
      </c>
      <c r="AF32" s="5">
        <v>243794.97</v>
      </c>
      <c r="AG32" s="5">
        <v>0.34194833589669349</v>
      </c>
      <c r="AH32" s="6">
        <v>99.643328752179599</v>
      </c>
      <c r="AI32" s="6">
        <v>154639.63</v>
      </c>
      <c r="AJ32" s="6">
        <v>1.0179271242411949</v>
      </c>
      <c r="AK32" s="5">
        <v>1.34476514624118</v>
      </c>
      <c r="AL32" s="5">
        <v>1310.4966666666667</v>
      </c>
      <c r="AM32" s="5">
        <v>0.5975941600032022</v>
      </c>
      <c r="AN32" s="6">
        <v>0.69514396174772897</v>
      </c>
      <c r="AO32" s="6">
        <v>3746.17</v>
      </c>
      <c r="AP32" s="6">
        <v>3.391841459025688</v>
      </c>
      <c r="AQ32" s="5">
        <v>187924.8966666667</v>
      </c>
      <c r="AR32" s="5">
        <v>2.4106516539299272</v>
      </c>
      <c r="AS32" s="6">
        <v>111696.69</v>
      </c>
      <c r="AT32" s="6">
        <v>0.28884813899050787</v>
      </c>
      <c r="AU32" s="5">
        <v>324314.73</v>
      </c>
      <c r="AV32" s="5">
        <v>1.0458608685073403</v>
      </c>
      <c r="AW32" s="6">
        <v>2376707.8666666667</v>
      </c>
      <c r="AX32" s="6">
        <v>1.5319928734530834</v>
      </c>
    </row>
    <row r="33" spans="1:50" ht="18.75" customHeight="1">
      <c r="A33" s="2" t="s">
        <v>217</v>
      </c>
      <c r="B33" s="2" t="b">
        <v>0</v>
      </c>
      <c r="C33" s="2" t="s">
        <v>33</v>
      </c>
      <c r="D33" s="2" t="s">
        <v>95</v>
      </c>
      <c r="E33" s="3">
        <v>41429.606238425928</v>
      </c>
      <c r="F33" s="4" t="s">
        <v>250</v>
      </c>
      <c r="G33" s="5" t="s">
        <v>0</v>
      </c>
      <c r="H33" s="5">
        <v>3.1692307692307691</v>
      </c>
      <c r="I33" s="2" t="s">
        <v>139</v>
      </c>
      <c r="J33" s="6">
        <v>1506.9877502827501</v>
      </c>
      <c r="K33" s="6">
        <v>970393.73666666669</v>
      </c>
      <c r="L33" s="6">
        <v>0.75557869913365561</v>
      </c>
      <c r="M33" s="5">
        <v>781.13177055944004</v>
      </c>
      <c r="N33" s="5">
        <v>452186.86999999994</v>
      </c>
      <c r="O33" s="5">
        <v>0.49917588125993217</v>
      </c>
      <c r="P33" s="6">
        <v>81465.592728229007</v>
      </c>
      <c r="Q33" s="6">
        <v>2085610.47</v>
      </c>
      <c r="R33" s="6">
        <v>1.4563023241191584</v>
      </c>
      <c r="S33" s="5">
        <v>6.4336502123922701</v>
      </c>
      <c r="T33" s="5">
        <v>27491.416666666668</v>
      </c>
      <c r="U33" s="5">
        <v>1.6496552032912626</v>
      </c>
      <c r="V33" s="6">
        <v>27.895182889440999</v>
      </c>
      <c r="W33" s="6">
        <v>189131.45</v>
      </c>
      <c r="X33" s="6">
        <v>0.91544868504765431</v>
      </c>
      <c r="Y33" s="5">
        <v>49.140663314025701</v>
      </c>
      <c r="Z33" s="5">
        <v>7894.4433333333327</v>
      </c>
      <c r="AA33" s="5">
        <v>2.2865255609808846</v>
      </c>
      <c r="AB33" s="6">
        <v>1.99017456946521</v>
      </c>
      <c r="AC33" s="6">
        <v>17314.13</v>
      </c>
      <c r="AD33" s="6">
        <v>0.91811668836411442</v>
      </c>
      <c r="AE33" s="5">
        <v>68.551879075183393</v>
      </c>
      <c r="AF33" s="5">
        <v>170172.78</v>
      </c>
      <c r="AG33" s="5">
        <v>0.18740377322591156</v>
      </c>
      <c r="AH33" s="6">
        <v>72.601459134730803</v>
      </c>
      <c r="AI33" s="6">
        <v>107270.68333333333</v>
      </c>
      <c r="AJ33" s="6">
        <v>0.50444076245149572</v>
      </c>
      <c r="AK33" s="5">
        <v>1.0668118529080499</v>
      </c>
      <c r="AL33" s="5">
        <v>1145.22</v>
      </c>
      <c r="AM33" s="5">
        <v>1.4418776211015316</v>
      </c>
      <c r="AN33" s="6">
        <v>0.46720799401336499</v>
      </c>
      <c r="AO33" s="6">
        <v>2639.2333333333331</v>
      </c>
      <c r="AP33" s="6">
        <v>4.1542541332949909</v>
      </c>
      <c r="AQ33" s="5">
        <v>190854.12333333332</v>
      </c>
      <c r="AR33" s="5">
        <v>1.4427669216094416</v>
      </c>
      <c r="AS33" s="6">
        <v>111651.7</v>
      </c>
      <c r="AT33" s="6">
        <v>0.44519058545264012</v>
      </c>
      <c r="AU33" s="5">
        <v>323662.6166666667</v>
      </c>
      <c r="AV33" s="5">
        <v>0.90445644997177377</v>
      </c>
      <c r="AW33" s="6">
        <v>2394261.8566666665</v>
      </c>
      <c r="AX33" s="6">
        <v>0.70044780897143144</v>
      </c>
    </row>
    <row r="34" spans="1:50" ht="18.75" customHeight="1">
      <c r="A34" s="2" t="s">
        <v>231</v>
      </c>
      <c r="B34" s="2" t="b">
        <v>0</v>
      </c>
      <c r="C34" s="2" t="s">
        <v>34</v>
      </c>
      <c r="D34" s="2" t="s">
        <v>96</v>
      </c>
      <c r="E34" s="3">
        <v>41429.609305555554</v>
      </c>
      <c r="F34" s="4" t="s">
        <v>250</v>
      </c>
      <c r="G34" s="5" t="s">
        <v>0</v>
      </c>
      <c r="H34" s="5">
        <v>1.8266666666666669</v>
      </c>
      <c r="I34" s="2" t="s">
        <v>140</v>
      </c>
      <c r="J34" s="6">
        <v>1967.04185957242</v>
      </c>
      <c r="K34" s="6">
        <v>2189088.37</v>
      </c>
      <c r="L34" s="6">
        <v>1.272103086628777</v>
      </c>
      <c r="M34" s="5">
        <v>1061.3601739607</v>
      </c>
      <c r="N34" s="5">
        <v>980345.81333333335</v>
      </c>
      <c r="O34" s="5">
        <v>0.38337478996355229</v>
      </c>
      <c r="P34" s="6">
        <v>107668.789658744</v>
      </c>
      <c r="Q34" s="6">
        <v>4768122.6400000006</v>
      </c>
      <c r="R34" s="6">
        <v>0.54391816288322659</v>
      </c>
      <c r="S34" s="5">
        <v>13.6623451766534</v>
      </c>
      <c r="T34" s="5">
        <v>100616.67666666668</v>
      </c>
      <c r="U34" s="5">
        <v>0.53999234433637633</v>
      </c>
      <c r="V34" s="6">
        <v>21.3617165628112</v>
      </c>
      <c r="W34" s="6">
        <v>247345.88</v>
      </c>
      <c r="X34" s="6">
        <v>0.65545317846638063</v>
      </c>
      <c r="Y34" s="5">
        <v>49.237490176601099</v>
      </c>
      <c r="Z34" s="5">
        <v>13479.386666666667</v>
      </c>
      <c r="AA34" s="5">
        <v>0.68070514478947042</v>
      </c>
      <c r="AB34" s="6">
        <v>1.56374390951566</v>
      </c>
      <c r="AC34" s="6">
        <v>23303.876666666667</v>
      </c>
      <c r="AD34" s="6">
        <v>0.92554797727521576</v>
      </c>
      <c r="AE34" s="5">
        <v>89.034213509166506</v>
      </c>
      <c r="AF34" s="5">
        <v>381415.72666666663</v>
      </c>
      <c r="AG34" s="5">
        <v>0.63742880435370997</v>
      </c>
      <c r="AH34" s="6">
        <v>95.0615582646858</v>
      </c>
      <c r="AI34" s="6">
        <v>242456.61333333331</v>
      </c>
      <c r="AJ34" s="6">
        <v>0.49922444591352749</v>
      </c>
      <c r="AK34" s="5">
        <v>0.98132613043496897</v>
      </c>
      <c r="AL34" s="5">
        <v>1455.0866666666668</v>
      </c>
      <c r="AM34" s="5">
        <v>1.8466391275434411</v>
      </c>
      <c r="AN34" s="6">
        <v>0.84754719264026002</v>
      </c>
      <c r="AO34" s="6">
        <v>6821.7766666666657</v>
      </c>
      <c r="AP34" s="6">
        <v>5.0652461201273615</v>
      </c>
      <c r="AQ34" s="5">
        <v>186028.27</v>
      </c>
      <c r="AR34" s="5">
        <v>2.5059331285825071</v>
      </c>
      <c r="AS34" s="6">
        <v>111376.14</v>
      </c>
      <c r="AT34" s="6">
        <v>2.4906133448204208</v>
      </c>
      <c r="AU34" s="5">
        <v>326238.68</v>
      </c>
      <c r="AV34" s="5">
        <v>0.26985866590507246</v>
      </c>
      <c r="AW34" s="6">
        <v>2300395.4166666665</v>
      </c>
      <c r="AX34" s="6">
        <v>3.1287993062714889</v>
      </c>
    </row>
    <row r="35" spans="1:50" ht="18.75" customHeight="1">
      <c r="A35" s="2" t="s">
        <v>221</v>
      </c>
      <c r="B35" s="2" t="b">
        <v>0</v>
      </c>
      <c r="C35" s="2" t="s">
        <v>35</v>
      </c>
      <c r="D35" s="2" t="s">
        <v>97</v>
      </c>
      <c r="E35" s="3">
        <v>41429.612349537034</v>
      </c>
      <c r="F35" s="4" t="s">
        <v>250</v>
      </c>
      <c r="G35" s="5" t="s">
        <v>0</v>
      </c>
      <c r="H35" s="5">
        <v>2.7</v>
      </c>
      <c r="I35" s="2" t="s">
        <v>141</v>
      </c>
      <c r="J35" s="6">
        <v>1632.5883357862101</v>
      </c>
      <c r="K35" s="6">
        <v>1267763.8533333333</v>
      </c>
      <c r="L35" s="6">
        <v>0.27598443240347559</v>
      </c>
      <c r="M35" s="5">
        <v>1255.09483976303</v>
      </c>
      <c r="N35" s="5">
        <v>820954.73666666669</v>
      </c>
      <c r="O35" s="5">
        <v>0.3609911048639779</v>
      </c>
      <c r="P35" s="6">
        <v>89971.937505850801</v>
      </c>
      <c r="Q35" s="6">
        <v>2778513.9533333331</v>
      </c>
      <c r="R35" s="6">
        <v>0.50528015239157931</v>
      </c>
      <c r="S35" s="5">
        <v>5.9093837266635898</v>
      </c>
      <c r="T35" s="5">
        <v>30450.906666666666</v>
      </c>
      <c r="U35" s="5">
        <v>1.1019207184327111</v>
      </c>
      <c r="V35" s="6">
        <v>20.278726203167199</v>
      </c>
      <c r="W35" s="6">
        <v>167338.23000000001</v>
      </c>
      <c r="X35" s="6">
        <v>0.64916943772677593</v>
      </c>
      <c r="Y35" s="5">
        <v>43.304795513837298</v>
      </c>
      <c r="Z35" s="5">
        <v>8382.49</v>
      </c>
      <c r="AA35" s="5">
        <v>0.77463852016292867</v>
      </c>
      <c r="AB35" s="6">
        <v>0.97424263787163501</v>
      </c>
      <c r="AC35" s="6">
        <v>10499.339999999998</v>
      </c>
      <c r="AD35" s="6">
        <v>0.46228319175168897</v>
      </c>
      <c r="AE35" s="5">
        <v>64.5147186839434</v>
      </c>
      <c r="AF35" s="5">
        <v>193117.77333333335</v>
      </c>
      <c r="AG35" s="5">
        <v>0.28196927780125158</v>
      </c>
      <c r="AH35" s="6">
        <v>69.221164100783895</v>
      </c>
      <c r="AI35" s="6">
        <v>123324.15666666668</v>
      </c>
      <c r="AJ35" s="6">
        <v>1.382496271261934</v>
      </c>
      <c r="AK35" s="5">
        <v>1.03122512232329</v>
      </c>
      <c r="AL35" s="5">
        <v>1241.2033333333334</v>
      </c>
      <c r="AM35" s="5">
        <v>1.0528085887233469</v>
      </c>
      <c r="AN35" s="6">
        <v>0.24945298849979</v>
      </c>
      <c r="AO35" s="6">
        <v>1961.3233333333335</v>
      </c>
      <c r="AP35" s="6">
        <v>6.9781473724584053</v>
      </c>
      <c r="AQ35" s="5">
        <v>192728.23666666666</v>
      </c>
      <c r="AR35" s="5">
        <v>0.90370201865146438</v>
      </c>
      <c r="AS35" s="6">
        <v>114750.21333333333</v>
      </c>
      <c r="AT35" s="6">
        <v>0.59887147654260442</v>
      </c>
      <c r="AU35" s="5">
        <v>331296.01</v>
      </c>
      <c r="AV35" s="5">
        <v>0.46221756034608041</v>
      </c>
      <c r="AW35" s="6">
        <v>2445654.08</v>
      </c>
      <c r="AX35" s="6">
        <v>1.7829612977317333</v>
      </c>
    </row>
    <row r="36" spans="1:50" ht="18.75" customHeight="1">
      <c r="A36" s="2" t="s">
        <v>220</v>
      </c>
      <c r="B36" s="2" t="b">
        <v>0</v>
      </c>
      <c r="C36" s="2" t="s">
        <v>36</v>
      </c>
      <c r="D36" s="2" t="s">
        <v>98</v>
      </c>
      <c r="E36" s="3">
        <v>41429.615416666667</v>
      </c>
      <c r="F36" s="4" t="s">
        <v>250</v>
      </c>
      <c r="G36" s="5" t="s">
        <v>0</v>
      </c>
      <c r="H36" s="5">
        <v>3.3666666666666667</v>
      </c>
      <c r="I36" s="2" t="s">
        <v>142</v>
      </c>
      <c r="J36" s="6">
        <v>1872.1016678393901</v>
      </c>
      <c r="K36" s="6">
        <v>1157986.9133333333</v>
      </c>
      <c r="L36" s="6">
        <v>1.001335262627828</v>
      </c>
      <c r="M36" s="5">
        <v>1340.48273754455</v>
      </c>
      <c r="N36" s="5">
        <v>707307.85333333339</v>
      </c>
      <c r="O36" s="5">
        <v>0.90203217004345015</v>
      </c>
      <c r="P36" s="6">
        <v>103669.547282432</v>
      </c>
      <c r="Q36" s="6">
        <v>2550146.4366666665</v>
      </c>
      <c r="R36" s="6">
        <v>1.0219236115175583</v>
      </c>
      <c r="S36" s="5">
        <v>9.9327802133494902</v>
      </c>
      <c r="T36" s="5">
        <v>40715.21</v>
      </c>
      <c r="U36" s="5">
        <v>0.94725647406647318</v>
      </c>
      <c r="V36" s="6">
        <v>50.103531931916798</v>
      </c>
      <c r="W36" s="6">
        <v>319480.39333333337</v>
      </c>
      <c r="X36" s="6">
        <v>0.95527831707972188</v>
      </c>
      <c r="Y36" s="5">
        <v>76.448159169222393</v>
      </c>
      <c r="Z36" s="5">
        <v>11670.133333333333</v>
      </c>
      <c r="AA36" s="5">
        <v>2.1842765455006701</v>
      </c>
      <c r="AB36" s="6">
        <v>3.6288459360049301</v>
      </c>
      <c r="AC36" s="6">
        <v>29872.226666666669</v>
      </c>
      <c r="AD36" s="6">
        <v>1.7310021310982957</v>
      </c>
      <c r="AE36" s="5">
        <v>79.777841038860004</v>
      </c>
      <c r="AF36" s="5">
        <v>190215.8666666667</v>
      </c>
      <c r="AG36" s="5">
        <v>1.2289483070227374</v>
      </c>
      <c r="AH36" s="6">
        <v>84.586263810435199</v>
      </c>
      <c r="AI36" s="6">
        <v>120048.41666666667</v>
      </c>
      <c r="AJ36" s="6">
        <v>0.73523961065299215</v>
      </c>
      <c r="AK36" s="5">
        <v>1.26157908293748</v>
      </c>
      <c r="AL36" s="5">
        <v>1245.8033333333333</v>
      </c>
      <c r="AM36" s="5">
        <v>0.387890499634167</v>
      </c>
      <c r="AN36" s="6">
        <v>1.38162112362332</v>
      </c>
      <c r="AO36" s="6">
        <v>6260.3999999999987</v>
      </c>
      <c r="AP36" s="6">
        <v>2.883196882267419</v>
      </c>
      <c r="AQ36" s="5">
        <v>191276.83</v>
      </c>
      <c r="AR36" s="5">
        <v>0.67322406345333441</v>
      </c>
      <c r="AS36" s="6">
        <v>113967.09666666668</v>
      </c>
      <c r="AT36" s="6">
        <v>0.72453298658358967</v>
      </c>
      <c r="AU36" s="5">
        <v>335494.77</v>
      </c>
      <c r="AV36" s="5">
        <v>0.3586235210548262</v>
      </c>
      <c r="AW36" s="6">
        <v>2411860.1066666665</v>
      </c>
      <c r="AX36" s="6">
        <v>1.1161528143750719</v>
      </c>
    </row>
    <row r="37" spans="1:50" ht="18.75" customHeight="1">
      <c r="A37" s="2" t="s">
        <v>216</v>
      </c>
      <c r="B37" s="2" t="b">
        <v>0</v>
      </c>
      <c r="C37" s="2" t="s">
        <v>37</v>
      </c>
      <c r="D37" s="2" t="s">
        <v>99</v>
      </c>
      <c r="E37" s="3">
        <v>41429.618472222224</v>
      </c>
      <c r="F37" s="4" t="s">
        <v>250</v>
      </c>
      <c r="G37" s="5" t="s">
        <v>0</v>
      </c>
      <c r="H37" s="5">
        <v>3.9238095238095236</v>
      </c>
      <c r="I37" s="2" t="s">
        <v>143</v>
      </c>
      <c r="J37" s="6">
        <v>1542.3042449525401</v>
      </c>
      <c r="K37" s="6">
        <v>816890.44666666666</v>
      </c>
      <c r="L37" s="6">
        <v>0.75243059675829194</v>
      </c>
      <c r="M37" s="5">
        <v>987.91896295108995</v>
      </c>
      <c r="N37" s="5">
        <v>468915.39333333331</v>
      </c>
      <c r="O37" s="5">
        <v>0.34391315100816833</v>
      </c>
      <c r="P37" s="6">
        <v>85674.7110466921</v>
      </c>
      <c r="Q37" s="6">
        <v>1803525.2666666666</v>
      </c>
      <c r="R37" s="6">
        <v>0.52795609624908479</v>
      </c>
      <c r="S37" s="5">
        <v>29.6840106725829</v>
      </c>
      <c r="T37" s="5">
        <v>103914.55333333334</v>
      </c>
      <c r="U37" s="5">
        <v>0.47457457057381924</v>
      </c>
      <c r="V37" s="6">
        <v>27.443677322727599</v>
      </c>
      <c r="W37" s="6">
        <v>155050.17666666667</v>
      </c>
      <c r="X37" s="6">
        <v>0.55277953294543336</v>
      </c>
      <c r="Y37" s="5">
        <v>49.052069160036702</v>
      </c>
      <c r="Z37" s="5">
        <v>6533.7833333333338</v>
      </c>
      <c r="AA37" s="5">
        <v>3.0481146899693803</v>
      </c>
      <c r="AB37" s="6">
        <v>3.1263139416278101</v>
      </c>
      <c r="AC37" s="6">
        <v>22192.326666666664</v>
      </c>
      <c r="AD37" s="6">
        <v>0.65482879156202745</v>
      </c>
      <c r="AE37" s="5">
        <v>82.1101612645366</v>
      </c>
      <c r="AF37" s="5">
        <v>167628.98333333337</v>
      </c>
      <c r="AG37" s="5">
        <v>0.94303317241275408</v>
      </c>
      <c r="AH37" s="6">
        <v>87.766552298904102</v>
      </c>
      <c r="AI37" s="6">
        <v>106640.96333333333</v>
      </c>
      <c r="AJ37" s="6">
        <v>0.35782586507143521</v>
      </c>
      <c r="AK37" s="5">
        <v>0.83006971107940097</v>
      </c>
      <c r="AL37" s="5">
        <v>1001.34</v>
      </c>
      <c r="AM37" s="5">
        <v>1.179373491288159</v>
      </c>
      <c r="AN37" s="6">
        <v>1.0099565643408099</v>
      </c>
      <c r="AO37" s="6">
        <v>4175.1899999999996</v>
      </c>
      <c r="AP37" s="6">
        <v>2.9149791923477211</v>
      </c>
      <c r="AQ37" s="5">
        <v>193508.51333333334</v>
      </c>
      <c r="AR37" s="5">
        <v>1.3854322525809624</v>
      </c>
      <c r="AS37" s="6">
        <v>113667.77333333333</v>
      </c>
      <c r="AT37" s="6">
        <v>0.54214861537517378</v>
      </c>
      <c r="AU37" s="5">
        <v>337951.89333333331</v>
      </c>
      <c r="AV37" s="5">
        <v>1.0230126235048376</v>
      </c>
      <c r="AW37" s="6">
        <v>2405858.61</v>
      </c>
      <c r="AX37" s="6">
        <v>0.97475673656012807</v>
      </c>
    </row>
    <row r="38" spans="1:50" ht="18.75" customHeight="1">
      <c r="A38" s="2" t="s">
        <v>219</v>
      </c>
      <c r="B38" s="2" t="b">
        <v>0</v>
      </c>
      <c r="C38" s="2" t="s">
        <v>38</v>
      </c>
      <c r="D38" s="2" t="s">
        <v>100</v>
      </c>
      <c r="E38" s="3">
        <v>41429.621539351851</v>
      </c>
      <c r="F38" s="4" t="s">
        <v>250</v>
      </c>
      <c r="G38" s="5" t="s">
        <v>0</v>
      </c>
      <c r="H38" s="5">
        <v>3.7272727272727266</v>
      </c>
      <c r="I38" s="2" t="s">
        <v>144</v>
      </c>
      <c r="J38" s="6">
        <v>2405.4643159470002</v>
      </c>
      <c r="K38" s="6">
        <v>1356833.6966666665</v>
      </c>
      <c r="L38" s="6">
        <v>0.5596530664237076</v>
      </c>
      <c r="M38" s="5">
        <v>629.31467259273302</v>
      </c>
      <c r="N38" s="5">
        <v>339043.3</v>
      </c>
      <c r="O38" s="5">
        <v>0.61788472703865716</v>
      </c>
      <c r="P38" s="6">
        <v>113137.142408183</v>
      </c>
      <c r="Q38" s="6">
        <v>2537955.17</v>
      </c>
      <c r="R38" s="6">
        <v>1.6588144785146377</v>
      </c>
      <c r="S38" s="5">
        <v>11.726845184838901</v>
      </c>
      <c r="T38" s="5">
        <v>43832.98</v>
      </c>
      <c r="U38" s="5">
        <v>1.5513657073352534</v>
      </c>
      <c r="V38" s="6">
        <v>26.2897606889792</v>
      </c>
      <c r="W38" s="6">
        <v>158229.91666666666</v>
      </c>
      <c r="X38" s="6">
        <v>1.1632623985336545</v>
      </c>
      <c r="Y38" s="5">
        <v>53.732826947564099</v>
      </c>
      <c r="Z38" s="5">
        <v>7583.16</v>
      </c>
      <c r="AA38" s="5">
        <v>1.1179573396050715</v>
      </c>
      <c r="AB38" s="6">
        <v>1.5284835428641801</v>
      </c>
      <c r="AC38" s="6">
        <v>11873.62</v>
      </c>
      <c r="AD38" s="6">
        <v>2.1948204104856455</v>
      </c>
      <c r="AE38" s="5">
        <v>135.56372856998499</v>
      </c>
      <c r="AF38" s="5">
        <v>294428.85666666669</v>
      </c>
      <c r="AG38" s="5">
        <v>1.0518600875633206</v>
      </c>
      <c r="AH38" s="6">
        <v>145.31108143340299</v>
      </c>
      <c r="AI38" s="6">
        <v>187841.4733333333</v>
      </c>
      <c r="AJ38" s="6">
        <v>0.51690252329972219</v>
      </c>
      <c r="AK38" s="5">
        <v>1.00963933565296</v>
      </c>
      <c r="AL38" s="5">
        <v>1095.4566666666667</v>
      </c>
      <c r="AM38" s="5">
        <v>0.87719099940231759</v>
      </c>
      <c r="AN38" s="6">
        <v>0.198633783054288</v>
      </c>
      <c r="AO38" s="6">
        <v>1432.3533333333335</v>
      </c>
      <c r="AP38" s="6">
        <v>4.3562013793578256</v>
      </c>
      <c r="AQ38" s="5">
        <v>195718.95666666667</v>
      </c>
      <c r="AR38" s="5">
        <v>5.7646463304779783</v>
      </c>
      <c r="AS38" s="6">
        <v>115169.88</v>
      </c>
      <c r="AT38" s="6">
        <v>3.4957189437364296</v>
      </c>
      <c r="AU38" s="5">
        <v>338515.02666666667</v>
      </c>
      <c r="AV38" s="5">
        <v>0.17114564087984174</v>
      </c>
      <c r="AW38" s="6">
        <v>2406987.0466666669</v>
      </c>
      <c r="AX38" s="6">
        <v>5.232071571892507</v>
      </c>
    </row>
    <row r="39" spans="1:50" ht="18.75" customHeight="1">
      <c r="A39" s="2"/>
      <c r="B39" s="2" t="b">
        <v>0</v>
      </c>
      <c r="C39" s="2" t="s">
        <v>39</v>
      </c>
      <c r="D39" s="2" t="s">
        <v>1</v>
      </c>
      <c r="E39" s="3">
        <v>41429.624594907407</v>
      </c>
      <c r="F39" s="4" t="s">
        <v>204</v>
      </c>
      <c r="G39" s="5" t="s">
        <v>0</v>
      </c>
      <c r="H39" s="5">
        <v>1</v>
      </c>
      <c r="I39" s="2" t="s">
        <v>119</v>
      </c>
      <c r="J39" s="6" t="s">
        <v>195</v>
      </c>
      <c r="K39" s="6">
        <v>1577.9933333333331</v>
      </c>
      <c r="L39" s="6">
        <v>6.8709011303688889</v>
      </c>
      <c r="M39" s="5" t="s">
        <v>200</v>
      </c>
      <c r="N39" s="5">
        <v>64924.656666666669</v>
      </c>
      <c r="O39" s="5">
        <v>1.7014531179910815</v>
      </c>
      <c r="P39" s="6" t="s">
        <v>197</v>
      </c>
      <c r="Q39" s="6">
        <v>158.89666666666668</v>
      </c>
      <c r="R39" s="6">
        <v>10.763912202668555</v>
      </c>
      <c r="S39" s="5" t="s">
        <v>181</v>
      </c>
      <c r="T39" s="5">
        <v>160.01</v>
      </c>
      <c r="U39" s="5">
        <v>8.3307293294171068</v>
      </c>
      <c r="V39" s="6" t="s">
        <v>193</v>
      </c>
      <c r="W39" s="6">
        <v>11335.453333333333</v>
      </c>
      <c r="X39" s="6">
        <v>1.6307571361243132</v>
      </c>
      <c r="Y39" s="5" t="s">
        <v>194</v>
      </c>
      <c r="Z39" s="5">
        <v>268.90666666666669</v>
      </c>
      <c r="AA39" s="5">
        <v>19.885574277297678</v>
      </c>
      <c r="AB39" s="6">
        <v>1.9168956493927001E-2</v>
      </c>
      <c r="AC39" s="6">
        <v>1185.6499999999999</v>
      </c>
      <c r="AD39" s="6">
        <v>4.2672129332483655</v>
      </c>
      <c r="AE39" s="5" t="s">
        <v>187</v>
      </c>
      <c r="AF39" s="5">
        <v>695.60333333333335</v>
      </c>
      <c r="AG39" s="5">
        <v>10.101852486805353</v>
      </c>
      <c r="AH39" s="6" t="s">
        <v>190</v>
      </c>
      <c r="AI39" s="6">
        <v>458.91333333333336</v>
      </c>
      <c r="AJ39" s="6">
        <v>10.021143594586331</v>
      </c>
      <c r="AK39" s="5" t="s">
        <v>189</v>
      </c>
      <c r="AL39" s="5">
        <v>711.61666666666667</v>
      </c>
      <c r="AM39" s="5">
        <v>1.6228928875496813</v>
      </c>
      <c r="AN39" s="6" t="s">
        <v>185</v>
      </c>
      <c r="AO39" s="6">
        <v>1561.2566666666669</v>
      </c>
      <c r="AP39" s="6">
        <v>8.4993424224794332</v>
      </c>
      <c r="AQ39" s="5">
        <v>192012.80999999997</v>
      </c>
      <c r="AR39" s="5">
        <v>1.0723270153458271</v>
      </c>
      <c r="AS39" s="6">
        <v>116350.83</v>
      </c>
      <c r="AT39" s="6">
        <v>0.20918949734889139</v>
      </c>
      <c r="AU39" s="5">
        <v>347387.43</v>
      </c>
      <c r="AV39" s="5">
        <v>4.1772890232213795</v>
      </c>
      <c r="AW39" s="6">
        <v>2429219.5999999996</v>
      </c>
      <c r="AX39" s="6">
        <v>0.92212437396743729</v>
      </c>
    </row>
    <row r="40" spans="1:50" ht="18.75" customHeight="1">
      <c r="A40" s="2" t="s">
        <v>208</v>
      </c>
      <c r="B40" s="2" t="b">
        <v>0</v>
      </c>
      <c r="C40" s="2" t="s">
        <v>40</v>
      </c>
      <c r="D40" s="2" t="s">
        <v>236</v>
      </c>
      <c r="E40" s="3">
        <v>41429.627638888887</v>
      </c>
      <c r="F40" s="4" t="s">
        <v>248</v>
      </c>
      <c r="G40" s="5" t="s">
        <v>0</v>
      </c>
      <c r="H40" s="5">
        <v>1</v>
      </c>
      <c r="I40" s="2" t="s">
        <v>130</v>
      </c>
      <c r="J40" s="6">
        <v>10.1165702144463</v>
      </c>
      <c r="K40" s="6">
        <v>21713.436666666665</v>
      </c>
      <c r="L40" s="6">
        <v>1.1754087907242106</v>
      </c>
      <c r="M40" s="5" t="s">
        <v>200</v>
      </c>
      <c r="N40" s="5">
        <v>78432.856666666674</v>
      </c>
      <c r="O40" s="5">
        <v>0.75515996075229574</v>
      </c>
      <c r="P40" s="6">
        <v>12.850416159438501</v>
      </c>
      <c r="Q40" s="6">
        <v>1146.76</v>
      </c>
      <c r="R40" s="6">
        <v>9.3255274055170112</v>
      </c>
      <c r="S40" s="5">
        <v>9.8888046588704004</v>
      </c>
      <c r="T40" s="5">
        <v>131152.79333333333</v>
      </c>
      <c r="U40" s="5">
        <v>0.1727052630732373</v>
      </c>
      <c r="V40" s="6">
        <v>10.0759154152523</v>
      </c>
      <c r="W40" s="6">
        <v>211486.12</v>
      </c>
      <c r="X40" s="6">
        <v>0.94654842073776324</v>
      </c>
      <c r="Y40" s="5">
        <v>10.226071028810701</v>
      </c>
      <c r="Z40" s="5">
        <v>5207.7033333333338</v>
      </c>
      <c r="AA40" s="5">
        <v>5.5051788726722126</v>
      </c>
      <c r="AB40" s="6">
        <v>10.3493836096198</v>
      </c>
      <c r="AC40" s="6">
        <v>271010.62333333335</v>
      </c>
      <c r="AD40" s="6">
        <v>0.8092093835635491</v>
      </c>
      <c r="AE40" s="5">
        <v>10.113559751804701</v>
      </c>
      <c r="AF40" s="5">
        <v>78616.883333333317</v>
      </c>
      <c r="AG40" s="5">
        <v>0.18100005801957833</v>
      </c>
      <c r="AH40" s="6">
        <v>10.0449995005449</v>
      </c>
      <c r="AI40" s="6">
        <v>46477.443333333329</v>
      </c>
      <c r="AJ40" s="6">
        <v>1.0680806787539823</v>
      </c>
      <c r="AK40" s="5">
        <v>9.8418867431849009</v>
      </c>
      <c r="AL40" s="5">
        <v>15990.86</v>
      </c>
      <c r="AM40" s="5">
        <v>0.61064950545776475</v>
      </c>
      <c r="AN40" s="6">
        <v>9.4401649444534392</v>
      </c>
      <c r="AO40" s="6">
        <v>124027.90333333334</v>
      </c>
      <c r="AP40" s="6">
        <v>0.92572023157334216</v>
      </c>
      <c r="AQ40" s="5">
        <v>191104.57666666666</v>
      </c>
      <c r="AR40" s="5">
        <v>2.7225033574011714</v>
      </c>
      <c r="AS40" s="6">
        <v>109821.55333333333</v>
      </c>
      <c r="AT40" s="6">
        <v>2.259083160604451</v>
      </c>
      <c r="AU40" s="5">
        <v>338619.75666666665</v>
      </c>
      <c r="AV40" s="5">
        <v>0.29492427230416723</v>
      </c>
      <c r="AW40" s="6">
        <v>2424197.9666666668</v>
      </c>
      <c r="AX40" s="6">
        <v>1.8337767054477321</v>
      </c>
    </row>
    <row r="41" spans="1:50" ht="18.75" customHeight="1">
      <c r="A41" s="2" t="s">
        <v>203</v>
      </c>
      <c r="B41" s="2" t="b">
        <v>0</v>
      </c>
      <c r="C41" s="2" t="s">
        <v>41</v>
      </c>
      <c r="D41" s="2" t="s">
        <v>1</v>
      </c>
      <c r="E41" s="3">
        <v>41429.630694444444</v>
      </c>
      <c r="F41" s="4" t="s">
        <v>204</v>
      </c>
      <c r="G41" s="5" t="s">
        <v>0</v>
      </c>
      <c r="H41" s="5">
        <v>1</v>
      </c>
      <c r="I41" s="2" t="s">
        <v>118</v>
      </c>
      <c r="J41" s="6" t="s">
        <v>195</v>
      </c>
      <c r="K41" s="6">
        <v>1644.6733333333334</v>
      </c>
      <c r="L41" s="6">
        <v>5.1009456410273053</v>
      </c>
      <c r="M41" s="5" t="s">
        <v>200</v>
      </c>
      <c r="N41" s="5">
        <v>62769.27</v>
      </c>
      <c r="O41" s="5">
        <v>0.84323685992797104</v>
      </c>
      <c r="P41" s="6" t="s">
        <v>197</v>
      </c>
      <c r="Q41" s="6">
        <v>98.893333333333331</v>
      </c>
      <c r="R41" s="6">
        <v>34.101377567459757</v>
      </c>
      <c r="S41" s="5">
        <v>2.8593776026600799E-2</v>
      </c>
      <c r="T41" s="5">
        <v>514.47666666666669</v>
      </c>
      <c r="U41" s="5">
        <v>3.1968622189212095</v>
      </c>
      <c r="V41" s="6" t="s">
        <v>193</v>
      </c>
      <c r="W41" s="6">
        <v>11207.563333333334</v>
      </c>
      <c r="X41" s="6">
        <v>2.2776870651398036</v>
      </c>
      <c r="Y41" s="5" t="s">
        <v>194</v>
      </c>
      <c r="Z41" s="5">
        <v>261.12666666666667</v>
      </c>
      <c r="AA41" s="5">
        <v>14.795775654293408</v>
      </c>
      <c r="AB41" s="6">
        <v>4.1765727243724397E-2</v>
      </c>
      <c r="AC41" s="6">
        <v>1710.17</v>
      </c>
      <c r="AD41" s="6">
        <v>1.6995870009327889</v>
      </c>
      <c r="AE41" s="5" t="s">
        <v>187</v>
      </c>
      <c r="AF41" s="5">
        <v>845.61333333333334</v>
      </c>
      <c r="AG41" s="5">
        <v>9.3659089154208068</v>
      </c>
      <c r="AH41" s="6" t="s">
        <v>190</v>
      </c>
      <c r="AI41" s="6">
        <v>487.80333333333334</v>
      </c>
      <c r="AJ41" s="6">
        <v>8.7077877304550526</v>
      </c>
      <c r="AK41" s="5" t="s">
        <v>189</v>
      </c>
      <c r="AL41" s="5">
        <v>701.37333333333345</v>
      </c>
      <c r="AM41" s="5">
        <v>1.033214531342779</v>
      </c>
      <c r="AN41" s="6">
        <v>0.150070201605669</v>
      </c>
      <c r="AO41" s="6">
        <v>2632.5566666666668</v>
      </c>
      <c r="AP41" s="6">
        <v>3.2794549717402663</v>
      </c>
      <c r="AQ41" s="5">
        <v>176305.23666666666</v>
      </c>
      <c r="AR41" s="5">
        <v>4.8492105049783216</v>
      </c>
      <c r="AS41" s="6">
        <v>109894.86</v>
      </c>
      <c r="AT41" s="6">
        <v>1.9919142784700725</v>
      </c>
      <c r="AU41" s="5">
        <v>335511.26</v>
      </c>
      <c r="AV41" s="5">
        <v>1.6463007610490183</v>
      </c>
      <c r="AW41" s="6">
        <v>2326883.5933333333</v>
      </c>
      <c r="AX41" s="6">
        <v>5.0650321787149437</v>
      </c>
    </row>
    <row r="42" spans="1:50" ht="18.75" customHeight="1">
      <c r="A42" s="2" t="s">
        <v>224</v>
      </c>
      <c r="B42" s="2" t="b">
        <v>0</v>
      </c>
      <c r="C42" s="2" t="s">
        <v>42</v>
      </c>
      <c r="D42" s="2" t="s">
        <v>101</v>
      </c>
      <c r="E42" s="3">
        <v>41429.633750000001</v>
      </c>
      <c r="F42" s="4" t="s">
        <v>250</v>
      </c>
      <c r="G42" s="5" t="s">
        <v>0</v>
      </c>
      <c r="H42" s="5">
        <v>3.0074074074074071</v>
      </c>
      <c r="I42" s="2" t="s">
        <v>145</v>
      </c>
      <c r="J42" s="6">
        <v>2384.2114376951099</v>
      </c>
      <c r="K42" s="6">
        <v>1615973.17</v>
      </c>
      <c r="L42" s="6">
        <v>0.68247158916704997</v>
      </c>
      <c r="M42" s="5">
        <v>1625.11223240821</v>
      </c>
      <c r="N42" s="5">
        <v>918181.41</v>
      </c>
      <c r="O42" s="5">
        <v>1.1769017789042668</v>
      </c>
      <c r="P42" s="6">
        <v>114104.504865643</v>
      </c>
      <c r="Q42" s="6">
        <v>3076536.4466666668</v>
      </c>
      <c r="R42" s="6">
        <v>0.7197610318820894</v>
      </c>
      <c r="S42" s="5">
        <v>7.4176760954893703</v>
      </c>
      <c r="T42" s="5">
        <v>33353.393333333333</v>
      </c>
      <c r="U42" s="5">
        <v>1.9272098971310263</v>
      </c>
      <c r="V42" s="6">
        <v>56.803558735103998</v>
      </c>
      <c r="W42" s="6">
        <v>394380.03666666662</v>
      </c>
      <c r="X42" s="6">
        <v>1.7358849017485694</v>
      </c>
      <c r="Y42" s="5">
        <v>84.840883913518994</v>
      </c>
      <c r="Z42" s="5">
        <v>14127.663333333332</v>
      </c>
      <c r="AA42" s="5">
        <v>0.83908623767822121</v>
      </c>
      <c r="AB42" s="6">
        <v>6.1889963493748699</v>
      </c>
      <c r="AC42" s="6">
        <v>55276.583333333336</v>
      </c>
      <c r="AD42" s="6">
        <v>1.3124627900611769</v>
      </c>
      <c r="AE42" s="5">
        <v>93.078670449707602</v>
      </c>
      <c r="AF42" s="5">
        <v>243043.2233333333</v>
      </c>
      <c r="AG42" s="5">
        <v>0.90658229822153724</v>
      </c>
      <c r="AH42" s="6">
        <v>99.420291790262098</v>
      </c>
      <c r="AI42" s="6">
        <v>154526.89333333334</v>
      </c>
      <c r="AJ42" s="6">
        <v>0.84551612190438863</v>
      </c>
      <c r="AK42" s="5">
        <v>1.3184072445067201</v>
      </c>
      <c r="AL42" s="5">
        <v>1364.4799999999998</v>
      </c>
      <c r="AM42" s="5">
        <v>0.69674605768501663</v>
      </c>
      <c r="AN42" s="6">
        <v>0.80599900086669096</v>
      </c>
      <c r="AO42" s="6">
        <v>4239.6400000000003</v>
      </c>
      <c r="AP42" s="6">
        <v>1.8009715387018539</v>
      </c>
      <c r="AQ42" s="5">
        <v>185235.66666666666</v>
      </c>
      <c r="AR42" s="5">
        <v>1.9576816168620992</v>
      </c>
      <c r="AS42" s="6">
        <v>111587.69666666666</v>
      </c>
      <c r="AT42" s="6">
        <v>0.43352844570116406</v>
      </c>
      <c r="AU42" s="5">
        <v>340833.39666666667</v>
      </c>
      <c r="AV42" s="5">
        <v>2.8144261647678701</v>
      </c>
      <c r="AW42" s="6">
        <v>2370641.1266666665</v>
      </c>
      <c r="AX42" s="6">
        <v>1.00932284559618</v>
      </c>
    </row>
    <row r="43" spans="1:50" ht="18.75" customHeight="1">
      <c r="A43" s="2" t="s">
        <v>211</v>
      </c>
      <c r="B43" s="2" t="b">
        <v>0</v>
      </c>
      <c r="C43" s="2" t="s">
        <v>43</v>
      </c>
      <c r="D43" s="2" t="s">
        <v>102</v>
      </c>
      <c r="E43" s="3">
        <v>41429.636805555558</v>
      </c>
      <c r="F43" s="4" t="s">
        <v>250</v>
      </c>
      <c r="G43" s="5" t="s">
        <v>0</v>
      </c>
      <c r="H43" s="5">
        <v>5.4</v>
      </c>
      <c r="I43" s="2" t="s">
        <v>146</v>
      </c>
      <c r="J43" s="6">
        <v>1634.00124460965</v>
      </c>
      <c r="K43" s="6">
        <v>629927.97666666668</v>
      </c>
      <c r="L43" s="6">
        <v>0.56138802857279202</v>
      </c>
      <c r="M43" s="5">
        <v>911.50765853516702</v>
      </c>
      <c r="N43" s="5">
        <v>335218.09000000003</v>
      </c>
      <c r="O43" s="5">
        <v>0.90322920620614711</v>
      </c>
      <c r="P43" s="6">
        <v>93313.272963139199</v>
      </c>
      <c r="Q43" s="6">
        <v>1428988.9733333334</v>
      </c>
      <c r="R43" s="6">
        <v>1.0506830363748099</v>
      </c>
      <c r="S43" s="5">
        <v>13.207352830592001</v>
      </c>
      <c r="T43" s="5">
        <v>33731.78</v>
      </c>
      <c r="U43" s="5">
        <v>3.1182875955018385</v>
      </c>
      <c r="V43" s="6">
        <v>20.8450980638594</v>
      </c>
      <c r="W43" s="6">
        <v>90155.32666666666</v>
      </c>
      <c r="X43" s="6">
        <v>0.61682291953827428</v>
      </c>
      <c r="Y43" s="5">
        <v>43.4264710409741</v>
      </c>
      <c r="Z43" s="5">
        <v>4308.53</v>
      </c>
      <c r="AA43" s="5">
        <v>1.4316365682193191</v>
      </c>
      <c r="AB43" s="6">
        <v>1.1451832955899801</v>
      </c>
      <c r="AC43" s="6">
        <v>6383.7233333333343</v>
      </c>
      <c r="AD43" s="6">
        <v>0.39237831296787479</v>
      </c>
      <c r="AE43" s="5">
        <v>73.826276591576004</v>
      </c>
      <c r="AF43" s="5">
        <v>109895.60666666667</v>
      </c>
      <c r="AG43" s="5">
        <v>1.1998027824411182</v>
      </c>
      <c r="AH43" s="6">
        <v>78.711475187637404</v>
      </c>
      <c r="AI43" s="6">
        <v>69721.88</v>
      </c>
      <c r="AJ43" s="6">
        <v>0.8397875872144609</v>
      </c>
      <c r="AK43" s="5">
        <v>1.11920667282265</v>
      </c>
      <c r="AL43" s="5">
        <v>1060.48</v>
      </c>
      <c r="AM43" s="5">
        <v>1.0297046874481841</v>
      </c>
      <c r="AN43" s="6">
        <v>0.78461658016102198</v>
      </c>
      <c r="AO43" s="6">
        <v>2661.45</v>
      </c>
      <c r="AP43" s="6">
        <v>1.876096146338736</v>
      </c>
      <c r="AQ43" s="5">
        <v>193302.36</v>
      </c>
      <c r="AR43" s="5">
        <v>0.31278333434933736</v>
      </c>
      <c r="AS43" s="6">
        <v>113799.64</v>
      </c>
      <c r="AT43" s="6">
        <v>0.66994494111804637</v>
      </c>
      <c r="AU43" s="5">
        <v>360885.34999999992</v>
      </c>
      <c r="AV43" s="5">
        <v>5.7166040223572807</v>
      </c>
      <c r="AW43" s="6">
        <v>2427597.2200000002</v>
      </c>
      <c r="AX43" s="6">
        <v>0.58678407072260075</v>
      </c>
    </row>
    <row r="44" spans="1:50" ht="18.75" customHeight="1">
      <c r="A44" s="2" t="s">
        <v>227</v>
      </c>
      <c r="B44" s="2" t="b">
        <v>0</v>
      </c>
      <c r="C44" s="2" t="s">
        <v>44</v>
      </c>
      <c r="D44" s="2" t="s">
        <v>103</v>
      </c>
      <c r="E44" s="3">
        <v>41429.639861111114</v>
      </c>
      <c r="F44" s="4" t="s">
        <v>250</v>
      </c>
      <c r="G44" s="5" t="s">
        <v>0</v>
      </c>
      <c r="H44" s="5">
        <v>2.0449999999999999</v>
      </c>
      <c r="I44" s="2" t="s">
        <v>147</v>
      </c>
      <c r="J44" s="6">
        <v>1816.66700444616</v>
      </c>
      <c r="K44" s="6">
        <v>1855295.32</v>
      </c>
      <c r="L44" s="6">
        <v>0.26680589667046239</v>
      </c>
      <c r="M44" s="5">
        <v>949.201652150879</v>
      </c>
      <c r="N44" s="5">
        <v>816953.62666666659</v>
      </c>
      <c r="O44" s="5">
        <v>0.54566919503731304</v>
      </c>
      <c r="P44" s="6">
        <v>93966.107444878493</v>
      </c>
      <c r="Q44" s="6">
        <v>3817933.4166666665</v>
      </c>
      <c r="R44" s="6">
        <v>1.2410236153946337</v>
      </c>
      <c r="S44" s="5">
        <v>5.9761952223982098</v>
      </c>
      <c r="T44" s="5">
        <v>40464.573333333334</v>
      </c>
      <c r="U44" s="5">
        <v>2.1576211416800923</v>
      </c>
      <c r="V44" s="6">
        <v>10.7483520664045</v>
      </c>
      <c r="W44" s="6">
        <v>119708.74666666666</v>
      </c>
      <c r="X44" s="6">
        <v>0.23311792530181269</v>
      </c>
      <c r="Y44" s="5">
        <v>33.887995379688199</v>
      </c>
      <c r="Z44" s="5">
        <v>8620.4000000000015</v>
      </c>
      <c r="AA44" s="5">
        <v>1.8245114719457642</v>
      </c>
      <c r="AB44" s="6">
        <v>2.1409305072214599</v>
      </c>
      <c r="AC44" s="6">
        <v>29132.026666666668</v>
      </c>
      <c r="AD44" s="6">
        <v>1.4883477403929464</v>
      </c>
      <c r="AE44" s="5">
        <v>60.924971662005198</v>
      </c>
      <c r="AF44" s="5">
        <v>239754.19000000003</v>
      </c>
      <c r="AG44" s="5">
        <v>0.58898490540392068</v>
      </c>
      <c r="AH44" s="6">
        <v>64.933261146615905</v>
      </c>
      <c r="AI44" s="6">
        <v>152101.99</v>
      </c>
      <c r="AJ44" s="6">
        <v>0.17172710746610481</v>
      </c>
      <c r="AK44" s="5">
        <v>1.1194427435388099</v>
      </c>
      <c r="AL44" s="5">
        <v>1548.65</v>
      </c>
      <c r="AM44" s="5">
        <v>0.73344746950013318</v>
      </c>
      <c r="AN44" s="6">
        <v>0.120864612714898</v>
      </c>
      <c r="AO44" s="6">
        <v>1501.26</v>
      </c>
      <c r="AP44" s="6">
        <v>9.4902949648877026</v>
      </c>
      <c r="AQ44" s="5">
        <v>199356.02666666664</v>
      </c>
      <c r="AR44" s="5">
        <v>1.0354645816428125</v>
      </c>
      <c r="AS44" s="6">
        <v>114343.87666666666</v>
      </c>
      <c r="AT44" s="6">
        <v>0.35154895353588228</v>
      </c>
      <c r="AU44" s="5">
        <v>343613.6866666667</v>
      </c>
      <c r="AV44" s="5">
        <v>9.3913251992740865E-2</v>
      </c>
      <c r="AW44" s="6">
        <v>2379551.6633333336</v>
      </c>
      <c r="AX44" s="6">
        <v>0.73982587127877941</v>
      </c>
    </row>
    <row r="45" spans="1:50" ht="18.75" customHeight="1">
      <c r="A45" s="2" t="s">
        <v>218</v>
      </c>
      <c r="B45" s="2" t="b">
        <v>0</v>
      </c>
      <c r="C45" s="2" t="s">
        <v>45</v>
      </c>
      <c r="D45" s="2" t="s">
        <v>104</v>
      </c>
      <c r="E45" s="3">
        <v>41429.642905092594</v>
      </c>
      <c r="F45" s="4" t="s">
        <v>250</v>
      </c>
      <c r="G45" s="5" t="s">
        <v>0</v>
      </c>
      <c r="H45" s="5">
        <v>3.4333333333333336</v>
      </c>
      <c r="I45" s="2" t="s">
        <v>148</v>
      </c>
      <c r="J45" s="6">
        <v>1602.5412070950999</v>
      </c>
      <c r="K45" s="6">
        <v>978793.99333333352</v>
      </c>
      <c r="L45" s="6">
        <v>1.213308496605201</v>
      </c>
      <c r="M45" s="5">
        <v>1286.63602675223</v>
      </c>
      <c r="N45" s="5">
        <v>673856.49333333329</v>
      </c>
      <c r="O45" s="5">
        <v>0.96549827264073473</v>
      </c>
      <c r="P45" s="6">
        <v>94823.026095626701</v>
      </c>
      <c r="Q45" s="6">
        <v>2302586.2333333329</v>
      </c>
      <c r="R45" s="6">
        <v>0.37836954610473716</v>
      </c>
      <c r="S45" s="5">
        <v>4.4590634442498596</v>
      </c>
      <c r="T45" s="5">
        <v>18124.943333333333</v>
      </c>
      <c r="U45" s="5">
        <v>1.7859004294369381</v>
      </c>
      <c r="V45" s="6">
        <v>12.929788945344599</v>
      </c>
      <c r="W45" s="6">
        <v>88921.553333333344</v>
      </c>
      <c r="X45" s="6">
        <v>1.0445649268166388</v>
      </c>
      <c r="Y45" s="5">
        <v>36.559590303031896</v>
      </c>
      <c r="Z45" s="5">
        <v>5659.003333333334</v>
      </c>
      <c r="AA45" s="5">
        <v>4.2370252139842179</v>
      </c>
      <c r="AB45" s="6">
        <v>1.42963096466864</v>
      </c>
      <c r="AC45" s="6">
        <v>12014.803333333331</v>
      </c>
      <c r="AD45" s="6">
        <v>0.82188782861379506</v>
      </c>
      <c r="AE45" s="5">
        <v>70.960418404988403</v>
      </c>
      <c r="AF45" s="5">
        <v>167117.18333333332</v>
      </c>
      <c r="AG45" s="5">
        <v>0.67553086463792344</v>
      </c>
      <c r="AH45" s="6">
        <v>75.998006763901202</v>
      </c>
      <c r="AI45" s="6">
        <v>106519.92666666665</v>
      </c>
      <c r="AJ45" s="6">
        <v>1.4956807808873034</v>
      </c>
      <c r="AK45" s="5">
        <v>1.37092796238658</v>
      </c>
      <c r="AL45" s="5">
        <v>1327.14</v>
      </c>
      <c r="AM45" s="5">
        <v>0.83507486082005111</v>
      </c>
      <c r="AN45" s="6">
        <v>1.7005594127011301</v>
      </c>
      <c r="AO45" s="6">
        <v>7463.2599999999993</v>
      </c>
      <c r="AP45" s="6">
        <v>1.7095559591176572</v>
      </c>
      <c r="AQ45" s="5">
        <v>191054.50666666668</v>
      </c>
      <c r="AR45" s="5">
        <v>2.2454707860076026</v>
      </c>
      <c r="AS45" s="6">
        <v>114733.07</v>
      </c>
      <c r="AT45" s="6">
        <v>0.59935259276537667</v>
      </c>
      <c r="AU45" s="5">
        <v>346860.26333333337</v>
      </c>
      <c r="AV45" s="5">
        <v>0.44969544344295637</v>
      </c>
      <c r="AW45" s="6">
        <v>2382013.9733333332</v>
      </c>
      <c r="AX45" s="6">
        <v>1.6571250660403147</v>
      </c>
    </row>
    <row r="46" spans="1:50" ht="18.75" customHeight="1">
      <c r="A46" s="2" t="s">
        <v>210</v>
      </c>
      <c r="B46" s="2" t="b">
        <v>0</v>
      </c>
      <c r="C46" s="2" t="s">
        <v>46</v>
      </c>
      <c r="D46" s="2" t="s">
        <v>105</v>
      </c>
      <c r="E46" s="3">
        <v>41429.645972222221</v>
      </c>
      <c r="F46" s="4" t="s">
        <v>250</v>
      </c>
      <c r="G46" s="5" t="s">
        <v>0</v>
      </c>
      <c r="H46" s="5">
        <v>5.0999999999999996</v>
      </c>
      <c r="I46" s="2" t="s">
        <v>149</v>
      </c>
      <c r="J46" s="6">
        <v>1536.3484309453099</v>
      </c>
      <c r="K46" s="6">
        <v>628898.79666666663</v>
      </c>
      <c r="L46" s="6">
        <v>0.59387430770737459</v>
      </c>
      <c r="M46" s="5">
        <v>1059.8096213808401</v>
      </c>
      <c r="N46" s="5">
        <v>399440.63999999996</v>
      </c>
      <c r="O46" s="5">
        <v>1.1297148122930942</v>
      </c>
      <c r="P46" s="6">
        <v>87687.482417066596</v>
      </c>
      <c r="Q46" s="6">
        <v>1425835.1166666665</v>
      </c>
      <c r="R46" s="6">
        <v>0.95793314142008823</v>
      </c>
      <c r="S46" s="5">
        <v>6.1235531899834603</v>
      </c>
      <c r="T46" s="5">
        <v>16675.66</v>
      </c>
      <c r="U46" s="5">
        <v>2.334729548319125</v>
      </c>
      <c r="V46" s="6">
        <v>26.381262428894502</v>
      </c>
      <c r="W46" s="6">
        <v>117741.51333333335</v>
      </c>
      <c r="X46" s="6">
        <v>0.99609236625115372</v>
      </c>
      <c r="Y46" s="5">
        <v>47.609796281325501</v>
      </c>
      <c r="Z46" s="5">
        <v>4969.8666666666668</v>
      </c>
      <c r="AA46" s="5">
        <v>3.7869891895404648</v>
      </c>
      <c r="AB46" s="6">
        <v>0.96396203080421405</v>
      </c>
      <c r="AC46" s="6">
        <v>5774.583333333333</v>
      </c>
      <c r="AD46" s="6">
        <v>4.3044473087353508</v>
      </c>
      <c r="AE46" s="5">
        <v>79.1474033946849</v>
      </c>
      <c r="AF46" s="5">
        <v>124997.93333333333</v>
      </c>
      <c r="AG46" s="5">
        <v>0.78564805728918197</v>
      </c>
      <c r="AH46" s="6">
        <v>84.303158660783893</v>
      </c>
      <c r="AI46" s="6">
        <v>79236.876666666663</v>
      </c>
      <c r="AJ46" s="6">
        <v>0.89853005041572054</v>
      </c>
      <c r="AK46" s="5">
        <v>1.27916401730068</v>
      </c>
      <c r="AL46" s="5">
        <v>1092.9466666666667</v>
      </c>
      <c r="AM46" s="5">
        <v>0.82981437040995543</v>
      </c>
      <c r="AN46" s="6">
        <v>0.14837446511803901</v>
      </c>
      <c r="AO46" s="6">
        <v>1090.0833333333333</v>
      </c>
      <c r="AP46" s="6">
        <v>7.5345202205676767</v>
      </c>
      <c r="AQ46" s="5">
        <v>193308.67666666667</v>
      </c>
      <c r="AR46" s="5">
        <v>0.70349370550066703</v>
      </c>
      <c r="AS46" s="6">
        <v>114125.50333333334</v>
      </c>
      <c r="AT46" s="6">
        <v>0.83538948529493251</v>
      </c>
      <c r="AU46" s="5">
        <v>347657.58666666667</v>
      </c>
      <c r="AV46" s="5">
        <v>0.54017402628234523</v>
      </c>
      <c r="AW46" s="6">
        <v>2385441.2833333337</v>
      </c>
      <c r="AX46" s="6">
        <v>0.17539796850090636</v>
      </c>
    </row>
    <row r="47" spans="1:50" ht="18.75" customHeight="1">
      <c r="A47" s="2" t="s">
        <v>225</v>
      </c>
      <c r="B47" s="2" t="b">
        <v>0</v>
      </c>
      <c r="C47" s="2" t="s">
        <v>47</v>
      </c>
      <c r="D47" s="2" t="s">
        <v>106</v>
      </c>
      <c r="E47" s="3">
        <v>41429.649039351854</v>
      </c>
      <c r="F47" s="4" t="s">
        <v>250</v>
      </c>
      <c r="G47" s="5" t="s">
        <v>0</v>
      </c>
      <c r="H47" s="5">
        <v>3.1538461538461533</v>
      </c>
      <c r="I47" s="2" t="s">
        <v>150</v>
      </c>
      <c r="J47" s="6">
        <v>2777.1559125639101</v>
      </c>
      <c r="K47" s="6">
        <v>1653024.4033333333</v>
      </c>
      <c r="L47" s="6">
        <v>1.1383489662801491</v>
      </c>
      <c r="M47" s="5">
        <v>1468.6955773673401</v>
      </c>
      <c r="N47" s="5">
        <v>736572.75</v>
      </c>
      <c r="O47" s="5">
        <v>1.8514199773079807</v>
      </c>
      <c r="P47" s="6">
        <v>135279.24244733201</v>
      </c>
      <c r="Q47" s="6">
        <v>3202023.11</v>
      </c>
      <c r="R47" s="6">
        <v>1.6496851846353193</v>
      </c>
      <c r="S47" s="5">
        <v>12.906995179918599</v>
      </c>
      <c r="T47" s="5">
        <v>50889.96333333334</v>
      </c>
      <c r="U47" s="5">
        <v>2.2678071134249982</v>
      </c>
      <c r="V47" s="6">
        <v>105.079607964564</v>
      </c>
      <c r="W47" s="6">
        <v>633857.69333333336</v>
      </c>
      <c r="X47" s="6">
        <v>1.7370248429220077</v>
      </c>
      <c r="Y47" s="5">
        <v>140.14260576570999</v>
      </c>
      <c r="Z47" s="5">
        <v>20349.886666666669</v>
      </c>
      <c r="AA47" s="5">
        <v>2.8270036016683311</v>
      </c>
      <c r="AB47" s="6">
        <v>1.7992098061392201</v>
      </c>
      <c r="AC47" s="6">
        <v>14520.266666666668</v>
      </c>
      <c r="AD47" s="6">
        <v>2.1241644271285773</v>
      </c>
      <c r="AE47" s="5">
        <v>143.94648357583199</v>
      </c>
      <c r="AF47" s="5">
        <v>329773.37</v>
      </c>
      <c r="AG47" s="5">
        <v>1.350405988190964</v>
      </c>
      <c r="AH47" s="6">
        <v>153.72816802809899</v>
      </c>
      <c r="AI47" s="6">
        <v>209693.75666666668</v>
      </c>
      <c r="AJ47" s="6">
        <v>0.90911470167024644</v>
      </c>
      <c r="AK47" s="5">
        <v>1.31068696127201</v>
      </c>
      <c r="AL47" s="5">
        <v>1354.61</v>
      </c>
      <c r="AM47" s="5">
        <v>0.63240197655451713</v>
      </c>
      <c r="AN47" s="6">
        <v>0.196787151018222</v>
      </c>
      <c r="AO47" s="6">
        <v>1387.9066666666668</v>
      </c>
      <c r="AP47" s="6">
        <v>3.2797626379422371</v>
      </c>
      <c r="AQ47" s="5">
        <v>172542.33333333334</v>
      </c>
      <c r="AR47" s="5">
        <v>7.1505359711535945</v>
      </c>
      <c r="AS47" s="6">
        <v>103168.60333333333</v>
      </c>
      <c r="AT47" s="6">
        <v>7.9898769320151848</v>
      </c>
      <c r="AU47" s="5">
        <v>347247.66</v>
      </c>
      <c r="AV47" s="5">
        <v>0.50059181739148573</v>
      </c>
      <c r="AW47" s="6">
        <v>2089232.0166666668</v>
      </c>
      <c r="AX47" s="6">
        <v>7.7775002596238014</v>
      </c>
    </row>
    <row r="48" spans="1:50" ht="18.75" customHeight="1">
      <c r="A48" s="2" t="s">
        <v>213</v>
      </c>
      <c r="B48" s="2" t="b">
        <v>0</v>
      </c>
      <c r="C48" s="2" t="s">
        <v>48</v>
      </c>
      <c r="D48" s="2" t="s">
        <v>107</v>
      </c>
      <c r="E48" s="3">
        <v>41429.652060185188</v>
      </c>
      <c r="F48" s="4" t="s">
        <v>250</v>
      </c>
      <c r="G48" s="5" t="s">
        <v>0</v>
      </c>
      <c r="H48" s="5">
        <v>5.52</v>
      </c>
      <c r="I48" s="2" t="s">
        <v>151</v>
      </c>
      <c r="J48" s="6">
        <v>2266.5123279209502</v>
      </c>
      <c r="K48" s="6">
        <v>868885.1</v>
      </c>
      <c r="L48" s="6">
        <v>0.26310959747718515</v>
      </c>
      <c r="M48" s="5">
        <v>1495.81127232161</v>
      </c>
      <c r="N48" s="5">
        <v>509087.47</v>
      </c>
      <c r="O48" s="5">
        <v>0.75028778729945111</v>
      </c>
      <c r="P48" s="6">
        <v>117284.59035560901</v>
      </c>
      <c r="Q48" s="6">
        <v>1787205.46</v>
      </c>
      <c r="R48" s="6">
        <v>0.71218868681436098</v>
      </c>
      <c r="S48" s="5">
        <v>10.8344146926684</v>
      </c>
      <c r="T48" s="5">
        <v>27559.19</v>
      </c>
      <c r="U48" s="5">
        <v>1.7571796772539945</v>
      </c>
      <c r="V48" s="6">
        <v>26.2352187486165</v>
      </c>
      <c r="W48" s="6">
        <v>110555.32</v>
      </c>
      <c r="X48" s="6">
        <v>0.47806401841123458</v>
      </c>
      <c r="Y48" s="5">
        <v>52.5201320645888</v>
      </c>
      <c r="Z48" s="5">
        <v>5132.1366666666663</v>
      </c>
      <c r="AA48" s="5">
        <v>1.2436815559896266</v>
      </c>
      <c r="AB48" s="6">
        <v>4.8919148924246398</v>
      </c>
      <c r="AC48" s="6">
        <v>25064.216666666664</v>
      </c>
      <c r="AD48" s="6">
        <v>1.5274494229537467</v>
      </c>
      <c r="AE48" s="5">
        <v>109.38724549721699</v>
      </c>
      <c r="AF48" s="5">
        <v>161693.29</v>
      </c>
      <c r="AG48" s="5">
        <v>1.1907246536962368</v>
      </c>
      <c r="AH48" s="6">
        <v>115.328690436207</v>
      </c>
      <c r="AI48" s="6">
        <v>101466.39666666667</v>
      </c>
      <c r="AJ48" s="6">
        <v>0.80174248890115418</v>
      </c>
      <c r="AK48" s="5">
        <v>2.7111238602858201</v>
      </c>
      <c r="AL48" s="5">
        <v>1423.1733333333334</v>
      </c>
      <c r="AM48" s="5">
        <v>0.46126796450376939</v>
      </c>
      <c r="AN48" s="6">
        <v>1.23130601094201</v>
      </c>
      <c r="AO48" s="6">
        <v>3778.4066666666672</v>
      </c>
      <c r="AP48" s="6">
        <v>2.9090829542050671</v>
      </c>
      <c r="AQ48" s="5">
        <v>195596.47666666665</v>
      </c>
      <c r="AR48" s="5">
        <v>1.9315407412102965</v>
      </c>
      <c r="AS48" s="6">
        <v>115754.67333333334</v>
      </c>
      <c r="AT48" s="6">
        <v>1.0651586159658186</v>
      </c>
      <c r="AU48" s="5">
        <v>336026.89</v>
      </c>
      <c r="AV48" s="5">
        <v>6.5334015803628134</v>
      </c>
      <c r="AW48" s="6">
        <v>2410526.5766666667</v>
      </c>
      <c r="AX48" s="6">
        <v>0.63452567304379481</v>
      </c>
    </row>
    <row r="49" spans="1:50" ht="18.75" customHeight="1">
      <c r="A49" s="2" t="s">
        <v>212</v>
      </c>
      <c r="B49" s="2" t="b">
        <v>0</v>
      </c>
      <c r="C49" s="2" t="s">
        <v>49</v>
      </c>
      <c r="D49" s="2" t="s">
        <v>108</v>
      </c>
      <c r="E49" s="3">
        <v>41429.655127314814</v>
      </c>
      <c r="F49" s="4" t="s">
        <v>250</v>
      </c>
      <c r="G49" s="5" t="s">
        <v>0</v>
      </c>
      <c r="H49" s="5">
        <v>5.8571428571428568</v>
      </c>
      <c r="I49" s="2" t="s">
        <v>152</v>
      </c>
      <c r="J49" s="6">
        <v>2271.1837934852301</v>
      </c>
      <c r="K49" s="6">
        <v>820668.35333333339</v>
      </c>
      <c r="L49" s="6">
        <v>0.85091299227304018</v>
      </c>
      <c r="M49" s="5">
        <v>1214.2220999502199</v>
      </c>
      <c r="N49" s="5">
        <v>404335.78</v>
      </c>
      <c r="O49" s="5">
        <v>1.063061886544914</v>
      </c>
      <c r="P49" s="6">
        <v>114462.907243045</v>
      </c>
      <c r="Q49" s="6">
        <v>1643860.1133333333</v>
      </c>
      <c r="R49" s="6">
        <v>1.2512267225933464</v>
      </c>
      <c r="S49" s="5">
        <v>11.518282092726499</v>
      </c>
      <c r="T49" s="5">
        <v>27613.616666666669</v>
      </c>
      <c r="U49" s="5">
        <v>0.84989351897109366</v>
      </c>
      <c r="V49" s="6">
        <v>24.243502179370498</v>
      </c>
      <c r="W49" s="6">
        <v>97593.793333333335</v>
      </c>
      <c r="X49" s="6">
        <v>0.59569052110897891</v>
      </c>
      <c r="Y49" s="5">
        <v>58.023530442141301</v>
      </c>
      <c r="Z49" s="5">
        <v>5332.5133333333333</v>
      </c>
      <c r="AA49" s="5">
        <v>20.410442123910244</v>
      </c>
      <c r="AB49" s="6">
        <v>2.1351638963084998</v>
      </c>
      <c r="AC49" s="6">
        <v>10692.756666666666</v>
      </c>
      <c r="AD49" s="6">
        <v>0.46929995619157583</v>
      </c>
      <c r="AE49" s="5">
        <v>110.131336419183</v>
      </c>
      <c r="AF49" s="5">
        <v>153454.39333333334</v>
      </c>
      <c r="AG49" s="5">
        <v>0.15410253402042301</v>
      </c>
      <c r="AH49" s="6">
        <v>117.642049945995</v>
      </c>
      <c r="AI49" s="6">
        <v>97557.440000000002</v>
      </c>
      <c r="AJ49" s="6">
        <v>0.66960115515802521</v>
      </c>
      <c r="AK49" s="5">
        <v>2.1384925456556001</v>
      </c>
      <c r="AL49" s="5">
        <v>1301.7433333333331</v>
      </c>
      <c r="AM49" s="5">
        <v>1.4917846973289834</v>
      </c>
      <c r="AN49" s="6">
        <v>2.64847114315794</v>
      </c>
      <c r="AO49" s="6">
        <v>6935.13</v>
      </c>
      <c r="AP49" s="6">
        <v>3.2171250435906478</v>
      </c>
      <c r="AQ49" s="5">
        <v>195773.11</v>
      </c>
      <c r="AR49" s="5">
        <v>1.1137966853888741</v>
      </c>
      <c r="AS49" s="6">
        <v>115751.54333333333</v>
      </c>
      <c r="AT49" s="6">
        <v>0.65506129833748272</v>
      </c>
      <c r="AU49" s="5">
        <v>354766.62666666665</v>
      </c>
      <c r="AV49" s="5">
        <v>0.65381299674320803</v>
      </c>
      <c r="AW49" s="6">
        <v>2407103.7166666668</v>
      </c>
      <c r="AX49" s="6">
        <v>0.82450956445828827</v>
      </c>
    </row>
    <row r="50" spans="1:50" ht="18.75" customHeight="1">
      <c r="A50" s="2" t="s">
        <v>230</v>
      </c>
      <c r="B50" s="2" t="b">
        <v>0</v>
      </c>
      <c r="C50" s="2" t="s">
        <v>50</v>
      </c>
      <c r="D50" s="2" t="s">
        <v>109</v>
      </c>
      <c r="E50" s="3">
        <v>41429.658194444448</v>
      </c>
      <c r="F50" s="4" t="s">
        <v>250</v>
      </c>
      <c r="G50" s="5" t="s">
        <v>0</v>
      </c>
      <c r="H50" s="5">
        <v>1.9285714285714284</v>
      </c>
      <c r="I50" s="2" t="s">
        <v>153</v>
      </c>
      <c r="J50" s="6">
        <v>2038.02831802531</v>
      </c>
      <c r="K50" s="6">
        <v>2221307.9700000002</v>
      </c>
      <c r="L50" s="6">
        <v>1.383818135531554</v>
      </c>
      <c r="M50" s="5">
        <v>1235.01496380509</v>
      </c>
      <c r="N50" s="5">
        <v>1110880.4533333331</v>
      </c>
      <c r="O50" s="5">
        <v>4.2319356418766318</v>
      </c>
      <c r="P50" s="6">
        <v>105650.407715115</v>
      </c>
      <c r="Q50" s="6">
        <v>4581606.9466666663</v>
      </c>
      <c r="R50" s="6">
        <v>0.60071618330577503</v>
      </c>
      <c r="S50" s="5">
        <v>12.4001270676308</v>
      </c>
      <c r="T50" s="5">
        <v>89447.443333333344</v>
      </c>
      <c r="U50" s="5">
        <v>0.59102209225851632</v>
      </c>
      <c r="V50" s="6">
        <v>272.78411035001801</v>
      </c>
      <c r="W50" s="6">
        <v>2980436.7633333332</v>
      </c>
      <c r="X50" s="6">
        <v>0.52070233115141717</v>
      </c>
      <c r="Y50" s="5">
        <v>296.29634482403497</v>
      </c>
      <c r="Z50" s="5">
        <v>78091.53</v>
      </c>
      <c r="AA50" s="5">
        <v>1.2196721448844312</v>
      </c>
      <c r="AB50" s="6">
        <v>3.6640720268765699</v>
      </c>
      <c r="AC50" s="6">
        <v>52684.516666666663</v>
      </c>
      <c r="AD50" s="6">
        <v>1.1403021642777615</v>
      </c>
      <c r="AE50" s="5">
        <v>127.064483607734</v>
      </c>
      <c r="AF50" s="5">
        <v>532804.89666666673</v>
      </c>
      <c r="AG50" s="5">
        <v>0.87683158641849546</v>
      </c>
      <c r="AH50" s="6">
        <v>135.29585981366299</v>
      </c>
      <c r="AI50" s="6">
        <v>337728.98666666663</v>
      </c>
      <c r="AJ50" s="6">
        <v>0.42827577768278813</v>
      </c>
      <c r="AK50" s="5">
        <v>1.0809107154687401</v>
      </c>
      <c r="AL50" s="5">
        <v>1666.7966666666664</v>
      </c>
      <c r="AM50" s="5">
        <v>1.1105836045667707</v>
      </c>
      <c r="AN50" s="6">
        <v>4.3668490510439497</v>
      </c>
      <c r="AO50" s="6">
        <v>31718.326666666664</v>
      </c>
      <c r="AP50" s="6">
        <v>1.4156629469952329</v>
      </c>
      <c r="AQ50" s="5">
        <v>203982.89333333334</v>
      </c>
      <c r="AR50" s="5">
        <v>0.18837622980699598</v>
      </c>
      <c r="AS50" s="6">
        <v>115096.54333333333</v>
      </c>
      <c r="AT50" s="6">
        <v>0.82214293360881141</v>
      </c>
      <c r="AU50" s="5">
        <v>365401.03333333338</v>
      </c>
      <c r="AV50" s="5">
        <v>3.7793221193582283</v>
      </c>
      <c r="AW50" s="6">
        <v>2347124.0066666668</v>
      </c>
      <c r="AX50" s="6">
        <v>0.302397479425764</v>
      </c>
    </row>
    <row r="51" spans="1:50" ht="18.75" customHeight="1">
      <c r="A51" s="2" t="s">
        <v>241</v>
      </c>
      <c r="B51" s="2" t="b">
        <v>0</v>
      </c>
      <c r="C51" s="2" t="s">
        <v>51</v>
      </c>
      <c r="D51" s="2" t="s">
        <v>1</v>
      </c>
      <c r="E51" s="3">
        <v>41429.661226851851</v>
      </c>
      <c r="F51" s="4" t="s">
        <v>204</v>
      </c>
      <c r="G51" s="5" t="s">
        <v>0</v>
      </c>
      <c r="H51" s="5">
        <v>1</v>
      </c>
      <c r="I51" s="2" t="s">
        <v>118</v>
      </c>
      <c r="J51" s="6" t="s">
        <v>195</v>
      </c>
      <c r="K51" s="6">
        <v>1706.9</v>
      </c>
      <c r="L51" s="6">
        <v>11.302615530965131</v>
      </c>
      <c r="M51" s="5" t="s">
        <v>200</v>
      </c>
      <c r="N51" s="5">
        <v>69118.42333333334</v>
      </c>
      <c r="O51" s="5">
        <v>1.1160372043568965</v>
      </c>
      <c r="P51" s="6">
        <v>5.4972326854905296</v>
      </c>
      <c r="Q51" s="6">
        <v>596.70666666666659</v>
      </c>
      <c r="R51" s="6">
        <v>4.9652646125961795</v>
      </c>
      <c r="S51" s="5">
        <v>3.0985901020371302E-2</v>
      </c>
      <c r="T51" s="5">
        <v>581.14666666666665</v>
      </c>
      <c r="U51" s="5">
        <v>2.5863671694679695</v>
      </c>
      <c r="V51" s="6" t="s">
        <v>193</v>
      </c>
      <c r="W51" s="6">
        <v>15692.953333333333</v>
      </c>
      <c r="X51" s="6">
        <v>30.231580863410525</v>
      </c>
      <c r="Y51" s="5" t="s">
        <v>194</v>
      </c>
      <c r="Z51" s="5">
        <v>271.13333333333333</v>
      </c>
      <c r="AA51" s="5">
        <v>14.670940797731735</v>
      </c>
      <c r="AB51" s="6">
        <v>4.0327893707557599E-2</v>
      </c>
      <c r="AC51" s="6">
        <v>1779.0633333333335</v>
      </c>
      <c r="AD51" s="6">
        <v>3.8420128275697776</v>
      </c>
      <c r="AE51" s="5" t="s">
        <v>187</v>
      </c>
      <c r="AF51" s="5">
        <v>898.95666666666659</v>
      </c>
      <c r="AG51" s="5">
        <v>9.3914750254365238</v>
      </c>
      <c r="AH51" s="6" t="s">
        <v>190</v>
      </c>
      <c r="AI51" s="6">
        <v>534.48</v>
      </c>
      <c r="AJ51" s="6">
        <v>14.882376619994911</v>
      </c>
      <c r="AK51" s="5" t="s">
        <v>189</v>
      </c>
      <c r="AL51" s="5">
        <v>792.2833333333333</v>
      </c>
      <c r="AM51" s="5">
        <v>0.59967691028561043</v>
      </c>
      <c r="AN51" s="6" t="s">
        <v>185</v>
      </c>
      <c r="AO51" s="6">
        <v>1479.0266666666666</v>
      </c>
      <c r="AP51" s="6">
        <v>6.8167317018327385</v>
      </c>
      <c r="AQ51" s="5">
        <v>195632.92666666667</v>
      </c>
      <c r="AR51" s="5">
        <v>0.84271321093756768</v>
      </c>
      <c r="AS51" s="6">
        <v>116865.56</v>
      </c>
      <c r="AT51" s="6">
        <v>0.66980599927634754</v>
      </c>
      <c r="AU51" s="5">
        <v>352831.9366666667</v>
      </c>
      <c r="AV51" s="5">
        <v>0.93221413192419078</v>
      </c>
      <c r="AW51" s="6">
        <v>2444729.8066666666</v>
      </c>
      <c r="AX51" s="6">
        <v>0.90794836351185837</v>
      </c>
    </row>
    <row r="52" spans="1:50" ht="18.75" customHeight="1">
      <c r="A52" s="2" t="s">
        <v>223</v>
      </c>
      <c r="B52" s="2" t="b">
        <v>0</v>
      </c>
      <c r="C52" s="2" t="s">
        <v>52</v>
      </c>
      <c r="D52" s="2" t="s">
        <v>110</v>
      </c>
      <c r="E52" s="3">
        <v>41429.664282407408</v>
      </c>
      <c r="F52" s="4" t="s">
        <v>250</v>
      </c>
      <c r="G52" s="5" t="s">
        <v>0</v>
      </c>
      <c r="H52" s="5">
        <v>3.375</v>
      </c>
      <c r="I52" s="2" t="s">
        <v>154</v>
      </c>
      <c r="J52" s="6">
        <v>2572.73170666139</v>
      </c>
      <c r="K52" s="6">
        <v>1587668.7233333334</v>
      </c>
      <c r="L52" s="6">
        <v>1.2302719824452042</v>
      </c>
      <c r="M52" s="5">
        <v>2181.0853489004498</v>
      </c>
      <c r="N52" s="5">
        <v>1109792.3966666667</v>
      </c>
      <c r="O52" s="5">
        <v>4.3561124076501949</v>
      </c>
      <c r="P52" s="6">
        <v>122541.423754098</v>
      </c>
      <c r="Q52" s="6">
        <v>3008136.83</v>
      </c>
      <c r="R52" s="6">
        <v>0.87803384408469665</v>
      </c>
      <c r="S52" s="5">
        <v>17.253903459246398</v>
      </c>
      <c r="T52" s="5">
        <v>70480.69</v>
      </c>
      <c r="U52" s="5">
        <v>0.77330383997041063</v>
      </c>
      <c r="V52" s="6">
        <v>19.3142731771852</v>
      </c>
      <c r="W52" s="6">
        <v>129074.07</v>
      </c>
      <c r="X52" s="6">
        <v>1.5574465496238972</v>
      </c>
      <c r="Y52" s="5">
        <v>49.261941999922797</v>
      </c>
      <c r="Z52" s="5">
        <v>7605.4199999999992</v>
      </c>
      <c r="AA52" s="5">
        <v>1.5588744647354436</v>
      </c>
      <c r="AB52" s="6">
        <v>1.4066325492927501</v>
      </c>
      <c r="AC52" s="6">
        <v>11950.393333333333</v>
      </c>
      <c r="AD52" s="6">
        <v>2.1110895038459496</v>
      </c>
      <c r="AE52" s="5">
        <v>121.012266543134</v>
      </c>
      <c r="AF52" s="5">
        <v>287571.25666666665</v>
      </c>
      <c r="AG52" s="5">
        <v>0.67104045163707449</v>
      </c>
      <c r="AH52" s="6">
        <v>128.60448959962801</v>
      </c>
      <c r="AI52" s="6">
        <v>181914.54</v>
      </c>
      <c r="AJ52" s="6">
        <v>1.1270106278830356</v>
      </c>
      <c r="AK52" s="5">
        <v>2.0152227896874901</v>
      </c>
      <c r="AL52" s="5">
        <v>1667.33</v>
      </c>
      <c r="AM52" s="5">
        <v>1.2275184183345758</v>
      </c>
      <c r="AN52" s="6" t="s">
        <v>185</v>
      </c>
      <c r="AO52" s="6">
        <v>848.95666666666659</v>
      </c>
      <c r="AP52" s="6">
        <v>5.331301564030702</v>
      </c>
      <c r="AQ52" s="5">
        <v>185305.80333333332</v>
      </c>
      <c r="AR52" s="5">
        <v>9.192911633390119E-2</v>
      </c>
      <c r="AS52" s="6">
        <v>114015.99</v>
      </c>
      <c r="AT52" s="6">
        <v>0.56553483892704204</v>
      </c>
      <c r="AU52" s="5">
        <v>352128.59666666668</v>
      </c>
      <c r="AV52" s="5">
        <v>1.7335485775486326</v>
      </c>
      <c r="AW52" s="6">
        <v>2350769.2533333334</v>
      </c>
      <c r="AX52" s="6">
        <v>1.3904713568878688</v>
      </c>
    </row>
    <row r="53" spans="1:50" ht="18.75" customHeight="1">
      <c r="A53" s="2" t="s">
        <v>229</v>
      </c>
      <c r="B53" s="2" t="b">
        <v>0</v>
      </c>
      <c r="C53" s="2" t="s">
        <v>53</v>
      </c>
      <c r="D53" s="2" t="s">
        <v>111</v>
      </c>
      <c r="E53" s="3">
        <v>41429.667337962965</v>
      </c>
      <c r="F53" s="4" t="s">
        <v>250</v>
      </c>
      <c r="G53" s="5" t="s">
        <v>0</v>
      </c>
      <c r="H53" s="5">
        <v>1.9714285714285711</v>
      </c>
      <c r="I53" s="2" t="s">
        <v>155</v>
      </c>
      <c r="J53" s="6">
        <v>2011.4950748665301</v>
      </c>
      <c r="K53" s="6">
        <v>2140656.36</v>
      </c>
      <c r="L53" s="6">
        <v>1.4498391836007412</v>
      </c>
      <c r="M53" s="5">
        <v>347.81253378632999</v>
      </c>
      <c r="N53" s="5">
        <v>350822.38999999996</v>
      </c>
      <c r="O53" s="5">
        <v>0.622965884950888</v>
      </c>
      <c r="P53" s="6">
        <v>99766.627415444105</v>
      </c>
      <c r="Q53" s="6">
        <v>4224255.1433333335</v>
      </c>
      <c r="R53" s="6">
        <v>1.2346893878375529</v>
      </c>
      <c r="S53" s="5">
        <v>14.327603064893699</v>
      </c>
      <c r="T53" s="5">
        <v>100886.04666666668</v>
      </c>
      <c r="U53" s="5">
        <v>0.6750431367387868</v>
      </c>
      <c r="V53" s="6">
        <v>13.6998349753366</v>
      </c>
      <c r="W53" s="6">
        <v>155730.38</v>
      </c>
      <c r="X53" s="6">
        <v>0.80683069314011968</v>
      </c>
      <c r="Y53" s="5">
        <v>39.184239632882303</v>
      </c>
      <c r="Z53" s="5">
        <v>10328.099999999999</v>
      </c>
      <c r="AA53" s="5">
        <v>3.3078438060250037</v>
      </c>
      <c r="AB53" s="6">
        <v>1.8681845269690101</v>
      </c>
      <c r="AC53" s="6">
        <v>26547.676666666666</v>
      </c>
      <c r="AD53" s="6">
        <v>0.56350904880845643</v>
      </c>
      <c r="AE53" s="5">
        <v>75.200120893381794</v>
      </c>
      <c r="AF53" s="5">
        <v>308163.65999999997</v>
      </c>
      <c r="AG53" s="5">
        <v>0.31115972716743812</v>
      </c>
      <c r="AH53" s="6">
        <v>80.422477086848502</v>
      </c>
      <c r="AI53" s="6">
        <v>196183.27333333332</v>
      </c>
      <c r="AJ53" s="6">
        <v>0.54775891972985269</v>
      </c>
      <c r="AK53" s="5">
        <v>1.31500500606111</v>
      </c>
      <c r="AL53" s="5">
        <v>1778.8733333333332</v>
      </c>
      <c r="AM53" s="5">
        <v>0.63324181736468632</v>
      </c>
      <c r="AN53" s="6" t="s">
        <v>185</v>
      </c>
      <c r="AO53" s="6">
        <v>1066.7533333333333</v>
      </c>
      <c r="AP53" s="6">
        <v>5.4219974107907216</v>
      </c>
      <c r="AQ53" s="5">
        <v>196779.26</v>
      </c>
      <c r="AR53" s="5">
        <v>2.2848081116564716</v>
      </c>
      <c r="AS53" s="6">
        <v>114880.56666666667</v>
      </c>
      <c r="AT53" s="6">
        <v>1.6488444462852501</v>
      </c>
      <c r="AU53" s="5">
        <v>351795.75333333336</v>
      </c>
      <c r="AV53" s="5">
        <v>0.54320163768805563</v>
      </c>
      <c r="AW53" s="6">
        <v>2323520.9899999998</v>
      </c>
      <c r="AX53" s="6">
        <v>2.5380070897060776</v>
      </c>
    </row>
    <row r="54" spans="1:50" ht="18.75" customHeight="1">
      <c r="A54" s="2" t="s">
        <v>232</v>
      </c>
      <c r="B54" s="2" t="b">
        <v>0</v>
      </c>
      <c r="C54" s="2" t="s">
        <v>54</v>
      </c>
      <c r="D54" s="2" t="s">
        <v>112</v>
      </c>
      <c r="E54" s="3">
        <v>41429.670428240737</v>
      </c>
      <c r="F54" s="4" t="s">
        <v>250</v>
      </c>
      <c r="G54" s="5" t="s">
        <v>0</v>
      </c>
      <c r="H54" s="5">
        <v>1.6196078431372549</v>
      </c>
      <c r="I54" s="2" t="s">
        <v>156</v>
      </c>
      <c r="J54" s="6">
        <v>2669.01047364438</v>
      </c>
      <c r="K54" s="6">
        <v>3200755.9933333336</v>
      </c>
      <c r="L54" s="6">
        <v>1.7529208790574635</v>
      </c>
      <c r="M54" s="5">
        <v>700.81824954503895</v>
      </c>
      <c r="N54" s="5">
        <v>712925.44</v>
      </c>
      <c r="O54" s="5">
        <v>1.0976277097531351</v>
      </c>
      <c r="P54" s="6">
        <v>126720.52685126899</v>
      </c>
      <c r="Q54" s="6">
        <v>6047684.6333333328</v>
      </c>
      <c r="R54" s="6">
        <v>1.1240013016319954</v>
      </c>
      <c r="S54" s="5">
        <v>7.8868552652612198</v>
      </c>
      <c r="T54" s="5">
        <v>62671.026666666672</v>
      </c>
      <c r="U54" s="5">
        <v>0.42045961900359613</v>
      </c>
      <c r="V54" s="6">
        <v>73.9432111504548</v>
      </c>
      <c r="W54" s="6">
        <v>895630.39333333343</v>
      </c>
      <c r="X54" s="6">
        <v>1.4146216493726045</v>
      </c>
      <c r="Y54" s="5">
        <v>107.921571315096</v>
      </c>
      <c r="Z54" s="5">
        <v>31460.793333333335</v>
      </c>
      <c r="AA54" s="5">
        <v>1.1064834414287101</v>
      </c>
      <c r="AB54" s="6">
        <v>0.78593500402366701</v>
      </c>
      <c r="AC54" s="6">
        <v>12889.956666666665</v>
      </c>
      <c r="AD54" s="6">
        <v>0.74310506488476946</v>
      </c>
      <c r="AE54" s="5">
        <v>64.849392684165593</v>
      </c>
      <c r="AF54" s="5">
        <v>299597.66333333333</v>
      </c>
      <c r="AG54" s="5">
        <v>0.53083688047955213</v>
      </c>
      <c r="AH54" s="6">
        <v>68.9981864576839</v>
      </c>
      <c r="AI54" s="6">
        <v>189806.41</v>
      </c>
      <c r="AJ54" s="6">
        <v>1.4731059421833197</v>
      </c>
      <c r="AK54" s="5">
        <v>1.15696413688175</v>
      </c>
      <c r="AL54" s="5">
        <v>1873.3066666666666</v>
      </c>
      <c r="AM54" s="5">
        <v>0.15929032095802539</v>
      </c>
      <c r="AN54" s="6" t="s">
        <v>185</v>
      </c>
      <c r="AO54" s="6">
        <v>1045.6400000000001</v>
      </c>
      <c r="AP54" s="6">
        <v>6.8843968262097324</v>
      </c>
      <c r="AQ54" s="5">
        <v>184703.78</v>
      </c>
      <c r="AR54" s="5">
        <v>11.525304404072516</v>
      </c>
      <c r="AS54" s="6">
        <v>107203.05</v>
      </c>
      <c r="AT54" s="6">
        <v>10.29120434341473</v>
      </c>
      <c r="AU54" s="5">
        <v>355181.8666666667</v>
      </c>
      <c r="AV54" s="5">
        <v>0.25860284244883858</v>
      </c>
      <c r="AW54" s="6">
        <v>2150789.0299999998</v>
      </c>
      <c r="AX54" s="6">
        <v>14.260106796315885</v>
      </c>
    </row>
    <row r="55" spans="1:50" ht="18.75" customHeight="1">
      <c r="A55" s="2"/>
      <c r="B55" s="2" t="b">
        <v>0</v>
      </c>
      <c r="C55" s="2" t="s">
        <v>55</v>
      </c>
      <c r="D55" s="2" t="s">
        <v>1</v>
      </c>
      <c r="E55" s="3">
        <v>41429.673483796294</v>
      </c>
      <c r="F55" s="4" t="s">
        <v>204</v>
      </c>
      <c r="G55" s="5" t="s">
        <v>0</v>
      </c>
      <c r="H55" s="5">
        <v>1</v>
      </c>
      <c r="I55" s="2" t="s">
        <v>118</v>
      </c>
      <c r="J55" s="6" t="s">
        <v>195</v>
      </c>
      <c r="K55" s="6">
        <v>1775.823333333333</v>
      </c>
      <c r="L55" s="6">
        <v>2.0677768109441956</v>
      </c>
      <c r="M55" s="5" t="s">
        <v>200</v>
      </c>
      <c r="N55" s="5">
        <v>68548.883333333331</v>
      </c>
      <c r="O55" s="5">
        <v>2.0143802430447244</v>
      </c>
      <c r="P55" s="6">
        <v>2.9975727426277401</v>
      </c>
      <c r="Q55" s="6">
        <v>385.58333333333331</v>
      </c>
      <c r="R55" s="6">
        <v>21.533145320931588</v>
      </c>
      <c r="S55" s="5" t="s">
        <v>181</v>
      </c>
      <c r="T55" s="5">
        <v>535.59</v>
      </c>
      <c r="U55" s="5">
        <v>12.075992243750559</v>
      </c>
      <c r="V55" s="6" t="s">
        <v>193</v>
      </c>
      <c r="W55" s="6">
        <v>13369.336666666664</v>
      </c>
      <c r="X55" s="6">
        <v>3.2771609309161271</v>
      </c>
      <c r="Y55" s="5" t="s">
        <v>194</v>
      </c>
      <c r="Z55" s="5">
        <v>327.79666666666668</v>
      </c>
      <c r="AA55" s="5">
        <v>11.248329590182927</v>
      </c>
      <c r="AB55" s="6">
        <v>4.0987678692240397E-2</v>
      </c>
      <c r="AC55" s="6">
        <v>1804.6266666666668</v>
      </c>
      <c r="AD55" s="6">
        <v>2.0351254946601354</v>
      </c>
      <c r="AE55" s="5" t="s">
        <v>187</v>
      </c>
      <c r="AF55" s="5">
        <v>842.28666666666675</v>
      </c>
      <c r="AG55" s="5">
        <v>6.3980443071033424</v>
      </c>
      <c r="AH55" s="6" t="s">
        <v>190</v>
      </c>
      <c r="AI55" s="6">
        <v>590.04</v>
      </c>
      <c r="AJ55" s="6">
        <v>9.3352069583274169</v>
      </c>
      <c r="AK55" s="5" t="s">
        <v>189</v>
      </c>
      <c r="AL55" s="5">
        <v>816.4666666666667</v>
      </c>
      <c r="AM55" s="5">
        <v>1.1555917742215114</v>
      </c>
      <c r="AN55" s="6" t="s">
        <v>185</v>
      </c>
      <c r="AO55" s="6">
        <v>1206.7666666666667</v>
      </c>
      <c r="AP55" s="6">
        <v>1.5375817868779633</v>
      </c>
      <c r="AQ55" s="5">
        <v>194433.72</v>
      </c>
      <c r="AR55" s="5">
        <v>0.64374283835036661</v>
      </c>
      <c r="AS55" s="6">
        <v>117304.64666666668</v>
      </c>
      <c r="AT55" s="6">
        <v>0.60381007104744344</v>
      </c>
      <c r="AU55" s="5">
        <v>355935.91666666669</v>
      </c>
      <c r="AV55" s="5">
        <v>0.73005233233664535</v>
      </c>
      <c r="AW55" s="6">
        <v>2436040.64</v>
      </c>
      <c r="AX55" s="6">
        <v>1.2529122365978203</v>
      </c>
    </row>
    <row r="56" spans="1:50" ht="18.75" customHeight="1">
      <c r="A56" s="2" t="s">
        <v>244</v>
      </c>
      <c r="B56" s="2" t="b">
        <v>0</v>
      </c>
      <c r="C56" s="2" t="s">
        <v>56</v>
      </c>
      <c r="D56" s="2" t="s">
        <v>236</v>
      </c>
      <c r="E56" s="3">
        <v>41429.676539351851</v>
      </c>
      <c r="F56" s="4" t="s">
        <v>248</v>
      </c>
      <c r="G56" s="5" t="s">
        <v>0</v>
      </c>
      <c r="H56" s="5">
        <v>1</v>
      </c>
      <c r="I56" s="2" t="s">
        <v>130</v>
      </c>
      <c r="J56" s="6">
        <v>9.9868559982097391</v>
      </c>
      <c r="K56" s="6">
        <v>21871.503333333338</v>
      </c>
      <c r="L56" s="6">
        <v>2.3682594058728212</v>
      </c>
      <c r="M56" s="5" t="s">
        <v>200</v>
      </c>
      <c r="N56" s="5">
        <v>80281.786666666667</v>
      </c>
      <c r="O56" s="5">
        <v>0.33747248695884519</v>
      </c>
      <c r="P56" s="6">
        <v>13.7634306952584</v>
      </c>
      <c r="Q56" s="6">
        <v>1243.4333333333332</v>
      </c>
      <c r="R56" s="6">
        <v>3.5468556044151112</v>
      </c>
      <c r="S56" s="5">
        <v>9.77162666903358</v>
      </c>
      <c r="T56" s="5">
        <v>132061.48000000001</v>
      </c>
      <c r="U56" s="5">
        <v>0.21771699044593829</v>
      </c>
      <c r="V56" s="6">
        <v>9.8242323465646706</v>
      </c>
      <c r="W56" s="6">
        <v>210405.00333333333</v>
      </c>
      <c r="X56" s="6">
        <v>1.3230153403840759</v>
      </c>
      <c r="Y56" s="5">
        <v>9.9434277598309606</v>
      </c>
      <c r="Z56" s="5">
        <v>5173.2666666666664</v>
      </c>
      <c r="AA56" s="5">
        <v>4.0554895657536276</v>
      </c>
      <c r="AB56" s="6">
        <v>10.179639745707201</v>
      </c>
      <c r="AC56" s="6">
        <v>271643.67666666664</v>
      </c>
      <c r="AD56" s="6">
        <v>0.57633502784984392</v>
      </c>
      <c r="AE56" s="5">
        <v>10.0149526969291</v>
      </c>
      <c r="AF56" s="5">
        <v>79335.606666666674</v>
      </c>
      <c r="AG56" s="5">
        <v>0.77987687063859834</v>
      </c>
      <c r="AH56" s="6">
        <v>9.7728884461550596</v>
      </c>
      <c r="AI56" s="6">
        <v>46110.946666666663</v>
      </c>
      <c r="AJ56" s="6">
        <v>2.0418753245995558</v>
      </c>
      <c r="AK56" s="5">
        <v>9.8914987971873796</v>
      </c>
      <c r="AL56" s="5">
        <v>16583.263333333332</v>
      </c>
      <c r="AM56" s="5">
        <v>0.286643868400424</v>
      </c>
      <c r="AN56" s="6">
        <v>9.1922206067479397</v>
      </c>
      <c r="AO56" s="6">
        <v>123094.85</v>
      </c>
      <c r="AP56" s="6">
        <v>0.7676421035276203</v>
      </c>
      <c r="AQ56" s="5">
        <v>193793.04333333333</v>
      </c>
      <c r="AR56" s="5">
        <v>1.1168761950512605</v>
      </c>
      <c r="AS56" s="6">
        <v>111943.01666666666</v>
      </c>
      <c r="AT56" s="6">
        <v>3.109445495363039</v>
      </c>
      <c r="AU56" s="5">
        <v>349503.08333333331</v>
      </c>
      <c r="AV56" s="5">
        <v>1.1631048743611159</v>
      </c>
      <c r="AW56" s="6">
        <v>2444822.69</v>
      </c>
      <c r="AX56" s="6">
        <v>0.65787329834239339</v>
      </c>
    </row>
    <row r="57" spans="1:50" ht="18.75" customHeight="1">
      <c r="A57" s="2" t="s">
        <v>256</v>
      </c>
      <c r="B57" s="2" t="b">
        <v>0</v>
      </c>
      <c r="C57" s="2" t="s">
        <v>57</v>
      </c>
      <c r="D57" s="2" t="s">
        <v>1</v>
      </c>
      <c r="E57" s="3">
        <v>41429.679583333331</v>
      </c>
      <c r="F57" s="4" t="s">
        <v>204</v>
      </c>
      <c r="G57" s="5" t="s">
        <v>0</v>
      </c>
      <c r="H57" s="5">
        <v>1</v>
      </c>
      <c r="I57" s="2" t="s">
        <v>119</v>
      </c>
      <c r="J57" s="6" t="s">
        <v>195</v>
      </c>
      <c r="K57" s="6">
        <v>197.79666666666665</v>
      </c>
      <c r="L57" s="6">
        <v>43.341694021748225</v>
      </c>
      <c r="M57" s="5" t="s">
        <v>200</v>
      </c>
      <c r="N57" s="5">
        <v>36016.976666666662</v>
      </c>
      <c r="O57" s="5">
        <v>3.5733810705880562</v>
      </c>
      <c r="P57" s="6" t="s">
        <v>197</v>
      </c>
      <c r="Q57" s="6">
        <v>104.45</v>
      </c>
      <c r="R57" s="6">
        <v>56.22573281467772</v>
      </c>
      <c r="S57" s="5" t="s">
        <v>181</v>
      </c>
      <c r="T57" s="5">
        <v>78.896666666666661</v>
      </c>
      <c r="U57" s="5">
        <v>36.428321339571717</v>
      </c>
      <c r="V57" s="6" t="s">
        <v>193</v>
      </c>
      <c r="W57" s="6">
        <v>2799.3133333333335</v>
      </c>
      <c r="X57" s="6">
        <v>4.467471024037847</v>
      </c>
      <c r="Y57" s="5" t="s">
        <v>194</v>
      </c>
      <c r="Z57" s="5">
        <v>70.00333333333333</v>
      </c>
      <c r="AA57" s="5">
        <v>33.328004919050144</v>
      </c>
      <c r="AB57" s="6" t="s">
        <v>180</v>
      </c>
      <c r="AC57" s="6">
        <v>533.36666666666667</v>
      </c>
      <c r="AD57" s="6">
        <v>9.9216560301216514</v>
      </c>
      <c r="AE57" s="5" t="s">
        <v>187</v>
      </c>
      <c r="AF57" s="5">
        <v>657.82666666666671</v>
      </c>
      <c r="AG57" s="5">
        <v>11.392085204031712</v>
      </c>
      <c r="AH57" s="6" t="s">
        <v>190</v>
      </c>
      <c r="AI57" s="6">
        <v>461.14000000000004</v>
      </c>
      <c r="AJ57" s="6">
        <v>9.1536621343892008</v>
      </c>
      <c r="AK57" s="5" t="s">
        <v>189</v>
      </c>
      <c r="AL57" s="5">
        <v>799.53000000000009</v>
      </c>
      <c r="AM57" s="5">
        <v>1.9732504970602947</v>
      </c>
      <c r="AN57" s="6" t="s">
        <v>185</v>
      </c>
      <c r="AO57" s="6">
        <v>1294.5733333333333</v>
      </c>
      <c r="AP57" s="6">
        <v>14.324635747690287</v>
      </c>
      <c r="AQ57" s="5">
        <v>377200.60333333333</v>
      </c>
      <c r="AR57" s="5">
        <v>23.276726663670917</v>
      </c>
      <c r="AS57" s="6">
        <v>279301.03666666668</v>
      </c>
      <c r="AT57" s="6">
        <v>15.770205974787309</v>
      </c>
      <c r="AU57" s="5">
        <v>1190754.4266666665</v>
      </c>
      <c r="AV57" s="5">
        <v>13.617093020210277</v>
      </c>
      <c r="AW57" s="6">
        <v>4984042.1133333333</v>
      </c>
      <c r="AX57" s="6">
        <v>24.775171275785997</v>
      </c>
    </row>
    <row r="58" spans="1:50" ht="18.75" customHeight="1">
      <c r="A58" s="2" t="s">
        <v>228</v>
      </c>
      <c r="B58" s="2" t="b">
        <v>0</v>
      </c>
      <c r="C58" s="2" t="s">
        <v>58</v>
      </c>
      <c r="D58" s="2" t="s">
        <v>113</v>
      </c>
      <c r="E58" s="3">
        <v>41429.682604166665</v>
      </c>
      <c r="F58" s="4" t="s">
        <v>250</v>
      </c>
      <c r="G58" s="5" t="s">
        <v>0</v>
      </c>
      <c r="H58" s="5">
        <v>2.2162162162162158</v>
      </c>
      <c r="I58" s="2" t="s">
        <v>157</v>
      </c>
      <c r="J58" s="6">
        <v>2117.1410682780802</v>
      </c>
      <c r="K58" s="6">
        <v>1899289.0333333332</v>
      </c>
      <c r="L58" s="6">
        <v>1.6261956524235213</v>
      </c>
      <c r="M58" s="5">
        <v>539.00611029858396</v>
      </c>
      <c r="N58" s="5">
        <v>435789.15333333332</v>
      </c>
      <c r="O58" s="5">
        <v>0.55478171239037555</v>
      </c>
      <c r="P58" s="6">
        <v>107070.16933989299</v>
      </c>
      <c r="Q58" s="6">
        <v>3821469.9433333334</v>
      </c>
      <c r="R58" s="6">
        <v>1.1103129116674608</v>
      </c>
      <c r="S58" s="5">
        <v>16.685985834785502</v>
      </c>
      <c r="T58" s="5">
        <v>99045.440000000002</v>
      </c>
      <c r="U58" s="5">
        <v>1.7843909269802556</v>
      </c>
      <c r="V58" s="6">
        <v>15.432767794013101</v>
      </c>
      <c r="W58" s="6">
        <v>147873.44999999998</v>
      </c>
      <c r="X58" s="6">
        <v>0.79562753283116183</v>
      </c>
      <c r="Y58" s="5">
        <v>41.186143001528102</v>
      </c>
      <c r="Z58" s="5">
        <v>9171.840000000002</v>
      </c>
      <c r="AA58" s="5">
        <v>3.0198041273778888</v>
      </c>
      <c r="AB58" s="6">
        <v>1.7768098515258199</v>
      </c>
      <c r="AC58" s="6">
        <v>21383.493333333336</v>
      </c>
      <c r="AD58" s="6">
        <v>2.3368306021726015</v>
      </c>
      <c r="AE58" s="5">
        <v>72.258117125076396</v>
      </c>
      <c r="AF58" s="5">
        <v>249720.48333333331</v>
      </c>
      <c r="AG58" s="5">
        <v>1.3065725045295229</v>
      </c>
      <c r="AH58" s="6">
        <v>76.942014373300793</v>
      </c>
      <c r="AI58" s="6">
        <v>158293.21666666667</v>
      </c>
      <c r="AJ58" s="6">
        <v>1.6883554851022866</v>
      </c>
      <c r="AK58" s="5">
        <v>1.2459323758613401</v>
      </c>
      <c r="AL58" s="5">
        <v>1524.7166666666665</v>
      </c>
      <c r="AM58" s="5">
        <v>0.97863945820490617</v>
      </c>
      <c r="AN58" s="6">
        <v>0.22177408609024599</v>
      </c>
      <c r="AO58" s="6">
        <v>1960.21</v>
      </c>
      <c r="AP58" s="6">
        <v>4.789373719034014</v>
      </c>
      <c r="AQ58" s="5">
        <v>187225.25666666668</v>
      </c>
      <c r="AR58" s="5">
        <v>0.73283177027359792</v>
      </c>
      <c r="AS58" s="6">
        <v>108855.24666666666</v>
      </c>
      <c r="AT58" s="6">
        <v>1.1724133547179549</v>
      </c>
      <c r="AU58" s="5">
        <v>333316.45666666672</v>
      </c>
      <c r="AV58" s="5">
        <v>1.8805379728402249</v>
      </c>
      <c r="AW58" s="6">
        <v>2308028.1433333331</v>
      </c>
      <c r="AX58" s="6">
        <v>1.2194796517507565</v>
      </c>
    </row>
    <row r="59" spans="1:50" ht="18.75" customHeight="1">
      <c r="A59" s="2" t="s">
        <v>215</v>
      </c>
      <c r="B59" s="2" t="b">
        <v>0</v>
      </c>
      <c r="C59" s="2" t="s">
        <v>59</v>
      </c>
      <c r="D59" s="2" t="s">
        <v>114</v>
      </c>
      <c r="E59" s="3">
        <v>41429.685648148145</v>
      </c>
      <c r="F59" s="4" t="s">
        <v>250</v>
      </c>
      <c r="G59" s="5" t="s">
        <v>0</v>
      </c>
      <c r="H59" s="5">
        <v>4.3157894736842106</v>
      </c>
      <c r="I59" s="2" t="s">
        <v>158</v>
      </c>
      <c r="J59" s="6">
        <v>1706.43087016647</v>
      </c>
      <c r="K59" s="6">
        <v>827684.06666666677</v>
      </c>
      <c r="L59" s="6">
        <v>0.66643833728343682</v>
      </c>
      <c r="M59" s="5">
        <v>869.83453245236899</v>
      </c>
      <c r="N59" s="5">
        <v>390558.08666666667</v>
      </c>
      <c r="O59" s="5">
        <v>0.44953800801522104</v>
      </c>
      <c r="P59" s="6">
        <v>93893.933896800605</v>
      </c>
      <c r="Q59" s="6">
        <v>1810060.53</v>
      </c>
      <c r="R59" s="6">
        <v>0.42509042462941687</v>
      </c>
      <c r="S59" s="5">
        <v>17.592368296043301</v>
      </c>
      <c r="T59" s="5">
        <v>56462.236666666664</v>
      </c>
      <c r="U59" s="5">
        <v>0.43476648055923728</v>
      </c>
      <c r="V59" s="6">
        <v>25.737037295763098</v>
      </c>
      <c r="W59" s="6">
        <v>134648.42000000001</v>
      </c>
      <c r="X59" s="6">
        <v>0.89600076977172749</v>
      </c>
      <c r="Y59" s="5">
        <v>48.520192890530602</v>
      </c>
      <c r="Z59" s="5">
        <v>5946.873333333333</v>
      </c>
      <c r="AA59" s="5">
        <v>2.2824819912634928</v>
      </c>
      <c r="AB59" s="6">
        <v>2.7053530914630701</v>
      </c>
      <c r="AC59" s="6">
        <v>17722.346666666665</v>
      </c>
      <c r="AD59" s="6">
        <v>1.5962925929013443</v>
      </c>
      <c r="AE59" s="5">
        <v>64.899556901765294</v>
      </c>
      <c r="AF59" s="5">
        <v>121543.92333333334</v>
      </c>
      <c r="AG59" s="5">
        <v>1.5089482043099416</v>
      </c>
      <c r="AH59" s="6">
        <v>68.797862165358097</v>
      </c>
      <c r="AI59" s="6">
        <v>76679.179999999993</v>
      </c>
      <c r="AJ59" s="6">
        <v>1.2267631962867267</v>
      </c>
      <c r="AK59" s="5">
        <v>1.29515472015751</v>
      </c>
      <c r="AL59" s="5">
        <v>1178.3566666666666</v>
      </c>
      <c r="AM59" s="5">
        <v>0.63459643464193383</v>
      </c>
      <c r="AN59" s="6">
        <v>0.233037223334539</v>
      </c>
      <c r="AO59" s="6">
        <v>1433.47</v>
      </c>
      <c r="AP59" s="6">
        <v>5.658838229344445</v>
      </c>
      <c r="AQ59" s="5">
        <v>194578.56333333332</v>
      </c>
      <c r="AR59" s="5">
        <v>0.2839503545819167</v>
      </c>
      <c r="AS59" s="6">
        <v>114493.43666666666</v>
      </c>
      <c r="AT59" s="6">
        <v>0.8049184807642501</v>
      </c>
      <c r="AU59" s="5">
        <v>349624.99666666664</v>
      </c>
      <c r="AV59" s="5">
        <v>0.29646521456925146</v>
      </c>
      <c r="AW59" s="6">
        <v>2386248.9433333334</v>
      </c>
      <c r="AX59" s="6">
        <v>0.47348143064245629</v>
      </c>
    </row>
    <row r="60" spans="1:50" ht="18.75" customHeight="1">
      <c r="A60" s="2"/>
      <c r="B60" s="2" t="b">
        <v>0</v>
      </c>
      <c r="C60" s="2" t="s">
        <v>60</v>
      </c>
      <c r="D60" s="2" t="s">
        <v>1</v>
      </c>
      <c r="E60" s="3">
        <v>41429.688784722224</v>
      </c>
      <c r="F60" s="4" t="s">
        <v>204</v>
      </c>
      <c r="G60" s="5" t="s">
        <v>0</v>
      </c>
      <c r="H60" s="5">
        <v>1</v>
      </c>
      <c r="I60" s="2" t="s">
        <v>118</v>
      </c>
      <c r="J60" s="6" t="s">
        <v>195</v>
      </c>
      <c r="K60" s="6">
        <v>1646.89</v>
      </c>
      <c r="L60" s="6">
        <v>7.2985671352995736</v>
      </c>
      <c r="M60" s="5" t="s">
        <v>200</v>
      </c>
      <c r="N60" s="5">
        <v>66301.343333333323</v>
      </c>
      <c r="O60" s="5">
        <v>0.95662259197141308</v>
      </c>
      <c r="P60" s="6" t="s">
        <v>197</v>
      </c>
      <c r="Q60" s="6">
        <v>295.57</v>
      </c>
      <c r="R60" s="6">
        <v>9.5908834330488322</v>
      </c>
      <c r="S60" s="5" t="s">
        <v>181</v>
      </c>
      <c r="T60" s="5">
        <v>496.69666666666666</v>
      </c>
      <c r="U60" s="5">
        <v>8.3820413510571363</v>
      </c>
      <c r="V60" s="6" t="s">
        <v>193</v>
      </c>
      <c r="W60" s="6">
        <v>11845.843333333332</v>
      </c>
      <c r="X60" s="6">
        <v>1.1564847462206196</v>
      </c>
      <c r="Y60" s="5" t="s">
        <v>194</v>
      </c>
      <c r="Z60" s="5">
        <v>250.01</v>
      </c>
      <c r="AA60" s="5">
        <v>13.532168124180256</v>
      </c>
      <c r="AB60" s="6">
        <v>3.6330546367353701E-2</v>
      </c>
      <c r="AC60" s="6">
        <v>1634.5966666666666</v>
      </c>
      <c r="AD60" s="6">
        <v>3.3781930493879537</v>
      </c>
      <c r="AE60" s="5" t="s">
        <v>187</v>
      </c>
      <c r="AF60" s="5">
        <v>827.83333333333337</v>
      </c>
      <c r="AG60" s="5">
        <v>3.3528263828318474</v>
      </c>
      <c r="AH60" s="6" t="s">
        <v>190</v>
      </c>
      <c r="AI60" s="6">
        <v>567.81333333333339</v>
      </c>
      <c r="AJ60" s="6">
        <v>17.478547732870211</v>
      </c>
      <c r="AK60" s="5" t="s">
        <v>189</v>
      </c>
      <c r="AL60" s="5">
        <v>796.2166666666667</v>
      </c>
      <c r="AM60" s="5">
        <v>1.7967106711878904</v>
      </c>
      <c r="AN60" s="6" t="s">
        <v>185</v>
      </c>
      <c r="AO60" s="6">
        <v>1383.4566666666667</v>
      </c>
      <c r="AP60" s="6">
        <v>2.7789128245306607</v>
      </c>
      <c r="AQ60" s="5">
        <v>185920.41333333333</v>
      </c>
      <c r="AR60" s="5">
        <v>2.8890577712066992</v>
      </c>
      <c r="AS60" s="6">
        <v>114513.86666666668</v>
      </c>
      <c r="AT60" s="6">
        <v>0.52724373476901765</v>
      </c>
      <c r="AU60" s="5">
        <v>352637.91</v>
      </c>
      <c r="AV60" s="5">
        <v>0.28942668786087766</v>
      </c>
      <c r="AW60" s="6">
        <v>2366144.1866666661</v>
      </c>
      <c r="AX60" s="6">
        <v>2.2933149196949367</v>
      </c>
    </row>
    <row r="61" spans="1:50" ht="18.75" customHeight="1">
      <c r="A61" s="2" t="s">
        <v>209</v>
      </c>
      <c r="B61" s="2" t="b">
        <v>0</v>
      </c>
      <c r="C61" s="2" t="s">
        <v>61</v>
      </c>
      <c r="D61" s="2" t="s">
        <v>236</v>
      </c>
      <c r="E61" s="3">
        <v>41429.691828703704</v>
      </c>
      <c r="F61" s="4" t="s">
        <v>248</v>
      </c>
      <c r="G61" s="5" t="s">
        <v>0</v>
      </c>
      <c r="H61" s="5">
        <v>1</v>
      </c>
      <c r="I61" s="2" t="s">
        <v>130</v>
      </c>
      <c r="J61" s="6">
        <v>9.5600978048549408</v>
      </c>
      <c r="K61" s="6">
        <v>20965.723333333335</v>
      </c>
      <c r="L61" s="6">
        <v>3.2160582598678369</v>
      </c>
      <c r="M61" s="5" t="s">
        <v>200</v>
      </c>
      <c r="N61" s="5">
        <v>78011.046666666662</v>
      </c>
      <c r="O61" s="5">
        <v>0.66864680817309419</v>
      </c>
      <c r="P61" s="6">
        <v>13.414463872587501</v>
      </c>
      <c r="Q61" s="6">
        <v>1213.44</v>
      </c>
      <c r="R61" s="6">
        <v>2.346822436518528</v>
      </c>
      <c r="S61" s="5">
        <v>9.5443962500848603</v>
      </c>
      <c r="T61" s="5">
        <v>128867.74333333333</v>
      </c>
      <c r="U61" s="5">
        <v>0.86502186819377624</v>
      </c>
      <c r="V61" s="6">
        <v>9.6167628452342306</v>
      </c>
      <c r="W61" s="6">
        <v>205923.81666666665</v>
      </c>
      <c r="X61" s="6">
        <v>1.0697059343798938</v>
      </c>
      <c r="Y61" s="5">
        <v>9.9067546398552402</v>
      </c>
      <c r="Z61" s="5">
        <v>5148.8033333333333</v>
      </c>
      <c r="AA61" s="5">
        <v>0.48995238917135286</v>
      </c>
      <c r="AB61" s="6">
        <v>10.000240606584599</v>
      </c>
      <c r="AC61" s="6">
        <v>266594.45666666667</v>
      </c>
      <c r="AD61" s="6">
        <v>0.2214248788858523</v>
      </c>
      <c r="AE61" s="5">
        <v>9.6770988278041994</v>
      </c>
      <c r="AF61" s="5">
        <v>76606.433333333334</v>
      </c>
      <c r="AG61" s="5">
        <v>0.2875940248880422</v>
      </c>
      <c r="AH61" s="6">
        <v>9.6667272383049099</v>
      </c>
      <c r="AI61" s="6">
        <v>45558.360000000008</v>
      </c>
      <c r="AJ61" s="6">
        <v>1.026303692454593</v>
      </c>
      <c r="AK61" s="5">
        <v>9.8765265952238295</v>
      </c>
      <c r="AL61" s="5">
        <v>16426.063333333335</v>
      </c>
      <c r="AM61" s="5">
        <v>0.45317376200996262</v>
      </c>
      <c r="AN61" s="6">
        <v>8.9698204267607693</v>
      </c>
      <c r="AO61" s="6">
        <v>120007.48</v>
      </c>
      <c r="AP61" s="6">
        <v>0.97382683744382559</v>
      </c>
      <c r="AQ61" s="5">
        <v>179434.17666666667</v>
      </c>
      <c r="AR61" s="5">
        <v>3.6568586449025444</v>
      </c>
      <c r="AS61" s="6">
        <v>111768.54333333333</v>
      </c>
      <c r="AT61" s="6">
        <v>1.1749980071964865</v>
      </c>
      <c r="AU61" s="5">
        <v>346679.05</v>
      </c>
      <c r="AV61" s="5">
        <v>0.93013363039392305</v>
      </c>
      <c r="AW61" s="6">
        <v>2334214.48</v>
      </c>
      <c r="AX61" s="6">
        <v>3.3461203936420998</v>
      </c>
    </row>
    <row r="62" spans="1:50" ht="18.75" customHeight="1">
      <c r="A62" s="2" t="s">
        <v>243</v>
      </c>
      <c r="B62" s="2" t="b">
        <v>0</v>
      </c>
      <c r="C62" s="2" t="s">
        <v>62</v>
      </c>
      <c r="D62" s="2" t="s">
        <v>1</v>
      </c>
      <c r="E62" s="3">
        <v>41429.694872685184</v>
      </c>
      <c r="F62" s="4" t="s">
        <v>204</v>
      </c>
      <c r="G62" s="5" t="s">
        <v>0</v>
      </c>
      <c r="H62" s="5">
        <v>1</v>
      </c>
      <c r="I62" s="2" t="s">
        <v>119</v>
      </c>
      <c r="J62" s="6" t="s">
        <v>195</v>
      </c>
      <c r="K62" s="6">
        <v>1137.9366666666667</v>
      </c>
      <c r="L62" s="6">
        <v>61.276313529109608</v>
      </c>
      <c r="M62" s="5" t="s">
        <v>200</v>
      </c>
      <c r="N62" s="5">
        <v>61776.055</v>
      </c>
      <c r="O62" s="5">
        <v>10.880147213710503</v>
      </c>
      <c r="P62" s="6" t="s">
        <v>197</v>
      </c>
      <c r="Q62" s="6">
        <v>180.01</v>
      </c>
      <c r="R62" s="6">
        <v>16.974590377610003</v>
      </c>
      <c r="S62" s="5" t="s">
        <v>181</v>
      </c>
      <c r="T62" s="5">
        <v>220.01</v>
      </c>
      <c r="U62" s="5">
        <v>34.149573050308007</v>
      </c>
      <c r="V62" s="6" t="s">
        <v>193</v>
      </c>
      <c r="W62" s="6">
        <v>8563.1833333333325</v>
      </c>
      <c r="X62" s="6">
        <v>56.077667871973645</v>
      </c>
      <c r="Y62" s="5" t="s">
        <v>194</v>
      </c>
      <c r="Z62" s="5">
        <v>212.23333333333335</v>
      </c>
      <c r="AA62" s="5">
        <v>55.983641739689951</v>
      </c>
      <c r="AB62" s="6" t="s">
        <v>180</v>
      </c>
      <c r="AC62" s="6">
        <v>1014.5200000000001</v>
      </c>
      <c r="AD62" s="6">
        <v>30.618431195762909</v>
      </c>
      <c r="AE62" s="5" t="s">
        <v>187</v>
      </c>
      <c r="AF62" s="5">
        <v>903.4</v>
      </c>
      <c r="AG62" s="5">
        <v>22.254288457306277</v>
      </c>
      <c r="AH62" s="6" t="s">
        <v>190</v>
      </c>
      <c r="AI62" s="6">
        <v>575.59</v>
      </c>
      <c r="AJ62" s="6">
        <v>17.947985047156489</v>
      </c>
      <c r="AK62" s="5" t="s">
        <v>189</v>
      </c>
      <c r="AL62" s="5">
        <v>756.88333333333333</v>
      </c>
      <c r="AM62" s="5">
        <v>1.1414976109324928</v>
      </c>
      <c r="AN62" s="6" t="s">
        <v>185</v>
      </c>
      <c r="AO62" s="6">
        <v>2674.8233333333333</v>
      </c>
      <c r="AP62" s="6">
        <v>38.585768504137683</v>
      </c>
      <c r="AQ62" s="5">
        <v>436722.6700000001</v>
      </c>
      <c r="AR62" s="5">
        <v>46.45835596141012</v>
      </c>
      <c r="AS62" s="6">
        <v>256268.69666666668</v>
      </c>
      <c r="AT62" s="6">
        <v>55.104182176284986</v>
      </c>
      <c r="AU62" s="5">
        <v>343676.68</v>
      </c>
      <c r="AV62" s="5">
        <v>1.26236680097</v>
      </c>
      <c r="AW62" s="6">
        <v>5868936.5433333339</v>
      </c>
      <c r="AX62" s="6">
        <v>46.795587773670775</v>
      </c>
    </row>
    <row r="63" spans="1:50" ht="18.75" customHeight="1">
      <c r="A63" s="2"/>
      <c r="B63" s="2" t="b">
        <v>1</v>
      </c>
      <c r="C63" s="2" t="s">
        <v>63</v>
      </c>
      <c r="D63" s="2" t="s">
        <v>235</v>
      </c>
      <c r="E63" s="3">
        <v>41429.697905092595</v>
      </c>
      <c r="F63" s="4" t="s">
        <v>250</v>
      </c>
      <c r="G63" s="5" t="s">
        <v>0</v>
      </c>
      <c r="H63" s="5">
        <v>866</v>
      </c>
      <c r="I63" s="2" t="s">
        <v>135</v>
      </c>
      <c r="J63" s="6"/>
      <c r="K63" s="6"/>
      <c r="L63" s="6"/>
      <c r="M63" s="5"/>
      <c r="N63" s="5"/>
      <c r="O63" s="5"/>
      <c r="P63" s="6"/>
      <c r="Q63" s="6"/>
      <c r="R63" s="6"/>
      <c r="S63" s="5"/>
      <c r="T63" s="5"/>
      <c r="U63" s="5"/>
      <c r="V63" s="6"/>
      <c r="W63" s="6"/>
      <c r="X63" s="6"/>
      <c r="Y63" s="5"/>
      <c r="Z63" s="5"/>
      <c r="AA63" s="5"/>
      <c r="AB63" s="6"/>
      <c r="AC63" s="6"/>
      <c r="AD63" s="6"/>
      <c r="AE63" s="5"/>
      <c r="AF63" s="5"/>
      <c r="AG63" s="5"/>
      <c r="AH63" s="6"/>
      <c r="AI63" s="6"/>
      <c r="AJ63" s="6"/>
      <c r="AK63" s="5"/>
      <c r="AL63" s="5"/>
      <c r="AM63" s="5"/>
      <c r="AN63" s="6"/>
      <c r="AO63" s="6"/>
      <c r="AP63" s="6"/>
      <c r="AQ63" s="5"/>
      <c r="AR63" s="5"/>
      <c r="AS63" s="6"/>
      <c r="AT63" s="6"/>
      <c r="AU63" s="5"/>
      <c r="AV63" s="5"/>
      <c r="AW63" s="6"/>
      <c r="AX63" s="6"/>
    </row>
    <row r="64" spans="1:50" ht="18.75" customHeight="1">
      <c r="A64" s="2"/>
      <c r="B64" s="2" t="b">
        <v>0</v>
      </c>
      <c r="C64" s="2" t="s">
        <v>64</v>
      </c>
      <c r="D64" s="2" t="s">
        <v>1</v>
      </c>
      <c r="E64" s="3">
        <v>41429.700949074075</v>
      </c>
      <c r="F64" s="4" t="s">
        <v>204</v>
      </c>
      <c r="G64" s="5" t="s">
        <v>0</v>
      </c>
      <c r="H64" s="5">
        <v>1</v>
      </c>
      <c r="I64" s="2" t="s">
        <v>118</v>
      </c>
      <c r="J64" s="6" t="s">
        <v>195</v>
      </c>
      <c r="K64" s="6">
        <v>1882.4966666666667</v>
      </c>
      <c r="L64" s="6">
        <v>8.1265260152683254</v>
      </c>
      <c r="M64" s="5" t="s">
        <v>200</v>
      </c>
      <c r="N64" s="5">
        <v>61114.363333333335</v>
      </c>
      <c r="O64" s="5">
        <v>1.0937668431704772</v>
      </c>
      <c r="P64" s="6" t="s">
        <v>197</v>
      </c>
      <c r="Q64" s="6">
        <v>95.56</v>
      </c>
      <c r="R64" s="6">
        <v>14.525648426159488</v>
      </c>
      <c r="S64" s="5" t="s">
        <v>181</v>
      </c>
      <c r="T64" s="5">
        <v>338.90666666666669</v>
      </c>
      <c r="U64" s="5">
        <v>8.2497731934660958</v>
      </c>
      <c r="V64" s="6" t="s">
        <v>193</v>
      </c>
      <c r="W64" s="6">
        <v>11962.553333333335</v>
      </c>
      <c r="X64" s="6">
        <v>1.2767356750866055</v>
      </c>
      <c r="Y64" s="5" t="s">
        <v>194</v>
      </c>
      <c r="Z64" s="5">
        <v>277.79333333333335</v>
      </c>
      <c r="AA64" s="5">
        <v>6.8237749945755866</v>
      </c>
      <c r="AB64" s="6">
        <v>2.7875275643916599E-2</v>
      </c>
      <c r="AC64" s="6">
        <v>1324.5633333333333</v>
      </c>
      <c r="AD64" s="6">
        <v>6.8111354916350866</v>
      </c>
      <c r="AE64" s="5" t="s">
        <v>187</v>
      </c>
      <c r="AF64" s="5">
        <v>624.48</v>
      </c>
      <c r="AG64" s="5">
        <v>8.1543421424362723</v>
      </c>
      <c r="AH64" s="6" t="s">
        <v>190</v>
      </c>
      <c r="AI64" s="6">
        <v>420.02333333333331</v>
      </c>
      <c r="AJ64" s="6">
        <v>2.0989361068332766</v>
      </c>
      <c r="AK64" s="5" t="s">
        <v>189</v>
      </c>
      <c r="AL64" s="5">
        <v>763.81666666666661</v>
      </c>
      <c r="AM64" s="5">
        <v>0.57684738106985622</v>
      </c>
      <c r="AN64" s="6">
        <v>0.64979772547001602</v>
      </c>
      <c r="AO64" s="6">
        <v>9014.0733333333319</v>
      </c>
      <c r="AP64" s="6">
        <v>3.1116356095098761</v>
      </c>
      <c r="AQ64" s="5">
        <v>178252.17666666667</v>
      </c>
      <c r="AR64" s="5">
        <v>0.20818826687343661</v>
      </c>
      <c r="AS64" s="6">
        <v>108037.45333333332</v>
      </c>
      <c r="AT64" s="6">
        <v>0.77004291564353955</v>
      </c>
      <c r="AU64" s="5">
        <v>343129.99333333335</v>
      </c>
      <c r="AV64" s="5">
        <v>0.71090290265388589</v>
      </c>
      <c r="AW64" s="6">
        <v>2383241.23</v>
      </c>
      <c r="AX64" s="6">
        <v>0.9696483690415959</v>
      </c>
    </row>
    <row r="65" spans="1:50" ht="18.75" customHeight="1">
      <c r="A65" s="2"/>
      <c r="B65" s="2" t="b">
        <v>0</v>
      </c>
      <c r="C65" s="2" t="s">
        <v>65</v>
      </c>
      <c r="D65" s="2" t="s">
        <v>236</v>
      </c>
      <c r="E65" s="3">
        <v>41429.703993055555</v>
      </c>
      <c r="F65" s="4" t="s">
        <v>248</v>
      </c>
      <c r="G65" s="5" t="s">
        <v>0</v>
      </c>
      <c r="H65" s="5">
        <v>1</v>
      </c>
      <c r="I65" s="2" t="s">
        <v>130</v>
      </c>
      <c r="J65" s="6">
        <v>9.4700599921047601</v>
      </c>
      <c r="K65" s="6">
        <v>20385.179999999997</v>
      </c>
      <c r="L65" s="6">
        <v>4.1633530110220862</v>
      </c>
      <c r="M65" s="5" t="s">
        <v>200</v>
      </c>
      <c r="N65" s="5">
        <v>77365.273333333331</v>
      </c>
      <c r="O65" s="5">
        <v>0.34871719850358418</v>
      </c>
      <c r="P65" s="6">
        <v>11.8492830981077</v>
      </c>
      <c r="Q65" s="6">
        <v>1065.6366666666665</v>
      </c>
      <c r="R65" s="6">
        <v>4.428106873728864</v>
      </c>
      <c r="S65" s="5">
        <v>9.32215387230519</v>
      </c>
      <c r="T65" s="5">
        <v>123463.32333333332</v>
      </c>
      <c r="U65" s="5">
        <v>0.19767407768863451</v>
      </c>
      <c r="V65" s="6">
        <v>9.4962267377262606</v>
      </c>
      <c r="W65" s="6">
        <v>199580.75666666668</v>
      </c>
      <c r="X65" s="6">
        <v>0.97005988097780704</v>
      </c>
      <c r="Y65" s="5">
        <v>9.7087006371982607</v>
      </c>
      <c r="Z65" s="5">
        <v>4955.4133333333339</v>
      </c>
      <c r="AA65" s="5">
        <v>5.0381361495459878</v>
      </c>
      <c r="AB65" s="6">
        <v>9.8638729697546399</v>
      </c>
      <c r="AC65" s="6">
        <v>257946.29666666666</v>
      </c>
      <c r="AD65" s="6">
        <v>1.2840524125648021</v>
      </c>
      <c r="AE65" s="5">
        <v>9.6422152529810106</v>
      </c>
      <c r="AF65" s="5">
        <v>74878.27</v>
      </c>
      <c r="AG65" s="5">
        <v>1.2456914543541298</v>
      </c>
      <c r="AH65" s="6">
        <v>9.5674837408163693</v>
      </c>
      <c r="AI65" s="6">
        <v>44232.466666666667</v>
      </c>
      <c r="AJ65" s="6">
        <v>1.2738876591443544</v>
      </c>
      <c r="AK65" s="5">
        <v>9.7699021690410994</v>
      </c>
      <c r="AL65" s="5">
        <v>16231.54</v>
      </c>
      <c r="AM65" s="5">
        <v>0.28070693540108049</v>
      </c>
      <c r="AN65" s="6">
        <v>9.2123416775955604</v>
      </c>
      <c r="AO65" s="6">
        <v>120875.51</v>
      </c>
      <c r="AP65" s="6">
        <v>0.7113904883210167</v>
      </c>
      <c r="AQ65" s="5">
        <v>180479.93333333335</v>
      </c>
      <c r="AR65" s="5">
        <v>0.38277685410029805</v>
      </c>
      <c r="AS65" s="6">
        <v>109628.25333333334</v>
      </c>
      <c r="AT65" s="6">
        <v>0.82334741165162573</v>
      </c>
      <c r="AU65" s="5">
        <v>346150.98666666663</v>
      </c>
      <c r="AV65" s="5">
        <v>0.58453194885815052</v>
      </c>
      <c r="AW65" s="6">
        <v>2391248.6266666665</v>
      </c>
      <c r="AX65" s="6">
        <v>0.9396350028722269</v>
      </c>
    </row>
    <row r="66" spans="1:50" ht="18.75" customHeight="1">
      <c r="A66" s="2"/>
      <c r="B66" s="2" t="b">
        <v>0</v>
      </c>
      <c r="C66" s="2" t="s">
        <v>66</v>
      </c>
      <c r="D66" s="2" t="s">
        <v>1</v>
      </c>
      <c r="E66" s="3">
        <v>41429.707037037035</v>
      </c>
      <c r="F66" s="4" t="s">
        <v>204</v>
      </c>
      <c r="G66" s="5" t="s">
        <v>0</v>
      </c>
      <c r="H66" s="5">
        <v>1</v>
      </c>
      <c r="I66" s="2" t="s">
        <v>118</v>
      </c>
      <c r="J66" s="6" t="s">
        <v>195</v>
      </c>
      <c r="K66" s="6">
        <v>1838.05</v>
      </c>
      <c r="L66" s="6">
        <v>6.0956286755948996</v>
      </c>
      <c r="M66" s="5" t="s">
        <v>200</v>
      </c>
      <c r="N66" s="5">
        <v>61410.643333333333</v>
      </c>
      <c r="O66" s="5">
        <v>0.21809543043242496</v>
      </c>
      <c r="P66" s="6" t="s">
        <v>197</v>
      </c>
      <c r="Q66" s="6">
        <v>92.230000000000018</v>
      </c>
      <c r="R66" s="6">
        <v>19.906952684556948</v>
      </c>
      <c r="S66" s="5" t="s">
        <v>181</v>
      </c>
      <c r="T66" s="5">
        <v>208.9</v>
      </c>
      <c r="U66" s="5">
        <v>8.1880313894737924</v>
      </c>
      <c r="V66" s="6" t="s">
        <v>193</v>
      </c>
      <c r="W66" s="6">
        <v>10628.273333333333</v>
      </c>
      <c r="X66" s="6">
        <v>0.58068946593326642</v>
      </c>
      <c r="Y66" s="5" t="s">
        <v>194</v>
      </c>
      <c r="Z66" s="5">
        <v>268.92333333333335</v>
      </c>
      <c r="AA66" s="5">
        <v>16.885517857591527</v>
      </c>
      <c r="AB66" s="6" t="s">
        <v>180</v>
      </c>
      <c r="AC66" s="6">
        <v>977.85</v>
      </c>
      <c r="AD66" s="6">
        <v>2.1653956857258443</v>
      </c>
      <c r="AE66" s="5" t="s">
        <v>187</v>
      </c>
      <c r="AF66" s="5">
        <v>575.59333333333336</v>
      </c>
      <c r="AG66" s="5">
        <v>7.8197925796300911</v>
      </c>
      <c r="AH66" s="6" t="s">
        <v>190</v>
      </c>
      <c r="AI66" s="6">
        <v>293.34666666666664</v>
      </c>
      <c r="AJ66" s="6">
        <v>22.181671581789651</v>
      </c>
      <c r="AK66" s="5" t="s">
        <v>189</v>
      </c>
      <c r="AL66" s="5">
        <v>783.59666666666669</v>
      </c>
      <c r="AM66" s="5">
        <v>1.1110541936380229</v>
      </c>
      <c r="AN66" s="6">
        <v>0.179347448020448</v>
      </c>
      <c r="AO66" s="6">
        <v>2984.8466666666668</v>
      </c>
      <c r="AP66" s="6">
        <v>4.8048189493467595</v>
      </c>
      <c r="AQ66" s="5">
        <v>176768.69333333336</v>
      </c>
      <c r="AR66" s="5">
        <v>0.52692453836749775</v>
      </c>
      <c r="AS66" s="6">
        <v>108826.65333333332</v>
      </c>
      <c r="AT66" s="6">
        <v>1.1540994734403704</v>
      </c>
      <c r="AU66" s="5">
        <v>348227.46</v>
      </c>
      <c r="AV66" s="5">
        <v>0.46575070574807276</v>
      </c>
      <c r="AW66" s="6">
        <v>2357849.5299999998</v>
      </c>
      <c r="AX66" s="6">
        <v>1.1809368545054046</v>
      </c>
    </row>
    <row r="67" spans="1:50" ht="18.75" customHeight="1">
      <c r="A67" s="2" t="s">
        <v>260</v>
      </c>
      <c r="B67" s="2" t="b">
        <v>0</v>
      </c>
      <c r="C67" s="2" t="s">
        <v>67</v>
      </c>
      <c r="D67" s="2" t="s">
        <v>1</v>
      </c>
      <c r="E67" s="3">
        <v>41429.710081018522</v>
      </c>
      <c r="F67" s="4" t="s">
        <v>204</v>
      </c>
      <c r="G67" s="5" t="s">
        <v>0</v>
      </c>
      <c r="H67" s="5">
        <v>1</v>
      </c>
      <c r="I67" s="2" t="s">
        <v>119</v>
      </c>
      <c r="J67" s="6" t="s">
        <v>195</v>
      </c>
      <c r="K67" s="6">
        <v>2051.44</v>
      </c>
      <c r="L67" s="6">
        <v>3.0187389459552816</v>
      </c>
      <c r="M67" s="5" t="s">
        <v>200</v>
      </c>
      <c r="N67" s="5">
        <v>61912.72</v>
      </c>
      <c r="O67" s="5">
        <v>1.1626073747633252</v>
      </c>
      <c r="P67" s="6" t="s">
        <v>197</v>
      </c>
      <c r="Q67" s="6">
        <v>112.22666666666667</v>
      </c>
      <c r="R67" s="6">
        <v>11.243871760966723</v>
      </c>
      <c r="S67" s="5" t="s">
        <v>181</v>
      </c>
      <c r="T67" s="5">
        <v>113.33666666666666</v>
      </c>
      <c r="U67" s="5">
        <v>5.094117254107057</v>
      </c>
      <c r="V67" s="6" t="s">
        <v>193</v>
      </c>
      <c r="W67" s="6">
        <v>9914.5400000000009</v>
      </c>
      <c r="X67" s="6">
        <v>3.3728498396443087</v>
      </c>
      <c r="Y67" s="5" t="s">
        <v>194</v>
      </c>
      <c r="Z67" s="5">
        <v>231.12333333333333</v>
      </c>
      <c r="AA67" s="5">
        <v>12.926100544373147</v>
      </c>
      <c r="AB67" s="6" t="s">
        <v>180</v>
      </c>
      <c r="AC67" s="6">
        <v>631.15333333333331</v>
      </c>
      <c r="AD67" s="6">
        <v>2.9082221008919329</v>
      </c>
      <c r="AE67" s="5" t="s">
        <v>187</v>
      </c>
      <c r="AF67" s="5">
        <v>463.35999999999996</v>
      </c>
      <c r="AG67" s="5">
        <v>4.7181879491387377</v>
      </c>
      <c r="AH67" s="6" t="s">
        <v>190</v>
      </c>
      <c r="AI67" s="6">
        <v>243.34666666666666</v>
      </c>
      <c r="AJ67" s="6">
        <v>8.9836581096090296</v>
      </c>
      <c r="AK67" s="5" t="s">
        <v>189</v>
      </c>
      <c r="AL67" s="5">
        <v>786.64333333333343</v>
      </c>
      <c r="AM67" s="5">
        <v>0.10783947608552756</v>
      </c>
      <c r="AN67" s="6" t="s">
        <v>185</v>
      </c>
      <c r="AO67" s="6">
        <v>1642.3766666666668</v>
      </c>
      <c r="AP67" s="6">
        <v>2.569640045367628</v>
      </c>
      <c r="AQ67" s="5">
        <v>174202.61666666667</v>
      </c>
      <c r="AR67" s="5">
        <v>6.8906422481492244</v>
      </c>
      <c r="AS67" s="6">
        <v>107915.14000000001</v>
      </c>
      <c r="AT67" s="6">
        <v>3.1063931577054618</v>
      </c>
      <c r="AU67" s="5">
        <v>345792.5733333333</v>
      </c>
      <c r="AV67" s="5">
        <v>0.72793918268036284</v>
      </c>
      <c r="AW67" s="6">
        <v>2317137.69</v>
      </c>
      <c r="AX67" s="6">
        <v>6.2257817066546153</v>
      </c>
    </row>
    <row r="68" spans="1:50" ht="18.75" customHeight="1">
      <c r="A68" s="2" t="s">
        <v>259</v>
      </c>
      <c r="B68" s="2" t="b">
        <v>0</v>
      </c>
      <c r="C68" s="2" t="s">
        <v>68</v>
      </c>
      <c r="D68" s="2" t="s">
        <v>1</v>
      </c>
      <c r="E68" s="3">
        <v>41429.713159722225</v>
      </c>
      <c r="F68" s="4" t="s">
        <v>233</v>
      </c>
      <c r="G68" s="5" t="s">
        <v>86</v>
      </c>
      <c r="H68" s="5">
        <v>1</v>
      </c>
      <c r="I68" s="2" t="s">
        <v>119</v>
      </c>
      <c r="J68" s="6" t="s">
        <v>196</v>
      </c>
      <c r="K68" s="6">
        <v>1880.2933333333333</v>
      </c>
      <c r="L68" s="6">
        <v>9.2421552454532332</v>
      </c>
      <c r="M68" s="5" t="s">
        <v>199</v>
      </c>
      <c r="N68" s="5">
        <v>61845.946666666663</v>
      </c>
      <c r="O68" s="5">
        <v>1.7868093853171891</v>
      </c>
      <c r="P68" s="6" t="s">
        <v>198</v>
      </c>
      <c r="Q68" s="6">
        <v>111.11666666666667</v>
      </c>
      <c r="R68" s="6">
        <v>17.578626266501505</v>
      </c>
      <c r="S68" s="5" t="s">
        <v>179</v>
      </c>
      <c r="T68" s="5">
        <v>94.446666666666673</v>
      </c>
      <c r="U68" s="5">
        <v>18.115005714720485</v>
      </c>
      <c r="V68" s="6" t="s">
        <v>191</v>
      </c>
      <c r="W68" s="6">
        <v>10024.906666666668</v>
      </c>
      <c r="X68" s="6">
        <v>4.6391310980427614</v>
      </c>
      <c r="Y68" s="5" t="s">
        <v>192</v>
      </c>
      <c r="Z68" s="5">
        <v>187.78666666666666</v>
      </c>
      <c r="AA68" s="5">
        <v>18.813304908892594</v>
      </c>
      <c r="AB68" s="6" t="s">
        <v>182</v>
      </c>
      <c r="AC68" s="6">
        <v>690.04666666666662</v>
      </c>
      <c r="AD68" s="6">
        <v>9.6623899923424492</v>
      </c>
      <c r="AE68" s="5" t="s">
        <v>183</v>
      </c>
      <c r="AF68" s="5">
        <v>422.24666666666667</v>
      </c>
      <c r="AG68" s="5">
        <v>4.0505938928983642</v>
      </c>
      <c r="AH68" s="6" t="s">
        <v>188</v>
      </c>
      <c r="AI68" s="6">
        <v>282.23666666666668</v>
      </c>
      <c r="AJ68" s="6">
        <v>14.239696008947822</v>
      </c>
      <c r="AK68" s="5" t="s">
        <v>184</v>
      </c>
      <c r="AL68" s="5">
        <v>783.44</v>
      </c>
      <c r="AM68" s="5">
        <v>0.74138361474971504</v>
      </c>
      <c r="AN68" s="6" t="s">
        <v>186</v>
      </c>
      <c r="AO68" s="6">
        <v>1253.4433333333334</v>
      </c>
      <c r="AP68" s="6">
        <v>11.324238111087274</v>
      </c>
      <c r="AQ68" s="5">
        <v>170195.00666666668</v>
      </c>
      <c r="AR68" s="5">
        <v>6.4342240257383843</v>
      </c>
      <c r="AS68" s="6">
        <v>106316.74</v>
      </c>
      <c r="AT68" s="6">
        <v>5.0200062911639654</v>
      </c>
      <c r="AU68" s="5">
        <v>351005.98333333334</v>
      </c>
      <c r="AV68" s="5">
        <v>0.32827404497689416</v>
      </c>
      <c r="AW68" s="6">
        <v>2288505.3466666667</v>
      </c>
      <c r="AX68" s="6">
        <v>6.4565267699116884</v>
      </c>
    </row>
    <row r="69" spans="1:50" ht="18.75" customHeight="1">
      <c r="A69" s="2"/>
      <c r="B69" s="2" t="b">
        <v>0</v>
      </c>
      <c r="C69" s="2" t="s">
        <v>69</v>
      </c>
      <c r="D69" s="2" t="s">
        <v>2</v>
      </c>
      <c r="E69" s="3">
        <v>41429.716203703705</v>
      </c>
      <c r="F69" s="4" t="s">
        <v>234</v>
      </c>
      <c r="G69" s="5" t="s">
        <v>115</v>
      </c>
      <c r="H69" s="5">
        <v>1</v>
      </c>
      <c r="I69" s="2" t="s">
        <v>120</v>
      </c>
      <c r="J69" s="6" t="s">
        <v>196</v>
      </c>
      <c r="K69" s="6">
        <v>2558.2033333333334</v>
      </c>
      <c r="L69" s="6">
        <v>4.6063261736189398</v>
      </c>
      <c r="M69" s="5" t="s">
        <v>199</v>
      </c>
      <c r="N69" s="5">
        <v>62220.62</v>
      </c>
      <c r="O69" s="5">
        <v>1.3536342678876405</v>
      </c>
      <c r="P69" s="6" t="s">
        <v>198</v>
      </c>
      <c r="Q69" s="6">
        <v>287.79666666666668</v>
      </c>
      <c r="R69" s="6">
        <v>16.435646006163022</v>
      </c>
      <c r="S69" s="5">
        <v>0.47889461978673298</v>
      </c>
      <c r="T69" s="5">
        <v>6343.72</v>
      </c>
      <c r="U69" s="5">
        <v>2.2610922878355142</v>
      </c>
      <c r="V69" s="6">
        <v>0.74409997771428005</v>
      </c>
      <c r="W69" s="6">
        <v>25101.97</v>
      </c>
      <c r="X69" s="6">
        <v>2.4818649614609818</v>
      </c>
      <c r="Y69" s="5">
        <v>0.949301104748976</v>
      </c>
      <c r="Z69" s="5">
        <v>665.6</v>
      </c>
      <c r="AA69" s="5">
        <v>2.7580316968876994</v>
      </c>
      <c r="AB69" s="6">
        <v>0.48100538160737399</v>
      </c>
      <c r="AC69" s="6">
        <v>13355.88</v>
      </c>
      <c r="AD69" s="6">
        <v>1.1620098083756838</v>
      </c>
      <c r="AE69" s="5">
        <v>0.51732176660517004</v>
      </c>
      <c r="AF69" s="5">
        <v>4459.6899999999996</v>
      </c>
      <c r="AG69" s="5">
        <v>1.7716266334683632</v>
      </c>
      <c r="AH69" s="6">
        <v>0.51135803982690298</v>
      </c>
      <c r="AI69" s="6">
        <v>2663.66</v>
      </c>
      <c r="AJ69" s="6">
        <v>5.9543629275709442</v>
      </c>
      <c r="AK69" s="5">
        <v>0.50824843321054303</v>
      </c>
      <c r="AL69" s="5">
        <v>1556.54</v>
      </c>
      <c r="AM69" s="5">
        <v>0.28919339625517498</v>
      </c>
      <c r="AN69" s="6">
        <v>0.43305558880816603</v>
      </c>
      <c r="AO69" s="6">
        <v>7136.3466666666673</v>
      </c>
      <c r="AP69" s="6">
        <v>2.2868062411383425</v>
      </c>
      <c r="AQ69" s="5">
        <v>179297.81666666665</v>
      </c>
      <c r="AR69" s="5">
        <v>0.54452868335654503</v>
      </c>
      <c r="AS69" s="6">
        <v>108641.86333333334</v>
      </c>
      <c r="AT69" s="6">
        <v>0.25298227449425797</v>
      </c>
      <c r="AU69" s="5">
        <v>347961.22333333339</v>
      </c>
      <c r="AV69" s="5">
        <v>0.38251196788117664</v>
      </c>
      <c r="AW69" s="6">
        <v>2402570.92</v>
      </c>
      <c r="AX69" s="6">
        <v>0.76873370091826088</v>
      </c>
    </row>
    <row r="70" spans="1:50" ht="18.75" customHeight="1">
      <c r="A70" s="2"/>
      <c r="B70" s="2" t="b">
        <v>0</v>
      </c>
      <c r="C70" s="2" t="s">
        <v>70</v>
      </c>
      <c r="D70" s="2" t="s">
        <v>86</v>
      </c>
      <c r="E70" s="3">
        <v>41429.719247685185</v>
      </c>
      <c r="F70" s="4" t="s">
        <v>234</v>
      </c>
      <c r="G70" s="5" t="s">
        <v>132</v>
      </c>
      <c r="H70" s="5">
        <v>1</v>
      </c>
      <c r="I70" s="2" t="s">
        <v>121</v>
      </c>
      <c r="J70" s="6" t="s">
        <v>196</v>
      </c>
      <c r="K70" s="6">
        <v>3389.5333333333333</v>
      </c>
      <c r="L70" s="6">
        <v>3.6403886358029007</v>
      </c>
      <c r="M70" s="5" t="s">
        <v>199</v>
      </c>
      <c r="N70" s="5">
        <v>63443.026666666672</v>
      </c>
      <c r="O70" s="5">
        <v>1.5557842967229205</v>
      </c>
      <c r="P70" s="6" t="s">
        <v>198</v>
      </c>
      <c r="Q70" s="6">
        <v>260.01666666666671</v>
      </c>
      <c r="R70" s="6">
        <v>4.4408712456095003</v>
      </c>
      <c r="S70" s="5">
        <v>0.92952675522244799</v>
      </c>
      <c r="T70" s="5">
        <v>12112.68</v>
      </c>
      <c r="U70" s="5">
        <v>3.7242353496506744</v>
      </c>
      <c r="V70" s="6">
        <v>0.88600229556637899</v>
      </c>
      <c r="W70" s="6">
        <v>27684</v>
      </c>
      <c r="X70" s="6">
        <v>1.1068442517110044</v>
      </c>
      <c r="Y70" s="5">
        <v>0.86298178255872104</v>
      </c>
      <c r="Z70" s="5">
        <v>616.70333333333338</v>
      </c>
      <c r="AA70" s="5">
        <v>7.0270665878079637</v>
      </c>
      <c r="AB70" s="6">
        <v>0.97551886472595295</v>
      </c>
      <c r="AC70" s="6">
        <v>26121.493333333336</v>
      </c>
      <c r="AD70" s="6">
        <v>1.6862700148891574</v>
      </c>
      <c r="AE70" s="5">
        <v>0.95208431146902595</v>
      </c>
      <c r="AF70" s="5">
        <v>7773.2833333333338</v>
      </c>
      <c r="AG70" s="5">
        <v>1.8608841730239956</v>
      </c>
      <c r="AH70" s="6">
        <v>0.95980695043029995</v>
      </c>
      <c r="AI70" s="6">
        <v>4703.0999999999995</v>
      </c>
      <c r="AJ70" s="6">
        <v>1.1479134219900025</v>
      </c>
      <c r="AK70" s="5">
        <v>1.0084687055335999</v>
      </c>
      <c r="AL70" s="5">
        <v>2312.3633333333332</v>
      </c>
      <c r="AM70" s="5">
        <v>0.59971529228987153</v>
      </c>
      <c r="AN70" s="6">
        <v>0.82184572399503797</v>
      </c>
      <c r="AO70" s="6">
        <v>12282.996666666666</v>
      </c>
      <c r="AP70" s="6">
        <v>0.46303814270529187</v>
      </c>
      <c r="AQ70" s="5">
        <v>175722.83</v>
      </c>
      <c r="AR70" s="5">
        <v>1.5684548486625456</v>
      </c>
      <c r="AS70" s="6">
        <v>107687.86666666665</v>
      </c>
      <c r="AT70" s="6">
        <v>1.3718526181952195</v>
      </c>
      <c r="AU70" s="5">
        <v>346216.49000000005</v>
      </c>
      <c r="AV70" s="5">
        <v>0.97447662349379216</v>
      </c>
      <c r="AW70" s="6">
        <v>2345763.6633333336</v>
      </c>
      <c r="AX70" s="6">
        <v>0.4322246821766117</v>
      </c>
    </row>
    <row r="71" spans="1:50" ht="18.75" customHeight="1">
      <c r="A71" s="2"/>
      <c r="B71" s="2" t="b">
        <v>0</v>
      </c>
      <c r="C71" s="2" t="s">
        <v>71</v>
      </c>
      <c r="D71" s="2" t="s">
        <v>115</v>
      </c>
      <c r="E71" s="3">
        <v>41429.722291666665</v>
      </c>
      <c r="F71" s="4" t="s">
        <v>234</v>
      </c>
      <c r="G71" s="5" t="s">
        <v>160</v>
      </c>
      <c r="H71" s="5">
        <v>1</v>
      </c>
      <c r="I71" s="2" t="s">
        <v>122</v>
      </c>
      <c r="J71" s="6" t="s">
        <v>196</v>
      </c>
      <c r="K71" s="6">
        <v>5321.3266666666668</v>
      </c>
      <c r="L71" s="6">
        <v>4.0974856149525989</v>
      </c>
      <c r="M71" s="5" t="s">
        <v>199</v>
      </c>
      <c r="N71" s="5">
        <v>64636.77</v>
      </c>
      <c r="O71" s="5">
        <v>1.5145193803881731</v>
      </c>
      <c r="P71" s="6">
        <v>5.7044402393545104</v>
      </c>
      <c r="Q71" s="6">
        <v>551.14666666666665</v>
      </c>
      <c r="R71" s="6">
        <v>9.0796261090306523</v>
      </c>
      <c r="S71" s="5">
        <v>1.91120070826913</v>
      </c>
      <c r="T71" s="5">
        <v>25050.693333333333</v>
      </c>
      <c r="U71" s="5">
        <v>1.0661249140235411</v>
      </c>
      <c r="V71" s="6">
        <v>1.8095591958360699</v>
      </c>
      <c r="W71" s="6">
        <v>46402.273333333338</v>
      </c>
      <c r="X71" s="6">
        <v>1.595021340126094</v>
      </c>
      <c r="Y71" s="5">
        <v>1.8258515976705201</v>
      </c>
      <c r="Z71" s="5">
        <v>1104.5333333333335</v>
      </c>
      <c r="AA71" s="5">
        <v>9.2206871069854461</v>
      </c>
      <c r="AB71" s="6">
        <v>2.0282126649631498</v>
      </c>
      <c r="AC71" s="6">
        <v>54091.346666666672</v>
      </c>
      <c r="AD71" s="6">
        <v>1.441527444829291</v>
      </c>
      <c r="AE71" s="5">
        <v>1.9371669727852501</v>
      </c>
      <c r="AF71" s="5">
        <v>15527.906666666668</v>
      </c>
      <c r="AG71" s="5">
        <v>3.9646200417978887</v>
      </c>
      <c r="AH71" s="6">
        <v>1.9437021279065301</v>
      </c>
      <c r="AI71" s="6">
        <v>9320.7966666666671</v>
      </c>
      <c r="AJ71" s="6">
        <v>3.7846825879118349</v>
      </c>
      <c r="AK71" s="5">
        <v>2.049737605312</v>
      </c>
      <c r="AL71" s="5">
        <v>3893.0133333333338</v>
      </c>
      <c r="AM71" s="5">
        <v>0.76483187463119218</v>
      </c>
      <c r="AN71" s="6">
        <v>1.7202843062186699</v>
      </c>
      <c r="AO71" s="6">
        <v>24562.02</v>
      </c>
      <c r="AP71" s="6">
        <v>0.30809021754020133</v>
      </c>
      <c r="AQ71" s="5">
        <v>180399.56666666665</v>
      </c>
      <c r="AR71" s="5">
        <v>0.86918558244789523</v>
      </c>
      <c r="AS71" s="6">
        <v>108737.27</v>
      </c>
      <c r="AT71" s="6">
        <v>0.45252040281549666</v>
      </c>
      <c r="AU71" s="5">
        <v>345396.08</v>
      </c>
      <c r="AV71" s="5">
        <v>0.55108583090642516</v>
      </c>
      <c r="AW71" s="6">
        <v>2393118.4033333333</v>
      </c>
      <c r="AX71" s="6">
        <v>1.189817149784133</v>
      </c>
    </row>
    <row r="72" spans="1:50" ht="18.75" customHeight="1">
      <c r="A72" s="2" t="s">
        <v>261</v>
      </c>
      <c r="B72" s="2" t="b">
        <v>0</v>
      </c>
      <c r="C72" s="2" t="s">
        <v>72</v>
      </c>
      <c r="D72" s="2" t="s">
        <v>163</v>
      </c>
      <c r="E72" s="3">
        <v>41429.725324074076</v>
      </c>
      <c r="F72" s="4" t="s">
        <v>234</v>
      </c>
      <c r="G72" s="5" t="s">
        <v>163</v>
      </c>
      <c r="H72" s="5">
        <v>1</v>
      </c>
      <c r="I72" s="2" t="s">
        <v>123</v>
      </c>
      <c r="J72" s="6">
        <v>5.0398924141013097</v>
      </c>
      <c r="K72" s="6">
        <v>11111.336666666664</v>
      </c>
      <c r="L72" s="6">
        <v>2.3720370185273945</v>
      </c>
      <c r="M72" s="5" t="s">
        <v>199</v>
      </c>
      <c r="N72" s="5">
        <v>68794.936666666661</v>
      </c>
      <c r="O72" s="5">
        <v>1.0576821236971334</v>
      </c>
      <c r="P72" s="6">
        <v>9.3146648669864192</v>
      </c>
      <c r="Q72" s="6">
        <v>768.94333333333327</v>
      </c>
      <c r="R72" s="6">
        <v>12.544538576439516</v>
      </c>
      <c r="S72" s="5">
        <v>5.0719566393340099</v>
      </c>
      <c r="T72" s="5">
        <v>61718.25</v>
      </c>
      <c r="U72" s="5">
        <v>1.7339505427542183</v>
      </c>
      <c r="V72" s="6">
        <v>5.0803319232895303</v>
      </c>
      <c r="W72" s="6">
        <v>103954.27333333333</v>
      </c>
      <c r="X72" s="6">
        <v>1.6354225707029244</v>
      </c>
      <c r="Y72" s="5">
        <v>5.0533456512817603</v>
      </c>
      <c r="Z72" s="5">
        <v>2532.5366666666664</v>
      </c>
      <c r="AA72" s="5">
        <v>3.2789151817417643</v>
      </c>
      <c r="AB72" s="6">
        <v>5.2628295688404503</v>
      </c>
      <c r="AC72" s="6">
        <v>129546.78333333333</v>
      </c>
      <c r="AD72" s="6">
        <v>2.1810531999292917</v>
      </c>
      <c r="AE72" s="5">
        <v>6.3316683311724997</v>
      </c>
      <c r="AF72" s="5">
        <v>46310.27</v>
      </c>
      <c r="AG72" s="5">
        <v>1.3816607776241365</v>
      </c>
      <c r="AH72" s="6">
        <v>6.3259593788490598</v>
      </c>
      <c r="AI72" s="6">
        <v>27623.966666666664</v>
      </c>
      <c r="AJ72" s="6">
        <v>1.4347965222538497</v>
      </c>
      <c r="AK72" s="5">
        <v>5.2224233577701504</v>
      </c>
      <c r="AL72" s="5">
        <v>8662.9499999999989</v>
      </c>
      <c r="AM72" s="5">
        <v>0.31646707377757416</v>
      </c>
      <c r="AN72" s="6">
        <v>4.6812345825440502</v>
      </c>
      <c r="AO72" s="6">
        <v>60153.63</v>
      </c>
      <c r="AP72" s="6">
        <v>0.89799864197285961</v>
      </c>
      <c r="AQ72" s="5">
        <v>166890.06666666665</v>
      </c>
      <c r="AR72" s="5">
        <v>8.1910963547763522</v>
      </c>
      <c r="AS72" s="6">
        <v>101351.79666666668</v>
      </c>
      <c r="AT72" s="6">
        <v>4.3805360126207775</v>
      </c>
      <c r="AU72" s="5">
        <v>342926.88666666666</v>
      </c>
      <c r="AV72" s="5">
        <v>0.65829735796579281</v>
      </c>
      <c r="AW72" s="6">
        <v>2245812.9</v>
      </c>
      <c r="AX72" s="6">
        <v>7.1625854065382635</v>
      </c>
    </row>
    <row r="73" spans="1:50" ht="18.75" customHeight="1">
      <c r="A73" s="2"/>
      <c r="B73" s="2" t="b">
        <v>0</v>
      </c>
      <c r="C73" s="2" t="s">
        <v>73</v>
      </c>
      <c r="D73" s="2" t="s">
        <v>87</v>
      </c>
      <c r="E73" s="3">
        <v>41429.728391203702</v>
      </c>
      <c r="F73" s="4" t="s">
        <v>234</v>
      </c>
      <c r="G73" s="5" t="s">
        <v>169</v>
      </c>
      <c r="H73" s="5">
        <v>1</v>
      </c>
      <c r="I73" s="2" t="s">
        <v>124</v>
      </c>
      <c r="J73" s="6">
        <v>9.3281130820409892</v>
      </c>
      <c r="K73" s="6">
        <v>20089.163333333334</v>
      </c>
      <c r="L73" s="6">
        <v>1.0748657515810081</v>
      </c>
      <c r="M73" s="5" t="s">
        <v>199</v>
      </c>
      <c r="N73" s="5">
        <v>78051.44666666667</v>
      </c>
      <c r="O73" s="5">
        <v>1.5200103197590413</v>
      </c>
      <c r="P73" s="6">
        <v>11.3269417849151</v>
      </c>
      <c r="Q73" s="6">
        <v>964.51333333333332</v>
      </c>
      <c r="R73" s="6">
        <v>9.3662176242686019</v>
      </c>
      <c r="S73" s="5">
        <v>9.7710015546730595</v>
      </c>
      <c r="T73" s="5">
        <v>125403.96333333333</v>
      </c>
      <c r="U73" s="5">
        <v>0.16788860574717399</v>
      </c>
      <c r="V73" s="6">
        <v>9.7032685345660408</v>
      </c>
      <c r="W73" s="6">
        <v>200401.61333333331</v>
      </c>
      <c r="X73" s="6">
        <v>0.16514149570536099</v>
      </c>
      <c r="Y73" s="5">
        <v>9.6634174893695306</v>
      </c>
      <c r="Z73" s="5">
        <v>4936.5199999999995</v>
      </c>
      <c r="AA73" s="5">
        <v>2.8228225231320603</v>
      </c>
      <c r="AB73" s="6">
        <v>9.9649550555081507</v>
      </c>
      <c r="AC73" s="6">
        <v>258306.93666666668</v>
      </c>
      <c r="AD73" s="6">
        <v>0.34855678845560878</v>
      </c>
      <c r="AE73" s="5">
        <v>9.8063190805034992</v>
      </c>
      <c r="AF73" s="5">
        <v>75470.286666666667</v>
      </c>
      <c r="AG73" s="5">
        <v>1.2707127260105375</v>
      </c>
      <c r="AH73" s="6">
        <v>9.8458536431671</v>
      </c>
      <c r="AI73" s="6">
        <v>45216.133333333339</v>
      </c>
      <c r="AJ73" s="6">
        <v>0.96131999999589157</v>
      </c>
      <c r="AK73" s="5">
        <v>10.400405341920299</v>
      </c>
      <c r="AL73" s="5">
        <v>16511.103333333336</v>
      </c>
      <c r="AM73" s="5">
        <v>0.76831006425892789</v>
      </c>
      <c r="AN73" s="6">
        <v>8.9818688138515306</v>
      </c>
      <c r="AO73" s="6">
        <v>120644.60000000002</v>
      </c>
      <c r="AP73" s="6">
        <v>0.36573318420393586</v>
      </c>
      <c r="AQ73" s="5">
        <v>177015.1</v>
      </c>
      <c r="AR73" s="5">
        <v>1.2139675364345686</v>
      </c>
      <c r="AS73" s="6">
        <v>106802.46666666667</v>
      </c>
      <c r="AT73" s="6">
        <v>0.65005046437097802</v>
      </c>
      <c r="AU73" s="5">
        <v>343289.94</v>
      </c>
      <c r="AV73" s="5">
        <v>0.54529617932637198</v>
      </c>
      <c r="AW73" s="6">
        <v>2362632.5333333332</v>
      </c>
      <c r="AX73" s="6">
        <v>0.83678429368429263</v>
      </c>
    </row>
    <row r="74" spans="1:50" ht="18.75" customHeight="1">
      <c r="A74" s="2"/>
      <c r="B74" s="2" t="b">
        <v>0</v>
      </c>
      <c r="C74" s="2" t="s">
        <v>74</v>
      </c>
      <c r="D74" s="2" t="s">
        <v>164</v>
      </c>
      <c r="E74" s="3">
        <v>41429.731435185182</v>
      </c>
      <c r="F74" s="4" t="s">
        <v>234</v>
      </c>
      <c r="G74" s="5" t="s">
        <v>173</v>
      </c>
      <c r="H74" s="5">
        <v>1</v>
      </c>
      <c r="I74" s="2" t="s">
        <v>125</v>
      </c>
      <c r="J74" s="6">
        <v>48.339754883954299</v>
      </c>
      <c r="K74" s="6">
        <v>95910.406666666662</v>
      </c>
      <c r="L74" s="6">
        <v>1.2273845703203472</v>
      </c>
      <c r="M74" s="5">
        <v>46.118125447743097</v>
      </c>
      <c r="N74" s="5">
        <v>130587.43333333335</v>
      </c>
      <c r="O74" s="5">
        <v>1.2235608064957562</v>
      </c>
      <c r="P74" s="6">
        <v>49.819884749779099</v>
      </c>
      <c r="Q74" s="6">
        <v>3852.84</v>
      </c>
      <c r="R74" s="6">
        <v>1.3421034313791689</v>
      </c>
      <c r="S74" s="5">
        <v>48.5208444948844</v>
      </c>
      <c r="T74" s="5">
        <v>620615.85</v>
      </c>
      <c r="U74" s="5">
        <v>0.39298393301234963</v>
      </c>
      <c r="V74" s="6">
        <v>48.2586639154094</v>
      </c>
      <c r="W74" s="6">
        <v>953955.96666666667</v>
      </c>
      <c r="X74" s="6">
        <v>0.38530217903504643</v>
      </c>
      <c r="Y74" s="5">
        <v>47.0549962134262</v>
      </c>
      <c r="Z74" s="5">
        <v>23245.85666666667</v>
      </c>
      <c r="AA74" s="5">
        <v>0.54001120695465987</v>
      </c>
      <c r="AB74" s="6">
        <v>52.7655687065484</v>
      </c>
      <c r="AC74" s="6">
        <v>1360963.1733333336</v>
      </c>
      <c r="AD74" s="6">
        <v>0.78068786547592406</v>
      </c>
      <c r="AE74" s="5">
        <v>48.153599391899199</v>
      </c>
      <c r="AF74" s="5">
        <v>367892.60333333333</v>
      </c>
      <c r="AG74" s="5">
        <v>0.41420922042793207</v>
      </c>
      <c r="AH74" s="6">
        <v>48.181696076590796</v>
      </c>
      <c r="AI74" s="6">
        <v>219538.92333333334</v>
      </c>
      <c r="AJ74" s="6">
        <v>0.62754690175679617</v>
      </c>
      <c r="AK74" s="5">
        <v>52.069969726869601</v>
      </c>
      <c r="AL74" s="5">
        <v>79015.563333333339</v>
      </c>
      <c r="AM74" s="5">
        <v>0.27989371982799782</v>
      </c>
      <c r="AN74" s="6">
        <v>45.218728912058502</v>
      </c>
      <c r="AO74" s="6">
        <v>600605.24333333329</v>
      </c>
      <c r="AP74" s="6">
        <v>0.21187947566230053</v>
      </c>
      <c r="AQ74" s="5">
        <v>173839.71</v>
      </c>
      <c r="AR74" s="5">
        <v>0.46868038417820196</v>
      </c>
      <c r="AS74" s="6">
        <v>106507.90333333332</v>
      </c>
      <c r="AT74" s="6">
        <v>1.089627079264007</v>
      </c>
      <c r="AU74" s="5">
        <v>340802.54333333328</v>
      </c>
      <c r="AV74" s="5">
        <v>0.72546932629835792</v>
      </c>
      <c r="AW74" s="6">
        <v>2387468.7333333329</v>
      </c>
      <c r="AX74" s="6">
        <v>0.79503974379253917</v>
      </c>
    </row>
    <row r="75" spans="1:50" ht="18.75" customHeight="1">
      <c r="A75" s="2"/>
      <c r="B75" s="2" t="b">
        <v>0</v>
      </c>
      <c r="C75" s="2" t="s">
        <v>75</v>
      </c>
      <c r="D75" s="2" t="s">
        <v>88</v>
      </c>
      <c r="E75" s="3">
        <v>41429.734513888892</v>
      </c>
      <c r="F75" s="4" t="s">
        <v>234</v>
      </c>
      <c r="G75" s="5" t="s">
        <v>177</v>
      </c>
      <c r="H75" s="5">
        <v>1</v>
      </c>
      <c r="I75" s="2" t="s">
        <v>126</v>
      </c>
      <c r="J75" s="6">
        <v>96.558474052835706</v>
      </c>
      <c r="K75" s="6">
        <v>186966.55333333334</v>
      </c>
      <c r="L75" s="6">
        <v>1.0080130268571592</v>
      </c>
      <c r="M75" s="5">
        <v>92.892385073082195</v>
      </c>
      <c r="N75" s="5">
        <v>197188.19000000003</v>
      </c>
      <c r="O75" s="5">
        <v>0.93599130882196702</v>
      </c>
      <c r="P75" s="6">
        <v>103.865737635692</v>
      </c>
      <c r="Q75" s="6">
        <v>7798.8066666666673</v>
      </c>
      <c r="R75" s="6">
        <v>1.9493057727996383</v>
      </c>
      <c r="S75" s="5">
        <v>103.628583410971</v>
      </c>
      <c r="T75" s="5">
        <v>1306429.6433333333</v>
      </c>
      <c r="U75" s="5">
        <v>0.94270050143109108</v>
      </c>
      <c r="V75" s="6">
        <v>102.940967496418</v>
      </c>
      <c r="W75" s="6">
        <v>1994611.5</v>
      </c>
      <c r="X75" s="6">
        <v>0.87839916602157242</v>
      </c>
      <c r="Y75" s="5">
        <v>96.656458188870005</v>
      </c>
      <c r="Z75" s="5">
        <v>46872.673333333332</v>
      </c>
      <c r="AA75" s="5">
        <v>0.98589771949792993</v>
      </c>
      <c r="AB75" s="6">
        <v>106.44665199792701</v>
      </c>
      <c r="AC75" s="6">
        <v>2705598.2933333335</v>
      </c>
      <c r="AD75" s="6">
        <v>0.8344114437134873</v>
      </c>
      <c r="AE75" s="5">
        <v>97.274643379651195</v>
      </c>
      <c r="AF75" s="5">
        <v>732122.63666666672</v>
      </c>
      <c r="AG75" s="5">
        <v>0.82094792266851135</v>
      </c>
      <c r="AH75" s="6">
        <v>97.590164833973304</v>
      </c>
      <c r="AI75" s="6">
        <v>438037.61999999994</v>
      </c>
      <c r="AJ75" s="6">
        <v>0.2458940813789568</v>
      </c>
      <c r="AK75" s="5">
        <v>105.91822303773399</v>
      </c>
      <c r="AL75" s="5">
        <v>158405.65666666668</v>
      </c>
      <c r="AM75" s="5">
        <v>0.48438128732975672</v>
      </c>
      <c r="AN75" s="6">
        <v>100.22579027091101</v>
      </c>
      <c r="AO75" s="6">
        <v>1310715.5366666664</v>
      </c>
      <c r="AP75" s="6">
        <v>0.68635668816754536</v>
      </c>
      <c r="AQ75" s="5">
        <v>172748.68999999997</v>
      </c>
      <c r="AR75" s="5">
        <v>1.4937412524979989</v>
      </c>
      <c r="AS75" s="6">
        <v>104981.89333333333</v>
      </c>
      <c r="AT75" s="6">
        <v>0.41938484987579688</v>
      </c>
      <c r="AU75" s="5">
        <v>337528.23666666669</v>
      </c>
      <c r="AV75" s="5">
        <v>0.92507808045161166</v>
      </c>
      <c r="AW75" s="6">
        <v>2363214.6533333333</v>
      </c>
      <c r="AX75" s="6">
        <v>0.82549583184356456</v>
      </c>
    </row>
    <row r="76" spans="1:50" ht="18.75" customHeight="1">
      <c r="A76" s="2"/>
      <c r="B76" s="2" t="b">
        <v>0</v>
      </c>
      <c r="C76" s="2" t="s">
        <v>76</v>
      </c>
      <c r="D76" s="2" t="s">
        <v>89</v>
      </c>
      <c r="E76" s="3">
        <v>41429.737523148149</v>
      </c>
      <c r="F76" s="4" t="s">
        <v>234</v>
      </c>
      <c r="G76" s="5" t="s">
        <v>178</v>
      </c>
      <c r="H76" s="5">
        <v>1</v>
      </c>
      <c r="I76" s="2" t="s">
        <v>127</v>
      </c>
      <c r="J76" s="6">
        <v>1024.5751615814199</v>
      </c>
      <c r="K76" s="6">
        <v>1891457.42</v>
      </c>
      <c r="L76" s="6">
        <v>0.91725558106638028</v>
      </c>
      <c r="M76" s="5">
        <v>1024.7482710649999</v>
      </c>
      <c r="N76" s="5">
        <v>1502128.1899999997</v>
      </c>
      <c r="O76" s="5">
        <v>0.46042083774294013</v>
      </c>
      <c r="P76" s="6">
        <v>1022.10349304711</v>
      </c>
      <c r="Q76" s="6">
        <v>72904.12</v>
      </c>
      <c r="R76" s="6">
        <v>0.83719930969288603</v>
      </c>
      <c r="S76" s="5">
        <v>1032.3627207234499</v>
      </c>
      <c r="T76" s="5">
        <v>12520903.563333333</v>
      </c>
      <c r="U76" s="5">
        <v>0.7398685583700898</v>
      </c>
      <c r="V76" s="6">
        <v>1025.1219729478701</v>
      </c>
      <c r="W76" s="6">
        <v>19024278.883333333</v>
      </c>
      <c r="X76" s="6">
        <v>0.52562790226400646</v>
      </c>
      <c r="Y76" s="5">
        <v>974.99187737014904</v>
      </c>
      <c r="Z76" s="5">
        <v>453271.43</v>
      </c>
      <c r="AA76" s="5">
        <v>0.16389124824343812</v>
      </c>
      <c r="AB76" s="6">
        <v>1043.5149665122899</v>
      </c>
      <c r="AC76" s="6">
        <v>25510739.066666666</v>
      </c>
      <c r="AD76" s="6">
        <v>0.81612392748064111</v>
      </c>
      <c r="AE76" s="5">
        <v>1036.4883618930801</v>
      </c>
      <c r="AF76" s="5">
        <v>7501002.46</v>
      </c>
      <c r="AG76" s="5">
        <v>0.86500539592172621</v>
      </c>
      <c r="AH76" s="6">
        <v>1040.81100095601</v>
      </c>
      <c r="AI76" s="6">
        <v>4491684.8966666665</v>
      </c>
      <c r="AJ76" s="6">
        <v>0.75822733508023477</v>
      </c>
      <c r="AK76" s="5">
        <v>999.299450971542</v>
      </c>
      <c r="AL76" s="5">
        <v>1636124.6666666667</v>
      </c>
      <c r="AM76" s="5">
        <v>4.3781293021174532</v>
      </c>
      <c r="AN76" s="6">
        <v>1013.5219495585</v>
      </c>
      <c r="AO76" s="6">
        <v>12740282.450000001</v>
      </c>
      <c r="AP76" s="6">
        <v>0.80718493659667978</v>
      </c>
      <c r="AQ76" s="5">
        <v>178882.56999999998</v>
      </c>
      <c r="AR76" s="5">
        <v>2.592450927929602</v>
      </c>
      <c r="AS76" s="6">
        <v>101005.28666666667</v>
      </c>
      <c r="AT76" s="6">
        <v>1.149593596196596</v>
      </c>
      <c r="AU76" s="5">
        <v>371244.22333333333</v>
      </c>
      <c r="AV76" s="5">
        <v>2.5764065802628968</v>
      </c>
      <c r="AW76" s="6">
        <v>2292917.0833333335</v>
      </c>
      <c r="AX76" s="6">
        <v>0.62907133150120953</v>
      </c>
    </row>
    <row r="77" spans="1:50" ht="18.75" customHeight="1">
      <c r="A77" s="2"/>
      <c r="B77" s="2" t="b">
        <v>0</v>
      </c>
      <c r="C77" s="2" t="s">
        <v>77</v>
      </c>
      <c r="D77" s="2" t="s">
        <v>116</v>
      </c>
      <c r="E77" s="3">
        <v>41429.740937499999</v>
      </c>
      <c r="F77" s="4" t="s">
        <v>234</v>
      </c>
      <c r="G77" s="5" t="s">
        <v>87</v>
      </c>
      <c r="H77" s="5">
        <v>1</v>
      </c>
      <c r="I77" s="2" t="s">
        <v>128</v>
      </c>
      <c r="J77" s="6">
        <v>1996.26749678696</v>
      </c>
      <c r="K77" s="6">
        <v>3748662.1633333336</v>
      </c>
      <c r="L77" s="6">
        <v>0.45532889395831927</v>
      </c>
      <c r="M77" s="5">
        <v>2016.4840417631401</v>
      </c>
      <c r="N77" s="5">
        <v>2950192.2166666668</v>
      </c>
      <c r="O77" s="5">
        <v>0.40626249516825363</v>
      </c>
      <c r="P77" s="6">
        <v>2004.6391525408201</v>
      </c>
      <c r="Q77" s="6">
        <v>145410.91666666666</v>
      </c>
      <c r="R77" s="6">
        <v>0.45898498903229917</v>
      </c>
      <c r="S77" s="5">
        <v>2002.4770159321999</v>
      </c>
      <c r="T77" s="5">
        <v>24717462.686666667</v>
      </c>
      <c r="U77" s="5">
        <v>1.0692353570337636</v>
      </c>
      <c r="V77" s="6">
        <v>1994.3960958887301</v>
      </c>
      <c r="W77" s="6">
        <v>37659319.439999998</v>
      </c>
      <c r="X77" s="6">
        <v>0.8556521389173547</v>
      </c>
      <c r="Y77" s="5">
        <v>1899.3918966241799</v>
      </c>
      <c r="Z77" s="5">
        <v>898522.09666666668</v>
      </c>
      <c r="AA77" s="5">
        <v>0.51030818635968</v>
      </c>
      <c r="AB77" s="6">
        <v>2016.90619825043</v>
      </c>
      <c r="AC77" s="6">
        <v>50182809.25333333</v>
      </c>
      <c r="AD77" s="6">
        <v>0.37453824678526232</v>
      </c>
      <c r="AE77" s="5">
        <v>2018.2643115150699</v>
      </c>
      <c r="AF77" s="5">
        <v>14865102.42</v>
      </c>
      <c r="AG77" s="5">
        <v>0.34785533771603033</v>
      </c>
      <c r="AH77" s="6">
        <v>2021.57409151512</v>
      </c>
      <c r="AI77" s="6">
        <v>8879016.4666666668</v>
      </c>
      <c r="AJ77" s="6">
        <v>0.36565100795348632</v>
      </c>
      <c r="AK77" s="5">
        <v>0.48081233216596903</v>
      </c>
      <c r="AL77" s="5">
        <v>1508.67</v>
      </c>
      <c r="AM77" s="5">
        <v>0.54783622891103356</v>
      </c>
      <c r="AN77" s="6">
        <v>2004.3156854726501</v>
      </c>
      <c r="AO77" s="6">
        <v>25640829.620000001</v>
      </c>
      <c r="AP77" s="6">
        <v>8.4360488622819571E-2</v>
      </c>
      <c r="AQ77" s="5">
        <v>183558.05666666667</v>
      </c>
      <c r="AR77" s="5">
        <v>0.56849611483009099</v>
      </c>
      <c r="AS77" s="6">
        <v>102794.85666666667</v>
      </c>
      <c r="AT77" s="6">
        <v>1.1199241174891639</v>
      </c>
      <c r="AU77" s="5">
        <v>346656.02</v>
      </c>
      <c r="AV77" s="5">
        <v>1.2969558066712339</v>
      </c>
      <c r="AW77" s="6">
        <v>2312588.61</v>
      </c>
      <c r="AX77" s="6">
        <v>1.0529169684089468</v>
      </c>
    </row>
    <row r="78" spans="1:50" ht="18.75" customHeight="1">
      <c r="A78" s="2"/>
      <c r="B78" s="2" t="b">
        <v>0</v>
      </c>
      <c r="C78" s="2" t="s">
        <v>78</v>
      </c>
      <c r="D78" s="2" t="s">
        <v>165</v>
      </c>
      <c r="E78" s="3">
        <v>41429.744571759256</v>
      </c>
      <c r="F78" s="4" t="s">
        <v>234</v>
      </c>
      <c r="G78" s="5" t="s">
        <v>90</v>
      </c>
      <c r="H78" s="5">
        <v>1</v>
      </c>
      <c r="I78" s="2" t="s">
        <v>129</v>
      </c>
      <c r="J78" s="6">
        <v>3995.8311140976898</v>
      </c>
      <c r="K78" s="6">
        <v>7429759.1966666654</v>
      </c>
      <c r="L78" s="6">
        <v>1.0290197264298475</v>
      </c>
      <c r="M78" s="5">
        <v>3985.7940867218599</v>
      </c>
      <c r="N78" s="5">
        <v>5717300.2600000007</v>
      </c>
      <c r="O78" s="5">
        <v>1.0381710215158351</v>
      </c>
      <c r="P78" s="6">
        <v>3992.0491382591399</v>
      </c>
      <c r="Q78" s="6">
        <v>286680.0633333333</v>
      </c>
      <c r="R78" s="6">
        <v>1.2839034094208768</v>
      </c>
      <c r="S78" s="5">
        <v>3990.59913391802</v>
      </c>
      <c r="T78" s="5">
        <v>48782093.163333334</v>
      </c>
      <c r="U78" s="5">
        <v>1.2122614897512629</v>
      </c>
      <c r="V78" s="6">
        <v>3996.4704359533998</v>
      </c>
      <c r="W78" s="6">
        <v>74725357.776666656</v>
      </c>
      <c r="X78" s="6">
        <v>1.0282642362419936</v>
      </c>
      <c r="Y78" s="5">
        <v>4056.6773233783101</v>
      </c>
      <c r="Z78" s="5">
        <v>1900312.8366666667</v>
      </c>
      <c r="AA78" s="5">
        <v>1.2886738583564983</v>
      </c>
      <c r="AB78" s="6">
        <v>3980.4721768016202</v>
      </c>
      <c r="AC78" s="6">
        <v>98084982.983333334</v>
      </c>
      <c r="AD78" s="6">
        <v>1.0134983813514509</v>
      </c>
      <c r="AE78" s="5">
        <v>3981.8358285394002</v>
      </c>
      <c r="AF78" s="5">
        <v>29045088.456666667</v>
      </c>
      <c r="AG78" s="5">
        <v>0.87150285562280161</v>
      </c>
      <c r="AH78" s="6">
        <v>3979.0919433757399</v>
      </c>
      <c r="AI78" s="6">
        <v>17308496.406666666</v>
      </c>
      <c r="AJ78" s="6">
        <v>1.1419034997785242</v>
      </c>
      <c r="AK78" s="5">
        <v>0.70596707347767995</v>
      </c>
      <c r="AL78" s="5">
        <v>1907.4</v>
      </c>
      <c r="AM78" s="5">
        <v>0.24468036693608067</v>
      </c>
      <c r="AN78" s="6">
        <v>3994.5189275550802</v>
      </c>
      <c r="AO78" s="6">
        <v>50606804.803333335</v>
      </c>
      <c r="AP78" s="6">
        <v>0.45849179139253288</v>
      </c>
      <c r="AQ78" s="5">
        <v>184889.93000000002</v>
      </c>
      <c r="AR78" s="5">
        <v>0.86851099467075055</v>
      </c>
      <c r="AS78" s="6">
        <v>101798.85666666667</v>
      </c>
      <c r="AT78" s="6">
        <v>0.65088474782466255</v>
      </c>
      <c r="AU78" s="5">
        <v>356857.98</v>
      </c>
      <c r="AV78" s="5">
        <v>1.0656463453267322</v>
      </c>
      <c r="AW78" s="6">
        <v>2252595.8199999998</v>
      </c>
      <c r="AX78" s="6">
        <v>0.41691768426441428</v>
      </c>
    </row>
    <row r="79" spans="1:50" ht="18.75" customHeight="1">
      <c r="A79" s="2" t="s">
        <v>240</v>
      </c>
      <c r="B79" s="2" t="b">
        <v>0</v>
      </c>
      <c r="C79" s="2" t="s">
        <v>79</v>
      </c>
      <c r="D79" s="2" t="s">
        <v>1</v>
      </c>
      <c r="E79" s="3">
        <v>41429.748194444444</v>
      </c>
      <c r="F79" s="4" t="s">
        <v>204</v>
      </c>
      <c r="G79" s="5" t="s">
        <v>0</v>
      </c>
      <c r="H79" s="5">
        <v>1</v>
      </c>
      <c r="I79" s="2" t="s">
        <v>118</v>
      </c>
      <c r="J79" s="6" t="s">
        <v>196</v>
      </c>
      <c r="K79" s="6">
        <v>2122.5666666666671</v>
      </c>
      <c r="L79" s="6">
        <v>17.998518741106999</v>
      </c>
      <c r="M79" s="5" t="s">
        <v>199</v>
      </c>
      <c r="N79" s="5">
        <v>56679.196666666663</v>
      </c>
      <c r="O79" s="5">
        <v>1.0351873112461563</v>
      </c>
      <c r="P79" s="6" t="s">
        <v>198</v>
      </c>
      <c r="Q79" s="6">
        <v>120.00666666666666</v>
      </c>
      <c r="R79" s="6">
        <v>33.676894764130225</v>
      </c>
      <c r="S79" s="5">
        <v>0.25761833770499498</v>
      </c>
      <c r="T79" s="5">
        <v>3232.77</v>
      </c>
      <c r="U79" s="5">
        <v>59.610976023566309</v>
      </c>
      <c r="V79" s="6">
        <v>0.92188780770545198</v>
      </c>
      <c r="W79" s="6">
        <v>26767.023333333334</v>
      </c>
      <c r="X79" s="6">
        <v>10.679423335309679</v>
      </c>
      <c r="Y79" s="5">
        <v>1.1975548783290599</v>
      </c>
      <c r="Z79" s="5">
        <v>737.82666666666671</v>
      </c>
      <c r="AA79" s="5">
        <v>17.170649750443662</v>
      </c>
      <c r="AB79" s="6">
        <v>0.38432182973433698</v>
      </c>
      <c r="AC79" s="6">
        <v>10107.18</v>
      </c>
      <c r="AD79" s="6">
        <v>39.23688462146189</v>
      </c>
      <c r="AE79" s="5">
        <v>0.60368026731107705</v>
      </c>
      <c r="AF79" s="5">
        <v>4796.496666666666</v>
      </c>
      <c r="AG79" s="5">
        <v>28.725451030611492</v>
      </c>
      <c r="AH79" s="6">
        <v>0.59589288393372197</v>
      </c>
      <c r="AI79" s="6">
        <v>2855.9633333333331</v>
      </c>
      <c r="AJ79" s="6">
        <v>26.012049582814324</v>
      </c>
      <c r="AK79" s="5" t="s">
        <v>184</v>
      </c>
      <c r="AL79" s="5">
        <v>746.79333333333341</v>
      </c>
      <c r="AM79" s="5">
        <v>0.92829246235408802</v>
      </c>
      <c r="AN79" s="6">
        <v>1.2068064815219901</v>
      </c>
      <c r="AO79" s="6">
        <v>16441.476666666669</v>
      </c>
      <c r="AP79" s="6">
        <v>11.539919758490052</v>
      </c>
      <c r="AQ79" s="5">
        <v>161936.11666666667</v>
      </c>
      <c r="AR79" s="5">
        <v>0.76949309677448074</v>
      </c>
      <c r="AS79" s="6">
        <v>101480.58</v>
      </c>
      <c r="AT79" s="6">
        <v>0.52807872082683227</v>
      </c>
      <c r="AU79" s="5">
        <v>332170.55333333329</v>
      </c>
      <c r="AV79" s="5">
        <v>1.0002063115425019</v>
      </c>
      <c r="AW79" s="6">
        <v>2303066.91</v>
      </c>
      <c r="AX79" s="6">
        <v>0.4308737541306536</v>
      </c>
    </row>
    <row r="80" spans="1:50" ht="18.75" customHeight="1">
      <c r="A80" s="2"/>
      <c r="B80" s="2" t="b">
        <v>1</v>
      </c>
      <c r="C80" s="2" t="s">
        <v>80</v>
      </c>
      <c r="D80" s="2" t="s">
        <v>236</v>
      </c>
      <c r="E80" s="3">
        <v>41429.751238425924</v>
      </c>
      <c r="F80" s="4" t="s">
        <v>248</v>
      </c>
      <c r="G80" s="5" t="s">
        <v>0</v>
      </c>
      <c r="H80" s="5">
        <v>1</v>
      </c>
      <c r="I80" s="2" t="s">
        <v>130</v>
      </c>
      <c r="J80" s="6"/>
      <c r="K80" s="6"/>
      <c r="L80" s="6"/>
      <c r="M80" s="5"/>
      <c r="N80" s="5"/>
      <c r="O80" s="5"/>
      <c r="P80" s="6"/>
      <c r="Q80" s="6"/>
      <c r="R80" s="6"/>
      <c r="S80" s="5"/>
      <c r="T80" s="5"/>
      <c r="U80" s="5"/>
      <c r="V80" s="6"/>
      <c r="W80" s="6"/>
      <c r="X80" s="6"/>
      <c r="Y80" s="5"/>
      <c r="Z80" s="5"/>
      <c r="AA80" s="5"/>
      <c r="AB80" s="6"/>
      <c r="AC80" s="6"/>
      <c r="AD80" s="6"/>
      <c r="AE80" s="5"/>
      <c r="AF80" s="5"/>
      <c r="AG80" s="5"/>
      <c r="AH80" s="6"/>
      <c r="AI80" s="6"/>
      <c r="AJ80" s="6"/>
      <c r="AK80" s="5"/>
      <c r="AL80" s="5"/>
      <c r="AM80" s="5"/>
      <c r="AN80" s="6"/>
      <c r="AO80" s="6"/>
      <c r="AP80" s="6"/>
      <c r="AQ80" s="5"/>
      <c r="AR80" s="5"/>
      <c r="AS80" s="6"/>
      <c r="AT80" s="6"/>
      <c r="AU80" s="5"/>
      <c r="AV80" s="5"/>
      <c r="AW80" s="6"/>
      <c r="AX80" s="6"/>
    </row>
    <row r="81" spans="1:50" ht="18.75" customHeight="1">
      <c r="A81" s="2"/>
      <c r="B81" s="2" t="b">
        <v>0</v>
      </c>
      <c r="C81" s="2" t="s">
        <v>81</v>
      </c>
      <c r="D81" s="2" t="s">
        <v>1</v>
      </c>
      <c r="E81" s="3">
        <v>41429.754270833335</v>
      </c>
      <c r="F81" s="4" t="s">
        <v>204</v>
      </c>
      <c r="G81" s="5" t="s">
        <v>0</v>
      </c>
      <c r="H81" s="5">
        <v>1</v>
      </c>
      <c r="I81" s="2" t="s">
        <v>118</v>
      </c>
      <c r="J81" s="6" t="s">
        <v>196</v>
      </c>
      <c r="K81" s="6">
        <v>1860.2699999999998</v>
      </c>
      <c r="L81" s="6">
        <v>6.2798662721684622</v>
      </c>
      <c r="M81" s="5" t="s">
        <v>199</v>
      </c>
      <c r="N81" s="5">
        <v>55399.06</v>
      </c>
      <c r="O81" s="5">
        <v>0.55551782518911574</v>
      </c>
      <c r="P81" s="6" t="s">
        <v>198</v>
      </c>
      <c r="Q81" s="6">
        <v>116.67666666666668</v>
      </c>
      <c r="R81" s="6">
        <v>22.315464203930883</v>
      </c>
      <c r="S81" s="5">
        <v>1.7389781221171598E-2</v>
      </c>
      <c r="T81" s="5">
        <v>314.46000000000004</v>
      </c>
      <c r="U81" s="5">
        <v>28.17419328943641</v>
      </c>
      <c r="V81" s="6" t="s">
        <v>191</v>
      </c>
      <c r="W81" s="6">
        <v>14861.683333333334</v>
      </c>
      <c r="X81" s="6">
        <v>1.270886064927979</v>
      </c>
      <c r="Y81" s="5" t="s">
        <v>192</v>
      </c>
      <c r="Z81" s="5">
        <v>376.68666666666667</v>
      </c>
      <c r="AA81" s="5">
        <v>11.088652027829319</v>
      </c>
      <c r="AB81" s="6">
        <v>5.0574144847473697E-2</v>
      </c>
      <c r="AC81" s="6">
        <v>1981.3100000000002</v>
      </c>
      <c r="AD81" s="6">
        <v>4.4720429554864198</v>
      </c>
      <c r="AE81" s="5">
        <v>8.1902028056068804E-2</v>
      </c>
      <c r="AF81" s="5">
        <v>1041.1899999999998</v>
      </c>
      <c r="AG81" s="5">
        <v>6.9584831825667663</v>
      </c>
      <c r="AH81" s="6" t="s">
        <v>188</v>
      </c>
      <c r="AI81" s="6">
        <v>641.15333333333331</v>
      </c>
      <c r="AJ81" s="6">
        <v>4.3607402292018236</v>
      </c>
      <c r="AK81" s="5" t="s">
        <v>184</v>
      </c>
      <c r="AL81" s="5">
        <v>737.79333333333341</v>
      </c>
      <c r="AM81" s="5">
        <v>0.42809042307401762</v>
      </c>
      <c r="AN81" s="6">
        <v>0.35093353953926099</v>
      </c>
      <c r="AO81" s="6">
        <v>5862.4433333333336</v>
      </c>
      <c r="AP81" s="6">
        <v>6.2325360554886799</v>
      </c>
      <c r="AQ81" s="5">
        <v>174708.71666666667</v>
      </c>
      <c r="AR81" s="5">
        <v>0.67222573319993362</v>
      </c>
      <c r="AS81" s="6">
        <v>105698.14333333333</v>
      </c>
      <c r="AT81" s="6">
        <v>0.28935600396379529</v>
      </c>
      <c r="AU81" s="5">
        <v>337138.6</v>
      </c>
      <c r="AV81" s="5">
        <v>0.63947673973699093</v>
      </c>
      <c r="AW81" s="6">
        <v>2397177.7966666664</v>
      </c>
      <c r="AX81" s="6">
        <v>0.49603492056396409</v>
      </c>
    </row>
    <row r="82" spans="1:50" ht="18.75" customHeight="1">
      <c r="A82" s="2"/>
      <c r="B82" s="2" t="b">
        <v>0</v>
      </c>
      <c r="C82" s="2" t="s">
        <v>82</v>
      </c>
      <c r="D82" s="2" t="s">
        <v>1</v>
      </c>
      <c r="E82" s="3">
        <v>41429.757303240738</v>
      </c>
      <c r="F82" s="4" t="s">
        <v>204</v>
      </c>
      <c r="G82" s="5" t="s">
        <v>0</v>
      </c>
      <c r="H82" s="5">
        <v>1</v>
      </c>
      <c r="I82" s="2" t="s">
        <v>118</v>
      </c>
      <c r="J82" s="6" t="s">
        <v>196</v>
      </c>
      <c r="K82" s="6">
        <v>1971.4066666666668</v>
      </c>
      <c r="L82" s="6">
        <v>1.862908851877449</v>
      </c>
      <c r="M82" s="5" t="s">
        <v>199</v>
      </c>
      <c r="N82" s="5">
        <v>55894.02</v>
      </c>
      <c r="O82" s="5">
        <v>2.3512486633286986</v>
      </c>
      <c r="P82" s="6" t="s">
        <v>198</v>
      </c>
      <c r="Q82" s="6">
        <v>92.226666666666674</v>
      </c>
      <c r="R82" s="6">
        <v>39.648653410804435</v>
      </c>
      <c r="S82" s="5">
        <v>1.9477481146803199E-2</v>
      </c>
      <c r="T82" s="5">
        <v>343.3533333333333</v>
      </c>
      <c r="U82" s="5">
        <v>19.490132301439967</v>
      </c>
      <c r="V82" s="6" t="s">
        <v>191</v>
      </c>
      <c r="W82" s="6">
        <v>12853.293333333333</v>
      </c>
      <c r="X82" s="6">
        <v>1.1584463370708216</v>
      </c>
      <c r="Y82" s="5" t="s">
        <v>192</v>
      </c>
      <c r="Z82" s="5">
        <v>290.01666666666665</v>
      </c>
      <c r="AA82" s="5">
        <v>10.965332894886942</v>
      </c>
      <c r="AB82" s="6" t="s">
        <v>182</v>
      </c>
      <c r="AC82" s="6">
        <v>1570.1466666666668</v>
      </c>
      <c r="AD82" s="6">
        <v>2.7846843093894926</v>
      </c>
      <c r="AE82" s="5" t="s">
        <v>183</v>
      </c>
      <c r="AF82" s="5">
        <v>873.39666666666665</v>
      </c>
      <c r="AG82" s="5">
        <v>5.0060719003878162</v>
      </c>
      <c r="AH82" s="6" t="s">
        <v>188</v>
      </c>
      <c r="AI82" s="6">
        <v>516.69666666666672</v>
      </c>
      <c r="AJ82" s="6">
        <v>13.883043974694283</v>
      </c>
      <c r="AK82" s="5" t="s">
        <v>184</v>
      </c>
      <c r="AL82" s="5">
        <v>770.61666666666667</v>
      </c>
      <c r="AM82" s="5">
        <v>0.79856559056575716</v>
      </c>
      <c r="AN82" s="6">
        <v>0.216152717284957</v>
      </c>
      <c r="AO82" s="6">
        <v>4121.84</v>
      </c>
      <c r="AP82" s="6">
        <v>4.4530243744239977</v>
      </c>
      <c r="AQ82" s="5">
        <v>173345.36666666667</v>
      </c>
      <c r="AR82" s="5">
        <v>1.1725166897281263</v>
      </c>
      <c r="AS82" s="6">
        <v>106522.04</v>
      </c>
      <c r="AT82" s="6">
        <v>0.6299781023349782</v>
      </c>
      <c r="AU82" s="5">
        <v>340119.13999999996</v>
      </c>
      <c r="AV82" s="5">
        <v>0.5944142110185302</v>
      </c>
      <c r="AW82" s="6">
        <v>2387630.7600000002</v>
      </c>
      <c r="AX82" s="6">
        <v>0.16490365686373751</v>
      </c>
    </row>
    <row r="83" spans="1:50" ht="18.75" customHeight="1">
      <c r="A83" s="2" t="s">
        <v>252</v>
      </c>
      <c r="B83" s="2" t="b">
        <v>0</v>
      </c>
      <c r="C83" s="2" t="s">
        <v>83</v>
      </c>
      <c r="D83" s="2" t="s">
        <v>1</v>
      </c>
      <c r="E83" s="3">
        <v>41429.760335648149</v>
      </c>
      <c r="F83" s="4" t="s">
        <v>204</v>
      </c>
      <c r="G83" s="5" t="s">
        <v>0</v>
      </c>
      <c r="H83" s="5">
        <v>1</v>
      </c>
      <c r="I83" s="2" t="s">
        <v>119</v>
      </c>
      <c r="J83" s="6" t="s">
        <v>196</v>
      </c>
      <c r="K83" s="6">
        <v>1682.4666666666665</v>
      </c>
      <c r="L83" s="6">
        <v>6.221487854170606</v>
      </c>
      <c r="M83" s="5" t="s">
        <v>199</v>
      </c>
      <c r="N83" s="5">
        <v>56075.063333333332</v>
      </c>
      <c r="O83" s="5">
        <v>0.95784996763717789</v>
      </c>
      <c r="P83" s="6" t="s">
        <v>198</v>
      </c>
      <c r="Q83" s="6">
        <v>73.336666666666673</v>
      </c>
      <c r="R83" s="6">
        <v>19.812798348271322</v>
      </c>
      <c r="S83" s="5" t="s">
        <v>179</v>
      </c>
      <c r="T83" s="5">
        <v>141.12</v>
      </c>
      <c r="U83" s="5">
        <v>22.448687688140296</v>
      </c>
      <c r="V83" s="6" t="s">
        <v>191</v>
      </c>
      <c r="W83" s="6">
        <v>10950.696666666665</v>
      </c>
      <c r="X83" s="6">
        <v>3.3361065670467078</v>
      </c>
      <c r="Y83" s="5" t="s">
        <v>192</v>
      </c>
      <c r="Z83" s="5">
        <v>243.34666666666666</v>
      </c>
      <c r="AA83" s="5">
        <v>1.3704733642160505</v>
      </c>
      <c r="AB83" s="6" t="s">
        <v>182</v>
      </c>
      <c r="AC83" s="6">
        <v>1011.19</v>
      </c>
      <c r="AD83" s="6">
        <v>6.7751284377741001</v>
      </c>
      <c r="AE83" s="5" t="s">
        <v>183</v>
      </c>
      <c r="AF83" s="5">
        <v>638.92999999999995</v>
      </c>
      <c r="AG83" s="5">
        <v>5.0676563942462245</v>
      </c>
      <c r="AH83" s="6" t="s">
        <v>188</v>
      </c>
      <c r="AI83" s="6">
        <v>374.46333333333331</v>
      </c>
      <c r="AJ83" s="6">
        <v>5.1403852557304193</v>
      </c>
      <c r="AK83" s="5" t="s">
        <v>184</v>
      </c>
      <c r="AL83" s="5">
        <v>768</v>
      </c>
      <c r="AM83" s="5">
        <v>1.3774066247390524</v>
      </c>
      <c r="AN83" s="6" t="s">
        <v>186</v>
      </c>
      <c r="AO83" s="6">
        <v>2819.27</v>
      </c>
      <c r="AP83" s="6">
        <v>9.0580824020122659</v>
      </c>
      <c r="AQ83" s="5">
        <v>187061.15666666665</v>
      </c>
      <c r="AR83" s="5">
        <v>10.334534200633223</v>
      </c>
      <c r="AS83" s="6">
        <v>111481.17</v>
      </c>
      <c r="AT83" s="6">
        <v>10.258031634038382</v>
      </c>
      <c r="AU83" s="5">
        <v>339717.56666666665</v>
      </c>
      <c r="AV83" s="5">
        <v>0.66993772065543378</v>
      </c>
      <c r="AW83" s="6">
        <v>2520090.2200000002</v>
      </c>
      <c r="AX83" s="6">
        <v>8.2674864990984975</v>
      </c>
    </row>
    <row r="84" spans="1:50" ht="18.75" customHeight="1">
      <c r="A84" s="2" t="s">
        <v>254</v>
      </c>
      <c r="B84" s="2" t="b">
        <v>0</v>
      </c>
      <c r="C84" s="2" t="s">
        <v>84</v>
      </c>
      <c r="D84" s="2" t="s">
        <v>1</v>
      </c>
      <c r="E84" s="3">
        <v>41429.763368055559</v>
      </c>
      <c r="F84" s="4" t="s">
        <v>204</v>
      </c>
      <c r="G84" s="5" t="s">
        <v>0</v>
      </c>
      <c r="H84" s="5">
        <v>1</v>
      </c>
      <c r="I84" s="2" t="s">
        <v>118</v>
      </c>
      <c r="J84" s="6" t="s">
        <v>196</v>
      </c>
      <c r="K84" s="6">
        <v>1806.9233333333332</v>
      </c>
      <c r="L84" s="6">
        <v>6.4664385053191955</v>
      </c>
      <c r="M84" s="5" t="s">
        <v>199</v>
      </c>
      <c r="N84" s="5">
        <v>57396.72</v>
      </c>
      <c r="O84" s="5">
        <v>1.2251102138251553</v>
      </c>
      <c r="P84" s="6" t="s">
        <v>198</v>
      </c>
      <c r="Q84" s="6">
        <v>84.45</v>
      </c>
      <c r="R84" s="6">
        <v>31.662767517466783</v>
      </c>
      <c r="S84" s="5">
        <v>1.7862694812554699E-2</v>
      </c>
      <c r="T84" s="5">
        <v>318.90666666666669</v>
      </c>
      <c r="U84" s="5">
        <v>6.3005105811290321</v>
      </c>
      <c r="V84" s="6" t="s">
        <v>191</v>
      </c>
      <c r="W84" s="6">
        <v>11701.233333333332</v>
      </c>
      <c r="X84" s="6">
        <v>3.5737324071501217</v>
      </c>
      <c r="Y84" s="5" t="s">
        <v>192</v>
      </c>
      <c r="Z84" s="5">
        <v>270.01666666666665</v>
      </c>
      <c r="AA84" s="5">
        <v>12.831352257540637</v>
      </c>
      <c r="AB84" s="6" t="s">
        <v>182</v>
      </c>
      <c r="AC84" s="6">
        <v>1399.01</v>
      </c>
      <c r="AD84" s="6">
        <v>1.6219386674974019</v>
      </c>
      <c r="AE84" s="5" t="s">
        <v>183</v>
      </c>
      <c r="AF84" s="5">
        <v>703.38</v>
      </c>
      <c r="AG84" s="5">
        <v>4.9935442842729101</v>
      </c>
      <c r="AH84" s="6" t="s">
        <v>188</v>
      </c>
      <c r="AI84" s="6">
        <v>416.69333333333333</v>
      </c>
      <c r="AJ84" s="6">
        <v>3.200195262493883</v>
      </c>
      <c r="AK84" s="5" t="s">
        <v>184</v>
      </c>
      <c r="AL84" s="5">
        <v>779.84333333333336</v>
      </c>
      <c r="AM84" s="5">
        <v>0.45592586522680867</v>
      </c>
      <c r="AN84" s="6" t="s">
        <v>186</v>
      </c>
      <c r="AO84" s="6">
        <v>2873.7166666666667</v>
      </c>
      <c r="AP84" s="6">
        <v>6.1315670459440215</v>
      </c>
      <c r="AQ84" s="5">
        <v>176569.57333333333</v>
      </c>
      <c r="AR84" s="5">
        <v>14.004045418171549</v>
      </c>
      <c r="AS84" s="6">
        <v>106542.58333333333</v>
      </c>
      <c r="AT84" s="6">
        <v>10.735158278402992</v>
      </c>
      <c r="AU84" s="5">
        <v>343471.53</v>
      </c>
      <c r="AV84" s="5">
        <v>0.2357784482823905</v>
      </c>
      <c r="AW84" s="6">
        <v>2392458.0366666666</v>
      </c>
      <c r="AX84" s="6">
        <v>12.063006050557993</v>
      </c>
    </row>
    <row r="85" spans="1:50" ht="18.75" customHeight="1">
      <c r="A85" s="2"/>
      <c r="B85" s="2" t="b">
        <v>0</v>
      </c>
      <c r="C85" s="2" t="s">
        <v>85</v>
      </c>
      <c r="D85" s="2" t="s">
        <v>1</v>
      </c>
      <c r="E85" s="3">
        <v>41429.766388888886</v>
      </c>
      <c r="F85" s="4" t="s">
        <v>204</v>
      </c>
      <c r="G85" s="5" t="s">
        <v>0</v>
      </c>
      <c r="H85" s="5">
        <v>1</v>
      </c>
      <c r="I85" s="2" t="s">
        <v>119</v>
      </c>
      <c r="J85" s="6" t="s">
        <v>196</v>
      </c>
      <c r="K85" s="6">
        <v>1838.0466666666664</v>
      </c>
      <c r="L85" s="6">
        <v>9.3217522116487004</v>
      </c>
      <c r="M85" s="5" t="s">
        <v>199</v>
      </c>
      <c r="N85" s="5">
        <v>57307.893333333333</v>
      </c>
      <c r="O85" s="5">
        <v>3.0493147548455495</v>
      </c>
      <c r="P85" s="6" t="s">
        <v>198</v>
      </c>
      <c r="Q85" s="6">
        <v>97.780000000000015</v>
      </c>
      <c r="R85" s="6">
        <v>34.989278702574808</v>
      </c>
      <c r="S85" s="5" t="s">
        <v>179</v>
      </c>
      <c r="T85" s="5">
        <v>132.23000000000002</v>
      </c>
      <c r="U85" s="5">
        <v>12.435703946442974</v>
      </c>
      <c r="V85" s="6" t="s">
        <v>191</v>
      </c>
      <c r="W85" s="6">
        <v>10851.79</v>
      </c>
      <c r="X85" s="6">
        <v>1.4906635745779451</v>
      </c>
      <c r="Y85" s="5" t="s">
        <v>192</v>
      </c>
      <c r="Z85" s="5">
        <v>240.01</v>
      </c>
      <c r="AA85" s="5">
        <v>7.2165776741340757</v>
      </c>
      <c r="AB85" s="6" t="s">
        <v>182</v>
      </c>
      <c r="AC85" s="6">
        <v>1006.7433333333333</v>
      </c>
      <c r="AD85" s="6">
        <v>9.5343467469675414</v>
      </c>
      <c r="AE85" s="5" t="s">
        <v>183</v>
      </c>
      <c r="AF85" s="5">
        <v>610.04</v>
      </c>
      <c r="AG85" s="5">
        <v>6.3017704767229912</v>
      </c>
      <c r="AH85" s="6" t="s">
        <v>188</v>
      </c>
      <c r="AI85" s="6">
        <v>357.8</v>
      </c>
      <c r="AJ85" s="6">
        <v>8.3513132977317639</v>
      </c>
      <c r="AK85" s="5" t="s">
        <v>184</v>
      </c>
      <c r="AL85" s="5">
        <v>781.91</v>
      </c>
      <c r="AM85" s="5">
        <v>1.1459312028715298</v>
      </c>
      <c r="AN85" s="6" t="s">
        <v>186</v>
      </c>
      <c r="AO85" s="6">
        <v>2180.2399999999998</v>
      </c>
      <c r="AP85" s="6">
        <v>6.2753180137081364</v>
      </c>
      <c r="AQ85" s="5">
        <v>171585.44666666666</v>
      </c>
      <c r="AR85" s="5">
        <v>0.38114318643105638</v>
      </c>
      <c r="AS85" s="6">
        <v>106186.53333333333</v>
      </c>
      <c r="AT85" s="6">
        <v>0.48103255320149685</v>
      </c>
      <c r="AU85" s="5">
        <v>344294.36000000004</v>
      </c>
      <c r="AV85" s="5">
        <v>1.401640866901757</v>
      </c>
      <c r="AW85" s="6">
        <v>2371946.6666666665</v>
      </c>
      <c r="AX85" s="6">
        <v>0.8659562332762758</v>
      </c>
    </row>
  </sheetData>
  <mergeCells count="15">
    <mergeCell ref="J1:L1"/>
    <mergeCell ref="M1:O1"/>
    <mergeCell ref="P1:R1"/>
    <mergeCell ref="S1:U1"/>
    <mergeCell ref="V1:X1"/>
    <mergeCell ref="AQ1:AR1"/>
    <mergeCell ref="AS1:AT1"/>
    <mergeCell ref="AU1:AV1"/>
    <mergeCell ref="AW1:AX1"/>
    <mergeCell ref="Y1:AA1"/>
    <mergeCell ref="AB1:AD1"/>
    <mergeCell ref="AE1:AG1"/>
    <mergeCell ref="AH1:AJ1"/>
    <mergeCell ref="AK1:AM1"/>
    <mergeCell ref="AN1:AP1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selection activeCell="K14" sqref="K14"/>
    </sheetView>
  </sheetViews>
  <sheetFormatPr defaultRowHeight="12.75"/>
  <sheetData>
    <row r="1" spans="1:8">
      <c r="A1" s="11" t="s">
        <v>273</v>
      </c>
      <c r="B1" s="11" t="s">
        <v>274</v>
      </c>
      <c r="C1" s="11" t="s">
        <v>275</v>
      </c>
      <c r="D1" s="11" t="s">
        <v>276</v>
      </c>
      <c r="E1" s="11" t="s">
        <v>277</v>
      </c>
      <c r="F1" s="11" t="s">
        <v>278</v>
      </c>
      <c r="G1" s="11" t="s">
        <v>279</v>
      </c>
      <c r="H1" s="11" t="s">
        <v>280</v>
      </c>
    </row>
    <row r="2" spans="1:8">
      <c r="A2" s="12">
        <v>1</v>
      </c>
      <c r="B2" s="12">
        <v>24</v>
      </c>
      <c r="C2" s="12" t="s">
        <v>281</v>
      </c>
      <c r="D2" s="12">
        <v>0.99986170057594348</v>
      </c>
      <c r="E2" s="12">
        <v>1.8250189332473368E-2</v>
      </c>
      <c r="F2" s="12">
        <v>1.3161523344211551E-2</v>
      </c>
      <c r="G2" s="12">
        <v>0.37661665543757533</v>
      </c>
      <c r="H2" s="12">
        <v>0.72117187961401974</v>
      </c>
    </row>
    <row r="3" spans="1:8">
      <c r="A3" s="12">
        <v>1</v>
      </c>
      <c r="B3" s="12">
        <v>39</v>
      </c>
      <c r="C3" s="12" t="s">
        <v>282</v>
      </c>
      <c r="D3" s="12">
        <v>0.99985589017278731</v>
      </c>
      <c r="E3" s="12">
        <v>1.4216543275882549E-2</v>
      </c>
      <c r="F3" s="12">
        <v>0.54597143670405635</v>
      </c>
      <c r="G3" s="12">
        <v>13.873300087810955</v>
      </c>
      <c r="H3" s="12">
        <v>38.403951376159192</v>
      </c>
    </row>
    <row r="4" spans="1:8">
      <c r="A4" s="12">
        <v>1</v>
      </c>
      <c r="B4" s="12">
        <v>44</v>
      </c>
      <c r="C4" s="12" t="s">
        <v>283</v>
      </c>
      <c r="D4" s="12">
        <v>0.99990816796145232</v>
      </c>
      <c r="E4" s="12">
        <v>7.2663187715346438E-4</v>
      </c>
      <c r="F4" s="12">
        <v>1.1117765631496565E-3</v>
      </c>
      <c r="G4" s="12">
        <v>0.5499670698618222</v>
      </c>
      <c r="H4" s="12">
        <v>1.5300409988961299</v>
      </c>
    </row>
    <row r="5" spans="1:8">
      <c r="A5" s="12">
        <v>1</v>
      </c>
      <c r="B5" s="12">
        <v>55</v>
      </c>
      <c r="C5" s="12" t="s">
        <v>284</v>
      </c>
      <c r="D5" s="12">
        <v>0.99994115907094339</v>
      </c>
      <c r="E5" s="12">
        <v>0.12068101096240737</v>
      </c>
      <c r="F5" s="12">
        <v>1.2338751049995064E-3</v>
      </c>
      <c r="G5" s="12">
        <v>5.6064418351722866E-3</v>
      </c>
      <c r="H5" s="12">
        <v>1.0224268881737025E-2</v>
      </c>
    </row>
    <row r="6" spans="1:8">
      <c r="A6" s="12">
        <v>1</v>
      </c>
      <c r="B6" s="12">
        <v>56</v>
      </c>
      <c r="C6" s="12" t="s">
        <v>285</v>
      </c>
      <c r="D6" s="12">
        <v>0.99994271266874957</v>
      </c>
      <c r="E6" s="12">
        <v>0.18245968919076552</v>
      </c>
      <c r="F6" s="12">
        <v>8.7939385344812285E-2</v>
      </c>
      <c r="G6" s="12">
        <v>0.17678246071611819</v>
      </c>
      <c r="H6" s="12">
        <v>0.48196610295038794</v>
      </c>
    </row>
    <row r="7" spans="1:8">
      <c r="A7" s="12">
        <v>1</v>
      </c>
      <c r="B7" s="12">
        <v>57</v>
      </c>
      <c r="C7" s="12" t="s">
        <v>285</v>
      </c>
      <c r="D7" s="12">
        <v>0.99995389027521331</v>
      </c>
      <c r="E7" s="12">
        <v>4.4000026662683531E-3</v>
      </c>
      <c r="F7" s="12">
        <v>2.4796640693655544E-3</v>
      </c>
      <c r="G7" s="12">
        <v>0.31561989906373056</v>
      </c>
      <c r="H7" s="12">
        <v>0.56355967426459774</v>
      </c>
    </row>
    <row r="8" spans="1:8">
      <c r="A8" s="12">
        <v>1</v>
      </c>
      <c r="B8" s="12">
        <v>63</v>
      </c>
      <c r="C8" s="12" t="s">
        <v>286</v>
      </c>
      <c r="D8" s="12">
        <v>0.99981284125977621</v>
      </c>
      <c r="E8" s="12">
        <v>0.23797624717920188</v>
      </c>
      <c r="F8" s="12">
        <v>5.6291389609848938E-3</v>
      </c>
      <c r="G8" s="12">
        <v>3.4846370158503207E-3</v>
      </c>
      <c r="H8" s="12">
        <v>2.3654205105377663E-2</v>
      </c>
    </row>
    <row r="9" spans="1:8">
      <c r="A9" s="12">
        <v>1</v>
      </c>
      <c r="B9" s="12">
        <v>64</v>
      </c>
      <c r="C9" s="12" t="s">
        <v>287</v>
      </c>
      <c r="D9" s="12">
        <v>0.99990685182044836</v>
      </c>
      <c r="E9" s="12">
        <v>7.016345470184561E-2</v>
      </c>
      <c r="F9" s="12">
        <v>6.4899520411493246E-3</v>
      </c>
      <c r="G9" s="12">
        <v>3.4096124741332737E-2</v>
      </c>
      <c r="H9" s="12">
        <v>9.2497612449784494E-2</v>
      </c>
    </row>
    <row r="10" spans="1:8">
      <c r="A10" s="12">
        <v>1</v>
      </c>
      <c r="B10" s="12">
        <v>66</v>
      </c>
      <c r="C10" s="12" t="s">
        <v>287</v>
      </c>
      <c r="D10" s="12">
        <v>0.99990255466739919</v>
      </c>
      <c r="E10" s="12">
        <v>4.1774202538390016E-2</v>
      </c>
      <c r="F10" s="12">
        <v>3.7993625622470546E-3</v>
      </c>
      <c r="G10" s="12">
        <v>5.1725651580625261E-2</v>
      </c>
      <c r="H10" s="12">
        <v>9.0949972264712506E-2</v>
      </c>
    </row>
    <row r="11" spans="1:8">
      <c r="A11" s="12">
        <v>2</v>
      </c>
      <c r="B11" s="12">
        <v>78</v>
      </c>
      <c r="C11" s="12" t="s">
        <v>288</v>
      </c>
      <c r="D11" s="12">
        <v>0.99999995705365186</v>
      </c>
      <c r="E11" s="12">
        <v>4.5958913451128241E-3</v>
      </c>
      <c r="F11" s="12">
        <v>1.9911613354074236E-3</v>
      </c>
      <c r="G11" s="12">
        <v>4.306451117800697E-2</v>
      </c>
      <c r="H11" s="12">
        <v>0.43324813096914994</v>
      </c>
    </row>
    <row r="12" spans="1:8">
      <c r="A12" s="12">
        <v>1</v>
      </c>
      <c r="B12" s="12">
        <v>118</v>
      </c>
      <c r="C12" s="12" t="s">
        <v>289</v>
      </c>
      <c r="D12" s="12">
        <v>0.99993139615385729</v>
      </c>
      <c r="E12" s="12">
        <v>0.11902603843305665</v>
      </c>
      <c r="F12" s="12">
        <v>6.0929368282854127E-3</v>
      </c>
      <c r="G12" s="12">
        <v>1.9225690170913672E-2</v>
      </c>
      <c r="H12" s="12">
        <v>5.1189948926278338E-2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X42"/>
  <sheetViews>
    <sheetView tabSelected="1" workbookViewId="0">
      <selection activeCell="E3" sqref="E3"/>
    </sheetView>
  </sheetViews>
  <sheetFormatPr defaultRowHeight="12.75"/>
  <cols>
    <col min="1" max="1" width="18.42578125" customWidth="1"/>
    <col min="2" max="2" width="15.7109375" style="26" customWidth="1"/>
    <col min="3" max="3" width="9.140625" style="31"/>
    <col min="4" max="4" width="9.28515625" customWidth="1"/>
    <col min="5" max="5" width="12.7109375" customWidth="1"/>
    <col min="7" max="7" width="11.7109375" customWidth="1"/>
    <col min="9" max="9" width="12.5703125" customWidth="1"/>
    <col min="10" max="10" width="9.28515625" customWidth="1"/>
    <col min="11" max="11" width="12.7109375" customWidth="1"/>
    <col min="13" max="13" width="12.42578125" customWidth="1"/>
    <col min="15" max="15" width="12.5703125" customWidth="1"/>
    <col min="17" max="17" width="12.5703125" customWidth="1"/>
    <col min="19" max="19" width="12.5703125" customWidth="1"/>
    <col min="21" max="21" width="12.5703125" customWidth="1"/>
    <col min="23" max="23" width="17" customWidth="1"/>
    <col min="24" max="24" width="15.140625" customWidth="1"/>
    <col min="26" max="26" width="9.28515625" bestFit="1" customWidth="1"/>
    <col min="27" max="27" width="18.140625" customWidth="1"/>
    <col min="28" max="28" width="23.7109375" customWidth="1"/>
    <col min="29" max="29" width="22.140625" customWidth="1"/>
    <col min="30" max="34" width="9.28515625" bestFit="1" customWidth="1"/>
  </cols>
  <sheetData>
    <row r="2" spans="1:50">
      <c r="A2" s="48" t="s">
        <v>352</v>
      </c>
      <c r="W2" s="48" t="s">
        <v>355</v>
      </c>
    </row>
    <row r="3" spans="1:50" s="10" customFormat="1" ht="17.25" customHeight="1">
      <c r="B3" s="22"/>
      <c r="C3" s="27"/>
    </row>
    <row r="4" spans="1:50" ht="38.25">
      <c r="A4" s="19" t="s">
        <v>251</v>
      </c>
      <c r="B4" s="23" t="s">
        <v>202</v>
      </c>
      <c r="C4" s="28" t="s">
        <v>239</v>
      </c>
      <c r="D4" s="20" t="s">
        <v>328</v>
      </c>
      <c r="E4" s="20" t="s">
        <v>329</v>
      </c>
      <c r="F4" s="20" t="s">
        <v>330</v>
      </c>
      <c r="G4" s="20" t="s">
        <v>331</v>
      </c>
      <c r="H4" s="20" t="s">
        <v>332</v>
      </c>
      <c r="I4" s="20" t="s">
        <v>333</v>
      </c>
      <c r="J4" s="20" t="s">
        <v>334</v>
      </c>
      <c r="K4" s="20" t="s">
        <v>335</v>
      </c>
      <c r="L4" s="20" t="s">
        <v>336</v>
      </c>
      <c r="M4" s="20" t="s">
        <v>337</v>
      </c>
      <c r="N4" s="20" t="s">
        <v>338</v>
      </c>
      <c r="O4" s="20" t="s">
        <v>339</v>
      </c>
      <c r="P4" s="20" t="s">
        <v>340</v>
      </c>
      <c r="Q4" s="20" t="s">
        <v>341</v>
      </c>
      <c r="R4" s="20" t="s">
        <v>342</v>
      </c>
      <c r="S4" s="20" t="s">
        <v>343</v>
      </c>
      <c r="T4" s="20" t="s">
        <v>344</v>
      </c>
      <c r="U4" s="21" t="s">
        <v>345</v>
      </c>
      <c r="W4" s="19" t="s">
        <v>275</v>
      </c>
      <c r="X4" s="20" t="s">
        <v>276</v>
      </c>
      <c r="Y4" s="20" t="s">
        <v>277</v>
      </c>
      <c r="Z4" s="20" t="s">
        <v>278</v>
      </c>
      <c r="AA4" s="20" t="s">
        <v>325</v>
      </c>
      <c r="AB4" s="20" t="s">
        <v>327</v>
      </c>
      <c r="AC4" s="21" t="s">
        <v>326</v>
      </c>
      <c r="AM4" s="1" t="s">
        <v>251</v>
      </c>
      <c r="AN4" s="1" t="s">
        <v>202</v>
      </c>
      <c r="AO4" s="1" t="s">
        <v>239</v>
      </c>
      <c r="AP4" s="1" t="s">
        <v>264</v>
      </c>
      <c r="AQ4" s="1" t="s">
        <v>265</v>
      </c>
      <c r="AR4" s="1" t="s">
        <v>266</v>
      </c>
      <c r="AS4" s="1" t="s">
        <v>267</v>
      </c>
      <c r="AT4" s="1" t="s">
        <v>268</v>
      </c>
      <c r="AU4" s="1" t="s">
        <v>269</v>
      </c>
      <c r="AV4" s="1" t="s">
        <v>270</v>
      </c>
      <c r="AW4" s="1" t="s">
        <v>271</v>
      </c>
      <c r="AX4" s="1" t="s">
        <v>272</v>
      </c>
    </row>
    <row r="5" spans="1:50">
      <c r="A5" s="13" t="s">
        <v>92</v>
      </c>
      <c r="B5" s="24">
        <v>41429.597037037034</v>
      </c>
      <c r="C5" s="29">
        <v>5.8714285714285719</v>
      </c>
      <c r="D5" s="29">
        <v>2.3553225409352998</v>
      </c>
      <c r="E5" s="29">
        <f>D5*$Z$27</f>
        <v>5.7643784010395188E-2</v>
      </c>
      <c r="F5" s="29">
        <v>1.16957007024223</v>
      </c>
      <c r="G5" s="29">
        <f>F5*$AA$27</f>
        <v>6.0574923427129057E-2</v>
      </c>
      <c r="H5" s="46">
        <v>126.94039597679</v>
      </c>
      <c r="I5" s="32">
        <f>H5*$AB$27</f>
        <v>7.0175882224043216</v>
      </c>
      <c r="J5" s="29">
        <v>9.1493018467510705</v>
      </c>
      <c r="K5" s="29">
        <f>J5*$AC$27</f>
        <v>0.2039865095987958</v>
      </c>
      <c r="L5" s="38">
        <v>97.783468327691295</v>
      </c>
      <c r="M5" s="38">
        <f>L5*$AD$27</f>
        <v>2.0921032482242876</v>
      </c>
      <c r="N5" s="29">
        <v>9.1426906171556102</v>
      </c>
      <c r="O5" s="29">
        <f>N5*$AE$27</f>
        <v>0.15126757452682785</v>
      </c>
      <c r="P5" s="38">
        <v>112.49653298974999</v>
      </c>
      <c r="Q5" s="38">
        <f>P5*$AF$27</f>
        <v>1.8179033814680363</v>
      </c>
      <c r="R5" s="40">
        <v>1.2703060206293599</v>
      </c>
      <c r="S5" s="40">
        <f>R5*$AG$27</f>
        <v>6.1486410009027759E-3</v>
      </c>
      <c r="T5" s="40">
        <v>2.94273136198751</v>
      </c>
      <c r="U5" s="42">
        <f>T5*$AH$27</f>
        <v>8.5520633542141719E-2</v>
      </c>
      <c r="W5" s="13" t="s">
        <v>281</v>
      </c>
      <c r="X5" s="34">
        <v>0.99986170057594348</v>
      </c>
      <c r="Y5" s="34">
        <v>1.8250189332473368E-2</v>
      </c>
      <c r="Z5" s="34">
        <v>1.3161523344211551E-2</v>
      </c>
      <c r="AA5" s="34">
        <v>0.37661665543757533</v>
      </c>
      <c r="AB5" s="34">
        <f>AA5*5</f>
        <v>1.8830832771878767</v>
      </c>
      <c r="AC5" s="35">
        <v>0.72117187961401974</v>
      </c>
      <c r="AM5" s="2" t="s">
        <v>1</v>
      </c>
      <c r="AN5" s="3">
        <v>41429.525312500002</v>
      </c>
      <c r="AO5" s="5">
        <v>1</v>
      </c>
      <c r="AP5" s="6" t="s">
        <v>195</v>
      </c>
      <c r="AQ5" s="5" t="s">
        <v>200</v>
      </c>
      <c r="AR5" s="6" t="s">
        <v>197</v>
      </c>
      <c r="AS5" s="5" t="s">
        <v>181</v>
      </c>
      <c r="AT5" s="6" t="s">
        <v>193</v>
      </c>
      <c r="AU5" s="6" t="s">
        <v>180</v>
      </c>
      <c r="AV5" s="6" t="s">
        <v>190</v>
      </c>
      <c r="AW5" s="5" t="s">
        <v>189</v>
      </c>
      <c r="AX5" s="6" t="s">
        <v>185</v>
      </c>
    </row>
    <row r="6" spans="1:50">
      <c r="A6" s="13" t="s">
        <v>93</v>
      </c>
      <c r="B6" s="24">
        <v>41429.600081018521</v>
      </c>
      <c r="C6" s="29">
        <v>2.4909090909090912</v>
      </c>
      <c r="D6" s="29">
        <v>2.1529931880343902</v>
      </c>
      <c r="E6" s="29">
        <f t="shared" ref="E6:E27" si="0">D6*$Z$27</f>
        <v>5.2692008058320416E-2</v>
      </c>
      <c r="F6" s="29">
        <v>0.79891212154901903</v>
      </c>
      <c r="G6" s="29">
        <f t="shared" ref="G6:G27" si="1">F6*$AA$27</f>
        <v>4.1377632532793987E-2</v>
      </c>
      <c r="H6" s="47">
        <v>110.63100723639501</v>
      </c>
      <c r="I6" s="32">
        <f t="shared" ref="I6:I27" si="2">H6*$AB$27</f>
        <v>6.1159636965115851</v>
      </c>
      <c r="J6" s="29">
        <v>8.8299115200889204</v>
      </c>
      <c r="K6" s="29">
        <f t="shared" ref="K6:K27" si="3">J6*$AC$27</f>
        <v>0.19686560365135822</v>
      </c>
      <c r="L6" s="38">
        <v>60.657850030388602</v>
      </c>
      <c r="M6" s="38">
        <f t="shared" ref="M6:M27" si="4">L6*$AD$27</f>
        <v>1.2977907947957312</v>
      </c>
      <c r="N6" s="29">
        <v>6.0863532097177204</v>
      </c>
      <c r="O6" s="29">
        <f t="shared" ref="O6:O27" si="5">N6*$AE$27</f>
        <v>0.10069988434476884</v>
      </c>
      <c r="P6" s="38">
        <v>120.99574503904699</v>
      </c>
      <c r="Q6" s="38">
        <f t="shared" ref="Q6:Q27" si="6">P6*$AF$27</f>
        <v>1.9552475814500807</v>
      </c>
      <c r="R6" s="40">
        <v>1.2056098917396501</v>
      </c>
      <c r="S6" s="40">
        <f t="shared" ref="S6:S27" si="7">R6*$AG$27</f>
        <v>5.8354934095106812E-3</v>
      </c>
      <c r="T6" s="40">
        <v>1.98097068621782</v>
      </c>
      <c r="U6" s="42">
        <f t="shared" ref="U6:U27" si="8">T6*$AH$27</f>
        <v>5.7570279877446139E-2</v>
      </c>
      <c r="W6" s="13" t="s">
        <v>282</v>
      </c>
      <c r="X6" s="34">
        <v>0.99985589017278731</v>
      </c>
      <c r="Y6" s="34">
        <v>1.4216543275882549E-2</v>
      </c>
      <c r="Z6" s="34">
        <v>0.54597143670405635</v>
      </c>
      <c r="AA6" s="34">
        <v>13.873300087810955</v>
      </c>
      <c r="AB6" s="34">
        <f t="shared" ref="AB6:AB13" si="9">AA6*5</f>
        <v>69.366500439054775</v>
      </c>
      <c r="AC6" s="35">
        <v>38.403951376159192</v>
      </c>
      <c r="AM6" s="2" t="s">
        <v>2</v>
      </c>
      <c r="AN6" s="3">
        <v>41429.528344907405</v>
      </c>
      <c r="AO6" s="5">
        <v>1</v>
      </c>
      <c r="AP6" s="6" t="s">
        <v>195</v>
      </c>
      <c r="AQ6" s="5" t="s">
        <v>200</v>
      </c>
      <c r="AR6" s="6" t="s">
        <v>197</v>
      </c>
      <c r="AS6" s="5">
        <v>0.48255357448333103</v>
      </c>
      <c r="AT6" s="6" t="s">
        <v>193</v>
      </c>
      <c r="AU6" s="6">
        <v>0.48796629008880599</v>
      </c>
      <c r="AV6" s="6">
        <v>0.48589166209071499</v>
      </c>
      <c r="AW6" s="5">
        <v>0.486537674401814</v>
      </c>
      <c r="AX6" s="6">
        <v>0.44848016726645201</v>
      </c>
    </row>
    <row r="7" spans="1:50">
      <c r="A7" s="13" t="s">
        <v>94</v>
      </c>
      <c r="B7" s="24">
        <v>41429.603148148148</v>
      </c>
      <c r="C7" s="29">
        <v>3.0148148148148146</v>
      </c>
      <c r="D7" s="29">
        <v>1.95114512885768</v>
      </c>
      <c r="E7" s="29">
        <f t="shared" si="0"/>
        <v>4.775201121123069E-2</v>
      </c>
      <c r="F7" s="29">
        <v>0.82135535050376196</v>
      </c>
      <c r="G7" s="29">
        <f t="shared" si="1"/>
        <v>4.2540022807631916E-2</v>
      </c>
      <c r="H7" s="46">
        <v>100.66368592177601</v>
      </c>
      <c r="I7" s="32">
        <f t="shared" si="2"/>
        <v>5.5649448019496131</v>
      </c>
      <c r="J7" s="29">
        <v>9.6643350614094903</v>
      </c>
      <c r="K7" s="29">
        <f t="shared" si="3"/>
        <v>0.21546933414053121</v>
      </c>
      <c r="L7" s="38">
        <v>89.4908924746357</v>
      </c>
      <c r="M7" s="38">
        <f t="shared" si="4"/>
        <v>1.9146813877091307</v>
      </c>
      <c r="N7" s="29">
        <v>7.2952527401490004</v>
      </c>
      <c r="O7" s="29">
        <f t="shared" si="5"/>
        <v>0.12070135956387155</v>
      </c>
      <c r="P7" s="38">
        <v>99.643328752179599</v>
      </c>
      <c r="Q7" s="38">
        <f t="shared" si="6"/>
        <v>1.6102002387560073</v>
      </c>
      <c r="R7" s="40">
        <v>1.34476514624118</v>
      </c>
      <c r="S7" s="40">
        <f t="shared" si="7"/>
        <v>6.5090442621589762E-3</v>
      </c>
      <c r="T7" s="40">
        <v>0.69514396174772897</v>
      </c>
      <c r="U7" s="42">
        <f t="shared" si="8"/>
        <v>2.0202031615793967E-2</v>
      </c>
      <c r="W7" s="13" t="s">
        <v>283</v>
      </c>
      <c r="X7" s="34">
        <v>0.99990816796145232</v>
      </c>
      <c r="Y7" s="34">
        <v>7.2663187715346438E-4</v>
      </c>
      <c r="Z7" s="34">
        <v>1.1117765631496565E-3</v>
      </c>
      <c r="AA7" s="34">
        <v>0.5499670698618222</v>
      </c>
      <c r="AB7" s="34">
        <f t="shared" si="9"/>
        <v>2.749835349309111</v>
      </c>
      <c r="AC7" s="35">
        <v>1.5300409988961299</v>
      </c>
      <c r="AM7" s="2" t="s">
        <v>86</v>
      </c>
      <c r="AN7" s="3">
        <v>41429.531388888892</v>
      </c>
      <c r="AO7" s="5">
        <v>1</v>
      </c>
      <c r="AP7" s="6" t="s">
        <v>195</v>
      </c>
      <c r="AQ7" s="5" t="s">
        <v>200</v>
      </c>
      <c r="AR7" s="6" t="s">
        <v>197</v>
      </c>
      <c r="AS7" s="5">
        <v>0.98946595034030105</v>
      </c>
      <c r="AT7" s="6">
        <v>0.94340570253084999</v>
      </c>
      <c r="AU7" s="6">
        <v>0.962383664009133</v>
      </c>
      <c r="AV7" s="6">
        <v>0.95708254533455395</v>
      </c>
      <c r="AW7" s="5">
        <v>0.96108843278569001</v>
      </c>
      <c r="AX7" s="6">
        <v>0.90223983931526497</v>
      </c>
    </row>
    <row r="8" spans="1:50">
      <c r="A8" s="13" t="s">
        <v>95</v>
      </c>
      <c r="B8" s="24">
        <v>41429.606238425928</v>
      </c>
      <c r="C8" s="29">
        <v>3.1692307692307691</v>
      </c>
      <c r="D8" s="29">
        <v>1.50698775028275</v>
      </c>
      <c r="E8" s="29">
        <f t="shared" si="0"/>
        <v>3.6881775159810885E-2</v>
      </c>
      <c r="F8" s="29">
        <v>0.78113177055944005</v>
      </c>
      <c r="G8" s="29">
        <f t="shared" si="1"/>
        <v>4.0456744227676748E-2</v>
      </c>
      <c r="H8" s="47">
        <v>81.465592728229012</v>
      </c>
      <c r="I8" s="32">
        <f t="shared" si="2"/>
        <v>4.5036253405522402</v>
      </c>
      <c r="J8" s="29">
        <v>6.4336502123922701</v>
      </c>
      <c r="K8" s="29">
        <f t="shared" si="3"/>
        <v>0.14344021793001371</v>
      </c>
      <c r="L8" s="38">
        <v>27.895182889440999</v>
      </c>
      <c r="M8" s="38">
        <f t="shared" si="4"/>
        <v>0.59682483891076332</v>
      </c>
      <c r="N8" s="29">
        <v>1.99017456946521</v>
      </c>
      <c r="O8" s="29">
        <f t="shared" si="5"/>
        <v>3.292782098992602E-2</v>
      </c>
      <c r="P8" s="38">
        <v>72.601459134730803</v>
      </c>
      <c r="Q8" s="38">
        <f t="shared" si="6"/>
        <v>1.1732133831410254</v>
      </c>
      <c r="R8" s="40">
        <v>1.0668118529080499</v>
      </c>
      <c r="S8" s="40">
        <f t="shared" si="7"/>
        <v>5.1636715818993671E-3</v>
      </c>
      <c r="T8" s="40">
        <v>0.46720799401336499</v>
      </c>
      <c r="U8" s="42">
        <f t="shared" si="8"/>
        <v>1.3577835938442593E-2</v>
      </c>
      <c r="W8" s="13" t="s">
        <v>284</v>
      </c>
      <c r="X8" s="34">
        <v>0.99994115907094339</v>
      </c>
      <c r="Y8" s="34">
        <v>0.12068101096240737</v>
      </c>
      <c r="Z8" s="34">
        <v>1.2338751049995064E-3</v>
      </c>
      <c r="AA8" s="34">
        <v>5.6064418351722866E-3</v>
      </c>
      <c r="AB8" s="34">
        <f t="shared" si="9"/>
        <v>2.8032209175861432E-2</v>
      </c>
      <c r="AC8" s="35">
        <v>1.0224268881737025E-2</v>
      </c>
      <c r="AM8" s="2" t="s">
        <v>115</v>
      </c>
      <c r="AN8" s="3">
        <v>41429.534421296295</v>
      </c>
      <c r="AO8" s="5">
        <v>1</v>
      </c>
      <c r="AP8" s="6">
        <v>2.0273117131159801</v>
      </c>
      <c r="AQ8" s="5" t="s">
        <v>200</v>
      </c>
      <c r="AR8" s="6">
        <v>5.1511755838372801</v>
      </c>
      <c r="AS8" s="5">
        <v>1.9572537126654701</v>
      </c>
      <c r="AT8" s="6">
        <v>2.0183699463703002</v>
      </c>
      <c r="AU8" s="6">
        <v>2.0470886513252702</v>
      </c>
      <c r="AV8" s="6">
        <v>2.0156776166702102</v>
      </c>
      <c r="AW8" s="5">
        <v>1.96858840935206</v>
      </c>
      <c r="AX8" s="6">
        <v>1.8381792130347701</v>
      </c>
    </row>
    <row r="9" spans="1:50">
      <c r="A9" s="13" t="s">
        <v>96</v>
      </c>
      <c r="B9" s="24">
        <v>41429.609305555554</v>
      </c>
      <c r="C9" s="29">
        <v>1.8266666666666669</v>
      </c>
      <c r="D9" s="29">
        <v>1.9670418595724199</v>
      </c>
      <c r="E9" s="29">
        <f t="shared" si="0"/>
        <v>4.8141065234985757E-2</v>
      </c>
      <c r="F9" s="29">
        <v>1.0613601739606999</v>
      </c>
      <c r="G9" s="29">
        <f t="shared" si="1"/>
        <v>5.4970465560014094E-2</v>
      </c>
      <c r="H9" s="46">
        <v>107.668789658744</v>
      </c>
      <c r="I9" s="32">
        <f t="shared" si="2"/>
        <v>5.9522047683534938</v>
      </c>
      <c r="J9" s="29">
        <v>13.6623451766534</v>
      </c>
      <c r="K9" s="29">
        <f t="shared" si="3"/>
        <v>0.30460620407983524</v>
      </c>
      <c r="L9" s="38">
        <v>21.3617165628112</v>
      </c>
      <c r="M9" s="38">
        <f t="shared" si="4"/>
        <v>0.45703959343041484</v>
      </c>
      <c r="N9" s="29">
        <v>1.56374390951566</v>
      </c>
      <c r="O9" s="29">
        <f t="shared" si="5"/>
        <v>2.5872443712540778E-2</v>
      </c>
      <c r="P9" s="38">
        <v>95.0615582646858</v>
      </c>
      <c r="Q9" s="38">
        <f t="shared" si="6"/>
        <v>1.5361604808988978</v>
      </c>
      <c r="R9" s="40">
        <v>0.98132613043496897</v>
      </c>
      <c r="S9" s="40">
        <f t="shared" si="7"/>
        <v>4.7498964681442048E-3</v>
      </c>
      <c r="T9" s="40">
        <v>0.84754719264026002</v>
      </c>
      <c r="U9" s="42">
        <f t="shared" si="8"/>
        <v>2.4631121211996759E-2</v>
      </c>
      <c r="W9" s="13" t="s">
        <v>285</v>
      </c>
      <c r="X9" s="34">
        <v>0.99994271266874957</v>
      </c>
      <c r="Y9" s="34">
        <v>0.18245968919076552</v>
      </c>
      <c r="Z9" s="34">
        <v>8.7939385344812285E-2</v>
      </c>
      <c r="AA9" s="34">
        <v>0.17678246071611819</v>
      </c>
      <c r="AB9" s="34">
        <f t="shared" si="9"/>
        <v>0.88391230358059092</v>
      </c>
      <c r="AC9" s="35">
        <v>0.48196610295038794</v>
      </c>
      <c r="AM9" s="2" t="s">
        <v>163</v>
      </c>
      <c r="AN9" s="3">
        <v>41429.537453703706</v>
      </c>
      <c r="AO9" s="5">
        <v>1</v>
      </c>
      <c r="AP9" s="6">
        <v>4.9937951807227101</v>
      </c>
      <c r="AQ9" s="5" t="s">
        <v>200</v>
      </c>
      <c r="AR9" s="6">
        <v>8.8777183080211692</v>
      </c>
      <c r="AS9" s="5">
        <v>4.9086859879125697</v>
      </c>
      <c r="AT9" s="6">
        <v>4.90553687195073</v>
      </c>
      <c r="AU9" s="6">
        <v>5.0317403023145904</v>
      </c>
      <c r="AV9" s="6">
        <v>5.9815783943190102</v>
      </c>
      <c r="AW9" s="5">
        <v>4.9088369537187502</v>
      </c>
      <c r="AX9" s="6">
        <v>4.6672903998085298</v>
      </c>
    </row>
    <row r="10" spans="1:50">
      <c r="A10" s="13" t="s">
        <v>97</v>
      </c>
      <c r="B10" s="24">
        <v>41429.612349537034</v>
      </c>
      <c r="C10" s="29">
        <v>2.7</v>
      </c>
      <c r="D10" s="29">
        <v>1.6325883357862101</v>
      </c>
      <c r="E10" s="29">
        <f t="shared" si="0"/>
        <v>3.9955703633091484E-2</v>
      </c>
      <c r="F10" s="29">
        <v>1.2550948397630299</v>
      </c>
      <c r="G10" s="29">
        <f t="shared" si="1"/>
        <v>6.500446253441175E-2</v>
      </c>
      <c r="H10" s="47">
        <v>89.971937505850804</v>
      </c>
      <c r="I10" s="32">
        <f t="shared" si="2"/>
        <v>4.973877733163838</v>
      </c>
      <c r="J10" s="29">
        <v>5.9093837266635898</v>
      </c>
      <c r="K10" s="29">
        <f t="shared" si="3"/>
        <v>0.13175153475891513</v>
      </c>
      <c r="L10" s="38">
        <v>20.278726203167199</v>
      </c>
      <c r="M10" s="38">
        <f t="shared" si="4"/>
        <v>0.43386872735299248</v>
      </c>
      <c r="N10" s="29">
        <v>0.97424263787163501</v>
      </c>
      <c r="O10" s="29">
        <f t="shared" si="5"/>
        <v>1.6119031803934071E-2</v>
      </c>
      <c r="P10" s="38">
        <v>69.221164100783895</v>
      </c>
      <c r="Q10" s="38">
        <f t="shared" si="6"/>
        <v>1.1185890350899474</v>
      </c>
      <c r="R10" s="40">
        <v>1.03122512232329</v>
      </c>
      <c r="S10" s="40">
        <f t="shared" si="7"/>
        <v>4.9914217246144832E-3</v>
      </c>
      <c r="T10" s="40">
        <v>0.24945298849979</v>
      </c>
      <c r="U10" s="42">
        <f t="shared" si="8"/>
        <v>7.249515837923496E-3</v>
      </c>
      <c r="W10" s="13" t="s">
        <v>286</v>
      </c>
      <c r="X10" s="34">
        <v>0.99981284125977621</v>
      </c>
      <c r="Y10" s="34">
        <v>0.23797624717920188</v>
      </c>
      <c r="Z10" s="34">
        <v>5.6291389609848938E-3</v>
      </c>
      <c r="AA10" s="34">
        <v>3.4846370158503207E-3</v>
      </c>
      <c r="AB10" s="34">
        <f t="shared" si="9"/>
        <v>1.7423185079251603E-2</v>
      </c>
      <c r="AC10" s="35">
        <v>2.3654205105377663E-2</v>
      </c>
      <c r="AM10" s="2" t="s">
        <v>87</v>
      </c>
      <c r="AN10" s="3">
        <v>41429.540509259263</v>
      </c>
      <c r="AO10" s="5">
        <v>1</v>
      </c>
      <c r="AP10" s="6">
        <v>9.9252239495426302</v>
      </c>
      <c r="AQ10" s="5" t="s">
        <v>200</v>
      </c>
      <c r="AR10" s="6">
        <v>11.0899957495495</v>
      </c>
      <c r="AS10" s="5">
        <v>9.9310702575172805</v>
      </c>
      <c r="AT10" s="6">
        <v>9.9472314742317405</v>
      </c>
      <c r="AU10" s="6">
        <v>10.1817887471404</v>
      </c>
      <c r="AV10" s="6">
        <v>9.8423691743887201</v>
      </c>
      <c r="AW10" s="5">
        <v>9.8965926720069906</v>
      </c>
      <c r="AX10" s="6">
        <v>9.3511161813660308</v>
      </c>
    </row>
    <row r="11" spans="1:50">
      <c r="A11" s="13" t="s">
        <v>98</v>
      </c>
      <c r="B11" s="24">
        <v>41429.615416666667</v>
      </c>
      <c r="C11" s="29">
        <v>3.3666666666666667</v>
      </c>
      <c r="D11" s="29">
        <v>1.87210166783939</v>
      </c>
      <c r="E11" s="29">
        <f t="shared" si="0"/>
        <v>4.5817514294064061E-2</v>
      </c>
      <c r="F11" s="29">
        <v>1.3404827375445501</v>
      </c>
      <c r="G11" s="29">
        <f t="shared" si="1"/>
        <v>6.942691271616773E-2</v>
      </c>
      <c r="H11" s="46">
        <v>103.66954728243201</v>
      </c>
      <c r="I11" s="32">
        <f t="shared" si="2"/>
        <v>5.7311164695295425</v>
      </c>
      <c r="J11" s="29">
        <v>9.9327802133494902</v>
      </c>
      <c r="K11" s="29">
        <f t="shared" si="3"/>
        <v>0.22145440168777844</v>
      </c>
      <c r="L11" s="38">
        <v>50.103531931916798</v>
      </c>
      <c r="M11" s="38">
        <f t="shared" si="4"/>
        <v>1.0719783588673135</v>
      </c>
      <c r="N11" s="29">
        <v>3.6288459360049301</v>
      </c>
      <c r="O11" s="29">
        <f t="shared" si="5"/>
        <v>6.0039953888517246E-2</v>
      </c>
      <c r="P11" s="38">
        <v>84.586263810435199</v>
      </c>
      <c r="Q11" s="38">
        <f t="shared" si="6"/>
        <v>1.3668835022742265</v>
      </c>
      <c r="R11" s="40">
        <v>1.26157908293748</v>
      </c>
      <c r="S11" s="40">
        <f t="shared" si="7"/>
        <v>6.1064001502469378E-3</v>
      </c>
      <c r="T11" s="40">
        <v>1.38162112362332</v>
      </c>
      <c r="U11" s="42">
        <f t="shared" si="8"/>
        <v>4.015219171337106E-2</v>
      </c>
      <c r="W11" s="13" t="s">
        <v>287</v>
      </c>
      <c r="X11" s="34">
        <v>0.99990255466739919</v>
      </c>
      <c r="Y11" s="34">
        <v>4.1774202538390016E-2</v>
      </c>
      <c r="Z11" s="34">
        <v>3.7993625622470546E-3</v>
      </c>
      <c r="AA11" s="34">
        <v>5.1725651580625261E-2</v>
      </c>
      <c r="AB11" s="34">
        <f t="shared" si="9"/>
        <v>0.25862825790312632</v>
      </c>
      <c r="AC11" s="35">
        <v>9.0949972264712506E-2</v>
      </c>
      <c r="AM11" s="2" t="s">
        <v>164</v>
      </c>
      <c r="AN11" s="3">
        <v>41429.543553240743</v>
      </c>
      <c r="AO11" s="5">
        <v>1</v>
      </c>
      <c r="AP11" s="6">
        <v>49.493920790193101</v>
      </c>
      <c r="AQ11" s="5" t="s">
        <v>200</v>
      </c>
      <c r="AR11" s="6">
        <v>51.550914633867698</v>
      </c>
      <c r="AS11" s="5">
        <v>49.287414341250503</v>
      </c>
      <c r="AT11" s="6">
        <v>49.445110577966503</v>
      </c>
      <c r="AU11" s="6">
        <v>52.391319618054702</v>
      </c>
      <c r="AV11" s="6">
        <v>48.820532521262898</v>
      </c>
      <c r="AW11" s="5">
        <v>49.7370064632211</v>
      </c>
      <c r="AX11" s="6">
        <v>46.884115661609201</v>
      </c>
    </row>
    <row r="12" spans="1:50">
      <c r="A12" s="13" t="s">
        <v>99</v>
      </c>
      <c r="B12" s="24">
        <v>41429.618472222224</v>
      </c>
      <c r="C12" s="29">
        <v>3.9238095238095236</v>
      </c>
      <c r="D12" s="29">
        <v>1.5423042449525401</v>
      </c>
      <c r="E12" s="29">
        <f t="shared" si="0"/>
        <v>3.7746105354664473E-2</v>
      </c>
      <c r="F12" s="29">
        <v>0.98791896295108994</v>
      </c>
      <c r="G12" s="29">
        <f t="shared" si="1"/>
        <v>5.1166763801143524E-2</v>
      </c>
      <c r="H12" s="47">
        <v>85.674711046692096</v>
      </c>
      <c r="I12" s="32">
        <f t="shared" si="2"/>
        <v>4.7363161157074831</v>
      </c>
      <c r="J12" s="29">
        <v>29.6840106725829</v>
      </c>
      <c r="K12" s="29">
        <f t="shared" si="3"/>
        <v>0.66181418313833162</v>
      </c>
      <c r="L12" s="38">
        <v>27.443677322727599</v>
      </c>
      <c r="M12" s="38">
        <f t="shared" si="4"/>
        <v>0.5871647575200426</v>
      </c>
      <c r="N12" s="29">
        <v>3.1263139416278101</v>
      </c>
      <c r="O12" s="29">
        <f t="shared" si="5"/>
        <v>5.172546539768761E-2</v>
      </c>
      <c r="P12" s="38">
        <v>87.766552298904102</v>
      </c>
      <c r="Q12" s="38">
        <f t="shared" si="6"/>
        <v>1.4182758167178926</v>
      </c>
      <c r="R12" s="40">
        <v>0.83006971107940097</v>
      </c>
      <c r="S12" s="40">
        <f t="shared" si="7"/>
        <v>4.0177725495008686E-3</v>
      </c>
      <c r="T12" s="40">
        <v>1.0099565643408099</v>
      </c>
      <c r="U12" s="42">
        <f t="shared" si="8"/>
        <v>2.9351005786044795E-2</v>
      </c>
      <c r="W12" s="13" t="s">
        <v>288</v>
      </c>
      <c r="X12" s="34">
        <v>0.99999995705365186</v>
      </c>
      <c r="Y12" s="34">
        <v>4.5958913451128241E-3</v>
      </c>
      <c r="Z12" s="34">
        <v>1.9911613354074236E-3</v>
      </c>
      <c r="AA12" s="34">
        <v>4.306451117800697E-2</v>
      </c>
      <c r="AB12" s="34">
        <f t="shared" si="9"/>
        <v>0.21532255589003485</v>
      </c>
      <c r="AC12" s="35">
        <v>0.43324813096914994</v>
      </c>
      <c r="AM12" s="2" t="s">
        <v>88</v>
      </c>
      <c r="AN12" s="3">
        <v>41429.546597222223</v>
      </c>
      <c r="AO12" s="5">
        <v>1</v>
      </c>
      <c r="AP12" s="6">
        <v>86.2137277776133</v>
      </c>
      <c r="AQ12" s="5">
        <v>80.728090700005197</v>
      </c>
      <c r="AR12" s="6">
        <v>91.313831731337004</v>
      </c>
      <c r="AS12" s="5">
        <v>90.3777062981016</v>
      </c>
      <c r="AT12" s="6">
        <v>89.616177830785304</v>
      </c>
      <c r="AU12" s="6">
        <v>92.547380413861404</v>
      </c>
      <c r="AV12" s="6">
        <v>85.575352943106907</v>
      </c>
      <c r="AW12" s="5">
        <v>100.09321805072599</v>
      </c>
      <c r="AX12" s="6">
        <v>88.414708742849498</v>
      </c>
    </row>
    <row r="13" spans="1:50">
      <c r="A13" s="13" t="s">
        <v>100</v>
      </c>
      <c r="B13" s="24">
        <v>41429.621539351851</v>
      </c>
      <c r="C13" s="29">
        <v>3.7272727272727266</v>
      </c>
      <c r="D13" s="29">
        <v>2.4054643159469999</v>
      </c>
      <c r="E13" s="29">
        <f t="shared" si="0"/>
        <v>5.8870945725378182E-2</v>
      </c>
      <c r="F13" s="29">
        <v>0.62931467259273299</v>
      </c>
      <c r="G13" s="29">
        <f t="shared" si="1"/>
        <v>3.2593761651218044E-2</v>
      </c>
      <c r="H13" s="46">
        <v>113.13714240818301</v>
      </c>
      <c r="I13" s="32">
        <f t="shared" si="2"/>
        <v>6.2545092282941415</v>
      </c>
      <c r="J13" s="29">
        <v>11.726845184838901</v>
      </c>
      <c r="K13" s="29">
        <f t="shared" si="3"/>
        <v>0.26145363416009465</v>
      </c>
      <c r="L13" s="38">
        <v>26.2897606889792</v>
      </c>
      <c r="M13" s="38">
        <f t="shared" si="4"/>
        <v>0.5624764049904013</v>
      </c>
      <c r="N13" s="29">
        <v>1.5284835428641801</v>
      </c>
      <c r="O13" s="29">
        <f t="shared" si="5"/>
        <v>2.5289054165235351E-2</v>
      </c>
      <c r="P13" s="38">
        <v>145.31108143340299</v>
      </c>
      <c r="Q13" s="38">
        <f t="shared" si="6"/>
        <v>2.3481746439832887</v>
      </c>
      <c r="R13" s="40">
        <v>1.00963933565296</v>
      </c>
      <c r="S13" s="40">
        <f t="shared" si="7"/>
        <v>4.8869404021594622E-3</v>
      </c>
      <c r="T13" s="40">
        <v>0.198633783054288</v>
      </c>
      <c r="U13" s="42">
        <f t="shared" si="8"/>
        <v>5.7726257955812502E-3</v>
      </c>
      <c r="W13" s="16" t="s">
        <v>289</v>
      </c>
      <c r="X13" s="36">
        <v>0.99993139615385729</v>
      </c>
      <c r="Y13" s="36">
        <v>0.11902603843305665</v>
      </c>
      <c r="Z13" s="36">
        <v>6.0929368282854127E-3</v>
      </c>
      <c r="AA13" s="36">
        <v>1.9225690170913672E-2</v>
      </c>
      <c r="AB13" s="36">
        <f t="shared" si="9"/>
        <v>9.6128450854568365E-2</v>
      </c>
      <c r="AC13" s="37">
        <v>5.1189948926278338E-2</v>
      </c>
      <c r="AM13" s="2" t="s">
        <v>89</v>
      </c>
      <c r="AN13" s="3">
        <v>41429.54959490741</v>
      </c>
      <c r="AO13" s="5">
        <v>1</v>
      </c>
      <c r="AP13" s="6">
        <v>1029.9580195875001</v>
      </c>
      <c r="AQ13" s="5">
        <v>1030.2633133449599</v>
      </c>
      <c r="AR13" s="6">
        <v>1024.9078714433399</v>
      </c>
      <c r="AS13" s="5">
        <v>1019.5084040875799</v>
      </c>
      <c r="AT13" s="6">
        <v>1019.2742710011599</v>
      </c>
      <c r="AU13" s="6">
        <v>1034.9240531789801</v>
      </c>
      <c r="AV13" s="6">
        <v>1025.1199225939599</v>
      </c>
      <c r="AW13" s="5">
        <v>1000.00542622619</v>
      </c>
      <c r="AX13" s="6">
        <v>1020.76374692517</v>
      </c>
    </row>
    <row r="14" spans="1:50">
      <c r="A14" s="13" t="s">
        <v>101</v>
      </c>
      <c r="B14" s="24">
        <v>41429.633750000001</v>
      </c>
      <c r="C14" s="29">
        <v>3.0074074074074071</v>
      </c>
      <c r="D14" s="29">
        <v>2.38421143769511</v>
      </c>
      <c r="E14" s="29">
        <f t="shared" si="0"/>
        <v>5.8350806210615724E-2</v>
      </c>
      <c r="F14" s="29">
        <v>1.6251122324082101</v>
      </c>
      <c r="G14" s="29">
        <f t="shared" si="1"/>
        <v>8.4168577448489199E-2</v>
      </c>
      <c r="H14" s="47">
        <v>114.10450486564299</v>
      </c>
      <c r="I14" s="32">
        <f t="shared" si="2"/>
        <v>6.3079874874096129</v>
      </c>
      <c r="J14" s="29">
        <v>7.4176760954893703</v>
      </c>
      <c r="K14" s="29">
        <f t="shared" si="3"/>
        <v>0.16537937882010162</v>
      </c>
      <c r="L14" s="38">
        <v>56.803558735103998</v>
      </c>
      <c r="M14" s="38">
        <f t="shared" si="4"/>
        <v>1.2153272099344854</v>
      </c>
      <c r="N14" s="29">
        <v>6.1889963493748699</v>
      </c>
      <c r="O14" s="29">
        <f t="shared" si="5"/>
        <v>0.10239813483009325</v>
      </c>
      <c r="P14" s="38">
        <v>99.420291790262098</v>
      </c>
      <c r="Q14" s="38">
        <f t="shared" si="6"/>
        <v>1.6065960419289005</v>
      </c>
      <c r="R14" s="40">
        <v>1.3184072445067201</v>
      </c>
      <c r="S14" s="40">
        <f t="shared" si="7"/>
        <v>6.3814645509158753E-3</v>
      </c>
      <c r="T14" s="40">
        <v>0.80599900086669096</v>
      </c>
      <c r="U14" s="42">
        <f t="shared" si="8"/>
        <v>2.3423662138802193E-2</v>
      </c>
      <c r="AM14" s="2" t="s">
        <v>116</v>
      </c>
      <c r="AN14" s="3">
        <v>41429.553020833337</v>
      </c>
      <c r="AO14" s="5">
        <v>1</v>
      </c>
      <c r="AP14" s="6">
        <v>1985.03395119007</v>
      </c>
      <c r="AQ14" s="5">
        <v>1984.9283202035399</v>
      </c>
      <c r="AR14" s="6">
        <v>1987.4880688969999</v>
      </c>
      <c r="AS14" s="5">
        <v>1990.26423790634</v>
      </c>
      <c r="AT14" s="6">
        <v>1990.3771766075099</v>
      </c>
      <c r="AU14" s="6">
        <v>1982.4771768535099</v>
      </c>
      <c r="AV14" s="6">
        <v>1987.4678689063301</v>
      </c>
      <c r="AW14" s="5">
        <v>0.42332885077437499</v>
      </c>
      <c r="AX14" s="6">
        <v>1989.70032341979</v>
      </c>
    </row>
    <row r="15" spans="1:50">
      <c r="A15" s="13" t="s">
        <v>102</v>
      </c>
      <c r="B15" s="24">
        <v>41429.636805555558</v>
      </c>
      <c r="C15" s="29">
        <v>5.4</v>
      </c>
      <c r="D15" s="29">
        <v>1.6340012446096501</v>
      </c>
      <c r="E15" s="29">
        <f t="shared" si="0"/>
        <v>3.9990282935768395E-2</v>
      </c>
      <c r="F15" s="29">
        <v>0.91150765853516702</v>
      </c>
      <c r="G15" s="29">
        <f t="shared" si="1"/>
        <v>4.7209233566975553E-2</v>
      </c>
      <c r="H15" s="46">
        <v>93.313272963139198</v>
      </c>
      <c r="I15" s="32">
        <f t="shared" si="2"/>
        <v>5.158595262770854</v>
      </c>
      <c r="J15" s="29">
        <v>13.207352830592001</v>
      </c>
      <c r="K15" s="29">
        <f t="shared" si="3"/>
        <v>0.29446200924160398</v>
      </c>
      <c r="L15" s="38">
        <v>20.8450980638594</v>
      </c>
      <c r="M15" s="38">
        <f t="shared" si="4"/>
        <v>0.445986403579061</v>
      </c>
      <c r="N15" s="29">
        <v>1.1451832955899801</v>
      </c>
      <c r="O15" s="29">
        <f t="shared" si="5"/>
        <v>1.8947277860139281E-2</v>
      </c>
      <c r="P15" s="38">
        <v>78.711475187637404</v>
      </c>
      <c r="Q15" s="38">
        <f t="shared" si="6"/>
        <v>1.2719490379048477</v>
      </c>
      <c r="R15" s="40">
        <v>1.11920667282265</v>
      </c>
      <c r="S15" s="40">
        <f t="shared" si="7"/>
        <v>5.4172773530522253E-3</v>
      </c>
      <c r="T15" s="40">
        <v>0.78461658016102198</v>
      </c>
      <c r="U15" s="42">
        <f t="shared" si="8"/>
        <v>2.2802253678269675E-2</v>
      </c>
      <c r="AM15" s="2" t="s">
        <v>165</v>
      </c>
      <c r="AN15" s="3">
        <v>41429.556655092594</v>
      </c>
      <c r="AO15" s="5">
        <v>1</v>
      </c>
      <c r="AP15" s="6">
        <v>3555.0552240494899</v>
      </c>
      <c r="AQ15" s="5">
        <v>3523.5319712281298</v>
      </c>
      <c r="AR15" s="6">
        <v>3564.98826360045</v>
      </c>
      <c r="AS15" s="5">
        <v>3608.5398565393298</v>
      </c>
      <c r="AT15" s="6">
        <v>3591.3108865581498</v>
      </c>
      <c r="AU15" s="6">
        <v>3517.82183562613</v>
      </c>
      <c r="AV15" s="6">
        <v>3539.6528968908901</v>
      </c>
      <c r="AW15" s="5">
        <v>0.76004034879154803</v>
      </c>
      <c r="AX15" s="6">
        <v>3641.4296507180102</v>
      </c>
    </row>
    <row r="16" spans="1:50">
      <c r="A16" s="13" t="s">
        <v>103</v>
      </c>
      <c r="B16" s="24">
        <v>41429.639861111114</v>
      </c>
      <c r="C16" s="29">
        <v>2.0449999999999999</v>
      </c>
      <c r="D16" s="29">
        <v>1.8166670044461601</v>
      </c>
      <c r="E16" s="29">
        <f t="shared" si="0"/>
        <v>4.4460815282446157E-2</v>
      </c>
      <c r="F16" s="29">
        <v>0.94920165215087904</v>
      </c>
      <c r="G16" s="29">
        <f t="shared" si="1"/>
        <v>4.9161498621485326E-2</v>
      </c>
      <c r="H16" s="47">
        <v>93.966107444878489</v>
      </c>
      <c r="I16" s="32">
        <f t="shared" si="2"/>
        <v>5.1946856147425837</v>
      </c>
      <c r="J16" s="29">
        <v>5.9761952223982098</v>
      </c>
      <c r="K16" s="29">
        <f t="shared" si="3"/>
        <v>0.13324111768494129</v>
      </c>
      <c r="L16" s="38">
        <v>10.7483520664045</v>
      </c>
      <c r="M16" s="38">
        <f t="shared" si="4"/>
        <v>0.22996384415232582</v>
      </c>
      <c r="N16" s="29">
        <v>2.1409305072214599</v>
      </c>
      <c r="O16" s="29">
        <f t="shared" si="5"/>
        <v>3.5422106972557259E-2</v>
      </c>
      <c r="P16" s="38">
        <v>64.933261146615905</v>
      </c>
      <c r="Q16" s="38">
        <f t="shared" si="6"/>
        <v>1.0492980705364086</v>
      </c>
      <c r="R16" s="40">
        <v>1.1194427435388099</v>
      </c>
      <c r="S16" s="40">
        <f t="shared" si="7"/>
        <v>5.4184200021941808E-3</v>
      </c>
      <c r="T16" s="40">
        <v>0.120864612714898</v>
      </c>
      <c r="U16" s="42">
        <f t="shared" si="8"/>
        <v>3.5125252633398706E-3</v>
      </c>
      <c r="W16" s="48" t="s">
        <v>354</v>
      </c>
    </row>
    <row r="17" spans="1:34">
      <c r="A17" s="13" t="s">
        <v>104</v>
      </c>
      <c r="B17" s="24">
        <v>41429.642905092594</v>
      </c>
      <c r="C17" s="29">
        <v>3.4333333333333336</v>
      </c>
      <c r="D17" s="29">
        <v>1.6025412070951</v>
      </c>
      <c r="E17" s="29">
        <f t="shared" si="0"/>
        <v>3.9220335051379056E-2</v>
      </c>
      <c r="F17" s="29">
        <v>1.2866360267522301</v>
      </c>
      <c r="G17" s="29">
        <f t="shared" si="1"/>
        <v>6.6638058532876243E-2</v>
      </c>
      <c r="H17" s="46">
        <v>94.823026095626702</v>
      </c>
      <c r="I17" s="32">
        <f t="shared" si="2"/>
        <v>5.2420582590830724</v>
      </c>
      <c r="J17" s="29">
        <v>4.4590634442498596</v>
      </c>
      <c r="K17" s="29">
        <f t="shared" si="3"/>
        <v>9.9416196263664602E-2</v>
      </c>
      <c r="L17" s="38">
        <v>12.929788945344599</v>
      </c>
      <c r="M17" s="38">
        <f t="shared" si="4"/>
        <v>0.27663626494366744</v>
      </c>
      <c r="N17" s="29">
        <v>1.42963096466864</v>
      </c>
      <c r="O17" s="29">
        <f t="shared" si="5"/>
        <v>2.3653519248270718E-2</v>
      </c>
      <c r="P17" s="38">
        <v>75.998006763901202</v>
      </c>
      <c r="Q17" s="38">
        <f t="shared" si="6"/>
        <v>1.2281003672665602</v>
      </c>
      <c r="R17" s="40">
        <v>1.37092796238658</v>
      </c>
      <c r="S17" s="40">
        <f t="shared" si="7"/>
        <v>6.6356797038858353E-3</v>
      </c>
      <c r="T17" s="40">
        <v>1.7005594127011301</v>
      </c>
      <c r="U17" s="42">
        <f t="shared" si="8"/>
        <v>4.9421065146778548E-2</v>
      </c>
    </row>
    <row r="18" spans="1:34">
      <c r="A18" s="13" t="s">
        <v>105</v>
      </c>
      <c r="B18" s="24">
        <v>41429.645972222221</v>
      </c>
      <c r="C18" s="29">
        <v>5.0999999999999996</v>
      </c>
      <c r="D18" s="29">
        <v>1.5363484309453099</v>
      </c>
      <c r="E18" s="29">
        <f t="shared" si="0"/>
        <v>3.760034372318001E-2</v>
      </c>
      <c r="F18" s="29">
        <v>1.0598096213808401</v>
      </c>
      <c r="G18" s="29">
        <f t="shared" si="1"/>
        <v>5.4890158611174945E-2</v>
      </c>
      <c r="H18" s="47">
        <v>87.68748241706659</v>
      </c>
      <c r="I18" s="32">
        <f t="shared" si="2"/>
        <v>4.8475872406669112</v>
      </c>
      <c r="J18" s="29">
        <v>6.1235531899834603</v>
      </c>
      <c r="K18" s="29">
        <f t="shared" si="3"/>
        <v>0.13652650907029182</v>
      </c>
      <c r="L18" s="38">
        <v>26.381262428894502</v>
      </c>
      <c r="M18" s="38">
        <f t="shared" si="4"/>
        <v>0.56443410899261004</v>
      </c>
      <c r="N18" s="29">
        <v>0.96396203080421405</v>
      </c>
      <c r="O18" s="29">
        <f t="shared" si="5"/>
        <v>1.5948937182900517E-2</v>
      </c>
      <c r="P18" s="38">
        <v>84.303158660783893</v>
      </c>
      <c r="Q18" s="38">
        <f t="shared" si="6"/>
        <v>1.3623086252074905</v>
      </c>
      <c r="R18" s="40">
        <v>1.27916401730068</v>
      </c>
      <c r="S18" s="40">
        <f t="shared" si="7"/>
        <v>6.1915162141463961E-3</v>
      </c>
      <c r="T18" s="40">
        <v>0.14837446511803901</v>
      </c>
      <c r="U18" s="42">
        <f t="shared" si="8"/>
        <v>4.312007008958149E-3</v>
      </c>
      <c r="W18" s="65" t="s">
        <v>251</v>
      </c>
      <c r="X18" s="66" t="s">
        <v>202</v>
      </c>
      <c r="Y18" s="66" t="s">
        <v>239</v>
      </c>
      <c r="Z18" s="66" t="s">
        <v>264</v>
      </c>
      <c r="AA18" s="66" t="s">
        <v>301</v>
      </c>
      <c r="AB18" s="66" t="s">
        <v>266</v>
      </c>
      <c r="AC18" s="66" t="s">
        <v>315</v>
      </c>
      <c r="AD18" s="66" t="s">
        <v>268</v>
      </c>
      <c r="AE18" s="66" t="s">
        <v>269</v>
      </c>
      <c r="AF18" s="66" t="s">
        <v>270</v>
      </c>
      <c r="AG18" s="66" t="s">
        <v>271</v>
      </c>
      <c r="AH18" s="67" t="s">
        <v>272</v>
      </c>
    </row>
    <row r="19" spans="1:34">
      <c r="A19" s="13" t="s">
        <v>106</v>
      </c>
      <c r="B19" s="24">
        <v>41429.649039351854</v>
      </c>
      <c r="C19" s="29">
        <v>3.1538461538461533</v>
      </c>
      <c r="D19" s="29">
        <v>2.7771559125639103</v>
      </c>
      <c r="E19" s="29">
        <f t="shared" si="0"/>
        <v>6.7967665916132167E-2</v>
      </c>
      <c r="F19" s="29">
        <v>1.46869557736734</v>
      </c>
      <c r="G19" s="29">
        <f t="shared" si="1"/>
        <v>7.6067372447692613E-2</v>
      </c>
      <c r="H19" s="46">
        <v>135.27924244733202</v>
      </c>
      <c r="I19" s="32">
        <f t="shared" si="2"/>
        <v>7.4785808822256534</v>
      </c>
      <c r="J19" s="29">
        <v>12.906995179918599</v>
      </c>
      <c r="K19" s="29">
        <f t="shared" si="3"/>
        <v>0.28776544268183762</v>
      </c>
      <c r="L19" s="38">
        <v>105.079607964564</v>
      </c>
      <c r="M19" s="38">
        <f t="shared" si="4"/>
        <v>2.2482060915254252</v>
      </c>
      <c r="N19" s="29">
        <v>1.7992098061392201</v>
      </c>
      <c r="O19" s="29">
        <f t="shared" si="5"/>
        <v>2.9768272255529582E-2</v>
      </c>
      <c r="P19" s="38">
        <v>153.72816802809899</v>
      </c>
      <c r="Q19" s="38">
        <f t="shared" si="6"/>
        <v>2.4841917262519599</v>
      </c>
      <c r="R19" s="40">
        <v>1.31068696127201</v>
      </c>
      <c r="S19" s="40">
        <f t="shared" si="7"/>
        <v>6.3440961930047611E-3</v>
      </c>
      <c r="T19" s="40">
        <v>0.196787151018222</v>
      </c>
      <c r="U19" s="42">
        <f t="shared" si="8"/>
        <v>5.7189596187485411E-3</v>
      </c>
      <c r="W19" s="13" t="s">
        <v>236</v>
      </c>
      <c r="X19" s="24">
        <v>41429.566365740742</v>
      </c>
      <c r="Y19" s="14">
        <v>1</v>
      </c>
      <c r="Z19" s="34">
        <v>10.0235260141928</v>
      </c>
      <c r="AA19" s="32">
        <v>70679.786666666667</v>
      </c>
      <c r="AB19" s="34">
        <v>11.9156598700747</v>
      </c>
      <c r="AC19" s="34">
        <v>9.9693403411092003</v>
      </c>
      <c r="AD19" s="34">
        <v>10.0496955074772</v>
      </c>
      <c r="AE19" s="34">
        <v>10.297419801141601</v>
      </c>
      <c r="AF19" s="34">
        <v>9.9051730613141107</v>
      </c>
      <c r="AG19" s="34">
        <v>9.8986074801956203</v>
      </c>
      <c r="AH19" s="35">
        <v>9.7946897143474505</v>
      </c>
    </row>
    <row r="20" spans="1:34">
      <c r="A20" s="13" t="s">
        <v>107</v>
      </c>
      <c r="B20" s="24">
        <v>41429.652060185188</v>
      </c>
      <c r="C20" s="29">
        <v>5.52</v>
      </c>
      <c r="D20" s="29">
        <v>2.26651232792095</v>
      </c>
      <c r="E20" s="29">
        <f t="shared" si="0"/>
        <v>5.547025718001744E-2</v>
      </c>
      <c r="F20" s="29">
        <v>1.4958112723216099</v>
      </c>
      <c r="G20" s="29">
        <f t="shared" si="1"/>
        <v>7.7471761280238666E-2</v>
      </c>
      <c r="H20" s="47">
        <v>117.28459035560901</v>
      </c>
      <c r="I20" s="32">
        <f t="shared" si="2"/>
        <v>6.4837907083535971</v>
      </c>
      <c r="J20" s="29">
        <v>10.8344146926684</v>
      </c>
      <c r="K20" s="29">
        <f t="shared" si="3"/>
        <v>0.24155662079157844</v>
      </c>
      <c r="L20" s="38">
        <v>26.2352187486165</v>
      </c>
      <c r="M20" s="38">
        <f t="shared" si="4"/>
        <v>0.56130946570558415</v>
      </c>
      <c r="N20" s="29">
        <v>4.8919148924246398</v>
      </c>
      <c r="O20" s="29">
        <f t="shared" si="5"/>
        <v>8.0937672678129138E-2</v>
      </c>
      <c r="P20" s="38">
        <v>115.328690436207</v>
      </c>
      <c r="Q20" s="38">
        <f t="shared" si="6"/>
        <v>1.8636700238874357</v>
      </c>
      <c r="R20" s="40">
        <v>2.7111238602858201</v>
      </c>
      <c r="S20" s="40">
        <f t="shared" si="7"/>
        <v>1.3122607509661616E-2</v>
      </c>
      <c r="T20" s="40">
        <v>1.23130601094201</v>
      </c>
      <c r="U20" s="42">
        <f t="shared" si="8"/>
        <v>3.5783786281085257E-2</v>
      </c>
      <c r="W20" s="13" t="s">
        <v>236</v>
      </c>
      <c r="X20" s="24">
        <v>41429.575486111113</v>
      </c>
      <c r="Y20" s="14">
        <v>1</v>
      </c>
      <c r="Z20" s="34">
        <v>9.8701599679770293</v>
      </c>
      <c r="AA20" s="32">
        <v>70147.44666666667</v>
      </c>
      <c r="AB20" s="34">
        <v>12.7691889210234</v>
      </c>
      <c r="AC20" s="34">
        <v>9.7242767410666904</v>
      </c>
      <c r="AD20" s="34">
        <v>9.8384643225230892</v>
      </c>
      <c r="AE20" s="34">
        <v>10.0827682622631</v>
      </c>
      <c r="AF20" s="34">
        <v>9.8857823054296308</v>
      </c>
      <c r="AG20" s="34">
        <v>9.9112337235705805</v>
      </c>
      <c r="AH20" s="35">
        <v>9.5765740900797507</v>
      </c>
    </row>
    <row r="21" spans="1:34">
      <c r="A21" s="13" t="s">
        <v>108</v>
      </c>
      <c r="B21" s="24">
        <v>41429.655127314814</v>
      </c>
      <c r="C21" s="29">
        <v>5.8571428571428568</v>
      </c>
      <c r="D21" s="29">
        <v>2.2711837934852301</v>
      </c>
      <c r="E21" s="29">
        <f t="shared" si="0"/>
        <v>5.5584585874843426E-2</v>
      </c>
      <c r="F21" s="29">
        <v>1.2142220999502198</v>
      </c>
      <c r="G21" s="29">
        <f t="shared" si="1"/>
        <v>6.2887562361081242E-2</v>
      </c>
      <c r="H21" s="46">
        <v>114.46290724304501</v>
      </c>
      <c r="I21" s="32">
        <f t="shared" si="2"/>
        <v>6.3278008831626718</v>
      </c>
      <c r="J21" s="29">
        <v>11.518282092726499</v>
      </c>
      <c r="K21" s="29">
        <f t="shared" si="3"/>
        <v>0.25680365562580371</v>
      </c>
      <c r="L21" s="38">
        <v>24.243502179370498</v>
      </c>
      <c r="M21" s="38">
        <f t="shared" si="4"/>
        <v>0.51869616127566054</v>
      </c>
      <c r="N21" s="29">
        <v>2.1351638963084998</v>
      </c>
      <c r="O21" s="29">
        <f t="shared" si="5"/>
        <v>3.5326697286003211E-2</v>
      </c>
      <c r="P21" s="38">
        <v>117.642049945995</v>
      </c>
      <c r="Q21" s="38">
        <f t="shared" si="6"/>
        <v>1.9010530788459208</v>
      </c>
      <c r="R21" s="40">
        <v>2.1384925456556001</v>
      </c>
      <c r="S21" s="40">
        <f t="shared" si="7"/>
        <v>1.0350909727900467E-2</v>
      </c>
      <c r="T21" s="40">
        <v>2.64847114315794</v>
      </c>
      <c r="U21" s="42">
        <f t="shared" si="8"/>
        <v>7.6968945588010054E-2</v>
      </c>
      <c r="W21" s="13" t="s">
        <v>236</v>
      </c>
      <c r="X21" s="24">
        <v>41429.627638888887</v>
      </c>
      <c r="Y21" s="14">
        <v>1</v>
      </c>
      <c r="Z21" s="34">
        <v>10.1165702144463</v>
      </c>
      <c r="AA21" s="32">
        <v>78432.856666666674</v>
      </c>
      <c r="AB21" s="34">
        <v>12.850416159438501</v>
      </c>
      <c r="AC21" s="34">
        <v>9.8888046588704004</v>
      </c>
      <c r="AD21" s="34">
        <v>10.0759154152523</v>
      </c>
      <c r="AE21" s="34">
        <v>10.3493836096198</v>
      </c>
      <c r="AF21" s="34">
        <v>10.0449995005449</v>
      </c>
      <c r="AG21" s="34">
        <v>9.8418867431849009</v>
      </c>
      <c r="AH21" s="35">
        <v>9.4401649444534392</v>
      </c>
    </row>
    <row r="22" spans="1:34">
      <c r="A22" s="13" t="s">
        <v>109</v>
      </c>
      <c r="B22" s="24">
        <v>41429.658194444448</v>
      </c>
      <c r="C22" s="29">
        <v>1.9285714285714284</v>
      </c>
      <c r="D22" s="29">
        <v>2.0380283180253098</v>
      </c>
      <c r="E22" s="29">
        <f t="shared" si="0"/>
        <v>4.9878376370766066E-2</v>
      </c>
      <c r="F22" s="29">
        <v>1.23501496380509</v>
      </c>
      <c r="G22" s="29">
        <f t="shared" si="1"/>
        <v>6.3964476150076055E-2</v>
      </c>
      <c r="H22" s="47">
        <v>105.65040771511499</v>
      </c>
      <c r="I22" s="32">
        <f t="shared" si="2"/>
        <v>5.840623476622576</v>
      </c>
      <c r="J22" s="29">
        <v>12.4001270676308</v>
      </c>
      <c r="K22" s="29">
        <f t="shared" si="3"/>
        <v>0.27646466161850064</v>
      </c>
      <c r="L22" s="38">
        <v>272.78411035001801</v>
      </c>
      <c r="M22" s="38">
        <f t="shared" si="4"/>
        <v>5.8362884144663827</v>
      </c>
      <c r="N22" s="29">
        <v>3.6640720268765699</v>
      </c>
      <c r="O22" s="29">
        <f t="shared" si="5"/>
        <v>6.0622776336453514E-2</v>
      </c>
      <c r="P22" s="38">
        <v>135.29585981366299</v>
      </c>
      <c r="Q22" s="38">
        <f t="shared" si="6"/>
        <v>2.1863322763581814</v>
      </c>
      <c r="R22" s="40">
        <v>1.0809107154687401</v>
      </c>
      <c r="S22" s="40">
        <f t="shared" si="7"/>
        <v>5.2319140707161984E-3</v>
      </c>
      <c r="T22" s="40">
        <v>4.3668490510439497</v>
      </c>
      <c r="U22" s="42">
        <f t="shared" si="8"/>
        <v>0.12690784563357096</v>
      </c>
      <c r="W22" s="13" t="s">
        <v>236</v>
      </c>
      <c r="X22" s="24">
        <v>41429.676539351851</v>
      </c>
      <c r="Y22" s="14">
        <v>1</v>
      </c>
      <c r="Z22" s="34">
        <v>9.9868559982097391</v>
      </c>
      <c r="AA22" s="32">
        <v>80281.786666666667</v>
      </c>
      <c r="AB22" s="34">
        <v>13.7634306952584</v>
      </c>
      <c r="AC22" s="34">
        <v>9.77162666903358</v>
      </c>
      <c r="AD22" s="34">
        <v>9.8242323465646706</v>
      </c>
      <c r="AE22" s="34">
        <v>10.179639745707201</v>
      </c>
      <c r="AF22" s="34">
        <v>9.7728884461550596</v>
      </c>
      <c r="AG22" s="34">
        <v>9.8914987971873796</v>
      </c>
      <c r="AH22" s="35">
        <v>9.1922206067479397</v>
      </c>
    </row>
    <row r="23" spans="1:34">
      <c r="A23" s="13" t="s">
        <v>110</v>
      </c>
      <c r="B23" s="24">
        <v>41429.664282407408</v>
      </c>
      <c r="C23" s="29">
        <v>3.375</v>
      </c>
      <c r="D23" s="29">
        <v>2.5727317066613899</v>
      </c>
      <c r="E23" s="29">
        <f t="shared" si="0"/>
        <v>6.2964620869545004E-2</v>
      </c>
      <c r="F23" s="29">
        <v>2.1810853489004498</v>
      </c>
      <c r="G23" s="29">
        <f t="shared" si="1"/>
        <v>0.11296379871478293</v>
      </c>
      <c r="H23" s="46">
        <v>122.54142375409799</v>
      </c>
      <c r="I23" s="32">
        <f t="shared" si="2"/>
        <v>6.7744018401411719</v>
      </c>
      <c r="J23" s="29">
        <v>17.253903459246398</v>
      </c>
      <c r="K23" s="29">
        <f t="shared" si="3"/>
        <v>0.38468110491469498</v>
      </c>
      <c r="L23" s="38">
        <v>19.3142731771852</v>
      </c>
      <c r="M23" s="38">
        <f t="shared" si="4"/>
        <v>0.41323399897891944</v>
      </c>
      <c r="N23" s="29">
        <v>1.4066325492927501</v>
      </c>
      <c r="O23" s="29">
        <f t="shared" si="5"/>
        <v>2.327300604296292E-2</v>
      </c>
      <c r="P23" s="38">
        <v>128.60448959962801</v>
      </c>
      <c r="Q23" s="38">
        <f t="shared" si="6"/>
        <v>2.0782021481180779</v>
      </c>
      <c r="R23" s="40">
        <v>2.0152227896874901</v>
      </c>
      <c r="S23" s="40">
        <f t="shared" si="7"/>
        <v>9.7542491883075861E-3</v>
      </c>
      <c r="T23" s="40" t="s">
        <v>185</v>
      </c>
      <c r="U23" s="42"/>
      <c r="W23" s="13" t="s">
        <v>236</v>
      </c>
      <c r="X23" s="24">
        <v>41429.691828703704</v>
      </c>
      <c r="Y23" s="14">
        <v>1</v>
      </c>
      <c r="Z23" s="34">
        <v>9.5600978048549408</v>
      </c>
      <c r="AA23" s="32">
        <v>78011.046666666662</v>
      </c>
      <c r="AB23" s="34">
        <v>13.414463872587501</v>
      </c>
      <c r="AC23" s="34">
        <v>9.5443962500848603</v>
      </c>
      <c r="AD23" s="34">
        <v>9.6167628452342306</v>
      </c>
      <c r="AE23" s="34">
        <v>10.000240606584599</v>
      </c>
      <c r="AF23" s="34">
        <v>9.6667272383049099</v>
      </c>
      <c r="AG23" s="34">
        <v>9.8765265952238295</v>
      </c>
      <c r="AH23" s="35">
        <v>8.9698204267607693</v>
      </c>
    </row>
    <row r="24" spans="1:34">
      <c r="A24" s="13" t="s">
        <v>111</v>
      </c>
      <c r="B24" s="24">
        <v>41429.667337962965</v>
      </c>
      <c r="C24" s="29">
        <v>1.9714285714285711</v>
      </c>
      <c r="D24" s="29">
        <v>2.0114950748665299</v>
      </c>
      <c r="E24" s="29">
        <f t="shared" si="0"/>
        <v>4.9229006056867294E-2</v>
      </c>
      <c r="F24" s="29">
        <v>0.34781253378632998</v>
      </c>
      <c r="G24" s="29">
        <f t="shared" si="1"/>
        <v>1.8014070415412673E-2</v>
      </c>
      <c r="H24" s="47">
        <v>99.766627415444106</v>
      </c>
      <c r="I24" s="32">
        <f t="shared" si="2"/>
        <v>5.515353124214549</v>
      </c>
      <c r="J24" s="29">
        <v>14.327603064893699</v>
      </c>
      <c r="K24" s="29">
        <f t="shared" si="3"/>
        <v>0.31943833410223615</v>
      </c>
      <c r="L24" s="38">
        <v>13.6998349753366</v>
      </c>
      <c r="M24" s="38">
        <f t="shared" si="4"/>
        <v>0.29311160405957665</v>
      </c>
      <c r="N24" s="29">
        <v>1.8681845269690101</v>
      </c>
      <c r="O24" s="29">
        <f t="shared" si="5"/>
        <v>3.090947227645224E-2</v>
      </c>
      <c r="P24" s="38">
        <v>80.422477086848502</v>
      </c>
      <c r="Q24" s="38">
        <f t="shared" si="6"/>
        <v>1.299598211222549</v>
      </c>
      <c r="R24" s="40">
        <v>1.31500500606111</v>
      </c>
      <c r="S24" s="40">
        <f t="shared" si="7"/>
        <v>6.3649967530295341E-3</v>
      </c>
      <c r="T24" s="40" t="s">
        <v>185</v>
      </c>
      <c r="U24" s="42"/>
      <c r="W24" s="13" t="s">
        <v>236</v>
      </c>
      <c r="X24" s="24">
        <v>41429.703993055555</v>
      </c>
      <c r="Y24" s="14">
        <v>1</v>
      </c>
      <c r="Z24" s="34">
        <v>9.4700599921047601</v>
      </c>
      <c r="AA24" s="32">
        <v>77365.273333333331</v>
      </c>
      <c r="AB24" s="34">
        <v>11.8492830981077</v>
      </c>
      <c r="AC24" s="34">
        <v>9.32215387230519</v>
      </c>
      <c r="AD24" s="34">
        <v>9.4962267377262606</v>
      </c>
      <c r="AE24" s="34">
        <v>9.8638729697546399</v>
      </c>
      <c r="AF24" s="34">
        <v>9.5674837408163693</v>
      </c>
      <c r="AG24" s="34">
        <v>9.7699021690410994</v>
      </c>
      <c r="AH24" s="35">
        <v>9.2123416775955604</v>
      </c>
    </row>
    <row r="25" spans="1:34">
      <c r="A25" s="13" t="s">
        <v>112</v>
      </c>
      <c r="B25" s="24">
        <v>41429.670428240737</v>
      </c>
      <c r="C25" s="29">
        <v>1.6196078431372549</v>
      </c>
      <c r="D25" s="29">
        <v>2.6690104736443798</v>
      </c>
      <c r="E25" s="29">
        <f t="shared" si="0"/>
        <v>6.5320931885254466E-2</v>
      </c>
      <c r="F25" s="29">
        <v>0.70081824954503891</v>
      </c>
      <c r="G25" s="29">
        <f t="shared" si="1"/>
        <v>3.629710855522586E-2</v>
      </c>
      <c r="H25" s="46">
        <v>126.720526851269</v>
      </c>
      <c r="I25" s="32">
        <f t="shared" si="2"/>
        <v>7.0054332974582181</v>
      </c>
      <c r="J25" s="29">
        <v>7.8868552652612198</v>
      </c>
      <c r="K25" s="29">
        <f t="shared" si="3"/>
        <v>0.17583987327326098</v>
      </c>
      <c r="L25" s="38">
        <v>73.9432111504548</v>
      </c>
      <c r="M25" s="38">
        <f t="shared" si="4"/>
        <v>1.582034620755953</v>
      </c>
      <c r="N25" s="29">
        <v>0.78593500402366701</v>
      </c>
      <c r="O25" s="29">
        <f t="shared" si="5"/>
        <v>1.3003445787754291E-2</v>
      </c>
      <c r="P25" s="38">
        <v>68.9981864576839</v>
      </c>
      <c r="Q25" s="38">
        <f t="shared" si="6"/>
        <v>1.1149857968335277</v>
      </c>
      <c r="R25" s="40">
        <v>1.15696413688175</v>
      </c>
      <c r="S25" s="40">
        <f t="shared" si="7"/>
        <v>5.6000341752932749E-3</v>
      </c>
      <c r="T25" s="40" t="s">
        <v>185</v>
      </c>
      <c r="U25" s="42"/>
      <c r="W25" s="13" t="s">
        <v>290</v>
      </c>
      <c r="X25" s="14"/>
      <c r="Y25" s="14"/>
      <c r="Z25" s="34">
        <f t="shared" ref="Z25:AH25" si="10">AVERAGE(Z19:Z24)</f>
        <v>9.8378783319642604</v>
      </c>
      <c r="AA25" s="32">
        <f t="shared" si="10"/>
        <v>75819.699444444443</v>
      </c>
      <c r="AB25" s="34">
        <f t="shared" si="10"/>
        <v>12.760407102748367</v>
      </c>
      <c r="AC25" s="34">
        <f t="shared" si="10"/>
        <v>9.7034330887449869</v>
      </c>
      <c r="AD25" s="34">
        <f t="shared" si="10"/>
        <v>9.8168828624629594</v>
      </c>
      <c r="AE25" s="34">
        <f t="shared" si="10"/>
        <v>10.128887499178489</v>
      </c>
      <c r="AF25" s="34">
        <f t="shared" si="10"/>
        <v>9.8071757154274959</v>
      </c>
      <c r="AG25" s="34">
        <f t="shared" si="10"/>
        <v>9.8649425847339014</v>
      </c>
      <c r="AH25" s="35">
        <f t="shared" si="10"/>
        <v>9.3643019099974847</v>
      </c>
    </row>
    <row r="26" spans="1:34">
      <c r="A26" s="13" t="s">
        <v>113</v>
      </c>
      <c r="B26" s="24">
        <v>41429.682604166665</v>
      </c>
      <c r="C26" s="29">
        <v>2.2162162162162158</v>
      </c>
      <c r="D26" s="29">
        <v>2.1171410682780802</v>
      </c>
      <c r="E26" s="29">
        <f t="shared" si="0"/>
        <v>5.1814569061482692E-2</v>
      </c>
      <c r="F26" s="29">
        <v>0.53900611029858392</v>
      </c>
      <c r="G26" s="29">
        <f t="shared" si="1"/>
        <v>2.7916458097571865E-2</v>
      </c>
      <c r="H26" s="47">
        <v>107.070169339893</v>
      </c>
      <c r="I26" s="32">
        <f t="shared" si="2"/>
        <v>5.9191115133109555</v>
      </c>
      <c r="J26" s="29">
        <v>16.685985834785502</v>
      </c>
      <c r="K26" s="29">
        <f t="shared" si="3"/>
        <v>0.37201920612789791</v>
      </c>
      <c r="L26" s="38">
        <v>15.432767794013101</v>
      </c>
      <c r="M26" s="38">
        <f t="shared" si="4"/>
        <v>0.33018816148703373</v>
      </c>
      <c r="N26" s="29">
        <v>1.7768098515258199</v>
      </c>
      <c r="O26" s="29">
        <f t="shared" si="5"/>
        <v>2.9397660698629469E-2</v>
      </c>
      <c r="P26" s="38">
        <v>76.942014373300793</v>
      </c>
      <c r="Q26" s="38">
        <f t="shared" si="6"/>
        <v>1.2433551896122004</v>
      </c>
      <c r="R26" s="40">
        <v>1.2459323758613401</v>
      </c>
      <c r="S26" s="40">
        <f t="shared" si="7"/>
        <v>6.0306656554912526E-3</v>
      </c>
      <c r="T26" s="40">
        <v>0.22177408609024599</v>
      </c>
      <c r="U26" s="42">
        <f t="shared" si="8"/>
        <v>6.4451212199191617E-3</v>
      </c>
      <c r="W26" s="13" t="s">
        <v>291</v>
      </c>
      <c r="X26" s="14"/>
      <c r="Y26" s="14"/>
      <c r="Z26" s="34">
        <f t="shared" ref="Z26:AH26" si="11">STDEV(Z19:Z25)</f>
        <v>0.24077064768509454</v>
      </c>
      <c r="AA26" s="32">
        <f t="shared" si="11"/>
        <v>3926.8895511014157</v>
      </c>
      <c r="AB26" s="34">
        <f t="shared" si="11"/>
        <v>0.70542778686230323</v>
      </c>
      <c r="AC26" s="34">
        <f t="shared" si="11"/>
        <v>0.21634103673182767</v>
      </c>
      <c r="AD26" s="34">
        <f t="shared" si="11"/>
        <v>0.21003481340188834</v>
      </c>
      <c r="AE26" s="34">
        <f t="shared" si="11"/>
        <v>0.16758439159921093</v>
      </c>
      <c r="AF26" s="34">
        <f t="shared" si="11"/>
        <v>0.15848042087973749</v>
      </c>
      <c r="AG26" s="34">
        <f t="shared" si="11"/>
        <v>4.7749116719131422E-2</v>
      </c>
      <c r="AH26" s="35">
        <f t="shared" si="11"/>
        <v>0.27214207941902913</v>
      </c>
    </row>
    <row r="27" spans="1:34">
      <c r="A27" s="16" t="s">
        <v>114</v>
      </c>
      <c r="B27" s="25">
        <v>41429.685648148145</v>
      </c>
      <c r="C27" s="30">
        <v>4.3157894736842106</v>
      </c>
      <c r="D27" s="30">
        <v>1.7064308701664699</v>
      </c>
      <c r="E27" s="30">
        <f t="shared" si="0"/>
        <v>4.1762913910502401E-2</v>
      </c>
      <c r="F27" s="30">
        <v>0.86983453245236897</v>
      </c>
      <c r="G27" s="30">
        <f t="shared" si="1"/>
        <v>4.5050879411322638E-2</v>
      </c>
      <c r="H27" s="46">
        <v>93.893933896800604</v>
      </c>
      <c r="I27" s="33">
        <f t="shared" si="2"/>
        <v>5.1906956772836432</v>
      </c>
      <c r="J27" s="30">
        <v>17.592368296043301</v>
      </c>
      <c r="K27" s="30">
        <f t="shared" si="3"/>
        <v>0.39222728295500559</v>
      </c>
      <c r="L27" s="39">
        <v>25.737037295763098</v>
      </c>
      <c r="M27" s="39">
        <f t="shared" si="4"/>
        <v>0.55065074134711767</v>
      </c>
      <c r="N27" s="30">
        <v>2.7053530914630701</v>
      </c>
      <c r="O27" s="30">
        <f t="shared" si="5"/>
        <v>4.4760587175112207E-2</v>
      </c>
      <c r="P27" s="39">
        <v>68.797862165358097</v>
      </c>
      <c r="Q27" s="39">
        <f t="shared" si="6"/>
        <v>1.1117486285517064</v>
      </c>
      <c r="R27" s="41">
        <v>1.29515472015751</v>
      </c>
      <c r="S27" s="41">
        <f t="shared" si="7"/>
        <v>6.2689157459301205E-3</v>
      </c>
      <c r="T27" s="41">
        <v>0.233037223334539</v>
      </c>
      <c r="U27" s="43">
        <f t="shared" si="8"/>
        <v>6.7724465902354886E-3</v>
      </c>
      <c r="W27" s="56" t="s">
        <v>292</v>
      </c>
      <c r="X27" s="57"/>
      <c r="Y27" s="57"/>
      <c r="Z27" s="58">
        <f>Z26/Z25</f>
        <v>2.4473838724230444E-2</v>
      </c>
      <c r="AA27" s="58">
        <f t="shared" ref="AA27:AH27" si="12">AA26/AA25</f>
        <v>5.1792470556794742E-2</v>
      </c>
      <c r="AB27" s="58">
        <f t="shared" si="12"/>
        <v>5.5282545547497973E-2</v>
      </c>
      <c r="AC27" s="58">
        <f t="shared" si="12"/>
        <v>2.2295308758583769E-2</v>
      </c>
      <c r="AD27" s="58">
        <f t="shared" si="12"/>
        <v>2.1395265314309013E-2</v>
      </c>
      <c r="AE27" s="58">
        <f t="shared" si="12"/>
        <v>1.6545192313845224E-2</v>
      </c>
      <c r="AF27" s="58">
        <f t="shared" si="12"/>
        <v>1.6159639174246131E-2</v>
      </c>
      <c r="AG27" s="58">
        <f t="shared" si="12"/>
        <v>4.8402832869016048E-3</v>
      </c>
      <c r="AH27" s="59">
        <f t="shared" si="12"/>
        <v>2.9061651582216259E-2</v>
      </c>
    </row>
    <row r="28" spans="1:34">
      <c r="A28" s="49"/>
      <c r="B28" s="50"/>
      <c r="C28" s="51"/>
      <c r="D28" s="51"/>
      <c r="E28" s="51"/>
      <c r="F28" s="51"/>
      <c r="G28" s="51"/>
      <c r="H28" s="10"/>
      <c r="I28" s="52"/>
      <c r="J28" s="51"/>
      <c r="K28" s="51"/>
      <c r="L28" s="53"/>
      <c r="M28" s="53"/>
      <c r="N28" s="51"/>
      <c r="O28" s="51"/>
      <c r="P28" s="53"/>
      <c r="Q28" s="53"/>
      <c r="R28" s="54"/>
      <c r="S28" s="54"/>
      <c r="T28" s="54"/>
      <c r="U28" s="54"/>
      <c r="W28" s="49"/>
      <c r="X28" s="49"/>
      <c r="Y28" s="49"/>
      <c r="Z28" s="55"/>
      <c r="AA28" s="55"/>
      <c r="AB28" s="55"/>
      <c r="AC28" s="55"/>
      <c r="AD28" s="55"/>
      <c r="AE28" s="55"/>
      <c r="AF28" s="55"/>
      <c r="AG28" s="55"/>
      <c r="AH28" s="55"/>
    </row>
    <row r="29" spans="1:34">
      <c r="A29" s="48" t="s">
        <v>353</v>
      </c>
    </row>
    <row r="31" spans="1:34" ht="25.5">
      <c r="A31" s="19" t="s">
        <v>251</v>
      </c>
      <c r="B31" s="23" t="s">
        <v>202</v>
      </c>
      <c r="C31" s="28" t="s">
        <v>239</v>
      </c>
      <c r="D31" s="20" t="s">
        <v>264</v>
      </c>
      <c r="E31" s="20" t="s">
        <v>312</v>
      </c>
      <c r="F31" s="20" t="s">
        <v>265</v>
      </c>
      <c r="G31" s="20" t="s">
        <v>313</v>
      </c>
      <c r="H31" s="20" t="s">
        <v>266</v>
      </c>
      <c r="I31" s="20" t="s">
        <v>314</v>
      </c>
      <c r="J31" s="20" t="s">
        <v>315</v>
      </c>
      <c r="K31" s="20" t="s">
        <v>316</v>
      </c>
      <c r="L31" s="20" t="s">
        <v>268</v>
      </c>
      <c r="M31" s="20" t="s">
        <v>317</v>
      </c>
      <c r="N31" s="20" t="s">
        <v>269</v>
      </c>
      <c r="O31" s="20" t="s">
        <v>318</v>
      </c>
      <c r="P31" s="20" t="s">
        <v>270</v>
      </c>
      <c r="Q31" s="20" t="s">
        <v>319</v>
      </c>
      <c r="R31" s="20" t="s">
        <v>271</v>
      </c>
      <c r="S31" s="20" t="s">
        <v>320</v>
      </c>
      <c r="T31" s="20" t="s">
        <v>272</v>
      </c>
      <c r="U31" s="21" t="s">
        <v>321</v>
      </c>
    </row>
    <row r="32" spans="1:34">
      <c r="A32" s="63" t="s">
        <v>358</v>
      </c>
      <c r="B32" s="25">
        <v>41429.581585648149</v>
      </c>
      <c r="C32" s="30">
        <v>1</v>
      </c>
      <c r="D32" s="17" t="s">
        <v>195</v>
      </c>
      <c r="E32" s="17"/>
      <c r="F32" s="17" t="s">
        <v>200</v>
      </c>
      <c r="G32" s="17"/>
      <c r="H32" s="30">
        <v>3.84870233606132</v>
      </c>
      <c r="I32" s="30">
        <f t="shared" ref="I32" si="13">H32*$AB$27</f>
        <v>0.21276606219207178</v>
      </c>
      <c r="J32" s="36">
        <v>2.9546161790937199E-2</v>
      </c>
      <c r="K32" s="36">
        <f t="shared" ref="K32" si="14">J32*$AC$27</f>
        <v>6.5874079976001526E-4</v>
      </c>
      <c r="L32" s="17" t="s">
        <v>193</v>
      </c>
      <c r="M32" s="17"/>
      <c r="N32" s="36">
        <v>3.16357153542038E-2</v>
      </c>
      <c r="O32" s="36">
        <f t="shared" ref="O32" si="15">N32*$AE$27</f>
        <v>5.2341899452136803E-4</v>
      </c>
      <c r="P32" s="41">
        <v>1.06418841794096</v>
      </c>
      <c r="Q32" s="41">
        <f t="shared" ref="Q32" si="16">P32*$AF$27</f>
        <v>1.719690084733775E-2</v>
      </c>
      <c r="R32" s="17" t="s">
        <v>189</v>
      </c>
      <c r="S32" s="17"/>
      <c r="T32" s="41">
        <v>0.166065171618723</v>
      </c>
      <c r="U32" s="43">
        <f t="shared" ref="U32" si="17">T32*$AH$27</f>
        <v>4.8261281575242756E-3</v>
      </c>
    </row>
    <row r="34" spans="1:21" ht="25.5">
      <c r="A34" s="19" t="s">
        <v>251</v>
      </c>
      <c r="B34" s="23" t="s">
        <v>202</v>
      </c>
      <c r="C34" s="28" t="s">
        <v>239</v>
      </c>
      <c r="D34" s="20" t="s">
        <v>293</v>
      </c>
      <c r="E34" s="20" t="s">
        <v>307</v>
      </c>
      <c r="F34" s="20" t="s">
        <v>294</v>
      </c>
      <c r="G34" s="20" t="s">
        <v>303</v>
      </c>
      <c r="H34" s="20" t="s">
        <v>295</v>
      </c>
      <c r="I34" s="20" t="s">
        <v>304</v>
      </c>
      <c r="J34" s="20" t="s">
        <v>305</v>
      </c>
      <c r="K34" s="20" t="s">
        <v>302</v>
      </c>
      <c r="L34" s="20" t="s">
        <v>296</v>
      </c>
      <c r="M34" s="20" t="s">
        <v>306</v>
      </c>
      <c r="N34" s="20" t="s">
        <v>297</v>
      </c>
      <c r="O34" s="20" t="s">
        <v>308</v>
      </c>
      <c r="P34" s="20" t="s">
        <v>298</v>
      </c>
      <c r="Q34" s="20" t="s">
        <v>309</v>
      </c>
      <c r="R34" s="20" t="s">
        <v>299</v>
      </c>
      <c r="S34" s="20" t="s">
        <v>310</v>
      </c>
      <c r="T34" s="20" t="s">
        <v>300</v>
      </c>
      <c r="U34" s="21" t="s">
        <v>311</v>
      </c>
    </row>
    <row r="35" spans="1:21" ht="25.5">
      <c r="A35" s="64" t="s">
        <v>359</v>
      </c>
      <c r="B35" s="24">
        <v>41429.590798611112</v>
      </c>
      <c r="C35" s="29">
        <v>866</v>
      </c>
      <c r="D35" s="32">
        <v>97.767646111214091</v>
      </c>
      <c r="E35" s="32">
        <v>2.3927496033734896</v>
      </c>
      <c r="F35" s="32">
        <v>154.94562737257999</v>
      </c>
      <c r="G35" s="32">
        <v>8.0250168435984381</v>
      </c>
      <c r="H35" s="32">
        <v>108.791317399357</v>
      </c>
      <c r="I35" s="32">
        <v>6.0142609593022618</v>
      </c>
      <c r="J35" s="32">
        <v>98.682274702828408</v>
      </c>
      <c r="K35" s="32">
        <v>2.2001517834989395</v>
      </c>
      <c r="L35" s="32">
        <v>100.330223028787</v>
      </c>
      <c r="M35" s="32">
        <v>2.1465917407446939</v>
      </c>
      <c r="N35" s="32">
        <v>100.50716273741001</v>
      </c>
      <c r="O35" s="32">
        <v>1.6629103364093871</v>
      </c>
      <c r="P35" s="32">
        <v>92.664846938316998</v>
      </c>
      <c r="Q35" s="32">
        <v>1.4974304906599492</v>
      </c>
      <c r="R35" s="32"/>
      <c r="S35" s="32"/>
      <c r="T35" s="32">
        <v>85.526936381850589</v>
      </c>
      <c r="U35" s="44">
        <v>2.4855540260237174</v>
      </c>
    </row>
    <row r="36" spans="1:21" ht="25.5">
      <c r="A36" s="60" t="s">
        <v>357</v>
      </c>
      <c r="B36" s="24"/>
      <c r="C36" s="29"/>
      <c r="D36" s="14">
        <v>100</v>
      </c>
      <c r="E36" s="14"/>
      <c r="F36" s="14">
        <v>100</v>
      </c>
      <c r="G36" s="14"/>
      <c r="H36" s="14">
        <v>100</v>
      </c>
      <c r="I36" s="14"/>
      <c r="J36" s="14">
        <v>100</v>
      </c>
      <c r="K36" s="14"/>
      <c r="L36" s="14">
        <v>100</v>
      </c>
      <c r="M36" s="14"/>
      <c r="N36" s="14">
        <v>100</v>
      </c>
      <c r="O36" s="14"/>
      <c r="P36" s="14">
        <v>100</v>
      </c>
      <c r="Q36" s="14"/>
      <c r="R36" s="14"/>
      <c r="S36" s="14"/>
      <c r="T36" s="14">
        <v>100</v>
      </c>
      <c r="U36" s="15"/>
    </row>
    <row r="37" spans="1:21">
      <c r="A37" s="62" t="s">
        <v>322</v>
      </c>
      <c r="B37" s="25"/>
      <c r="C37" s="30"/>
      <c r="D37" s="39">
        <f>D35/D36*100</f>
        <v>97.767646111214091</v>
      </c>
      <c r="E37" s="39"/>
      <c r="F37" s="39">
        <f t="shared" ref="F37:T37" si="18">F35/F36*100</f>
        <v>154.94562737257999</v>
      </c>
      <c r="G37" s="39"/>
      <c r="H37" s="39">
        <f t="shared" si="18"/>
        <v>108.79131739935698</v>
      </c>
      <c r="I37" s="39"/>
      <c r="J37" s="39">
        <f t="shared" si="18"/>
        <v>98.682274702828408</v>
      </c>
      <c r="K37" s="39"/>
      <c r="L37" s="39">
        <f t="shared" si="18"/>
        <v>100.330223028787</v>
      </c>
      <c r="M37" s="39"/>
      <c r="N37" s="39">
        <f t="shared" si="18"/>
        <v>100.50716273741</v>
      </c>
      <c r="O37" s="39"/>
      <c r="P37" s="39">
        <f t="shared" si="18"/>
        <v>92.664846938316998</v>
      </c>
      <c r="Q37" s="39"/>
      <c r="R37" s="39"/>
      <c r="S37" s="39"/>
      <c r="T37" s="39">
        <f t="shared" si="18"/>
        <v>85.526936381850589</v>
      </c>
      <c r="U37" s="39"/>
    </row>
    <row r="39" spans="1:21" ht="25.5">
      <c r="A39" s="19" t="s">
        <v>251</v>
      </c>
      <c r="B39" s="23" t="s">
        <v>202</v>
      </c>
      <c r="C39" s="28" t="s">
        <v>239</v>
      </c>
      <c r="D39" s="20" t="s">
        <v>351</v>
      </c>
      <c r="E39" s="20" t="s">
        <v>350</v>
      </c>
      <c r="F39" s="20" t="s">
        <v>349</v>
      </c>
      <c r="G39" s="20" t="s">
        <v>348</v>
      </c>
      <c r="H39" s="20" t="s">
        <v>347</v>
      </c>
      <c r="I39" s="20" t="s">
        <v>346</v>
      </c>
      <c r="J39" s="20" t="s">
        <v>334</v>
      </c>
      <c r="K39" s="20" t="s">
        <v>335</v>
      </c>
      <c r="L39" s="20" t="s">
        <v>336</v>
      </c>
      <c r="M39" s="20" t="s">
        <v>337</v>
      </c>
      <c r="N39" s="20" t="s">
        <v>338</v>
      </c>
      <c r="O39" s="20" t="s">
        <v>339</v>
      </c>
      <c r="P39" s="20" t="s">
        <v>340</v>
      </c>
      <c r="Q39" s="20" t="s">
        <v>341</v>
      </c>
      <c r="R39" s="20" t="s">
        <v>342</v>
      </c>
      <c r="S39" s="20" t="s">
        <v>343</v>
      </c>
      <c r="T39" s="20" t="s">
        <v>344</v>
      </c>
      <c r="U39" s="21" t="s">
        <v>345</v>
      </c>
    </row>
    <row r="40" spans="1:21" ht="25.5">
      <c r="A40" s="60" t="s">
        <v>356</v>
      </c>
      <c r="B40" s="24">
        <v>41429.584641203706</v>
      </c>
      <c r="C40" s="29">
        <v>1.1904761904761905</v>
      </c>
      <c r="D40" s="32">
        <v>558.54780024925901</v>
      </c>
      <c r="E40" s="32">
        <f t="shared" ref="E40" si="19">D40*$Z$27</f>
        <v>13.669808783074046</v>
      </c>
      <c r="F40" s="32">
        <v>9748.7118925294108</v>
      </c>
      <c r="G40" s="32">
        <f t="shared" ref="G40" si="20">F40*$AA$27</f>
        <v>504.90987366050427</v>
      </c>
      <c r="H40" s="32">
        <v>131.938914555335</v>
      </c>
      <c r="I40" s="32">
        <f t="shared" ref="I40" si="21">H40*$AB$27</f>
        <v>7.2939190533927505</v>
      </c>
      <c r="J40" s="29">
        <v>9.5833170228921105</v>
      </c>
      <c r="K40" s="29">
        <f t="shared" ref="K40" si="22">J40*$AC$27</f>
        <v>0.2136630119567714</v>
      </c>
      <c r="L40" s="29">
        <v>189.39636406714899</v>
      </c>
      <c r="M40" s="29">
        <f t="shared" ref="M40" si="23">L40*$AD$27</f>
        <v>4.0521854587821151</v>
      </c>
      <c r="N40" s="38">
        <v>275.26929425610899</v>
      </c>
      <c r="O40" s="38">
        <f t="shared" ref="O40" si="24">N40*$AE$27</f>
        <v>4.5543834115637738</v>
      </c>
      <c r="P40" s="38">
        <v>166.66022677406499</v>
      </c>
      <c r="Q40" s="38">
        <f t="shared" ref="Q40" si="25">P40*$AF$27</f>
        <v>2.6931691293669244</v>
      </c>
      <c r="R40" s="40">
        <v>1.69538018331882</v>
      </c>
      <c r="S40" s="40">
        <f t="shared" ref="S40" si="26">R40*$AG$27</f>
        <v>8.2061203662622626E-3</v>
      </c>
      <c r="T40" s="40">
        <v>0.91873080642332905</v>
      </c>
      <c r="U40" s="42">
        <f t="shared" ref="U40" si="27">T40*$AH$27</f>
        <v>2.669983459412336E-2</v>
      </c>
    </row>
    <row r="41" spans="1:21" ht="25.5">
      <c r="A41" s="61" t="s">
        <v>323</v>
      </c>
      <c r="B41" s="24"/>
      <c r="C41" s="29"/>
      <c r="D41" s="17">
        <v>620</v>
      </c>
      <c r="E41" s="17">
        <v>42</v>
      </c>
      <c r="F41" s="33">
        <v>10230</v>
      </c>
      <c r="G41" s="33">
        <v>64</v>
      </c>
      <c r="H41" s="14">
        <v>131</v>
      </c>
      <c r="I41" s="14">
        <v>10</v>
      </c>
      <c r="J41" s="14">
        <v>10.46</v>
      </c>
      <c r="K41" s="14">
        <v>0.47</v>
      </c>
      <c r="L41" s="14">
        <v>197.94</v>
      </c>
      <c r="M41" s="14">
        <v>0.65</v>
      </c>
      <c r="N41" s="14">
        <v>275.2</v>
      </c>
      <c r="O41" s="14">
        <v>4.5999999999999996</v>
      </c>
      <c r="P41" s="38">
        <v>181.1</v>
      </c>
      <c r="Q41" s="38">
        <v>1</v>
      </c>
      <c r="R41" s="14">
        <v>2.0310000000000001</v>
      </c>
      <c r="S41" s="14">
        <v>4.4999999999999998E-2</v>
      </c>
      <c r="T41" s="45" t="s">
        <v>324</v>
      </c>
      <c r="U41" s="15"/>
    </row>
    <row r="42" spans="1:21">
      <c r="A42" s="62" t="s">
        <v>322</v>
      </c>
      <c r="B42" s="25"/>
      <c r="C42" s="30"/>
      <c r="D42" s="39">
        <f t="shared" ref="D42" si="28">D40/D41*100</f>
        <v>90.088354878912753</v>
      </c>
      <c r="E42" s="39"/>
      <c r="F42" s="39">
        <f t="shared" ref="F42" si="29">F40/F41*100</f>
        <v>95.295326417687292</v>
      </c>
      <c r="G42" s="39"/>
      <c r="H42" s="39">
        <f>H40/H41*100</f>
        <v>100.71672866819466</v>
      </c>
      <c r="I42" s="39"/>
      <c r="J42" s="39">
        <f t="shared" ref="J42:R42" si="30">J40/J41*100</f>
        <v>91.618709587878683</v>
      </c>
      <c r="K42" s="39"/>
      <c r="L42" s="39">
        <f t="shared" si="30"/>
        <v>95.683724394841363</v>
      </c>
      <c r="M42" s="39"/>
      <c r="N42" s="39">
        <f t="shared" si="30"/>
        <v>100.02517959887682</v>
      </c>
      <c r="O42" s="39"/>
      <c r="P42" s="39">
        <f t="shared" si="30"/>
        <v>92.026629913895647</v>
      </c>
      <c r="Q42" s="39"/>
      <c r="R42" s="39">
        <f t="shared" si="30"/>
        <v>83.475144427317574</v>
      </c>
      <c r="S42" s="17"/>
      <c r="T42" s="17"/>
      <c r="U42" s="18"/>
    </row>
  </sheetData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06_04_13</vt:lpstr>
      <vt:lpstr>Stability</vt:lpstr>
      <vt:lpstr>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Admin</dc:creator>
  <cp:lastModifiedBy>Local Admin</cp:lastModifiedBy>
  <dcterms:created xsi:type="dcterms:W3CDTF">2013-06-06T23:32:48Z</dcterms:created>
  <dcterms:modified xsi:type="dcterms:W3CDTF">2013-06-10T18:20:29Z</dcterms:modified>
</cp:coreProperties>
</file>