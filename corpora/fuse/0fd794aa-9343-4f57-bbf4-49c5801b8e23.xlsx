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/>
  <bookViews>
    <workbookView xWindow="10230" yWindow="105" windowWidth="10275" windowHeight="8040"/>
  </bookViews>
  <sheets>
    <sheet name="Istruzioni" sheetId="3" r:id="rId1"/>
    <sheet name="Piano di 4 settimane" sheetId="1" r:id="rId2"/>
  </sheets>
  <definedNames>
    <definedName name="_xlnm.Print_Area" localSheetId="0">Istruzioni!$B$2:$G$31</definedName>
    <definedName name="_xlnm.Print_Area" localSheetId="1">'Piano di 4 settimane'!$A$1:$K$106</definedName>
    <definedName name="_xlnm.Print_Titles" localSheetId="1">'Piano di 4 settimane'!$38:$38</definedName>
  </definedNames>
  <calcPr calcId="145621"/>
</workbook>
</file>

<file path=xl/calcChain.xml><?xml version="1.0" encoding="utf-8"?>
<calcChain xmlns="http://schemas.openxmlformats.org/spreadsheetml/2006/main">
  <c r="D66" i="1" l="1"/>
  <c r="N14" i="1"/>
  <c r="O12" i="1" s="1"/>
  <c r="N15" i="1"/>
  <c r="N16" i="1"/>
  <c r="N17" i="1"/>
  <c r="N19" i="1"/>
  <c r="K18" i="1" s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13" i="1"/>
  <c r="K11" i="1"/>
  <c r="O16" i="1" s="1"/>
  <c r="D61" i="1"/>
  <c r="D58" i="1"/>
  <c r="D55" i="1"/>
  <c r="D46" i="1"/>
  <c r="O14" i="1"/>
  <c r="O19" i="1" l="1"/>
  <c r="O23" i="1"/>
  <c r="O22" i="1"/>
  <c r="O13" i="1"/>
  <c r="O15" i="1"/>
  <c r="O20" i="1"/>
  <c r="H12" i="1"/>
  <c r="H18" i="1"/>
  <c r="O21" i="1"/>
</calcChain>
</file>

<file path=xl/sharedStrings.xml><?xml version="1.0" encoding="utf-8"?>
<sst xmlns="http://schemas.openxmlformats.org/spreadsheetml/2006/main" count="249" uniqueCount="248">
  <si>
    <r>
      <rPr>
        <sz val="18"/>
        <color rgb="FFFFFFFF"/>
        <rFont val="Segoe UI Semibold"/>
        <family val="2"/>
      </rPr>
      <t>a Office 365 per l'istruzione</t>
    </r>
  </si>
  <si>
    <r>
      <rPr>
        <b/>
        <sz val="14"/>
        <color theme="0"/>
        <rFont val="Segoe UI"/>
        <family val="2"/>
      </rPr>
      <t>ISTRUZIONI</t>
    </r>
  </si>
  <si>
    <r>
      <rPr>
        <b/>
        <sz val="20"/>
        <rFont val="Segoe UI"/>
        <family val="2"/>
      </rPr>
      <t>DATA AGGIORNAMENTO</t>
    </r>
  </si>
  <si>
    <r>
      <rPr>
        <b/>
        <sz val="16"/>
        <color theme="0"/>
        <rFont val="Segoe UI"/>
        <family val="2"/>
      </rPr>
      <t>SELEZIONARE gli scenari applicabili alla propria distribuzione di Live@edu:</t>
    </r>
  </si>
  <si>
    <r>
      <rPr>
        <b/>
        <sz val="15"/>
        <color theme="0"/>
        <rFont val="Segoe UI"/>
        <family val="2"/>
      </rPr>
      <t>&lt;MM/GG/AA&gt;</t>
    </r>
  </si>
  <si>
    <r>
      <rPr>
        <b/>
        <sz val="12"/>
        <color theme="1"/>
        <rFont val="Segoe UI"/>
        <family val="2"/>
      </rPr>
      <t xml:space="preserve">In termini di Single Sign-On (SSO) e federazione: </t>
    </r>
  </si>
  <si>
    <r>
      <rPr>
        <sz val="11"/>
        <color theme="1"/>
        <rFont val="Segoe UI"/>
        <family val="2"/>
      </rPr>
      <t xml:space="preserve"> </t>
    </r>
  </si>
  <si>
    <r>
      <rPr>
        <b/>
        <sz val="12"/>
        <color theme="1"/>
        <rFont val="Segoe UI"/>
        <family val="2"/>
      </rPr>
      <t>Il mio istituto passerà allo Strumento di sincronizzazione della directory e al momento sincronizza la directory locale con il cloud mediante:</t>
    </r>
  </si>
  <si>
    <r>
      <rPr>
        <sz val="12"/>
        <color theme="1"/>
        <rFont val="Segoe UI"/>
        <family val="2"/>
      </rPr>
      <t>OLSync</t>
    </r>
  </si>
  <si>
    <r>
      <rPr>
        <sz val="12"/>
        <color theme="1"/>
        <rFont val="Segoe UI"/>
        <family val="2"/>
      </rPr>
      <t>OLMA con Active Directory e codice personalizzato</t>
    </r>
  </si>
  <si>
    <r>
      <rPr>
        <sz val="12"/>
        <color theme="1"/>
        <rFont val="Segoe UI"/>
        <family val="2"/>
      </rPr>
      <t>Script personalizzati Windows PowerShell e Active Directory</t>
    </r>
  </si>
  <si>
    <r>
      <rPr>
        <sz val="12"/>
        <color theme="1"/>
        <rFont val="Segoe UI"/>
        <family val="2"/>
      </rPr>
      <t>Plug–in di Windows Live Management Agent (MAV3)</t>
    </r>
  </si>
  <si>
    <r>
      <rPr>
        <sz val="12"/>
        <color theme="1"/>
        <rFont val="Segoe UI"/>
        <family val="2"/>
      </rPr>
      <t>OLMA senza Active Directory e codice personalizzato</t>
    </r>
  </si>
  <si>
    <r>
      <rPr>
        <b/>
        <sz val="11"/>
        <color theme="0"/>
        <rFont val="Segoe UI"/>
        <family val="2"/>
      </rPr>
      <t>Data di scadenza</t>
    </r>
  </si>
  <si>
    <r>
      <rPr>
        <b/>
        <sz val="11"/>
        <color theme="0"/>
        <rFont val="Segoe UI"/>
        <family val="2"/>
      </rPr>
      <t>Stato</t>
    </r>
  </si>
  <si>
    <r>
      <rPr>
        <b/>
        <sz val="11"/>
        <color theme="0"/>
        <rFont val="Segoe UI"/>
        <family val="2"/>
      </rPr>
      <t>Proprietario</t>
    </r>
  </si>
  <si>
    <r>
      <rPr>
        <b/>
        <sz val="11"/>
        <color theme="0"/>
        <rFont val="Segoe UI"/>
        <family val="2"/>
      </rPr>
      <t>Descrizione dell'attività</t>
    </r>
  </si>
  <si>
    <r>
      <rPr>
        <b/>
        <sz val="11"/>
        <color theme="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</si>
  <si>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</si>
  <si>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</si>
  <si>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</si>
  <si>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</si>
  <si>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Il servizio di notifica di modifica della password (PCNS), un componente aggiuntivo per OLSync, non è supportato in Office 365. Se si desidera utilizzare una password unica, si consiglia di utilizzare Single Sign-On.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</si>
  <si>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</si>
  <si>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</si>
  <si>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b/>
        <sz val="11"/>
        <color theme="1"/>
        <rFont val="Segoe UI"/>
        <family val="2"/>
      </rPr>
      <t>4 settimane prima del lancio</t>
    </r>
  </si>
  <si>
    <r>
      <rPr>
        <sz val="11"/>
        <color theme="1"/>
        <rFont val="Segoe UI"/>
        <family val="2"/>
      </rPr>
      <t>`</t>
    </r>
  </si>
  <si>
    <r>
      <rPr>
        <u/>
        <sz val="10"/>
        <color rgb="FFFC4B00"/>
        <rFont val="Segoe UI"/>
        <family val="2"/>
      </rPr>
      <t>Requisiti software di Office 365</t>
    </r>
  </si>
  <si>
    <r>
      <rPr>
        <u/>
        <sz val="10"/>
        <color rgb="FFFC4B00"/>
        <rFont val="Segoe UI"/>
        <family val="2"/>
      </rPr>
      <t>Esempi di comunicazioni e risorse sono disponibili nel Kit di aggiornamento per l'utente finale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</si>
  <si>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</si>
  <si>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Per configurare la federazione di AD FS 2.0 con Office 365, seguire la procedura "Prima dell'aggiornamento".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</si>
  <si>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</si>
  <si>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Per configurare la federazione di Shibboleth per Office 365, seguire la procedura "Prima dell'aggiornamento".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</si>
  <si>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</si>
  <si>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Prepararsi per le modifiche al provisioning. Esaminare i requisiti di sistema e utilizzare la guida per prepararsi all'aggiornamento. In alcuni casi, potrebbe essere necessario aggiornare il codice personalizzato in modo che supporti il provisioning su Office 365 per l'istruzione.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</si>
  <si>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</si>
  <si>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Se si esegue il provisioning utilizzando Windows PowerShell, esaminare le modifiche a Windows PowerShell.</t>
    </r>
  </si>
  <si>
    <r>
      <rPr>
        <u/>
        <sz val="10"/>
        <color rgb="FFFC4B00"/>
        <rFont val="Segoe UI"/>
        <family val="2"/>
      </rPr>
      <t>Ulteriori informazioni</t>
    </r>
  </si>
  <si>
    <r>
      <rPr>
        <b/>
        <sz val="11"/>
        <color theme="1"/>
        <rFont val="Segoe UI"/>
        <family val="2"/>
      </rPr>
      <t>3 settimane prima del lancio</t>
    </r>
  </si>
  <si>
    <r>
      <rPr>
        <b/>
        <sz val="11"/>
        <color theme="1"/>
        <rFont val="Segoe UI"/>
        <family val="2"/>
      </rPr>
      <t>Settimana del</t>
    </r>
  </si>
  <si>
    <r>
      <rPr>
        <sz val="10"/>
        <color theme="1"/>
        <rFont val="Segoe UI"/>
        <family val="2"/>
      </rPr>
      <t>Collaborare con il personale docente per stabilire il modo in cui è possibile integrare SharePoint e Lync nella classe. La configurazione di un account di valutazione di Office 365 può aiutare a valutare il modo in cui l'istituto utilizzerà SharePoint e Lync.</t>
    </r>
  </si>
  <si>
    <r>
      <rPr>
        <b/>
        <sz val="11"/>
        <color theme="1"/>
        <rFont val="Segoe UI"/>
        <family val="2"/>
      </rPr>
      <t>2 settimane prima del lancio</t>
    </r>
  </si>
  <si>
    <r>
      <rPr>
        <b/>
        <sz val="11"/>
        <color theme="1"/>
        <rFont val="Segoe UI"/>
        <family val="2"/>
      </rPr>
      <t>Settimana del</t>
    </r>
  </si>
  <si>
    <r>
      <rPr>
        <u/>
        <sz val="10"/>
        <color rgb="FFFC4B00"/>
        <rFont val="Segoe UI"/>
        <family val="2"/>
      </rPr>
      <t>Esempi di comunicazioni e risorse sono disponibili nel Kit di aggiornamento per l'utente finale</t>
    </r>
  </si>
  <si>
    <r>
      <rPr>
        <b/>
        <sz val="11"/>
        <color theme="1"/>
        <rFont val="Segoe UI"/>
        <family val="2"/>
      </rPr>
      <t>1 settimana prima del lancio</t>
    </r>
  </si>
  <si>
    <r>
      <rPr>
        <b/>
        <sz val="11"/>
        <color theme="1"/>
        <rFont val="Segoe UI"/>
        <family val="2"/>
      </rPr>
      <t>Settimana del</t>
    </r>
  </si>
  <si>
    <r>
      <rPr>
        <u/>
        <sz val="10"/>
        <color rgb="FFFC4B00"/>
        <rFont val="Segoe UI"/>
        <family val="2"/>
      </rPr>
      <t>Esempi di comunicazioni e risorse sono disponibili nel Kit di aggiornamento per l'utente finale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</si>
  <si>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</si>
  <si>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</si>
  <si>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</si>
  <si>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b/>
        <sz val="11"/>
        <color theme="0"/>
        <rFont val="Segoe UI"/>
        <family val="2"/>
      </rPr>
      <t>LANCIO</t>
    </r>
  </si>
  <si>
    <r>
      <rPr>
        <b/>
        <sz val="11"/>
        <color theme="0"/>
        <rFont val="Segoe UI"/>
        <family val="2"/>
      </rPr>
      <t xml:space="preserve">AGGIORNAMENTO DISTRIBUITO: Office 365 per l'istruzione </t>
    </r>
  </si>
  <si>
    <r>
      <rPr>
        <sz val="10"/>
        <rFont val="Segoe UI"/>
        <family val="2"/>
      </rPr>
      <t>Interrompere la sincronizzazione di MAv3. Disinstallare MAv3 e tutti i componenti di Identity Lifecycle Manager (ILM) 2007 se si pianifica di installare lo Strumento di sincronizzazione della directory sullo stesso server.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</si>
  <si>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</si>
  <si>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</si>
  <si>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</si>
  <si>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Esempi di comunicazioni e risorse sono disponibili nel Kit di aggiornamento per l'utente finale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</si>
  <si>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</si>
  <si>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</si>
  <si>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b/>
        <sz val="11"/>
        <color theme="0"/>
        <rFont val="Segoe UI"/>
        <family val="2"/>
      </rPr>
      <t xml:space="preserve">DOPO L'AGGIORNAMENTO: Office 365 per l'istruzione 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</si>
  <si>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</si>
  <si>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Attivare la sincronizzazione della directory in Office 365.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</si>
  <si>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</si>
  <si>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</si>
  <si>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</si>
  <si>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</si>
  <si>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Installare lo Strumento di sincronizzazione della directory.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</si>
  <si>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</si>
  <si>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Sincronizzare le directory.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</si>
  <si>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</si>
  <si>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Attivare la sincronizzazione della directory in Office 365.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</si>
  <si>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</si>
  <si>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</si>
  <si>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</si>
  <si>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Scaricare ed eseguire uno strumento di preparazione della directory una tantum.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</si>
  <si>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</si>
  <si>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 xml:space="preserve">Per configurare la federazione di AD FS 2.0 con Office 365, seguire la procedura "Dopo l'aggiornamento". 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</si>
  <si>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</si>
  <si>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</si>
  <si>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Installare lo Strumento di sincronizzazione della directory.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</si>
  <si>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</si>
  <si>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Sincronizzare le directory.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</si>
  <si>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</si>
  <si>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Attivare la sincronizzazione della directory in Office 365.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</si>
  <si>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</si>
  <si>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Scaricare ed eseguire uno strumento di preparazione della directory una tantum.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</si>
  <si>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</si>
  <si>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Installare lo Strumento di sincronizzazione della directory.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</si>
  <si>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</si>
  <si>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Sincronizzare le directory.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</si>
  <si>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</si>
  <si>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Attivare la sincronizzazione della directory in Office 365.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</si>
  <si>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</si>
  <si>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Scaricare ed eseguire uno strumento di preparazione della directory una tantum.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</si>
  <si>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</si>
  <si>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Installare lo Strumento di sincronizzazione della directory.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</si>
  <si>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</si>
  <si>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Sincronizzare le directory.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</si>
  <si>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</si>
  <si>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</si>
  <si>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Implementare le modifiche agli script di PowerShell personalizzati e acquisire familiarità con i nuovi cmdlet di Office 365 e con le modifiche ai cmdlet di Exchange Online.</t>
    </r>
  </si>
  <si>
    <r>
      <rPr>
        <u/>
        <sz val="10"/>
        <color rgb="FFFC4B00"/>
        <rFont val="Segoe UI"/>
        <family val="2"/>
      </rPr>
      <t>Ulteriori informazioni</t>
    </r>
  </si>
  <si>
    <r>
      <rPr>
        <sz val="10"/>
        <color theme="1"/>
        <rFont val="Segoe UI"/>
        <family val="2"/>
      </rPr>
      <t>Completare le attività di Exchange Online individuate prima dell'aggiornamento.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</si>
  <si>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</si>
  <si>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</si>
  <si>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Esempi di comunicazioni e risorse sono disponibili nel Kit di aggiornamento per l'utente finale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</si>
  <si>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</si>
  <si>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</si>
  <si>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</si>
  <si>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</si>
  <si>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r>
      <rPr>
        <u/>
        <sz val="10"/>
        <color rgb="FFFC4B00"/>
        <rFont val="Segoe UI"/>
        <family val="2"/>
      </rPr>
      <t>Ulteriori informazioni</t>
    </r>
  </si>
  <si>
    <t>Legend</t>
  </si>
  <si>
    <t>In Process</t>
  </si>
  <si>
    <t>Complete</t>
  </si>
  <si>
    <t>Name</t>
  </si>
  <si>
    <t>Check Box Status</t>
  </si>
  <si>
    <t>Formula</t>
  </si>
  <si>
    <t>N/A</t>
  </si>
  <si>
    <t>All</t>
  </si>
  <si>
    <t>AD FS</t>
  </si>
  <si>
    <t>Shibboleth</t>
  </si>
  <si>
    <t>Add Federation</t>
  </si>
  <si>
    <t>Add Shibboleth</t>
  </si>
  <si>
    <t>OLSync</t>
  </si>
  <si>
    <t>OLMA_</t>
  </si>
  <si>
    <t>PowerShell_</t>
  </si>
  <si>
    <t>MAV3</t>
  </si>
  <si>
    <t>OLMA w/o AD</t>
  </si>
  <si>
    <t>WL SDK</t>
  </si>
  <si>
    <t>PowerShell admin</t>
  </si>
  <si>
    <t>Custom Exchange settings</t>
  </si>
  <si>
    <t>Use outlook.com</t>
  </si>
  <si>
    <t>PCNS</t>
  </si>
  <si>
    <t>Classroom workflow</t>
  </si>
  <si>
    <t>Scenario</t>
  </si>
  <si>
    <t>All</t>
  </si>
  <si>
    <t>All</t>
  </si>
  <si>
    <t>All</t>
  </si>
  <si>
    <t>All</t>
  </si>
  <si>
    <t>PCNS</t>
  </si>
  <si>
    <t>Use outlook.com</t>
  </si>
  <si>
    <t>All</t>
  </si>
  <si>
    <t>All</t>
  </si>
  <si>
    <t>[AD FS] [Shibboleth]</t>
  </si>
  <si>
    <t>[AD FS] [Add Federation]</t>
  </si>
  <si>
    <t>[Shibboleth]</t>
  </si>
  <si>
    <t>[OLSync] [OLMA_] [PowerShell_] [MAV3] [OLMA w/o AD] [WL SDK]</t>
  </si>
  <si>
    <t>Row 55 before changes</t>
  </si>
  <si>
    <t>[PowerShell Admin]</t>
  </si>
  <si>
    <t>[Classroom workflow]</t>
  </si>
  <si>
    <t>All</t>
  </si>
  <si>
    <t>All</t>
  </si>
  <si>
    <t>[Custom Exchange settings]</t>
  </si>
  <si>
    <t>[OLSync] [OLMA_] [PowerShell_] [MAV3] [WL SDK]</t>
  </si>
  <si>
    <t>Row 68 before changes</t>
  </si>
  <si>
    <t>[AD FS] [Shibboleth] [Add Federation] [Add Shibboleth]</t>
  </si>
  <si>
    <t>[MAV3]</t>
  </si>
  <si>
    <t>All</t>
  </si>
  <si>
    <t>All</t>
  </si>
  <si>
    <t>All</t>
  </si>
  <si>
    <t>All</t>
  </si>
  <si>
    <t>All</t>
  </si>
  <si>
    <t>[OLSync] [OLMA_] [PowerShell_] [MAV3]</t>
  </si>
  <si>
    <t>[OLSync]</t>
  </si>
  <si>
    <t>[OLSync]</t>
  </si>
  <si>
    <t>[OLSync]</t>
  </si>
  <si>
    <t>[OLSync]</t>
  </si>
  <si>
    <t>[OLSync]</t>
  </si>
  <si>
    <t>[OLSync]</t>
  </si>
  <si>
    <t>[OLMA_]</t>
  </si>
  <si>
    <t>[OLMA_]</t>
  </si>
  <si>
    <t>[OLMA_]</t>
  </si>
  <si>
    <t>[OLMA_]</t>
  </si>
  <si>
    <t>Row 93 before changes</t>
  </si>
  <si>
    <t>[AD FS] [Add Federation]</t>
  </si>
  <si>
    <t>Row 80 before changes</t>
  </si>
  <si>
    <t>[Shibboleth]</t>
  </si>
  <si>
    <t>Row 81 before changes</t>
  </si>
  <si>
    <t>[OLMA_]</t>
  </si>
  <si>
    <t>[OLMA_]</t>
  </si>
  <si>
    <t>[PowerShell_]</t>
  </si>
  <si>
    <t>[PowerShell_]</t>
  </si>
  <si>
    <t>[PowerShell_]</t>
  </si>
  <si>
    <t>[PowerShell_]</t>
  </si>
  <si>
    <t>[MAV3]</t>
  </si>
  <si>
    <t>[MAV3]</t>
  </si>
  <si>
    <t>[MAV3]</t>
  </si>
  <si>
    <t>[MAV3]</t>
  </si>
  <si>
    <t>[OLMA w/o AD]</t>
  </si>
  <si>
    <t>[PowerShell admin]</t>
  </si>
  <si>
    <t>[Custom Exchange settings]</t>
  </si>
  <si>
    <t>All</t>
  </si>
  <si>
    <t>All</t>
  </si>
  <si>
    <t>All</t>
  </si>
  <si>
    <t>All</t>
  </si>
  <si>
    <t>All</t>
  </si>
  <si>
    <t>All</t>
  </si>
  <si>
    <t>All</t>
  </si>
  <si>
    <t>Settimana del</t>
  </si>
  <si>
    <t>DOPO L'AGGIOR-NAMENTO</t>
  </si>
  <si>
    <t xml:space="preserve">Sviluppare il proprio piano di aggiornamento </t>
  </si>
  <si>
    <t>Al termine dell'aggiornamento</t>
  </si>
  <si>
    <r>
      <rPr>
        <sz val="14"/>
        <color theme="1"/>
        <rFont val="Segoe UI"/>
        <family val="2"/>
      </rPr>
      <t xml:space="preserve">Informazioni dettagliate su come pianificare e gestire l'aggiornamento a Office 365 per l'istruzione sono disponibili nella </t>
    </r>
    <r>
      <rPr>
        <u/>
        <sz val="14"/>
        <color rgb="FFFC4B00"/>
        <rFont val="Segoe UI"/>
        <family val="2"/>
      </rPr>
      <t>Guida all'aggiornamento</t>
    </r>
  </si>
  <si>
    <r>
      <t xml:space="preserve">Questo foglio di lavoro relativo alla pianificazione è stato concepito come guida per stabilire le attività e le tempistiche appropriate per l'aggiornamento da Live@edu a Office 365. È stato fornito un piano della durata di quattro settimane che si consiglia di seguire per iniziare a sviluppare le tempistiche. Tuttavia, considerato che ogni distribuzione e ogni ambiente di Live@edu sono diversi, quando si realizza e si conclude il proprio piano di aggiornamento, è necessario tenere in considerazione gli eventuali scenari unici per l'istituto. Si consiglia di iniziare con più di quattro settimane di anticipo.
</t>
    </r>
    <r>
      <rPr>
        <sz val="14"/>
        <color theme="1"/>
        <rFont val="Segoe UI"/>
        <family val="2"/>
      </rPr>
      <t>Per iniziare:</t>
    </r>
    <r>
      <rPr>
        <sz val="12"/>
        <color theme="1"/>
        <rFont val="Segoe UI"/>
        <family val="2"/>
      </rPr>
      <t xml:space="preserve">
</t>
    </r>
    <r>
      <rPr>
        <b/>
        <sz val="12"/>
        <color theme="1"/>
        <rFont val="Segoe UI"/>
        <family val="2"/>
      </rPr>
      <t>1)</t>
    </r>
    <r>
      <rPr>
        <sz val="12"/>
        <color theme="1"/>
        <rFont val="Segoe UI"/>
        <family val="2"/>
      </rPr>
      <t xml:space="preserve"> Passare alla scheda</t>
    </r>
    <r>
      <rPr>
        <b/>
        <sz val="12"/>
        <color rgb="FFFEA500"/>
        <rFont val="Segoe UI"/>
        <family val="2"/>
      </rPr>
      <t xml:space="preserve"> Piano di 4 settimane</t>
    </r>
    <r>
      <rPr>
        <sz val="12"/>
        <color theme="1"/>
        <rFont val="Segoe UI"/>
        <family val="2"/>
      </rPr>
      <t xml:space="preserve"> verso la fine del presente foglio di lavoro.
</t>
    </r>
    <r>
      <rPr>
        <b/>
        <sz val="12"/>
        <color theme="1"/>
        <rFont val="Segoe UI"/>
        <family val="2"/>
      </rPr>
      <t>2)</t>
    </r>
    <r>
      <rPr>
        <sz val="12"/>
        <color theme="1"/>
        <rFont val="Segoe UI"/>
        <family val="2"/>
      </rPr>
      <t xml:space="preserve"> In </t>
    </r>
    <r>
      <rPr>
        <b/>
        <sz val="12"/>
        <color rgb="FFFEA500"/>
        <rFont val="Segoe UI"/>
        <family val="2"/>
      </rPr>
      <t xml:space="preserve">Data aggiornamento </t>
    </r>
    <r>
      <rPr>
        <sz val="12"/>
        <color theme="1"/>
        <rFont val="Segoe UI"/>
        <family val="2"/>
      </rPr>
      <t xml:space="preserve">immettere la data in cui l'istituto desidera iniziare l'aggiornamento a Office 365 per l'istruzione oppure la data di aggiornamento pianificata.
</t>
    </r>
    <r>
      <rPr>
        <b/>
        <sz val="12"/>
        <color theme="1"/>
        <rFont val="Segoe UI"/>
        <family val="2"/>
      </rPr>
      <t>3)</t>
    </r>
    <r>
      <rPr>
        <b/>
        <sz val="12"/>
        <color rgb="FFFEA500"/>
        <rFont val="Segoe UI"/>
        <family val="2"/>
      </rPr>
      <t xml:space="preserve"> Selezionare</t>
    </r>
    <r>
      <rPr>
        <sz val="12"/>
        <color theme="1"/>
        <rFont val="Segoe UI"/>
        <family val="2"/>
      </rPr>
      <t xml:space="preserve"> gli scenari applicabili alla distribuzione di Live@edu nel proprio istituto. È necessario ricordare che non tutti gli scenari saranno applicabili alla propria distribuzione.
</t>
    </r>
    <r>
      <rPr>
        <b/>
        <sz val="12"/>
        <color theme="1"/>
        <rFont val="Segoe UI"/>
        <family val="2"/>
      </rPr>
      <t>4)</t>
    </r>
    <r>
      <rPr>
        <sz val="12"/>
        <color theme="1"/>
        <rFont val="Segoe UI"/>
        <family val="2"/>
      </rPr>
      <t xml:space="preserve"> Scorrere verso il basso per esaminare le attività e le tempistiche consigliate. In base alle scelte effettuate, le attività da svolgere saranno diverse. Le eventuali attività </t>
    </r>
    <r>
      <rPr>
        <i/>
        <u/>
        <sz val="12"/>
        <color theme="1"/>
        <rFont val="Segoe UI"/>
        <family val="2"/>
      </rPr>
      <t>non</t>
    </r>
    <r>
      <rPr>
        <sz val="12"/>
        <color theme="1"/>
        <rFont val="Segoe UI"/>
        <family val="2"/>
      </rPr>
      <t xml:space="preserve"> applicabili alla propria distribuzione saranno visualizzate in grigio.
</t>
    </r>
    <r>
      <rPr>
        <b/>
        <i/>
        <sz val="12"/>
        <color theme="1"/>
        <rFont val="Segoe UI"/>
        <family val="2"/>
      </rPr>
      <t>Nota:</t>
    </r>
    <r>
      <rPr>
        <sz val="12"/>
        <color theme="1"/>
        <rFont val="Segoe UI"/>
        <family val="2"/>
      </rPr>
      <t xml:space="preserve">il presente foglio di lavoro relativo alla distribuzione è stato concepito come guida per aiutare a stabilire le proprie tempistiche e potrebbe non includere tutte le tempistiche e le attività fondamentali da eseguire per effettuare correttamente l'aggiornamento per l'istituto. Assicurarsi di utilizzare il foglio di lavoro congiuntamente alla Guida all'aggiornamento di Live@edu e al Centro aggiornamenti di Live@edu.
</t>
    </r>
  </si>
  <si>
    <t>Inviare comunicazioni agli utenti riguardo all'aggiornamento:
 * Assicurarsi che l'accesso alla posta elettronica avvenga da https://www.outlook.com/&lt;dominio&gt;
 * Gli utenti dispongono di due account e delle modifiche al portale</t>
  </si>
  <si>
    <t>Inviare comunicazioni agli utenti riguardo all'aggiornamento:
 * Assicurarsi che l'accesso alla posta elettronica avvenga da https://www.outlook.com/&lt;dominio&gt;
 * Gli utenti dispongono di due account e sono state apportate modifiche al portale</t>
  </si>
  <si>
    <t xml:space="preserve">
Avviare l'aggiornamento manualmente oppure attendere che venga avviato automaticamente nel giorno previsto. Monitorare lo stato dell'aggiornamento.</t>
  </si>
  <si>
    <r>
      <t xml:space="preserve">Il mio istituto utilizza attualmente il toolkit SSO e desidera passare ad </t>
    </r>
    <r>
      <rPr>
        <i/>
        <sz val="12"/>
        <color theme="1"/>
        <rFont val="Segoe UI"/>
        <family val="2"/>
      </rPr>
      <t>Active Directory Federation Services (ADFS).</t>
    </r>
  </si>
  <si>
    <r>
      <t xml:space="preserve">Il mio istituto utilizza attualmente il toolkit SSO e passerà a </t>
    </r>
    <r>
      <rPr>
        <i/>
        <sz val="12"/>
        <color theme="1"/>
        <rFont val="Segoe UI"/>
        <family val="2"/>
      </rPr>
      <t>Shibboleth con Active Directory.</t>
    </r>
  </si>
  <si>
    <r>
      <t xml:space="preserve">Il mio istituto </t>
    </r>
    <r>
      <rPr>
        <u/>
        <sz val="12"/>
        <color theme="1"/>
        <rFont val="Segoe UI"/>
        <family val="2"/>
      </rPr>
      <t>non</t>
    </r>
    <r>
      <rPr>
        <sz val="12"/>
        <color theme="1"/>
        <rFont val="Segoe UI"/>
        <family val="2"/>
      </rPr>
      <t xml:space="preserve"> utilizza il toolkit SSO ma utilizzerà la federazione con </t>
    </r>
    <r>
      <rPr>
        <i/>
        <sz val="12"/>
        <color theme="1"/>
        <rFont val="Segoe UI"/>
        <family val="2"/>
      </rPr>
      <t>AD FS 2.0</t>
    </r>
    <r>
      <rPr>
        <sz val="12"/>
        <color theme="1"/>
        <rFont val="Segoe UI"/>
        <family val="2"/>
      </rPr>
      <t xml:space="preserve"> in Office 365.</t>
    </r>
  </si>
  <si>
    <r>
      <t xml:space="preserve">Il mio istituto </t>
    </r>
    <r>
      <rPr>
        <i/>
        <u/>
        <sz val="12"/>
        <color theme="1"/>
        <rFont val="Segoe UI"/>
        <family val="2"/>
      </rPr>
      <t>non</t>
    </r>
    <r>
      <rPr>
        <sz val="12"/>
        <color theme="1"/>
        <rFont val="Segoe UI"/>
        <family val="2"/>
      </rPr>
      <t xml:space="preserve"> utilizza il toolkit SSO ma utilizzerà la federazione con </t>
    </r>
    <r>
      <rPr>
        <i/>
        <sz val="12"/>
        <color theme="1"/>
        <rFont val="Segoe UI"/>
        <family val="2"/>
      </rPr>
      <t>Shibboleth con Active Directory</t>
    </r>
    <r>
      <rPr>
        <sz val="12"/>
        <color theme="1"/>
        <rFont val="Segoe UI"/>
        <family val="2"/>
      </rPr>
      <t xml:space="preserve"> in Office 365.</t>
    </r>
  </si>
  <si>
    <t>SDK Windows Live Admin Center.</t>
  </si>
  <si>
    <t>Utilizzo PowerShell per amministrare gli account in Exchange Online.</t>
  </si>
  <si>
    <r>
      <t xml:space="preserve">Il mio istituto dispone di </t>
    </r>
    <r>
      <rPr>
        <b/>
        <sz val="12"/>
        <color theme="1"/>
        <rFont val="Segoe UI"/>
        <family val="2"/>
      </rPr>
      <t xml:space="preserve">impostazioni Exchange personalizzate </t>
    </r>
    <r>
      <rPr>
        <sz val="12"/>
        <color theme="1"/>
        <rFont val="Segoe UI"/>
        <family val="2"/>
      </rPr>
      <t>(criteri di assegnazione di ruolo e/o supervisione).</t>
    </r>
  </si>
  <si>
    <t>.</t>
  </si>
  <si>
    <t>I miei utenti controllano la posta elettronica accedendo a outlook.com.</t>
  </si>
  <si>
    <t>Il mio istituto utilizza il servizio di notifica di modifica della password (PCNS, Password Change Notification Service).</t>
  </si>
  <si>
    <r>
      <t>Il mio istituto</t>
    </r>
    <r>
      <rPr>
        <b/>
        <sz val="12"/>
        <color theme="1"/>
        <rFont val="Segoe UI"/>
        <family val="2"/>
      </rPr>
      <t xml:space="preserve"> utilizza attualmente SkyDrive e Messenger</t>
    </r>
    <r>
      <rPr>
        <sz val="12"/>
        <color theme="1"/>
        <rFont val="Segoe UI"/>
        <family val="2"/>
      </rPr>
      <t xml:space="preserve"> per il flusso di lavoro delle classi.</t>
    </r>
  </si>
  <si>
    <t>Aggiornare le informazioni sul contatto e il profilo dell'istituto nel Portale di gestione dei servizi (SMP, Service Management Portal).</t>
  </si>
  <si>
    <t>Accedere al Centro per l'aggiornamento per conoscere le più recenti comunicazioni.</t>
  </si>
  <si>
    <t>Acquisire familiarità con il processo di aggiornamento.</t>
  </si>
  <si>
    <t>Consultare l'Elenco di controllo pre-aggiornamento per amministratori.</t>
  </si>
  <si>
    <t>Aggiornare l'URL utilizzato per accedere alla posta elettronica.</t>
  </si>
  <si>
    <t>Aggiornare il software desktop in base alle esigenze.</t>
  </si>
  <si>
    <t>Se non sono mai state distribuite le password per gli account Microsoft, è necessario comunicare ai clienti che, dopo l'aggiornamento, dovranno creare una nuova password per il loro account Microsoft, così potranno continuare ad accedere a SkyDrive e Messenger.</t>
  </si>
  <si>
    <t>Ulteriori informazioni</t>
  </si>
  <si>
    <t>Documentare le impostazioni Exchange Online di Live@edu.</t>
  </si>
  <si>
    <t>Esaminare le fasi di provisioning da eseguire dopo l'aggiornamento e acquisire familiarità.</t>
  </si>
  <si>
    <t>Esaminare le operazioni da eseguire per configurare la federazione dopo l'aggiornamento e acquisire familiarità.</t>
  </si>
  <si>
    <t>Continuare ad amministrare gli utenti, con alcune restrizioni .</t>
  </si>
  <si>
    <t>Prima di iniziare la seconda fase, comunicare con gli utenti.</t>
  </si>
  <si>
    <t>Iniziare la seconda fase.</t>
  </si>
  <si>
    <t>Iniziare la terza fase: impostare la password per Office 365.</t>
  </si>
  <si>
    <t>Configurare lo Strumento di sincronizzazione della directory dei Microsoft Online Services.</t>
  </si>
  <si>
    <t>Disabilitare OLMA nel Portale di gestione dei servizi (SMP).</t>
  </si>
  <si>
    <t>Disabilitare OLSync e tutti i componenti di Identity Lifecycle Manager (ILM) 2007 o Forefront Identity Manager (FIM) 2010.</t>
  </si>
  <si>
    <t>Scaricare ed eseguire uno strumento di preparazione della directory una tantum.</t>
  </si>
  <si>
    <t>Disabilitare la sincronizzazione di OLMA annullando l'attività pianificata per la sincronizzazione nel Portale di gestione dei servizi (SMP).</t>
  </si>
  <si>
    <t>Disinstallare OLMA e tutti i componenti di Identity Lifecycle Manager (ILM) 2007 o Forefront Identity Manager (FIM) 2010.</t>
  </si>
  <si>
    <t>Per configurare la federazione di Shibboleth per Office 365, seguire la procedura "Dopo l'aggiornamento".</t>
  </si>
  <si>
    <t>Informazioni su OLMA senza AD disponibili a breve.</t>
  </si>
  <si>
    <t>In caso di problemi con l'aggiornamento, verificare i modi per risolvere i problemi oppure contattare il supporto.</t>
  </si>
  <si>
    <t>Ricordare agli utenti che ora dispongono di due account distinti e spiegare quali URL utilizzare.</t>
  </si>
  <si>
    <t>Configurare Office 365: effettuare l'accesso al portale.</t>
  </si>
  <si>
    <t>Aggiungere altri amministratori dell'account in Office 365.</t>
  </si>
  <si>
    <t>Effettuare la sottoscrizione al piano A2.</t>
  </si>
  <si>
    <t>Eseguire una panoramica di Office 365.</t>
  </si>
  <si>
    <t>Configurare SharePoint Online e Lync Online.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</si>
</sst>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35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b/>
      <sz val="11"/>
      <color theme="1"/>
      <name val="Segoe UI"/>
      <family val="2"/>
    </font>
    <font>
      <sz val="10"/>
      <color theme="1"/>
      <name val="Segoe UI"/>
      <family val="2"/>
    </font>
    <font>
      <b/>
      <sz val="11"/>
      <color rgb="FF92D050"/>
      <name val="Segoe UI"/>
      <family val="2"/>
    </font>
    <font>
      <b/>
      <sz val="15"/>
      <color theme="0"/>
      <name val="Segoe UI"/>
      <family val="2"/>
    </font>
    <font>
      <b/>
      <sz val="20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0"/>
      <name val="Segoe UI"/>
      <family val="2"/>
    </font>
    <font>
      <u/>
      <sz val="6.6"/>
      <color theme="10"/>
      <name val="Calibri"/>
      <family val="2"/>
    </font>
    <font>
      <u/>
      <sz val="10"/>
      <color theme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b/>
      <sz val="10"/>
      <color theme="0"/>
      <name val="Segoe UI"/>
      <family val="2"/>
    </font>
    <font>
      <sz val="14"/>
      <color theme="1"/>
      <name val="Segoe UI"/>
      <family val="2"/>
    </font>
    <font>
      <u/>
      <sz val="14"/>
      <color theme="10"/>
      <name val="Segoe UI"/>
      <family val="2"/>
    </font>
    <font>
      <sz val="8"/>
      <color rgb="FF000000"/>
      <name val="Tahoma"/>
      <family val="2"/>
    </font>
    <font>
      <b/>
      <sz val="16"/>
      <color theme="0"/>
      <name val="Segoe UI"/>
      <family val="2"/>
    </font>
    <font>
      <i/>
      <sz val="12"/>
      <color theme="1"/>
      <name val="Segoe UI"/>
      <family val="2"/>
    </font>
    <font>
      <i/>
      <u/>
      <sz val="12"/>
      <color theme="1"/>
      <name val="Segoe UI"/>
      <family val="2"/>
    </font>
    <font>
      <u/>
      <sz val="12"/>
      <color theme="1"/>
      <name val="Segoe U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2"/>
      <name val="Segoe UI Semibold"/>
      <family val="2"/>
    </font>
    <font>
      <sz val="11"/>
      <color theme="0" tint="-0.249977111117893"/>
      <name val="Segoe UI"/>
      <family val="2"/>
    </font>
    <font>
      <sz val="10"/>
      <color theme="0" tint="-0.249977111117893"/>
      <name val="Segoe UI"/>
      <family val="2"/>
    </font>
    <font>
      <sz val="14"/>
      <color theme="0" tint="-0.249977111117893"/>
      <name val="Segoe UI"/>
      <family val="2"/>
    </font>
    <font>
      <b/>
      <i/>
      <sz val="12"/>
      <color theme="1"/>
      <name val="Segoe UI"/>
      <family val="2"/>
    </font>
    <font>
      <sz val="18"/>
      <color rgb="FFFFFFFF"/>
      <name val="Segoe UI Semibold"/>
      <family val="2"/>
    </font>
    <font>
      <b/>
      <sz val="12"/>
      <color rgb="FFFEA500"/>
      <name val="Segoe UI"/>
      <family val="2"/>
    </font>
    <font>
      <u/>
      <sz val="14"/>
      <color rgb="FFFC4B00"/>
      <name val="Segoe UI"/>
      <family val="2"/>
    </font>
    <font>
      <u/>
      <sz val="10"/>
      <color rgb="FFFC4B00"/>
      <name val="Segoe UI"/>
      <family val="2"/>
    </font>
    <font>
      <sz val="9"/>
      <name val="Calibri"/>
      <family val="3"/>
      <charset val="136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9A12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E7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3999450666829432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4" fillId="14" borderId="25" applyFont="0" applyBorder="0" applyAlignment="0">
      <alignment horizontal="center"/>
    </xf>
  </cellStyleXfs>
  <cellXfs count="2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4" borderId="0" xfId="0" applyFill="1"/>
    <xf numFmtId="0" fontId="4" fillId="4" borderId="0" xfId="0" applyFont="1" applyFill="1" applyBorder="1" applyAlignment="1">
      <alignment vertical="top" wrapText="1"/>
    </xf>
    <xf numFmtId="0" fontId="3" fillId="7" borderId="12" xfId="0" applyFont="1" applyFill="1" applyBorder="1" applyAlignment="1">
      <alignment horizontal="left"/>
    </xf>
    <xf numFmtId="0" fontId="3" fillId="7" borderId="13" xfId="0" applyFont="1" applyFill="1" applyBorder="1" applyAlignment="1">
      <alignment horizontal="left"/>
    </xf>
    <xf numFmtId="16" fontId="3" fillId="7" borderId="13" xfId="0" applyNumberFormat="1" applyFont="1" applyFill="1" applyBorder="1" applyAlignment="1">
      <alignment vertical="center" wrapText="1"/>
    </xf>
    <xf numFmtId="0" fontId="3" fillId="7" borderId="13" xfId="0" applyFont="1" applyFill="1" applyBorder="1" applyAlignment="1">
      <alignment vertical="center" wrapText="1"/>
    </xf>
    <xf numFmtId="0" fontId="3" fillId="7" borderId="15" xfId="0" applyFont="1" applyFill="1" applyBorder="1" applyAlignment="1">
      <alignment horizontal="left"/>
    </xf>
    <xf numFmtId="16" fontId="3" fillId="7" borderId="15" xfId="0" applyNumberFormat="1" applyFont="1" applyFill="1" applyBorder="1" applyAlignment="1">
      <alignment vertical="center" wrapText="1"/>
    </xf>
    <xf numFmtId="0" fontId="3" fillId="7" borderId="15" xfId="0" applyFont="1" applyFill="1" applyBorder="1" applyAlignment="1">
      <alignment vertical="center" wrapText="1"/>
    </xf>
    <xf numFmtId="0" fontId="3" fillId="7" borderId="14" xfId="0" applyFont="1" applyFill="1" applyBorder="1" applyAlignment="1">
      <alignment horizontal="left"/>
    </xf>
    <xf numFmtId="16" fontId="3" fillId="8" borderId="0" xfId="0" applyNumberFormat="1" applyFont="1" applyFill="1" applyBorder="1" applyAlignment="1">
      <alignment vertical="center" wrapText="1"/>
    </xf>
    <xf numFmtId="0" fontId="3" fillId="8" borderId="0" xfId="0" applyFont="1" applyFill="1" applyBorder="1" applyAlignment="1">
      <alignment vertical="center" wrapText="1"/>
    </xf>
    <xf numFmtId="0" fontId="0" fillId="3" borderId="0" xfId="0" applyFill="1"/>
    <xf numFmtId="16" fontId="2" fillId="9" borderId="0" xfId="0" applyNumberFormat="1" applyFont="1" applyFill="1" applyBorder="1" applyAlignment="1">
      <alignment vertical="center"/>
    </xf>
    <xf numFmtId="0" fontId="4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4" borderId="7" xfId="0" applyFont="1" applyFill="1" applyBorder="1" applyAlignment="1">
      <alignment horizontal="left" vertical="top" wrapText="1" indent="2"/>
    </xf>
    <xf numFmtId="164" fontId="6" fillId="4" borderId="0" xfId="0" applyNumberFormat="1" applyFont="1" applyFill="1" applyBorder="1" applyAlignment="1">
      <alignment horizontal="center" vertical="center"/>
    </xf>
    <xf numFmtId="0" fontId="16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16" fontId="2" fillId="4" borderId="0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164" fontId="3" fillId="8" borderId="0" xfId="0" applyNumberFormat="1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2" fillId="6" borderId="0" xfId="0" applyNumberFormat="1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left" vertical="center" wrapText="1"/>
    </xf>
    <xf numFmtId="0" fontId="8" fillId="10" borderId="7" xfId="0" applyFont="1" applyFill="1" applyBorder="1" applyAlignment="1">
      <alignment horizontal="left" vertical="top" wrapText="1" indent="2"/>
    </xf>
    <xf numFmtId="164" fontId="8" fillId="10" borderId="8" xfId="0" applyNumberFormat="1" applyFont="1" applyFill="1" applyBorder="1" applyAlignment="1">
      <alignment horizontal="left" vertical="center" wrapText="1"/>
    </xf>
    <xf numFmtId="0" fontId="8" fillId="10" borderId="7" xfId="0" applyFont="1" applyFill="1" applyBorder="1" applyAlignment="1">
      <alignment horizontal="left" vertical="top" indent="2"/>
    </xf>
    <xf numFmtId="0" fontId="8" fillId="4" borderId="4" xfId="0" applyFont="1" applyFill="1" applyBorder="1" applyAlignment="1">
      <alignment horizontal="left" vertical="center"/>
    </xf>
    <xf numFmtId="164" fontId="8" fillId="4" borderId="5" xfId="0" applyNumberFormat="1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top" wrapText="1"/>
    </xf>
    <xf numFmtId="0" fontId="8" fillId="4" borderId="7" xfId="0" applyFont="1" applyFill="1" applyBorder="1" applyAlignment="1">
      <alignment horizontal="left" vertical="top" wrapText="1" indent="2"/>
    </xf>
    <xf numFmtId="0" fontId="8" fillId="4" borderId="7" xfId="0" applyFont="1" applyFill="1" applyBorder="1" applyAlignment="1">
      <alignment horizontal="left" vertical="top" wrapText="1" indent="2"/>
    </xf>
    <xf numFmtId="0" fontId="4" fillId="4" borderId="0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left" vertical="top" wrapText="1" indent="2"/>
    </xf>
    <xf numFmtId="164" fontId="2" fillId="9" borderId="0" xfId="0" applyNumberFormat="1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/>
    </xf>
    <xf numFmtId="16" fontId="2" fillId="4" borderId="0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3" fillId="0" borderId="1" xfId="0" applyFont="1" applyFill="1" applyBorder="1" applyAlignment="1">
      <alignment vertical="top"/>
    </xf>
    <xf numFmtId="0" fontId="23" fillId="0" borderId="1" xfId="0" applyFont="1" applyFill="1" applyBorder="1" applyAlignment="1">
      <alignment horizontal="center" vertical="top"/>
    </xf>
    <xf numFmtId="0" fontId="1" fillId="0" borderId="1" xfId="0" applyFont="1" applyFill="1" applyBorder="1"/>
    <xf numFmtId="0" fontId="16" fillId="4" borderId="0" xfId="0" applyFont="1" applyFill="1" applyAlignment="1">
      <alignment horizontal="center" wrapText="1"/>
    </xf>
    <xf numFmtId="0" fontId="24" fillId="0" borderId="45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3" fillId="7" borderId="13" xfId="0" applyFont="1" applyFill="1" applyBorder="1" applyAlignment="1">
      <alignment vertical="center"/>
    </xf>
    <xf numFmtId="16" fontId="3" fillId="8" borderId="0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7" borderId="15" xfId="0" applyFont="1" applyFill="1" applyBorder="1" applyAlignment="1">
      <alignment vertical="center"/>
    </xf>
    <xf numFmtId="16" fontId="2" fillId="6" borderId="0" xfId="0" applyNumberFormat="1" applyFont="1" applyFill="1" applyBorder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4" fillId="2" borderId="45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left" vertical="top" indent="1"/>
    </xf>
    <xf numFmtId="0" fontId="1" fillId="0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23" fillId="0" borderId="1" xfId="0" applyFont="1" applyFill="1" applyBorder="1" applyAlignment="1">
      <alignment horizontal="left" vertical="top" wrapText="1" indent="1"/>
    </xf>
    <xf numFmtId="0" fontId="23" fillId="0" borderId="1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7" borderId="13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7" borderId="15" xfId="0" applyFont="1" applyFill="1" applyBorder="1" applyAlignment="1">
      <alignment horizontal="left" vertical="center"/>
    </xf>
    <xf numFmtId="16" fontId="2" fillId="6" borderId="0" xfId="0" applyNumberFormat="1" applyFont="1" applyFill="1" applyBorder="1" applyAlignment="1">
      <alignment horizontal="left" vertical="center"/>
    </xf>
    <xf numFmtId="16" fontId="2" fillId="9" borderId="0" xfId="0" applyNumberFormat="1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4" fillId="16" borderId="39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4" fillId="4" borderId="4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8" fillId="4" borderId="7" xfId="0" applyFont="1" applyFill="1" applyBorder="1" applyAlignment="1">
      <alignment horizontal="left" vertical="center" wrapText="1" indent="2"/>
    </xf>
    <xf numFmtId="0" fontId="8" fillId="4" borderId="7" xfId="0" applyFont="1" applyFill="1" applyBorder="1" applyAlignment="1">
      <alignment horizontal="left" vertical="center" wrapText="1" indent="5"/>
    </xf>
    <xf numFmtId="0" fontId="26" fillId="4" borderId="1" xfId="0" applyFont="1" applyFill="1" applyBorder="1" applyAlignment="1">
      <alignment horizontal="center" vertical="center"/>
    </xf>
    <xf numFmtId="0" fontId="26" fillId="4" borderId="0" xfId="0" applyFont="1" applyFill="1"/>
    <xf numFmtId="0" fontId="28" fillId="4" borderId="0" xfId="0" applyFont="1" applyFill="1" applyAlignment="1">
      <alignment wrapText="1"/>
    </xf>
    <xf numFmtId="0" fontId="26" fillId="0" borderId="0" xfId="0" applyFont="1"/>
    <xf numFmtId="0" fontId="26" fillId="4" borderId="0" xfId="0" applyFont="1" applyFill="1" applyAlignment="1">
      <alignment horizontal="left"/>
    </xf>
    <xf numFmtId="0" fontId="10" fillId="11" borderId="46" xfId="0" applyFont="1" applyFill="1" applyBorder="1" applyAlignment="1">
      <alignment horizontal="left"/>
    </xf>
    <xf numFmtId="0" fontId="10" fillId="11" borderId="47" xfId="0" applyFont="1" applyFill="1" applyBorder="1" applyAlignment="1">
      <alignment horizontal="left"/>
    </xf>
    <xf numFmtId="0" fontId="10" fillId="11" borderId="48" xfId="0" applyFont="1" applyFill="1" applyBorder="1" applyAlignment="1">
      <alignment horizontal="left"/>
    </xf>
    <xf numFmtId="0" fontId="30" fillId="12" borderId="0" xfId="0" applyFont="1" applyFill="1" applyBorder="1" applyAlignment="1">
      <alignment horizontal="left" wrapText="1" indent="2"/>
    </xf>
    <xf numFmtId="0" fontId="25" fillId="12" borderId="0" xfId="0" applyFont="1" applyFill="1" applyBorder="1" applyAlignment="1">
      <alignment horizontal="left" wrapText="1" indent="2"/>
    </xf>
    <xf numFmtId="0" fontId="0" fillId="4" borderId="0" xfId="0" applyFill="1" applyAlignment="1">
      <alignment horizontal="center" wrapText="1"/>
    </xf>
    <xf numFmtId="0" fontId="8" fillId="4" borderId="49" xfId="0" applyFont="1" applyFill="1" applyBorder="1" applyAlignment="1">
      <alignment horizontal="left" vertical="top" wrapText="1" indent="2"/>
    </xf>
    <xf numFmtId="0" fontId="8" fillId="4" borderId="0" xfId="0" applyFont="1" applyFill="1" applyBorder="1" applyAlignment="1">
      <alignment horizontal="left" vertical="top" wrapText="1" indent="2"/>
    </xf>
    <xf numFmtId="0" fontId="8" fillId="4" borderId="50" xfId="0" applyFont="1" applyFill="1" applyBorder="1" applyAlignment="1">
      <alignment horizontal="left" vertical="top" wrapText="1" indent="2"/>
    </xf>
    <xf numFmtId="0" fontId="8" fillId="4" borderId="51" xfId="0" applyFont="1" applyFill="1" applyBorder="1" applyAlignment="1">
      <alignment horizontal="left" vertical="top" wrapText="1" indent="2"/>
    </xf>
    <xf numFmtId="0" fontId="8" fillId="4" borderId="52" xfId="0" applyFont="1" applyFill="1" applyBorder="1" applyAlignment="1">
      <alignment horizontal="left" vertical="top" wrapText="1" indent="2"/>
    </xf>
    <xf numFmtId="0" fontId="8" fillId="4" borderId="53" xfId="0" applyFont="1" applyFill="1" applyBorder="1" applyAlignment="1">
      <alignment horizontal="left" vertical="top" wrapText="1" indent="2"/>
    </xf>
    <xf numFmtId="0" fontId="25" fillId="12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center"/>
    </xf>
    <xf numFmtId="0" fontId="0" fillId="13" borderId="0" xfId="0" applyFill="1" applyBorder="1" applyAlignment="1">
      <alignment horizontal="center"/>
    </xf>
    <xf numFmtId="164" fontId="4" fillId="0" borderId="25" xfId="0" applyNumberFormat="1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0" fontId="12" fillId="0" borderId="16" xfId="1" applyFont="1" applyBorder="1" applyAlignment="1" applyProtection="1">
      <alignment horizontal="left" vertical="center" wrapText="1"/>
    </xf>
    <xf numFmtId="0" fontId="12" fillId="0" borderId="19" xfId="1" applyFont="1" applyBorder="1" applyAlignment="1" applyProtection="1">
      <alignment horizontal="left" vertical="center" wrapText="1"/>
    </xf>
    <xf numFmtId="0" fontId="12" fillId="0" borderId="35" xfId="1" applyFont="1" applyBorder="1" applyAlignment="1" applyProtection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16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12" fillId="0" borderId="16" xfId="1" applyFont="1" applyBorder="1" applyAlignment="1" applyProtection="1">
      <alignment vertical="center" wrapText="1"/>
    </xf>
    <xf numFmtId="0" fontId="12" fillId="0" borderId="19" xfId="1" applyFont="1" applyBorder="1" applyAlignment="1" applyProtection="1">
      <alignment vertical="center" wrapText="1"/>
    </xf>
    <xf numFmtId="0" fontId="12" fillId="0" borderId="35" xfId="1" applyFont="1" applyBorder="1" applyAlignment="1" applyProtection="1">
      <alignment vertical="center" wrapText="1"/>
    </xf>
    <xf numFmtId="0" fontId="12" fillId="0" borderId="16" xfId="1" applyFont="1" applyFill="1" applyBorder="1" applyAlignment="1" applyProtection="1">
      <alignment horizontal="left" vertical="center" wrapText="1"/>
    </xf>
    <xf numFmtId="0" fontId="12" fillId="0" borderId="19" xfId="1" applyFont="1" applyFill="1" applyBorder="1" applyAlignment="1" applyProtection="1">
      <alignment horizontal="left" vertical="center" wrapText="1"/>
    </xf>
    <xf numFmtId="0" fontId="12" fillId="0" borderId="35" xfId="1" applyFont="1" applyFill="1" applyBorder="1" applyAlignment="1" applyProtection="1">
      <alignment horizontal="left" vertical="center" wrapText="1"/>
    </xf>
    <xf numFmtId="0" fontId="17" fillId="4" borderId="32" xfId="1" applyFont="1" applyFill="1" applyBorder="1" applyAlignment="1" applyProtection="1">
      <alignment horizontal="center" wrapText="1"/>
    </xf>
    <xf numFmtId="0" fontId="17" fillId="4" borderId="33" xfId="1" applyFont="1" applyFill="1" applyBorder="1" applyAlignment="1" applyProtection="1">
      <alignment horizontal="center" wrapText="1"/>
    </xf>
    <xf numFmtId="0" fontId="17" fillId="4" borderId="34" xfId="1" applyFont="1" applyFill="1" applyBorder="1" applyAlignment="1" applyProtection="1">
      <alignment horizont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" fontId="14" fillId="7" borderId="13" xfId="0" applyNumberFormat="1" applyFont="1" applyFill="1" applyBorder="1" applyAlignment="1">
      <alignment horizontal="center" vertical="center" wrapText="1"/>
    </xf>
    <xf numFmtId="16" fontId="14" fillId="7" borderId="43" xfId="0" applyNumberFormat="1" applyFont="1" applyFill="1" applyBorder="1" applyAlignment="1">
      <alignment horizontal="center" vertical="center" wrapText="1"/>
    </xf>
    <xf numFmtId="164" fontId="4" fillId="0" borderId="9" xfId="0" applyNumberFormat="1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4" fillId="0" borderId="16" xfId="0" applyFont="1" applyFill="1" applyBorder="1" applyAlignment="1">
      <alignment vertical="center" wrapText="1"/>
    </xf>
    <xf numFmtId="0" fontId="4" fillId="0" borderId="21" xfId="0" applyFont="1" applyFill="1" applyBorder="1" applyAlignment="1">
      <alignment vertical="center" wrapText="1"/>
    </xf>
    <xf numFmtId="164" fontId="12" fillId="0" borderId="16" xfId="1" applyNumberFormat="1" applyFont="1" applyFill="1" applyBorder="1" applyAlignment="1" applyProtection="1">
      <alignment horizontal="left" vertical="center" wrapText="1"/>
    </xf>
    <xf numFmtId="164" fontId="12" fillId="0" borderId="19" xfId="1" applyNumberFormat="1" applyFont="1" applyFill="1" applyBorder="1" applyAlignment="1" applyProtection="1">
      <alignment horizontal="left" vertical="center" wrapText="1"/>
    </xf>
    <xf numFmtId="164" fontId="12" fillId="0" borderId="35" xfId="1" applyNumberFormat="1" applyFont="1" applyFill="1" applyBorder="1" applyAlignment="1" applyProtection="1">
      <alignment horizontal="left" vertical="center" wrapText="1"/>
    </xf>
    <xf numFmtId="164" fontId="12" fillId="14" borderId="16" xfId="1" applyNumberFormat="1" applyFont="1" applyFill="1" applyBorder="1" applyAlignment="1" applyProtection="1">
      <alignment horizontal="left" vertical="center" wrapText="1"/>
    </xf>
    <xf numFmtId="164" fontId="12" fillId="14" borderId="19" xfId="1" applyNumberFormat="1" applyFont="1" applyFill="1" applyBorder="1" applyAlignment="1" applyProtection="1">
      <alignment horizontal="left" vertical="center" wrapText="1"/>
    </xf>
    <xf numFmtId="164" fontId="12" fillId="14" borderId="35" xfId="1" applyNumberFormat="1" applyFont="1" applyFill="1" applyBorder="1" applyAlignment="1" applyProtection="1">
      <alignment horizontal="left" vertical="center" wrapText="1"/>
    </xf>
    <xf numFmtId="164" fontId="4" fillId="14" borderId="25" xfId="0" applyNumberFormat="1" applyFont="1" applyFill="1" applyBorder="1" applyAlignment="1">
      <alignment horizontal="center"/>
    </xf>
    <xf numFmtId="164" fontId="4" fillId="14" borderId="21" xfId="0" applyNumberFormat="1" applyFont="1" applyFill="1" applyBorder="1" applyAlignment="1">
      <alignment horizontal="center"/>
    </xf>
    <xf numFmtId="0" fontId="4" fillId="14" borderId="16" xfId="0" applyFont="1" applyFill="1" applyBorder="1" applyAlignment="1">
      <alignment horizontal="left" vertical="center" wrapText="1"/>
    </xf>
    <xf numFmtId="0" fontId="4" fillId="14" borderId="21" xfId="0" applyFont="1" applyFill="1" applyBorder="1" applyAlignment="1">
      <alignment horizontal="left" vertical="center" wrapText="1"/>
    </xf>
    <xf numFmtId="0" fontId="9" fillId="5" borderId="31" xfId="0" applyFont="1" applyFill="1" applyBorder="1" applyAlignment="1">
      <alignment horizontal="center" vertical="center" wrapText="1"/>
    </xf>
    <xf numFmtId="0" fontId="9" fillId="5" borderId="36" xfId="0" applyFont="1" applyFill="1" applyBorder="1" applyAlignment="1">
      <alignment horizontal="center" vertical="center" wrapText="1"/>
    </xf>
    <xf numFmtId="164" fontId="6" fillId="13" borderId="7" xfId="0" applyNumberFormat="1" applyFont="1" applyFill="1" applyBorder="1" applyAlignment="1">
      <alignment horizontal="center" vertical="center"/>
    </xf>
    <xf numFmtId="164" fontId="6" fillId="13" borderId="0" xfId="0" applyNumberFormat="1" applyFont="1" applyFill="1" applyBorder="1" applyAlignment="1">
      <alignment horizontal="center" vertical="center"/>
    </xf>
    <xf numFmtId="164" fontId="6" fillId="13" borderId="8" xfId="0" applyNumberFormat="1" applyFont="1" applyFill="1" applyBorder="1" applyAlignment="1">
      <alignment horizontal="center" vertical="center"/>
    </xf>
    <xf numFmtId="164" fontId="6" fillId="13" borderId="4" xfId="0" applyNumberFormat="1" applyFont="1" applyFill="1" applyBorder="1" applyAlignment="1">
      <alignment horizontal="center" vertical="center"/>
    </xf>
    <xf numFmtId="164" fontId="6" fillId="13" borderId="23" xfId="0" applyNumberFormat="1" applyFont="1" applyFill="1" applyBorder="1" applyAlignment="1">
      <alignment horizontal="center" vertical="center"/>
    </xf>
    <xf numFmtId="164" fontId="6" fillId="13" borderId="5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9" fillId="13" borderId="26" xfId="0" applyFont="1" applyFill="1" applyBorder="1" applyAlignment="1">
      <alignment horizontal="center" vertical="center" wrapText="1"/>
    </xf>
    <xf numFmtId="0" fontId="19" fillId="13" borderId="27" xfId="0" applyFont="1" applyFill="1" applyBorder="1" applyAlignment="1">
      <alignment horizontal="center" vertical="center" wrapText="1"/>
    </xf>
    <xf numFmtId="0" fontId="12" fillId="16" borderId="40" xfId="1" applyFont="1" applyFill="1" applyBorder="1" applyAlignment="1" applyProtection="1">
      <alignment horizontal="left" vertical="center" wrapText="1"/>
    </xf>
    <xf numFmtId="0" fontId="12" fillId="16" borderId="37" xfId="1" applyFont="1" applyFill="1" applyBorder="1" applyAlignment="1" applyProtection="1">
      <alignment horizontal="left" vertical="center" wrapText="1"/>
    </xf>
    <xf numFmtId="0" fontId="12" fillId="16" borderId="36" xfId="1" applyFont="1" applyFill="1" applyBorder="1" applyAlignment="1" applyProtection="1">
      <alignment horizontal="left" vertical="center" wrapText="1"/>
    </xf>
    <xf numFmtId="16" fontId="14" fillId="8" borderId="18" xfId="0" applyNumberFormat="1" applyFont="1" applyFill="1" applyBorder="1" applyAlignment="1">
      <alignment horizontal="center" vertical="center" wrapText="1"/>
    </xf>
    <xf numFmtId="16" fontId="14" fillId="8" borderId="42" xfId="0" applyNumberFormat="1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13" fillId="0" borderId="16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2" fillId="0" borderId="17" xfId="1" applyFont="1" applyBorder="1" applyAlignment="1" applyProtection="1">
      <alignment horizontal="left" vertical="center" wrapText="1"/>
    </xf>
    <xf numFmtId="0" fontId="12" fillId="0" borderId="20" xfId="1" applyFont="1" applyBorder="1" applyAlignment="1" applyProtection="1">
      <alignment horizontal="left" vertical="center" wrapText="1"/>
    </xf>
    <xf numFmtId="0" fontId="12" fillId="0" borderId="44" xfId="1" applyFont="1" applyBorder="1" applyAlignment="1" applyProtection="1">
      <alignment horizontal="left" vertical="center" wrapText="1"/>
    </xf>
    <xf numFmtId="0" fontId="15" fillId="9" borderId="19" xfId="0" applyFont="1" applyFill="1" applyBorder="1" applyAlignment="1">
      <alignment horizontal="center" vertical="center"/>
    </xf>
    <xf numFmtId="0" fontId="15" fillId="9" borderId="35" xfId="0" applyFont="1" applyFill="1" applyBorder="1" applyAlignment="1">
      <alignment horizontal="center" vertical="center"/>
    </xf>
    <xf numFmtId="164" fontId="12" fillId="4" borderId="16" xfId="1" applyNumberFormat="1" applyFont="1" applyFill="1" applyBorder="1" applyAlignment="1" applyProtection="1">
      <alignment horizontal="left" vertical="center" wrapText="1"/>
    </xf>
    <xf numFmtId="164" fontId="12" fillId="4" borderId="19" xfId="1" applyNumberFormat="1" applyFont="1" applyFill="1" applyBorder="1" applyAlignment="1" applyProtection="1">
      <alignment horizontal="left" vertical="center" wrapText="1"/>
    </xf>
    <xf numFmtId="164" fontId="12" fillId="4" borderId="35" xfId="1" applyNumberFormat="1" applyFont="1" applyFill="1" applyBorder="1" applyAlignment="1" applyProtection="1">
      <alignment horizontal="left" vertical="center" wrapText="1"/>
    </xf>
    <xf numFmtId="0" fontId="15" fillId="6" borderId="19" xfId="0" applyFont="1" applyFill="1" applyBorder="1" applyAlignment="1">
      <alignment horizontal="center" vertical="center"/>
    </xf>
    <xf numFmtId="0" fontId="15" fillId="6" borderId="35" xfId="0" applyFont="1" applyFill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2" fillId="9" borderId="19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12" fillId="16" borderId="16" xfId="1" applyFont="1" applyFill="1" applyBorder="1" applyAlignment="1" applyProtection="1">
      <alignment horizontal="left" vertical="center" wrapText="1"/>
    </xf>
    <xf numFmtId="0" fontId="12" fillId="16" borderId="19" xfId="1" applyFont="1" applyFill="1" applyBorder="1" applyAlignment="1" applyProtection="1">
      <alignment horizontal="left" vertical="center" wrapText="1"/>
    </xf>
    <xf numFmtId="0" fontId="12" fillId="16" borderId="35" xfId="1" applyFont="1" applyFill="1" applyBorder="1" applyAlignment="1" applyProtection="1">
      <alignment horizontal="left" vertical="center" wrapText="1"/>
    </xf>
    <xf numFmtId="164" fontId="4" fillId="15" borderId="25" xfId="0" applyNumberFormat="1" applyFont="1" applyFill="1" applyBorder="1" applyAlignment="1">
      <alignment horizontal="center"/>
    </xf>
    <xf numFmtId="164" fontId="4" fillId="15" borderId="21" xfId="0" applyNumberFormat="1" applyFont="1" applyFill="1" applyBorder="1" applyAlignment="1">
      <alignment horizontal="center"/>
    </xf>
    <xf numFmtId="0" fontId="4" fillId="15" borderId="16" xfId="0" applyFont="1" applyFill="1" applyBorder="1" applyAlignment="1">
      <alignment horizontal="left" vertical="center" wrapText="1"/>
    </xf>
    <xf numFmtId="0" fontId="4" fillId="15" borderId="21" xfId="0" applyFont="1" applyFill="1" applyBorder="1" applyAlignment="1">
      <alignment horizontal="left" vertical="center" wrapText="1"/>
    </xf>
    <xf numFmtId="164" fontId="12" fillId="15" borderId="16" xfId="1" applyNumberFormat="1" applyFont="1" applyFill="1" applyBorder="1" applyAlignment="1" applyProtection="1">
      <alignment horizontal="left" vertical="center" wrapText="1"/>
    </xf>
    <xf numFmtId="164" fontId="12" fillId="15" borderId="19" xfId="1" applyNumberFormat="1" applyFont="1" applyFill="1" applyBorder="1" applyAlignment="1" applyProtection="1">
      <alignment horizontal="left" vertical="center" wrapText="1"/>
    </xf>
    <xf numFmtId="164" fontId="12" fillId="15" borderId="35" xfId="1" applyNumberFormat="1" applyFont="1" applyFill="1" applyBorder="1" applyAlignment="1" applyProtection="1">
      <alignment horizontal="left" vertical="center" wrapText="1"/>
    </xf>
    <xf numFmtId="164" fontId="4" fillId="16" borderId="31" xfId="0" applyNumberFormat="1" applyFont="1" applyFill="1" applyBorder="1" applyAlignment="1">
      <alignment horizontal="center"/>
    </xf>
    <xf numFmtId="164" fontId="4" fillId="16" borderId="38" xfId="0" applyNumberFormat="1" applyFont="1" applyFill="1" applyBorder="1" applyAlignment="1">
      <alignment horizontal="center"/>
    </xf>
    <xf numFmtId="0" fontId="2" fillId="9" borderId="25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4" fillId="16" borderId="16" xfId="0" applyFont="1" applyFill="1" applyBorder="1" applyAlignment="1">
      <alignment vertical="center" wrapText="1"/>
    </xf>
    <xf numFmtId="0" fontId="4" fillId="16" borderId="21" xfId="0" applyFont="1" applyFill="1" applyBorder="1" applyAlignment="1">
      <alignment vertical="center" wrapText="1"/>
    </xf>
    <xf numFmtId="164" fontId="4" fillId="16" borderId="25" xfId="0" applyNumberFormat="1" applyFont="1" applyFill="1" applyBorder="1" applyAlignment="1">
      <alignment horizontal="center"/>
    </xf>
    <xf numFmtId="164" fontId="4" fillId="16" borderId="21" xfId="0" applyNumberFormat="1" applyFont="1" applyFill="1" applyBorder="1" applyAlignment="1">
      <alignment horizontal="center"/>
    </xf>
    <xf numFmtId="164" fontId="4" fillId="16" borderId="9" xfId="0" applyNumberFormat="1" applyFont="1" applyFill="1" applyBorder="1" applyAlignment="1">
      <alignment horizontal="center"/>
    </xf>
    <xf numFmtId="164" fontId="4" fillId="16" borderId="1" xfId="0" applyNumberFormat="1" applyFont="1" applyFill="1" applyBorder="1" applyAlignment="1">
      <alignment horizontal="center"/>
    </xf>
    <xf numFmtId="0" fontId="4" fillId="16" borderId="16" xfId="0" applyFont="1" applyFill="1" applyBorder="1" applyAlignment="1">
      <alignment horizontal="left" vertical="center" wrapText="1"/>
    </xf>
    <xf numFmtId="0" fontId="4" fillId="16" borderId="21" xfId="0" applyFont="1" applyFill="1" applyBorder="1" applyAlignment="1">
      <alignment horizontal="left" vertical="center" wrapText="1"/>
    </xf>
    <xf numFmtId="0" fontId="11" fillId="0" borderId="16" xfId="1" applyBorder="1" applyAlignment="1" applyProtection="1">
      <alignment horizontal="left" vertical="center" wrapText="1"/>
    </xf>
    <xf numFmtId="0" fontId="11" fillId="0" borderId="19" xfId="1" applyBorder="1" applyAlignment="1" applyProtection="1">
      <alignment horizontal="left" vertical="center" wrapText="1"/>
    </xf>
    <xf numFmtId="0" fontId="11" fillId="0" borderId="35" xfId="1" applyBorder="1" applyAlignment="1" applyProtection="1">
      <alignment horizontal="left" vertical="center" wrapText="1"/>
    </xf>
    <xf numFmtId="16" fontId="14" fillId="7" borderId="15" xfId="0" applyNumberFormat="1" applyFont="1" applyFill="1" applyBorder="1" applyAlignment="1">
      <alignment horizontal="center" vertical="center" wrapText="1"/>
    </xf>
    <xf numFmtId="16" fontId="14" fillId="7" borderId="41" xfId="0" applyNumberFormat="1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Style 1" xfId="2"/>
  </cellStyles>
  <dxfs count="49"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  <fill>
        <patternFill>
          <bgColor theme="1" tint="0.499984740745262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A3E7FF"/>
      <color rgb="FF69A12B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M$13" lockText="1" noThreeD="1"/>
</file>

<file path=xl/ctrlProps/ctrlProp2.xml><?xml version="1.0" encoding="utf-8"?>
<formControlPr xmlns="http://schemas.microsoft.com/office/spreadsheetml/2009/9/main" objectType="CheckBox" fmlaLink="$M$27" lockText="1" noThreeD="1"/>
</file>

<file path=xl/ctrlProps/ctrlProp3.xml><?xml version="1.0" encoding="utf-8"?>
<formControlPr xmlns="http://schemas.microsoft.com/office/spreadsheetml/2009/9/main" objectType="CheckBox" fmlaLink="$M$29" lockText="1" noThreeD="1"/>
</file>

<file path=xl/ctrlProps/ctrlProp4.xml><?xml version="1.0" encoding="utf-8"?>
<formControlPr xmlns="http://schemas.microsoft.com/office/spreadsheetml/2009/9/main" objectType="CheckBox" fmlaLink="$M$35" lockText="1" noThreeD="1"/>
</file>

<file path=xl/ctrlProps/ctrlProp5.xml><?xml version="1.0" encoding="utf-8"?>
<formControlPr xmlns="http://schemas.microsoft.com/office/spreadsheetml/2009/9/main" objectType="CheckBox" fmlaLink="$M$19" lockText="1" noThreeD="1"/>
</file>

<file path=xl/ctrlProps/ctrlProp6.xml><?xml version="1.0" encoding="utf-8"?>
<formControlPr xmlns="http://schemas.microsoft.com/office/spreadsheetml/2009/9/main" objectType="CheckBox" fmlaLink="$M$20" lockText="1" noThreeD="1"/>
</file>

<file path=xl/ctrlProps/ctrlProp7.xml><?xml version="1.0" encoding="utf-8"?>
<formControlPr xmlns="http://schemas.microsoft.com/office/spreadsheetml/2009/9/main" objectType="CheckBox" fmlaLink="$M$21" lockText="1" noThreeD="1"/>
</file>

<file path=xl/ctrlProps/ctrlProp8.xml><?xml version="1.0" encoding="utf-8"?>
<formControlPr xmlns="http://schemas.microsoft.com/office/spreadsheetml/2009/9/main" objectType="CheckBox" fmlaLink="$M$22" lockText="1" noThreeD="1"/>
</file>

<file path=xl/ctrlProps/ctrlProp9.xml><?xml version="1.0" encoding="utf-8"?>
<formControlPr xmlns="http://schemas.microsoft.com/office/spreadsheetml/2009/9/main" objectType="CheckBox" fmlaLink="$M$25" lockText="1" noThreeD="1"/>
</file>

<file path=xl/ctrlProps/ctrlProp10.xml><?xml version="1.0" encoding="utf-8"?>
<formControlPr xmlns="http://schemas.microsoft.com/office/spreadsheetml/2009/9/main" objectType="CheckBox" fmlaLink="$M$14" lockText="1" noThreeD="1"/>
</file>

<file path=xl/ctrlProps/ctrlProp11.xml><?xml version="1.0" encoding="utf-8"?>
<formControlPr xmlns="http://schemas.microsoft.com/office/spreadsheetml/2009/9/main" objectType="CheckBox" fmlaLink="$M$16" lockText="1" noThreeD="1"/>
</file>

<file path=xl/ctrlProps/ctrlProp12.xml><?xml version="1.0" encoding="utf-8"?>
<formControlPr xmlns="http://schemas.microsoft.com/office/spreadsheetml/2009/9/main" objectType="CheckBox" fmlaLink="$M$31" lockText="1" noThreeD="1"/>
</file>

<file path=xl/ctrlProps/ctrlProp13.xml><?xml version="1.0" encoding="utf-8"?>
<formControlPr xmlns="http://schemas.microsoft.com/office/spreadsheetml/2009/9/main" objectType="CheckBox" fmlaLink="$M$33" lockText="1" noThreeD="1"/>
</file>

<file path=xl/ctrlProps/ctrlProp14.xml><?xml version="1.0" encoding="utf-8"?>
<formControlPr xmlns="http://schemas.microsoft.com/office/spreadsheetml/2009/9/main" objectType="CheckBox" fmlaLink="$M$23" lockText="1" noThreeD="1"/>
</file>

<file path=xl/ctrlProps/ctrlProp15.xml><?xml version="1.0" encoding="utf-8"?>
<formControlPr xmlns="http://schemas.microsoft.com/office/spreadsheetml/2009/9/main" objectType="CheckBox" fmlaLink="$M$15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1</xdr:row>
      <xdr:rowOff>107159</xdr:rowOff>
    </xdr:from>
    <xdr:to>
      <xdr:col>5</xdr:col>
      <xdr:colOff>1613297</xdr:colOff>
      <xdr:row>3</xdr:row>
      <xdr:rowOff>71440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156" y="297659"/>
          <a:ext cx="7268766" cy="2202656"/>
        </a:xfrm>
        <a:prstGeom prst="rect">
          <a:avLst/>
        </a:prstGeom>
      </xdr:spPr>
    </xdr:pic>
    <xdr:clientData/>
  </xdr:twoCellAnchor>
  <xdr:twoCellAnchor>
    <xdr:from>
      <xdr:col>5</xdr:col>
      <xdr:colOff>102394</xdr:colOff>
      <xdr:row>4</xdr:row>
      <xdr:rowOff>119064</xdr:rowOff>
    </xdr:from>
    <xdr:to>
      <xdr:col>5</xdr:col>
      <xdr:colOff>752499</xdr:colOff>
      <xdr:row>5</xdr:row>
      <xdr:rowOff>226221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7832" y="2738439"/>
          <a:ext cx="650105" cy="452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226219</xdr:colOff>
      <xdr:row>0</xdr:row>
      <xdr:rowOff>192881</xdr:rowOff>
    </xdr:from>
    <xdr:to>
      <xdr:col>6</xdr:col>
      <xdr:colOff>3417093</xdr:colOff>
      <xdr:row>6</xdr:row>
      <xdr:rowOff>95250</xdr:rowOff>
    </xdr:to>
    <xdr:sp macro="" textlink="">
      <xdr:nvSpPr>
        <xdr:cNvPr id="3" name="TextBox 2"/>
        <xdr:cNvSpPr txBox="1"/>
      </xdr:nvSpPr>
      <xdr:spPr>
        <a:xfrm>
          <a:off x="226219" y="192881"/>
          <a:ext cx="7244291" cy="622036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n-US" sz="1600">
              <a:solidFill>
                <a:schemeClr val="bg2"/>
              </a:solidFill>
              <a:latin typeface="Segoe UI Semibold"/>
              <a:ea typeface="Segoe UI"/>
              <a:cs typeface="Segoe UI"/>
            </a:rPr>
            <a:t>Foglio di lavoro relativo alla pianificazione dell'aggiornamento a Office 365 </a:t>
          </a:r>
        </a:p>
      </xdr:txBody>
    </xdr:sp>
    <xdr:clientData/>
  </xdr:twoCellAnchor>
  <xdr:twoCellAnchor>
    <xdr:from>
      <xdr:col>6</xdr:col>
      <xdr:colOff>3559968</xdr:colOff>
      <xdr:row>0</xdr:row>
      <xdr:rowOff>190500</xdr:rowOff>
    </xdr:from>
    <xdr:to>
      <xdr:col>7</xdr:col>
      <xdr:colOff>1688306</xdr:colOff>
      <xdr:row>6</xdr:row>
      <xdr:rowOff>92869</xdr:rowOff>
    </xdr:to>
    <xdr:sp macro="" textlink="">
      <xdr:nvSpPr>
        <xdr:cNvPr id="20" name="TextBox 19"/>
        <xdr:cNvSpPr txBox="1"/>
      </xdr:nvSpPr>
      <xdr:spPr>
        <a:xfrm>
          <a:off x="7631906" y="190500"/>
          <a:ext cx="2271713" cy="628650"/>
        </a:xfrm>
        <a:prstGeom prst="rect">
          <a:avLst/>
        </a:prstGeom>
        <a:solidFill>
          <a:schemeClr val="accent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endParaRPr lang="en-US" sz="2000"/>
        </a:p>
      </xdr:txBody>
    </xdr:sp>
    <xdr:clientData/>
  </xdr:twoCellAnchor>
  <xdr:twoCellAnchor>
    <xdr:from>
      <xdr:col>6</xdr:col>
      <xdr:colOff>3631406</xdr:colOff>
      <xdr:row>1</xdr:row>
      <xdr:rowOff>95250</xdr:rowOff>
    </xdr:from>
    <xdr:to>
      <xdr:col>7</xdr:col>
      <xdr:colOff>138136</xdr:colOff>
      <xdr:row>6</xdr:row>
      <xdr:rowOff>35720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3344" y="309563"/>
          <a:ext cx="650105" cy="45243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12</xdr:row>
          <xdr:rowOff>228600</xdr:rowOff>
        </xdr:from>
        <xdr:to>
          <xdr:col>7</xdr:col>
          <xdr:colOff>2162175</xdr:colOff>
          <xdr:row>12</xdr:row>
          <xdr:rowOff>447675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AD FS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26</xdr:row>
          <xdr:rowOff>47625</xdr:rowOff>
        </xdr:from>
        <xdr:to>
          <xdr:col>7</xdr:col>
          <xdr:colOff>2162175</xdr:colOff>
          <xdr:row>26</xdr:row>
          <xdr:rowOff>266700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Amministratore PowerShell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28</xdr:row>
          <xdr:rowOff>123825</xdr:rowOff>
        </xdr:from>
        <xdr:to>
          <xdr:col>7</xdr:col>
          <xdr:colOff>2162175</xdr:colOff>
          <xdr:row>28</xdr:row>
          <xdr:rowOff>342900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Impostazioni Exchange personalizzate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34</xdr:row>
          <xdr:rowOff>57150</xdr:rowOff>
        </xdr:from>
        <xdr:to>
          <xdr:col>7</xdr:col>
          <xdr:colOff>2162175</xdr:colOff>
          <xdr:row>34</xdr:row>
          <xdr:rowOff>276225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Flusso di lavoro delle classi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18</xdr:row>
          <xdr:rowOff>38100</xdr:rowOff>
        </xdr:from>
        <xdr:to>
          <xdr:col>7</xdr:col>
          <xdr:colOff>2162175</xdr:colOff>
          <xdr:row>18</xdr:row>
          <xdr:rowOff>257175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OLSync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19</xdr:row>
          <xdr:rowOff>47625</xdr:rowOff>
        </xdr:from>
        <xdr:to>
          <xdr:col>7</xdr:col>
          <xdr:colOff>2162175</xdr:colOff>
          <xdr:row>19</xdr:row>
          <xdr:rowOff>266700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OLMA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20</xdr:row>
          <xdr:rowOff>76200</xdr:rowOff>
        </xdr:from>
        <xdr:to>
          <xdr:col>7</xdr:col>
          <xdr:colOff>2162175</xdr:colOff>
          <xdr:row>20</xdr:row>
          <xdr:rowOff>295275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PowerShell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21</xdr:row>
          <xdr:rowOff>66675</xdr:rowOff>
        </xdr:from>
        <xdr:to>
          <xdr:col>7</xdr:col>
          <xdr:colOff>2162175</xdr:colOff>
          <xdr:row>21</xdr:row>
          <xdr:rowOff>285750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MAV3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24</xdr:row>
          <xdr:rowOff>47625</xdr:rowOff>
        </xdr:from>
        <xdr:to>
          <xdr:col>7</xdr:col>
          <xdr:colOff>2162175</xdr:colOff>
          <xdr:row>24</xdr:row>
          <xdr:rowOff>266700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SDK WL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13</xdr:row>
          <xdr:rowOff>171450</xdr:rowOff>
        </xdr:from>
        <xdr:to>
          <xdr:col>7</xdr:col>
          <xdr:colOff>2162175</xdr:colOff>
          <xdr:row>13</xdr:row>
          <xdr:rowOff>390525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Shibboleth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15</xdr:row>
          <xdr:rowOff>219075</xdr:rowOff>
        </xdr:from>
        <xdr:to>
          <xdr:col>7</xdr:col>
          <xdr:colOff>2162175</xdr:colOff>
          <xdr:row>15</xdr:row>
          <xdr:rowOff>438150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Aggiungi Shibboleth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30</xdr:row>
          <xdr:rowOff>47625</xdr:rowOff>
        </xdr:from>
        <xdr:to>
          <xdr:col>7</xdr:col>
          <xdr:colOff>2162175</xdr:colOff>
          <xdr:row>30</xdr:row>
          <xdr:rowOff>266700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Utilizza outlook.com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32</xdr:row>
          <xdr:rowOff>57150</xdr:rowOff>
        </xdr:from>
        <xdr:to>
          <xdr:col>7</xdr:col>
          <xdr:colOff>2162175</xdr:colOff>
          <xdr:row>32</xdr:row>
          <xdr:rowOff>276225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PCNS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22</xdr:row>
          <xdr:rowOff>76200</xdr:rowOff>
        </xdr:from>
        <xdr:to>
          <xdr:col>7</xdr:col>
          <xdr:colOff>2162175</xdr:colOff>
          <xdr:row>22</xdr:row>
          <xdr:rowOff>295275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OLMA senza AD</a:t>
              </a: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14</xdr:row>
          <xdr:rowOff>219075</xdr:rowOff>
        </xdr:from>
        <xdr:to>
          <xdr:col>7</xdr:col>
          <xdr:colOff>2162175</xdr:colOff>
          <xdr:row>14</xdr:row>
          <xdr:rowOff>438150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Aggiungi federazione</a:t>
              </a:r>
              <a:endParaRPr 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365Edu">
      <a:dk1>
        <a:sysClr val="windowText" lastClr="000000"/>
      </a:dk1>
      <a:lt1>
        <a:sysClr val="window" lastClr="FFFFFF"/>
      </a:lt1>
      <a:dk2>
        <a:srgbClr val="595959"/>
      </a:dk2>
      <a:lt2>
        <a:srgbClr val="FFFFFF"/>
      </a:lt2>
      <a:accent1>
        <a:srgbClr val="EE7816"/>
      </a:accent1>
      <a:accent2>
        <a:srgbClr val="FEA500"/>
      </a:accent2>
      <a:accent3>
        <a:srgbClr val="FC4B00"/>
      </a:accent3>
      <a:accent4>
        <a:srgbClr val="595959"/>
      </a:accent4>
      <a:accent5>
        <a:srgbClr val="2473A8"/>
      </a:accent5>
      <a:accent6>
        <a:srgbClr val="6BBD46"/>
      </a:accent6>
      <a:hlink>
        <a:srgbClr val="FC4B00"/>
      </a:hlink>
      <a:folHlink>
        <a:srgbClr val="FC4B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go.microsoft.com/fwlink/p/?LinkId=253605" TargetMode="External"/><Relationship Id="rId18" Type="http://schemas.openxmlformats.org/officeDocument/2006/relationships/hyperlink" Target="http://g.microsoftonline.com/0rmcm00it-it/5382" TargetMode="External"/><Relationship Id="rId26" Type="http://schemas.openxmlformats.org/officeDocument/2006/relationships/hyperlink" Target="http://g.microsoftonline.com/0rmcm00it-it/5400" TargetMode="External"/><Relationship Id="rId39" Type="http://schemas.openxmlformats.org/officeDocument/2006/relationships/hyperlink" Target="http://g.microsoftonline.com/0rmcm00it-it/5403" TargetMode="External"/><Relationship Id="rId21" Type="http://schemas.openxmlformats.org/officeDocument/2006/relationships/hyperlink" Target="http://g.microsoftonline.com/0rmcm00it-it/5384" TargetMode="External"/><Relationship Id="rId34" Type="http://schemas.openxmlformats.org/officeDocument/2006/relationships/hyperlink" Target="http://g.microsoftonline.com/0rmcm00it-it/5400" TargetMode="External"/><Relationship Id="rId42" Type="http://schemas.openxmlformats.org/officeDocument/2006/relationships/hyperlink" Target="http://g.microsoftonline.com/0rmcm00it-it/5406" TargetMode="External"/><Relationship Id="rId47" Type="http://schemas.openxmlformats.org/officeDocument/2006/relationships/hyperlink" Target="http://g.microsoftonline.com/0rmcm00it-it/5411" TargetMode="External"/><Relationship Id="rId50" Type="http://schemas.openxmlformats.org/officeDocument/2006/relationships/hyperlink" Target="http://g.microsoftonline.com/0rmcm00it-it/5414" TargetMode="External"/><Relationship Id="rId55" Type="http://schemas.openxmlformats.org/officeDocument/2006/relationships/hyperlink" Target="http://g.microsoftonline.com/0rmcm00it-it/5419" TargetMode="External"/><Relationship Id="rId63" Type="http://schemas.openxmlformats.org/officeDocument/2006/relationships/hyperlink" Target="http://g.microsoftonline.com/0rmcm00it-it/5427" TargetMode="External"/><Relationship Id="rId68" Type="http://schemas.openxmlformats.org/officeDocument/2006/relationships/hyperlink" Target="http://g.microsoftonline.com/0rmcm00it-it/5431" TargetMode="External"/><Relationship Id="rId76" Type="http://schemas.openxmlformats.org/officeDocument/2006/relationships/printerSettings" Target="../printerSettings/printerSettings2.bin"/><Relationship Id="rId84" Type="http://schemas.openxmlformats.org/officeDocument/2006/relationships/ctrlProp" Target="../ctrlProps/ctrlProp6.xml"/><Relationship Id="rId89" Type="http://schemas.openxmlformats.org/officeDocument/2006/relationships/ctrlProp" Target="../ctrlProps/ctrlProp11.xml"/><Relationship Id="rId7" Type="http://schemas.openxmlformats.org/officeDocument/2006/relationships/hyperlink" Target="http://go.microsoft.com/fwlink/p/?LinkId=253149" TargetMode="External"/><Relationship Id="rId71" Type="http://schemas.openxmlformats.org/officeDocument/2006/relationships/hyperlink" Target="http://g.microsoftonline.com/0rmcm00it-it/5379" TargetMode="External"/><Relationship Id="rId92" Type="http://schemas.openxmlformats.org/officeDocument/2006/relationships/ctrlProp" Target="../ctrlProps/ctrlProp14.xml"/><Relationship Id="rId2" Type="http://schemas.openxmlformats.org/officeDocument/2006/relationships/hyperlink" Target="http://go.microsoft.com/fwlink/p/?LinkId=253601" TargetMode="External"/><Relationship Id="rId16" Type="http://schemas.openxmlformats.org/officeDocument/2006/relationships/hyperlink" Target="http://go.microsoft.com/fwlink/p/?LinkId=251279" TargetMode="External"/><Relationship Id="rId29" Type="http://schemas.openxmlformats.org/officeDocument/2006/relationships/hyperlink" Target="http://g.microsoftonline.com/0rmcm00it-it/5387" TargetMode="External"/><Relationship Id="rId11" Type="http://schemas.openxmlformats.org/officeDocument/2006/relationships/hyperlink" Target="http://go.microsoft.com/fwlink/p/?LinkId=253601" TargetMode="External"/><Relationship Id="rId24" Type="http://schemas.openxmlformats.org/officeDocument/2006/relationships/hyperlink" Target="http://g.microsoftonline.com/0rmcm00it-it/5387" TargetMode="External"/><Relationship Id="rId32" Type="http://schemas.openxmlformats.org/officeDocument/2006/relationships/hyperlink" Target="http://g.microsoftonline.com/0rmcm00it-it/5394" TargetMode="External"/><Relationship Id="rId37" Type="http://schemas.openxmlformats.org/officeDocument/2006/relationships/hyperlink" Target="http://g.microsoftonline.com/0rmcm00it-it/5399" TargetMode="External"/><Relationship Id="rId40" Type="http://schemas.openxmlformats.org/officeDocument/2006/relationships/hyperlink" Target="http://g.microsoftonline.com/0rmcm00it-it/5404" TargetMode="External"/><Relationship Id="rId45" Type="http://schemas.openxmlformats.org/officeDocument/2006/relationships/hyperlink" Target="http://g.microsoftonline.com/0rmcm00it-it/5409" TargetMode="External"/><Relationship Id="rId53" Type="http://schemas.openxmlformats.org/officeDocument/2006/relationships/hyperlink" Target="http://g.microsoftonline.com/0rmcm00it-it/5417" TargetMode="External"/><Relationship Id="rId58" Type="http://schemas.openxmlformats.org/officeDocument/2006/relationships/hyperlink" Target="http://g.microsoftonline.com/0rmcm00it-it/5422" TargetMode="External"/><Relationship Id="rId66" Type="http://schemas.openxmlformats.org/officeDocument/2006/relationships/hyperlink" Target="http://g.microsoftonline.com/0rmcm00it-it/5429" TargetMode="External"/><Relationship Id="rId74" Type="http://schemas.openxmlformats.org/officeDocument/2006/relationships/hyperlink" Target="http://g.microsoftonline.com/0rmcm00it-it/5372" TargetMode="External"/><Relationship Id="rId79" Type="http://schemas.openxmlformats.org/officeDocument/2006/relationships/ctrlProp" Target="../ctrlProps/ctrlProp1.xml"/><Relationship Id="rId87" Type="http://schemas.openxmlformats.org/officeDocument/2006/relationships/ctrlProp" Target="../ctrlProps/ctrlProp9.xml"/><Relationship Id="rId5" Type="http://schemas.openxmlformats.org/officeDocument/2006/relationships/hyperlink" Target="http://go.microsoft.com/fwlink/p/?LinkId=253601" TargetMode="External"/><Relationship Id="rId61" Type="http://schemas.openxmlformats.org/officeDocument/2006/relationships/hyperlink" Target="http://g.microsoftonline.com/0rmcm00it-it/5425" TargetMode="External"/><Relationship Id="rId82" Type="http://schemas.openxmlformats.org/officeDocument/2006/relationships/ctrlProp" Target="../ctrlProps/ctrlProp4.xml"/><Relationship Id="rId90" Type="http://schemas.openxmlformats.org/officeDocument/2006/relationships/ctrlProp" Target="../ctrlProps/ctrlProp12.xml"/><Relationship Id="rId19" Type="http://schemas.openxmlformats.org/officeDocument/2006/relationships/hyperlink" Target="http://g.microsoftonline.com/0rmcm00it-it/5383" TargetMode="External"/><Relationship Id="rId14" Type="http://schemas.openxmlformats.org/officeDocument/2006/relationships/hyperlink" Target="http://go.microsoft.com/fwlink/p/?LinkId=253606" TargetMode="External"/><Relationship Id="rId22" Type="http://schemas.openxmlformats.org/officeDocument/2006/relationships/hyperlink" Target="http://g.microsoftonline.com/0rmcm00it-it/5385" TargetMode="External"/><Relationship Id="rId27" Type="http://schemas.openxmlformats.org/officeDocument/2006/relationships/hyperlink" Target="http://g.microsoftonline.com/0rmcm00it-it/5400" TargetMode="External"/><Relationship Id="rId30" Type="http://schemas.openxmlformats.org/officeDocument/2006/relationships/hyperlink" Target="http://g.microsoftonline.com/0rmcm00it-it/5392" TargetMode="External"/><Relationship Id="rId35" Type="http://schemas.openxmlformats.org/officeDocument/2006/relationships/hyperlink" Target="http://g.microsoftonline.com/0rmcm00it-it/5397" TargetMode="External"/><Relationship Id="rId43" Type="http://schemas.openxmlformats.org/officeDocument/2006/relationships/hyperlink" Target="http://g.microsoftonline.com/0rmcm00it-it/5407" TargetMode="External"/><Relationship Id="rId48" Type="http://schemas.openxmlformats.org/officeDocument/2006/relationships/hyperlink" Target="http://g.microsoftonline.com/0rmcm00it-it/5412" TargetMode="External"/><Relationship Id="rId56" Type="http://schemas.openxmlformats.org/officeDocument/2006/relationships/hyperlink" Target="http://g.microsoftonline.com/0rmcm00it-it/5420" TargetMode="External"/><Relationship Id="rId64" Type="http://schemas.openxmlformats.org/officeDocument/2006/relationships/hyperlink" Target="http://g.microsoftonline.com/0rmcm00it-it/5400" TargetMode="External"/><Relationship Id="rId69" Type="http://schemas.openxmlformats.org/officeDocument/2006/relationships/hyperlink" Target="http://g.microsoftonline.com/0rmcm00it-it/5432" TargetMode="External"/><Relationship Id="rId77" Type="http://schemas.openxmlformats.org/officeDocument/2006/relationships/drawing" Target="../drawings/drawing2.xml"/><Relationship Id="rId8" Type="http://schemas.openxmlformats.org/officeDocument/2006/relationships/hyperlink" Target="http://go.microsoft.com/fwlink/p/?LinkId=253601" TargetMode="External"/><Relationship Id="rId51" Type="http://schemas.openxmlformats.org/officeDocument/2006/relationships/hyperlink" Target="http://g.microsoftonline.com/0rmcm00it-it/5415" TargetMode="External"/><Relationship Id="rId72" Type="http://schemas.openxmlformats.org/officeDocument/2006/relationships/hyperlink" Target="http://g.microsoftonline.com/0rmcm00it-it/5378" TargetMode="External"/><Relationship Id="rId80" Type="http://schemas.openxmlformats.org/officeDocument/2006/relationships/ctrlProp" Target="../ctrlProps/ctrlProp2.xml"/><Relationship Id="rId85" Type="http://schemas.openxmlformats.org/officeDocument/2006/relationships/ctrlProp" Target="../ctrlProps/ctrlProp7.xml"/><Relationship Id="rId93" Type="http://schemas.openxmlformats.org/officeDocument/2006/relationships/ctrlProp" Target="../ctrlProps/ctrlProp15.xml"/><Relationship Id="rId3" Type="http://schemas.openxmlformats.org/officeDocument/2006/relationships/hyperlink" Target="http://go.microsoft.com/fwlink/p/?LinkId=253147" TargetMode="External"/><Relationship Id="rId12" Type="http://schemas.openxmlformats.org/officeDocument/2006/relationships/hyperlink" Target="http://go.microsoft.com/fwlink/p/?LinkId=253597" TargetMode="External"/><Relationship Id="rId17" Type="http://schemas.openxmlformats.org/officeDocument/2006/relationships/hyperlink" Target="http://g.microsoftonline.com/0rmcm00it-it/5381" TargetMode="External"/><Relationship Id="rId25" Type="http://schemas.openxmlformats.org/officeDocument/2006/relationships/hyperlink" Target="http://g.microsoftonline.com/0rmcm00it-it/5388" TargetMode="External"/><Relationship Id="rId33" Type="http://schemas.openxmlformats.org/officeDocument/2006/relationships/hyperlink" Target="http://g.microsoftonline.com/0rmcm00it-it/5396" TargetMode="External"/><Relationship Id="rId38" Type="http://schemas.openxmlformats.org/officeDocument/2006/relationships/hyperlink" Target="http://g.microsoftonline.com/0rmcm00it-it/5401" TargetMode="External"/><Relationship Id="rId46" Type="http://schemas.openxmlformats.org/officeDocument/2006/relationships/hyperlink" Target="http://g.microsoftonline.com/0rmcm00it-it/5410" TargetMode="External"/><Relationship Id="rId59" Type="http://schemas.openxmlformats.org/officeDocument/2006/relationships/hyperlink" Target="http://g.microsoftonline.com/0rmcm00it-it/5423" TargetMode="External"/><Relationship Id="rId67" Type="http://schemas.openxmlformats.org/officeDocument/2006/relationships/hyperlink" Target="http://g.microsoftonline.com/0rmcm00it-it/5430" TargetMode="External"/><Relationship Id="rId20" Type="http://schemas.openxmlformats.org/officeDocument/2006/relationships/hyperlink" Target="http://g.microsoftonline.com/0rmcm00it-it/5400" TargetMode="External"/><Relationship Id="rId41" Type="http://schemas.openxmlformats.org/officeDocument/2006/relationships/hyperlink" Target="http://g.microsoftonline.com/0rmcm00it-it/5405" TargetMode="External"/><Relationship Id="rId54" Type="http://schemas.openxmlformats.org/officeDocument/2006/relationships/hyperlink" Target="http://g.microsoftonline.com/0rmcm00it-it/5418" TargetMode="External"/><Relationship Id="rId62" Type="http://schemas.openxmlformats.org/officeDocument/2006/relationships/hyperlink" Target="http://g.microsoftonline.com/0rmcm00it-it/5426" TargetMode="External"/><Relationship Id="rId70" Type="http://schemas.openxmlformats.org/officeDocument/2006/relationships/hyperlink" Target="http://g.microsoftonline.com/0rmcm00it-it/5380" TargetMode="External"/><Relationship Id="rId75" Type="http://schemas.openxmlformats.org/officeDocument/2006/relationships/hyperlink" Target="http://g.microsoftonline.com/0rmcm00it-it/5390" TargetMode="External"/><Relationship Id="rId83" Type="http://schemas.openxmlformats.org/officeDocument/2006/relationships/ctrlProp" Target="../ctrlProps/ctrlProp5.xml"/><Relationship Id="rId88" Type="http://schemas.openxmlformats.org/officeDocument/2006/relationships/ctrlProp" Target="../ctrlProps/ctrlProp10.xml"/><Relationship Id="rId91" Type="http://schemas.openxmlformats.org/officeDocument/2006/relationships/ctrlProp" Target="../ctrlProps/ctrlProp13.xml"/><Relationship Id="rId1" Type="http://schemas.openxmlformats.org/officeDocument/2006/relationships/hyperlink" Target="http://go.microsoft.com/fwlink/p/?LinkId=253149" TargetMode="External"/><Relationship Id="rId6" Type="http://schemas.openxmlformats.org/officeDocument/2006/relationships/hyperlink" Target="http://go.microsoft.com/fwlink/p/?LinkId=253147" TargetMode="External"/><Relationship Id="rId15" Type="http://schemas.openxmlformats.org/officeDocument/2006/relationships/hyperlink" Target="http://go.microsoft.com/fwlink/p/?LinkId=260428" TargetMode="External"/><Relationship Id="rId23" Type="http://schemas.openxmlformats.org/officeDocument/2006/relationships/hyperlink" Target="http://g.microsoftonline.com/0rmcm00it-it/5386" TargetMode="External"/><Relationship Id="rId28" Type="http://schemas.openxmlformats.org/officeDocument/2006/relationships/hyperlink" Target="http://g.microsoftonline.com/0rmcm00it-it/5391" TargetMode="External"/><Relationship Id="rId36" Type="http://schemas.openxmlformats.org/officeDocument/2006/relationships/hyperlink" Target="http://g.microsoftonline.com/0rmcm00it-it/5398" TargetMode="External"/><Relationship Id="rId49" Type="http://schemas.openxmlformats.org/officeDocument/2006/relationships/hyperlink" Target="http://g.microsoftonline.com/0rmcm00it-it/5413" TargetMode="External"/><Relationship Id="rId57" Type="http://schemas.openxmlformats.org/officeDocument/2006/relationships/hyperlink" Target="http://g.microsoftonline.com/0rmcm00it-it/5421" TargetMode="External"/><Relationship Id="rId10" Type="http://schemas.openxmlformats.org/officeDocument/2006/relationships/hyperlink" Target="http://go.microsoft.com/fwlink/p/?LinkId=253149" TargetMode="External"/><Relationship Id="rId31" Type="http://schemas.openxmlformats.org/officeDocument/2006/relationships/hyperlink" Target="http://g.microsoftonline.com/0rmcm00it-it/5393" TargetMode="External"/><Relationship Id="rId44" Type="http://schemas.openxmlformats.org/officeDocument/2006/relationships/hyperlink" Target="http://g.microsoftonline.com/0rmcm00it-it/5408" TargetMode="External"/><Relationship Id="rId52" Type="http://schemas.openxmlformats.org/officeDocument/2006/relationships/hyperlink" Target="http://g.microsoftonline.com/0rmcm00it-it/5416" TargetMode="External"/><Relationship Id="rId60" Type="http://schemas.openxmlformats.org/officeDocument/2006/relationships/hyperlink" Target="http://g.microsoftonline.com/0rmcm00it-it/5424" TargetMode="External"/><Relationship Id="rId65" Type="http://schemas.openxmlformats.org/officeDocument/2006/relationships/hyperlink" Target="http://g.microsoftonline.com/0rmcm00it-it/5428" TargetMode="External"/><Relationship Id="rId73" Type="http://schemas.openxmlformats.org/officeDocument/2006/relationships/hyperlink" Target="http://g.microsoftonline.com/0rmcm00it-it/5377" TargetMode="External"/><Relationship Id="rId78" Type="http://schemas.openxmlformats.org/officeDocument/2006/relationships/vmlDrawing" Target="../drawings/vmlDrawing1.vml"/><Relationship Id="rId81" Type="http://schemas.openxmlformats.org/officeDocument/2006/relationships/ctrlProp" Target="../ctrlProps/ctrlProp3.xml"/><Relationship Id="rId86" Type="http://schemas.openxmlformats.org/officeDocument/2006/relationships/ctrlProp" Target="../ctrlProps/ctrlProp8.xml"/><Relationship Id="rId4" Type="http://schemas.openxmlformats.org/officeDocument/2006/relationships/hyperlink" Target="http://go.microsoft.com/fwlink/p/?LinkId=253149" TargetMode="External"/><Relationship Id="rId9" Type="http://schemas.openxmlformats.org/officeDocument/2006/relationships/hyperlink" Target="http://go.microsoft.com/fwlink/p/?LinkId=2531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W54"/>
  <sheetViews>
    <sheetView tabSelected="1" zoomScale="90" zoomScaleNormal="90" zoomScaleSheetLayoutView="117" workbookViewId="0">
      <selection activeCell="F5" sqref="F5:F6"/>
    </sheetView>
  </sheetViews>
  <sheetFormatPr defaultRowHeight="15"/>
  <cols>
    <col min="1" max="2" width="3.7109375" customWidth="1"/>
    <col min="3" max="3" width="35.42578125" customWidth="1"/>
    <col min="4" max="4" width="46.28515625" customWidth="1"/>
    <col min="5" max="5" width="3" customWidth="1"/>
    <col min="6" max="6" width="24.28515625" customWidth="1"/>
    <col min="7" max="8" width="3.7109375" customWidth="1"/>
  </cols>
  <sheetData>
    <row r="1" spans="1:101">
      <c r="A1" s="19"/>
      <c r="B1" s="19"/>
      <c r="C1" s="19"/>
      <c r="D1" s="19"/>
      <c r="E1" s="19"/>
      <c r="F1" s="19"/>
      <c r="G1" s="19"/>
      <c r="H1" s="19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</row>
    <row r="2" spans="1:101">
      <c r="A2" s="19"/>
      <c r="B2" s="7"/>
      <c r="C2" s="7"/>
      <c r="D2" s="7"/>
      <c r="E2" s="7"/>
      <c r="F2" s="7"/>
      <c r="G2" s="7"/>
      <c r="H2" s="19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</row>
    <row r="3" spans="1:101" ht="161.25" customHeight="1">
      <c r="A3" s="19"/>
      <c r="B3" s="7"/>
      <c r="C3" s="113"/>
      <c r="D3" s="113"/>
      <c r="E3" s="113"/>
      <c r="F3" s="7"/>
      <c r="G3" s="7"/>
      <c r="H3" s="1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</row>
    <row r="4" spans="1:101">
      <c r="A4" s="19"/>
      <c r="B4" s="7"/>
      <c r="C4" s="7"/>
      <c r="D4" s="7"/>
      <c r="E4" s="7"/>
      <c r="F4" s="7"/>
      <c r="G4" s="7"/>
      <c r="H4" s="19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</row>
    <row r="5" spans="1:101" ht="27" customHeight="1">
      <c r="A5" s="19"/>
      <c r="B5" s="7"/>
      <c r="C5" s="111" t="s">
        <v>200</v>
      </c>
      <c r="D5" s="112"/>
      <c r="E5" s="121"/>
      <c r="F5" s="122"/>
      <c r="G5" s="7"/>
      <c r="H5" s="1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</row>
    <row r="6" spans="1:101" ht="27.75" customHeight="1">
      <c r="A6" s="19"/>
      <c r="B6" s="7"/>
      <c r="C6" s="120" t="s">
        <v>0</v>
      </c>
      <c r="D6" s="120"/>
      <c r="E6" s="121"/>
      <c r="F6" s="122"/>
      <c r="G6" s="7"/>
      <c r="H6" s="1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</row>
    <row r="7" spans="1:101" ht="11.25" customHeight="1" thickBot="1">
      <c r="A7" s="19"/>
      <c r="B7" s="7"/>
      <c r="C7" s="7"/>
      <c r="D7" s="7"/>
      <c r="E7" s="7"/>
      <c r="F7" s="7"/>
      <c r="G7" s="7"/>
      <c r="H7" s="19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</row>
    <row r="8" spans="1:101" ht="20.25">
      <c r="A8" s="19"/>
      <c r="B8" s="7"/>
      <c r="C8" s="108" t="s">
        <v>1</v>
      </c>
      <c r="D8" s="109"/>
      <c r="E8" s="109"/>
      <c r="F8" s="110"/>
      <c r="G8" s="7"/>
      <c r="H8" s="1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</row>
    <row r="9" spans="1:101" ht="15" customHeight="1">
      <c r="A9" s="19"/>
      <c r="B9" s="7"/>
      <c r="C9" s="114" t="s">
        <v>203</v>
      </c>
      <c r="D9" s="115"/>
      <c r="E9" s="115"/>
      <c r="F9" s="116"/>
      <c r="G9" s="7"/>
      <c r="H9" s="19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</row>
    <row r="10" spans="1:101" ht="15" customHeight="1">
      <c r="A10" s="19"/>
      <c r="B10" s="7"/>
      <c r="C10" s="114"/>
      <c r="D10" s="115"/>
      <c r="E10" s="115"/>
      <c r="F10" s="116"/>
      <c r="G10" s="7"/>
      <c r="H10" s="1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</row>
    <row r="11" spans="1:101" ht="15" customHeight="1">
      <c r="A11" s="19"/>
      <c r="B11" s="7"/>
      <c r="C11" s="114"/>
      <c r="D11" s="115"/>
      <c r="E11" s="115"/>
      <c r="F11" s="116"/>
      <c r="G11" s="7"/>
      <c r="H11" s="19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</row>
    <row r="12" spans="1:101" ht="15" customHeight="1">
      <c r="A12" s="19"/>
      <c r="B12" s="7"/>
      <c r="C12" s="114"/>
      <c r="D12" s="115"/>
      <c r="E12" s="115"/>
      <c r="F12" s="116"/>
      <c r="G12" s="7"/>
      <c r="H12" s="19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</row>
    <row r="13" spans="1:101" ht="15" customHeight="1">
      <c r="A13" s="19"/>
      <c r="B13" s="7"/>
      <c r="C13" s="114"/>
      <c r="D13" s="115"/>
      <c r="E13" s="115"/>
      <c r="F13" s="116"/>
      <c r="G13" s="7"/>
      <c r="H13" s="1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</row>
    <row r="14" spans="1:101" ht="15" customHeight="1">
      <c r="A14" s="19"/>
      <c r="B14" s="7"/>
      <c r="C14" s="114"/>
      <c r="D14" s="115"/>
      <c r="E14" s="115"/>
      <c r="F14" s="116"/>
      <c r="G14" s="7"/>
      <c r="H14" s="19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</row>
    <row r="15" spans="1:101" ht="15" customHeight="1">
      <c r="A15" s="19"/>
      <c r="B15" s="7"/>
      <c r="C15" s="114"/>
      <c r="D15" s="115"/>
      <c r="E15" s="115"/>
      <c r="F15" s="116"/>
      <c r="G15" s="7"/>
      <c r="H15" s="19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</row>
    <row r="16" spans="1:101" ht="15" customHeight="1">
      <c r="A16" s="19"/>
      <c r="B16" s="7"/>
      <c r="C16" s="114"/>
      <c r="D16" s="115"/>
      <c r="E16" s="115"/>
      <c r="F16" s="116"/>
      <c r="G16" s="7"/>
      <c r="H16" s="19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</row>
    <row r="17" spans="1:101" ht="50.25" customHeight="1">
      <c r="A17" s="19"/>
      <c r="B17" s="7"/>
      <c r="C17" s="114"/>
      <c r="D17" s="115"/>
      <c r="E17" s="115"/>
      <c r="F17" s="116"/>
      <c r="G17" s="7"/>
      <c r="H17" s="1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</row>
    <row r="18" spans="1:101" ht="15" customHeight="1">
      <c r="A18" s="19"/>
      <c r="B18" s="7"/>
      <c r="C18" s="114"/>
      <c r="D18" s="115"/>
      <c r="E18" s="115"/>
      <c r="F18" s="116"/>
      <c r="G18" s="7"/>
      <c r="H18" s="1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</row>
    <row r="19" spans="1:101" ht="15" customHeight="1">
      <c r="A19" s="19"/>
      <c r="B19" s="7"/>
      <c r="C19" s="114"/>
      <c r="D19" s="115"/>
      <c r="E19" s="115"/>
      <c r="F19" s="116"/>
      <c r="G19" s="7"/>
      <c r="H19" s="1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</row>
    <row r="20" spans="1:101" ht="15" customHeight="1">
      <c r="A20" s="19"/>
      <c r="B20" s="7"/>
      <c r="C20" s="114"/>
      <c r="D20" s="115"/>
      <c r="E20" s="115"/>
      <c r="F20" s="116"/>
      <c r="G20" s="7"/>
      <c r="H20" s="1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</row>
    <row r="21" spans="1:101" ht="15" customHeight="1">
      <c r="A21" s="19"/>
      <c r="B21" s="7"/>
      <c r="C21" s="114"/>
      <c r="D21" s="115"/>
      <c r="E21" s="115"/>
      <c r="F21" s="116"/>
      <c r="G21" s="7"/>
      <c r="H21" s="1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</row>
    <row r="22" spans="1:101" ht="15" customHeight="1">
      <c r="A22" s="19"/>
      <c r="B22" s="7"/>
      <c r="C22" s="114"/>
      <c r="D22" s="115"/>
      <c r="E22" s="115"/>
      <c r="F22" s="116"/>
      <c r="G22" s="7"/>
      <c r="H22" s="1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</row>
    <row r="23" spans="1:101" ht="15" customHeight="1">
      <c r="A23" s="19"/>
      <c r="B23" s="7"/>
      <c r="C23" s="114"/>
      <c r="D23" s="115"/>
      <c r="E23" s="115"/>
      <c r="F23" s="116"/>
      <c r="G23" s="7"/>
      <c r="H23" s="1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</row>
    <row r="24" spans="1:101" ht="15" customHeight="1">
      <c r="A24" s="19"/>
      <c r="B24" s="7"/>
      <c r="C24" s="114"/>
      <c r="D24" s="115"/>
      <c r="E24" s="115"/>
      <c r="F24" s="116"/>
      <c r="G24" s="7"/>
      <c r="H24" s="1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</row>
    <row r="25" spans="1:101" ht="15" customHeight="1">
      <c r="A25" s="19"/>
      <c r="B25" s="7"/>
      <c r="C25" s="114"/>
      <c r="D25" s="115"/>
      <c r="E25" s="115"/>
      <c r="F25" s="116"/>
      <c r="G25" s="7"/>
      <c r="H25" s="1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</row>
    <row r="26" spans="1:101" ht="15" customHeight="1">
      <c r="A26" s="19"/>
      <c r="B26" s="7"/>
      <c r="C26" s="114"/>
      <c r="D26" s="115"/>
      <c r="E26" s="115"/>
      <c r="F26" s="116"/>
      <c r="G26" s="7"/>
      <c r="H26" s="1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</row>
    <row r="27" spans="1:101" ht="15" customHeight="1">
      <c r="A27" s="19"/>
      <c r="B27" s="7"/>
      <c r="C27" s="114"/>
      <c r="D27" s="115"/>
      <c r="E27" s="115"/>
      <c r="F27" s="116"/>
      <c r="G27" s="7"/>
      <c r="H27" s="1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</row>
    <row r="28" spans="1:101" ht="15" customHeight="1">
      <c r="A28" s="19"/>
      <c r="B28" s="7"/>
      <c r="C28" s="114"/>
      <c r="D28" s="115"/>
      <c r="E28" s="115"/>
      <c r="F28" s="116"/>
      <c r="G28" s="7"/>
      <c r="H28" s="1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</row>
    <row r="29" spans="1:101" ht="63.75" customHeight="1" thickBot="1">
      <c r="A29" s="19"/>
      <c r="B29" s="7"/>
      <c r="C29" s="117"/>
      <c r="D29" s="118"/>
      <c r="E29" s="118"/>
      <c r="F29" s="119"/>
      <c r="G29" s="7"/>
      <c r="H29" s="1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</row>
    <row r="30" spans="1:101">
      <c r="A30" s="19"/>
      <c r="B30" s="7"/>
      <c r="C30" s="7"/>
      <c r="D30" s="7"/>
      <c r="E30" s="7"/>
      <c r="F30" s="7"/>
      <c r="G30" s="7"/>
      <c r="H30" s="1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</row>
    <row r="31" spans="1:101">
      <c r="A31" s="19"/>
      <c r="B31" s="7"/>
      <c r="C31" s="7"/>
      <c r="D31" s="7"/>
      <c r="E31" s="7"/>
      <c r="F31" s="7"/>
      <c r="G31" s="7"/>
      <c r="H31" s="1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</row>
    <row r="32" spans="1:101">
      <c r="A32" s="19"/>
      <c r="B32" s="19"/>
      <c r="C32" s="19"/>
      <c r="D32" s="19"/>
      <c r="E32" s="19"/>
      <c r="F32" s="19"/>
      <c r="G32" s="19"/>
      <c r="H32" s="1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</row>
    <row r="33" spans="1:10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</row>
    <row r="34" spans="1:10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</row>
    <row r="35" spans="1:10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</row>
    <row r="36" spans="1:10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</row>
    <row r="37" spans="1:10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</row>
    <row r="38" spans="1:10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</row>
    <row r="39" spans="1:10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</row>
    <row r="40" spans="1:10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</row>
    <row r="41" spans="1:10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</row>
    <row r="42" spans="1:10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</row>
    <row r="43" spans="1:10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</row>
    <row r="44" spans="1:10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</row>
    <row r="45" spans="1:10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</row>
    <row r="46" spans="1:10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</row>
    <row r="47" spans="1:10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</row>
    <row r="48" spans="1:10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</row>
    <row r="49" spans="1:10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</row>
    <row r="50" spans="1:10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</row>
    <row r="51" spans="1:10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</row>
    <row r="52" spans="1:10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</row>
    <row r="53" spans="1:10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</row>
    <row r="54" spans="1:10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</row>
  </sheetData>
  <mergeCells count="7">
    <mergeCell ref="C8:F8"/>
    <mergeCell ref="C5:D5"/>
    <mergeCell ref="C3:E3"/>
    <mergeCell ref="C9:F29"/>
    <mergeCell ref="C6:D6"/>
    <mergeCell ref="E5:E6"/>
    <mergeCell ref="F5:F6"/>
  </mergeCells>
  <phoneticPr fontId="34" type="noConversion"/>
  <pageMargins left="0.7" right="0.7" top="0.75" bottom="0.75" header="0.3" footer="0.3"/>
  <pageSetup scale="77" orientation="portrait" r:id="rId1"/>
  <headerFooter>
    <oddHeader>&amp;L&amp;11&amp;"Segoe UI,Regular"&amp;K01+000Promozione tempistiche Campus&amp;R&amp;11&amp;"Segoe UI,Regular"&amp;K01+000Istruzioni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XFC215"/>
  <sheetViews>
    <sheetView zoomScale="90" zoomScaleNormal="90" workbookViewId="0">
      <selection activeCell="C12" sqref="C12:E13"/>
    </sheetView>
  </sheetViews>
  <sheetFormatPr defaultColWidth="0" defaultRowHeight="16.5" zeroHeight="1"/>
  <cols>
    <col min="1" max="1" width="3.7109375" style="4" customWidth="1"/>
    <col min="2" max="2" width="3.7109375" style="2" customWidth="1"/>
    <col min="3" max="3" width="10.5703125" style="2" customWidth="1"/>
    <col min="4" max="4" width="21.28515625" style="29" customWidth="1"/>
    <col min="5" max="5" width="15.140625" style="1" customWidth="1"/>
    <col min="6" max="6" width="7.42578125" style="6" customWidth="1"/>
    <col min="7" max="7" width="62.140625" style="6" customWidth="1"/>
    <col min="8" max="8" width="33.5703125" style="22" customWidth="1"/>
    <col min="9" max="9" width="6.140625" style="22" customWidth="1"/>
    <col min="10" max="10" width="11.28515625" style="22" customWidth="1"/>
    <col min="11" max="11" width="10.140625" style="88" hidden="1" customWidth="1"/>
    <col min="12" max="12" width="26.28515625" style="1" hidden="1" customWidth="1"/>
    <col min="13" max="13" width="16" style="1" hidden="1" customWidth="1"/>
    <col min="14" max="14" width="21.42578125" style="58" hidden="1" customWidth="1"/>
    <col min="15" max="15" width="11.7109375" style="106" hidden="1" customWidth="1"/>
    <col min="16" max="16" width="3.7109375" style="1" customWidth="1"/>
    <col min="17" max="16383" width="9.140625" style="1" hidden="1"/>
    <col min="16384" max="16384" width="1.7109375" style="1" hidden="1"/>
  </cols>
  <sheetData>
    <row r="1" spans="1:83" s="4" customFormat="1">
      <c r="B1" s="3"/>
      <c r="C1" s="3"/>
      <c r="D1" s="28"/>
      <c r="F1" s="5"/>
      <c r="G1" s="5"/>
      <c r="H1" s="21"/>
      <c r="I1" s="21"/>
      <c r="J1" s="21"/>
      <c r="K1" s="56"/>
      <c r="N1" s="57"/>
      <c r="O1" s="104"/>
    </row>
    <row r="2" spans="1:83">
      <c r="B2" s="3"/>
      <c r="C2" s="3"/>
      <c r="D2" s="28"/>
      <c r="E2" s="4"/>
      <c r="F2" s="5"/>
      <c r="G2" s="5"/>
      <c r="H2" s="21"/>
      <c r="I2" s="21"/>
      <c r="J2" s="21"/>
      <c r="K2" s="56"/>
      <c r="L2" s="4"/>
      <c r="M2" s="4"/>
      <c r="N2" s="57"/>
      <c r="O2" s="10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83" ht="23.25" customHeight="1">
      <c r="B3" s="3"/>
      <c r="C3" s="3"/>
      <c r="D3" s="28"/>
      <c r="E3" s="4"/>
      <c r="F3" s="5"/>
      <c r="G3" s="5"/>
      <c r="H3" s="21"/>
      <c r="I3" s="21"/>
      <c r="J3" s="21"/>
      <c r="K3" s="56"/>
      <c r="L3" s="4"/>
      <c r="M3" s="4"/>
      <c r="N3" s="57"/>
      <c r="O3" s="10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3" ht="16.5" hidden="1" customHeight="1">
      <c r="B4" s="3" t="s">
        <v>111</v>
      </c>
      <c r="C4" s="3"/>
      <c r="D4" s="28"/>
      <c r="E4" s="4"/>
      <c r="F4" s="5"/>
      <c r="G4" s="5"/>
      <c r="H4" s="21"/>
      <c r="I4" s="21"/>
      <c r="J4" s="21"/>
      <c r="K4" s="56"/>
      <c r="L4" s="4"/>
      <c r="M4" s="4"/>
      <c r="N4" s="57"/>
      <c r="O4" s="10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</row>
    <row r="5" spans="1:83" ht="16.5" hidden="1" customHeight="1">
      <c r="B5" s="3"/>
      <c r="C5" s="3"/>
      <c r="D5" s="28" t="s">
        <v>112</v>
      </c>
      <c r="E5" s="4"/>
      <c r="F5" s="5"/>
      <c r="G5" s="5"/>
      <c r="H5" s="21"/>
      <c r="I5" s="21"/>
      <c r="J5" s="21"/>
      <c r="K5" s="56"/>
      <c r="L5" s="4"/>
      <c r="M5" s="4"/>
      <c r="N5" s="57"/>
      <c r="O5" s="10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</row>
    <row r="6" spans="1:83" ht="16.5" hidden="1" customHeight="1">
      <c r="B6" s="3"/>
      <c r="C6" s="3"/>
      <c r="D6" s="28" t="s">
        <v>113</v>
      </c>
      <c r="E6" s="4"/>
      <c r="F6" s="5"/>
      <c r="G6" s="5"/>
      <c r="H6" s="21"/>
      <c r="I6" s="21"/>
      <c r="J6" s="21"/>
      <c r="K6" s="56"/>
      <c r="L6" s="4"/>
      <c r="M6" s="4"/>
      <c r="N6" s="57"/>
      <c r="O6" s="10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</row>
    <row r="7" spans="1:83" ht="16.5" customHeight="1" thickBot="1">
      <c r="B7" s="3"/>
      <c r="C7" s="3"/>
      <c r="D7" s="28"/>
      <c r="E7" s="4"/>
      <c r="F7" s="5"/>
      <c r="G7" s="5"/>
      <c r="H7" s="21"/>
      <c r="I7" s="21"/>
      <c r="J7" s="48"/>
      <c r="K7" s="56"/>
      <c r="L7" s="4"/>
      <c r="M7" s="4"/>
      <c r="N7" s="57"/>
      <c r="O7" s="10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</row>
    <row r="8" spans="1:83" s="27" customFormat="1" ht="44.25" customHeight="1" thickBot="1">
      <c r="A8" s="26"/>
      <c r="B8" s="138" t="s">
        <v>202</v>
      </c>
      <c r="C8" s="139"/>
      <c r="D8" s="139"/>
      <c r="E8" s="139"/>
      <c r="F8" s="139"/>
      <c r="G8" s="139"/>
      <c r="H8" s="140"/>
      <c r="I8" s="25"/>
      <c r="K8" s="87"/>
      <c r="L8" s="26"/>
      <c r="M8" s="26"/>
      <c r="N8" s="62"/>
      <c r="O8" s="105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</row>
    <row r="9" spans="1:83" ht="21" thickBot="1">
      <c r="B9" s="3"/>
      <c r="C9" s="3"/>
      <c r="D9" s="28"/>
      <c r="E9" s="4"/>
      <c r="F9" s="5"/>
      <c r="G9" s="5"/>
      <c r="H9" s="21"/>
      <c r="I9" s="100"/>
      <c r="J9" s="25"/>
      <c r="K9" s="87"/>
      <c r="M9" s="4"/>
      <c r="N9" s="57"/>
      <c r="O9" s="10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</row>
    <row r="10" spans="1:83" ht="72.75" customHeight="1">
      <c r="B10" s="3"/>
      <c r="C10" s="167" t="s">
        <v>2</v>
      </c>
      <c r="D10" s="168"/>
      <c r="E10" s="169"/>
      <c r="F10" s="5"/>
      <c r="G10" s="177" t="s">
        <v>3</v>
      </c>
      <c r="H10" s="178"/>
      <c r="I10" s="100"/>
      <c r="J10" s="25"/>
      <c r="K10" s="96"/>
      <c r="L10" s="4"/>
      <c r="M10" s="4"/>
      <c r="O10" s="10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</row>
    <row r="11" spans="1:83" ht="9" customHeight="1">
      <c r="B11" s="3"/>
      <c r="C11" s="170"/>
      <c r="D11" s="171"/>
      <c r="E11" s="172"/>
      <c r="F11" s="5"/>
      <c r="G11" s="159"/>
      <c r="H11" s="160"/>
      <c r="I11" s="4"/>
      <c r="J11" s="21"/>
      <c r="K11" s="103">
        <f>COUNTIF(N13:N16,"N/A")</f>
        <v>4</v>
      </c>
      <c r="L11" s="71" t="s">
        <v>114</v>
      </c>
      <c r="M11" s="71" t="s">
        <v>115</v>
      </c>
      <c r="N11" s="72" t="s">
        <v>116</v>
      </c>
      <c r="O11" s="10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</row>
    <row r="12" spans="1:83" ht="37.5" customHeight="1">
      <c r="B12" s="3"/>
      <c r="C12" s="161" t="s">
        <v>4</v>
      </c>
      <c r="D12" s="162"/>
      <c r="E12" s="163"/>
      <c r="F12" s="5"/>
      <c r="G12" s="45" t="s">
        <v>5</v>
      </c>
      <c r="H12" s="98" t="str">
        <f>IF(K11=4,"Seleziona una risposta",IF(K11=3," ",IF(K11=2,"Selezionare una sola risposta in questa sezione",IF(K11=1,"Selezionare una sola risposta in questa sezione",IF(K11=0,"Selezionare una sola risposta in questa sezione")))))</f>
        <v>Seleziona una risposta</v>
      </c>
      <c r="I12" s="4"/>
      <c r="J12" s="21"/>
      <c r="K12" s="96">
        <v>12</v>
      </c>
      <c r="L12" s="73"/>
      <c r="M12" s="99" t="s">
        <v>117</v>
      </c>
      <c r="N12" s="63" t="s">
        <v>118</v>
      </c>
      <c r="O12" s="107">
        <f>COUNTIF(N13:N16,"N/A")</f>
        <v>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</row>
    <row r="13" spans="1:83" ht="51.75" customHeight="1" thickBot="1">
      <c r="B13" s="3"/>
      <c r="C13" s="164"/>
      <c r="D13" s="165"/>
      <c r="E13" s="166"/>
      <c r="F13" s="5"/>
      <c r="G13" s="101" t="s">
        <v>207</v>
      </c>
      <c r="H13" s="39"/>
      <c r="I13" s="4" t="s">
        <v>6</v>
      </c>
      <c r="J13" s="96"/>
      <c r="K13" s="97">
        <v>13</v>
      </c>
      <c r="L13" s="74" t="s">
        <v>119</v>
      </c>
      <c r="M13" s="59" t="b">
        <v>0</v>
      </c>
      <c r="N13" s="60" t="str">
        <f>IF(M13,L13, "N/A")</f>
        <v>N/A</v>
      </c>
      <c r="O13" s="104" t="str">
        <f>($K$11=3)&amp;(N13="N/A")</f>
        <v>FALSETRUE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83" ht="54.75" customHeight="1">
      <c r="B14" s="3"/>
      <c r="C14" s="24"/>
      <c r="D14" s="24"/>
      <c r="E14" s="24"/>
      <c r="F14" s="5"/>
      <c r="G14" s="101" t="s">
        <v>208</v>
      </c>
      <c r="H14" s="39"/>
      <c r="I14" s="4"/>
      <c r="J14" s="96"/>
      <c r="K14" s="97">
        <v>14</v>
      </c>
      <c r="L14" s="74" t="s">
        <v>120</v>
      </c>
      <c r="M14" s="60" t="b">
        <v>0</v>
      </c>
      <c r="N14" s="60" t="str">
        <f t="shared" ref="N14:N35" si="0">IF(M14,L14, "N/A")</f>
        <v>N/A</v>
      </c>
      <c r="O14" s="104" t="str">
        <f>($K$11=3)&amp;(N14="N/A")</f>
        <v>FALSETRUE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</row>
    <row r="15" spans="1:83" ht="49.5" customHeight="1">
      <c r="B15" s="3"/>
      <c r="C15" s="24"/>
      <c r="D15" s="24"/>
      <c r="E15" s="24"/>
      <c r="F15" s="5"/>
      <c r="G15" s="101" t="s">
        <v>209</v>
      </c>
      <c r="H15" s="39"/>
      <c r="I15" s="4"/>
      <c r="J15" s="96"/>
      <c r="K15" s="97">
        <v>15</v>
      </c>
      <c r="L15" s="74" t="s">
        <v>121</v>
      </c>
      <c r="M15" s="59" t="b">
        <v>0</v>
      </c>
      <c r="N15" s="60" t="str">
        <f t="shared" si="0"/>
        <v>N/A</v>
      </c>
      <c r="O15" s="104" t="str">
        <f>($K$11=3)&amp;(N15="N/A")</f>
        <v>FALSETRUE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</row>
    <row r="16" spans="1:83" ht="61.5" customHeight="1">
      <c r="B16" s="3"/>
      <c r="C16" s="24"/>
      <c r="D16" s="24"/>
      <c r="E16" s="24"/>
      <c r="F16" s="5"/>
      <c r="G16" s="101" t="s">
        <v>210</v>
      </c>
      <c r="H16" s="39"/>
      <c r="I16" s="4"/>
      <c r="J16" s="96"/>
      <c r="K16" s="97">
        <v>16</v>
      </c>
      <c r="L16" s="74" t="s">
        <v>122</v>
      </c>
      <c r="M16" s="59" t="b">
        <v>0</v>
      </c>
      <c r="N16" s="60" t="str">
        <f t="shared" si="0"/>
        <v>N/A</v>
      </c>
      <c r="O16" s="104" t="str">
        <f>($K$11=3)&amp;(N16="N/A")</f>
        <v>FALSETRUE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83" ht="4.5" customHeight="1">
      <c r="B17" s="3"/>
      <c r="C17" s="24"/>
      <c r="D17" s="24"/>
      <c r="E17" s="24"/>
      <c r="F17" s="5"/>
      <c r="G17" s="40"/>
      <c r="H17" s="41"/>
      <c r="I17" s="4"/>
      <c r="J17" s="96"/>
      <c r="K17" s="97"/>
      <c r="L17" s="75"/>
      <c r="M17" s="61"/>
      <c r="N17" s="60" t="str">
        <f t="shared" si="0"/>
        <v>N/A</v>
      </c>
      <c r="O17" s="10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</row>
    <row r="18" spans="1:83" ht="54" customHeight="1">
      <c r="B18" s="3"/>
      <c r="C18" s="3"/>
      <c r="D18" s="32"/>
      <c r="E18" s="8"/>
      <c r="F18" s="5"/>
      <c r="G18" s="50" t="s">
        <v>7</v>
      </c>
      <c r="H18" s="98" t="str">
        <f>IF(K18=5,"Seleziona una risposta",IF(K18=4," ",IF(K18=3,"Selezionare una sola risposta in questa sezione",IF(K18=2,"Selezionare una sola risposta in questa sezione",IF(K18=1,"Selezionare una sola risposta in questa sezione",IF(K18=1,"Selezionare una sola risposta in questa sezione"))))))</f>
        <v>Seleziona una risposta</v>
      </c>
      <c r="I18" s="21"/>
      <c r="J18" s="96"/>
      <c r="K18" s="103">
        <f>COUNTIF(N19:N23,"N/A")</f>
        <v>5</v>
      </c>
      <c r="L18" s="76"/>
      <c r="M18" s="64"/>
      <c r="N18" s="64"/>
      <c r="O18" s="10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</row>
    <row r="19" spans="1:83" ht="23.25" customHeight="1">
      <c r="B19" s="3"/>
      <c r="C19" s="3"/>
      <c r="D19" s="32"/>
      <c r="E19" s="8"/>
      <c r="F19" s="5"/>
      <c r="G19" s="102" t="s">
        <v>8</v>
      </c>
      <c r="H19" s="39"/>
      <c r="I19" s="21"/>
      <c r="K19" s="97">
        <v>19</v>
      </c>
      <c r="L19" s="74" t="s">
        <v>123</v>
      </c>
      <c r="M19" s="59" t="b">
        <v>0</v>
      </c>
      <c r="N19" s="60" t="str">
        <f t="shared" si="0"/>
        <v>N/A</v>
      </c>
      <c r="O19" s="104" t="str">
        <f>($K$18=4)&amp;(N19="N/A")</f>
        <v>FALSETRUE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</row>
    <row r="20" spans="1:83" ht="24" customHeight="1">
      <c r="B20" s="3"/>
      <c r="C20" s="3"/>
      <c r="D20" s="32"/>
      <c r="E20" s="8"/>
      <c r="F20" s="5"/>
      <c r="G20" s="102" t="s">
        <v>9</v>
      </c>
      <c r="H20" s="39"/>
      <c r="I20" s="21"/>
      <c r="J20" s="96"/>
      <c r="K20" s="97">
        <v>20</v>
      </c>
      <c r="L20" s="74" t="s">
        <v>124</v>
      </c>
      <c r="M20" s="59" t="b">
        <v>0</v>
      </c>
      <c r="N20" s="60" t="str">
        <f t="shared" si="0"/>
        <v>N/A</v>
      </c>
      <c r="O20" s="104" t="str">
        <f>($K$18=4)&amp;(N20="N/A")</f>
        <v>FALSETRUE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</row>
    <row r="21" spans="1:83" ht="42.75" customHeight="1">
      <c r="B21" s="3"/>
      <c r="C21" s="3"/>
      <c r="D21" s="32"/>
      <c r="E21" s="8"/>
      <c r="F21" s="5"/>
      <c r="G21" s="102" t="s">
        <v>10</v>
      </c>
      <c r="H21" s="39"/>
      <c r="I21" s="21"/>
      <c r="J21" s="21"/>
      <c r="K21" s="97">
        <v>21</v>
      </c>
      <c r="L21" s="74" t="s">
        <v>125</v>
      </c>
      <c r="M21" s="59" t="b">
        <v>0</v>
      </c>
      <c r="N21" s="60" t="str">
        <f t="shared" si="0"/>
        <v>N/A</v>
      </c>
      <c r="O21" s="104" t="str">
        <f>($K$18=4)&amp;(N21="N/A")</f>
        <v>FALSETRUE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</row>
    <row r="22" spans="1:83" ht="27.75" customHeight="1">
      <c r="B22" s="3"/>
      <c r="C22" s="3"/>
      <c r="D22" s="32"/>
      <c r="E22" s="8"/>
      <c r="F22" s="5"/>
      <c r="G22" s="102" t="s">
        <v>11</v>
      </c>
      <c r="H22" s="39"/>
      <c r="I22" s="21"/>
      <c r="J22" s="21"/>
      <c r="K22" s="97">
        <v>22</v>
      </c>
      <c r="L22" s="74" t="s">
        <v>126</v>
      </c>
      <c r="M22" s="59" t="b">
        <v>0</v>
      </c>
      <c r="N22" s="60" t="str">
        <f t="shared" si="0"/>
        <v>N/A</v>
      </c>
      <c r="O22" s="104" t="str">
        <f>($K$18=4)&amp;(N22="N/A")</f>
        <v>FALSETRUE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</row>
    <row r="23" spans="1:83" ht="30.75" customHeight="1">
      <c r="B23" s="3"/>
      <c r="C23" s="3"/>
      <c r="D23" s="32"/>
      <c r="E23" s="8"/>
      <c r="F23" s="5"/>
      <c r="G23" s="102" t="s">
        <v>12</v>
      </c>
      <c r="H23" s="39"/>
      <c r="I23" s="21"/>
      <c r="J23" s="21"/>
      <c r="K23" s="97">
        <v>23</v>
      </c>
      <c r="L23" s="74" t="s">
        <v>127</v>
      </c>
      <c r="M23" s="59" t="b">
        <v>0</v>
      </c>
      <c r="N23" s="60" t="str">
        <f t="shared" si="0"/>
        <v>N/A</v>
      </c>
      <c r="O23" s="104" t="str">
        <f>($K$18=4)&amp;(N23="N/A")</f>
        <v>FALSETRUE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</row>
    <row r="24" spans="1:83" ht="3.75" customHeight="1">
      <c r="B24" s="3"/>
      <c r="C24" s="3"/>
      <c r="D24" s="32"/>
      <c r="E24" s="8"/>
      <c r="F24" s="5"/>
      <c r="G24" s="40"/>
      <c r="H24" s="41"/>
      <c r="I24" s="21"/>
      <c r="J24" s="21"/>
      <c r="K24" s="97">
        <v>24</v>
      </c>
      <c r="L24" s="75"/>
      <c r="M24" s="61"/>
      <c r="N24" s="60" t="str">
        <f t="shared" si="0"/>
        <v>N/A</v>
      </c>
      <c r="O24" s="10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</row>
    <row r="25" spans="1:83" ht="25.5" customHeight="1">
      <c r="B25" s="3"/>
      <c r="C25" s="3"/>
      <c r="D25" s="32"/>
      <c r="E25" s="8"/>
      <c r="F25" s="5"/>
      <c r="G25" s="47" t="s">
        <v>211</v>
      </c>
      <c r="H25" s="39"/>
      <c r="I25" s="21"/>
      <c r="J25" s="21"/>
      <c r="K25" s="97">
        <v>25</v>
      </c>
      <c r="L25" s="74" t="s">
        <v>128</v>
      </c>
      <c r="M25" s="59" t="b">
        <v>0</v>
      </c>
      <c r="N25" s="60" t="str">
        <f t="shared" si="0"/>
        <v>N/A</v>
      </c>
      <c r="O25" s="10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</row>
    <row r="26" spans="1:83" ht="3.75" customHeight="1">
      <c r="B26" s="3"/>
      <c r="C26" s="3"/>
      <c r="D26" s="32"/>
      <c r="E26" s="8"/>
      <c r="F26" s="5"/>
      <c r="G26" s="40"/>
      <c r="H26" s="41"/>
      <c r="I26" s="21"/>
      <c r="J26" s="21"/>
      <c r="K26" s="97">
        <v>26</v>
      </c>
      <c r="L26" s="75"/>
      <c r="M26" s="61"/>
      <c r="N26" s="60" t="str">
        <f t="shared" si="0"/>
        <v>N/A</v>
      </c>
      <c r="O26" s="10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</row>
    <row r="27" spans="1:83" ht="42" customHeight="1">
      <c r="B27" s="3"/>
      <c r="C27" s="55"/>
      <c r="D27" s="32"/>
      <c r="E27" s="8"/>
      <c r="F27" s="5"/>
      <c r="G27" s="47" t="s">
        <v>212</v>
      </c>
      <c r="H27" s="39"/>
      <c r="I27" s="21"/>
      <c r="J27" s="21"/>
      <c r="K27" s="97">
        <v>27</v>
      </c>
      <c r="L27" s="74" t="s">
        <v>129</v>
      </c>
      <c r="M27" s="59" t="b">
        <v>0</v>
      </c>
      <c r="N27" s="60" t="str">
        <f t="shared" si="0"/>
        <v>N/A</v>
      </c>
      <c r="O27" s="10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</row>
    <row r="28" spans="1:83" ht="3" customHeight="1">
      <c r="B28" s="3"/>
      <c r="C28" s="56"/>
      <c r="D28" s="32"/>
      <c r="E28" s="8"/>
      <c r="F28" s="5"/>
      <c r="G28" s="40"/>
      <c r="H28" s="41"/>
      <c r="I28" s="21"/>
      <c r="J28" s="21"/>
      <c r="K28" s="97">
        <v>28</v>
      </c>
      <c r="L28" s="75"/>
      <c r="M28" s="61"/>
      <c r="N28" s="60" t="str">
        <f t="shared" si="0"/>
        <v>N/A</v>
      </c>
      <c r="O28" s="10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</row>
    <row r="29" spans="1:83" ht="58.5" customHeight="1">
      <c r="B29" s="3"/>
      <c r="C29"/>
      <c r="D29" s="52"/>
      <c r="E29" s="52"/>
      <c r="F29" s="5"/>
      <c r="G29" s="47" t="s">
        <v>213</v>
      </c>
      <c r="H29" s="39"/>
      <c r="I29" s="21"/>
      <c r="J29" s="21"/>
      <c r="K29" s="97">
        <v>29</v>
      </c>
      <c r="L29" s="77" t="s">
        <v>130</v>
      </c>
      <c r="M29" s="59" t="b">
        <v>0</v>
      </c>
      <c r="N29" s="78" t="str">
        <f t="shared" si="0"/>
        <v>N/A</v>
      </c>
      <c r="O29" s="10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</row>
    <row r="30" spans="1:83" ht="3" customHeight="1">
      <c r="B30" s="3"/>
      <c r="C30" s="56"/>
      <c r="D30" s="32"/>
      <c r="E30" s="8"/>
      <c r="F30" s="5"/>
      <c r="G30" s="40" t="s">
        <v>214</v>
      </c>
      <c r="H30" s="41"/>
      <c r="I30" s="21"/>
      <c r="J30" s="21"/>
      <c r="K30" s="97">
        <v>30</v>
      </c>
      <c r="L30" s="75"/>
      <c r="M30" s="61"/>
      <c r="N30" s="60" t="str">
        <f t="shared" si="0"/>
        <v>N/A</v>
      </c>
      <c r="O30" s="10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</row>
    <row r="31" spans="1:83" ht="41.25" customHeight="1">
      <c r="A31" s="55"/>
      <c r="B31" s="3"/>
      <c r="D31" s="52"/>
      <c r="E31" s="52"/>
      <c r="F31" s="5"/>
      <c r="G31" s="47" t="s">
        <v>215</v>
      </c>
      <c r="H31" s="39"/>
      <c r="I31" s="21"/>
      <c r="J31" s="21"/>
      <c r="K31" s="97">
        <v>31</v>
      </c>
      <c r="L31" s="74" t="s">
        <v>131</v>
      </c>
      <c r="M31" s="59" t="b">
        <v>0</v>
      </c>
      <c r="N31" s="60" t="str">
        <f t="shared" si="0"/>
        <v>N/A</v>
      </c>
      <c r="O31" s="10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</row>
    <row r="32" spans="1:83" ht="3.75" customHeight="1">
      <c r="B32" s="3"/>
      <c r="C32" s="3"/>
      <c r="D32" s="32"/>
      <c r="E32" s="8"/>
      <c r="F32" s="5"/>
      <c r="G32" s="40"/>
      <c r="H32" s="41"/>
      <c r="I32" s="21"/>
      <c r="J32" s="21"/>
      <c r="K32" s="97">
        <v>32</v>
      </c>
      <c r="L32" s="75"/>
      <c r="M32" s="61"/>
      <c r="N32" s="60" t="str">
        <f t="shared" si="0"/>
        <v>N/A</v>
      </c>
      <c r="O32" s="10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</row>
    <row r="33" spans="1:83" ht="41.25" customHeight="1">
      <c r="A33" s="7"/>
      <c r="B33" s="7"/>
      <c r="C33" s="7"/>
      <c r="D33" s="7"/>
      <c r="E33" s="7"/>
      <c r="F33" s="7"/>
      <c r="G33" s="46" t="s">
        <v>216</v>
      </c>
      <c r="H33" s="39"/>
      <c r="I33" s="21"/>
      <c r="J33" s="21"/>
      <c r="K33" s="97">
        <v>33</v>
      </c>
      <c r="L33" s="74" t="s">
        <v>132</v>
      </c>
      <c r="M33" s="59" t="b">
        <v>0</v>
      </c>
      <c r="N33" s="60" t="str">
        <f t="shared" si="0"/>
        <v>N/A</v>
      </c>
      <c r="O33" s="10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</row>
    <row r="34" spans="1:83" ht="3" customHeight="1">
      <c r="B34" s="3"/>
      <c r="C34" s="52"/>
      <c r="D34" s="30"/>
      <c r="E34" s="52"/>
      <c r="F34" s="5"/>
      <c r="G34" s="42"/>
      <c r="H34" s="41"/>
      <c r="I34" s="21"/>
      <c r="J34" s="21"/>
      <c r="K34" s="97">
        <v>34</v>
      </c>
      <c r="L34" s="75"/>
      <c r="M34" s="61"/>
      <c r="N34" s="60" t="str">
        <f t="shared" si="0"/>
        <v>N/A</v>
      </c>
      <c r="O34" s="10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</row>
    <row r="35" spans="1:83" ht="37.5" customHeight="1">
      <c r="A35" s="7"/>
      <c r="B35" s="3"/>
      <c r="D35" s="7"/>
      <c r="E35" s="7"/>
      <c r="F35" s="7"/>
      <c r="G35" s="23" t="s">
        <v>217</v>
      </c>
      <c r="H35" s="39"/>
      <c r="I35" s="21"/>
      <c r="J35" s="21"/>
      <c r="K35" s="97">
        <v>35</v>
      </c>
      <c r="L35" s="74" t="s">
        <v>133</v>
      </c>
      <c r="M35" s="59" t="b">
        <v>0</v>
      </c>
      <c r="N35" s="60" t="str">
        <f t="shared" si="0"/>
        <v>N/A</v>
      </c>
      <c r="O35" s="10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</row>
    <row r="36" spans="1:83" ht="9" customHeight="1" thickBot="1">
      <c r="B36" s="3"/>
      <c r="C36" s="53"/>
      <c r="D36" s="31"/>
      <c r="E36" s="53"/>
      <c r="F36" s="5"/>
      <c r="G36" s="43"/>
      <c r="H36" s="44"/>
      <c r="I36" s="21"/>
      <c r="J36" s="21"/>
      <c r="K36" s="56"/>
      <c r="L36" s="4"/>
      <c r="M36" s="4"/>
      <c r="N36" s="57"/>
      <c r="O36" s="10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</row>
    <row r="37" spans="1:83" ht="17.25" thickBot="1">
      <c r="B37" s="3"/>
      <c r="C37"/>
      <c r="D37" s="32"/>
      <c r="E37" s="8"/>
      <c r="F37" s="5"/>
      <c r="G37" s="5"/>
      <c r="H37" s="21"/>
      <c r="I37" s="21"/>
      <c r="J37" s="21"/>
      <c r="K37" s="56"/>
      <c r="L37" s="4"/>
      <c r="M37" s="4"/>
      <c r="N37" s="57"/>
      <c r="O37" s="10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</row>
    <row r="38" spans="1:83" s="29" customFormat="1" ht="41.25" customHeight="1">
      <c r="A38" s="28"/>
      <c r="B38" s="173" t="s">
        <v>13</v>
      </c>
      <c r="C38" s="174"/>
      <c r="D38" s="49" t="s">
        <v>14</v>
      </c>
      <c r="E38" s="49" t="s">
        <v>15</v>
      </c>
      <c r="F38" s="141" t="s">
        <v>16</v>
      </c>
      <c r="G38" s="141"/>
      <c r="H38" s="141" t="s">
        <v>17</v>
      </c>
      <c r="I38" s="141"/>
      <c r="J38" s="142"/>
      <c r="K38" s="79" t="s">
        <v>134</v>
      </c>
      <c r="L38" s="4"/>
      <c r="M38" s="4"/>
      <c r="N38" s="57"/>
      <c r="O38" s="104"/>
      <c r="P38" s="4"/>
      <c r="Q38" s="4"/>
      <c r="R38" s="4"/>
      <c r="S38" s="4"/>
      <c r="T38" s="4"/>
      <c r="U38" s="4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</row>
    <row r="39" spans="1:83" ht="38.25" customHeight="1">
      <c r="B39" s="155"/>
      <c r="C39" s="156"/>
      <c r="D39" s="90"/>
      <c r="E39" s="90"/>
      <c r="F39" s="157" t="s">
        <v>218</v>
      </c>
      <c r="G39" s="158"/>
      <c r="H39" s="152" t="s">
        <v>18</v>
      </c>
      <c r="I39" s="153"/>
      <c r="J39" s="154"/>
      <c r="K39" s="80" t="s">
        <v>135</v>
      </c>
      <c r="L39" s="4"/>
      <c r="M39" s="4"/>
      <c r="N39" s="57"/>
      <c r="O39" s="10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</row>
    <row r="40" spans="1:83" ht="35.25" customHeight="1">
      <c r="B40" s="155"/>
      <c r="C40" s="156"/>
      <c r="D40" s="90"/>
      <c r="E40" s="90"/>
      <c r="F40" s="157" t="s">
        <v>219</v>
      </c>
      <c r="G40" s="158"/>
      <c r="H40" s="152" t="s">
        <v>19</v>
      </c>
      <c r="I40" s="153"/>
      <c r="J40" s="154"/>
      <c r="K40" s="80" t="s">
        <v>136</v>
      </c>
      <c r="L40" s="4"/>
      <c r="M40" s="4"/>
      <c r="N40" s="57"/>
      <c r="O40" s="10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</row>
    <row r="41" spans="1:83" ht="28.5" customHeight="1">
      <c r="B41" s="155"/>
      <c r="C41" s="156"/>
      <c r="D41" s="90"/>
      <c r="E41" s="90"/>
      <c r="F41" s="157" t="s">
        <v>220</v>
      </c>
      <c r="G41" s="158"/>
      <c r="H41" s="152" t="s">
        <v>20</v>
      </c>
      <c r="I41" s="153"/>
      <c r="J41" s="154"/>
      <c r="K41" s="80" t="s">
        <v>137</v>
      </c>
      <c r="L41" s="4"/>
      <c r="M41" s="4"/>
      <c r="N41" s="57"/>
      <c r="O41" s="10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</row>
    <row r="42" spans="1:83" ht="28.5" customHeight="1">
      <c r="B42" s="155"/>
      <c r="C42" s="156"/>
      <c r="D42" s="90"/>
      <c r="E42" s="90"/>
      <c r="F42" s="157" t="s">
        <v>221</v>
      </c>
      <c r="G42" s="158"/>
      <c r="H42" s="152" t="s">
        <v>21</v>
      </c>
      <c r="I42" s="153"/>
      <c r="J42" s="154"/>
      <c r="K42" s="80" t="s">
        <v>138</v>
      </c>
      <c r="L42" s="4"/>
      <c r="M42" s="4"/>
      <c r="N42" s="57"/>
      <c r="O42" s="10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</row>
    <row r="43" spans="1:83" ht="57" customHeight="1">
      <c r="B43" s="206"/>
      <c r="C43" s="207"/>
      <c r="D43" s="91"/>
      <c r="E43" s="91"/>
      <c r="F43" s="208" t="s">
        <v>22</v>
      </c>
      <c r="G43" s="209"/>
      <c r="H43" s="210" t="s">
        <v>23</v>
      </c>
      <c r="I43" s="211"/>
      <c r="J43" s="212"/>
      <c r="K43" s="80" t="s">
        <v>139</v>
      </c>
      <c r="L43" s="4"/>
      <c r="M43" s="4"/>
      <c r="N43" s="57"/>
      <c r="O43" s="10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</row>
    <row r="44" spans="1:83" ht="28.5" customHeight="1">
      <c r="B44" s="145"/>
      <c r="C44" s="146"/>
      <c r="D44" s="54"/>
      <c r="E44" s="54"/>
      <c r="F44" s="147" t="s">
        <v>222</v>
      </c>
      <c r="G44" s="148"/>
      <c r="H44" s="149" t="s">
        <v>24</v>
      </c>
      <c r="I44" s="150"/>
      <c r="J44" s="151"/>
      <c r="K44" s="80" t="s">
        <v>140</v>
      </c>
      <c r="L44" s="4"/>
      <c r="M44" s="4"/>
      <c r="N44" s="57"/>
      <c r="O44" s="10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</row>
    <row r="45" spans="1:83" ht="17.25" thickBot="1">
      <c r="B45" s="9" t="s">
        <v>25</v>
      </c>
      <c r="C45" s="10"/>
      <c r="D45" s="34"/>
      <c r="E45" s="65"/>
      <c r="F45" s="11"/>
      <c r="G45" s="12"/>
      <c r="H45" s="143"/>
      <c r="I45" s="143"/>
      <c r="J45" s="144"/>
      <c r="K45" s="81"/>
      <c r="L45" s="4"/>
      <c r="M45" s="4"/>
      <c r="N45" s="57"/>
      <c r="O45" s="10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</row>
    <row r="46" spans="1:83" ht="17.25" thickTop="1">
      <c r="B46" s="184" t="s">
        <v>198</v>
      </c>
      <c r="C46" s="185"/>
      <c r="D46" s="35" t="e">
        <f>$C$12-30</f>
        <v>#VALUE!</v>
      </c>
      <c r="E46" s="66"/>
      <c r="F46" s="17"/>
      <c r="G46" s="18"/>
      <c r="H46" s="182"/>
      <c r="I46" s="182"/>
      <c r="J46" s="183"/>
      <c r="K46" s="66"/>
      <c r="L46" s="4"/>
      <c r="M46" s="4"/>
      <c r="N46" s="57"/>
      <c r="O46" s="10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</row>
    <row r="47" spans="1:83" ht="33" customHeight="1">
      <c r="A47" s="4" t="s">
        <v>26</v>
      </c>
      <c r="B47" s="175"/>
      <c r="C47" s="176"/>
      <c r="D47" s="33"/>
      <c r="E47" s="67"/>
      <c r="F47" s="130" t="s">
        <v>223</v>
      </c>
      <c r="G47" s="131"/>
      <c r="H47" s="125" t="s">
        <v>27</v>
      </c>
      <c r="I47" s="126"/>
      <c r="J47" s="127"/>
      <c r="K47" s="82" t="s">
        <v>141</v>
      </c>
      <c r="L47" s="4"/>
      <c r="M47" s="4"/>
      <c r="N47" s="57"/>
      <c r="O47" s="10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</row>
    <row r="48" spans="1:83" ht="103.5" customHeight="1">
      <c r="B48" s="123"/>
      <c r="C48" s="124"/>
      <c r="D48" s="33"/>
      <c r="E48" s="95"/>
      <c r="F48" s="130" t="s">
        <v>205</v>
      </c>
      <c r="G48" s="131"/>
      <c r="H48" s="125" t="s">
        <v>28</v>
      </c>
      <c r="I48" s="126"/>
      <c r="J48" s="127"/>
      <c r="K48" s="82" t="s">
        <v>142</v>
      </c>
      <c r="L48" s="4"/>
      <c r="M48" s="4"/>
      <c r="N48" s="57"/>
      <c r="O48" s="10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</row>
    <row r="49" spans="2:83" ht="60.75" customHeight="1">
      <c r="B49" s="221"/>
      <c r="C49" s="222"/>
      <c r="D49" s="92"/>
      <c r="E49" s="93"/>
      <c r="F49" s="225" t="s">
        <v>224</v>
      </c>
      <c r="G49" s="226"/>
      <c r="H49" s="203" t="s">
        <v>29</v>
      </c>
      <c r="I49" s="204"/>
      <c r="J49" s="205"/>
      <c r="K49" s="82" t="s">
        <v>143</v>
      </c>
      <c r="L49" s="4"/>
      <c r="M49" s="4"/>
      <c r="N49" s="57"/>
      <c r="O49" s="10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</row>
    <row r="50" spans="2:83" ht="39" customHeight="1">
      <c r="B50" s="221"/>
      <c r="C50" s="222"/>
      <c r="D50" s="92"/>
      <c r="E50" s="93"/>
      <c r="F50" s="219" t="s">
        <v>30</v>
      </c>
      <c r="G50" s="220"/>
      <c r="H50" s="203" t="s">
        <v>31</v>
      </c>
      <c r="I50" s="204"/>
      <c r="J50" s="205"/>
      <c r="K50" s="82" t="s">
        <v>144</v>
      </c>
      <c r="L50" s="4"/>
      <c r="M50" s="4"/>
      <c r="N50" s="57"/>
      <c r="O50" s="10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</row>
    <row r="51" spans="2:83" ht="43.5" customHeight="1">
      <c r="B51" s="221"/>
      <c r="C51" s="222"/>
      <c r="D51" s="92"/>
      <c r="E51" s="92"/>
      <c r="F51" s="225" t="s">
        <v>32</v>
      </c>
      <c r="G51" s="226"/>
      <c r="H51" s="203" t="s">
        <v>33</v>
      </c>
      <c r="I51" s="204"/>
      <c r="J51" s="205"/>
      <c r="K51" s="82" t="s">
        <v>145</v>
      </c>
      <c r="L51" s="4"/>
      <c r="M51" s="4"/>
      <c r="N51" s="57"/>
      <c r="O51" s="10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</row>
    <row r="52" spans="2:83" ht="75.75" customHeight="1">
      <c r="B52" s="213"/>
      <c r="C52" s="214"/>
      <c r="D52" s="94"/>
      <c r="E52" s="93"/>
      <c r="F52" s="219" t="s">
        <v>34</v>
      </c>
      <c r="G52" s="220"/>
      <c r="H52" s="179" t="s">
        <v>35</v>
      </c>
      <c r="I52" s="180"/>
      <c r="J52" s="181"/>
      <c r="K52" s="82" t="s">
        <v>146</v>
      </c>
      <c r="L52" s="4"/>
      <c r="M52" s="4" t="s">
        <v>147</v>
      </c>
      <c r="N52" s="57"/>
      <c r="O52" s="10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</row>
    <row r="53" spans="2:83" ht="41.25" customHeight="1">
      <c r="B53" s="223"/>
      <c r="C53" s="224"/>
      <c r="D53" s="92"/>
      <c r="E53" s="93"/>
      <c r="F53" s="225" t="s">
        <v>36</v>
      </c>
      <c r="G53" s="226"/>
      <c r="H53" s="203" t="s">
        <v>37</v>
      </c>
      <c r="I53" s="204"/>
      <c r="J53" s="205"/>
      <c r="K53" s="82" t="s">
        <v>148</v>
      </c>
      <c r="L53" s="4"/>
      <c r="M53" s="4"/>
      <c r="N53" s="57"/>
      <c r="O53" s="10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</row>
    <row r="54" spans="2:83" ht="17.25" thickBot="1">
      <c r="B54" s="9" t="s">
        <v>38</v>
      </c>
      <c r="C54" s="10"/>
      <c r="D54" s="34"/>
      <c r="E54" s="65"/>
      <c r="F54" s="11"/>
      <c r="G54" s="12"/>
      <c r="H54" s="143"/>
      <c r="I54" s="143"/>
      <c r="J54" s="144"/>
      <c r="K54" s="81"/>
      <c r="L54" s="4"/>
      <c r="M54" s="4"/>
      <c r="N54" s="57"/>
      <c r="O54" s="10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</row>
    <row r="55" spans="2:83" ht="17.25" thickTop="1">
      <c r="B55" s="184" t="s">
        <v>39</v>
      </c>
      <c r="C55" s="185"/>
      <c r="D55" s="35" t="e">
        <f>$C$12-21</f>
        <v>#VALUE!</v>
      </c>
      <c r="E55" s="66"/>
      <c r="F55" s="17"/>
      <c r="G55" s="18"/>
      <c r="H55" s="182"/>
      <c r="I55" s="182"/>
      <c r="J55" s="183"/>
      <c r="K55" s="66"/>
      <c r="L55" s="4"/>
      <c r="M55" s="4"/>
      <c r="N55" s="57"/>
      <c r="O55" s="10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</row>
    <row r="56" spans="2:83" ht="63.75" customHeight="1">
      <c r="B56" s="175"/>
      <c r="C56" s="176"/>
      <c r="D56" s="33"/>
      <c r="E56" s="67"/>
      <c r="F56" s="130" t="s">
        <v>40</v>
      </c>
      <c r="G56" s="131"/>
      <c r="H56" s="227" t="s">
        <v>225</v>
      </c>
      <c r="I56" s="228"/>
      <c r="J56" s="229"/>
      <c r="K56" s="82" t="s">
        <v>149</v>
      </c>
      <c r="L56" s="4"/>
      <c r="M56" s="4"/>
      <c r="N56" s="57"/>
      <c r="O56" s="10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</row>
    <row r="57" spans="2:83" ht="17.25" thickBot="1">
      <c r="B57" s="16" t="s">
        <v>41</v>
      </c>
      <c r="C57" s="13"/>
      <c r="D57" s="36"/>
      <c r="E57" s="68"/>
      <c r="F57" s="14"/>
      <c r="G57" s="15"/>
      <c r="H57" s="230"/>
      <c r="I57" s="230"/>
      <c r="J57" s="231"/>
      <c r="K57" s="83"/>
      <c r="L57" s="4"/>
      <c r="M57" s="4"/>
      <c r="N57" s="57"/>
      <c r="O57" s="10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</row>
    <row r="58" spans="2:83" ht="17.25" thickTop="1">
      <c r="B58" s="184" t="s">
        <v>42</v>
      </c>
      <c r="C58" s="185"/>
      <c r="D58" s="35" t="e">
        <f>$C$12-14</f>
        <v>#VALUE!</v>
      </c>
      <c r="E58" s="66"/>
      <c r="F58" s="17"/>
      <c r="G58" s="18"/>
      <c r="H58" s="182"/>
      <c r="I58" s="182"/>
      <c r="J58" s="183"/>
      <c r="K58" s="66"/>
      <c r="L58" s="4"/>
      <c r="M58" s="4"/>
      <c r="N58" s="57"/>
      <c r="O58" s="10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</row>
    <row r="59" spans="2:83" ht="108.75" customHeight="1">
      <c r="B59" s="175"/>
      <c r="C59" s="176"/>
      <c r="D59" s="54"/>
      <c r="E59" s="89"/>
      <c r="F59" s="130" t="s">
        <v>204</v>
      </c>
      <c r="G59" s="131"/>
      <c r="H59" s="135" t="s">
        <v>43</v>
      </c>
      <c r="I59" s="136"/>
      <c r="J59" s="137"/>
      <c r="K59" s="82" t="s">
        <v>150</v>
      </c>
      <c r="L59" s="4"/>
      <c r="M59" s="4"/>
      <c r="N59" s="57"/>
      <c r="O59" s="10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</row>
    <row r="60" spans="2:83" ht="17.25" thickBot="1">
      <c r="B60" s="16" t="s">
        <v>44</v>
      </c>
      <c r="C60" s="13"/>
      <c r="D60" s="36"/>
      <c r="E60" s="68"/>
      <c r="F60" s="14"/>
      <c r="G60" s="15"/>
      <c r="H60" s="230"/>
      <c r="I60" s="230"/>
      <c r="J60" s="231"/>
      <c r="K60" s="83"/>
      <c r="L60" s="4"/>
      <c r="M60" s="4"/>
      <c r="N60" s="57"/>
      <c r="O60" s="10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</row>
    <row r="61" spans="2:83" ht="17.25" thickTop="1">
      <c r="B61" s="184" t="s">
        <v>45</v>
      </c>
      <c r="C61" s="185"/>
      <c r="D61" s="35" t="e">
        <f>$C$12-7</f>
        <v>#VALUE!</v>
      </c>
      <c r="E61" s="66"/>
      <c r="F61" s="17"/>
      <c r="G61" s="18"/>
      <c r="H61" s="182"/>
      <c r="I61" s="182"/>
      <c r="J61" s="183"/>
      <c r="K61" s="66"/>
      <c r="L61" s="4"/>
      <c r="M61" s="4"/>
      <c r="N61" s="57"/>
      <c r="O61" s="10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</row>
    <row r="62" spans="2:83" ht="106.5" customHeight="1">
      <c r="B62" s="175"/>
      <c r="C62" s="176"/>
      <c r="D62" s="33"/>
      <c r="E62" s="67"/>
      <c r="F62" s="130" t="s">
        <v>204</v>
      </c>
      <c r="G62" s="131"/>
      <c r="H62" s="125" t="s">
        <v>46</v>
      </c>
      <c r="I62" s="126"/>
      <c r="J62" s="127"/>
      <c r="K62" s="82" t="s">
        <v>151</v>
      </c>
      <c r="L62" s="4"/>
      <c r="M62" s="4"/>
      <c r="N62" s="57"/>
      <c r="O62" s="10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</row>
    <row r="63" spans="2:83" ht="41.25" customHeight="1">
      <c r="B63" s="175"/>
      <c r="C63" s="176"/>
      <c r="D63" s="33"/>
      <c r="E63" s="67"/>
      <c r="F63" s="130" t="s">
        <v>226</v>
      </c>
      <c r="G63" s="131"/>
      <c r="H63" s="193" t="s">
        <v>47</v>
      </c>
      <c r="I63" s="194"/>
      <c r="J63" s="195"/>
      <c r="K63" s="82" t="s">
        <v>152</v>
      </c>
      <c r="L63" s="4"/>
      <c r="M63" s="4"/>
      <c r="N63" s="57"/>
      <c r="O63" s="10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</row>
    <row r="64" spans="2:83" ht="61.5" customHeight="1">
      <c r="B64" s="175"/>
      <c r="C64" s="176"/>
      <c r="D64" s="33"/>
      <c r="E64" s="67"/>
      <c r="F64" s="130" t="s">
        <v>227</v>
      </c>
      <c r="G64" s="131"/>
      <c r="H64" s="193" t="s">
        <v>48</v>
      </c>
      <c r="I64" s="194"/>
      <c r="J64" s="195"/>
      <c r="K64" s="82" t="s">
        <v>153</v>
      </c>
      <c r="L64" s="4"/>
      <c r="M64" s="4" t="s">
        <v>154</v>
      </c>
      <c r="N64" s="57"/>
      <c r="O64" s="10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</row>
    <row r="65" spans="2:83" ht="60" customHeight="1">
      <c r="B65" s="175"/>
      <c r="C65" s="176"/>
      <c r="D65" s="33"/>
      <c r="E65" s="67"/>
      <c r="F65" s="130" t="s">
        <v>228</v>
      </c>
      <c r="G65" s="131"/>
      <c r="H65" s="125" t="s">
        <v>49</v>
      </c>
      <c r="I65" s="126"/>
      <c r="J65" s="127"/>
      <c r="K65" s="82" t="s">
        <v>155</v>
      </c>
      <c r="L65" s="4"/>
      <c r="M65" s="4"/>
      <c r="N65" s="57"/>
      <c r="O65" s="10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</row>
    <row r="66" spans="2:83" ht="54.75" customHeight="1">
      <c r="B66" s="217" t="s">
        <v>50</v>
      </c>
      <c r="C66" s="218"/>
      <c r="D66" s="38" t="str">
        <f>$C$12</f>
        <v>&lt;MM/GG/AA&gt;</v>
      </c>
      <c r="E66" s="69"/>
      <c r="F66" s="218" t="s">
        <v>51</v>
      </c>
      <c r="G66" s="218"/>
      <c r="H66" s="196"/>
      <c r="I66" s="196"/>
      <c r="J66" s="197"/>
      <c r="K66" s="84"/>
      <c r="L66" s="4"/>
      <c r="M66" s="4"/>
      <c r="N66" s="57"/>
      <c r="O66" s="10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</row>
    <row r="67" spans="2:83" ht="60" customHeight="1">
      <c r="B67" s="175"/>
      <c r="C67" s="176"/>
      <c r="D67" s="33"/>
      <c r="E67" s="33"/>
      <c r="F67" s="186" t="s">
        <v>52</v>
      </c>
      <c r="G67" s="187"/>
      <c r="H67" s="125" t="s">
        <v>53</v>
      </c>
      <c r="I67" s="126"/>
      <c r="J67" s="127"/>
      <c r="K67" s="82" t="s">
        <v>156</v>
      </c>
      <c r="L67" s="4"/>
      <c r="M67" s="4"/>
      <c r="N67" s="57"/>
      <c r="O67" s="10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</row>
    <row r="68" spans="2:83" ht="42.75" customHeight="1">
      <c r="B68" s="123"/>
      <c r="C68" s="124"/>
      <c r="D68" s="33"/>
      <c r="E68" s="67"/>
      <c r="F68" s="130" t="s">
        <v>206</v>
      </c>
      <c r="G68" s="131"/>
      <c r="H68" s="125" t="s">
        <v>54</v>
      </c>
      <c r="I68" s="126"/>
      <c r="J68" s="127"/>
      <c r="K68" s="82" t="s">
        <v>157</v>
      </c>
      <c r="L68" s="4"/>
      <c r="M68" s="4"/>
      <c r="N68" s="57"/>
      <c r="O68" s="10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</row>
    <row r="69" spans="2:83" ht="34.5" customHeight="1">
      <c r="B69" s="123"/>
      <c r="C69" s="124"/>
      <c r="D69" s="33"/>
      <c r="E69" s="67"/>
      <c r="F69" s="128" t="s">
        <v>229</v>
      </c>
      <c r="G69" s="129"/>
      <c r="H69" s="125" t="s">
        <v>55</v>
      </c>
      <c r="I69" s="126"/>
      <c r="J69" s="127"/>
      <c r="K69" s="82" t="s">
        <v>158</v>
      </c>
      <c r="L69" s="4"/>
      <c r="M69" s="4"/>
      <c r="N69" s="57"/>
      <c r="O69" s="10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</row>
    <row r="70" spans="2:83" ht="34.5" customHeight="1">
      <c r="B70" s="123"/>
      <c r="C70" s="124"/>
      <c r="D70" s="33"/>
      <c r="E70" s="67"/>
      <c r="F70" s="128" t="s">
        <v>230</v>
      </c>
      <c r="G70" s="129"/>
      <c r="H70" s="125" t="s">
        <v>56</v>
      </c>
      <c r="I70" s="126"/>
      <c r="J70" s="127"/>
      <c r="K70" s="82" t="s">
        <v>159</v>
      </c>
      <c r="L70" s="4"/>
      <c r="M70" s="4"/>
      <c r="N70" s="57"/>
      <c r="O70" s="10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</row>
    <row r="71" spans="2:83" ht="34.5" customHeight="1">
      <c r="B71" s="123"/>
      <c r="C71" s="124"/>
      <c r="D71" s="33"/>
      <c r="E71" s="67"/>
      <c r="F71" s="128" t="s">
        <v>231</v>
      </c>
      <c r="G71" s="129"/>
      <c r="H71" s="125" t="s">
        <v>57</v>
      </c>
      <c r="I71" s="126"/>
      <c r="J71" s="127"/>
      <c r="K71" s="82" t="s">
        <v>160</v>
      </c>
      <c r="L71" s="4"/>
      <c r="M71" s="4"/>
      <c r="N71" s="57"/>
      <c r="O71" s="10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</row>
    <row r="72" spans="2:83" ht="29.25" customHeight="1">
      <c r="B72" s="175"/>
      <c r="C72" s="176"/>
      <c r="D72" s="33"/>
      <c r="E72" s="67"/>
      <c r="F72" s="130" t="s">
        <v>232</v>
      </c>
      <c r="G72" s="131"/>
      <c r="H72" s="125" t="s">
        <v>58</v>
      </c>
      <c r="I72" s="126"/>
      <c r="J72" s="127"/>
      <c r="K72" s="82" t="s">
        <v>161</v>
      </c>
      <c r="L72" s="4"/>
      <c r="M72" s="4"/>
      <c r="N72" s="57"/>
      <c r="O72" s="10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</row>
    <row r="73" spans="2:83" ht="60.75" customHeight="1">
      <c r="B73" s="215" t="s">
        <v>199</v>
      </c>
      <c r="C73" s="216"/>
      <c r="D73" s="51" t="s">
        <v>201</v>
      </c>
      <c r="E73" s="20"/>
      <c r="F73" s="200" t="s">
        <v>59</v>
      </c>
      <c r="G73" s="200"/>
      <c r="H73" s="191"/>
      <c r="I73" s="191"/>
      <c r="J73" s="192"/>
      <c r="K73" s="85"/>
      <c r="L73" s="4"/>
      <c r="M73" s="4"/>
      <c r="N73" s="57"/>
      <c r="O73" s="10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</row>
    <row r="74" spans="2:83" ht="75" customHeight="1">
      <c r="B74" s="123"/>
      <c r="C74" s="124"/>
      <c r="D74" s="33"/>
      <c r="E74" s="67"/>
      <c r="F74" s="128" t="s">
        <v>233</v>
      </c>
      <c r="G74" s="129"/>
      <c r="H74" s="132" t="s">
        <v>60</v>
      </c>
      <c r="I74" s="133"/>
      <c r="J74" s="134"/>
      <c r="K74" s="82" t="s">
        <v>162</v>
      </c>
      <c r="L74" s="4"/>
      <c r="M74" s="4"/>
      <c r="N74" s="57"/>
      <c r="O74" s="10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</row>
    <row r="75" spans="2:83" ht="25.5" customHeight="1">
      <c r="B75" s="123"/>
      <c r="C75" s="124"/>
      <c r="D75" s="33"/>
      <c r="E75" s="67"/>
      <c r="F75" s="128" t="s">
        <v>61</v>
      </c>
      <c r="G75" s="129"/>
      <c r="H75" s="132" t="s">
        <v>62</v>
      </c>
      <c r="I75" s="133"/>
      <c r="J75" s="134"/>
      <c r="K75" s="82" t="s">
        <v>163</v>
      </c>
      <c r="L75" s="4"/>
      <c r="M75" s="4"/>
      <c r="N75" s="57"/>
      <c r="O75" s="10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</row>
    <row r="76" spans="2:83" ht="37.5" customHeight="1">
      <c r="B76" s="123"/>
      <c r="C76" s="124"/>
      <c r="D76" s="33"/>
      <c r="E76" s="67"/>
      <c r="F76" s="128" t="s">
        <v>234</v>
      </c>
      <c r="G76" s="129"/>
      <c r="H76" s="132" t="s">
        <v>63</v>
      </c>
      <c r="I76" s="133"/>
      <c r="J76" s="134"/>
      <c r="K76" s="82" t="s">
        <v>164</v>
      </c>
      <c r="L76" s="4"/>
      <c r="M76" s="4"/>
      <c r="N76" s="57"/>
      <c r="O76" s="10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</row>
    <row r="77" spans="2:83" ht="37.5" customHeight="1">
      <c r="B77" s="123"/>
      <c r="C77" s="124"/>
      <c r="D77" s="33"/>
      <c r="E77" s="67"/>
      <c r="F77" s="128" t="s">
        <v>235</v>
      </c>
      <c r="G77" s="129"/>
      <c r="H77" s="132" t="s">
        <v>64</v>
      </c>
      <c r="I77" s="133"/>
      <c r="J77" s="134"/>
      <c r="K77" s="82" t="s">
        <v>165</v>
      </c>
      <c r="L77" s="4"/>
      <c r="M77" s="4"/>
      <c r="N77" s="57"/>
      <c r="O77" s="10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</row>
    <row r="78" spans="2:83" ht="21" customHeight="1">
      <c r="B78" s="123"/>
      <c r="C78" s="124"/>
      <c r="D78" s="33"/>
      <c r="E78" s="67"/>
      <c r="F78" s="130" t="s">
        <v>236</v>
      </c>
      <c r="G78" s="131"/>
      <c r="H78" s="132" t="s">
        <v>65</v>
      </c>
      <c r="I78" s="133"/>
      <c r="J78" s="134"/>
      <c r="K78" s="82" t="s">
        <v>166</v>
      </c>
      <c r="L78" s="4"/>
      <c r="M78" s="4"/>
      <c r="N78" s="57"/>
      <c r="O78" s="10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</row>
    <row r="79" spans="2:83" ht="21" customHeight="1">
      <c r="B79" s="123"/>
      <c r="C79" s="124"/>
      <c r="D79" s="33"/>
      <c r="E79" s="67"/>
      <c r="F79" s="128" t="s">
        <v>66</v>
      </c>
      <c r="G79" s="129"/>
      <c r="H79" s="132" t="s">
        <v>67</v>
      </c>
      <c r="I79" s="133"/>
      <c r="J79" s="134"/>
      <c r="K79" s="82" t="s">
        <v>167</v>
      </c>
      <c r="L79" s="4"/>
      <c r="M79" s="4"/>
      <c r="N79" s="57"/>
      <c r="O79" s="10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</row>
    <row r="80" spans="2:83" ht="21" customHeight="1">
      <c r="B80" s="123"/>
      <c r="C80" s="124"/>
      <c r="D80" s="33"/>
      <c r="E80" s="67"/>
      <c r="F80" s="128" t="s">
        <v>68</v>
      </c>
      <c r="G80" s="129"/>
      <c r="H80" s="132" t="s">
        <v>69</v>
      </c>
      <c r="I80" s="133"/>
      <c r="J80" s="134"/>
      <c r="K80" s="82" t="s">
        <v>168</v>
      </c>
      <c r="L80" s="4"/>
      <c r="M80" s="4"/>
      <c r="N80" s="57"/>
      <c r="O80" s="10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</row>
    <row r="81" spans="2:83" ht="21" customHeight="1">
      <c r="B81" s="123"/>
      <c r="C81" s="124"/>
      <c r="D81" s="33"/>
      <c r="E81" s="67"/>
      <c r="F81" s="128" t="s">
        <v>70</v>
      </c>
      <c r="G81" s="129"/>
      <c r="H81" s="132" t="s">
        <v>71</v>
      </c>
      <c r="I81" s="133"/>
      <c r="J81" s="134"/>
      <c r="K81" s="82" t="s">
        <v>169</v>
      </c>
      <c r="L81" s="4"/>
      <c r="M81" s="4"/>
      <c r="N81" s="57"/>
      <c r="O81" s="10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</row>
    <row r="82" spans="2:83" ht="48" customHeight="1">
      <c r="B82" s="123"/>
      <c r="C82" s="124"/>
      <c r="D82" s="33"/>
      <c r="E82" s="67"/>
      <c r="F82" s="128" t="s">
        <v>237</v>
      </c>
      <c r="G82" s="129"/>
      <c r="H82" s="132" t="s">
        <v>72</v>
      </c>
      <c r="I82" s="133"/>
      <c r="J82" s="134"/>
      <c r="K82" s="82" t="s">
        <v>170</v>
      </c>
      <c r="L82" s="4"/>
      <c r="M82" s="4"/>
      <c r="N82" s="57"/>
      <c r="O82" s="10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</row>
    <row r="83" spans="2:83" ht="33.75" customHeight="1">
      <c r="B83" s="123"/>
      <c r="C83" s="124"/>
      <c r="D83" s="33"/>
      <c r="E83" s="67"/>
      <c r="F83" s="128" t="s">
        <v>238</v>
      </c>
      <c r="G83" s="129"/>
      <c r="H83" s="132" t="s">
        <v>73</v>
      </c>
      <c r="I83" s="133"/>
      <c r="J83" s="134"/>
      <c r="K83" s="82" t="s">
        <v>171</v>
      </c>
      <c r="L83" s="4"/>
      <c r="M83" s="4"/>
      <c r="N83" s="57"/>
      <c r="O83" s="10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</row>
    <row r="84" spans="2:83" ht="21" customHeight="1">
      <c r="B84" s="123"/>
      <c r="C84" s="124"/>
      <c r="D84" s="33"/>
      <c r="E84" s="67"/>
      <c r="F84" s="130" t="s">
        <v>74</v>
      </c>
      <c r="G84" s="131"/>
      <c r="H84" s="132" t="s">
        <v>75</v>
      </c>
      <c r="I84" s="133"/>
      <c r="J84" s="134"/>
      <c r="K84" s="82" t="s">
        <v>172</v>
      </c>
      <c r="L84" s="4"/>
      <c r="M84" s="4" t="s">
        <v>173</v>
      </c>
      <c r="N84" s="57"/>
      <c r="O84" s="10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</row>
    <row r="85" spans="2:83" ht="48" customHeight="1">
      <c r="B85" s="175"/>
      <c r="C85" s="176"/>
      <c r="D85" s="33"/>
      <c r="E85" s="67"/>
      <c r="F85" s="130" t="s">
        <v>76</v>
      </c>
      <c r="G85" s="131"/>
      <c r="H85" s="132" t="s">
        <v>77</v>
      </c>
      <c r="I85" s="133"/>
      <c r="J85" s="134"/>
      <c r="K85" s="82" t="s">
        <v>174</v>
      </c>
      <c r="L85" s="4"/>
      <c r="M85" s="4" t="s">
        <v>175</v>
      </c>
      <c r="N85" s="57"/>
      <c r="O85" s="10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</row>
    <row r="86" spans="2:83" ht="53.25" customHeight="1">
      <c r="B86" s="123"/>
      <c r="C86" s="124"/>
      <c r="D86" s="33"/>
      <c r="E86" s="33"/>
      <c r="F86" s="128" t="s">
        <v>239</v>
      </c>
      <c r="G86" s="129"/>
      <c r="H86" s="132" t="s">
        <v>78</v>
      </c>
      <c r="I86" s="133"/>
      <c r="J86" s="134"/>
      <c r="K86" s="82" t="s">
        <v>176</v>
      </c>
      <c r="L86" s="4"/>
      <c r="M86" s="4" t="s">
        <v>177</v>
      </c>
      <c r="N86" s="57"/>
      <c r="O86" s="10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</row>
    <row r="87" spans="2:83" ht="21" customHeight="1">
      <c r="B87" s="123"/>
      <c r="C87" s="124"/>
      <c r="D87" s="33"/>
      <c r="E87" s="67"/>
      <c r="F87" s="128" t="s">
        <v>79</v>
      </c>
      <c r="G87" s="129"/>
      <c r="H87" s="132" t="s">
        <v>80</v>
      </c>
      <c r="I87" s="133"/>
      <c r="J87" s="134"/>
      <c r="K87" s="82" t="s">
        <v>178</v>
      </c>
      <c r="L87" s="4"/>
      <c r="M87" s="4"/>
      <c r="N87" s="57"/>
      <c r="O87" s="10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</row>
    <row r="88" spans="2:83" ht="21" customHeight="1">
      <c r="B88" s="123"/>
      <c r="C88" s="124"/>
      <c r="D88" s="33"/>
      <c r="E88" s="67"/>
      <c r="F88" s="128" t="s">
        <v>81</v>
      </c>
      <c r="G88" s="129"/>
      <c r="H88" s="132" t="s">
        <v>82</v>
      </c>
      <c r="I88" s="133"/>
      <c r="J88" s="134"/>
      <c r="K88" s="82" t="s">
        <v>179</v>
      </c>
      <c r="L88" s="4"/>
      <c r="M88" s="4"/>
      <c r="N88" s="57"/>
      <c r="O88" s="10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</row>
    <row r="89" spans="2:83" ht="21" customHeight="1">
      <c r="B89" s="123"/>
      <c r="C89" s="124"/>
      <c r="D89" s="33"/>
      <c r="E89" s="67"/>
      <c r="F89" s="128" t="s">
        <v>83</v>
      </c>
      <c r="G89" s="129"/>
      <c r="H89" s="125" t="s">
        <v>84</v>
      </c>
      <c r="I89" s="126"/>
      <c r="J89" s="127"/>
      <c r="K89" s="82" t="s">
        <v>180</v>
      </c>
      <c r="L89" s="4"/>
      <c r="M89" s="4"/>
      <c r="N89" s="57"/>
      <c r="O89" s="10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</row>
    <row r="90" spans="2:83" ht="21" customHeight="1">
      <c r="B90" s="123"/>
      <c r="C90" s="124"/>
      <c r="D90" s="33"/>
      <c r="E90" s="67"/>
      <c r="F90" s="130" t="s">
        <v>85</v>
      </c>
      <c r="G90" s="131"/>
      <c r="H90" s="125" t="s">
        <v>86</v>
      </c>
      <c r="I90" s="126"/>
      <c r="J90" s="127"/>
      <c r="K90" s="82" t="s">
        <v>181</v>
      </c>
      <c r="L90" s="4"/>
      <c r="M90" s="4"/>
      <c r="N90" s="57"/>
      <c r="O90" s="10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</row>
    <row r="91" spans="2:83" ht="21" customHeight="1">
      <c r="B91" s="123"/>
      <c r="C91" s="124"/>
      <c r="D91" s="33"/>
      <c r="E91" s="67"/>
      <c r="F91" s="128" t="s">
        <v>87</v>
      </c>
      <c r="G91" s="129"/>
      <c r="H91" s="125" t="s">
        <v>88</v>
      </c>
      <c r="I91" s="126"/>
      <c r="J91" s="127"/>
      <c r="K91" s="82" t="s">
        <v>182</v>
      </c>
      <c r="L91" s="4"/>
      <c r="M91" s="4"/>
      <c r="N91" s="57"/>
      <c r="O91" s="10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</row>
    <row r="92" spans="2:83" ht="21" customHeight="1">
      <c r="B92" s="123"/>
      <c r="C92" s="124"/>
      <c r="D92" s="33"/>
      <c r="E92" s="67"/>
      <c r="F92" s="128" t="s">
        <v>89</v>
      </c>
      <c r="G92" s="129"/>
      <c r="H92" s="125" t="s">
        <v>90</v>
      </c>
      <c r="I92" s="126"/>
      <c r="J92" s="127"/>
      <c r="K92" s="82" t="s">
        <v>183</v>
      </c>
      <c r="L92" s="4"/>
      <c r="M92" s="4"/>
      <c r="N92" s="57"/>
      <c r="O92" s="10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</row>
    <row r="93" spans="2:83" ht="21" customHeight="1">
      <c r="B93" s="123"/>
      <c r="C93" s="124"/>
      <c r="D93" s="33"/>
      <c r="E93" s="67"/>
      <c r="F93" s="128" t="s">
        <v>91</v>
      </c>
      <c r="G93" s="129"/>
      <c r="H93" s="125" t="s">
        <v>92</v>
      </c>
      <c r="I93" s="126"/>
      <c r="J93" s="127"/>
      <c r="K93" s="82" t="s">
        <v>184</v>
      </c>
      <c r="L93" s="4"/>
      <c r="M93" s="4"/>
      <c r="N93" s="57"/>
      <c r="O93" s="10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</row>
    <row r="94" spans="2:83" ht="21" customHeight="1">
      <c r="B94" s="123"/>
      <c r="C94" s="124"/>
      <c r="D94" s="33"/>
      <c r="E94" s="67"/>
      <c r="F94" s="130" t="s">
        <v>93</v>
      </c>
      <c r="G94" s="131"/>
      <c r="H94" s="125" t="s">
        <v>94</v>
      </c>
      <c r="I94" s="126"/>
      <c r="J94" s="127"/>
      <c r="K94" s="82" t="s">
        <v>185</v>
      </c>
      <c r="L94" s="4"/>
      <c r="M94" s="4"/>
      <c r="N94" s="57"/>
      <c r="O94" s="10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</row>
    <row r="95" spans="2:83" ht="21" customHeight="1">
      <c r="B95" s="123"/>
      <c r="C95" s="124"/>
      <c r="D95" s="33"/>
      <c r="E95" s="67"/>
      <c r="F95" s="128" t="s">
        <v>95</v>
      </c>
      <c r="G95" s="129"/>
      <c r="H95" s="125" t="s">
        <v>96</v>
      </c>
      <c r="I95" s="126"/>
      <c r="J95" s="127"/>
      <c r="K95" s="82" t="s">
        <v>186</v>
      </c>
      <c r="L95" s="4"/>
      <c r="M95" s="4"/>
      <c r="N95" s="57"/>
      <c r="O95" s="10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</row>
    <row r="96" spans="2:83" ht="21" customHeight="1">
      <c r="B96" s="123"/>
      <c r="C96" s="124"/>
      <c r="D96" s="33"/>
      <c r="E96" s="67"/>
      <c r="F96" s="128" t="s">
        <v>97</v>
      </c>
      <c r="G96" s="129"/>
      <c r="H96" s="125" t="s">
        <v>98</v>
      </c>
      <c r="I96" s="126"/>
      <c r="J96" s="127"/>
      <c r="K96" s="82" t="s">
        <v>187</v>
      </c>
      <c r="L96" s="4"/>
      <c r="M96" s="4"/>
      <c r="N96" s="57"/>
      <c r="O96" s="10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</row>
    <row r="97" spans="2:83" ht="21" customHeight="1">
      <c r="B97" s="123"/>
      <c r="C97" s="124"/>
      <c r="D97" s="33"/>
      <c r="E97" s="67"/>
      <c r="F97" s="128" t="s">
        <v>240</v>
      </c>
      <c r="G97" s="129"/>
      <c r="H97" s="125" t="s">
        <v>99</v>
      </c>
      <c r="I97" s="126"/>
      <c r="J97" s="127"/>
      <c r="K97" s="82" t="s">
        <v>188</v>
      </c>
      <c r="L97" s="4"/>
      <c r="M97" s="4"/>
      <c r="N97" s="57"/>
      <c r="O97" s="10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</row>
    <row r="98" spans="2:83" ht="57" customHeight="1">
      <c r="B98" s="123"/>
      <c r="C98" s="124"/>
      <c r="D98" s="33"/>
      <c r="E98" s="67"/>
      <c r="F98" s="128" t="s">
        <v>100</v>
      </c>
      <c r="G98" s="129"/>
      <c r="H98" s="125" t="s">
        <v>101</v>
      </c>
      <c r="I98" s="126"/>
      <c r="J98" s="127"/>
      <c r="K98" s="82" t="s">
        <v>189</v>
      </c>
      <c r="L98" s="4"/>
      <c r="M98" s="4"/>
      <c r="N98" s="57"/>
      <c r="O98" s="10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</row>
    <row r="99" spans="2:83" ht="44.25" customHeight="1">
      <c r="B99" s="123"/>
      <c r="C99" s="124"/>
      <c r="D99" s="33"/>
      <c r="E99" s="67"/>
      <c r="F99" s="128" t="s">
        <v>102</v>
      </c>
      <c r="G99" s="129"/>
      <c r="H99" s="125" t="s">
        <v>103</v>
      </c>
      <c r="I99" s="126"/>
      <c r="J99" s="127"/>
      <c r="K99" s="82" t="s">
        <v>190</v>
      </c>
      <c r="L99" s="4"/>
      <c r="M99" s="4"/>
      <c r="N99" s="57"/>
      <c r="O99" s="10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</row>
    <row r="100" spans="2:83" ht="44.25" customHeight="1">
      <c r="B100" s="123"/>
      <c r="C100" s="124"/>
      <c r="D100" s="33"/>
      <c r="E100" s="67"/>
      <c r="F100" s="130" t="s">
        <v>241</v>
      </c>
      <c r="G100" s="131"/>
      <c r="H100" s="125" t="s">
        <v>104</v>
      </c>
      <c r="I100" s="126"/>
      <c r="J100" s="127"/>
      <c r="K100" s="82" t="s">
        <v>191</v>
      </c>
      <c r="L100" s="4"/>
      <c r="M100" s="4"/>
      <c r="N100" s="57"/>
      <c r="O100" s="10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</row>
    <row r="101" spans="2:83" ht="36" customHeight="1">
      <c r="B101" s="123"/>
      <c r="C101" s="124"/>
      <c r="D101" s="33"/>
      <c r="E101" s="67"/>
      <c r="F101" s="130" t="s">
        <v>242</v>
      </c>
      <c r="G101" s="131"/>
      <c r="H101" s="125" t="s">
        <v>105</v>
      </c>
      <c r="I101" s="126"/>
      <c r="J101" s="127"/>
      <c r="K101" s="82" t="s">
        <v>192</v>
      </c>
      <c r="L101" s="4"/>
      <c r="M101" s="4"/>
      <c r="N101" s="57"/>
      <c r="O101" s="10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</row>
    <row r="102" spans="2:83" ht="30.75" customHeight="1">
      <c r="B102" s="123"/>
      <c r="C102" s="124"/>
      <c r="D102" s="33"/>
      <c r="E102" s="67"/>
      <c r="F102" s="128" t="s">
        <v>243</v>
      </c>
      <c r="G102" s="129"/>
      <c r="H102" s="125" t="s">
        <v>106</v>
      </c>
      <c r="I102" s="126"/>
      <c r="J102" s="127"/>
      <c r="K102" s="82" t="s">
        <v>193</v>
      </c>
      <c r="L102" s="4"/>
      <c r="M102" s="4"/>
      <c r="N102" s="57"/>
      <c r="O102" s="10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</row>
    <row r="103" spans="2:83" ht="21" customHeight="1">
      <c r="B103" s="123"/>
      <c r="C103" s="124"/>
      <c r="D103" s="33"/>
      <c r="E103" s="67"/>
      <c r="F103" s="128" t="s">
        <v>244</v>
      </c>
      <c r="G103" s="129"/>
      <c r="H103" s="125" t="s">
        <v>107</v>
      </c>
      <c r="I103" s="126"/>
      <c r="J103" s="127"/>
      <c r="K103" s="82" t="s">
        <v>194</v>
      </c>
      <c r="L103" s="4"/>
      <c r="M103" s="4"/>
      <c r="N103" s="57"/>
      <c r="O103" s="10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</row>
    <row r="104" spans="2:83" ht="21" customHeight="1">
      <c r="B104" s="123"/>
      <c r="C104" s="124"/>
      <c r="D104" s="33"/>
      <c r="E104" s="67"/>
      <c r="F104" s="128" t="s">
        <v>245</v>
      </c>
      <c r="G104" s="129"/>
      <c r="H104" s="125" t="s">
        <v>108</v>
      </c>
      <c r="I104" s="126"/>
      <c r="J104" s="127"/>
      <c r="K104" s="82" t="s">
        <v>195</v>
      </c>
      <c r="L104" s="4"/>
      <c r="M104" s="4"/>
      <c r="N104" s="57"/>
      <c r="O104" s="10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</row>
    <row r="105" spans="2:83" ht="21" customHeight="1">
      <c r="B105" s="123"/>
      <c r="C105" s="124"/>
      <c r="D105" s="33"/>
      <c r="E105" s="67"/>
      <c r="F105" s="128" t="s">
        <v>246</v>
      </c>
      <c r="G105" s="129"/>
      <c r="H105" s="125" t="s">
        <v>109</v>
      </c>
      <c r="I105" s="126"/>
      <c r="J105" s="127"/>
      <c r="K105" s="82" t="s">
        <v>196</v>
      </c>
      <c r="L105" s="4"/>
      <c r="M105" s="4"/>
      <c r="N105" s="57"/>
      <c r="O105" s="10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</row>
    <row r="106" spans="2:83" ht="30" customHeight="1" thickBot="1">
      <c r="B106" s="198"/>
      <c r="C106" s="199"/>
      <c r="D106" s="37"/>
      <c r="E106" s="70"/>
      <c r="F106" s="201" t="s">
        <v>247</v>
      </c>
      <c r="G106" s="202"/>
      <c r="H106" s="188" t="s">
        <v>110</v>
      </c>
      <c r="I106" s="189"/>
      <c r="J106" s="190"/>
      <c r="K106" s="86" t="s">
        <v>197</v>
      </c>
      <c r="L106" s="4"/>
      <c r="M106" s="4"/>
      <c r="N106" s="57"/>
      <c r="O106" s="10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</row>
    <row r="107" spans="2:83" s="4" customFormat="1" ht="20.25" customHeight="1">
      <c r="B107" s="3"/>
      <c r="C107" s="3"/>
      <c r="D107" s="28"/>
      <c r="F107" s="5"/>
      <c r="G107" s="5"/>
      <c r="H107" s="21"/>
      <c r="I107" s="21"/>
      <c r="J107" s="21"/>
      <c r="K107" s="56"/>
      <c r="N107" s="57"/>
      <c r="O107" s="104"/>
    </row>
    <row r="108" spans="2:83" s="4" customFormat="1" hidden="1">
      <c r="B108" s="3"/>
      <c r="C108" s="3"/>
      <c r="D108" s="28"/>
      <c r="F108" s="5"/>
      <c r="G108" s="5"/>
      <c r="H108" s="21"/>
      <c r="I108" s="21"/>
      <c r="J108" s="21"/>
      <c r="K108" s="56"/>
      <c r="N108" s="57"/>
      <c r="O108" s="104"/>
    </row>
    <row r="109" spans="2:83" s="4" customFormat="1" hidden="1">
      <c r="B109" s="3"/>
      <c r="C109" s="3"/>
      <c r="D109" s="28"/>
      <c r="F109" s="5"/>
      <c r="G109" s="5"/>
      <c r="H109" s="21"/>
      <c r="I109" s="21"/>
      <c r="J109" s="21"/>
      <c r="K109" s="56"/>
      <c r="N109" s="57"/>
      <c r="O109" s="104"/>
    </row>
    <row r="110" spans="2:83" s="4" customFormat="1" hidden="1">
      <c r="B110" s="3"/>
      <c r="C110" s="3"/>
      <c r="D110" s="28"/>
      <c r="F110" s="5"/>
      <c r="G110" s="5"/>
      <c r="H110" s="21"/>
      <c r="I110" s="21"/>
      <c r="J110" s="21"/>
      <c r="K110" s="56"/>
      <c r="N110" s="57"/>
      <c r="O110" s="104"/>
    </row>
    <row r="111" spans="2:83" s="4" customFormat="1" hidden="1">
      <c r="B111" s="3"/>
      <c r="C111" s="3"/>
      <c r="D111" s="28"/>
      <c r="F111" s="5"/>
      <c r="G111" s="5"/>
      <c r="H111" s="21"/>
      <c r="I111" s="21"/>
      <c r="J111" s="21"/>
      <c r="K111" s="56"/>
      <c r="N111" s="57"/>
      <c r="O111" s="104"/>
    </row>
    <row r="112" spans="2:83" s="4" customFormat="1" hidden="1">
      <c r="B112" s="3"/>
      <c r="C112" s="3"/>
      <c r="D112" s="28"/>
      <c r="F112" s="5"/>
      <c r="G112" s="5"/>
      <c r="H112" s="21"/>
      <c r="I112" s="21"/>
      <c r="J112" s="21"/>
      <c r="K112" s="56"/>
      <c r="N112" s="57"/>
      <c r="O112" s="104"/>
    </row>
    <row r="113" spans="2:15" s="4" customFormat="1" hidden="1">
      <c r="B113" s="3"/>
      <c r="C113" s="3"/>
      <c r="D113" s="28"/>
      <c r="F113" s="5"/>
      <c r="G113" s="5"/>
      <c r="H113" s="21"/>
      <c r="I113" s="21"/>
      <c r="J113" s="21"/>
      <c r="K113" s="56"/>
      <c r="N113" s="57"/>
      <c r="O113" s="104"/>
    </row>
    <row r="114" spans="2:15" s="4" customFormat="1" hidden="1">
      <c r="B114" s="3"/>
      <c r="C114" s="3"/>
      <c r="D114" s="28"/>
      <c r="F114" s="5"/>
      <c r="G114" s="5"/>
      <c r="H114" s="21"/>
      <c r="I114" s="21"/>
      <c r="J114" s="21"/>
      <c r="K114" s="56"/>
      <c r="N114" s="57"/>
      <c r="O114" s="104"/>
    </row>
    <row r="115" spans="2:15" s="4" customFormat="1" hidden="1">
      <c r="B115" s="3"/>
      <c r="C115" s="3"/>
      <c r="D115" s="28"/>
      <c r="F115" s="5"/>
      <c r="G115" s="5"/>
      <c r="H115" s="21"/>
      <c r="I115" s="21"/>
      <c r="J115" s="21"/>
      <c r="K115" s="56"/>
      <c r="N115" s="57"/>
      <c r="O115" s="104"/>
    </row>
    <row r="116" spans="2:15" s="4" customFormat="1" hidden="1">
      <c r="B116" s="3"/>
      <c r="C116" s="3"/>
      <c r="D116" s="28"/>
      <c r="F116" s="5"/>
      <c r="G116" s="5"/>
      <c r="H116" s="21"/>
      <c r="I116" s="21"/>
      <c r="J116" s="21"/>
      <c r="K116" s="56"/>
      <c r="N116" s="57"/>
      <c r="O116" s="104"/>
    </row>
    <row r="117" spans="2:15" s="4" customFormat="1" hidden="1">
      <c r="B117" s="3"/>
      <c r="C117" s="3"/>
      <c r="D117" s="28"/>
      <c r="F117" s="5"/>
      <c r="G117" s="5"/>
      <c r="H117" s="21"/>
      <c r="I117" s="21"/>
      <c r="J117" s="21"/>
      <c r="K117" s="56"/>
      <c r="N117" s="57"/>
      <c r="O117" s="104"/>
    </row>
    <row r="118" spans="2:15" s="4" customFormat="1" hidden="1">
      <c r="B118" s="3"/>
      <c r="C118" s="3"/>
      <c r="D118" s="28"/>
      <c r="F118" s="5"/>
      <c r="G118" s="5"/>
      <c r="H118" s="21"/>
      <c r="I118" s="21"/>
      <c r="J118" s="21"/>
      <c r="K118" s="56"/>
      <c r="N118" s="57"/>
      <c r="O118" s="104"/>
    </row>
    <row r="119" spans="2:15" s="4" customFormat="1" hidden="1">
      <c r="B119" s="3"/>
      <c r="C119" s="3"/>
      <c r="D119" s="28"/>
      <c r="F119" s="5"/>
      <c r="G119" s="5"/>
      <c r="H119" s="21"/>
      <c r="I119" s="21"/>
      <c r="J119" s="21"/>
      <c r="K119" s="56"/>
      <c r="N119" s="57"/>
      <c r="O119" s="104"/>
    </row>
    <row r="120" spans="2:15" s="4" customFormat="1" hidden="1">
      <c r="B120" s="3"/>
      <c r="C120" s="3"/>
      <c r="D120" s="28"/>
      <c r="F120" s="5"/>
      <c r="G120" s="5"/>
      <c r="H120" s="21"/>
      <c r="I120" s="21"/>
      <c r="J120" s="21"/>
      <c r="K120" s="56"/>
      <c r="N120" s="57"/>
      <c r="O120" s="104"/>
    </row>
    <row r="121" spans="2:15" s="4" customFormat="1" hidden="1">
      <c r="B121" s="3"/>
      <c r="C121" s="3"/>
      <c r="D121" s="28"/>
      <c r="F121" s="5"/>
      <c r="G121" s="5"/>
      <c r="H121" s="21"/>
      <c r="I121" s="21"/>
      <c r="J121" s="21"/>
      <c r="K121" s="56"/>
      <c r="N121" s="57"/>
      <c r="O121" s="104"/>
    </row>
    <row r="122" spans="2:15" s="4" customFormat="1" hidden="1">
      <c r="B122" s="3"/>
      <c r="C122" s="3"/>
      <c r="D122" s="28"/>
      <c r="F122" s="5"/>
      <c r="G122" s="5"/>
      <c r="H122" s="21"/>
      <c r="I122" s="21"/>
      <c r="J122" s="21"/>
      <c r="K122" s="56"/>
      <c r="N122" s="57"/>
      <c r="O122" s="104"/>
    </row>
    <row r="123" spans="2:15" s="4" customFormat="1" hidden="1">
      <c r="B123" s="3"/>
      <c r="C123" s="3"/>
      <c r="D123" s="28"/>
      <c r="F123" s="5"/>
      <c r="G123" s="5"/>
      <c r="H123" s="21"/>
      <c r="I123" s="21"/>
      <c r="J123" s="21"/>
      <c r="K123" s="56"/>
      <c r="N123" s="57"/>
      <c r="O123" s="104"/>
    </row>
    <row r="124" spans="2:15" s="4" customFormat="1" hidden="1">
      <c r="B124" s="3"/>
      <c r="C124" s="3"/>
      <c r="D124" s="28"/>
      <c r="F124" s="5"/>
      <c r="G124" s="5"/>
      <c r="H124" s="21"/>
      <c r="I124" s="21"/>
      <c r="J124" s="21"/>
      <c r="K124" s="56"/>
      <c r="N124" s="57"/>
      <c r="O124" s="104"/>
    </row>
    <row r="125" spans="2:15" s="4" customFormat="1" hidden="1">
      <c r="B125" s="3"/>
      <c r="C125" s="3"/>
      <c r="D125" s="28"/>
      <c r="F125" s="5"/>
      <c r="G125" s="5"/>
      <c r="H125" s="21"/>
      <c r="I125" s="21"/>
      <c r="J125" s="21"/>
      <c r="K125" s="56"/>
      <c r="N125" s="57"/>
      <c r="O125" s="104"/>
    </row>
    <row r="126" spans="2:15" s="4" customFormat="1" hidden="1">
      <c r="B126" s="3"/>
      <c r="C126" s="3"/>
      <c r="D126" s="28"/>
      <c r="F126" s="5"/>
      <c r="G126" s="5"/>
      <c r="H126" s="21"/>
      <c r="I126" s="21"/>
      <c r="J126" s="21"/>
      <c r="K126" s="56"/>
      <c r="N126" s="57"/>
      <c r="O126" s="104"/>
    </row>
    <row r="127" spans="2:15" s="4" customFormat="1" hidden="1">
      <c r="B127" s="3"/>
      <c r="C127" s="3"/>
      <c r="D127" s="28"/>
      <c r="F127" s="5"/>
      <c r="G127" s="5"/>
      <c r="H127" s="21"/>
      <c r="I127" s="21"/>
      <c r="J127" s="21"/>
      <c r="K127" s="56"/>
      <c r="N127" s="57"/>
      <c r="O127" s="104"/>
    </row>
    <row r="128" spans="2:15" s="4" customFormat="1" hidden="1">
      <c r="B128" s="3"/>
      <c r="C128" s="3"/>
      <c r="D128" s="28"/>
      <c r="F128" s="5"/>
      <c r="G128" s="5"/>
      <c r="H128" s="21"/>
      <c r="I128" s="21"/>
      <c r="J128" s="21"/>
      <c r="K128" s="56"/>
      <c r="N128" s="57"/>
      <c r="O128" s="104"/>
    </row>
    <row r="129" spans="2:15" s="4" customFormat="1" hidden="1">
      <c r="B129" s="3"/>
      <c r="C129" s="3"/>
      <c r="D129" s="28"/>
      <c r="F129" s="5"/>
      <c r="G129" s="5"/>
      <c r="H129" s="21"/>
      <c r="I129" s="21"/>
      <c r="J129" s="21"/>
      <c r="K129" s="56"/>
      <c r="N129" s="57"/>
      <c r="O129" s="104"/>
    </row>
    <row r="130" spans="2:15" s="4" customFormat="1" hidden="1">
      <c r="B130" s="3"/>
      <c r="C130" s="3"/>
      <c r="D130" s="28"/>
      <c r="F130" s="5"/>
      <c r="G130" s="5"/>
      <c r="H130" s="21"/>
      <c r="I130" s="21"/>
      <c r="J130" s="21"/>
      <c r="K130" s="56"/>
      <c r="N130" s="57"/>
      <c r="O130" s="104"/>
    </row>
    <row r="131" spans="2:15" s="4" customFormat="1" hidden="1">
      <c r="B131" s="3"/>
      <c r="C131" s="3"/>
      <c r="D131" s="28"/>
      <c r="F131" s="5"/>
      <c r="G131" s="5"/>
      <c r="H131" s="21"/>
      <c r="I131" s="21"/>
      <c r="J131" s="21"/>
      <c r="K131" s="56"/>
      <c r="N131" s="57"/>
      <c r="O131" s="104"/>
    </row>
    <row r="132" spans="2:15" s="4" customFormat="1" hidden="1">
      <c r="B132" s="3"/>
      <c r="C132" s="3"/>
      <c r="D132" s="28"/>
      <c r="F132" s="5"/>
      <c r="G132" s="5"/>
      <c r="H132" s="21"/>
      <c r="I132" s="21"/>
      <c r="J132" s="21"/>
      <c r="K132" s="56"/>
      <c r="N132" s="57"/>
      <c r="O132" s="104"/>
    </row>
    <row r="133" spans="2:15" s="4" customFormat="1" hidden="1">
      <c r="B133" s="3"/>
      <c r="C133" s="3"/>
      <c r="D133" s="28"/>
      <c r="F133" s="5"/>
      <c r="G133" s="5"/>
      <c r="H133" s="21"/>
      <c r="I133" s="21"/>
      <c r="J133" s="21"/>
      <c r="K133" s="56"/>
      <c r="N133" s="57"/>
      <c r="O133" s="104"/>
    </row>
    <row r="134" spans="2:15" s="4" customFormat="1" hidden="1">
      <c r="B134" s="3"/>
      <c r="C134" s="3"/>
      <c r="D134" s="28"/>
      <c r="F134" s="5"/>
      <c r="G134" s="5"/>
      <c r="H134" s="21"/>
      <c r="I134" s="21"/>
      <c r="J134" s="21"/>
      <c r="K134" s="56"/>
      <c r="N134" s="57"/>
      <c r="O134" s="104"/>
    </row>
    <row r="135" spans="2:15" s="4" customFormat="1" hidden="1">
      <c r="B135" s="3"/>
      <c r="C135" s="3"/>
      <c r="D135" s="28"/>
      <c r="F135" s="5"/>
      <c r="G135" s="5"/>
      <c r="H135" s="21"/>
      <c r="I135" s="21"/>
      <c r="J135" s="21"/>
      <c r="K135" s="56"/>
      <c r="N135" s="57"/>
      <c r="O135" s="104"/>
    </row>
    <row r="136" spans="2:15" s="4" customFormat="1" hidden="1">
      <c r="B136" s="3"/>
      <c r="C136" s="3"/>
      <c r="D136" s="28"/>
      <c r="F136" s="5"/>
      <c r="G136" s="5"/>
      <c r="H136" s="21"/>
      <c r="I136" s="21"/>
      <c r="J136" s="21"/>
      <c r="K136" s="56"/>
      <c r="N136" s="57"/>
      <c r="O136" s="104"/>
    </row>
    <row r="137" spans="2:15" s="4" customFormat="1" hidden="1">
      <c r="B137" s="3"/>
      <c r="C137" s="3"/>
      <c r="D137" s="28"/>
      <c r="F137" s="5"/>
      <c r="G137" s="5"/>
      <c r="H137" s="21"/>
      <c r="I137" s="21"/>
      <c r="J137" s="21"/>
      <c r="K137" s="56"/>
      <c r="N137" s="57"/>
      <c r="O137" s="104"/>
    </row>
    <row r="138" spans="2:15" s="4" customFormat="1" hidden="1">
      <c r="B138" s="3"/>
      <c r="C138" s="3"/>
      <c r="D138" s="28"/>
      <c r="F138" s="5"/>
      <c r="G138" s="5"/>
      <c r="H138" s="21"/>
      <c r="I138" s="21"/>
      <c r="J138" s="21"/>
      <c r="K138" s="56"/>
      <c r="N138" s="57"/>
      <c r="O138" s="104"/>
    </row>
    <row r="139" spans="2:15" s="4" customFormat="1" hidden="1">
      <c r="B139" s="3"/>
      <c r="C139" s="3"/>
      <c r="D139" s="28"/>
      <c r="F139" s="5"/>
      <c r="G139" s="5"/>
      <c r="H139" s="21"/>
      <c r="I139" s="21"/>
      <c r="J139" s="21"/>
      <c r="K139" s="56"/>
      <c r="N139" s="57"/>
      <c r="O139" s="104"/>
    </row>
    <row r="140" spans="2:15" s="4" customFormat="1" hidden="1">
      <c r="B140" s="3"/>
      <c r="C140" s="3"/>
      <c r="D140" s="28"/>
      <c r="F140" s="5"/>
      <c r="G140" s="5"/>
      <c r="H140" s="21"/>
      <c r="I140" s="21"/>
      <c r="J140" s="21"/>
      <c r="K140" s="56"/>
      <c r="N140" s="57"/>
      <c r="O140" s="104"/>
    </row>
    <row r="141" spans="2:15" s="4" customFormat="1" hidden="1">
      <c r="B141" s="3"/>
      <c r="C141" s="3"/>
      <c r="D141" s="28"/>
      <c r="F141" s="5"/>
      <c r="G141" s="5"/>
      <c r="H141" s="21"/>
      <c r="I141" s="21"/>
      <c r="J141" s="21"/>
      <c r="K141" s="56"/>
      <c r="N141" s="57"/>
      <c r="O141" s="104"/>
    </row>
    <row r="142" spans="2:15" s="4" customFormat="1" hidden="1">
      <c r="B142" s="3"/>
      <c r="C142" s="3"/>
      <c r="D142" s="28"/>
      <c r="F142" s="5"/>
      <c r="G142" s="5"/>
      <c r="H142" s="21"/>
      <c r="I142" s="21"/>
      <c r="J142" s="21"/>
      <c r="K142" s="56"/>
      <c r="N142" s="57"/>
      <c r="O142" s="104"/>
    </row>
    <row r="143" spans="2:15" s="4" customFormat="1" hidden="1">
      <c r="B143" s="3"/>
      <c r="C143" s="3"/>
      <c r="D143" s="28"/>
      <c r="F143" s="5"/>
      <c r="G143" s="5"/>
      <c r="H143" s="21"/>
      <c r="I143" s="21"/>
      <c r="J143" s="21"/>
      <c r="K143" s="56"/>
      <c r="N143" s="57"/>
      <c r="O143" s="104"/>
    </row>
    <row r="144" spans="2:15" s="4" customFormat="1" hidden="1">
      <c r="B144" s="3"/>
      <c r="C144" s="3"/>
      <c r="D144" s="28"/>
      <c r="F144" s="5"/>
      <c r="G144" s="5"/>
      <c r="H144" s="21"/>
      <c r="I144" s="21"/>
      <c r="J144" s="21"/>
      <c r="K144" s="56"/>
      <c r="N144" s="57"/>
      <c r="O144" s="104"/>
    </row>
    <row r="145" spans="2:15" s="4" customFormat="1" hidden="1">
      <c r="B145" s="3"/>
      <c r="C145" s="3"/>
      <c r="D145" s="28"/>
      <c r="F145" s="5"/>
      <c r="G145" s="5"/>
      <c r="H145" s="21"/>
      <c r="I145" s="21"/>
      <c r="J145" s="21"/>
      <c r="K145" s="56"/>
      <c r="N145" s="57"/>
      <c r="O145" s="104"/>
    </row>
    <row r="146" spans="2:15" s="4" customFormat="1" hidden="1">
      <c r="B146" s="3"/>
      <c r="C146" s="3"/>
      <c r="D146" s="28"/>
      <c r="F146" s="5"/>
      <c r="G146" s="5"/>
      <c r="H146" s="21"/>
      <c r="I146" s="21"/>
      <c r="J146" s="21"/>
      <c r="K146" s="56"/>
      <c r="N146" s="57"/>
      <c r="O146" s="104"/>
    </row>
    <row r="147" spans="2:15" s="4" customFormat="1" hidden="1">
      <c r="B147" s="3"/>
      <c r="C147" s="3"/>
      <c r="D147" s="28"/>
      <c r="F147" s="5"/>
      <c r="G147" s="5"/>
      <c r="H147" s="21"/>
      <c r="I147" s="21"/>
      <c r="J147" s="21"/>
      <c r="K147" s="56"/>
      <c r="N147" s="57"/>
      <c r="O147" s="104"/>
    </row>
    <row r="148" spans="2:15" s="4" customFormat="1" hidden="1">
      <c r="B148" s="3"/>
      <c r="C148" s="3"/>
      <c r="D148" s="28"/>
      <c r="F148" s="5"/>
      <c r="G148" s="5"/>
      <c r="H148" s="21"/>
      <c r="I148" s="21"/>
      <c r="J148" s="21"/>
      <c r="K148" s="56"/>
      <c r="N148" s="57"/>
      <c r="O148" s="104"/>
    </row>
    <row r="149" spans="2:15" s="4" customFormat="1" hidden="1">
      <c r="B149" s="3"/>
      <c r="C149" s="3"/>
      <c r="D149" s="28"/>
      <c r="F149" s="5"/>
      <c r="G149" s="5"/>
      <c r="H149" s="21"/>
      <c r="I149" s="21"/>
      <c r="J149" s="21"/>
      <c r="K149" s="56"/>
      <c r="N149" s="57"/>
      <c r="O149" s="104"/>
    </row>
    <row r="150" spans="2:15" s="4" customFormat="1" hidden="1">
      <c r="B150" s="3"/>
      <c r="C150" s="3"/>
      <c r="D150" s="28"/>
      <c r="F150" s="5"/>
      <c r="G150" s="5"/>
      <c r="H150" s="21"/>
      <c r="I150" s="21"/>
      <c r="J150" s="21"/>
      <c r="K150" s="56"/>
      <c r="N150" s="57"/>
      <c r="O150" s="104"/>
    </row>
    <row r="151" spans="2:15" s="4" customFormat="1" hidden="1">
      <c r="B151" s="3"/>
      <c r="C151" s="3"/>
      <c r="D151" s="28"/>
      <c r="F151" s="5"/>
      <c r="G151" s="5"/>
      <c r="H151" s="21"/>
      <c r="I151" s="21"/>
      <c r="J151" s="21"/>
      <c r="K151" s="56"/>
      <c r="N151" s="57"/>
      <c r="O151" s="104"/>
    </row>
    <row r="152" spans="2:15" s="4" customFormat="1" hidden="1">
      <c r="B152" s="3"/>
      <c r="C152" s="3"/>
      <c r="D152" s="28"/>
      <c r="F152" s="5"/>
      <c r="G152" s="5"/>
      <c r="H152" s="21"/>
      <c r="I152" s="21"/>
      <c r="J152" s="21"/>
      <c r="K152" s="56"/>
      <c r="N152" s="57"/>
      <c r="O152" s="104"/>
    </row>
    <row r="153" spans="2:15" s="4" customFormat="1" hidden="1">
      <c r="B153" s="3"/>
      <c r="C153" s="3"/>
      <c r="D153" s="28"/>
      <c r="F153" s="5"/>
      <c r="G153" s="5"/>
      <c r="H153" s="21"/>
      <c r="I153" s="21"/>
      <c r="J153" s="21"/>
      <c r="K153" s="56"/>
      <c r="N153" s="57"/>
      <c r="O153" s="104"/>
    </row>
    <row r="154" spans="2:15" s="4" customFormat="1" hidden="1">
      <c r="B154" s="3"/>
      <c r="C154" s="3"/>
      <c r="D154" s="28"/>
      <c r="F154" s="5"/>
      <c r="G154" s="5"/>
      <c r="H154" s="21"/>
      <c r="I154" s="21"/>
      <c r="J154" s="21"/>
      <c r="K154" s="56"/>
      <c r="N154" s="57"/>
      <c r="O154" s="104"/>
    </row>
    <row r="155" spans="2:15" s="4" customFormat="1" hidden="1">
      <c r="B155" s="3"/>
      <c r="C155" s="3"/>
      <c r="D155" s="28"/>
      <c r="F155" s="5"/>
      <c r="G155" s="5"/>
      <c r="H155" s="21"/>
      <c r="I155" s="21"/>
      <c r="J155" s="21"/>
      <c r="K155" s="56"/>
      <c r="N155" s="57"/>
      <c r="O155" s="104"/>
    </row>
    <row r="156" spans="2:15" s="4" customFormat="1" hidden="1">
      <c r="B156" s="3"/>
      <c r="C156" s="3"/>
      <c r="D156" s="28"/>
      <c r="F156" s="5"/>
      <c r="G156" s="5"/>
      <c r="H156" s="21"/>
      <c r="I156" s="21"/>
      <c r="J156" s="21"/>
      <c r="K156" s="56"/>
      <c r="N156" s="57"/>
      <c r="O156" s="104"/>
    </row>
    <row r="157" spans="2:15" s="4" customFormat="1" hidden="1">
      <c r="B157" s="3"/>
      <c r="C157" s="3"/>
      <c r="D157" s="28"/>
      <c r="F157" s="5"/>
      <c r="G157" s="5"/>
      <c r="H157" s="21"/>
      <c r="I157" s="21"/>
      <c r="J157" s="21"/>
      <c r="K157" s="56"/>
      <c r="N157" s="57"/>
      <c r="O157" s="104"/>
    </row>
    <row r="158" spans="2:15" s="4" customFormat="1" hidden="1">
      <c r="B158" s="3"/>
      <c r="C158" s="3"/>
      <c r="D158" s="28"/>
      <c r="F158" s="5"/>
      <c r="G158" s="5"/>
      <c r="H158" s="21"/>
      <c r="I158" s="21"/>
      <c r="J158" s="21"/>
      <c r="K158" s="56"/>
      <c r="N158" s="57"/>
      <c r="O158" s="104"/>
    </row>
    <row r="159" spans="2:15" s="4" customFormat="1" hidden="1">
      <c r="B159" s="3"/>
      <c r="C159" s="3"/>
      <c r="D159" s="28"/>
      <c r="F159" s="5"/>
      <c r="G159" s="5"/>
      <c r="H159" s="21"/>
      <c r="I159" s="21"/>
      <c r="J159" s="21"/>
      <c r="K159" s="56"/>
      <c r="N159" s="57"/>
      <c r="O159" s="104"/>
    </row>
    <row r="160" spans="2:15" s="4" customFormat="1" hidden="1">
      <c r="B160" s="3"/>
      <c r="C160" s="3"/>
      <c r="D160" s="28"/>
      <c r="F160" s="5"/>
      <c r="G160" s="5"/>
      <c r="H160" s="21"/>
      <c r="I160" s="21"/>
      <c r="J160" s="21"/>
      <c r="K160" s="56"/>
      <c r="N160" s="57"/>
      <c r="O160" s="104"/>
    </row>
    <row r="161" spans="2:15" s="4" customFormat="1" hidden="1">
      <c r="B161" s="3"/>
      <c r="C161" s="3"/>
      <c r="D161" s="28"/>
      <c r="F161" s="5"/>
      <c r="G161" s="5"/>
      <c r="H161" s="21"/>
      <c r="I161" s="21"/>
      <c r="J161" s="21"/>
      <c r="K161" s="56"/>
      <c r="N161" s="57"/>
      <c r="O161" s="104"/>
    </row>
    <row r="162" spans="2:15" s="4" customFormat="1" hidden="1">
      <c r="B162" s="3"/>
      <c r="C162" s="3"/>
      <c r="D162" s="28"/>
      <c r="F162" s="5"/>
      <c r="G162" s="5"/>
      <c r="H162" s="21"/>
      <c r="I162" s="21"/>
      <c r="J162" s="21"/>
      <c r="K162" s="56"/>
      <c r="N162" s="57"/>
      <c r="O162" s="104"/>
    </row>
    <row r="163" spans="2:15" s="4" customFormat="1" hidden="1">
      <c r="B163" s="3"/>
      <c r="C163" s="3"/>
      <c r="D163" s="28"/>
      <c r="F163" s="5"/>
      <c r="G163" s="5"/>
      <c r="H163" s="21"/>
      <c r="I163" s="21"/>
      <c r="J163" s="21"/>
      <c r="K163" s="56"/>
      <c r="N163" s="57"/>
      <c r="O163" s="104"/>
    </row>
    <row r="164" spans="2:15" s="4" customFormat="1" hidden="1">
      <c r="B164" s="3"/>
      <c r="C164" s="3"/>
      <c r="D164" s="28"/>
      <c r="F164" s="5"/>
      <c r="G164" s="5"/>
      <c r="H164" s="21"/>
      <c r="I164" s="21"/>
      <c r="J164" s="21"/>
      <c r="K164" s="56"/>
      <c r="N164" s="57"/>
      <c r="O164" s="104"/>
    </row>
    <row r="165" spans="2:15" s="4" customFormat="1" hidden="1">
      <c r="B165" s="3"/>
      <c r="C165" s="3"/>
      <c r="D165" s="28"/>
      <c r="F165" s="5"/>
      <c r="G165" s="5"/>
      <c r="H165" s="21"/>
      <c r="I165" s="21"/>
      <c r="J165" s="21"/>
      <c r="K165" s="56"/>
      <c r="N165" s="57"/>
      <c r="O165" s="104"/>
    </row>
    <row r="166" spans="2:15" s="4" customFormat="1" hidden="1">
      <c r="B166" s="3"/>
      <c r="C166" s="3"/>
      <c r="D166" s="28"/>
      <c r="F166" s="5"/>
      <c r="G166" s="5"/>
      <c r="H166" s="21"/>
      <c r="I166" s="21"/>
      <c r="J166" s="21"/>
      <c r="K166" s="56"/>
      <c r="N166" s="57"/>
      <c r="O166" s="104"/>
    </row>
    <row r="167" spans="2:15" s="4" customFormat="1" hidden="1">
      <c r="B167" s="3"/>
      <c r="C167" s="3"/>
      <c r="D167" s="28"/>
      <c r="F167" s="5"/>
      <c r="G167" s="5"/>
      <c r="H167" s="21"/>
      <c r="I167" s="21"/>
      <c r="J167" s="21"/>
      <c r="K167" s="56"/>
      <c r="N167" s="57"/>
      <c r="O167" s="104"/>
    </row>
    <row r="168" spans="2:15" s="4" customFormat="1" hidden="1">
      <c r="B168" s="3"/>
      <c r="C168" s="3"/>
      <c r="D168" s="28"/>
      <c r="F168" s="5"/>
      <c r="G168" s="5"/>
      <c r="H168" s="21"/>
      <c r="I168" s="21"/>
      <c r="J168" s="21"/>
      <c r="K168" s="56"/>
      <c r="N168" s="57"/>
      <c r="O168" s="104"/>
    </row>
    <row r="170" spans="2:15" s="4" customFormat="1" hidden="1">
      <c r="B170" s="3"/>
      <c r="C170" s="3"/>
      <c r="D170" s="28"/>
      <c r="F170" s="5"/>
      <c r="G170" s="5"/>
      <c r="H170" s="21"/>
      <c r="I170" s="21"/>
      <c r="J170" s="21"/>
      <c r="K170" s="56"/>
      <c r="N170" s="57"/>
      <c r="O170" s="104"/>
    </row>
    <row r="171" spans="2:15" s="4" customFormat="1" hidden="1">
      <c r="B171" s="3"/>
      <c r="C171" s="3"/>
      <c r="D171" s="28"/>
      <c r="F171" s="5"/>
      <c r="G171" s="5"/>
      <c r="H171" s="21"/>
      <c r="I171" s="21"/>
      <c r="J171" s="21"/>
      <c r="K171" s="56"/>
      <c r="N171" s="57"/>
      <c r="O171" s="104"/>
    </row>
    <row r="172" spans="2:15" s="4" customFormat="1" hidden="1">
      <c r="B172" s="3"/>
      <c r="C172" s="3"/>
      <c r="D172" s="28"/>
      <c r="F172" s="5"/>
      <c r="G172" s="5"/>
      <c r="H172" s="21"/>
      <c r="I172" s="21"/>
      <c r="J172" s="21"/>
      <c r="K172" s="56"/>
      <c r="N172" s="57"/>
      <c r="O172" s="104"/>
    </row>
    <row r="173" spans="2:15" s="4" customFormat="1" hidden="1">
      <c r="B173" s="3"/>
      <c r="C173" s="3"/>
      <c r="D173" s="28"/>
      <c r="F173" s="5"/>
      <c r="G173" s="5"/>
      <c r="H173" s="21"/>
      <c r="I173" s="21"/>
      <c r="J173" s="21"/>
      <c r="K173" s="56"/>
      <c r="N173" s="57"/>
      <c r="O173" s="104"/>
    </row>
    <row r="174" spans="2:15" s="4" customFormat="1" hidden="1">
      <c r="B174" s="3"/>
      <c r="C174" s="3"/>
      <c r="D174" s="28"/>
      <c r="F174" s="5"/>
      <c r="G174" s="5"/>
      <c r="H174" s="21"/>
      <c r="I174" s="21"/>
      <c r="J174" s="21"/>
      <c r="K174" s="56"/>
      <c r="N174" s="57"/>
      <c r="O174" s="104"/>
    </row>
    <row r="175" spans="2:15" s="4" customFormat="1" hidden="1">
      <c r="B175" s="3"/>
      <c r="C175" s="3"/>
      <c r="D175" s="28"/>
      <c r="F175" s="5"/>
      <c r="G175" s="5"/>
      <c r="H175" s="21"/>
      <c r="I175" s="21"/>
      <c r="J175" s="21"/>
      <c r="K175" s="56"/>
      <c r="N175" s="57"/>
      <c r="O175" s="104"/>
    </row>
    <row r="176" spans="2:15" s="4" customFormat="1" hidden="1">
      <c r="B176" s="3"/>
      <c r="C176" s="3"/>
      <c r="D176" s="28"/>
      <c r="F176" s="5"/>
      <c r="G176" s="5"/>
      <c r="H176" s="21"/>
      <c r="I176" s="21"/>
      <c r="J176" s="21"/>
      <c r="K176" s="56"/>
      <c r="N176" s="57"/>
      <c r="O176" s="104"/>
    </row>
    <row r="177" spans="2:15" s="4" customFormat="1" hidden="1">
      <c r="B177" s="3"/>
      <c r="C177" s="3"/>
      <c r="D177" s="28"/>
      <c r="F177" s="5"/>
      <c r="G177" s="5"/>
      <c r="H177" s="21"/>
      <c r="I177" s="21"/>
      <c r="J177" s="21"/>
      <c r="K177" s="56"/>
      <c r="N177" s="57"/>
      <c r="O177" s="104"/>
    </row>
    <row r="178" spans="2:15" s="4" customFormat="1" hidden="1">
      <c r="B178" s="3"/>
      <c r="C178" s="3"/>
      <c r="D178" s="28"/>
      <c r="F178" s="5"/>
      <c r="G178" s="5"/>
      <c r="H178" s="21"/>
      <c r="I178" s="21"/>
      <c r="J178" s="21"/>
      <c r="K178" s="56"/>
      <c r="N178" s="57"/>
      <c r="O178" s="104"/>
    </row>
    <row r="179" spans="2:15" s="4" customFormat="1" hidden="1">
      <c r="B179" s="3"/>
      <c r="C179" s="3"/>
      <c r="D179" s="28"/>
      <c r="F179" s="5"/>
      <c r="G179" s="5"/>
      <c r="H179" s="21"/>
      <c r="I179" s="21"/>
      <c r="J179" s="21"/>
      <c r="K179" s="56"/>
      <c r="N179" s="57"/>
      <c r="O179" s="104"/>
    </row>
    <row r="180" spans="2:15" s="4" customFormat="1" hidden="1">
      <c r="B180" s="3"/>
      <c r="C180" s="3"/>
      <c r="D180" s="28"/>
      <c r="F180" s="5"/>
      <c r="G180" s="5"/>
      <c r="H180" s="21"/>
      <c r="I180" s="21"/>
      <c r="J180" s="21"/>
      <c r="K180" s="56"/>
      <c r="N180" s="57"/>
      <c r="O180" s="104"/>
    </row>
    <row r="181" spans="2:15" s="4" customFormat="1" hidden="1">
      <c r="B181" s="3"/>
      <c r="C181" s="3"/>
      <c r="D181" s="28"/>
      <c r="F181" s="5"/>
      <c r="G181" s="5"/>
      <c r="H181" s="21"/>
      <c r="I181" s="21"/>
      <c r="J181" s="21"/>
      <c r="K181" s="56"/>
      <c r="N181" s="57"/>
      <c r="O181" s="104"/>
    </row>
    <row r="182" spans="2:15" s="4" customFormat="1" hidden="1">
      <c r="B182" s="3"/>
      <c r="C182" s="3"/>
      <c r="D182" s="28"/>
      <c r="F182" s="5"/>
      <c r="G182" s="5"/>
      <c r="H182" s="21"/>
      <c r="I182" s="21"/>
      <c r="J182" s="21"/>
      <c r="K182" s="56"/>
      <c r="N182" s="57"/>
      <c r="O182" s="104"/>
    </row>
    <row r="183" spans="2:15" s="4" customFormat="1" hidden="1">
      <c r="B183" s="3"/>
      <c r="C183" s="3"/>
      <c r="D183" s="28"/>
      <c r="F183" s="5"/>
      <c r="G183" s="5"/>
      <c r="H183" s="21"/>
      <c r="I183" s="21"/>
      <c r="J183" s="21"/>
      <c r="K183" s="56"/>
      <c r="N183" s="57"/>
      <c r="O183" s="104"/>
    </row>
    <row r="184" spans="2:15" s="4" customFormat="1" hidden="1">
      <c r="B184" s="3"/>
      <c r="C184" s="3"/>
      <c r="D184" s="28"/>
      <c r="F184" s="5"/>
      <c r="G184" s="5"/>
      <c r="H184" s="21"/>
      <c r="I184" s="21"/>
      <c r="J184" s="21"/>
      <c r="K184" s="56"/>
      <c r="N184" s="57"/>
      <c r="O184" s="104"/>
    </row>
    <row r="185" spans="2:15" s="4" customFormat="1" hidden="1">
      <c r="B185" s="3"/>
      <c r="C185" s="3"/>
      <c r="D185" s="28"/>
      <c r="F185" s="5"/>
      <c r="G185" s="5"/>
      <c r="H185" s="21"/>
      <c r="I185" s="21"/>
      <c r="J185" s="21"/>
      <c r="K185" s="56"/>
      <c r="N185" s="57"/>
      <c r="O185" s="104"/>
    </row>
    <row r="186" spans="2:15" s="4" customFormat="1" hidden="1">
      <c r="B186" s="3"/>
      <c r="C186" s="3"/>
      <c r="D186" s="28"/>
      <c r="F186" s="5"/>
      <c r="G186" s="5"/>
      <c r="H186" s="21"/>
      <c r="I186" s="21"/>
      <c r="J186" s="21"/>
      <c r="K186" s="56"/>
      <c r="N186" s="57"/>
      <c r="O186" s="104"/>
    </row>
    <row r="187" spans="2:15" s="4" customFormat="1" hidden="1">
      <c r="B187" s="3"/>
      <c r="C187" s="3"/>
      <c r="D187" s="28"/>
      <c r="F187" s="5"/>
      <c r="G187" s="5"/>
      <c r="H187" s="21"/>
      <c r="I187" s="21"/>
      <c r="J187" s="21"/>
      <c r="K187" s="56"/>
      <c r="N187" s="57"/>
      <c r="O187" s="104"/>
    </row>
    <row r="188" spans="2:15" s="4" customFormat="1" hidden="1">
      <c r="B188" s="3"/>
      <c r="C188" s="3"/>
      <c r="D188" s="28"/>
      <c r="F188" s="5"/>
      <c r="G188" s="5"/>
      <c r="H188" s="21"/>
      <c r="I188" s="21"/>
      <c r="J188" s="21"/>
      <c r="K188" s="56"/>
      <c r="N188" s="57"/>
      <c r="O188" s="104"/>
    </row>
    <row r="189" spans="2:15"/>
    <row r="190" spans="2:15"/>
    <row r="191" spans="2:15"/>
    <row r="192" spans="2:15"/>
    <row r="215" spans="13:13" hidden="1">
      <c r="M215" s="1" t="b">
        <v>0</v>
      </c>
    </row>
  </sheetData>
  <mergeCells count="200">
    <mergeCell ref="F75:G75"/>
    <mergeCell ref="F59:G59"/>
    <mergeCell ref="B58:C58"/>
    <mergeCell ref="F48:G48"/>
    <mergeCell ref="B48:C48"/>
    <mergeCell ref="H48:J48"/>
    <mergeCell ref="F63:G63"/>
    <mergeCell ref="F50:G50"/>
    <mergeCell ref="H50:J50"/>
    <mergeCell ref="B50:C50"/>
    <mergeCell ref="B59:C59"/>
    <mergeCell ref="B53:C53"/>
    <mergeCell ref="F53:G53"/>
    <mergeCell ref="H53:J53"/>
    <mergeCell ref="B51:C51"/>
    <mergeCell ref="F49:G49"/>
    <mergeCell ref="B49:C49"/>
    <mergeCell ref="H56:J56"/>
    <mergeCell ref="H57:J57"/>
    <mergeCell ref="H58:J58"/>
    <mergeCell ref="F51:G51"/>
    <mergeCell ref="H51:J51"/>
    <mergeCell ref="H60:J60"/>
    <mergeCell ref="F52:G52"/>
    <mergeCell ref="H86:J86"/>
    <mergeCell ref="F85:G85"/>
    <mergeCell ref="F72:G72"/>
    <mergeCell ref="F71:G71"/>
    <mergeCell ref="B86:C86"/>
    <mergeCell ref="B52:C52"/>
    <mergeCell ref="B74:C74"/>
    <mergeCell ref="B75:C75"/>
    <mergeCell ref="B73:C73"/>
    <mergeCell ref="B85:C85"/>
    <mergeCell ref="B71:C71"/>
    <mergeCell ref="B64:C64"/>
    <mergeCell ref="B65:C65"/>
    <mergeCell ref="B72:C72"/>
    <mergeCell ref="F74:G74"/>
    <mergeCell ref="F56:G56"/>
    <mergeCell ref="F62:G62"/>
    <mergeCell ref="F65:G65"/>
    <mergeCell ref="F64:G64"/>
    <mergeCell ref="B66:C66"/>
    <mergeCell ref="B67:C67"/>
    <mergeCell ref="F66:G66"/>
    <mergeCell ref="H54:J54"/>
    <mergeCell ref="H55:J55"/>
    <mergeCell ref="B46:C46"/>
    <mergeCell ref="B55:C55"/>
    <mergeCell ref="F47:G47"/>
    <mergeCell ref="H47:J47"/>
    <mergeCell ref="F102:G102"/>
    <mergeCell ref="F103:G103"/>
    <mergeCell ref="F104:G104"/>
    <mergeCell ref="H81:J81"/>
    <mergeCell ref="H82:J82"/>
    <mergeCell ref="H83:J83"/>
    <mergeCell ref="H84:J84"/>
    <mergeCell ref="H87:J87"/>
    <mergeCell ref="H88:J88"/>
    <mergeCell ref="F100:G100"/>
    <mergeCell ref="F88:G88"/>
    <mergeCell ref="F89:G89"/>
    <mergeCell ref="F90:G90"/>
    <mergeCell ref="F91:G91"/>
    <mergeCell ref="F81:G81"/>
    <mergeCell ref="F82:G82"/>
    <mergeCell ref="F83:G83"/>
    <mergeCell ref="F84:G84"/>
    <mergeCell ref="H46:J46"/>
    <mergeCell ref="B42:C42"/>
    <mergeCell ref="F42:G42"/>
    <mergeCell ref="H42:J42"/>
    <mergeCell ref="F40:G40"/>
    <mergeCell ref="H49:J49"/>
    <mergeCell ref="B43:C43"/>
    <mergeCell ref="F43:G43"/>
    <mergeCell ref="H43:J43"/>
    <mergeCell ref="B106:C106"/>
    <mergeCell ref="F73:G73"/>
    <mergeCell ref="F78:G78"/>
    <mergeCell ref="F106:G106"/>
    <mergeCell ref="B101:C101"/>
    <mergeCell ref="F101:G101"/>
    <mergeCell ref="B105:C105"/>
    <mergeCell ref="B104:C104"/>
    <mergeCell ref="B103:C103"/>
    <mergeCell ref="B102:C102"/>
    <mergeCell ref="B81:C81"/>
    <mergeCell ref="B82:C82"/>
    <mergeCell ref="B83:C83"/>
    <mergeCell ref="B84:C84"/>
    <mergeCell ref="B87:C87"/>
    <mergeCell ref="B88:C88"/>
    <mergeCell ref="B92:C92"/>
    <mergeCell ref="B95:C95"/>
    <mergeCell ref="F105:G105"/>
    <mergeCell ref="F76:G76"/>
    <mergeCell ref="B98:C98"/>
    <mergeCell ref="B100:C100"/>
    <mergeCell ref="F77:G77"/>
    <mergeCell ref="B79:C79"/>
    <mergeCell ref="H106:J106"/>
    <mergeCell ref="H73:J73"/>
    <mergeCell ref="H78:J78"/>
    <mergeCell ref="H85:J85"/>
    <mergeCell ref="H64:J64"/>
    <mergeCell ref="H65:J65"/>
    <mergeCell ref="H101:J101"/>
    <mergeCell ref="H63:J63"/>
    <mergeCell ref="H76:J76"/>
    <mergeCell ref="H66:J66"/>
    <mergeCell ref="H99:J99"/>
    <mergeCell ref="H102:J102"/>
    <mergeCell ref="H103:J103"/>
    <mergeCell ref="H104:J104"/>
    <mergeCell ref="H105:J105"/>
    <mergeCell ref="H77:J77"/>
    <mergeCell ref="H74:J74"/>
    <mergeCell ref="H100:J100"/>
    <mergeCell ref="H75:J75"/>
    <mergeCell ref="H71:J71"/>
    <mergeCell ref="H68:J68"/>
    <mergeCell ref="H72:J72"/>
    <mergeCell ref="H67:J67"/>
    <mergeCell ref="F69:G69"/>
    <mergeCell ref="F70:G70"/>
    <mergeCell ref="H69:J69"/>
    <mergeCell ref="H70:J70"/>
    <mergeCell ref="B70:C70"/>
    <mergeCell ref="B69:C69"/>
    <mergeCell ref="H61:J61"/>
    <mergeCell ref="B61:C61"/>
    <mergeCell ref="B62:C62"/>
    <mergeCell ref="B63:C63"/>
    <mergeCell ref="H62:J62"/>
    <mergeCell ref="B68:C68"/>
    <mergeCell ref="F68:G68"/>
    <mergeCell ref="F67:G67"/>
    <mergeCell ref="H59:J59"/>
    <mergeCell ref="B8:H8"/>
    <mergeCell ref="H38:J38"/>
    <mergeCell ref="F38:G38"/>
    <mergeCell ref="H45:J45"/>
    <mergeCell ref="B44:C44"/>
    <mergeCell ref="F44:G44"/>
    <mergeCell ref="H44:J44"/>
    <mergeCell ref="H41:J41"/>
    <mergeCell ref="B39:C39"/>
    <mergeCell ref="F39:G39"/>
    <mergeCell ref="H39:J39"/>
    <mergeCell ref="G11:H11"/>
    <mergeCell ref="B40:C40"/>
    <mergeCell ref="H40:J40"/>
    <mergeCell ref="C12:E13"/>
    <mergeCell ref="C10:E11"/>
    <mergeCell ref="B38:C38"/>
    <mergeCell ref="B56:C56"/>
    <mergeCell ref="G10:H10"/>
    <mergeCell ref="B47:C47"/>
    <mergeCell ref="B41:C41"/>
    <mergeCell ref="F41:G41"/>
    <mergeCell ref="H52:J52"/>
    <mergeCell ref="B99:C99"/>
    <mergeCell ref="F96:G96"/>
    <mergeCell ref="F97:G97"/>
    <mergeCell ref="F95:G95"/>
    <mergeCell ref="H95:J95"/>
    <mergeCell ref="H96:J96"/>
    <mergeCell ref="H97:J97"/>
    <mergeCell ref="F98:G98"/>
    <mergeCell ref="H98:J98"/>
    <mergeCell ref="B96:C96"/>
    <mergeCell ref="B97:C97"/>
    <mergeCell ref="F99:G99"/>
    <mergeCell ref="B76:C76"/>
    <mergeCell ref="B78:C78"/>
    <mergeCell ref="H89:J89"/>
    <mergeCell ref="H90:J90"/>
    <mergeCell ref="H91:J91"/>
    <mergeCell ref="B93:C93"/>
    <mergeCell ref="B94:C94"/>
    <mergeCell ref="F93:G93"/>
    <mergeCell ref="F94:G94"/>
    <mergeCell ref="H93:J93"/>
    <mergeCell ref="H94:J94"/>
    <mergeCell ref="F92:G92"/>
    <mergeCell ref="H92:J92"/>
    <mergeCell ref="B91:C91"/>
    <mergeCell ref="B77:C77"/>
    <mergeCell ref="B80:C80"/>
    <mergeCell ref="F79:G79"/>
    <mergeCell ref="F80:G80"/>
    <mergeCell ref="H79:J79"/>
    <mergeCell ref="H80:J80"/>
    <mergeCell ref="B89:C89"/>
    <mergeCell ref="B90:C90"/>
    <mergeCell ref="F87:G87"/>
    <mergeCell ref="F86:G86"/>
  </mergeCells>
  <phoneticPr fontId="34" type="noConversion"/>
  <conditionalFormatting sqref="G19:H19 G21:H23">
    <cfRule type="expression" dxfId="48" priority="7">
      <formula>$O$20="TRUEFALSE"</formula>
    </cfRule>
  </conditionalFormatting>
  <conditionalFormatting sqref="G14:H16">
    <cfRule type="expression" dxfId="47" priority="9">
      <formula>$O$13="TRUEFALSE"</formula>
    </cfRule>
  </conditionalFormatting>
  <conditionalFormatting sqref="G20:H23">
    <cfRule type="expression" dxfId="46" priority="6">
      <formula>$O$19="TRUEFALSE"</formula>
    </cfRule>
  </conditionalFormatting>
  <conditionalFormatting sqref="G13:H16">
    <cfRule type="expression" dxfId="45" priority="573">
      <formula>$O$16="TRUEFALSE"</formula>
    </cfRule>
  </conditionalFormatting>
  <conditionalFormatting sqref="G13:H13 G15:H16">
    <cfRule type="expression" dxfId="44" priority="10">
      <formula>$O$14="TRUEFALSE"</formula>
    </cfRule>
  </conditionalFormatting>
  <conditionalFormatting sqref="G13:H14 G16:H16">
    <cfRule type="expression" dxfId="43" priority="572">
      <formula>$O$15="TRUEFALSE"</formula>
    </cfRule>
  </conditionalFormatting>
  <conditionalFormatting sqref="G19:H20 G22:H23">
    <cfRule type="expression" dxfId="42" priority="11">
      <formula>$O$21="TRUEFALSE"</formula>
    </cfRule>
  </conditionalFormatting>
  <conditionalFormatting sqref="G19:H21 G23:H23">
    <cfRule type="expression" dxfId="41" priority="12">
      <formula>$O$22="TRUEFALSE"</formula>
    </cfRule>
  </conditionalFormatting>
  <conditionalFormatting sqref="G19:H22">
    <cfRule type="expression" dxfId="40" priority="571">
      <formula>$O$23="TRUEFALSE"</formula>
    </cfRule>
  </conditionalFormatting>
  <conditionalFormatting sqref="H12">
    <cfRule type="expression" dxfId="39" priority="574">
      <formula>$K$11&lt;3</formula>
    </cfRule>
  </conditionalFormatting>
  <conditionalFormatting sqref="H18">
    <cfRule type="expression" dxfId="38" priority="776">
      <formula>$K$18&lt;4</formula>
    </cfRule>
  </conditionalFormatting>
  <conditionalFormatting sqref="K39:K106">
    <cfRule type="expression" dxfId="37" priority="38">
      <formula>NOT(OR(ISERROR(FIND($N$13,$K39))))</formula>
    </cfRule>
  </conditionalFormatting>
  <conditionalFormatting sqref="K39:K106">
    <cfRule type="expression" dxfId="36" priority="39">
      <formula>NOT(OR(ISERROR(FIND($N$14,$K39))))</formula>
    </cfRule>
  </conditionalFormatting>
  <conditionalFormatting sqref="K39:K106">
    <cfRule type="expression" dxfId="35" priority="40">
      <formula>NOT(OR(ISERROR(FIND($N$15,$K39))))</formula>
    </cfRule>
  </conditionalFormatting>
  <conditionalFormatting sqref="K39:K106">
    <cfRule type="expression" dxfId="34" priority="41">
      <formula>NOT(OR(ISERROR(FIND($N$16,$K39))))</formula>
    </cfRule>
  </conditionalFormatting>
  <conditionalFormatting sqref="K39:K106">
    <cfRule type="expression" dxfId="33" priority="42">
      <formula>NOT(OR(ISERROR(FIND($N$19,$K39))))</formula>
    </cfRule>
  </conditionalFormatting>
  <conditionalFormatting sqref="K39:K106">
    <cfRule type="expression" dxfId="32" priority="43">
      <formula>NOT(OR(ISERROR(FIND($N$20,$K39))))</formula>
    </cfRule>
  </conditionalFormatting>
  <conditionalFormatting sqref="K39:K106">
    <cfRule type="expression" dxfId="31" priority="44">
      <formula>NOT(OR(ISERROR(FIND($N$21,$K39))))</formula>
    </cfRule>
  </conditionalFormatting>
  <conditionalFormatting sqref="K39:K106">
    <cfRule type="expression" dxfId="30" priority="45">
      <formula>NOT(OR(ISERROR(FIND($N$22,$K39))))</formula>
    </cfRule>
  </conditionalFormatting>
  <conditionalFormatting sqref="K39:K106">
    <cfRule type="expression" dxfId="29" priority="46">
      <formula>NOT(OR(ISERROR(FIND($N$23,$K39))))</formula>
    </cfRule>
  </conditionalFormatting>
  <conditionalFormatting sqref="K39:K106">
    <cfRule type="expression" dxfId="28" priority="47">
      <formula>NOT(OR(ISERROR(FIND($N$25,$K39))))</formula>
    </cfRule>
  </conditionalFormatting>
  <conditionalFormatting sqref="K39:K106">
    <cfRule type="expression" dxfId="27" priority="49">
      <formula>NOT(OR(ISERROR(FIND($N$27,$K39))))</formula>
    </cfRule>
  </conditionalFormatting>
  <conditionalFormatting sqref="K39:K106">
    <cfRule type="expression" dxfId="26" priority="50">
      <formula>NOT(OR(ISERROR(FIND($N$29,$K39))))</formula>
    </cfRule>
  </conditionalFormatting>
  <conditionalFormatting sqref="K39:K106">
    <cfRule type="expression" dxfId="25" priority="51">
      <formula>NOT(OR(ISERROR(FIND($N$31,$K39))))</formula>
    </cfRule>
  </conditionalFormatting>
  <conditionalFormatting sqref="K39:K106">
    <cfRule type="expression" dxfId="24" priority="52">
      <formula>NOT(OR(ISERROR(FIND($N$33,$K39))))</formula>
    </cfRule>
  </conditionalFormatting>
  <conditionalFormatting sqref="K39:K106">
    <cfRule type="expression" dxfId="23" priority="54">
      <formula>NOT(OR(ISERROR(FIND($N$35,$K39))))</formula>
    </cfRule>
  </conditionalFormatting>
  <conditionalFormatting sqref="B39:J44 B47:J53 B56:J56 B67:J72 B62:J65 B59:J59 B74:J106">
    <cfRule type="expression" dxfId="22" priority="56">
      <formula>NOT(OR(ISERROR(FIND($N$12,$K39))))</formula>
    </cfRule>
    <cfRule type="expression" dxfId="21" priority="58">
      <formula>NOT(OR(ISERROR(FIND($N$14,$K39))))</formula>
    </cfRule>
  </conditionalFormatting>
  <conditionalFormatting sqref="G12:H16">
    <cfRule type="expression" dxfId="20" priority="2">
      <formula>$K$11&lt;3</formula>
    </cfRule>
  </conditionalFormatting>
  <conditionalFormatting sqref="G18:H23">
    <cfRule type="expression" dxfId="19" priority="1">
      <formula>$K$18&lt;4</formula>
    </cfRule>
  </conditionalFormatting>
  <conditionalFormatting sqref="B39:J44 B47:J53 B56:J56 B62:J65 B59:J59 B67:J72 B74:J106">
    <cfRule type="expression" dxfId="18" priority="777">
      <formula>NOT(OR(ISERROR(FIND($N$13,$K39))))</formula>
    </cfRule>
    <cfRule type="expression" dxfId="17" priority="778">
      <formula>NOT(OR(ISERROR(FIND($N$15,$K39))))</formula>
    </cfRule>
    <cfRule type="expression" dxfId="16" priority="779">
      <formula>NOT(OR(ISERROR(FIND($N$16,$K39))))</formula>
    </cfRule>
    <cfRule type="expression" dxfId="15" priority="780">
      <formula>NOT(OR(ISERROR(FIND($N$19,$K39))))</formula>
    </cfRule>
    <cfRule type="expression" dxfId="14" priority="781">
      <formula>NOT(OR(ISERROR(FIND($N$20,$K39))))</formula>
    </cfRule>
    <cfRule type="expression" dxfId="13" priority="782">
      <formula>NOT(OR(ISERROR(FIND($N$21,$K39))))</formula>
    </cfRule>
    <cfRule type="expression" dxfId="12" priority="783">
      <formula>NOT(OR(ISERROR(FIND($N$22,$K39))))</formula>
    </cfRule>
    <cfRule type="expression" dxfId="11" priority="784">
      <formula>NOT(OR(ISERROR(FIND($N$23,$K39))))</formula>
    </cfRule>
    <cfRule type="expression" dxfId="10" priority="785">
      <formula>NOT(OR(ISERROR(FIND($N$25,$K39))))</formula>
    </cfRule>
    <cfRule type="expression" dxfId="9" priority="786">
      <formula>NOT(OR(ISERROR(FIND(#REF!,$K39))))</formula>
    </cfRule>
    <cfRule type="expression" dxfId="8" priority="787">
      <formula>NOT(OR(ISERROR(FIND($N$27,$K39))))</formula>
    </cfRule>
    <cfRule type="expression" dxfId="7" priority="788">
      <formula>NOT(OR(ISERROR(FIND($N$29,$K39))))</formula>
    </cfRule>
    <cfRule type="expression" dxfId="6" priority="789">
      <formula>NOT(OR(ISERROR(FIND($N$31,$K39))))</formula>
    </cfRule>
    <cfRule type="expression" dxfId="5" priority="790">
      <formula>NOT(OR(ISERROR(FIND($N$33,$K39))))</formula>
    </cfRule>
    <cfRule type="expression" dxfId="4" priority="791">
      <formula>NOT(OR(ISERROR(FIND($N$35,$K39))))</formula>
    </cfRule>
    <cfRule type="expression" dxfId="3" priority="792">
      <formula>(ISERROR(FIND($N$12,$E39,NOT(ISERROR(FIND($N$13,$E39,NOT(ISERROR(FIND($N$14,$E39,NOT(ISERROR(FIND($N$15,$E39,NOT(ISERROR(FIND($N$16,$E39,NOT(ISERROR(FIND($N$19,$E39,NOT(ISERROR(FIND($N$20,$E39,NOT(ISERROR(FIND($N$21,$E39,NOT(ISERROR(FIND($N$22,$E39,NOT(ISERROR(FIND($N$23,$E39,NOT(ISERROR(FIND($N$25,$E39,NOT(ISERROR(FIND(#REF!,$E39,NOT(ISERROR(FIND($N$27,$E39,NOT(ISERROR(FIND($N$29,$E39,NOT(ISERROR(FIND($N$31,$E39,NOT(ISERROR(FIND($N$33,$E39,NOT(ISERROR(FIND($N$35,$E39)))))))))))))))))))))))))))))))))))))))))))))))))))</formula>
    </cfRule>
  </conditionalFormatting>
  <conditionalFormatting sqref="K39:K106">
    <cfRule type="expression" dxfId="2" priority="889">
      <formula>NOT(OR(ISERROR(FIND($N$12,$K39))))</formula>
    </cfRule>
    <cfRule type="expression" dxfId="1" priority="890">
      <formula>(ISERROR(FIND($N$12,$E39,NOT(ISERROR(FIND($N$13,$E39,NOT(ISERROR(FIND($N$14,$E39,NOT(ISERROR(FIND($N$15,$E39,NOT(ISERROR(FIND($N$16,$E39,NOT(ISERROR(FIND($N$19,$E39,NOT(ISERROR(FIND($N$20,$E39,NOT(ISERROR(FIND($N$21,$E39,NOT(ISERROR(FIND($N$22,$E39,NOT(ISERROR(FIND($N$23,$E39,NOT(ISERROR(FIND($N$25,$E39,NOT(ISERROR(FIND(#REF!,$E39,NOT(ISERROR(FIND($N$27,$E39,NOT(ISERROR(FIND($N$29,$E39,NOT(ISERROR(FIND($N$31,$E39,NOT(ISERROR(FIND($N$33,$E39,NOT(ISERROR(FIND($N$35,$E39)))))))))))))))))))))))))))))))))))))))))))))))))))</formula>
    </cfRule>
  </conditionalFormatting>
  <conditionalFormatting sqref="K39:K106">
    <cfRule type="expression" dxfId="0" priority="901">
      <formula>NOT(OR(ISERROR(FIND(#REF!,$K39))))</formula>
    </cfRule>
  </conditionalFormatting>
  <dataValidations count="1">
    <dataValidation type="list" allowBlank="1" showInputMessage="1" showErrorMessage="1" sqref="D62:D65 D59 D47:D53 D67:D72 D74:D106 D56">
      <formula1>$D$5:$D$6</formula1>
    </dataValidation>
  </dataValidations>
  <hyperlinks>
    <hyperlink ref="H44" location="URL" display="http://community.office365.com/en-us/wikis/live-at-edu-transition/1110.aspx#URL"/>
    <hyperlink ref="H69" location="continue" display="http://community.office365.com/en-us/wikis/live-at-edu-transition/1133.aspx#continue"/>
    <hyperlink ref="H71" location="support" display="http://community.office365.com/en-us/wikis/live-at-edu-transition/1133.aspx#support"/>
    <hyperlink ref="H79" r:id="rId1" display="http://go.microsoft.com/fwlink/p/?LinkId=253149"/>
    <hyperlink ref="H80" r:id="rId2" display="http://go.microsoft.com/fwlink/p/?LinkId=253601"/>
    <hyperlink ref="H81" r:id="rId3" display="http://go.microsoft.com/fwlink/p/?LinkId=253147"/>
    <hyperlink ref="H87" r:id="rId4" display="http://go.microsoft.com/fwlink/p/?LinkId=253149"/>
    <hyperlink ref="H88" r:id="rId5" display="http://go.microsoft.com/fwlink/p/?LinkId=253601"/>
    <hyperlink ref="H89" r:id="rId6" display="http://go.microsoft.com/fwlink/p/?LinkId=253147"/>
    <hyperlink ref="H91" r:id="rId7" display="http://go.microsoft.com/fwlink/p/?LinkId=253149"/>
    <hyperlink ref="H92" r:id="rId8" display="http://go.microsoft.com/fwlink/p/?LinkId=253601"/>
    <hyperlink ref="H93" r:id="rId9" display="http://go.microsoft.com/fwlink/p/?LinkId=253147"/>
    <hyperlink ref="H95" r:id="rId10" display="http://go.microsoft.com/fwlink/p/?LinkId=253149"/>
    <hyperlink ref="H96" r:id="rId11" display="http://go.microsoft.com/fwlink/p/?LinkId=253601"/>
    <hyperlink ref="H99" location="EO" display="http://community.office365.com/en-us/wikis/live-at-edu-transition/1134.aspx#EO"/>
    <hyperlink ref="H102" location="o365" display="http://community.office365.com/en-us/wikis/live-at-edu-transition/1134.aspx#o365"/>
    <hyperlink ref="H103" r:id="rId12" display="http://go.microsoft.com/fwlink/p/?LinkId=253597"/>
    <hyperlink ref="H104" r:id="rId13" display="http://go.microsoft.com/fwlink/p/?LinkId=253605"/>
    <hyperlink ref="H105" r:id="rId14" display="http://go.microsoft.com/fwlink/p/?LinkId=253606"/>
    <hyperlink ref="H63" location="EO" display="http://community.office365.com/en-us/wikis/live-at-edu-transition/1110.aspx#EO"/>
    <hyperlink ref="H53" r:id="rId15" display="http://go.microsoft.com/fwlink/p/?LinkId=260428"/>
    <hyperlink ref="H68" location="start" display="http://community.office365.com/en-us/wikis/live-at-edu-transition/1133.aspx#start"/>
    <hyperlink ref="H106" r:id="rId16" display="http://go.microsoft.com/fwlink/p/?LinkId=251279"/>
    <hyperlink ref="H43:J43" r:id="rId17" display="Learn more"/>
    <hyperlink ref="H44:J44" r:id="rId18" display="Learn more"/>
    <hyperlink ref="H47:J47" r:id="rId19" display="Office 365 software requirements"/>
    <hyperlink ref="H48:J48" r:id="rId20" display="Sample communications and resources can be found in the Upgrade End-user Kit"/>
    <hyperlink ref="H49:J49" r:id="rId21" display="Learn more"/>
    <hyperlink ref="H50:J50" r:id="rId22" display="Learn more"/>
    <hyperlink ref="H51:J51" r:id="rId23" display="Learn more"/>
    <hyperlink ref="H52:J52" r:id="rId24" display="Learn more"/>
    <hyperlink ref="H53:J53" r:id="rId25" display="Learn more"/>
    <hyperlink ref="H59:J59" r:id="rId26" display="Sample communications and resources can be found in the Upgrade End-user Kit"/>
    <hyperlink ref="H62:J62" r:id="rId27" display="Sample communications and resources can be found in the Upgrade End-user Kit"/>
    <hyperlink ref="H63:J63" r:id="rId28" display="Learn more"/>
    <hyperlink ref="H64:J64" r:id="rId29" display="Learn more"/>
    <hyperlink ref="H65:J65" r:id="rId30" display="Learn more"/>
    <hyperlink ref="H67:J67" r:id="rId31" display="Learn more"/>
    <hyperlink ref="H68:J68" r:id="rId32" display="Learn more"/>
    <hyperlink ref="H69:J69" r:id="rId33" display="Learn more"/>
    <hyperlink ref="H70:J70" r:id="rId34" display="Sample communications and resources can be found in the Upgrade End-user Kit"/>
    <hyperlink ref="H71:J71" r:id="rId35" display="Learn more"/>
    <hyperlink ref="H72:J72" r:id="rId36" display="Learn more"/>
    <hyperlink ref="H85:J85" r:id="rId37" display="Learn more"/>
    <hyperlink ref="H86:J86" r:id="rId38" display="Learn more"/>
    <hyperlink ref="H74:J74" r:id="rId39" display="Learn more"/>
    <hyperlink ref="H75:J75" r:id="rId40" display="Learn more"/>
    <hyperlink ref="H76:J76" r:id="rId41" display="http://g.microsoftonline.com/0rmcm00en-us/5405"/>
    <hyperlink ref="H77:J77" r:id="rId42" display="http://g.microsoftonline.com/0rmcm00en-us/5406"/>
    <hyperlink ref="H78:J78" r:id="rId43" display="http://g.microsoftonline.com/0rmcm00en-us/5407"/>
    <hyperlink ref="H79:J79" r:id="rId44" display="Learn more"/>
    <hyperlink ref="H80:J80" r:id="rId45" display="Learn more"/>
    <hyperlink ref="H81:J81" r:id="rId46" display="Learn more"/>
    <hyperlink ref="H82:J82" r:id="rId47" display="Learn More"/>
    <hyperlink ref="H83:J83" r:id="rId48" display="Learn More"/>
    <hyperlink ref="H84:J84" r:id="rId49" display="Learn more"/>
    <hyperlink ref="H87:J87" r:id="rId50" display="Learn more"/>
    <hyperlink ref="H88:J88" r:id="rId51" display="Learn more"/>
    <hyperlink ref="H89:J89" r:id="rId52" display="Learn more"/>
    <hyperlink ref="H90:J90" r:id="rId53" display="Learn more"/>
    <hyperlink ref="H91:J91" r:id="rId54" display="Learn more"/>
    <hyperlink ref="H92:J92" r:id="rId55" display="Learn more"/>
    <hyperlink ref="H93:J93" r:id="rId56" display="Learn more"/>
    <hyperlink ref="H94:J94" r:id="rId57" display="Learn more"/>
    <hyperlink ref="H95:J95" r:id="rId58" display="Learn more"/>
    <hyperlink ref="H96:J96" r:id="rId59" display="Learn more"/>
    <hyperlink ref="H97:J97" r:id="rId60" display="Learn more"/>
    <hyperlink ref="H98:J98" r:id="rId61" display="Learn more"/>
    <hyperlink ref="H99:J99" r:id="rId62" display="Learn more"/>
    <hyperlink ref="H100:J100" r:id="rId63" display="Learn more"/>
    <hyperlink ref="H101:J101" r:id="rId64" display="Sample communications and resources can be found in the Upgrade End-user Kit"/>
    <hyperlink ref="H102:J102" r:id="rId65" display="Learn more"/>
    <hyperlink ref="H103:J103" r:id="rId66" display="Learn more"/>
    <hyperlink ref="H104:J104" r:id="rId67" display="Learn more"/>
    <hyperlink ref="H105:J105" r:id="rId68" display="Learn more"/>
    <hyperlink ref="H106:J106" r:id="rId69" display="Learn more"/>
    <hyperlink ref="H42:J42" r:id="rId70" display="Learn more"/>
    <hyperlink ref="H41:J41" r:id="rId71" display="Learn more"/>
    <hyperlink ref="H40:J40" r:id="rId72" display="Learn more"/>
    <hyperlink ref="H39" location="learn" display="http://community.office365.com/en-us/wikis/live-at-edu-transition/1110.aspx#learn"/>
    <hyperlink ref="H39:J39" r:id="rId73" display="Learn more"/>
    <hyperlink ref="B8:H8" r:id="rId74" display="You can always find detailed information on how to plan and manage your upgrade to Office 365 for education at Upgrade help"/>
    <hyperlink ref="H56:J56" r:id="rId75" display="Ulteriori informazioni"/>
  </hyperlinks>
  <pageMargins left="0.7" right="0.7" top="0.54104166666666698" bottom="0.75" header="0.3" footer="0.3"/>
  <pageSetup scale="54" fitToHeight="0" orientation="portrait" r:id="rId76"/>
  <headerFooter>
    <oddHeader>&amp;L&amp;11&amp;"Segoe UI,Regular"&amp;K01+000Tempistica per il passaggio da Live@edu a Office 365&amp;R&amp;11&amp;"Calibri,Regular"&amp;K01+000Piano di 4 settimane</oddHeader>
    <oddFooter>&amp;C&amp;11&amp;"Calibri,Regular"&amp;K01+000&amp;P di &amp;N</oddFooter>
  </headerFooter>
  <rowBreaks count="2" manualBreakCount="2">
    <brk id="44" max="10" man="1"/>
    <brk id="72" max="16383" man="1"/>
  </rowBreaks>
  <drawing r:id="rId77"/>
  <legacyDrawing r:id="rId7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79" name="Check Box 2">
              <controlPr defaultSize="0" autoFill="0" autoLine="0" autoPict="0" altText="ADFS">
                <anchor moveWithCells="1">
                  <from>
                    <xdr:col>7</xdr:col>
                    <xdr:colOff>200025</xdr:colOff>
                    <xdr:row>12</xdr:row>
                    <xdr:rowOff>228600</xdr:rowOff>
                  </from>
                  <to>
                    <xdr:col>7</xdr:col>
                    <xdr:colOff>2162175</xdr:colOff>
                    <xdr:row>12</xdr:row>
                    <xdr:rowOff>447675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80" name="Check Box 9">
              <controlPr defaultSize="0" autoFill="0" autoLine="0" autoPict="0">
                <anchor moveWithCells="1">
                  <from>
                    <xdr:col>7</xdr:col>
                    <xdr:colOff>200025</xdr:colOff>
                    <xdr:row>26</xdr:row>
                    <xdr:rowOff>47625</xdr:rowOff>
                  </from>
                  <to>
                    <xdr:col>7</xdr:col>
                    <xdr:colOff>2162175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1" name="Check Box 10">
              <controlPr defaultSize="0" autoFill="0" autoLine="0" autoPict="0">
                <anchor moveWithCells="1">
                  <from>
                    <xdr:col>7</xdr:col>
                    <xdr:colOff>200025</xdr:colOff>
                    <xdr:row>28</xdr:row>
                    <xdr:rowOff>123825</xdr:rowOff>
                  </from>
                  <to>
                    <xdr:col>7</xdr:col>
                    <xdr:colOff>2162175</xdr:colOff>
                    <xdr:row>28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82" name="Check Box 11">
              <controlPr defaultSize="0" autoFill="0" autoLine="0" autoPict="0">
                <anchor moveWithCells="1">
                  <from>
                    <xdr:col>7</xdr:col>
                    <xdr:colOff>200025</xdr:colOff>
                    <xdr:row>34</xdr:row>
                    <xdr:rowOff>57150</xdr:rowOff>
                  </from>
                  <to>
                    <xdr:col>7</xdr:col>
                    <xdr:colOff>2162175</xdr:colOff>
                    <xdr:row>34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83" name="Check Box 13">
              <controlPr defaultSize="0" autoFill="0" autoLine="0" autoPict="0">
                <anchor moveWithCells="1">
                  <from>
                    <xdr:col>7</xdr:col>
                    <xdr:colOff>200025</xdr:colOff>
                    <xdr:row>18</xdr:row>
                    <xdr:rowOff>38100</xdr:rowOff>
                  </from>
                  <to>
                    <xdr:col>7</xdr:col>
                    <xdr:colOff>2162175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84" name="Check Box 14">
              <controlPr defaultSize="0" autoFill="0" autoLine="0" autoPict="0">
                <anchor moveWithCells="1">
                  <from>
                    <xdr:col>7</xdr:col>
                    <xdr:colOff>200025</xdr:colOff>
                    <xdr:row>19</xdr:row>
                    <xdr:rowOff>47625</xdr:rowOff>
                  </from>
                  <to>
                    <xdr:col>7</xdr:col>
                    <xdr:colOff>2162175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85" name="Check Box 15">
              <controlPr defaultSize="0" autoFill="0" autoLine="0" autoPict="0">
                <anchor moveWithCells="1">
                  <from>
                    <xdr:col>7</xdr:col>
                    <xdr:colOff>200025</xdr:colOff>
                    <xdr:row>20</xdr:row>
                    <xdr:rowOff>76200</xdr:rowOff>
                  </from>
                  <to>
                    <xdr:col>7</xdr:col>
                    <xdr:colOff>2162175</xdr:colOff>
                    <xdr:row>20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86" name="Check Box 16">
              <controlPr defaultSize="0" autoFill="0" autoLine="0" autoPict="0">
                <anchor moveWithCells="1">
                  <from>
                    <xdr:col>7</xdr:col>
                    <xdr:colOff>200025</xdr:colOff>
                    <xdr:row>21</xdr:row>
                    <xdr:rowOff>66675</xdr:rowOff>
                  </from>
                  <to>
                    <xdr:col>7</xdr:col>
                    <xdr:colOff>2162175</xdr:colOff>
                    <xdr:row>21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87" name="Check Box 17">
              <controlPr defaultSize="0" autoFill="0" autoLine="0" autoPict="0">
                <anchor moveWithCells="1">
                  <from>
                    <xdr:col>7</xdr:col>
                    <xdr:colOff>200025</xdr:colOff>
                    <xdr:row>24</xdr:row>
                    <xdr:rowOff>47625</xdr:rowOff>
                  </from>
                  <to>
                    <xdr:col>7</xdr:col>
                    <xdr:colOff>2162175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88" name="Check Box 18">
              <controlPr defaultSize="0" autoFill="0" autoLine="0" autoPict="0" altText="Shibboleth">
                <anchor moveWithCells="1">
                  <from>
                    <xdr:col>7</xdr:col>
                    <xdr:colOff>200025</xdr:colOff>
                    <xdr:row>13</xdr:row>
                    <xdr:rowOff>171450</xdr:rowOff>
                  </from>
                  <to>
                    <xdr:col>7</xdr:col>
                    <xdr:colOff>2162175</xdr:colOff>
                    <xdr:row>13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89" name="Check Box 19">
              <controlPr defaultSize="0" autoFill="0" autoLine="0" autoPict="0" altText="Add Federation">
                <anchor moveWithCells="1">
                  <from>
                    <xdr:col>7</xdr:col>
                    <xdr:colOff>200025</xdr:colOff>
                    <xdr:row>15</xdr:row>
                    <xdr:rowOff>219075</xdr:rowOff>
                  </from>
                  <to>
                    <xdr:col>7</xdr:col>
                    <xdr:colOff>2162175</xdr:colOff>
                    <xdr:row>15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90" name="Check Box 20">
              <controlPr defaultSize="0" autoFill="0" autoLine="0" autoPict="0">
                <anchor moveWithCells="1">
                  <from>
                    <xdr:col>7</xdr:col>
                    <xdr:colOff>200025</xdr:colOff>
                    <xdr:row>30</xdr:row>
                    <xdr:rowOff>47625</xdr:rowOff>
                  </from>
                  <to>
                    <xdr:col>7</xdr:col>
                    <xdr:colOff>2162175</xdr:colOff>
                    <xdr:row>30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91" name="Check Box 21">
              <controlPr defaultSize="0" autoFill="0" autoLine="0" autoPict="0">
                <anchor moveWithCells="1">
                  <from>
                    <xdr:col>7</xdr:col>
                    <xdr:colOff>200025</xdr:colOff>
                    <xdr:row>32</xdr:row>
                    <xdr:rowOff>57150</xdr:rowOff>
                  </from>
                  <to>
                    <xdr:col>7</xdr:col>
                    <xdr:colOff>2162175</xdr:colOff>
                    <xdr:row>32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92" name="Check Box 27">
              <controlPr defaultSize="0" autoFill="0" autoLine="0" autoPict="0">
                <anchor moveWithCells="1">
                  <from>
                    <xdr:col>7</xdr:col>
                    <xdr:colOff>200025</xdr:colOff>
                    <xdr:row>22</xdr:row>
                    <xdr:rowOff>76200</xdr:rowOff>
                  </from>
                  <to>
                    <xdr:col>7</xdr:col>
                    <xdr:colOff>2162175</xdr:colOff>
                    <xdr:row>22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93" name="Check Box 28">
              <controlPr defaultSize="0" autoFill="0" autoLine="0" autoPict="0" altText="Add Federation">
                <anchor moveWithCells="1">
                  <from>
                    <xdr:col>7</xdr:col>
                    <xdr:colOff>200025</xdr:colOff>
                    <xdr:row>14</xdr:row>
                    <xdr:rowOff>219075</xdr:rowOff>
                  </from>
                  <to>
                    <xdr:col>7</xdr:col>
                    <xdr:colOff>2162175</xdr:colOff>
                    <xdr:row>14</xdr:row>
                    <xdr:rowOff>438150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Istruzioni</vt:lpstr>
      <vt:lpstr>Piano di 4 settimane</vt:lpstr>
      <vt:lpstr>Istruzioni!Print_Area</vt:lpstr>
      <vt:lpstr>'Piano di 4 settimane'!Print_Area</vt:lpstr>
      <vt:lpstr>'Piano di 4 settimane'!Print_Titles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2012-10-12T21:53:05Z</dcterms:created>
  <dcterms:modified xsi:type="dcterms:W3CDTF">2013-01-29T18:46:35Z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