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14115" windowHeight="8670"/>
  </bookViews>
  <sheets>
    <sheet name="Sheet1" sheetId="1" r:id="rId1"/>
    <sheet name="Sheet2" sheetId="2" r:id="rId2"/>
  </sheets>
  <calcPr calcId="145621"/>
</workbook>
</file>

<file path=xl/calcChain.xml><?xml version="1.0" encoding="utf-8"?>
<calcChain xmlns="http://schemas.openxmlformats.org/spreadsheetml/2006/main">
  <c r="G21" i="1" l="1"/>
  <c r="F21" i="1"/>
  <c r="C14" i="1" l="1"/>
  <c r="B14" i="1"/>
  <c r="K7" i="1" l="1"/>
  <c r="G45" i="1"/>
  <c r="G15" i="1"/>
  <c r="G7" i="1"/>
  <c r="K15" i="1"/>
  <c r="K45" i="1"/>
  <c r="K29" i="1"/>
  <c r="G29" i="1"/>
  <c r="J45" i="1"/>
  <c r="F45" i="1"/>
  <c r="F29" i="1"/>
  <c r="F15" i="1"/>
  <c r="J15" i="1"/>
  <c r="J29" i="1"/>
  <c r="J7" i="1"/>
  <c r="F7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2" i="2"/>
  <c r="C13" i="1" l="1"/>
  <c r="B13" i="1"/>
  <c r="C11" i="1"/>
  <c r="B11" i="1"/>
  <c r="B12" i="1"/>
  <c r="C12" i="1"/>
  <c r="K26" i="1" l="1"/>
  <c r="K27" i="1" s="1"/>
  <c r="K28" i="1" s="1"/>
  <c r="K4" i="1"/>
  <c r="G34" i="1"/>
  <c r="G35" i="1" s="1"/>
  <c r="G36" i="1" s="1"/>
  <c r="G20" i="1"/>
  <c r="G4" i="1"/>
  <c r="G5" i="1" s="1"/>
  <c r="G6" i="1" s="1"/>
  <c r="K42" i="1"/>
  <c r="K43" i="1" s="1"/>
  <c r="K44" i="1" s="1"/>
  <c r="K12" i="1"/>
  <c r="K13" i="1" s="1"/>
  <c r="K14" i="1" s="1"/>
  <c r="G42" i="1"/>
  <c r="G43" i="1" s="1"/>
  <c r="G44" i="1" s="1"/>
  <c r="G26" i="1"/>
  <c r="G27" i="1" s="1"/>
  <c r="G28" i="1" s="1"/>
  <c r="G12" i="1"/>
  <c r="G13" i="1" s="1"/>
  <c r="G14" i="1" s="1"/>
  <c r="J42" i="1"/>
  <c r="J4" i="1"/>
  <c r="F34" i="1"/>
  <c r="F20" i="1"/>
  <c r="J26" i="1"/>
  <c r="J12" i="1"/>
  <c r="F42" i="1"/>
  <c r="F26" i="1"/>
  <c r="F12" i="1"/>
  <c r="F4" i="1"/>
  <c r="F5" i="1" s="1"/>
  <c r="F6" i="1" s="1"/>
  <c r="J5" i="1"/>
  <c r="J6" i="1" s="1"/>
  <c r="J27" i="1"/>
  <c r="J28" i="1" s="1"/>
  <c r="F35" i="1"/>
  <c r="F36" i="1" s="1"/>
  <c r="J13" i="1"/>
  <c r="J14" i="1" s="1"/>
  <c r="J43" i="1"/>
  <c r="J44" i="1" s="1"/>
  <c r="F13" i="1"/>
  <c r="F14" i="1" s="1"/>
  <c r="F27" i="1"/>
  <c r="F28" i="1" s="1"/>
  <c r="F43" i="1"/>
  <c r="F44" i="1" s="1"/>
  <c r="G17" i="1" l="1"/>
  <c r="G16" i="1"/>
  <c r="G53" i="1"/>
  <c r="G50" i="1"/>
  <c r="G47" i="1"/>
  <c r="G52" i="1"/>
  <c r="G49" i="1"/>
  <c r="G46" i="1"/>
  <c r="K53" i="1"/>
  <c r="K47" i="1"/>
  <c r="K50" i="1"/>
  <c r="K52" i="1"/>
  <c r="K46" i="1"/>
  <c r="K49" i="1"/>
  <c r="G23" i="1"/>
  <c r="G22" i="1"/>
  <c r="K5" i="1"/>
  <c r="K6" i="1" s="1"/>
  <c r="G31" i="1"/>
  <c r="G30" i="1"/>
  <c r="K16" i="1"/>
  <c r="K17" i="1"/>
  <c r="G9" i="1"/>
  <c r="G8" i="1"/>
  <c r="G39" i="1"/>
  <c r="G38" i="1"/>
  <c r="K31" i="1"/>
  <c r="K30" i="1"/>
  <c r="F23" i="1"/>
  <c r="F22" i="1"/>
  <c r="J53" i="1"/>
  <c r="J50" i="1"/>
  <c r="J47" i="1"/>
  <c r="J49" i="1"/>
  <c r="J52" i="1"/>
  <c r="J46" i="1"/>
  <c r="F39" i="1"/>
  <c r="F38" i="1"/>
  <c r="J31" i="1"/>
  <c r="J30" i="1"/>
  <c r="F31" i="1"/>
  <c r="F30" i="1"/>
  <c r="F53" i="1"/>
  <c r="F50" i="1"/>
  <c r="F47" i="1"/>
  <c r="F52" i="1"/>
  <c r="F49" i="1"/>
  <c r="F46" i="1"/>
  <c r="F17" i="1"/>
  <c r="F16" i="1"/>
  <c r="J17" i="1"/>
  <c r="J16" i="1"/>
  <c r="F9" i="1"/>
  <c r="F8" i="1"/>
  <c r="J9" i="1"/>
  <c r="J8" i="1"/>
  <c r="K9" i="1" l="1"/>
  <c r="K8" i="1"/>
</calcChain>
</file>

<file path=xl/sharedStrings.xml><?xml version="1.0" encoding="utf-8"?>
<sst xmlns="http://schemas.openxmlformats.org/spreadsheetml/2006/main" count="102" uniqueCount="29">
  <si>
    <t>Surge</t>
  </si>
  <si>
    <t>Heal Bonus</t>
  </si>
  <si>
    <t>Heal per sec</t>
  </si>
  <si>
    <t>Alacrity</t>
  </si>
  <si>
    <t>Crit Chance</t>
  </si>
  <si>
    <t>Power</t>
  </si>
  <si>
    <t>Activation Speed</t>
  </si>
  <si>
    <t>Cast Time</t>
  </si>
  <si>
    <t>Crit</t>
  </si>
  <si>
    <t>Crit Multiplier</t>
  </si>
  <si>
    <t>Willpower</t>
  </si>
  <si>
    <t>Force Power</t>
  </si>
  <si>
    <t>Innervate</t>
  </si>
  <si>
    <t>Avg Base</t>
  </si>
  <si>
    <t>Avg Crit</t>
  </si>
  <si>
    <t>Avg (incl. crit)</t>
  </si>
  <si>
    <t>Heal per force</t>
  </si>
  <si>
    <t>Dark Infusion</t>
  </si>
  <si>
    <t>Static Barrier</t>
  </si>
  <si>
    <t>Rating</t>
  </si>
  <si>
    <t>Level 50 Sorcerer healing spreadsheet</t>
  </si>
  <si>
    <t>Dark Heal</t>
  </si>
  <si>
    <t>Resurgence</t>
  </si>
  <si>
    <t>Revivification</t>
  </si>
  <si>
    <t>3 targets</t>
  </si>
  <si>
    <t>2 targets</t>
  </si>
  <si>
    <t>With forcebending</t>
  </si>
  <si>
    <t>Stats A</t>
  </si>
  <si>
    <t>Stats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</si>
</sst>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" x14ac:knownFonts="1"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Alignment="1"/>
    <xf numFmtId="0" fontId="0" fillId="0" borderId="0" xfId="0" applyNumberFormat="1" applyFont="1" applyFill="1" applyAlignment="1">
      <alignment wrapText="1"/>
    </xf>
    <xf numFmtId="164" fontId="0" fillId="0" borderId="0" xfId="0" applyNumberFormat="1" applyFont="1" applyFill="1" applyAlignment="1">
      <alignment wrapText="1"/>
    </xf>
    <xf numFmtId="4" fontId="0" fillId="0" borderId="0" xfId="0" applyNumberFormat="1" applyFont="1" applyFill="1" applyAlignment="1">
      <alignment wrapText="1"/>
    </xf>
    <xf numFmtId="0" fontId="0" fillId="2" borderId="0" xfId="0" applyNumberFormat="1" applyFont="1" applyFill="1" applyAlignment="1">
      <alignment wrapText="1"/>
    </xf>
    <xf numFmtId="164" fontId="0" fillId="2" borderId="0" xfId="0" applyNumberFormat="1" applyFont="1" applyFill="1" applyAlignment="1">
      <alignment wrapText="1"/>
    </xf>
    <xf numFmtId="0" fontId="0" fillId="3" borderId="0" xfId="0" applyNumberFormat="1" applyFont="1" applyFill="1" applyAlignment="1">
      <alignment wrapText="1"/>
    </xf>
    <xf numFmtId="0" fontId="0" fillId="4" borderId="0" xfId="0" applyNumberFormat="1" applyFont="1" applyFill="1" applyAlignment="1">
      <alignment wrapText="1"/>
    </xf>
    <xf numFmtId="165" fontId="0" fillId="4" borderId="0" xfId="0" applyNumberFormat="1" applyFill="1">
      <alignment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NumberFormat="1" applyFont="1" applyFill="1" applyAlignment="1">
      <alignment wrapText="1"/>
    </xf>
    <xf numFmtId="0" fontId="0" fillId="0" borderId="0" xfId="0">
      <alignment vertical="center"/>
    </xf>
    <xf numFmtId="0" fontId="0" fillId="0" borderId="0" xfId="0" applyNumberFormat="1" applyFont="1" applyFill="1" applyAlignment="1"/>
    <xf numFmtId="0" fontId="0" fillId="0" borderId="0" xfId="0" applyFill="1">
      <alignment vertical="center"/>
    </xf>
    <xf numFmtId="165" fontId="0" fillId="0" borderId="0" xfId="0" applyNumberFormat="1" applyFill="1">
      <alignment vertical="center"/>
    </xf>
    <xf numFmtId="0" fontId="0" fillId="0" borderId="0" xfId="0" applyNumberFormat="1" applyFont="1" applyFill="1" applyAlignment="1"/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7B7B7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217881855677134E-2"/>
          <c:y val="2.2050658301858608E-2"/>
          <c:w val="0.78663026212632514"/>
          <c:h val="0.8693616143510516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Sheet2!$B$1</c:f>
              <c:strCache>
                <c:ptCount val="1"/>
                <c:pt idx="0">
                  <c:v>Surge</c:v>
                </c:pt>
              </c:strCache>
            </c:strRef>
          </c:tx>
          <c:marker>
            <c:symbol val="none"/>
          </c:marker>
          <c:xVal>
            <c:numRef>
              <c:f>Sheet2!$A$2:$A$42</c:f>
              <c:numCache>
                <c:formatCode>General</c:formatCode>
                <c:ptCount val="4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</c:numCache>
            </c:numRef>
          </c:xVal>
          <c:yVal>
            <c:numRef>
              <c:f>Sheet2!$B$2:$B$42</c:f>
              <c:numCache>
                <c:formatCode>General</c:formatCode>
                <c:ptCount val="41"/>
                <c:pt idx="0">
                  <c:v>0</c:v>
                </c:pt>
                <c:pt idx="1">
                  <c:v>4.8039601600000097</c:v>
                </c:pt>
                <c:pt idx="2">
                  <c:v>9.1463596556226712</c:v>
                </c:pt>
                <c:pt idx="3">
                  <c:v>13.071544867729823</c:v>
                </c:pt>
                <c:pt idx="4">
                  <c:v>16.619601412245295</c:v>
                </c:pt>
                <c:pt idx="5">
                  <c:v>19.82676351105518</c:v>
                </c:pt>
                <c:pt idx="6">
                  <c:v>22.725784030878167</c:v>
                </c:pt>
                <c:pt idx="7">
                  <c:v>25.346268969096108</c:v>
                </c:pt>
                <c:pt idx="8">
                  <c:v>27.714979802452476</c:v>
                </c:pt>
                <c:pt idx="9">
                  <c:v>29.856106786328752</c:v>
                </c:pt>
                <c:pt idx="10">
                  <c:v>31.791515995644176</c:v>
                </c:pt>
                <c:pt idx="11">
                  <c:v>33.54097263026263</c:v>
                </c:pt>
                <c:pt idx="12">
                  <c:v>35.122342865393996</c:v>
                </c:pt>
                <c:pt idx="13">
                  <c:v>36.551776308369732</c:v>
                </c:pt>
                <c:pt idx="14">
                  <c:v>37.843870925116931</c:v>
                </c:pt>
                <c:pt idx="15">
                  <c:v>39.011822120628054</c:v>
                </c:pt>
                <c:pt idx="16">
                  <c:v>40.067557495897979</c:v>
                </c:pt>
                <c:pt idx="17">
                  <c:v>41.021858657521918</c:v>
                </c:pt>
                <c:pt idx="18">
                  <c:v>41.884471323924188</c:v>
                </c:pt>
                <c:pt idx="19">
                  <c:v>42.664204852668306</c:v>
                </c:pt>
                <c:pt idx="20">
                  <c:v>43.369022205262361</c:v>
                </c:pt>
                <c:pt idx="21">
                  <c:v>44.006121268217647</c:v>
                </c:pt>
                <c:pt idx="22">
                  <c:v>44.582008360844725</c:v>
                </c:pt>
                <c:pt idx="23">
                  <c:v>45.102564680479027</c:v>
                </c:pt>
                <c:pt idx="24">
                  <c:v>45.573106363702138</c:v>
                </c:pt>
                <c:pt idx="25">
                  <c:v>45.998438776928793</c:v>
                </c:pt>
                <c:pt idx="26">
                  <c:v>46.382905590797492</c:v>
                </c:pt>
                <c:pt idx="27">
                  <c:v>46.730433139532842</c:v>
                </c:pt>
                <c:pt idx="28">
                  <c:v>47.04457051829565</c:v>
                </c:pt>
                <c:pt idx="29">
                  <c:v>47.3285258280116</c:v>
                </c:pt>
                <c:pt idx="30">
                  <c:v>47.585198937825623</c:v>
                </c:pt>
                <c:pt idx="31">
                  <c:v>47.817211099765849</c:v>
                </c:pt>
                <c:pt idx="32">
                  <c:v>48.026931718054151</c:v>
                </c:pt>
                <c:pt idx="33">
                  <c:v>48.216502546442705</c:v>
                </c:pt>
                <c:pt idx="34">
                  <c:v>48.387859560689719</c:v>
                </c:pt>
                <c:pt idx="35">
                  <c:v>48.54275272954515</c:v>
                </c:pt>
                <c:pt idx="36">
                  <c:v>48.682763886155826</c:v>
                </c:pt>
                <c:pt idx="37">
                  <c:v>48.809322882400238</c:v>
                </c:pt>
                <c:pt idx="38">
                  <c:v>48.923722191127695</c:v>
                </c:pt>
                <c:pt idx="39">
                  <c:v>49.027130105425989</c:v>
                </c:pt>
                <c:pt idx="40">
                  <c:v>49.120602669713925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Sheet2!$C$1</c:f>
              <c:strCache>
                <c:ptCount val="1"/>
                <c:pt idx="0">
                  <c:v>Crit</c:v>
                </c:pt>
              </c:strCache>
            </c:strRef>
          </c:tx>
          <c:marker>
            <c:symbol val="none"/>
          </c:marker>
          <c:xVal>
            <c:numRef>
              <c:f>Sheet2!$A$2:$A$42</c:f>
              <c:numCache>
                <c:formatCode>General</c:formatCode>
                <c:ptCount val="4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</c:numCache>
            </c:numRef>
          </c:xVal>
          <c:yVal>
            <c:numRef>
              <c:f>Sheet2!$C$2:$C$42</c:f>
              <c:numCache>
                <c:formatCode>General</c:formatCode>
                <c:ptCount val="41"/>
                <c:pt idx="0">
                  <c:v>0</c:v>
                </c:pt>
                <c:pt idx="1">
                  <c:v>1.1090328496549973</c:v>
                </c:pt>
                <c:pt idx="2">
                  <c:v>2.1770672372561997</c:v>
                </c:pt>
                <c:pt idx="3">
                  <c:v>3.2056187841770347</c:v>
                </c:pt>
                <c:pt idx="4">
                  <c:v>4.196147082661251</c:v>
                </c:pt>
                <c:pt idx="5">
                  <c:v>5.1500577670944034</c:v>
                </c:pt>
                <c:pt idx="6">
                  <c:v>6.0687045087051184</c:v>
                </c:pt>
                <c:pt idx="7">
                  <c:v>6.9533909365266675</c:v>
                </c:pt>
                <c:pt idx="8">
                  <c:v>7.8053724873449513</c:v>
                </c:pt>
                <c:pt idx="9">
                  <c:v>8.6258581872579967</c:v>
                </c:pt>
                <c:pt idx="10">
                  <c:v>9.4160123673751634</c:v>
                </c:pt>
                <c:pt idx="11">
                  <c:v>10.176956316090935</c:v>
                </c:pt>
                <c:pt idx="12">
                  <c:v>10.909769870277639</c:v>
                </c:pt>
                <c:pt idx="13">
                  <c:v>11.615492947655495</c:v>
                </c:pt>
                <c:pt idx="14">
                  <c:v>12.295127022514295</c:v>
                </c:pt>
                <c:pt idx="15">
                  <c:v>12.949636546880988</c:v>
                </c:pt>
                <c:pt idx="16">
                  <c:v>13.579950319149853</c:v>
                </c:pt>
                <c:pt idx="17">
                  <c:v>14.186962802117518</c:v>
                </c:pt>
                <c:pt idx="18">
                  <c:v>14.771535392293131</c:v>
                </c:pt>
                <c:pt idx="19">
                  <c:v>15.334497642284967</c:v>
                </c:pt>
                <c:pt idx="20">
                  <c:v>15.876648437998259</c:v>
                </c:pt>
                <c:pt idx="21">
                  <c:v>16.398757132314465</c:v>
                </c:pt>
                <c:pt idx="22">
                  <c:v>16.901564636861096</c:v>
                </c:pt>
                <c:pt idx="23">
                  <c:v>17.385784473421218</c:v>
                </c:pt>
                <c:pt idx="24">
                  <c:v>17.852103786474686</c:v>
                </c:pt>
                <c:pt idx="25">
                  <c:v>18.301184318307993</c:v>
                </c:pt>
                <c:pt idx="26">
                  <c:v>18.733663348076508</c:v>
                </c:pt>
                <c:pt idx="27">
                  <c:v>19.150154596151697</c:v>
                </c:pt>
                <c:pt idx="28">
                  <c:v>19.55124909503655</c:v>
                </c:pt>
                <c:pt idx="29">
                  <c:v>19.937516028085444</c:v>
                </c:pt>
                <c:pt idx="30">
                  <c:v>20.309503537218117</c:v>
                </c:pt>
                <c:pt idx="31">
                  <c:v>20.66773950077447</c:v>
                </c:pt>
                <c:pt idx="32">
                  <c:v>21.012732282613769</c:v>
                </c:pt>
                <c:pt idx="33">
                  <c:v>21.344971453521275</c:v>
                </c:pt>
                <c:pt idx="34">
                  <c:v>21.664928485946167</c:v>
                </c:pt>
                <c:pt idx="35">
                  <c:v>21.973057423056474</c:v>
                </c:pt>
                <c:pt idx="36">
                  <c:v>22.269795523060644</c:v>
                </c:pt>
                <c:pt idx="37">
                  <c:v>22.555563879709826</c:v>
                </c:pt>
                <c:pt idx="38">
                  <c:v>22.830768019861829</c:v>
                </c:pt>
                <c:pt idx="39">
                  <c:v>23.095798478954173</c:v>
                </c:pt>
                <c:pt idx="40">
                  <c:v>23.351031355203432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Alacrity</c:v>
                </c:pt>
              </c:strCache>
            </c:strRef>
          </c:tx>
          <c:marker>
            <c:symbol val="none"/>
          </c:marker>
          <c:xVal>
            <c:numRef>
              <c:f>Sheet2!$A$2:$A$42</c:f>
              <c:numCache>
                <c:formatCode>General</c:formatCode>
                <c:ptCount val="4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</c:numCache>
            </c:numRef>
          </c:xVal>
          <c:yVal>
            <c:numRef>
              <c:f>Sheet2!$D$2:$D$42</c:f>
              <c:numCache>
                <c:formatCode>General</c:formatCode>
                <c:ptCount val="41"/>
                <c:pt idx="0">
                  <c:v>0</c:v>
                </c:pt>
                <c:pt idx="1">
                  <c:v>0.91048531249103382</c:v>
                </c:pt>
                <c:pt idx="2">
                  <c:v>1.7933378415066723</c:v>
                </c:pt>
                <c:pt idx="3">
                  <c:v>2.6493962284968342</c:v>
                </c:pt>
                <c:pt idx="4">
                  <c:v>3.4794736625540152</c:v>
                </c:pt>
                <c:pt idx="5">
                  <c:v>4.2843586528798889</c:v>
                </c:pt>
                <c:pt idx="6">
                  <c:v>5.0648157778078904</c:v>
                </c:pt>
                <c:pt idx="7">
                  <c:v>5.8215864110933584</c:v>
                </c:pt>
                <c:pt idx="8">
                  <c:v>6.5553894261611321</c:v>
                </c:pt>
                <c:pt idx="9">
                  <c:v>7.2669218789795389</c:v>
                </c:pt>
                <c:pt idx="10">
                  <c:v>7.9568596702095551</c:v>
                </c:pt>
                <c:pt idx="11">
                  <c:v>8.6258581872579967</c:v>
                </c:pt>
                <c:pt idx="12">
                  <c:v>9.2745529268447235</c:v>
                </c:pt>
                <c:pt idx="13">
                  <c:v>9.903560098675328</c:v>
                </c:pt>
                <c:pt idx="14">
                  <c:v>10.513477210792493</c:v>
                </c:pt>
                <c:pt idx="15">
                  <c:v>11.104883637162335</c:v>
                </c:pt>
                <c:pt idx="16">
                  <c:v>11.678341168034756</c:v>
                </c:pt>
                <c:pt idx="17">
                  <c:v>12.234394543600621</c:v>
                </c:pt>
                <c:pt idx="18">
                  <c:v>12.773571971452697</c:v>
                </c:pt>
                <c:pt idx="19">
                  <c:v>13.296385628341904</c:v>
                </c:pt>
                <c:pt idx="20">
                  <c:v>13.803332146705531</c:v>
                </c:pt>
                <c:pt idx="21">
                  <c:v>14.294893086429544</c:v>
                </c:pt>
                <c:pt idx="22">
                  <c:v>14.771535392293131</c:v>
                </c:pt>
                <c:pt idx="23">
                  <c:v>15.233711837530009</c:v>
                </c:pt>
                <c:pt idx="24">
                  <c:v>15.681861453927976</c:v>
                </c:pt>
                <c:pt idx="25">
                  <c:v>16.116409948874992</c:v>
                </c:pt>
                <c:pt idx="26">
                  <c:v>16.537770109748188</c:v>
                </c:pt>
                <c:pt idx="27">
                  <c:v>16.946342196029924</c:v>
                </c:pt>
                <c:pt idx="28">
                  <c:v>17.342514319523211</c:v>
                </c:pt>
                <c:pt idx="29">
                  <c:v>17.726662813027868</c:v>
                </c:pt>
                <c:pt idx="30">
                  <c:v>18.099152587827476</c:v>
                </c:pt>
                <c:pt idx="31">
                  <c:v>18.460337480326807</c:v>
                </c:pt>
                <c:pt idx="32">
                  <c:v>18.810560588168997</c:v>
                </c:pt>
                <c:pt idx="33">
                  <c:v>19.150154596151683</c:v>
                </c:pt>
                <c:pt idx="34">
                  <c:v>19.479442092251755</c:v>
                </c:pt>
                <c:pt idx="35">
                  <c:v>19.798735874058963</c:v>
                </c:pt>
                <c:pt idx="36">
                  <c:v>20.108339245909328</c:v>
                </c:pt>
                <c:pt idx="37">
                  <c:v>20.40854630700078</c:v>
                </c:pt>
                <c:pt idx="38">
                  <c:v>20.699642230764567</c:v>
                </c:pt>
                <c:pt idx="39">
                  <c:v>20.981903535757926</c:v>
                </c:pt>
                <c:pt idx="40">
                  <c:v>21.255598348335251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98336"/>
        <c:axId val="105608704"/>
      </c:scatterChart>
      <c:valAx>
        <c:axId val="1055983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Rating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5608704"/>
        <c:crosses val="autoZero"/>
        <c:crossBetween val="midCat"/>
        <c:majorUnit val="50"/>
      </c:valAx>
      <c:valAx>
        <c:axId val="105608704"/>
        <c:scaling>
          <c:orientation val="minMax"/>
        </c:scaling>
        <c:delete val="0"/>
        <c:axPos val="l"/>
        <c:majorGridlines/>
        <c:numFmt formatCode="General\ \%" sourceLinked="0"/>
        <c:majorTickMark val="out"/>
        <c:minorTickMark val="none"/>
        <c:tickLblPos val="nextTo"/>
        <c:crossAx val="105598336"/>
        <c:crosses val="autoZero"/>
        <c:crossBetween val="midCat"/>
        <c:majorUnit val="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2</xdr:row>
      <xdr:rowOff>28574</xdr:rowOff>
    </xdr:from>
    <xdr:to>
      <xdr:col>17</xdr:col>
      <xdr:colOff>123824</xdr:colOff>
      <xdr:row>32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zoomScaleNormal="100" workbookViewId="0">
      <pane ySplit="1" topLeftCell="A2" activePane="bottomLeft" state="frozen"/>
      <selection pane="bottomLeft" activeCell="C6" sqref="C6"/>
    </sheetView>
  </sheetViews>
  <sheetFormatPr defaultColWidth="17.140625" defaultRowHeight="12.75" customHeight="1" x14ac:dyDescent="0.2"/>
  <cols>
    <col min="1" max="1" width="23.5703125" customWidth="1"/>
    <col min="2" max="5" width="12.42578125" customWidth="1"/>
    <col min="6" max="20" width="17.140625" customWidth="1"/>
  </cols>
  <sheetData>
    <row r="1" spans="1:11" x14ac:dyDescent="0.2">
      <c r="A1" s="17" t="s">
        <v>20</v>
      </c>
      <c r="B1" s="18"/>
      <c r="C1" s="18"/>
    </row>
    <row r="2" spans="1:11" ht="12.75" customHeight="1" x14ac:dyDescent="0.2">
      <c r="B2" t="s">
        <v>27</v>
      </c>
      <c r="C2" t="s">
        <v>28</v>
      </c>
      <c r="F2" t="s">
        <v>27</v>
      </c>
      <c r="G2" t="s">
        <v>28</v>
      </c>
      <c r="I2" t="s">
        <v>26</v>
      </c>
      <c r="J2" t="s">
        <v>27</v>
      </c>
      <c r="K2" t="s">
        <v>28</v>
      </c>
    </row>
    <row r="3" spans="1:11" x14ac:dyDescent="0.2">
      <c r="A3" s="2" t="s">
        <v>10</v>
      </c>
      <c r="B3" s="7">
        <v>1834</v>
      </c>
      <c r="C3" s="7">
        <v>1607</v>
      </c>
      <c r="E3" s="12" t="s">
        <v>12</v>
      </c>
      <c r="F3" s="13"/>
      <c r="G3" s="13"/>
      <c r="H3" s="14"/>
      <c r="I3" s="12" t="s">
        <v>12</v>
      </c>
      <c r="J3" s="13"/>
      <c r="K3" s="13"/>
    </row>
    <row r="4" spans="1:11" x14ac:dyDescent="0.2">
      <c r="A4" s="2"/>
      <c r="B4" s="7"/>
      <c r="C4" s="7"/>
      <c r="E4" s="12" t="s">
        <v>13</v>
      </c>
      <c r="F4" s="3">
        <f>((1.03*$B$11)+(0.0515*7085))*4*1.02</f>
        <v>3791.0758118400008</v>
      </c>
      <c r="G4" s="3">
        <f>((1.03*$C$11)+(0.0515*7085))*4*1.02</f>
        <v>3607.1031446400002</v>
      </c>
      <c r="H4" s="14"/>
      <c r="I4" s="12" t="s">
        <v>13</v>
      </c>
      <c r="J4" s="3">
        <f>((1.03*$B$11)+(0.0515*7085))*4*1.02</f>
        <v>3791.0758118400008</v>
      </c>
      <c r="K4" s="3">
        <f>((1.03*$C$11)+(0.0515*7085))*4*1.02</f>
        <v>3607.1031446400002</v>
      </c>
    </row>
    <row r="5" spans="1:11" x14ac:dyDescent="0.2">
      <c r="A5" s="2" t="s">
        <v>5</v>
      </c>
      <c r="B5" s="7">
        <v>320</v>
      </c>
      <c r="C5" s="7">
        <v>264</v>
      </c>
      <c r="E5" s="12" t="s">
        <v>14</v>
      </c>
      <c r="F5" s="3">
        <f>F4*(1+($B$12/100))</f>
        <v>6848.7227029158121</v>
      </c>
      <c r="G5" s="3">
        <f>G4*(1+($C$12/100))</f>
        <v>6454.5719215453055</v>
      </c>
      <c r="I5" s="12" t="s">
        <v>14</v>
      </c>
      <c r="J5" s="3">
        <f>J4*(1+($B$12/100))</f>
        <v>6848.7227029158121</v>
      </c>
      <c r="K5" s="3">
        <f>K4*(1+($C$12/100))</f>
        <v>6454.5719215453055</v>
      </c>
    </row>
    <row r="6" spans="1:11" x14ac:dyDescent="0.2">
      <c r="A6" s="2" t="s">
        <v>11</v>
      </c>
      <c r="B6" s="7">
        <v>1210</v>
      </c>
      <c r="C6" s="7">
        <v>1210</v>
      </c>
      <c r="E6" s="12" t="s">
        <v>15</v>
      </c>
      <c r="F6" s="3">
        <f>((F4*(1-($B$13/100)))+(F5*($B$13/100)))</f>
        <v>4852.2753047293299</v>
      </c>
      <c r="G6" s="3">
        <f>((G4*(1-($C$13/100)))+(G5*($C$13/100)))</f>
        <v>4581.0230193165662</v>
      </c>
      <c r="I6" s="12" t="s">
        <v>15</v>
      </c>
      <c r="J6" s="3">
        <f>((J4*(1-(($B$13+25)/100)))+(J5*(($B$13+25)/100)))</f>
        <v>5616.687027498283</v>
      </c>
      <c r="K6" s="3">
        <f>((K4*(1-(($C$13+25)/100)))+(K5*(($C$13+25)/100)))</f>
        <v>5292.8902135428925</v>
      </c>
    </row>
    <row r="7" spans="1:11" x14ac:dyDescent="0.2">
      <c r="A7" s="2" t="s">
        <v>3</v>
      </c>
      <c r="B7" s="7">
        <v>275</v>
      </c>
      <c r="C7" s="7">
        <v>315</v>
      </c>
      <c r="E7" s="12" t="s">
        <v>7</v>
      </c>
      <c r="F7" s="4">
        <f>3*(1-$B$14/100)</f>
        <v>2.74122425438226</v>
      </c>
      <c r="G7" s="4">
        <f>3*(1-$C$14/100)</f>
        <v>2.7103715674399638</v>
      </c>
      <c r="I7" s="12" t="s">
        <v>7</v>
      </c>
      <c r="J7" s="4">
        <f>3*(1-$B$14/100)</f>
        <v>2.74122425438226</v>
      </c>
      <c r="K7" s="4">
        <f>3*(1-$C$14/100)</f>
        <v>2.7103715674399638</v>
      </c>
    </row>
    <row r="8" spans="1:11" x14ac:dyDescent="0.2">
      <c r="A8" s="2" t="s">
        <v>8</v>
      </c>
      <c r="B8" s="7">
        <v>375</v>
      </c>
      <c r="C8" s="7">
        <v>401</v>
      </c>
      <c r="E8" s="5" t="s">
        <v>2</v>
      </c>
      <c r="F8" s="6">
        <f>F6/F7</f>
        <v>1770.1124951642453</v>
      </c>
      <c r="G8" s="6">
        <f>G6/G7</f>
        <v>1690.1826577392469</v>
      </c>
      <c r="I8" s="5" t="s">
        <v>2</v>
      </c>
      <c r="J8" s="6">
        <f>J6/J7</f>
        <v>2048.9702798007725</v>
      </c>
      <c r="K8" s="6">
        <f>K6/K7</f>
        <v>1952.8282679493291</v>
      </c>
    </row>
    <row r="9" spans="1:11" x14ac:dyDescent="0.2">
      <c r="A9" s="2" t="s">
        <v>0</v>
      </c>
      <c r="B9" s="7">
        <v>235</v>
      </c>
      <c r="C9" s="7">
        <v>214</v>
      </c>
      <c r="E9" s="8" t="s">
        <v>16</v>
      </c>
      <c r="F9" s="9">
        <f>F6/37</f>
        <v>131.14257580349539</v>
      </c>
      <c r="G9" s="9">
        <f>G6/37</f>
        <v>123.81143295450178</v>
      </c>
      <c r="I9" s="8" t="s">
        <v>16</v>
      </c>
      <c r="J9" s="9">
        <f>J6/37</f>
        <v>151.80235209454818</v>
      </c>
      <c r="K9" s="9">
        <f>K6/37</f>
        <v>143.05108685251062</v>
      </c>
    </row>
    <row r="10" spans="1:11" ht="12.75" customHeight="1" x14ac:dyDescent="0.2">
      <c r="E10" s="13"/>
      <c r="F10" s="13"/>
      <c r="G10" s="13"/>
      <c r="I10" s="13"/>
      <c r="J10" s="13"/>
      <c r="K10" s="13"/>
    </row>
    <row r="11" spans="1:11" x14ac:dyDescent="0.2">
      <c r="A11" s="2" t="s">
        <v>1</v>
      </c>
      <c r="B11" s="3">
        <f>(((B3*0.14)+(B5*0.17))+(B6*0.17))*1.06</f>
        <v>547.87160000000017</v>
      </c>
      <c r="C11" s="3">
        <f>(((C3*0.14)+(C5*0.17))+(C6*0.17))*1.06</f>
        <v>504.09360000000009</v>
      </c>
      <c r="E11" s="12" t="s">
        <v>17</v>
      </c>
      <c r="F11" s="13"/>
      <c r="G11" s="13"/>
      <c r="I11" s="12" t="s">
        <v>17</v>
      </c>
      <c r="J11" s="13"/>
      <c r="K11" s="13"/>
    </row>
    <row r="12" spans="1:11" x14ac:dyDescent="0.2">
      <c r="A12" s="2" t="s">
        <v>9</v>
      </c>
      <c r="B12" s="4">
        <f>50+(50*(1-((1-(0.01/0.5))^((B9/50)/0.1))))</f>
        <v>80.65380495759014</v>
      </c>
      <c r="C12" s="4">
        <f>50+(50*(1-((1-(0.01/0.5))^((C9/50)/0.1))))</f>
        <v>78.940597557808161</v>
      </c>
      <c r="E12" s="12" t="s">
        <v>13</v>
      </c>
      <c r="F12" s="3">
        <f>((3.41*$B$11)+(0.17*7085))*1.02</f>
        <v>3134.1459991200009</v>
      </c>
      <c r="G12" s="3">
        <f>((3.41*$C$11)+(0.17*7085))*1.02</f>
        <v>2981.87735952</v>
      </c>
      <c r="I12" s="12" t="s">
        <v>13</v>
      </c>
      <c r="J12" s="3">
        <f>((3.41*$B$11)+(0.17*7085))*1.02</f>
        <v>3134.1459991200009</v>
      </c>
      <c r="K12" s="3">
        <f>((3.41*$C$11)+(0.17*7085))*1.02</f>
        <v>2981.87735952</v>
      </c>
    </row>
    <row r="13" spans="1:11" x14ac:dyDescent="0.2">
      <c r="A13" s="2" t="s">
        <v>4</v>
      </c>
      <c r="B13" s="4">
        <f>((5+(30*(1-((1-(0.01/0.3))^((B3/50)/2.5)))))+(30*(1-((1-(0.01/0.3))^((B8/50)/0.45))))+5)</f>
        <v>34.706410867343592</v>
      </c>
      <c r="C13" s="4">
        <f>((5+(30*(1-((1-(0.01/0.3))^((C3/50)/2.5)))))+(30*(1-((1-(0.01/0.3))^((C8/50)/0.45))))+5)</f>
        <v>34.203004527236445</v>
      </c>
      <c r="E13" s="12" t="s">
        <v>14</v>
      </c>
      <c r="F13" s="3">
        <f>F12*(1+($B$12/100))</f>
        <v>5661.9540003363609</v>
      </c>
      <c r="G13" s="3">
        <f>G12*(1+($C$12/100))</f>
        <v>5335.7891655660796</v>
      </c>
      <c r="I13" s="12" t="s">
        <v>14</v>
      </c>
      <c r="J13" s="3">
        <f>J12*(1+($B$12/100))</f>
        <v>5661.9540003363609</v>
      </c>
      <c r="K13" s="3">
        <f>K12*(1+($C$12/100))</f>
        <v>5335.7891655660796</v>
      </c>
    </row>
    <row r="14" spans="1:11" x14ac:dyDescent="0.2">
      <c r="A14" s="2" t="s">
        <v>6</v>
      </c>
      <c r="B14" s="4">
        <f>0.3*(1-(1-(0.01/0.3))^((B7/50)/0.55))*100</f>
        <v>8.6258581872579967</v>
      </c>
      <c r="C14" s="4">
        <f>0.3*(1-(1-(0.01/0.3))^(($C$7/50)/0.55))*100</f>
        <v>9.6542810853345475</v>
      </c>
      <c r="E14" s="12" t="s">
        <v>15</v>
      </c>
      <c r="F14" s="3">
        <f>((F12*(1-($B$13/100)))+(F13*($B$13/100)))</f>
        <v>4011.4574299597366</v>
      </c>
      <c r="G14" s="3">
        <f>((G12*(1-($C$13/100)))+(G13*($C$13/100)))</f>
        <v>3786.9859211090939</v>
      </c>
      <c r="H14" s="10"/>
      <c r="I14" s="12" t="s">
        <v>15</v>
      </c>
      <c r="J14" s="3">
        <f>((J12*(1-($B$13/100)))+(J13*($B$13/100)))</f>
        <v>4011.4574299597366</v>
      </c>
      <c r="K14" s="3">
        <f>((K12*(1-($C$13/100)))+(K13*($C$13/100)))</f>
        <v>3786.9859211090939</v>
      </c>
    </row>
    <row r="15" spans="1:11" ht="12.75" customHeight="1" x14ac:dyDescent="0.2">
      <c r="E15" s="12" t="s">
        <v>7</v>
      </c>
      <c r="F15" s="4">
        <f>2.5*(1-$B$14/100)</f>
        <v>2.2843535453185502</v>
      </c>
      <c r="G15" s="4">
        <f>2.5*(1-$C$14/100)</f>
        <v>2.2586429728666362</v>
      </c>
      <c r="I15" s="12" t="s">
        <v>7</v>
      </c>
      <c r="J15" s="4">
        <f>1.5*(1-$B$14/100)</f>
        <v>1.37061212719113</v>
      </c>
      <c r="K15" s="4">
        <f>1.5*(1-$C$14/100)</f>
        <v>1.3551857837199819</v>
      </c>
    </row>
    <row r="16" spans="1:11" ht="12.75" customHeight="1" x14ac:dyDescent="0.2">
      <c r="A16" s="12"/>
      <c r="B16" s="15"/>
      <c r="C16" s="15"/>
      <c r="E16" s="5" t="s">
        <v>2</v>
      </c>
      <c r="F16" s="6">
        <f>F14/F15</f>
        <v>1756.0580489743518</v>
      </c>
      <c r="G16" s="6">
        <f>G14/G15</f>
        <v>1676.6642477818029</v>
      </c>
      <c r="I16" s="5" t="s">
        <v>2</v>
      </c>
      <c r="J16" s="6">
        <f>J14/J15</f>
        <v>2926.7634149572532</v>
      </c>
      <c r="K16" s="6">
        <f>K14/K15</f>
        <v>2794.4404129696713</v>
      </c>
    </row>
    <row r="17" spans="1:11" x14ac:dyDescent="0.2">
      <c r="A17" s="12"/>
      <c r="B17" s="3"/>
      <c r="C17" s="3"/>
      <c r="E17" s="8" t="s">
        <v>16</v>
      </c>
      <c r="F17" s="9">
        <f>F14/51</f>
        <v>78.656028038426214</v>
      </c>
      <c r="G17" s="9">
        <f>G14/51</f>
        <v>74.254625904099882</v>
      </c>
      <c r="H17" s="14"/>
      <c r="I17" s="8" t="s">
        <v>16</v>
      </c>
      <c r="J17" s="9">
        <f>J14/51</f>
        <v>78.656028038426214</v>
      </c>
      <c r="K17" s="9">
        <f>K14/51</f>
        <v>74.254625904099882</v>
      </c>
    </row>
    <row r="18" spans="1:11" x14ac:dyDescent="0.2">
      <c r="A18" s="12"/>
      <c r="B18" s="3"/>
      <c r="C18" s="3"/>
      <c r="E18" s="13"/>
      <c r="F18" s="13"/>
      <c r="G18" s="13"/>
      <c r="I18" s="13"/>
      <c r="J18" s="13"/>
      <c r="K18" s="13"/>
    </row>
    <row r="19" spans="1:11" x14ac:dyDescent="0.2">
      <c r="A19" s="12"/>
      <c r="B19" s="3"/>
      <c r="C19" s="3"/>
      <c r="E19" s="12" t="s">
        <v>18</v>
      </c>
      <c r="F19" s="13"/>
      <c r="G19" s="13"/>
      <c r="I19" s="12"/>
      <c r="J19" s="15"/>
      <c r="K19" s="15"/>
    </row>
    <row r="20" spans="1:11" x14ac:dyDescent="0.2">
      <c r="A20" s="12"/>
      <c r="B20" s="4"/>
      <c r="C20" s="4"/>
      <c r="E20" s="12" t="s">
        <v>13</v>
      </c>
      <c r="F20" s="3">
        <f>((3.27*$B$11)+(0.164*7085))*1.2</f>
        <v>3544.1761584000005</v>
      </c>
      <c r="G20" s="3">
        <f>((3.27*$C$11)+(0.164*7085))*1.2</f>
        <v>3372.3912864000004</v>
      </c>
      <c r="I20" s="12"/>
      <c r="J20" s="3"/>
      <c r="K20" s="3"/>
    </row>
    <row r="21" spans="1:11" x14ac:dyDescent="0.2">
      <c r="A21" s="12"/>
      <c r="B21" s="3"/>
      <c r="C21" s="3"/>
      <c r="E21" s="12" t="s">
        <v>7</v>
      </c>
      <c r="F21" s="4">
        <f>1.5</f>
        <v>1.5</v>
      </c>
      <c r="G21" s="4">
        <f>1.5</f>
        <v>1.5</v>
      </c>
      <c r="I21" s="12"/>
      <c r="J21" s="4"/>
      <c r="K21" s="4"/>
    </row>
    <row r="22" spans="1:11" ht="12.75" customHeight="1" x14ac:dyDescent="0.2">
      <c r="A22" s="12"/>
      <c r="B22" s="16"/>
      <c r="C22" s="16"/>
      <c r="E22" s="5" t="s">
        <v>2</v>
      </c>
      <c r="F22" s="6">
        <f>F20/F21</f>
        <v>2362.7841056000002</v>
      </c>
      <c r="G22" s="6">
        <f>G20/G21</f>
        <v>2248.2608576000002</v>
      </c>
      <c r="I22" s="12"/>
      <c r="J22" s="3"/>
      <c r="K22" s="3"/>
    </row>
    <row r="23" spans="1:11" ht="12.75" customHeight="1" x14ac:dyDescent="0.2">
      <c r="A23" s="15"/>
      <c r="B23" s="15"/>
      <c r="C23" s="15"/>
      <c r="E23" s="8" t="s">
        <v>16</v>
      </c>
      <c r="F23" s="9">
        <f>F20/35</f>
        <v>101.26217595428572</v>
      </c>
      <c r="G23" s="9">
        <f>G20/35</f>
        <v>96.35403675428573</v>
      </c>
      <c r="I23" s="12"/>
      <c r="J23" s="16"/>
      <c r="K23" s="16"/>
    </row>
    <row r="24" spans="1:11" ht="12.75" customHeight="1" x14ac:dyDescent="0.2">
      <c r="A24" s="12"/>
      <c r="B24" s="15"/>
      <c r="C24" s="15"/>
      <c r="E24" s="13"/>
      <c r="F24" s="13"/>
      <c r="G24" s="13"/>
      <c r="I24" s="15"/>
      <c r="J24" s="15"/>
      <c r="K24" s="15"/>
    </row>
    <row r="25" spans="1:11" x14ac:dyDescent="0.2">
      <c r="A25" s="12"/>
      <c r="B25" s="3"/>
      <c r="C25" s="3"/>
      <c r="E25" s="12" t="s">
        <v>21</v>
      </c>
      <c r="F25" s="13"/>
      <c r="G25" s="13"/>
      <c r="H25" s="14"/>
      <c r="I25" s="12" t="s">
        <v>21</v>
      </c>
      <c r="J25" s="13"/>
      <c r="K25" s="13"/>
    </row>
    <row r="26" spans="1:11" x14ac:dyDescent="0.2">
      <c r="A26" s="12"/>
      <c r="B26" s="3"/>
      <c r="C26" s="3"/>
      <c r="E26" s="12" t="s">
        <v>13</v>
      </c>
      <c r="F26" s="3">
        <f>((1.75*$B$11)+(0.088*7085))*1.02</f>
        <v>1613.9004060000002</v>
      </c>
      <c r="G26" s="3">
        <f>((1.75*$C$11)+(0.088*7085))*1.02</f>
        <v>1535.7566760000004</v>
      </c>
      <c r="I26" s="12" t="s">
        <v>13</v>
      </c>
      <c r="J26" s="3">
        <f>((1.75*$B$11)+(0.088*7085))*1.02</f>
        <v>1613.9004060000002</v>
      </c>
      <c r="K26" s="3">
        <f>((1.75*$C$11)+(0.088*7085))*1.02</f>
        <v>1535.7566760000004</v>
      </c>
    </row>
    <row r="27" spans="1:11" x14ac:dyDescent="0.2">
      <c r="A27" s="12"/>
      <c r="B27" s="3"/>
      <c r="C27" s="3"/>
      <c r="E27" s="12" t="s">
        <v>14</v>
      </c>
      <c r="F27" s="3">
        <f>F26*(1+($B$12/100))</f>
        <v>2915.5724916649956</v>
      </c>
      <c r="G27" s="3">
        <f>G26*(1+($C$12/100))</f>
        <v>2748.0921730683326</v>
      </c>
      <c r="I27" s="12" t="s">
        <v>14</v>
      </c>
      <c r="J27" s="3">
        <f>J26*(1+($B$12/100))</f>
        <v>2915.5724916649956</v>
      </c>
      <c r="K27" s="3">
        <f>K26*(1+($C$12/100))</f>
        <v>2748.0921730683326</v>
      </c>
    </row>
    <row r="28" spans="1:11" x14ac:dyDescent="0.2">
      <c r="A28" s="12"/>
      <c r="B28" s="4"/>
      <c r="C28" s="4"/>
      <c r="E28" s="12" t="s">
        <v>15</v>
      </c>
      <c r="F28" s="3">
        <f>((F26*(1-($B$13/100)))+(F27*($B$13/100)))</f>
        <v>2065.6640681964141</v>
      </c>
      <c r="G28" s="3">
        <f>((G26*(1-($C$13/100)))+(G27*($C$13/100)))</f>
        <v>1950.4118409475766</v>
      </c>
      <c r="I28" s="12" t="s">
        <v>15</v>
      </c>
      <c r="J28" s="3">
        <f>((J26*(1-($B$13/100)))+(J27*($B$13/100)))</f>
        <v>2065.6640681964141</v>
      </c>
      <c r="K28" s="3">
        <f>((K26*(1-($C$13/100)))+(K27*($C$13/100)))</f>
        <v>1950.4118409475766</v>
      </c>
    </row>
    <row r="29" spans="1:11" x14ac:dyDescent="0.2">
      <c r="A29" s="12"/>
      <c r="B29" s="3"/>
      <c r="C29" s="3"/>
      <c r="E29" s="12" t="s">
        <v>7</v>
      </c>
      <c r="F29" s="4">
        <f>1.5*(1-$B$14/100)</f>
        <v>1.37061212719113</v>
      </c>
      <c r="G29" s="4">
        <f>1.5*(1-$C$14/100)</f>
        <v>1.3551857837199819</v>
      </c>
      <c r="I29" s="12" t="s">
        <v>7</v>
      </c>
      <c r="J29" s="4">
        <f>1.5*(1-$B$14/100)</f>
        <v>1.37061212719113</v>
      </c>
      <c r="K29" s="4">
        <f>1.5*(1-$C$14/100)</f>
        <v>1.3551857837199819</v>
      </c>
    </row>
    <row r="30" spans="1:11" ht="12.75" customHeight="1" x14ac:dyDescent="0.2">
      <c r="A30" s="12"/>
      <c r="B30" s="16"/>
      <c r="C30" s="16"/>
      <c r="E30" s="5" t="s">
        <v>2</v>
      </c>
      <c r="F30" s="6">
        <f>F28/F29</f>
        <v>1507.1106020560987</v>
      </c>
      <c r="G30" s="6">
        <f>G28/G29</f>
        <v>1439.2210015616461</v>
      </c>
      <c r="I30" s="5" t="s">
        <v>2</v>
      </c>
      <c r="J30" s="6">
        <f>J28/J29</f>
        <v>1507.1106020560987</v>
      </c>
      <c r="K30" s="6">
        <f>K28/K29</f>
        <v>1439.2210015616461</v>
      </c>
    </row>
    <row r="31" spans="1:11" ht="12.75" customHeight="1" x14ac:dyDescent="0.2">
      <c r="A31" s="15"/>
      <c r="B31" s="15"/>
      <c r="C31" s="15"/>
      <c r="E31" s="8" t="s">
        <v>16</v>
      </c>
      <c r="F31" s="9">
        <f>F28/46</f>
        <v>44.905740612965523</v>
      </c>
      <c r="G31" s="9">
        <f>G28/46</f>
        <v>42.400257411903837</v>
      </c>
      <c r="I31" s="8" t="s">
        <v>16</v>
      </c>
      <c r="J31" s="9">
        <f>J28/21</f>
        <v>98.364955628400665</v>
      </c>
      <c r="K31" s="9">
        <f>K28/21</f>
        <v>92.876754330836974</v>
      </c>
    </row>
    <row r="32" spans="1:11" ht="12.75" customHeight="1" x14ac:dyDescent="0.2">
      <c r="A32" s="12"/>
      <c r="B32" s="15"/>
      <c r="C32" s="15"/>
      <c r="E32" s="13"/>
      <c r="F32" s="13"/>
      <c r="G32" s="13"/>
      <c r="I32" s="13"/>
      <c r="J32" s="13"/>
      <c r="K32" s="13"/>
    </row>
    <row r="33" spans="1:11" x14ac:dyDescent="0.2">
      <c r="A33" s="12"/>
      <c r="B33" s="3"/>
      <c r="C33" s="3"/>
      <c r="E33" s="12" t="s">
        <v>22</v>
      </c>
      <c r="F33" s="13"/>
      <c r="G33" s="13"/>
      <c r="H33" s="1"/>
      <c r="I33" s="12"/>
      <c r="J33" s="15"/>
      <c r="K33" s="15"/>
    </row>
    <row r="34" spans="1:11" x14ac:dyDescent="0.2">
      <c r="A34" s="12"/>
      <c r="B34" s="4"/>
      <c r="C34" s="4"/>
      <c r="E34" s="12" t="s">
        <v>13</v>
      </c>
      <c r="F34" s="3">
        <f>((0.91*$B$11)+(0.045*7085)+((0.33*$B$11)+(0.016*7085))*5)*1.02</f>
        <v>2333.9398219200007</v>
      </c>
      <c r="G34" s="3">
        <f>((0.91*$C$11)+(0.045*7085)+((0.33*$C$11)+(0.016*7085))*5)*1.02</f>
        <v>2219.62670832</v>
      </c>
      <c r="I34" s="12"/>
      <c r="J34" s="3"/>
      <c r="K34" s="3"/>
    </row>
    <row r="35" spans="1:11" x14ac:dyDescent="0.2">
      <c r="A35" s="12"/>
      <c r="B35" s="3"/>
      <c r="C35" s="3"/>
      <c r="E35" s="12" t="s">
        <v>14</v>
      </c>
      <c r="F35" s="3">
        <f>F34*(1+($B$12/100))</f>
        <v>4216.3510937188848</v>
      </c>
      <c r="G35" s="3">
        <f>G34*(1+($C$12/100))</f>
        <v>3971.8132954205157</v>
      </c>
      <c r="I35" s="12"/>
      <c r="J35" s="3"/>
      <c r="K35" s="3"/>
    </row>
    <row r="36" spans="1:11" x14ac:dyDescent="0.2">
      <c r="A36" s="12"/>
      <c r="B36" s="16"/>
      <c r="C36" s="16"/>
      <c r="E36" s="12" t="s">
        <v>15</v>
      </c>
      <c r="F36" s="3">
        <f>((F34*(1-($B$13/100)))+(F35*($B$13/100)))</f>
        <v>2987.2572121237095</v>
      </c>
      <c r="G36" s="3">
        <f>((G34*(1-($C$13/100)))+(G35*($C$13/100)))</f>
        <v>2818.927166031619</v>
      </c>
      <c r="I36" s="12"/>
      <c r="J36" s="3"/>
      <c r="K36" s="3"/>
    </row>
    <row r="37" spans="1:11" ht="12.75" customHeight="1" x14ac:dyDescent="0.2">
      <c r="A37" s="15"/>
      <c r="B37" s="15"/>
      <c r="C37" s="15"/>
      <c r="E37" s="12" t="s">
        <v>7</v>
      </c>
      <c r="F37" s="4">
        <v>1.5</v>
      </c>
      <c r="G37" s="4">
        <v>1.5</v>
      </c>
      <c r="I37" s="12"/>
      <c r="J37" s="4"/>
      <c r="K37" s="4"/>
    </row>
    <row r="38" spans="1:11" ht="12.75" customHeight="1" x14ac:dyDescent="0.2">
      <c r="A38" s="12"/>
      <c r="B38" s="15"/>
      <c r="C38" s="15"/>
      <c r="E38" s="5" t="s">
        <v>2</v>
      </c>
      <c r="F38" s="6">
        <f>F36/F37</f>
        <v>1991.5048080824729</v>
      </c>
      <c r="G38" s="6">
        <f>G36/G37</f>
        <v>1879.2847773544127</v>
      </c>
      <c r="I38" s="12"/>
      <c r="J38" s="3"/>
      <c r="K38" s="3"/>
    </row>
    <row r="39" spans="1:11" ht="12.75" customHeight="1" x14ac:dyDescent="0.2">
      <c r="A39" s="12"/>
      <c r="B39" s="3"/>
      <c r="C39" s="3"/>
      <c r="E39" s="8" t="s">
        <v>16</v>
      </c>
      <c r="F39" s="9">
        <f>F36/28</f>
        <v>106.68775757584676</v>
      </c>
      <c r="G39" s="9">
        <f>G36/28</f>
        <v>100.67597021541496</v>
      </c>
      <c r="I39" s="12"/>
      <c r="J39" s="16"/>
      <c r="K39" s="16"/>
    </row>
    <row r="40" spans="1:11" ht="12.75" customHeight="1" x14ac:dyDescent="0.2">
      <c r="A40" s="12"/>
      <c r="B40" s="3"/>
      <c r="C40" s="3"/>
      <c r="E40" s="13"/>
      <c r="F40" s="13"/>
      <c r="G40" s="13"/>
      <c r="I40" s="13"/>
      <c r="J40" s="13"/>
      <c r="K40" s="13"/>
    </row>
    <row r="41" spans="1:11" ht="12.75" customHeight="1" x14ac:dyDescent="0.2">
      <c r="A41" s="12"/>
      <c r="B41" s="3"/>
      <c r="C41" s="3"/>
      <c r="E41" s="12" t="s">
        <v>23</v>
      </c>
      <c r="F41" s="13"/>
      <c r="G41" s="13"/>
      <c r="I41" s="12" t="s">
        <v>23</v>
      </c>
      <c r="J41" s="13"/>
      <c r="K41" s="13"/>
    </row>
    <row r="42" spans="1:11" ht="12.75" customHeight="1" x14ac:dyDescent="0.2">
      <c r="A42" s="12"/>
      <c r="B42" s="4"/>
      <c r="C42" s="4"/>
      <c r="E42" s="12" t="s">
        <v>13</v>
      </c>
      <c r="F42" s="3">
        <f>((0.376*$B$11)+(0.019*7085))*11*1.12</f>
        <v>4196.3733701120009</v>
      </c>
      <c r="G42" s="3">
        <f>((0.376*$C$11)+(0.019*7085))*11*1.12</f>
        <v>3993.5796651520009</v>
      </c>
      <c r="I42" s="12" t="s">
        <v>13</v>
      </c>
      <c r="J42" s="3">
        <f>((0.376*$B$11)+(0.019*7085))*11*1.12</f>
        <v>4196.3733701120009</v>
      </c>
      <c r="K42" s="3">
        <f>((0.376*$C$11)+(0.019*7085))*11*1.12</f>
        <v>3993.5796651520009</v>
      </c>
    </row>
    <row r="43" spans="1:11" ht="12.75" customHeight="1" x14ac:dyDescent="0.2">
      <c r="A43" s="12"/>
      <c r="B43" s="3"/>
      <c r="C43" s="3"/>
      <c r="E43" s="12" t="s">
        <v>14</v>
      </c>
      <c r="F43" s="3">
        <f>F42*(1+($B$12/100))</f>
        <v>7580.9081633343858</v>
      </c>
      <c r="G43" s="3">
        <f>G42*(1+($C$12/100))</f>
        <v>7146.1353167701045</v>
      </c>
      <c r="I43" s="12" t="s">
        <v>14</v>
      </c>
      <c r="J43" s="3">
        <f>J42*(1+($B$12/100))</f>
        <v>7580.9081633343858</v>
      </c>
      <c r="K43" s="3">
        <f>K42*(1+($C$12/100))</f>
        <v>7146.1353167701045</v>
      </c>
    </row>
    <row r="44" spans="1:11" ht="12.75" customHeight="1" x14ac:dyDescent="0.2">
      <c r="A44" s="12"/>
      <c r="B44" s="16"/>
      <c r="C44" s="16"/>
      <c r="E44" s="12" t="s">
        <v>15</v>
      </c>
      <c r="F44" s="3">
        <f>((F42*(1-($B$13/100)))+(F43*($B$13/100)))</f>
        <v>5371.0239213959594</v>
      </c>
      <c r="G44" s="3">
        <f>((G42*(1-($C$13/100)))+(G43*($C$13/100)))</f>
        <v>5071.8484173985889</v>
      </c>
      <c r="I44" s="12" t="s">
        <v>15</v>
      </c>
      <c r="J44" s="3">
        <f>((J42*(1-($B$13/100)))+(J43*($B$13/100)))</f>
        <v>5371.0239213959594</v>
      </c>
      <c r="K44" s="3">
        <f>((K42*(1-($C$13/100)))+(K43*($C$13/100)))</f>
        <v>5071.8484173985889</v>
      </c>
    </row>
    <row r="45" spans="1:11" ht="12.75" customHeight="1" x14ac:dyDescent="0.2">
      <c r="A45" s="15"/>
      <c r="B45" s="15"/>
      <c r="C45" s="15"/>
      <c r="E45" s="12" t="s">
        <v>7</v>
      </c>
      <c r="F45" s="4">
        <f>2*(1-$B$14/100)</f>
        <v>1.8274828362548401</v>
      </c>
      <c r="G45" s="4">
        <f>2*(1-$C$14/100)</f>
        <v>1.806914378293309</v>
      </c>
      <c r="I45" s="12" t="s">
        <v>7</v>
      </c>
      <c r="J45" s="4">
        <f>2*(1-$B$14/100)</f>
        <v>1.8274828362548401</v>
      </c>
      <c r="K45" s="4">
        <f>2*(1-$C$14/100)</f>
        <v>1.806914378293309</v>
      </c>
    </row>
    <row r="46" spans="1:11" ht="12.75" customHeight="1" x14ac:dyDescent="0.2">
      <c r="A46" s="12"/>
      <c r="B46" s="15"/>
      <c r="C46" s="15"/>
      <c r="E46" s="5" t="s">
        <v>2</v>
      </c>
      <c r="F46" s="6">
        <f>F44/F45</f>
        <v>2939.0283809193475</v>
      </c>
      <c r="G46" s="6">
        <f>G44/G45</f>
        <v>2806.9113170647961</v>
      </c>
      <c r="I46" s="5" t="s">
        <v>2</v>
      </c>
      <c r="J46" s="6">
        <f>J44/J45</f>
        <v>2939.0283809193475</v>
      </c>
      <c r="K46" s="6">
        <f>K44/K45</f>
        <v>2806.9113170647961</v>
      </c>
    </row>
    <row r="47" spans="1:11" ht="12.75" customHeight="1" x14ac:dyDescent="0.2">
      <c r="A47" s="12"/>
      <c r="B47" s="3"/>
      <c r="C47" s="3"/>
      <c r="E47" s="8" t="s">
        <v>16</v>
      </c>
      <c r="F47" s="9">
        <f>F44/91</f>
        <v>59.022240894461092</v>
      </c>
      <c r="G47" s="9">
        <f>G44/91</f>
        <v>55.734597993391084</v>
      </c>
      <c r="I47" s="8" t="s">
        <v>16</v>
      </c>
      <c r="J47" s="9">
        <f>J44/61</f>
        <v>88.049572481900981</v>
      </c>
      <c r="K47" s="9">
        <f>K44/61</f>
        <v>83.14505602292769</v>
      </c>
    </row>
    <row r="48" spans="1:11" ht="12.75" customHeight="1" x14ac:dyDescent="0.2">
      <c r="A48" s="12"/>
      <c r="B48" s="3"/>
      <c r="C48" s="3"/>
      <c r="E48" s="12" t="s">
        <v>25</v>
      </c>
      <c r="F48" s="13"/>
      <c r="G48" s="13"/>
      <c r="I48" s="12" t="s">
        <v>25</v>
      </c>
      <c r="J48" s="13"/>
      <c r="K48" s="13"/>
    </row>
    <row r="49" spans="1:11" ht="12.75" customHeight="1" x14ac:dyDescent="0.2">
      <c r="A49" s="12"/>
      <c r="B49" s="3"/>
      <c r="C49" s="3"/>
      <c r="E49" s="5" t="s">
        <v>2</v>
      </c>
      <c r="F49" s="6">
        <f>F44/F45*2</f>
        <v>5878.0567618386949</v>
      </c>
      <c r="G49" s="6">
        <f>G44/G45*2</f>
        <v>5613.8226341295922</v>
      </c>
      <c r="I49" s="5" t="s">
        <v>2</v>
      </c>
      <c r="J49" s="6">
        <f>J44/J45*2</f>
        <v>5878.0567618386949</v>
      </c>
      <c r="K49" s="6">
        <f>K44/K45*2</f>
        <v>5613.8226341295922</v>
      </c>
    </row>
    <row r="50" spans="1:11" ht="12.75" customHeight="1" x14ac:dyDescent="0.2">
      <c r="A50" s="12"/>
      <c r="B50" s="4"/>
      <c r="C50" s="4"/>
      <c r="E50" s="8" t="s">
        <v>16</v>
      </c>
      <c r="F50" s="9">
        <f>F44/91*2</f>
        <v>118.04448178892218</v>
      </c>
      <c r="G50" s="9">
        <f>G44/91*2</f>
        <v>111.46919598678217</v>
      </c>
      <c r="I50" s="8" t="s">
        <v>16</v>
      </c>
      <c r="J50" s="9">
        <f>J44/61*2</f>
        <v>176.09914496380196</v>
      </c>
      <c r="K50" s="9">
        <f>K44/61*2</f>
        <v>166.29011204585538</v>
      </c>
    </row>
    <row r="51" spans="1:11" ht="12.75" customHeight="1" x14ac:dyDescent="0.2">
      <c r="A51" s="12"/>
      <c r="B51" s="3"/>
      <c r="C51" s="3"/>
      <c r="E51" s="13" t="s">
        <v>24</v>
      </c>
      <c r="F51" s="13"/>
      <c r="G51" s="13"/>
      <c r="I51" s="13" t="s">
        <v>24</v>
      </c>
      <c r="J51" s="13"/>
      <c r="K51" s="13"/>
    </row>
    <row r="52" spans="1:11" ht="12.75" customHeight="1" x14ac:dyDescent="0.2">
      <c r="A52" s="12"/>
      <c r="B52" s="16"/>
      <c r="C52" s="16"/>
      <c r="E52" s="5" t="s">
        <v>2</v>
      </c>
      <c r="F52" s="6">
        <f>F44/F45*3</f>
        <v>8817.0851427580419</v>
      </c>
      <c r="G52" s="6">
        <f>G44/G45*3</f>
        <v>8420.7339511943883</v>
      </c>
      <c r="I52" s="5" t="s">
        <v>2</v>
      </c>
      <c r="J52" s="6">
        <f>J44/J45*3</f>
        <v>8817.0851427580419</v>
      </c>
      <c r="K52" s="6">
        <f>K44/K45*3</f>
        <v>8420.7339511943883</v>
      </c>
    </row>
    <row r="53" spans="1:11" ht="12.75" customHeight="1" x14ac:dyDescent="0.2">
      <c r="A53" s="15"/>
      <c r="B53" s="15"/>
      <c r="C53" s="15"/>
      <c r="E53" s="8" t="s">
        <v>16</v>
      </c>
      <c r="F53" s="9">
        <f>F44/91*3</f>
        <v>177.06672268338326</v>
      </c>
      <c r="G53" s="9">
        <f>G44/91*3</f>
        <v>167.20379398017326</v>
      </c>
      <c r="I53" s="8" t="s">
        <v>16</v>
      </c>
      <c r="J53" s="9">
        <f>J44/61*3</f>
        <v>264.14871744570291</v>
      </c>
      <c r="K53" s="9">
        <f>K44/61*3</f>
        <v>249.43516806878307</v>
      </c>
    </row>
    <row r="54" spans="1:11" ht="12.75" customHeight="1" x14ac:dyDescent="0.2">
      <c r="A54" s="12"/>
      <c r="B54" s="15"/>
      <c r="C54" s="15"/>
    </row>
    <row r="55" spans="1:11" ht="12.75" customHeight="1" x14ac:dyDescent="0.2">
      <c r="A55" s="12"/>
      <c r="B55" s="3"/>
      <c r="C55" s="3"/>
    </row>
    <row r="56" spans="1:11" ht="12.75" customHeight="1" x14ac:dyDescent="0.2">
      <c r="A56" s="12"/>
      <c r="B56" s="3"/>
      <c r="C56" s="3"/>
    </row>
    <row r="57" spans="1:11" ht="12.75" customHeight="1" x14ac:dyDescent="0.2">
      <c r="A57" s="12"/>
      <c r="B57" s="3"/>
      <c r="C57" s="3"/>
    </row>
    <row r="58" spans="1:11" ht="12.75" customHeight="1" x14ac:dyDescent="0.2">
      <c r="A58" s="12"/>
      <c r="B58" s="4"/>
      <c r="C58" s="4"/>
    </row>
    <row r="59" spans="1:11" ht="12.75" customHeight="1" x14ac:dyDescent="0.2">
      <c r="A59" s="12"/>
      <c r="B59" s="3"/>
      <c r="C59" s="3"/>
    </row>
    <row r="60" spans="1:11" ht="12.75" customHeight="1" x14ac:dyDescent="0.2">
      <c r="A60" s="12"/>
      <c r="B60" s="16"/>
      <c r="C60" s="16"/>
    </row>
    <row r="61" spans="1:11" ht="12.75" customHeight="1" x14ac:dyDescent="0.2">
      <c r="A61" s="12"/>
      <c r="B61" s="15"/>
      <c r="C61" s="15"/>
    </row>
    <row r="62" spans="1:11" ht="12.75" customHeight="1" x14ac:dyDescent="0.2">
      <c r="A62" s="12"/>
      <c r="B62" s="3"/>
      <c r="C62" s="3"/>
    </row>
    <row r="63" spans="1:11" ht="12.75" customHeight="1" x14ac:dyDescent="0.2">
      <c r="A63" s="12"/>
      <c r="B63" s="16"/>
      <c r="C63" s="16"/>
    </row>
    <row r="64" spans="1:11" ht="12.75" customHeight="1" x14ac:dyDescent="0.2">
      <c r="A64" s="15"/>
      <c r="B64" s="15"/>
      <c r="C64" s="15"/>
    </row>
    <row r="65" spans="1:3" ht="12.75" customHeight="1" x14ac:dyDescent="0.2">
      <c r="A65" s="12"/>
      <c r="B65" s="3"/>
      <c r="C65" s="3"/>
    </row>
    <row r="66" spans="1:3" ht="12.75" customHeight="1" x14ac:dyDescent="0.2">
      <c r="A66" s="12"/>
      <c r="B66" s="16"/>
      <c r="C66" s="16"/>
    </row>
  </sheetData>
  <mergeCells count="1">
    <mergeCell ref="A1:C1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G36" sqref="G36"/>
    </sheetView>
  </sheetViews>
  <sheetFormatPr defaultRowHeight="12.75" x14ac:dyDescent="0.2"/>
  <sheetData>
    <row r="1" spans="1:4" x14ac:dyDescent="0.2">
      <c r="A1" t="s">
        <v>19</v>
      </c>
      <c r="B1" t="s">
        <v>0</v>
      </c>
      <c r="C1" t="s">
        <v>8</v>
      </c>
      <c r="D1" t="s">
        <v>3</v>
      </c>
    </row>
    <row r="2" spans="1:4" x14ac:dyDescent="0.2">
      <c r="A2">
        <v>0</v>
      </c>
      <c r="B2">
        <f t="shared" ref="B2:B42" si="0">50*(1-((1-(0.01/0.5))^((A2/50)/0.1)))</f>
        <v>0</v>
      </c>
      <c r="C2">
        <f t="shared" ref="C2:C42" si="1">(30*(1-((1-(0.01/0.3))^((A2/50)/0.45))))</f>
        <v>0</v>
      </c>
      <c r="D2">
        <f>0.3*(1-(1-(0.01/0.3))^((A2/50)/0.55))*100</f>
        <v>0</v>
      </c>
    </row>
    <row r="3" spans="1:4" x14ac:dyDescent="0.2">
      <c r="A3">
        <v>25</v>
      </c>
      <c r="B3" s="11">
        <f t="shared" si="0"/>
        <v>4.8039601600000097</v>
      </c>
      <c r="C3" s="11">
        <f t="shared" si="1"/>
        <v>1.1090328496549973</v>
      </c>
      <c r="D3" s="11">
        <f t="shared" ref="D3:D42" si="2">0.3*(1-(1-(0.01/0.3))^((A3/50)/0.55))*100</f>
        <v>0.91048531249103382</v>
      </c>
    </row>
    <row r="4" spans="1:4" x14ac:dyDescent="0.2">
      <c r="A4">
        <v>50</v>
      </c>
      <c r="B4" s="11">
        <f t="shared" si="0"/>
        <v>9.1463596556226712</v>
      </c>
      <c r="C4" s="11">
        <f t="shared" si="1"/>
        <v>2.1770672372561997</v>
      </c>
      <c r="D4" s="11">
        <f t="shared" si="2"/>
        <v>1.7933378415066723</v>
      </c>
    </row>
    <row r="5" spans="1:4" x14ac:dyDescent="0.2">
      <c r="A5">
        <v>75</v>
      </c>
      <c r="B5" s="11">
        <f t="shared" si="0"/>
        <v>13.071544867729823</v>
      </c>
      <c r="C5" s="11">
        <f t="shared" si="1"/>
        <v>3.2056187841770347</v>
      </c>
      <c r="D5" s="11">
        <f t="shared" si="2"/>
        <v>2.6493962284968342</v>
      </c>
    </row>
    <row r="6" spans="1:4" x14ac:dyDescent="0.2">
      <c r="A6">
        <v>100</v>
      </c>
      <c r="B6" s="11">
        <f t="shared" si="0"/>
        <v>16.619601412245295</v>
      </c>
      <c r="C6" s="11">
        <f t="shared" si="1"/>
        <v>4.196147082661251</v>
      </c>
      <c r="D6" s="11">
        <f t="shared" si="2"/>
        <v>3.4794736625540152</v>
      </c>
    </row>
    <row r="7" spans="1:4" x14ac:dyDescent="0.2">
      <c r="A7" s="11">
        <v>125</v>
      </c>
      <c r="B7" s="11">
        <f t="shared" si="0"/>
        <v>19.82676351105518</v>
      </c>
      <c r="C7" s="11">
        <f t="shared" si="1"/>
        <v>5.1500577670944034</v>
      </c>
      <c r="D7" s="11">
        <f t="shared" si="2"/>
        <v>4.2843586528798889</v>
      </c>
    </row>
    <row r="8" spans="1:4" x14ac:dyDescent="0.2">
      <c r="A8" s="11">
        <v>150</v>
      </c>
      <c r="B8" s="11">
        <f t="shared" si="0"/>
        <v>22.725784030878167</v>
      </c>
      <c r="C8" s="11">
        <f t="shared" si="1"/>
        <v>6.0687045087051184</v>
      </c>
      <c r="D8" s="11">
        <f t="shared" si="2"/>
        <v>5.0648157778078904</v>
      </c>
    </row>
    <row r="9" spans="1:4" x14ac:dyDescent="0.2">
      <c r="A9" s="11">
        <v>175</v>
      </c>
      <c r="B9" s="11">
        <f t="shared" si="0"/>
        <v>25.346268969096108</v>
      </c>
      <c r="C9" s="11">
        <f t="shared" si="1"/>
        <v>6.9533909365266675</v>
      </c>
      <c r="D9" s="11">
        <f t="shared" si="2"/>
        <v>5.8215864110933584</v>
      </c>
    </row>
    <row r="10" spans="1:4" x14ac:dyDescent="0.2">
      <c r="A10" s="11">
        <v>200</v>
      </c>
      <c r="B10" s="11">
        <f t="shared" si="0"/>
        <v>27.714979802452476</v>
      </c>
      <c r="C10" s="11">
        <f t="shared" si="1"/>
        <v>7.8053724873449513</v>
      </c>
      <c r="D10" s="11">
        <f t="shared" si="2"/>
        <v>6.5553894261611321</v>
      </c>
    </row>
    <row r="11" spans="1:4" x14ac:dyDescent="0.2">
      <c r="A11" s="11">
        <v>225</v>
      </c>
      <c r="B11" s="11">
        <f t="shared" si="0"/>
        <v>29.856106786328752</v>
      </c>
      <c r="C11" s="11">
        <f t="shared" si="1"/>
        <v>8.6258581872579967</v>
      </c>
      <c r="D11" s="11">
        <f t="shared" si="2"/>
        <v>7.2669218789795389</v>
      </c>
    </row>
    <row r="12" spans="1:4" x14ac:dyDescent="0.2">
      <c r="A12" s="11">
        <v>250</v>
      </c>
      <c r="B12" s="11">
        <f t="shared" si="0"/>
        <v>31.791515995644176</v>
      </c>
      <c r="C12" s="11">
        <f t="shared" si="1"/>
        <v>9.4160123673751634</v>
      </c>
      <c r="D12" s="11">
        <f t="shared" si="2"/>
        <v>7.9568596702095551</v>
      </c>
    </row>
    <row r="13" spans="1:4" x14ac:dyDescent="0.2">
      <c r="A13" s="11">
        <v>275</v>
      </c>
      <c r="B13" s="11">
        <f t="shared" si="0"/>
        <v>33.54097263026263</v>
      </c>
      <c r="C13" s="11">
        <f t="shared" si="1"/>
        <v>10.176956316090935</v>
      </c>
      <c r="D13" s="11">
        <f t="shared" si="2"/>
        <v>8.6258581872579967</v>
      </c>
    </row>
    <row r="14" spans="1:4" x14ac:dyDescent="0.2">
      <c r="A14" s="11">
        <v>300</v>
      </c>
      <c r="B14" s="11">
        <f t="shared" si="0"/>
        <v>35.122342865393996</v>
      </c>
      <c r="C14" s="11">
        <f t="shared" si="1"/>
        <v>10.909769870277639</v>
      </c>
      <c r="D14" s="11">
        <f t="shared" si="2"/>
        <v>9.2745529268447235</v>
      </c>
    </row>
    <row r="15" spans="1:4" x14ac:dyDescent="0.2">
      <c r="A15" s="11">
        <v>325</v>
      </c>
      <c r="B15" s="11">
        <f t="shared" si="0"/>
        <v>36.551776308369732</v>
      </c>
      <c r="C15" s="11">
        <f t="shared" si="1"/>
        <v>11.615492947655495</v>
      </c>
      <c r="D15" s="11">
        <f t="shared" si="2"/>
        <v>9.903560098675328</v>
      </c>
    </row>
    <row r="16" spans="1:4" x14ac:dyDescent="0.2">
      <c r="A16" s="11">
        <v>350</v>
      </c>
      <c r="B16" s="11">
        <f t="shared" si="0"/>
        <v>37.843870925116931</v>
      </c>
      <c r="C16" s="11">
        <f t="shared" si="1"/>
        <v>12.295127022514295</v>
      </c>
      <c r="D16" s="11">
        <f t="shared" si="2"/>
        <v>10.513477210792493</v>
      </c>
    </row>
    <row r="17" spans="1:4" x14ac:dyDescent="0.2">
      <c r="A17" s="11">
        <v>375</v>
      </c>
      <c r="B17" s="11">
        <f t="shared" si="0"/>
        <v>39.011822120628054</v>
      </c>
      <c r="C17" s="11">
        <f t="shared" si="1"/>
        <v>12.949636546880988</v>
      </c>
      <c r="D17" s="11">
        <f t="shared" si="2"/>
        <v>11.104883637162335</v>
      </c>
    </row>
    <row r="18" spans="1:4" x14ac:dyDescent="0.2">
      <c r="A18" s="11">
        <v>400</v>
      </c>
      <c r="B18" s="11">
        <f t="shared" si="0"/>
        <v>40.067557495897979</v>
      </c>
      <c r="C18" s="11">
        <f t="shared" si="1"/>
        <v>13.579950319149853</v>
      </c>
      <c r="D18" s="11">
        <f t="shared" si="2"/>
        <v>11.678341168034756</v>
      </c>
    </row>
    <row r="19" spans="1:4" x14ac:dyDescent="0.2">
      <c r="A19" s="11">
        <v>425</v>
      </c>
      <c r="B19" s="11">
        <f t="shared" si="0"/>
        <v>41.021858657521918</v>
      </c>
      <c r="C19" s="11">
        <f t="shared" si="1"/>
        <v>14.186962802117518</v>
      </c>
      <c r="D19" s="11">
        <f t="shared" si="2"/>
        <v>12.234394543600621</v>
      </c>
    </row>
    <row r="20" spans="1:4" x14ac:dyDescent="0.2">
      <c r="A20" s="11">
        <v>450</v>
      </c>
      <c r="B20" s="11">
        <f t="shared" si="0"/>
        <v>41.884471323924188</v>
      </c>
      <c r="C20" s="11">
        <f t="shared" si="1"/>
        <v>14.771535392293131</v>
      </c>
      <c r="D20" s="11">
        <f t="shared" si="2"/>
        <v>12.773571971452697</v>
      </c>
    </row>
    <row r="21" spans="1:4" x14ac:dyDescent="0.2">
      <c r="A21" s="11">
        <v>475</v>
      </c>
      <c r="B21" s="11">
        <f t="shared" si="0"/>
        <v>42.664204852668306</v>
      </c>
      <c r="C21" s="11">
        <f t="shared" si="1"/>
        <v>15.334497642284967</v>
      </c>
      <c r="D21" s="11">
        <f t="shared" si="2"/>
        <v>13.296385628341904</v>
      </c>
    </row>
    <row r="22" spans="1:4" x14ac:dyDescent="0.2">
      <c r="A22" s="11">
        <v>500</v>
      </c>
      <c r="B22" s="11">
        <f t="shared" si="0"/>
        <v>43.369022205262361</v>
      </c>
      <c r="C22" s="11">
        <f t="shared" si="1"/>
        <v>15.876648437998259</v>
      </c>
      <c r="D22" s="11">
        <f t="shared" si="2"/>
        <v>13.803332146705531</v>
      </c>
    </row>
    <row r="23" spans="1:4" x14ac:dyDescent="0.2">
      <c r="A23" s="11">
        <v>525</v>
      </c>
      <c r="B23" s="11">
        <f t="shared" si="0"/>
        <v>44.006121268217647</v>
      </c>
      <c r="C23" s="11">
        <f t="shared" si="1"/>
        <v>16.398757132314465</v>
      </c>
      <c r="D23" s="11">
        <f t="shared" si="2"/>
        <v>14.294893086429544</v>
      </c>
    </row>
    <row r="24" spans="1:4" x14ac:dyDescent="0.2">
      <c r="A24" s="11">
        <v>550</v>
      </c>
      <c r="B24" s="11">
        <f t="shared" si="0"/>
        <v>44.582008360844725</v>
      </c>
      <c r="C24" s="11">
        <f t="shared" si="1"/>
        <v>16.901564636861096</v>
      </c>
      <c r="D24" s="11">
        <f t="shared" si="2"/>
        <v>14.771535392293131</v>
      </c>
    </row>
    <row r="25" spans="1:4" x14ac:dyDescent="0.2">
      <c r="A25" s="11">
        <v>575</v>
      </c>
      <c r="B25" s="11">
        <f t="shared" si="0"/>
        <v>45.102564680479027</v>
      </c>
      <c r="C25" s="11">
        <f t="shared" si="1"/>
        <v>17.385784473421218</v>
      </c>
      <c r="D25" s="11">
        <f t="shared" si="2"/>
        <v>15.233711837530009</v>
      </c>
    </row>
    <row r="26" spans="1:4" x14ac:dyDescent="0.2">
      <c r="A26" s="11">
        <v>600</v>
      </c>
      <c r="B26" s="11">
        <f t="shared" si="0"/>
        <v>45.573106363702138</v>
      </c>
      <c r="C26" s="11">
        <f t="shared" si="1"/>
        <v>17.852103786474686</v>
      </c>
      <c r="D26" s="11">
        <f t="shared" si="2"/>
        <v>15.681861453927976</v>
      </c>
    </row>
    <row r="27" spans="1:4" x14ac:dyDescent="0.2">
      <c r="A27" s="11">
        <v>625</v>
      </c>
      <c r="B27" s="11">
        <f t="shared" si="0"/>
        <v>45.998438776928793</v>
      </c>
      <c r="C27" s="11">
        <f t="shared" si="1"/>
        <v>18.301184318307993</v>
      </c>
      <c r="D27" s="11">
        <f t="shared" si="2"/>
        <v>16.116409948874992</v>
      </c>
    </row>
    <row r="28" spans="1:4" x14ac:dyDescent="0.2">
      <c r="A28" s="11">
        <v>650</v>
      </c>
      <c r="B28" s="11">
        <f t="shared" si="0"/>
        <v>46.382905590797492</v>
      </c>
      <c r="C28" s="11">
        <f t="shared" si="1"/>
        <v>18.733663348076508</v>
      </c>
      <c r="D28" s="11">
        <f t="shared" si="2"/>
        <v>16.537770109748188</v>
      </c>
    </row>
    <row r="29" spans="1:4" x14ac:dyDescent="0.2">
      <c r="A29" s="11">
        <v>675</v>
      </c>
      <c r="B29" s="11">
        <f t="shared" si="0"/>
        <v>46.730433139532842</v>
      </c>
      <c r="C29" s="11">
        <f t="shared" si="1"/>
        <v>19.150154596151697</v>
      </c>
      <c r="D29" s="11">
        <f t="shared" si="2"/>
        <v>16.946342196029924</v>
      </c>
    </row>
    <row r="30" spans="1:4" x14ac:dyDescent="0.2">
      <c r="A30" s="11">
        <v>700</v>
      </c>
      <c r="B30" s="11">
        <f t="shared" si="0"/>
        <v>47.04457051829565</v>
      </c>
      <c r="C30" s="11">
        <f t="shared" si="1"/>
        <v>19.55124909503655</v>
      </c>
      <c r="D30" s="11">
        <f t="shared" si="2"/>
        <v>17.342514319523211</v>
      </c>
    </row>
    <row r="31" spans="1:4" x14ac:dyDescent="0.2">
      <c r="A31" s="11">
        <v>725</v>
      </c>
      <c r="B31" s="11">
        <f t="shared" si="0"/>
        <v>47.3285258280116</v>
      </c>
      <c r="C31" s="11">
        <f t="shared" si="1"/>
        <v>19.937516028085444</v>
      </c>
      <c r="D31" s="11">
        <f t="shared" si="2"/>
        <v>17.726662813027868</v>
      </c>
    </row>
    <row r="32" spans="1:4" x14ac:dyDescent="0.2">
      <c r="A32" s="11">
        <v>750</v>
      </c>
      <c r="B32" s="11">
        <f t="shared" si="0"/>
        <v>47.585198937825623</v>
      </c>
      <c r="C32" s="11">
        <f t="shared" si="1"/>
        <v>20.309503537218117</v>
      </c>
      <c r="D32" s="11">
        <f t="shared" si="2"/>
        <v>18.099152587827476</v>
      </c>
    </row>
    <row r="33" spans="1:4" x14ac:dyDescent="0.2">
      <c r="A33" s="11">
        <v>775</v>
      </c>
      <c r="B33" s="11">
        <f t="shared" si="0"/>
        <v>47.817211099765849</v>
      </c>
      <c r="C33" s="11">
        <f t="shared" si="1"/>
        <v>20.66773950077447</v>
      </c>
      <c r="D33" s="11">
        <f t="shared" si="2"/>
        <v>18.460337480326807</v>
      </c>
    </row>
    <row r="34" spans="1:4" x14ac:dyDescent="0.2">
      <c r="A34" s="11">
        <v>800</v>
      </c>
      <c r="B34" s="11">
        <f t="shared" si="0"/>
        <v>48.026931718054151</v>
      </c>
      <c r="C34" s="11">
        <f t="shared" si="1"/>
        <v>21.012732282613769</v>
      </c>
      <c r="D34" s="11">
        <f t="shared" si="2"/>
        <v>18.810560588168997</v>
      </c>
    </row>
    <row r="35" spans="1:4" x14ac:dyDescent="0.2">
      <c r="A35" s="11">
        <v>825</v>
      </c>
      <c r="B35" s="11">
        <f t="shared" si="0"/>
        <v>48.216502546442705</v>
      </c>
      <c r="C35" s="11">
        <f t="shared" si="1"/>
        <v>21.344971453521275</v>
      </c>
      <c r="D35" s="11">
        <f t="shared" si="2"/>
        <v>19.150154596151683</v>
      </c>
    </row>
    <row r="36" spans="1:4" x14ac:dyDescent="0.2">
      <c r="A36" s="11">
        <v>850</v>
      </c>
      <c r="B36" s="11">
        <f t="shared" si="0"/>
        <v>48.387859560689719</v>
      </c>
      <c r="C36" s="11">
        <f t="shared" si="1"/>
        <v>21.664928485946167</v>
      </c>
      <c r="D36" s="11">
        <f t="shared" si="2"/>
        <v>19.479442092251755</v>
      </c>
    </row>
    <row r="37" spans="1:4" x14ac:dyDescent="0.2">
      <c r="A37" s="11">
        <v>875</v>
      </c>
      <c r="B37" s="11">
        <f t="shared" si="0"/>
        <v>48.54275272954515</v>
      </c>
      <c r="C37" s="11">
        <f t="shared" si="1"/>
        <v>21.973057423056474</v>
      </c>
      <c r="D37" s="11">
        <f t="shared" si="2"/>
        <v>19.798735874058963</v>
      </c>
    </row>
    <row r="38" spans="1:4" x14ac:dyDescent="0.2">
      <c r="A38" s="11">
        <v>900</v>
      </c>
      <c r="B38" s="11">
        <f t="shared" si="0"/>
        <v>48.682763886155826</v>
      </c>
      <c r="C38" s="11">
        <f t="shared" si="1"/>
        <v>22.269795523060644</v>
      </c>
      <c r="D38" s="11">
        <f t="shared" si="2"/>
        <v>20.108339245909328</v>
      </c>
    </row>
    <row r="39" spans="1:4" x14ac:dyDescent="0.2">
      <c r="A39" s="11">
        <v>925</v>
      </c>
      <c r="B39" s="11">
        <f t="shared" si="0"/>
        <v>48.809322882400238</v>
      </c>
      <c r="C39" s="11">
        <f t="shared" si="1"/>
        <v>22.555563879709826</v>
      </c>
      <c r="D39" s="11">
        <f t="shared" si="2"/>
        <v>20.40854630700078</v>
      </c>
    </row>
    <row r="40" spans="1:4" x14ac:dyDescent="0.2">
      <c r="A40" s="11">
        <v>950</v>
      </c>
      <c r="B40" s="11">
        <f t="shared" si="0"/>
        <v>48.923722191127695</v>
      </c>
      <c r="C40" s="11">
        <f t="shared" si="1"/>
        <v>22.830768019861829</v>
      </c>
      <c r="D40" s="11">
        <f t="shared" si="2"/>
        <v>20.699642230764567</v>
      </c>
    </row>
    <row r="41" spans="1:4" x14ac:dyDescent="0.2">
      <c r="A41" s="11">
        <v>975</v>
      </c>
      <c r="B41" s="11">
        <f t="shared" si="0"/>
        <v>49.027130105425989</v>
      </c>
      <c r="C41" s="11">
        <f t="shared" si="1"/>
        <v>23.095798478954173</v>
      </c>
      <c r="D41" s="11">
        <f t="shared" si="2"/>
        <v>20.981903535757926</v>
      </c>
    </row>
    <row r="42" spans="1:4" x14ac:dyDescent="0.2">
      <c r="A42" s="11">
        <v>1000</v>
      </c>
      <c r="B42" s="11">
        <f t="shared" si="0"/>
        <v>49.120602669713925</v>
      </c>
      <c r="C42" s="11">
        <f t="shared" si="1"/>
        <v>23.351031355203432</v>
      </c>
      <c r="D42" s="11">
        <f t="shared" si="2"/>
        <v>21.255598348335251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Asmo</dc:creator>
  <cp:lastModifiedBy>Asmo</cp:lastModifiedBy>
  <dcterms:created xsi:type="dcterms:W3CDTF">2012-01-09T03:22:13Z</dcterms:created>
  <dcterms:modified xsi:type="dcterms:W3CDTF">2012-01-24T18:01:04Z</dcterms:modified>
</cp:coreProperties>
</file>