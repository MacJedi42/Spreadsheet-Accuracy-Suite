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5" windowWidth="20115" windowHeight="8190" tabRatio="891"/>
  </bookViews>
  <sheets>
    <sheet name="MASTER CHART" sheetId="25" r:id="rId1"/>
    <sheet name="Place vs comp 4104" sheetId="20" r:id="rId2"/>
    <sheet name="Place vs comp 4106" sheetId="16" r:id="rId3"/>
    <sheet name="Place vs comp 4114" sheetId="23" r:id="rId4"/>
    <sheet name="Place vs comp 4116" sheetId="24" r:id="rId5"/>
    <sheet name="Place vs comp 4124" sheetId="22" r:id="rId6"/>
    <sheet name="Place vs comp 4126" sheetId="28" r:id="rId7"/>
  </sheets>
  <definedNames>
    <definedName name="_xlnm.Print_Area" localSheetId="0">'MASTER CHART'!#REF!</definedName>
    <definedName name="_xlnm.Print_Area" localSheetId="1">'Place vs comp 4104'!$A$1:$E$52</definedName>
    <definedName name="_xlnm.Print_Area" localSheetId="2">'Place vs comp 4106'!$A$1:$E$47</definedName>
    <definedName name="_xlnm.Print_Area" localSheetId="3">'Place vs comp 4114'!$A$1:$F$46</definedName>
    <definedName name="_xlnm.Print_Area" localSheetId="4">'Place vs comp 4116'!$A$1:$E$46</definedName>
    <definedName name="_xlnm.Print_Area" localSheetId="5">'Place vs comp 4124'!$A$1:$E$47</definedName>
    <definedName name="_xlnm.Print_Area" localSheetId="6">'Place vs comp 4126'!$A$1:$E$49</definedName>
  </definedNames>
  <calcPr calcId="145621"/>
</workbook>
</file>

<file path=xl/calcChain.xml><?xml version="1.0" encoding="utf-8"?>
<calcChain xmlns="http://schemas.openxmlformats.org/spreadsheetml/2006/main">
  <c r="D21" i="28" l="1"/>
  <c r="C21" i="28"/>
  <c r="E21" i="28" s="1"/>
  <c r="D20" i="28"/>
  <c r="C20" i="28"/>
  <c r="E20" i="28" s="1"/>
  <c r="D19" i="28"/>
  <c r="C19" i="28"/>
  <c r="E19" i="28" s="1"/>
  <c r="E18" i="28"/>
  <c r="E17" i="28"/>
  <c r="D16" i="28"/>
  <c r="C16" i="28"/>
  <c r="E16" i="28" s="1"/>
  <c r="E15" i="28"/>
  <c r="E14" i="28"/>
  <c r="D13" i="28"/>
  <c r="D22" i="28" s="1"/>
  <c r="C13" i="28"/>
  <c r="C22" i="28" s="1"/>
  <c r="E22" i="28" s="1"/>
  <c r="E12" i="28"/>
  <c r="E11" i="28"/>
  <c r="E13" i="28" l="1"/>
  <c r="D22" i="24" l="1"/>
  <c r="C22" i="24"/>
  <c r="E22" i="24" s="1"/>
  <c r="D21" i="24"/>
  <c r="C21" i="24"/>
  <c r="E21" i="24" s="1"/>
  <c r="D20" i="24"/>
  <c r="C20" i="24"/>
  <c r="E20" i="24" s="1"/>
  <c r="E19" i="24"/>
  <c r="E18" i="24"/>
  <c r="D17" i="24"/>
  <c r="D23" i="24" s="1"/>
  <c r="C17" i="24"/>
  <c r="E17" i="24" s="1"/>
  <c r="E16" i="24"/>
  <c r="E15" i="24"/>
  <c r="D14" i="24"/>
  <c r="C14" i="24"/>
  <c r="C23" i="24" s="1"/>
  <c r="E23" i="24" s="1"/>
  <c r="E13" i="24"/>
  <c r="E12" i="24"/>
  <c r="E14" i="24" l="1"/>
  <c r="E31" i="23" l="1"/>
  <c r="E20" i="23"/>
  <c r="D20" i="23"/>
  <c r="C20" i="23"/>
  <c r="F20" i="23" s="1"/>
  <c r="E19" i="23"/>
  <c r="D19" i="23"/>
  <c r="C19" i="23"/>
  <c r="F19" i="23" s="1"/>
  <c r="E18" i="23"/>
  <c r="D18" i="23"/>
  <c r="C18" i="23"/>
  <c r="F18" i="23" s="1"/>
  <c r="F17" i="23"/>
  <c r="F16" i="23"/>
  <c r="E15" i="23"/>
  <c r="D15" i="23"/>
  <c r="C15" i="23"/>
  <c r="F15" i="23" s="1"/>
  <c r="F14" i="23"/>
  <c r="F13" i="23"/>
  <c r="E12" i="23"/>
  <c r="E21" i="23" s="1"/>
  <c r="D12" i="23"/>
  <c r="D21" i="23" s="1"/>
  <c r="C12" i="23"/>
  <c r="C21" i="23" s="1"/>
  <c r="F21" i="23" s="1"/>
  <c r="F11" i="23"/>
  <c r="F10" i="23"/>
  <c r="F12" i="23" l="1"/>
  <c r="D22" i="22" l="1"/>
  <c r="C22" i="22"/>
  <c r="E22" i="22" s="1"/>
  <c r="D21" i="22"/>
  <c r="C21" i="22"/>
  <c r="E21" i="22" s="1"/>
  <c r="D20" i="22"/>
  <c r="C20" i="22"/>
  <c r="E20" i="22" s="1"/>
  <c r="E19" i="22"/>
  <c r="E18" i="22"/>
  <c r="D17" i="22"/>
  <c r="C17" i="22"/>
  <c r="C23" i="22" s="1"/>
  <c r="E16" i="22"/>
  <c r="E15" i="22"/>
  <c r="D14" i="22"/>
  <c r="D23" i="22" s="1"/>
  <c r="C14" i="22"/>
  <c r="E13" i="22"/>
  <c r="E12" i="22"/>
  <c r="D24" i="20"/>
  <c r="C24" i="20"/>
  <c r="D23" i="20"/>
  <c r="C23" i="20"/>
  <c r="E23" i="20" s="1"/>
  <c r="D22" i="20"/>
  <c r="C22" i="20"/>
  <c r="E21" i="20"/>
  <c r="E20" i="20"/>
  <c r="D19" i="20"/>
  <c r="C19" i="20"/>
  <c r="E18" i="20"/>
  <c r="E17" i="20"/>
  <c r="D16" i="20"/>
  <c r="C16" i="20"/>
  <c r="E15" i="20"/>
  <c r="E14" i="20"/>
  <c r="D13" i="20"/>
  <c r="D25" i="20" s="1"/>
  <c r="C13" i="20"/>
  <c r="C25" i="20" s="1"/>
  <c r="E12" i="20"/>
  <c r="E11" i="20"/>
  <c r="E23" i="22" l="1"/>
  <c r="E14" i="22"/>
  <c r="E17" i="22"/>
  <c r="E25" i="20"/>
  <c r="E16" i="20"/>
  <c r="E19" i="20"/>
  <c r="E22" i="20"/>
  <c r="E24" i="20"/>
  <c r="E13" i="20"/>
  <c r="C45" i="16" l="1"/>
  <c r="D45" i="16" s="1"/>
  <c r="C40" i="16"/>
  <c r="D40" i="16" s="1"/>
  <c r="C35" i="16"/>
  <c r="D35" i="16" s="1"/>
  <c r="C22" i="16"/>
  <c r="D22" i="16"/>
  <c r="D21" i="16"/>
  <c r="C21" i="16"/>
  <c r="E21" i="16" l="1"/>
  <c r="E22" i="16"/>
  <c r="D31" i="16"/>
  <c r="D32" i="16"/>
  <c r="D33" i="16"/>
  <c r="D34" i="16"/>
  <c r="D36" i="16"/>
  <c r="D37" i="16"/>
  <c r="D38" i="16"/>
  <c r="D39" i="16"/>
  <c r="D41" i="16"/>
  <c r="D42" i="16"/>
  <c r="D43" i="16"/>
  <c r="D44" i="16"/>
  <c r="D20" i="16"/>
  <c r="C20" i="16"/>
  <c r="E20" i="16" s="1"/>
  <c r="E19" i="16"/>
  <c r="E18" i="16"/>
  <c r="D17" i="16"/>
  <c r="C17" i="16"/>
  <c r="E17" i="16" s="1"/>
  <c r="E16" i="16"/>
  <c r="E15" i="16"/>
  <c r="D14" i="16"/>
  <c r="D23" i="16" s="1"/>
  <c r="C14" i="16"/>
  <c r="E13" i="16"/>
  <c r="E12" i="16"/>
  <c r="E14" i="16" l="1"/>
  <c r="C23" i="16"/>
  <c r="E23" i="16" s="1"/>
</calcChain>
</file>

<file path=xl/sharedStrings.xml><?xml version="1.0" encoding="utf-8"?>
<sst xmlns="http://schemas.openxmlformats.org/spreadsheetml/2006/main" count="378" uniqueCount="83">
  <si>
    <t>Placed into</t>
  </si>
  <si>
    <t>CMS 185</t>
  </si>
  <si>
    <t>RDG 020</t>
  </si>
  <si>
    <t>RDG 030</t>
  </si>
  <si>
    <t>Bluegrass Community &amp; Technical College</t>
  </si>
  <si>
    <t>QEP Data</t>
  </si>
  <si>
    <r>
      <t xml:space="preserve">Developmental Reading Students:  </t>
    </r>
    <r>
      <rPr>
        <b/>
        <i/>
        <sz val="16"/>
        <color theme="1"/>
        <rFont val="Arial"/>
        <family val="2"/>
      </rPr>
      <t>Placement vs Enrollment</t>
    </r>
  </si>
  <si>
    <t>A. Students enrolled in course into which they placed</t>
  </si>
  <si>
    <t>A</t>
  </si>
  <si>
    <t>B</t>
  </si>
  <si>
    <t>C=A/B</t>
  </si>
  <si>
    <t>Status</t>
  </si>
  <si>
    <r>
      <t>Enrolled</t>
    </r>
    <r>
      <rPr>
        <vertAlign val="superscript"/>
        <sz val="11"/>
        <color theme="1"/>
        <rFont val="Arial"/>
        <family val="2"/>
      </rPr>
      <t>1</t>
    </r>
  </si>
  <si>
    <t>% Enrolled</t>
  </si>
  <si>
    <t>Fulltime</t>
  </si>
  <si>
    <t>Parttime</t>
  </si>
  <si>
    <t>Total</t>
  </si>
  <si>
    <t>FT+PT</t>
  </si>
  <si>
    <t>All Dev. Rdng</t>
  </si>
  <si>
    <r>
      <rPr>
        <vertAlign val="superscript"/>
        <sz val="8"/>
        <color theme="1"/>
        <rFont val="Arial"/>
        <family val="2"/>
      </rPr>
      <t>1</t>
    </r>
    <r>
      <rPr>
        <sz val="8"/>
        <color theme="1"/>
        <rFont val="Arial"/>
        <family val="2"/>
      </rPr>
      <t>Does not include students who placed into a different reading level</t>
    </r>
  </si>
  <si>
    <r>
      <t xml:space="preserve">B. Students enrolled in course </t>
    </r>
    <r>
      <rPr>
        <b/>
        <i/>
        <u/>
        <sz val="13"/>
        <color theme="1"/>
        <rFont val="Arial"/>
        <family val="2"/>
      </rPr>
      <t>different from</t>
    </r>
    <r>
      <rPr>
        <b/>
        <i/>
        <sz val="13"/>
        <color theme="1"/>
        <rFont val="Arial"/>
        <family val="2"/>
      </rPr>
      <t xml:space="preserve"> that into which they placed</t>
    </r>
  </si>
  <si>
    <t>Placed into:</t>
  </si>
  <si>
    <t>Enrolled in:</t>
  </si>
  <si>
    <t># students</t>
  </si>
  <si>
    <t>No rdg enrl</t>
  </si>
  <si>
    <t>Office of Institutional Research</t>
  </si>
  <si>
    <t>Source: PS/RDM unofficial data as of January 20, 2011</t>
  </si>
  <si>
    <t>Source:  PS/RDM unofficial data as of January 20, 2011</t>
  </si>
  <si>
    <t>% of total</t>
  </si>
  <si>
    <t>- based on COMPASS reading scores and 2010-2011 Mandatory Placement Plan -</t>
  </si>
  <si>
    <t>October 21, 2010</t>
  </si>
  <si>
    <t>- first-time freshmen, Fall 2010 -</t>
  </si>
  <si>
    <t>DRE/RDG 010</t>
  </si>
  <si>
    <t>DRE/RDG 030</t>
  </si>
  <si>
    <t>Source: PS/RDM unofficial data as of October 8, 2010</t>
  </si>
  <si>
    <t>Placement levels based on COMPASS scores and 2010-2011 Mandatoruy Placement Guidelines</t>
  </si>
  <si>
    <t>Source:  PS/RDM unofficial data as of October 8, 2010</t>
  </si>
  <si>
    <t>August 30, 2012</t>
  </si>
  <si>
    <r>
      <t xml:space="preserve">Transitional Reading Students:  </t>
    </r>
    <r>
      <rPr>
        <b/>
        <i/>
        <sz val="17"/>
        <color theme="1"/>
        <rFont val="Arial"/>
        <family val="2"/>
      </rPr>
      <t>Placement vs Enrollment</t>
    </r>
  </si>
  <si>
    <t>- first-time freshmen, Fall 2012 -</t>
  </si>
  <si>
    <r>
      <t>Enrolled</t>
    </r>
    <r>
      <rPr>
        <b/>
        <vertAlign val="superscript"/>
        <sz val="11"/>
        <color theme="1"/>
        <rFont val="Arial"/>
        <family val="2"/>
      </rPr>
      <t>1,2</t>
    </r>
  </si>
  <si>
    <r>
      <t>Placed into</t>
    </r>
    <r>
      <rPr>
        <b/>
        <vertAlign val="superscript"/>
        <sz val="11"/>
        <color theme="1"/>
        <rFont val="Arial"/>
        <family val="2"/>
      </rPr>
      <t>2</t>
    </r>
  </si>
  <si>
    <t>RDG 185</t>
  </si>
  <si>
    <t>All Trans. Rdng</t>
  </si>
  <si>
    <t>Source: PeopleSoft/unofficial data</t>
  </si>
  <si>
    <r>
      <rPr>
        <vertAlign val="super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>Includes non-compliant students from previous term</t>
    </r>
  </si>
  <si>
    <t>as of 8/27/12</t>
  </si>
  <si>
    <t>Source: PeopleSoft/unofficial data as of 8/27/12</t>
  </si>
  <si>
    <t>Office of Institutional Planning, Research, and Effectiveness</t>
  </si>
  <si>
    <t>October 14, 2011</t>
  </si>
  <si>
    <t>- first-time freshmen, Fall 2011 -</t>
  </si>
  <si>
    <r>
      <t>Enrolled at BCTC</t>
    </r>
    <r>
      <rPr>
        <vertAlign val="superscript"/>
        <sz val="11"/>
        <color theme="1"/>
        <rFont val="Arial"/>
        <family val="2"/>
      </rPr>
      <t>1</t>
    </r>
  </si>
  <si>
    <r>
      <t>Enrolled at other KCTCS College</t>
    </r>
    <r>
      <rPr>
        <vertAlign val="superscript"/>
        <sz val="11"/>
        <color theme="1"/>
        <rFont val="Arial"/>
        <family val="2"/>
      </rPr>
      <t>1,2</t>
    </r>
  </si>
  <si>
    <t>Based on 2010-2011 Mandatory Placement guidelines, students were placed in developmental courses according to their highest score on the reading component of the Compass Test (49-69 = RDG 020; 70-82 = RDG 030; 83-84 = CMS 185).</t>
  </si>
  <si>
    <r>
      <rPr>
        <vertAlign val="super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>BCTC students enrolled in reading courses at a different KCTCS College</t>
    </r>
  </si>
  <si>
    <t>Source: DSS/Unofficial data as of Sept. 28, 2011</t>
  </si>
  <si>
    <t>B. Students enrolled in reading courses</t>
  </si>
  <si>
    <t>Enrolled in</t>
  </si>
  <si>
    <t>Enrolled at BCTC</t>
  </si>
  <si>
    <t>Enrolled at other KCTCS College</t>
  </si>
  <si>
    <t>Based on 2010-2011 Mandatory Placement guidelines, students were placed in developmental courses according to their highest score on  reading component of Compass Test (49-69 = RDG020; 70-82 = RDG 030; 83-84 = CMS 185).</t>
  </si>
  <si>
    <t>February 29, 2012</t>
  </si>
  <si>
    <t>- first-time freshmen, Spring 2012 -</t>
  </si>
  <si>
    <r>
      <t>Enrolled</t>
    </r>
    <r>
      <rPr>
        <b/>
        <vertAlign val="superscript"/>
        <sz val="11"/>
        <color theme="1"/>
        <rFont val="Arial"/>
        <family val="2"/>
      </rPr>
      <t>1</t>
    </r>
  </si>
  <si>
    <t>Source: DSS unofficial data</t>
  </si>
  <si>
    <t>Office of Institutional Plannin, Research, and Effectiveness</t>
  </si>
  <si>
    <t>Fall 2012</t>
  </si>
  <si>
    <t>Fall 2010</t>
  </si>
  <si>
    <t>Spring 2011</t>
  </si>
  <si>
    <t>Fall 2011</t>
  </si>
  <si>
    <t>Spring 2012</t>
  </si>
  <si>
    <t>Overall</t>
  </si>
  <si>
    <t>- first-time freshmen, Spring 2013 -</t>
  </si>
  <si>
    <t>Source: PeopleSoft / KCTCS unofficial data</t>
  </si>
  <si>
    <t>Spring 2013</t>
  </si>
  <si>
    <t>February 11, 2013</t>
  </si>
  <si>
    <t>ESL 10</t>
  </si>
  <si>
    <t>ESL 92</t>
  </si>
  <si>
    <t>ESL 30</t>
  </si>
  <si>
    <t>GEN 95</t>
  </si>
  <si>
    <r>
      <rPr>
        <vertAlign val="super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>Includes students who placed into equivalent ESL or GEN reading course</t>
    </r>
  </si>
  <si>
    <t>-used for Master Chart to enable longitudinal comparisons</t>
  </si>
  <si>
    <r>
      <t xml:space="preserve">Compliance excluding DRE/RDG 010:  </t>
    </r>
    <r>
      <rPr>
        <b/>
        <sz val="12"/>
        <color rgb="FFFF0000"/>
        <rFont val="Arial"/>
        <family val="2"/>
      </rPr>
      <t>56.8%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</si>
</sst>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[$-409]mmmm\ d\,\ yyyy;@"/>
  </numFmts>
  <fonts count="54" x14ac:knownFonts="1"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name val="Arial"/>
      <family val="2"/>
    </font>
    <font>
      <b/>
      <sz val="16"/>
      <color theme="1"/>
      <name val="Arial"/>
      <family val="2"/>
    </font>
    <font>
      <b/>
      <i/>
      <sz val="16"/>
      <color theme="1"/>
      <name val="Arial"/>
      <family val="2"/>
    </font>
    <font>
      <b/>
      <sz val="11"/>
      <color theme="1"/>
      <name val="Arial"/>
      <family val="2"/>
    </font>
    <font>
      <b/>
      <i/>
      <sz val="14"/>
      <color theme="1"/>
      <name val="Arial"/>
      <family val="2"/>
    </font>
    <font>
      <sz val="11"/>
      <color theme="1"/>
      <name val="Arial"/>
      <family val="2"/>
    </font>
    <font>
      <vertAlign val="superscript"/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8"/>
      <color theme="1"/>
      <name val="Arial"/>
      <family val="2"/>
    </font>
    <font>
      <vertAlign val="superscript"/>
      <sz val="8"/>
      <color theme="1"/>
      <name val="Arial"/>
      <family val="2"/>
    </font>
    <font>
      <sz val="8"/>
      <name val="Arial"/>
      <family val="2"/>
    </font>
    <font>
      <b/>
      <i/>
      <sz val="13"/>
      <color theme="1"/>
      <name val="Arial"/>
      <family val="2"/>
    </font>
    <font>
      <b/>
      <i/>
      <u/>
      <sz val="13"/>
      <color theme="1"/>
      <name val="Arial"/>
      <family val="2"/>
    </font>
    <font>
      <i/>
      <sz val="11"/>
      <color theme="1"/>
      <name val="Arial"/>
      <family val="2"/>
    </font>
    <font>
      <sz val="12"/>
      <color theme="1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7"/>
      <color theme="1"/>
      <name val="Arial"/>
      <family val="2"/>
    </font>
    <font>
      <b/>
      <i/>
      <sz val="17"/>
      <color theme="1"/>
      <name val="Arial"/>
      <family val="2"/>
    </font>
    <font>
      <b/>
      <vertAlign val="superscript"/>
      <sz val="11"/>
      <color theme="1"/>
      <name val="Arial"/>
      <family val="2"/>
    </font>
    <font>
      <sz val="12"/>
      <color theme="0"/>
      <name val="Arial"/>
      <family val="2"/>
    </font>
    <font>
      <sz val="12"/>
      <color rgb="FF9C0006"/>
      <name val="Arial"/>
      <family val="2"/>
    </font>
    <font>
      <b/>
      <sz val="12"/>
      <color rgb="FFFA7D00"/>
      <name val="Arial"/>
      <family val="2"/>
    </font>
    <font>
      <b/>
      <sz val="12"/>
      <color theme="0"/>
      <name val="Arial"/>
      <family val="2"/>
    </font>
    <font>
      <i/>
      <sz val="12"/>
      <color rgb="FF7F7F7F"/>
      <name val="Arial"/>
      <family val="2"/>
    </font>
    <font>
      <sz val="12"/>
      <color rgb="FF006100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3F3F76"/>
      <name val="Arial"/>
      <family val="2"/>
    </font>
    <font>
      <sz val="12"/>
      <color rgb="FFFA7D00"/>
      <name val="Arial"/>
      <family val="2"/>
    </font>
    <font>
      <sz val="12"/>
      <color rgb="FF9C6500"/>
      <name val="Arial"/>
      <family val="2"/>
    </font>
    <font>
      <b/>
      <sz val="12"/>
      <color rgb="FF3F3F3F"/>
      <name val="Arial"/>
      <family val="2"/>
    </font>
    <font>
      <sz val="12"/>
      <color rgb="FFFF0000"/>
      <name val="Arial"/>
      <family val="2"/>
    </font>
    <font>
      <b/>
      <sz val="8"/>
      <color theme="1"/>
      <name val="Arial"/>
      <family val="2"/>
    </font>
    <font>
      <b/>
      <i/>
      <sz val="11"/>
      <color theme="1"/>
      <name val="Arial"/>
      <family val="2"/>
    </font>
    <font>
      <b/>
      <sz val="12"/>
      <color rgb="FFFF000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76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 style="thick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dotted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dotted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 style="thick">
        <color auto="1"/>
      </right>
      <top style="dotted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dotted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dotted">
        <color auto="1"/>
      </bottom>
      <diagonal/>
    </border>
    <border>
      <left style="thick">
        <color auto="1"/>
      </left>
      <right style="thin">
        <color auto="1"/>
      </right>
      <top style="dotted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dotted">
        <color auto="1"/>
      </top>
      <bottom style="thick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ck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medium">
        <color indexed="64"/>
      </right>
      <top style="thick">
        <color auto="1"/>
      </top>
      <bottom style="dashed">
        <color auto="1"/>
      </bottom>
      <diagonal/>
    </border>
    <border>
      <left style="medium">
        <color indexed="64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medium">
        <color indexed="64"/>
      </right>
      <top style="dashed">
        <color auto="1"/>
      </top>
      <bottom style="dashed">
        <color auto="1"/>
      </bottom>
      <diagonal/>
    </border>
    <border>
      <left style="medium">
        <color indexed="64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dashed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dashed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ck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ck">
        <color auto="1"/>
      </right>
      <top/>
      <bottom style="dotted">
        <color auto="1"/>
      </bottom>
      <diagonal/>
    </border>
  </borders>
  <cellStyleXfs count="180">
    <xf numFmtId="0" fontId="0" fillId="0" borderId="0"/>
    <xf numFmtId="0" fontId="18" fillId="0" borderId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8" fillId="11" borderId="0" applyNumberFormat="0" applyBorder="0" applyAlignment="0" applyProtection="0"/>
    <xf numFmtId="0" fontId="1" fillId="11" borderId="0" applyNumberFormat="0" applyBorder="0" applyAlignment="0" applyProtection="0"/>
    <xf numFmtId="0" fontId="18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8" fillId="15" borderId="0" applyNumberFormat="0" applyBorder="0" applyAlignment="0" applyProtection="0"/>
    <xf numFmtId="0" fontId="1" fillId="15" borderId="0" applyNumberFormat="0" applyBorder="0" applyAlignment="0" applyProtection="0"/>
    <xf numFmtId="0" fontId="18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8" fillId="19" borderId="0" applyNumberFormat="0" applyBorder="0" applyAlignment="0" applyProtection="0"/>
    <xf numFmtId="0" fontId="1" fillId="19" borderId="0" applyNumberFormat="0" applyBorder="0" applyAlignment="0" applyProtection="0"/>
    <xf numFmtId="0" fontId="18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8" fillId="23" borderId="0" applyNumberFormat="0" applyBorder="0" applyAlignment="0" applyProtection="0"/>
    <xf numFmtId="0" fontId="1" fillId="23" borderId="0" applyNumberFormat="0" applyBorder="0" applyAlignment="0" applyProtection="0"/>
    <xf numFmtId="0" fontId="18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8" fillId="27" borderId="0" applyNumberFormat="0" applyBorder="0" applyAlignment="0" applyProtection="0"/>
    <xf numFmtId="0" fontId="1" fillId="27" borderId="0" applyNumberFormat="0" applyBorder="0" applyAlignment="0" applyProtection="0"/>
    <xf numFmtId="0" fontId="18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8" fillId="31" borderId="0" applyNumberFormat="0" applyBorder="0" applyAlignment="0" applyProtection="0"/>
    <xf numFmtId="0" fontId="1" fillId="31" borderId="0" applyNumberFormat="0" applyBorder="0" applyAlignment="0" applyProtection="0"/>
    <xf numFmtId="0" fontId="18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8" fillId="12" borderId="0" applyNumberFormat="0" applyBorder="0" applyAlignment="0" applyProtection="0"/>
    <xf numFmtId="0" fontId="1" fillId="12" borderId="0" applyNumberFormat="0" applyBorder="0" applyAlignment="0" applyProtection="0"/>
    <xf numFmtId="0" fontId="18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8" fillId="16" borderId="0" applyNumberFormat="0" applyBorder="0" applyAlignment="0" applyProtection="0"/>
    <xf numFmtId="0" fontId="1" fillId="16" borderId="0" applyNumberFormat="0" applyBorder="0" applyAlignment="0" applyProtection="0"/>
    <xf numFmtId="0" fontId="18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8" fillId="20" borderId="0" applyNumberFormat="0" applyBorder="0" applyAlignment="0" applyProtection="0"/>
    <xf numFmtId="0" fontId="1" fillId="20" borderId="0" applyNumberFormat="0" applyBorder="0" applyAlignment="0" applyProtection="0"/>
    <xf numFmtId="0" fontId="18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8" fillId="24" borderId="0" applyNumberFormat="0" applyBorder="0" applyAlignment="0" applyProtection="0"/>
    <xf numFmtId="0" fontId="1" fillId="24" borderId="0" applyNumberFormat="0" applyBorder="0" applyAlignment="0" applyProtection="0"/>
    <xf numFmtId="0" fontId="18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8" fillId="28" borderId="0" applyNumberFormat="0" applyBorder="0" applyAlignment="0" applyProtection="0"/>
    <xf numFmtId="0" fontId="1" fillId="28" borderId="0" applyNumberFormat="0" applyBorder="0" applyAlignment="0" applyProtection="0"/>
    <xf numFmtId="0" fontId="18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8" fillId="32" borderId="0" applyNumberFormat="0" applyBorder="0" applyAlignment="0" applyProtection="0"/>
    <xf numFmtId="0" fontId="1" fillId="32" borderId="0" applyNumberFormat="0" applyBorder="0" applyAlignment="0" applyProtection="0"/>
    <xf numFmtId="0" fontId="18" fillId="32" borderId="0" applyNumberFormat="0" applyBorder="0" applyAlignment="0" applyProtection="0"/>
    <xf numFmtId="0" fontId="33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3" fillId="17" borderId="0" applyNumberFormat="0" applyBorder="0" applyAlignment="0" applyProtection="0"/>
    <xf numFmtId="0" fontId="37" fillId="17" borderId="0" applyNumberFormat="0" applyBorder="0" applyAlignment="0" applyProtection="0"/>
    <xf numFmtId="0" fontId="37" fillId="17" borderId="0" applyNumberFormat="0" applyBorder="0" applyAlignment="0" applyProtection="0"/>
    <xf numFmtId="0" fontId="33" fillId="21" borderId="0" applyNumberFormat="0" applyBorder="0" applyAlignment="0" applyProtection="0"/>
    <xf numFmtId="0" fontId="37" fillId="21" borderId="0" applyNumberFormat="0" applyBorder="0" applyAlignment="0" applyProtection="0"/>
    <xf numFmtId="0" fontId="37" fillId="21" borderId="0" applyNumberFormat="0" applyBorder="0" applyAlignment="0" applyProtection="0"/>
    <xf numFmtId="0" fontId="33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3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3" fillId="33" borderId="0" applyNumberFormat="0" applyBorder="0" applyAlignment="0" applyProtection="0"/>
    <xf numFmtId="0" fontId="37" fillId="33" borderId="0" applyNumberFormat="0" applyBorder="0" applyAlignment="0" applyProtection="0"/>
    <xf numFmtId="0" fontId="37" fillId="33" borderId="0" applyNumberFormat="0" applyBorder="0" applyAlignment="0" applyProtection="0"/>
    <xf numFmtId="0" fontId="33" fillId="10" borderId="0" applyNumberFormat="0" applyBorder="0" applyAlignment="0" applyProtection="0"/>
    <xf numFmtId="0" fontId="37" fillId="10" borderId="0" applyNumberFormat="0" applyBorder="0" applyAlignment="0" applyProtection="0"/>
    <xf numFmtId="0" fontId="37" fillId="10" borderId="0" applyNumberFormat="0" applyBorder="0" applyAlignment="0" applyProtection="0"/>
    <xf numFmtId="0" fontId="33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3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3" fillId="22" borderId="0" applyNumberFormat="0" applyBorder="0" applyAlignment="0" applyProtection="0"/>
    <xf numFmtId="0" fontId="37" fillId="22" borderId="0" applyNumberFormat="0" applyBorder="0" applyAlignment="0" applyProtection="0"/>
    <xf numFmtId="0" fontId="37" fillId="22" borderId="0" applyNumberFormat="0" applyBorder="0" applyAlignment="0" applyProtection="0"/>
    <xf numFmtId="0" fontId="33" fillId="26" borderId="0" applyNumberFormat="0" applyBorder="0" applyAlignment="0" applyProtection="0"/>
    <xf numFmtId="0" fontId="37" fillId="26" borderId="0" applyNumberFormat="0" applyBorder="0" applyAlignment="0" applyProtection="0"/>
    <xf numFmtId="0" fontId="37" fillId="26" borderId="0" applyNumberFormat="0" applyBorder="0" applyAlignment="0" applyProtection="0"/>
    <xf numFmtId="0" fontId="33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23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27" fillId="7" borderId="39" applyNumberFormat="0" applyAlignment="0" applyProtection="0"/>
    <xf numFmtId="0" fontId="39" fillId="7" borderId="39" applyNumberFormat="0" applyAlignment="0" applyProtection="0"/>
    <xf numFmtId="0" fontId="39" fillId="7" borderId="39" applyNumberFormat="0" applyAlignment="0" applyProtection="0"/>
    <xf numFmtId="0" fontId="29" fillId="8" borderId="42" applyNumberFormat="0" applyAlignment="0" applyProtection="0"/>
    <xf numFmtId="0" fontId="40" fillId="8" borderId="42" applyNumberFormat="0" applyAlignment="0" applyProtection="0"/>
    <xf numFmtId="0" fontId="40" fillId="8" borderId="42" applyNumberFormat="0" applyAlignment="0" applyProtection="0"/>
    <xf numFmtId="0" fontId="3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22" fillId="3" borderId="0" applyNumberFormat="0" applyBorder="0" applyAlignment="0" applyProtection="0"/>
    <xf numFmtId="0" fontId="42" fillId="3" borderId="0" applyNumberFormat="0" applyBorder="0" applyAlignment="0" applyProtection="0"/>
    <xf numFmtId="0" fontId="42" fillId="3" borderId="0" applyNumberFormat="0" applyBorder="0" applyAlignment="0" applyProtection="0"/>
    <xf numFmtId="0" fontId="19" fillId="0" borderId="36" applyNumberFormat="0" applyFill="0" applyAlignment="0" applyProtection="0"/>
    <xf numFmtId="0" fontId="43" fillId="0" borderId="36" applyNumberFormat="0" applyFill="0" applyAlignment="0" applyProtection="0"/>
    <xf numFmtId="0" fontId="43" fillId="0" borderId="36" applyNumberFormat="0" applyFill="0" applyAlignment="0" applyProtection="0"/>
    <xf numFmtId="0" fontId="20" fillId="0" borderId="37" applyNumberFormat="0" applyFill="0" applyAlignment="0" applyProtection="0"/>
    <xf numFmtId="0" fontId="44" fillId="0" borderId="37" applyNumberFormat="0" applyFill="0" applyAlignment="0" applyProtection="0"/>
    <xf numFmtId="0" fontId="44" fillId="0" borderId="37" applyNumberFormat="0" applyFill="0" applyAlignment="0" applyProtection="0"/>
    <xf numFmtId="0" fontId="21" fillId="0" borderId="38" applyNumberFormat="0" applyFill="0" applyAlignment="0" applyProtection="0"/>
    <xf numFmtId="0" fontId="45" fillId="0" borderId="38" applyNumberFormat="0" applyFill="0" applyAlignment="0" applyProtection="0"/>
    <xf numFmtId="0" fontId="45" fillId="0" borderId="38" applyNumberFormat="0" applyFill="0" applyAlignment="0" applyProtection="0"/>
    <xf numFmtId="0" fontId="21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5" fillId="6" borderId="39" applyNumberFormat="0" applyAlignment="0" applyProtection="0"/>
    <xf numFmtId="0" fontId="46" fillId="6" borderId="39" applyNumberFormat="0" applyAlignment="0" applyProtection="0"/>
    <xf numFmtId="0" fontId="46" fillId="6" borderId="39" applyNumberFormat="0" applyAlignment="0" applyProtection="0"/>
    <xf numFmtId="0" fontId="28" fillId="0" borderId="41" applyNumberFormat="0" applyFill="0" applyAlignment="0" applyProtection="0"/>
    <xf numFmtId="0" fontId="47" fillId="0" borderId="41" applyNumberFormat="0" applyFill="0" applyAlignment="0" applyProtection="0"/>
    <xf numFmtId="0" fontId="47" fillId="0" borderId="41" applyNumberFormat="0" applyFill="0" applyAlignment="0" applyProtection="0"/>
    <xf numFmtId="0" fontId="24" fillId="5" borderId="0" applyNumberFormat="0" applyBorder="0" applyAlignment="0" applyProtection="0"/>
    <xf numFmtId="0" fontId="48" fillId="5" borderId="0" applyNumberFormat="0" applyBorder="0" applyAlignment="0" applyProtection="0"/>
    <xf numFmtId="0" fontId="48" fillId="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8" fillId="0" borderId="0"/>
    <xf numFmtId="0" fontId="1" fillId="9" borderId="43" applyNumberFormat="0" applyFont="0" applyAlignment="0" applyProtection="0"/>
    <xf numFmtId="0" fontId="1" fillId="9" borderId="43" applyNumberFormat="0" applyFont="0" applyAlignment="0" applyProtection="0"/>
    <xf numFmtId="0" fontId="1" fillId="9" borderId="43" applyNumberFormat="0" applyFont="0" applyAlignment="0" applyProtection="0"/>
    <xf numFmtId="0" fontId="1" fillId="9" borderId="43" applyNumberFormat="0" applyFont="0" applyAlignment="0" applyProtection="0"/>
    <xf numFmtId="0" fontId="18" fillId="9" borderId="43" applyNumberFormat="0" applyFont="0" applyAlignment="0" applyProtection="0"/>
    <xf numFmtId="0" fontId="1" fillId="9" borderId="43" applyNumberFormat="0" applyFont="0" applyAlignment="0" applyProtection="0"/>
    <xf numFmtId="0" fontId="18" fillId="9" borderId="43" applyNumberFormat="0" applyFont="0" applyAlignment="0" applyProtection="0"/>
    <xf numFmtId="0" fontId="26" fillId="7" borderId="40" applyNumberFormat="0" applyAlignment="0" applyProtection="0"/>
    <xf numFmtId="0" fontId="49" fillId="7" borderId="40" applyNumberFormat="0" applyAlignment="0" applyProtection="0"/>
    <xf numFmtId="0" fontId="49" fillId="7" borderId="40" applyNumberFormat="0" applyAlignment="0" applyProtection="0"/>
    <xf numFmtId="0" fontId="32" fillId="0" borderId="44" applyNumberFormat="0" applyFill="0" applyAlignment="0" applyProtection="0"/>
    <xf numFmtId="0" fontId="2" fillId="0" borderId="44" applyNumberFormat="0" applyFill="0" applyAlignment="0" applyProtection="0"/>
    <xf numFmtId="0" fontId="2" fillId="0" borderId="44" applyNumberFormat="0" applyFill="0" applyAlignment="0" applyProtection="0"/>
    <xf numFmtId="0" fontId="3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</cellStyleXfs>
  <cellXfs count="199">
    <xf numFmtId="0" fontId="0" fillId="0" borderId="0" xfId="0"/>
    <xf numFmtId="0" fontId="3" fillId="0" borderId="0" xfId="0" applyFont="1"/>
    <xf numFmtId="0" fontId="0" fillId="0" borderId="0" xfId="0" applyFill="1"/>
    <xf numFmtId="0" fontId="7" fillId="0" borderId="0" xfId="0" applyFont="1"/>
    <xf numFmtId="0" fontId="2" fillId="0" borderId="0" xfId="0" quotePrefix="1" applyFont="1" applyAlignment="1">
      <alignment horizontal="center"/>
    </xf>
    <xf numFmtId="0" fontId="8" fillId="2" borderId="1" xfId="0" applyFont="1" applyFill="1" applyBorder="1"/>
    <xf numFmtId="0" fontId="8" fillId="2" borderId="2" xfId="0" applyFont="1" applyFill="1" applyBorder="1"/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/>
    <xf numFmtId="0" fontId="8" fillId="2" borderId="5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8" fillId="2" borderId="7" xfId="0" applyFont="1" applyFill="1" applyBorder="1"/>
    <xf numFmtId="0" fontId="8" fillId="0" borderId="8" xfId="0" applyFont="1" applyBorder="1"/>
    <xf numFmtId="0" fontId="10" fillId="0" borderId="8" xfId="0" applyNumberFormat="1" applyFont="1" applyBorder="1"/>
    <xf numFmtId="164" fontId="10" fillId="0" borderId="9" xfId="0" applyNumberFormat="1" applyFont="1" applyBorder="1"/>
    <xf numFmtId="0" fontId="6" fillId="2" borderId="10" xfId="0" applyFont="1" applyFill="1" applyBorder="1"/>
    <xf numFmtId="0" fontId="6" fillId="0" borderId="11" xfId="0" applyFont="1" applyBorder="1"/>
    <xf numFmtId="0" fontId="11" fillId="0" borderId="11" xfId="0" applyFont="1" applyBorder="1"/>
    <xf numFmtId="164" fontId="11" fillId="0" borderId="12" xfId="0" applyNumberFormat="1" applyFont="1" applyBorder="1"/>
    <xf numFmtId="0" fontId="6" fillId="2" borderId="13" xfId="0" applyFont="1" applyFill="1" applyBorder="1"/>
    <xf numFmtId="0" fontId="8" fillId="0" borderId="14" xfId="0" applyFont="1" applyBorder="1"/>
    <xf numFmtId="0" fontId="10" fillId="0" borderId="14" xfId="0" applyNumberFormat="1" applyFont="1" applyBorder="1"/>
    <xf numFmtId="164" fontId="10" fillId="0" borderId="15" xfId="0" applyNumberFormat="1" applyFont="1" applyBorder="1"/>
    <xf numFmtId="0" fontId="6" fillId="2" borderId="16" xfId="0" applyFont="1" applyFill="1" applyBorder="1"/>
    <xf numFmtId="0" fontId="6" fillId="0" borderId="17" xfId="0" applyFont="1" applyBorder="1"/>
    <xf numFmtId="0" fontId="11" fillId="0" borderId="17" xfId="0" applyFont="1" applyBorder="1"/>
    <xf numFmtId="164" fontId="11" fillId="0" borderId="18" xfId="0" applyNumberFormat="1" applyFont="1" applyBorder="1"/>
    <xf numFmtId="0" fontId="6" fillId="2" borderId="4" xfId="0" applyFont="1" applyFill="1" applyBorder="1"/>
    <xf numFmtId="0" fontId="6" fillId="0" borderId="5" xfId="0" applyFont="1" applyBorder="1"/>
    <xf numFmtId="0" fontId="11" fillId="0" borderId="5" xfId="0" applyFont="1" applyBorder="1"/>
    <xf numFmtId="164" fontId="11" fillId="0" borderId="6" xfId="0" applyNumberFormat="1" applyFont="1" applyBorder="1"/>
    <xf numFmtId="0" fontId="12" fillId="0" borderId="0" xfId="0" applyFont="1" applyAlignment="1">
      <alignment vertical="top"/>
    </xf>
    <xf numFmtId="0" fontId="14" fillId="0" borderId="0" xfId="0" applyFont="1" applyAlignment="1">
      <alignment horizontal="right" vertical="top"/>
    </xf>
    <xf numFmtId="0" fontId="14" fillId="0" borderId="0" xfId="0" applyFont="1" applyAlignment="1">
      <alignment horizontal="left" vertical="top"/>
    </xf>
    <xf numFmtId="0" fontId="15" fillId="0" borderId="0" xfId="0" applyFont="1"/>
    <xf numFmtId="0" fontId="6" fillId="2" borderId="7" xfId="0" applyFont="1" applyFill="1" applyBorder="1"/>
    <xf numFmtId="0" fontId="6" fillId="2" borderId="19" xfId="0" applyFont="1" applyFill="1" applyBorder="1"/>
    <xf numFmtId="0" fontId="8" fillId="0" borderId="20" xfId="0" applyFont="1" applyBorder="1"/>
    <xf numFmtId="0" fontId="14" fillId="0" borderId="0" xfId="0" applyFont="1" applyAlignment="1">
      <alignment horizontal="right"/>
    </xf>
    <xf numFmtId="0" fontId="12" fillId="0" borderId="0" xfId="0" applyFont="1" applyAlignment="1">
      <alignment horizontal="right"/>
    </xf>
    <xf numFmtId="0" fontId="8" fillId="2" borderId="22" xfId="0" applyFont="1" applyFill="1" applyBorder="1"/>
    <xf numFmtId="0" fontId="8" fillId="2" borderId="23" xfId="0" applyFont="1" applyFill="1" applyBorder="1"/>
    <xf numFmtId="0" fontId="8" fillId="2" borderId="24" xfId="0" applyFont="1" applyFill="1" applyBorder="1" applyAlignment="1">
      <alignment horizontal="center"/>
    </xf>
    <xf numFmtId="0" fontId="8" fillId="0" borderId="25" xfId="0" applyFont="1" applyBorder="1"/>
    <xf numFmtId="0" fontId="6" fillId="0" borderId="27" xfId="0" applyFont="1" applyBorder="1"/>
    <xf numFmtId="0" fontId="8" fillId="2" borderId="23" xfId="0" applyFont="1" applyFill="1" applyBorder="1" applyAlignment="1">
      <alignment horizontal="center"/>
    </xf>
    <xf numFmtId="0" fontId="10" fillId="0" borderId="14" xfId="0" applyFont="1" applyBorder="1"/>
    <xf numFmtId="0" fontId="10" fillId="0" borderId="8" xfId="0" applyFont="1" applyBorder="1"/>
    <xf numFmtId="0" fontId="10" fillId="0" borderId="25" xfId="0" applyFont="1" applyBorder="1"/>
    <xf numFmtId="0" fontId="11" fillId="0" borderId="27" xfId="0" applyFont="1" applyBorder="1"/>
    <xf numFmtId="0" fontId="10" fillId="0" borderId="20" xfId="0" applyNumberFormat="1" applyFont="1" applyBorder="1"/>
    <xf numFmtId="0" fontId="10" fillId="0" borderId="25" xfId="0" applyNumberFormat="1" applyFont="1" applyBorder="1"/>
    <xf numFmtId="0" fontId="11" fillId="0" borderId="27" xfId="0" applyNumberFormat="1" applyFont="1" applyBorder="1"/>
    <xf numFmtId="164" fontId="10" fillId="0" borderId="26" xfId="0" applyNumberFormat="1" applyFont="1" applyBorder="1"/>
    <xf numFmtId="164" fontId="11" fillId="0" borderId="28" xfId="0" applyNumberFormat="1" applyFont="1" applyBorder="1"/>
    <xf numFmtId="164" fontId="10" fillId="0" borderId="21" xfId="0" applyNumberFormat="1" applyFont="1" applyBorder="1"/>
    <xf numFmtId="0" fontId="17" fillId="0" borderId="0" xfId="0" quotePrefix="1" applyFont="1" applyAlignment="1">
      <alignment horizontal="center"/>
    </xf>
    <xf numFmtId="165" fontId="3" fillId="0" borderId="0" xfId="0" quotePrefix="1" applyNumberFormat="1" applyFont="1" applyAlignment="1">
      <alignment horizontal="right"/>
    </xf>
    <xf numFmtId="0" fontId="10" fillId="0" borderId="14" xfId="0" applyNumberFormat="1" applyFont="1" applyFill="1" applyBorder="1"/>
    <xf numFmtId="0" fontId="10" fillId="0" borderId="8" xfId="0" applyNumberFormat="1" applyFont="1" applyFill="1" applyBorder="1"/>
    <xf numFmtId="0" fontId="11" fillId="0" borderId="11" xfId="0" applyFont="1" applyFill="1" applyBorder="1"/>
    <xf numFmtId="0" fontId="6" fillId="2" borderId="29" xfId="0" applyFont="1" applyFill="1" applyBorder="1"/>
    <xf numFmtId="15" fontId="3" fillId="0" borderId="0" xfId="0" quotePrefix="1" applyNumberFormat="1" applyFont="1" applyAlignment="1">
      <alignment horizontal="right"/>
    </xf>
    <xf numFmtId="0" fontId="6" fillId="2" borderId="30" xfId="0" applyFont="1" applyFill="1" applyBorder="1"/>
    <xf numFmtId="0" fontId="8" fillId="0" borderId="31" xfId="0" applyFont="1" applyBorder="1"/>
    <xf numFmtId="0" fontId="10" fillId="0" borderId="31" xfId="0" applyNumberFormat="1" applyFont="1" applyBorder="1"/>
    <xf numFmtId="164" fontId="10" fillId="0" borderId="32" xfId="0" applyNumberFormat="1" applyFont="1" applyBorder="1"/>
    <xf numFmtId="0" fontId="10" fillId="0" borderId="15" xfId="0" applyNumberFormat="1" applyFont="1" applyBorder="1"/>
    <xf numFmtId="0" fontId="10" fillId="0" borderId="9" xfId="0" applyNumberFormat="1" applyFont="1" applyBorder="1"/>
    <xf numFmtId="0" fontId="10" fillId="0" borderId="9" xfId="0" applyFont="1" applyBorder="1"/>
    <xf numFmtId="0" fontId="8" fillId="0" borderId="11" xfId="0" applyFont="1" applyBorder="1"/>
    <xf numFmtId="0" fontId="10" fillId="0" borderId="12" xfId="0" applyFont="1" applyBorder="1"/>
    <xf numFmtId="0" fontId="10" fillId="0" borderId="15" xfId="0" applyFont="1" applyBorder="1"/>
    <xf numFmtId="0" fontId="10" fillId="0" borderId="21" xfId="0" applyNumberFormat="1" applyFont="1" applyBorder="1"/>
    <xf numFmtId="0" fontId="6" fillId="2" borderId="33" xfId="0" applyFont="1" applyFill="1" applyBorder="1"/>
    <xf numFmtId="0" fontId="8" fillId="0" borderId="34" xfId="0" applyFont="1" applyBorder="1"/>
    <xf numFmtId="0" fontId="10" fillId="0" borderId="35" xfId="0" applyNumberFormat="1" applyFont="1" applyBorder="1"/>
    <xf numFmtId="0" fontId="2" fillId="0" borderId="0" xfId="0" quotePrefix="1" applyFont="1" applyAlignment="1">
      <alignment horizontal="center"/>
    </xf>
    <xf numFmtId="0" fontId="8" fillId="0" borderId="0" xfId="1" applyFont="1"/>
    <xf numFmtId="15" fontId="10" fillId="0" borderId="0" xfId="1" quotePrefix="1" applyNumberFormat="1" applyFont="1" applyAlignment="1">
      <alignment horizontal="right"/>
    </xf>
    <xf numFmtId="0" fontId="18" fillId="0" borderId="0" xfId="1"/>
    <xf numFmtId="0" fontId="10" fillId="0" borderId="0" xfId="1" applyFont="1"/>
    <xf numFmtId="0" fontId="18" fillId="0" borderId="0" xfId="1" applyFill="1"/>
    <xf numFmtId="0" fontId="7" fillId="0" borderId="0" xfId="1" applyFont="1"/>
    <xf numFmtId="0" fontId="2" fillId="0" borderId="0" xfId="1" quotePrefix="1" applyFont="1" applyAlignment="1">
      <alignment horizontal="center"/>
    </xf>
    <xf numFmtId="0" fontId="8" fillId="34" borderId="1" xfId="1" applyFont="1" applyFill="1" applyBorder="1"/>
    <xf numFmtId="0" fontId="6" fillId="34" borderId="2" xfId="1" applyFont="1" applyFill="1" applyBorder="1"/>
    <xf numFmtId="0" fontId="6" fillId="34" borderId="2" xfId="1" applyFont="1" applyFill="1" applyBorder="1" applyAlignment="1">
      <alignment horizontal="center"/>
    </xf>
    <xf numFmtId="0" fontId="6" fillId="34" borderId="3" xfId="1" applyFont="1" applyFill="1" applyBorder="1" applyAlignment="1">
      <alignment horizontal="center"/>
    </xf>
    <xf numFmtId="0" fontId="8" fillId="34" borderId="4" xfId="1" applyFont="1" applyFill="1" applyBorder="1"/>
    <xf numFmtId="0" fontId="6" fillId="34" borderId="5" xfId="1" applyFont="1" applyFill="1" applyBorder="1"/>
    <xf numFmtId="0" fontId="6" fillId="34" borderId="5" xfId="1" applyFont="1" applyFill="1" applyBorder="1" applyAlignment="1">
      <alignment horizontal="center"/>
    </xf>
    <xf numFmtId="0" fontId="6" fillId="34" borderId="6" xfId="1" applyFont="1" applyFill="1" applyBorder="1" applyAlignment="1">
      <alignment horizontal="center"/>
    </xf>
    <xf numFmtId="0" fontId="6" fillId="34" borderId="13" xfId="1" applyFont="1" applyFill="1" applyBorder="1"/>
    <xf numFmtId="0" fontId="8" fillId="0" borderId="14" xfId="1" applyFont="1" applyBorder="1"/>
    <xf numFmtId="0" fontId="10" fillId="0" borderId="14" xfId="1" applyNumberFormat="1" applyFont="1" applyBorder="1"/>
    <xf numFmtId="164" fontId="10" fillId="0" borderId="15" xfId="1" applyNumberFormat="1" applyFont="1" applyBorder="1" applyAlignment="1">
      <alignment horizontal="right"/>
    </xf>
    <xf numFmtId="0" fontId="8" fillId="34" borderId="7" xfId="1" applyFont="1" applyFill="1" applyBorder="1"/>
    <xf numFmtId="0" fontId="8" fillId="0" borderId="8" xfId="1" applyFont="1" applyBorder="1"/>
    <xf numFmtId="0" fontId="10" fillId="0" borderId="8" xfId="1" applyNumberFormat="1" applyFont="1" applyBorder="1"/>
    <xf numFmtId="164" fontId="10" fillId="0" borderId="9" xfId="1" applyNumberFormat="1" applyFont="1" applyBorder="1" applyAlignment="1">
      <alignment horizontal="right"/>
    </xf>
    <xf numFmtId="0" fontId="6" fillId="34" borderId="10" xfId="1" applyFont="1" applyFill="1" applyBorder="1"/>
    <xf numFmtId="0" fontId="6" fillId="0" borderId="11" xfId="1" applyFont="1" applyBorder="1"/>
    <xf numFmtId="0" fontId="11" fillId="0" borderId="11" xfId="1" applyFont="1" applyBorder="1"/>
    <xf numFmtId="164" fontId="11" fillId="0" borderId="12" xfId="1" applyNumberFormat="1" applyFont="1" applyBorder="1" applyAlignment="1">
      <alignment horizontal="right"/>
    </xf>
    <xf numFmtId="0" fontId="6" fillId="34" borderId="16" xfId="1" applyFont="1" applyFill="1" applyBorder="1"/>
    <xf numFmtId="0" fontId="6" fillId="0" borderId="17" xfId="1" applyFont="1" applyBorder="1"/>
    <xf numFmtId="0" fontId="11" fillId="0" borderId="17" xfId="1" applyFont="1" applyBorder="1"/>
    <xf numFmtId="164" fontId="11" fillId="0" borderId="18" xfId="1" applyNumberFormat="1" applyFont="1" applyBorder="1" applyAlignment="1">
      <alignment horizontal="right"/>
    </xf>
    <xf numFmtId="0" fontId="6" fillId="34" borderId="4" xfId="1" applyFont="1" applyFill="1" applyBorder="1"/>
    <xf numFmtId="0" fontId="6" fillId="0" borderId="5" xfId="1" applyFont="1" applyBorder="1"/>
    <xf numFmtId="0" fontId="11" fillId="0" borderId="5" xfId="1" applyFont="1" applyBorder="1"/>
    <xf numFmtId="164" fontId="11" fillId="0" borderId="6" xfId="1" applyNumberFormat="1" applyFont="1" applyBorder="1" applyAlignment="1">
      <alignment horizontal="right"/>
    </xf>
    <xf numFmtId="0" fontId="12" fillId="0" borderId="0" xfId="1" applyFont="1" applyAlignment="1"/>
    <xf numFmtId="0" fontId="14" fillId="0" borderId="0" xfId="1" applyFont="1" applyAlignment="1">
      <alignment horizontal="right"/>
    </xf>
    <xf numFmtId="0" fontId="12" fillId="0" borderId="0" xfId="1" applyFont="1" applyAlignment="1">
      <alignment vertical="top"/>
    </xf>
    <xf numFmtId="0" fontId="15" fillId="0" borderId="0" xfId="1" applyFont="1"/>
    <xf numFmtId="0" fontId="18" fillId="0" borderId="0" xfId="1" applyFill="1" applyAlignment="1">
      <alignment vertical="center"/>
    </xf>
    <xf numFmtId="0" fontId="2" fillId="34" borderId="1" xfId="1" applyFont="1" applyFill="1" applyBorder="1" applyAlignment="1">
      <alignment vertical="center"/>
    </xf>
    <xf numFmtId="0" fontId="2" fillId="34" borderId="2" xfId="1" applyFont="1" applyFill="1" applyBorder="1" applyAlignment="1">
      <alignment vertical="center"/>
    </xf>
    <xf numFmtId="0" fontId="2" fillId="34" borderId="3" xfId="1" applyFont="1" applyFill="1" applyBorder="1" applyAlignment="1">
      <alignment horizontal="center" vertical="center"/>
    </xf>
    <xf numFmtId="0" fontId="18" fillId="0" borderId="0" xfId="1" applyAlignment="1">
      <alignment vertical="center"/>
    </xf>
    <xf numFmtId="0" fontId="10" fillId="0" borderId="15" xfId="1" applyFont="1" applyBorder="1"/>
    <xf numFmtId="0" fontId="6" fillId="34" borderId="7" xfId="1" applyFont="1" applyFill="1" applyBorder="1"/>
    <xf numFmtId="0" fontId="10" fillId="0" borderId="9" xfId="1" applyFont="1" applyBorder="1"/>
    <xf numFmtId="0" fontId="8" fillId="0" borderId="11" xfId="1" applyFont="1" applyBorder="1"/>
    <xf numFmtId="0" fontId="10" fillId="0" borderId="12" xfId="1" applyFont="1" applyBorder="1"/>
    <xf numFmtId="0" fontId="10" fillId="0" borderId="9" xfId="1" applyNumberFormat="1" applyFont="1" applyBorder="1"/>
    <xf numFmtId="0" fontId="6" fillId="34" borderId="19" xfId="1" applyFont="1" applyFill="1" applyBorder="1"/>
    <xf numFmtId="0" fontId="10" fillId="0" borderId="21" xfId="1" applyNumberFormat="1" applyFont="1" applyBorder="1"/>
    <xf numFmtId="0" fontId="6" fillId="34" borderId="33" xfId="1" applyFont="1" applyFill="1" applyBorder="1"/>
    <xf numFmtId="0" fontId="8" fillId="0" borderId="34" xfId="1" applyFont="1" applyBorder="1"/>
    <xf numFmtId="0" fontId="10" fillId="0" borderId="35" xfId="1" applyNumberFormat="1" applyFont="1" applyBorder="1"/>
    <xf numFmtId="0" fontId="12" fillId="0" borderId="0" xfId="1" applyFont="1" applyAlignment="1">
      <alignment horizontal="right"/>
    </xf>
    <xf numFmtId="0" fontId="8" fillId="35" borderId="45" xfId="0" applyFont="1" applyFill="1" applyBorder="1"/>
    <xf numFmtId="0" fontId="8" fillId="35" borderId="46" xfId="0" applyFont="1" applyFill="1" applyBorder="1"/>
    <xf numFmtId="0" fontId="8" fillId="35" borderId="46" xfId="0" applyFont="1" applyFill="1" applyBorder="1" applyAlignment="1">
      <alignment horizontal="center" wrapText="1"/>
    </xf>
    <xf numFmtId="0" fontId="8" fillId="35" borderId="46" xfId="0" applyFont="1" applyFill="1" applyBorder="1" applyAlignment="1">
      <alignment horizontal="center"/>
    </xf>
    <xf numFmtId="0" fontId="8" fillId="35" borderId="47" xfId="0" applyFont="1" applyFill="1" applyBorder="1" applyAlignment="1">
      <alignment horizontal="center"/>
    </xf>
    <xf numFmtId="0" fontId="6" fillId="35" borderId="48" xfId="0" applyFont="1" applyFill="1" applyBorder="1"/>
    <xf numFmtId="164" fontId="10" fillId="0" borderId="49" xfId="0" applyNumberFormat="1" applyFont="1" applyBorder="1"/>
    <xf numFmtId="0" fontId="8" fillId="35" borderId="50" xfId="0" applyFont="1" applyFill="1" applyBorder="1"/>
    <xf numFmtId="164" fontId="10" fillId="0" borderId="51" xfId="0" applyNumberFormat="1" applyFont="1" applyBorder="1"/>
    <xf numFmtId="0" fontId="6" fillId="35" borderId="52" xfId="0" applyFont="1" applyFill="1" applyBorder="1"/>
    <xf numFmtId="164" fontId="10" fillId="0" borderId="54" xfId="0" applyNumberFormat="1" applyFont="1" applyBorder="1"/>
    <xf numFmtId="0" fontId="6" fillId="35" borderId="55" xfId="0" applyFont="1" applyFill="1" applyBorder="1"/>
    <xf numFmtId="0" fontId="6" fillId="35" borderId="56" xfId="0" applyFont="1" applyFill="1" applyBorder="1"/>
    <xf numFmtId="0" fontId="12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0" fontId="12" fillId="0" borderId="0" xfId="0" applyFont="1" applyAlignment="1">
      <alignment horizontal="left" vertical="top" wrapText="1"/>
    </xf>
    <xf numFmtId="0" fontId="6" fillId="35" borderId="58" xfId="0" applyFont="1" applyFill="1" applyBorder="1"/>
    <xf numFmtId="0" fontId="8" fillId="35" borderId="59" xfId="0" applyFont="1" applyFill="1" applyBorder="1" applyAlignment="1">
      <alignment horizontal="center" wrapText="1"/>
    </xf>
    <xf numFmtId="0" fontId="8" fillId="35" borderId="60" xfId="0" applyFont="1" applyFill="1" applyBorder="1" applyAlignment="1">
      <alignment horizontal="center"/>
    </xf>
    <xf numFmtId="0" fontId="6" fillId="35" borderId="61" xfId="0" applyFont="1" applyFill="1" applyBorder="1" applyAlignment="1">
      <alignment horizontal="left"/>
    </xf>
    <xf numFmtId="0" fontId="6" fillId="0" borderId="61" xfId="0" applyFont="1" applyBorder="1" applyAlignment="1">
      <alignment horizontal="left"/>
    </xf>
    <xf numFmtId="0" fontId="8" fillId="0" borderId="62" xfId="0" applyFont="1" applyBorder="1"/>
    <xf numFmtId="0" fontId="10" fillId="0" borderId="63" xfId="0" applyFont="1" applyBorder="1"/>
    <xf numFmtId="0" fontId="6" fillId="35" borderId="64" xfId="0" applyFont="1" applyFill="1" applyBorder="1" applyAlignment="1">
      <alignment horizontal="left"/>
    </xf>
    <xf numFmtId="0" fontId="6" fillId="0" borderId="64" xfId="0" applyFont="1" applyBorder="1" applyAlignment="1">
      <alignment horizontal="left"/>
    </xf>
    <xf numFmtId="0" fontId="8" fillId="0" borderId="65" xfId="0" applyFont="1" applyBorder="1"/>
    <xf numFmtId="0" fontId="10" fillId="0" borderId="66" xfId="0" applyFont="1" applyBorder="1"/>
    <xf numFmtId="0" fontId="6" fillId="35" borderId="67" xfId="0" applyFont="1" applyFill="1" applyBorder="1" applyAlignment="1">
      <alignment horizontal="left"/>
    </xf>
    <xf numFmtId="0" fontId="6" fillId="0" borderId="67" xfId="0" applyFont="1" applyBorder="1" applyAlignment="1">
      <alignment horizontal="left"/>
    </xf>
    <xf numFmtId="0" fontId="8" fillId="0" borderId="68" xfId="0" applyNumberFormat="1" applyFont="1" applyBorder="1" applyAlignment="1">
      <alignment horizontal="right"/>
    </xf>
    <xf numFmtId="0" fontId="8" fillId="0" borderId="68" xfId="0" applyFont="1" applyBorder="1" applyAlignment="1">
      <alignment horizontal="right"/>
    </xf>
    <xf numFmtId="0" fontId="10" fillId="0" borderId="69" xfId="0" applyFont="1" applyBorder="1"/>
    <xf numFmtId="0" fontId="6" fillId="35" borderId="70" xfId="0" applyFont="1" applyFill="1" applyBorder="1" applyAlignment="1">
      <alignment horizontal="left"/>
    </xf>
    <xf numFmtId="0" fontId="6" fillId="0" borderId="70" xfId="0" applyFont="1" applyFill="1" applyBorder="1" applyAlignment="1">
      <alignment horizontal="left"/>
    </xf>
    <xf numFmtId="0" fontId="8" fillId="0" borderId="71" xfId="0" applyFont="1" applyBorder="1"/>
    <xf numFmtId="0" fontId="10" fillId="0" borderId="72" xfId="0" applyFont="1" applyBorder="1"/>
    <xf numFmtId="0" fontId="6" fillId="0" borderId="64" xfId="0" applyFont="1" applyFill="1" applyBorder="1" applyAlignment="1">
      <alignment horizontal="left"/>
    </xf>
    <xf numFmtId="0" fontId="10" fillId="0" borderId="65" xfId="0" applyFont="1" applyBorder="1"/>
    <xf numFmtId="0" fontId="10" fillId="0" borderId="66" xfId="0" applyNumberFormat="1" applyFont="1" applyBorder="1"/>
    <xf numFmtId="0" fontId="12" fillId="0" borderId="0" xfId="0" applyFont="1" applyFill="1" applyBorder="1" applyAlignment="1">
      <alignment vertical="top" wrapText="1"/>
    </xf>
    <xf numFmtId="0" fontId="12" fillId="0" borderId="0" xfId="0" applyFont="1" applyFill="1" applyBorder="1" applyAlignment="1">
      <alignment horizontal="left" vertical="top" wrapText="1"/>
    </xf>
    <xf numFmtId="0" fontId="0" fillId="0" borderId="0" xfId="1" applyFont="1"/>
    <xf numFmtId="0" fontId="2" fillId="0" borderId="0" xfId="1" applyFont="1"/>
    <xf numFmtId="164" fontId="18" fillId="0" borderId="0" xfId="1" applyNumberFormat="1"/>
    <xf numFmtId="0" fontId="12" fillId="0" borderId="0" xfId="1" applyFont="1" applyAlignment="1">
      <alignment vertical="center"/>
    </xf>
    <xf numFmtId="0" fontId="14" fillId="0" borderId="0" xfId="1" applyFont="1" applyAlignment="1">
      <alignment horizontal="right" vertical="center"/>
    </xf>
    <xf numFmtId="0" fontId="6" fillId="34" borderId="73" xfId="1" applyFont="1" applyFill="1" applyBorder="1"/>
    <xf numFmtId="0" fontId="8" fillId="0" borderId="74" xfId="1" applyFont="1" applyBorder="1"/>
    <xf numFmtId="0" fontId="10" fillId="0" borderId="75" xfId="1" applyFont="1" applyBorder="1"/>
    <xf numFmtId="164" fontId="11" fillId="0" borderId="53" xfId="0" applyNumberFormat="1" applyFont="1" applyBorder="1"/>
    <xf numFmtId="0" fontId="2" fillId="36" borderId="0" xfId="0" applyFont="1" applyFill="1"/>
    <xf numFmtId="0" fontId="52" fillId="36" borderId="0" xfId="0" quotePrefix="1" applyFont="1" applyFill="1"/>
    <xf numFmtId="164" fontId="11" fillId="36" borderId="6" xfId="0" applyNumberFormat="1" applyFont="1" applyFill="1" applyBorder="1"/>
    <xf numFmtId="0" fontId="4" fillId="0" borderId="0" xfId="0" applyFont="1" applyAlignment="1">
      <alignment horizontal="center"/>
    </xf>
    <xf numFmtId="0" fontId="6" fillId="0" borderId="0" xfId="0" quotePrefix="1" applyFont="1" applyAlignment="1">
      <alignment horizontal="center"/>
    </xf>
    <xf numFmtId="0" fontId="17" fillId="0" borderId="0" xfId="0" quotePrefix="1" applyFont="1" applyAlignment="1">
      <alignment horizontal="center"/>
    </xf>
    <xf numFmtId="0" fontId="12" fillId="0" borderId="57" xfId="0" applyFont="1" applyFill="1" applyBorder="1" applyAlignment="1">
      <alignment horizontal="left" vertical="top" wrapText="1"/>
    </xf>
    <xf numFmtId="0" fontId="51" fillId="0" borderId="57" xfId="0" applyFont="1" applyFill="1" applyBorder="1" applyAlignment="1">
      <alignment horizontal="left" vertical="top" wrapText="1"/>
    </xf>
    <xf numFmtId="0" fontId="12" fillId="0" borderId="0" xfId="0" applyFont="1" applyAlignment="1">
      <alignment horizontal="left" vertical="top"/>
    </xf>
    <xf numFmtId="0" fontId="1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34" fillId="0" borderId="0" xfId="1" applyFont="1" applyAlignment="1">
      <alignment horizontal="center"/>
    </xf>
    <xf numFmtId="0" fontId="6" fillId="0" borderId="0" xfId="1" quotePrefix="1" applyFont="1" applyAlignment="1">
      <alignment horizontal="center"/>
    </xf>
  </cellXfs>
  <cellStyles count="180">
    <cellStyle name="20% - Accent1 2" xfId="2"/>
    <cellStyle name="20% - Accent1 2 2" xfId="3"/>
    <cellStyle name="20% - Accent1 3" xfId="4"/>
    <cellStyle name="20% - Accent1 3 2" xfId="5"/>
    <cellStyle name="20% - Accent1 4" xfId="6"/>
    <cellStyle name="20% - Accent1 5" xfId="7"/>
    <cellStyle name="20% - Accent1 6" xfId="8"/>
    <cellStyle name="20% - Accent2 2" xfId="9"/>
    <cellStyle name="20% - Accent2 2 2" xfId="10"/>
    <cellStyle name="20% - Accent2 3" xfId="11"/>
    <cellStyle name="20% - Accent2 3 2" xfId="12"/>
    <cellStyle name="20% - Accent2 4" xfId="13"/>
    <cellStyle name="20% - Accent2 5" xfId="14"/>
    <cellStyle name="20% - Accent2 6" xfId="15"/>
    <cellStyle name="20% - Accent3 2" xfId="16"/>
    <cellStyle name="20% - Accent3 2 2" xfId="17"/>
    <cellStyle name="20% - Accent3 3" xfId="18"/>
    <cellStyle name="20% - Accent3 3 2" xfId="19"/>
    <cellStyle name="20% - Accent3 4" xfId="20"/>
    <cellStyle name="20% - Accent3 5" xfId="21"/>
    <cellStyle name="20% - Accent3 6" xfId="22"/>
    <cellStyle name="20% - Accent4 2" xfId="23"/>
    <cellStyle name="20% - Accent4 2 2" xfId="24"/>
    <cellStyle name="20% - Accent4 3" xfId="25"/>
    <cellStyle name="20% - Accent4 3 2" xfId="26"/>
    <cellStyle name="20% - Accent4 4" xfId="27"/>
    <cellStyle name="20% - Accent4 5" xfId="28"/>
    <cellStyle name="20% - Accent4 6" xfId="29"/>
    <cellStyle name="20% - Accent5 2" xfId="30"/>
    <cellStyle name="20% - Accent5 2 2" xfId="31"/>
    <cellStyle name="20% - Accent5 3" xfId="32"/>
    <cellStyle name="20% - Accent5 3 2" xfId="33"/>
    <cellStyle name="20% - Accent5 4" xfId="34"/>
    <cellStyle name="20% - Accent5 5" xfId="35"/>
    <cellStyle name="20% - Accent5 6" xfId="36"/>
    <cellStyle name="20% - Accent6 2" xfId="37"/>
    <cellStyle name="20% - Accent6 2 2" xfId="38"/>
    <cellStyle name="20% - Accent6 3" xfId="39"/>
    <cellStyle name="20% - Accent6 3 2" xfId="40"/>
    <cellStyle name="20% - Accent6 4" xfId="41"/>
    <cellStyle name="20% - Accent6 5" xfId="42"/>
    <cellStyle name="20% - Accent6 6" xfId="43"/>
    <cellStyle name="40% - Accent1 2" xfId="44"/>
    <cellStyle name="40% - Accent1 2 2" xfId="45"/>
    <cellStyle name="40% - Accent1 3" xfId="46"/>
    <cellStyle name="40% - Accent1 3 2" xfId="47"/>
    <cellStyle name="40% - Accent1 4" xfId="48"/>
    <cellStyle name="40% - Accent1 5" xfId="49"/>
    <cellStyle name="40% - Accent1 6" xfId="50"/>
    <cellStyle name="40% - Accent2 2" xfId="51"/>
    <cellStyle name="40% - Accent2 2 2" xfId="52"/>
    <cellStyle name="40% - Accent2 3" xfId="53"/>
    <cellStyle name="40% - Accent2 3 2" xfId="54"/>
    <cellStyle name="40% - Accent2 4" xfId="55"/>
    <cellStyle name="40% - Accent2 5" xfId="56"/>
    <cellStyle name="40% - Accent2 6" xfId="57"/>
    <cellStyle name="40% - Accent3 2" xfId="58"/>
    <cellStyle name="40% - Accent3 2 2" xfId="59"/>
    <cellStyle name="40% - Accent3 3" xfId="60"/>
    <cellStyle name="40% - Accent3 3 2" xfId="61"/>
    <cellStyle name="40% - Accent3 4" xfId="62"/>
    <cellStyle name="40% - Accent3 5" xfId="63"/>
    <cellStyle name="40% - Accent3 6" xfId="64"/>
    <cellStyle name="40% - Accent4 2" xfId="65"/>
    <cellStyle name="40% - Accent4 2 2" xfId="66"/>
    <cellStyle name="40% - Accent4 3" xfId="67"/>
    <cellStyle name="40% - Accent4 3 2" xfId="68"/>
    <cellStyle name="40% - Accent4 4" xfId="69"/>
    <cellStyle name="40% - Accent4 5" xfId="70"/>
    <cellStyle name="40% - Accent4 6" xfId="71"/>
    <cellStyle name="40% - Accent5 2" xfId="72"/>
    <cellStyle name="40% - Accent5 2 2" xfId="73"/>
    <cellStyle name="40% - Accent5 3" xfId="74"/>
    <cellStyle name="40% - Accent5 3 2" xfId="75"/>
    <cellStyle name="40% - Accent5 4" xfId="76"/>
    <cellStyle name="40% - Accent5 5" xfId="77"/>
    <cellStyle name="40% - Accent5 6" xfId="78"/>
    <cellStyle name="40% - Accent6 2" xfId="79"/>
    <cellStyle name="40% - Accent6 2 2" xfId="80"/>
    <cellStyle name="40% - Accent6 3" xfId="81"/>
    <cellStyle name="40% - Accent6 3 2" xfId="82"/>
    <cellStyle name="40% - Accent6 4" xfId="83"/>
    <cellStyle name="40% - Accent6 5" xfId="84"/>
    <cellStyle name="40% - Accent6 6" xfId="85"/>
    <cellStyle name="60% - Accent1 2" xfId="86"/>
    <cellStyle name="60% - Accent1 3" xfId="87"/>
    <cellStyle name="60% - Accent1 4" xfId="88"/>
    <cellStyle name="60% - Accent2 2" xfId="89"/>
    <cellStyle name="60% - Accent2 3" xfId="90"/>
    <cellStyle name="60% - Accent2 4" xfId="91"/>
    <cellStyle name="60% - Accent3 2" xfId="92"/>
    <cellStyle name="60% - Accent3 3" xfId="93"/>
    <cellStyle name="60% - Accent3 4" xfId="94"/>
    <cellStyle name="60% - Accent4 2" xfId="95"/>
    <cellStyle name="60% - Accent4 3" xfId="96"/>
    <cellStyle name="60% - Accent4 4" xfId="97"/>
    <cellStyle name="60% - Accent5 2" xfId="98"/>
    <cellStyle name="60% - Accent5 3" xfId="99"/>
    <cellStyle name="60% - Accent5 4" xfId="100"/>
    <cellStyle name="60% - Accent6 2" xfId="101"/>
    <cellStyle name="60% - Accent6 3" xfId="102"/>
    <cellStyle name="60% - Accent6 4" xfId="103"/>
    <cellStyle name="Accent1 2" xfId="104"/>
    <cellStyle name="Accent1 3" xfId="105"/>
    <cellStyle name="Accent1 4" xfId="106"/>
    <cellStyle name="Accent2 2" xfId="107"/>
    <cellStyle name="Accent2 3" xfId="108"/>
    <cellStyle name="Accent2 4" xfId="109"/>
    <cellStyle name="Accent3 2" xfId="110"/>
    <cellStyle name="Accent3 3" xfId="111"/>
    <cellStyle name="Accent3 4" xfId="112"/>
    <cellStyle name="Accent4 2" xfId="113"/>
    <cellStyle name="Accent4 3" xfId="114"/>
    <cellStyle name="Accent4 4" xfId="115"/>
    <cellStyle name="Accent5 2" xfId="116"/>
    <cellStyle name="Accent5 3" xfId="117"/>
    <cellStyle name="Accent5 4" xfId="118"/>
    <cellStyle name="Accent6 2" xfId="119"/>
    <cellStyle name="Accent6 3" xfId="120"/>
    <cellStyle name="Accent6 4" xfId="121"/>
    <cellStyle name="Bad 2" xfId="122"/>
    <cellStyle name="Bad 3" xfId="123"/>
    <cellStyle name="Bad 4" xfId="124"/>
    <cellStyle name="Calculation 2" xfId="125"/>
    <cellStyle name="Calculation 3" xfId="126"/>
    <cellStyle name="Calculation 4" xfId="127"/>
    <cellStyle name="Check Cell 2" xfId="128"/>
    <cellStyle name="Check Cell 3" xfId="129"/>
    <cellStyle name="Check Cell 4" xfId="130"/>
    <cellStyle name="Explanatory Text 2" xfId="131"/>
    <cellStyle name="Explanatory Text 3" xfId="132"/>
    <cellStyle name="Explanatory Text 4" xfId="133"/>
    <cellStyle name="Good 2" xfId="134"/>
    <cellStyle name="Good 3" xfId="135"/>
    <cellStyle name="Good 4" xfId="136"/>
    <cellStyle name="Heading 1 2" xfId="137"/>
    <cellStyle name="Heading 1 3" xfId="138"/>
    <cellStyle name="Heading 1 4" xfId="139"/>
    <cellStyle name="Heading 2 2" xfId="140"/>
    <cellStyle name="Heading 2 3" xfId="141"/>
    <cellStyle name="Heading 2 4" xfId="142"/>
    <cellStyle name="Heading 3 2" xfId="143"/>
    <cellStyle name="Heading 3 3" xfId="144"/>
    <cellStyle name="Heading 3 4" xfId="145"/>
    <cellStyle name="Heading 4 2" xfId="146"/>
    <cellStyle name="Heading 4 3" xfId="147"/>
    <cellStyle name="Heading 4 4" xfId="148"/>
    <cellStyle name="Input 2" xfId="149"/>
    <cellStyle name="Input 3" xfId="150"/>
    <cellStyle name="Input 4" xfId="151"/>
    <cellStyle name="Linked Cell 2" xfId="152"/>
    <cellStyle name="Linked Cell 3" xfId="153"/>
    <cellStyle name="Linked Cell 4" xfId="154"/>
    <cellStyle name="Neutral 2" xfId="155"/>
    <cellStyle name="Neutral 3" xfId="156"/>
    <cellStyle name="Neutral 4" xfId="157"/>
    <cellStyle name="Normal" xfId="0" builtinId="0"/>
    <cellStyle name="Normal 2" xfId="1"/>
    <cellStyle name="Normal 2 2" xfId="158"/>
    <cellStyle name="Normal 3" xfId="159"/>
    <cellStyle name="Normal 3 2" xfId="160"/>
    <cellStyle name="Normal 4" xfId="161"/>
    <cellStyle name="Normal 5" xfId="162"/>
    <cellStyle name="Normal 6" xfId="163"/>
    <cellStyle name="Note 2" xfId="164"/>
    <cellStyle name="Note 2 2" xfId="165"/>
    <cellStyle name="Note 3" xfId="166"/>
    <cellStyle name="Note 3 2" xfId="167"/>
    <cellStyle name="Note 4" xfId="168"/>
    <cellStyle name="Note 5" xfId="169"/>
    <cellStyle name="Note 6" xfId="170"/>
    <cellStyle name="Output 2" xfId="171"/>
    <cellStyle name="Output 3" xfId="172"/>
    <cellStyle name="Output 4" xfId="173"/>
    <cellStyle name="Total 2" xfId="174"/>
    <cellStyle name="Total 3" xfId="175"/>
    <cellStyle name="Total 4" xfId="176"/>
    <cellStyle name="Warning Text 2" xfId="177"/>
    <cellStyle name="Warning Text 3" xfId="178"/>
    <cellStyle name="Warning Text 4" xfId="17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900096480034856"/>
          <c:y val="0.14033192522907567"/>
          <c:w val="0.67235608394800439"/>
          <c:h val="0.6730987814658359"/>
        </c:manualLayout>
      </c:layout>
      <c:lineChart>
        <c:grouping val="standard"/>
        <c:varyColors val="0"/>
        <c:ser>
          <c:idx val="0"/>
          <c:order val="0"/>
          <c:tx>
            <c:strRef>
              <c:f>'MASTER CHART'!$A$2</c:f>
              <c:strCache>
                <c:ptCount val="1"/>
                <c:pt idx="0">
                  <c:v>RDG 020</c:v>
                </c:pt>
              </c:strCache>
            </c:strRef>
          </c:tx>
          <c:cat>
            <c:strRef>
              <c:f>'MASTER CHART'!$B$1:$G$1</c:f>
              <c:strCache>
                <c:ptCount val="6"/>
                <c:pt idx="0">
                  <c:v>Fall 2010</c:v>
                </c:pt>
                <c:pt idx="1">
                  <c:v>Spring 2011</c:v>
                </c:pt>
                <c:pt idx="2">
                  <c:v>Fall 2011</c:v>
                </c:pt>
                <c:pt idx="3">
                  <c:v>Spring 2012</c:v>
                </c:pt>
                <c:pt idx="4">
                  <c:v>Fall 2012</c:v>
                </c:pt>
                <c:pt idx="5">
                  <c:v>Spring 2013</c:v>
                </c:pt>
              </c:strCache>
            </c:strRef>
          </c:cat>
          <c:val>
            <c:numRef>
              <c:f>'MASTER CHART'!$B$2:$G$2</c:f>
              <c:numCache>
                <c:formatCode>0.0%</c:formatCode>
                <c:ptCount val="6"/>
                <c:pt idx="0">
                  <c:v>0.629</c:v>
                </c:pt>
                <c:pt idx="1">
                  <c:v>0.65100000000000002</c:v>
                </c:pt>
                <c:pt idx="2">
                  <c:v>0.69799999999999995</c:v>
                </c:pt>
                <c:pt idx="3">
                  <c:v>0.78400000000000003</c:v>
                </c:pt>
                <c:pt idx="4">
                  <c:v>0.80300000000000005</c:v>
                </c:pt>
                <c:pt idx="5">
                  <c:v>0.77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'MASTER CHART'!$A$3</c:f>
              <c:strCache>
                <c:ptCount val="1"/>
                <c:pt idx="0">
                  <c:v>RDG 030</c:v>
                </c:pt>
              </c:strCache>
            </c:strRef>
          </c:tx>
          <c:cat>
            <c:strRef>
              <c:f>'MASTER CHART'!$B$1:$G$1</c:f>
              <c:strCache>
                <c:ptCount val="6"/>
                <c:pt idx="0">
                  <c:v>Fall 2010</c:v>
                </c:pt>
                <c:pt idx="1">
                  <c:v>Spring 2011</c:v>
                </c:pt>
                <c:pt idx="2">
                  <c:v>Fall 2011</c:v>
                </c:pt>
                <c:pt idx="3">
                  <c:v>Spring 2012</c:v>
                </c:pt>
                <c:pt idx="4">
                  <c:v>Fall 2012</c:v>
                </c:pt>
                <c:pt idx="5">
                  <c:v>Spring 2013</c:v>
                </c:pt>
              </c:strCache>
            </c:strRef>
          </c:cat>
          <c:val>
            <c:numRef>
              <c:f>'MASTER CHART'!$B$3:$G$3</c:f>
              <c:numCache>
                <c:formatCode>0.0%</c:formatCode>
                <c:ptCount val="6"/>
                <c:pt idx="0">
                  <c:v>0.56399999999999995</c:v>
                </c:pt>
                <c:pt idx="1">
                  <c:v>0.70899999999999996</c:v>
                </c:pt>
                <c:pt idx="2">
                  <c:v>0.69099999999999995</c:v>
                </c:pt>
                <c:pt idx="3">
                  <c:v>0.74099999999999999</c:v>
                </c:pt>
                <c:pt idx="4">
                  <c:v>0.754</c:v>
                </c:pt>
                <c:pt idx="5">
                  <c:v>0.82699999999999996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'MASTER CHART'!$A$4</c:f>
              <c:strCache>
                <c:ptCount val="1"/>
                <c:pt idx="0">
                  <c:v>RDG 185</c:v>
                </c:pt>
              </c:strCache>
            </c:strRef>
          </c:tx>
          <c:cat>
            <c:strRef>
              <c:f>'MASTER CHART'!$B$1:$G$1</c:f>
              <c:strCache>
                <c:ptCount val="6"/>
                <c:pt idx="0">
                  <c:v>Fall 2010</c:v>
                </c:pt>
                <c:pt idx="1">
                  <c:v>Spring 2011</c:v>
                </c:pt>
                <c:pt idx="2">
                  <c:v>Fall 2011</c:v>
                </c:pt>
                <c:pt idx="3">
                  <c:v>Spring 2012</c:v>
                </c:pt>
                <c:pt idx="4">
                  <c:v>Fall 2012</c:v>
                </c:pt>
                <c:pt idx="5">
                  <c:v>Spring 2013</c:v>
                </c:pt>
              </c:strCache>
            </c:strRef>
          </c:cat>
          <c:val>
            <c:numRef>
              <c:f>'MASTER CHART'!$B$4:$G$4</c:f>
              <c:numCache>
                <c:formatCode>0.0%</c:formatCode>
                <c:ptCount val="6"/>
                <c:pt idx="0">
                  <c:v>0.46700000000000003</c:v>
                </c:pt>
                <c:pt idx="1">
                  <c:v>0.44400000000000001</c:v>
                </c:pt>
                <c:pt idx="2">
                  <c:v>0.54700000000000004</c:v>
                </c:pt>
                <c:pt idx="3">
                  <c:v>0.45700000000000002</c:v>
                </c:pt>
                <c:pt idx="4">
                  <c:v>0.67300000000000004</c:v>
                </c:pt>
                <c:pt idx="5">
                  <c:v>0.6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'MASTER CHART'!$A$5</c:f>
              <c:strCache>
                <c:ptCount val="1"/>
                <c:pt idx="0">
                  <c:v>Overall</c:v>
                </c:pt>
              </c:strCache>
            </c:strRef>
          </c:tx>
          <c:spPr>
            <a:ln w="31750">
              <a:prstDash val="dash"/>
            </a:ln>
          </c:spPr>
          <c:cat>
            <c:strRef>
              <c:f>'MASTER CHART'!$B$1:$G$1</c:f>
              <c:strCache>
                <c:ptCount val="6"/>
                <c:pt idx="0">
                  <c:v>Fall 2010</c:v>
                </c:pt>
                <c:pt idx="1">
                  <c:v>Spring 2011</c:v>
                </c:pt>
                <c:pt idx="2">
                  <c:v>Fall 2011</c:v>
                </c:pt>
                <c:pt idx="3">
                  <c:v>Spring 2012</c:v>
                </c:pt>
                <c:pt idx="4">
                  <c:v>Fall 2012</c:v>
                </c:pt>
                <c:pt idx="5">
                  <c:v>Spring 2013</c:v>
                </c:pt>
              </c:strCache>
            </c:strRef>
          </c:cat>
          <c:val>
            <c:numRef>
              <c:f>'MASTER CHART'!$B$5:$G$5</c:f>
              <c:numCache>
                <c:formatCode>0.0%</c:formatCode>
                <c:ptCount val="6"/>
                <c:pt idx="0">
                  <c:v>0.56799999999999995</c:v>
                </c:pt>
                <c:pt idx="1">
                  <c:v>0.64900000000000002</c:v>
                </c:pt>
                <c:pt idx="2">
                  <c:v>0.67800000000000005</c:v>
                </c:pt>
                <c:pt idx="3">
                  <c:v>0.71799999999999997</c:v>
                </c:pt>
                <c:pt idx="4">
                  <c:v>0.76100000000000001</c:v>
                </c:pt>
                <c:pt idx="5">
                  <c:v>0.78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253888"/>
        <c:axId val="37255424"/>
      </c:lineChart>
      <c:catAx>
        <c:axId val="37253888"/>
        <c:scaling>
          <c:orientation val="minMax"/>
        </c:scaling>
        <c:delete val="0"/>
        <c:axPos val="b"/>
        <c:majorTickMark val="none"/>
        <c:minorTickMark val="none"/>
        <c:tickLblPos val="nextTo"/>
        <c:crossAx val="37255424"/>
        <c:crosses val="autoZero"/>
        <c:auto val="1"/>
        <c:lblAlgn val="ctr"/>
        <c:lblOffset val="100"/>
        <c:noMultiLvlLbl val="0"/>
      </c:catAx>
      <c:valAx>
        <c:axId val="37255424"/>
        <c:scaling>
          <c:orientation val="minMax"/>
          <c:max val="1"/>
          <c:min val="0"/>
        </c:scaling>
        <c:delete val="0"/>
        <c:axPos val="l"/>
        <c:majorGridlines/>
        <c:numFmt formatCode="0%" sourceLinked="0"/>
        <c:majorTickMark val="none"/>
        <c:minorTickMark val="none"/>
        <c:tickLblPos val="nextTo"/>
        <c:crossAx val="37253888"/>
        <c:crosses val="autoZero"/>
        <c:crossBetween val="between"/>
      </c:valAx>
      <c:dTable>
        <c:showHorzBorder val="1"/>
        <c:showVertBorder val="1"/>
        <c:showOutline val="1"/>
        <c:showKeys val="0"/>
      </c:dTable>
    </c:plotArea>
    <c:plotVisOnly val="1"/>
    <c:dispBlanksAs val="gap"/>
    <c:showDLblsOverMax val="0"/>
  </c:chart>
  <c:spPr>
    <a:ln>
      <a:noFill/>
    </a:ln>
  </c:spPr>
  <c:printSettings>
    <c:headerFooter>
      <c:oddHeader>&amp;L&amp;9Bluegrass Community &amp; Technical College
QEP&amp;R&amp;9September 1, 2012</c:oddHeader>
      <c:oddFooter>&amp;L&amp;9S:IPRE\QEP\Longitudinal data.xlsx</c:oddFooter>
    </c:headerFooter>
    <c:pageMargins b="0.25" l="0.45" r="0.45" t="0.25" header="0.3" footer="0.3"/>
    <c:pageSetup orientation="portrait" verticalDpi="0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6</xdr:row>
      <xdr:rowOff>109538</xdr:rowOff>
    </xdr:from>
    <xdr:to>
      <xdr:col>6</xdr:col>
      <xdr:colOff>428625</xdr:colOff>
      <xdr:row>38</xdr:row>
      <xdr:rowOff>133350</xdr:rowOff>
    </xdr:to>
    <xdr:graphicFrame macro="">
      <xdr:nvGraphicFramePr>
        <xdr:cNvPr id="2" name="Chart 1" title="Compliance with Mandatory Placemen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0.02767</cdr:x>
      <cdr:y>0.01167</cdr:y>
    </cdr:from>
    <cdr:to>
      <cdr:x>0.97233</cdr:x>
      <cdr:y>0.1144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3350" y="71437"/>
          <a:ext cx="4552950" cy="628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800" b="1">
              <a:latin typeface="Arial" pitchFamily="34" charset="0"/>
              <a:cs typeface="Arial" pitchFamily="34" charset="0"/>
            </a:rPr>
            <a:t>Compliance with Mandatory Placement</a:t>
          </a:r>
        </a:p>
        <a:p xmlns:a="http://schemas.openxmlformats.org/drawingml/2006/main">
          <a:endParaRPr lang="en-US" sz="400" b="1">
            <a:latin typeface="Arial" pitchFamily="34" charset="0"/>
            <a:cs typeface="Arial" pitchFamily="34" charset="0"/>
          </a:endParaRPr>
        </a:p>
        <a:p xmlns:a="http://schemas.openxmlformats.org/drawingml/2006/main">
          <a:pPr algn="ctr"/>
          <a:r>
            <a:rPr lang="en-US" sz="1200" b="1">
              <a:latin typeface="Arial" pitchFamily="34" charset="0"/>
              <a:cs typeface="Arial" pitchFamily="34" charset="0"/>
            </a:rPr>
            <a:t>Transitional RDG courses, Fall 2010 - Spring 2013</a:t>
          </a:r>
        </a:p>
      </cdr:txBody>
    </cdr:sp>
  </cdr:relSizeAnchor>
  <cdr:relSizeAnchor xmlns:cdr="http://schemas.openxmlformats.org/drawingml/2006/chartDrawing">
    <cdr:from>
      <cdr:x>0.68379</cdr:x>
      <cdr:y>0.20779</cdr:y>
    </cdr:from>
    <cdr:to>
      <cdr:x>0.83992</cdr:x>
      <cdr:y>0.24203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3295630" y="1271610"/>
          <a:ext cx="752492" cy="20954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RDG 020</a:t>
          </a:r>
        </a:p>
      </cdr:txBody>
    </cdr:sp>
  </cdr:relSizeAnchor>
  <cdr:relSizeAnchor xmlns:cdr="http://schemas.openxmlformats.org/drawingml/2006/chartDrawing">
    <cdr:from>
      <cdr:x>0.72134</cdr:x>
      <cdr:y>0.40545</cdr:y>
    </cdr:from>
    <cdr:to>
      <cdr:x>0.87747</cdr:x>
      <cdr:y>0.43969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3476625" y="2481262"/>
          <a:ext cx="752475" cy="2095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RDG 185</a:t>
          </a:r>
        </a:p>
      </cdr:txBody>
    </cdr:sp>
  </cdr:relSizeAnchor>
  <cdr:relSizeAnchor xmlns:cdr="http://schemas.openxmlformats.org/drawingml/2006/chartDrawing">
    <cdr:from>
      <cdr:x>0.74111</cdr:x>
      <cdr:y>0.3074</cdr:y>
    </cdr:from>
    <cdr:to>
      <cdr:x>0.89723</cdr:x>
      <cdr:y>0.34164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3571885" y="1881217"/>
          <a:ext cx="752444" cy="20954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RDG 030</a:t>
          </a:r>
        </a:p>
      </cdr:txBody>
    </cdr:sp>
  </cdr:relSizeAnchor>
  <cdr:relSizeAnchor xmlns:cdr="http://schemas.openxmlformats.org/drawingml/2006/chartDrawing">
    <cdr:from>
      <cdr:x>0.80435</cdr:x>
      <cdr:y>0.26537</cdr:y>
    </cdr:from>
    <cdr:to>
      <cdr:x>0.96047</cdr:x>
      <cdr:y>0.29961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3876675" y="1624012"/>
          <a:ext cx="752475" cy="2095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OVERALL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J5"/>
  <sheetViews>
    <sheetView tabSelected="1" zoomScale="80" zoomScaleNormal="80" workbookViewId="0"/>
  </sheetViews>
  <sheetFormatPr defaultColWidth="8.77734375" defaultRowHeight="15" x14ac:dyDescent="0.2"/>
  <cols>
    <col min="1" max="1" width="8.5546875" style="82" bestFit="1" customWidth="1"/>
    <col min="2" max="2" width="8.33203125" style="82" bestFit="1" customWidth="1"/>
    <col min="3" max="3" width="10.77734375" style="82" bestFit="1" customWidth="1"/>
    <col min="4" max="4" width="8.33203125" style="82" bestFit="1" customWidth="1"/>
    <col min="5" max="5" width="10.77734375" style="82" bestFit="1" customWidth="1"/>
    <col min="6" max="6" width="8.33203125" style="82" bestFit="1" customWidth="1"/>
    <col min="7" max="16384" width="8.77734375" style="82"/>
  </cols>
  <sheetData>
    <row r="1" spans="1:10" x14ac:dyDescent="0.2">
      <c r="B1" s="177" t="s">
        <v>67</v>
      </c>
      <c r="C1" s="177" t="s">
        <v>68</v>
      </c>
      <c r="D1" s="177" t="s">
        <v>69</v>
      </c>
      <c r="E1" s="177" t="s">
        <v>70</v>
      </c>
      <c r="F1" s="177" t="s">
        <v>66</v>
      </c>
      <c r="G1" s="177" t="s">
        <v>74</v>
      </c>
    </row>
    <row r="2" spans="1:10" x14ac:dyDescent="0.2">
      <c r="A2" s="177" t="s">
        <v>2</v>
      </c>
      <c r="B2" s="179">
        <v>0.629</v>
      </c>
      <c r="C2" s="179">
        <v>0.65100000000000002</v>
      </c>
      <c r="D2" s="179">
        <v>0.69799999999999995</v>
      </c>
      <c r="E2" s="179">
        <v>0.78400000000000003</v>
      </c>
      <c r="F2" s="179">
        <v>0.80300000000000005</v>
      </c>
      <c r="G2" s="179">
        <v>0.77</v>
      </c>
      <c r="H2" s="179"/>
      <c r="I2" s="179"/>
      <c r="J2" s="179"/>
    </row>
    <row r="3" spans="1:10" x14ac:dyDescent="0.2">
      <c r="A3" s="177" t="s">
        <v>3</v>
      </c>
      <c r="B3" s="179">
        <v>0.56399999999999995</v>
      </c>
      <c r="C3" s="179">
        <v>0.70899999999999996</v>
      </c>
      <c r="D3" s="179">
        <v>0.69099999999999995</v>
      </c>
      <c r="E3" s="179">
        <v>0.74099999999999999</v>
      </c>
      <c r="F3" s="179">
        <v>0.754</v>
      </c>
      <c r="G3" s="179">
        <v>0.82699999999999996</v>
      </c>
      <c r="H3" s="179"/>
      <c r="I3" s="179"/>
      <c r="J3" s="179"/>
    </row>
    <row r="4" spans="1:10" x14ac:dyDescent="0.2">
      <c r="A4" s="177" t="s">
        <v>42</v>
      </c>
      <c r="B4" s="179">
        <v>0.46700000000000003</v>
      </c>
      <c r="C4" s="179">
        <v>0.44400000000000001</v>
      </c>
      <c r="D4" s="179">
        <v>0.54700000000000004</v>
      </c>
      <c r="E4" s="179">
        <v>0.45700000000000002</v>
      </c>
      <c r="F4" s="179">
        <v>0.67300000000000004</v>
      </c>
      <c r="G4" s="179">
        <v>0.6</v>
      </c>
      <c r="H4" s="179"/>
      <c r="I4" s="179"/>
      <c r="J4" s="179"/>
    </row>
    <row r="5" spans="1:10" ht="15.75" x14ac:dyDescent="0.25">
      <c r="A5" s="178" t="s">
        <v>71</v>
      </c>
      <c r="B5" s="179">
        <v>0.56799999999999995</v>
      </c>
      <c r="C5" s="179">
        <v>0.64900000000000002</v>
      </c>
      <c r="D5" s="179">
        <v>0.67800000000000005</v>
      </c>
      <c r="E5" s="179">
        <v>0.71799999999999997</v>
      </c>
      <c r="F5" s="179">
        <v>0.76100000000000001</v>
      </c>
      <c r="G5" s="179">
        <v>0.78</v>
      </c>
      <c r="H5" s="179"/>
      <c r="I5" s="179"/>
      <c r="J5" s="179"/>
    </row>
  </sheetData>
  <pageMargins left="0.5" right="0.5" top="0.25" bottom="0.5" header="0.3" footer="0.25"/>
  <pageSetup orientation="portrait" r:id="rId1"/>
  <headerFooter>
    <oddFooter>&amp;L&amp;8S:\IE\QEP\&amp;F&amp;R&amp;8&amp;D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52"/>
  <sheetViews>
    <sheetView zoomScale="80" zoomScaleNormal="80" workbookViewId="0"/>
  </sheetViews>
  <sheetFormatPr defaultRowHeight="15" x14ac:dyDescent="0.2"/>
  <cols>
    <col min="1" max="1" width="16.21875" style="2" customWidth="1"/>
    <col min="2" max="4" width="13.44140625" customWidth="1"/>
    <col min="5" max="5" width="15" customWidth="1"/>
    <col min="6" max="6" width="7.88671875" customWidth="1"/>
  </cols>
  <sheetData>
    <row r="1" spans="1:5" x14ac:dyDescent="0.2">
      <c r="A1" t="s">
        <v>4</v>
      </c>
      <c r="E1" s="64" t="s">
        <v>30</v>
      </c>
    </row>
    <row r="2" spans="1:5" x14ac:dyDescent="0.2">
      <c r="A2" s="1" t="s">
        <v>5</v>
      </c>
    </row>
    <row r="3" spans="1:5" ht="3.75" customHeight="1" x14ac:dyDescent="0.2"/>
    <row r="4" spans="1:5" ht="20.25" x14ac:dyDescent="0.3">
      <c r="A4" s="189" t="s">
        <v>6</v>
      </c>
      <c r="B4" s="189"/>
      <c r="C4" s="189"/>
      <c r="D4" s="189"/>
      <c r="E4" s="189"/>
    </row>
    <row r="5" spans="1:5" ht="13.5" customHeight="1" x14ac:dyDescent="0.25">
      <c r="A5" s="190" t="s">
        <v>31</v>
      </c>
      <c r="B5" s="190"/>
      <c r="C5" s="190"/>
      <c r="D5" s="190"/>
      <c r="E5" s="190"/>
    </row>
    <row r="6" spans="1:5" ht="6.75" customHeight="1" x14ac:dyDescent="0.2"/>
    <row r="7" spans="1:5" ht="18.75" x14ac:dyDescent="0.3">
      <c r="A7" s="3" t="s">
        <v>7</v>
      </c>
    </row>
    <row r="8" spans="1:5" ht="7.5" customHeight="1" thickBot="1" x14ac:dyDescent="0.3">
      <c r="A8" s="4"/>
      <c r="B8" s="4"/>
      <c r="C8" s="4"/>
      <c r="D8" s="4"/>
      <c r="E8" s="4"/>
    </row>
    <row r="9" spans="1:5" ht="15.75" thickTop="1" x14ac:dyDescent="0.2">
      <c r="A9" s="5"/>
      <c r="B9" s="6"/>
      <c r="C9" s="7" t="s">
        <v>8</v>
      </c>
      <c r="D9" s="7" t="s">
        <v>9</v>
      </c>
      <c r="E9" s="8" t="s">
        <v>10</v>
      </c>
    </row>
    <row r="10" spans="1:5" ht="17.25" thickBot="1" x14ac:dyDescent="0.25">
      <c r="A10" s="9"/>
      <c r="B10" s="10" t="s">
        <v>11</v>
      </c>
      <c r="C10" s="11" t="s">
        <v>12</v>
      </c>
      <c r="D10" s="11" t="s">
        <v>0</v>
      </c>
      <c r="E10" s="12" t="s">
        <v>13</v>
      </c>
    </row>
    <row r="11" spans="1:5" ht="16.5" thickTop="1" x14ac:dyDescent="0.25">
      <c r="A11" s="65" t="s">
        <v>32</v>
      </c>
      <c r="B11" s="66" t="s">
        <v>14</v>
      </c>
      <c r="C11" s="67">
        <v>12</v>
      </c>
      <c r="D11" s="67">
        <v>17</v>
      </c>
      <c r="E11" s="68">
        <f t="shared" ref="E11:E25" si="0">+C11/D11</f>
        <v>0.70588235294117652</v>
      </c>
    </row>
    <row r="12" spans="1:5" x14ac:dyDescent="0.2">
      <c r="A12" s="13"/>
      <c r="B12" s="14" t="s">
        <v>15</v>
      </c>
      <c r="C12" s="15">
        <v>8</v>
      </c>
      <c r="D12" s="15">
        <v>20</v>
      </c>
      <c r="E12" s="16">
        <f t="shared" si="0"/>
        <v>0.4</v>
      </c>
    </row>
    <row r="13" spans="1:5" ht="16.5" thickBot="1" x14ac:dyDescent="0.3">
      <c r="A13" s="17" t="s">
        <v>16</v>
      </c>
      <c r="B13" s="18" t="s">
        <v>17</v>
      </c>
      <c r="C13" s="19">
        <f>SUM(C11:C12)</f>
        <v>20</v>
      </c>
      <c r="D13" s="19">
        <f>SUM(D11:D12)</f>
        <v>37</v>
      </c>
      <c r="E13" s="20">
        <f t="shared" si="0"/>
        <v>0.54054054054054057</v>
      </c>
    </row>
    <row r="14" spans="1:5" ht="15.75" x14ac:dyDescent="0.25">
      <c r="A14" s="21" t="s">
        <v>2</v>
      </c>
      <c r="B14" s="22" t="s">
        <v>14</v>
      </c>
      <c r="C14" s="23">
        <v>109</v>
      </c>
      <c r="D14" s="23">
        <v>156</v>
      </c>
      <c r="E14" s="24">
        <f t="shared" si="0"/>
        <v>0.69871794871794868</v>
      </c>
    </row>
    <row r="15" spans="1:5" x14ac:dyDescent="0.2">
      <c r="A15" s="13"/>
      <c r="B15" s="14" t="s">
        <v>15</v>
      </c>
      <c r="C15" s="15">
        <v>64</v>
      </c>
      <c r="D15" s="15">
        <v>119</v>
      </c>
      <c r="E15" s="16">
        <f t="shared" si="0"/>
        <v>0.53781512605042014</v>
      </c>
    </row>
    <row r="16" spans="1:5" ht="16.5" thickBot="1" x14ac:dyDescent="0.3">
      <c r="A16" s="17" t="s">
        <v>16</v>
      </c>
      <c r="B16" s="18" t="s">
        <v>17</v>
      </c>
      <c r="C16" s="19">
        <f>SUM(C14:C15)</f>
        <v>173</v>
      </c>
      <c r="D16" s="19">
        <f>SUM(D14:D15)</f>
        <v>275</v>
      </c>
      <c r="E16" s="20">
        <f t="shared" si="0"/>
        <v>0.62909090909090915</v>
      </c>
    </row>
    <row r="17" spans="1:12" ht="15.75" x14ac:dyDescent="0.25">
      <c r="A17" s="21" t="s">
        <v>33</v>
      </c>
      <c r="B17" s="22" t="s">
        <v>14</v>
      </c>
      <c r="C17" s="23">
        <v>178</v>
      </c>
      <c r="D17" s="23">
        <v>256</v>
      </c>
      <c r="E17" s="24">
        <f t="shared" si="0"/>
        <v>0.6953125</v>
      </c>
    </row>
    <row r="18" spans="1:12" x14ac:dyDescent="0.2">
      <c r="A18" s="13"/>
      <c r="B18" s="14" t="s">
        <v>15</v>
      </c>
      <c r="C18" s="15">
        <v>57</v>
      </c>
      <c r="D18" s="15">
        <v>161</v>
      </c>
      <c r="E18" s="16">
        <f t="shared" si="0"/>
        <v>0.35403726708074534</v>
      </c>
    </row>
    <row r="19" spans="1:12" ht="16.5" thickBot="1" x14ac:dyDescent="0.3">
      <c r="A19" s="17" t="s">
        <v>16</v>
      </c>
      <c r="B19" s="18" t="s">
        <v>17</v>
      </c>
      <c r="C19" s="19">
        <f>SUM(C17:C18)</f>
        <v>235</v>
      </c>
      <c r="D19" s="19">
        <f>SUM(D17:D18)</f>
        <v>417</v>
      </c>
      <c r="E19" s="20">
        <f t="shared" si="0"/>
        <v>0.56354916067146288</v>
      </c>
    </row>
    <row r="20" spans="1:12" ht="15.75" x14ac:dyDescent="0.25">
      <c r="A20" s="21" t="s">
        <v>1</v>
      </c>
      <c r="B20" s="22" t="s">
        <v>14</v>
      </c>
      <c r="C20" s="23">
        <v>56</v>
      </c>
      <c r="D20" s="23">
        <v>94</v>
      </c>
      <c r="E20" s="24">
        <f t="shared" si="0"/>
        <v>0.5957446808510638</v>
      </c>
    </row>
    <row r="21" spans="1:12" x14ac:dyDescent="0.2">
      <c r="A21" s="13"/>
      <c r="B21" s="14" t="s">
        <v>15</v>
      </c>
      <c r="C21" s="15">
        <v>14</v>
      </c>
      <c r="D21" s="15">
        <v>56</v>
      </c>
      <c r="E21" s="16">
        <f t="shared" si="0"/>
        <v>0.25</v>
      </c>
    </row>
    <row r="22" spans="1:12" ht="16.5" thickBot="1" x14ac:dyDescent="0.3">
      <c r="A22" s="17" t="s">
        <v>16</v>
      </c>
      <c r="B22" s="18" t="s">
        <v>17</v>
      </c>
      <c r="C22" s="19">
        <f>SUM(C20:C21)</f>
        <v>70</v>
      </c>
      <c r="D22" s="19">
        <f>SUM(D20:D21)</f>
        <v>150</v>
      </c>
      <c r="E22" s="20">
        <f t="shared" si="0"/>
        <v>0.46666666666666667</v>
      </c>
    </row>
    <row r="23" spans="1:12" ht="15.75" x14ac:dyDescent="0.25">
      <c r="A23" s="25" t="s">
        <v>18</v>
      </c>
      <c r="B23" s="26" t="s">
        <v>14</v>
      </c>
      <c r="C23" s="27">
        <f t="shared" ref="C23:D25" si="1">+C11+C14+C17+C20</f>
        <v>355</v>
      </c>
      <c r="D23" s="27">
        <f t="shared" si="1"/>
        <v>523</v>
      </c>
      <c r="E23" s="28">
        <f t="shared" si="0"/>
        <v>0.67877629063097511</v>
      </c>
    </row>
    <row r="24" spans="1:12" ht="15.75" x14ac:dyDescent="0.25">
      <c r="A24" s="25"/>
      <c r="B24" s="26" t="s">
        <v>15</v>
      </c>
      <c r="C24" s="27">
        <f t="shared" si="1"/>
        <v>143</v>
      </c>
      <c r="D24" s="27">
        <f t="shared" si="1"/>
        <v>356</v>
      </c>
      <c r="E24" s="28">
        <f t="shared" si="0"/>
        <v>0.40168539325842695</v>
      </c>
    </row>
    <row r="25" spans="1:12" ht="16.5" thickBot="1" x14ac:dyDescent="0.3">
      <c r="A25" s="29" t="s">
        <v>16</v>
      </c>
      <c r="B25" s="30" t="s">
        <v>17</v>
      </c>
      <c r="C25" s="31">
        <f t="shared" si="1"/>
        <v>498</v>
      </c>
      <c r="D25" s="31">
        <f t="shared" si="1"/>
        <v>879</v>
      </c>
      <c r="E25" s="188">
        <f t="shared" si="0"/>
        <v>0.56655290102389078</v>
      </c>
      <c r="G25" s="186" t="s">
        <v>82</v>
      </c>
      <c r="H25" s="186"/>
      <c r="I25" s="186"/>
      <c r="J25" s="186"/>
      <c r="K25" s="186"/>
      <c r="L25" s="186"/>
    </row>
    <row r="26" spans="1:12" ht="12.75" customHeight="1" thickTop="1" x14ac:dyDescent="0.25">
      <c r="A26" s="33" t="s">
        <v>19</v>
      </c>
      <c r="E26" s="34" t="s">
        <v>34</v>
      </c>
      <c r="G26" s="187" t="s">
        <v>81</v>
      </c>
      <c r="H26" s="186"/>
      <c r="I26" s="186"/>
      <c r="J26" s="186"/>
      <c r="K26" s="186"/>
      <c r="L26" s="186"/>
    </row>
    <row r="27" spans="1:12" ht="15.75" customHeight="1" x14ac:dyDescent="0.2">
      <c r="A27" s="35" t="s">
        <v>35</v>
      </c>
    </row>
    <row r="28" spans="1:12" ht="16.5" x14ac:dyDescent="0.25">
      <c r="A28" s="36" t="s">
        <v>20</v>
      </c>
    </row>
    <row r="29" spans="1:12" ht="7.5" customHeight="1" thickBot="1" x14ac:dyDescent="0.3">
      <c r="A29" s="4"/>
      <c r="B29" s="4"/>
      <c r="C29" s="4"/>
      <c r="D29" s="4"/>
      <c r="E29" s="4"/>
    </row>
    <row r="30" spans="1:12" ht="14.25" customHeight="1" thickTop="1" thickBot="1" x14ac:dyDescent="0.25">
      <c r="B30" s="5" t="s">
        <v>21</v>
      </c>
      <c r="C30" s="6" t="s">
        <v>22</v>
      </c>
      <c r="D30" s="8" t="s">
        <v>23</v>
      </c>
    </row>
    <row r="31" spans="1:12" ht="14.25" customHeight="1" x14ac:dyDescent="0.25">
      <c r="B31" s="21" t="s">
        <v>32</v>
      </c>
      <c r="C31" s="22" t="s">
        <v>32</v>
      </c>
      <c r="D31" s="69">
        <v>20</v>
      </c>
    </row>
    <row r="32" spans="1:12" ht="14.25" customHeight="1" x14ac:dyDescent="0.25">
      <c r="A32"/>
      <c r="B32" s="37"/>
      <c r="C32" s="14" t="s">
        <v>2</v>
      </c>
      <c r="D32" s="70">
        <v>5</v>
      </c>
    </row>
    <row r="33" spans="1:4" ht="14.25" customHeight="1" x14ac:dyDescent="0.25">
      <c r="A33"/>
      <c r="B33" s="37"/>
      <c r="C33" s="14" t="s">
        <v>33</v>
      </c>
      <c r="D33" s="71">
        <v>1</v>
      </c>
    </row>
    <row r="34" spans="1:4" ht="14.25" customHeight="1" x14ac:dyDescent="0.25">
      <c r="A34"/>
      <c r="B34" s="37"/>
      <c r="C34" s="14" t="s">
        <v>1</v>
      </c>
      <c r="D34" s="71">
        <v>1</v>
      </c>
    </row>
    <row r="35" spans="1:4" ht="14.25" customHeight="1" thickBot="1" x14ac:dyDescent="0.3">
      <c r="A35"/>
      <c r="B35" s="17"/>
      <c r="C35" s="72" t="s">
        <v>24</v>
      </c>
      <c r="D35" s="73">
        <v>10</v>
      </c>
    </row>
    <row r="36" spans="1:4" ht="14.25" customHeight="1" x14ac:dyDescent="0.25">
      <c r="A36"/>
      <c r="B36" s="21" t="s">
        <v>2</v>
      </c>
      <c r="C36" s="22" t="s">
        <v>32</v>
      </c>
      <c r="D36" s="74">
        <v>0</v>
      </c>
    </row>
    <row r="37" spans="1:4" ht="14.25" customHeight="1" x14ac:dyDescent="0.25">
      <c r="A37"/>
      <c r="B37" s="37"/>
      <c r="C37" s="14" t="s">
        <v>2</v>
      </c>
      <c r="D37" s="71">
        <v>173</v>
      </c>
    </row>
    <row r="38" spans="1:4" ht="14.25" customHeight="1" x14ac:dyDescent="0.25">
      <c r="A38"/>
      <c r="B38" s="37"/>
      <c r="C38" s="14" t="s">
        <v>33</v>
      </c>
      <c r="D38" s="71">
        <v>18</v>
      </c>
    </row>
    <row r="39" spans="1:4" ht="14.25" customHeight="1" x14ac:dyDescent="0.25">
      <c r="A39"/>
      <c r="B39" s="37"/>
      <c r="C39" s="14" t="s">
        <v>1</v>
      </c>
      <c r="D39" s="71">
        <v>5</v>
      </c>
    </row>
    <row r="40" spans="1:4" ht="14.25" customHeight="1" thickBot="1" x14ac:dyDescent="0.3">
      <c r="A40"/>
      <c r="B40" s="17"/>
      <c r="C40" s="72" t="s">
        <v>24</v>
      </c>
      <c r="D40" s="73">
        <v>79</v>
      </c>
    </row>
    <row r="41" spans="1:4" ht="14.25" customHeight="1" x14ac:dyDescent="0.25">
      <c r="A41"/>
      <c r="B41" s="21" t="s">
        <v>33</v>
      </c>
      <c r="C41" s="22" t="s">
        <v>32</v>
      </c>
      <c r="D41" s="74">
        <v>0</v>
      </c>
    </row>
    <row r="42" spans="1:4" ht="14.25" customHeight="1" x14ac:dyDescent="0.25">
      <c r="A42"/>
      <c r="B42" s="37"/>
      <c r="C42" s="14" t="s">
        <v>2</v>
      </c>
      <c r="D42" s="71">
        <v>10</v>
      </c>
    </row>
    <row r="43" spans="1:4" ht="14.25" customHeight="1" x14ac:dyDescent="0.25">
      <c r="A43"/>
      <c r="B43" s="37"/>
      <c r="C43" s="14" t="s">
        <v>33</v>
      </c>
      <c r="D43" s="70">
        <v>235</v>
      </c>
    </row>
    <row r="44" spans="1:4" ht="14.25" customHeight="1" x14ac:dyDescent="0.25">
      <c r="A44"/>
      <c r="B44" s="37"/>
      <c r="C44" s="14" t="s">
        <v>1</v>
      </c>
      <c r="D44" s="71">
        <v>19</v>
      </c>
    </row>
    <row r="45" spans="1:4" ht="14.25" customHeight="1" thickBot="1" x14ac:dyDescent="0.3">
      <c r="A45"/>
      <c r="B45" s="17"/>
      <c r="C45" s="72" t="s">
        <v>24</v>
      </c>
      <c r="D45" s="73">
        <v>153</v>
      </c>
    </row>
    <row r="46" spans="1:4" ht="14.25" customHeight="1" x14ac:dyDescent="0.25">
      <c r="A46"/>
      <c r="B46" s="21" t="s">
        <v>1</v>
      </c>
      <c r="C46" s="22" t="s">
        <v>32</v>
      </c>
      <c r="D46" s="74">
        <v>0</v>
      </c>
    </row>
    <row r="47" spans="1:4" ht="14.25" customHeight="1" x14ac:dyDescent="0.25">
      <c r="A47"/>
      <c r="B47" s="37"/>
      <c r="C47" s="14" t="s">
        <v>2</v>
      </c>
      <c r="D47" s="71">
        <v>1</v>
      </c>
    </row>
    <row r="48" spans="1:4" ht="14.25" customHeight="1" x14ac:dyDescent="0.25">
      <c r="A48"/>
      <c r="B48" s="37"/>
      <c r="C48" s="14" t="s">
        <v>33</v>
      </c>
      <c r="D48" s="70">
        <v>1</v>
      </c>
    </row>
    <row r="49" spans="1:4" ht="14.25" customHeight="1" x14ac:dyDescent="0.25">
      <c r="A49"/>
      <c r="B49" s="38"/>
      <c r="C49" s="39" t="s">
        <v>1</v>
      </c>
      <c r="D49" s="75">
        <v>70</v>
      </c>
    </row>
    <row r="50" spans="1:4" ht="14.25" customHeight="1" thickBot="1" x14ac:dyDescent="0.3">
      <c r="A50"/>
      <c r="B50" s="76"/>
      <c r="C50" s="77" t="s">
        <v>24</v>
      </c>
      <c r="D50" s="78">
        <v>78</v>
      </c>
    </row>
    <row r="51" spans="1:4" ht="12.75" customHeight="1" thickTop="1" x14ac:dyDescent="0.2">
      <c r="A51"/>
      <c r="D51" s="40" t="s">
        <v>36</v>
      </c>
    </row>
    <row r="52" spans="1:4" ht="10.5" customHeight="1" x14ac:dyDescent="0.2">
      <c r="A52"/>
      <c r="D52" s="41" t="s">
        <v>25</v>
      </c>
    </row>
  </sheetData>
  <mergeCells count="2">
    <mergeCell ref="A4:E4"/>
    <mergeCell ref="A5:E5"/>
  </mergeCells>
  <pageMargins left="0.91" right="0.5" top="0.25" bottom="0.5" header="0.3" footer="0.25"/>
  <pageSetup orientation="portrait" r:id="rId1"/>
  <headerFooter>
    <oddFooter>&amp;L&amp;8S:\IE\QEP\&amp;F&amp;R&amp;8&amp;D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E47"/>
  <sheetViews>
    <sheetView zoomScale="80" zoomScaleNormal="80" workbookViewId="0"/>
  </sheetViews>
  <sheetFormatPr defaultRowHeight="15" x14ac:dyDescent="0.2"/>
  <cols>
    <col min="1" max="1" width="16.21875" style="2" customWidth="1"/>
    <col min="2" max="4" width="13.44140625" customWidth="1"/>
    <col min="5" max="5" width="15" customWidth="1"/>
    <col min="6" max="6" width="7.88671875" customWidth="1"/>
  </cols>
  <sheetData>
    <row r="1" spans="1:5" x14ac:dyDescent="0.2">
      <c r="A1" t="s">
        <v>4</v>
      </c>
      <c r="E1" s="59">
        <v>40577</v>
      </c>
    </row>
    <row r="2" spans="1:5" x14ac:dyDescent="0.2">
      <c r="A2" s="1" t="s">
        <v>5</v>
      </c>
    </row>
    <row r="3" spans="1:5" x14ac:dyDescent="0.2">
      <c r="A3" s="1"/>
    </row>
    <row r="4" spans="1:5" ht="15.75" customHeight="1" x14ac:dyDescent="0.2">
      <c r="A4" s="35"/>
    </row>
    <row r="5" spans="1:5" ht="21" customHeight="1" x14ac:dyDescent="0.3">
      <c r="A5" s="189" t="s">
        <v>6</v>
      </c>
      <c r="B5" s="189"/>
      <c r="C5" s="189"/>
      <c r="D5" s="189"/>
      <c r="E5" s="189"/>
    </row>
    <row r="6" spans="1:5" ht="15.75" customHeight="1" x14ac:dyDescent="0.2">
      <c r="A6" s="191" t="s">
        <v>29</v>
      </c>
      <c r="B6" s="191"/>
      <c r="C6" s="191"/>
      <c r="D6" s="191"/>
      <c r="E6" s="191"/>
    </row>
    <row r="7" spans="1:5" ht="15.75" customHeight="1" x14ac:dyDescent="0.2">
      <c r="A7" s="58"/>
      <c r="B7" s="58"/>
      <c r="C7" s="58"/>
      <c r="D7" s="58"/>
      <c r="E7" s="58"/>
    </row>
    <row r="8" spans="1:5" ht="18.75" x14ac:dyDescent="0.3">
      <c r="A8" s="3" t="s">
        <v>7</v>
      </c>
    </row>
    <row r="9" spans="1:5" ht="7.5" customHeight="1" thickBot="1" x14ac:dyDescent="0.3">
      <c r="A9" s="4"/>
      <c r="B9" s="4"/>
      <c r="C9" s="4"/>
      <c r="D9" s="4"/>
      <c r="E9" s="4"/>
    </row>
    <row r="10" spans="1:5" ht="15.75" thickTop="1" x14ac:dyDescent="0.2">
      <c r="A10" s="5"/>
      <c r="B10" s="6"/>
      <c r="C10" s="7" t="s">
        <v>8</v>
      </c>
      <c r="D10" s="7" t="s">
        <v>9</v>
      </c>
      <c r="E10" s="8" t="s">
        <v>10</v>
      </c>
    </row>
    <row r="11" spans="1:5" ht="17.25" thickBot="1" x14ac:dyDescent="0.25">
      <c r="A11" s="9"/>
      <c r="B11" s="10" t="s">
        <v>11</v>
      </c>
      <c r="C11" s="11" t="s">
        <v>12</v>
      </c>
      <c r="D11" s="11" t="s">
        <v>0</v>
      </c>
      <c r="E11" s="12" t="s">
        <v>13</v>
      </c>
    </row>
    <row r="12" spans="1:5" ht="16.5" thickTop="1" x14ac:dyDescent="0.25">
      <c r="A12" s="21" t="s">
        <v>2</v>
      </c>
      <c r="B12" s="22" t="s">
        <v>14</v>
      </c>
      <c r="C12" s="23">
        <v>34</v>
      </c>
      <c r="D12" s="23">
        <v>50</v>
      </c>
      <c r="E12" s="24">
        <f t="shared" ref="E12:E23" si="0">+C12/D12</f>
        <v>0.68</v>
      </c>
    </row>
    <row r="13" spans="1:5" x14ac:dyDescent="0.2">
      <c r="A13" s="13"/>
      <c r="B13" s="14" t="s">
        <v>15</v>
      </c>
      <c r="C13" s="15">
        <v>20</v>
      </c>
      <c r="D13" s="15">
        <v>33</v>
      </c>
      <c r="E13" s="16">
        <f t="shared" si="0"/>
        <v>0.60606060606060608</v>
      </c>
    </row>
    <row r="14" spans="1:5" ht="16.5" thickBot="1" x14ac:dyDescent="0.3">
      <c r="A14" s="17" t="s">
        <v>16</v>
      </c>
      <c r="B14" s="18" t="s">
        <v>17</v>
      </c>
      <c r="C14" s="19">
        <f>SUM(C12:C13)</f>
        <v>54</v>
      </c>
      <c r="D14" s="19">
        <f>SUM(D12:D13)</f>
        <v>83</v>
      </c>
      <c r="E14" s="20">
        <f t="shared" si="0"/>
        <v>0.6506024096385542</v>
      </c>
    </row>
    <row r="15" spans="1:5" ht="15.75" x14ac:dyDescent="0.25">
      <c r="A15" s="21" t="s">
        <v>3</v>
      </c>
      <c r="B15" s="22" t="s">
        <v>14</v>
      </c>
      <c r="C15" s="60">
        <v>71</v>
      </c>
      <c r="D15" s="23">
        <v>94</v>
      </c>
      <c r="E15" s="24">
        <f t="shared" si="0"/>
        <v>0.75531914893617025</v>
      </c>
    </row>
    <row r="16" spans="1:5" x14ac:dyDescent="0.2">
      <c r="A16" s="13"/>
      <c r="B16" s="14" t="s">
        <v>15</v>
      </c>
      <c r="C16" s="61">
        <v>34</v>
      </c>
      <c r="D16" s="15">
        <v>54</v>
      </c>
      <c r="E16" s="16">
        <f t="shared" si="0"/>
        <v>0.62962962962962965</v>
      </c>
    </row>
    <row r="17" spans="1:5" ht="16.5" thickBot="1" x14ac:dyDescent="0.3">
      <c r="A17" s="17" t="s">
        <v>16</v>
      </c>
      <c r="B17" s="18" t="s">
        <v>17</v>
      </c>
      <c r="C17" s="62">
        <f>SUM(C15:C16)</f>
        <v>105</v>
      </c>
      <c r="D17" s="19">
        <f>SUM(D15:D16)</f>
        <v>148</v>
      </c>
      <c r="E17" s="20">
        <f t="shared" si="0"/>
        <v>0.70945945945945943</v>
      </c>
    </row>
    <row r="18" spans="1:5" ht="15.75" x14ac:dyDescent="0.25">
      <c r="A18" s="21" t="s">
        <v>1</v>
      </c>
      <c r="B18" s="22" t="s">
        <v>14</v>
      </c>
      <c r="C18" s="23">
        <v>13</v>
      </c>
      <c r="D18" s="23">
        <v>28</v>
      </c>
      <c r="E18" s="24">
        <f t="shared" si="0"/>
        <v>0.4642857142857143</v>
      </c>
    </row>
    <row r="19" spans="1:5" x14ac:dyDescent="0.2">
      <c r="A19" s="13"/>
      <c r="B19" s="14" t="s">
        <v>15</v>
      </c>
      <c r="C19" s="15">
        <v>7</v>
      </c>
      <c r="D19" s="15">
        <v>17</v>
      </c>
      <c r="E19" s="16">
        <f t="shared" si="0"/>
        <v>0.41176470588235292</v>
      </c>
    </row>
    <row r="20" spans="1:5" ht="16.5" thickBot="1" x14ac:dyDescent="0.3">
      <c r="A20" s="17" t="s">
        <v>16</v>
      </c>
      <c r="B20" s="18" t="s">
        <v>17</v>
      </c>
      <c r="C20" s="19">
        <f>SUM(C18:C19)</f>
        <v>20</v>
      </c>
      <c r="D20" s="19">
        <f>SUM(D18:D19)</f>
        <v>45</v>
      </c>
      <c r="E20" s="20">
        <f t="shared" si="0"/>
        <v>0.44444444444444442</v>
      </c>
    </row>
    <row r="21" spans="1:5" ht="15.75" x14ac:dyDescent="0.25">
      <c r="A21" s="25" t="s">
        <v>18</v>
      </c>
      <c r="B21" s="26" t="s">
        <v>14</v>
      </c>
      <c r="C21" s="27">
        <f>+C12+C15+C18</f>
        <v>118</v>
      </c>
      <c r="D21" s="27">
        <f t="shared" ref="D21:D23" si="1">+D12+D15+D18</f>
        <v>172</v>
      </c>
      <c r="E21" s="28">
        <f t="shared" si="0"/>
        <v>0.68604651162790697</v>
      </c>
    </row>
    <row r="22" spans="1:5" ht="15.75" x14ac:dyDescent="0.25">
      <c r="A22" s="25"/>
      <c r="B22" s="26" t="s">
        <v>15</v>
      </c>
      <c r="C22" s="27">
        <f>+C13+C16+C19</f>
        <v>61</v>
      </c>
      <c r="D22" s="27">
        <f t="shared" si="1"/>
        <v>104</v>
      </c>
      <c r="E22" s="28">
        <f t="shared" si="0"/>
        <v>0.58653846153846156</v>
      </c>
    </row>
    <row r="23" spans="1:5" ht="16.5" thickBot="1" x14ac:dyDescent="0.3">
      <c r="A23" s="29" t="s">
        <v>16</v>
      </c>
      <c r="B23" s="30" t="s">
        <v>17</v>
      </c>
      <c r="C23" s="31">
        <f>+C14+C17+C20</f>
        <v>179</v>
      </c>
      <c r="D23" s="31">
        <f t="shared" si="1"/>
        <v>276</v>
      </c>
      <c r="E23" s="32">
        <f t="shared" si="0"/>
        <v>0.64855072463768115</v>
      </c>
    </row>
    <row r="24" spans="1:5" ht="12.75" customHeight="1" thickTop="1" x14ac:dyDescent="0.2">
      <c r="A24" s="33" t="s">
        <v>19</v>
      </c>
      <c r="E24" s="34" t="s">
        <v>26</v>
      </c>
    </row>
    <row r="25" spans="1:5" ht="9.9499999999999993" customHeight="1" x14ac:dyDescent="0.2">
      <c r="A25" s="35"/>
      <c r="E25" s="41" t="s">
        <v>25</v>
      </c>
    </row>
    <row r="26" spans="1:5" ht="9.9499999999999993" customHeight="1" x14ac:dyDescent="0.2">
      <c r="A26" s="35"/>
      <c r="E26" s="41"/>
    </row>
    <row r="27" spans="1:5" ht="15.75" customHeight="1" x14ac:dyDescent="0.2">
      <c r="A27" s="35"/>
    </row>
    <row r="28" spans="1:5" ht="16.5" x14ac:dyDescent="0.25">
      <c r="A28" s="36" t="s">
        <v>20</v>
      </c>
    </row>
    <row r="29" spans="1:5" ht="7.5" customHeight="1" thickBot="1" x14ac:dyDescent="0.3">
      <c r="A29" s="4"/>
      <c r="B29" s="4"/>
      <c r="C29" s="4"/>
      <c r="D29" s="4"/>
      <c r="E29" s="4"/>
    </row>
    <row r="30" spans="1:5" ht="17.25" customHeight="1" thickTop="1" thickBot="1" x14ac:dyDescent="0.25">
      <c r="A30" s="42" t="s">
        <v>21</v>
      </c>
      <c r="B30" s="43" t="s">
        <v>22</v>
      </c>
      <c r="C30" s="47" t="s">
        <v>23</v>
      </c>
      <c r="D30" s="44" t="s">
        <v>28</v>
      </c>
    </row>
    <row r="31" spans="1:5" ht="14.25" customHeight="1" x14ac:dyDescent="0.25">
      <c r="A31" s="21" t="s">
        <v>2</v>
      </c>
      <c r="B31" s="22" t="s">
        <v>2</v>
      </c>
      <c r="C31" s="48">
        <v>54</v>
      </c>
      <c r="D31" s="24">
        <f>+C31/$C$35</f>
        <v>0.6506024096385542</v>
      </c>
    </row>
    <row r="32" spans="1:5" ht="14.25" customHeight="1" x14ac:dyDescent="0.25">
      <c r="A32" s="37"/>
      <c r="B32" s="14" t="s">
        <v>3</v>
      </c>
      <c r="C32" s="49">
        <v>6</v>
      </c>
      <c r="D32" s="16">
        <f>+C32/$C$35</f>
        <v>7.2289156626506021E-2</v>
      </c>
    </row>
    <row r="33" spans="1:4" ht="14.25" customHeight="1" x14ac:dyDescent="0.25">
      <c r="A33" s="37"/>
      <c r="B33" s="14" t="s">
        <v>1</v>
      </c>
      <c r="C33" s="49">
        <v>3</v>
      </c>
      <c r="D33" s="16">
        <f>+C33/$C$35</f>
        <v>3.614457831325301E-2</v>
      </c>
    </row>
    <row r="34" spans="1:4" ht="14.25" customHeight="1" x14ac:dyDescent="0.25">
      <c r="A34" s="38"/>
      <c r="B34" s="45" t="s">
        <v>24</v>
      </c>
      <c r="C34" s="50">
        <v>20</v>
      </c>
      <c r="D34" s="55">
        <f>+C34/$C$35</f>
        <v>0.24096385542168675</v>
      </c>
    </row>
    <row r="35" spans="1:4" ht="14.25" customHeight="1" thickBot="1" x14ac:dyDescent="0.3">
      <c r="A35" s="63"/>
      <c r="B35" s="46" t="s">
        <v>16</v>
      </c>
      <c r="C35" s="51">
        <f>SUM(C31:C34)</f>
        <v>83</v>
      </c>
      <c r="D35" s="56">
        <f>+C35/$C$35</f>
        <v>1</v>
      </c>
    </row>
    <row r="36" spans="1:4" ht="14.25" customHeight="1" x14ac:dyDescent="0.25">
      <c r="A36" s="37" t="s">
        <v>3</v>
      </c>
      <c r="B36" s="14" t="s">
        <v>2</v>
      </c>
      <c r="C36" s="49">
        <v>0</v>
      </c>
      <c r="D36" s="16">
        <f>+C36/$C$40</f>
        <v>0</v>
      </c>
    </row>
    <row r="37" spans="1:4" ht="14.25" customHeight="1" x14ac:dyDescent="0.25">
      <c r="A37" s="37"/>
      <c r="B37" s="14" t="s">
        <v>3</v>
      </c>
      <c r="C37" s="61">
        <v>105</v>
      </c>
      <c r="D37" s="16">
        <f>+C37/$C$40</f>
        <v>0.70945945945945943</v>
      </c>
    </row>
    <row r="38" spans="1:4" ht="14.25" customHeight="1" x14ac:dyDescent="0.25">
      <c r="A38" s="37"/>
      <c r="B38" s="14" t="s">
        <v>1</v>
      </c>
      <c r="C38" s="49">
        <v>5</v>
      </c>
      <c r="D38" s="16">
        <f>+C38/$C$40</f>
        <v>3.3783783783783786E-2</v>
      </c>
    </row>
    <row r="39" spans="1:4" ht="14.25" customHeight="1" x14ac:dyDescent="0.25">
      <c r="A39" s="38"/>
      <c r="B39" s="45" t="s">
        <v>24</v>
      </c>
      <c r="C39" s="50">
        <v>38</v>
      </c>
      <c r="D39" s="55">
        <f>+C39/$C$40</f>
        <v>0.25675675675675674</v>
      </c>
    </row>
    <row r="40" spans="1:4" ht="14.25" customHeight="1" thickBot="1" x14ac:dyDescent="0.3">
      <c r="A40" s="63"/>
      <c r="B40" s="46" t="s">
        <v>16</v>
      </c>
      <c r="C40" s="51">
        <f>SUM(C36:C39)</f>
        <v>148</v>
      </c>
      <c r="D40" s="56">
        <f>+C40/$C$40</f>
        <v>1</v>
      </c>
    </row>
    <row r="41" spans="1:4" ht="14.25" customHeight="1" x14ac:dyDescent="0.25">
      <c r="A41" s="37" t="s">
        <v>1</v>
      </c>
      <c r="B41" s="14" t="s">
        <v>2</v>
      </c>
      <c r="C41" s="49">
        <v>0</v>
      </c>
      <c r="D41" s="16">
        <f>+C41/$C$45</f>
        <v>0</v>
      </c>
    </row>
    <row r="42" spans="1:4" ht="14.25" customHeight="1" x14ac:dyDescent="0.25">
      <c r="A42" s="37"/>
      <c r="B42" s="14" t="s">
        <v>3</v>
      </c>
      <c r="C42" s="15">
        <v>0</v>
      </c>
      <c r="D42" s="16">
        <f>+C42/$C$45</f>
        <v>0</v>
      </c>
    </row>
    <row r="43" spans="1:4" ht="14.25" customHeight="1" x14ac:dyDescent="0.25">
      <c r="A43" s="38"/>
      <c r="B43" s="39" t="s">
        <v>1</v>
      </c>
      <c r="C43" s="52">
        <v>20</v>
      </c>
      <c r="D43" s="57">
        <f>+C43/$C$45</f>
        <v>0.44444444444444442</v>
      </c>
    </row>
    <row r="44" spans="1:4" ht="14.25" customHeight="1" x14ac:dyDescent="0.25">
      <c r="A44" s="38"/>
      <c r="B44" s="45" t="s">
        <v>24</v>
      </c>
      <c r="C44" s="53">
        <v>25</v>
      </c>
      <c r="D44" s="55">
        <f>+C44/$C$45</f>
        <v>0.55555555555555558</v>
      </c>
    </row>
    <row r="45" spans="1:4" ht="14.25" customHeight="1" thickBot="1" x14ac:dyDescent="0.3">
      <c r="A45" s="63"/>
      <c r="B45" s="46" t="s">
        <v>16</v>
      </c>
      <c r="C45" s="54">
        <f>SUM(C41:C44)</f>
        <v>45</v>
      </c>
      <c r="D45" s="56">
        <f>+C45/$C$45</f>
        <v>1</v>
      </c>
    </row>
    <row r="46" spans="1:4" ht="12.75" customHeight="1" x14ac:dyDescent="0.2">
      <c r="A46"/>
      <c r="D46" s="40" t="s">
        <v>27</v>
      </c>
    </row>
    <row r="47" spans="1:4" ht="10.5" customHeight="1" x14ac:dyDescent="0.2">
      <c r="A47"/>
      <c r="D47" s="41" t="s">
        <v>25</v>
      </c>
    </row>
  </sheetData>
  <mergeCells count="2">
    <mergeCell ref="A5:E5"/>
    <mergeCell ref="A6:E6"/>
  </mergeCells>
  <pageMargins left="0.91" right="0.5" top="0.25" bottom="0.5" header="0.3" footer="0.25"/>
  <pageSetup orientation="portrait" r:id="rId1"/>
  <headerFooter>
    <oddFooter>&amp;L&amp;8S:\IE\QEP\&amp;F&amp;R&amp;8&amp;D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F46"/>
  <sheetViews>
    <sheetView zoomScale="80" zoomScaleNormal="80" workbookViewId="0"/>
  </sheetViews>
  <sheetFormatPr defaultRowHeight="15" x14ac:dyDescent="0.2"/>
  <cols>
    <col min="1" max="1" width="12" style="2" customWidth="1"/>
    <col min="2" max="3" width="13.44140625" customWidth="1"/>
    <col min="4" max="4" width="14.109375" customWidth="1"/>
    <col min="5" max="5" width="13.44140625" customWidth="1"/>
    <col min="6" max="6" width="15" customWidth="1"/>
    <col min="7" max="7" width="7.88671875" customWidth="1"/>
  </cols>
  <sheetData>
    <row r="1" spans="1:6" x14ac:dyDescent="0.2">
      <c r="A1" t="s">
        <v>4</v>
      </c>
      <c r="F1" s="64" t="s">
        <v>49</v>
      </c>
    </row>
    <row r="2" spans="1:6" x14ac:dyDescent="0.2">
      <c r="A2" s="1" t="s">
        <v>5</v>
      </c>
    </row>
    <row r="3" spans="1:6" ht="7.5" customHeight="1" x14ac:dyDescent="0.2"/>
    <row r="4" spans="1:6" ht="20.25" x14ac:dyDescent="0.3">
      <c r="A4" s="189" t="s">
        <v>6</v>
      </c>
      <c r="B4" s="189"/>
      <c r="C4" s="189"/>
      <c r="D4" s="189"/>
      <c r="E4" s="189"/>
      <c r="F4" s="189"/>
    </row>
    <row r="5" spans="1:6" ht="13.5" customHeight="1" x14ac:dyDescent="0.25">
      <c r="A5" s="190" t="s">
        <v>50</v>
      </c>
      <c r="B5" s="190"/>
      <c r="C5" s="190"/>
      <c r="D5" s="190"/>
      <c r="E5" s="190"/>
      <c r="F5" s="190"/>
    </row>
    <row r="6" spans="1:6" ht="11.25" customHeight="1" x14ac:dyDescent="0.2"/>
    <row r="7" spans="1:6" ht="18.75" x14ac:dyDescent="0.3">
      <c r="A7" s="3" t="s">
        <v>7</v>
      </c>
    </row>
    <row r="8" spans="1:6" ht="7.5" customHeight="1" thickBot="1" x14ac:dyDescent="0.3">
      <c r="A8" s="79"/>
      <c r="B8" s="79"/>
      <c r="C8" s="79"/>
      <c r="D8" s="79"/>
      <c r="E8" s="79"/>
      <c r="F8" s="79"/>
    </row>
    <row r="9" spans="1:6" ht="33.6" customHeight="1" thickBot="1" x14ac:dyDescent="0.25">
      <c r="A9" s="136"/>
      <c r="B9" s="137" t="s">
        <v>11</v>
      </c>
      <c r="C9" s="138" t="s">
        <v>51</v>
      </c>
      <c r="D9" s="138" t="s">
        <v>52</v>
      </c>
      <c r="E9" s="139" t="s">
        <v>0</v>
      </c>
      <c r="F9" s="140" t="s">
        <v>13</v>
      </c>
    </row>
    <row r="10" spans="1:6" ht="16.5" thickTop="1" x14ac:dyDescent="0.25">
      <c r="A10" s="141" t="s">
        <v>2</v>
      </c>
      <c r="B10" s="22" t="s">
        <v>14</v>
      </c>
      <c r="C10" s="60">
        <v>143</v>
      </c>
      <c r="D10" s="23">
        <v>8</v>
      </c>
      <c r="E10" s="23">
        <v>201</v>
      </c>
      <c r="F10" s="142">
        <f>((C10+D10)/E10)</f>
        <v>0.75124378109452739</v>
      </c>
    </row>
    <row r="11" spans="1:6" x14ac:dyDescent="0.2">
      <c r="A11" s="143"/>
      <c r="B11" s="14" t="s">
        <v>15</v>
      </c>
      <c r="C11" s="61">
        <v>72</v>
      </c>
      <c r="D11" s="15">
        <v>13</v>
      </c>
      <c r="E11" s="15">
        <v>137</v>
      </c>
      <c r="F11" s="144">
        <f t="shared" ref="F11:F21" si="0">((C11+D11)/E11)</f>
        <v>0.62043795620437958</v>
      </c>
    </row>
    <row r="12" spans="1:6" ht="16.5" thickBot="1" x14ac:dyDescent="0.3">
      <c r="A12" s="145" t="s">
        <v>16</v>
      </c>
      <c r="B12" s="18" t="s">
        <v>17</v>
      </c>
      <c r="C12" s="62">
        <f>SUM(C10:C11)</f>
        <v>215</v>
      </c>
      <c r="D12" s="62">
        <f t="shared" ref="D12:E12" si="1">SUM(D10:D11)</f>
        <v>21</v>
      </c>
      <c r="E12" s="62">
        <f t="shared" si="1"/>
        <v>338</v>
      </c>
      <c r="F12" s="185">
        <f t="shared" si="0"/>
        <v>0.69822485207100593</v>
      </c>
    </row>
    <row r="13" spans="1:6" ht="15.75" x14ac:dyDescent="0.25">
      <c r="A13" s="141" t="s">
        <v>3</v>
      </c>
      <c r="B13" s="22" t="s">
        <v>14</v>
      </c>
      <c r="C13" s="23">
        <v>250</v>
      </c>
      <c r="D13" s="23">
        <v>17</v>
      </c>
      <c r="E13" s="23">
        <v>337</v>
      </c>
      <c r="F13" s="146">
        <f t="shared" si="0"/>
        <v>0.79228486646884277</v>
      </c>
    </row>
    <row r="14" spans="1:6" x14ac:dyDescent="0.2">
      <c r="A14" s="143"/>
      <c r="B14" s="14" t="s">
        <v>15</v>
      </c>
      <c r="C14" s="15">
        <v>73</v>
      </c>
      <c r="D14" s="15">
        <v>11</v>
      </c>
      <c r="E14" s="15">
        <v>171</v>
      </c>
      <c r="F14" s="144">
        <f t="shared" si="0"/>
        <v>0.49122807017543857</v>
      </c>
    </row>
    <row r="15" spans="1:6" ht="16.5" thickBot="1" x14ac:dyDescent="0.3">
      <c r="A15" s="145" t="s">
        <v>16</v>
      </c>
      <c r="B15" s="18" t="s">
        <v>17</v>
      </c>
      <c r="C15" s="19">
        <f>SUM(C13:C14)</f>
        <v>323</v>
      </c>
      <c r="D15" s="19">
        <f t="shared" ref="D15:E15" si="2">SUM(D13:D14)</f>
        <v>28</v>
      </c>
      <c r="E15" s="19">
        <f t="shared" si="2"/>
        <v>508</v>
      </c>
      <c r="F15" s="185">
        <f t="shared" si="0"/>
        <v>0.69094488188976377</v>
      </c>
    </row>
    <row r="16" spans="1:6" ht="15.75" x14ac:dyDescent="0.25">
      <c r="A16" s="141" t="s">
        <v>1</v>
      </c>
      <c r="B16" s="22" t="s">
        <v>14</v>
      </c>
      <c r="C16" s="23">
        <v>41</v>
      </c>
      <c r="D16" s="23">
        <v>1</v>
      </c>
      <c r="E16" s="23">
        <v>72</v>
      </c>
      <c r="F16" s="146">
        <f t="shared" si="0"/>
        <v>0.58333333333333337</v>
      </c>
    </row>
    <row r="17" spans="1:6" x14ac:dyDescent="0.2">
      <c r="A17" s="143"/>
      <c r="B17" s="14" t="s">
        <v>15</v>
      </c>
      <c r="C17" s="15">
        <v>15</v>
      </c>
      <c r="D17" s="15">
        <v>1</v>
      </c>
      <c r="E17" s="15">
        <v>34</v>
      </c>
      <c r="F17" s="144">
        <f t="shared" si="0"/>
        <v>0.47058823529411764</v>
      </c>
    </row>
    <row r="18" spans="1:6" ht="16.5" thickBot="1" x14ac:dyDescent="0.3">
      <c r="A18" s="145" t="s">
        <v>16</v>
      </c>
      <c r="B18" s="18" t="s">
        <v>17</v>
      </c>
      <c r="C18" s="19">
        <f>SUM(C16:C17)</f>
        <v>56</v>
      </c>
      <c r="D18" s="19">
        <f t="shared" ref="D18:E18" si="3">SUM(D16:D17)</f>
        <v>2</v>
      </c>
      <c r="E18" s="19">
        <f t="shared" si="3"/>
        <v>106</v>
      </c>
      <c r="F18" s="185">
        <f t="shared" si="0"/>
        <v>0.54716981132075471</v>
      </c>
    </row>
    <row r="19" spans="1:6" ht="15.75" x14ac:dyDescent="0.25">
      <c r="A19" s="147" t="s">
        <v>18</v>
      </c>
      <c r="B19" s="26" t="s">
        <v>14</v>
      </c>
      <c r="C19" s="27">
        <f>+C10+C13+C16</f>
        <v>434</v>
      </c>
      <c r="D19" s="27">
        <f t="shared" ref="D19:E21" si="4">+D10+D13+D16</f>
        <v>26</v>
      </c>
      <c r="E19" s="27">
        <f t="shared" si="4"/>
        <v>610</v>
      </c>
      <c r="F19" s="146">
        <f t="shared" si="0"/>
        <v>0.75409836065573765</v>
      </c>
    </row>
    <row r="20" spans="1:6" ht="15.75" x14ac:dyDescent="0.25">
      <c r="A20" s="147"/>
      <c r="B20" s="26" t="s">
        <v>15</v>
      </c>
      <c r="C20" s="27">
        <f>+C11+C14+C17</f>
        <v>160</v>
      </c>
      <c r="D20" s="27">
        <f t="shared" si="4"/>
        <v>25</v>
      </c>
      <c r="E20" s="27">
        <f t="shared" si="4"/>
        <v>342</v>
      </c>
      <c r="F20" s="144">
        <f t="shared" si="0"/>
        <v>0.54093567251461994</v>
      </c>
    </row>
    <row r="21" spans="1:6" ht="16.5" thickBot="1" x14ac:dyDescent="0.3">
      <c r="A21" s="148" t="s">
        <v>16</v>
      </c>
      <c r="B21" s="46" t="s">
        <v>17</v>
      </c>
      <c r="C21" s="51">
        <f>+C12+C15+C18</f>
        <v>594</v>
      </c>
      <c r="D21" s="51">
        <f t="shared" si="4"/>
        <v>51</v>
      </c>
      <c r="E21" s="51">
        <f t="shared" si="4"/>
        <v>952</v>
      </c>
      <c r="F21" s="185">
        <f t="shared" si="0"/>
        <v>0.67752100840336138</v>
      </c>
    </row>
    <row r="22" spans="1:6" ht="23.1" customHeight="1" x14ac:dyDescent="0.2">
      <c r="A22" s="192" t="s">
        <v>53</v>
      </c>
      <c r="B22" s="193"/>
      <c r="C22" s="193"/>
      <c r="D22" s="193"/>
      <c r="E22" s="193"/>
      <c r="F22" s="193"/>
    </row>
    <row r="23" spans="1:6" s="150" customFormat="1" x14ac:dyDescent="0.2">
      <c r="A23" s="149" t="s">
        <v>19</v>
      </c>
      <c r="F23" s="35"/>
    </row>
    <row r="24" spans="1:6" x14ac:dyDescent="0.2">
      <c r="A24" s="194" t="s">
        <v>54</v>
      </c>
      <c r="B24" s="194"/>
      <c r="C24" s="194"/>
      <c r="D24" s="194"/>
      <c r="F24" s="34"/>
    </row>
    <row r="25" spans="1:6" x14ac:dyDescent="0.2">
      <c r="A25" s="151"/>
      <c r="B25" s="151"/>
      <c r="C25" s="151"/>
      <c r="E25" s="195" t="s">
        <v>55</v>
      </c>
      <c r="F25" s="196"/>
    </row>
    <row r="26" spans="1:6" x14ac:dyDescent="0.2">
      <c r="A26" s="151"/>
      <c r="B26" s="151"/>
      <c r="C26" s="151"/>
      <c r="E26" s="41"/>
      <c r="F26" s="41" t="s">
        <v>48</v>
      </c>
    </row>
    <row r="27" spans="1:6" ht="9.75" customHeight="1" x14ac:dyDescent="0.2">
      <c r="A27" s="194"/>
      <c r="B27" s="194"/>
      <c r="C27" s="194"/>
      <c r="F27" s="34"/>
    </row>
    <row r="28" spans="1:6" ht="16.5" x14ac:dyDescent="0.25">
      <c r="A28" s="36" t="s">
        <v>56</v>
      </c>
    </row>
    <row r="29" spans="1:6" ht="7.5" customHeight="1" thickBot="1" x14ac:dyDescent="0.3">
      <c r="A29" s="79"/>
      <c r="B29" s="79"/>
      <c r="C29" s="79"/>
      <c r="D29" s="79"/>
      <c r="E29" s="79"/>
      <c r="F29" s="79"/>
    </row>
    <row r="30" spans="1:6" ht="43.5" customHeight="1" thickBot="1" x14ac:dyDescent="0.3">
      <c r="A30" s="152" t="s">
        <v>0</v>
      </c>
      <c r="B30" s="152" t="s">
        <v>57</v>
      </c>
      <c r="C30" s="153" t="s">
        <v>58</v>
      </c>
      <c r="D30" s="153" t="s">
        <v>59</v>
      </c>
      <c r="E30" s="154" t="s">
        <v>16</v>
      </c>
    </row>
    <row r="31" spans="1:6" ht="14.25" customHeight="1" x14ac:dyDescent="0.25">
      <c r="A31" s="155" t="s">
        <v>2</v>
      </c>
      <c r="B31" s="156" t="s">
        <v>2</v>
      </c>
      <c r="C31" s="157">
        <v>215</v>
      </c>
      <c r="D31" s="157">
        <v>21</v>
      </c>
      <c r="E31" s="158">
        <f>C31+D31</f>
        <v>236</v>
      </c>
    </row>
    <row r="32" spans="1:6" ht="14.25" customHeight="1" x14ac:dyDescent="0.25">
      <c r="A32" s="159"/>
      <c r="B32" s="160" t="s">
        <v>3</v>
      </c>
      <c r="C32" s="161">
        <v>6</v>
      </c>
      <c r="D32" s="161">
        <v>0</v>
      </c>
      <c r="E32" s="162">
        <v>6</v>
      </c>
    </row>
    <row r="33" spans="1:6" ht="14.25" customHeight="1" x14ac:dyDescent="0.25">
      <c r="A33" s="159"/>
      <c r="B33" s="160" t="s">
        <v>1</v>
      </c>
      <c r="C33" s="161">
        <v>0</v>
      </c>
      <c r="D33" s="161">
        <v>0</v>
      </c>
      <c r="E33" s="162">
        <v>0</v>
      </c>
    </row>
    <row r="34" spans="1:6" ht="14.25" customHeight="1" thickBot="1" x14ac:dyDescent="0.3">
      <c r="A34" s="163"/>
      <c r="B34" s="164" t="s">
        <v>24</v>
      </c>
      <c r="C34" s="165">
        <v>96</v>
      </c>
      <c r="D34" s="166" t="e">
        <v>#N/A</v>
      </c>
      <c r="E34" s="167">
        <v>96</v>
      </c>
    </row>
    <row r="35" spans="1:6" ht="14.25" customHeight="1" x14ac:dyDescent="0.25">
      <c r="A35" s="168" t="s">
        <v>3</v>
      </c>
      <c r="B35" s="169" t="s">
        <v>2</v>
      </c>
      <c r="C35" s="170">
        <v>15</v>
      </c>
      <c r="D35" s="170">
        <v>0</v>
      </c>
      <c r="E35" s="171">
        <v>15</v>
      </c>
    </row>
    <row r="36" spans="1:6" ht="14.25" customHeight="1" x14ac:dyDescent="0.25">
      <c r="A36" s="159"/>
      <c r="B36" s="172" t="s">
        <v>3</v>
      </c>
      <c r="C36" s="161">
        <v>323</v>
      </c>
      <c r="D36" s="161">
        <v>28</v>
      </c>
      <c r="E36" s="162">
        <v>351</v>
      </c>
    </row>
    <row r="37" spans="1:6" ht="14.25" customHeight="1" x14ac:dyDescent="0.25">
      <c r="A37" s="159"/>
      <c r="B37" s="172" t="s">
        <v>1</v>
      </c>
      <c r="C37" s="173">
        <v>17</v>
      </c>
      <c r="D37" s="173">
        <v>1</v>
      </c>
      <c r="E37" s="174">
        <v>18</v>
      </c>
    </row>
    <row r="38" spans="1:6" ht="14.25" customHeight="1" thickBot="1" x14ac:dyDescent="0.3">
      <c r="A38" s="163"/>
      <c r="B38" s="164" t="s">
        <v>24</v>
      </c>
      <c r="C38" s="165">
        <v>124</v>
      </c>
      <c r="D38" s="166" t="e">
        <v>#N/A</v>
      </c>
      <c r="E38" s="167">
        <v>124</v>
      </c>
    </row>
    <row r="39" spans="1:6" ht="14.25" customHeight="1" x14ac:dyDescent="0.25">
      <c r="A39" s="168" t="s">
        <v>1</v>
      </c>
      <c r="B39" s="169" t="s">
        <v>2</v>
      </c>
      <c r="C39" s="170">
        <v>1</v>
      </c>
      <c r="D39" s="170">
        <v>0</v>
      </c>
      <c r="E39" s="171">
        <v>1</v>
      </c>
    </row>
    <row r="40" spans="1:6" ht="14.25" customHeight="1" x14ac:dyDescent="0.25">
      <c r="A40" s="159"/>
      <c r="B40" s="172" t="s">
        <v>3</v>
      </c>
      <c r="C40" s="161">
        <v>1</v>
      </c>
      <c r="D40" s="161">
        <v>2</v>
      </c>
      <c r="E40" s="162">
        <v>3</v>
      </c>
    </row>
    <row r="41" spans="1:6" ht="14.25" customHeight="1" x14ac:dyDescent="0.25">
      <c r="A41" s="159"/>
      <c r="B41" s="172" t="s">
        <v>1</v>
      </c>
      <c r="C41" s="161">
        <v>56</v>
      </c>
      <c r="D41" s="161">
        <v>2</v>
      </c>
      <c r="E41" s="174">
        <v>58</v>
      </c>
    </row>
    <row r="42" spans="1:6" ht="14.25" customHeight="1" thickBot="1" x14ac:dyDescent="0.3">
      <c r="A42" s="163"/>
      <c r="B42" s="164" t="s">
        <v>24</v>
      </c>
      <c r="C42" s="165">
        <v>44</v>
      </c>
      <c r="D42" s="166" t="e">
        <v>#N/A</v>
      </c>
      <c r="E42" s="167">
        <v>44</v>
      </c>
    </row>
    <row r="43" spans="1:6" ht="29.25" customHeight="1" x14ac:dyDescent="0.2">
      <c r="A43" s="192" t="s">
        <v>60</v>
      </c>
      <c r="B43" s="192"/>
      <c r="C43" s="192"/>
      <c r="D43" s="192"/>
      <c r="E43" s="192"/>
      <c r="F43" s="175"/>
    </row>
    <row r="44" spans="1:6" ht="13.5" customHeight="1" x14ac:dyDescent="0.2">
      <c r="A44" s="176"/>
      <c r="B44" s="176"/>
      <c r="C44" s="176"/>
      <c r="D44" s="176"/>
      <c r="E44" s="176"/>
      <c r="F44" s="176"/>
    </row>
    <row r="45" spans="1:6" ht="12.75" customHeight="1" x14ac:dyDescent="0.2">
      <c r="A45"/>
      <c r="F45" s="34" t="s">
        <v>55</v>
      </c>
    </row>
    <row r="46" spans="1:6" ht="12.75" customHeight="1" x14ac:dyDescent="0.2">
      <c r="A46"/>
      <c r="F46" s="41" t="s">
        <v>48</v>
      </c>
    </row>
  </sheetData>
  <mergeCells count="7">
    <mergeCell ref="A43:E43"/>
    <mergeCell ref="A4:F4"/>
    <mergeCell ref="A5:F5"/>
    <mergeCell ref="A22:F22"/>
    <mergeCell ref="A24:D24"/>
    <mergeCell ref="E25:F25"/>
    <mergeCell ref="A27:C27"/>
  </mergeCells>
  <printOptions horizontalCentered="1"/>
  <pageMargins left="0.25" right="0.25" top="0.25" bottom="0.5" header="0.3" footer="0.25"/>
  <pageSetup orientation="portrait" r:id="rId1"/>
  <headerFooter>
    <oddFooter>&amp;L&amp;8S:\IE\QEP\&amp;F&amp;R&amp;8&amp;D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E46"/>
  <sheetViews>
    <sheetView zoomScale="80" zoomScaleNormal="80" workbookViewId="0"/>
  </sheetViews>
  <sheetFormatPr defaultColWidth="8.77734375" defaultRowHeight="15" x14ac:dyDescent="0.2"/>
  <cols>
    <col min="1" max="1" width="14.5546875" style="84" customWidth="1"/>
    <col min="2" max="5" width="14.5546875" style="82" customWidth="1"/>
    <col min="6" max="6" width="7.88671875" style="82" customWidth="1"/>
    <col min="7" max="16384" width="8.77734375" style="82"/>
  </cols>
  <sheetData>
    <row r="1" spans="1:5" x14ac:dyDescent="0.2">
      <c r="A1" s="80" t="s">
        <v>4</v>
      </c>
      <c r="B1" s="80"/>
      <c r="C1" s="80"/>
      <c r="D1" s="80"/>
      <c r="E1" s="81" t="s">
        <v>61</v>
      </c>
    </row>
    <row r="2" spans="1:5" x14ac:dyDescent="0.2">
      <c r="A2" s="83" t="s">
        <v>5</v>
      </c>
      <c r="B2" s="80"/>
      <c r="C2" s="80"/>
      <c r="D2" s="80"/>
      <c r="E2" s="80"/>
    </row>
    <row r="3" spans="1:5" x14ac:dyDescent="0.2">
      <c r="A3" s="83"/>
      <c r="B3" s="80"/>
      <c r="C3" s="80"/>
      <c r="D3" s="80"/>
      <c r="E3" s="80"/>
    </row>
    <row r="4" spans="1:5" x14ac:dyDescent="0.2">
      <c r="A4" s="83"/>
      <c r="B4" s="80"/>
      <c r="C4" s="80"/>
      <c r="D4" s="80"/>
      <c r="E4" s="80"/>
    </row>
    <row r="5" spans="1:5" ht="21.75" x14ac:dyDescent="0.3">
      <c r="A5" s="197" t="s">
        <v>38</v>
      </c>
      <c r="B5" s="197"/>
      <c r="C5" s="197"/>
      <c r="D5" s="197"/>
      <c r="E5" s="197"/>
    </row>
    <row r="6" spans="1:5" ht="13.5" customHeight="1" x14ac:dyDescent="0.25">
      <c r="A6" s="198" t="s">
        <v>62</v>
      </c>
      <c r="B6" s="198"/>
      <c r="C6" s="198"/>
      <c r="D6" s="198"/>
      <c r="E6" s="198"/>
    </row>
    <row r="7" spans="1:5" ht="11.25" customHeight="1" x14ac:dyDescent="0.2"/>
    <row r="8" spans="1:5" ht="18.75" x14ac:dyDescent="0.3">
      <c r="A8" s="85" t="s">
        <v>7</v>
      </c>
    </row>
    <row r="9" spans="1:5" ht="7.5" customHeight="1" thickBot="1" x14ac:dyDescent="0.3">
      <c r="A9" s="86"/>
      <c r="B9" s="86"/>
      <c r="C9" s="86"/>
      <c r="D9" s="86"/>
      <c r="E9" s="86"/>
    </row>
    <row r="10" spans="1:5" ht="16.5" thickTop="1" x14ac:dyDescent="0.25">
      <c r="A10" s="87"/>
      <c r="B10" s="88"/>
      <c r="C10" s="89" t="s">
        <v>8</v>
      </c>
      <c r="D10" s="89" t="s">
        <v>9</v>
      </c>
      <c r="E10" s="90" t="s">
        <v>10</v>
      </c>
    </row>
    <row r="11" spans="1:5" ht="18" thickBot="1" x14ac:dyDescent="0.3">
      <c r="A11" s="91"/>
      <c r="B11" s="92" t="s">
        <v>11</v>
      </c>
      <c r="C11" s="93" t="s">
        <v>63</v>
      </c>
      <c r="D11" s="93" t="s">
        <v>0</v>
      </c>
      <c r="E11" s="94" t="s">
        <v>13</v>
      </c>
    </row>
    <row r="12" spans="1:5" ht="16.5" thickTop="1" x14ac:dyDescent="0.25">
      <c r="A12" s="95" t="s">
        <v>2</v>
      </c>
      <c r="B12" s="96" t="s">
        <v>14</v>
      </c>
      <c r="C12" s="97">
        <v>48</v>
      </c>
      <c r="D12" s="97">
        <v>54</v>
      </c>
      <c r="E12" s="98">
        <f t="shared" ref="E12:E23" si="0">+C12/D12</f>
        <v>0.88888888888888884</v>
      </c>
    </row>
    <row r="13" spans="1:5" x14ac:dyDescent="0.2">
      <c r="A13" s="99"/>
      <c r="B13" s="100" t="s">
        <v>15</v>
      </c>
      <c r="C13" s="101">
        <v>21</v>
      </c>
      <c r="D13" s="101">
        <v>34</v>
      </c>
      <c r="E13" s="102">
        <f t="shared" si="0"/>
        <v>0.61764705882352944</v>
      </c>
    </row>
    <row r="14" spans="1:5" ht="16.5" thickBot="1" x14ac:dyDescent="0.3">
      <c r="A14" s="103" t="s">
        <v>16</v>
      </c>
      <c r="B14" s="104" t="s">
        <v>17</v>
      </c>
      <c r="C14" s="105">
        <f>SUM(C12:C13)</f>
        <v>69</v>
      </c>
      <c r="D14" s="105">
        <f>SUM(D12:D13)</f>
        <v>88</v>
      </c>
      <c r="E14" s="106">
        <f t="shared" si="0"/>
        <v>0.78409090909090906</v>
      </c>
    </row>
    <row r="15" spans="1:5" ht="15.75" x14ac:dyDescent="0.25">
      <c r="A15" s="95" t="s">
        <v>3</v>
      </c>
      <c r="B15" s="96" t="s">
        <v>14</v>
      </c>
      <c r="C15" s="97">
        <v>66</v>
      </c>
      <c r="D15" s="97">
        <v>78</v>
      </c>
      <c r="E15" s="98">
        <f t="shared" si="0"/>
        <v>0.84615384615384615</v>
      </c>
    </row>
    <row r="16" spans="1:5" x14ac:dyDescent="0.2">
      <c r="A16" s="99"/>
      <c r="B16" s="100" t="s">
        <v>15</v>
      </c>
      <c r="C16" s="101">
        <v>37</v>
      </c>
      <c r="D16" s="101">
        <v>61</v>
      </c>
      <c r="E16" s="102">
        <f t="shared" si="0"/>
        <v>0.60655737704918034</v>
      </c>
    </row>
    <row r="17" spans="1:5" ht="16.5" thickBot="1" x14ac:dyDescent="0.3">
      <c r="A17" s="103" t="s">
        <v>16</v>
      </c>
      <c r="B17" s="104" t="s">
        <v>17</v>
      </c>
      <c r="C17" s="105">
        <f>SUM(C15:C16)</f>
        <v>103</v>
      </c>
      <c r="D17" s="105">
        <f>SUM(D15:D16)</f>
        <v>139</v>
      </c>
      <c r="E17" s="106">
        <f t="shared" si="0"/>
        <v>0.74100719424460426</v>
      </c>
    </row>
    <row r="18" spans="1:5" ht="15.75" x14ac:dyDescent="0.25">
      <c r="A18" s="95" t="s">
        <v>1</v>
      </c>
      <c r="B18" s="96" t="s">
        <v>14</v>
      </c>
      <c r="C18" s="97">
        <v>13</v>
      </c>
      <c r="D18" s="97">
        <v>17</v>
      </c>
      <c r="E18" s="98">
        <f t="shared" si="0"/>
        <v>0.76470588235294112</v>
      </c>
    </row>
    <row r="19" spans="1:5" x14ac:dyDescent="0.2">
      <c r="A19" s="99"/>
      <c r="B19" s="100" t="s">
        <v>15</v>
      </c>
      <c r="C19" s="101">
        <v>3</v>
      </c>
      <c r="D19" s="101">
        <v>18</v>
      </c>
      <c r="E19" s="102">
        <f t="shared" si="0"/>
        <v>0.16666666666666666</v>
      </c>
    </row>
    <row r="20" spans="1:5" ht="16.5" thickBot="1" x14ac:dyDescent="0.3">
      <c r="A20" s="103" t="s">
        <v>16</v>
      </c>
      <c r="B20" s="104" t="s">
        <v>17</v>
      </c>
      <c r="C20" s="105">
        <f>SUM(C18:C19)</f>
        <v>16</v>
      </c>
      <c r="D20" s="105">
        <f>SUM(D18:D19)</f>
        <v>35</v>
      </c>
      <c r="E20" s="106">
        <f t="shared" si="0"/>
        <v>0.45714285714285713</v>
      </c>
    </row>
    <row r="21" spans="1:5" ht="15.75" x14ac:dyDescent="0.25">
      <c r="A21" s="107" t="s">
        <v>43</v>
      </c>
      <c r="B21" s="108" t="s">
        <v>14</v>
      </c>
      <c r="C21" s="109">
        <f>+C12+C15+C18</f>
        <v>127</v>
      </c>
      <c r="D21" s="109">
        <f t="shared" ref="D21" si="1">+D12+D15+D18</f>
        <v>149</v>
      </c>
      <c r="E21" s="110">
        <f t="shared" si="0"/>
        <v>0.8523489932885906</v>
      </c>
    </row>
    <row r="22" spans="1:5" ht="15.75" x14ac:dyDescent="0.25">
      <c r="A22" s="107"/>
      <c r="B22" s="108" t="s">
        <v>15</v>
      </c>
      <c r="C22" s="109">
        <f t="shared" ref="C22:D23" si="2">+C13+C16+C19</f>
        <v>61</v>
      </c>
      <c r="D22" s="109">
        <f t="shared" si="2"/>
        <v>113</v>
      </c>
      <c r="E22" s="110">
        <f t="shared" si="0"/>
        <v>0.53982300884955747</v>
      </c>
    </row>
    <row r="23" spans="1:5" ht="16.5" thickBot="1" x14ac:dyDescent="0.3">
      <c r="A23" s="111" t="s">
        <v>16</v>
      </c>
      <c r="B23" s="112" t="s">
        <v>17</v>
      </c>
      <c r="C23" s="113">
        <f t="shared" si="2"/>
        <v>188</v>
      </c>
      <c r="D23" s="113">
        <f t="shared" si="2"/>
        <v>262</v>
      </c>
      <c r="E23" s="114">
        <f t="shared" si="0"/>
        <v>0.71755725190839692</v>
      </c>
    </row>
    <row r="24" spans="1:5" ht="19.5" customHeight="1" thickTop="1" x14ac:dyDescent="0.2">
      <c r="A24" s="115" t="s">
        <v>19</v>
      </c>
      <c r="E24" s="116" t="s">
        <v>64</v>
      </c>
    </row>
    <row r="25" spans="1:5" ht="19.5" customHeight="1" x14ac:dyDescent="0.2">
      <c r="A25" s="115"/>
      <c r="E25" s="116"/>
    </row>
    <row r="26" spans="1:5" ht="19.5" customHeight="1" x14ac:dyDescent="0.2">
      <c r="A26" s="117"/>
    </row>
    <row r="27" spans="1:5" ht="16.5" x14ac:dyDescent="0.25">
      <c r="A27" s="118" t="s">
        <v>20</v>
      </c>
    </row>
    <row r="28" spans="1:5" ht="7.5" customHeight="1" thickBot="1" x14ac:dyDescent="0.3">
      <c r="A28" s="86"/>
      <c r="B28" s="86"/>
      <c r="C28" s="86"/>
      <c r="D28" s="86"/>
      <c r="E28" s="86"/>
    </row>
    <row r="29" spans="1:5" s="123" customFormat="1" ht="22.9" customHeight="1" thickTop="1" thickBot="1" x14ac:dyDescent="0.25">
      <c r="A29" s="119"/>
      <c r="B29" s="120" t="s">
        <v>21</v>
      </c>
      <c r="C29" s="121" t="s">
        <v>22</v>
      </c>
      <c r="D29" s="122" t="s">
        <v>23</v>
      </c>
    </row>
    <row r="30" spans="1:5" ht="14.25" customHeight="1" x14ac:dyDescent="0.25">
      <c r="A30" s="82"/>
      <c r="B30" s="95" t="s">
        <v>2</v>
      </c>
      <c r="C30" s="96" t="s">
        <v>2</v>
      </c>
      <c r="D30" s="124">
        <v>69</v>
      </c>
    </row>
    <row r="31" spans="1:5" ht="14.25" customHeight="1" x14ac:dyDescent="0.25">
      <c r="A31" s="82"/>
      <c r="B31" s="125"/>
      <c r="C31" s="100" t="s">
        <v>3</v>
      </c>
      <c r="D31" s="126">
        <v>4</v>
      </c>
    </row>
    <row r="32" spans="1:5" ht="14.25" customHeight="1" x14ac:dyDescent="0.25">
      <c r="A32" s="82"/>
      <c r="B32" s="125"/>
      <c r="C32" s="100" t="s">
        <v>1</v>
      </c>
      <c r="D32" s="126">
        <v>0</v>
      </c>
    </row>
    <row r="33" spans="1:5" ht="14.25" customHeight="1" x14ac:dyDescent="0.25">
      <c r="A33" s="82"/>
      <c r="B33" s="125"/>
      <c r="C33" s="100" t="s">
        <v>24</v>
      </c>
      <c r="D33" s="126">
        <v>17</v>
      </c>
    </row>
    <row r="34" spans="1:5" ht="14.25" customHeight="1" thickBot="1" x14ac:dyDescent="0.3">
      <c r="A34" s="82"/>
      <c r="B34" s="103"/>
      <c r="C34" s="127"/>
      <c r="D34" s="128"/>
    </row>
    <row r="35" spans="1:5" ht="14.25" customHeight="1" x14ac:dyDescent="0.25">
      <c r="A35" s="82"/>
      <c r="B35" s="95" t="s">
        <v>3</v>
      </c>
      <c r="C35" s="96" t="s">
        <v>2</v>
      </c>
      <c r="D35" s="124">
        <v>1</v>
      </c>
    </row>
    <row r="36" spans="1:5" ht="14.25" customHeight="1" x14ac:dyDescent="0.25">
      <c r="A36" s="82"/>
      <c r="B36" s="125"/>
      <c r="C36" s="100" t="s">
        <v>3</v>
      </c>
      <c r="D36" s="126">
        <v>104</v>
      </c>
    </row>
    <row r="37" spans="1:5" ht="14.25" customHeight="1" x14ac:dyDescent="0.25">
      <c r="A37" s="82"/>
      <c r="B37" s="125"/>
      <c r="C37" s="100" t="s">
        <v>1</v>
      </c>
      <c r="D37" s="129">
        <v>1</v>
      </c>
    </row>
    <row r="38" spans="1:5" ht="14.25" customHeight="1" x14ac:dyDescent="0.25">
      <c r="A38" s="82"/>
      <c r="B38" s="125"/>
      <c r="C38" s="100" t="s">
        <v>24</v>
      </c>
      <c r="D38" s="126">
        <v>34</v>
      </c>
    </row>
    <row r="39" spans="1:5" ht="14.25" customHeight="1" thickBot="1" x14ac:dyDescent="0.3">
      <c r="A39" s="82"/>
      <c r="B39" s="103"/>
      <c r="C39" s="127"/>
      <c r="D39" s="128"/>
    </row>
    <row r="40" spans="1:5" ht="14.25" customHeight="1" x14ac:dyDescent="0.25">
      <c r="A40" s="82"/>
      <c r="B40" s="95" t="s">
        <v>1</v>
      </c>
      <c r="C40" s="96" t="s">
        <v>2</v>
      </c>
      <c r="D40" s="124">
        <v>0</v>
      </c>
    </row>
    <row r="41" spans="1:5" ht="14.25" customHeight="1" x14ac:dyDescent="0.25">
      <c r="A41" s="82"/>
      <c r="B41" s="125"/>
      <c r="C41" s="100" t="s">
        <v>3</v>
      </c>
      <c r="D41" s="126">
        <v>3</v>
      </c>
    </row>
    <row r="42" spans="1:5" ht="14.25" customHeight="1" x14ac:dyDescent="0.25">
      <c r="A42" s="82"/>
      <c r="B42" s="125"/>
      <c r="C42" s="100" t="s">
        <v>1</v>
      </c>
      <c r="D42" s="129">
        <v>17</v>
      </c>
    </row>
    <row r="43" spans="1:5" ht="14.25" customHeight="1" x14ac:dyDescent="0.25">
      <c r="A43" s="82"/>
      <c r="B43" s="130"/>
      <c r="C43" s="100" t="s">
        <v>24</v>
      </c>
      <c r="D43" s="131">
        <v>16</v>
      </c>
    </row>
    <row r="44" spans="1:5" ht="14.25" customHeight="1" thickBot="1" x14ac:dyDescent="0.3">
      <c r="A44" s="82"/>
      <c r="B44" s="132"/>
      <c r="C44" s="133"/>
      <c r="D44" s="134"/>
    </row>
    <row r="45" spans="1:5" ht="12.75" customHeight="1" thickTop="1" x14ac:dyDescent="0.2">
      <c r="A45" s="82"/>
      <c r="E45" s="116" t="s">
        <v>64</v>
      </c>
    </row>
    <row r="46" spans="1:5" ht="12.75" customHeight="1" x14ac:dyDescent="0.2">
      <c r="A46" s="82"/>
      <c r="E46" s="135" t="s">
        <v>65</v>
      </c>
    </row>
  </sheetData>
  <mergeCells count="2">
    <mergeCell ref="A5:E5"/>
    <mergeCell ref="A6:E6"/>
  </mergeCells>
  <pageMargins left="0.5" right="0.5" top="0.25" bottom="0.5" header="0.3" footer="0.25"/>
  <pageSetup orientation="portrait" r:id="rId1"/>
  <headerFooter>
    <oddFooter>&amp;L&amp;8S:\IE\QEP\&amp;F&amp;R&amp;8&amp;D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E47"/>
  <sheetViews>
    <sheetView zoomScale="80" zoomScaleNormal="80" workbookViewId="0"/>
  </sheetViews>
  <sheetFormatPr defaultColWidth="8.77734375" defaultRowHeight="15" x14ac:dyDescent="0.2"/>
  <cols>
    <col min="1" max="1" width="14.5546875" style="84" customWidth="1"/>
    <col min="2" max="5" width="14.5546875" style="82" customWidth="1"/>
    <col min="6" max="6" width="7.88671875" style="82" customWidth="1"/>
    <col min="7" max="16384" width="8.77734375" style="82"/>
  </cols>
  <sheetData>
    <row r="1" spans="1:5" x14ac:dyDescent="0.2">
      <c r="A1" s="80" t="s">
        <v>4</v>
      </c>
      <c r="B1" s="80"/>
      <c r="C1" s="80"/>
      <c r="D1" s="80"/>
      <c r="E1" s="81" t="s">
        <v>37</v>
      </c>
    </row>
    <row r="2" spans="1:5" x14ac:dyDescent="0.2">
      <c r="A2" s="83" t="s">
        <v>5</v>
      </c>
      <c r="B2" s="80"/>
      <c r="C2" s="80"/>
      <c r="D2" s="80"/>
      <c r="E2" s="80"/>
    </row>
    <row r="3" spans="1:5" x14ac:dyDescent="0.2">
      <c r="A3" s="83"/>
      <c r="B3" s="80"/>
      <c r="C3" s="80"/>
      <c r="D3" s="80"/>
      <c r="E3" s="80"/>
    </row>
    <row r="4" spans="1:5" x14ac:dyDescent="0.2">
      <c r="A4" s="83"/>
      <c r="B4" s="80"/>
      <c r="C4" s="80"/>
      <c r="D4" s="80"/>
      <c r="E4" s="80"/>
    </row>
    <row r="5" spans="1:5" ht="21.75" x14ac:dyDescent="0.3">
      <c r="A5" s="197" t="s">
        <v>38</v>
      </c>
      <c r="B5" s="197"/>
      <c r="C5" s="197"/>
      <c r="D5" s="197"/>
      <c r="E5" s="197"/>
    </row>
    <row r="6" spans="1:5" ht="13.5" customHeight="1" x14ac:dyDescent="0.25">
      <c r="A6" s="198" t="s">
        <v>39</v>
      </c>
      <c r="B6" s="198"/>
      <c r="C6" s="198"/>
      <c r="D6" s="198"/>
      <c r="E6" s="198"/>
    </row>
    <row r="7" spans="1:5" ht="11.25" customHeight="1" x14ac:dyDescent="0.2"/>
    <row r="8" spans="1:5" ht="18.75" x14ac:dyDescent="0.3">
      <c r="A8" s="85" t="s">
        <v>7</v>
      </c>
    </row>
    <row r="9" spans="1:5" ht="7.15" customHeight="1" thickBot="1" x14ac:dyDescent="0.3">
      <c r="A9" s="86"/>
      <c r="B9" s="86"/>
      <c r="C9" s="86"/>
      <c r="D9" s="86"/>
      <c r="E9" s="86"/>
    </row>
    <row r="10" spans="1:5" ht="16.5" thickTop="1" x14ac:dyDescent="0.25">
      <c r="A10" s="87"/>
      <c r="B10" s="88"/>
      <c r="C10" s="89" t="s">
        <v>8</v>
      </c>
      <c r="D10" s="89" t="s">
        <v>9</v>
      </c>
      <c r="E10" s="90" t="s">
        <v>10</v>
      </c>
    </row>
    <row r="11" spans="1:5" ht="18" thickBot="1" x14ac:dyDescent="0.3">
      <c r="A11" s="91"/>
      <c r="B11" s="92" t="s">
        <v>11</v>
      </c>
      <c r="C11" s="93" t="s">
        <v>40</v>
      </c>
      <c r="D11" s="93" t="s">
        <v>41</v>
      </c>
      <c r="E11" s="94" t="s">
        <v>13</v>
      </c>
    </row>
    <row r="12" spans="1:5" ht="16.5" thickTop="1" x14ac:dyDescent="0.25">
      <c r="A12" s="95" t="s">
        <v>2</v>
      </c>
      <c r="B12" s="96" t="s">
        <v>14</v>
      </c>
      <c r="C12" s="97">
        <v>149</v>
      </c>
      <c r="D12" s="97">
        <v>176</v>
      </c>
      <c r="E12" s="98">
        <f t="shared" ref="E12:E23" si="0">+C12/D12</f>
        <v>0.84659090909090906</v>
      </c>
    </row>
    <row r="13" spans="1:5" x14ac:dyDescent="0.2">
      <c r="A13" s="99"/>
      <c r="B13" s="100" t="s">
        <v>15</v>
      </c>
      <c r="C13" s="101">
        <v>71</v>
      </c>
      <c r="D13" s="101">
        <v>98</v>
      </c>
      <c r="E13" s="102">
        <f t="shared" si="0"/>
        <v>0.72448979591836737</v>
      </c>
    </row>
    <row r="14" spans="1:5" ht="16.5" thickBot="1" x14ac:dyDescent="0.3">
      <c r="A14" s="103" t="s">
        <v>16</v>
      </c>
      <c r="B14" s="104" t="s">
        <v>17</v>
      </c>
      <c r="C14" s="105">
        <f>SUM(C12:C13)</f>
        <v>220</v>
      </c>
      <c r="D14" s="105">
        <f>SUM(D12:D13)</f>
        <v>274</v>
      </c>
      <c r="E14" s="106">
        <f t="shared" si="0"/>
        <v>0.8029197080291971</v>
      </c>
    </row>
    <row r="15" spans="1:5" ht="15.75" x14ac:dyDescent="0.25">
      <c r="A15" s="95" t="s">
        <v>3</v>
      </c>
      <c r="B15" s="96" t="s">
        <v>14</v>
      </c>
      <c r="C15" s="97">
        <v>280</v>
      </c>
      <c r="D15" s="97">
        <v>348</v>
      </c>
      <c r="E15" s="98">
        <f t="shared" si="0"/>
        <v>0.8045977011494253</v>
      </c>
    </row>
    <row r="16" spans="1:5" x14ac:dyDescent="0.2">
      <c r="A16" s="99"/>
      <c r="B16" s="100" t="s">
        <v>15</v>
      </c>
      <c r="C16" s="101">
        <v>76</v>
      </c>
      <c r="D16" s="101">
        <v>124</v>
      </c>
      <c r="E16" s="102">
        <f t="shared" si="0"/>
        <v>0.61290322580645162</v>
      </c>
    </row>
    <row r="17" spans="1:5" ht="16.5" thickBot="1" x14ac:dyDescent="0.3">
      <c r="A17" s="103" t="s">
        <v>16</v>
      </c>
      <c r="B17" s="104" t="s">
        <v>17</v>
      </c>
      <c r="C17" s="105">
        <f>SUM(C15:C16)</f>
        <v>356</v>
      </c>
      <c r="D17" s="105">
        <f>SUM(D15:D16)</f>
        <v>472</v>
      </c>
      <c r="E17" s="106">
        <f t="shared" si="0"/>
        <v>0.75423728813559321</v>
      </c>
    </row>
    <row r="18" spans="1:5" ht="15.75" x14ac:dyDescent="0.25">
      <c r="A18" s="95" t="s">
        <v>42</v>
      </c>
      <c r="B18" s="96" t="s">
        <v>14</v>
      </c>
      <c r="C18" s="97">
        <v>56</v>
      </c>
      <c r="D18" s="97">
        <v>75</v>
      </c>
      <c r="E18" s="98">
        <f t="shared" si="0"/>
        <v>0.7466666666666667</v>
      </c>
    </row>
    <row r="19" spans="1:5" x14ac:dyDescent="0.2">
      <c r="A19" s="99"/>
      <c r="B19" s="100" t="s">
        <v>15</v>
      </c>
      <c r="C19" s="101">
        <v>10</v>
      </c>
      <c r="D19" s="101">
        <v>23</v>
      </c>
      <c r="E19" s="102">
        <f t="shared" si="0"/>
        <v>0.43478260869565216</v>
      </c>
    </row>
    <row r="20" spans="1:5" ht="16.5" thickBot="1" x14ac:dyDescent="0.3">
      <c r="A20" s="103" t="s">
        <v>16</v>
      </c>
      <c r="B20" s="104" t="s">
        <v>17</v>
      </c>
      <c r="C20" s="105">
        <f>SUM(C18:C19)</f>
        <v>66</v>
      </c>
      <c r="D20" s="105">
        <f>SUM(D18:D19)</f>
        <v>98</v>
      </c>
      <c r="E20" s="106">
        <f t="shared" si="0"/>
        <v>0.67346938775510201</v>
      </c>
    </row>
    <row r="21" spans="1:5" ht="15.75" x14ac:dyDescent="0.25">
      <c r="A21" s="107" t="s">
        <v>43</v>
      </c>
      <c r="B21" s="108" t="s">
        <v>14</v>
      </c>
      <c r="C21" s="109">
        <f t="shared" ref="C21:D23" si="1">+C12+C15+C18</f>
        <v>485</v>
      </c>
      <c r="D21" s="109">
        <f t="shared" si="1"/>
        <v>599</v>
      </c>
      <c r="E21" s="110">
        <f t="shared" si="0"/>
        <v>0.80968280467445741</v>
      </c>
    </row>
    <row r="22" spans="1:5" ht="15.75" x14ac:dyDescent="0.25">
      <c r="A22" s="107"/>
      <c r="B22" s="108" t="s">
        <v>15</v>
      </c>
      <c r="C22" s="109">
        <f t="shared" si="1"/>
        <v>157</v>
      </c>
      <c r="D22" s="109">
        <f t="shared" si="1"/>
        <v>245</v>
      </c>
      <c r="E22" s="110">
        <f t="shared" si="0"/>
        <v>0.64081632653061227</v>
      </c>
    </row>
    <row r="23" spans="1:5" ht="16.5" thickBot="1" x14ac:dyDescent="0.3">
      <c r="A23" s="111" t="s">
        <v>16</v>
      </c>
      <c r="B23" s="112" t="s">
        <v>17</v>
      </c>
      <c r="C23" s="113">
        <f t="shared" si="1"/>
        <v>642</v>
      </c>
      <c r="D23" s="113">
        <f t="shared" si="1"/>
        <v>844</v>
      </c>
      <c r="E23" s="114">
        <f t="shared" si="0"/>
        <v>0.76066350710900477</v>
      </c>
    </row>
    <row r="24" spans="1:5" ht="19.5" customHeight="1" thickTop="1" x14ac:dyDescent="0.2">
      <c r="A24" s="115" t="s">
        <v>19</v>
      </c>
      <c r="E24" s="116" t="s">
        <v>44</v>
      </c>
    </row>
    <row r="25" spans="1:5" ht="14.45" customHeight="1" x14ac:dyDescent="0.2">
      <c r="A25" s="115" t="s">
        <v>45</v>
      </c>
      <c r="E25" s="116" t="s">
        <v>46</v>
      </c>
    </row>
    <row r="26" spans="1:5" ht="21" customHeight="1" x14ac:dyDescent="0.2">
      <c r="A26" s="117"/>
    </row>
    <row r="27" spans="1:5" ht="16.5" x14ac:dyDescent="0.25">
      <c r="A27" s="118" t="s">
        <v>20</v>
      </c>
    </row>
    <row r="28" spans="1:5" ht="10.15" customHeight="1" thickBot="1" x14ac:dyDescent="0.3">
      <c r="A28" s="86"/>
      <c r="B28" s="86"/>
      <c r="C28" s="86"/>
      <c r="D28" s="86"/>
      <c r="E28" s="86"/>
    </row>
    <row r="29" spans="1:5" s="123" customFormat="1" ht="22.9" customHeight="1" thickTop="1" thickBot="1" x14ac:dyDescent="0.25">
      <c r="A29" s="119"/>
      <c r="B29" s="120" t="s">
        <v>21</v>
      </c>
      <c r="C29" s="121" t="s">
        <v>22</v>
      </c>
      <c r="D29" s="122" t="s">
        <v>23</v>
      </c>
    </row>
    <row r="30" spans="1:5" ht="14.25" customHeight="1" x14ac:dyDescent="0.25">
      <c r="A30" s="82"/>
      <c r="B30" s="95" t="s">
        <v>2</v>
      </c>
      <c r="C30" s="96" t="s">
        <v>2</v>
      </c>
      <c r="D30" s="124">
        <v>220</v>
      </c>
    </row>
    <row r="31" spans="1:5" ht="14.25" customHeight="1" x14ac:dyDescent="0.25">
      <c r="A31" s="82"/>
      <c r="B31" s="125"/>
      <c r="C31" s="100" t="s">
        <v>3</v>
      </c>
      <c r="D31" s="126">
        <v>6</v>
      </c>
    </row>
    <row r="32" spans="1:5" ht="14.25" customHeight="1" x14ac:dyDescent="0.25">
      <c r="A32" s="82"/>
      <c r="B32" s="125"/>
      <c r="C32" s="100" t="s">
        <v>42</v>
      </c>
      <c r="D32" s="126">
        <v>0</v>
      </c>
    </row>
    <row r="33" spans="2:5" s="82" customFormat="1" ht="14.25" customHeight="1" x14ac:dyDescent="0.25">
      <c r="B33" s="125"/>
      <c r="C33" s="100" t="s">
        <v>24</v>
      </c>
      <c r="D33" s="126">
        <v>48</v>
      </c>
    </row>
    <row r="34" spans="2:5" s="82" customFormat="1" ht="14.25" customHeight="1" thickBot="1" x14ac:dyDescent="0.3">
      <c r="B34" s="103"/>
      <c r="C34" s="127"/>
      <c r="D34" s="128"/>
    </row>
    <row r="35" spans="2:5" s="82" customFormat="1" ht="14.25" customHeight="1" x14ac:dyDescent="0.25">
      <c r="B35" s="95" t="s">
        <v>3</v>
      </c>
      <c r="C35" s="96" t="s">
        <v>2</v>
      </c>
      <c r="D35" s="124">
        <v>12</v>
      </c>
    </row>
    <row r="36" spans="2:5" s="82" customFormat="1" ht="14.25" customHeight="1" x14ac:dyDescent="0.25">
      <c r="B36" s="125"/>
      <c r="C36" s="100" t="s">
        <v>3</v>
      </c>
      <c r="D36" s="126">
        <v>356</v>
      </c>
    </row>
    <row r="37" spans="2:5" s="82" customFormat="1" ht="14.25" customHeight="1" x14ac:dyDescent="0.25">
      <c r="B37" s="125"/>
      <c r="C37" s="100" t="s">
        <v>42</v>
      </c>
      <c r="D37" s="129">
        <v>6</v>
      </c>
    </row>
    <row r="38" spans="2:5" s="82" customFormat="1" ht="14.25" customHeight="1" x14ac:dyDescent="0.25">
      <c r="B38" s="125"/>
      <c r="C38" s="100" t="s">
        <v>24</v>
      </c>
      <c r="D38" s="126">
        <v>98</v>
      </c>
    </row>
    <row r="39" spans="2:5" s="82" customFormat="1" ht="14.25" customHeight="1" thickBot="1" x14ac:dyDescent="0.3">
      <c r="B39" s="103"/>
      <c r="C39" s="127"/>
      <c r="D39" s="128"/>
    </row>
    <row r="40" spans="2:5" s="82" customFormat="1" ht="14.25" customHeight="1" x14ac:dyDescent="0.25">
      <c r="B40" s="95" t="s">
        <v>42</v>
      </c>
      <c r="C40" s="96" t="s">
        <v>2</v>
      </c>
      <c r="D40" s="124">
        <v>0</v>
      </c>
    </row>
    <row r="41" spans="2:5" s="82" customFormat="1" ht="14.25" customHeight="1" x14ac:dyDescent="0.25">
      <c r="B41" s="125"/>
      <c r="C41" s="100" t="s">
        <v>3</v>
      </c>
      <c r="D41" s="126">
        <v>1</v>
      </c>
    </row>
    <row r="42" spans="2:5" s="82" customFormat="1" ht="14.25" customHeight="1" x14ac:dyDescent="0.25">
      <c r="B42" s="125"/>
      <c r="C42" s="100" t="s">
        <v>42</v>
      </c>
      <c r="D42" s="129">
        <v>66</v>
      </c>
    </row>
    <row r="43" spans="2:5" s="82" customFormat="1" ht="14.25" customHeight="1" x14ac:dyDescent="0.25">
      <c r="B43" s="130"/>
      <c r="C43" s="100" t="s">
        <v>24</v>
      </c>
      <c r="D43" s="131">
        <v>31</v>
      </c>
    </row>
    <row r="44" spans="2:5" s="82" customFormat="1" ht="14.25" customHeight="1" thickBot="1" x14ac:dyDescent="0.3">
      <c r="B44" s="132"/>
      <c r="C44" s="133"/>
      <c r="D44" s="134"/>
    </row>
    <row r="45" spans="2:5" s="82" customFormat="1" ht="12.75" customHeight="1" thickTop="1" x14ac:dyDescent="0.2"/>
    <row r="46" spans="2:5" s="82" customFormat="1" ht="12.75" customHeight="1" x14ac:dyDescent="0.2">
      <c r="E46" s="116" t="s">
        <v>47</v>
      </c>
    </row>
    <row r="47" spans="2:5" x14ac:dyDescent="0.2">
      <c r="E47" s="135" t="s">
        <v>48</v>
      </c>
    </row>
  </sheetData>
  <mergeCells count="2">
    <mergeCell ref="A5:E5"/>
    <mergeCell ref="A6:E6"/>
  </mergeCells>
  <pageMargins left="0.5" right="0.5" top="0.25" bottom="0.5" header="0.3" footer="0.25"/>
  <pageSetup orientation="portrait" r:id="rId1"/>
  <headerFooter>
    <oddFooter>&amp;L&amp;8S:\IE\QEP\&amp;F&amp;R&amp;8&amp;D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E49"/>
  <sheetViews>
    <sheetView zoomScale="80" zoomScaleNormal="80" workbookViewId="0"/>
  </sheetViews>
  <sheetFormatPr defaultColWidth="8.77734375" defaultRowHeight="15" x14ac:dyDescent="0.2"/>
  <cols>
    <col min="1" max="1" width="14.5546875" style="84" customWidth="1"/>
    <col min="2" max="5" width="14.5546875" style="82" customWidth="1"/>
    <col min="6" max="6" width="7.88671875" style="82" customWidth="1"/>
    <col min="7" max="16384" width="8.77734375" style="82"/>
  </cols>
  <sheetData>
    <row r="1" spans="1:5" x14ac:dyDescent="0.2">
      <c r="A1" s="80" t="s">
        <v>4</v>
      </c>
      <c r="B1" s="80"/>
      <c r="C1" s="80"/>
      <c r="D1" s="80"/>
      <c r="E1" s="81" t="s">
        <v>75</v>
      </c>
    </row>
    <row r="2" spans="1:5" x14ac:dyDescent="0.2">
      <c r="A2" s="83" t="s">
        <v>5</v>
      </c>
      <c r="B2" s="80"/>
      <c r="C2" s="80"/>
      <c r="D2" s="80"/>
      <c r="E2" s="80"/>
    </row>
    <row r="3" spans="1:5" x14ac:dyDescent="0.2">
      <c r="A3" s="83"/>
      <c r="B3" s="80"/>
      <c r="C3" s="80"/>
      <c r="D3" s="80"/>
      <c r="E3" s="80"/>
    </row>
    <row r="4" spans="1:5" ht="21.75" x14ac:dyDescent="0.3">
      <c r="A4" s="197" t="s">
        <v>38</v>
      </c>
      <c r="B4" s="197"/>
      <c r="C4" s="197"/>
      <c r="D4" s="197"/>
      <c r="E4" s="197"/>
    </row>
    <row r="5" spans="1:5" ht="13.5" customHeight="1" x14ac:dyDescent="0.25">
      <c r="A5" s="198" t="s">
        <v>72</v>
      </c>
      <c r="B5" s="198"/>
      <c r="C5" s="198"/>
      <c r="D5" s="198"/>
      <c r="E5" s="198"/>
    </row>
    <row r="6" spans="1:5" ht="11.25" customHeight="1" x14ac:dyDescent="0.2"/>
    <row r="7" spans="1:5" ht="18.75" x14ac:dyDescent="0.3">
      <c r="A7" s="85" t="s">
        <v>7</v>
      </c>
    </row>
    <row r="8" spans="1:5" ht="7.5" customHeight="1" thickBot="1" x14ac:dyDescent="0.3">
      <c r="A8" s="86"/>
      <c r="B8" s="86"/>
      <c r="C8" s="86"/>
      <c r="D8" s="86"/>
      <c r="E8" s="86"/>
    </row>
    <row r="9" spans="1:5" ht="16.5" thickTop="1" x14ac:dyDescent="0.25">
      <c r="A9" s="87"/>
      <c r="B9" s="88"/>
      <c r="C9" s="89" t="s">
        <v>8</v>
      </c>
      <c r="D9" s="89" t="s">
        <v>9</v>
      </c>
      <c r="E9" s="90" t="s">
        <v>10</v>
      </c>
    </row>
    <row r="10" spans="1:5" ht="18" thickBot="1" x14ac:dyDescent="0.3">
      <c r="A10" s="91"/>
      <c r="B10" s="92" t="s">
        <v>11</v>
      </c>
      <c r="C10" s="93" t="s">
        <v>40</v>
      </c>
      <c r="D10" s="93" t="s">
        <v>0</v>
      </c>
      <c r="E10" s="94" t="s">
        <v>13</v>
      </c>
    </row>
    <row r="11" spans="1:5" ht="16.5" thickTop="1" x14ac:dyDescent="0.25">
      <c r="A11" s="95" t="s">
        <v>2</v>
      </c>
      <c r="B11" s="96" t="s">
        <v>14</v>
      </c>
      <c r="C11" s="97">
        <v>35</v>
      </c>
      <c r="D11" s="97">
        <v>40</v>
      </c>
      <c r="E11" s="98">
        <f t="shared" ref="E11:E22" si="0">+C11/D11</f>
        <v>0.875</v>
      </c>
    </row>
    <row r="12" spans="1:5" x14ac:dyDescent="0.2">
      <c r="A12" s="99"/>
      <c r="B12" s="100" t="s">
        <v>15</v>
      </c>
      <c r="C12" s="101">
        <v>22</v>
      </c>
      <c r="D12" s="101">
        <v>34</v>
      </c>
      <c r="E12" s="102">
        <f t="shared" si="0"/>
        <v>0.6470588235294118</v>
      </c>
    </row>
    <row r="13" spans="1:5" ht="16.5" thickBot="1" x14ac:dyDescent="0.3">
      <c r="A13" s="103" t="s">
        <v>16</v>
      </c>
      <c r="B13" s="104" t="s">
        <v>17</v>
      </c>
      <c r="C13" s="105">
        <f>SUM(C11:C12)</f>
        <v>57</v>
      </c>
      <c r="D13" s="105">
        <f>SUM(D11:D12)</f>
        <v>74</v>
      </c>
      <c r="E13" s="106">
        <f t="shared" si="0"/>
        <v>0.77027027027027029</v>
      </c>
    </row>
    <row r="14" spans="1:5" ht="15.75" x14ac:dyDescent="0.25">
      <c r="A14" s="95" t="s">
        <v>3</v>
      </c>
      <c r="B14" s="96" t="s">
        <v>14</v>
      </c>
      <c r="C14" s="97">
        <v>59</v>
      </c>
      <c r="D14" s="97">
        <v>66</v>
      </c>
      <c r="E14" s="98">
        <f t="shared" si="0"/>
        <v>0.89393939393939392</v>
      </c>
    </row>
    <row r="15" spans="1:5" x14ac:dyDescent="0.2">
      <c r="A15" s="99"/>
      <c r="B15" s="100" t="s">
        <v>15</v>
      </c>
      <c r="C15" s="101">
        <v>32</v>
      </c>
      <c r="D15" s="101">
        <v>44</v>
      </c>
      <c r="E15" s="102">
        <f t="shared" si="0"/>
        <v>0.72727272727272729</v>
      </c>
    </row>
    <row r="16" spans="1:5" ht="16.5" thickBot="1" x14ac:dyDescent="0.3">
      <c r="A16" s="103" t="s">
        <v>16</v>
      </c>
      <c r="B16" s="104" t="s">
        <v>17</v>
      </c>
      <c r="C16" s="105">
        <f>SUM(C14:C15)</f>
        <v>91</v>
      </c>
      <c r="D16" s="105">
        <f>SUM(D14:D15)</f>
        <v>110</v>
      </c>
      <c r="E16" s="106">
        <f t="shared" si="0"/>
        <v>0.82727272727272727</v>
      </c>
    </row>
    <row r="17" spans="1:5" ht="15.75" x14ac:dyDescent="0.25">
      <c r="A17" s="95" t="s">
        <v>42</v>
      </c>
      <c r="B17" s="96" t="s">
        <v>14</v>
      </c>
      <c r="C17" s="97">
        <v>9</v>
      </c>
      <c r="D17" s="97">
        <v>12</v>
      </c>
      <c r="E17" s="98">
        <f t="shared" si="0"/>
        <v>0.75</v>
      </c>
    </row>
    <row r="18" spans="1:5" x14ac:dyDescent="0.2">
      <c r="A18" s="99"/>
      <c r="B18" s="100" t="s">
        <v>15</v>
      </c>
      <c r="C18" s="101">
        <v>6</v>
      </c>
      <c r="D18" s="101">
        <v>13</v>
      </c>
      <c r="E18" s="102">
        <f t="shared" si="0"/>
        <v>0.46153846153846156</v>
      </c>
    </row>
    <row r="19" spans="1:5" ht="16.5" thickBot="1" x14ac:dyDescent="0.3">
      <c r="A19" s="103" t="s">
        <v>16</v>
      </c>
      <c r="B19" s="104" t="s">
        <v>17</v>
      </c>
      <c r="C19" s="105">
        <f>SUM(C17:C18)</f>
        <v>15</v>
      </c>
      <c r="D19" s="105">
        <f>SUM(D17:D18)</f>
        <v>25</v>
      </c>
      <c r="E19" s="106">
        <f t="shared" si="0"/>
        <v>0.6</v>
      </c>
    </row>
    <row r="20" spans="1:5" ht="15.75" x14ac:dyDescent="0.25">
      <c r="A20" s="107" t="s">
        <v>43</v>
      </c>
      <c r="B20" s="108" t="s">
        <v>14</v>
      </c>
      <c r="C20" s="109">
        <f>+C11+C14+C17</f>
        <v>103</v>
      </c>
      <c r="D20" s="109">
        <f t="shared" ref="D20" si="1">+D11+D14+D17</f>
        <v>118</v>
      </c>
      <c r="E20" s="110">
        <f t="shared" si="0"/>
        <v>0.8728813559322034</v>
      </c>
    </row>
    <row r="21" spans="1:5" ht="15.75" x14ac:dyDescent="0.25">
      <c r="A21" s="107"/>
      <c r="B21" s="108" t="s">
        <v>15</v>
      </c>
      <c r="C21" s="109">
        <f t="shared" ref="C21:D22" si="2">+C12+C15+C18</f>
        <v>60</v>
      </c>
      <c r="D21" s="109">
        <f t="shared" si="2"/>
        <v>91</v>
      </c>
      <c r="E21" s="110">
        <f t="shared" si="0"/>
        <v>0.65934065934065933</v>
      </c>
    </row>
    <row r="22" spans="1:5" ht="16.5" thickBot="1" x14ac:dyDescent="0.3">
      <c r="A22" s="111" t="s">
        <v>16</v>
      </c>
      <c r="B22" s="112" t="s">
        <v>17</v>
      </c>
      <c r="C22" s="113">
        <f t="shared" si="2"/>
        <v>163</v>
      </c>
      <c r="D22" s="113">
        <f t="shared" si="2"/>
        <v>209</v>
      </c>
      <c r="E22" s="114">
        <f t="shared" si="0"/>
        <v>0.77990430622009566</v>
      </c>
    </row>
    <row r="23" spans="1:5" s="123" customFormat="1" ht="15.75" thickTop="1" x14ac:dyDescent="0.2">
      <c r="A23" s="180" t="s">
        <v>19</v>
      </c>
      <c r="E23" s="181" t="s">
        <v>73</v>
      </c>
    </row>
    <row r="24" spans="1:5" x14ac:dyDescent="0.2">
      <c r="A24" s="180" t="s">
        <v>80</v>
      </c>
    </row>
    <row r="25" spans="1:5" ht="15" customHeight="1" x14ac:dyDescent="0.2">
      <c r="A25" s="180"/>
    </row>
    <row r="26" spans="1:5" ht="16.5" x14ac:dyDescent="0.25">
      <c r="A26" s="118" t="s">
        <v>20</v>
      </c>
    </row>
    <row r="27" spans="1:5" ht="7.5" customHeight="1" thickBot="1" x14ac:dyDescent="0.3">
      <c r="A27" s="86"/>
      <c r="B27" s="86"/>
      <c r="C27" s="86"/>
      <c r="D27" s="86"/>
      <c r="E27" s="86"/>
    </row>
    <row r="28" spans="1:5" s="123" customFormat="1" ht="22.9" customHeight="1" thickTop="1" thickBot="1" x14ac:dyDescent="0.25">
      <c r="A28" s="119"/>
      <c r="B28" s="120" t="s">
        <v>21</v>
      </c>
      <c r="C28" s="121" t="s">
        <v>22</v>
      </c>
      <c r="D28" s="122" t="s">
        <v>23</v>
      </c>
    </row>
    <row r="29" spans="1:5" ht="14.25" customHeight="1" x14ac:dyDescent="0.25">
      <c r="A29" s="82"/>
      <c r="B29" s="95" t="s">
        <v>2</v>
      </c>
      <c r="C29" s="96" t="s">
        <v>2</v>
      </c>
      <c r="D29" s="124">
        <v>56</v>
      </c>
    </row>
    <row r="30" spans="1:5" ht="14.25" customHeight="1" x14ac:dyDescent="0.25">
      <c r="A30" s="82"/>
      <c r="B30" s="182"/>
      <c r="C30" s="183" t="s">
        <v>76</v>
      </c>
      <c r="D30" s="184">
        <v>1</v>
      </c>
    </row>
    <row r="31" spans="1:5" ht="14.25" customHeight="1" x14ac:dyDescent="0.25">
      <c r="A31" s="82"/>
      <c r="B31" s="182"/>
      <c r="C31" s="183" t="s">
        <v>77</v>
      </c>
      <c r="D31" s="184">
        <v>1</v>
      </c>
    </row>
    <row r="32" spans="1:5" ht="14.25" customHeight="1" x14ac:dyDescent="0.25">
      <c r="A32" s="82"/>
      <c r="B32" s="125"/>
      <c r="C32" s="100" t="s">
        <v>3</v>
      </c>
      <c r="D32" s="126">
        <v>0</v>
      </c>
    </row>
    <row r="33" spans="1:5" ht="14.25" customHeight="1" x14ac:dyDescent="0.25">
      <c r="A33" s="82"/>
      <c r="B33" s="125"/>
      <c r="C33" s="100" t="s">
        <v>42</v>
      </c>
      <c r="D33" s="126">
        <v>0</v>
      </c>
    </row>
    <row r="34" spans="1:5" ht="14.25" customHeight="1" x14ac:dyDescent="0.25">
      <c r="A34" s="82"/>
      <c r="B34" s="125"/>
      <c r="C34" s="100" t="s">
        <v>24</v>
      </c>
      <c r="D34" s="126">
        <v>16</v>
      </c>
    </row>
    <row r="35" spans="1:5" ht="14.25" customHeight="1" thickBot="1" x14ac:dyDescent="0.3">
      <c r="A35" s="82"/>
      <c r="B35" s="103"/>
      <c r="C35" s="127"/>
      <c r="D35" s="128"/>
    </row>
    <row r="36" spans="1:5" ht="14.25" customHeight="1" x14ac:dyDescent="0.25">
      <c r="A36" s="82"/>
      <c r="B36" s="95" t="s">
        <v>3</v>
      </c>
      <c r="C36" s="96" t="s">
        <v>2</v>
      </c>
      <c r="D36" s="124">
        <v>0</v>
      </c>
    </row>
    <row r="37" spans="1:5" ht="14.25" customHeight="1" x14ac:dyDescent="0.25">
      <c r="A37" s="82"/>
      <c r="B37" s="125"/>
      <c r="C37" s="100" t="s">
        <v>3</v>
      </c>
      <c r="D37" s="126">
        <v>85</v>
      </c>
    </row>
    <row r="38" spans="1:5" ht="14.25" customHeight="1" x14ac:dyDescent="0.25">
      <c r="A38" s="82"/>
      <c r="B38" s="125"/>
      <c r="C38" s="100" t="s">
        <v>78</v>
      </c>
      <c r="D38" s="126">
        <v>1</v>
      </c>
    </row>
    <row r="39" spans="1:5" ht="14.25" customHeight="1" x14ac:dyDescent="0.25">
      <c r="A39" s="82"/>
      <c r="B39" s="125"/>
      <c r="C39" s="100" t="s">
        <v>79</v>
      </c>
      <c r="D39" s="126">
        <v>5</v>
      </c>
    </row>
    <row r="40" spans="1:5" ht="14.25" customHeight="1" x14ac:dyDescent="0.25">
      <c r="A40" s="82"/>
      <c r="B40" s="125"/>
      <c r="C40" s="100" t="s">
        <v>42</v>
      </c>
      <c r="D40" s="129">
        <v>0</v>
      </c>
    </row>
    <row r="41" spans="1:5" ht="14.25" customHeight="1" x14ac:dyDescent="0.25">
      <c r="A41" s="82"/>
      <c r="B41" s="125"/>
      <c r="C41" s="100" t="s">
        <v>24</v>
      </c>
      <c r="D41" s="126">
        <v>19</v>
      </c>
    </row>
    <row r="42" spans="1:5" ht="14.25" customHeight="1" thickBot="1" x14ac:dyDescent="0.3">
      <c r="A42" s="82"/>
      <c r="B42" s="103"/>
      <c r="C42" s="127"/>
      <c r="D42" s="128"/>
    </row>
    <row r="43" spans="1:5" ht="14.25" customHeight="1" x14ac:dyDescent="0.25">
      <c r="A43" s="82"/>
      <c r="B43" s="95" t="s">
        <v>42</v>
      </c>
      <c r="C43" s="96" t="s">
        <v>2</v>
      </c>
      <c r="D43" s="124">
        <v>0</v>
      </c>
    </row>
    <row r="44" spans="1:5" ht="14.25" customHeight="1" x14ac:dyDescent="0.25">
      <c r="A44" s="82"/>
      <c r="B44" s="125"/>
      <c r="C44" s="100" t="s">
        <v>3</v>
      </c>
      <c r="D44" s="126">
        <v>0</v>
      </c>
    </row>
    <row r="45" spans="1:5" ht="14.25" customHeight="1" x14ac:dyDescent="0.25">
      <c r="A45" s="82"/>
      <c r="B45" s="125"/>
      <c r="C45" s="100" t="s">
        <v>42</v>
      </c>
      <c r="D45" s="129">
        <v>15</v>
      </c>
    </row>
    <row r="46" spans="1:5" ht="14.25" customHeight="1" x14ac:dyDescent="0.25">
      <c r="A46" s="82"/>
      <c r="B46" s="130"/>
      <c r="C46" s="100" t="s">
        <v>24</v>
      </c>
      <c r="D46" s="131">
        <v>10</v>
      </c>
    </row>
    <row r="47" spans="1:5" ht="14.25" customHeight="1" thickBot="1" x14ac:dyDescent="0.3">
      <c r="A47" s="82"/>
      <c r="B47" s="132"/>
      <c r="C47" s="133"/>
      <c r="D47" s="134"/>
    </row>
    <row r="48" spans="1:5" ht="12.75" customHeight="1" thickTop="1" x14ac:dyDescent="0.2">
      <c r="A48" s="82"/>
      <c r="E48" s="116" t="s">
        <v>73</v>
      </c>
    </row>
    <row r="49" spans="1:5" ht="12.75" customHeight="1" x14ac:dyDescent="0.2">
      <c r="A49" s="82"/>
      <c r="E49" s="135" t="s">
        <v>65</v>
      </c>
    </row>
  </sheetData>
  <mergeCells count="2">
    <mergeCell ref="A4:E4"/>
    <mergeCell ref="A5:E5"/>
  </mergeCells>
  <pageMargins left="0.5" right="0.5" top="0.25" bottom="0.5" header="0.3" footer="0.25"/>
  <pageSetup orientation="portrait" r:id="rId1"/>
  <headerFooter>
    <oddFooter>&amp;L&amp;8S:\IE\QEP\&amp;F&amp;R&amp;8&amp;D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MASTER CHART</vt:lpstr>
      <vt:lpstr>Place vs comp 4104</vt:lpstr>
      <vt:lpstr>Place vs comp 4106</vt:lpstr>
      <vt:lpstr>Place vs comp 4114</vt:lpstr>
      <vt:lpstr>Place vs comp 4116</vt:lpstr>
      <vt:lpstr>Place vs comp 4124</vt:lpstr>
      <vt:lpstr>Place vs comp 4126</vt:lpstr>
      <vt:lpstr>'Place vs comp 4104'!Print_Area</vt:lpstr>
      <vt:lpstr>'Place vs comp 4106'!Print_Area</vt:lpstr>
      <vt:lpstr>'Place vs comp 4114'!Print_Area</vt:lpstr>
      <vt:lpstr>'Place vs comp 4116'!Print_Area</vt:lpstr>
      <vt:lpstr>'Place vs comp 4124'!Print_Area</vt:lpstr>
      <vt:lpstr>'Place vs comp 4126'!Print_Area</vt:lpstr>
    </vt:vector>
  </TitlesOfParts>
  <Company>Bluegrass Community &amp; Technical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liaquinta0001</dc:creator>
  <cp:lastModifiedBy>Pinkie</cp:lastModifiedBy>
  <cp:lastPrinted>2012-08-30T20:44:20Z</cp:lastPrinted>
  <dcterms:created xsi:type="dcterms:W3CDTF">2011-01-19T16:50:22Z</dcterms:created>
  <dcterms:modified xsi:type="dcterms:W3CDTF">2013-09-24T15:56:00Z</dcterms:modified>
</cp:coreProperties>
</file>