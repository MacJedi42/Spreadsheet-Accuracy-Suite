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005" yWindow="240" windowWidth="6225" windowHeight="6675"/>
  </bookViews>
  <sheets>
    <sheet name="HNW case" sheetId="18" r:id="rId1"/>
    <sheet name="HNW-solution presented" sheetId="22" r:id="rId2"/>
  </sheets>
  <definedNames>
    <definedName name="_WORLDOX" localSheetId="1">'HNW-solution presented'!#REF!</definedName>
    <definedName name="_WORLDOX">'HNW case'!#REF!</definedName>
    <definedName name="abcdefg" localSheetId="1">'HNW-solution presented'!#REF!</definedName>
    <definedName name="abcdefg">'HNW case'!#REF!</definedName>
  </definedNames>
  <calcPr calcId="125725"/>
</workbook>
</file>

<file path=xl/calcChain.xml><?xml version="1.0" encoding="utf-8"?>
<calcChain xmlns="http://schemas.openxmlformats.org/spreadsheetml/2006/main">
  <c r="G26" i="22"/>
  <c r="E26"/>
  <c r="C26"/>
  <c r="I23"/>
  <c r="H23"/>
  <c r="J22"/>
  <c r="I21"/>
  <c r="H21"/>
  <c r="E21"/>
  <c r="C21"/>
  <c r="G19"/>
  <c r="D19"/>
  <c r="G18"/>
  <c r="D18"/>
  <c r="G17"/>
  <c r="D17"/>
  <c r="G16"/>
  <c r="D16"/>
  <c r="G15"/>
  <c r="D15"/>
  <c r="G14"/>
  <c r="D14"/>
  <c r="G13"/>
  <c r="D13"/>
  <c r="G12"/>
  <c r="D12"/>
  <c r="G11"/>
  <c r="D11"/>
  <c r="G10"/>
  <c r="D10"/>
  <c r="G9"/>
  <c r="D9"/>
  <c r="G8"/>
  <c r="D8"/>
  <c r="G7"/>
  <c r="G21" s="1"/>
  <c r="D7"/>
  <c r="D21" s="1"/>
  <c r="C26" i="18"/>
  <c r="E26"/>
  <c r="J22"/>
  <c r="G19"/>
  <c r="G18"/>
  <c r="G17"/>
  <c r="G16"/>
  <c r="G15"/>
  <c r="G14"/>
  <c r="G13"/>
  <c r="G12"/>
  <c r="G11"/>
  <c r="G10"/>
  <c r="G9"/>
  <c r="G8"/>
  <c r="G7"/>
  <c r="H21"/>
  <c r="H23" s="1"/>
  <c r="I21"/>
  <c r="I23" s="1"/>
  <c r="E21"/>
  <c r="C21"/>
  <c r="D19"/>
  <c r="D18"/>
  <c r="D17"/>
  <c r="D16"/>
  <c r="D15"/>
  <c r="D14"/>
  <c r="D13"/>
  <c r="D12"/>
  <c r="D11"/>
  <c r="D10"/>
  <c r="D9"/>
  <c r="D8"/>
  <c r="D7"/>
  <c r="G23" i="22" l="1"/>
  <c r="J23" s="1"/>
  <c r="J21"/>
  <c r="G26" i="18"/>
  <c r="D21"/>
  <c r="G21"/>
  <c r="J21" l="1"/>
  <c r="G23"/>
  <c r="J23" s="1"/>
</calcChain>
</file>

<file path=xl/sharedStrings.xml><?xml version="1.0" encoding="utf-8"?>
<sst xmlns="http://schemas.openxmlformats.org/spreadsheetml/2006/main" count="68" uniqueCount="31">
  <si>
    <t>Trust</t>
  </si>
  <si>
    <t>A</t>
  </si>
  <si>
    <t>B</t>
  </si>
  <si>
    <t>Value</t>
  </si>
  <si>
    <t>C</t>
  </si>
  <si>
    <t>Primary Residence</t>
  </si>
  <si>
    <t>Rental 1</t>
  </si>
  <si>
    <t>Rental 2</t>
  </si>
  <si>
    <t>Cash Accounts</t>
  </si>
  <si>
    <t>Brokerage Accounts</t>
  </si>
  <si>
    <t>Wells Fargo Stock</t>
  </si>
  <si>
    <t>Municipal Bond Mutual Funds</t>
  </si>
  <si>
    <t>Life Insurance on Husband (to Wife)</t>
  </si>
  <si>
    <t>Personal Property</t>
  </si>
  <si>
    <t>401(k)-Husband (to Wife)</t>
  </si>
  <si>
    <t>IRA-Husband (to Wife)</t>
  </si>
  <si>
    <t>Joint</t>
  </si>
  <si>
    <t>Paul's</t>
  </si>
  <si>
    <t>Separate</t>
  </si>
  <si>
    <t>45% Interest in Son's House</t>
  </si>
  <si>
    <t>Loans to Children</t>
  </si>
  <si>
    <t>Totals</t>
  </si>
  <si>
    <t>Large Estate - Trusts A/B/C Allocations</t>
  </si>
  <si>
    <t>Paul &amp; Patty</t>
  </si>
  <si>
    <t>50% of Jt.</t>
  </si>
  <si>
    <t>Patty's</t>
  </si>
  <si>
    <t>Target Allocations</t>
  </si>
  <si>
    <t>QTIP</t>
  </si>
  <si>
    <t>Bypass</t>
  </si>
  <si>
    <t>Out-of-balance</t>
  </si>
  <si>
    <t>Liquidity for Patty</t>
  </si>
</sst>
</file>

<file path=xl/styles.xml><?xml version="1.0" encoding="utf-8"?>
<styleSheet xmlns="http://schemas.openxmlformats.org/spreadsheetml/2006/main">
  <numFmts count="3">
    <numFmt numFmtId="43" formatCode="_(* #,##0.00_);_(* \(#,##0.00\);_(* &quot;-&quot;??_);_(@_)"/>
    <numFmt numFmtId="164" formatCode="mm/dd/yy;@"/>
    <numFmt numFmtId="165" formatCode="_(* #,##0_);_(* \(#,##0\);_(* &quot;-&quot;??_);_(@_)"/>
  </numFmts>
  <fonts count="11">
    <font>
      <sz val="10"/>
      <name val="Arial"/>
    </font>
    <font>
      <sz val="12"/>
      <name val="Times New Roman"/>
      <family val="1"/>
    </font>
    <font>
      <b/>
      <sz val="14"/>
      <name val="Arial"/>
      <family val="2"/>
    </font>
    <font>
      <b/>
      <u/>
      <sz val="14"/>
      <name val="Arial"/>
      <family val="2"/>
    </font>
    <font>
      <sz val="14"/>
      <name val="Arial"/>
      <family val="2"/>
    </font>
    <font>
      <sz val="10"/>
      <name val="Arial"/>
      <family val="2"/>
    </font>
    <font>
      <sz val="14"/>
      <name val="Arial"/>
      <family val="2"/>
    </font>
    <font>
      <sz val="10"/>
      <name val="Arial"/>
      <family val="2"/>
    </font>
    <font>
      <b/>
      <sz val="10"/>
      <name val="Arial"/>
      <family val="2"/>
    </font>
    <font>
      <b/>
      <u/>
      <sz val="10"/>
      <name val="Arial"/>
      <family val="2"/>
    </font>
    <font>
      <i/>
      <sz val="14"/>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4" tint="0.79998168889431442"/>
        <bgColor indexed="64"/>
      </patternFill>
    </fill>
  </fills>
  <borders count="7">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0" borderId="0"/>
    <xf numFmtId="43" fontId="5" fillId="0" borderId="0" applyFont="0" applyFill="0" applyBorder="0" applyAlignment="0" applyProtection="0"/>
  </cellStyleXfs>
  <cellXfs count="32">
    <xf numFmtId="0" fontId="0" fillId="0" borderId="0" xfId="0"/>
    <xf numFmtId="39" fontId="2" fillId="0" borderId="0" xfId="1" applyNumberFormat="1" applyFont="1"/>
    <xf numFmtId="39" fontId="2" fillId="0" borderId="0" xfId="1" applyNumberFormat="1" applyFont="1" applyAlignment="1">
      <alignment horizontal="center"/>
    </xf>
    <xf numFmtId="39" fontId="3" fillId="0" borderId="0" xfId="1" applyNumberFormat="1" applyFont="1" applyAlignment="1">
      <alignment horizontal="center"/>
    </xf>
    <xf numFmtId="39" fontId="4" fillId="0" borderId="0" xfId="1" applyNumberFormat="1" applyFont="1"/>
    <xf numFmtId="164" fontId="4" fillId="0" borderId="0" xfId="1" applyNumberFormat="1" applyFont="1"/>
    <xf numFmtId="39" fontId="2" fillId="0" borderId="0" xfId="1" applyNumberFormat="1" applyFont="1" applyAlignment="1">
      <alignment horizontal="left"/>
    </xf>
    <xf numFmtId="0" fontId="2" fillId="0" borderId="0" xfId="0" applyFont="1" applyAlignment="1">
      <alignment horizontal="center"/>
    </xf>
    <xf numFmtId="0" fontId="3" fillId="0" borderId="0" xfId="0" applyFont="1" applyAlignment="1">
      <alignment horizontal="center"/>
    </xf>
    <xf numFmtId="165" fontId="6" fillId="0" borderId="0" xfId="2" applyNumberFormat="1" applyFont="1" applyAlignment="1"/>
    <xf numFmtId="0" fontId="7" fillId="0" borderId="0" xfId="0" applyFont="1"/>
    <xf numFmtId="165" fontId="0" fillId="0" borderId="0" xfId="0" applyNumberFormat="1"/>
    <xf numFmtId="0" fontId="0" fillId="2" borderId="0" xfId="0" applyFill="1"/>
    <xf numFmtId="165" fontId="6" fillId="0" borderId="1" xfId="2" applyNumberFormat="1" applyFont="1" applyBorder="1" applyAlignment="1"/>
    <xf numFmtId="165" fontId="4" fillId="0" borderId="2" xfId="2" applyNumberFormat="1" applyFont="1" applyBorder="1"/>
    <xf numFmtId="165" fontId="4" fillId="0" borderId="3" xfId="2" applyNumberFormat="1" applyFont="1" applyBorder="1"/>
    <xf numFmtId="165" fontId="2" fillId="0" borderId="0" xfId="2" applyNumberFormat="1" applyFont="1" applyAlignment="1"/>
    <xf numFmtId="0" fontId="8" fillId="2" borderId="0" xfId="0" applyFont="1" applyFill="1"/>
    <xf numFmtId="0" fontId="8" fillId="0" borderId="0" xfId="0" applyFont="1"/>
    <xf numFmtId="3" fontId="2" fillId="0" borderId="0" xfId="0" applyNumberFormat="1" applyFont="1"/>
    <xf numFmtId="165" fontId="2" fillId="3" borderId="0" xfId="2" applyNumberFormat="1" applyFont="1" applyFill="1"/>
    <xf numFmtId="39" fontId="4" fillId="0" borderId="0" xfId="1" applyNumberFormat="1" applyFont="1" applyAlignment="1">
      <alignment horizontal="right"/>
    </xf>
    <xf numFmtId="0" fontId="9" fillId="0" borderId="0" xfId="0" applyFont="1" applyAlignment="1">
      <alignment horizontal="center"/>
    </xf>
    <xf numFmtId="3" fontId="8" fillId="0" borderId="0" xfId="0" applyNumberFormat="1" applyFont="1"/>
    <xf numFmtId="0" fontId="4" fillId="0" borderId="0" xfId="0" applyFont="1"/>
    <xf numFmtId="0" fontId="7" fillId="4" borderId="0" xfId="0" applyFont="1" applyFill="1"/>
    <xf numFmtId="0" fontId="0" fillId="4" borderId="0" xfId="0" applyFill="1"/>
    <xf numFmtId="165" fontId="0" fillId="4" borderId="0" xfId="0" applyNumberFormat="1" applyFill="1"/>
    <xf numFmtId="39" fontId="10" fillId="0" borderId="4" xfId="1" applyNumberFormat="1" applyFont="1" applyBorder="1" applyAlignment="1">
      <alignment horizontal="center"/>
    </xf>
    <xf numFmtId="0" fontId="4" fillId="0" borderId="5" xfId="0" applyFont="1" applyBorder="1"/>
    <xf numFmtId="165" fontId="4" fillId="0" borderId="5" xfId="0" applyNumberFormat="1" applyFont="1" applyBorder="1"/>
    <xf numFmtId="165" fontId="4" fillId="0" borderId="6" xfId="0" applyNumberFormat="1" applyFont="1" applyBorder="1"/>
  </cellXfs>
  <cellStyles count="3">
    <cellStyle name="Comma" xfId="2" builtinId="3"/>
    <cellStyle name="Normal" xfId="0" builtinId="0"/>
    <cellStyle name="Normal_Hansink WT F706 amend"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0</xdr:colOff>
      <xdr:row>22</xdr:row>
      <xdr:rowOff>0</xdr:rowOff>
    </xdr:from>
    <xdr:to>
      <xdr:col>2</xdr:col>
      <xdr:colOff>0</xdr:colOff>
      <xdr:row>22</xdr:row>
      <xdr:rowOff>0</xdr:rowOff>
    </xdr:to>
    <xdr:sp macro="" textlink="">
      <xdr:nvSpPr>
        <xdr:cNvPr id="2" name="Line 1"/>
        <xdr:cNvSpPr>
          <a:spLocks noChangeShapeType="1"/>
        </xdr:cNvSpPr>
      </xdr:nvSpPr>
      <xdr:spPr bwMode="auto">
        <a:xfrm>
          <a:off x="2952750" y="4572000"/>
          <a:ext cx="0" cy="0"/>
        </a:xfrm>
        <a:prstGeom prst="line">
          <a:avLst/>
        </a:prstGeom>
        <a:noFill/>
        <a:ln w="9525">
          <a:solidFill>
            <a:srgbClr val="000000"/>
          </a:solidFill>
          <a:round/>
          <a:headEnd/>
          <a:tailEnd type="triangle" w="med" len="med"/>
        </a:ln>
      </xdr:spPr>
    </xdr:sp>
    <xdr:clientData/>
  </xdr:twoCellAnchor>
  <xdr:twoCellAnchor>
    <xdr:from>
      <xdr:col>1</xdr:col>
      <xdr:colOff>63500</xdr:colOff>
      <xdr:row>21</xdr:row>
      <xdr:rowOff>127000</xdr:rowOff>
    </xdr:from>
    <xdr:to>
      <xdr:col>4</xdr:col>
      <xdr:colOff>994833</xdr:colOff>
      <xdr:row>21</xdr:row>
      <xdr:rowOff>158750</xdr:rowOff>
    </xdr:to>
    <xdr:cxnSp macro="">
      <xdr:nvCxnSpPr>
        <xdr:cNvPr id="4" name="Straight Arrow Connector 3"/>
        <xdr:cNvCxnSpPr/>
      </xdr:nvCxnSpPr>
      <xdr:spPr>
        <a:xfrm>
          <a:off x="2910417" y="5027083"/>
          <a:ext cx="3217333" cy="31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973667</xdr:colOff>
      <xdr:row>22</xdr:row>
      <xdr:rowOff>148166</xdr:rowOff>
    </xdr:from>
    <xdr:to>
      <xdr:col>4</xdr:col>
      <xdr:colOff>1005416</xdr:colOff>
      <xdr:row>22</xdr:row>
      <xdr:rowOff>148166</xdr:rowOff>
    </xdr:to>
    <xdr:cxnSp macro="">
      <xdr:nvCxnSpPr>
        <xdr:cNvPr id="6" name="Straight Arrow Connector 5"/>
        <xdr:cNvCxnSpPr/>
      </xdr:nvCxnSpPr>
      <xdr:spPr>
        <a:xfrm>
          <a:off x="5016500" y="5281083"/>
          <a:ext cx="1121833"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460887</xdr:colOff>
      <xdr:row>27</xdr:row>
      <xdr:rowOff>23044</xdr:rowOff>
    </xdr:from>
    <xdr:to>
      <xdr:col>8</xdr:col>
      <xdr:colOff>1013951</xdr:colOff>
      <xdr:row>37</xdr:row>
      <xdr:rowOff>30725</xdr:rowOff>
    </xdr:to>
    <xdr:sp macro="" textlink="">
      <xdr:nvSpPr>
        <xdr:cNvPr id="5" name="TextBox 4"/>
        <xdr:cNvSpPr txBox="1"/>
      </xdr:nvSpPr>
      <xdr:spPr>
        <a:xfrm>
          <a:off x="460887" y="6206613"/>
          <a:ext cx="8864395" cy="17590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   The</a:t>
          </a:r>
          <a:r>
            <a:rPr lang="en-US" sz="1100" baseline="0"/>
            <a:t> above template has all of the assets in Trust A.  As you put an amount in either the Trust B or Trust C column, it will automatically reduce what's in Trust A.</a:t>
          </a:r>
        </a:p>
        <a:p>
          <a:r>
            <a:rPr lang="en-US" sz="1100" baseline="0"/>
            <a:t>   Note that Patty's Trust must be $4M because that is 50% of the joint assets, and we are assuming she has not separate property.</a:t>
          </a:r>
        </a:p>
        <a:p>
          <a:r>
            <a:rPr lang="en-US" sz="1100" baseline="0"/>
            <a:t>   In the Case Study, we targeted to fund the Bypass Trust with the full exemption equivalent [using $5M for simplicity, instead of $5.25M].  In that case, there would be no "portability" because the exemption equivalent is exhausted.  However, we may have chosed to "freeze" only $2MM, for example, and then Patty would have $3M ported over to her exemption equivalent, giving her $8M going forward.  Her personal share would rise from inflation, Paul's $3M would not get an inflation adjustment.</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22</xdr:row>
      <xdr:rowOff>0</xdr:rowOff>
    </xdr:from>
    <xdr:to>
      <xdr:col>2</xdr:col>
      <xdr:colOff>0</xdr:colOff>
      <xdr:row>22</xdr:row>
      <xdr:rowOff>0</xdr:rowOff>
    </xdr:to>
    <xdr:sp macro="" textlink="">
      <xdr:nvSpPr>
        <xdr:cNvPr id="2" name="Line 1"/>
        <xdr:cNvSpPr>
          <a:spLocks noChangeShapeType="1"/>
        </xdr:cNvSpPr>
      </xdr:nvSpPr>
      <xdr:spPr bwMode="auto">
        <a:xfrm>
          <a:off x="2876550" y="5038725"/>
          <a:ext cx="0" cy="0"/>
        </a:xfrm>
        <a:prstGeom prst="line">
          <a:avLst/>
        </a:prstGeom>
        <a:noFill/>
        <a:ln w="9525">
          <a:solidFill>
            <a:srgbClr val="000000"/>
          </a:solidFill>
          <a:round/>
          <a:headEnd/>
          <a:tailEnd type="triangle" w="med" len="med"/>
        </a:ln>
      </xdr:spPr>
    </xdr:sp>
    <xdr:clientData/>
  </xdr:twoCellAnchor>
  <xdr:twoCellAnchor>
    <xdr:from>
      <xdr:col>1</xdr:col>
      <xdr:colOff>63500</xdr:colOff>
      <xdr:row>21</xdr:row>
      <xdr:rowOff>127000</xdr:rowOff>
    </xdr:from>
    <xdr:to>
      <xdr:col>4</xdr:col>
      <xdr:colOff>994833</xdr:colOff>
      <xdr:row>21</xdr:row>
      <xdr:rowOff>158750</xdr:rowOff>
    </xdr:to>
    <xdr:cxnSp macro="">
      <xdr:nvCxnSpPr>
        <xdr:cNvPr id="3" name="Straight Arrow Connector 2"/>
        <xdr:cNvCxnSpPr/>
      </xdr:nvCxnSpPr>
      <xdr:spPr>
        <a:xfrm>
          <a:off x="2873375" y="4937125"/>
          <a:ext cx="3169708" cy="31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973667</xdr:colOff>
      <xdr:row>22</xdr:row>
      <xdr:rowOff>148166</xdr:rowOff>
    </xdr:from>
    <xdr:to>
      <xdr:col>4</xdr:col>
      <xdr:colOff>1005416</xdr:colOff>
      <xdr:row>22</xdr:row>
      <xdr:rowOff>148166</xdr:rowOff>
    </xdr:to>
    <xdr:cxnSp macro="">
      <xdr:nvCxnSpPr>
        <xdr:cNvPr id="4" name="Straight Arrow Connector 3"/>
        <xdr:cNvCxnSpPr/>
      </xdr:nvCxnSpPr>
      <xdr:spPr>
        <a:xfrm>
          <a:off x="4936067" y="5186891"/>
          <a:ext cx="1117599"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522339</xdr:colOff>
      <xdr:row>27</xdr:row>
      <xdr:rowOff>99858</xdr:rowOff>
    </xdr:from>
    <xdr:to>
      <xdr:col>8</xdr:col>
      <xdr:colOff>891048</xdr:colOff>
      <xdr:row>46</xdr:row>
      <xdr:rowOff>30726</xdr:rowOff>
    </xdr:to>
    <xdr:sp macro="" textlink="">
      <xdr:nvSpPr>
        <xdr:cNvPr id="5" name="TextBox 4"/>
        <xdr:cNvSpPr txBox="1"/>
      </xdr:nvSpPr>
      <xdr:spPr>
        <a:xfrm>
          <a:off x="522339" y="6283427"/>
          <a:ext cx="8680040" cy="31340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Post-Presentation</a:t>
          </a:r>
          <a:r>
            <a:rPr lang="en-US" sz="1100" baseline="0"/>
            <a:t> Commentary:</a:t>
          </a:r>
        </a:p>
        <a:p>
          <a:r>
            <a:rPr lang="en-US" sz="1100" baseline="0"/>
            <a:t>     The above Proposed Solution is not necessarily the best solution.  There are so many unknown factors for this sample couple, the sample widow.  What are her spending habits?  Will she be gifting to kids?  Will she be making significant charitable gifts during lifetime or at her death?  How old is she? What is her health? How many kids, how many grandkids?</a:t>
          </a:r>
        </a:p>
        <a:p>
          <a:r>
            <a:rPr lang="en-US" sz="1100" baseline="0"/>
            <a:t>    In our discussion during the presentation, we placed asses in the Bypass Trust column, but in reality we said they would be disclaimed and drop straight to her children.  Assuming there were 3 children, she could disclaim the $800K interest in the son's house, and disclaim a rental property worth $1.6M.  Hence the son would own 100% of his house, and the other two would split the interest in Rental #1.  Likewise, we assumed the $200K of loans to children were equal to each child.  Yes, these assumptions made the case easier for math purposes, and things aren't always so convenient.</a:t>
          </a:r>
        </a:p>
        <a:p>
          <a:r>
            <a:rPr lang="en-US" sz="1100" baseline="0"/>
            <a:t>   The resulting amount in the Bypass Trust would really be $2.4M because $2.6M was disclaimed by the Trustee of the Bypass Trust.  These actions still result in using $5M of Paul's estate tax exemption equivalent.</a:t>
          </a:r>
        </a:p>
        <a:p>
          <a:r>
            <a:rPr lang="en-US" sz="1100" baseline="0"/>
            <a:t>   Another footnote to the entire presentation:  we assumed that the estate tax equivalent for 2013 was $5M in order to make the math easy while we are moving numbers around an Excel spreadsheet.  We know that the actual amount is $5.25M for 2013.</a:t>
          </a:r>
        </a:p>
        <a:p>
          <a:r>
            <a:rPr lang="en-US" sz="1100" baseline="0"/>
            <a:t>   Last, the Liquidity for Patty is to focus on the Patty's Trust column.  If liquidity is too low because you put 100% of the house, for example, in her trust, that's a warning signal.  Low liquidity for her means that she might have to depend on principal distributions from the other trusts, which she may or may not have any control over.</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pageSetUpPr fitToPage="1"/>
  </sheetPr>
  <dimension ref="A1:J29"/>
  <sheetViews>
    <sheetView tabSelected="1" topLeftCell="A3" zoomScale="124" zoomScaleNormal="124" workbookViewId="0">
      <pane ySplit="3" topLeftCell="A6" activePane="bottomLeft" state="frozen"/>
      <selection activeCell="A3" sqref="A3"/>
      <selection pane="bottomLeft" activeCell="C8" sqref="C8"/>
    </sheetView>
  </sheetViews>
  <sheetFormatPr defaultRowHeight="12.75"/>
  <cols>
    <col min="1" max="1" width="42.7109375" bestFit="1" customWidth="1"/>
    <col min="2" max="2" width="0.42578125" customWidth="1"/>
    <col min="3" max="5" width="16.28515625" customWidth="1"/>
    <col min="6" max="6" width="0.7109375" customWidth="1"/>
    <col min="7" max="9" width="16" customWidth="1"/>
    <col min="10" max="10" width="16.140625" customWidth="1"/>
    <col min="257" max="257" width="42.7109375" bestFit="1" customWidth="1"/>
    <col min="258" max="258" width="1.5703125" customWidth="1"/>
    <col min="259" max="260" width="15.5703125" customWidth="1"/>
    <col min="261" max="261" width="18.5703125" customWidth="1"/>
    <col min="262" max="262" width="7.7109375" customWidth="1"/>
    <col min="263" max="265" width="16.42578125" customWidth="1"/>
    <col min="513" max="513" width="42.7109375" bestFit="1" customWidth="1"/>
    <col min="514" max="514" width="1.5703125" customWidth="1"/>
    <col min="515" max="516" width="15.5703125" customWidth="1"/>
    <col min="517" max="517" width="18.5703125" customWidth="1"/>
    <col min="518" max="518" width="7.7109375" customWidth="1"/>
    <col min="519" max="521" width="16.42578125" customWidth="1"/>
    <col min="769" max="769" width="42.7109375" bestFit="1" customWidth="1"/>
    <col min="770" max="770" width="1.5703125" customWidth="1"/>
    <col min="771" max="772" width="15.5703125" customWidth="1"/>
    <col min="773" max="773" width="18.5703125" customWidth="1"/>
    <col min="774" max="774" width="7.7109375" customWidth="1"/>
    <col min="775" max="777" width="16.42578125" customWidth="1"/>
    <col min="1025" max="1025" width="42.7109375" bestFit="1" customWidth="1"/>
    <col min="1026" max="1026" width="1.5703125" customWidth="1"/>
    <col min="1027" max="1028" width="15.5703125" customWidth="1"/>
    <col min="1029" max="1029" width="18.5703125" customWidth="1"/>
    <col min="1030" max="1030" width="7.7109375" customWidth="1"/>
    <col min="1031" max="1033" width="16.42578125" customWidth="1"/>
    <col min="1281" max="1281" width="42.7109375" bestFit="1" customWidth="1"/>
    <col min="1282" max="1282" width="1.5703125" customWidth="1"/>
    <col min="1283" max="1284" width="15.5703125" customWidth="1"/>
    <col min="1285" max="1285" width="18.5703125" customWidth="1"/>
    <col min="1286" max="1286" width="7.7109375" customWidth="1"/>
    <col min="1287" max="1289" width="16.42578125" customWidth="1"/>
    <col min="1537" max="1537" width="42.7109375" bestFit="1" customWidth="1"/>
    <col min="1538" max="1538" width="1.5703125" customWidth="1"/>
    <col min="1539" max="1540" width="15.5703125" customWidth="1"/>
    <col min="1541" max="1541" width="18.5703125" customWidth="1"/>
    <col min="1542" max="1542" width="7.7109375" customWidth="1"/>
    <col min="1543" max="1545" width="16.42578125" customWidth="1"/>
    <col min="1793" max="1793" width="42.7109375" bestFit="1" customWidth="1"/>
    <col min="1794" max="1794" width="1.5703125" customWidth="1"/>
    <col min="1795" max="1796" width="15.5703125" customWidth="1"/>
    <col min="1797" max="1797" width="18.5703125" customWidth="1"/>
    <col min="1798" max="1798" width="7.7109375" customWidth="1"/>
    <col min="1799" max="1801" width="16.42578125" customWidth="1"/>
    <col min="2049" max="2049" width="42.7109375" bestFit="1" customWidth="1"/>
    <col min="2050" max="2050" width="1.5703125" customWidth="1"/>
    <col min="2051" max="2052" width="15.5703125" customWidth="1"/>
    <col min="2053" max="2053" width="18.5703125" customWidth="1"/>
    <col min="2054" max="2054" width="7.7109375" customWidth="1"/>
    <col min="2055" max="2057" width="16.42578125" customWidth="1"/>
    <col min="2305" max="2305" width="42.7109375" bestFit="1" customWidth="1"/>
    <col min="2306" max="2306" width="1.5703125" customWidth="1"/>
    <col min="2307" max="2308" width="15.5703125" customWidth="1"/>
    <col min="2309" max="2309" width="18.5703125" customWidth="1"/>
    <col min="2310" max="2310" width="7.7109375" customWidth="1"/>
    <col min="2311" max="2313" width="16.42578125" customWidth="1"/>
    <col min="2561" max="2561" width="42.7109375" bestFit="1" customWidth="1"/>
    <col min="2562" max="2562" width="1.5703125" customWidth="1"/>
    <col min="2563" max="2564" width="15.5703125" customWidth="1"/>
    <col min="2565" max="2565" width="18.5703125" customWidth="1"/>
    <col min="2566" max="2566" width="7.7109375" customWidth="1"/>
    <col min="2567" max="2569" width="16.42578125" customWidth="1"/>
    <col min="2817" max="2817" width="42.7109375" bestFit="1" customWidth="1"/>
    <col min="2818" max="2818" width="1.5703125" customWidth="1"/>
    <col min="2819" max="2820" width="15.5703125" customWidth="1"/>
    <col min="2821" max="2821" width="18.5703125" customWidth="1"/>
    <col min="2822" max="2822" width="7.7109375" customWidth="1"/>
    <col min="2823" max="2825" width="16.42578125" customWidth="1"/>
    <col min="3073" max="3073" width="42.7109375" bestFit="1" customWidth="1"/>
    <col min="3074" max="3074" width="1.5703125" customWidth="1"/>
    <col min="3075" max="3076" width="15.5703125" customWidth="1"/>
    <col min="3077" max="3077" width="18.5703125" customWidth="1"/>
    <col min="3078" max="3078" width="7.7109375" customWidth="1"/>
    <col min="3079" max="3081" width="16.42578125" customWidth="1"/>
    <col min="3329" max="3329" width="42.7109375" bestFit="1" customWidth="1"/>
    <col min="3330" max="3330" width="1.5703125" customWidth="1"/>
    <col min="3331" max="3332" width="15.5703125" customWidth="1"/>
    <col min="3333" max="3333" width="18.5703125" customWidth="1"/>
    <col min="3334" max="3334" width="7.7109375" customWidth="1"/>
    <col min="3335" max="3337" width="16.42578125" customWidth="1"/>
    <col min="3585" max="3585" width="42.7109375" bestFit="1" customWidth="1"/>
    <col min="3586" max="3586" width="1.5703125" customWidth="1"/>
    <col min="3587" max="3588" width="15.5703125" customWidth="1"/>
    <col min="3589" max="3589" width="18.5703125" customWidth="1"/>
    <col min="3590" max="3590" width="7.7109375" customWidth="1"/>
    <col min="3591" max="3593" width="16.42578125" customWidth="1"/>
    <col min="3841" max="3841" width="42.7109375" bestFit="1" customWidth="1"/>
    <col min="3842" max="3842" width="1.5703125" customWidth="1"/>
    <col min="3843" max="3844" width="15.5703125" customWidth="1"/>
    <col min="3845" max="3845" width="18.5703125" customWidth="1"/>
    <col min="3846" max="3846" width="7.7109375" customWidth="1"/>
    <col min="3847" max="3849" width="16.42578125" customWidth="1"/>
    <col min="4097" max="4097" width="42.7109375" bestFit="1" customWidth="1"/>
    <col min="4098" max="4098" width="1.5703125" customWidth="1"/>
    <col min="4099" max="4100" width="15.5703125" customWidth="1"/>
    <col min="4101" max="4101" width="18.5703125" customWidth="1"/>
    <col min="4102" max="4102" width="7.7109375" customWidth="1"/>
    <col min="4103" max="4105" width="16.42578125" customWidth="1"/>
    <col min="4353" max="4353" width="42.7109375" bestFit="1" customWidth="1"/>
    <col min="4354" max="4354" width="1.5703125" customWidth="1"/>
    <col min="4355" max="4356" width="15.5703125" customWidth="1"/>
    <col min="4357" max="4357" width="18.5703125" customWidth="1"/>
    <col min="4358" max="4358" width="7.7109375" customWidth="1"/>
    <col min="4359" max="4361" width="16.42578125" customWidth="1"/>
    <col min="4609" max="4609" width="42.7109375" bestFit="1" customWidth="1"/>
    <col min="4610" max="4610" width="1.5703125" customWidth="1"/>
    <col min="4611" max="4612" width="15.5703125" customWidth="1"/>
    <col min="4613" max="4613" width="18.5703125" customWidth="1"/>
    <col min="4614" max="4614" width="7.7109375" customWidth="1"/>
    <col min="4615" max="4617" width="16.42578125" customWidth="1"/>
    <col min="4865" max="4865" width="42.7109375" bestFit="1" customWidth="1"/>
    <col min="4866" max="4866" width="1.5703125" customWidth="1"/>
    <col min="4867" max="4868" width="15.5703125" customWidth="1"/>
    <col min="4869" max="4869" width="18.5703125" customWidth="1"/>
    <col min="4870" max="4870" width="7.7109375" customWidth="1"/>
    <col min="4871" max="4873" width="16.42578125" customWidth="1"/>
    <col min="5121" max="5121" width="42.7109375" bestFit="1" customWidth="1"/>
    <col min="5122" max="5122" width="1.5703125" customWidth="1"/>
    <col min="5123" max="5124" width="15.5703125" customWidth="1"/>
    <col min="5125" max="5125" width="18.5703125" customWidth="1"/>
    <col min="5126" max="5126" width="7.7109375" customWidth="1"/>
    <col min="5127" max="5129" width="16.42578125" customWidth="1"/>
    <col min="5377" max="5377" width="42.7109375" bestFit="1" customWidth="1"/>
    <col min="5378" max="5378" width="1.5703125" customWidth="1"/>
    <col min="5379" max="5380" width="15.5703125" customWidth="1"/>
    <col min="5381" max="5381" width="18.5703125" customWidth="1"/>
    <col min="5382" max="5382" width="7.7109375" customWidth="1"/>
    <col min="5383" max="5385" width="16.42578125" customWidth="1"/>
    <col min="5633" max="5633" width="42.7109375" bestFit="1" customWidth="1"/>
    <col min="5634" max="5634" width="1.5703125" customWidth="1"/>
    <col min="5635" max="5636" width="15.5703125" customWidth="1"/>
    <col min="5637" max="5637" width="18.5703125" customWidth="1"/>
    <col min="5638" max="5638" width="7.7109375" customWidth="1"/>
    <col min="5639" max="5641" width="16.42578125" customWidth="1"/>
    <col min="5889" max="5889" width="42.7109375" bestFit="1" customWidth="1"/>
    <col min="5890" max="5890" width="1.5703125" customWidth="1"/>
    <col min="5891" max="5892" width="15.5703125" customWidth="1"/>
    <col min="5893" max="5893" width="18.5703125" customWidth="1"/>
    <col min="5894" max="5894" width="7.7109375" customWidth="1"/>
    <col min="5895" max="5897" width="16.42578125" customWidth="1"/>
    <col min="6145" max="6145" width="42.7109375" bestFit="1" customWidth="1"/>
    <col min="6146" max="6146" width="1.5703125" customWidth="1"/>
    <col min="6147" max="6148" width="15.5703125" customWidth="1"/>
    <col min="6149" max="6149" width="18.5703125" customWidth="1"/>
    <col min="6150" max="6150" width="7.7109375" customWidth="1"/>
    <col min="6151" max="6153" width="16.42578125" customWidth="1"/>
    <col min="6401" max="6401" width="42.7109375" bestFit="1" customWidth="1"/>
    <col min="6402" max="6402" width="1.5703125" customWidth="1"/>
    <col min="6403" max="6404" width="15.5703125" customWidth="1"/>
    <col min="6405" max="6405" width="18.5703125" customWidth="1"/>
    <col min="6406" max="6406" width="7.7109375" customWidth="1"/>
    <col min="6407" max="6409" width="16.42578125" customWidth="1"/>
    <col min="6657" max="6657" width="42.7109375" bestFit="1" customWidth="1"/>
    <col min="6658" max="6658" width="1.5703125" customWidth="1"/>
    <col min="6659" max="6660" width="15.5703125" customWidth="1"/>
    <col min="6661" max="6661" width="18.5703125" customWidth="1"/>
    <col min="6662" max="6662" width="7.7109375" customWidth="1"/>
    <col min="6663" max="6665" width="16.42578125" customWidth="1"/>
    <col min="6913" max="6913" width="42.7109375" bestFit="1" customWidth="1"/>
    <col min="6914" max="6914" width="1.5703125" customWidth="1"/>
    <col min="6915" max="6916" width="15.5703125" customWidth="1"/>
    <col min="6917" max="6917" width="18.5703125" customWidth="1"/>
    <col min="6918" max="6918" width="7.7109375" customWidth="1"/>
    <col min="6919" max="6921" width="16.42578125" customWidth="1"/>
    <col min="7169" max="7169" width="42.7109375" bestFit="1" customWidth="1"/>
    <col min="7170" max="7170" width="1.5703125" customWidth="1"/>
    <col min="7171" max="7172" width="15.5703125" customWidth="1"/>
    <col min="7173" max="7173" width="18.5703125" customWidth="1"/>
    <col min="7174" max="7174" width="7.7109375" customWidth="1"/>
    <col min="7175" max="7177" width="16.42578125" customWidth="1"/>
    <col min="7425" max="7425" width="42.7109375" bestFit="1" customWidth="1"/>
    <col min="7426" max="7426" width="1.5703125" customWidth="1"/>
    <col min="7427" max="7428" width="15.5703125" customWidth="1"/>
    <col min="7429" max="7429" width="18.5703125" customWidth="1"/>
    <col min="7430" max="7430" width="7.7109375" customWidth="1"/>
    <col min="7431" max="7433" width="16.42578125" customWidth="1"/>
    <col min="7681" max="7681" width="42.7109375" bestFit="1" customWidth="1"/>
    <col min="7682" max="7682" width="1.5703125" customWidth="1"/>
    <col min="7683" max="7684" width="15.5703125" customWidth="1"/>
    <col min="7685" max="7685" width="18.5703125" customWidth="1"/>
    <col min="7686" max="7686" width="7.7109375" customWidth="1"/>
    <col min="7687" max="7689" width="16.42578125" customWidth="1"/>
    <col min="7937" max="7937" width="42.7109375" bestFit="1" customWidth="1"/>
    <col min="7938" max="7938" width="1.5703125" customWidth="1"/>
    <col min="7939" max="7940" width="15.5703125" customWidth="1"/>
    <col min="7941" max="7941" width="18.5703125" customWidth="1"/>
    <col min="7942" max="7942" width="7.7109375" customWidth="1"/>
    <col min="7943" max="7945" width="16.42578125" customWidth="1"/>
    <col min="8193" max="8193" width="42.7109375" bestFit="1" customWidth="1"/>
    <col min="8194" max="8194" width="1.5703125" customWidth="1"/>
    <col min="8195" max="8196" width="15.5703125" customWidth="1"/>
    <col min="8197" max="8197" width="18.5703125" customWidth="1"/>
    <col min="8198" max="8198" width="7.7109375" customWidth="1"/>
    <col min="8199" max="8201" width="16.42578125" customWidth="1"/>
    <col min="8449" max="8449" width="42.7109375" bestFit="1" customWidth="1"/>
    <col min="8450" max="8450" width="1.5703125" customWidth="1"/>
    <col min="8451" max="8452" width="15.5703125" customWidth="1"/>
    <col min="8453" max="8453" width="18.5703125" customWidth="1"/>
    <col min="8454" max="8454" width="7.7109375" customWidth="1"/>
    <col min="8455" max="8457" width="16.42578125" customWidth="1"/>
    <col min="8705" max="8705" width="42.7109375" bestFit="1" customWidth="1"/>
    <col min="8706" max="8706" width="1.5703125" customWidth="1"/>
    <col min="8707" max="8708" width="15.5703125" customWidth="1"/>
    <col min="8709" max="8709" width="18.5703125" customWidth="1"/>
    <col min="8710" max="8710" width="7.7109375" customWidth="1"/>
    <col min="8711" max="8713" width="16.42578125" customWidth="1"/>
    <col min="8961" max="8961" width="42.7109375" bestFit="1" customWidth="1"/>
    <col min="8962" max="8962" width="1.5703125" customWidth="1"/>
    <col min="8963" max="8964" width="15.5703125" customWidth="1"/>
    <col min="8965" max="8965" width="18.5703125" customWidth="1"/>
    <col min="8966" max="8966" width="7.7109375" customWidth="1"/>
    <col min="8967" max="8969" width="16.42578125" customWidth="1"/>
    <col min="9217" max="9217" width="42.7109375" bestFit="1" customWidth="1"/>
    <col min="9218" max="9218" width="1.5703125" customWidth="1"/>
    <col min="9219" max="9220" width="15.5703125" customWidth="1"/>
    <col min="9221" max="9221" width="18.5703125" customWidth="1"/>
    <col min="9222" max="9222" width="7.7109375" customWidth="1"/>
    <col min="9223" max="9225" width="16.42578125" customWidth="1"/>
    <col min="9473" max="9473" width="42.7109375" bestFit="1" customWidth="1"/>
    <col min="9474" max="9474" width="1.5703125" customWidth="1"/>
    <col min="9475" max="9476" width="15.5703125" customWidth="1"/>
    <col min="9477" max="9477" width="18.5703125" customWidth="1"/>
    <col min="9478" max="9478" width="7.7109375" customWidth="1"/>
    <col min="9479" max="9481" width="16.42578125" customWidth="1"/>
    <col min="9729" max="9729" width="42.7109375" bestFit="1" customWidth="1"/>
    <col min="9730" max="9730" width="1.5703125" customWidth="1"/>
    <col min="9731" max="9732" width="15.5703125" customWidth="1"/>
    <col min="9733" max="9733" width="18.5703125" customWidth="1"/>
    <col min="9734" max="9734" width="7.7109375" customWidth="1"/>
    <col min="9735" max="9737" width="16.42578125" customWidth="1"/>
    <col min="9985" max="9985" width="42.7109375" bestFit="1" customWidth="1"/>
    <col min="9986" max="9986" width="1.5703125" customWidth="1"/>
    <col min="9987" max="9988" width="15.5703125" customWidth="1"/>
    <col min="9989" max="9989" width="18.5703125" customWidth="1"/>
    <col min="9990" max="9990" width="7.7109375" customWidth="1"/>
    <col min="9991" max="9993" width="16.42578125" customWidth="1"/>
    <col min="10241" max="10241" width="42.7109375" bestFit="1" customWidth="1"/>
    <col min="10242" max="10242" width="1.5703125" customWidth="1"/>
    <col min="10243" max="10244" width="15.5703125" customWidth="1"/>
    <col min="10245" max="10245" width="18.5703125" customWidth="1"/>
    <col min="10246" max="10246" width="7.7109375" customWidth="1"/>
    <col min="10247" max="10249" width="16.42578125" customWidth="1"/>
    <col min="10497" max="10497" width="42.7109375" bestFit="1" customWidth="1"/>
    <col min="10498" max="10498" width="1.5703125" customWidth="1"/>
    <col min="10499" max="10500" width="15.5703125" customWidth="1"/>
    <col min="10501" max="10501" width="18.5703125" customWidth="1"/>
    <col min="10502" max="10502" width="7.7109375" customWidth="1"/>
    <col min="10503" max="10505" width="16.42578125" customWidth="1"/>
    <col min="10753" max="10753" width="42.7109375" bestFit="1" customWidth="1"/>
    <col min="10754" max="10754" width="1.5703125" customWidth="1"/>
    <col min="10755" max="10756" width="15.5703125" customWidth="1"/>
    <col min="10757" max="10757" width="18.5703125" customWidth="1"/>
    <col min="10758" max="10758" width="7.7109375" customWidth="1"/>
    <col min="10759" max="10761" width="16.42578125" customWidth="1"/>
    <col min="11009" max="11009" width="42.7109375" bestFit="1" customWidth="1"/>
    <col min="11010" max="11010" width="1.5703125" customWidth="1"/>
    <col min="11011" max="11012" width="15.5703125" customWidth="1"/>
    <col min="11013" max="11013" width="18.5703125" customWidth="1"/>
    <col min="11014" max="11014" width="7.7109375" customWidth="1"/>
    <col min="11015" max="11017" width="16.42578125" customWidth="1"/>
    <col min="11265" max="11265" width="42.7109375" bestFit="1" customWidth="1"/>
    <col min="11266" max="11266" width="1.5703125" customWidth="1"/>
    <col min="11267" max="11268" width="15.5703125" customWidth="1"/>
    <col min="11269" max="11269" width="18.5703125" customWidth="1"/>
    <col min="11270" max="11270" width="7.7109375" customWidth="1"/>
    <col min="11271" max="11273" width="16.42578125" customWidth="1"/>
    <col min="11521" max="11521" width="42.7109375" bestFit="1" customWidth="1"/>
    <col min="11522" max="11522" width="1.5703125" customWidth="1"/>
    <col min="11523" max="11524" width="15.5703125" customWidth="1"/>
    <col min="11525" max="11525" width="18.5703125" customWidth="1"/>
    <col min="11526" max="11526" width="7.7109375" customWidth="1"/>
    <col min="11527" max="11529" width="16.42578125" customWidth="1"/>
    <col min="11777" max="11777" width="42.7109375" bestFit="1" customWidth="1"/>
    <col min="11778" max="11778" width="1.5703125" customWidth="1"/>
    <col min="11779" max="11780" width="15.5703125" customWidth="1"/>
    <col min="11781" max="11781" width="18.5703125" customWidth="1"/>
    <col min="11782" max="11782" width="7.7109375" customWidth="1"/>
    <col min="11783" max="11785" width="16.42578125" customWidth="1"/>
    <col min="12033" max="12033" width="42.7109375" bestFit="1" customWidth="1"/>
    <col min="12034" max="12034" width="1.5703125" customWidth="1"/>
    <col min="12035" max="12036" width="15.5703125" customWidth="1"/>
    <col min="12037" max="12037" width="18.5703125" customWidth="1"/>
    <col min="12038" max="12038" width="7.7109375" customWidth="1"/>
    <col min="12039" max="12041" width="16.42578125" customWidth="1"/>
    <col min="12289" max="12289" width="42.7109375" bestFit="1" customWidth="1"/>
    <col min="12290" max="12290" width="1.5703125" customWidth="1"/>
    <col min="12291" max="12292" width="15.5703125" customWidth="1"/>
    <col min="12293" max="12293" width="18.5703125" customWidth="1"/>
    <col min="12294" max="12294" width="7.7109375" customWidth="1"/>
    <col min="12295" max="12297" width="16.42578125" customWidth="1"/>
    <col min="12545" max="12545" width="42.7109375" bestFit="1" customWidth="1"/>
    <col min="12546" max="12546" width="1.5703125" customWidth="1"/>
    <col min="12547" max="12548" width="15.5703125" customWidth="1"/>
    <col min="12549" max="12549" width="18.5703125" customWidth="1"/>
    <col min="12550" max="12550" width="7.7109375" customWidth="1"/>
    <col min="12551" max="12553" width="16.42578125" customWidth="1"/>
    <col min="12801" max="12801" width="42.7109375" bestFit="1" customWidth="1"/>
    <col min="12802" max="12802" width="1.5703125" customWidth="1"/>
    <col min="12803" max="12804" width="15.5703125" customWidth="1"/>
    <col min="12805" max="12805" width="18.5703125" customWidth="1"/>
    <col min="12806" max="12806" width="7.7109375" customWidth="1"/>
    <col min="12807" max="12809" width="16.42578125" customWidth="1"/>
    <col min="13057" max="13057" width="42.7109375" bestFit="1" customWidth="1"/>
    <col min="13058" max="13058" width="1.5703125" customWidth="1"/>
    <col min="13059" max="13060" width="15.5703125" customWidth="1"/>
    <col min="13061" max="13061" width="18.5703125" customWidth="1"/>
    <col min="13062" max="13062" width="7.7109375" customWidth="1"/>
    <col min="13063" max="13065" width="16.42578125" customWidth="1"/>
    <col min="13313" max="13313" width="42.7109375" bestFit="1" customWidth="1"/>
    <col min="13314" max="13314" width="1.5703125" customWidth="1"/>
    <col min="13315" max="13316" width="15.5703125" customWidth="1"/>
    <col min="13317" max="13317" width="18.5703125" customWidth="1"/>
    <col min="13318" max="13318" width="7.7109375" customWidth="1"/>
    <col min="13319" max="13321" width="16.42578125" customWidth="1"/>
    <col min="13569" max="13569" width="42.7109375" bestFit="1" customWidth="1"/>
    <col min="13570" max="13570" width="1.5703125" customWidth="1"/>
    <col min="13571" max="13572" width="15.5703125" customWidth="1"/>
    <col min="13573" max="13573" width="18.5703125" customWidth="1"/>
    <col min="13574" max="13574" width="7.7109375" customWidth="1"/>
    <col min="13575" max="13577" width="16.42578125" customWidth="1"/>
    <col min="13825" max="13825" width="42.7109375" bestFit="1" customWidth="1"/>
    <col min="13826" max="13826" width="1.5703125" customWidth="1"/>
    <col min="13827" max="13828" width="15.5703125" customWidth="1"/>
    <col min="13829" max="13829" width="18.5703125" customWidth="1"/>
    <col min="13830" max="13830" width="7.7109375" customWidth="1"/>
    <col min="13831" max="13833" width="16.42578125" customWidth="1"/>
    <col min="14081" max="14081" width="42.7109375" bestFit="1" customWidth="1"/>
    <col min="14082" max="14082" width="1.5703125" customWidth="1"/>
    <col min="14083" max="14084" width="15.5703125" customWidth="1"/>
    <col min="14085" max="14085" width="18.5703125" customWidth="1"/>
    <col min="14086" max="14086" width="7.7109375" customWidth="1"/>
    <col min="14087" max="14089" width="16.42578125" customWidth="1"/>
    <col min="14337" max="14337" width="42.7109375" bestFit="1" customWidth="1"/>
    <col min="14338" max="14338" width="1.5703125" customWidth="1"/>
    <col min="14339" max="14340" width="15.5703125" customWidth="1"/>
    <col min="14341" max="14341" width="18.5703125" customWidth="1"/>
    <col min="14342" max="14342" width="7.7109375" customWidth="1"/>
    <col min="14343" max="14345" width="16.42578125" customWidth="1"/>
    <col min="14593" max="14593" width="42.7109375" bestFit="1" customWidth="1"/>
    <col min="14594" max="14594" width="1.5703125" customWidth="1"/>
    <col min="14595" max="14596" width="15.5703125" customWidth="1"/>
    <col min="14597" max="14597" width="18.5703125" customWidth="1"/>
    <col min="14598" max="14598" width="7.7109375" customWidth="1"/>
    <col min="14599" max="14601" width="16.42578125" customWidth="1"/>
    <col min="14849" max="14849" width="42.7109375" bestFit="1" customWidth="1"/>
    <col min="14850" max="14850" width="1.5703125" customWidth="1"/>
    <col min="14851" max="14852" width="15.5703125" customWidth="1"/>
    <col min="14853" max="14853" width="18.5703125" customWidth="1"/>
    <col min="14854" max="14854" width="7.7109375" customWidth="1"/>
    <col min="14855" max="14857" width="16.42578125" customWidth="1"/>
    <col min="15105" max="15105" width="42.7109375" bestFit="1" customWidth="1"/>
    <col min="15106" max="15106" width="1.5703125" customWidth="1"/>
    <col min="15107" max="15108" width="15.5703125" customWidth="1"/>
    <col min="15109" max="15109" width="18.5703125" customWidth="1"/>
    <col min="15110" max="15110" width="7.7109375" customWidth="1"/>
    <col min="15111" max="15113" width="16.42578125" customWidth="1"/>
    <col min="15361" max="15361" width="42.7109375" bestFit="1" customWidth="1"/>
    <col min="15362" max="15362" width="1.5703125" customWidth="1"/>
    <col min="15363" max="15364" width="15.5703125" customWidth="1"/>
    <col min="15365" max="15365" width="18.5703125" customWidth="1"/>
    <col min="15366" max="15366" width="7.7109375" customWidth="1"/>
    <col min="15367" max="15369" width="16.42578125" customWidth="1"/>
    <col min="15617" max="15617" width="42.7109375" bestFit="1" customWidth="1"/>
    <col min="15618" max="15618" width="1.5703125" customWidth="1"/>
    <col min="15619" max="15620" width="15.5703125" customWidth="1"/>
    <col min="15621" max="15621" width="18.5703125" customWidth="1"/>
    <col min="15622" max="15622" width="7.7109375" customWidth="1"/>
    <col min="15623" max="15625" width="16.42578125" customWidth="1"/>
    <col min="15873" max="15873" width="42.7109375" bestFit="1" customWidth="1"/>
    <col min="15874" max="15874" width="1.5703125" customWidth="1"/>
    <col min="15875" max="15876" width="15.5703125" customWidth="1"/>
    <col min="15877" max="15877" width="18.5703125" customWidth="1"/>
    <col min="15878" max="15878" width="7.7109375" customWidth="1"/>
    <col min="15879" max="15881" width="16.42578125" customWidth="1"/>
    <col min="16129" max="16129" width="42.7109375" bestFit="1" customWidth="1"/>
    <col min="16130" max="16130" width="1.5703125" customWidth="1"/>
    <col min="16131" max="16132" width="15.5703125" customWidth="1"/>
    <col min="16133" max="16133" width="18.5703125" customWidth="1"/>
    <col min="16134" max="16134" width="7.7109375" customWidth="1"/>
    <col min="16135" max="16137" width="16.42578125" customWidth="1"/>
  </cols>
  <sheetData>
    <row r="1" spans="1:9" ht="18">
      <c r="A1" s="6" t="s">
        <v>23</v>
      </c>
      <c r="B1" s="3"/>
      <c r="F1" s="12"/>
    </row>
    <row r="2" spans="1:9" ht="18">
      <c r="A2" s="1" t="s">
        <v>22</v>
      </c>
      <c r="B2" s="1"/>
      <c r="F2" s="12"/>
    </row>
    <row r="3" spans="1:9" ht="18">
      <c r="A3" s="1"/>
      <c r="B3" s="1"/>
      <c r="F3" s="12"/>
      <c r="G3" s="22" t="s">
        <v>1</v>
      </c>
      <c r="H3" s="22" t="s">
        <v>2</v>
      </c>
      <c r="I3" s="22" t="s">
        <v>4</v>
      </c>
    </row>
    <row r="4" spans="1:9" ht="18">
      <c r="A4" s="2"/>
      <c r="B4" s="2"/>
      <c r="C4" s="7" t="s">
        <v>16</v>
      </c>
      <c r="D4" s="7" t="s">
        <v>17</v>
      </c>
      <c r="E4" s="7" t="s">
        <v>17</v>
      </c>
      <c r="F4" s="12"/>
      <c r="G4" s="7" t="s">
        <v>25</v>
      </c>
      <c r="H4" s="7" t="s">
        <v>28</v>
      </c>
      <c r="I4" s="7" t="s">
        <v>27</v>
      </c>
    </row>
    <row r="5" spans="1:9" ht="18">
      <c r="A5" s="3"/>
      <c r="B5" s="3"/>
      <c r="C5" s="8" t="s">
        <v>3</v>
      </c>
      <c r="D5" s="8" t="s">
        <v>24</v>
      </c>
      <c r="E5" s="8" t="s">
        <v>18</v>
      </c>
      <c r="F5" s="12"/>
      <c r="G5" s="8" t="s">
        <v>0</v>
      </c>
      <c r="H5" s="8" t="s">
        <v>0</v>
      </c>
      <c r="I5" s="8" t="s">
        <v>0</v>
      </c>
    </row>
    <row r="6" spans="1:9" ht="18">
      <c r="A6" s="3"/>
      <c r="B6" s="3"/>
      <c r="C6" s="8"/>
      <c r="D6" s="8"/>
      <c r="E6" s="8"/>
      <c r="F6" s="12"/>
      <c r="G6" s="8"/>
      <c r="H6" s="8"/>
      <c r="I6" s="8"/>
    </row>
    <row r="7" spans="1:9" ht="18">
      <c r="A7" s="4" t="s">
        <v>5</v>
      </c>
      <c r="B7" s="4"/>
      <c r="C7" s="9">
        <v>2000000</v>
      </c>
      <c r="D7" s="9">
        <f>C7/2</f>
        <v>1000000</v>
      </c>
      <c r="E7" s="9"/>
      <c r="F7" s="12"/>
      <c r="G7" s="14">
        <f>+C7+E7-H7-I7</f>
        <v>2000000</v>
      </c>
      <c r="H7" s="14"/>
      <c r="I7" s="14"/>
    </row>
    <row r="8" spans="1:9" ht="18">
      <c r="A8" s="4" t="s">
        <v>6</v>
      </c>
      <c r="B8" s="4"/>
      <c r="C8" s="9">
        <v>1600000</v>
      </c>
      <c r="D8" s="9">
        <f t="shared" ref="D8:D19" si="0">C8/2</f>
        <v>800000</v>
      </c>
      <c r="E8" s="9"/>
      <c r="F8" s="12"/>
      <c r="G8" s="14">
        <f t="shared" ref="G8:G19" si="1">+C8+E8-H8-I8</f>
        <v>1600000</v>
      </c>
      <c r="H8" s="14"/>
      <c r="I8" s="14"/>
    </row>
    <row r="9" spans="1:9" ht="18">
      <c r="A9" s="4" t="s">
        <v>7</v>
      </c>
      <c r="B9" s="4"/>
      <c r="C9" s="9"/>
      <c r="D9" s="9">
        <f t="shared" si="0"/>
        <v>0</v>
      </c>
      <c r="E9" s="9">
        <v>1000000</v>
      </c>
      <c r="F9" s="12"/>
      <c r="G9" s="14">
        <f t="shared" si="1"/>
        <v>1000000</v>
      </c>
      <c r="H9" s="14"/>
      <c r="I9" s="14"/>
    </row>
    <row r="10" spans="1:9" ht="18">
      <c r="A10" s="4" t="s">
        <v>19</v>
      </c>
      <c r="B10" s="4"/>
      <c r="C10" s="9"/>
      <c r="D10" s="9">
        <f t="shared" si="0"/>
        <v>0</v>
      </c>
      <c r="E10" s="9">
        <v>800000</v>
      </c>
      <c r="F10" s="12"/>
      <c r="G10" s="14">
        <f t="shared" si="1"/>
        <v>800000</v>
      </c>
      <c r="H10" s="14"/>
      <c r="I10" s="14"/>
    </row>
    <row r="11" spans="1:9" ht="18">
      <c r="A11" s="4" t="s">
        <v>8</v>
      </c>
      <c r="B11" s="5"/>
      <c r="C11" s="9">
        <v>200000</v>
      </c>
      <c r="D11" s="9">
        <f t="shared" si="0"/>
        <v>100000</v>
      </c>
      <c r="E11" s="9"/>
      <c r="F11" s="12"/>
      <c r="G11" s="14">
        <f t="shared" si="1"/>
        <v>200000</v>
      </c>
      <c r="H11" s="14"/>
      <c r="I11" s="14"/>
    </row>
    <row r="12" spans="1:9" ht="18">
      <c r="A12" s="4" t="s">
        <v>9</v>
      </c>
      <c r="B12" s="4"/>
      <c r="C12" s="9">
        <v>600000</v>
      </c>
      <c r="D12" s="9">
        <f t="shared" si="0"/>
        <v>300000</v>
      </c>
      <c r="E12" s="9">
        <v>1000000</v>
      </c>
      <c r="F12" s="12"/>
      <c r="G12" s="14">
        <f t="shared" si="1"/>
        <v>1600000</v>
      </c>
      <c r="H12" s="14"/>
      <c r="I12" s="14"/>
    </row>
    <row r="13" spans="1:9" ht="18">
      <c r="A13" s="4" t="s">
        <v>10</v>
      </c>
      <c r="B13" s="4"/>
      <c r="C13" s="9"/>
      <c r="D13" s="9">
        <f t="shared" si="0"/>
        <v>0</v>
      </c>
      <c r="E13" s="9">
        <v>200000</v>
      </c>
      <c r="F13" s="12"/>
      <c r="G13" s="14">
        <f t="shared" si="1"/>
        <v>200000</v>
      </c>
      <c r="H13" s="14"/>
      <c r="I13" s="14"/>
    </row>
    <row r="14" spans="1:9" ht="18">
      <c r="A14" s="4" t="s">
        <v>20</v>
      </c>
      <c r="B14" s="4"/>
      <c r="C14" s="9">
        <v>200000</v>
      </c>
      <c r="D14" s="9">
        <f>C14/2</f>
        <v>100000</v>
      </c>
      <c r="E14" s="9"/>
      <c r="F14" s="12"/>
      <c r="G14" s="14">
        <f t="shared" si="1"/>
        <v>200000</v>
      </c>
      <c r="H14" s="14"/>
      <c r="I14" s="14"/>
    </row>
    <row r="15" spans="1:9" ht="18">
      <c r="A15" s="4" t="s">
        <v>11</v>
      </c>
      <c r="B15" s="4"/>
      <c r="C15" s="9">
        <v>1000000</v>
      </c>
      <c r="D15" s="9">
        <f t="shared" si="0"/>
        <v>500000</v>
      </c>
      <c r="E15" s="9"/>
      <c r="F15" s="12"/>
      <c r="G15" s="14">
        <f t="shared" si="1"/>
        <v>1000000</v>
      </c>
      <c r="H15" s="14"/>
      <c r="I15" s="14"/>
    </row>
    <row r="16" spans="1:9" ht="18">
      <c r="A16" s="4" t="s">
        <v>12</v>
      </c>
      <c r="B16" s="4"/>
      <c r="C16" s="9">
        <v>1200000</v>
      </c>
      <c r="D16" s="9">
        <f t="shared" si="0"/>
        <v>600000</v>
      </c>
      <c r="E16" s="9"/>
      <c r="F16" s="12"/>
      <c r="G16" s="14">
        <f t="shared" si="1"/>
        <v>1200000</v>
      </c>
      <c r="H16" s="14"/>
      <c r="I16" s="14"/>
    </row>
    <row r="17" spans="1:10" ht="18">
      <c r="A17" s="4" t="s">
        <v>14</v>
      </c>
      <c r="B17" s="4"/>
      <c r="C17" s="9">
        <v>800000</v>
      </c>
      <c r="D17" s="9">
        <f t="shared" si="0"/>
        <v>400000</v>
      </c>
      <c r="E17" s="9"/>
      <c r="F17" s="12"/>
      <c r="G17" s="14">
        <f t="shared" si="1"/>
        <v>800000</v>
      </c>
      <c r="H17" s="14"/>
      <c r="I17" s="14"/>
    </row>
    <row r="18" spans="1:10" ht="18">
      <c r="A18" s="4" t="s">
        <v>15</v>
      </c>
      <c r="B18" s="4"/>
      <c r="C18" s="9">
        <v>300000</v>
      </c>
      <c r="D18" s="9">
        <f t="shared" si="0"/>
        <v>150000</v>
      </c>
      <c r="E18" s="9"/>
      <c r="F18" s="12"/>
      <c r="G18" s="14">
        <f t="shared" si="1"/>
        <v>300000</v>
      </c>
      <c r="H18" s="14"/>
      <c r="I18" s="14"/>
    </row>
    <row r="19" spans="1:10" ht="18">
      <c r="A19" s="4" t="s">
        <v>13</v>
      </c>
      <c r="B19" s="4"/>
      <c r="C19" s="9">
        <v>100000</v>
      </c>
      <c r="D19" s="9">
        <f t="shared" si="0"/>
        <v>50000</v>
      </c>
      <c r="E19" s="9"/>
      <c r="F19" s="12"/>
      <c r="G19" s="14">
        <f t="shared" si="1"/>
        <v>100000</v>
      </c>
      <c r="H19" s="14"/>
      <c r="I19" s="14"/>
    </row>
    <row r="20" spans="1:10" ht="18.75" thickBot="1">
      <c r="A20" s="4"/>
      <c r="B20" s="4"/>
      <c r="C20" s="13"/>
      <c r="D20" s="13"/>
      <c r="E20" s="13"/>
      <c r="F20" s="12"/>
      <c r="G20" s="15"/>
      <c r="H20" s="15"/>
      <c r="I20" s="15"/>
    </row>
    <row r="21" spans="1:10" s="18" customFormat="1" ht="18">
      <c r="A21" s="1" t="s">
        <v>21</v>
      </c>
      <c r="B21" s="1"/>
      <c r="C21" s="16">
        <f>SUM(C7:C20)</f>
        <v>8000000</v>
      </c>
      <c r="D21" s="16">
        <f>SUM(D7:D20)</f>
        <v>4000000</v>
      </c>
      <c r="E21" s="16">
        <f>SUM(E7:E20)</f>
        <v>3000000</v>
      </c>
      <c r="F21" s="17"/>
      <c r="G21" s="19">
        <f>SUM(G6:G19)</f>
        <v>11000000</v>
      </c>
      <c r="H21" s="19">
        <f>SUM(H6:H19)</f>
        <v>0</v>
      </c>
      <c r="I21" s="19">
        <f>SUM(I6:I19)</f>
        <v>0</v>
      </c>
      <c r="J21" s="23">
        <f>SUM(G21:I21)</f>
        <v>11000000</v>
      </c>
    </row>
    <row r="22" spans="1:10" ht="18">
      <c r="A22" s="21" t="s">
        <v>26</v>
      </c>
      <c r="B22" s="4"/>
      <c r="F22" s="12">
        <v>4000000</v>
      </c>
      <c r="G22" s="20">
        <v>4000000</v>
      </c>
      <c r="H22" s="20">
        <v>5000000</v>
      </c>
      <c r="I22" s="20">
        <v>2000000</v>
      </c>
      <c r="J22" s="23">
        <f>SUM(G22:I22)</f>
        <v>11000000</v>
      </c>
    </row>
    <row r="23" spans="1:10" ht="18">
      <c r="A23" s="4"/>
      <c r="B23" s="4"/>
      <c r="D23" s="25" t="s">
        <v>29</v>
      </c>
      <c r="E23" s="26"/>
      <c r="F23" s="26"/>
      <c r="G23" s="27">
        <f>+G21-G22</f>
        <v>7000000</v>
      </c>
      <c r="H23" s="27">
        <f>+H21-H22</f>
        <v>-5000000</v>
      </c>
      <c r="I23" s="27">
        <f>+I21-I22</f>
        <v>-2000000</v>
      </c>
      <c r="J23" s="23">
        <f>SUM(G23:I23)</f>
        <v>0</v>
      </c>
    </row>
    <row r="24" spans="1:10" ht="18">
      <c r="A24" s="4"/>
      <c r="B24" s="4"/>
      <c r="D24" s="25"/>
      <c r="E24" s="26"/>
      <c r="F24" s="26"/>
      <c r="G24" s="27"/>
      <c r="H24" s="27"/>
      <c r="I24" s="27"/>
      <c r="J24" s="23"/>
    </row>
    <row r="25" spans="1:10" ht="13.5" thickBot="1">
      <c r="A25" s="10"/>
    </row>
    <row r="26" spans="1:10" s="24" customFormat="1" ht="19.5" thickBot="1">
      <c r="A26" s="28" t="s">
        <v>30</v>
      </c>
      <c r="B26" s="29"/>
      <c r="C26" s="30">
        <f>SUM(C15:C18)+C12+C11+C13</f>
        <v>4100000</v>
      </c>
      <c r="D26" s="30"/>
      <c r="E26" s="30">
        <f>SUM(E15:E18)+E12+E11+E13</f>
        <v>1200000</v>
      </c>
      <c r="F26" s="29"/>
      <c r="G26" s="31">
        <f>+G11+G12+G13+G15+G16+G17+G18</f>
        <v>5300000</v>
      </c>
    </row>
    <row r="27" spans="1:10" ht="18">
      <c r="A27" s="4"/>
      <c r="C27" s="11"/>
      <c r="D27" s="11"/>
      <c r="E27" s="11"/>
      <c r="G27" s="11"/>
    </row>
    <row r="28" spans="1:10" ht="18">
      <c r="A28" s="4"/>
      <c r="C28" s="11"/>
      <c r="D28" s="11"/>
      <c r="E28" s="11"/>
      <c r="G28" s="11"/>
    </row>
    <row r="29" spans="1:10" ht="18">
      <c r="A29" s="4"/>
      <c r="C29" s="11"/>
      <c r="D29" s="11"/>
      <c r="E29" s="11"/>
      <c r="G29" s="11"/>
    </row>
  </sheetData>
  <pageMargins left="0.25" right="0.25" top="1" bottom="1" header="0.5" footer="0.5"/>
  <pageSetup scale="95" orientation="landscape" r:id="rId1"/>
  <headerFooter alignWithMargins="0">
    <oddFooter>&amp;C&amp;"Arial,Bold"&amp;14Large Estate Case Study</oddFooter>
  </headerFooter>
  <drawing r:id="rId2"/>
</worksheet>
</file>

<file path=xl/worksheets/sheet2.xml><?xml version="1.0" encoding="utf-8"?>
<worksheet xmlns="http://schemas.openxmlformats.org/spreadsheetml/2006/main" xmlns:r="http://schemas.openxmlformats.org/officeDocument/2006/relationships">
  <sheetPr>
    <pageSetUpPr fitToPage="1"/>
  </sheetPr>
  <dimension ref="A1:J29"/>
  <sheetViews>
    <sheetView topLeftCell="A3" zoomScale="124" zoomScaleNormal="124" workbookViewId="0">
      <pane ySplit="3" topLeftCell="A34" activePane="bottomLeft" state="frozen"/>
      <selection activeCell="A3" sqref="A3"/>
      <selection pane="bottomLeft" activeCell="A7" sqref="A7"/>
    </sheetView>
  </sheetViews>
  <sheetFormatPr defaultRowHeight="12.75"/>
  <cols>
    <col min="1" max="1" width="42.7109375" bestFit="1" customWidth="1"/>
    <col min="2" max="2" width="0.42578125" customWidth="1"/>
    <col min="3" max="5" width="16.28515625" customWidth="1"/>
    <col min="6" max="6" width="0.7109375" customWidth="1"/>
    <col min="7" max="9" width="16" customWidth="1"/>
    <col min="10" max="10" width="16.140625" customWidth="1"/>
    <col min="257" max="257" width="42.7109375" bestFit="1" customWidth="1"/>
    <col min="258" max="258" width="1.5703125" customWidth="1"/>
    <col min="259" max="260" width="15.5703125" customWidth="1"/>
    <col min="261" max="261" width="18.5703125" customWidth="1"/>
    <col min="262" max="262" width="7.7109375" customWidth="1"/>
    <col min="263" max="265" width="16.42578125" customWidth="1"/>
    <col min="513" max="513" width="42.7109375" bestFit="1" customWidth="1"/>
    <col min="514" max="514" width="1.5703125" customWidth="1"/>
    <col min="515" max="516" width="15.5703125" customWidth="1"/>
    <col min="517" max="517" width="18.5703125" customWidth="1"/>
    <col min="518" max="518" width="7.7109375" customWidth="1"/>
    <col min="519" max="521" width="16.42578125" customWidth="1"/>
    <col min="769" max="769" width="42.7109375" bestFit="1" customWidth="1"/>
    <col min="770" max="770" width="1.5703125" customWidth="1"/>
    <col min="771" max="772" width="15.5703125" customWidth="1"/>
    <col min="773" max="773" width="18.5703125" customWidth="1"/>
    <col min="774" max="774" width="7.7109375" customWidth="1"/>
    <col min="775" max="777" width="16.42578125" customWidth="1"/>
    <col min="1025" max="1025" width="42.7109375" bestFit="1" customWidth="1"/>
    <col min="1026" max="1026" width="1.5703125" customWidth="1"/>
    <col min="1027" max="1028" width="15.5703125" customWidth="1"/>
    <col min="1029" max="1029" width="18.5703125" customWidth="1"/>
    <col min="1030" max="1030" width="7.7109375" customWidth="1"/>
    <col min="1031" max="1033" width="16.42578125" customWidth="1"/>
    <col min="1281" max="1281" width="42.7109375" bestFit="1" customWidth="1"/>
    <col min="1282" max="1282" width="1.5703125" customWidth="1"/>
    <col min="1283" max="1284" width="15.5703125" customWidth="1"/>
    <col min="1285" max="1285" width="18.5703125" customWidth="1"/>
    <col min="1286" max="1286" width="7.7109375" customWidth="1"/>
    <col min="1287" max="1289" width="16.42578125" customWidth="1"/>
    <col min="1537" max="1537" width="42.7109375" bestFit="1" customWidth="1"/>
    <col min="1538" max="1538" width="1.5703125" customWidth="1"/>
    <col min="1539" max="1540" width="15.5703125" customWidth="1"/>
    <col min="1541" max="1541" width="18.5703125" customWidth="1"/>
    <col min="1542" max="1542" width="7.7109375" customWidth="1"/>
    <col min="1543" max="1545" width="16.42578125" customWidth="1"/>
    <col min="1793" max="1793" width="42.7109375" bestFit="1" customWidth="1"/>
    <col min="1794" max="1794" width="1.5703125" customWidth="1"/>
    <col min="1795" max="1796" width="15.5703125" customWidth="1"/>
    <col min="1797" max="1797" width="18.5703125" customWidth="1"/>
    <col min="1798" max="1798" width="7.7109375" customWidth="1"/>
    <col min="1799" max="1801" width="16.42578125" customWidth="1"/>
    <col min="2049" max="2049" width="42.7109375" bestFit="1" customWidth="1"/>
    <col min="2050" max="2050" width="1.5703125" customWidth="1"/>
    <col min="2051" max="2052" width="15.5703125" customWidth="1"/>
    <col min="2053" max="2053" width="18.5703125" customWidth="1"/>
    <col min="2054" max="2054" width="7.7109375" customWidth="1"/>
    <col min="2055" max="2057" width="16.42578125" customWidth="1"/>
    <col min="2305" max="2305" width="42.7109375" bestFit="1" customWidth="1"/>
    <col min="2306" max="2306" width="1.5703125" customWidth="1"/>
    <col min="2307" max="2308" width="15.5703125" customWidth="1"/>
    <col min="2309" max="2309" width="18.5703125" customWidth="1"/>
    <col min="2310" max="2310" width="7.7109375" customWidth="1"/>
    <col min="2311" max="2313" width="16.42578125" customWidth="1"/>
    <col min="2561" max="2561" width="42.7109375" bestFit="1" customWidth="1"/>
    <col min="2562" max="2562" width="1.5703125" customWidth="1"/>
    <col min="2563" max="2564" width="15.5703125" customWidth="1"/>
    <col min="2565" max="2565" width="18.5703125" customWidth="1"/>
    <col min="2566" max="2566" width="7.7109375" customWidth="1"/>
    <col min="2567" max="2569" width="16.42578125" customWidth="1"/>
    <col min="2817" max="2817" width="42.7109375" bestFit="1" customWidth="1"/>
    <col min="2818" max="2818" width="1.5703125" customWidth="1"/>
    <col min="2819" max="2820" width="15.5703125" customWidth="1"/>
    <col min="2821" max="2821" width="18.5703125" customWidth="1"/>
    <col min="2822" max="2822" width="7.7109375" customWidth="1"/>
    <col min="2823" max="2825" width="16.42578125" customWidth="1"/>
    <col min="3073" max="3073" width="42.7109375" bestFit="1" customWidth="1"/>
    <col min="3074" max="3074" width="1.5703125" customWidth="1"/>
    <col min="3075" max="3076" width="15.5703125" customWidth="1"/>
    <col min="3077" max="3077" width="18.5703125" customWidth="1"/>
    <col min="3078" max="3078" width="7.7109375" customWidth="1"/>
    <col min="3079" max="3081" width="16.42578125" customWidth="1"/>
    <col min="3329" max="3329" width="42.7109375" bestFit="1" customWidth="1"/>
    <col min="3330" max="3330" width="1.5703125" customWidth="1"/>
    <col min="3331" max="3332" width="15.5703125" customWidth="1"/>
    <col min="3333" max="3333" width="18.5703125" customWidth="1"/>
    <col min="3334" max="3334" width="7.7109375" customWidth="1"/>
    <col min="3335" max="3337" width="16.42578125" customWidth="1"/>
    <col min="3585" max="3585" width="42.7109375" bestFit="1" customWidth="1"/>
    <col min="3586" max="3586" width="1.5703125" customWidth="1"/>
    <col min="3587" max="3588" width="15.5703125" customWidth="1"/>
    <col min="3589" max="3589" width="18.5703125" customWidth="1"/>
    <col min="3590" max="3590" width="7.7109375" customWidth="1"/>
    <col min="3591" max="3593" width="16.42578125" customWidth="1"/>
    <col min="3841" max="3841" width="42.7109375" bestFit="1" customWidth="1"/>
    <col min="3842" max="3842" width="1.5703125" customWidth="1"/>
    <col min="3843" max="3844" width="15.5703125" customWidth="1"/>
    <col min="3845" max="3845" width="18.5703125" customWidth="1"/>
    <col min="3846" max="3846" width="7.7109375" customWidth="1"/>
    <col min="3847" max="3849" width="16.42578125" customWidth="1"/>
    <col min="4097" max="4097" width="42.7109375" bestFit="1" customWidth="1"/>
    <col min="4098" max="4098" width="1.5703125" customWidth="1"/>
    <col min="4099" max="4100" width="15.5703125" customWidth="1"/>
    <col min="4101" max="4101" width="18.5703125" customWidth="1"/>
    <col min="4102" max="4102" width="7.7109375" customWidth="1"/>
    <col min="4103" max="4105" width="16.42578125" customWidth="1"/>
    <col min="4353" max="4353" width="42.7109375" bestFit="1" customWidth="1"/>
    <col min="4354" max="4354" width="1.5703125" customWidth="1"/>
    <col min="4355" max="4356" width="15.5703125" customWidth="1"/>
    <col min="4357" max="4357" width="18.5703125" customWidth="1"/>
    <col min="4358" max="4358" width="7.7109375" customWidth="1"/>
    <col min="4359" max="4361" width="16.42578125" customWidth="1"/>
    <col min="4609" max="4609" width="42.7109375" bestFit="1" customWidth="1"/>
    <col min="4610" max="4610" width="1.5703125" customWidth="1"/>
    <col min="4611" max="4612" width="15.5703125" customWidth="1"/>
    <col min="4613" max="4613" width="18.5703125" customWidth="1"/>
    <col min="4614" max="4614" width="7.7109375" customWidth="1"/>
    <col min="4615" max="4617" width="16.42578125" customWidth="1"/>
    <col min="4865" max="4865" width="42.7109375" bestFit="1" customWidth="1"/>
    <col min="4866" max="4866" width="1.5703125" customWidth="1"/>
    <col min="4867" max="4868" width="15.5703125" customWidth="1"/>
    <col min="4869" max="4869" width="18.5703125" customWidth="1"/>
    <col min="4870" max="4870" width="7.7109375" customWidth="1"/>
    <col min="4871" max="4873" width="16.42578125" customWidth="1"/>
    <col min="5121" max="5121" width="42.7109375" bestFit="1" customWidth="1"/>
    <col min="5122" max="5122" width="1.5703125" customWidth="1"/>
    <col min="5123" max="5124" width="15.5703125" customWidth="1"/>
    <col min="5125" max="5125" width="18.5703125" customWidth="1"/>
    <col min="5126" max="5126" width="7.7109375" customWidth="1"/>
    <col min="5127" max="5129" width="16.42578125" customWidth="1"/>
    <col min="5377" max="5377" width="42.7109375" bestFit="1" customWidth="1"/>
    <col min="5378" max="5378" width="1.5703125" customWidth="1"/>
    <col min="5379" max="5380" width="15.5703125" customWidth="1"/>
    <col min="5381" max="5381" width="18.5703125" customWidth="1"/>
    <col min="5382" max="5382" width="7.7109375" customWidth="1"/>
    <col min="5383" max="5385" width="16.42578125" customWidth="1"/>
    <col min="5633" max="5633" width="42.7109375" bestFit="1" customWidth="1"/>
    <col min="5634" max="5634" width="1.5703125" customWidth="1"/>
    <col min="5635" max="5636" width="15.5703125" customWidth="1"/>
    <col min="5637" max="5637" width="18.5703125" customWidth="1"/>
    <col min="5638" max="5638" width="7.7109375" customWidth="1"/>
    <col min="5639" max="5641" width="16.42578125" customWidth="1"/>
    <col min="5889" max="5889" width="42.7109375" bestFit="1" customWidth="1"/>
    <col min="5890" max="5890" width="1.5703125" customWidth="1"/>
    <col min="5891" max="5892" width="15.5703125" customWidth="1"/>
    <col min="5893" max="5893" width="18.5703125" customWidth="1"/>
    <col min="5894" max="5894" width="7.7109375" customWidth="1"/>
    <col min="5895" max="5897" width="16.42578125" customWidth="1"/>
    <col min="6145" max="6145" width="42.7109375" bestFit="1" customWidth="1"/>
    <col min="6146" max="6146" width="1.5703125" customWidth="1"/>
    <col min="6147" max="6148" width="15.5703125" customWidth="1"/>
    <col min="6149" max="6149" width="18.5703125" customWidth="1"/>
    <col min="6150" max="6150" width="7.7109375" customWidth="1"/>
    <col min="6151" max="6153" width="16.42578125" customWidth="1"/>
    <col min="6401" max="6401" width="42.7109375" bestFit="1" customWidth="1"/>
    <col min="6402" max="6402" width="1.5703125" customWidth="1"/>
    <col min="6403" max="6404" width="15.5703125" customWidth="1"/>
    <col min="6405" max="6405" width="18.5703125" customWidth="1"/>
    <col min="6406" max="6406" width="7.7109375" customWidth="1"/>
    <col min="6407" max="6409" width="16.42578125" customWidth="1"/>
    <col min="6657" max="6657" width="42.7109375" bestFit="1" customWidth="1"/>
    <col min="6658" max="6658" width="1.5703125" customWidth="1"/>
    <col min="6659" max="6660" width="15.5703125" customWidth="1"/>
    <col min="6661" max="6661" width="18.5703125" customWidth="1"/>
    <col min="6662" max="6662" width="7.7109375" customWidth="1"/>
    <col min="6663" max="6665" width="16.42578125" customWidth="1"/>
    <col min="6913" max="6913" width="42.7109375" bestFit="1" customWidth="1"/>
    <col min="6914" max="6914" width="1.5703125" customWidth="1"/>
    <col min="6915" max="6916" width="15.5703125" customWidth="1"/>
    <col min="6917" max="6917" width="18.5703125" customWidth="1"/>
    <col min="6918" max="6918" width="7.7109375" customWidth="1"/>
    <col min="6919" max="6921" width="16.42578125" customWidth="1"/>
    <col min="7169" max="7169" width="42.7109375" bestFit="1" customWidth="1"/>
    <col min="7170" max="7170" width="1.5703125" customWidth="1"/>
    <col min="7171" max="7172" width="15.5703125" customWidth="1"/>
    <col min="7173" max="7173" width="18.5703125" customWidth="1"/>
    <col min="7174" max="7174" width="7.7109375" customWidth="1"/>
    <col min="7175" max="7177" width="16.42578125" customWidth="1"/>
    <col min="7425" max="7425" width="42.7109375" bestFit="1" customWidth="1"/>
    <col min="7426" max="7426" width="1.5703125" customWidth="1"/>
    <col min="7427" max="7428" width="15.5703125" customWidth="1"/>
    <col min="7429" max="7429" width="18.5703125" customWidth="1"/>
    <col min="7430" max="7430" width="7.7109375" customWidth="1"/>
    <col min="7431" max="7433" width="16.42578125" customWidth="1"/>
    <col min="7681" max="7681" width="42.7109375" bestFit="1" customWidth="1"/>
    <col min="7682" max="7682" width="1.5703125" customWidth="1"/>
    <col min="7683" max="7684" width="15.5703125" customWidth="1"/>
    <col min="7685" max="7685" width="18.5703125" customWidth="1"/>
    <col min="7686" max="7686" width="7.7109375" customWidth="1"/>
    <col min="7687" max="7689" width="16.42578125" customWidth="1"/>
    <col min="7937" max="7937" width="42.7109375" bestFit="1" customWidth="1"/>
    <col min="7938" max="7938" width="1.5703125" customWidth="1"/>
    <col min="7939" max="7940" width="15.5703125" customWidth="1"/>
    <col min="7941" max="7941" width="18.5703125" customWidth="1"/>
    <col min="7942" max="7942" width="7.7109375" customWidth="1"/>
    <col min="7943" max="7945" width="16.42578125" customWidth="1"/>
    <col min="8193" max="8193" width="42.7109375" bestFit="1" customWidth="1"/>
    <col min="8194" max="8194" width="1.5703125" customWidth="1"/>
    <col min="8195" max="8196" width="15.5703125" customWidth="1"/>
    <col min="8197" max="8197" width="18.5703125" customWidth="1"/>
    <col min="8198" max="8198" width="7.7109375" customWidth="1"/>
    <col min="8199" max="8201" width="16.42578125" customWidth="1"/>
    <col min="8449" max="8449" width="42.7109375" bestFit="1" customWidth="1"/>
    <col min="8450" max="8450" width="1.5703125" customWidth="1"/>
    <col min="8451" max="8452" width="15.5703125" customWidth="1"/>
    <col min="8453" max="8453" width="18.5703125" customWidth="1"/>
    <col min="8454" max="8454" width="7.7109375" customWidth="1"/>
    <col min="8455" max="8457" width="16.42578125" customWidth="1"/>
    <col min="8705" max="8705" width="42.7109375" bestFit="1" customWidth="1"/>
    <col min="8706" max="8706" width="1.5703125" customWidth="1"/>
    <col min="8707" max="8708" width="15.5703125" customWidth="1"/>
    <col min="8709" max="8709" width="18.5703125" customWidth="1"/>
    <col min="8710" max="8710" width="7.7109375" customWidth="1"/>
    <col min="8711" max="8713" width="16.42578125" customWidth="1"/>
    <col min="8961" max="8961" width="42.7109375" bestFit="1" customWidth="1"/>
    <col min="8962" max="8962" width="1.5703125" customWidth="1"/>
    <col min="8963" max="8964" width="15.5703125" customWidth="1"/>
    <col min="8965" max="8965" width="18.5703125" customWidth="1"/>
    <col min="8966" max="8966" width="7.7109375" customWidth="1"/>
    <col min="8967" max="8969" width="16.42578125" customWidth="1"/>
    <col min="9217" max="9217" width="42.7109375" bestFit="1" customWidth="1"/>
    <col min="9218" max="9218" width="1.5703125" customWidth="1"/>
    <col min="9219" max="9220" width="15.5703125" customWidth="1"/>
    <col min="9221" max="9221" width="18.5703125" customWidth="1"/>
    <col min="9222" max="9222" width="7.7109375" customWidth="1"/>
    <col min="9223" max="9225" width="16.42578125" customWidth="1"/>
    <col min="9473" max="9473" width="42.7109375" bestFit="1" customWidth="1"/>
    <col min="9474" max="9474" width="1.5703125" customWidth="1"/>
    <col min="9475" max="9476" width="15.5703125" customWidth="1"/>
    <col min="9477" max="9477" width="18.5703125" customWidth="1"/>
    <col min="9478" max="9478" width="7.7109375" customWidth="1"/>
    <col min="9479" max="9481" width="16.42578125" customWidth="1"/>
    <col min="9729" max="9729" width="42.7109375" bestFit="1" customWidth="1"/>
    <col min="9730" max="9730" width="1.5703125" customWidth="1"/>
    <col min="9731" max="9732" width="15.5703125" customWidth="1"/>
    <col min="9733" max="9733" width="18.5703125" customWidth="1"/>
    <col min="9734" max="9734" width="7.7109375" customWidth="1"/>
    <col min="9735" max="9737" width="16.42578125" customWidth="1"/>
    <col min="9985" max="9985" width="42.7109375" bestFit="1" customWidth="1"/>
    <col min="9986" max="9986" width="1.5703125" customWidth="1"/>
    <col min="9987" max="9988" width="15.5703125" customWidth="1"/>
    <col min="9989" max="9989" width="18.5703125" customWidth="1"/>
    <col min="9990" max="9990" width="7.7109375" customWidth="1"/>
    <col min="9991" max="9993" width="16.42578125" customWidth="1"/>
    <col min="10241" max="10241" width="42.7109375" bestFit="1" customWidth="1"/>
    <col min="10242" max="10242" width="1.5703125" customWidth="1"/>
    <col min="10243" max="10244" width="15.5703125" customWidth="1"/>
    <col min="10245" max="10245" width="18.5703125" customWidth="1"/>
    <col min="10246" max="10246" width="7.7109375" customWidth="1"/>
    <col min="10247" max="10249" width="16.42578125" customWidth="1"/>
    <col min="10497" max="10497" width="42.7109375" bestFit="1" customWidth="1"/>
    <col min="10498" max="10498" width="1.5703125" customWidth="1"/>
    <col min="10499" max="10500" width="15.5703125" customWidth="1"/>
    <col min="10501" max="10501" width="18.5703125" customWidth="1"/>
    <col min="10502" max="10502" width="7.7109375" customWidth="1"/>
    <col min="10503" max="10505" width="16.42578125" customWidth="1"/>
    <col min="10753" max="10753" width="42.7109375" bestFit="1" customWidth="1"/>
    <col min="10754" max="10754" width="1.5703125" customWidth="1"/>
    <col min="10755" max="10756" width="15.5703125" customWidth="1"/>
    <col min="10757" max="10757" width="18.5703125" customWidth="1"/>
    <col min="10758" max="10758" width="7.7109375" customWidth="1"/>
    <col min="10759" max="10761" width="16.42578125" customWidth="1"/>
    <col min="11009" max="11009" width="42.7109375" bestFit="1" customWidth="1"/>
    <col min="11010" max="11010" width="1.5703125" customWidth="1"/>
    <col min="11011" max="11012" width="15.5703125" customWidth="1"/>
    <col min="11013" max="11013" width="18.5703125" customWidth="1"/>
    <col min="11014" max="11014" width="7.7109375" customWidth="1"/>
    <col min="11015" max="11017" width="16.42578125" customWidth="1"/>
    <col min="11265" max="11265" width="42.7109375" bestFit="1" customWidth="1"/>
    <col min="11266" max="11266" width="1.5703125" customWidth="1"/>
    <col min="11267" max="11268" width="15.5703125" customWidth="1"/>
    <col min="11269" max="11269" width="18.5703125" customWidth="1"/>
    <col min="11270" max="11270" width="7.7109375" customWidth="1"/>
    <col min="11271" max="11273" width="16.42578125" customWidth="1"/>
    <col min="11521" max="11521" width="42.7109375" bestFit="1" customWidth="1"/>
    <col min="11522" max="11522" width="1.5703125" customWidth="1"/>
    <col min="11523" max="11524" width="15.5703125" customWidth="1"/>
    <col min="11525" max="11525" width="18.5703125" customWidth="1"/>
    <col min="11526" max="11526" width="7.7109375" customWidth="1"/>
    <col min="11527" max="11529" width="16.42578125" customWidth="1"/>
    <col min="11777" max="11777" width="42.7109375" bestFit="1" customWidth="1"/>
    <col min="11778" max="11778" width="1.5703125" customWidth="1"/>
    <col min="11779" max="11780" width="15.5703125" customWidth="1"/>
    <col min="11781" max="11781" width="18.5703125" customWidth="1"/>
    <col min="11782" max="11782" width="7.7109375" customWidth="1"/>
    <col min="11783" max="11785" width="16.42578125" customWidth="1"/>
    <col min="12033" max="12033" width="42.7109375" bestFit="1" customWidth="1"/>
    <col min="12034" max="12034" width="1.5703125" customWidth="1"/>
    <col min="12035" max="12036" width="15.5703125" customWidth="1"/>
    <col min="12037" max="12037" width="18.5703125" customWidth="1"/>
    <col min="12038" max="12038" width="7.7109375" customWidth="1"/>
    <col min="12039" max="12041" width="16.42578125" customWidth="1"/>
    <col min="12289" max="12289" width="42.7109375" bestFit="1" customWidth="1"/>
    <col min="12290" max="12290" width="1.5703125" customWidth="1"/>
    <col min="12291" max="12292" width="15.5703125" customWidth="1"/>
    <col min="12293" max="12293" width="18.5703125" customWidth="1"/>
    <col min="12294" max="12294" width="7.7109375" customWidth="1"/>
    <col min="12295" max="12297" width="16.42578125" customWidth="1"/>
    <col min="12545" max="12545" width="42.7109375" bestFit="1" customWidth="1"/>
    <col min="12546" max="12546" width="1.5703125" customWidth="1"/>
    <col min="12547" max="12548" width="15.5703125" customWidth="1"/>
    <col min="12549" max="12549" width="18.5703125" customWidth="1"/>
    <col min="12550" max="12550" width="7.7109375" customWidth="1"/>
    <col min="12551" max="12553" width="16.42578125" customWidth="1"/>
    <col min="12801" max="12801" width="42.7109375" bestFit="1" customWidth="1"/>
    <col min="12802" max="12802" width="1.5703125" customWidth="1"/>
    <col min="12803" max="12804" width="15.5703125" customWidth="1"/>
    <col min="12805" max="12805" width="18.5703125" customWidth="1"/>
    <col min="12806" max="12806" width="7.7109375" customWidth="1"/>
    <col min="12807" max="12809" width="16.42578125" customWidth="1"/>
    <col min="13057" max="13057" width="42.7109375" bestFit="1" customWidth="1"/>
    <col min="13058" max="13058" width="1.5703125" customWidth="1"/>
    <col min="13059" max="13060" width="15.5703125" customWidth="1"/>
    <col min="13061" max="13061" width="18.5703125" customWidth="1"/>
    <col min="13062" max="13062" width="7.7109375" customWidth="1"/>
    <col min="13063" max="13065" width="16.42578125" customWidth="1"/>
    <col min="13313" max="13313" width="42.7109375" bestFit="1" customWidth="1"/>
    <col min="13314" max="13314" width="1.5703125" customWidth="1"/>
    <col min="13315" max="13316" width="15.5703125" customWidth="1"/>
    <col min="13317" max="13317" width="18.5703125" customWidth="1"/>
    <col min="13318" max="13318" width="7.7109375" customWidth="1"/>
    <col min="13319" max="13321" width="16.42578125" customWidth="1"/>
    <col min="13569" max="13569" width="42.7109375" bestFit="1" customWidth="1"/>
    <col min="13570" max="13570" width="1.5703125" customWidth="1"/>
    <col min="13571" max="13572" width="15.5703125" customWidth="1"/>
    <col min="13573" max="13573" width="18.5703125" customWidth="1"/>
    <col min="13574" max="13574" width="7.7109375" customWidth="1"/>
    <col min="13575" max="13577" width="16.42578125" customWidth="1"/>
    <col min="13825" max="13825" width="42.7109375" bestFit="1" customWidth="1"/>
    <col min="13826" max="13826" width="1.5703125" customWidth="1"/>
    <col min="13827" max="13828" width="15.5703125" customWidth="1"/>
    <col min="13829" max="13829" width="18.5703125" customWidth="1"/>
    <col min="13830" max="13830" width="7.7109375" customWidth="1"/>
    <col min="13831" max="13833" width="16.42578125" customWidth="1"/>
    <col min="14081" max="14081" width="42.7109375" bestFit="1" customWidth="1"/>
    <col min="14082" max="14082" width="1.5703125" customWidth="1"/>
    <col min="14083" max="14084" width="15.5703125" customWidth="1"/>
    <col min="14085" max="14085" width="18.5703125" customWidth="1"/>
    <col min="14086" max="14086" width="7.7109375" customWidth="1"/>
    <col min="14087" max="14089" width="16.42578125" customWidth="1"/>
    <col min="14337" max="14337" width="42.7109375" bestFit="1" customWidth="1"/>
    <col min="14338" max="14338" width="1.5703125" customWidth="1"/>
    <col min="14339" max="14340" width="15.5703125" customWidth="1"/>
    <col min="14341" max="14341" width="18.5703125" customWidth="1"/>
    <col min="14342" max="14342" width="7.7109375" customWidth="1"/>
    <col min="14343" max="14345" width="16.42578125" customWidth="1"/>
    <col min="14593" max="14593" width="42.7109375" bestFit="1" customWidth="1"/>
    <col min="14594" max="14594" width="1.5703125" customWidth="1"/>
    <col min="14595" max="14596" width="15.5703125" customWidth="1"/>
    <col min="14597" max="14597" width="18.5703125" customWidth="1"/>
    <col min="14598" max="14598" width="7.7109375" customWidth="1"/>
    <col min="14599" max="14601" width="16.42578125" customWidth="1"/>
    <col min="14849" max="14849" width="42.7109375" bestFit="1" customWidth="1"/>
    <col min="14850" max="14850" width="1.5703125" customWidth="1"/>
    <col min="14851" max="14852" width="15.5703125" customWidth="1"/>
    <col min="14853" max="14853" width="18.5703125" customWidth="1"/>
    <col min="14854" max="14854" width="7.7109375" customWidth="1"/>
    <col min="14855" max="14857" width="16.42578125" customWidth="1"/>
    <col min="15105" max="15105" width="42.7109375" bestFit="1" customWidth="1"/>
    <col min="15106" max="15106" width="1.5703125" customWidth="1"/>
    <col min="15107" max="15108" width="15.5703125" customWidth="1"/>
    <col min="15109" max="15109" width="18.5703125" customWidth="1"/>
    <col min="15110" max="15110" width="7.7109375" customWidth="1"/>
    <col min="15111" max="15113" width="16.42578125" customWidth="1"/>
    <col min="15361" max="15361" width="42.7109375" bestFit="1" customWidth="1"/>
    <col min="15362" max="15362" width="1.5703125" customWidth="1"/>
    <col min="15363" max="15364" width="15.5703125" customWidth="1"/>
    <col min="15365" max="15365" width="18.5703125" customWidth="1"/>
    <col min="15366" max="15366" width="7.7109375" customWidth="1"/>
    <col min="15367" max="15369" width="16.42578125" customWidth="1"/>
    <col min="15617" max="15617" width="42.7109375" bestFit="1" customWidth="1"/>
    <col min="15618" max="15618" width="1.5703125" customWidth="1"/>
    <col min="15619" max="15620" width="15.5703125" customWidth="1"/>
    <col min="15621" max="15621" width="18.5703125" customWidth="1"/>
    <col min="15622" max="15622" width="7.7109375" customWidth="1"/>
    <col min="15623" max="15625" width="16.42578125" customWidth="1"/>
    <col min="15873" max="15873" width="42.7109375" bestFit="1" customWidth="1"/>
    <col min="15874" max="15874" width="1.5703125" customWidth="1"/>
    <col min="15875" max="15876" width="15.5703125" customWidth="1"/>
    <col min="15877" max="15877" width="18.5703125" customWidth="1"/>
    <col min="15878" max="15878" width="7.7109375" customWidth="1"/>
    <col min="15879" max="15881" width="16.42578125" customWidth="1"/>
    <col min="16129" max="16129" width="42.7109375" bestFit="1" customWidth="1"/>
    <col min="16130" max="16130" width="1.5703125" customWidth="1"/>
    <col min="16131" max="16132" width="15.5703125" customWidth="1"/>
    <col min="16133" max="16133" width="18.5703125" customWidth="1"/>
    <col min="16134" max="16134" width="7.7109375" customWidth="1"/>
    <col min="16135" max="16137" width="16.42578125" customWidth="1"/>
  </cols>
  <sheetData>
    <row r="1" spans="1:9" ht="18">
      <c r="A1" s="6" t="s">
        <v>23</v>
      </c>
      <c r="B1" s="3"/>
      <c r="F1" s="12"/>
    </row>
    <row r="2" spans="1:9" ht="18">
      <c r="A2" s="1" t="s">
        <v>22</v>
      </c>
      <c r="B2" s="1"/>
      <c r="F2" s="12"/>
    </row>
    <row r="3" spans="1:9" ht="18">
      <c r="A3" s="1"/>
      <c r="B3" s="1"/>
      <c r="F3" s="12"/>
      <c r="G3" s="22" t="s">
        <v>1</v>
      </c>
      <c r="H3" s="22" t="s">
        <v>2</v>
      </c>
      <c r="I3" s="22" t="s">
        <v>4</v>
      </c>
    </row>
    <row r="4" spans="1:9" ht="18">
      <c r="A4" s="2"/>
      <c r="B4" s="2"/>
      <c r="C4" s="7" t="s">
        <v>16</v>
      </c>
      <c r="D4" s="7" t="s">
        <v>17</v>
      </c>
      <c r="E4" s="7" t="s">
        <v>17</v>
      </c>
      <c r="F4" s="12"/>
      <c r="G4" s="7" t="s">
        <v>25</v>
      </c>
      <c r="H4" s="7" t="s">
        <v>28</v>
      </c>
      <c r="I4" s="7" t="s">
        <v>27</v>
      </c>
    </row>
    <row r="5" spans="1:9" ht="18">
      <c r="A5" s="3"/>
      <c r="B5" s="3"/>
      <c r="C5" s="8" t="s">
        <v>3</v>
      </c>
      <c r="D5" s="8" t="s">
        <v>24</v>
      </c>
      <c r="E5" s="8" t="s">
        <v>18</v>
      </c>
      <c r="F5" s="12"/>
      <c r="G5" s="8" t="s">
        <v>0</v>
      </c>
      <c r="H5" s="8" t="s">
        <v>0</v>
      </c>
      <c r="I5" s="8" t="s">
        <v>0</v>
      </c>
    </row>
    <row r="6" spans="1:9" ht="18">
      <c r="A6" s="3"/>
      <c r="B6" s="3"/>
      <c r="C6" s="8"/>
      <c r="D6" s="8"/>
      <c r="E6" s="8"/>
      <c r="F6" s="12"/>
      <c r="G6" s="8"/>
      <c r="H6" s="8"/>
      <c r="I6" s="8"/>
    </row>
    <row r="7" spans="1:9" ht="18">
      <c r="A7" s="4" t="s">
        <v>5</v>
      </c>
      <c r="B7" s="4"/>
      <c r="C7" s="9">
        <v>2000000</v>
      </c>
      <c r="D7" s="9">
        <f>C7/2</f>
        <v>1000000</v>
      </c>
      <c r="E7" s="9"/>
      <c r="F7" s="12"/>
      <c r="G7" s="14">
        <f>+C7+E7-H7-I7</f>
        <v>1600000</v>
      </c>
      <c r="H7" s="14">
        <v>400000</v>
      </c>
      <c r="I7" s="14"/>
    </row>
    <row r="8" spans="1:9" ht="18">
      <c r="A8" s="4" t="s">
        <v>6</v>
      </c>
      <c r="B8" s="4"/>
      <c r="C8" s="9">
        <v>1600000</v>
      </c>
      <c r="D8" s="9">
        <f t="shared" ref="D8:D19" si="0">C8/2</f>
        <v>800000</v>
      </c>
      <c r="E8" s="9"/>
      <c r="F8" s="12"/>
      <c r="G8" s="14">
        <f t="shared" ref="G8:G19" si="1">+C8+E8-H8-I8</f>
        <v>0</v>
      </c>
      <c r="H8" s="14">
        <v>1600000</v>
      </c>
      <c r="I8" s="14">
        <v>0</v>
      </c>
    </row>
    <row r="9" spans="1:9" ht="18">
      <c r="A9" s="4" t="s">
        <v>7</v>
      </c>
      <c r="B9" s="4"/>
      <c r="C9" s="9"/>
      <c r="D9" s="9">
        <f t="shared" si="0"/>
        <v>0</v>
      </c>
      <c r="E9" s="9">
        <v>1000000</v>
      </c>
      <c r="F9" s="12"/>
      <c r="G9" s="14">
        <f t="shared" si="1"/>
        <v>0</v>
      </c>
      <c r="H9" s="14"/>
      <c r="I9" s="14">
        <v>1000000</v>
      </c>
    </row>
    <row r="10" spans="1:9" ht="18">
      <c r="A10" s="4" t="s">
        <v>19</v>
      </c>
      <c r="B10" s="4"/>
      <c r="C10" s="9"/>
      <c r="D10" s="9">
        <f t="shared" si="0"/>
        <v>0</v>
      </c>
      <c r="E10" s="9">
        <v>800000</v>
      </c>
      <c r="F10" s="12"/>
      <c r="G10" s="14">
        <f t="shared" si="1"/>
        <v>0</v>
      </c>
      <c r="H10" s="14">
        <v>800000</v>
      </c>
      <c r="I10" s="14"/>
    </row>
    <row r="11" spans="1:9" ht="18">
      <c r="A11" s="4" t="s">
        <v>8</v>
      </c>
      <c r="B11" s="5"/>
      <c r="C11" s="9">
        <v>200000</v>
      </c>
      <c r="D11" s="9">
        <f t="shared" si="0"/>
        <v>100000</v>
      </c>
      <c r="E11" s="9"/>
      <c r="F11" s="12"/>
      <c r="G11" s="14">
        <f t="shared" si="1"/>
        <v>0</v>
      </c>
      <c r="H11" s="14">
        <v>200000</v>
      </c>
      <c r="I11" s="14"/>
    </row>
    <row r="12" spans="1:9" ht="18">
      <c r="A12" s="4" t="s">
        <v>9</v>
      </c>
      <c r="B12" s="4"/>
      <c r="C12" s="9">
        <v>600000</v>
      </c>
      <c r="D12" s="9">
        <f t="shared" si="0"/>
        <v>300000</v>
      </c>
      <c r="E12" s="9">
        <v>1000000</v>
      </c>
      <c r="F12" s="12"/>
      <c r="G12" s="14">
        <f t="shared" si="1"/>
        <v>0</v>
      </c>
      <c r="H12" s="14">
        <v>1600000</v>
      </c>
      <c r="I12" s="14"/>
    </row>
    <row r="13" spans="1:9" ht="18">
      <c r="A13" s="4" t="s">
        <v>10</v>
      </c>
      <c r="B13" s="4"/>
      <c r="C13" s="9"/>
      <c r="D13" s="9">
        <f t="shared" si="0"/>
        <v>0</v>
      </c>
      <c r="E13" s="9">
        <v>200000</v>
      </c>
      <c r="F13" s="12"/>
      <c r="G13" s="14">
        <f t="shared" si="1"/>
        <v>0</v>
      </c>
      <c r="H13" s="14">
        <v>200000</v>
      </c>
      <c r="I13" s="14">
        <v>0</v>
      </c>
    </row>
    <row r="14" spans="1:9" ht="18">
      <c r="A14" s="4" t="s">
        <v>20</v>
      </c>
      <c r="B14" s="4"/>
      <c r="C14" s="9">
        <v>200000</v>
      </c>
      <c r="D14" s="9">
        <f>C14/2</f>
        <v>100000</v>
      </c>
      <c r="E14" s="9"/>
      <c r="F14" s="12"/>
      <c r="G14" s="14">
        <f t="shared" si="1"/>
        <v>0</v>
      </c>
      <c r="H14" s="14">
        <v>200000</v>
      </c>
      <c r="I14" s="14"/>
    </row>
    <row r="15" spans="1:9" ht="18">
      <c r="A15" s="4" t="s">
        <v>11</v>
      </c>
      <c r="B15" s="4"/>
      <c r="C15" s="9">
        <v>1000000</v>
      </c>
      <c r="D15" s="9">
        <f t="shared" si="0"/>
        <v>500000</v>
      </c>
      <c r="E15" s="9"/>
      <c r="F15" s="12"/>
      <c r="G15" s="14">
        <f t="shared" si="1"/>
        <v>0</v>
      </c>
      <c r="H15" s="14"/>
      <c r="I15" s="14">
        <v>1000000</v>
      </c>
    </row>
    <row r="16" spans="1:9" ht="18">
      <c r="A16" s="4" t="s">
        <v>12</v>
      </c>
      <c r="B16" s="4"/>
      <c r="C16" s="9">
        <v>1200000</v>
      </c>
      <c r="D16" s="9">
        <f t="shared" si="0"/>
        <v>600000</v>
      </c>
      <c r="E16" s="9"/>
      <c r="F16" s="12"/>
      <c r="G16" s="14">
        <f t="shared" si="1"/>
        <v>1200000</v>
      </c>
      <c r="H16" s="14"/>
      <c r="I16" s="14"/>
    </row>
    <row r="17" spans="1:10" ht="18">
      <c r="A17" s="4" t="s">
        <v>14</v>
      </c>
      <c r="B17" s="4"/>
      <c r="C17" s="9">
        <v>800000</v>
      </c>
      <c r="D17" s="9">
        <f t="shared" si="0"/>
        <v>400000</v>
      </c>
      <c r="E17" s="9"/>
      <c r="F17" s="12"/>
      <c r="G17" s="14">
        <f t="shared" si="1"/>
        <v>800000</v>
      </c>
      <c r="H17" s="14"/>
      <c r="I17" s="14"/>
    </row>
    <row r="18" spans="1:10" ht="18">
      <c r="A18" s="4" t="s">
        <v>15</v>
      </c>
      <c r="B18" s="4"/>
      <c r="C18" s="9">
        <v>300000</v>
      </c>
      <c r="D18" s="9">
        <f t="shared" si="0"/>
        <v>150000</v>
      </c>
      <c r="E18" s="9"/>
      <c r="F18" s="12"/>
      <c r="G18" s="14">
        <f t="shared" si="1"/>
        <v>300000</v>
      </c>
      <c r="H18" s="14"/>
      <c r="I18" s="14"/>
    </row>
    <row r="19" spans="1:10" ht="18">
      <c r="A19" s="4" t="s">
        <v>13</v>
      </c>
      <c r="B19" s="4"/>
      <c r="C19" s="9">
        <v>100000</v>
      </c>
      <c r="D19" s="9">
        <f t="shared" si="0"/>
        <v>50000</v>
      </c>
      <c r="E19" s="9"/>
      <c r="F19" s="12"/>
      <c r="G19" s="14">
        <f t="shared" si="1"/>
        <v>100000</v>
      </c>
      <c r="H19" s="14"/>
      <c r="I19" s="14"/>
    </row>
    <row r="20" spans="1:10" ht="18.75" thickBot="1">
      <c r="A20" s="4"/>
      <c r="B20" s="4"/>
      <c r="C20" s="13"/>
      <c r="D20" s="13"/>
      <c r="E20" s="13"/>
      <c r="F20" s="12"/>
      <c r="G20" s="15"/>
      <c r="H20" s="15"/>
      <c r="I20" s="15"/>
    </row>
    <row r="21" spans="1:10" s="18" customFormat="1" ht="18">
      <c r="A21" s="1" t="s">
        <v>21</v>
      </c>
      <c r="B21" s="1"/>
      <c r="C21" s="16">
        <f>SUM(C7:C20)</f>
        <v>8000000</v>
      </c>
      <c r="D21" s="16">
        <f>SUM(D7:D20)</f>
        <v>4000000</v>
      </c>
      <c r="E21" s="16">
        <f>SUM(E7:E20)</f>
        <v>3000000</v>
      </c>
      <c r="F21" s="17"/>
      <c r="G21" s="19">
        <f>SUM(G6:G19)</f>
        <v>4000000</v>
      </c>
      <c r="H21" s="19">
        <f>SUM(H6:H19)</f>
        <v>5000000</v>
      </c>
      <c r="I21" s="19">
        <f>SUM(I6:I19)</f>
        <v>2000000</v>
      </c>
      <c r="J21" s="23">
        <f>SUM(G21:I21)</f>
        <v>11000000</v>
      </c>
    </row>
    <row r="22" spans="1:10" ht="18">
      <c r="A22" s="21" t="s">
        <v>26</v>
      </c>
      <c r="B22" s="4"/>
      <c r="F22" s="12">
        <v>4000000</v>
      </c>
      <c r="G22" s="20">
        <v>4000000</v>
      </c>
      <c r="H22" s="20">
        <v>5000000</v>
      </c>
      <c r="I22" s="20">
        <v>2000000</v>
      </c>
      <c r="J22" s="23">
        <f>SUM(G22:I22)</f>
        <v>11000000</v>
      </c>
    </row>
    <row r="23" spans="1:10" ht="18">
      <c r="A23" s="4"/>
      <c r="B23" s="4"/>
      <c r="D23" s="25" t="s">
        <v>29</v>
      </c>
      <c r="E23" s="26"/>
      <c r="F23" s="26"/>
      <c r="G23" s="27">
        <f>+G21-G22</f>
        <v>0</v>
      </c>
      <c r="H23" s="27">
        <f>+H21-H22</f>
        <v>0</v>
      </c>
      <c r="I23" s="27">
        <f>+I21-I22</f>
        <v>0</v>
      </c>
      <c r="J23" s="23">
        <f>SUM(G23:I23)</f>
        <v>0</v>
      </c>
    </row>
    <row r="24" spans="1:10" ht="18">
      <c r="A24" s="4"/>
      <c r="B24" s="4"/>
      <c r="D24" s="25"/>
      <c r="E24" s="26"/>
      <c r="F24" s="26"/>
      <c r="G24" s="27"/>
      <c r="H24" s="27"/>
      <c r="I24" s="27"/>
      <c r="J24" s="23"/>
    </row>
    <row r="25" spans="1:10" ht="13.5" thickBot="1">
      <c r="A25" s="10"/>
    </row>
    <row r="26" spans="1:10" s="24" customFormat="1" ht="19.5" thickBot="1">
      <c r="A26" s="28" t="s">
        <v>30</v>
      </c>
      <c r="B26" s="29"/>
      <c r="C26" s="30">
        <f>SUM(C15:C18)+C12+C11+C13</f>
        <v>4100000</v>
      </c>
      <c r="D26" s="30"/>
      <c r="E26" s="30">
        <f>SUM(E15:E18)+E12+E11+E13</f>
        <v>1200000</v>
      </c>
      <c r="F26" s="29"/>
      <c r="G26" s="31">
        <f>+G11+G12+G13+G15+G16+G17+G18</f>
        <v>2300000</v>
      </c>
    </row>
    <row r="27" spans="1:10" ht="18">
      <c r="A27" s="4"/>
      <c r="C27" s="11"/>
      <c r="D27" s="11"/>
      <c r="E27" s="11"/>
      <c r="G27" s="11"/>
    </row>
    <row r="28" spans="1:10" ht="18">
      <c r="A28" s="4"/>
      <c r="C28" s="11"/>
      <c r="D28" s="11"/>
      <c r="E28" s="11"/>
      <c r="G28" s="11"/>
    </row>
    <row r="29" spans="1:10" ht="18">
      <c r="A29" s="4"/>
      <c r="C29" s="11"/>
      <c r="D29" s="11"/>
      <c r="E29" s="11"/>
      <c r="G29" s="11"/>
    </row>
  </sheetData>
  <pageMargins left="0.25" right="0.25" top="1" bottom="1" header="0.5" footer="0.5"/>
  <pageSetup scale="95" orientation="landscape" r:id="rId1"/>
  <headerFooter alignWithMargins="0">
    <oddFooter>&amp;C&amp;"Arial,Bold"&amp;14Large Estate Case Study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HNW case</vt:lpstr>
      <vt:lpstr>HNW-solution presented</vt:lpstr>
    </vt:vector>
  </TitlesOfParts>
  <Compan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MarkPtheCFP</cp:lastModifiedBy>
  <cp:lastPrinted>2012-07-19T05:00:19Z</cp:lastPrinted>
  <dcterms:created xsi:type="dcterms:W3CDTF">2009-05-14T22:32:14Z</dcterms:created>
  <dcterms:modified xsi:type="dcterms:W3CDTF">2013-05-10T20:49:38Z</dcterms:modified>
</cp:coreProperties>
</file>